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iza.porto\Desktop\Marco - Outubro 2023\"/>
    </mc:Choice>
  </mc:AlternateContent>
  <xr:revisionPtr revIDLastSave="0" documentId="13_ncr:1_{0108F81E-53A2-4C99-90B0-E67EEB30112D}" xr6:coauthVersionLast="47" xr6:coauthVersionMax="47" xr10:uidLastSave="{00000000-0000-0000-0000-000000000000}"/>
  <bookViews>
    <workbookView xWindow="28680" yWindow="-120" windowWidth="29040" windowHeight="15840" tabRatio="855" xr2:uid="{FCF3E4BD-C91C-4330-B31E-E3BC2B293FBE}"/>
  </bookViews>
  <sheets>
    <sheet name="MAURO" sheetId="21" r:id="rId1"/>
    <sheet name="PA MAURO" sheetId="14" r:id="rId2"/>
    <sheet name="ADERÊNCIA" sheetId="11" state="hidden" r:id="rId3"/>
  </sheets>
  <externalReferences>
    <externalReference r:id="rId4"/>
  </externalReferences>
  <definedNames>
    <definedName name="_xlnm._FilterDatabase" localSheetId="0" hidden="1">MAURO!$A$4:$AB$106</definedName>
    <definedName name="primeiro" localSheetId="0">MAURO!#REF!</definedName>
    <definedName name="primeiro" localSheetId="1">'PA MAURO'!#REF!</definedName>
    <definedName name="primeir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H19" i="21" l="1"/>
  <c r="BH18" i="21"/>
  <c r="BH17" i="21"/>
  <c r="BI23" i="21"/>
  <c r="BI22" i="21"/>
  <c r="L51" i="21" l="1"/>
  <c r="L52" i="21"/>
  <c r="L53" i="21"/>
  <c r="J52" i="21"/>
  <c r="K52" i="21"/>
  <c r="M52" i="21"/>
  <c r="N52" i="21"/>
  <c r="O52" i="21"/>
  <c r="P52" i="21"/>
  <c r="Q52" i="21"/>
  <c r="R52" i="21"/>
  <c r="S52" i="21"/>
  <c r="T52" i="21"/>
  <c r="U52" i="21"/>
  <c r="V52" i="21"/>
  <c r="W52" i="21"/>
  <c r="X52" i="21"/>
  <c r="J53" i="21"/>
  <c r="K53" i="21"/>
  <c r="M53" i="21"/>
  <c r="N53" i="21"/>
  <c r="O53" i="21"/>
  <c r="P53" i="21"/>
  <c r="Q53" i="21"/>
  <c r="R53" i="21"/>
  <c r="S53" i="21"/>
  <c r="T53" i="21"/>
  <c r="U53" i="21"/>
  <c r="V53" i="21"/>
  <c r="W53" i="21"/>
  <c r="X53" i="21"/>
  <c r="I43" i="21"/>
  <c r="I44" i="21"/>
  <c r="I45" i="21"/>
  <c r="C43" i="21"/>
  <c r="D43" i="21"/>
  <c r="E43" i="21"/>
  <c r="F43" i="21"/>
  <c r="G43" i="21"/>
  <c r="H43" i="21"/>
  <c r="J43" i="21"/>
  <c r="K43" i="21"/>
  <c r="L43" i="21"/>
  <c r="M43" i="21"/>
  <c r="N43" i="21"/>
  <c r="O43" i="21"/>
  <c r="P43" i="21"/>
  <c r="Q43" i="21"/>
  <c r="R43" i="21"/>
  <c r="S43" i="21"/>
  <c r="T43" i="21"/>
  <c r="U43" i="21"/>
  <c r="V43" i="21"/>
  <c r="W43" i="21"/>
  <c r="X43" i="21"/>
  <c r="C44" i="21"/>
  <c r="D44" i="21"/>
  <c r="E44" i="21"/>
  <c r="F44" i="21"/>
  <c r="G44" i="21"/>
  <c r="H44" i="21"/>
  <c r="J44" i="21"/>
  <c r="K44" i="21"/>
  <c r="L44" i="21"/>
  <c r="M44" i="21"/>
  <c r="N44" i="21"/>
  <c r="O44" i="21"/>
  <c r="P44" i="21"/>
  <c r="Q44" i="21"/>
  <c r="R44" i="21"/>
  <c r="S44" i="21"/>
  <c r="T44" i="21"/>
  <c r="U44" i="21"/>
  <c r="V44" i="21"/>
  <c r="W44" i="21"/>
  <c r="X44" i="21"/>
  <c r="C45" i="21"/>
  <c r="D45" i="21"/>
  <c r="E45" i="21"/>
  <c r="F45" i="21"/>
  <c r="G45" i="21"/>
  <c r="H45" i="21"/>
  <c r="J45" i="21"/>
  <c r="K45" i="21"/>
  <c r="L45" i="21"/>
  <c r="M45" i="21"/>
  <c r="N45" i="21"/>
  <c r="O45" i="21"/>
  <c r="P45" i="21"/>
  <c r="Q45" i="21"/>
  <c r="R45" i="21"/>
  <c r="S45" i="21"/>
  <c r="T45" i="21"/>
  <c r="U45" i="21"/>
  <c r="V45" i="21"/>
  <c r="W45" i="21"/>
  <c r="X45" i="21"/>
  <c r="L37" i="21"/>
  <c r="M37" i="21"/>
  <c r="N37" i="21"/>
  <c r="O37" i="21"/>
  <c r="P37" i="21"/>
  <c r="Q37" i="21"/>
  <c r="R37" i="21"/>
  <c r="S37" i="21"/>
  <c r="T37" i="21"/>
  <c r="U37" i="21"/>
  <c r="V37" i="21"/>
  <c r="W37" i="21"/>
  <c r="X37" i="21"/>
  <c r="L38" i="21"/>
  <c r="M38" i="21"/>
  <c r="N38" i="21"/>
  <c r="O38" i="21"/>
  <c r="P38" i="21"/>
  <c r="Q38" i="21"/>
  <c r="R38" i="21"/>
  <c r="S38" i="21"/>
  <c r="T38" i="21"/>
  <c r="U38" i="21"/>
  <c r="V38" i="21"/>
  <c r="W38" i="21"/>
  <c r="X38" i="21"/>
  <c r="L39" i="21"/>
  <c r="M39" i="21"/>
  <c r="N39" i="21"/>
  <c r="O39" i="21"/>
  <c r="P39" i="21"/>
  <c r="Q39" i="21"/>
  <c r="R39" i="21"/>
  <c r="S39" i="21"/>
  <c r="T39" i="21"/>
  <c r="U39" i="21"/>
  <c r="V39" i="21"/>
  <c r="W39" i="21"/>
  <c r="X39" i="21"/>
  <c r="J29" i="21"/>
  <c r="K29" i="21"/>
  <c r="L29" i="21"/>
  <c r="M29" i="21"/>
  <c r="N29" i="21"/>
  <c r="O29" i="21"/>
  <c r="P29" i="21"/>
  <c r="Q29" i="21"/>
  <c r="R29" i="21"/>
  <c r="S29" i="21"/>
  <c r="T29" i="21"/>
  <c r="U29" i="21"/>
  <c r="V29" i="21"/>
  <c r="W29" i="21"/>
  <c r="X29" i="21"/>
  <c r="J30" i="21"/>
  <c r="K30" i="21"/>
  <c r="L30" i="21"/>
  <c r="M30" i="21"/>
  <c r="N30" i="21"/>
  <c r="O30" i="21"/>
  <c r="P30" i="21"/>
  <c r="Q30" i="21"/>
  <c r="R30" i="21"/>
  <c r="S30" i="21"/>
  <c r="T30" i="21"/>
  <c r="U30" i="21"/>
  <c r="V30" i="21"/>
  <c r="W30" i="21"/>
  <c r="X30" i="21"/>
  <c r="J31" i="21"/>
  <c r="K31" i="21"/>
  <c r="L31" i="21"/>
  <c r="M31" i="21"/>
  <c r="N31" i="21"/>
  <c r="O31" i="21"/>
  <c r="P31" i="21"/>
  <c r="Q31" i="21"/>
  <c r="R31" i="21"/>
  <c r="S31" i="21"/>
  <c r="T31" i="21"/>
  <c r="U31" i="21"/>
  <c r="V31" i="21"/>
  <c r="W31" i="21"/>
  <c r="X31" i="21"/>
  <c r="I30" i="21"/>
  <c r="I31" i="21"/>
  <c r="C30" i="21"/>
  <c r="D30" i="21"/>
  <c r="E30" i="21"/>
  <c r="F30" i="21"/>
  <c r="G30" i="21"/>
  <c r="H30" i="21"/>
  <c r="C31" i="21"/>
  <c r="D31" i="21"/>
  <c r="E31" i="21"/>
  <c r="F31" i="21"/>
  <c r="G31" i="21"/>
  <c r="H31" i="21"/>
  <c r="K23" i="21"/>
  <c r="K24" i="21"/>
  <c r="K25" i="21"/>
  <c r="C23" i="21"/>
  <c r="D23" i="21"/>
  <c r="E23" i="21"/>
  <c r="F23" i="21"/>
  <c r="G23" i="21"/>
  <c r="H23" i="21"/>
  <c r="I23" i="21"/>
  <c r="J23" i="21"/>
  <c r="L23" i="21"/>
  <c r="M23" i="21"/>
  <c r="N23" i="21"/>
  <c r="O23" i="21"/>
  <c r="P23" i="21"/>
  <c r="Q23" i="21"/>
  <c r="R23" i="21"/>
  <c r="S23" i="21"/>
  <c r="T23" i="21"/>
  <c r="U23" i="21"/>
  <c r="V23" i="21"/>
  <c r="W23" i="21"/>
  <c r="X23" i="21"/>
  <c r="C24" i="21"/>
  <c r="D24" i="21"/>
  <c r="E24" i="21"/>
  <c r="F24" i="21"/>
  <c r="G24" i="21"/>
  <c r="H24" i="21"/>
  <c r="I24" i="21"/>
  <c r="J24" i="21"/>
  <c r="L24" i="21"/>
  <c r="M24" i="21"/>
  <c r="N24" i="21"/>
  <c r="O24" i="21"/>
  <c r="P24" i="21"/>
  <c r="Q24" i="21"/>
  <c r="R24" i="21"/>
  <c r="S24" i="21"/>
  <c r="T24" i="21"/>
  <c r="U24" i="21"/>
  <c r="V24" i="21"/>
  <c r="W24" i="21"/>
  <c r="X24" i="21"/>
  <c r="C25" i="21"/>
  <c r="D25" i="21"/>
  <c r="E25" i="21"/>
  <c r="F25" i="21"/>
  <c r="G25" i="21"/>
  <c r="H25" i="21"/>
  <c r="I25" i="21"/>
  <c r="J25" i="21"/>
  <c r="L25" i="21"/>
  <c r="M25" i="21"/>
  <c r="N25" i="21"/>
  <c r="O25" i="21"/>
  <c r="P25" i="21"/>
  <c r="Q25" i="21"/>
  <c r="R25" i="21"/>
  <c r="S25" i="21"/>
  <c r="T25" i="21"/>
  <c r="U25" i="21"/>
  <c r="V25" i="21"/>
  <c r="W25" i="21"/>
  <c r="X25" i="21"/>
  <c r="X92" i="21" l="1"/>
  <c r="W92" i="21"/>
  <c r="V92" i="21"/>
  <c r="U92" i="21"/>
  <c r="T92" i="21"/>
  <c r="S92" i="21"/>
  <c r="R92" i="21"/>
  <c r="Q92" i="21"/>
  <c r="P92" i="21"/>
  <c r="O92" i="21"/>
  <c r="N92" i="21"/>
  <c r="M92" i="21"/>
  <c r="L92" i="21"/>
  <c r="K92" i="21"/>
  <c r="J92" i="21"/>
  <c r="I92" i="21"/>
  <c r="H92" i="21"/>
  <c r="G92" i="21"/>
  <c r="F92" i="21"/>
  <c r="E92" i="21"/>
  <c r="D92" i="21"/>
  <c r="C92" i="21"/>
  <c r="E97" i="21"/>
  <c r="F97" i="21"/>
  <c r="G97" i="21"/>
  <c r="H97" i="21"/>
  <c r="I97" i="21"/>
  <c r="J97" i="21"/>
  <c r="E98" i="21"/>
  <c r="F98" i="21"/>
  <c r="G98" i="21"/>
  <c r="H98" i="21"/>
  <c r="I98" i="21"/>
  <c r="J98" i="21"/>
  <c r="E99" i="21"/>
  <c r="F99" i="21"/>
  <c r="G99" i="21"/>
  <c r="H99" i="21"/>
  <c r="I99" i="21"/>
  <c r="J99" i="21"/>
  <c r="F96" i="21"/>
  <c r="G96" i="21"/>
  <c r="H96" i="21"/>
  <c r="I96" i="21"/>
  <c r="J96" i="21"/>
  <c r="C98" i="21"/>
  <c r="D98" i="21"/>
  <c r="K98" i="21"/>
  <c r="L98" i="21"/>
  <c r="M98" i="21"/>
  <c r="N98" i="21"/>
  <c r="O98" i="21"/>
  <c r="P98" i="21"/>
  <c r="Q98" i="21"/>
  <c r="R98" i="21"/>
  <c r="S98" i="21"/>
  <c r="T98" i="21"/>
  <c r="U98" i="21"/>
  <c r="V98" i="21"/>
  <c r="W98" i="21"/>
  <c r="X98" i="21"/>
  <c r="C99" i="21"/>
  <c r="D99" i="21"/>
  <c r="K99" i="21"/>
  <c r="L99" i="21"/>
  <c r="M99" i="21"/>
  <c r="N99" i="21"/>
  <c r="O99" i="21"/>
  <c r="P99" i="21"/>
  <c r="Q99" i="21"/>
  <c r="R99" i="21"/>
  <c r="S99" i="21"/>
  <c r="T99" i="21"/>
  <c r="U99" i="21"/>
  <c r="V99" i="21"/>
  <c r="W99" i="21"/>
  <c r="X99" i="21"/>
  <c r="C102" i="21"/>
  <c r="D102" i="21"/>
  <c r="E102" i="21"/>
  <c r="F102" i="21"/>
  <c r="G102" i="21"/>
  <c r="H102" i="21"/>
  <c r="I102" i="21"/>
  <c r="J102" i="21"/>
  <c r="K102" i="21"/>
  <c r="L102" i="21"/>
  <c r="M102" i="21"/>
  <c r="N102" i="21"/>
  <c r="O102" i="21"/>
  <c r="P102" i="21"/>
  <c r="Q102" i="21"/>
  <c r="R102" i="21"/>
  <c r="S102" i="21"/>
  <c r="T102" i="21"/>
  <c r="U102" i="21"/>
  <c r="V102" i="21"/>
  <c r="W102" i="21"/>
  <c r="X102" i="21"/>
  <c r="C103" i="21"/>
  <c r="D103" i="21"/>
  <c r="E103" i="21"/>
  <c r="F103" i="21"/>
  <c r="G103" i="21"/>
  <c r="H103" i="21"/>
  <c r="I103" i="21"/>
  <c r="J103" i="21"/>
  <c r="K103" i="21"/>
  <c r="L103" i="21"/>
  <c r="M103" i="21"/>
  <c r="N103" i="21"/>
  <c r="O103" i="21"/>
  <c r="P103" i="21"/>
  <c r="Q103" i="21"/>
  <c r="R103" i="21"/>
  <c r="S103" i="21"/>
  <c r="T103" i="21"/>
  <c r="U103" i="21"/>
  <c r="V103" i="21"/>
  <c r="W103" i="21"/>
  <c r="X103" i="21"/>
  <c r="C104" i="21"/>
  <c r="D104" i="21"/>
  <c r="E104" i="21"/>
  <c r="F104" i="21"/>
  <c r="G104" i="21"/>
  <c r="H104" i="21"/>
  <c r="I104" i="21"/>
  <c r="J104" i="21"/>
  <c r="K104" i="21"/>
  <c r="L104" i="21"/>
  <c r="M104" i="21"/>
  <c r="N104" i="21"/>
  <c r="O104" i="21"/>
  <c r="P104" i="21"/>
  <c r="Q104" i="21"/>
  <c r="R104" i="21"/>
  <c r="S104" i="21"/>
  <c r="T104" i="21"/>
  <c r="U104" i="21"/>
  <c r="V104" i="21"/>
  <c r="W104" i="21"/>
  <c r="X104" i="21"/>
  <c r="C105" i="21"/>
  <c r="D105" i="21"/>
  <c r="E105" i="21"/>
  <c r="F105" i="21"/>
  <c r="G105" i="21"/>
  <c r="H105" i="21"/>
  <c r="I105" i="21"/>
  <c r="J105" i="21"/>
  <c r="K105" i="21"/>
  <c r="L105" i="21"/>
  <c r="M105" i="21"/>
  <c r="N105" i="21"/>
  <c r="O105" i="21"/>
  <c r="P105" i="21"/>
  <c r="Q105" i="21"/>
  <c r="R105" i="21"/>
  <c r="S105" i="21"/>
  <c r="T105" i="21"/>
  <c r="U105" i="21"/>
  <c r="V105" i="21"/>
  <c r="W105" i="21"/>
  <c r="X105" i="21"/>
  <c r="C106" i="21"/>
  <c r="C101" i="21"/>
  <c r="C97" i="21"/>
  <c r="C96" i="21"/>
  <c r="K42" i="21"/>
  <c r="J42" i="21"/>
  <c r="J37" i="21"/>
  <c r="I37" i="21"/>
  <c r="K36" i="21"/>
  <c r="J36" i="21"/>
  <c r="AI7" i="21" l="1"/>
  <c r="AJ7" i="21" s="1"/>
  <c r="AK7" i="21"/>
  <c r="AL7" i="21" s="1"/>
  <c r="AM7" i="21"/>
  <c r="AN7" i="21" s="1"/>
  <c r="AO7" i="21"/>
  <c r="AP7" i="21" s="1"/>
  <c r="AQ7" i="21"/>
  <c r="AR7" i="21" s="1"/>
  <c r="AI8" i="21"/>
  <c r="AJ8" i="21" s="1"/>
  <c r="AK8" i="21"/>
  <c r="AL8" i="21" s="1"/>
  <c r="AM8" i="21"/>
  <c r="AN8" i="21" s="1"/>
  <c r="AO8" i="21"/>
  <c r="AP8" i="21" s="1"/>
  <c r="AQ8" i="21"/>
  <c r="AR8" i="21" s="1"/>
  <c r="AI9" i="21"/>
  <c r="AJ9" i="21" s="1"/>
  <c r="AK9" i="21"/>
  <c r="AL9" i="21" s="1"/>
  <c r="AM9" i="21"/>
  <c r="AN9" i="21" s="1"/>
  <c r="AO9" i="21"/>
  <c r="AP9" i="21" s="1"/>
  <c r="AQ9" i="21"/>
  <c r="AR9" i="21" s="1"/>
  <c r="AI13" i="21"/>
  <c r="AJ13" i="21" s="1"/>
  <c r="AK13" i="21"/>
  <c r="AL13" i="21" s="1"/>
  <c r="AM13" i="21"/>
  <c r="AN13" i="21" s="1"/>
  <c r="AO13" i="21"/>
  <c r="AP13" i="21" s="1"/>
  <c r="AQ13" i="21"/>
  <c r="AR13" i="21" s="1"/>
  <c r="AI17" i="21"/>
  <c r="AJ17" i="21" s="1"/>
  <c r="AK17" i="21"/>
  <c r="AL17" i="21" s="1"/>
  <c r="AM17" i="21"/>
  <c r="AN17" i="21" s="1"/>
  <c r="AO17" i="21"/>
  <c r="AP17" i="21" s="1"/>
  <c r="AQ17" i="21"/>
  <c r="AR17" i="21" s="1"/>
  <c r="AI18" i="21"/>
  <c r="AJ18" i="21" s="1"/>
  <c r="AK18" i="21"/>
  <c r="AL18" i="21" s="1"/>
  <c r="AM18" i="21"/>
  <c r="AN18" i="21" s="1"/>
  <c r="AO18" i="21"/>
  <c r="AP18" i="21" s="1"/>
  <c r="AQ18" i="21"/>
  <c r="AR18" i="21" s="1"/>
  <c r="AI19" i="21"/>
  <c r="AJ19" i="21" s="1"/>
  <c r="AK19" i="21"/>
  <c r="AL19" i="21" s="1"/>
  <c r="AM19" i="21"/>
  <c r="AN19" i="21" s="1"/>
  <c r="AO19" i="21"/>
  <c r="AP19" i="21" s="1"/>
  <c r="AQ19" i="21"/>
  <c r="AR19" i="21" s="1"/>
  <c r="AI20" i="21"/>
  <c r="AJ20" i="21" s="1"/>
  <c r="AK20" i="21"/>
  <c r="AL20" i="21" s="1"/>
  <c r="AM20" i="21"/>
  <c r="AN20" i="21" s="1"/>
  <c r="AO20" i="21"/>
  <c r="AP20" i="21" s="1"/>
  <c r="AQ20" i="21"/>
  <c r="AR20" i="21" s="1"/>
  <c r="AI21" i="21"/>
  <c r="AJ21" i="21" s="1"/>
  <c r="AK21" i="21"/>
  <c r="AL21" i="21" s="1"/>
  <c r="AM21" i="21"/>
  <c r="AN21" i="21" s="1"/>
  <c r="AO21" i="21"/>
  <c r="AP21" i="21" s="1"/>
  <c r="AQ21" i="21"/>
  <c r="AR21" i="21" s="1"/>
  <c r="AI26" i="21"/>
  <c r="AJ26" i="21" s="1"/>
  <c r="AK26" i="21"/>
  <c r="AL26" i="21" s="1"/>
  <c r="AM26" i="21"/>
  <c r="AN26" i="21" s="1"/>
  <c r="AO26" i="21"/>
  <c r="AP26" i="21" s="1"/>
  <c r="AQ26" i="21"/>
  <c r="AR26" i="21" s="1"/>
  <c r="AI27" i="21"/>
  <c r="AJ27" i="21" s="1"/>
  <c r="AK27" i="21"/>
  <c r="AL27" i="21" s="1"/>
  <c r="AM27" i="21"/>
  <c r="AN27" i="21" s="1"/>
  <c r="AO27" i="21"/>
  <c r="AP27" i="21" s="1"/>
  <c r="AQ27" i="21"/>
  <c r="AR27" i="21" s="1"/>
  <c r="AI32" i="21"/>
  <c r="AJ32" i="21" s="1"/>
  <c r="AK32" i="21"/>
  <c r="AL32" i="21" s="1"/>
  <c r="AM32" i="21"/>
  <c r="AN32" i="21" s="1"/>
  <c r="AO32" i="21"/>
  <c r="AP32" i="21" s="1"/>
  <c r="AQ32" i="21"/>
  <c r="AR32" i="21" s="1"/>
  <c r="AI33" i="21"/>
  <c r="AJ33" i="21" s="1"/>
  <c r="AK33" i="21"/>
  <c r="AL33" i="21" s="1"/>
  <c r="AM33" i="21"/>
  <c r="AN33" i="21" s="1"/>
  <c r="AO33" i="21"/>
  <c r="AP33" i="21" s="1"/>
  <c r="AQ33" i="21"/>
  <c r="AR33" i="21" s="1"/>
  <c r="AI34" i="21"/>
  <c r="AJ34" i="21" s="1"/>
  <c r="AK34" i="21"/>
  <c r="AL34" i="21" s="1"/>
  <c r="AM34" i="21"/>
  <c r="AN34" i="21" s="1"/>
  <c r="AO34" i="21"/>
  <c r="AP34" i="21" s="1"/>
  <c r="AQ34" i="21"/>
  <c r="AR34" i="21" s="1"/>
  <c r="AI35" i="21"/>
  <c r="AJ35" i="21" s="1"/>
  <c r="AK35" i="21"/>
  <c r="AL35" i="21" s="1"/>
  <c r="AM35" i="21"/>
  <c r="AN35" i="21" s="1"/>
  <c r="AO35" i="21"/>
  <c r="AP35" i="21" s="1"/>
  <c r="AQ35" i="21"/>
  <c r="AR35" i="21" s="1"/>
  <c r="AI40" i="21"/>
  <c r="AJ40" i="21" s="1"/>
  <c r="AK40" i="21"/>
  <c r="AL40" i="21" s="1"/>
  <c r="AM40" i="21"/>
  <c r="AN40" i="21" s="1"/>
  <c r="AO40" i="21"/>
  <c r="AP40" i="21" s="1"/>
  <c r="AQ40" i="21"/>
  <c r="AR40" i="21" s="1"/>
  <c r="AI41" i="21"/>
  <c r="AJ41" i="21" s="1"/>
  <c r="AK41" i="21"/>
  <c r="AL41" i="21" s="1"/>
  <c r="AM41" i="21"/>
  <c r="AN41" i="21" s="1"/>
  <c r="AO41" i="21"/>
  <c r="AP41" i="21" s="1"/>
  <c r="AQ41" i="21"/>
  <c r="AR41" i="21" s="1"/>
  <c r="AI46" i="21"/>
  <c r="AJ46" i="21" s="1"/>
  <c r="AK46" i="21"/>
  <c r="AL46" i="21" s="1"/>
  <c r="AM46" i="21"/>
  <c r="AN46" i="21" s="1"/>
  <c r="AO46" i="21"/>
  <c r="AP46" i="21" s="1"/>
  <c r="AQ46" i="21"/>
  <c r="AR46" i="21" s="1"/>
  <c r="AI47" i="21"/>
  <c r="AJ47" i="21" s="1"/>
  <c r="AK47" i="21"/>
  <c r="AL47" i="21" s="1"/>
  <c r="AM47" i="21"/>
  <c r="AN47" i="21" s="1"/>
  <c r="AO47" i="21"/>
  <c r="AP47" i="21" s="1"/>
  <c r="AQ47" i="21"/>
  <c r="AR47" i="21" s="1"/>
  <c r="AI48" i="21"/>
  <c r="AJ48" i="21" s="1"/>
  <c r="AK48" i="21"/>
  <c r="AL48" i="21" s="1"/>
  <c r="AM48" i="21"/>
  <c r="AN48" i="21" s="1"/>
  <c r="AO48" i="21"/>
  <c r="AP48" i="21" s="1"/>
  <c r="AQ48" i="21"/>
  <c r="AR48" i="21" s="1"/>
  <c r="AI49" i="21"/>
  <c r="AJ49" i="21" s="1"/>
  <c r="AK49" i="21"/>
  <c r="AL49" i="21" s="1"/>
  <c r="AM49" i="21"/>
  <c r="AN49" i="21" s="1"/>
  <c r="AO49" i="21"/>
  <c r="AP49" i="21" s="1"/>
  <c r="AQ49" i="21"/>
  <c r="AR49" i="21" s="1"/>
  <c r="AI54" i="21"/>
  <c r="AJ54" i="21" s="1"/>
  <c r="AK54" i="21"/>
  <c r="AL54" i="21" s="1"/>
  <c r="AM54" i="21"/>
  <c r="AN54" i="21" s="1"/>
  <c r="AO54" i="21"/>
  <c r="AP54" i="21" s="1"/>
  <c r="AQ54" i="21"/>
  <c r="AR54" i="21" s="1"/>
  <c r="AI55" i="21"/>
  <c r="AJ55" i="21" s="1"/>
  <c r="AK55" i="21"/>
  <c r="AL55" i="21" s="1"/>
  <c r="AM55" i="21"/>
  <c r="AN55" i="21" s="1"/>
  <c r="AO55" i="21"/>
  <c r="AP55" i="21" s="1"/>
  <c r="AQ55" i="21"/>
  <c r="AR55" i="21" s="1"/>
  <c r="AI57" i="21"/>
  <c r="AJ57" i="21" s="1"/>
  <c r="AK57" i="21"/>
  <c r="AL57" i="21" s="1"/>
  <c r="AM57" i="21"/>
  <c r="AN57" i="21" s="1"/>
  <c r="AO57" i="21"/>
  <c r="AP57" i="21" s="1"/>
  <c r="AQ57" i="21"/>
  <c r="AR57" i="21" s="1"/>
  <c r="AI60" i="21"/>
  <c r="AJ60" i="21" s="1"/>
  <c r="AK60" i="21"/>
  <c r="AL60" i="21" s="1"/>
  <c r="AM60" i="21"/>
  <c r="AN60" i="21" s="1"/>
  <c r="AO60" i="21"/>
  <c r="AP60" i="21" s="1"/>
  <c r="AQ60" i="21"/>
  <c r="AR60" i="21" s="1"/>
  <c r="AI63" i="21"/>
  <c r="AJ63" i="21" s="1"/>
  <c r="AK63" i="21"/>
  <c r="AL63" i="21" s="1"/>
  <c r="AM63" i="21"/>
  <c r="AN63" i="21" s="1"/>
  <c r="AO63" i="21"/>
  <c r="AP63" i="21" s="1"/>
  <c r="AQ63" i="21"/>
  <c r="AR63" i="21" s="1"/>
  <c r="AI66" i="21"/>
  <c r="AJ66" i="21" s="1"/>
  <c r="AK66" i="21"/>
  <c r="AL66" i="21" s="1"/>
  <c r="AM66" i="21"/>
  <c r="AN66" i="21" s="1"/>
  <c r="AO66" i="21"/>
  <c r="AP66" i="21" s="1"/>
  <c r="AQ66" i="21"/>
  <c r="AR66" i="21" s="1"/>
  <c r="AI67" i="21"/>
  <c r="AJ67" i="21" s="1"/>
  <c r="AK67" i="21"/>
  <c r="AL67" i="21" s="1"/>
  <c r="AM67" i="21"/>
  <c r="AN67" i="21" s="1"/>
  <c r="AO67" i="21"/>
  <c r="AP67" i="21" s="1"/>
  <c r="AQ67" i="21"/>
  <c r="AR67" i="21" s="1"/>
  <c r="AI68" i="21"/>
  <c r="AJ68" i="21" s="1"/>
  <c r="AK68" i="21"/>
  <c r="AL68" i="21" s="1"/>
  <c r="AM68" i="21"/>
  <c r="AN68" i="21" s="1"/>
  <c r="AO68" i="21"/>
  <c r="AP68" i="21" s="1"/>
  <c r="AQ68" i="21"/>
  <c r="AR68" i="21" s="1"/>
  <c r="AI69" i="21"/>
  <c r="AJ69" i="21" s="1"/>
  <c r="AK69" i="21"/>
  <c r="AL69" i="21" s="1"/>
  <c r="AM69" i="21"/>
  <c r="AN69" i="21" s="1"/>
  <c r="AO69" i="21"/>
  <c r="AP69" i="21" s="1"/>
  <c r="AQ69" i="21"/>
  <c r="AR69" i="21" s="1"/>
  <c r="AI71" i="21"/>
  <c r="AJ71" i="21" s="1"/>
  <c r="AK71" i="21"/>
  <c r="AL71" i="21" s="1"/>
  <c r="AM71" i="21"/>
  <c r="AN71" i="21" s="1"/>
  <c r="AO71" i="21"/>
  <c r="AP71" i="21" s="1"/>
  <c r="AQ71" i="21"/>
  <c r="AR71" i="21" s="1"/>
  <c r="AI72" i="21"/>
  <c r="AJ72" i="21" s="1"/>
  <c r="AK72" i="21"/>
  <c r="AL72" i="21" s="1"/>
  <c r="AM72" i="21"/>
  <c r="AN72" i="21" s="1"/>
  <c r="AO72" i="21"/>
  <c r="AP72" i="21" s="1"/>
  <c r="AQ72" i="21"/>
  <c r="AR72" i="21" s="1"/>
  <c r="AI74" i="21"/>
  <c r="AJ74" i="21" s="1"/>
  <c r="AK74" i="21"/>
  <c r="AL74" i="21" s="1"/>
  <c r="AM74" i="21"/>
  <c r="AN74" i="21" s="1"/>
  <c r="AO74" i="21"/>
  <c r="AP74" i="21" s="1"/>
  <c r="AQ74" i="21"/>
  <c r="AR74" i="21" s="1"/>
  <c r="AI76" i="21"/>
  <c r="AJ76" i="21" s="1"/>
  <c r="AK76" i="21"/>
  <c r="AL76" i="21" s="1"/>
  <c r="AM76" i="21"/>
  <c r="AN76" i="21" s="1"/>
  <c r="AO76" i="21"/>
  <c r="AP76" i="21" s="1"/>
  <c r="AQ76" i="21"/>
  <c r="AR76" i="21" s="1"/>
  <c r="AI77" i="21"/>
  <c r="AJ77" i="21" s="1"/>
  <c r="AK77" i="21"/>
  <c r="AL77" i="21" s="1"/>
  <c r="AM77" i="21"/>
  <c r="AN77" i="21" s="1"/>
  <c r="AO77" i="21"/>
  <c r="AP77" i="21" s="1"/>
  <c r="AQ77" i="21"/>
  <c r="AR77" i="21" s="1"/>
  <c r="AI78" i="21"/>
  <c r="AJ78" i="21" s="1"/>
  <c r="AK78" i="21"/>
  <c r="AL78" i="21" s="1"/>
  <c r="AM78" i="21"/>
  <c r="AN78" i="21" s="1"/>
  <c r="AO78" i="21"/>
  <c r="AP78" i="21" s="1"/>
  <c r="AQ78" i="21"/>
  <c r="AR78" i="21" s="1"/>
  <c r="AI80" i="21"/>
  <c r="AJ80" i="21" s="1"/>
  <c r="AK80" i="21"/>
  <c r="AL80" i="21" s="1"/>
  <c r="AM80" i="21"/>
  <c r="AN80" i="21" s="1"/>
  <c r="AO80" i="21"/>
  <c r="AP80" i="21" s="1"/>
  <c r="AQ80" i="21"/>
  <c r="AR80" i="21" s="1"/>
  <c r="AI82" i="21"/>
  <c r="AJ82" i="21" s="1"/>
  <c r="AK82" i="21"/>
  <c r="AL82" i="21" s="1"/>
  <c r="AM82" i="21"/>
  <c r="AN82" i="21" s="1"/>
  <c r="AO82" i="21"/>
  <c r="AP82" i="21" s="1"/>
  <c r="AQ82" i="21"/>
  <c r="AR82" i="21" s="1"/>
  <c r="AI83" i="21"/>
  <c r="AJ83" i="21" s="1"/>
  <c r="AK83" i="21"/>
  <c r="AL83" i="21" s="1"/>
  <c r="AM83" i="21"/>
  <c r="AN83" i="21" s="1"/>
  <c r="AO83" i="21"/>
  <c r="AP83" i="21" s="1"/>
  <c r="AQ83" i="21"/>
  <c r="AR83" i="21" s="1"/>
  <c r="AI85" i="21"/>
  <c r="AJ85" i="21" s="1"/>
  <c r="AK85" i="21"/>
  <c r="AL85" i="21" s="1"/>
  <c r="AM85" i="21"/>
  <c r="AN85" i="21" s="1"/>
  <c r="AO85" i="21"/>
  <c r="AP85" i="21" s="1"/>
  <c r="AQ85" i="21"/>
  <c r="AR85" i="21" s="1"/>
  <c r="AI86" i="21"/>
  <c r="AJ86" i="21" s="1"/>
  <c r="AK86" i="21"/>
  <c r="AL86" i="21" s="1"/>
  <c r="AM86" i="21"/>
  <c r="AN86" i="21" s="1"/>
  <c r="AO86" i="21"/>
  <c r="AP86" i="21" s="1"/>
  <c r="AQ86" i="21"/>
  <c r="AR86" i="21" s="1"/>
  <c r="AI87" i="21"/>
  <c r="AJ87" i="21" s="1"/>
  <c r="AK87" i="21"/>
  <c r="AL87" i="21" s="1"/>
  <c r="AM87" i="21"/>
  <c r="AN87" i="21" s="1"/>
  <c r="AO87" i="21"/>
  <c r="AP87" i="21" s="1"/>
  <c r="AQ87" i="21"/>
  <c r="AR87" i="21" s="1"/>
  <c r="AI90" i="21"/>
  <c r="AJ90" i="21" s="1"/>
  <c r="AK90" i="21"/>
  <c r="AL90" i="21" s="1"/>
  <c r="AM90" i="21"/>
  <c r="AN90" i="21" s="1"/>
  <c r="AO90" i="21"/>
  <c r="AP90" i="21" s="1"/>
  <c r="AQ90" i="21"/>
  <c r="AR90" i="21" s="1"/>
  <c r="AI91" i="21"/>
  <c r="AJ91" i="21" s="1"/>
  <c r="AK91" i="21"/>
  <c r="AL91" i="21" s="1"/>
  <c r="AM91" i="21"/>
  <c r="AN91" i="21" s="1"/>
  <c r="AO91" i="21"/>
  <c r="AP91" i="21" s="1"/>
  <c r="AQ91" i="21"/>
  <c r="AR91" i="21" s="1"/>
  <c r="AI93" i="21"/>
  <c r="AJ93" i="21" s="1"/>
  <c r="AK93" i="21"/>
  <c r="AL93" i="21" s="1"/>
  <c r="AM93" i="21"/>
  <c r="AN93" i="21" s="1"/>
  <c r="AO93" i="21"/>
  <c r="AP93" i="21" s="1"/>
  <c r="AQ93" i="21"/>
  <c r="AR93" i="21" s="1"/>
  <c r="AI94" i="21"/>
  <c r="AJ94" i="21" s="1"/>
  <c r="AK94" i="21"/>
  <c r="AL94" i="21" s="1"/>
  <c r="AM94" i="21"/>
  <c r="AN94" i="21" s="1"/>
  <c r="AO94" i="21"/>
  <c r="AP94" i="21" s="1"/>
  <c r="AQ94" i="21"/>
  <c r="AR94" i="21" s="1"/>
  <c r="AI98" i="21"/>
  <c r="AJ98" i="21" s="1"/>
  <c r="AK98" i="21"/>
  <c r="AL98" i="21" s="1"/>
  <c r="AM98" i="21"/>
  <c r="AN98" i="21" s="1"/>
  <c r="AO98" i="21"/>
  <c r="AP98" i="21" s="1"/>
  <c r="AQ98" i="21"/>
  <c r="AR98" i="21" s="1"/>
  <c r="AI102" i="21"/>
  <c r="AJ102" i="21" s="1"/>
  <c r="AK102" i="21"/>
  <c r="AL102" i="21" s="1"/>
  <c r="AM102" i="21"/>
  <c r="AN102" i="21" s="1"/>
  <c r="AO102" i="21"/>
  <c r="AP102" i="21" s="1"/>
  <c r="AQ102" i="21"/>
  <c r="AR102" i="21" s="1"/>
  <c r="AQ6" i="21"/>
  <c r="AO6" i="21"/>
  <c r="AM6" i="21"/>
  <c r="AK6" i="21"/>
  <c r="AI6" i="21"/>
  <c r="A104" i="21"/>
  <c r="A105" i="21"/>
  <c r="A106" i="21"/>
  <c r="A103" i="21"/>
  <c r="A100" i="21"/>
  <c r="A101" i="21"/>
  <c r="A99" i="21"/>
  <c r="A96" i="21"/>
  <c r="A97" i="21"/>
  <c r="A95" i="21"/>
  <c r="A91" i="21"/>
  <c r="A92" i="21"/>
  <c r="A89" i="21"/>
  <c r="A88" i="21"/>
  <c r="A84" i="21"/>
  <c r="A81" i="21"/>
  <c r="A79" i="21"/>
  <c r="A75" i="21"/>
  <c r="A73" i="21"/>
  <c r="A70" i="21"/>
  <c r="A62" i="21"/>
  <c r="A64" i="21"/>
  <c r="A65" i="21"/>
  <c r="A61" i="21"/>
  <c r="A59" i="21"/>
  <c r="A58" i="21"/>
  <c r="A56" i="21"/>
  <c r="A51" i="21"/>
  <c r="A52" i="21"/>
  <c r="A50" i="21"/>
  <c r="A43" i="21"/>
  <c r="A44" i="21"/>
  <c r="A42" i="21"/>
  <c r="A36" i="21"/>
  <c r="A37" i="21"/>
  <c r="A28" i="21"/>
  <c r="A22" i="21"/>
  <c r="A15" i="21"/>
  <c r="A16" i="21"/>
  <c r="A14" i="21"/>
  <c r="A11" i="21"/>
  <c r="A12" i="21"/>
  <c r="A10" i="21"/>
  <c r="X106" i="21"/>
  <c r="W106" i="21"/>
  <c r="V106" i="21"/>
  <c r="U106" i="21"/>
  <c r="T106" i="21"/>
  <c r="S106" i="21"/>
  <c r="R106" i="21"/>
  <c r="Q106" i="21"/>
  <c r="P106" i="21"/>
  <c r="O106" i="21"/>
  <c r="N106" i="21"/>
  <c r="M106" i="21"/>
  <c r="L106" i="21"/>
  <c r="K106" i="21"/>
  <c r="J106" i="21"/>
  <c r="I106" i="21"/>
  <c r="H106" i="21"/>
  <c r="G106" i="21"/>
  <c r="F106" i="21"/>
  <c r="E106" i="21"/>
  <c r="D106" i="21"/>
  <c r="X101" i="21"/>
  <c r="W101" i="21"/>
  <c r="V101" i="21"/>
  <c r="U101" i="21"/>
  <c r="T101" i="21"/>
  <c r="S101" i="21"/>
  <c r="R101" i="21"/>
  <c r="Q101" i="21"/>
  <c r="P101" i="21"/>
  <c r="O101" i="21"/>
  <c r="N101" i="21"/>
  <c r="M101" i="21"/>
  <c r="L101" i="21"/>
  <c r="K101" i="21"/>
  <c r="J101" i="21"/>
  <c r="I101" i="21"/>
  <c r="H101" i="21"/>
  <c r="G101" i="21"/>
  <c r="F101" i="21"/>
  <c r="E101" i="21"/>
  <c r="D101" i="21"/>
  <c r="X97" i="21"/>
  <c r="W97" i="21"/>
  <c r="V97" i="21"/>
  <c r="U97" i="21"/>
  <c r="T97" i="21"/>
  <c r="S97" i="21"/>
  <c r="R97" i="21"/>
  <c r="Q97" i="21"/>
  <c r="P97" i="21"/>
  <c r="O97" i="21"/>
  <c r="N97" i="21"/>
  <c r="M97" i="21"/>
  <c r="L97" i="21"/>
  <c r="K97" i="21"/>
  <c r="D97" i="21"/>
  <c r="X96" i="21"/>
  <c r="W96" i="21"/>
  <c r="V96" i="21"/>
  <c r="U96" i="21"/>
  <c r="T96" i="21"/>
  <c r="S96" i="21"/>
  <c r="R96" i="21"/>
  <c r="Q96" i="21"/>
  <c r="P96" i="21"/>
  <c r="O96" i="21"/>
  <c r="N96" i="21"/>
  <c r="M96" i="21"/>
  <c r="L96" i="21"/>
  <c r="K96" i="21"/>
  <c r="E96" i="21"/>
  <c r="D96" i="21"/>
  <c r="X89" i="21"/>
  <c r="W89" i="21"/>
  <c r="V89" i="21"/>
  <c r="U89" i="21"/>
  <c r="T89" i="21"/>
  <c r="S89" i="21"/>
  <c r="R89" i="21"/>
  <c r="Q89" i="21"/>
  <c r="P89" i="21"/>
  <c r="O89" i="21"/>
  <c r="N89" i="21"/>
  <c r="M89" i="21"/>
  <c r="L89" i="21"/>
  <c r="K89" i="21"/>
  <c r="J89" i="21"/>
  <c r="I89" i="21"/>
  <c r="H89" i="21"/>
  <c r="F89" i="21"/>
  <c r="E89" i="21"/>
  <c r="D89" i="21"/>
  <c r="C89" i="21"/>
  <c r="X88" i="21"/>
  <c r="W88" i="21"/>
  <c r="V88" i="21"/>
  <c r="U88" i="21"/>
  <c r="T88" i="21"/>
  <c r="S88" i="21"/>
  <c r="R88" i="21"/>
  <c r="Q88" i="21"/>
  <c r="P88" i="21"/>
  <c r="O88" i="21"/>
  <c r="N88" i="21"/>
  <c r="M88" i="21"/>
  <c r="L88" i="21"/>
  <c r="K88" i="21"/>
  <c r="J88" i="21"/>
  <c r="I88" i="21"/>
  <c r="H88" i="21"/>
  <c r="F88" i="21"/>
  <c r="E88" i="21"/>
  <c r="D88" i="21"/>
  <c r="C88" i="21"/>
  <c r="X84" i="21"/>
  <c r="W84" i="21"/>
  <c r="V84" i="21"/>
  <c r="U84" i="21"/>
  <c r="T84" i="21"/>
  <c r="S84" i="21"/>
  <c r="R84" i="21"/>
  <c r="Q84" i="21"/>
  <c r="P84" i="21"/>
  <c r="O84" i="21"/>
  <c r="N84" i="21"/>
  <c r="M84" i="21"/>
  <c r="K84" i="21"/>
  <c r="J84" i="21"/>
  <c r="I84" i="21"/>
  <c r="H84" i="21"/>
  <c r="G84" i="21"/>
  <c r="F84" i="21"/>
  <c r="E84" i="21"/>
  <c r="D84" i="21"/>
  <c r="C84" i="21"/>
  <c r="X81" i="21"/>
  <c r="W81" i="21"/>
  <c r="V81" i="21"/>
  <c r="U81" i="21"/>
  <c r="T81" i="21"/>
  <c r="S81" i="21"/>
  <c r="R81" i="21"/>
  <c r="Q81" i="21"/>
  <c r="P81" i="21"/>
  <c r="O81" i="21"/>
  <c r="N81" i="21"/>
  <c r="M81" i="21"/>
  <c r="K81" i="21"/>
  <c r="J81" i="21"/>
  <c r="I81" i="21"/>
  <c r="H81" i="21"/>
  <c r="G81" i="21"/>
  <c r="F81" i="21"/>
  <c r="E81" i="21"/>
  <c r="D81" i="21"/>
  <c r="C81" i="21"/>
  <c r="X79" i="21"/>
  <c r="W79" i="21"/>
  <c r="V79" i="21"/>
  <c r="U79" i="21"/>
  <c r="T79" i="21"/>
  <c r="S79" i="21"/>
  <c r="R79" i="21"/>
  <c r="Q79" i="21"/>
  <c r="P79" i="21"/>
  <c r="O79" i="21"/>
  <c r="N79" i="21"/>
  <c r="M79" i="21"/>
  <c r="L79" i="21"/>
  <c r="K79" i="21"/>
  <c r="J79" i="21"/>
  <c r="I79" i="21"/>
  <c r="G79" i="21"/>
  <c r="F79" i="21"/>
  <c r="E79" i="21"/>
  <c r="D79" i="21"/>
  <c r="C79" i="21"/>
  <c r="X75" i="21"/>
  <c r="W75" i="21"/>
  <c r="V75" i="21"/>
  <c r="U75" i="21"/>
  <c r="T75" i="21"/>
  <c r="S75" i="21"/>
  <c r="R75" i="21"/>
  <c r="Q75" i="21"/>
  <c r="P75" i="21"/>
  <c r="O75" i="21"/>
  <c r="N75" i="21"/>
  <c r="M75" i="21"/>
  <c r="L75" i="21"/>
  <c r="K75" i="21"/>
  <c r="J75" i="21"/>
  <c r="I75" i="21"/>
  <c r="H75" i="21"/>
  <c r="G75" i="21"/>
  <c r="F75" i="21"/>
  <c r="E75" i="21"/>
  <c r="D75" i="21"/>
  <c r="C75" i="21"/>
  <c r="X73" i="21"/>
  <c r="W73" i="21"/>
  <c r="V73" i="21"/>
  <c r="U73" i="21"/>
  <c r="T73" i="21"/>
  <c r="S73" i="21"/>
  <c r="R73" i="21"/>
  <c r="Q73" i="21"/>
  <c r="P73" i="21"/>
  <c r="O73" i="21"/>
  <c r="N73" i="21"/>
  <c r="M73" i="21"/>
  <c r="L73" i="21"/>
  <c r="K73" i="21"/>
  <c r="J73" i="21"/>
  <c r="I73" i="21"/>
  <c r="H73" i="21"/>
  <c r="G73" i="21"/>
  <c r="F73" i="21"/>
  <c r="E73" i="21"/>
  <c r="D73" i="21"/>
  <c r="C73" i="21"/>
  <c r="W70" i="21"/>
  <c r="X70" i="21"/>
  <c r="V70" i="21"/>
  <c r="U70" i="21"/>
  <c r="T70" i="21"/>
  <c r="S70" i="21"/>
  <c r="R70" i="21"/>
  <c r="Q70" i="21"/>
  <c r="P70" i="21"/>
  <c r="O70" i="21"/>
  <c r="N70" i="21"/>
  <c r="M70" i="21"/>
  <c r="L70" i="21"/>
  <c r="K70" i="21"/>
  <c r="J70" i="21"/>
  <c r="I70" i="21"/>
  <c r="H70" i="21"/>
  <c r="G70" i="21"/>
  <c r="F70" i="21"/>
  <c r="E70" i="21"/>
  <c r="D70" i="21"/>
  <c r="C70" i="21"/>
  <c r="X65" i="21"/>
  <c r="W65" i="21"/>
  <c r="V65" i="21"/>
  <c r="U65" i="21"/>
  <c r="T65" i="21"/>
  <c r="S65" i="21"/>
  <c r="R65" i="21"/>
  <c r="Q65" i="21"/>
  <c r="P65" i="21"/>
  <c r="O65" i="21"/>
  <c r="N65" i="21"/>
  <c r="M65" i="21"/>
  <c r="L65" i="21"/>
  <c r="K65" i="21"/>
  <c r="J65" i="21"/>
  <c r="I65" i="21"/>
  <c r="H65" i="21"/>
  <c r="G65" i="21"/>
  <c r="F65" i="21"/>
  <c r="E65" i="21"/>
  <c r="D65" i="21"/>
  <c r="C65" i="21"/>
  <c r="X64" i="21"/>
  <c r="W64" i="21"/>
  <c r="V64" i="21"/>
  <c r="U64" i="21"/>
  <c r="T64" i="21"/>
  <c r="S64" i="21"/>
  <c r="R64" i="21"/>
  <c r="Q64" i="21"/>
  <c r="P64" i="21"/>
  <c r="O64" i="21"/>
  <c r="N64" i="21"/>
  <c r="M64" i="21"/>
  <c r="L64" i="21"/>
  <c r="K64" i="21"/>
  <c r="J64" i="21"/>
  <c r="I64" i="21"/>
  <c r="H64" i="21"/>
  <c r="G64" i="21"/>
  <c r="F64" i="21"/>
  <c r="E64" i="21"/>
  <c r="D64" i="21"/>
  <c r="C64" i="21"/>
  <c r="X62" i="21"/>
  <c r="W62" i="21"/>
  <c r="V62" i="21"/>
  <c r="U62" i="21"/>
  <c r="T62" i="21"/>
  <c r="S62" i="21"/>
  <c r="R62" i="21"/>
  <c r="Q62" i="21"/>
  <c r="P62" i="21"/>
  <c r="O62" i="21"/>
  <c r="N62" i="21"/>
  <c r="M62" i="21"/>
  <c r="L62" i="21"/>
  <c r="K62" i="21"/>
  <c r="J62" i="21"/>
  <c r="I62" i="21"/>
  <c r="H62" i="21"/>
  <c r="G62" i="21"/>
  <c r="F62" i="21"/>
  <c r="E62" i="21"/>
  <c r="D62" i="21"/>
  <c r="C62" i="21"/>
  <c r="X61" i="21"/>
  <c r="W61" i="21"/>
  <c r="V61" i="21"/>
  <c r="U61" i="21"/>
  <c r="T61" i="21"/>
  <c r="S61" i="21"/>
  <c r="R61" i="21"/>
  <c r="Q61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D61" i="21"/>
  <c r="C61" i="21"/>
  <c r="X59" i="21"/>
  <c r="W59" i="21"/>
  <c r="V59" i="21"/>
  <c r="U59" i="21"/>
  <c r="T59" i="21"/>
  <c r="S59" i="21"/>
  <c r="R59" i="21"/>
  <c r="Q59" i="21"/>
  <c r="P59" i="21"/>
  <c r="O59" i="21"/>
  <c r="N59" i="21"/>
  <c r="M59" i="21"/>
  <c r="L59" i="21"/>
  <c r="K59" i="21"/>
  <c r="J59" i="21"/>
  <c r="I59" i="21"/>
  <c r="H59" i="21"/>
  <c r="G59" i="21"/>
  <c r="F59" i="21"/>
  <c r="E59" i="21"/>
  <c r="D59" i="21"/>
  <c r="C59" i="21"/>
  <c r="X58" i="21"/>
  <c r="W58" i="21"/>
  <c r="V58" i="21"/>
  <c r="U58" i="21"/>
  <c r="T58" i="21"/>
  <c r="S58" i="21"/>
  <c r="R58" i="21"/>
  <c r="Q58" i="21"/>
  <c r="P58" i="21"/>
  <c r="O58" i="21"/>
  <c r="N58" i="21"/>
  <c r="M58" i="21"/>
  <c r="L58" i="21"/>
  <c r="K58" i="21"/>
  <c r="J58" i="21"/>
  <c r="I58" i="21"/>
  <c r="H58" i="21"/>
  <c r="G58" i="21"/>
  <c r="F58" i="21"/>
  <c r="E58" i="21"/>
  <c r="D58" i="21"/>
  <c r="C58" i="21"/>
  <c r="X56" i="21"/>
  <c r="W56" i="21"/>
  <c r="V56" i="21"/>
  <c r="U56" i="21"/>
  <c r="T56" i="21"/>
  <c r="S56" i="21"/>
  <c r="R56" i="21"/>
  <c r="Q56" i="21"/>
  <c r="P56" i="21"/>
  <c r="O56" i="21"/>
  <c r="N56" i="21"/>
  <c r="M56" i="21"/>
  <c r="L56" i="21"/>
  <c r="K56" i="21"/>
  <c r="J56" i="21"/>
  <c r="H56" i="21"/>
  <c r="G56" i="21"/>
  <c r="F56" i="21"/>
  <c r="E56" i="21"/>
  <c r="D56" i="21"/>
  <c r="C56" i="21"/>
  <c r="I52" i="21"/>
  <c r="H52" i="21"/>
  <c r="G52" i="21"/>
  <c r="F52" i="21"/>
  <c r="E52" i="21"/>
  <c r="D52" i="21"/>
  <c r="C52" i="21"/>
  <c r="X51" i="21"/>
  <c r="W51" i="21"/>
  <c r="V51" i="21"/>
  <c r="U51" i="21"/>
  <c r="T51" i="21"/>
  <c r="S51" i="21"/>
  <c r="R51" i="21"/>
  <c r="Q51" i="21"/>
  <c r="P51" i="21"/>
  <c r="O51" i="21"/>
  <c r="N51" i="21"/>
  <c r="M51" i="21"/>
  <c r="K51" i="21"/>
  <c r="J51" i="21"/>
  <c r="I51" i="21"/>
  <c r="H51" i="21"/>
  <c r="G51" i="21"/>
  <c r="F51" i="21"/>
  <c r="E51" i="21"/>
  <c r="D51" i="21"/>
  <c r="C51" i="21"/>
  <c r="X50" i="21"/>
  <c r="W50" i="21"/>
  <c r="V50" i="21"/>
  <c r="U50" i="21"/>
  <c r="T50" i="21"/>
  <c r="S50" i="21"/>
  <c r="R50" i="21"/>
  <c r="Q50" i="21"/>
  <c r="P50" i="21"/>
  <c r="O50" i="21"/>
  <c r="N50" i="21"/>
  <c r="M50" i="21"/>
  <c r="L50" i="21"/>
  <c r="K50" i="21"/>
  <c r="J50" i="21"/>
  <c r="H50" i="21"/>
  <c r="G50" i="21"/>
  <c r="F50" i="21"/>
  <c r="E50" i="21"/>
  <c r="D50" i="21"/>
  <c r="C50" i="21"/>
  <c r="X42" i="21"/>
  <c r="W42" i="21"/>
  <c r="V42" i="21"/>
  <c r="U42" i="21"/>
  <c r="T42" i="21"/>
  <c r="S42" i="21"/>
  <c r="R42" i="21"/>
  <c r="Q42" i="21"/>
  <c r="P42" i="21"/>
  <c r="O42" i="21"/>
  <c r="N42" i="21"/>
  <c r="M42" i="21"/>
  <c r="L42" i="21"/>
  <c r="H42" i="21"/>
  <c r="G42" i="21"/>
  <c r="F42" i="21"/>
  <c r="E42" i="21"/>
  <c r="D42" i="21"/>
  <c r="C42" i="21"/>
  <c r="H37" i="21"/>
  <c r="G37" i="21"/>
  <c r="F37" i="21"/>
  <c r="E37" i="21"/>
  <c r="D37" i="21"/>
  <c r="C37" i="21"/>
  <c r="X36" i="21"/>
  <c r="W36" i="21"/>
  <c r="V36" i="21"/>
  <c r="U36" i="21"/>
  <c r="T36" i="21"/>
  <c r="S36" i="21"/>
  <c r="R36" i="21"/>
  <c r="Q36" i="21"/>
  <c r="P36" i="21"/>
  <c r="O36" i="21"/>
  <c r="N36" i="21"/>
  <c r="M36" i="21"/>
  <c r="L36" i="21"/>
  <c r="H36" i="21"/>
  <c r="G36" i="21"/>
  <c r="F36" i="21"/>
  <c r="E36" i="21"/>
  <c r="D36" i="21"/>
  <c r="C36" i="21"/>
  <c r="X28" i="21"/>
  <c r="W28" i="21"/>
  <c r="V28" i="21"/>
  <c r="U28" i="21"/>
  <c r="T28" i="21"/>
  <c r="S28" i="21"/>
  <c r="R28" i="21"/>
  <c r="Q28" i="21"/>
  <c r="P28" i="21"/>
  <c r="O28" i="21"/>
  <c r="N28" i="21"/>
  <c r="M28" i="21"/>
  <c r="L28" i="21"/>
  <c r="K28" i="21"/>
  <c r="J28" i="21"/>
  <c r="H28" i="21"/>
  <c r="G28" i="21"/>
  <c r="F28" i="21"/>
  <c r="E28" i="21"/>
  <c r="D28" i="21"/>
  <c r="C28" i="21"/>
  <c r="X22" i="21"/>
  <c r="W22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H22" i="21"/>
  <c r="G22" i="21"/>
  <c r="F22" i="21"/>
  <c r="E22" i="21"/>
  <c r="D22" i="21"/>
  <c r="C22" i="21"/>
  <c r="C11" i="21"/>
  <c r="D11" i="21"/>
  <c r="E11" i="21"/>
  <c r="F11" i="21"/>
  <c r="G11" i="21"/>
  <c r="H11" i="21"/>
  <c r="I11" i="21"/>
  <c r="J11" i="21"/>
  <c r="K11" i="21"/>
  <c r="M11" i="21"/>
  <c r="N11" i="21"/>
  <c r="O11" i="21"/>
  <c r="P11" i="21"/>
  <c r="Q11" i="21"/>
  <c r="R11" i="21"/>
  <c r="S11" i="21"/>
  <c r="T11" i="21"/>
  <c r="U11" i="21"/>
  <c r="V11" i="21"/>
  <c r="W11" i="21"/>
  <c r="X11" i="21"/>
  <c r="C12" i="21"/>
  <c r="D12" i="21"/>
  <c r="E12" i="21"/>
  <c r="F12" i="21"/>
  <c r="G12" i="21"/>
  <c r="H12" i="21"/>
  <c r="I12" i="21"/>
  <c r="J12" i="21"/>
  <c r="K12" i="21"/>
  <c r="M12" i="21"/>
  <c r="N12" i="21"/>
  <c r="O12" i="21"/>
  <c r="P12" i="21"/>
  <c r="Q12" i="21"/>
  <c r="R12" i="21"/>
  <c r="S12" i="21"/>
  <c r="T12" i="21"/>
  <c r="U12" i="21"/>
  <c r="V12" i="21"/>
  <c r="W12" i="21"/>
  <c r="X12" i="21"/>
  <c r="C14" i="21"/>
  <c r="D14" i="21"/>
  <c r="E14" i="21"/>
  <c r="F14" i="21"/>
  <c r="G14" i="21"/>
  <c r="H14" i="21"/>
  <c r="J14" i="21"/>
  <c r="K14" i="21"/>
  <c r="L14" i="21"/>
  <c r="M14" i="21"/>
  <c r="N14" i="21"/>
  <c r="O14" i="21"/>
  <c r="P14" i="21"/>
  <c r="Q14" i="21"/>
  <c r="R14" i="21"/>
  <c r="S14" i="21"/>
  <c r="T14" i="21"/>
  <c r="U14" i="21"/>
  <c r="V14" i="21"/>
  <c r="W14" i="21"/>
  <c r="X14" i="21"/>
  <c r="C15" i="21"/>
  <c r="D15" i="21"/>
  <c r="E15" i="21"/>
  <c r="F15" i="21"/>
  <c r="G15" i="21"/>
  <c r="H15" i="21"/>
  <c r="I15" i="21"/>
  <c r="J15" i="21"/>
  <c r="K15" i="21"/>
  <c r="M15" i="21"/>
  <c r="N15" i="21"/>
  <c r="O15" i="21"/>
  <c r="P15" i="21"/>
  <c r="Q15" i="21"/>
  <c r="R15" i="21"/>
  <c r="S15" i="21"/>
  <c r="T15" i="21"/>
  <c r="U15" i="21"/>
  <c r="V15" i="21"/>
  <c r="W15" i="21"/>
  <c r="X15" i="21"/>
  <c r="C16" i="21"/>
  <c r="D16" i="21"/>
  <c r="E16" i="21"/>
  <c r="F16" i="21"/>
  <c r="G16" i="21"/>
  <c r="H16" i="21"/>
  <c r="I16" i="21"/>
  <c r="J16" i="21"/>
  <c r="K16" i="21"/>
  <c r="M16" i="21"/>
  <c r="N16" i="21"/>
  <c r="O16" i="21"/>
  <c r="P16" i="21"/>
  <c r="Q16" i="21"/>
  <c r="R16" i="21"/>
  <c r="S16" i="21"/>
  <c r="T16" i="21"/>
  <c r="U16" i="21"/>
  <c r="V16" i="21"/>
  <c r="W16" i="21"/>
  <c r="X16" i="21"/>
  <c r="D10" i="21"/>
  <c r="E10" i="21"/>
  <c r="F10" i="21"/>
  <c r="G10" i="21"/>
  <c r="H10" i="21"/>
  <c r="J10" i="21"/>
  <c r="K10" i="21"/>
  <c r="L10" i="21"/>
  <c r="M10" i="21"/>
  <c r="N10" i="21"/>
  <c r="O10" i="21"/>
  <c r="P10" i="21"/>
  <c r="Q10" i="21"/>
  <c r="R10" i="21"/>
  <c r="S10" i="21"/>
  <c r="T10" i="21"/>
  <c r="U10" i="21"/>
  <c r="V10" i="21"/>
  <c r="W10" i="21"/>
  <c r="X10" i="21"/>
  <c r="C10" i="21"/>
  <c r="BI27" i="21"/>
  <c r="AQ101" i="21" l="1"/>
  <c r="AR101" i="21" s="1"/>
  <c r="AQ104" i="21"/>
  <c r="AR104" i="21" s="1"/>
  <c r="AQ106" i="21"/>
  <c r="AR106" i="21" s="1"/>
  <c r="AQ99" i="21"/>
  <c r="AR99" i="21" s="1"/>
  <c r="AQ16" i="21"/>
  <c r="AR16" i="21" s="1"/>
  <c r="AK16" i="21"/>
  <c r="AL16" i="21" s="1"/>
  <c r="AO15" i="21"/>
  <c r="AP15" i="21" s="1"/>
  <c r="AI14" i="21"/>
  <c r="AJ14" i="21" s="1"/>
  <c r="AO12" i="21"/>
  <c r="AP12" i="21" s="1"/>
  <c r="AQ11" i="21"/>
  <c r="AR11" i="21" s="1"/>
  <c r="AK11" i="21"/>
  <c r="AL11" i="21" s="1"/>
  <c r="AM22" i="21"/>
  <c r="AN22" i="21" s="1"/>
  <c r="AO22" i="21"/>
  <c r="AP22" i="21" s="1"/>
  <c r="AK14" i="21"/>
  <c r="AL14" i="21" s="1"/>
  <c r="AI28" i="21"/>
  <c r="AJ28" i="21" s="1"/>
  <c r="AQ28" i="21"/>
  <c r="AR28" i="21" s="1"/>
  <c r="AM36" i="21"/>
  <c r="AN36" i="21" s="1"/>
  <c r="AI37" i="21"/>
  <c r="AJ37" i="21" s="1"/>
  <c r="AQ37" i="21"/>
  <c r="AR37" i="21" s="1"/>
  <c r="AI42" i="21"/>
  <c r="AJ42" i="21" s="1"/>
  <c r="AQ42" i="21"/>
  <c r="AR42" i="21" s="1"/>
  <c r="AM43" i="21"/>
  <c r="AN43" i="21" s="1"/>
  <c r="AI44" i="21"/>
  <c r="AJ44" i="21" s="1"/>
  <c r="AQ44" i="21"/>
  <c r="AR44" i="21" s="1"/>
  <c r="AM50" i="21"/>
  <c r="AN50" i="21" s="1"/>
  <c r="AI51" i="21"/>
  <c r="AJ51" i="21" s="1"/>
  <c r="AQ51" i="21"/>
  <c r="AR51" i="21" s="1"/>
  <c r="AI52" i="21"/>
  <c r="AJ52" i="21" s="1"/>
  <c r="AM52" i="21"/>
  <c r="AN52" i="21" s="1"/>
  <c r="AI56" i="21"/>
  <c r="AJ56" i="21" s="1"/>
  <c r="AQ56" i="21"/>
  <c r="AR56" i="21" s="1"/>
  <c r="AK58" i="21"/>
  <c r="AL58" i="21" s="1"/>
  <c r="AM58" i="21"/>
  <c r="AN58" i="21" s="1"/>
  <c r="AI59" i="21"/>
  <c r="AJ59" i="21" s="1"/>
  <c r="AQ59" i="21"/>
  <c r="AR59" i="21" s="1"/>
  <c r="AM61" i="21"/>
  <c r="AN61" i="21" s="1"/>
  <c r="AI62" i="21"/>
  <c r="AJ62" i="21" s="1"/>
  <c r="AQ62" i="21"/>
  <c r="AR62" i="21" s="1"/>
  <c r="AM64" i="21"/>
  <c r="AN64" i="21" s="1"/>
  <c r="AI65" i="21"/>
  <c r="AJ65" i="21" s="1"/>
  <c r="AQ65" i="21"/>
  <c r="AR65" i="21" s="1"/>
  <c r="AM70" i="21"/>
  <c r="AN70" i="21" s="1"/>
  <c r="AI73" i="21"/>
  <c r="AJ73" i="21" s="1"/>
  <c r="AQ73" i="21"/>
  <c r="AR73" i="21" s="1"/>
  <c r="AM75" i="21"/>
  <c r="AN75" i="21" s="1"/>
  <c r="AI79" i="21"/>
  <c r="AJ79" i="21" s="1"/>
  <c r="AO79" i="21"/>
  <c r="AP79" i="21" s="1"/>
  <c r="AQ79" i="21"/>
  <c r="AR79" i="21" s="1"/>
  <c r="AM81" i="21"/>
  <c r="AN81" i="21" s="1"/>
  <c r="AI84" i="21"/>
  <c r="AJ84" i="21" s="1"/>
  <c r="AQ84" i="21"/>
  <c r="AR84" i="21" s="1"/>
  <c r="AM88" i="21"/>
  <c r="AN88" i="21" s="1"/>
  <c r="AI89" i="21"/>
  <c r="AJ89" i="21" s="1"/>
  <c r="AO89" i="21"/>
  <c r="AP89" i="21" s="1"/>
  <c r="AQ89" i="21"/>
  <c r="AR89" i="21" s="1"/>
  <c r="AM92" i="21"/>
  <c r="AN92" i="21" s="1"/>
  <c r="AI95" i="21"/>
  <c r="AJ95" i="21" s="1"/>
  <c r="AM95" i="21"/>
  <c r="AN95" i="21" s="1"/>
  <c r="AQ95" i="21"/>
  <c r="AR95" i="21" s="1"/>
  <c r="AM96" i="21"/>
  <c r="AN96" i="21" s="1"/>
  <c r="AI97" i="21"/>
  <c r="AJ97" i="21" s="1"/>
  <c r="AO97" i="21"/>
  <c r="AP97" i="21" s="1"/>
  <c r="AQ97" i="21"/>
  <c r="AR97" i="21" s="1"/>
  <c r="AM99" i="21"/>
  <c r="AN99" i="21" s="1"/>
  <c r="AI100" i="21"/>
  <c r="AJ100" i="21" s="1"/>
  <c r="AO100" i="21"/>
  <c r="AP100" i="21" s="1"/>
  <c r="AQ100" i="21"/>
  <c r="AR100" i="21" s="1"/>
  <c r="AM101" i="21"/>
  <c r="AN101" i="21" s="1"/>
  <c r="AI103" i="21"/>
  <c r="AJ103" i="21" s="1"/>
  <c r="AQ103" i="21"/>
  <c r="AR103" i="21" s="1"/>
  <c r="AI104" i="21"/>
  <c r="AJ104" i="21" s="1"/>
  <c r="AM104" i="21"/>
  <c r="AN104" i="21" s="1"/>
  <c r="AI105" i="21"/>
  <c r="AJ105" i="21" s="1"/>
  <c r="AQ105" i="21"/>
  <c r="AR105" i="21" s="1"/>
  <c r="AI106" i="21"/>
  <c r="AJ106" i="21" s="1"/>
  <c r="AM106" i="21"/>
  <c r="AN106" i="21" s="1"/>
  <c r="AQ22" i="21"/>
  <c r="AR22" i="21" s="1"/>
  <c r="AQ36" i="21"/>
  <c r="AR36" i="21" s="1"/>
  <c r="AQ43" i="21"/>
  <c r="AR43" i="21" s="1"/>
  <c r="AQ50" i="21"/>
  <c r="AR50" i="21" s="1"/>
  <c r="AQ52" i="21"/>
  <c r="AR52" i="21" s="1"/>
  <c r="AQ58" i="21"/>
  <c r="AR58" i="21" s="1"/>
  <c r="AQ61" i="21"/>
  <c r="AR61" i="21" s="1"/>
  <c r="AQ64" i="21"/>
  <c r="AR64" i="21" s="1"/>
  <c r="AQ75" i="21"/>
  <c r="AR75" i="21" s="1"/>
  <c r="AQ81" i="21"/>
  <c r="AR81" i="21" s="1"/>
  <c r="AQ88" i="21"/>
  <c r="AR88" i="21" s="1"/>
  <c r="AQ92" i="21"/>
  <c r="AR92" i="21" s="1"/>
  <c r="AQ96" i="21"/>
  <c r="AR96" i="21" s="1"/>
  <c r="BA13" i="21"/>
  <c r="AO44" i="21"/>
  <c r="AP44" i="21" s="1"/>
  <c r="AO56" i="21"/>
  <c r="AP56" i="21" s="1"/>
  <c r="AO59" i="21"/>
  <c r="AP59" i="21" s="1"/>
  <c r="AK70" i="21"/>
  <c r="AL70" i="21" s="1"/>
  <c r="AK75" i="21"/>
  <c r="AL75" i="21" s="1"/>
  <c r="AK92" i="21"/>
  <c r="AL92" i="21" s="1"/>
  <c r="AK99" i="21"/>
  <c r="AL99" i="21" s="1"/>
  <c r="AK101" i="21"/>
  <c r="AL101" i="21" s="1"/>
  <c r="AO105" i="21"/>
  <c r="AP105" i="21" s="1"/>
  <c r="AM15" i="21"/>
  <c r="AN15" i="21" s="1"/>
  <c r="AQ14" i="21"/>
  <c r="AR14" i="21" s="1"/>
  <c r="AO36" i="21"/>
  <c r="AP36" i="21" s="1"/>
  <c r="AK42" i="21"/>
  <c r="AL42" i="21" s="1"/>
  <c r="AK51" i="21"/>
  <c r="AL51" i="21" s="1"/>
  <c r="AO64" i="21"/>
  <c r="AP64" i="21" s="1"/>
  <c r="AK73" i="21"/>
  <c r="AL73" i="21" s="1"/>
  <c r="AO81" i="21"/>
  <c r="AP81" i="21" s="1"/>
  <c r="AK84" i="21"/>
  <c r="AL84" i="21" s="1"/>
  <c r="AO92" i="21"/>
  <c r="AP92" i="21" s="1"/>
  <c r="AO99" i="21"/>
  <c r="AP99" i="21" s="1"/>
  <c r="AK100" i="21"/>
  <c r="AL100" i="21" s="1"/>
  <c r="AO106" i="21"/>
  <c r="AP106" i="21" s="1"/>
  <c r="AM37" i="21"/>
  <c r="AN37" i="21" s="1"/>
  <c r="AI61" i="21"/>
  <c r="AJ61" i="21" s="1"/>
  <c r="AM62" i="21"/>
  <c r="AN62" i="21" s="1"/>
  <c r="AI81" i="21"/>
  <c r="AJ81" i="21" s="1"/>
  <c r="AI88" i="21"/>
  <c r="AJ88" i="21" s="1"/>
  <c r="AM89" i="21"/>
  <c r="AN89" i="21" s="1"/>
  <c r="AI96" i="21"/>
  <c r="AJ96" i="21" s="1"/>
  <c r="AM97" i="21"/>
  <c r="AN97" i="21" s="1"/>
  <c r="AI99" i="21"/>
  <c r="AJ99" i="21" s="1"/>
  <c r="AM103" i="21"/>
  <c r="AN103" i="21" s="1"/>
  <c r="AM105" i="21"/>
  <c r="AN105" i="21" s="1"/>
  <c r="AO10" i="21"/>
  <c r="AP10" i="21" s="1"/>
  <c r="BK13" i="21"/>
  <c r="AI16" i="21"/>
  <c r="AJ16" i="21" s="1"/>
  <c r="AM12" i="21"/>
  <c r="AN12" i="21" s="1"/>
  <c r="AI11" i="21"/>
  <c r="AJ11" i="21" s="1"/>
  <c r="AK28" i="21"/>
  <c r="AL28" i="21" s="1"/>
  <c r="AK37" i="21"/>
  <c r="AL37" i="21" s="1"/>
  <c r="AO43" i="21"/>
  <c r="AP43" i="21" s="1"/>
  <c r="AK44" i="21"/>
  <c r="AL44" i="21" s="1"/>
  <c r="AO50" i="21"/>
  <c r="AP50" i="21" s="1"/>
  <c r="AO52" i="21"/>
  <c r="AP52" i="21" s="1"/>
  <c r="AK56" i="21"/>
  <c r="AL56" i="21" s="1"/>
  <c r="AO58" i="21"/>
  <c r="AP58" i="21" s="1"/>
  <c r="AK59" i="21"/>
  <c r="AL59" i="21" s="1"/>
  <c r="AO61" i="21"/>
  <c r="AP61" i="21" s="1"/>
  <c r="AK62" i="21"/>
  <c r="AL62" i="21" s="1"/>
  <c r="AK65" i="21"/>
  <c r="AL65" i="21" s="1"/>
  <c r="AO70" i="21"/>
  <c r="AP70" i="21" s="1"/>
  <c r="AO75" i="21"/>
  <c r="AP75" i="21" s="1"/>
  <c r="AK79" i="21"/>
  <c r="AL79" i="21" s="1"/>
  <c r="AO88" i="21"/>
  <c r="AP88" i="21" s="1"/>
  <c r="AK89" i="21"/>
  <c r="AL89" i="21" s="1"/>
  <c r="AK95" i="21"/>
  <c r="AL95" i="21" s="1"/>
  <c r="AO96" i="21"/>
  <c r="AP96" i="21" s="1"/>
  <c r="AK97" i="21"/>
  <c r="AL97" i="21" s="1"/>
  <c r="AO101" i="21"/>
  <c r="AP101" i="21" s="1"/>
  <c r="AK103" i="21"/>
  <c r="AL103" i="21" s="1"/>
  <c r="AO104" i="21"/>
  <c r="AP104" i="21" s="1"/>
  <c r="AK105" i="21"/>
  <c r="AL105" i="21" s="1"/>
  <c r="BP13" i="21"/>
  <c r="AQ10" i="21"/>
  <c r="AR10" i="21" s="1"/>
  <c r="BF13" i="21"/>
  <c r="AO16" i="21"/>
  <c r="AP16" i="21" s="1"/>
  <c r="AK15" i="21"/>
  <c r="AL15" i="21" s="1"/>
  <c r="AO14" i="21"/>
  <c r="AP14" i="21" s="1"/>
  <c r="AK12" i="21"/>
  <c r="AL12" i="21" s="1"/>
  <c r="AO11" i="21"/>
  <c r="AP11" i="21" s="1"/>
  <c r="AM28" i="21"/>
  <c r="AN28" i="21" s="1"/>
  <c r="AI36" i="21"/>
  <c r="AJ36" i="21" s="1"/>
  <c r="AM42" i="21"/>
  <c r="AN42" i="21" s="1"/>
  <c r="AI43" i="21"/>
  <c r="AJ43" i="21" s="1"/>
  <c r="AM44" i="21"/>
  <c r="AN44" i="21" s="1"/>
  <c r="AI50" i="21"/>
  <c r="AJ50" i="21" s="1"/>
  <c r="AM51" i="21"/>
  <c r="AN51" i="21" s="1"/>
  <c r="AM56" i="21"/>
  <c r="AN56" i="21" s="1"/>
  <c r="AI58" i="21"/>
  <c r="AJ58" i="21" s="1"/>
  <c r="AM59" i="21"/>
  <c r="AN59" i="21" s="1"/>
  <c r="AI64" i="21"/>
  <c r="AJ64" i="21" s="1"/>
  <c r="AM65" i="21"/>
  <c r="AN65" i="21" s="1"/>
  <c r="AI70" i="21"/>
  <c r="AJ70" i="21" s="1"/>
  <c r="AM73" i="21"/>
  <c r="AN73" i="21" s="1"/>
  <c r="AI75" i="21"/>
  <c r="AJ75" i="21" s="1"/>
  <c r="AM79" i="21"/>
  <c r="AN79" i="21" s="1"/>
  <c r="AM84" i="21"/>
  <c r="AN84" i="21" s="1"/>
  <c r="AI92" i="21"/>
  <c r="AJ92" i="21" s="1"/>
  <c r="AM100" i="21"/>
  <c r="AN100" i="21" s="1"/>
  <c r="AI101" i="21"/>
  <c r="AJ101" i="21" s="1"/>
  <c r="AM10" i="21"/>
  <c r="AN10" i="21" s="1"/>
  <c r="BP8" i="21"/>
  <c r="AV8" i="21"/>
  <c r="AI10" i="21"/>
  <c r="AJ10" i="21" s="1"/>
  <c r="BK8" i="21"/>
  <c r="BF8" i="21"/>
  <c r="AI22" i="21"/>
  <c r="AJ22" i="21" s="1"/>
  <c r="AK10" i="21"/>
  <c r="AL10" i="21" s="1"/>
  <c r="AM16" i="21"/>
  <c r="AN16" i="21" s="1"/>
  <c r="AQ15" i="21"/>
  <c r="AR15" i="21" s="1"/>
  <c r="AI15" i="21"/>
  <c r="AJ15" i="21" s="1"/>
  <c r="AM14" i="21"/>
  <c r="AN14" i="21" s="1"/>
  <c r="AQ12" i="21"/>
  <c r="AR12" i="21" s="1"/>
  <c r="AI12" i="21"/>
  <c r="AJ12" i="21" s="1"/>
  <c r="AM11" i="21"/>
  <c r="AN11" i="21" s="1"/>
  <c r="AK22" i="21"/>
  <c r="AL22" i="21" s="1"/>
  <c r="AO28" i="21"/>
  <c r="AP28" i="21" s="1"/>
  <c r="AK36" i="21"/>
  <c r="AL36" i="21" s="1"/>
  <c r="AO37" i="21"/>
  <c r="AP37" i="21" s="1"/>
  <c r="AO42" i="21"/>
  <c r="AP42" i="21" s="1"/>
  <c r="AK43" i="21"/>
  <c r="AL43" i="21" s="1"/>
  <c r="AK50" i="21"/>
  <c r="AL50" i="21" s="1"/>
  <c r="AO51" i="21"/>
  <c r="AP51" i="21" s="1"/>
  <c r="AK52" i="21"/>
  <c r="AL52" i="21" s="1"/>
  <c r="AK61" i="21"/>
  <c r="AL61" i="21" s="1"/>
  <c r="AO62" i="21"/>
  <c r="AP62" i="21" s="1"/>
  <c r="AK64" i="21"/>
  <c r="AL64" i="21" s="1"/>
  <c r="AO65" i="21"/>
  <c r="AP65" i="21" s="1"/>
  <c r="AQ70" i="21"/>
  <c r="AR70" i="21" s="1"/>
  <c r="AO73" i="21"/>
  <c r="AP73" i="21" s="1"/>
  <c r="AK81" i="21"/>
  <c r="AL81" i="21" s="1"/>
  <c r="AO84" i="21"/>
  <c r="AP84" i="21" s="1"/>
  <c r="AK88" i="21"/>
  <c r="AL88" i="21" s="1"/>
  <c r="AO95" i="21"/>
  <c r="AP95" i="21" s="1"/>
  <c r="AK96" i="21"/>
  <c r="AL96" i="21" s="1"/>
  <c r="AO103" i="21"/>
  <c r="AP103" i="21" s="1"/>
  <c r="AK104" i="21"/>
  <c r="AL104" i="21" s="1"/>
  <c r="AK106" i="21"/>
  <c r="AL106" i="21" s="1"/>
  <c r="BA8" i="21"/>
  <c r="AE7" i="21"/>
  <c r="AE8" i="21"/>
  <c r="AE9" i="21"/>
  <c r="AE10" i="21"/>
  <c r="AE11" i="21"/>
  <c r="AE12" i="21"/>
  <c r="AE13" i="21"/>
  <c r="AE14" i="21"/>
  <c r="AE15" i="21"/>
  <c r="AE16" i="21"/>
  <c r="AE17" i="21"/>
  <c r="AE18" i="21"/>
  <c r="AE19" i="21"/>
  <c r="AE20" i="21"/>
  <c r="AE21" i="21"/>
  <c r="AE22" i="21"/>
  <c r="AE26" i="21"/>
  <c r="AE27" i="21"/>
  <c r="AE28" i="21"/>
  <c r="AE32" i="21"/>
  <c r="AE33" i="21"/>
  <c r="AE34" i="21"/>
  <c r="AE35" i="21"/>
  <c r="AE36" i="21"/>
  <c r="AE37" i="21"/>
  <c r="AE40" i="21"/>
  <c r="AE41" i="21"/>
  <c r="AE42" i="21"/>
  <c r="AE43" i="21"/>
  <c r="AE44" i="21"/>
  <c r="AE46" i="21"/>
  <c r="AE47" i="21"/>
  <c r="AE48" i="21"/>
  <c r="AE49" i="21"/>
  <c r="AE50" i="21"/>
  <c r="AE51" i="21"/>
  <c r="AE52" i="21"/>
  <c r="AE54" i="21"/>
  <c r="AE55" i="21"/>
  <c r="AE56" i="21"/>
  <c r="AE57" i="21"/>
  <c r="AE58" i="21"/>
  <c r="AE59" i="21"/>
  <c r="AE60" i="21"/>
  <c r="AE61" i="21"/>
  <c r="AE62" i="21"/>
  <c r="AE63" i="21"/>
  <c r="AE64" i="21"/>
  <c r="AE65" i="21"/>
  <c r="AE66" i="21"/>
  <c r="AE67" i="21"/>
  <c r="AE68" i="21"/>
  <c r="AE69" i="21"/>
  <c r="AE70" i="21"/>
  <c r="AE71" i="21"/>
  <c r="AE72" i="21"/>
  <c r="AE73" i="21"/>
  <c r="AE74" i="21"/>
  <c r="AE75" i="21"/>
  <c r="AE76" i="21"/>
  <c r="AE77" i="21"/>
  <c r="AE78" i="21"/>
  <c r="AE79" i="21"/>
  <c r="AE80" i="21"/>
  <c r="AE81" i="21"/>
  <c r="AE82" i="21"/>
  <c r="AE83" i="21"/>
  <c r="AE84" i="21"/>
  <c r="AE85" i="21"/>
  <c r="AE86" i="21"/>
  <c r="AE87" i="21"/>
  <c r="AE88" i="21"/>
  <c r="AE89" i="21"/>
  <c r="AE90" i="21"/>
  <c r="AE91" i="21"/>
  <c r="AE92" i="21"/>
  <c r="AE93" i="21"/>
  <c r="AE94" i="21"/>
  <c r="AE95" i="21"/>
  <c r="AE96" i="21"/>
  <c r="AE97" i="21"/>
  <c r="AE98" i="21"/>
  <c r="AE99" i="21"/>
  <c r="AE100" i="21"/>
  <c r="AE101" i="21"/>
  <c r="AE102" i="21"/>
  <c r="AE103" i="21"/>
  <c r="AE104" i="21"/>
  <c r="AE105" i="21"/>
  <c r="AE106" i="21"/>
  <c r="AE6" i="21" l="1"/>
  <c r="BF28" i="21" s="1" a="1"/>
  <c r="BF28" i="21" l="1"/>
  <c r="BL36" i="21"/>
  <c r="BL37" i="21"/>
  <c r="BL35" i="21"/>
  <c r="BL34" i="21"/>
  <c r="BL32" i="21"/>
  <c r="BL33" i="21"/>
  <c r="BB28" i="21" l="1"/>
  <c r="BC32" i="21" s="1"/>
  <c r="BD28" i="21" l="1"/>
  <c r="BD32" i="21" l="1"/>
  <c r="AR6" i="21"/>
  <c r="BH16" i="21"/>
  <c r="W77" i="11"/>
  <c r="W52" i="11"/>
  <c r="W28" i="11"/>
  <c r="W7" i="11"/>
  <c r="BH20" i="21" l="1"/>
  <c r="BL19" i="21" s="1"/>
  <c r="BP12" i="21" l="1"/>
  <c r="BP14" i="21" s="1"/>
  <c r="BC28" i="21"/>
  <c r="BL18" i="21"/>
  <c r="BL17" i="21"/>
  <c r="BL16" i="21"/>
  <c r="BN34" i="21" l="1"/>
  <c r="BN36" i="21"/>
  <c r="BN37" i="21"/>
  <c r="BN32" i="21"/>
  <c r="BN33" i="21"/>
  <c r="BN35" i="21"/>
  <c r="BL20" i="21"/>
  <c r="E8" i="14" l="1" a="1"/>
  <c r="E8" i="14" s="1"/>
  <c r="D8" i="14" a="1"/>
  <c r="D8" i="14" s="1"/>
  <c r="C8" i="14" a="1"/>
  <c r="C8" i="14" s="1"/>
  <c r="B8" i="14" a="1"/>
  <c r="B8" i="14" s="1"/>
  <c r="A8" i="14" a="1"/>
  <c r="A8" i="14" s="1"/>
  <c r="AJ6" i="21" l="1"/>
  <c r="AL6" i="21"/>
  <c r="AN6" i="21"/>
  <c r="AV7" i="21" l="1"/>
  <c r="BA7" i="21" a="1"/>
  <c r="BA7" i="21" s="1"/>
  <c r="BA9" i="21" s="1"/>
  <c r="BF7" i="21" a="1"/>
  <c r="BF7" i="21" s="1"/>
  <c r="BF9" i="21" s="1"/>
  <c r="AP6" i="21"/>
  <c r="BK7" i="21" s="1" a="1"/>
  <c r="BK7" i="21" s="1"/>
  <c r="BK9" i="21" s="1"/>
  <c r="BP7" i="21" l="1" a="1"/>
  <c r="BP7" i="21" s="1"/>
  <c r="BP9" i="21" s="1"/>
  <c r="BF12" i="21" l="1"/>
  <c r="BF14" i="21" s="1"/>
  <c r="BA12" i="21"/>
  <c r="BA14" i="21" s="1"/>
  <c r="BK12" i="21"/>
  <c r="BK14" i="21" s="1"/>
  <c r="D13" i="11" l="1"/>
  <c r="G13" i="11" s="1"/>
  <c r="D100" i="11"/>
  <c r="G100" i="11" s="1"/>
  <c r="D74" i="11"/>
  <c r="G74" i="11" s="1"/>
  <c r="D50" i="11"/>
  <c r="G50" i="11" s="1"/>
  <c r="D85" i="11" l="1"/>
  <c r="G85" i="11" s="1"/>
  <c r="D58" i="11"/>
  <c r="G58" i="11" s="1"/>
  <c r="D34" i="11"/>
  <c r="G34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<sst xmlns="http://schemas.openxmlformats.org/spreadsheetml/2006/main" count="369" uniqueCount="107">
  <si>
    <t>QUEM?</t>
  </si>
  <si>
    <t>QUANDO?</t>
  </si>
  <si>
    <t>ENTREGUE</t>
  </si>
  <si>
    <t>TOTAL</t>
  </si>
  <si>
    <t>ADERENCIA</t>
  </si>
  <si>
    <t>ANA</t>
  </si>
  <si>
    <t>ADRIANO</t>
  </si>
  <si>
    <t>JOÃO</t>
  </si>
  <si>
    <t>MARCOS</t>
  </si>
  <si>
    <t>STATUS</t>
  </si>
  <si>
    <t>ENGENHARIA</t>
  </si>
  <si>
    <t>ROGERIO</t>
  </si>
  <si>
    <t>PLANO DE AÇÃO</t>
  </si>
  <si>
    <t>ADERÊNCIA SEMANAL</t>
  </si>
  <si>
    <t>ADERÊNCIA ACUMULADA</t>
  </si>
  <si>
    <t>VAZIO</t>
  </si>
  <si>
    <t>MARCO | ENTREGA</t>
  </si>
  <si>
    <t>ENTREGA</t>
  </si>
  <si>
    <t>MARCO</t>
  </si>
  <si>
    <t>Aprovação do Cliente</t>
  </si>
  <si>
    <t>Certificação do documento - Vibracon</t>
  </si>
  <si>
    <t>MARCO - Envio do documento Certificado (Rev_0)</t>
  </si>
  <si>
    <t>MARCO - Emissão Inicial (Rev_A)</t>
  </si>
  <si>
    <t>Mobilização</t>
  </si>
  <si>
    <t>ADERÊNCIA ACUMULADA 1</t>
  </si>
  <si>
    <t>ADERÊNCIA SEMANA 1</t>
  </si>
  <si>
    <t>ADERÊNCIA SEMANA 2</t>
  </si>
  <si>
    <t>ADERÊNCIA SEMANA 3</t>
  </si>
  <si>
    <t>ADERÊNCIA SEMANA 4</t>
  </si>
  <si>
    <t>ADERÊNCIA ACUMULADA 3</t>
  </si>
  <si>
    <t>ADERÊNCIA ACUMULADA 2</t>
  </si>
  <si>
    <t>ATRASO MENSAL</t>
  </si>
  <si>
    <t xml:space="preserve">ADERÊNCIA SEMANAL </t>
  </si>
  <si>
    <t xml:space="preserve">ADERÊNCIA ACUMULADA </t>
  </si>
  <si>
    <t>OBS</t>
  </si>
  <si>
    <t>EFPRAZO E ENTREGUE</t>
  </si>
  <si>
    <t>ATRASADO</t>
  </si>
  <si>
    <t>RISCO</t>
  </si>
  <si>
    <t>EFPRAZO</t>
  </si>
  <si>
    <t>ADERÊNCIA ACUMULADA 4</t>
  </si>
  <si>
    <t>ADERÊNCIA SEMANA 5</t>
  </si>
  <si>
    <t>VALE - CONTRATO 580 - ACG</t>
  </si>
  <si>
    <t>PT070 - ESTUDO DAS MÁQUINAS DE PÁTIO (CAPANEMA, TIMBOPEBA E BRUCUTU)</t>
  </si>
  <si>
    <t>Empilhadeira 2</t>
  </si>
  <si>
    <t>MARCO - MEMÓRIA DE CÁLCULO</t>
  </si>
  <si>
    <t>MARCO - PROJETO DOS REFORÇOS</t>
  </si>
  <si>
    <t>PT138 - ANÁLISE ESTRUTURAL DO VVS1</t>
  </si>
  <si>
    <t>ETAPA DE CAMPO</t>
  </si>
  <si>
    <t>FASE 1</t>
  </si>
  <si>
    <t>MECÂNICA</t>
  </si>
  <si>
    <t>MARCO - RELATÓRIO DE CAMPO - MECÂNICA</t>
  </si>
  <si>
    <t>CIVIL</t>
  </si>
  <si>
    <t>MARCO - RELATÓRIO DE CAMPO - CIVIL</t>
  </si>
  <si>
    <t>ETAPA DE ESCRITÓRIO</t>
  </si>
  <si>
    <t>FASE 2</t>
  </si>
  <si>
    <t>FASE 3</t>
  </si>
  <si>
    <t>GERAL</t>
  </si>
  <si>
    <t>ANÁLISES DO CUSTO DO CICLO DE VIDA DO ATIVO</t>
  </si>
  <si>
    <t>MARCO - RELATÓRIO DO CUSTO DO CICLO DE VIDA DO ATIVO</t>
  </si>
  <si>
    <t>ANÁLISE DE CONFIABILIDADE</t>
  </si>
  <si>
    <t>TEMPO DE PARADA / INTERFERÊNCIA DE CADA SERVIÇO</t>
  </si>
  <si>
    <t>Estimativa de tempo para recondicionamento total do VVS1</t>
  </si>
  <si>
    <t>TRADE-OFF - 5 ALTERNATIVAS</t>
  </si>
  <si>
    <t>MOSAIC</t>
  </si>
  <si>
    <t>MÁQUINAS DE PÁTIO - ARAXÁ</t>
  </si>
  <si>
    <t>312-RM-301</t>
  </si>
  <si>
    <t>Elaboração do Relatório de Campo</t>
  </si>
  <si>
    <t>MARCOS CONTRATUAIS</t>
  </si>
  <si>
    <t>MARCO - Relatório de Campo</t>
  </si>
  <si>
    <t>MARCO - Emissão Inicial</t>
  </si>
  <si>
    <t>MÁQUINAS DE PÁTIO - CAJATI</t>
  </si>
  <si>
    <t>Coleta</t>
  </si>
  <si>
    <t>CSI - CSN</t>
  </si>
  <si>
    <t>PRÉDIO DE PENEIRAMENTO - CASA DE PEDRA</t>
  </si>
  <si>
    <t>Inspeção Visual</t>
  </si>
  <si>
    <t>Aplicação das Condições de Contorno</t>
  </si>
  <si>
    <t>Revisão FEM</t>
  </si>
  <si>
    <t>Estimativa de tempo para substituição dos conjuntos do VVS1</t>
  </si>
  <si>
    <t>Elaboração do Plano de Trade Off</t>
  </si>
  <si>
    <t>Apresentação do Plano de Trade Off</t>
  </si>
  <si>
    <t>MARCO - PLANO DE TRADE OFF</t>
  </si>
  <si>
    <t>MARCO - MODELO NUMÉRICO</t>
  </si>
  <si>
    <t>MARCO - CALIBRAÇÃO DO MODELO</t>
  </si>
  <si>
    <t>EMPILHADEIRA - HO01SK</t>
  </si>
  <si>
    <t>Cálculo das Ligações</t>
  </si>
  <si>
    <t>Revisão do Desenho Esquemático</t>
  </si>
  <si>
    <t>MARCO - REVISÃO DO DESENHO ESQUEMÁTICO</t>
  </si>
  <si>
    <t>Coleta Extensométrica e Acelerométrica</t>
  </si>
  <si>
    <t>Escaneamento 3D</t>
  </si>
  <si>
    <t>Modelagem CAD - Condição de Projeto</t>
  </si>
  <si>
    <t>Modelagem FEM - Condição de Projeto</t>
  </si>
  <si>
    <t>Tratamento de Nuvem de Pontos</t>
  </si>
  <si>
    <t>Mauro</t>
  </si>
  <si>
    <t>Entrega do relatório atualizado, juntamente com a revisão do desenho esquemático</t>
  </si>
  <si>
    <t>CSN</t>
  </si>
  <si>
    <t>AVALIAÇÃO DA INTEGRIDADE ESTRUTURAL DA LINHA 1 DE TRANSPORTE DE CIMENTO</t>
  </si>
  <si>
    <t>Coleta Extensométrica</t>
  </si>
  <si>
    <t>Análise dos Dados Coletados</t>
  </si>
  <si>
    <t>OK</t>
  </si>
  <si>
    <t>Leonardo</t>
  </si>
  <si>
    <t>Coletas serão realizadas com os equipamentos já instalados</t>
  </si>
  <si>
    <t>Mauro \ Marcos</t>
  </si>
  <si>
    <t>Elaboração do relatório de campo com informações de inspeções realizadas. Dados de coleta serão incluídos depois.</t>
  </si>
  <si>
    <t>Atendimento a Comentários</t>
  </si>
  <si>
    <t>MARCO - Emissão Inicial (Rev_B)</t>
  </si>
  <si>
    <t>Mauro / Gabriel Honorato</t>
  </si>
  <si>
    <t>Desenvolvimento de documento final do Plano de Trade-Off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</si>
</sst>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color rgb="FF2C4594"/>
      <name val="Calibri"/>
      <family val="2"/>
      <scheme val="minor"/>
    </font>
    <font>
      <b/>
      <sz val="16"/>
      <color rgb="FF5D9145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6"/>
      <color rgb="FFA5A8A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375623"/>
      <name val="Calibri"/>
      <family val="2"/>
      <scheme val="minor"/>
    </font>
    <font>
      <sz val="11"/>
      <color rgb="FF3756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2C4594"/>
      <name val="Calibri"/>
      <family val="2"/>
      <scheme val="minor"/>
    </font>
    <font>
      <sz val="8"/>
      <name val="Calibri"/>
      <family val="2"/>
      <scheme val="minor"/>
    </font>
    <font>
      <sz val="10"/>
      <color rgb="FF3BC385"/>
      <name val="Calibri"/>
      <family val="2"/>
      <scheme val="minor"/>
    </font>
    <font>
      <b/>
      <sz val="11"/>
      <color rgb="FF1F3864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C4594"/>
        <bgColor indexed="64"/>
      </patternFill>
    </fill>
    <fill>
      <patternFill patternType="solid">
        <fgColor rgb="FF2C944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0326A"/>
        <bgColor indexed="64"/>
      </patternFill>
    </fill>
    <fill>
      <patternFill patternType="solid">
        <fgColor rgb="FF3B5CC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8F2"/>
        <bgColor indexed="64"/>
      </patternFill>
    </fill>
    <fill>
      <patternFill patternType="solid">
        <fgColor rgb="FF5A76CE"/>
        <bgColor indexed="64"/>
      </patternFill>
    </fill>
    <fill>
      <patternFill patternType="solid">
        <fgColor rgb="FF889CDC"/>
        <bgColor indexed="64"/>
      </patternFill>
    </fill>
    <fill>
      <patternFill patternType="solid">
        <fgColor rgb="FFB8C4EA"/>
        <bgColor indexed="64"/>
      </patternFill>
    </fill>
    <fill>
      <patternFill patternType="solid">
        <fgColor rgb="FFA5A8A6"/>
        <bgColor indexed="64"/>
      </patternFill>
    </fill>
    <fill>
      <patternFill patternType="solid">
        <fgColor rgb="FFD5E5D1"/>
        <bgColor indexed="64"/>
      </patternFill>
    </fill>
  </fills>
  <borders count="59">
    <border>
      <left/>
      <right/>
      <top/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rgb="FF2C4594"/>
      </left>
      <right style="thin">
        <color rgb="FF2C4594"/>
      </right>
      <top style="thin">
        <color rgb="FF2C4594"/>
      </top>
      <bottom style="thin">
        <color rgb="FF2C4594"/>
      </bottom>
      <diagonal/>
    </border>
    <border>
      <left style="thin">
        <color rgb="FF2C4594"/>
      </left>
      <right style="thin">
        <color rgb="FF2C4594"/>
      </right>
      <top style="thin">
        <color rgb="FF2C459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rgb="FF2C4594"/>
      </top>
      <bottom style="thin">
        <color theme="2"/>
      </bottom>
      <diagonal/>
    </border>
    <border>
      <left/>
      <right style="thin">
        <color rgb="FF2C4594"/>
      </right>
      <top/>
      <bottom/>
      <diagonal/>
    </border>
    <border>
      <left style="thin">
        <color theme="2"/>
      </left>
      <right style="thin">
        <color rgb="FF2C4594"/>
      </right>
      <top/>
      <bottom/>
      <diagonal/>
    </border>
    <border>
      <left style="thin">
        <color rgb="FF2C4594"/>
      </left>
      <right style="thin">
        <color rgb="FF2C4594"/>
      </right>
      <top style="thin">
        <color rgb="FF2C4594"/>
      </top>
      <bottom/>
      <diagonal/>
    </border>
    <border>
      <left style="medium">
        <color rgb="FF2C4594"/>
      </left>
      <right/>
      <top style="medium">
        <color rgb="FF2C4594"/>
      </top>
      <bottom/>
      <diagonal/>
    </border>
    <border>
      <left/>
      <right/>
      <top style="medium">
        <color rgb="FF2C4594"/>
      </top>
      <bottom/>
      <diagonal/>
    </border>
    <border>
      <left/>
      <right style="medium">
        <color rgb="FF2C4594"/>
      </right>
      <top style="medium">
        <color rgb="FF2C4594"/>
      </top>
      <bottom/>
      <diagonal/>
    </border>
    <border>
      <left style="medium">
        <color rgb="FF2C4594"/>
      </left>
      <right/>
      <top/>
      <bottom/>
      <diagonal/>
    </border>
    <border>
      <left/>
      <right style="medium">
        <color rgb="FF2C4594"/>
      </right>
      <top/>
      <bottom/>
      <diagonal/>
    </border>
    <border>
      <left style="medium">
        <color rgb="FF2C4594"/>
      </left>
      <right/>
      <top/>
      <bottom style="medium">
        <color rgb="FF2C4594"/>
      </bottom>
      <diagonal/>
    </border>
    <border>
      <left/>
      <right/>
      <top/>
      <bottom style="medium">
        <color rgb="FF2C4594"/>
      </bottom>
      <diagonal/>
    </border>
    <border>
      <left/>
      <right style="medium">
        <color rgb="FF2C4594"/>
      </right>
      <top/>
      <bottom style="medium">
        <color rgb="FF2C4594"/>
      </bottom>
      <diagonal/>
    </border>
    <border>
      <left/>
      <right/>
      <top/>
      <bottom style="thin">
        <color rgb="FF2C4594"/>
      </bottom>
      <diagonal/>
    </border>
    <border>
      <left style="medium">
        <color rgb="FF2C9449"/>
      </left>
      <right/>
      <top style="medium">
        <color rgb="FF2C9449"/>
      </top>
      <bottom/>
      <diagonal/>
    </border>
    <border>
      <left/>
      <right/>
      <top style="medium">
        <color rgb="FF2C9449"/>
      </top>
      <bottom/>
      <diagonal/>
    </border>
    <border>
      <left/>
      <right style="medium">
        <color rgb="FF2C9449"/>
      </right>
      <top style="medium">
        <color rgb="FF2C9449"/>
      </top>
      <bottom/>
      <diagonal/>
    </border>
    <border>
      <left style="medium">
        <color rgb="FF2C9449"/>
      </left>
      <right/>
      <top/>
      <bottom/>
      <diagonal/>
    </border>
    <border>
      <left/>
      <right style="medium">
        <color rgb="FF2C9449"/>
      </right>
      <top/>
      <bottom/>
      <diagonal/>
    </border>
    <border>
      <left style="medium">
        <color rgb="FF2C9449"/>
      </left>
      <right/>
      <top/>
      <bottom style="medium">
        <color rgb="FF2C9449"/>
      </bottom>
      <diagonal/>
    </border>
    <border>
      <left/>
      <right/>
      <top/>
      <bottom style="medium">
        <color rgb="FF2C9449"/>
      </bottom>
      <diagonal/>
    </border>
    <border>
      <left/>
      <right style="medium">
        <color rgb="FF2C9449"/>
      </right>
      <top/>
      <bottom style="medium">
        <color rgb="FF2C9449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rgb="FFB1BBCC"/>
      </left>
      <right/>
      <top style="thin">
        <color rgb="FFB1BBCC"/>
      </top>
      <bottom style="thin">
        <color rgb="FFB1BBCC"/>
      </bottom>
      <diagonal/>
    </border>
    <border>
      <left/>
      <right/>
      <top style="thin">
        <color rgb="FFB1BBCC"/>
      </top>
      <bottom style="thin">
        <color rgb="FFB1BBCC"/>
      </bottom>
      <diagonal/>
    </border>
    <border>
      <left/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/>
      <bottom style="thin">
        <color rgb="FFB1BBCC"/>
      </bottom>
      <diagonal/>
    </border>
    <border>
      <left/>
      <right/>
      <top/>
      <bottom style="thin">
        <color rgb="FFB1BBCC"/>
      </bottom>
      <diagonal/>
    </border>
    <border>
      <left/>
      <right style="thin">
        <color theme="2"/>
      </right>
      <top/>
      <bottom style="thin">
        <color rgb="FFB1BB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89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Alignment="1">
      <alignment horizontal="left" vertical="center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5" borderId="10" xfId="0" applyFont="1" applyFill="1" applyBorder="1" applyAlignment="1" applyProtection="1">
      <alignment horizontal="center" vertical="center"/>
      <protection locked="0"/>
    </xf>
    <xf numFmtId="0" fontId="1" fillId="5" borderId="14" xfId="0" applyFont="1" applyFill="1" applyBorder="1" applyAlignment="1" applyProtection="1">
      <alignment horizontal="center" vertical="center"/>
      <protection locked="0"/>
    </xf>
    <xf numFmtId="9" fontId="1" fillId="4" borderId="12" xfId="0" applyNumberFormat="1" applyFont="1" applyFill="1" applyBorder="1" applyAlignment="1" applyProtection="1">
      <alignment horizontal="center" vertical="center"/>
      <protection locked="0"/>
    </xf>
    <xf numFmtId="9" fontId="1" fillId="4" borderId="13" xfId="0" applyNumberFormat="1" applyFont="1" applyFill="1" applyBorder="1" applyAlignment="1" applyProtection="1">
      <alignment horizontal="center" vertical="center"/>
      <protection locked="0"/>
    </xf>
    <xf numFmtId="9" fontId="1" fillId="4" borderId="15" xfId="0" applyNumberFormat="1" applyFont="1" applyFill="1" applyBorder="1" applyAlignment="1" applyProtection="1">
      <alignment horizontal="center" vertical="center"/>
      <protection locked="0"/>
    </xf>
    <xf numFmtId="9" fontId="0" fillId="2" borderId="0" xfId="1" applyFont="1" applyFill="1" applyProtection="1">
      <protection locked="0"/>
    </xf>
    <xf numFmtId="0" fontId="0" fillId="6" borderId="0" xfId="0" applyFill="1" applyProtection="1">
      <protection locked="0"/>
    </xf>
    <xf numFmtId="0" fontId="1" fillId="5" borderId="16" xfId="0" applyFont="1" applyFill="1" applyBorder="1" applyAlignment="1" applyProtection="1">
      <alignment horizontal="center" vertical="center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9" fontId="1" fillId="4" borderId="17" xfId="0" applyNumberFormat="1" applyFont="1" applyFill="1" applyBorder="1" applyAlignment="1" applyProtection="1">
      <alignment horizontal="center" vertical="center"/>
      <protection locked="0"/>
    </xf>
    <xf numFmtId="0" fontId="1" fillId="5" borderId="18" xfId="0" applyFont="1" applyFill="1" applyBorder="1" applyAlignment="1" applyProtection="1">
      <alignment horizontal="center" vertical="center"/>
      <protection locked="0"/>
    </xf>
    <xf numFmtId="0" fontId="1" fillId="5" borderId="19" xfId="0" applyFont="1" applyFill="1" applyBorder="1" applyAlignment="1" applyProtection="1">
      <alignment horizontal="center" vertical="center"/>
      <protection locked="0"/>
    </xf>
    <xf numFmtId="0" fontId="0" fillId="6" borderId="0" xfId="0" applyFill="1"/>
    <xf numFmtId="0" fontId="7" fillId="4" borderId="21" xfId="0" applyFont="1" applyFill="1" applyBorder="1" applyAlignment="1">
      <alignment horizontal="center" vertical="center"/>
    </xf>
    <xf numFmtId="0" fontId="0" fillId="6" borderId="24" xfId="0" applyFill="1" applyBorder="1"/>
    <xf numFmtId="0" fontId="3" fillId="0" borderId="23" xfId="0" applyFont="1" applyBorder="1" applyAlignment="1">
      <alignment horizontal="center" vertical="center"/>
    </xf>
    <xf numFmtId="14" fontId="3" fillId="0" borderId="23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3" fillId="0" borderId="20" xfId="0" applyNumberFormat="1" applyFont="1" applyBorder="1" applyAlignment="1">
      <alignment horizontal="center" vertical="center"/>
    </xf>
    <xf numFmtId="0" fontId="0" fillId="3" borderId="25" xfId="0" applyFill="1" applyBorder="1"/>
    <xf numFmtId="0" fontId="0" fillId="0" borderId="35" xfId="0" applyBorder="1" applyProtection="1">
      <protection locked="0"/>
    </xf>
    <xf numFmtId="0" fontId="8" fillId="2" borderId="20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0" fillId="6" borderId="0" xfId="0" applyFill="1" applyAlignment="1" applyProtection="1">
      <alignment wrapText="1"/>
      <protection locked="0"/>
    </xf>
    <xf numFmtId="0" fontId="2" fillId="7" borderId="21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3" borderId="25" xfId="0" applyFill="1" applyBorder="1" applyAlignment="1">
      <alignment horizontal="left" vertical="center"/>
    </xf>
    <xf numFmtId="0" fontId="0" fillId="6" borderId="24" xfId="0" applyFill="1" applyBorder="1" applyAlignment="1">
      <alignment horizontal="left" vertical="center"/>
    </xf>
    <xf numFmtId="0" fontId="3" fillId="0" borderId="20" xfId="0" applyFont="1" applyBorder="1" applyAlignment="1">
      <alignment wrapText="1"/>
    </xf>
    <xf numFmtId="0" fontId="2" fillId="6" borderId="22" xfId="0" applyFont="1" applyFill="1" applyBorder="1" applyAlignment="1" applyProtection="1">
      <alignment vertical="center" wrapText="1"/>
      <protection locked="0"/>
    </xf>
    <xf numFmtId="0" fontId="3" fillId="0" borderId="4" xfId="0" applyFont="1" applyBorder="1" applyAlignment="1">
      <alignment vertical="center" wrapText="1"/>
    </xf>
    <xf numFmtId="0" fontId="3" fillId="0" borderId="20" xfId="0" applyFont="1" applyBorder="1" applyAlignment="1">
      <alignment vertical="center" wrapText="1"/>
    </xf>
    <xf numFmtId="0" fontId="3" fillId="8" borderId="20" xfId="0" applyFont="1" applyFill="1" applyBorder="1" applyAlignment="1">
      <alignment vertical="center" wrapText="1"/>
    </xf>
    <xf numFmtId="0" fontId="3" fillId="8" borderId="20" xfId="0" applyFont="1" applyFill="1" applyBorder="1" applyAlignment="1">
      <alignment horizontal="center" vertical="center"/>
    </xf>
    <xf numFmtId="14" fontId="3" fillId="8" borderId="20" xfId="0" applyNumberFormat="1" applyFont="1" applyFill="1" applyBorder="1" applyAlignment="1">
      <alignment horizontal="center" vertical="center"/>
    </xf>
    <xf numFmtId="0" fontId="3" fillId="8" borderId="20" xfId="0" applyFont="1" applyFill="1" applyBorder="1" applyAlignment="1">
      <alignment horizontal="left" vertical="center"/>
    </xf>
    <xf numFmtId="0" fontId="8" fillId="8" borderId="20" xfId="0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0" fontId="11" fillId="9" borderId="44" xfId="0" applyFont="1" applyFill="1" applyBorder="1" applyAlignment="1">
      <alignment vertical="center" wrapText="1"/>
    </xf>
    <xf numFmtId="0" fontId="11" fillId="6" borderId="44" xfId="0" applyFont="1" applyFill="1" applyBorder="1" applyAlignment="1">
      <alignment vertical="center" wrapText="1"/>
    </xf>
    <xf numFmtId="0" fontId="11" fillId="10" borderId="44" xfId="0" applyFont="1" applyFill="1" applyBorder="1" applyAlignment="1">
      <alignment vertical="center" wrapText="1"/>
    </xf>
    <xf numFmtId="0" fontId="12" fillId="11" borderId="44" xfId="0" applyFont="1" applyFill="1" applyBorder="1" applyAlignment="1">
      <alignment vertical="center" wrapText="1"/>
    </xf>
    <xf numFmtId="0" fontId="13" fillId="12" borderId="44" xfId="0" applyFont="1" applyFill="1" applyBorder="1" applyAlignment="1">
      <alignment vertical="center" wrapText="1"/>
    </xf>
    <xf numFmtId="0" fontId="14" fillId="11" borderId="44" xfId="0" applyFont="1" applyFill="1" applyBorder="1" applyAlignment="1">
      <alignment vertical="center" wrapText="1"/>
    </xf>
    <xf numFmtId="0" fontId="11" fillId="13" borderId="44" xfId="0" applyFont="1" applyFill="1" applyBorder="1" applyAlignment="1">
      <alignment vertical="center" wrapText="1"/>
    </xf>
    <xf numFmtId="0" fontId="11" fillId="14" borderId="44" xfId="0" applyFont="1" applyFill="1" applyBorder="1" applyAlignment="1">
      <alignment vertical="center" wrapText="1"/>
    </xf>
    <xf numFmtId="16" fontId="0" fillId="5" borderId="1" xfId="0" applyNumberFormat="1" applyFill="1" applyBorder="1" applyAlignment="1">
      <alignment horizontal="center" vertical="center" wrapText="1"/>
    </xf>
    <xf numFmtId="16" fontId="0" fillId="5" borderId="4" xfId="0" applyNumberForma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13" fillId="11" borderId="44" xfId="0" applyFont="1" applyFill="1" applyBorder="1" applyAlignment="1">
      <alignment vertical="center" wrapText="1"/>
    </xf>
    <xf numFmtId="0" fontId="15" fillId="0" borderId="0" xfId="0" applyFont="1"/>
    <xf numFmtId="0" fontId="16" fillId="2" borderId="44" xfId="0" applyFont="1" applyFill="1" applyBorder="1" applyAlignment="1">
      <alignment horizontal="center" vertical="center"/>
    </xf>
    <xf numFmtId="0" fontId="7" fillId="11" borderId="44" xfId="0" applyFont="1" applyFill="1" applyBorder="1" applyAlignment="1">
      <alignment vertical="center" wrapText="1"/>
    </xf>
    <xf numFmtId="0" fontId="15" fillId="0" borderId="52" xfId="0" applyFont="1" applyBorder="1" applyAlignment="1">
      <alignment horizontal="center" vertical="center"/>
    </xf>
    <xf numFmtId="10" fontId="15" fillId="0" borderId="52" xfId="0" applyNumberFormat="1" applyFont="1" applyBorder="1" applyAlignment="1">
      <alignment horizontal="center" vertical="center"/>
    </xf>
    <xf numFmtId="9" fontId="0" fillId="0" borderId="0" xfId="1" applyFont="1"/>
    <xf numFmtId="0" fontId="19" fillId="15" borderId="44" xfId="0" applyFont="1" applyFill="1" applyBorder="1" applyAlignment="1">
      <alignment vertical="center" wrapText="1"/>
    </xf>
    <xf numFmtId="0" fontId="14" fillId="11" borderId="0" xfId="0" applyFont="1" applyFill="1" applyAlignment="1">
      <alignment vertical="center" wrapText="1"/>
    </xf>
    <xf numFmtId="0" fontId="18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9" fontId="0" fillId="0" borderId="52" xfId="1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9" fontId="0" fillId="0" borderId="52" xfId="0" applyNumberFormat="1" applyBorder="1" applyAlignment="1">
      <alignment horizontal="center" vertical="center"/>
    </xf>
    <xf numFmtId="9" fontId="1" fillId="4" borderId="56" xfId="0" applyNumberFormat="1" applyFont="1" applyFill="1" applyBorder="1" applyAlignment="1" applyProtection="1">
      <alignment horizontal="center" vertical="center"/>
      <protection locked="0"/>
    </xf>
    <xf numFmtId="0" fontId="20" fillId="0" borderId="53" xfId="0" applyFont="1" applyBorder="1" applyAlignment="1">
      <alignment horizontal="left" vertical="center"/>
    </xf>
    <xf numFmtId="0" fontId="20" fillId="0" borderId="54" xfId="0" applyFont="1" applyBorder="1" applyAlignment="1">
      <alignment horizontal="left" vertical="center"/>
    </xf>
    <xf numFmtId="0" fontId="20" fillId="0" borderId="55" xfId="0" applyFont="1" applyBorder="1" applyAlignment="1">
      <alignment horizontal="left" vertical="center"/>
    </xf>
    <xf numFmtId="16" fontId="0" fillId="5" borderId="0" xfId="0" applyNumberFormat="1" applyFill="1" applyAlignment="1">
      <alignment horizontal="center" vertical="center" wrapText="1"/>
    </xf>
    <xf numFmtId="0" fontId="0" fillId="6" borderId="24" xfId="0" applyFill="1" applyBorder="1" applyAlignment="1">
      <alignment wrapText="1"/>
    </xf>
    <xf numFmtId="0" fontId="7" fillId="4" borderId="26" xfId="0" applyFont="1" applyFill="1" applyBorder="1" applyAlignment="1">
      <alignment horizontal="center" vertical="center" wrapText="1"/>
    </xf>
    <xf numFmtId="0" fontId="0" fillId="8" borderId="0" xfId="0" applyFill="1" applyAlignment="1">
      <alignment wrapText="1"/>
    </xf>
    <xf numFmtId="0" fontId="0" fillId="6" borderId="0" xfId="0" applyFill="1" applyAlignment="1">
      <alignment wrapText="1"/>
    </xf>
    <xf numFmtId="0" fontId="0" fillId="0" borderId="57" xfId="0" applyBorder="1" applyAlignment="1">
      <alignment wrapText="1"/>
    </xf>
    <xf numFmtId="0" fontId="0" fillId="0" borderId="58" xfId="0" applyBorder="1" applyAlignment="1">
      <alignment wrapText="1"/>
    </xf>
    <xf numFmtId="0" fontId="14" fillId="2" borderId="44" xfId="0" applyFont="1" applyFill="1" applyBorder="1" applyAlignment="1">
      <alignment vertical="center" wrapText="1"/>
    </xf>
    <xf numFmtId="0" fontId="21" fillId="0" borderId="0" xfId="0" applyFont="1"/>
    <xf numFmtId="0" fontId="11" fillId="14" borderId="45" xfId="0" applyFont="1" applyFill="1" applyBorder="1" applyAlignment="1">
      <alignment horizontal="center" vertical="center" wrapText="1"/>
    </xf>
    <xf numFmtId="0" fontId="11" fillId="14" borderId="46" xfId="0" applyFont="1" applyFill="1" applyBorder="1" applyAlignment="1">
      <alignment horizontal="center" vertical="center" wrapText="1"/>
    </xf>
    <xf numFmtId="0" fontId="11" fillId="9" borderId="45" xfId="0" applyFont="1" applyFill="1" applyBorder="1" applyAlignment="1">
      <alignment vertical="center" wrapText="1"/>
    </xf>
    <xf numFmtId="0" fontId="11" fillId="6" borderId="45" xfId="0" applyFont="1" applyFill="1" applyBorder="1" applyAlignment="1">
      <alignment vertical="center" wrapText="1"/>
    </xf>
    <xf numFmtId="0" fontId="11" fillId="10" borderId="45" xfId="0" applyFont="1" applyFill="1" applyBorder="1" applyAlignment="1">
      <alignment vertical="center" wrapText="1"/>
    </xf>
    <xf numFmtId="0" fontId="13" fillId="12" borderId="45" xfId="0" applyFont="1" applyFill="1" applyBorder="1" applyAlignment="1">
      <alignment vertical="center" wrapText="1"/>
    </xf>
    <xf numFmtId="0" fontId="11" fillId="13" borderId="45" xfId="0" applyFont="1" applyFill="1" applyBorder="1" applyAlignment="1">
      <alignment vertical="center" wrapText="1"/>
    </xf>
    <xf numFmtId="0" fontId="11" fillId="14" borderId="45" xfId="0" applyFont="1" applyFill="1" applyBorder="1" applyAlignment="1">
      <alignment vertical="center" wrapText="1"/>
    </xf>
    <xf numFmtId="0" fontId="19" fillId="15" borderId="45" xfId="0" applyFont="1" applyFill="1" applyBorder="1" applyAlignment="1">
      <alignment vertical="center" wrapText="1"/>
    </xf>
    <xf numFmtId="14" fontId="16" fillId="2" borderId="44" xfId="0" applyNumberFormat="1" applyFont="1" applyFill="1" applyBorder="1" applyAlignment="1">
      <alignment horizontal="center" vertical="center"/>
    </xf>
    <xf numFmtId="0" fontId="14" fillId="17" borderId="44" xfId="0" applyFont="1" applyFill="1" applyBorder="1" applyAlignment="1">
      <alignment vertical="center" wrapText="1"/>
    </xf>
    <xf numFmtId="0" fontId="0" fillId="0" borderId="53" xfId="0" applyBorder="1" applyAlignment="1">
      <alignment horizontal="left" vertical="center"/>
    </xf>
    <xf numFmtId="0" fontId="0" fillId="0" borderId="54" xfId="0" applyBorder="1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0" fillId="0" borderId="53" xfId="0" applyBorder="1" applyAlignment="1">
      <alignment horizontal="left" vertical="center"/>
    </xf>
    <xf numFmtId="0" fontId="0" fillId="0" borderId="54" xfId="0" applyBorder="1" applyAlignment="1">
      <alignment horizontal="left" vertical="center"/>
    </xf>
    <xf numFmtId="0" fontId="0" fillId="0" borderId="55" xfId="0" applyBorder="1" applyAlignment="1">
      <alignment horizontal="left" vertical="center"/>
    </xf>
    <xf numFmtId="0" fontId="11" fillId="13" borderId="45" xfId="0" applyFont="1" applyFill="1" applyBorder="1" applyAlignment="1">
      <alignment horizontal="center" vertical="center" wrapText="1"/>
    </xf>
    <xf numFmtId="0" fontId="11" fillId="13" borderId="46" xfId="0" applyFont="1" applyFill="1" applyBorder="1" applyAlignment="1">
      <alignment horizontal="center" vertical="center" wrapText="1"/>
    </xf>
    <xf numFmtId="0" fontId="13" fillId="11" borderId="45" xfId="0" applyFont="1" applyFill="1" applyBorder="1" applyAlignment="1">
      <alignment horizontal="center" vertical="center" wrapText="1"/>
    </xf>
    <xf numFmtId="0" fontId="13" fillId="11" borderId="46" xfId="0" applyFont="1" applyFill="1" applyBorder="1" applyAlignment="1">
      <alignment horizontal="center" vertical="center" wrapText="1"/>
    </xf>
    <xf numFmtId="0" fontId="13" fillId="11" borderId="47" xfId="0" applyFont="1" applyFill="1" applyBorder="1" applyAlignment="1">
      <alignment horizontal="center" vertical="center" wrapText="1"/>
    </xf>
    <xf numFmtId="0" fontId="13" fillId="12" borderId="45" xfId="0" applyFont="1" applyFill="1" applyBorder="1" applyAlignment="1">
      <alignment horizontal="center" vertical="center" wrapText="1"/>
    </xf>
    <xf numFmtId="0" fontId="13" fillId="12" borderId="46" xfId="0" applyFont="1" applyFill="1" applyBorder="1" applyAlignment="1">
      <alignment horizontal="center" vertical="center" wrapText="1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19" fillId="15" borderId="45" xfId="0" applyFont="1" applyFill="1" applyBorder="1" applyAlignment="1">
      <alignment horizontal="center" vertical="center" wrapText="1"/>
    </xf>
    <xf numFmtId="0" fontId="19" fillId="15" borderId="46" xfId="0" applyFont="1" applyFill="1" applyBorder="1" applyAlignment="1">
      <alignment horizontal="center" vertical="center" wrapText="1"/>
    </xf>
    <xf numFmtId="0" fontId="11" fillId="9" borderId="45" xfId="0" applyFont="1" applyFill="1" applyBorder="1" applyAlignment="1">
      <alignment horizontal="center" vertical="center" wrapText="1"/>
    </xf>
    <xf numFmtId="0" fontId="11" fillId="9" borderId="46" xfId="0" applyFont="1" applyFill="1" applyBorder="1" applyAlignment="1">
      <alignment horizontal="center" vertical="center" wrapText="1"/>
    </xf>
    <xf numFmtId="0" fontId="11" fillId="9" borderId="47" xfId="0" applyFont="1" applyFill="1" applyBorder="1" applyAlignment="1">
      <alignment horizontal="center" vertical="center" wrapText="1"/>
    </xf>
    <xf numFmtId="0" fontId="15" fillId="0" borderId="52" xfId="0" applyFont="1" applyBorder="1" applyAlignment="1">
      <alignment horizontal="center" vertical="center"/>
    </xf>
    <xf numFmtId="0" fontId="15" fillId="0" borderId="52" xfId="0" applyFont="1" applyBorder="1" applyAlignment="1">
      <alignment horizontal="left" vertical="center"/>
    </xf>
    <xf numFmtId="0" fontId="11" fillId="10" borderId="45" xfId="0" applyFont="1" applyFill="1" applyBorder="1" applyAlignment="1">
      <alignment horizontal="center" vertical="center" wrapText="1"/>
    </xf>
    <xf numFmtId="0" fontId="11" fillId="10" borderId="46" xfId="0" applyFont="1" applyFill="1" applyBorder="1" applyAlignment="1">
      <alignment horizontal="center" vertical="center" wrapText="1"/>
    </xf>
    <xf numFmtId="0" fontId="11" fillId="6" borderId="45" xfId="0" applyFont="1" applyFill="1" applyBorder="1" applyAlignment="1">
      <alignment horizontal="center" vertical="center" wrapText="1"/>
    </xf>
    <xf numFmtId="0" fontId="11" fillId="6" borderId="46" xfId="0" applyFont="1" applyFill="1" applyBorder="1" applyAlignment="1">
      <alignment horizontal="center" vertical="center" wrapText="1"/>
    </xf>
    <xf numFmtId="0" fontId="0" fillId="12" borderId="45" xfId="0" applyFill="1" applyBorder="1" applyAlignment="1">
      <alignment horizontal="center"/>
    </xf>
    <xf numFmtId="0" fontId="0" fillId="12" borderId="46" xfId="0" applyFill="1" applyBorder="1" applyAlignment="1">
      <alignment horizontal="center"/>
    </xf>
    <xf numFmtId="0" fontId="0" fillId="12" borderId="47" xfId="0" applyFill="1" applyBorder="1" applyAlignment="1">
      <alignment horizontal="center"/>
    </xf>
    <xf numFmtId="0" fontId="11" fillId="6" borderId="47" xfId="0" applyFont="1" applyFill="1" applyBorder="1" applyAlignment="1">
      <alignment horizontal="center" vertical="center" wrapText="1"/>
    </xf>
    <xf numFmtId="16" fontId="0" fillId="5" borderId="1" xfId="0" applyNumberFormat="1" applyFill="1" applyBorder="1" applyAlignment="1">
      <alignment horizontal="center" vertical="center" wrapText="1"/>
    </xf>
    <xf numFmtId="16" fontId="0" fillId="5" borderId="4" xfId="0" applyNumberFormat="1" applyFill="1" applyBorder="1" applyAlignment="1">
      <alignment horizontal="center" vertical="center" wrapText="1"/>
    </xf>
    <xf numFmtId="16" fontId="9" fillId="6" borderId="3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16" fontId="2" fillId="6" borderId="5" xfId="0" applyNumberFormat="1" applyFont="1" applyFill="1" applyBorder="1" applyAlignment="1">
      <alignment horizontal="center" vertical="center"/>
    </xf>
    <xf numFmtId="16" fontId="2" fillId="6" borderId="48" xfId="0" applyNumberFormat="1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16" fontId="2" fillId="7" borderId="3" xfId="0" applyNumberFormat="1" applyFont="1" applyFill="1" applyBorder="1" applyAlignment="1" applyProtection="1">
      <alignment horizontal="center" vertical="center"/>
      <protection locked="0"/>
    </xf>
    <xf numFmtId="16" fontId="2" fillId="7" borderId="1" xfId="0" applyNumberFormat="1" applyFont="1" applyFill="1" applyBorder="1" applyAlignment="1" applyProtection="1">
      <alignment horizontal="center" vertical="center"/>
      <protection locked="0"/>
    </xf>
    <xf numFmtId="16" fontId="7" fillId="5" borderId="48" xfId="0" applyNumberFormat="1" applyFont="1" applyFill="1" applyBorder="1" applyAlignment="1">
      <alignment horizontal="center" vertical="center" wrapText="1"/>
    </xf>
    <xf numFmtId="16" fontId="7" fillId="5" borderId="0" xfId="0" applyNumberFormat="1" applyFont="1" applyFill="1" applyAlignment="1">
      <alignment horizontal="center" vertical="center" wrapText="1"/>
    </xf>
    <xf numFmtId="16" fontId="7" fillId="5" borderId="2" xfId="0" applyNumberFormat="1" applyFont="1" applyFill="1" applyBorder="1" applyAlignment="1">
      <alignment horizontal="center" vertical="center" wrapText="1"/>
    </xf>
    <xf numFmtId="16" fontId="7" fillId="5" borderId="49" xfId="0" applyNumberFormat="1" applyFont="1" applyFill="1" applyBorder="1" applyAlignment="1">
      <alignment horizontal="center" vertical="center" wrapText="1"/>
    </xf>
    <xf numFmtId="16" fontId="7" fillId="5" borderId="50" xfId="0" applyNumberFormat="1" applyFont="1" applyFill="1" applyBorder="1" applyAlignment="1">
      <alignment horizontal="center" vertical="center" wrapText="1"/>
    </xf>
    <xf numFmtId="16" fontId="7" fillId="5" borderId="51" xfId="0" applyNumberFormat="1" applyFont="1" applyFill="1" applyBorder="1" applyAlignment="1">
      <alignment horizontal="center" vertical="center" wrapText="1"/>
    </xf>
    <xf numFmtId="16" fontId="0" fillId="12" borderId="1" xfId="0" applyNumberFormat="1" applyFill="1" applyBorder="1" applyAlignment="1">
      <alignment horizontal="center" vertical="center" wrapText="1"/>
    </xf>
    <xf numFmtId="16" fontId="0" fillId="12" borderId="4" xfId="0" applyNumberFormat="1" applyFill="1" applyBorder="1" applyAlignment="1">
      <alignment horizontal="center" vertical="center" wrapText="1"/>
    </xf>
    <xf numFmtId="16" fontId="0" fillId="16" borderId="1" xfId="0" applyNumberFormat="1" applyFill="1" applyBorder="1" applyAlignment="1">
      <alignment horizontal="center" vertical="center" wrapText="1"/>
    </xf>
    <xf numFmtId="16" fontId="0" fillId="16" borderId="4" xfId="0" applyNumberFormat="1" applyFill="1" applyBorder="1" applyAlignment="1">
      <alignment horizontal="center" vertical="center" wrapText="1"/>
    </xf>
    <xf numFmtId="0" fontId="11" fillId="10" borderId="47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51" xfId="0" applyFill="1" applyBorder="1" applyAlignment="1">
      <alignment horizontal="center" vertical="center" wrapText="1"/>
    </xf>
    <xf numFmtId="16" fontId="0" fillId="5" borderId="24" xfId="0" applyNumberForma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 wrapText="1"/>
    </xf>
    <xf numFmtId="16" fontId="0" fillId="5" borderId="0" xfId="0" applyNumberFormat="1" applyFill="1" applyAlignment="1">
      <alignment horizontal="center" vertical="center" wrapText="1"/>
    </xf>
    <xf numFmtId="16" fontId="0" fillId="5" borderId="0" xfId="0" applyNumberFormat="1" applyFill="1" applyAlignment="1">
      <alignment horizontal="left" vertical="center" wrapText="1"/>
    </xf>
    <xf numFmtId="0" fontId="0" fillId="5" borderId="0" xfId="0" applyFill="1" applyAlignment="1">
      <alignment horizontal="left" vertical="center" wrapText="1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5" fillId="6" borderId="8" xfId="0" applyFont="1" applyFill="1" applyBorder="1" applyAlignment="1" applyProtection="1">
      <alignment horizontal="center" vertical="center"/>
      <protection locked="0"/>
    </xf>
    <xf numFmtId="0" fontId="6" fillId="6" borderId="27" xfId="0" applyFont="1" applyFill="1" applyBorder="1" applyAlignment="1" applyProtection="1">
      <alignment horizontal="center" vertical="center"/>
      <protection locked="0"/>
    </xf>
    <xf numFmtId="0" fontId="6" fillId="6" borderId="28" xfId="0" applyFont="1" applyFill="1" applyBorder="1" applyAlignment="1" applyProtection="1">
      <alignment horizontal="center" vertical="center"/>
      <protection locked="0"/>
    </xf>
    <xf numFmtId="0" fontId="6" fillId="6" borderId="29" xfId="0" applyFont="1" applyFill="1" applyBorder="1" applyAlignment="1" applyProtection="1">
      <alignment horizontal="center" vertical="center"/>
      <protection locked="0"/>
    </xf>
    <xf numFmtId="0" fontId="6" fillId="6" borderId="30" xfId="0" applyFont="1" applyFill="1" applyBorder="1" applyAlignment="1" applyProtection="1">
      <alignment horizontal="center" vertical="center"/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0" fontId="6" fillId="6" borderId="31" xfId="0" applyFont="1" applyFill="1" applyBorder="1" applyAlignment="1" applyProtection="1">
      <alignment horizontal="center" vertical="center"/>
      <protection locked="0"/>
    </xf>
    <xf numFmtId="0" fontId="6" fillId="6" borderId="32" xfId="0" applyFont="1" applyFill="1" applyBorder="1" applyAlignment="1" applyProtection="1">
      <alignment horizontal="center" vertical="center"/>
      <protection locked="0"/>
    </xf>
    <xf numFmtId="0" fontId="6" fillId="6" borderId="33" xfId="0" applyFont="1" applyFill="1" applyBorder="1" applyAlignment="1" applyProtection="1">
      <alignment horizontal="center" vertical="center"/>
      <protection locked="0"/>
    </xf>
    <xf numFmtId="0" fontId="6" fillId="6" borderId="34" xfId="0" applyFont="1" applyFill="1" applyBorder="1" applyAlignment="1" applyProtection="1">
      <alignment horizontal="center" vertical="center"/>
      <protection locked="0"/>
    </xf>
    <xf numFmtId="0" fontId="6" fillId="7" borderId="36" xfId="0" applyFont="1" applyFill="1" applyBorder="1" applyAlignment="1" applyProtection="1">
      <alignment horizontal="center" vertical="center"/>
      <protection locked="0"/>
    </xf>
    <xf numFmtId="0" fontId="6" fillId="7" borderId="37" xfId="0" applyFont="1" applyFill="1" applyBorder="1" applyAlignment="1" applyProtection="1">
      <alignment horizontal="center" vertical="center"/>
      <protection locked="0"/>
    </xf>
    <xf numFmtId="0" fontId="6" fillId="7" borderId="38" xfId="0" applyFont="1" applyFill="1" applyBorder="1" applyAlignment="1" applyProtection="1">
      <alignment horizontal="center" vertical="center"/>
      <protection locked="0"/>
    </xf>
    <xf numFmtId="0" fontId="6" fillId="7" borderId="39" xfId="0" applyFont="1" applyFill="1" applyBorder="1" applyAlignment="1" applyProtection="1">
      <alignment horizontal="center" vertical="center"/>
      <protection locked="0"/>
    </xf>
    <xf numFmtId="0" fontId="6" fillId="7" borderId="0" xfId="0" applyFont="1" applyFill="1" applyAlignment="1" applyProtection="1">
      <alignment horizontal="center" vertical="center"/>
      <protection locked="0"/>
    </xf>
    <xf numFmtId="0" fontId="6" fillId="7" borderId="40" xfId="0" applyFont="1" applyFill="1" applyBorder="1" applyAlignment="1" applyProtection="1">
      <alignment horizontal="center" vertical="center"/>
      <protection locked="0"/>
    </xf>
    <xf numFmtId="0" fontId="6" fillId="7" borderId="41" xfId="0" applyFont="1" applyFill="1" applyBorder="1" applyAlignment="1" applyProtection="1">
      <alignment horizontal="center" vertical="center"/>
      <protection locked="0"/>
    </xf>
    <xf numFmtId="0" fontId="6" fillId="7" borderId="42" xfId="0" applyFont="1" applyFill="1" applyBorder="1" applyAlignment="1" applyProtection="1">
      <alignment horizontal="center" vertical="center"/>
      <protection locked="0"/>
    </xf>
    <xf numFmtId="0" fontId="6" fillId="7" borderId="43" xfId="0" applyFont="1" applyFill="1" applyBorder="1" applyAlignment="1" applyProtection="1">
      <alignment horizontal="center" vertical="center"/>
      <protection locked="0"/>
    </xf>
    <xf numFmtId="16" fontId="10" fillId="2" borderId="30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2" borderId="30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gem" xfId="1" builtinId="5"/>
  </cellStyles>
  <dxfs count="216">
    <dxf>
      <font>
        <color rgb="FF5D9145"/>
      </font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rgb="FF7030A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rgb="FF00B05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patternFill>
          <bgColor theme="7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 tint="-0.499984740745262"/>
      </font>
      <fill>
        <patternFill>
          <bgColor theme="0" tint="-0.49998474074526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</font>
    </dxf>
    <dxf>
      <font>
        <b val="0"/>
        <i val="0"/>
        <color auto="1"/>
      </font>
    </dxf>
    <dxf>
      <font>
        <b/>
        <i val="0"/>
      </font>
    </dxf>
    <dxf>
      <font>
        <b val="0"/>
        <i val="0"/>
        <color auto="1"/>
      </font>
    </dxf>
  </dxfs>
  <tableStyles count="2" defaultTableStyle="TableStyleMedium2" defaultPivotStyle="PivotStyleLight16">
    <tableStyle name="Estilo de Segmentação de Dados 1" pivot="0" table="0" count="5" xr9:uid="{704B59EC-0DE0-421C-BE23-BCF915879D2C}">
      <tableStyleElement type="wholeTable" dxfId="215"/>
      <tableStyleElement type="headerRow" dxfId="214"/>
    </tableStyle>
    <tableStyle name="Estilo de Segmentação de Dados 1 2" pivot="0" table="0" count="5" xr9:uid="{ADA87C23-2F0C-4DF3-895A-21CE9CA9E690}">
      <tableStyleElement type="wholeTable" dxfId="213"/>
      <tableStyleElement type="headerRow" dxfId="212"/>
    </tableStyle>
  </tableStyles>
  <colors>
    <mruColors>
      <color rgb="FFF4F8F2"/>
      <color rgb="FFD5E5D1"/>
      <color rgb="FF3BC385"/>
      <color rgb="FF2C4594"/>
      <color rgb="FF211E5D"/>
      <color rgb="FF2C9449"/>
      <color rgb="FFA5A8A6"/>
      <color rgb="FF07485C"/>
      <color rgb="FF5D9145"/>
      <color rgb="FF472F91"/>
    </mruColors>
  </colors>
  <extLst>
    <ext xmlns:x14="http://schemas.microsoft.com/office/spreadsheetml/2009/9/main" uri="{46F421CA-312F-682f-3DD2-61675219B42D}">
      <x14:dxfs count="6">
        <dxf>
          <font>
            <b val="0"/>
            <i val="0"/>
            <color auto="1"/>
          </font>
          <fill>
            <patternFill>
              <bgColor theme="0" tint="-0.34998626667073579"/>
            </patternFill>
          </fill>
        </dxf>
        <dxf>
          <font>
            <b val="0"/>
            <i val="0"/>
            <color theme="0"/>
          </font>
          <fill>
            <patternFill>
              <bgColor rgb="FF7030A0"/>
            </patternFill>
          </fill>
        </dxf>
        <dxf>
          <fill>
            <patternFill>
              <bgColor theme="2"/>
            </patternFill>
          </fill>
        </dxf>
        <dxf>
          <font>
            <b val="0"/>
            <i val="0"/>
            <color auto="1"/>
          </font>
          <fill>
            <patternFill>
              <bgColor theme="0" tint="-0.34998626667073579"/>
            </patternFill>
          </fill>
        </dxf>
        <dxf>
          <font>
            <b val="0"/>
            <i val="0"/>
            <color theme="0"/>
          </font>
          <fill>
            <patternFill>
              <bgColor rgb="FF2C4594"/>
            </patternFill>
          </fill>
        </dxf>
        <dxf>
          <fill>
            <patternFill>
              <bgColor theme="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5"/>
            <x14:slicerStyleElement type="selectedItemWithData" dxfId="4"/>
            <x14:slicerStyleElement type="selectedItemWithNoData" dxfId="3"/>
          </x14:slicerStyleElements>
        </x14:slicerStyle>
        <x14:slicerStyle name="Estilo de Segmentação de Dados 1 2">
          <x14:slicerStyleElements>
            <x14:slicerStyleElement type="unselectedItemWith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EC-41F7-8743-D301F03D107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2EC-41F7-8743-D301F03D1073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175-4765-BED0-61933FE6F8B8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EC-41F7-8743-D301F03D1073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2EC-41F7-8743-D301F03D1073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ACB6-4A3F-B288-90719D9ABF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ADERÊNCIA!$B$12:$G$12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ADERÊNCIA!$B$13:$G$13</c:f>
              <c:numCache>
                <c:formatCode>0%</c:formatCode>
                <c:ptCount val="6"/>
                <c:pt idx="2">
                  <c:v>0.4</c:v>
                </c:pt>
                <c:pt idx="5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C-41F7-8743-D301F03D107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ADERÊNCIA!$B$14:$G$14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CB6-4A3F-B288-90719D9A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>
          <a:alpha val="97000"/>
        </a:sys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3A1-49FE-991C-289004721C6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3A1-49FE-991C-289004721C65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3A1-49FE-991C-289004721C6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3A1-49FE-991C-289004721C6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A94-43A6-BBB4-607AD21EC147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97B-439F-A288-A7906625DAC6}"/>
              </c:ext>
            </c:extLst>
          </c:dPt>
          <c:dLbls>
            <c:dLbl>
              <c:idx val="1"/>
              <c:layout>
                <c:manualLayout>
                  <c:x val="0"/>
                  <c:y val="1.114035087719298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A1-49FE-991C-289004721C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ADERÊNCIA!$B$50:$G$50</c:f>
              <c:numCache>
                <c:formatCode>0%</c:formatCode>
                <c:ptCount val="6"/>
                <c:pt idx="2">
                  <c:v>0.5</c:v>
                </c:pt>
                <c:pt idx="5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A1-49FE-991C-289004721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6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ADERÊNCIA!$B$49:$G$49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ADERÊNCIA!$B$51:$G$51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97B-439F-A288-A7906625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1DCC-48F3-BF06-79D4F2E6403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DCC-48F3-BF06-79D4F2E6403C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739-498C-86DE-021805847225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739-498C-86DE-021805847225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DCC-48F3-BF06-79D4F2E6403C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BF8-4E7C-903D-3427DE664F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ADERÊNCIA!$B$74:$G$74</c:f>
              <c:numCache>
                <c:formatCode>0%</c:formatCode>
                <c:ptCount val="6"/>
                <c:pt idx="2">
                  <c:v>0.8</c:v>
                </c:pt>
                <c:pt idx="5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39-498C-86DE-021805847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ADERÊNCIA!$B$73:$G$73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ADERÊNCIA!$B$75:$G$75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F8-4E7C-903D-3427DE664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523-4A36-8220-BAE534BB9CFA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523-4A36-8220-BAE534BB9CFA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36E-4DE0-94F9-7E52BA8D098A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523-4A36-8220-BAE534BB9CFA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523-4A36-8220-BAE534BB9CFA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3AB-468B-A94C-5BC7F4A3FECA}"/>
              </c:ext>
            </c:extLst>
          </c:dPt>
          <c:dLbls>
            <c:dLbl>
              <c:idx val="0"/>
              <c:layout>
                <c:manualLayout>
                  <c:x val="0"/>
                  <c:y val="1.48538011695906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23-4A36-8220-BAE534BB9CFA}"/>
                </c:ext>
              </c:extLst>
            </c:dLbl>
            <c:dLbl>
              <c:idx val="1"/>
              <c:layout>
                <c:manualLayout>
                  <c:x val="0"/>
                  <c:y val="2.228070175438596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23-4A36-8220-BAE534BB9C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ADERÊNCIA!$B$34:$G$34</c:f>
              <c:numCache>
                <c:formatCode>0%</c:formatCode>
                <c:ptCount val="6"/>
                <c:pt idx="2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23-4A36-8220-BAE534BB9C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ADERÊNCIA!$B$33:$G$33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ADERÊNCIA!$B$35:$G$35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BAA-4DFE-9752-705AEDCF3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249-405C-9A02-C4BD354BAD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249-405C-9A02-C4BD354BADAE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8AE-4104-898C-0B704422A6B0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249-405C-9A02-C4BD354BADAE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249-405C-9A02-C4BD354BADAE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18A-446A-A392-F56CCA8CEC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ADERÊNCIA!$B$58:$G$58</c:f>
              <c:numCache>
                <c:formatCode>0%</c:formatCode>
                <c:ptCount val="6"/>
                <c:pt idx="2">
                  <c:v>0.91666666666666663</c:v>
                </c:pt>
                <c:pt idx="5">
                  <c:v>0.91666666666666663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49-405C-9A02-C4BD354BAD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ADERÊNCIA!$B$57:$G$57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ADERÊNCIA!$B$59:$G$59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765-458C-B372-5682BEFBE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27-468B-997F-0DAE0397AA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27-468B-997F-0DAE0397AA62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18C0-489B-9904-1528924EF6C1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27-468B-997F-0DAE0397AA62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27-468B-997F-0DAE0397AA62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BAFE-44FC-A20D-5335EF534F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ADERÊNCIA!$B$85:$G$85</c:f>
              <c:numCache>
                <c:formatCode>0%</c:formatCode>
                <c:ptCount val="6"/>
                <c:pt idx="2">
                  <c:v>0.54838709677419351</c:v>
                </c:pt>
                <c:pt idx="5">
                  <c:v>0.54838709677419351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27-468B-997F-0DAE0397AA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ADERÊNCIA!$B$84:$G$84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ADERÊNCIA!$B$86:$G$86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607-41C5-88B7-015A432F3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472F91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F24-4563-AC29-49A28C2E78F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24-4563-AC29-49A28C2E78FB}"/>
              </c:ext>
            </c:extLst>
          </c:dPt>
          <c:dPt>
            <c:idx val="2"/>
            <c:invertIfNegative val="0"/>
            <c:bubble3D val="0"/>
            <c:spPr>
              <a:solidFill>
                <a:srgbClr val="A5A8A6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4F24-4563-AC29-49A28C2E78FB}"/>
              </c:ext>
            </c:extLst>
          </c:dPt>
          <c:dPt>
            <c:idx val="3"/>
            <c:invertIfNegative val="0"/>
            <c:bubble3D val="0"/>
            <c:spPr>
              <a:solidFill>
                <a:srgbClr val="2C9449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F24-4563-AC29-49A28C2E78FB}"/>
              </c:ext>
            </c:extLst>
          </c:dPt>
          <c:dPt>
            <c:idx val="4"/>
            <c:invertIfNegative val="0"/>
            <c:bubble3D val="0"/>
            <c:spPr>
              <a:solidFill>
                <a:srgbClr val="07485C"/>
              </a:solidFill>
              <a:ln>
                <a:noFill/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F24-4563-AC29-49A28C2E78FB}"/>
              </c:ext>
            </c:extLst>
          </c:dPt>
          <c:dPt>
            <c:idx val="5"/>
            <c:invertIfNegative val="0"/>
            <c:bubble3D val="0"/>
            <c:spPr>
              <a:solidFill>
                <a:srgbClr val="2C4594"/>
              </a:solidFill>
              <a:ln>
                <a:solidFill>
                  <a:schemeClr val="bg1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F24-4563-AC29-49A28C2E78F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ADERÊNCIA!$B$99:$G$99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ADERÊNCIA!$B$100:$G$100</c:f>
              <c:numCache>
                <c:formatCode>0%</c:formatCode>
                <c:ptCount val="6"/>
                <c:pt idx="2">
                  <c:v>0.21052631578947367</c:v>
                </c:pt>
                <c:pt idx="5">
                  <c:v>0.21052631578947367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62-451E-B59C-B240422801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18748111"/>
        <c:axId val="1618748943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ADERÊNCIA!$B$99:$G$99</c:f>
              <c:strCache>
                <c:ptCount val="6"/>
                <c:pt idx="0">
                  <c:v>ANA</c:v>
                </c:pt>
                <c:pt idx="1">
                  <c:v>ADRIANO</c:v>
                </c:pt>
                <c:pt idx="2">
                  <c:v>JOÃO</c:v>
                </c:pt>
                <c:pt idx="3">
                  <c:v>ROGERIO</c:v>
                </c:pt>
                <c:pt idx="4">
                  <c:v>MARCOS</c:v>
                </c:pt>
                <c:pt idx="5">
                  <c:v>ENGENHARIA</c:v>
                </c:pt>
              </c:strCache>
            </c:strRef>
          </c:cat>
          <c:val>
            <c:numRef>
              <c:f>ADERÊNCIA!$B$101:$G$101</c:f>
              <c:numCache>
                <c:formatCode>0%</c:formatCode>
                <c:ptCount val="6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24-4563-AC29-49A28C2E7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748111"/>
        <c:axId val="1618748943"/>
      </c:lineChart>
      <c:catAx>
        <c:axId val="161874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943"/>
        <c:crosses val="autoZero"/>
        <c:auto val="1"/>
        <c:lblAlgn val="ctr"/>
        <c:lblOffset val="100"/>
        <c:noMultiLvlLbl val="0"/>
      </c:catAx>
      <c:valAx>
        <c:axId val="161874894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874811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12" Type="http://schemas.openxmlformats.org/officeDocument/2006/relationships/hyperlink" Target="#'% DE DESVIO'!A1"/><Relationship Id="rId2" Type="http://schemas.openxmlformats.org/officeDocument/2006/relationships/image" Target="../media/image1.png"/><Relationship Id="rId1" Type="http://schemas.openxmlformats.org/officeDocument/2006/relationships/hyperlink" Target="#ADER&#202;NCIA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microsoft.com/office/2007/relationships/hdphoto" Target="../media/hdphoto2.wdp"/><Relationship Id="rId4" Type="http://schemas.openxmlformats.org/officeDocument/2006/relationships/hyperlink" Target="#'PA JO&#195;O'!A1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image" Target="../media/image4.svg"/><Relationship Id="rId2" Type="http://schemas.openxmlformats.org/officeDocument/2006/relationships/hyperlink" Target="#ADER&#202;NCIA!A1"/><Relationship Id="rId1" Type="http://schemas.openxmlformats.org/officeDocument/2006/relationships/image" Target="../media/image7.png"/><Relationship Id="rId6" Type="http://schemas.openxmlformats.org/officeDocument/2006/relationships/image" Target="../media/image3.png"/><Relationship Id="rId11" Type="http://schemas.microsoft.com/office/2007/relationships/hdphoto" Target="../media/hdphoto2.wdp"/><Relationship Id="rId5" Type="http://schemas.openxmlformats.org/officeDocument/2006/relationships/image" Target="../media/image2.png"/><Relationship Id="rId10" Type="http://schemas.openxmlformats.org/officeDocument/2006/relationships/image" Target="../media/image6.png"/><Relationship Id="rId4" Type="http://schemas.openxmlformats.org/officeDocument/2006/relationships/hyperlink" Target="#MAURO!A1"/><Relationship Id="rId9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ADRIANO!A1"/><Relationship Id="rId18" Type="http://schemas.openxmlformats.org/officeDocument/2006/relationships/image" Target="../media/image5.png"/><Relationship Id="rId3" Type="http://schemas.openxmlformats.org/officeDocument/2006/relationships/chart" Target="../charts/chart3.xml"/><Relationship Id="rId21" Type="http://schemas.microsoft.com/office/2007/relationships/hdphoto" Target="../media/hdphoto2.wdp"/><Relationship Id="rId7" Type="http://schemas.openxmlformats.org/officeDocument/2006/relationships/chart" Target="../charts/chart7.xml"/><Relationship Id="rId12" Type="http://schemas.openxmlformats.org/officeDocument/2006/relationships/hyperlink" Target="#ANA!A1"/><Relationship Id="rId17" Type="http://schemas.openxmlformats.org/officeDocument/2006/relationships/image" Target="../media/image2.png"/><Relationship Id="rId2" Type="http://schemas.openxmlformats.org/officeDocument/2006/relationships/chart" Target="../charts/chart2.xml"/><Relationship Id="rId16" Type="http://schemas.openxmlformats.org/officeDocument/2006/relationships/hyperlink" Target="#MARCOS!A1"/><Relationship Id="rId20" Type="http://schemas.openxmlformats.org/officeDocument/2006/relationships/image" Target="../media/image6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microsoft.com/office/2007/relationships/hdphoto" Target="../media/hdphoto3.wdp"/><Relationship Id="rId5" Type="http://schemas.openxmlformats.org/officeDocument/2006/relationships/chart" Target="../charts/chart5.xml"/><Relationship Id="rId15" Type="http://schemas.openxmlformats.org/officeDocument/2006/relationships/hyperlink" Target="#ROGERIO!A1"/><Relationship Id="rId10" Type="http://schemas.openxmlformats.org/officeDocument/2006/relationships/image" Target="../media/image8.png"/><Relationship Id="rId19" Type="http://schemas.microsoft.com/office/2007/relationships/hdphoto" Target="../media/hdphoto1.wdp"/><Relationship Id="rId4" Type="http://schemas.openxmlformats.org/officeDocument/2006/relationships/chart" Target="../charts/chart4.xml"/><Relationship Id="rId9" Type="http://schemas.openxmlformats.org/officeDocument/2006/relationships/hyperlink" Target="#ADER&#202;NCIA!A1"/><Relationship Id="rId14" Type="http://schemas.openxmlformats.org/officeDocument/2006/relationships/hyperlink" Target="#JO&#195;O!A1"/><Relationship Id="rId22" Type="http://schemas.openxmlformats.org/officeDocument/2006/relationships/hyperlink" Target="#CG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52316</xdr:colOff>
      <xdr:row>3</xdr:row>
      <xdr:rowOff>171450</xdr:rowOff>
    </xdr:from>
    <xdr:to>
      <xdr:col>1</xdr:col>
      <xdr:colOff>4968875</xdr:colOff>
      <xdr:row>4</xdr:row>
      <xdr:rowOff>127000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F4974B-91CD-49F4-AE29-D81892A05E0A}"/>
            </a:ext>
          </a:extLst>
        </xdr:cNvPr>
        <xdr:cNvSpPr/>
      </xdr:nvSpPr>
      <xdr:spPr>
        <a:xfrm>
          <a:off x="52316" y="901700"/>
          <a:ext cx="4916559" cy="400050"/>
        </a:xfrm>
        <a:prstGeom prst="roundRect">
          <a:avLst/>
        </a:prstGeom>
        <a:solidFill>
          <a:srgbClr val="2C45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COORDENAÇÃO</a:t>
          </a:r>
          <a:r>
            <a:rPr lang="pt-BR" sz="1100" b="1" baseline="0"/>
            <a:t> MAURO</a:t>
          </a:r>
          <a:endParaRPr lang="pt-BR" sz="11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30</xdr:col>
      <xdr:colOff>49145</xdr:colOff>
      <xdr:row>3</xdr:row>
      <xdr:rowOff>66912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3E7FD2AC-324E-44DA-863C-F52A664DFAE2}"/>
            </a:ext>
          </a:extLst>
        </xdr:cNvPr>
        <xdr:cNvGrpSpPr/>
      </xdr:nvGrpSpPr>
      <xdr:grpSpPr>
        <a:xfrm>
          <a:off x="0" y="0"/>
          <a:ext cx="20810470" cy="793987"/>
          <a:chOff x="0" y="0"/>
          <a:chExt cx="19813520" cy="809302"/>
        </a:xfrm>
      </xdr:grpSpPr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22525121-BB2C-442D-D7E7-19D1A09A3A17}"/>
              </a:ext>
            </a:extLst>
          </xdr:cNvPr>
          <xdr:cNvGrpSpPr/>
        </xdr:nvGrpSpPr>
        <xdr:grpSpPr>
          <a:xfrm>
            <a:off x="0" y="0"/>
            <a:ext cx="19813520" cy="809302"/>
            <a:chOff x="0" y="0"/>
            <a:chExt cx="19664666" cy="814021"/>
          </a:xfrm>
        </xdr:grpSpPr>
        <xdr:sp macro="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050951B8-29C3-D629-0F96-50898401C655}"/>
                </a:ext>
              </a:extLst>
            </xdr:cNvPr>
            <xdr:cNvSpPr/>
          </xdr:nvSpPr>
          <xdr:spPr>
            <a:xfrm>
              <a:off x="0" y="0"/>
              <a:ext cx="19664666" cy="814021"/>
            </a:xfrm>
            <a:prstGeom prst="rect">
              <a:avLst/>
            </a:prstGeom>
            <a:solidFill>
              <a:srgbClr val="2C4594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4A009ECC-F103-B598-82DD-F073572AC350}"/>
                </a:ext>
              </a:extLst>
            </xdr:cNvPr>
            <xdr:cNvGrpSpPr/>
          </xdr:nvGrpSpPr>
          <xdr:grpSpPr>
            <a:xfrm>
              <a:off x="14898859" y="264150"/>
              <a:ext cx="774107" cy="306456"/>
              <a:chOff x="16683879" y="257175"/>
              <a:chExt cx="771526" cy="323850"/>
            </a:xfrm>
          </xdr:grpSpPr>
          <xdr:sp macro="" textlink="">
            <xdr:nvSpPr>
              <xdr:cNvPr id="19" name="Retângulo: Cantos Arredondados 18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77781C40-3880-FD01-5703-73576F3A3B07}"/>
                  </a:ext>
                </a:extLst>
              </xdr:cNvPr>
              <xdr:cNvSpPr/>
            </xdr:nvSpPr>
            <xdr:spPr>
              <a:xfrm>
                <a:off x="16683879" y="25717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>
            <xdr:nvPicPr>
              <xdr:cNvPr id="20" name="Imagem 19" descr="ícones Do Computador, Gráfico, Gráfico De Barras png transparente grátis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E23E9D6C-83D8-0B06-DBB9-F522BE5ABCA7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2" cstate="print">
                <a:clrChange>
                  <a:clrFrom>
                    <a:srgbClr val="EDEDED"/>
                  </a:clrFrom>
                  <a:clrTo>
                    <a:srgbClr val="EDEDED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6826734" y="295277"/>
                <a:ext cx="504825" cy="2762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61A5EC93-62B2-0B5E-DB44-79A2D773D551}"/>
                </a:ext>
              </a:extLst>
            </xdr:cNvPr>
            <xdr:cNvGrpSpPr/>
          </xdr:nvGrpSpPr>
          <xdr:grpSpPr>
            <a:xfrm>
              <a:off x="13931864" y="263768"/>
              <a:ext cx="805960" cy="307732"/>
              <a:chOff x="13931864" y="293076"/>
              <a:chExt cx="805960" cy="307732"/>
            </a:xfrm>
          </xdr:grpSpPr>
          <xdr:sp macro="[0]!Salvar" textlink="">
            <xdr:nvSpPr>
              <xdr:cNvPr id="17" name="Retângulo: Cantos Arredondados 16">
                <a:extLst>
                  <a:ext uri="{FF2B5EF4-FFF2-40B4-BE49-F238E27FC236}">
                    <a16:creationId xmlns:a16="http://schemas.microsoft.com/office/drawing/2014/main" id="{0F8477EF-5340-B1CA-8EC0-6EBB8C11AEEB}"/>
                  </a:ext>
                </a:extLst>
              </xdr:cNvPr>
              <xdr:cNvSpPr/>
            </xdr:nvSpPr>
            <xdr:spPr>
              <a:xfrm>
                <a:off x="13931864" y="293076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18" name="Imagem 17" descr="Opção de salvar arquivo - ícones de interface grátis">
                <a:extLst>
                  <a:ext uri="{FF2B5EF4-FFF2-40B4-BE49-F238E27FC236}">
                    <a16:creationId xmlns:a16="http://schemas.microsoft.com/office/drawing/2014/main" id="{CFC3CEF9-C1E2-7FCA-CEF7-49D743713D95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337038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864625EA-1025-B386-C78B-06F557601BAE}"/>
              </a:ext>
            </a:extLst>
          </xdr:cNvPr>
          <xdr:cNvGrpSpPr/>
        </xdr:nvGrpSpPr>
        <xdr:grpSpPr>
          <a:xfrm>
            <a:off x="15948440" y="262815"/>
            <a:ext cx="780092" cy="305794"/>
            <a:chOff x="15898346" y="266139"/>
            <a:chExt cx="777481" cy="308168"/>
          </a:xfrm>
        </xdr:grpSpPr>
        <xdr:sp macro="" textlink="">
          <xdr:nvSpPr>
            <xdr:cNvPr id="7" name="Retângulo: Cantos Arredondados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A24F57D6-8AC8-23D0-58E7-DBD1B9A7E18B}"/>
                </a:ext>
              </a:extLst>
            </xdr:cNvPr>
            <xdr:cNvSpPr/>
          </xdr:nvSpPr>
          <xdr:spPr>
            <a:xfrm>
              <a:off x="15898346" y="266139"/>
              <a:ext cx="777481" cy="30459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1</a:t>
              </a:r>
            </a:p>
          </xdr:txBody>
        </xdr:sp>
        <xdr:pic>
          <xdr:nvPicPr>
            <xdr:cNvPr id="8" name="Gráfico 7" descr="Lista de Verificação com preenchimento sólido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B9C1F823-5E16-15F0-8CB7-54D0B3DFD07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6122464" y="266146"/>
              <a:ext cx="308161" cy="308161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25</xdr:col>
      <xdr:colOff>314555</xdr:colOff>
      <xdr:row>1</xdr:row>
      <xdr:rowOff>120685</xdr:rowOff>
    </xdr:from>
    <xdr:to>
      <xdr:col>26</xdr:col>
      <xdr:colOff>463163</xdr:colOff>
      <xdr:row>2</xdr:row>
      <xdr:rowOff>331343</xdr:rowOff>
    </xdr:to>
    <xdr:pic macro="[0]!EstaPastaDeTrabalho.telaCheia">
      <xdr:nvPicPr>
        <xdr:cNvPr id="21" name="Imagem 20" descr="Botão de ícones do computador Monitores de computador, salvar tela inteira,  diversos, ângulo, texto png | PNGWing">
          <a:extLst>
            <a:ext uri="{FF2B5EF4-FFF2-40B4-BE49-F238E27FC236}">
              <a16:creationId xmlns:a16="http://schemas.microsoft.com/office/drawing/2014/main" id="{C0377427-7944-4E00-B253-E83B94887C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9890" b="91209" l="9816" r="89571">
                      <a14:foregroundMark x1="56087" y1="49023" x2="56087" y2="49023"/>
                      <a14:foregroundMark x1="32515" y1="91209" x2="32515" y2="91209"/>
                      <a14:backgroundMark x1="31902" y1="93407" x2="31902" y2="93407"/>
                      <a14:backgroundMark x1="31902" y1="92308" x2="31902" y2="923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54805" y="206410"/>
          <a:ext cx="691533" cy="401158"/>
        </a:xfrm>
        <a:prstGeom prst="rect">
          <a:avLst/>
        </a:prstGeom>
        <a:noFill/>
        <a:effectLst>
          <a:outerShdw blurRad="50800" dist="38100" dir="16200000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494910</xdr:colOff>
      <xdr:row>1</xdr:row>
      <xdr:rowOff>148970</xdr:rowOff>
    </xdr:from>
    <xdr:to>
      <xdr:col>27</xdr:col>
      <xdr:colOff>300108</xdr:colOff>
      <xdr:row>2</xdr:row>
      <xdr:rowOff>336594</xdr:rowOff>
    </xdr:to>
    <xdr:pic macro="[0]!EstaPastaDeTrabalho.telaNormal">
      <xdr:nvPicPr>
        <xdr:cNvPr id="22" name="Imagem 21">
          <a:extLst>
            <a:ext uri="{FF2B5EF4-FFF2-40B4-BE49-F238E27FC236}">
              <a16:creationId xmlns:a16="http://schemas.microsoft.com/office/drawing/2014/main" id="{D24D6BCF-1461-4968-928C-560D0CE93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lum bright="70000" contrast="-70000"/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6196" b="90435" l="6932" r="92614">
                      <a14:foregroundMark x1="38295" y1="40326" x2="38295" y2="40326"/>
                      <a14:foregroundMark x1="56364" y1="57609" x2="56364" y2="57609"/>
                      <a14:foregroundMark x1="92614" y1="40978" x2="92614" y2="40978"/>
                      <a14:foregroundMark x1="87955" y1="6304" x2="87955" y2="6304"/>
                      <a14:foregroundMark x1="22955" y1="90543" x2="22955" y2="90543"/>
                      <a14:foregroundMark x1="27045" y1="90543" x2="27045" y2="90543"/>
                      <a14:foregroundMark x1="6932" y1="77717" x2="6932" y2="7771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8278085" y="234695"/>
          <a:ext cx="348123" cy="378124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42650</xdr:colOff>
      <xdr:row>1</xdr:row>
      <xdr:rowOff>28432</xdr:rowOff>
    </xdr:from>
    <xdr:to>
      <xdr:col>10</xdr:col>
      <xdr:colOff>454926</xdr:colOff>
      <xdr:row>3</xdr:row>
      <xdr:rowOff>14216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581B9474-F67E-49E6-B176-1D082A391990}"/>
            </a:ext>
          </a:extLst>
        </xdr:cNvPr>
        <xdr:cNvSpPr/>
      </xdr:nvSpPr>
      <xdr:spPr>
        <a:xfrm>
          <a:off x="7510250" y="114157"/>
          <a:ext cx="3126901" cy="6430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3600" b="1">
              <a:latin typeface="Gill Sans MT" panose="020B0502020104020203" pitchFamily="34" charset="0"/>
            </a:rPr>
            <a:t>VIBRAPLAN</a:t>
          </a:r>
        </a:p>
      </xdr:txBody>
    </xdr:sp>
    <xdr:clientData/>
  </xdr:twoCellAnchor>
  <xdr:twoCellAnchor>
    <xdr:from>
      <xdr:col>4</xdr:col>
      <xdr:colOff>312760</xdr:colOff>
      <xdr:row>74</xdr:row>
      <xdr:rowOff>0</xdr:rowOff>
    </xdr:from>
    <xdr:to>
      <xdr:col>10</xdr:col>
      <xdr:colOff>468548</xdr:colOff>
      <xdr:row>74</xdr:row>
      <xdr:rowOff>1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6BB89E6E-EEB4-4C4E-B3AA-0AF65BEE4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7435" y="72670775"/>
          <a:ext cx="3413338" cy="747926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22</xdr:col>
      <xdr:colOff>317501</xdr:colOff>
      <xdr:row>1</xdr:row>
      <xdr:rowOff>174625</xdr:rowOff>
    </xdr:from>
    <xdr:to>
      <xdr:col>24</xdr:col>
      <xdr:colOff>1</xdr:colOff>
      <xdr:row>2</xdr:row>
      <xdr:rowOff>269875</xdr:rowOff>
    </xdr:to>
    <xdr:sp macro="" textlink="">
      <xdr:nvSpPr>
        <xdr:cNvPr id="2" name="Retângulo: Cantos Arredondados 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53A55A-8F7C-4083-84A0-44A6561F5B57}"/>
            </a:ext>
          </a:extLst>
        </xdr:cNvPr>
        <xdr:cNvSpPr/>
      </xdr:nvSpPr>
      <xdr:spPr>
        <a:xfrm>
          <a:off x="16732251" y="254000"/>
          <a:ext cx="793750" cy="285750"/>
        </a:xfrm>
        <a:prstGeom prst="roundRect">
          <a:avLst>
            <a:gd name="adj" fmla="val 20834"/>
          </a:avLst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%</a:t>
          </a:r>
        </a:p>
      </xdr:txBody>
    </xdr:sp>
    <xdr:clientData/>
  </xdr:twoCellAnchor>
  <xdr:twoCellAnchor>
    <xdr:from>
      <xdr:col>4</xdr:col>
      <xdr:colOff>312760</xdr:colOff>
      <xdr:row>106</xdr:row>
      <xdr:rowOff>42650</xdr:rowOff>
    </xdr:from>
    <xdr:to>
      <xdr:col>10</xdr:col>
      <xdr:colOff>468548</xdr:colOff>
      <xdr:row>107</xdr:row>
      <xdr:rowOff>1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751A7D8D-250B-48DA-960A-DB2947370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3560" y="35332775"/>
          <a:ext cx="3470488" cy="747926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3</xdr:row>
      <xdr:rowOff>193729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C4309EA-25FC-4494-B187-79DC2F573A74}"/>
            </a:ext>
          </a:extLst>
        </xdr:cNvPr>
        <xdr:cNvGrpSpPr/>
      </xdr:nvGrpSpPr>
      <xdr:grpSpPr>
        <a:xfrm>
          <a:off x="0" y="0"/>
          <a:ext cx="23247458" cy="939531"/>
          <a:chOff x="23182881" y="3713136"/>
          <a:chExt cx="19744193" cy="809302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CA0CDE5B-5B73-74FE-BBC5-F5A645946CF7}"/>
              </a:ext>
            </a:extLst>
          </xdr:cNvPr>
          <xdr:cNvGrpSpPr/>
        </xdr:nvGrpSpPr>
        <xdr:grpSpPr>
          <a:xfrm>
            <a:off x="23182881" y="3713136"/>
            <a:ext cx="19744193" cy="809302"/>
            <a:chOff x="0" y="0"/>
            <a:chExt cx="19750368" cy="809065"/>
          </a:xfrm>
        </xdr:grpSpPr>
        <xdr:grpSp>
          <xdr:nvGrpSpPr>
            <xdr:cNvPr id="29" name="Agrupar 28">
              <a:extLst>
                <a:ext uri="{FF2B5EF4-FFF2-40B4-BE49-F238E27FC236}">
                  <a16:creationId xmlns:a16="http://schemas.microsoft.com/office/drawing/2014/main" id="{B6BB09A1-18D2-FFCB-F721-982EBC111951}"/>
                </a:ext>
              </a:extLst>
            </xdr:cNvPr>
            <xdr:cNvGrpSpPr/>
          </xdr:nvGrpSpPr>
          <xdr:grpSpPr>
            <a:xfrm>
              <a:off x="0" y="0"/>
              <a:ext cx="19750368" cy="809065"/>
              <a:chOff x="0" y="0"/>
              <a:chExt cx="19664666" cy="814021"/>
            </a:xfrm>
          </xdr:grpSpPr>
          <xdr:grpSp>
            <xdr:nvGrpSpPr>
              <xdr:cNvPr id="32" name="Agrupar 31">
                <a:extLst>
                  <a:ext uri="{FF2B5EF4-FFF2-40B4-BE49-F238E27FC236}">
                    <a16:creationId xmlns:a16="http://schemas.microsoft.com/office/drawing/2014/main" id="{A87F772B-57B0-7F64-F1C2-8CE0BEBE756A}"/>
                  </a:ext>
                </a:extLst>
              </xdr:cNvPr>
              <xdr:cNvGrpSpPr/>
            </xdr:nvGrpSpPr>
            <xdr:grpSpPr>
              <a:xfrm>
                <a:off x="0" y="0"/>
                <a:ext cx="19664666" cy="814021"/>
                <a:chOff x="0" y="0"/>
                <a:chExt cx="19527543" cy="809625"/>
              </a:xfrm>
            </xdr:grpSpPr>
            <xdr:sp macro="" textlink="">
              <xdr:nvSpPr>
                <xdr:cNvPr id="44" name="Retângulo 43">
                  <a:extLst>
                    <a:ext uri="{FF2B5EF4-FFF2-40B4-BE49-F238E27FC236}">
                      <a16:creationId xmlns:a16="http://schemas.microsoft.com/office/drawing/2014/main" id="{1BFA5AE1-1340-D4A2-F1AD-7B371CAAF962}"/>
                    </a:ext>
                  </a:extLst>
                </xdr:cNvPr>
                <xdr:cNvSpPr/>
              </xdr:nvSpPr>
              <xdr:spPr>
                <a:xfrm>
                  <a:off x="0" y="0"/>
                  <a:ext cx="19527543" cy="809625"/>
                </a:xfrm>
                <a:prstGeom prst="rect">
                  <a:avLst/>
                </a:prstGeom>
                <a:solidFill>
                  <a:srgbClr val="2C4594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>
              <xdr:nvPicPr>
                <xdr:cNvPr id="45" name="Imagem 44">
                  <a:extLst>
                    <a:ext uri="{FF2B5EF4-FFF2-40B4-BE49-F238E27FC236}">
                      <a16:creationId xmlns:a16="http://schemas.microsoft.com/office/drawing/2014/main" id="{1368DDC1-6381-2128-FC0A-D9DB4B56F512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828611" y="133351"/>
                  <a:ext cx="2905125" cy="624904"/>
                </a:xfrm>
                <a:prstGeom prst="rect">
                  <a:avLst/>
                </a:prstGeom>
                <a:effectLst>
                  <a:outerShdw blurRad="50800" dist="38100" dir="16200000" rotWithShape="0">
                    <a:prstClr val="black">
                      <a:alpha val="40000"/>
                    </a:prstClr>
                  </a:outerShdw>
                </a:effectLst>
              </xdr:spPr>
            </xdr:pic>
          </xdr:grpSp>
          <xdr:grpSp>
            <xdr:nvGrpSpPr>
              <xdr:cNvPr id="33" name="Agrupar 32">
                <a:extLst>
                  <a:ext uri="{FF2B5EF4-FFF2-40B4-BE49-F238E27FC236}">
                    <a16:creationId xmlns:a16="http://schemas.microsoft.com/office/drawing/2014/main" id="{C8D9EC02-CC4E-6A10-5203-E148CD8E158C}"/>
                  </a:ext>
                </a:extLst>
              </xdr:cNvPr>
              <xdr:cNvGrpSpPr/>
            </xdr:nvGrpSpPr>
            <xdr:grpSpPr>
              <a:xfrm>
                <a:off x="14898859" y="264150"/>
                <a:ext cx="774107" cy="306456"/>
                <a:chOff x="16683879" y="257175"/>
                <a:chExt cx="771526" cy="323850"/>
              </a:xfrm>
            </xdr:grpSpPr>
            <xdr:sp macro="" textlink="">
              <xdr:nvSpPr>
                <xdr:cNvPr id="42" name="Retângulo: Cantos Arredondados 41">
                  <a:hlinkClick xmlns:r="http://schemas.openxmlformats.org/officeDocument/2006/relationships" r:id="rId2"/>
                  <a:extLst>
                    <a:ext uri="{FF2B5EF4-FFF2-40B4-BE49-F238E27FC236}">
                      <a16:creationId xmlns:a16="http://schemas.microsoft.com/office/drawing/2014/main" id="{F5569BE0-E5F0-4624-2C9A-F462B02E3305}"/>
                    </a:ext>
                  </a:extLst>
                </xdr:cNvPr>
                <xdr:cNvSpPr/>
              </xdr:nvSpPr>
              <xdr:spPr>
                <a:xfrm>
                  <a:off x="16683879" y="257175"/>
                  <a:ext cx="771526" cy="323850"/>
                </a:xfrm>
                <a:prstGeom prst="roundRect">
                  <a:avLst/>
                </a:prstGeom>
                <a:solidFill>
                  <a:sysClr val="window" lastClr="FFFFFF"/>
                </a:solidFill>
                <a:effectLst>
                  <a:outerShdw blurRad="50800" dist="38100" dir="16200000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pt-BR" sz="1100"/>
                    <a:t>1</a:t>
                  </a:r>
                </a:p>
              </xdr:txBody>
            </xdr:sp>
            <xdr:pic>
              <xdr:nvPicPr>
                <xdr:cNvPr id="43" name="Imagem 42" descr="ícones Do Computador, Gráfico, Gráfico De Barras png transparente grátis">
                  <a:hlinkClick xmlns:r="http://schemas.openxmlformats.org/officeDocument/2006/relationships" r:id="rId2"/>
                  <a:extLst>
                    <a:ext uri="{FF2B5EF4-FFF2-40B4-BE49-F238E27FC236}">
                      <a16:creationId xmlns:a16="http://schemas.microsoft.com/office/drawing/2014/main" id="{22E9E578-E326-FAA6-94AE-FC0414E9B5EC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3" cstate="print">
                  <a:clrChange>
                    <a:clrFrom>
                      <a:srgbClr val="EDEDED"/>
                    </a:clrFrom>
                    <a:clrTo>
                      <a:srgbClr val="EDEDED">
                        <a:alpha val="0"/>
                      </a:srgbClr>
                    </a:clrTo>
                  </a:clrChange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826734" y="295277"/>
                  <a:ext cx="504825" cy="27622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  <xdr:sp macro="" textlink="">
            <xdr:nvSpPr>
              <xdr:cNvPr id="36" name="Retângulo: Cantos Arredondados 35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44B8E9ED-1463-CC7F-6DA4-0614781FC401}"/>
                  </a:ext>
                </a:extLst>
              </xdr:cNvPr>
              <xdr:cNvSpPr/>
            </xdr:nvSpPr>
            <xdr:spPr>
              <a:xfrm>
                <a:off x="89998" y="207700"/>
                <a:ext cx="1524906" cy="444744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600">
                    <a:solidFill>
                      <a:srgbClr val="2C4594"/>
                    </a:solidFill>
                  </a:rPr>
                  <a:t>MAURO</a:t>
                </a:r>
              </a:p>
            </xdr:txBody>
          </xdr:sp>
          <xdr:grpSp>
            <xdr:nvGrpSpPr>
              <xdr:cNvPr id="39" name="Agrupar 38">
                <a:extLst>
                  <a:ext uri="{FF2B5EF4-FFF2-40B4-BE49-F238E27FC236}">
                    <a16:creationId xmlns:a16="http://schemas.microsoft.com/office/drawing/2014/main" id="{2B454786-2684-ED48-81B2-FE0FD7F21592}"/>
                  </a:ext>
                </a:extLst>
              </xdr:cNvPr>
              <xdr:cNvGrpSpPr/>
            </xdr:nvGrpSpPr>
            <xdr:grpSpPr>
              <a:xfrm>
                <a:off x="13931864" y="263768"/>
                <a:ext cx="805960" cy="307732"/>
                <a:chOff x="13931864" y="293076"/>
                <a:chExt cx="805960" cy="307732"/>
              </a:xfrm>
            </xdr:grpSpPr>
            <xdr:sp macro="[0]!Salvar" textlink="">
              <xdr:nvSpPr>
                <xdr:cNvPr id="40" name="Retângulo: Cantos Arredondados 39">
                  <a:extLst>
                    <a:ext uri="{FF2B5EF4-FFF2-40B4-BE49-F238E27FC236}">
                      <a16:creationId xmlns:a16="http://schemas.microsoft.com/office/drawing/2014/main" id="{CC91190E-65E7-459B-52C4-6E54C4C0E2B4}"/>
                    </a:ext>
                  </a:extLst>
                </xdr:cNvPr>
                <xdr:cNvSpPr/>
              </xdr:nvSpPr>
              <xdr:spPr>
                <a:xfrm>
                  <a:off x="13931864" y="293076"/>
                  <a:ext cx="805960" cy="307732"/>
                </a:xfrm>
                <a:prstGeom prst="roundRect">
                  <a:avLst/>
                </a:prstGeom>
                <a:solidFill>
                  <a:sysClr val="window" lastClr="FFFFFF"/>
                </a:solidFill>
                <a:ln>
                  <a:solidFill>
                    <a:srgbClr val="2C4594"/>
                  </a:solidFill>
                </a:ln>
                <a:effectLst>
                  <a:outerShdw blurRad="50800" dist="38100" dir="16200000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1100" b="1">
                      <a:solidFill>
                        <a:srgbClr val="2C4594"/>
                      </a:solidFill>
                    </a:rPr>
                    <a:t>         </a:t>
                  </a:r>
                </a:p>
              </xdr:txBody>
            </xdr:sp>
            <xdr:pic macro="[0]!Salvar">
              <xdr:nvPicPr>
                <xdr:cNvPr id="41" name="Imagem 40" descr="Opção de salvar arquivo - ícones de interface grátis">
                  <a:extLst>
                    <a:ext uri="{FF2B5EF4-FFF2-40B4-BE49-F238E27FC236}">
                      <a16:creationId xmlns:a16="http://schemas.microsoft.com/office/drawing/2014/main" id="{79D4E245-8C8A-E02A-42FE-55CFB2A8F9F3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4210276" y="337038"/>
                  <a:ext cx="248093" cy="23646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</xdr:grpSp>
        <xdr:sp macro="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2C7A311A-6CB3-85B6-A095-BE20B0076328}"/>
                </a:ext>
              </a:extLst>
            </xdr:cNvPr>
            <xdr:cNvSpPr/>
          </xdr:nvSpPr>
          <xdr:spPr>
            <a:xfrm>
              <a:off x="15898346" y="266139"/>
              <a:ext cx="777481" cy="304590"/>
            </a:xfrm>
            <a:prstGeom prst="roundRect">
              <a:avLst/>
            </a:prstGeom>
            <a:solidFill>
              <a:sysClr val="window" lastClr="FFFFFF"/>
            </a:solidFill>
            <a:effectLst>
              <a:innerShdw blurRad="63500" dist="50800" dir="189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/>
                <a:t>1</a:t>
              </a:r>
            </a:p>
          </xdr:txBody>
        </xdr:sp>
        <xdr:pic>
          <xdr:nvPicPr>
            <xdr:cNvPr id="31" name="Gráfico 30" descr="Lista de Verificação com preenchimento sólido">
              <a:extLst>
                <a:ext uri="{FF2B5EF4-FFF2-40B4-BE49-F238E27FC236}">
                  <a16:creationId xmlns:a16="http://schemas.microsoft.com/office/drawing/2014/main" id="{00E0E806-76BD-F13B-6EDA-3A7EDB3D00E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16122464" y="266146"/>
              <a:ext cx="308161" cy="308161"/>
            </a:xfrm>
            <a:prstGeom prst="rect">
              <a:avLst/>
            </a:prstGeom>
            <a:effectLst>
              <a:innerShdw blurRad="63500" dist="50800" dir="18900000">
                <a:prstClr val="black">
                  <a:alpha val="50000"/>
                </a:prstClr>
              </a:innerShdw>
            </a:effectLst>
          </xdr:spPr>
        </xdr:pic>
      </xdr:grpSp>
      <xdr:pic macro="[0]!EstaPastaDeTrabalho.telaCheia">
        <xdr:nvPicPr>
          <xdr:cNvPr id="27" name="Imagem 26" descr="Botão de ícones do computador Monitores de computador, salvar tela inteira,  diversos, ângulo, texto png | PNGWing">
            <a:extLst>
              <a:ext uri="{FF2B5EF4-FFF2-40B4-BE49-F238E27FC236}">
                <a16:creationId xmlns:a16="http://schemas.microsoft.com/office/drawing/2014/main" id="{EF21BC74-4FE5-B458-35E6-0A0BA5D423B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890" b="91209" l="9816" r="89571">
                        <a14:foregroundMark x1="56087" y1="49023" x2="56087" y2="49023"/>
                        <a14:foregroundMark x1="32515" y1="91209" x2="32515" y2="91209"/>
                        <a14:backgroundMark x1="31902" y1="93407" x2="31902" y2="93407"/>
                        <a14:backgroundMark x1="31902" y1="92308" x2="31902" y2="923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1700127" y="3906867"/>
            <a:ext cx="717384" cy="397009"/>
          </a:xfrm>
          <a:prstGeom prst="rect">
            <a:avLst/>
          </a:prstGeom>
          <a:noFill/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EstaPastaDeTrabalho.telaNormal">
        <xdr:nvPicPr>
          <xdr:cNvPr id="28" name="Imagem 27">
            <a:extLst>
              <a:ext uri="{FF2B5EF4-FFF2-40B4-BE49-F238E27FC236}">
                <a16:creationId xmlns:a16="http://schemas.microsoft.com/office/drawing/2014/main" id="{6B0987DE-C470-6809-5090-BF3CBBC77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6196" b="90435" l="6932" r="92614">
                        <a14:foregroundMark x1="38295" y1="40326" x2="38295" y2="40326"/>
                        <a14:foregroundMark x1="56364" y1="57609" x2="56364" y2="57609"/>
                        <a14:foregroundMark x1="92614" y1="40978" x2="92614" y2="40978"/>
                        <a14:foregroundMark x1="87955" y1="6304" x2="87955" y2="6304"/>
                        <a14:foregroundMark x1="22955" y1="90543" x2="22955" y2="90543"/>
                        <a14:foregroundMark x1="27045" y1="90543" x2="27045" y2="90543"/>
                        <a14:foregroundMark x1="6932" y1="77717" x2="6932" y2="7771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2450868" y="3935262"/>
            <a:ext cx="369305" cy="364361"/>
          </a:xfrm>
          <a:prstGeom prst="rect">
            <a:avLst/>
          </a:prstGeom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1</xdr:col>
      <xdr:colOff>4536482</xdr:colOff>
      <xdr:row>4</xdr:row>
      <xdr:rowOff>0</xdr:rowOff>
    </xdr:from>
    <xdr:to>
      <xdr:col>3</xdr:col>
      <xdr:colOff>1579878</xdr:colOff>
      <xdr:row>4</xdr:row>
      <xdr:rowOff>351884</xdr:rowOff>
    </xdr:to>
    <xdr:sp macro="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67CF96D2-2936-42FE-B82F-DC5F873A416E}"/>
            </a:ext>
          </a:extLst>
        </xdr:cNvPr>
        <xdr:cNvSpPr/>
      </xdr:nvSpPr>
      <xdr:spPr>
        <a:xfrm>
          <a:off x="9250550" y="968644"/>
          <a:ext cx="4598820" cy="351884"/>
        </a:xfrm>
        <a:prstGeom prst="roundRect">
          <a:avLst/>
        </a:prstGeom>
        <a:solidFill>
          <a:srgbClr val="2C45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COORDENAÇÃO</a:t>
          </a:r>
          <a:r>
            <a:rPr lang="pt-BR" sz="1100" b="1" baseline="0"/>
            <a:t> JOÃO</a:t>
          </a:r>
          <a:endParaRPr lang="pt-BR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269874</xdr:colOff>
      <xdr:row>9</xdr:row>
      <xdr:rowOff>190501</xdr:rowOff>
    </xdr:from>
    <xdr:to>
      <xdr:col>22</xdr:col>
      <xdr:colOff>111125</xdr:colOff>
      <xdr:row>25</xdr:row>
      <xdr:rowOff>171450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642DD813-49D0-12DA-08FC-6913870D62B8}"/>
            </a:ext>
          </a:extLst>
        </xdr:cNvPr>
        <xdr:cNvGrpSpPr/>
      </xdr:nvGrpSpPr>
      <xdr:grpSpPr>
        <a:xfrm>
          <a:off x="5413374" y="1891394"/>
          <a:ext cx="9053287" cy="3491592"/>
          <a:chOff x="4524374" y="1158876"/>
          <a:chExt cx="8890001" cy="3425824"/>
        </a:xfrm>
      </xdr:grpSpPr>
      <xdr:graphicFrame macro="">
        <xdr:nvGraphicFramePr>
          <xdr:cNvPr id="35" name="Gráfico 34">
            <a:extLst>
              <a:ext uri="{FF2B5EF4-FFF2-40B4-BE49-F238E27FC236}">
                <a16:creationId xmlns:a16="http://schemas.microsoft.com/office/drawing/2014/main" id="{F47C543C-B8F0-A6C4-F408-3216BB23A337}"/>
              </a:ext>
            </a:extLst>
          </xdr:cNvPr>
          <xdr:cNvGraphicFramePr/>
        </xdr:nvGraphicFramePr>
        <xdr:xfrm>
          <a:off x="4524374" y="1158876"/>
          <a:ext cx="8645526" cy="3425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E40F0787-0693-8B33-F653-C245011B2ECB}"/>
              </a:ext>
            </a:extLst>
          </xdr:cNvPr>
          <xdr:cNvSpPr txBox="1"/>
        </xdr:nvSpPr>
        <xdr:spPr>
          <a:xfrm>
            <a:off x="12858750" y="1460741"/>
            <a:ext cx="555625" cy="25715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rgbClr val="2C4594"/>
                </a:solidFill>
              </a:rPr>
              <a:t>META</a:t>
            </a:r>
          </a:p>
        </xdr:txBody>
      </xdr:sp>
      <xdr:cxnSp macro="">
        <xdr:nvCxnSpPr>
          <xdr:cNvPr id="10" name="Conector de Seta Reta 9">
            <a:extLst>
              <a:ext uri="{FF2B5EF4-FFF2-40B4-BE49-F238E27FC236}">
                <a16:creationId xmlns:a16="http://schemas.microsoft.com/office/drawing/2014/main" id="{5F86C6ED-07AE-2EAC-74A6-32196522D7D1}"/>
              </a:ext>
            </a:extLst>
          </xdr:cNvPr>
          <xdr:cNvCxnSpPr/>
        </xdr:nvCxnSpPr>
        <xdr:spPr>
          <a:xfrm flipH="1">
            <a:off x="12477750" y="1708076"/>
            <a:ext cx="381000" cy="34139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158750</xdr:colOff>
      <xdr:row>32</xdr:row>
      <xdr:rowOff>95250</xdr:rowOff>
    </xdr:from>
    <xdr:to>
      <xdr:col>21</xdr:col>
      <xdr:colOff>488128</xdr:colOff>
      <xdr:row>48</xdr:row>
      <xdr:rowOff>70375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F6DB4C7-E23F-47DA-86A1-754F35E73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158750</xdr:colOff>
      <xdr:row>56</xdr:row>
      <xdr:rowOff>105683</xdr:rowOff>
    </xdr:from>
    <xdr:to>
      <xdr:col>21</xdr:col>
      <xdr:colOff>490050</xdr:colOff>
      <xdr:row>72</xdr:row>
      <xdr:rowOff>83983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688FCA0-FD85-4088-9FD1-F7B57FDC1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257175</xdr:colOff>
      <xdr:row>32</xdr:row>
      <xdr:rowOff>95252</xdr:rowOff>
    </xdr:from>
    <xdr:to>
      <xdr:col>39</xdr:col>
      <xdr:colOff>329375</xdr:colOff>
      <xdr:row>48</xdr:row>
      <xdr:rowOff>77577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565B9FD-A6C4-48E1-A51E-C8F6A2A84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213485</xdr:colOff>
      <xdr:row>56</xdr:row>
      <xdr:rowOff>70565</xdr:rowOff>
    </xdr:from>
    <xdr:to>
      <xdr:col>39</xdr:col>
      <xdr:colOff>285685</xdr:colOff>
      <xdr:row>72</xdr:row>
      <xdr:rowOff>52890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5C9ABD8-DA6A-4626-B946-D179E9CC1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212053</xdr:colOff>
      <xdr:row>82</xdr:row>
      <xdr:rowOff>69938</xdr:rowOff>
    </xdr:from>
    <xdr:to>
      <xdr:col>39</xdr:col>
      <xdr:colOff>416353</xdr:colOff>
      <xdr:row>98</xdr:row>
      <xdr:rowOff>52263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BC6442-EE0F-4F40-9A67-955497430C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190500</xdr:colOff>
      <xdr:row>82</xdr:row>
      <xdr:rowOff>29482</xdr:rowOff>
    </xdr:from>
    <xdr:to>
      <xdr:col>21</xdr:col>
      <xdr:colOff>521800</xdr:colOff>
      <xdr:row>98</xdr:row>
      <xdr:rowOff>13649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7DB6F49-ED7B-4F1C-8146-18D8B271FA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41</xdr:col>
      <xdr:colOff>31750</xdr:colOff>
      <xdr:row>4</xdr:row>
      <xdr:rowOff>190500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1380A68D-07A7-49C8-9D3E-35F132BF2CA0}"/>
            </a:ext>
          </a:extLst>
        </xdr:cNvPr>
        <xdr:cNvGrpSpPr/>
      </xdr:nvGrpSpPr>
      <xdr:grpSpPr>
        <a:xfrm>
          <a:off x="0" y="0"/>
          <a:ext cx="26181504" cy="898071"/>
          <a:chOff x="0" y="0"/>
          <a:chExt cx="20669250" cy="952500"/>
        </a:xfrm>
      </xdr:grpSpPr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C54AFD20-EAF8-385A-8ABA-5C95822AA780}"/>
              </a:ext>
            </a:extLst>
          </xdr:cNvPr>
          <xdr:cNvGrpSpPr/>
        </xdr:nvGrpSpPr>
        <xdr:grpSpPr>
          <a:xfrm>
            <a:off x="0" y="0"/>
            <a:ext cx="20669250" cy="952500"/>
            <a:chOff x="0" y="0"/>
            <a:chExt cx="20513967" cy="958054"/>
          </a:xfrm>
        </xdr:grpSpPr>
        <xdr:grpSp>
          <xdr:nvGrpSpPr>
            <xdr:cNvPr id="37" name="Agrupar 36">
              <a:extLst>
                <a:ext uri="{FF2B5EF4-FFF2-40B4-BE49-F238E27FC236}">
                  <a16:creationId xmlns:a16="http://schemas.microsoft.com/office/drawing/2014/main" id="{19C575EC-6600-668C-8AEC-BD350E451149}"/>
                </a:ext>
              </a:extLst>
            </xdr:cNvPr>
            <xdr:cNvGrpSpPr/>
          </xdr:nvGrpSpPr>
          <xdr:grpSpPr>
            <a:xfrm>
              <a:off x="0" y="0"/>
              <a:ext cx="20513967" cy="958054"/>
              <a:chOff x="0" y="0"/>
              <a:chExt cx="20370922" cy="952880"/>
            </a:xfrm>
          </xdr:grpSpPr>
          <xdr:sp macro="" textlink="">
            <xdr:nvSpPr>
              <xdr:cNvPr id="61" name="Retângulo 60">
                <a:extLst>
                  <a:ext uri="{FF2B5EF4-FFF2-40B4-BE49-F238E27FC236}">
                    <a16:creationId xmlns:a16="http://schemas.microsoft.com/office/drawing/2014/main" id="{319905CE-7E14-0534-B179-E2E4E15BF196}"/>
                  </a:ext>
                </a:extLst>
              </xdr:cNvPr>
              <xdr:cNvSpPr/>
            </xdr:nvSpPr>
            <xdr:spPr>
              <a:xfrm>
                <a:off x="0" y="0"/>
                <a:ext cx="20370922" cy="952880"/>
              </a:xfrm>
              <a:prstGeom prst="rect">
                <a:avLst/>
              </a:prstGeom>
              <a:solidFill>
                <a:srgbClr val="2C4594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62" name="Imagem 61">
                <a:extLst>
                  <a:ext uri="{FF2B5EF4-FFF2-40B4-BE49-F238E27FC236}">
                    <a16:creationId xmlns:a16="http://schemas.microsoft.com/office/drawing/2014/main" id="{68E0DDE7-A2AC-9AD8-E19C-61A8396FBAB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828611" y="212758"/>
                <a:ext cx="2905125" cy="624904"/>
              </a:xfrm>
              <a:prstGeom prst="rect">
                <a:avLst/>
              </a:prstGeom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</xdr:pic>
        </xdr:grpSp>
        <xdr:grpSp>
          <xdr:nvGrpSpPr>
            <xdr:cNvPr id="38" name="Agrupar 37">
              <a:extLst>
                <a:ext uri="{FF2B5EF4-FFF2-40B4-BE49-F238E27FC236}">
                  <a16:creationId xmlns:a16="http://schemas.microsoft.com/office/drawing/2014/main" id="{4AC779E2-392D-3A12-9B5A-2445A5751B4F}"/>
                </a:ext>
              </a:extLst>
            </xdr:cNvPr>
            <xdr:cNvGrpSpPr/>
          </xdr:nvGrpSpPr>
          <xdr:grpSpPr>
            <a:xfrm>
              <a:off x="14898860" y="343990"/>
              <a:ext cx="774107" cy="306456"/>
              <a:chOff x="16683879" y="341545"/>
              <a:chExt cx="771526" cy="323850"/>
            </a:xfrm>
          </xdr:grpSpPr>
          <xdr:sp macro="" textlink="">
            <xdr:nvSpPr>
              <xdr:cNvPr id="48" name="Retângulo: Cantos Arredondados 47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3313AEB0-F94E-6638-0A2D-3B032C9B4D98}"/>
                  </a:ext>
                </a:extLst>
              </xdr:cNvPr>
              <xdr:cNvSpPr/>
            </xdr:nvSpPr>
            <xdr:spPr>
              <a:xfrm>
                <a:off x="16683879" y="341545"/>
                <a:ext cx="771526" cy="323850"/>
              </a:xfrm>
              <a:prstGeom prst="roundRect">
                <a:avLst/>
              </a:prstGeom>
              <a:solidFill>
                <a:sysClr val="window" lastClr="FFFFFF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100"/>
                  <a:t>1</a:t>
                </a:r>
              </a:p>
            </xdr:txBody>
          </xdr:sp>
          <xdr:pic>
            <xdr:nvPicPr>
              <xdr:cNvPr id="60" name="Imagem 59" descr="ícones Do Computador, Gráfico, Gráfico De Barras png transparente grátis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2D4E1C2E-AEB6-FF16-7C59-0204F2E090B0}"/>
                  </a:ext>
                </a:extLst>
              </xdr:cNvPr>
              <xdr:cNvPicPr preferRelativeResize="0">
                <a:picLocks noChangeArrowheads="1"/>
              </xdr:cNvPicPr>
            </xdr:nvPicPr>
            <xdr:blipFill rotWithShape="1">
              <a:blip xmlns:r="http://schemas.openxmlformats.org/officeDocument/2006/relationships" r:embed="rId10" cstate="print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BEBA8EAE-BF5A-486C-A8C5-ECC9F3942E4B}">
                    <a14:imgProps xmlns:a14="http://schemas.microsoft.com/office/drawing/2010/main">
                      <a14:imgLayer r:embed="rId11">
                        <a14:imgEffect>
                          <a14:backgroundRemoval t="14620" b="85965" l="27365" r="69595">
                            <a14:foregroundMark x1="37162" y1="42690" x2="37162" y2="42690"/>
                            <a14:foregroundMark x1="56757" y1="57310" x2="56757" y2="57310"/>
                            <a14:foregroundMark x1="66892" y1="73099" x2="66892" y2="73099"/>
                            <a14:foregroundMark x1="27365" y1="52047" x2="27365" y2="52047"/>
                            <a14:foregroundMark x1="52703" y1="85380" x2="52703" y2="85380"/>
                            <a14:foregroundMark x1="65541" y1="85965" x2="65541" y2="85965"/>
                          </a14:backgroundRemoval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5323" t="6249" r="24729" b="8681"/>
              <a:stretch/>
            </xdr:blipFill>
            <xdr:spPr bwMode="auto">
              <a:xfrm>
                <a:off x="16941178" y="416752"/>
                <a:ext cx="284883" cy="22959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39" name="Retângulo: Cantos Arredondados 3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35BE6696-E7D7-EC82-CE0C-1BA3112A2A6D}"/>
                </a:ext>
              </a:extLst>
            </xdr:cNvPr>
            <xdr:cNvSpPr/>
          </xdr:nvSpPr>
          <xdr:spPr>
            <a:xfrm>
              <a:off x="47625" y="320161"/>
              <a:ext cx="762000" cy="32400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ANA</a:t>
              </a:r>
            </a:p>
          </xdr:txBody>
        </xdr:sp>
        <xdr:sp macro="" textlink="">
          <xdr:nvSpPr>
            <xdr:cNvPr id="40" name="Retângulo: Cantos Arredondados 39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474F414B-EC05-F52C-8524-22530AB9B963}"/>
                </a:ext>
              </a:extLst>
            </xdr:cNvPr>
            <xdr:cNvSpPr/>
          </xdr:nvSpPr>
          <xdr:spPr>
            <a:xfrm>
              <a:off x="876300" y="320161"/>
              <a:ext cx="1047750" cy="32400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ADRIANO</a:t>
              </a:r>
            </a:p>
          </xdr:txBody>
        </xdr:sp>
        <xdr:sp macro="" textlink="">
          <xdr:nvSpPr>
            <xdr:cNvPr id="41" name="Retângulo: Cantos Arredondados 40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5F388E5-E7AF-A9A1-8CDF-8D4BEBD103E8}"/>
                </a:ext>
              </a:extLst>
            </xdr:cNvPr>
            <xdr:cNvSpPr/>
          </xdr:nvSpPr>
          <xdr:spPr>
            <a:xfrm>
              <a:off x="1990725" y="320161"/>
              <a:ext cx="1028700" cy="32400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JOÃO</a:t>
              </a:r>
            </a:p>
          </xdr:txBody>
        </xdr:sp>
        <xdr:sp macro="" textlink="">
          <xdr:nvSpPr>
            <xdr:cNvPr id="42" name="Retângulo: Cantos Arredondados 41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CFA2527B-076B-0749-AB9E-35FC92EABD35}"/>
                </a:ext>
              </a:extLst>
            </xdr:cNvPr>
            <xdr:cNvSpPr/>
          </xdr:nvSpPr>
          <xdr:spPr>
            <a:xfrm>
              <a:off x="3105150" y="320161"/>
              <a:ext cx="1028700" cy="32400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ROGERIO</a:t>
              </a:r>
            </a:p>
          </xdr:txBody>
        </xdr:sp>
        <xdr:sp macro="" textlink="">
          <xdr:nvSpPr>
            <xdr:cNvPr id="43" name="Retângulo: Cantos Arredondados 42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507DD6D2-4379-A40E-7D3E-CF6265A18877}"/>
                </a:ext>
              </a:extLst>
            </xdr:cNvPr>
            <xdr:cNvSpPr/>
          </xdr:nvSpPr>
          <xdr:spPr>
            <a:xfrm>
              <a:off x="4219575" y="320162"/>
              <a:ext cx="1028700" cy="323850"/>
            </a:xfrm>
            <a:prstGeom prst="roundRect">
              <a:avLst/>
            </a:prstGeom>
            <a:solidFill>
              <a:sysClr val="window" lastClr="FFFFFF"/>
            </a:solidFill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rgbClr val="2C4594"/>
                  </a:solidFill>
                </a:rPr>
                <a:t>MARCOS</a:t>
              </a:r>
            </a:p>
          </xdr:txBody>
        </xdr:sp>
        <xdr:grpSp>
          <xdr:nvGrpSpPr>
            <xdr:cNvPr id="44" name="Agrupar 43">
              <a:extLst>
                <a:ext uri="{FF2B5EF4-FFF2-40B4-BE49-F238E27FC236}">
                  <a16:creationId xmlns:a16="http://schemas.microsoft.com/office/drawing/2014/main" id="{AFD029C7-4D19-FB14-A730-D61E036857BF}"/>
                </a:ext>
              </a:extLst>
            </xdr:cNvPr>
            <xdr:cNvGrpSpPr/>
          </xdr:nvGrpSpPr>
          <xdr:grpSpPr>
            <a:xfrm>
              <a:off x="13931864" y="343607"/>
              <a:ext cx="805960" cy="307732"/>
              <a:chOff x="13931864" y="372915"/>
              <a:chExt cx="805960" cy="307732"/>
            </a:xfrm>
          </xdr:grpSpPr>
          <xdr:sp macro="[0]!Salvar" textlink="">
            <xdr:nvSpPr>
              <xdr:cNvPr id="45" name="Retângulo: Cantos Arredondados 44">
                <a:extLst>
                  <a:ext uri="{FF2B5EF4-FFF2-40B4-BE49-F238E27FC236}">
                    <a16:creationId xmlns:a16="http://schemas.microsoft.com/office/drawing/2014/main" id="{C2144C13-F837-27F9-166F-1B31B1412354}"/>
                  </a:ext>
                </a:extLst>
              </xdr:cNvPr>
              <xdr:cNvSpPr/>
            </xdr:nvSpPr>
            <xdr:spPr>
              <a:xfrm>
                <a:off x="13931864" y="372915"/>
                <a:ext cx="805960" cy="307732"/>
              </a:xfrm>
              <a:prstGeom prst="roundRect">
                <a:avLst/>
              </a:prstGeom>
              <a:solidFill>
                <a:sysClr val="window" lastClr="FFFFFF"/>
              </a:solidFill>
              <a:ln>
                <a:solidFill>
                  <a:srgbClr val="2C4594"/>
                </a:solidFill>
              </a:ln>
              <a:effectLst>
                <a:outerShdw blurRad="50800" dist="38100" dir="16200000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100" b="1">
                    <a:solidFill>
                      <a:srgbClr val="2C4594"/>
                    </a:solidFill>
                  </a:rPr>
                  <a:t>         </a:t>
                </a:r>
              </a:p>
            </xdr:txBody>
          </xdr:sp>
          <xdr:pic macro="[0]!Salvar">
            <xdr:nvPicPr>
              <xdr:cNvPr id="46" name="Imagem 45" descr="Opção de salvar arquivo - ícones de interface grátis">
                <a:extLst>
                  <a:ext uri="{FF2B5EF4-FFF2-40B4-BE49-F238E27FC236}">
                    <a16:creationId xmlns:a16="http://schemas.microsoft.com/office/drawing/2014/main" id="{352D64F0-2F9C-7B0B-97EE-EE3F061862C2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7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4210276" y="416877"/>
                <a:ext cx="248093" cy="23646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 macro="[0]!EstaPastaDeTrabalho.telaCheia">
        <xdr:nvPicPr>
          <xdr:cNvPr id="28" name="Imagem 27" descr="Botão de ícones do computador Monitores de computador, salvar tela inteira,  diversos, ângulo, texto png | PNGWing">
            <a:extLst>
              <a:ext uri="{FF2B5EF4-FFF2-40B4-BE49-F238E27FC236}">
                <a16:creationId xmlns:a16="http://schemas.microsoft.com/office/drawing/2014/main" id="{E151222B-D9AE-5ECB-1285-968B596BB28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8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ackgroundRemoval t="9890" b="91209" l="9816" r="89571">
                        <a14:foregroundMark x1="56087" y1="49023" x2="56087" y2="49023"/>
                        <a14:foregroundMark x1="32515" y1="91209" x2="32515" y2="91209"/>
                        <a14:backgroundMark x1="31902" y1="93407" x2="31902" y2="93407"/>
                        <a14:backgroundMark x1="31902" y1="92308" x2="31902" y2="9230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726350" y="286160"/>
            <a:ext cx="717385" cy="397009"/>
          </a:xfrm>
          <a:prstGeom prst="rect">
            <a:avLst/>
          </a:prstGeom>
          <a:noFill/>
          <a:effectLst>
            <a:outerShdw blurRad="50800" dist="38100" dir="16200000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 macro="[0]!EstaPastaDeTrabalho.telaNormal">
        <xdr:nvPicPr>
          <xdr:cNvPr id="29" name="Imagem 28">
            <a:extLst>
              <a:ext uri="{FF2B5EF4-FFF2-40B4-BE49-F238E27FC236}">
                <a16:creationId xmlns:a16="http://schemas.microsoft.com/office/drawing/2014/main" id="{D53C23F9-4D4B-A3CF-7FF9-52EFF01EF0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ackgroundRemoval t="6196" b="90435" l="6932" r="92614">
                        <a14:foregroundMark x1="38295" y1="40326" x2="38295" y2="40326"/>
                        <a14:foregroundMark x1="56364" y1="57609" x2="56364" y2="57609"/>
                        <a14:foregroundMark x1="92614" y1="40978" x2="92614" y2="40978"/>
                        <a14:foregroundMark x1="87955" y1="6304" x2="87955" y2="6304"/>
                        <a14:foregroundMark x1="22955" y1="90543" x2="22955" y2="90543"/>
                        <a14:foregroundMark x1="27045" y1="90543" x2="27045" y2="90543"/>
                        <a14:foregroundMark x1="6932" y1="77717" x2="6932" y2="7771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9477091" y="314555"/>
            <a:ext cx="369305" cy="373886"/>
          </a:xfrm>
          <a:prstGeom prst="rect">
            <a:avLst/>
          </a:prstGeom>
          <a:effectLst>
            <a:outerShdw blurRad="50800" dist="38100" dir="16200000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21</xdr:col>
      <xdr:colOff>158750</xdr:colOff>
      <xdr:row>33</xdr:row>
      <xdr:rowOff>47625</xdr:rowOff>
    </xdr:from>
    <xdr:to>
      <xdr:col>22</xdr:col>
      <xdr:colOff>111125</xdr:colOff>
      <xdr:row>33</xdr:row>
      <xdr:rowOff>322650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2C2551A-74B7-4906-B016-89C965C65DCB}"/>
            </a:ext>
          </a:extLst>
        </xdr:cNvPr>
        <xdr:cNvSpPr txBox="1"/>
      </xdr:nvSpPr>
      <xdr:spPr>
        <a:xfrm>
          <a:off x="8604250" y="754062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381000</xdr:colOff>
      <xdr:row>33</xdr:row>
      <xdr:rowOff>312152</xdr:rowOff>
    </xdr:from>
    <xdr:to>
      <xdr:col>21</xdr:col>
      <xdr:colOff>158750</xdr:colOff>
      <xdr:row>35</xdr:row>
      <xdr:rowOff>105777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ABCC65DE-9DCE-4832-9DA1-D160B52453BC}"/>
            </a:ext>
          </a:extLst>
        </xdr:cNvPr>
        <xdr:cNvCxnSpPr/>
      </xdr:nvCxnSpPr>
      <xdr:spPr>
        <a:xfrm flipH="1">
          <a:off x="8223250" y="780515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33</xdr:row>
      <xdr:rowOff>31750</xdr:rowOff>
    </xdr:from>
    <xdr:to>
      <xdr:col>39</xdr:col>
      <xdr:colOff>555625</xdr:colOff>
      <xdr:row>33</xdr:row>
      <xdr:rowOff>306775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C88FEDCD-7355-41C6-99CD-4485EB6CFA16}"/>
            </a:ext>
          </a:extLst>
        </xdr:cNvPr>
        <xdr:cNvSpPr txBox="1"/>
      </xdr:nvSpPr>
      <xdr:spPr>
        <a:xfrm>
          <a:off x="19431000" y="7524750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222250</xdr:colOff>
      <xdr:row>33</xdr:row>
      <xdr:rowOff>296277</xdr:rowOff>
    </xdr:from>
    <xdr:to>
      <xdr:col>39</xdr:col>
      <xdr:colOff>0</xdr:colOff>
      <xdr:row>35</xdr:row>
      <xdr:rowOff>89902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C50D280F-D77C-4EF2-9DAA-FEB8F104DD03}"/>
            </a:ext>
          </a:extLst>
        </xdr:cNvPr>
        <xdr:cNvCxnSpPr/>
      </xdr:nvCxnSpPr>
      <xdr:spPr>
        <a:xfrm flipH="1">
          <a:off x="19050000" y="7789277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158750</xdr:colOff>
      <xdr:row>57</xdr:row>
      <xdr:rowOff>127000</xdr:rowOff>
    </xdr:from>
    <xdr:to>
      <xdr:col>22</xdr:col>
      <xdr:colOff>111125</xdr:colOff>
      <xdr:row>58</xdr:row>
      <xdr:rowOff>21025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F56560EE-CA71-49B3-BC85-941E973E794F}"/>
            </a:ext>
          </a:extLst>
        </xdr:cNvPr>
        <xdr:cNvSpPr txBox="1"/>
      </xdr:nvSpPr>
      <xdr:spPr>
        <a:xfrm>
          <a:off x="8604250" y="13398500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381000</xdr:colOff>
      <xdr:row>58</xdr:row>
      <xdr:rowOff>10527</xdr:rowOff>
    </xdr:from>
    <xdr:to>
      <xdr:col>21</xdr:col>
      <xdr:colOff>158750</xdr:colOff>
      <xdr:row>59</xdr:row>
      <xdr:rowOff>185152</xdr:rowOff>
    </xdr:to>
    <xdr:cxnSp macro="">
      <xdr:nvCxnSpPr>
        <xdr:cNvPr id="52" name="Conector de Seta Reta 51">
          <a:extLst>
            <a:ext uri="{FF2B5EF4-FFF2-40B4-BE49-F238E27FC236}">
              <a16:creationId xmlns:a16="http://schemas.microsoft.com/office/drawing/2014/main" id="{C502D1E6-3BC5-46AF-A1B0-E469A3BA87D9}"/>
            </a:ext>
          </a:extLst>
        </xdr:cNvPr>
        <xdr:cNvCxnSpPr/>
      </xdr:nvCxnSpPr>
      <xdr:spPr>
        <a:xfrm flipH="1">
          <a:off x="8223250" y="13663027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523875</xdr:colOff>
      <xdr:row>57</xdr:row>
      <xdr:rowOff>15875</xdr:rowOff>
    </xdr:from>
    <xdr:to>
      <xdr:col>39</xdr:col>
      <xdr:colOff>476250</xdr:colOff>
      <xdr:row>57</xdr:row>
      <xdr:rowOff>290900</xdr:rowOff>
    </xdr:to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227FE555-6885-45E0-BBC7-1AB15162CF98}"/>
            </a:ext>
          </a:extLst>
        </xdr:cNvPr>
        <xdr:cNvSpPr txBox="1"/>
      </xdr:nvSpPr>
      <xdr:spPr>
        <a:xfrm>
          <a:off x="19351625" y="132873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142875</xdr:colOff>
      <xdr:row>57</xdr:row>
      <xdr:rowOff>280402</xdr:rowOff>
    </xdr:from>
    <xdr:to>
      <xdr:col>38</xdr:col>
      <xdr:colOff>523875</xdr:colOff>
      <xdr:row>59</xdr:row>
      <xdr:rowOff>74027</xdr:rowOff>
    </xdr:to>
    <xdr:cxnSp macro="">
      <xdr:nvCxnSpPr>
        <xdr:cNvPr id="54" name="Conector de Seta Reta 53">
          <a:extLst>
            <a:ext uri="{FF2B5EF4-FFF2-40B4-BE49-F238E27FC236}">
              <a16:creationId xmlns:a16="http://schemas.microsoft.com/office/drawing/2014/main" id="{B1533886-B0F2-47FB-9279-0FA9B5319FC5}"/>
            </a:ext>
          </a:extLst>
        </xdr:cNvPr>
        <xdr:cNvCxnSpPr/>
      </xdr:nvCxnSpPr>
      <xdr:spPr>
        <a:xfrm flipH="1">
          <a:off x="18970625" y="135519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190500</xdr:colOff>
      <xdr:row>82</xdr:row>
      <xdr:rowOff>333375</xdr:rowOff>
    </xdr:from>
    <xdr:to>
      <xdr:col>22</xdr:col>
      <xdr:colOff>142875</xdr:colOff>
      <xdr:row>83</xdr:row>
      <xdr:rowOff>227400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7A0AF666-E360-46F1-A969-0286C08E2207}"/>
            </a:ext>
          </a:extLst>
        </xdr:cNvPr>
        <xdr:cNvSpPr txBox="1"/>
      </xdr:nvSpPr>
      <xdr:spPr>
        <a:xfrm>
          <a:off x="8636000" y="191928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20</xdr:col>
      <xdr:colOff>412750</xdr:colOff>
      <xdr:row>83</xdr:row>
      <xdr:rowOff>216902</xdr:rowOff>
    </xdr:from>
    <xdr:to>
      <xdr:col>21</xdr:col>
      <xdr:colOff>190500</xdr:colOff>
      <xdr:row>84</xdr:row>
      <xdr:rowOff>201027</xdr:rowOff>
    </xdr:to>
    <xdr:cxnSp macro="">
      <xdr:nvCxnSpPr>
        <xdr:cNvPr id="56" name="Conector de Seta Reta 55">
          <a:extLst>
            <a:ext uri="{FF2B5EF4-FFF2-40B4-BE49-F238E27FC236}">
              <a16:creationId xmlns:a16="http://schemas.microsoft.com/office/drawing/2014/main" id="{B5712F62-14CF-455C-BF9B-EA51EE188FF6}"/>
            </a:ext>
          </a:extLst>
        </xdr:cNvPr>
        <xdr:cNvCxnSpPr/>
      </xdr:nvCxnSpPr>
      <xdr:spPr>
        <a:xfrm flipH="1">
          <a:off x="8255000" y="194574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</xdr:colOff>
      <xdr:row>83</xdr:row>
      <xdr:rowOff>15875</xdr:rowOff>
    </xdr:from>
    <xdr:to>
      <xdr:col>40</xdr:col>
      <xdr:colOff>15875</xdr:colOff>
      <xdr:row>83</xdr:row>
      <xdr:rowOff>290900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D48D17AD-3210-499C-8004-513F9C55B6B6}"/>
            </a:ext>
          </a:extLst>
        </xdr:cNvPr>
        <xdr:cNvSpPr txBox="1"/>
      </xdr:nvSpPr>
      <xdr:spPr>
        <a:xfrm>
          <a:off x="19494500" y="19256375"/>
          <a:ext cx="555625" cy="275025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rgbClr val="2C4594"/>
              </a:solidFill>
            </a:rPr>
            <a:t>META</a:t>
          </a:r>
        </a:p>
      </xdr:txBody>
    </xdr:sp>
    <xdr:clientData/>
  </xdr:twoCellAnchor>
  <xdr:twoCellAnchor>
    <xdr:from>
      <xdr:col>38</xdr:col>
      <xdr:colOff>285750</xdr:colOff>
      <xdr:row>83</xdr:row>
      <xdr:rowOff>280402</xdr:rowOff>
    </xdr:from>
    <xdr:to>
      <xdr:col>39</xdr:col>
      <xdr:colOff>63500</xdr:colOff>
      <xdr:row>84</xdr:row>
      <xdr:rowOff>264527</xdr:rowOff>
    </xdr:to>
    <xdr:cxnSp macro="">
      <xdr:nvCxnSpPr>
        <xdr:cNvPr id="58" name="Conector de Seta Reta 57">
          <a:extLst>
            <a:ext uri="{FF2B5EF4-FFF2-40B4-BE49-F238E27FC236}">
              <a16:creationId xmlns:a16="http://schemas.microsoft.com/office/drawing/2014/main" id="{F6DE9E9E-686D-4A89-9F9F-8DC52E72EAB4}"/>
            </a:ext>
          </a:extLst>
        </xdr:cNvPr>
        <xdr:cNvCxnSpPr/>
      </xdr:nvCxnSpPr>
      <xdr:spPr>
        <a:xfrm flipH="1">
          <a:off x="19113500" y="19520902"/>
          <a:ext cx="381000" cy="3651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127000</xdr:colOff>
      <xdr:row>6</xdr:row>
      <xdr:rowOff>142875</xdr:rowOff>
    </xdr:from>
    <xdr:to>
      <xdr:col>40</xdr:col>
      <xdr:colOff>560237</xdr:colOff>
      <xdr:row>8</xdr:row>
      <xdr:rowOff>83848</xdr:rowOff>
    </xdr:to>
    <xdr:sp macro="[0]!OCULTAR1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200F5DA5-7876-4D09-BC0F-6011DEBACEC4}"/>
            </a:ext>
          </a:extLst>
        </xdr:cNvPr>
        <xdr:cNvSpPr/>
      </xdr:nvSpPr>
      <xdr:spPr>
        <a:xfrm>
          <a:off x="19558000" y="131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6</xdr:row>
      <xdr:rowOff>142875</xdr:rowOff>
    </xdr:from>
    <xdr:to>
      <xdr:col>38</xdr:col>
      <xdr:colOff>576112</xdr:colOff>
      <xdr:row>8</xdr:row>
      <xdr:rowOff>83848</xdr:rowOff>
    </xdr:to>
    <xdr:sp macro="[0]!EXIBIR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237C801-0E4A-4182-B4B1-6811651146B4}"/>
            </a:ext>
          </a:extLst>
        </xdr:cNvPr>
        <xdr:cNvSpPr/>
      </xdr:nvSpPr>
      <xdr:spPr>
        <a:xfrm>
          <a:off x="18367375" y="131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127000</xdr:colOff>
      <xdr:row>27</xdr:row>
      <xdr:rowOff>142875</xdr:rowOff>
    </xdr:from>
    <xdr:to>
      <xdr:col>40</xdr:col>
      <xdr:colOff>560237</xdr:colOff>
      <xdr:row>29</xdr:row>
      <xdr:rowOff>83848</xdr:rowOff>
    </xdr:to>
    <xdr:sp macro="[0]!OCULTAR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38382BF6-E15A-4B9E-AB1C-4CC40CA10BFF}"/>
            </a:ext>
          </a:extLst>
        </xdr:cNvPr>
        <xdr:cNvSpPr/>
      </xdr:nvSpPr>
      <xdr:spPr>
        <a:xfrm>
          <a:off x="19558000" y="6032500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142875</xdr:colOff>
      <xdr:row>27</xdr:row>
      <xdr:rowOff>142875</xdr:rowOff>
    </xdr:from>
    <xdr:to>
      <xdr:col>38</xdr:col>
      <xdr:colOff>576112</xdr:colOff>
      <xdr:row>29</xdr:row>
      <xdr:rowOff>83848</xdr:rowOff>
    </xdr:to>
    <xdr:sp macro="[0]!EXIBIR2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491602B-4A51-4DBE-99EC-41D5FCFE7A7E}"/>
            </a:ext>
          </a:extLst>
        </xdr:cNvPr>
        <xdr:cNvSpPr/>
      </xdr:nvSpPr>
      <xdr:spPr>
        <a:xfrm>
          <a:off x="18367375" y="6032500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51</xdr:row>
      <xdr:rowOff>142875</xdr:rowOff>
    </xdr:from>
    <xdr:to>
      <xdr:col>40</xdr:col>
      <xdr:colOff>544362</xdr:colOff>
      <xdr:row>53</xdr:row>
      <xdr:rowOff>83848</xdr:rowOff>
    </xdr:to>
    <xdr:sp macro="[0]!OCULTAR3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7F0A5EC-D7BC-4FAE-AA2F-FC9EC6F292C8}"/>
            </a:ext>
          </a:extLst>
        </xdr:cNvPr>
        <xdr:cNvSpPr/>
      </xdr:nvSpPr>
      <xdr:spPr>
        <a:xfrm>
          <a:off x="19542125" y="11858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51</xdr:row>
      <xdr:rowOff>142875</xdr:rowOff>
    </xdr:from>
    <xdr:to>
      <xdr:col>38</xdr:col>
      <xdr:colOff>560237</xdr:colOff>
      <xdr:row>53</xdr:row>
      <xdr:rowOff>83848</xdr:rowOff>
    </xdr:to>
    <xdr:sp macro="[0]!EXIBIR3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D067D7E-7C14-43E7-8467-A38E1D26CB96}"/>
            </a:ext>
          </a:extLst>
        </xdr:cNvPr>
        <xdr:cNvSpPr/>
      </xdr:nvSpPr>
      <xdr:spPr>
        <a:xfrm>
          <a:off x="18351500" y="11858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39</xdr:col>
      <xdr:colOff>111125</xdr:colOff>
      <xdr:row>76</xdr:row>
      <xdr:rowOff>142875</xdr:rowOff>
    </xdr:from>
    <xdr:to>
      <xdr:col>40</xdr:col>
      <xdr:colOff>544362</xdr:colOff>
      <xdr:row>78</xdr:row>
      <xdr:rowOff>83848</xdr:rowOff>
    </xdr:to>
    <xdr:sp macro="[0]!OCULTAR4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271B84BB-7ABB-403A-A381-9548D7C8A152}"/>
            </a:ext>
          </a:extLst>
        </xdr:cNvPr>
        <xdr:cNvSpPr/>
      </xdr:nvSpPr>
      <xdr:spPr>
        <a:xfrm>
          <a:off x="19542125" y="1782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OCULTAR</a:t>
          </a:r>
        </a:p>
      </xdr:txBody>
    </xdr:sp>
    <xdr:clientData/>
  </xdr:twoCellAnchor>
  <xdr:twoCellAnchor>
    <xdr:from>
      <xdr:col>37</xdr:col>
      <xdr:colOff>127000</xdr:colOff>
      <xdr:row>76</xdr:row>
      <xdr:rowOff>142875</xdr:rowOff>
    </xdr:from>
    <xdr:to>
      <xdr:col>38</xdr:col>
      <xdr:colOff>560237</xdr:colOff>
      <xdr:row>78</xdr:row>
      <xdr:rowOff>83848</xdr:rowOff>
    </xdr:to>
    <xdr:sp macro="[0]!EXIBIR4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59C11A28-DFC3-4530-BBFF-A7DE3728E2E3}"/>
            </a:ext>
          </a:extLst>
        </xdr:cNvPr>
        <xdr:cNvSpPr/>
      </xdr:nvSpPr>
      <xdr:spPr>
        <a:xfrm>
          <a:off x="18351500" y="17827625"/>
          <a:ext cx="1036487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EXIBIR</a:t>
          </a:r>
        </a:p>
      </xdr:txBody>
    </xdr:sp>
    <xdr:clientData/>
  </xdr:twoCellAnchor>
  <xdr:twoCellAnchor>
    <xdr:from>
      <xdr:col>10</xdr:col>
      <xdr:colOff>40821</xdr:colOff>
      <xdr:row>1</xdr:row>
      <xdr:rowOff>122464</xdr:rowOff>
    </xdr:from>
    <xdr:to>
      <xdr:col>12</xdr:col>
      <xdr:colOff>108092</xdr:colOff>
      <xdr:row>3</xdr:row>
      <xdr:rowOff>63437</xdr:rowOff>
    </xdr:to>
    <xdr:sp macro="" textlink="">
      <xdr:nvSpPr>
        <xdr:cNvPr id="16" name="Retângulo: Cantos Arredondados 1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F123E90-0EF8-49EC-A4E4-010051062E6E}"/>
            </a:ext>
          </a:extLst>
        </xdr:cNvPr>
        <xdr:cNvSpPr/>
      </xdr:nvSpPr>
      <xdr:spPr>
        <a:xfrm>
          <a:off x="6667500" y="312964"/>
          <a:ext cx="1291913" cy="321973"/>
        </a:xfrm>
        <a:prstGeom prst="roundRect">
          <a:avLst/>
        </a:prstGeom>
        <a:solidFill>
          <a:sysClr val="window" lastClr="FFFFFF"/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2C4594"/>
              </a:solidFill>
            </a:rPr>
            <a:t>CGA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iza.porto\Desktop\Marco%20-%20Outubro%202023\Pasta.Outubro.xlsx" TargetMode="External"/><Relationship Id="rId1" Type="http://schemas.openxmlformats.org/officeDocument/2006/relationships/externalLinkPath" Target="Pasta.Outubr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ogério"/>
      <sheetName val="mauro"/>
      <sheetName val="marcos"/>
      <sheetName val="ana"/>
      <sheetName val="adriano"/>
      <sheetName val="CGA"/>
    </sheetNames>
    <sheetDataSet>
      <sheetData sheetId="0"/>
      <sheetData sheetId="1">
        <row r="7">
          <cell r="A7" t="str">
            <v>Aprovação do Cliente</v>
          </cell>
          <cell r="B7">
            <v>45230</v>
          </cell>
        </row>
        <row r="8">
          <cell r="A8" t="str">
            <v>Certificação do documento - Vibracon</v>
          </cell>
          <cell r="B8">
            <v>45230</v>
          </cell>
        </row>
        <row r="9">
          <cell r="A9" t="str">
            <v>MARCO - Envio do documento Certificado (Rev_0)</v>
          </cell>
          <cell r="B9">
            <v>45230</v>
          </cell>
        </row>
        <row r="11">
          <cell r="A11" t="str">
            <v>Aprovação do Cliente</v>
          </cell>
          <cell r="B11">
            <v>45230</v>
          </cell>
        </row>
        <row r="12">
          <cell r="A12" t="str">
            <v>Certificação do documento - Vibracon</v>
          </cell>
          <cell r="B12">
            <v>45230</v>
          </cell>
        </row>
        <row r="13">
          <cell r="A13" t="str">
            <v>MARCO - Envio do documento Certificado (Rev_0)</v>
          </cell>
          <cell r="B13">
            <v>45230</v>
          </cell>
        </row>
        <row r="19">
          <cell r="A19" t="str">
            <v>Aprovação do Cliente</v>
          </cell>
          <cell r="B19">
            <v>45216</v>
          </cell>
        </row>
        <row r="21">
          <cell r="A21" t="str">
            <v>Atendimento a Comentários</v>
          </cell>
          <cell r="B21">
            <v>45223</v>
          </cell>
        </row>
        <row r="22">
          <cell r="A22" t="str">
            <v>MARCO - Emissão Inicial (Rev_B)</v>
          </cell>
          <cell r="B22">
            <v>45223</v>
          </cell>
        </row>
        <row r="23">
          <cell r="A23" t="str">
            <v>Aprovação do Cliente</v>
          </cell>
          <cell r="B23">
            <v>45230</v>
          </cell>
        </row>
        <row r="26">
          <cell r="A26" t="str">
            <v>Aprovação do Cliente</v>
          </cell>
          <cell r="B26">
            <v>45216</v>
          </cell>
        </row>
        <row r="28">
          <cell r="A28" t="str">
            <v>Atendimento a Comentários</v>
          </cell>
          <cell r="B28">
            <v>45223</v>
          </cell>
        </row>
        <row r="29">
          <cell r="A29" t="str">
            <v>MARCO - Emissão Inicial (Rev_B)</v>
          </cell>
          <cell r="B29">
            <v>45223</v>
          </cell>
        </row>
        <row r="30">
          <cell r="A30" t="str">
            <v>Aprovação do Cliente</v>
          </cell>
          <cell r="B30">
            <v>45230</v>
          </cell>
        </row>
        <row r="35">
          <cell r="A35" t="str">
            <v>Aprovação do Cliente</v>
          </cell>
          <cell r="B35">
            <v>45216</v>
          </cell>
        </row>
        <row r="36">
          <cell r="A36" t="str">
            <v>Atendimento a Comentários</v>
          </cell>
          <cell r="B36">
            <v>45222</v>
          </cell>
        </row>
        <row r="37">
          <cell r="A37" t="str">
            <v>MARCO - Emissão Inicial (Rev_B)</v>
          </cell>
          <cell r="B37">
            <v>45222</v>
          </cell>
        </row>
        <row r="38">
          <cell r="A38" t="str">
            <v>Aprovação do Cliente</v>
          </cell>
          <cell r="B38">
            <v>45229</v>
          </cell>
        </row>
        <row r="41">
          <cell r="A41" t="str">
            <v>Aprovação do Cliente</v>
          </cell>
          <cell r="B41">
            <v>45216</v>
          </cell>
        </row>
        <row r="42">
          <cell r="A42" t="str">
            <v>Atendimento a Comentários</v>
          </cell>
          <cell r="B42">
            <v>45223</v>
          </cell>
        </row>
        <row r="43">
          <cell r="A43" t="str">
            <v>MARCO - Emissão Inicial (Rev_B)</v>
          </cell>
          <cell r="B43">
            <v>45223</v>
          </cell>
        </row>
        <row r="44">
          <cell r="A44" t="str">
            <v>Aprovação do Cliente</v>
          </cell>
          <cell r="B44">
            <v>45230</v>
          </cell>
        </row>
        <row r="49">
          <cell r="A49" t="str">
            <v>Aprovação do Cliente</v>
          </cell>
          <cell r="B49">
            <v>45216</v>
          </cell>
        </row>
        <row r="50">
          <cell r="A50" t="str">
            <v>Atendimento a Comentários</v>
          </cell>
          <cell r="B50">
            <v>45223</v>
          </cell>
        </row>
        <row r="51">
          <cell r="A51" t="str">
            <v>MARCO - Emissão Inicial (Rev_B)</v>
          </cell>
          <cell r="B51">
            <v>45223</v>
          </cell>
        </row>
        <row r="52">
          <cell r="A52" t="str">
            <v>Aprovação do Cliente</v>
          </cell>
          <cell r="B52">
            <v>45230</v>
          </cell>
        </row>
        <row r="55">
          <cell r="A55" t="str">
            <v>Aprovação do Cliente</v>
          </cell>
          <cell r="B55">
            <v>45230</v>
          </cell>
        </row>
        <row r="57">
          <cell r="A57" t="str">
            <v>Estimativa de tempo para recondicionamento total do VVS1</v>
          </cell>
          <cell r="B57">
            <v>45217</v>
          </cell>
        </row>
        <row r="58">
          <cell r="A58" t="str">
            <v>Estimativa de tempo para substituição dos conjuntos do VVS1</v>
          </cell>
          <cell r="B58">
            <v>45229</v>
          </cell>
        </row>
        <row r="60">
          <cell r="A60" t="str">
            <v>Elaboração do Plano de Trade Off</v>
          </cell>
          <cell r="B60">
            <v>45217</v>
          </cell>
        </row>
        <row r="61">
          <cell r="A61" t="str">
            <v>Apresentação do Plano de Trade Off</v>
          </cell>
          <cell r="B61">
            <v>45218</v>
          </cell>
        </row>
        <row r="63">
          <cell r="A63" t="str">
            <v>MARCO - Emissão Inicial (Rev_A)</v>
          </cell>
          <cell r="B63">
            <v>45229</v>
          </cell>
        </row>
        <row r="64">
          <cell r="A64" t="str">
            <v>Aprovação do Cliente</v>
          </cell>
          <cell r="B64">
            <v>45230</v>
          </cell>
        </row>
        <row r="69">
          <cell r="A69" t="str">
            <v>Revisão FEM</v>
          </cell>
          <cell r="B69">
            <v>45224</v>
          </cell>
        </row>
        <row r="72">
          <cell r="A72" t="str">
            <v>MARCO - Emissão Inicial (Rev_A)</v>
          </cell>
          <cell r="B72">
            <v>45224</v>
          </cell>
        </row>
        <row r="74">
          <cell r="A74" t="str">
            <v>MARCO - Emissão Inicial (Rev_A)</v>
          </cell>
          <cell r="B74">
            <v>45224</v>
          </cell>
        </row>
        <row r="78">
          <cell r="A78" t="str">
            <v>Coleta</v>
          </cell>
          <cell r="B78">
            <v>45229</v>
          </cell>
        </row>
        <row r="80">
          <cell r="A80" t="str">
            <v>Elaboração do Relatório de Campo</v>
          </cell>
          <cell r="B80">
            <v>45223</v>
          </cell>
        </row>
        <row r="83">
          <cell r="A83" t="str">
            <v>MARCO - Emissão Inicial (Rev_A)</v>
          </cell>
          <cell r="B83">
            <v>45223</v>
          </cell>
        </row>
        <row r="87">
          <cell r="A87" t="str">
            <v>Cálculo das Ligações</v>
          </cell>
          <cell r="B87">
            <v>45210</v>
          </cell>
        </row>
        <row r="88">
          <cell r="A88" t="str">
            <v>Revisão do Desenho Esquemático</v>
          </cell>
          <cell r="B88">
            <v>45211</v>
          </cell>
        </row>
        <row r="91">
          <cell r="A91" t="str">
            <v>MARCO - Emissão Inicial</v>
          </cell>
          <cell r="B91">
            <v>45215</v>
          </cell>
        </row>
        <row r="95">
          <cell r="A95" t="str">
            <v>Coleta Extensométrica</v>
          </cell>
          <cell r="B95">
            <v>45217</v>
          </cell>
        </row>
        <row r="96">
          <cell r="A96" t="str">
            <v>Coleta Extensométrica e Acelerométrica</v>
          </cell>
          <cell r="B96">
            <v>45229</v>
          </cell>
        </row>
        <row r="97">
          <cell r="A97" t="str">
            <v>Inspeção Visual</v>
          </cell>
          <cell r="B97">
            <v>45229</v>
          </cell>
        </row>
        <row r="98">
          <cell r="A98" t="str">
            <v>Escaneamento 3D</v>
          </cell>
          <cell r="B98">
            <v>45229</v>
          </cell>
        </row>
        <row r="100">
          <cell r="A100" t="str">
            <v>Análise dos Dados Coletados</v>
          </cell>
          <cell r="B100">
            <v>45224</v>
          </cell>
        </row>
        <row r="101">
          <cell r="A101" t="str">
            <v>Modelagem CAD - Condição de Projeto</v>
          </cell>
          <cell r="B101">
            <v>45224</v>
          </cell>
        </row>
        <row r="102">
          <cell r="A102" t="str">
            <v>Modelagem FEM - Condição de Projeto</v>
          </cell>
          <cell r="B102">
            <v>45226</v>
          </cell>
        </row>
        <row r="103">
          <cell r="A103" t="str">
            <v>Aplicação das Condições de Contorno</v>
          </cell>
          <cell r="B103">
            <v>45230</v>
          </cell>
        </row>
        <row r="104">
          <cell r="A104" t="str">
            <v>Elaboração do Relatório de Campo</v>
          </cell>
          <cell r="B104">
            <v>45226</v>
          </cell>
        </row>
        <row r="105">
          <cell r="A105" t="str">
            <v>Tratamento de Nuvem de Pontos</v>
          </cell>
          <cell r="B105">
            <v>45229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78CCB-9294-4211-9E68-B187AA0D588F}">
  <sheetPr codeName="Planilha7"/>
  <dimension ref="A1:BP409"/>
  <sheetViews>
    <sheetView showGridLines="0" tabSelected="1" topLeftCell="B1" zoomScale="60" zoomScaleNormal="60" workbookViewId="0">
      <pane ySplit="5" topLeftCell="A6" activePane="bottomLeft" state="frozen"/>
      <selection pane="bottomLeft" activeCell="O24" sqref="O24"/>
    </sheetView>
  </sheetViews>
  <sheetFormatPr defaultRowHeight="14.5" x14ac:dyDescent="0.35"/>
  <cols>
    <col min="1" max="1" width="20.26953125" hidden="1" customWidth="1"/>
    <col min="2" max="2" width="79.453125" style="29" customWidth="1"/>
    <col min="3" max="6" width="8.26953125" style="29" customWidth="1"/>
    <col min="7" max="7" width="8.26953125" style="90" customWidth="1"/>
    <col min="8" max="10" width="8.26953125" style="29" customWidth="1"/>
    <col min="11" max="11" width="8.26953125" style="89" customWidth="1"/>
    <col min="12" max="12" width="8.26953125" style="90" customWidth="1"/>
    <col min="13" max="15" width="8.26953125" style="29" customWidth="1"/>
    <col min="16" max="16" width="8.26953125" style="89" customWidth="1"/>
    <col min="17" max="17" width="8.26953125" style="90" customWidth="1"/>
    <col min="18" max="20" width="8.26953125" style="29" customWidth="1"/>
    <col min="21" max="21" width="8.26953125" style="89" customWidth="1"/>
    <col min="22" max="24" width="8.26953125" style="29" customWidth="1"/>
    <col min="25" max="28" width="8.1796875" style="29" customWidth="1"/>
    <col min="29" max="30" width="8.1796875" style="29" hidden="1" customWidth="1"/>
    <col min="31" max="31" width="72.453125" style="3" customWidth="1"/>
    <col min="32" max="32" width="37.81640625" style="49" customWidth="1"/>
    <col min="33" max="33" width="35.54296875" style="52" customWidth="1"/>
    <col min="34" max="34" width="81.453125" style="49" customWidth="1"/>
    <col min="35" max="44" width="9.7265625" style="29" customWidth="1"/>
    <col min="45" max="45" width="9.7265625" style="4" customWidth="1"/>
    <col min="46" max="52" width="9.7265625" customWidth="1"/>
    <col min="53" max="53" width="8.7265625" customWidth="1"/>
    <col min="54" max="63" width="9.7265625" customWidth="1"/>
    <col min="64" max="68" width="9.1796875" customWidth="1"/>
  </cols>
  <sheetData>
    <row r="1" spans="1:68" ht="6.75" customHeight="1" x14ac:dyDescent="0.35">
      <c r="AE1"/>
    </row>
    <row r="2" spans="1:68" ht="15" customHeight="1" x14ac:dyDescent="0.35">
      <c r="AE2" s="1"/>
      <c r="AF2" s="50"/>
      <c r="AG2" s="53"/>
      <c r="AH2" s="50"/>
    </row>
    <row r="3" spans="1:68" ht="36.75" customHeight="1" x14ac:dyDescent="0.35">
      <c r="AE3" s="1"/>
      <c r="AF3" s="50"/>
      <c r="AG3" s="53"/>
      <c r="AH3" s="50"/>
    </row>
    <row r="4" spans="1:68" ht="35.25" customHeight="1" x14ac:dyDescent="0.35">
      <c r="B4" s="156"/>
      <c r="C4" s="151">
        <v>45201</v>
      </c>
      <c r="D4" s="151">
        <v>45202</v>
      </c>
      <c r="E4" s="151">
        <v>45203</v>
      </c>
      <c r="F4" s="151">
        <v>45204</v>
      </c>
      <c r="G4" s="151">
        <v>45205</v>
      </c>
      <c r="H4" s="151">
        <v>45208</v>
      </c>
      <c r="I4" s="151">
        <v>45209</v>
      </c>
      <c r="J4" s="151">
        <v>45210</v>
      </c>
      <c r="K4" s="151">
        <v>45211</v>
      </c>
      <c r="L4" s="151">
        <v>45212</v>
      </c>
      <c r="M4" s="151">
        <v>45215</v>
      </c>
      <c r="N4" s="151">
        <v>45216</v>
      </c>
      <c r="O4" s="151">
        <v>45217</v>
      </c>
      <c r="P4" s="151">
        <v>45218</v>
      </c>
      <c r="Q4" s="151">
        <v>45219</v>
      </c>
      <c r="R4" s="151">
        <v>45222</v>
      </c>
      <c r="S4" s="151">
        <v>45223</v>
      </c>
      <c r="T4" s="151">
        <v>45224</v>
      </c>
      <c r="U4" s="151">
        <v>45225</v>
      </c>
      <c r="V4" s="151">
        <v>45226</v>
      </c>
      <c r="W4" s="153">
        <v>45229</v>
      </c>
      <c r="X4" s="153">
        <v>45230</v>
      </c>
      <c r="Y4" s="145" t="s">
        <v>9</v>
      </c>
      <c r="Z4" s="146"/>
      <c r="AA4" s="146"/>
      <c r="AB4" s="147"/>
      <c r="AC4" s="135"/>
      <c r="AD4" s="135"/>
      <c r="AE4" s="137" t="s">
        <v>16</v>
      </c>
      <c r="AF4" s="139" t="s">
        <v>0</v>
      </c>
      <c r="AG4" s="141" t="s">
        <v>1</v>
      </c>
      <c r="AH4" s="143" t="s">
        <v>12</v>
      </c>
      <c r="AI4" s="65"/>
      <c r="AJ4" s="65"/>
      <c r="AK4" s="63"/>
      <c r="AL4" s="63"/>
      <c r="AM4" s="63"/>
      <c r="AN4" s="63"/>
      <c r="AO4" s="63"/>
      <c r="AP4" s="63"/>
      <c r="AQ4" s="84"/>
      <c r="AR4" s="84"/>
    </row>
    <row r="5" spans="1:68" ht="15" customHeight="1" x14ac:dyDescent="0.35">
      <c r="B5" s="157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4"/>
      <c r="X5" s="154"/>
      <c r="Y5" s="148"/>
      <c r="Z5" s="149"/>
      <c r="AA5" s="149"/>
      <c r="AB5" s="150"/>
      <c r="AC5" s="136"/>
      <c r="AD5" s="136"/>
      <c r="AE5" s="138"/>
      <c r="AF5" s="140"/>
      <c r="AG5" s="142"/>
      <c r="AH5" s="144"/>
      <c r="AI5" s="65"/>
      <c r="AJ5" s="65"/>
      <c r="AK5" s="64"/>
      <c r="AL5" s="64"/>
      <c r="AM5" s="64"/>
      <c r="AN5" s="64"/>
      <c r="AO5" s="64"/>
      <c r="AP5" s="64"/>
      <c r="AQ5" s="84"/>
      <c r="AR5" s="84"/>
    </row>
    <row r="6" spans="1:68" ht="30" customHeight="1" x14ac:dyDescent="0.35">
      <c r="B6" s="55" t="s">
        <v>41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95"/>
      <c r="Y6" s="122"/>
      <c r="Z6" s="123"/>
      <c r="AA6" s="123"/>
      <c r="AB6" s="124"/>
      <c r="AC6" s="55"/>
      <c r="AD6" s="55"/>
      <c r="AE6" s="68" t="str">
        <f t="shared" ref="AE6" si="0">IF(Y6="ATRASADO",B6,"")</f>
        <v/>
      </c>
      <c r="AF6" s="68"/>
      <c r="AG6" s="68"/>
      <c r="AH6" s="68"/>
      <c r="AI6" s="69">
        <f>COUNTIF(C6:G6,"ok")</f>
        <v>0</v>
      </c>
      <c r="AJ6" s="69" t="str">
        <f t="shared" ref="AJ6" si="1">IF(AND(AI6=1,OR($Y6="entregue",$Y6="efprazo")),$Y6,"")</f>
        <v/>
      </c>
      <c r="AK6" s="69">
        <f>COUNTIF(H6:L6,"ok")</f>
        <v>0</v>
      </c>
      <c r="AL6" s="69" t="str">
        <f t="shared" ref="AL6" si="2">IF(AND(AK6=1,OR($Y6="entregue",$Y6="efprazo")),$Y6,"")</f>
        <v/>
      </c>
      <c r="AM6" s="69">
        <f>COUNTIF(M6:Q6,"ok")</f>
        <v>0</v>
      </c>
      <c r="AN6" s="69" t="str">
        <f t="shared" ref="AN6" si="3">IF(AND(AM6=1,OR($Y6="entregue",$Y6="efprazo")),$Y6,"")</f>
        <v/>
      </c>
      <c r="AO6" s="69">
        <f>COUNTIF(R6:V6,"ok")</f>
        <v>0</v>
      </c>
      <c r="AP6" s="69" t="str">
        <f t="shared" ref="AP6" si="4">IF(AND(AO6=1,OR($Y6="entregue",$Y6="efprazo")),$Y6,"")</f>
        <v/>
      </c>
      <c r="AQ6" s="69">
        <f>COUNTIF(W6:X6,"ok")</f>
        <v>0</v>
      </c>
      <c r="AR6" s="69" t="str">
        <f>IF(AND(AQ6=1,OR($Y6="entregue",$Y6="efprazo")),$Y6,"")</f>
        <v/>
      </c>
      <c r="AS6" s="125" t="s">
        <v>25</v>
      </c>
      <c r="AT6" s="125"/>
      <c r="AU6" s="125"/>
      <c r="AV6" s="125"/>
      <c r="AW6" s="67"/>
      <c r="AX6" s="125" t="s">
        <v>24</v>
      </c>
      <c r="AY6" s="125"/>
      <c r="AZ6" s="125"/>
      <c r="BA6" s="125"/>
      <c r="BB6" s="67"/>
      <c r="BC6" s="125" t="s">
        <v>30</v>
      </c>
      <c r="BD6" s="125"/>
      <c r="BE6" s="125"/>
      <c r="BF6" s="125"/>
      <c r="BG6" s="67"/>
      <c r="BH6" s="125" t="s">
        <v>29</v>
      </c>
      <c r="BI6" s="125"/>
      <c r="BJ6" s="125"/>
      <c r="BK6" s="125"/>
      <c r="BL6" s="67"/>
      <c r="BM6" s="125" t="s">
        <v>39</v>
      </c>
      <c r="BN6" s="125"/>
      <c r="BO6" s="125"/>
      <c r="BP6" s="125"/>
    </row>
    <row r="7" spans="1:68" ht="30" customHeight="1" x14ac:dyDescent="0.35">
      <c r="B7" s="56" t="s">
        <v>42</v>
      </c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96"/>
      <c r="Y7" s="129"/>
      <c r="Z7" s="130"/>
      <c r="AA7" s="130"/>
      <c r="AB7" s="134"/>
      <c r="AC7" s="56"/>
      <c r="AD7" s="56"/>
      <c r="AE7" s="68" t="str">
        <f t="shared" ref="AE7:AE73" si="5">IF(Y7="ATRASADO",B7,"")</f>
        <v/>
      </c>
      <c r="AF7" s="68"/>
      <c r="AG7" s="68"/>
      <c r="AH7" s="68"/>
      <c r="AI7" s="69">
        <f t="shared" ref="AI7:AI73" si="6">COUNTIF(C7:G7,"ok")</f>
        <v>0</v>
      </c>
      <c r="AJ7" s="69" t="str">
        <f t="shared" ref="AJ7:AJ73" si="7">IF(AND(AI7=1,OR($Y7="entregue",$Y7="efprazo")),$Y7,"")</f>
        <v/>
      </c>
      <c r="AK7" s="69">
        <f t="shared" ref="AK7:AK73" si="8">COUNTIF(H7:L7,"ok")</f>
        <v>0</v>
      </c>
      <c r="AL7" s="69" t="str">
        <f t="shared" ref="AL7:AL73" si="9">IF(AND(AK7=1,OR($Y7="entregue",$Y7="efprazo")),$Y7,"")</f>
        <v/>
      </c>
      <c r="AM7" s="69">
        <f t="shared" ref="AM7:AM73" si="10">COUNTIF(M7:Q7,"ok")</f>
        <v>0</v>
      </c>
      <c r="AN7" s="69" t="str">
        <f t="shared" ref="AN7:AN73" si="11">IF(AND(AM7=1,OR($Y7="entregue",$Y7="efprazo")),$Y7,"")</f>
        <v/>
      </c>
      <c r="AO7" s="69">
        <f t="shared" ref="AO7:AO73" si="12">COUNTIF(R7:V7,"ok")</f>
        <v>0</v>
      </c>
      <c r="AP7" s="69" t="str">
        <f t="shared" ref="AP7:AP73" si="13">IF(AND(AO7=1,OR($Y7="entregue",$Y7="efprazo")),$Y7,"")</f>
        <v/>
      </c>
      <c r="AQ7" s="69">
        <f t="shared" ref="AQ7:AQ73" si="14">COUNTIF(W7:X7,"ok")</f>
        <v>0</v>
      </c>
      <c r="AR7" s="69" t="str">
        <f t="shared" ref="AR7:AR73" si="15">IF(AND(AQ7=1,OR($Y7="entregue",$Y7="efprazo")),$Y7,"")</f>
        <v/>
      </c>
      <c r="AS7" s="126" t="s">
        <v>2</v>
      </c>
      <c r="AT7" s="126"/>
      <c r="AU7" s="126"/>
      <c r="AV7" s="70">
        <f>COUNTIF(AJ:AJ,"ENTREGUE")</f>
        <v>0</v>
      </c>
      <c r="AW7" s="67"/>
      <c r="AX7" s="126" t="s">
        <v>2</v>
      </c>
      <c r="AY7" s="126"/>
      <c r="AZ7" s="126"/>
      <c r="BA7" s="70" cm="1">
        <f t="array" ref="BA7">SUM(COUNTIF(AJ:AL,{"ENTREGUE";"EFPRAZO"}))</f>
        <v>2</v>
      </c>
      <c r="BB7" s="67"/>
      <c r="BC7" s="126" t="s">
        <v>2</v>
      </c>
      <c r="BD7" s="126"/>
      <c r="BE7" s="126"/>
      <c r="BF7" s="70" cm="1">
        <f t="array" ref="BF7">SUM(COUNTIF(AJ:AN,{"ENTREGUE";"EFPRAZO"}))</f>
        <v>11</v>
      </c>
      <c r="BG7" s="67"/>
      <c r="BH7" s="126" t="s">
        <v>2</v>
      </c>
      <c r="BI7" s="126"/>
      <c r="BJ7" s="126"/>
      <c r="BK7" s="70" cm="1">
        <f t="array" ref="BK7">SUM(COUNTIF(AJ:AP,{"ENTREGUE";"EFPRAZO"}))</f>
        <v>17</v>
      </c>
      <c r="BL7" s="67"/>
      <c r="BM7" s="126" t="s">
        <v>2</v>
      </c>
      <c r="BN7" s="126"/>
      <c r="BO7" s="126"/>
      <c r="BP7" s="70" cm="1">
        <f t="array" ref="BP7">SUM(COUNTIF(AJ:AR,{"ENTREGUE";"EFPRAZO"}))</f>
        <v>21</v>
      </c>
    </row>
    <row r="8" spans="1:68" ht="30" customHeight="1" x14ac:dyDescent="0.35">
      <c r="B8" s="57" t="s">
        <v>43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97"/>
      <c r="Y8" s="127"/>
      <c r="Z8" s="128"/>
      <c r="AA8" s="128"/>
      <c r="AB8" s="155"/>
      <c r="AC8" s="57"/>
      <c r="AD8" s="57"/>
      <c r="AE8" s="68" t="str">
        <f t="shared" si="5"/>
        <v/>
      </c>
      <c r="AF8" s="68"/>
      <c r="AG8" s="68"/>
      <c r="AH8" s="68"/>
      <c r="AI8" s="69">
        <f t="shared" si="6"/>
        <v>0</v>
      </c>
      <c r="AJ8" s="69" t="str">
        <f t="shared" si="7"/>
        <v/>
      </c>
      <c r="AK8" s="69">
        <f t="shared" si="8"/>
        <v>0</v>
      </c>
      <c r="AL8" s="69" t="str">
        <f t="shared" si="9"/>
        <v/>
      </c>
      <c r="AM8" s="69">
        <f t="shared" si="10"/>
        <v>0</v>
      </c>
      <c r="AN8" s="69" t="str">
        <f t="shared" si="11"/>
        <v/>
      </c>
      <c r="AO8" s="69">
        <f t="shared" si="12"/>
        <v>0</v>
      </c>
      <c r="AP8" s="69" t="str">
        <f t="shared" si="13"/>
        <v/>
      </c>
      <c r="AQ8" s="69">
        <f t="shared" si="14"/>
        <v>0</v>
      </c>
      <c r="AR8" s="69" t="str">
        <f t="shared" si="15"/>
        <v/>
      </c>
      <c r="AS8" s="126" t="s">
        <v>3</v>
      </c>
      <c r="AT8" s="126"/>
      <c r="AU8" s="126"/>
      <c r="AV8" s="70">
        <f>SUM(COUNTIF(C:G,"OK"))</f>
        <v>0</v>
      </c>
      <c r="AW8" s="67"/>
      <c r="AX8" s="126" t="s">
        <v>3</v>
      </c>
      <c r="AY8" s="126"/>
      <c r="AZ8" s="126"/>
      <c r="BA8" s="70">
        <f>SUM(COUNTIF(C:L,"OK"))</f>
        <v>2</v>
      </c>
      <c r="BB8" s="67"/>
      <c r="BC8" s="126" t="s">
        <v>3</v>
      </c>
      <c r="BD8" s="126"/>
      <c r="BE8" s="126"/>
      <c r="BF8" s="70">
        <f>SUM(COUNTIF(C:Q,"OK"))</f>
        <v>12</v>
      </c>
      <c r="BG8" s="67"/>
      <c r="BH8" s="126" t="s">
        <v>3</v>
      </c>
      <c r="BI8" s="126"/>
      <c r="BJ8" s="126"/>
      <c r="BK8" s="70">
        <f>SUM(COUNTIF(C:V,"OK"))</f>
        <v>31</v>
      </c>
      <c r="BL8" s="67"/>
      <c r="BM8" s="126" t="s">
        <v>3</v>
      </c>
      <c r="BN8" s="126"/>
      <c r="BO8" s="126"/>
      <c r="BP8" s="70">
        <f>SUM(COUNTIF(C:X,"OK"))</f>
        <v>52</v>
      </c>
    </row>
    <row r="9" spans="1:68" ht="30" customHeight="1" x14ac:dyDescent="0.35">
      <c r="A9" s="29"/>
      <c r="B9" s="59" t="s">
        <v>44</v>
      </c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98"/>
      <c r="Y9" s="131"/>
      <c r="Z9" s="132"/>
      <c r="AA9" s="132"/>
      <c r="AB9" s="133"/>
      <c r="AC9" s="66"/>
      <c r="AD9" s="66"/>
      <c r="AE9" s="68" t="str">
        <f t="shared" si="5"/>
        <v/>
      </c>
      <c r="AF9" s="68"/>
      <c r="AG9" s="68"/>
      <c r="AH9" s="68"/>
      <c r="AI9" s="69">
        <f t="shared" si="6"/>
        <v>0</v>
      </c>
      <c r="AJ9" s="69" t="str">
        <f t="shared" si="7"/>
        <v/>
      </c>
      <c r="AK9" s="69">
        <f t="shared" si="8"/>
        <v>0</v>
      </c>
      <c r="AL9" s="69" t="str">
        <f t="shared" si="9"/>
        <v/>
      </c>
      <c r="AM9" s="69">
        <f t="shared" si="10"/>
        <v>0</v>
      </c>
      <c r="AN9" s="69" t="str">
        <f t="shared" si="11"/>
        <v/>
      </c>
      <c r="AO9" s="69">
        <f t="shared" si="12"/>
        <v>0</v>
      </c>
      <c r="AP9" s="69" t="str">
        <f t="shared" si="13"/>
        <v/>
      </c>
      <c r="AQ9" s="69">
        <f t="shared" si="14"/>
        <v>0</v>
      </c>
      <c r="AR9" s="69" t="str">
        <f t="shared" si="15"/>
        <v/>
      </c>
      <c r="AS9" s="126" t="s">
        <v>4</v>
      </c>
      <c r="AT9" s="126"/>
      <c r="AU9" s="126"/>
      <c r="AV9" s="71">
        <v>0.4</v>
      </c>
      <c r="AW9" s="67"/>
      <c r="AX9" s="126" t="s">
        <v>4</v>
      </c>
      <c r="AY9" s="126"/>
      <c r="AZ9" s="126"/>
      <c r="BA9" s="71">
        <f>BA7/BA8</f>
        <v>1</v>
      </c>
      <c r="BB9" s="67"/>
      <c r="BC9" s="126" t="s">
        <v>4</v>
      </c>
      <c r="BD9" s="126"/>
      <c r="BE9" s="126"/>
      <c r="BF9" s="71">
        <f>BF7/BF8</f>
        <v>0.91666666666666663</v>
      </c>
      <c r="BG9" s="67"/>
      <c r="BH9" s="126" t="s">
        <v>4</v>
      </c>
      <c r="BI9" s="126"/>
      <c r="BJ9" s="126"/>
      <c r="BK9" s="71">
        <f>BK7/BK8</f>
        <v>0.54838709677419351</v>
      </c>
      <c r="BL9" s="67"/>
      <c r="BM9" s="126" t="s">
        <v>4</v>
      </c>
      <c r="BN9" s="126"/>
      <c r="BO9" s="126"/>
      <c r="BP9" s="71">
        <f>BP7/BP8</f>
        <v>0.40384615384615385</v>
      </c>
    </row>
    <row r="10" spans="1:68" ht="30" customHeight="1" x14ac:dyDescent="0.35">
      <c r="A10" s="29" t="str">
        <f>CONCATENATE($B$7,"
",$B$8,"
",$B$9)</f>
        <v>PT070 - ESTUDO DAS MÁQUINAS DE PÁTIO (CAPANEMA, TIMBOPEBA E BRUCUTU)
Empilhadeira 2
MARCO - MEMÓRIA DE CÁLCULO</v>
      </c>
      <c r="B10" s="60" t="s">
        <v>19</v>
      </c>
      <c r="C10" s="91" t="str">
        <f>IF(AND($B10=[1]mauro!$A7,[1]mauro!$B7=C$4),"ok","nok")</f>
        <v>nok</v>
      </c>
      <c r="D10" s="91" t="str">
        <f>IF(AND($B10=[1]mauro!$A7,[1]mauro!$B7=D$4),"ok","nok")</f>
        <v>nok</v>
      </c>
      <c r="E10" s="91" t="str">
        <f>IF(AND($B10=[1]mauro!$A7,[1]mauro!$B7=E$4),"ok","nok")</f>
        <v>nok</v>
      </c>
      <c r="F10" s="91" t="str">
        <f>IF(AND($B10=[1]mauro!$A7,[1]mauro!$B7=F$4),"ok","nok")</f>
        <v>nok</v>
      </c>
      <c r="G10" s="91" t="str">
        <f>IF(AND($B10=[1]mauro!$A7,[1]mauro!$B7=G$4),"ok","nok")</f>
        <v>nok</v>
      </c>
      <c r="H10" s="91" t="str">
        <f>IF(AND($B10=[1]mauro!$A7,[1]mauro!$B7=H$4),"ok","nok")</f>
        <v>nok</v>
      </c>
      <c r="I10" s="103"/>
      <c r="J10" s="91" t="str">
        <f>IF(AND($B10=[1]mauro!$A7,[1]mauro!$B7=J$4),"ok","nok")</f>
        <v>nok</v>
      </c>
      <c r="K10" s="91" t="str">
        <f>IF(AND($B10=[1]mauro!$A7,[1]mauro!$B7=K$4),"ok","nok")</f>
        <v>nok</v>
      </c>
      <c r="L10" s="91" t="str">
        <f>IF(AND($B10=[1]mauro!$A7,[1]mauro!$B7=L$4),"ok","nok")</f>
        <v>nok</v>
      </c>
      <c r="M10" s="91" t="str">
        <f>IF(AND($B10=[1]mauro!$A7,[1]mauro!$B7=M$4),"ok","nok")</f>
        <v>nok</v>
      </c>
      <c r="N10" s="91" t="str">
        <f>IF(AND($B10=[1]mauro!$A7,[1]mauro!$B7=N$4),"ok","nok")</f>
        <v>nok</v>
      </c>
      <c r="O10" s="91" t="str">
        <f>IF(AND($B10=[1]mauro!$A7,[1]mauro!$B7=O$4),"ok","nok")</f>
        <v>nok</v>
      </c>
      <c r="P10" s="91" t="str">
        <f>IF(AND($B10=[1]mauro!$A7,[1]mauro!$B7=P$4),"ok","nok")</f>
        <v>nok</v>
      </c>
      <c r="Q10" s="91" t="str">
        <f>IF(AND($B10=[1]mauro!$A7,[1]mauro!$B7=Q$4),"ok","nok")</f>
        <v>nok</v>
      </c>
      <c r="R10" s="91" t="str">
        <f>IF(AND($B10=[1]mauro!$A7,[1]mauro!$B7=R$4),"ok","nok")</f>
        <v>nok</v>
      </c>
      <c r="S10" s="91" t="str">
        <f>IF(AND($B10=[1]mauro!$A7,[1]mauro!$B7=S$4),"ok","nok")</f>
        <v>nok</v>
      </c>
      <c r="T10" s="91" t="str">
        <f>IF(AND($B10=[1]mauro!$A7,[1]mauro!$B7=T$4),"ok","nok")</f>
        <v>nok</v>
      </c>
      <c r="U10" s="91" t="str">
        <f>IF(AND($B10=[1]mauro!$A7,[1]mauro!$B7=U$4),"ok","nok")</f>
        <v>nok</v>
      </c>
      <c r="V10" s="91" t="str">
        <f>IF(AND($B10=[1]mauro!$A7,[1]mauro!$B7=V$4),"ok","nok")</f>
        <v>nok</v>
      </c>
      <c r="W10" s="91" t="str">
        <f>IF(AND($B10=[1]mauro!$A7,[1]mauro!$B7=W$4),"ok","nok")</f>
        <v>nok</v>
      </c>
      <c r="X10" s="91" t="str">
        <f>IF(AND($B10=[1]mauro!$A7,[1]mauro!$B7=X$4),"ok","nok")</f>
        <v>ok</v>
      </c>
      <c r="Y10" s="112" t="s">
        <v>2</v>
      </c>
      <c r="Z10" s="113"/>
      <c r="AA10" s="113"/>
      <c r="AB10" s="114"/>
      <c r="AC10" s="60"/>
      <c r="AD10" s="60"/>
      <c r="AE10" s="68" t="str">
        <f t="shared" si="5"/>
        <v/>
      </c>
      <c r="AF10" s="68"/>
      <c r="AG10" s="68"/>
      <c r="AH10" s="68"/>
      <c r="AI10" s="69">
        <f t="shared" si="6"/>
        <v>0</v>
      </c>
      <c r="AJ10" s="69" t="str">
        <f t="shared" si="7"/>
        <v/>
      </c>
      <c r="AK10" s="69">
        <f t="shared" si="8"/>
        <v>0</v>
      </c>
      <c r="AL10" s="69" t="str">
        <f t="shared" si="9"/>
        <v/>
      </c>
      <c r="AM10" s="69">
        <f t="shared" si="10"/>
        <v>0</v>
      </c>
      <c r="AN10" s="69" t="str">
        <f t="shared" si="11"/>
        <v/>
      </c>
      <c r="AO10" s="69">
        <f t="shared" si="12"/>
        <v>0</v>
      </c>
      <c r="AP10" s="69" t="str">
        <f t="shared" si="13"/>
        <v/>
      </c>
      <c r="AQ10" s="69">
        <f t="shared" si="14"/>
        <v>1</v>
      </c>
      <c r="AR10" s="69" t="str">
        <f t="shared" si="15"/>
        <v>ENTREGUE</v>
      </c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</row>
    <row r="11" spans="1:68" ht="30" customHeight="1" x14ac:dyDescent="0.35">
      <c r="A11" s="29" t="str">
        <f t="shared" ref="A11:A12" si="16">CONCATENATE($B$7,"
",$B$8,"
",$B$9)</f>
        <v>PT070 - ESTUDO DAS MÁQUINAS DE PÁTIO (CAPANEMA, TIMBOPEBA E BRUCUTU)
Empilhadeira 2
MARCO - MEMÓRIA DE CÁLCULO</v>
      </c>
      <c r="B11" s="60" t="s">
        <v>20</v>
      </c>
      <c r="C11" s="91" t="str">
        <f>IF(AND($B11=[1]mauro!$A8,[1]mauro!$B8=C$4),"ok","nok")</f>
        <v>nok</v>
      </c>
      <c r="D11" s="91" t="str">
        <f>IF(AND($B11=[1]mauro!$A8,[1]mauro!$B8=D$4),"ok","nok")</f>
        <v>nok</v>
      </c>
      <c r="E11" s="91" t="str">
        <f>IF(AND($B11=[1]mauro!$A8,[1]mauro!$B8=E$4),"ok","nok")</f>
        <v>nok</v>
      </c>
      <c r="F11" s="91" t="str">
        <f>IF(AND($B11=[1]mauro!$A8,[1]mauro!$B8=F$4),"ok","nok")</f>
        <v>nok</v>
      </c>
      <c r="G11" s="91" t="str">
        <f>IF(AND($B11=[1]mauro!$A8,[1]mauro!$B8=G$4),"ok","nok")</f>
        <v>nok</v>
      </c>
      <c r="H11" s="91" t="str">
        <f>IF(AND($B11=[1]mauro!$A8,[1]mauro!$B8=H$4),"ok","nok")</f>
        <v>nok</v>
      </c>
      <c r="I11" s="91" t="str">
        <f>IF(AND($B11=[1]mauro!$A8,[1]mauro!$B8=I$4),"ok","nok")</f>
        <v>nok</v>
      </c>
      <c r="J11" s="91" t="str">
        <f>IF(AND($B11=[1]mauro!$A8,[1]mauro!$B8=J$4),"ok","nok")</f>
        <v>nok</v>
      </c>
      <c r="K11" s="91" t="str">
        <f>IF(AND($B11=[1]mauro!$A8,[1]mauro!$B8=K$4),"ok","nok")</f>
        <v>nok</v>
      </c>
      <c r="L11" s="103"/>
      <c r="M11" s="91" t="str">
        <f>IF(AND($B11=[1]mauro!$A8,[1]mauro!$B8=M$4),"ok","nok")</f>
        <v>nok</v>
      </c>
      <c r="N11" s="91" t="str">
        <f>IF(AND($B11=[1]mauro!$A8,[1]mauro!$B8=N$4),"ok","nok")</f>
        <v>nok</v>
      </c>
      <c r="O11" s="91" t="str">
        <f>IF(AND($B11=[1]mauro!$A8,[1]mauro!$B8=O$4),"ok","nok")</f>
        <v>nok</v>
      </c>
      <c r="P11" s="91" t="str">
        <f>IF(AND($B11=[1]mauro!$A8,[1]mauro!$B8=P$4),"ok","nok")</f>
        <v>nok</v>
      </c>
      <c r="Q11" s="91" t="str">
        <f>IF(AND($B11=[1]mauro!$A8,[1]mauro!$B8=Q$4),"ok","nok")</f>
        <v>nok</v>
      </c>
      <c r="R11" s="91" t="str">
        <f>IF(AND($B11=[1]mauro!$A8,[1]mauro!$B8=R$4),"ok","nok")</f>
        <v>nok</v>
      </c>
      <c r="S11" s="91" t="str">
        <f>IF(AND($B11=[1]mauro!$A8,[1]mauro!$B8=S$4),"ok","nok")</f>
        <v>nok</v>
      </c>
      <c r="T11" s="91" t="str">
        <f>IF(AND($B11=[1]mauro!$A8,[1]mauro!$B8=T$4),"ok","nok")</f>
        <v>nok</v>
      </c>
      <c r="U11" s="91" t="str">
        <f>IF(AND($B11=[1]mauro!$A8,[1]mauro!$B8=U$4),"ok","nok")</f>
        <v>nok</v>
      </c>
      <c r="V11" s="91" t="str">
        <f>IF(AND($B11=[1]mauro!$A8,[1]mauro!$B8=V$4),"ok","nok")</f>
        <v>nok</v>
      </c>
      <c r="W11" s="91" t="str">
        <f>IF(AND($B11=[1]mauro!$A8,[1]mauro!$B8=W$4),"ok","nok")</f>
        <v>nok</v>
      </c>
      <c r="X11" s="91" t="str">
        <f>IF(AND($B11=[1]mauro!$A8,[1]mauro!$B8=X$4),"ok","nok")</f>
        <v>ok</v>
      </c>
      <c r="Y11" s="112" t="s">
        <v>37</v>
      </c>
      <c r="Z11" s="113"/>
      <c r="AA11" s="113"/>
      <c r="AB11" s="114"/>
      <c r="AC11" s="60"/>
      <c r="AD11" s="60"/>
      <c r="AE11" s="68" t="str">
        <f t="shared" si="5"/>
        <v/>
      </c>
      <c r="AF11" s="68"/>
      <c r="AG11" s="68"/>
      <c r="AH11" s="68"/>
      <c r="AI11" s="69">
        <f t="shared" si="6"/>
        <v>0</v>
      </c>
      <c r="AJ11" s="69" t="str">
        <f t="shared" si="7"/>
        <v/>
      </c>
      <c r="AK11" s="69">
        <f t="shared" si="8"/>
        <v>0</v>
      </c>
      <c r="AL11" s="69" t="str">
        <f t="shared" si="9"/>
        <v/>
      </c>
      <c r="AM11" s="69">
        <f t="shared" si="10"/>
        <v>0</v>
      </c>
      <c r="AN11" s="69" t="str">
        <f t="shared" si="11"/>
        <v/>
      </c>
      <c r="AO11" s="69">
        <f t="shared" si="12"/>
        <v>0</v>
      </c>
      <c r="AP11" s="69" t="str">
        <f t="shared" si="13"/>
        <v/>
      </c>
      <c r="AQ11" s="69">
        <f t="shared" si="14"/>
        <v>1</v>
      </c>
      <c r="AR11" s="69" t="str">
        <f t="shared" si="15"/>
        <v/>
      </c>
      <c r="AS11" s="67"/>
      <c r="AT11" s="67"/>
      <c r="AU11" s="67"/>
      <c r="AV11" s="67"/>
      <c r="AW11" s="67"/>
      <c r="AX11" s="125" t="s">
        <v>26</v>
      </c>
      <c r="AY11" s="125"/>
      <c r="AZ11" s="125"/>
      <c r="BA11" s="125"/>
      <c r="BB11" s="67"/>
      <c r="BC11" s="125" t="s">
        <v>27</v>
      </c>
      <c r="BD11" s="125"/>
      <c r="BE11" s="125"/>
      <c r="BF11" s="125"/>
      <c r="BG11" s="67"/>
      <c r="BH11" s="125" t="s">
        <v>28</v>
      </c>
      <c r="BI11" s="125"/>
      <c r="BJ11" s="125"/>
      <c r="BK11" s="125"/>
      <c r="BL11" s="67"/>
      <c r="BM11" s="125" t="s">
        <v>40</v>
      </c>
      <c r="BN11" s="125"/>
      <c r="BO11" s="125"/>
      <c r="BP11" s="125"/>
    </row>
    <row r="12" spans="1:68" ht="30" customHeight="1" x14ac:dyDescent="0.35">
      <c r="A12" s="29" t="str">
        <f t="shared" si="16"/>
        <v>PT070 - ESTUDO DAS MÁQUINAS DE PÁTIO (CAPANEMA, TIMBOPEBA E BRUCUTU)
Empilhadeira 2
MARCO - MEMÓRIA DE CÁLCULO</v>
      </c>
      <c r="B12" s="60" t="s">
        <v>21</v>
      </c>
      <c r="C12" s="91" t="str">
        <f>IF(AND($B12=[1]mauro!$A9,[1]mauro!$B9=C$4),"ok","nok")</f>
        <v>nok</v>
      </c>
      <c r="D12" s="91" t="str">
        <f>IF(AND($B12=[1]mauro!$A9,[1]mauro!$B9=D$4),"ok","nok")</f>
        <v>nok</v>
      </c>
      <c r="E12" s="91" t="str">
        <f>IF(AND($B12=[1]mauro!$A9,[1]mauro!$B9=E$4),"ok","nok")</f>
        <v>nok</v>
      </c>
      <c r="F12" s="91" t="str">
        <f>IF(AND($B12=[1]mauro!$A9,[1]mauro!$B9=F$4),"ok","nok")</f>
        <v>nok</v>
      </c>
      <c r="G12" s="91" t="str">
        <f>IF(AND($B12=[1]mauro!$A9,[1]mauro!$B9=G$4),"ok","nok")</f>
        <v>nok</v>
      </c>
      <c r="H12" s="91" t="str">
        <f>IF(AND($B12=[1]mauro!$A9,[1]mauro!$B9=H$4),"ok","nok")</f>
        <v>nok</v>
      </c>
      <c r="I12" s="91" t="str">
        <f>IF(AND($B12=[1]mauro!$A9,[1]mauro!$B9=I$4),"ok","nok")</f>
        <v>nok</v>
      </c>
      <c r="J12" s="91" t="str">
        <f>IF(AND($B12=[1]mauro!$A9,[1]mauro!$B9=J$4),"ok","nok")</f>
        <v>nok</v>
      </c>
      <c r="K12" s="91" t="str">
        <f>IF(AND($B12=[1]mauro!$A9,[1]mauro!$B9=K$4),"ok","nok")</f>
        <v>nok</v>
      </c>
      <c r="L12" s="103"/>
      <c r="M12" s="91" t="str">
        <f>IF(AND($B12=[1]mauro!$A9,[1]mauro!$B9=M$4),"ok","nok")</f>
        <v>nok</v>
      </c>
      <c r="N12" s="91" t="str">
        <f>IF(AND($B12=[1]mauro!$A9,[1]mauro!$B9=N$4),"ok","nok")</f>
        <v>nok</v>
      </c>
      <c r="O12" s="91" t="str">
        <f>IF(AND($B12=[1]mauro!$A9,[1]mauro!$B9=O$4),"ok","nok")</f>
        <v>nok</v>
      </c>
      <c r="P12" s="91" t="str">
        <f>IF(AND($B12=[1]mauro!$A9,[1]mauro!$B9=P$4),"ok","nok")</f>
        <v>nok</v>
      </c>
      <c r="Q12" s="91" t="str">
        <f>IF(AND($B12=[1]mauro!$A9,[1]mauro!$B9=Q$4),"ok","nok")</f>
        <v>nok</v>
      </c>
      <c r="R12" s="91" t="str">
        <f>IF(AND($B12=[1]mauro!$A9,[1]mauro!$B9=R$4),"ok","nok")</f>
        <v>nok</v>
      </c>
      <c r="S12" s="91" t="str">
        <f>IF(AND($B12=[1]mauro!$A9,[1]mauro!$B9=S$4),"ok","nok")</f>
        <v>nok</v>
      </c>
      <c r="T12" s="91" t="str">
        <f>IF(AND($B12=[1]mauro!$A9,[1]mauro!$B9=T$4),"ok","nok")</f>
        <v>nok</v>
      </c>
      <c r="U12" s="91" t="str">
        <f>IF(AND($B12=[1]mauro!$A9,[1]mauro!$B9=U$4),"ok","nok")</f>
        <v>nok</v>
      </c>
      <c r="V12" s="91" t="str">
        <f>IF(AND($B12=[1]mauro!$A9,[1]mauro!$B9=V$4),"ok","nok")</f>
        <v>nok</v>
      </c>
      <c r="W12" s="91" t="str">
        <f>IF(AND($B12=[1]mauro!$A9,[1]mauro!$B9=W$4),"ok","nok")</f>
        <v>nok</v>
      </c>
      <c r="X12" s="91" t="str">
        <f>IF(AND($B12=[1]mauro!$A9,[1]mauro!$B9=X$4),"ok","nok")</f>
        <v>ok</v>
      </c>
      <c r="Y12" s="112" t="s">
        <v>37</v>
      </c>
      <c r="Z12" s="113"/>
      <c r="AA12" s="113"/>
      <c r="AB12" s="114"/>
      <c r="AC12" s="60"/>
      <c r="AD12" s="60"/>
      <c r="AE12" s="68" t="str">
        <f t="shared" si="5"/>
        <v/>
      </c>
      <c r="AF12" s="68"/>
      <c r="AG12" s="68"/>
      <c r="AH12" s="68"/>
      <c r="AI12" s="69">
        <f t="shared" si="6"/>
        <v>0</v>
      </c>
      <c r="AJ12" s="69" t="str">
        <f t="shared" si="7"/>
        <v/>
      </c>
      <c r="AK12" s="69">
        <f t="shared" si="8"/>
        <v>0</v>
      </c>
      <c r="AL12" s="69" t="str">
        <f t="shared" si="9"/>
        <v/>
      </c>
      <c r="AM12" s="69">
        <f t="shared" si="10"/>
        <v>0</v>
      </c>
      <c r="AN12" s="69" t="str">
        <f t="shared" si="11"/>
        <v/>
      </c>
      <c r="AO12" s="69">
        <f t="shared" si="12"/>
        <v>0</v>
      </c>
      <c r="AP12" s="69" t="str">
        <f t="shared" si="13"/>
        <v/>
      </c>
      <c r="AQ12" s="69">
        <f t="shared" si="14"/>
        <v>1</v>
      </c>
      <c r="AR12" s="69" t="str">
        <f t="shared" si="15"/>
        <v/>
      </c>
      <c r="AS12" s="67"/>
      <c r="AT12" s="67"/>
      <c r="AU12" s="67"/>
      <c r="AV12" s="67"/>
      <c r="AW12" s="67"/>
      <c r="AX12" s="126" t="s">
        <v>2</v>
      </c>
      <c r="AY12" s="126"/>
      <c r="AZ12" s="126"/>
      <c r="BA12" s="70">
        <f>SUM(COUNTIF(AL:AL,"ENTREGUE"))</f>
        <v>1</v>
      </c>
      <c r="BB12" s="67"/>
      <c r="BC12" s="126" t="s">
        <v>2</v>
      </c>
      <c r="BD12" s="126"/>
      <c r="BE12" s="126"/>
      <c r="BF12" s="70">
        <f>SUM(COUNTIF(AN:AN,"ENTREGUE"))</f>
        <v>8</v>
      </c>
      <c r="BG12" s="67"/>
      <c r="BH12" s="126" t="s">
        <v>2</v>
      </c>
      <c r="BI12" s="126"/>
      <c r="BJ12" s="126"/>
      <c r="BK12" s="70">
        <f>SUM(COUNTIF(AP:AP,"ENTREGUE"))</f>
        <v>4</v>
      </c>
      <c r="BL12" s="67"/>
      <c r="BM12" s="126" t="s">
        <v>2</v>
      </c>
      <c r="BN12" s="126"/>
      <c r="BO12" s="126"/>
      <c r="BP12" s="70">
        <f>SUM(COUNTIF(AR:AR,"ENTREGUE"))</f>
        <v>4</v>
      </c>
    </row>
    <row r="13" spans="1:68" ht="30" customHeight="1" x14ac:dyDescent="0.35">
      <c r="A13" s="29"/>
      <c r="B13" s="59" t="s">
        <v>45</v>
      </c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98"/>
      <c r="Y13" s="131"/>
      <c r="Z13" s="132"/>
      <c r="AA13" s="132"/>
      <c r="AB13" s="133"/>
      <c r="AC13" s="66"/>
      <c r="AD13" s="66"/>
      <c r="AE13" s="68" t="str">
        <f t="shared" si="5"/>
        <v/>
      </c>
      <c r="AF13" s="68"/>
      <c r="AG13" s="68"/>
      <c r="AH13" s="68"/>
      <c r="AI13" s="69">
        <f t="shared" si="6"/>
        <v>0</v>
      </c>
      <c r="AJ13" s="69" t="str">
        <f t="shared" si="7"/>
        <v/>
      </c>
      <c r="AK13" s="69">
        <f t="shared" si="8"/>
        <v>0</v>
      </c>
      <c r="AL13" s="69" t="str">
        <f t="shared" si="9"/>
        <v/>
      </c>
      <c r="AM13" s="69">
        <f t="shared" si="10"/>
        <v>0</v>
      </c>
      <c r="AN13" s="69" t="str">
        <f t="shared" si="11"/>
        <v/>
      </c>
      <c r="AO13" s="69">
        <f t="shared" si="12"/>
        <v>0</v>
      </c>
      <c r="AP13" s="69" t="str">
        <f t="shared" si="13"/>
        <v/>
      </c>
      <c r="AQ13" s="69">
        <f t="shared" si="14"/>
        <v>0</v>
      </c>
      <c r="AR13" s="69" t="str">
        <f t="shared" si="15"/>
        <v/>
      </c>
      <c r="AS13" s="67"/>
      <c r="AT13" s="67"/>
      <c r="AU13" s="67"/>
      <c r="AV13" s="67"/>
      <c r="AW13" s="67"/>
      <c r="AX13" s="126" t="s">
        <v>3</v>
      </c>
      <c r="AY13" s="126"/>
      <c r="AZ13" s="126"/>
      <c r="BA13" s="70">
        <f>SUM(COUNTIF(H:L,"OK"))</f>
        <v>2</v>
      </c>
      <c r="BB13" s="67"/>
      <c r="BC13" s="126" t="s">
        <v>3</v>
      </c>
      <c r="BD13" s="126"/>
      <c r="BE13" s="126"/>
      <c r="BF13" s="70">
        <f>SUM(COUNTIF(M:Q,"OK"))</f>
        <v>10</v>
      </c>
      <c r="BG13" s="67"/>
      <c r="BH13" s="126" t="s">
        <v>3</v>
      </c>
      <c r="BI13" s="126"/>
      <c r="BJ13" s="126"/>
      <c r="BK13" s="70">
        <f>SUM(COUNTIF(R:V,"OK"))</f>
        <v>19</v>
      </c>
      <c r="BL13" s="67"/>
      <c r="BM13" s="126" t="s">
        <v>3</v>
      </c>
      <c r="BN13" s="126"/>
      <c r="BO13" s="126"/>
      <c r="BP13" s="70">
        <f>SUM(COUNTIF(W:X,"OK"))</f>
        <v>21</v>
      </c>
    </row>
    <row r="14" spans="1:68" ht="30" customHeight="1" x14ac:dyDescent="0.35">
      <c r="A14" s="29" t="str">
        <f>CONCATENATE($B$7,"
",$B$8,"
",$B$13)</f>
        <v>PT070 - ESTUDO DAS MÁQUINAS DE PÁTIO (CAPANEMA, TIMBOPEBA E BRUCUTU)
Empilhadeira 2
MARCO - PROJETO DOS REFORÇOS</v>
      </c>
      <c r="B14" s="60" t="s">
        <v>19</v>
      </c>
      <c r="C14" s="91" t="str">
        <f>IF(AND($B14=[1]mauro!$A11,[1]mauro!$B11=C$4),"ok","nok")</f>
        <v>nok</v>
      </c>
      <c r="D14" s="91" t="str">
        <f>IF(AND($B14=[1]mauro!$A11,[1]mauro!$B11=D$4),"ok","nok")</f>
        <v>nok</v>
      </c>
      <c r="E14" s="91" t="str">
        <f>IF(AND($B14=[1]mauro!$A11,[1]mauro!$B11=E$4),"ok","nok")</f>
        <v>nok</v>
      </c>
      <c r="F14" s="91" t="str">
        <f>IF(AND($B14=[1]mauro!$A11,[1]mauro!$B11=F$4),"ok","nok")</f>
        <v>nok</v>
      </c>
      <c r="G14" s="91" t="str">
        <f>IF(AND($B14=[1]mauro!$A11,[1]mauro!$B11=G$4),"ok","nok")</f>
        <v>nok</v>
      </c>
      <c r="H14" s="91" t="str">
        <f>IF(AND($B14=[1]mauro!$A11,[1]mauro!$B11=H$4),"ok","nok")</f>
        <v>nok</v>
      </c>
      <c r="I14" s="103"/>
      <c r="J14" s="91" t="str">
        <f>IF(AND($B14=[1]mauro!$A11,[1]mauro!$B11=J$4),"ok","nok")</f>
        <v>nok</v>
      </c>
      <c r="K14" s="91" t="str">
        <f>IF(AND($B14=[1]mauro!$A11,[1]mauro!$B11=K$4),"ok","nok")</f>
        <v>nok</v>
      </c>
      <c r="L14" s="91" t="str">
        <f>IF(AND($B14=[1]mauro!$A11,[1]mauro!$B11=L$4),"ok","nok")</f>
        <v>nok</v>
      </c>
      <c r="M14" s="91" t="str">
        <f>IF(AND($B14=[1]mauro!$A11,[1]mauro!$B11=M$4),"ok","nok")</f>
        <v>nok</v>
      </c>
      <c r="N14" s="91" t="str">
        <f>IF(AND($B14=[1]mauro!$A11,[1]mauro!$B11=N$4),"ok","nok")</f>
        <v>nok</v>
      </c>
      <c r="O14" s="91" t="str">
        <f>IF(AND($B14=[1]mauro!$A11,[1]mauro!$B11=O$4),"ok","nok")</f>
        <v>nok</v>
      </c>
      <c r="P14" s="91" t="str">
        <f>IF(AND($B14=[1]mauro!$A11,[1]mauro!$B11=P$4),"ok","nok")</f>
        <v>nok</v>
      </c>
      <c r="Q14" s="91" t="str">
        <f>IF(AND($B14=[1]mauro!$A11,[1]mauro!$B11=Q$4),"ok","nok")</f>
        <v>nok</v>
      </c>
      <c r="R14" s="91" t="str">
        <f>IF(AND($B14=[1]mauro!$A11,[1]mauro!$B11=R$4),"ok","nok")</f>
        <v>nok</v>
      </c>
      <c r="S14" s="91" t="str">
        <f>IF(AND($B14=[1]mauro!$A11,[1]mauro!$B11=S$4),"ok","nok")</f>
        <v>nok</v>
      </c>
      <c r="T14" s="91" t="str">
        <f>IF(AND($B14=[1]mauro!$A11,[1]mauro!$B11=T$4),"ok","nok")</f>
        <v>nok</v>
      </c>
      <c r="U14" s="91" t="str">
        <f>IF(AND($B14=[1]mauro!$A11,[1]mauro!$B11=U$4),"ok","nok")</f>
        <v>nok</v>
      </c>
      <c r="V14" s="91" t="str">
        <f>IF(AND($B14=[1]mauro!$A11,[1]mauro!$B11=V$4),"ok","nok")</f>
        <v>nok</v>
      </c>
      <c r="W14" s="91" t="str">
        <f>IF(AND($B14=[1]mauro!$A11,[1]mauro!$B11=W$4),"ok","nok")</f>
        <v>nok</v>
      </c>
      <c r="X14" s="91" t="str">
        <f>IF(AND($B14=[1]mauro!$A11,[1]mauro!$B11=X$4),"ok","nok")</f>
        <v>ok</v>
      </c>
      <c r="Y14" s="112" t="s">
        <v>37</v>
      </c>
      <c r="Z14" s="113"/>
      <c r="AA14" s="113"/>
      <c r="AB14" s="114"/>
      <c r="AC14" s="60"/>
      <c r="AD14" s="60"/>
      <c r="AE14" s="68" t="str">
        <f t="shared" si="5"/>
        <v/>
      </c>
      <c r="AF14" s="68"/>
      <c r="AG14" s="68"/>
      <c r="AH14" s="68"/>
      <c r="AI14" s="69">
        <f t="shared" si="6"/>
        <v>0</v>
      </c>
      <c r="AJ14" s="69" t="str">
        <f t="shared" si="7"/>
        <v/>
      </c>
      <c r="AK14" s="69">
        <f t="shared" si="8"/>
        <v>0</v>
      </c>
      <c r="AL14" s="69" t="str">
        <f t="shared" si="9"/>
        <v/>
      </c>
      <c r="AM14" s="69">
        <f t="shared" si="10"/>
        <v>0</v>
      </c>
      <c r="AN14" s="69" t="str">
        <f t="shared" si="11"/>
        <v/>
      </c>
      <c r="AO14" s="69">
        <f t="shared" si="12"/>
        <v>0</v>
      </c>
      <c r="AP14" s="69" t="str">
        <f t="shared" si="13"/>
        <v/>
      </c>
      <c r="AQ14" s="69">
        <f t="shared" si="14"/>
        <v>1</v>
      </c>
      <c r="AR14" s="69" t="str">
        <f t="shared" si="15"/>
        <v/>
      </c>
      <c r="AS14" s="67"/>
      <c r="AT14" s="67"/>
      <c r="AU14" s="67"/>
      <c r="AV14" s="67"/>
      <c r="AW14" s="67"/>
      <c r="AX14" s="126" t="s">
        <v>4</v>
      </c>
      <c r="AY14" s="126"/>
      <c r="AZ14" s="126"/>
      <c r="BA14" s="71">
        <f>BA12/BA13</f>
        <v>0.5</v>
      </c>
      <c r="BB14" s="67"/>
      <c r="BC14" s="126" t="s">
        <v>4</v>
      </c>
      <c r="BD14" s="126"/>
      <c r="BE14" s="126"/>
      <c r="BF14" s="71">
        <f>BF12/BF13</f>
        <v>0.8</v>
      </c>
      <c r="BG14" s="67"/>
      <c r="BH14" s="126" t="s">
        <v>4</v>
      </c>
      <c r="BI14" s="126"/>
      <c r="BJ14" s="126"/>
      <c r="BK14" s="71">
        <f>BK12/BK13</f>
        <v>0.21052631578947367</v>
      </c>
      <c r="BL14" s="67"/>
      <c r="BM14" s="126" t="s">
        <v>4</v>
      </c>
      <c r="BN14" s="126"/>
      <c r="BO14" s="126"/>
      <c r="BP14" s="71">
        <f>BP12/BP13</f>
        <v>0.19047619047619047</v>
      </c>
    </row>
    <row r="15" spans="1:68" ht="30" customHeight="1" x14ac:dyDescent="0.35">
      <c r="A15" s="29" t="str">
        <f t="shared" ref="A15:A16" si="17">CONCATENATE($B$7,"
",$B$8,"
",$B$13)</f>
        <v>PT070 - ESTUDO DAS MÁQUINAS DE PÁTIO (CAPANEMA, TIMBOPEBA E BRUCUTU)
Empilhadeira 2
MARCO - PROJETO DOS REFORÇOS</v>
      </c>
      <c r="B15" s="60" t="s">
        <v>20</v>
      </c>
      <c r="C15" s="91" t="str">
        <f>IF(AND($B15=[1]mauro!$A12,[1]mauro!$B12=C$4),"ok","nok")</f>
        <v>nok</v>
      </c>
      <c r="D15" s="91" t="str">
        <f>IF(AND($B15=[1]mauro!$A12,[1]mauro!$B12=D$4),"ok","nok")</f>
        <v>nok</v>
      </c>
      <c r="E15" s="91" t="str">
        <f>IF(AND($B15=[1]mauro!$A12,[1]mauro!$B12=E$4),"ok","nok")</f>
        <v>nok</v>
      </c>
      <c r="F15" s="91" t="str">
        <f>IF(AND($B15=[1]mauro!$A12,[1]mauro!$B12=F$4),"ok","nok")</f>
        <v>nok</v>
      </c>
      <c r="G15" s="91" t="str">
        <f>IF(AND($B15=[1]mauro!$A12,[1]mauro!$B12=G$4),"ok","nok")</f>
        <v>nok</v>
      </c>
      <c r="H15" s="91" t="str">
        <f>IF(AND($B15=[1]mauro!$A12,[1]mauro!$B12=H$4),"ok","nok")</f>
        <v>nok</v>
      </c>
      <c r="I15" s="91" t="str">
        <f>IF(AND($B15=[1]mauro!$A12,[1]mauro!$B12=I$4),"ok","nok")</f>
        <v>nok</v>
      </c>
      <c r="J15" s="91" t="str">
        <f>IF(AND($B15=[1]mauro!$A12,[1]mauro!$B12=J$4),"ok","nok")</f>
        <v>nok</v>
      </c>
      <c r="K15" s="91" t="str">
        <f>IF(AND($B15=[1]mauro!$A12,[1]mauro!$B12=K$4),"ok","nok")</f>
        <v>nok</v>
      </c>
      <c r="L15" s="103"/>
      <c r="M15" s="91" t="str">
        <f>IF(AND($B15=[1]mauro!$A12,[1]mauro!$B12=M$4),"ok","nok")</f>
        <v>nok</v>
      </c>
      <c r="N15" s="91" t="str">
        <f>IF(AND($B15=[1]mauro!$A12,[1]mauro!$B12=N$4),"ok","nok")</f>
        <v>nok</v>
      </c>
      <c r="O15" s="91" t="str">
        <f>IF(AND($B15=[1]mauro!$A12,[1]mauro!$B12=O$4),"ok","nok")</f>
        <v>nok</v>
      </c>
      <c r="P15" s="91" t="str">
        <f>IF(AND($B15=[1]mauro!$A12,[1]mauro!$B12=P$4),"ok","nok")</f>
        <v>nok</v>
      </c>
      <c r="Q15" s="91" t="str">
        <f>IF(AND($B15=[1]mauro!$A12,[1]mauro!$B12=Q$4),"ok","nok")</f>
        <v>nok</v>
      </c>
      <c r="R15" s="91" t="str">
        <f>IF(AND($B15=[1]mauro!$A12,[1]mauro!$B12=R$4),"ok","nok")</f>
        <v>nok</v>
      </c>
      <c r="S15" s="91" t="str">
        <f>IF(AND($B15=[1]mauro!$A12,[1]mauro!$B12=S$4),"ok","nok")</f>
        <v>nok</v>
      </c>
      <c r="T15" s="91" t="str">
        <f>IF(AND($B15=[1]mauro!$A12,[1]mauro!$B12=T$4),"ok","nok")</f>
        <v>nok</v>
      </c>
      <c r="U15" s="91" t="str">
        <f>IF(AND($B15=[1]mauro!$A12,[1]mauro!$B12=U$4),"ok","nok")</f>
        <v>nok</v>
      </c>
      <c r="V15" s="91" t="str">
        <f>IF(AND($B15=[1]mauro!$A12,[1]mauro!$B12=V$4),"ok","nok")</f>
        <v>nok</v>
      </c>
      <c r="W15" s="91" t="str">
        <f>IF(AND($B15=[1]mauro!$A12,[1]mauro!$B12=W$4),"ok","nok")</f>
        <v>nok</v>
      </c>
      <c r="X15" s="91" t="str">
        <f>IF(AND($B15=[1]mauro!$A12,[1]mauro!$B12=X$4),"ok","nok")</f>
        <v>ok</v>
      </c>
      <c r="Y15" s="112" t="s">
        <v>37</v>
      </c>
      <c r="Z15" s="113"/>
      <c r="AA15" s="113"/>
      <c r="AB15" s="114"/>
      <c r="AC15" s="60"/>
      <c r="AD15" s="60"/>
      <c r="AE15" s="68" t="str">
        <f t="shared" si="5"/>
        <v/>
      </c>
      <c r="AF15" s="68"/>
      <c r="AG15" s="68"/>
      <c r="AH15" s="68"/>
      <c r="AI15" s="69">
        <f t="shared" si="6"/>
        <v>0</v>
      </c>
      <c r="AJ15" s="69" t="str">
        <f t="shared" si="7"/>
        <v/>
      </c>
      <c r="AK15" s="69">
        <f t="shared" si="8"/>
        <v>0</v>
      </c>
      <c r="AL15" s="69" t="str">
        <f t="shared" si="9"/>
        <v/>
      </c>
      <c r="AM15" s="69">
        <f t="shared" si="10"/>
        <v>0</v>
      </c>
      <c r="AN15" s="69" t="str">
        <f t="shared" si="11"/>
        <v/>
      </c>
      <c r="AO15" s="69">
        <f t="shared" si="12"/>
        <v>0</v>
      </c>
      <c r="AP15" s="69" t="str">
        <f t="shared" si="13"/>
        <v/>
      </c>
      <c r="AQ15" s="69">
        <f t="shared" si="14"/>
        <v>1</v>
      </c>
      <c r="AR15" s="69" t="str">
        <f t="shared" si="15"/>
        <v/>
      </c>
    </row>
    <row r="16" spans="1:68" ht="30" customHeight="1" x14ac:dyDescent="0.35">
      <c r="A16" s="29" t="str">
        <f t="shared" si="17"/>
        <v>PT070 - ESTUDO DAS MÁQUINAS DE PÁTIO (CAPANEMA, TIMBOPEBA E BRUCUTU)
Empilhadeira 2
MARCO - PROJETO DOS REFORÇOS</v>
      </c>
      <c r="B16" s="60" t="s">
        <v>21</v>
      </c>
      <c r="C16" s="91" t="str">
        <f>IF(AND($B16=[1]mauro!$A13,[1]mauro!$B13=C$4),"ok","nok")</f>
        <v>nok</v>
      </c>
      <c r="D16" s="91" t="str">
        <f>IF(AND($B16=[1]mauro!$A13,[1]mauro!$B13=D$4),"ok","nok")</f>
        <v>nok</v>
      </c>
      <c r="E16" s="91" t="str">
        <f>IF(AND($B16=[1]mauro!$A13,[1]mauro!$B13=E$4),"ok","nok")</f>
        <v>nok</v>
      </c>
      <c r="F16" s="91" t="str">
        <f>IF(AND($B16=[1]mauro!$A13,[1]mauro!$B13=F$4),"ok","nok")</f>
        <v>nok</v>
      </c>
      <c r="G16" s="91" t="str">
        <f>IF(AND($B16=[1]mauro!$A13,[1]mauro!$B13=G$4),"ok","nok")</f>
        <v>nok</v>
      </c>
      <c r="H16" s="91" t="str">
        <f>IF(AND($B16=[1]mauro!$A13,[1]mauro!$B13=H$4),"ok","nok")</f>
        <v>nok</v>
      </c>
      <c r="I16" s="91" t="str">
        <f>IF(AND($B16=[1]mauro!$A13,[1]mauro!$B13=I$4),"ok","nok")</f>
        <v>nok</v>
      </c>
      <c r="J16" s="91" t="str">
        <f>IF(AND($B16=[1]mauro!$A13,[1]mauro!$B13=J$4),"ok","nok")</f>
        <v>nok</v>
      </c>
      <c r="K16" s="91" t="str">
        <f>IF(AND($B16=[1]mauro!$A13,[1]mauro!$B13=K$4),"ok","nok")</f>
        <v>nok</v>
      </c>
      <c r="L16" s="103"/>
      <c r="M16" s="91" t="str">
        <f>IF(AND($B16=[1]mauro!$A13,[1]mauro!$B13=M$4),"ok","nok")</f>
        <v>nok</v>
      </c>
      <c r="N16" s="91" t="str">
        <f>IF(AND($B16=[1]mauro!$A13,[1]mauro!$B13=N$4),"ok","nok")</f>
        <v>nok</v>
      </c>
      <c r="O16" s="91" t="str">
        <f>IF(AND($B16=[1]mauro!$A13,[1]mauro!$B13=O$4),"ok","nok")</f>
        <v>nok</v>
      </c>
      <c r="P16" s="91" t="str">
        <f>IF(AND($B16=[1]mauro!$A13,[1]mauro!$B13=P$4),"ok","nok")</f>
        <v>nok</v>
      </c>
      <c r="Q16" s="91" t="str">
        <f>IF(AND($B16=[1]mauro!$A13,[1]mauro!$B13=Q$4),"ok","nok")</f>
        <v>nok</v>
      </c>
      <c r="R16" s="91" t="str">
        <f>IF(AND($B16=[1]mauro!$A13,[1]mauro!$B13=R$4),"ok","nok")</f>
        <v>nok</v>
      </c>
      <c r="S16" s="91" t="str">
        <f>IF(AND($B16=[1]mauro!$A13,[1]mauro!$B13=S$4),"ok","nok")</f>
        <v>nok</v>
      </c>
      <c r="T16" s="91" t="str">
        <f>IF(AND($B16=[1]mauro!$A13,[1]mauro!$B13=T$4),"ok","nok")</f>
        <v>nok</v>
      </c>
      <c r="U16" s="91" t="str">
        <f>IF(AND($B16=[1]mauro!$A13,[1]mauro!$B13=U$4),"ok","nok")</f>
        <v>nok</v>
      </c>
      <c r="V16" s="91" t="str">
        <f>IF(AND($B16=[1]mauro!$A13,[1]mauro!$B13=V$4),"ok","nok")</f>
        <v>nok</v>
      </c>
      <c r="W16" s="91" t="str">
        <f>IF(AND($B16=[1]mauro!$A13,[1]mauro!$B13=W$4),"ok","nok")</f>
        <v>nok</v>
      </c>
      <c r="X16" s="91" t="str">
        <f>IF(AND($B16=[1]mauro!$A13,[1]mauro!$B13=X$4),"ok","nok")</f>
        <v>ok</v>
      </c>
      <c r="Y16" s="112" t="s">
        <v>37</v>
      </c>
      <c r="Z16" s="113"/>
      <c r="AA16" s="113"/>
      <c r="AB16" s="114"/>
      <c r="AC16" s="60"/>
      <c r="AD16" s="60"/>
      <c r="AE16" s="68" t="str">
        <f t="shared" si="5"/>
        <v/>
      </c>
      <c r="AF16" s="68"/>
      <c r="AG16" s="68"/>
      <c r="AH16" s="68"/>
      <c r="AI16" s="69">
        <f t="shared" si="6"/>
        <v>0</v>
      </c>
      <c r="AJ16" s="69" t="str">
        <f t="shared" si="7"/>
        <v/>
      </c>
      <c r="AK16" s="69">
        <f t="shared" si="8"/>
        <v>0</v>
      </c>
      <c r="AL16" s="69" t="str">
        <f t="shared" si="9"/>
        <v/>
      </c>
      <c r="AM16" s="69">
        <f t="shared" si="10"/>
        <v>0</v>
      </c>
      <c r="AN16" s="69" t="str">
        <f t="shared" si="11"/>
        <v/>
      </c>
      <c r="AO16" s="69">
        <f t="shared" si="12"/>
        <v>0</v>
      </c>
      <c r="AP16" s="69" t="str">
        <f t="shared" si="13"/>
        <v/>
      </c>
      <c r="AQ16" s="69">
        <f t="shared" si="14"/>
        <v>1</v>
      </c>
      <c r="AR16" s="69" t="str">
        <f t="shared" si="15"/>
        <v/>
      </c>
      <c r="BH16" s="70">
        <f>SUM(COUNTIF(Y:AB,"VAZIO"))</f>
        <v>20</v>
      </c>
      <c r="BI16" s="117" t="s">
        <v>15</v>
      </c>
      <c r="BJ16" s="118"/>
      <c r="BK16" s="119"/>
      <c r="BL16" s="77">
        <f>BH16/BH20</f>
        <v>0.38461538461538464</v>
      </c>
    </row>
    <row r="17" spans="1:66" ht="30" customHeight="1" x14ac:dyDescent="0.35">
      <c r="A17" s="29"/>
      <c r="B17" s="56" t="s">
        <v>46</v>
      </c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96"/>
      <c r="Y17" s="129"/>
      <c r="Z17" s="130"/>
      <c r="AA17" s="130"/>
      <c r="AB17" s="130"/>
      <c r="AC17"/>
      <c r="AD17" s="57"/>
      <c r="AE17" s="68" t="str">
        <f t="shared" si="5"/>
        <v/>
      </c>
      <c r="AF17" s="68"/>
      <c r="AG17" s="68"/>
      <c r="AH17" s="68"/>
      <c r="AI17" s="69">
        <f t="shared" si="6"/>
        <v>0</v>
      </c>
      <c r="AJ17" s="69" t="str">
        <f t="shared" si="7"/>
        <v/>
      </c>
      <c r="AK17" s="69">
        <f t="shared" si="8"/>
        <v>0</v>
      </c>
      <c r="AL17" s="69" t="str">
        <f t="shared" si="9"/>
        <v/>
      </c>
      <c r="AM17" s="69">
        <f t="shared" si="10"/>
        <v>0</v>
      </c>
      <c r="AN17" s="69" t="str">
        <f t="shared" si="11"/>
        <v/>
      </c>
      <c r="AO17" s="69">
        <f t="shared" si="12"/>
        <v>0</v>
      </c>
      <c r="AP17" s="69" t="str">
        <f t="shared" si="13"/>
        <v/>
      </c>
      <c r="AQ17" s="69">
        <f t="shared" si="14"/>
        <v>0</v>
      </c>
      <c r="AR17" s="69" t="str">
        <f t="shared" si="15"/>
        <v/>
      </c>
      <c r="BH17" s="70">
        <f>BI22+BI23</f>
        <v>22</v>
      </c>
      <c r="BI17" s="117" t="s">
        <v>35</v>
      </c>
      <c r="BJ17" s="118"/>
      <c r="BK17" s="119"/>
      <c r="BL17" s="77">
        <f>BH17/BH20</f>
        <v>0.42307692307692307</v>
      </c>
    </row>
    <row r="18" spans="1:66" ht="30" customHeight="1" x14ac:dyDescent="0.35">
      <c r="A18" s="29"/>
      <c r="B18" s="57" t="s">
        <v>47</v>
      </c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97"/>
      <c r="Y18" s="127"/>
      <c r="Z18" s="128"/>
      <c r="AA18" s="128"/>
      <c r="AB18" s="128"/>
      <c r="AC18"/>
      <c r="AD18" s="66"/>
      <c r="AE18" s="68" t="str">
        <f t="shared" si="5"/>
        <v/>
      </c>
      <c r="AF18" s="68"/>
      <c r="AG18" s="68"/>
      <c r="AH18" s="68"/>
      <c r="AI18" s="69">
        <f t="shared" si="6"/>
        <v>0</v>
      </c>
      <c r="AJ18" s="69" t="str">
        <f t="shared" si="7"/>
        <v/>
      </c>
      <c r="AK18" s="69">
        <f t="shared" si="8"/>
        <v>0</v>
      </c>
      <c r="AL18" s="69" t="str">
        <f t="shared" si="9"/>
        <v/>
      </c>
      <c r="AM18" s="69">
        <f t="shared" si="10"/>
        <v>0</v>
      </c>
      <c r="AN18" s="69" t="str">
        <f t="shared" si="11"/>
        <v/>
      </c>
      <c r="AO18" s="69">
        <f t="shared" si="12"/>
        <v>0</v>
      </c>
      <c r="AP18" s="69" t="str">
        <f t="shared" si="13"/>
        <v/>
      </c>
      <c r="AQ18" s="69">
        <f t="shared" si="14"/>
        <v>0</v>
      </c>
      <c r="AR18" s="69" t="str">
        <f t="shared" si="15"/>
        <v/>
      </c>
      <c r="BH18" s="70">
        <f>SUM(COUNTIF(Y:AB,"ATRASADO"))</f>
        <v>1</v>
      </c>
      <c r="BI18" s="117" t="s">
        <v>36</v>
      </c>
      <c r="BJ18" s="118"/>
      <c r="BK18" s="119"/>
      <c r="BL18" s="77">
        <f>BH18/BH20</f>
        <v>1.9230769230769232E-2</v>
      </c>
    </row>
    <row r="19" spans="1:66" ht="30" customHeight="1" x14ac:dyDescent="0.35">
      <c r="B19" s="61" t="s">
        <v>48</v>
      </c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99"/>
      <c r="Y19" s="110"/>
      <c r="Z19" s="111"/>
      <c r="AA19" s="111"/>
      <c r="AB19" s="111"/>
      <c r="AC19"/>
      <c r="AD19" s="66"/>
      <c r="AE19" s="68" t="str">
        <f t="shared" si="5"/>
        <v/>
      </c>
      <c r="AF19" s="68"/>
      <c r="AG19" s="68"/>
      <c r="AH19" s="68"/>
      <c r="AI19" s="69">
        <f t="shared" si="6"/>
        <v>0</v>
      </c>
      <c r="AJ19" s="69" t="str">
        <f t="shared" si="7"/>
        <v/>
      </c>
      <c r="AK19" s="69">
        <f t="shared" si="8"/>
        <v>0</v>
      </c>
      <c r="AL19" s="69" t="str">
        <f t="shared" si="9"/>
        <v/>
      </c>
      <c r="AM19" s="69">
        <f t="shared" si="10"/>
        <v>0</v>
      </c>
      <c r="AN19" s="69" t="str">
        <f t="shared" si="11"/>
        <v/>
      </c>
      <c r="AO19" s="69">
        <f t="shared" si="12"/>
        <v>0</v>
      </c>
      <c r="AP19" s="69" t="str">
        <f t="shared" si="13"/>
        <v/>
      </c>
      <c r="AQ19" s="69">
        <f t="shared" si="14"/>
        <v>0</v>
      </c>
      <c r="AR19" s="69" t="str">
        <f t="shared" si="15"/>
        <v/>
      </c>
      <c r="BH19" s="70">
        <f>SUM(COUNTIF(Y:AB,"RISCO"))</f>
        <v>9</v>
      </c>
      <c r="BI19" s="117" t="s">
        <v>37</v>
      </c>
      <c r="BJ19" s="118"/>
      <c r="BK19" s="119"/>
      <c r="BL19" s="77">
        <f>BH19/BH20</f>
        <v>0.17307692307692307</v>
      </c>
    </row>
    <row r="20" spans="1:66" ht="30" customHeight="1" x14ac:dyDescent="0.35">
      <c r="B20" s="62" t="s">
        <v>49</v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100"/>
      <c r="Y20" s="93"/>
      <c r="Z20" s="94"/>
      <c r="AA20" s="94"/>
      <c r="AB20" s="94"/>
      <c r="AC20"/>
      <c r="AD20" s="60"/>
      <c r="AE20" s="68" t="str">
        <f t="shared" si="5"/>
        <v/>
      </c>
      <c r="AF20" s="68"/>
      <c r="AG20" s="68"/>
      <c r="AH20" s="68"/>
      <c r="AI20" s="69">
        <f t="shared" si="6"/>
        <v>0</v>
      </c>
      <c r="AJ20" s="69" t="str">
        <f t="shared" si="7"/>
        <v/>
      </c>
      <c r="AK20" s="69">
        <f t="shared" si="8"/>
        <v>0</v>
      </c>
      <c r="AL20" s="69" t="str">
        <f t="shared" si="9"/>
        <v/>
      </c>
      <c r="AM20" s="69">
        <f t="shared" si="10"/>
        <v>0</v>
      </c>
      <c r="AN20" s="69" t="str">
        <f t="shared" si="11"/>
        <v/>
      </c>
      <c r="AO20" s="69">
        <f t="shared" si="12"/>
        <v>0</v>
      </c>
      <c r="AP20" s="69" t="str">
        <f t="shared" si="13"/>
        <v/>
      </c>
      <c r="AQ20" s="69">
        <f t="shared" si="14"/>
        <v>0</v>
      </c>
      <c r="AR20" s="69" t="str">
        <f t="shared" si="15"/>
        <v/>
      </c>
      <c r="BH20" s="78">
        <f>SUM(BH16:BH19)</f>
        <v>52</v>
      </c>
      <c r="BI20" s="117" t="s">
        <v>3</v>
      </c>
      <c r="BJ20" s="118"/>
      <c r="BK20" s="119"/>
      <c r="BL20" s="79">
        <f>SUM(BL16:BL19)</f>
        <v>1</v>
      </c>
    </row>
    <row r="21" spans="1:66" ht="30" customHeight="1" x14ac:dyDescent="0.35">
      <c r="B21" s="59" t="s">
        <v>50</v>
      </c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98"/>
      <c r="Y21" s="115"/>
      <c r="Z21" s="116"/>
      <c r="AA21" s="116"/>
      <c r="AB21" s="116"/>
      <c r="AC21"/>
      <c r="AD21" s="60"/>
      <c r="AE21" s="68" t="str">
        <f t="shared" si="5"/>
        <v/>
      </c>
      <c r="AF21" s="68"/>
      <c r="AG21" s="68"/>
      <c r="AH21" s="68"/>
      <c r="AI21" s="69">
        <f t="shared" si="6"/>
        <v>0</v>
      </c>
      <c r="AJ21" s="69" t="str">
        <f t="shared" si="7"/>
        <v/>
      </c>
      <c r="AK21" s="69">
        <f t="shared" si="8"/>
        <v>0</v>
      </c>
      <c r="AL21" s="69" t="str">
        <f t="shared" si="9"/>
        <v/>
      </c>
      <c r="AM21" s="69">
        <f t="shared" si="10"/>
        <v>0</v>
      </c>
      <c r="AN21" s="69" t="str">
        <f t="shared" si="11"/>
        <v/>
      </c>
      <c r="AO21" s="69">
        <f t="shared" si="12"/>
        <v>0</v>
      </c>
      <c r="AP21" s="69" t="str">
        <f t="shared" si="13"/>
        <v/>
      </c>
      <c r="AQ21" s="69">
        <f t="shared" si="14"/>
        <v>0</v>
      </c>
      <c r="AR21" s="69" t="str">
        <f t="shared" si="15"/>
        <v/>
      </c>
    </row>
    <row r="22" spans="1:66" ht="30" customHeight="1" x14ac:dyDescent="0.35">
      <c r="A22" s="29" t="str">
        <f>CONCATENATE($B$17,"
",$B$18,"
",$B$20)</f>
        <v>PT138 - ANÁLISE ESTRUTURAL DO VVS1
ETAPA DE CAMPO
MECÂNICA</v>
      </c>
      <c r="B22" s="60" t="s">
        <v>19</v>
      </c>
      <c r="C22" s="91" t="str">
        <f>IF(AND($B22=[1]mauro!$A19,[1]mauro!$B19=C$4),"ok","nok")</f>
        <v>nok</v>
      </c>
      <c r="D22" s="91" t="str">
        <f>IF(AND($B22=[1]mauro!$A19,[1]mauro!$B19=D$4),"ok","nok")</f>
        <v>nok</v>
      </c>
      <c r="E22" s="91" t="str">
        <f>IF(AND($B22=[1]mauro!$A19,[1]mauro!$B19=E$4),"ok","nok")</f>
        <v>nok</v>
      </c>
      <c r="F22" s="91" t="str">
        <f>IF(AND($B22=[1]mauro!$A19,[1]mauro!$B19=F$4),"ok","nok")</f>
        <v>nok</v>
      </c>
      <c r="G22" s="91" t="str">
        <f>IF(AND($B22=[1]mauro!$A19,[1]mauro!$B19=G$4),"ok","nok")</f>
        <v>nok</v>
      </c>
      <c r="H22" s="91" t="str">
        <f>IF(AND($B22=[1]mauro!$A19,[1]mauro!$B19=H$4),"ok","nok")</f>
        <v>nok</v>
      </c>
      <c r="I22" s="103"/>
      <c r="J22" s="91" t="str">
        <f>IF(AND($B22=[1]mauro!$A19,[1]mauro!$B19=J$4),"ok","nok")</f>
        <v>nok</v>
      </c>
      <c r="K22" s="91" t="str">
        <f>IF(AND($B22=[1]mauro!$A19,[1]mauro!$B19=K$4),"ok","nok")</f>
        <v>nok</v>
      </c>
      <c r="L22" s="91" t="str">
        <f>IF(AND($B22=[1]mauro!$A19,[1]mauro!$B19=L$4),"ok","nok")</f>
        <v>nok</v>
      </c>
      <c r="M22" s="91" t="str">
        <f>IF(AND($B22=[1]mauro!$A19,[1]mauro!$B19=M$4),"ok","nok")</f>
        <v>nok</v>
      </c>
      <c r="N22" s="91" t="str">
        <f>IF(AND($B22=[1]mauro!$A19,[1]mauro!$B19=N$4),"ok","nok")</f>
        <v>ok</v>
      </c>
      <c r="O22" s="91" t="str">
        <f>IF(AND($B22=[1]mauro!$A19,[1]mauro!$B19=O$4),"ok","nok")</f>
        <v>nok</v>
      </c>
      <c r="P22" s="91" t="str">
        <f>IF(AND($B22=[1]mauro!$A19,[1]mauro!$B19=P$4),"ok","nok")</f>
        <v>nok</v>
      </c>
      <c r="Q22" s="91" t="str">
        <f>IF(AND($B22=[1]mauro!$A19,[1]mauro!$B19=Q$4),"ok","nok")</f>
        <v>nok</v>
      </c>
      <c r="R22" s="91" t="str">
        <f>IF(AND($B22=[1]mauro!$A19,[1]mauro!$B19=R$4),"ok","nok")</f>
        <v>nok</v>
      </c>
      <c r="S22" s="91" t="str">
        <f>IF(AND($B22=[1]mauro!$A19,[1]mauro!$B19=S$4),"ok","nok")</f>
        <v>nok</v>
      </c>
      <c r="T22" s="91" t="str">
        <f>IF(AND($B22=[1]mauro!$A19,[1]mauro!$B19=T$4),"ok","nok")</f>
        <v>nok</v>
      </c>
      <c r="U22" s="91" t="str">
        <f>IF(AND($B22=[1]mauro!$A19,[1]mauro!$B19=U$4),"ok","nok")</f>
        <v>nok</v>
      </c>
      <c r="V22" s="91" t="str">
        <f>IF(AND($B22=[1]mauro!$A19,[1]mauro!$B19=V$4),"ok","nok")</f>
        <v>nok</v>
      </c>
      <c r="W22" s="91" t="str">
        <f>IF(AND($B22=[1]mauro!$A19,[1]mauro!$B19=W$4),"ok","nok")</f>
        <v>nok</v>
      </c>
      <c r="X22" s="91" t="str">
        <f>IF(AND($B22=[1]mauro!$A19,[1]mauro!$B19=X$4),"ok","nok")</f>
        <v>nok</v>
      </c>
      <c r="Y22" s="112" t="s">
        <v>2</v>
      </c>
      <c r="Z22" s="113"/>
      <c r="AA22" s="113"/>
      <c r="AB22" s="114"/>
      <c r="AC22"/>
      <c r="AD22" s="60"/>
      <c r="AE22" s="68" t="str">
        <f t="shared" si="5"/>
        <v/>
      </c>
      <c r="AF22" s="68"/>
      <c r="AG22" s="68"/>
      <c r="AH22" s="68"/>
      <c r="AI22" s="69">
        <f t="shared" si="6"/>
        <v>0</v>
      </c>
      <c r="AJ22" s="69" t="str">
        <f t="shared" si="7"/>
        <v/>
      </c>
      <c r="AK22" s="69">
        <f t="shared" si="8"/>
        <v>0</v>
      </c>
      <c r="AL22" s="69" t="str">
        <f t="shared" si="9"/>
        <v/>
      </c>
      <c r="AM22" s="69">
        <f t="shared" si="10"/>
        <v>1</v>
      </c>
      <c r="AN22" s="69" t="str">
        <f t="shared" si="11"/>
        <v>ENTREGUE</v>
      </c>
      <c r="AO22" s="69">
        <f t="shared" si="12"/>
        <v>0</v>
      </c>
      <c r="AP22" s="69" t="str">
        <f t="shared" si="13"/>
        <v/>
      </c>
      <c r="AQ22" s="69">
        <f t="shared" si="14"/>
        <v>0</v>
      </c>
      <c r="AR22" s="69" t="str">
        <f t="shared" si="15"/>
        <v/>
      </c>
      <c r="BI22" s="70">
        <f>SUM(COUNTIF(Y:AB,"ENTREGUE"))</f>
        <v>18</v>
      </c>
    </row>
    <row r="23" spans="1:66" ht="30" customHeight="1" x14ac:dyDescent="0.35">
      <c r="A23" s="29"/>
      <c r="B23" s="60" t="s">
        <v>103</v>
      </c>
      <c r="C23" s="91" t="str">
        <f>IF(AND($B23=[1]mauro!$A21,[1]mauro!$B21=C$4),"ok","nok")</f>
        <v>nok</v>
      </c>
      <c r="D23" s="91" t="str">
        <f>IF(AND($B23=[1]mauro!$A21,[1]mauro!$B21=D$4),"ok","nok")</f>
        <v>nok</v>
      </c>
      <c r="E23" s="91" t="str">
        <f>IF(AND($B23=[1]mauro!$A21,[1]mauro!$B21=E$4),"ok","nok")</f>
        <v>nok</v>
      </c>
      <c r="F23" s="91" t="str">
        <f>IF(AND($B23=[1]mauro!$A21,[1]mauro!$B21=F$4),"ok","nok")</f>
        <v>nok</v>
      </c>
      <c r="G23" s="91" t="str">
        <f>IF(AND($B23=[1]mauro!$A21,[1]mauro!$B21=G$4),"ok","nok")</f>
        <v>nok</v>
      </c>
      <c r="H23" s="91" t="str">
        <f>IF(AND($B23=[1]mauro!$A21,[1]mauro!$B21=H$4),"ok","nok")</f>
        <v>nok</v>
      </c>
      <c r="I23" s="91" t="str">
        <f>IF(AND($B23=[1]mauro!$A21,[1]mauro!$B21=I$4),"ok","nok")</f>
        <v>nok</v>
      </c>
      <c r="J23" s="91" t="str">
        <f>IF(AND($B23=[1]mauro!$A21,[1]mauro!$B21=J$4),"ok","nok")</f>
        <v>nok</v>
      </c>
      <c r="K23" s="91" t="str">
        <f>IF(AND($B23=[1]mauro!$A21,[1]mauro!$B21=K$4),"ok","nok")</f>
        <v>nok</v>
      </c>
      <c r="L23" s="91" t="str">
        <f>IF(AND($B23=[1]mauro!$A21,[1]mauro!$B21=L$4),"ok","nok")</f>
        <v>nok</v>
      </c>
      <c r="M23" s="91" t="str">
        <f>IF(AND($B23=[1]mauro!$A21,[1]mauro!$B21=M$4),"ok","nok")</f>
        <v>nok</v>
      </c>
      <c r="N23" s="91" t="str">
        <f>IF(AND($B23=[1]mauro!$A21,[1]mauro!$B21=N$4),"ok","nok")</f>
        <v>nok</v>
      </c>
      <c r="O23" s="91" t="str">
        <f>IF(AND($B23=[1]mauro!$A21,[1]mauro!$B21=O$4),"ok","nok")</f>
        <v>nok</v>
      </c>
      <c r="P23" s="91" t="str">
        <f>IF(AND($B23=[1]mauro!$A21,[1]mauro!$B21=P$4),"ok","nok")</f>
        <v>nok</v>
      </c>
      <c r="Q23" s="91" t="str">
        <f>IF(AND($B23=[1]mauro!$A21,[1]mauro!$B21=Q$4),"ok","nok")</f>
        <v>nok</v>
      </c>
      <c r="R23" s="91" t="str">
        <f>IF(AND($B23=[1]mauro!$A21,[1]mauro!$B21=R$4),"ok","nok")</f>
        <v>nok</v>
      </c>
      <c r="S23" s="91" t="str">
        <f>IF(AND($B23=[1]mauro!$A21,[1]mauro!$B21=S$4),"ok","nok")</f>
        <v>ok</v>
      </c>
      <c r="T23" s="91" t="str">
        <f>IF(AND($B23=[1]mauro!$A21,[1]mauro!$B21=T$4),"ok","nok")</f>
        <v>nok</v>
      </c>
      <c r="U23" s="91" t="str">
        <f>IF(AND($B23=[1]mauro!$A21,[1]mauro!$B21=U$4),"ok","nok")</f>
        <v>nok</v>
      </c>
      <c r="V23" s="91" t="str">
        <f>IF(AND($B23=[1]mauro!$A21,[1]mauro!$B21=V$4),"ok","nok")</f>
        <v>nok</v>
      </c>
      <c r="W23" s="91" t="str">
        <f>IF(AND($B23=[1]mauro!$A21,[1]mauro!$B21=W$4),"ok","nok")</f>
        <v>nok</v>
      </c>
      <c r="X23" s="91" t="str">
        <f>IF(AND($B23=[1]mauro!$A21,[1]mauro!$B21=X$4),"ok","nok")</f>
        <v>nok</v>
      </c>
      <c r="Y23" s="112" t="s">
        <v>2</v>
      </c>
      <c r="Z23" s="113"/>
      <c r="AA23" s="113"/>
      <c r="AB23" s="114"/>
      <c r="AC23"/>
      <c r="AD23" s="66"/>
      <c r="AE23" s="68"/>
      <c r="AF23" s="68"/>
      <c r="AG23" s="68"/>
      <c r="AH23" s="68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BI23" s="70">
        <f>SUM(COUNTIF(Y:AB,"EFPRAZO"))</f>
        <v>4</v>
      </c>
    </row>
    <row r="24" spans="1:66" ht="30" customHeight="1" x14ac:dyDescent="0.35">
      <c r="A24" s="29"/>
      <c r="B24" s="60" t="s">
        <v>104</v>
      </c>
      <c r="C24" s="91" t="str">
        <f>IF(AND($B24=[1]mauro!$A22,[1]mauro!$B22=C$4),"ok","nok")</f>
        <v>nok</v>
      </c>
      <c r="D24" s="91" t="str">
        <f>IF(AND($B24=[1]mauro!$A22,[1]mauro!$B22=D$4),"ok","nok")</f>
        <v>nok</v>
      </c>
      <c r="E24" s="91" t="str">
        <f>IF(AND($B24=[1]mauro!$A22,[1]mauro!$B22=E$4),"ok","nok")</f>
        <v>nok</v>
      </c>
      <c r="F24" s="91" t="str">
        <f>IF(AND($B24=[1]mauro!$A22,[1]mauro!$B22=F$4),"ok","nok")</f>
        <v>nok</v>
      </c>
      <c r="G24" s="91" t="str">
        <f>IF(AND($B24=[1]mauro!$A22,[1]mauro!$B22=G$4),"ok","nok")</f>
        <v>nok</v>
      </c>
      <c r="H24" s="91" t="str">
        <f>IF(AND($B24=[1]mauro!$A22,[1]mauro!$B22=H$4),"ok","nok")</f>
        <v>nok</v>
      </c>
      <c r="I24" s="91" t="str">
        <f>IF(AND($B24=[1]mauro!$A22,[1]mauro!$B22=I$4),"ok","nok")</f>
        <v>nok</v>
      </c>
      <c r="J24" s="91" t="str">
        <f>IF(AND($B24=[1]mauro!$A22,[1]mauro!$B22=J$4),"ok","nok")</f>
        <v>nok</v>
      </c>
      <c r="K24" s="91" t="str">
        <f>IF(AND($B24=[1]mauro!$A22,[1]mauro!$B22=K$4),"ok","nok")</f>
        <v>nok</v>
      </c>
      <c r="L24" s="91" t="str">
        <f>IF(AND($B24=[1]mauro!$A22,[1]mauro!$B22=L$4),"ok","nok")</f>
        <v>nok</v>
      </c>
      <c r="M24" s="91" t="str">
        <f>IF(AND($B24=[1]mauro!$A22,[1]mauro!$B22=M$4),"ok","nok")</f>
        <v>nok</v>
      </c>
      <c r="N24" s="91" t="str">
        <f>IF(AND($B24=[1]mauro!$A22,[1]mauro!$B22=N$4),"ok","nok")</f>
        <v>nok</v>
      </c>
      <c r="O24" s="91" t="str">
        <f>IF(AND($B24=[1]mauro!$A22,[1]mauro!$B22=O$4),"ok","nok")</f>
        <v>nok</v>
      </c>
      <c r="P24" s="91" t="str">
        <f>IF(AND($B24=[1]mauro!$A22,[1]mauro!$B22=P$4),"ok","nok")</f>
        <v>nok</v>
      </c>
      <c r="Q24" s="91" t="str">
        <f>IF(AND($B24=[1]mauro!$A22,[1]mauro!$B22=Q$4),"ok","nok")</f>
        <v>nok</v>
      </c>
      <c r="R24" s="91" t="str">
        <f>IF(AND($B24=[1]mauro!$A22,[1]mauro!$B22=R$4),"ok","nok")</f>
        <v>nok</v>
      </c>
      <c r="S24" s="91" t="str">
        <f>IF(AND($B24=[1]mauro!$A22,[1]mauro!$B22=S$4),"ok","nok")</f>
        <v>ok</v>
      </c>
      <c r="T24" s="91" t="str">
        <f>IF(AND($B24=[1]mauro!$A22,[1]mauro!$B22=T$4),"ok","nok")</f>
        <v>nok</v>
      </c>
      <c r="U24" s="91" t="str">
        <f>IF(AND($B24=[1]mauro!$A22,[1]mauro!$B22=U$4),"ok","nok")</f>
        <v>nok</v>
      </c>
      <c r="V24" s="91" t="str">
        <f>IF(AND($B24=[1]mauro!$A22,[1]mauro!$B22=V$4),"ok","nok")</f>
        <v>nok</v>
      </c>
      <c r="W24" s="91" t="str">
        <f>IF(AND($B24=[1]mauro!$A22,[1]mauro!$B22=W$4),"ok","nok")</f>
        <v>nok</v>
      </c>
      <c r="X24" s="91" t="str">
        <f>IF(AND($B24=[1]mauro!$A22,[1]mauro!$B22=X$4),"ok","nok")</f>
        <v>nok</v>
      </c>
      <c r="Y24" s="112" t="s">
        <v>15</v>
      </c>
      <c r="Z24" s="113"/>
      <c r="AA24" s="113"/>
      <c r="AB24" s="114"/>
      <c r="AC24"/>
      <c r="AD24" s="66"/>
      <c r="AE24" s="68"/>
      <c r="AF24" s="68"/>
      <c r="AG24" s="68"/>
      <c r="AH24" s="68"/>
      <c r="AI24" s="69"/>
      <c r="AJ24" s="69"/>
      <c r="AK24" s="69"/>
      <c r="AL24" s="69"/>
      <c r="AM24" s="69"/>
      <c r="AN24" s="69"/>
      <c r="AO24" s="69"/>
      <c r="AP24" s="69"/>
      <c r="AQ24" s="69"/>
      <c r="AR24" s="69"/>
    </row>
    <row r="25" spans="1:66" ht="30" customHeight="1" x14ac:dyDescent="0.35">
      <c r="A25" s="29"/>
      <c r="B25" s="60" t="s">
        <v>19</v>
      </c>
      <c r="C25" s="91" t="str">
        <f>IF(AND($B25=[1]mauro!$A23,[1]mauro!$B23=C$4),"ok","nok")</f>
        <v>nok</v>
      </c>
      <c r="D25" s="91" t="str">
        <f>IF(AND($B25=[1]mauro!$A23,[1]mauro!$B23=D$4),"ok","nok")</f>
        <v>nok</v>
      </c>
      <c r="E25" s="91" t="str">
        <f>IF(AND($B25=[1]mauro!$A23,[1]mauro!$B23=E$4),"ok","nok")</f>
        <v>nok</v>
      </c>
      <c r="F25" s="91" t="str">
        <f>IF(AND($B25=[1]mauro!$A23,[1]mauro!$B23=F$4),"ok","nok")</f>
        <v>nok</v>
      </c>
      <c r="G25" s="91" t="str">
        <f>IF(AND($B25=[1]mauro!$A23,[1]mauro!$B23=G$4),"ok","nok")</f>
        <v>nok</v>
      </c>
      <c r="H25" s="91" t="str">
        <f>IF(AND($B25=[1]mauro!$A23,[1]mauro!$B23=H$4),"ok","nok")</f>
        <v>nok</v>
      </c>
      <c r="I25" s="91" t="str">
        <f>IF(AND($B25=[1]mauro!$A23,[1]mauro!$B23=I$4),"ok","nok")</f>
        <v>nok</v>
      </c>
      <c r="J25" s="91" t="str">
        <f>IF(AND($B25=[1]mauro!$A23,[1]mauro!$B23=J$4),"ok","nok")</f>
        <v>nok</v>
      </c>
      <c r="K25" s="91" t="str">
        <f>IF(AND($B25=[1]mauro!$A23,[1]mauro!$B23=K$4),"ok","nok")</f>
        <v>nok</v>
      </c>
      <c r="L25" s="91" t="str">
        <f>IF(AND($B25=[1]mauro!$A23,[1]mauro!$B23=L$4),"ok","nok")</f>
        <v>nok</v>
      </c>
      <c r="M25" s="91" t="str">
        <f>IF(AND($B25=[1]mauro!$A23,[1]mauro!$B23=M$4),"ok","nok")</f>
        <v>nok</v>
      </c>
      <c r="N25" s="91" t="str">
        <f>IF(AND($B25=[1]mauro!$A23,[1]mauro!$B23=N$4),"ok","nok")</f>
        <v>nok</v>
      </c>
      <c r="O25" s="91" t="str">
        <f>IF(AND($B25=[1]mauro!$A23,[1]mauro!$B23=O$4),"ok","nok")</f>
        <v>nok</v>
      </c>
      <c r="P25" s="91" t="str">
        <f>IF(AND($B25=[1]mauro!$A23,[1]mauro!$B23=P$4),"ok","nok")</f>
        <v>nok</v>
      </c>
      <c r="Q25" s="91" t="str">
        <f>IF(AND($B25=[1]mauro!$A23,[1]mauro!$B23=Q$4),"ok","nok")</f>
        <v>nok</v>
      </c>
      <c r="R25" s="91" t="str">
        <f>IF(AND($B25=[1]mauro!$A23,[1]mauro!$B23=R$4),"ok","nok")</f>
        <v>nok</v>
      </c>
      <c r="S25" s="91" t="str">
        <f>IF(AND($B25=[1]mauro!$A23,[1]mauro!$B23=S$4),"ok","nok")</f>
        <v>nok</v>
      </c>
      <c r="T25" s="91" t="str">
        <f>IF(AND($B25=[1]mauro!$A23,[1]mauro!$B23=T$4),"ok","nok")</f>
        <v>nok</v>
      </c>
      <c r="U25" s="91" t="str">
        <f>IF(AND($B25=[1]mauro!$A23,[1]mauro!$B23=U$4),"ok","nok")</f>
        <v>nok</v>
      </c>
      <c r="V25" s="91" t="str">
        <f>IF(AND($B25=[1]mauro!$A23,[1]mauro!$B23=V$4),"ok","nok")</f>
        <v>nok</v>
      </c>
      <c r="W25" s="91" t="str">
        <f>IF(AND($B25=[1]mauro!$A23,[1]mauro!$B23=W$4),"ok","nok")</f>
        <v>nok</v>
      </c>
      <c r="X25" s="91" t="str">
        <f>IF(AND($B25=[1]mauro!$A23,[1]mauro!$B23=X$4),"ok","nok")</f>
        <v>ok</v>
      </c>
      <c r="Y25" s="112" t="s">
        <v>15</v>
      </c>
      <c r="Z25" s="113"/>
      <c r="AA25" s="113"/>
      <c r="AB25" s="114"/>
      <c r="AC25"/>
      <c r="AD25" s="66"/>
      <c r="AE25" s="68"/>
      <c r="AF25" s="68"/>
      <c r="AG25" s="68"/>
      <c r="AH25" s="68"/>
      <c r="AI25" s="69"/>
      <c r="AJ25" s="69"/>
      <c r="AK25" s="69"/>
      <c r="AL25" s="69"/>
      <c r="AM25" s="69"/>
      <c r="AN25" s="69"/>
      <c r="AO25" s="69"/>
      <c r="AP25" s="69"/>
      <c r="AQ25" s="69"/>
      <c r="AR25" s="69"/>
    </row>
    <row r="26" spans="1:66" ht="30" customHeight="1" x14ac:dyDescent="0.35">
      <c r="A26" s="29"/>
      <c r="B26" s="62" t="s">
        <v>51</v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100"/>
      <c r="Y26" s="93"/>
      <c r="Z26" s="94"/>
      <c r="AA26" s="94"/>
      <c r="AB26" s="94"/>
      <c r="AC26"/>
      <c r="AD26" s="60"/>
      <c r="AE26" s="68" t="str">
        <f t="shared" si="5"/>
        <v/>
      </c>
      <c r="AF26" s="68"/>
      <c r="AG26" s="68"/>
      <c r="AH26" s="68"/>
      <c r="AI26" s="69">
        <f t="shared" si="6"/>
        <v>0</v>
      </c>
      <c r="AJ26" s="69" t="str">
        <f t="shared" si="7"/>
        <v/>
      </c>
      <c r="AK26" s="69">
        <f t="shared" si="8"/>
        <v>0</v>
      </c>
      <c r="AL26" s="69" t="str">
        <f t="shared" si="9"/>
        <v/>
      </c>
      <c r="AM26" s="69">
        <f t="shared" si="10"/>
        <v>0</v>
      </c>
      <c r="AN26" s="69" t="str">
        <f t="shared" si="11"/>
        <v/>
      </c>
      <c r="AO26" s="69">
        <f t="shared" si="12"/>
        <v>0</v>
      </c>
      <c r="AP26" s="69" t="str">
        <f t="shared" si="13"/>
        <v/>
      </c>
      <c r="AQ26" s="69">
        <f t="shared" si="14"/>
        <v>0</v>
      </c>
      <c r="AR26" s="69" t="str">
        <f t="shared" si="15"/>
        <v/>
      </c>
    </row>
    <row r="27" spans="1:66" ht="30" customHeight="1" x14ac:dyDescent="0.35">
      <c r="A27" s="29"/>
      <c r="B27" s="59" t="s">
        <v>52</v>
      </c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98"/>
      <c r="Y27" s="115"/>
      <c r="Z27" s="116"/>
      <c r="AA27" s="116"/>
      <c r="AB27" s="116"/>
      <c r="AC27"/>
      <c r="AD27" s="60"/>
      <c r="AE27" s="68" t="str">
        <f t="shared" si="5"/>
        <v/>
      </c>
      <c r="AF27" s="68"/>
      <c r="AG27" s="68"/>
      <c r="AH27" s="68"/>
      <c r="AI27" s="69">
        <f t="shared" si="6"/>
        <v>0</v>
      </c>
      <c r="AJ27" s="69" t="str">
        <f t="shared" si="7"/>
        <v/>
      </c>
      <c r="AK27" s="69">
        <f t="shared" si="8"/>
        <v>0</v>
      </c>
      <c r="AL27" s="69" t="str">
        <f t="shared" si="9"/>
        <v/>
      </c>
      <c r="AM27" s="69">
        <f t="shared" si="10"/>
        <v>0</v>
      </c>
      <c r="AN27" s="69" t="str">
        <f t="shared" si="11"/>
        <v/>
      </c>
      <c r="AO27" s="69">
        <f t="shared" si="12"/>
        <v>0</v>
      </c>
      <c r="AP27" s="69" t="str">
        <f t="shared" si="13"/>
        <v/>
      </c>
      <c r="AQ27" s="69">
        <f t="shared" si="14"/>
        <v>0</v>
      </c>
      <c r="AR27" s="69" t="str">
        <f t="shared" si="15"/>
        <v/>
      </c>
      <c r="AY27" s="117" t="s">
        <v>31</v>
      </c>
      <c r="AZ27" s="118"/>
      <c r="BA27" s="118"/>
      <c r="BB27" s="119"/>
      <c r="BF27" s="107" t="s">
        <v>31</v>
      </c>
      <c r="BG27" s="108"/>
      <c r="BH27" s="109"/>
      <c r="BI27" s="78">
        <f>SUM(COUNTIF(Y:AB,"ATRASADO"))</f>
        <v>1</v>
      </c>
    </row>
    <row r="28" spans="1:66" ht="30" customHeight="1" x14ac:dyDescent="0.35">
      <c r="A28" s="29" t="str">
        <f>CONCATENATE($B$17,"
",$B$18,"
",$B$26)</f>
        <v>PT138 - ANÁLISE ESTRUTURAL DO VVS1
ETAPA DE CAMPO
CIVIL</v>
      </c>
      <c r="B28" s="60" t="s">
        <v>19</v>
      </c>
      <c r="C28" s="91" t="str">
        <f>IF(AND($B28=[1]mauro!$A26,[1]mauro!$B26=C$4),"ok","nok")</f>
        <v>nok</v>
      </c>
      <c r="D28" s="91" t="str">
        <f>IF(AND($B28=[1]mauro!$A26,[1]mauro!$B26=D$4),"ok","nok")</f>
        <v>nok</v>
      </c>
      <c r="E28" s="91" t="str">
        <f>IF(AND($B28=[1]mauro!$A26,[1]mauro!$B26=E$4),"ok","nok")</f>
        <v>nok</v>
      </c>
      <c r="F28" s="91" t="str">
        <f>IF(AND($B28=[1]mauro!$A26,[1]mauro!$B26=F$4),"ok","nok")</f>
        <v>nok</v>
      </c>
      <c r="G28" s="91" t="str">
        <f>IF(AND($B28=[1]mauro!$A26,[1]mauro!$B26=G$4),"ok","nok")</f>
        <v>nok</v>
      </c>
      <c r="H28" s="91" t="str">
        <f>IF(AND($B28=[1]mauro!$A26,[1]mauro!$B26=H$4),"ok","nok")</f>
        <v>nok</v>
      </c>
      <c r="I28" s="103"/>
      <c r="J28" s="91" t="str">
        <f>IF(AND($B28=[1]mauro!$A26,[1]mauro!$B26=J$4),"ok","nok")</f>
        <v>nok</v>
      </c>
      <c r="K28" s="91" t="str">
        <f>IF(AND($B28=[1]mauro!$A26,[1]mauro!$B26=K$4),"ok","nok")</f>
        <v>nok</v>
      </c>
      <c r="L28" s="91" t="str">
        <f>IF(AND($B28=[1]mauro!$A26,[1]mauro!$B26=L$4),"ok","nok")</f>
        <v>nok</v>
      </c>
      <c r="M28" s="91" t="str">
        <f>IF(AND($B28=[1]mauro!$A26,[1]mauro!$B26=M$4),"ok","nok")</f>
        <v>nok</v>
      </c>
      <c r="N28" s="91" t="str">
        <f>IF(AND($B28=[1]mauro!$A26,[1]mauro!$B26=N$4),"ok","nok")</f>
        <v>ok</v>
      </c>
      <c r="O28" s="91" t="str">
        <f>IF(AND($B28=[1]mauro!$A26,[1]mauro!$B26=O$4),"ok","nok")</f>
        <v>nok</v>
      </c>
      <c r="P28" s="91" t="str">
        <f>IF(AND($B28=[1]mauro!$A26,[1]mauro!$B26=P$4),"ok","nok")</f>
        <v>nok</v>
      </c>
      <c r="Q28" s="91" t="str">
        <f>IF(AND($B28=[1]mauro!$A26,[1]mauro!$B26=Q$4),"ok","nok")</f>
        <v>nok</v>
      </c>
      <c r="R28" s="91" t="str">
        <f>IF(AND($B28=[1]mauro!$A26,[1]mauro!$B26=R$4),"ok","nok")</f>
        <v>nok</v>
      </c>
      <c r="S28" s="91" t="str">
        <f>IF(AND($B28=[1]mauro!$A26,[1]mauro!$B26=S$4),"ok","nok")</f>
        <v>nok</v>
      </c>
      <c r="T28" s="91" t="str">
        <f>IF(AND($B28=[1]mauro!$A26,[1]mauro!$B26=T$4),"ok","nok")</f>
        <v>nok</v>
      </c>
      <c r="U28" s="91" t="str">
        <f>IF(AND($B28=[1]mauro!$A26,[1]mauro!$B26=U$4),"ok","nok")</f>
        <v>nok</v>
      </c>
      <c r="V28" s="91" t="str">
        <f>IF(AND($B28=[1]mauro!$A26,[1]mauro!$B26=V$4),"ok","nok")</f>
        <v>nok</v>
      </c>
      <c r="W28" s="91" t="str">
        <f>IF(AND($B28=[1]mauro!$A26,[1]mauro!$B26=W$4),"ok","nok")</f>
        <v>nok</v>
      </c>
      <c r="X28" s="91" t="str">
        <f>IF(AND($B28=[1]mauro!$A26,[1]mauro!$B26=X$4),"ok","nok")</f>
        <v>nok</v>
      </c>
      <c r="Y28" s="112" t="s">
        <v>2</v>
      </c>
      <c r="Z28" s="113"/>
      <c r="AA28" s="113"/>
      <c r="AB28" s="114"/>
      <c r="AC28"/>
      <c r="AD28" s="60"/>
      <c r="AE28" s="68" t="str">
        <f t="shared" si="5"/>
        <v/>
      </c>
      <c r="AF28" s="68"/>
      <c r="AG28" s="68"/>
      <c r="AH28" s="68"/>
      <c r="AI28" s="69">
        <f t="shared" si="6"/>
        <v>0</v>
      </c>
      <c r="AJ28" s="69" t="str">
        <f t="shared" si="7"/>
        <v/>
      </c>
      <c r="AK28" s="69">
        <f t="shared" si="8"/>
        <v>0</v>
      </c>
      <c r="AL28" s="69" t="str">
        <f t="shared" si="9"/>
        <v/>
      </c>
      <c r="AM28" s="69">
        <f t="shared" si="10"/>
        <v>1</v>
      </c>
      <c r="AN28" s="69" t="str">
        <f t="shared" si="11"/>
        <v>ENTREGUE</v>
      </c>
      <c r="AO28" s="69">
        <f t="shared" si="12"/>
        <v>0</v>
      </c>
      <c r="AP28" s="69" t="str">
        <f t="shared" si="13"/>
        <v/>
      </c>
      <c r="AQ28" s="69">
        <f t="shared" si="14"/>
        <v>0</v>
      </c>
      <c r="AR28" s="69" t="str">
        <f t="shared" si="15"/>
        <v/>
      </c>
      <c r="AY28" s="107" t="s">
        <v>31</v>
      </c>
      <c r="AZ28" s="108"/>
      <c r="BA28" s="109"/>
      <c r="BB28" s="78">
        <f>SUM(COUNTIF(Y:AB,"ATRASADO"))</f>
        <v>1</v>
      </c>
      <c r="BC28" s="72">
        <f>BB28/$BP$8</f>
        <v>1.9230769230769232E-2</v>
      </c>
      <c r="BD28" s="72">
        <f>BB28/$BP$8</f>
        <v>1.9230769230769232E-2</v>
      </c>
      <c r="BF28" t="str" cm="1">
        <f t="array" ref="BF28:BF30">_xlfn.UNIQUE(AE6:AE106)</f>
        <v/>
      </c>
    </row>
    <row r="29" spans="1:66" ht="30" customHeight="1" x14ac:dyDescent="0.35">
      <c r="A29" s="29"/>
      <c r="B29" s="60" t="s">
        <v>103</v>
      </c>
      <c r="C29" s="91"/>
      <c r="D29" s="91"/>
      <c r="E29" s="91"/>
      <c r="F29" s="91"/>
      <c r="G29" s="91"/>
      <c r="H29" s="91"/>
      <c r="I29" s="91"/>
      <c r="J29" s="91" t="str">
        <f>IF(AND($B29=[1]mauro!$A28,[1]mauro!$B28=J$4),"ok","nok")</f>
        <v>nok</v>
      </c>
      <c r="K29" s="91" t="str">
        <f>IF(AND($B29=[1]mauro!$A28,[1]mauro!$B28=K$4),"ok","nok")</f>
        <v>nok</v>
      </c>
      <c r="L29" s="91" t="str">
        <f>IF(AND($B29=[1]mauro!$A28,[1]mauro!$B28=L$4),"ok","nok")</f>
        <v>nok</v>
      </c>
      <c r="M29" s="91" t="str">
        <f>IF(AND($B29=[1]mauro!$A28,[1]mauro!$B28=M$4),"ok","nok")</f>
        <v>nok</v>
      </c>
      <c r="N29" s="91" t="str">
        <f>IF(AND($B29=[1]mauro!$A28,[1]mauro!$B28=N$4),"ok","nok")</f>
        <v>nok</v>
      </c>
      <c r="O29" s="91" t="str">
        <f>IF(AND($B29=[1]mauro!$A28,[1]mauro!$B28=O$4),"ok","nok")</f>
        <v>nok</v>
      </c>
      <c r="P29" s="91" t="str">
        <f>IF(AND($B29=[1]mauro!$A28,[1]mauro!$B28=P$4),"ok","nok")</f>
        <v>nok</v>
      </c>
      <c r="Q29" s="91" t="str">
        <f>IF(AND($B29=[1]mauro!$A28,[1]mauro!$B28=Q$4),"ok","nok")</f>
        <v>nok</v>
      </c>
      <c r="R29" s="91" t="str">
        <f>IF(AND($B29=[1]mauro!$A28,[1]mauro!$B28=R$4),"ok","nok")</f>
        <v>nok</v>
      </c>
      <c r="S29" s="91" t="str">
        <f>IF(AND($B29=[1]mauro!$A28,[1]mauro!$B28=S$4),"ok","nok")</f>
        <v>ok</v>
      </c>
      <c r="T29" s="91" t="str">
        <f>IF(AND($B29=[1]mauro!$A28,[1]mauro!$B28=T$4),"ok","nok")</f>
        <v>nok</v>
      </c>
      <c r="U29" s="91" t="str">
        <f>IF(AND($B29=[1]mauro!$A28,[1]mauro!$B28=U$4),"ok","nok")</f>
        <v>nok</v>
      </c>
      <c r="V29" s="91" t="str">
        <f>IF(AND($B29=[1]mauro!$A28,[1]mauro!$B28=V$4),"ok","nok")</f>
        <v>nok</v>
      </c>
      <c r="W29" s="91" t="str">
        <f>IF(AND($B29=[1]mauro!$A28,[1]mauro!$B28=W$4),"ok","nok")</f>
        <v>nok</v>
      </c>
      <c r="X29" s="91" t="str">
        <f>IF(AND($B29=[1]mauro!$A28,[1]mauro!$B28=X$4),"ok","nok")</f>
        <v>nok</v>
      </c>
      <c r="Y29" s="112" t="s">
        <v>37</v>
      </c>
      <c r="Z29" s="113"/>
      <c r="AA29" s="113"/>
      <c r="AB29" s="114"/>
      <c r="AC29"/>
      <c r="AD29" s="74"/>
      <c r="AE29" s="68"/>
      <c r="AF29" s="68"/>
      <c r="AG29" s="68"/>
      <c r="AH29" s="68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Y29" s="104"/>
      <c r="AZ29" s="105"/>
      <c r="BA29" s="106"/>
      <c r="BB29" s="78"/>
      <c r="BC29" s="72"/>
      <c r="BD29" s="72"/>
      <c r="BF29" s="92">
        <v>0</v>
      </c>
      <c r="BN29" s="72"/>
    </row>
    <row r="30" spans="1:66" ht="30" customHeight="1" x14ac:dyDescent="0.35">
      <c r="A30" s="29"/>
      <c r="B30" s="60" t="s">
        <v>104</v>
      </c>
      <c r="C30" s="91" t="str">
        <f>IF(AND($B30=[1]mauro!$A29,[1]mauro!$B29=C$4),"ok","nok")</f>
        <v>nok</v>
      </c>
      <c r="D30" s="91" t="str">
        <f>IF(AND($B30=[1]mauro!$A29,[1]mauro!$B29=D$4),"ok","nok")</f>
        <v>nok</v>
      </c>
      <c r="E30" s="91" t="str">
        <f>IF(AND($B30=[1]mauro!$A29,[1]mauro!$B29=E$4),"ok","nok")</f>
        <v>nok</v>
      </c>
      <c r="F30" s="91" t="str">
        <f>IF(AND($B30=[1]mauro!$A29,[1]mauro!$B29=F$4),"ok","nok")</f>
        <v>nok</v>
      </c>
      <c r="G30" s="91" t="str">
        <f>IF(AND($B30=[1]mauro!$A29,[1]mauro!$B29=G$4),"ok","nok")</f>
        <v>nok</v>
      </c>
      <c r="H30" s="91" t="str">
        <f>IF(AND($B30=[1]mauro!$A29,[1]mauro!$B29=H$4),"ok","nok")</f>
        <v>nok</v>
      </c>
      <c r="I30" s="91" t="str">
        <f>IF(AND($B30=[1]mauro!$A29,[1]mauro!$B29=I$4),"ok","nok")</f>
        <v>nok</v>
      </c>
      <c r="J30" s="91" t="str">
        <f>IF(AND($B30=[1]mauro!$A29,[1]mauro!$B29=J$4),"ok","nok")</f>
        <v>nok</v>
      </c>
      <c r="K30" s="91" t="str">
        <f>IF(AND($B30=[1]mauro!$A29,[1]mauro!$B29=K$4),"ok","nok")</f>
        <v>nok</v>
      </c>
      <c r="L30" s="91" t="str">
        <f>IF(AND($B30=[1]mauro!$A29,[1]mauro!$B29=L$4),"ok","nok")</f>
        <v>nok</v>
      </c>
      <c r="M30" s="91" t="str">
        <f>IF(AND($B30=[1]mauro!$A29,[1]mauro!$B29=M$4),"ok","nok")</f>
        <v>nok</v>
      </c>
      <c r="N30" s="91" t="str">
        <f>IF(AND($B30=[1]mauro!$A29,[1]mauro!$B29=N$4),"ok","nok")</f>
        <v>nok</v>
      </c>
      <c r="O30" s="91" t="str">
        <f>IF(AND($B30=[1]mauro!$A29,[1]mauro!$B29=O$4),"ok","nok")</f>
        <v>nok</v>
      </c>
      <c r="P30" s="91" t="str">
        <f>IF(AND($B30=[1]mauro!$A29,[1]mauro!$B29=P$4),"ok","nok")</f>
        <v>nok</v>
      </c>
      <c r="Q30" s="91" t="str">
        <f>IF(AND($B30=[1]mauro!$A29,[1]mauro!$B29=Q$4),"ok","nok")</f>
        <v>nok</v>
      </c>
      <c r="R30" s="91" t="str">
        <f>IF(AND($B30=[1]mauro!$A29,[1]mauro!$B29=R$4),"ok","nok")</f>
        <v>nok</v>
      </c>
      <c r="S30" s="91" t="str">
        <f>IF(AND($B30=[1]mauro!$A29,[1]mauro!$B29=S$4),"ok","nok")</f>
        <v>ok</v>
      </c>
      <c r="T30" s="91" t="str">
        <f>IF(AND($B30=[1]mauro!$A29,[1]mauro!$B29=T$4),"ok","nok")</f>
        <v>nok</v>
      </c>
      <c r="U30" s="91" t="str">
        <f>IF(AND($B30=[1]mauro!$A29,[1]mauro!$B29=U$4),"ok","nok")</f>
        <v>nok</v>
      </c>
      <c r="V30" s="91" t="str">
        <f>IF(AND($B30=[1]mauro!$A29,[1]mauro!$B29=V$4),"ok","nok")</f>
        <v>nok</v>
      </c>
      <c r="W30" s="91" t="str">
        <f>IF(AND($B30=[1]mauro!$A29,[1]mauro!$B29=W$4),"ok","nok")</f>
        <v>nok</v>
      </c>
      <c r="X30" s="91" t="str">
        <f>IF(AND($B30=[1]mauro!$A29,[1]mauro!$B29=X$4),"ok","nok")</f>
        <v>nok</v>
      </c>
      <c r="Y30" s="112" t="s">
        <v>37</v>
      </c>
      <c r="Z30" s="113"/>
      <c r="AA30" s="113"/>
      <c r="AB30" s="114"/>
      <c r="AC30"/>
      <c r="AD30" s="74"/>
      <c r="AE30" s="68"/>
      <c r="AF30" s="68"/>
      <c r="AG30" s="68"/>
      <c r="AH30" s="68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Y30" s="104"/>
      <c r="AZ30" s="105"/>
      <c r="BA30" s="106"/>
      <c r="BB30" s="78"/>
      <c r="BC30" s="72"/>
      <c r="BD30" s="72"/>
      <c r="BF30" s="92" t="str">
        <v>Elaboração do Plano de Trade Off</v>
      </c>
      <c r="BN30" s="72"/>
    </row>
    <row r="31" spans="1:66" ht="30" customHeight="1" x14ac:dyDescent="0.35">
      <c r="A31" s="29"/>
      <c r="B31" s="60" t="s">
        <v>19</v>
      </c>
      <c r="C31" s="91" t="str">
        <f>IF(AND($B31=[1]mauro!$A30,[1]mauro!$B30=C$4),"ok","nok")</f>
        <v>nok</v>
      </c>
      <c r="D31" s="91" t="str">
        <f>IF(AND($B31=[1]mauro!$A30,[1]mauro!$B30=D$4),"ok","nok")</f>
        <v>nok</v>
      </c>
      <c r="E31" s="91" t="str">
        <f>IF(AND($B31=[1]mauro!$A30,[1]mauro!$B30=E$4),"ok","nok")</f>
        <v>nok</v>
      </c>
      <c r="F31" s="91" t="str">
        <f>IF(AND($B31=[1]mauro!$A30,[1]mauro!$B30=F$4),"ok","nok")</f>
        <v>nok</v>
      </c>
      <c r="G31" s="91" t="str">
        <f>IF(AND($B31=[1]mauro!$A30,[1]mauro!$B30=G$4),"ok","nok")</f>
        <v>nok</v>
      </c>
      <c r="H31" s="91" t="str">
        <f>IF(AND($B31=[1]mauro!$A30,[1]mauro!$B30=H$4),"ok","nok")</f>
        <v>nok</v>
      </c>
      <c r="I31" s="91" t="str">
        <f>IF(AND($B31=[1]mauro!$A30,[1]mauro!$B30=I$4),"ok","nok")</f>
        <v>nok</v>
      </c>
      <c r="J31" s="91" t="str">
        <f>IF(AND($B31=[1]mauro!$A30,[1]mauro!$B30=J$4),"ok","nok")</f>
        <v>nok</v>
      </c>
      <c r="K31" s="91" t="str">
        <f>IF(AND($B31=[1]mauro!$A30,[1]mauro!$B30=K$4),"ok","nok")</f>
        <v>nok</v>
      </c>
      <c r="L31" s="91" t="str">
        <f>IF(AND($B31=[1]mauro!$A30,[1]mauro!$B30=L$4),"ok","nok")</f>
        <v>nok</v>
      </c>
      <c r="M31" s="91" t="str">
        <f>IF(AND($B31=[1]mauro!$A30,[1]mauro!$B30=M$4),"ok","nok")</f>
        <v>nok</v>
      </c>
      <c r="N31" s="91" t="str">
        <f>IF(AND($B31=[1]mauro!$A30,[1]mauro!$B30=N$4),"ok","nok")</f>
        <v>nok</v>
      </c>
      <c r="O31" s="91" t="str">
        <f>IF(AND($B31=[1]mauro!$A30,[1]mauro!$B30=O$4),"ok","nok")</f>
        <v>nok</v>
      </c>
      <c r="P31" s="91" t="str">
        <f>IF(AND($B31=[1]mauro!$A30,[1]mauro!$B30=P$4),"ok","nok")</f>
        <v>nok</v>
      </c>
      <c r="Q31" s="91" t="str">
        <f>IF(AND($B31=[1]mauro!$A30,[1]mauro!$B30=Q$4),"ok","nok")</f>
        <v>nok</v>
      </c>
      <c r="R31" s="91" t="str">
        <f>IF(AND($B31=[1]mauro!$A30,[1]mauro!$B30=R$4),"ok","nok")</f>
        <v>nok</v>
      </c>
      <c r="S31" s="91" t="str">
        <f>IF(AND($B31=[1]mauro!$A30,[1]mauro!$B30=S$4),"ok","nok")</f>
        <v>nok</v>
      </c>
      <c r="T31" s="91" t="str">
        <f>IF(AND($B31=[1]mauro!$A30,[1]mauro!$B30=T$4),"ok","nok")</f>
        <v>nok</v>
      </c>
      <c r="U31" s="91" t="str">
        <f>IF(AND($B31=[1]mauro!$A30,[1]mauro!$B30=U$4),"ok","nok")</f>
        <v>nok</v>
      </c>
      <c r="V31" s="91" t="str">
        <f>IF(AND($B31=[1]mauro!$A30,[1]mauro!$B30=V$4),"ok","nok")</f>
        <v>nok</v>
      </c>
      <c r="W31" s="91" t="str">
        <f>IF(AND($B31=[1]mauro!$A30,[1]mauro!$B30=W$4),"ok","nok")</f>
        <v>nok</v>
      </c>
      <c r="X31" s="91" t="str">
        <f>IF(AND($B31=[1]mauro!$A30,[1]mauro!$B30=X$4),"ok","nok")</f>
        <v>ok</v>
      </c>
      <c r="Y31" s="112" t="s">
        <v>15</v>
      </c>
      <c r="Z31" s="113"/>
      <c r="AA31" s="113"/>
      <c r="AB31" s="114"/>
      <c r="AC31"/>
      <c r="AD31" s="74"/>
      <c r="AE31" s="68"/>
      <c r="AF31" s="68"/>
      <c r="AG31" s="68"/>
      <c r="AH31" s="68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Y31" s="104"/>
      <c r="AZ31" s="105"/>
      <c r="BA31" s="106"/>
      <c r="BB31" s="78"/>
      <c r="BC31" s="72"/>
      <c r="BD31" s="72"/>
      <c r="BF31" s="92"/>
      <c r="BN31" s="72"/>
    </row>
    <row r="32" spans="1:66" ht="30" customHeight="1" x14ac:dyDescent="0.35">
      <c r="A32" s="29"/>
      <c r="B32" s="57" t="s">
        <v>53</v>
      </c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97"/>
      <c r="Y32" s="127"/>
      <c r="Z32" s="128"/>
      <c r="AA32" s="128"/>
      <c r="AB32" s="128"/>
      <c r="AC32"/>
      <c r="AD32" s="74"/>
      <c r="AE32" s="68" t="str">
        <f t="shared" si="5"/>
        <v/>
      </c>
      <c r="AF32" s="68"/>
      <c r="AG32" s="68"/>
      <c r="AH32" s="68"/>
      <c r="AI32" s="69">
        <f t="shared" si="6"/>
        <v>0</v>
      </c>
      <c r="AJ32" s="69" t="str">
        <f t="shared" si="7"/>
        <v/>
      </c>
      <c r="AK32" s="69">
        <f t="shared" si="8"/>
        <v>0</v>
      </c>
      <c r="AL32" s="69" t="str">
        <f t="shared" si="9"/>
        <v/>
      </c>
      <c r="AM32" s="69">
        <f t="shared" si="10"/>
        <v>0</v>
      </c>
      <c r="AN32" s="69" t="str">
        <f t="shared" si="11"/>
        <v/>
      </c>
      <c r="AO32" s="69">
        <f t="shared" si="12"/>
        <v>0</v>
      </c>
      <c r="AP32" s="69" t="str">
        <f t="shared" si="13"/>
        <v/>
      </c>
      <c r="AQ32" s="69">
        <f t="shared" si="14"/>
        <v>0</v>
      </c>
      <c r="AR32" s="69" t="str">
        <f t="shared" si="15"/>
        <v/>
      </c>
      <c r="AY32" s="107" t="s">
        <v>23</v>
      </c>
      <c r="AZ32" s="108"/>
      <c r="BA32" s="109"/>
      <c r="BB32" s="78">
        <v>2</v>
      </c>
      <c r="BC32" s="72">
        <f t="shared" ref="BC32" si="18">BB32/$BB$28</f>
        <v>2</v>
      </c>
      <c r="BD32" s="72">
        <f>($BD$28*BB32)/$BB$28</f>
        <v>3.8461538461538464E-2</v>
      </c>
      <c r="BF32" s="92"/>
      <c r="BL32">
        <f t="shared" ref="BL32:BL37" si="19">COUNTIF(AE8:AE76,BF32)</f>
        <v>0</v>
      </c>
      <c r="BN32" s="72">
        <f t="shared" ref="BN32:BN37" si="20">($BD$28*BL32)/$BI$27</f>
        <v>0</v>
      </c>
    </row>
    <row r="33" spans="1:66" ht="30" customHeight="1" x14ac:dyDescent="0.35">
      <c r="A33" s="29"/>
      <c r="B33" s="61" t="s">
        <v>54</v>
      </c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99"/>
      <c r="Y33" s="110"/>
      <c r="Z33" s="111"/>
      <c r="AA33" s="111"/>
      <c r="AB33" s="111"/>
      <c r="AC33"/>
      <c r="AD33" s="74"/>
      <c r="AE33" s="68" t="str">
        <f t="shared" si="5"/>
        <v/>
      </c>
      <c r="AF33" s="68"/>
      <c r="AG33" s="68"/>
      <c r="AH33" s="68"/>
      <c r="AI33" s="69">
        <f t="shared" si="6"/>
        <v>0</v>
      </c>
      <c r="AJ33" s="69" t="str">
        <f t="shared" si="7"/>
        <v/>
      </c>
      <c r="AK33" s="69">
        <f t="shared" si="8"/>
        <v>0</v>
      </c>
      <c r="AL33" s="69" t="str">
        <f t="shared" si="9"/>
        <v/>
      </c>
      <c r="AM33" s="69">
        <f t="shared" si="10"/>
        <v>0</v>
      </c>
      <c r="AN33" s="69" t="str">
        <f t="shared" si="11"/>
        <v/>
      </c>
      <c r="AO33" s="69">
        <f t="shared" si="12"/>
        <v>0</v>
      </c>
      <c r="AP33" s="69" t="str">
        <f t="shared" si="13"/>
        <v/>
      </c>
      <c r="AQ33" s="69">
        <f t="shared" si="14"/>
        <v>0</v>
      </c>
      <c r="AR33" s="69" t="str">
        <f t="shared" si="15"/>
        <v/>
      </c>
      <c r="AY33" s="107"/>
      <c r="AZ33" s="108"/>
      <c r="BA33" s="109"/>
      <c r="BB33" s="78"/>
      <c r="BC33" s="72"/>
      <c r="BD33" s="72"/>
      <c r="BL33">
        <f t="shared" si="19"/>
        <v>0</v>
      </c>
      <c r="BN33" s="72">
        <f t="shared" si="20"/>
        <v>0</v>
      </c>
    </row>
    <row r="34" spans="1:66" ht="30" customHeight="1" x14ac:dyDescent="0.35">
      <c r="A34" s="29"/>
      <c r="B34" s="62" t="s">
        <v>49</v>
      </c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100"/>
      <c r="Y34" s="93"/>
      <c r="Z34" s="94"/>
      <c r="AA34" s="94"/>
      <c r="AB34" s="94"/>
      <c r="AC34"/>
      <c r="AD34" s="74"/>
      <c r="AE34" s="68" t="str">
        <f t="shared" si="5"/>
        <v/>
      </c>
      <c r="AF34" s="68"/>
      <c r="AG34" s="68"/>
      <c r="AH34" s="68"/>
      <c r="AI34" s="69">
        <f t="shared" si="6"/>
        <v>0</v>
      </c>
      <c r="AJ34" s="69" t="str">
        <f t="shared" si="7"/>
        <v/>
      </c>
      <c r="AK34" s="69">
        <f t="shared" si="8"/>
        <v>0</v>
      </c>
      <c r="AL34" s="69" t="str">
        <f t="shared" si="9"/>
        <v/>
      </c>
      <c r="AM34" s="69">
        <f t="shared" si="10"/>
        <v>0</v>
      </c>
      <c r="AN34" s="69" t="str">
        <f t="shared" si="11"/>
        <v/>
      </c>
      <c r="AO34" s="69">
        <f t="shared" si="12"/>
        <v>0</v>
      </c>
      <c r="AP34" s="69" t="str">
        <f t="shared" si="13"/>
        <v/>
      </c>
      <c r="AQ34" s="69">
        <f t="shared" si="14"/>
        <v>0</v>
      </c>
      <c r="AR34" s="69" t="str">
        <f t="shared" si="15"/>
        <v/>
      </c>
      <c r="AY34" s="107"/>
      <c r="AZ34" s="108"/>
      <c r="BA34" s="109"/>
      <c r="BB34" s="78"/>
      <c r="BC34" s="72"/>
      <c r="BD34" s="72"/>
      <c r="BL34">
        <f t="shared" si="19"/>
        <v>0</v>
      </c>
      <c r="BN34" s="72">
        <f t="shared" si="20"/>
        <v>0</v>
      </c>
    </row>
    <row r="35" spans="1:66" ht="30" customHeight="1" x14ac:dyDescent="0.35">
      <c r="A35" s="29"/>
      <c r="B35" s="59" t="s">
        <v>44</v>
      </c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98"/>
      <c r="Y35" s="115"/>
      <c r="Z35" s="116"/>
      <c r="AA35" s="116"/>
      <c r="AB35" s="116"/>
      <c r="AC35"/>
      <c r="AD35" s="74"/>
      <c r="AE35" s="68" t="str">
        <f t="shared" si="5"/>
        <v/>
      </c>
      <c r="AF35" s="68"/>
      <c r="AG35" s="68"/>
      <c r="AH35" s="68"/>
      <c r="AI35" s="69">
        <f t="shared" si="6"/>
        <v>0</v>
      </c>
      <c r="AJ35" s="69" t="str">
        <f t="shared" si="7"/>
        <v/>
      </c>
      <c r="AK35" s="69">
        <f t="shared" si="8"/>
        <v>0</v>
      </c>
      <c r="AL35" s="69" t="str">
        <f t="shared" si="9"/>
        <v/>
      </c>
      <c r="AM35" s="69">
        <f t="shared" si="10"/>
        <v>0</v>
      </c>
      <c r="AN35" s="69" t="str">
        <f t="shared" si="11"/>
        <v/>
      </c>
      <c r="AO35" s="69">
        <f t="shared" si="12"/>
        <v>0</v>
      </c>
      <c r="AP35" s="69" t="str">
        <f t="shared" si="13"/>
        <v/>
      </c>
      <c r="AQ35" s="69">
        <f t="shared" si="14"/>
        <v>0</v>
      </c>
      <c r="AR35" s="69" t="str">
        <f t="shared" si="15"/>
        <v/>
      </c>
      <c r="AY35" s="107"/>
      <c r="AZ35" s="108"/>
      <c r="BA35" s="109"/>
      <c r="BB35" s="78"/>
      <c r="BC35" s="72"/>
      <c r="BD35" s="72"/>
      <c r="BL35">
        <f t="shared" si="19"/>
        <v>0</v>
      </c>
      <c r="BN35" s="72">
        <f t="shared" si="20"/>
        <v>0</v>
      </c>
    </row>
    <row r="36" spans="1:66" ht="30" customHeight="1" x14ac:dyDescent="0.35">
      <c r="A36" s="29" t="str">
        <f>CONCATENATE($B$17,"
",$B$32,"
",$B$34)</f>
        <v>PT138 - ANÁLISE ESTRUTURAL DO VVS1
ETAPA DE ESCRITÓRIO
MECÂNICA</v>
      </c>
      <c r="B36" s="60" t="s">
        <v>19</v>
      </c>
      <c r="C36" s="91" t="str">
        <f>IF(AND($B36=[1]mauro!$A35,[1]mauro!$B35=C$4),"ok","nok")</f>
        <v>nok</v>
      </c>
      <c r="D36" s="91" t="str">
        <f>IF(AND($B36=[1]mauro!$A35,[1]mauro!$B35=D$4),"ok","nok")</f>
        <v>nok</v>
      </c>
      <c r="E36" s="91" t="str">
        <f>IF(AND($B36=[1]mauro!$A35,[1]mauro!$B35=E$4),"ok","nok")</f>
        <v>nok</v>
      </c>
      <c r="F36" s="91" t="str">
        <f>IF(AND($B36=[1]mauro!$A35,[1]mauro!$B35=F$4),"ok","nok")</f>
        <v>nok</v>
      </c>
      <c r="G36" s="91" t="str">
        <f>IF(AND($B36=[1]mauro!$A35,[1]mauro!$B35=G$4),"ok","nok")</f>
        <v>nok</v>
      </c>
      <c r="H36" s="91" t="str">
        <f>IF(AND($B36=[1]mauro!$A35,[1]mauro!$B35=H$4),"ok","nok")</f>
        <v>nok</v>
      </c>
      <c r="I36" s="103"/>
      <c r="J36" s="91" t="str">
        <f>IF(AND($B36=[1]mauro!$A35,[1]mauro!$B35=J$4),"ok","nok")</f>
        <v>nok</v>
      </c>
      <c r="K36" s="91" t="str">
        <f>IF(AND($B36=[1]mauro!$A35,[1]mauro!$B35=K$4),"ok","nok")</f>
        <v>nok</v>
      </c>
      <c r="L36" s="91" t="str">
        <f>IF(AND($B36=[1]mauro!$A35,[1]mauro!$B35=L$4),"ok","nok")</f>
        <v>nok</v>
      </c>
      <c r="M36" s="91" t="str">
        <f>IF(AND($B36=[1]mauro!$A35,[1]mauro!$B35=M$4),"ok","nok")</f>
        <v>nok</v>
      </c>
      <c r="N36" s="91" t="str">
        <f>IF(AND($B36=[1]mauro!$A35,[1]mauro!$B35=N$4),"ok","nok")</f>
        <v>ok</v>
      </c>
      <c r="O36" s="91" t="str">
        <f>IF(AND($B36=[1]mauro!$A35,[1]mauro!$B35=O$4),"ok","nok")</f>
        <v>nok</v>
      </c>
      <c r="P36" s="91" t="str">
        <f>IF(AND($B36=[1]mauro!$A35,[1]mauro!$B35=P$4),"ok","nok")</f>
        <v>nok</v>
      </c>
      <c r="Q36" s="91" t="str">
        <f>IF(AND($B36=[1]mauro!$A35,[1]mauro!$B35=Q$4),"ok","nok")</f>
        <v>nok</v>
      </c>
      <c r="R36" s="91" t="str">
        <f>IF(AND($B36=[1]mauro!$A35,[1]mauro!$B35=R$4),"ok","nok")</f>
        <v>nok</v>
      </c>
      <c r="S36" s="91" t="str">
        <f>IF(AND($B36=[1]mauro!$A35,[1]mauro!$B35=S$4),"ok","nok")</f>
        <v>nok</v>
      </c>
      <c r="T36" s="91" t="str">
        <f>IF(AND($B36=[1]mauro!$A35,[1]mauro!$B35=T$4),"ok","nok")</f>
        <v>nok</v>
      </c>
      <c r="U36" s="91" t="str">
        <f>IF(AND($B36=[1]mauro!$A35,[1]mauro!$B35=U$4),"ok","nok")</f>
        <v>nok</v>
      </c>
      <c r="V36" s="91" t="str">
        <f>IF(AND($B36=[1]mauro!$A35,[1]mauro!$B35=V$4),"ok","nok")</f>
        <v>nok</v>
      </c>
      <c r="W36" s="91" t="str">
        <f>IF(AND($B36=[1]mauro!$A35,[1]mauro!$B35=W$4),"ok","nok")</f>
        <v>nok</v>
      </c>
      <c r="X36" s="91" t="str">
        <f>IF(AND($B36=[1]mauro!$A35,[1]mauro!$B35=X$4),"ok","nok")</f>
        <v>nok</v>
      </c>
      <c r="Y36" s="112" t="s">
        <v>2</v>
      </c>
      <c r="Z36" s="113"/>
      <c r="AA36" s="113"/>
      <c r="AB36" s="114"/>
      <c r="AC36"/>
      <c r="AD36" s="74"/>
      <c r="AE36" s="68" t="str">
        <f t="shared" si="5"/>
        <v/>
      </c>
      <c r="AF36" s="68"/>
      <c r="AG36" s="68"/>
      <c r="AH36" s="68"/>
      <c r="AI36" s="69">
        <f t="shared" si="6"/>
        <v>0</v>
      </c>
      <c r="AJ36" s="69" t="str">
        <f t="shared" si="7"/>
        <v/>
      </c>
      <c r="AK36" s="69">
        <f t="shared" si="8"/>
        <v>0</v>
      </c>
      <c r="AL36" s="69" t="str">
        <f t="shared" si="9"/>
        <v/>
      </c>
      <c r="AM36" s="69">
        <f t="shared" si="10"/>
        <v>1</v>
      </c>
      <c r="AN36" s="69" t="str">
        <f t="shared" si="11"/>
        <v>ENTREGUE</v>
      </c>
      <c r="AO36" s="69">
        <f t="shared" si="12"/>
        <v>0</v>
      </c>
      <c r="AP36" s="69" t="str">
        <f t="shared" si="13"/>
        <v/>
      </c>
      <c r="AQ36" s="69">
        <f t="shared" si="14"/>
        <v>0</v>
      </c>
      <c r="AR36" s="69" t="str">
        <f t="shared" si="15"/>
        <v/>
      </c>
      <c r="AY36" s="81"/>
      <c r="AZ36" s="82"/>
      <c r="BA36" s="83"/>
      <c r="BB36" s="78"/>
      <c r="BC36" s="72"/>
      <c r="BD36" s="72"/>
      <c r="BL36">
        <f t="shared" si="19"/>
        <v>0</v>
      </c>
      <c r="BN36" s="72">
        <f t="shared" si="20"/>
        <v>0</v>
      </c>
    </row>
    <row r="37" spans="1:66" ht="30" customHeight="1" x14ac:dyDescent="0.35">
      <c r="A37" s="29" t="str">
        <f>CONCATENATE($B$17,"
",$B$32,"
",$B$34)</f>
        <v>PT138 - ANÁLISE ESTRUTURAL DO VVS1
ETAPA DE ESCRITÓRIO
MECÂNICA</v>
      </c>
      <c r="B37" s="60" t="s">
        <v>103</v>
      </c>
      <c r="C37" s="91" t="str">
        <f>IF(AND($B37=[1]mauro!$A37,[1]mauro!$B37=C$4),"ok","nok")</f>
        <v>nok</v>
      </c>
      <c r="D37" s="91" t="str">
        <f>IF(AND($B37=[1]mauro!$A37,[1]mauro!$B37=D$4),"ok","nok")</f>
        <v>nok</v>
      </c>
      <c r="E37" s="91" t="str">
        <f>IF(AND($B37=[1]mauro!$A37,[1]mauro!$B37=E$4),"ok","nok")</f>
        <v>nok</v>
      </c>
      <c r="F37" s="91" t="str">
        <f>IF(AND($B37=[1]mauro!$A37,[1]mauro!$B37=F$4),"ok","nok")</f>
        <v>nok</v>
      </c>
      <c r="G37" s="91" t="str">
        <f>IF(AND($B37=[1]mauro!$A37,[1]mauro!$B37=G$4),"ok","nok")</f>
        <v>nok</v>
      </c>
      <c r="H37" s="91" t="str">
        <f>IF(AND($B37=[1]mauro!$A37,[1]mauro!$B37=H$4),"ok","nok")</f>
        <v>nok</v>
      </c>
      <c r="I37" s="91" t="str">
        <f>IF(AND($B37=[1]mauro!$A37,[1]mauro!$B37=I$4),"ok","nok")</f>
        <v>nok</v>
      </c>
      <c r="J37" s="91" t="str">
        <f>IF(AND($B37=[1]mauro!$A37,[1]mauro!$B37=J$4),"ok","nok")</f>
        <v>nok</v>
      </c>
      <c r="K37" s="103"/>
      <c r="L37" s="91" t="str">
        <f>IF(AND($B37=[1]mauro!$A36,[1]mauro!$B36=L$4),"ok","nok")</f>
        <v>nok</v>
      </c>
      <c r="M37" s="91" t="str">
        <f>IF(AND($B37=[1]mauro!$A36,[1]mauro!$B36=M$4),"ok","nok")</f>
        <v>nok</v>
      </c>
      <c r="N37" s="91" t="str">
        <f>IF(AND($B37=[1]mauro!$A36,[1]mauro!$B36=N$4),"ok","nok")</f>
        <v>nok</v>
      </c>
      <c r="O37" s="91" t="str">
        <f>IF(AND($B37=[1]mauro!$A36,[1]mauro!$B36=O$4),"ok","nok")</f>
        <v>nok</v>
      </c>
      <c r="P37" s="91" t="str">
        <f>IF(AND($B37=[1]mauro!$A36,[1]mauro!$B36=P$4),"ok","nok")</f>
        <v>nok</v>
      </c>
      <c r="Q37" s="91" t="str">
        <f>IF(AND($B37=[1]mauro!$A36,[1]mauro!$B36=Q$4),"ok","nok")</f>
        <v>nok</v>
      </c>
      <c r="R37" s="91" t="str">
        <f>IF(AND($B37=[1]mauro!$A36,[1]mauro!$B36=R$4),"ok","nok")</f>
        <v>ok</v>
      </c>
      <c r="S37" s="91" t="str">
        <f>IF(AND($B37=[1]mauro!$A36,[1]mauro!$B36=S$4),"ok","nok")</f>
        <v>nok</v>
      </c>
      <c r="T37" s="91" t="str">
        <f>IF(AND($B37=[1]mauro!$A36,[1]mauro!$B36=T$4),"ok","nok")</f>
        <v>nok</v>
      </c>
      <c r="U37" s="91" t="str">
        <f>IF(AND($B37=[1]mauro!$A36,[1]mauro!$B36=U$4),"ok","nok")</f>
        <v>nok</v>
      </c>
      <c r="V37" s="91" t="str">
        <f>IF(AND($B37=[1]mauro!$A36,[1]mauro!$B36=V$4),"ok","nok")</f>
        <v>nok</v>
      </c>
      <c r="W37" s="91" t="str">
        <f>IF(AND($B37=[1]mauro!$A36,[1]mauro!$B36=W$4),"ok","nok")</f>
        <v>nok</v>
      </c>
      <c r="X37" s="91" t="str">
        <f>IF(AND($B37=[1]mauro!$A36,[1]mauro!$B36=X$4),"ok","nok")</f>
        <v>nok</v>
      </c>
      <c r="Y37" s="112" t="s">
        <v>2</v>
      </c>
      <c r="Z37" s="113"/>
      <c r="AA37" s="113"/>
      <c r="AB37" s="114"/>
      <c r="AC37"/>
      <c r="AD37" s="74"/>
      <c r="AE37" s="68" t="str">
        <f t="shared" si="5"/>
        <v/>
      </c>
      <c r="AF37" s="68"/>
      <c r="AG37" s="68"/>
      <c r="AH37" s="68"/>
      <c r="AI37" s="69">
        <f t="shared" si="6"/>
        <v>0</v>
      </c>
      <c r="AJ37" s="69" t="str">
        <f t="shared" si="7"/>
        <v/>
      </c>
      <c r="AK37" s="69">
        <f t="shared" si="8"/>
        <v>0</v>
      </c>
      <c r="AL37" s="69" t="str">
        <f t="shared" si="9"/>
        <v/>
      </c>
      <c r="AM37" s="69">
        <f t="shared" si="10"/>
        <v>0</v>
      </c>
      <c r="AN37" s="69" t="str">
        <f t="shared" si="11"/>
        <v/>
      </c>
      <c r="AO37" s="69">
        <f t="shared" si="12"/>
        <v>1</v>
      </c>
      <c r="AP37" s="69" t="str">
        <f t="shared" si="13"/>
        <v>ENTREGUE</v>
      </c>
      <c r="AQ37" s="69">
        <f t="shared" si="14"/>
        <v>0</v>
      </c>
      <c r="AR37" s="69" t="str">
        <f t="shared" si="15"/>
        <v/>
      </c>
      <c r="AY37" s="75"/>
      <c r="AZ37" s="75"/>
      <c r="BA37" s="75"/>
      <c r="BB37" s="76"/>
      <c r="BC37" s="72"/>
      <c r="BL37">
        <f t="shared" si="19"/>
        <v>0</v>
      </c>
      <c r="BN37" s="72">
        <f t="shared" si="20"/>
        <v>0</v>
      </c>
    </row>
    <row r="38" spans="1:66" ht="30" customHeight="1" x14ac:dyDescent="0.35">
      <c r="A38" s="29"/>
      <c r="B38" s="60" t="s">
        <v>104</v>
      </c>
      <c r="C38" s="91"/>
      <c r="D38" s="91"/>
      <c r="E38" s="91"/>
      <c r="F38" s="91"/>
      <c r="G38" s="91"/>
      <c r="H38" s="91"/>
      <c r="I38" s="91"/>
      <c r="J38" s="91"/>
      <c r="K38" s="103"/>
      <c r="L38" s="91" t="str">
        <f>IF(AND($B38=[1]mauro!$A37,[1]mauro!$B37=L$4),"ok","nok")</f>
        <v>nok</v>
      </c>
      <c r="M38" s="91" t="str">
        <f>IF(AND($B38=[1]mauro!$A37,[1]mauro!$B37=M$4),"ok","nok")</f>
        <v>nok</v>
      </c>
      <c r="N38" s="91" t="str">
        <f>IF(AND($B38=[1]mauro!$A37,[1]mauro!$B37=N$4),"ok","nok")</f>
        <v>nok</v>
      </c>
      <c r="O38" s="91" t="str">
        <f>IF(AND($B38=[1]mauro!$A37,[1]mauro!$B37=O$4),"ok","nok")</f>
        <v>nok</v>
      </c>
      <c r="P38" s="91" t="str">
        <f>IF(AND($B38=[1]mauro!$A37,[1]mauro!$B37=P$4),"ok","nok")</f>
        <v>nok</v>
      </c>
      <c r="Q38" s="91" t="str">
        <f>IF(AND($B38=[1]mauro!$A37,[1]mauro!$B37=Q$4),"ok","nok")</f>
        <v>nok</v>
      </c>
      <c r="R38" s="91" t="str">
        <f>IF(AND($B38=[1]mauro!$A37,[1]mauro!$B37=R$4),"ok","nok")</f>
        <v>ok</v>
      </c>
      <c r="S38" s="91" t="str">
        <f>IF(AND($B38=[1]mauro!$A37,[1]mauro!$B37=S$4),"ok","nok")</f>
        <v>nok</v>
      </c>
      <c r="T38" s="91" t="str">
        <f>IF(AND($B38=[1]mauro!$A37,[1]mauro!$B37=T$4),"ok","nok")</f>
        <v>nok</v>
      </c>
      <c r="U38" s="91" t="str">
        <f>IF(AND($B38=[1]mauro!$A37,[1]mauro!$B37=U$4),"ok","nok")</f>
        <v>nok</v>
      </c>
      <c r="V38" s="91" t="str">
        <f>IF(AND($B38=[1]mauro!$A37,[1]mauro!$B37=V$4),"ok","nok")</f>
        <v>nok</v>
      </c>
      <c r="W38" s="91" t="str">
        <f>IF(AND($B38=[1]mauro!$A37,[1]mauro!$B37=W$4),"ok","nok")</f>
        <v>nok</v>
      </c>
      <c r="X38" s="91" t="str">
        <f>IF(AND($B38=[1]mauro!$A37,[1]mauro!$B37=X$4),"ok","nok")</f>
        <v>nok</v>
      </c>
      <c r="Y38" s="112" t="s">
        <v>15</v>
      </c>
      <c r="Z38" s="113"/>
      <c r="AA38" s="113"/>
      <c r="AB38" s="114"/>
      <c r="AC38"/>
      <c r="AD38" s="74"/>
      <c r="AE38" s="68"/>
      <c r="AF38" s="68"/>
      <c r="AG38" s="68"/>
      <c r="AH38" s="68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Y38" s="75"/>
      <c r="AZ38" s="75"/>
      <c r="BA38" s="75"/>
      <c r="BB38" s="76"/>
      <c r="BC38" s="72"/>
      <c r="BN38" s="72"/>
    </row>
    <row r="39" spans="1:66" ht="30" customHeight="1" x14ac:dyDescent="0.35">
      <c r="A39" s="29"/>
      <c r="B39" s="60" t="s">
        <v>19</v>
      </c>
      <c r="C39" s="91"/>
      <c r="D39" s="91"/>
      <c r="E39" s="91"/>
      <c r="F39" s="91"/>
      <c r="G39" s="91"/>
      <c r="H39" s="91"/>
      <c r="I39" s="91"/>
      <c r="J39" s="91"/>
      <c r="K39" s="103"/>
      <c r="L39" s="91" t="str">
        <f>IF(AND($B39=[1]mauro!$A38,[1]mauro!$B38=L$4),"ok","nok")</f>
        <v>nok</v>
      </c>
      <c r="M39" s="91" t="str">
        <f>IF(AND($B39=[1]mauro!$A38,[1]mauro!$B38=M$4),"ok","nok")</f>
        <v>nok</v>
      </c>
      <c r="N39" s="91" t="str">
        <f>IF(AND($B39=[1]mauro!$A38,[1]mauro!$B38=N$4),"ok","nok")</f>
        <v>nok</v>
      </c>
      <c r="O39" s="91" t="str">
        <f>IF(AND($B39=[1]mauro!$A38,[1]mauro!$B38=O$4),"ok","nok")</f>
        <v>nok</v>
      </c>
      <c r="P39" s="91" t="str">
        <f>IF(AND($B39=[1]mauro!$A38,[1]mauro!$B38=P$4),"ok","nok")</f>
        <v>nok</v>
      </c>
      <c r="Q39" s="91" t="str">
        <f>IF(AND($B39=[1]mauro!$A38,[1]mauro!$B38=Q$4),"ok","nok")</f>
        <v>nok</v>
      </c>
      <c r="R39" s="91" t="str">
        <f>IF(AND($B39=[1]mauro!$A38,[1]mauro!$B38=R$4),"ok","nok")</f>
        <v>nok</v>
      </c>
      <c r="S39" s="91" t="str">
        <f>IF(AND($B39=[1]mauro!$A38,[1]mauro!$B38=S$4),"ok","nok")</f>
        <v>nok</v>
      </c>
      <c r="T39" s="91" t="str">
        <f>IF(AND($B39=[1]mauro!$A38,[1]mauro!$B38=T$4),"ok","nok")</f>
        <v>nok</v>
      </c>
      <c r="U39" s="91" t="str">
        <f>IF(AND($B39=[1]mauro!$A38,[1]mauro!$B38=U$4),"ok","nok")</f>
        <v>nok</v>
      </c>
      <c r="V39" s="91" t="str">
        <f>IF(AND($B39=[1]mauro!$A38,[1]mauro!$B38=V$4),"ok","nok")</f>
        <v>nok</v>
      </c>
      <c r="W39" s="91" t="str">
        <f>IF(AND($B39=[1]mauro!$A38,[1]mauro!$B38=W$4),"ok","nok")</f>
        <v>ok</v>
      </c>
      <c r="X39" s="91" t="str">
        <f>IF(AND($B39=[1]mauro!$A38,[1]mauro!$B38=X$4),"ok","nok")</f>
        <v>nok</v>
      </c>
      <c r="Y39" s="112" t="s">
        <v>15</v>
      </c>
      <c r="Z39" s="113"/>
      <c r="AA39" s="113"/>
      <c r="AB39" s="114"/>
      <c r="AC39"/>
      <c r="AD39" s="74"/>
      <c r="AE39" s="68"/>
      <c r="AF39" s="68"/>
      <c r="AG39" s="68"/>
      <c r="AH39" s="68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Y39" s="75"/>
      <c r="AZ39" s="75"/>
      <c r="BA39" s="75"/>
      <c r="BB39" s="76"/>
      <c r="BC39" s="72"/>
      <c r="BN39" s="72"/>
    </row>
    <row r="40" spans="1:66" ht="30" customHeight="1" x14ac:dyDescent="0.35">
      <c r="A40" s="29"/>
      <c r="B40" s="62" t="s">
        <v>51</v>
      </c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100"/>
      <c r="Y40" s="93"/>
      <c r="Z40" s="94"/>
      <c r="AA40" s="94"/>
      <c r="AB40" s="94"/>
      <c r="AC40"/>
      <c r="AD40" s="74"/>
      <c r="AE40" s="68" t="str">
        <f t="shared" si="5"/>
        <v/>
      </c>
      <c r="AF40" s="68"/>
      <c r="AG40" s="68"/>
      <c r="AH40" s="68"/>
      <c r="AI40" s="69">
        <f t="shared" si="6"/>
        <v>0</v>
      </c>
      <c r="AJ40" s="69" t="str">
        <f t="shared" si="7"/>
        <v/>
      </c>
      <c r="AK40" s="69">
        <f t="shared" si="8"/>
        <v>0</v>
      </c>
      <c r="AL40" s="69" t="str">
        <f t="shared" si="9"/>
        <v/>
      </c>
      <c r="AM40" s="69">
        <f t="shared" si="10"/>
        <v>0</v>
      </c>
      <c r="AN40" s="69" t="str">
        <f t="shared" si="11"/>
        <v/>
      </c>
      <c r="AO40" s="69">
        <f t="shared" si="12"/>
        <v>0</v>
      </c>
      <c r="AP40" s="69" t="str">
        <f t="shared" si="13"/>
        <v/>
      </c>
      <c r="AQ40" s="69">
        <f t="shared" si="14"/>
        <v>0</v>
      </c>
      <c r="AR40" s="69" t="str">
        <f t="shared" si="15"/>
        <v/>
      </c>
      <c r="AY40" s="75"/>
      <c r="AZ40" s="75"/>
      <c r="BA40" s="75"/>
      <c r="BB40" s="76"/>
      <c r="BC40" s="72"/>
      <c r="BL40">
        <v>1</v>
      </c>
      <c r="BN40" s="72"/>
    </row>
    <row r="41" spans="1:66" ht="30" customHeight="1" x14ac:dyDescent="0.35">
      <c r="A41" s="29"/>
      <c r="B41" s="59" t="s">
        <v>44</v>
      </c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98"/>
      <c r="Y41" s="115"/>
      <c r="Z41" s="116"/>
      <c r="AA41" s="116"/>
      <c r="AB41" s="116"/>
      <c r="AC41"/>
      <c r="AD41" s="74"/>
      <c r="AE41" s="68" t="str">
        <f t="shared" si="5"/>
        <v/>
      </c>
      <c r="AF41" s="68"/>
      <c r="AG41" s="68"/>
      <c r="AH41" s="68"/>
      <c r="AI41" s="69">
        <f t="shared" si="6"/>
        <v>0</v>
      </c>
      <c r="AJ41" s="69" t="str">
        <f t="shared" si="7"/>
        <v/>
      </c>
      <c r="AK41" s="69">
        <f t="shared" si="8"/>
        <v>0</v>
      </c>
      <c r="AL41" s="69" t="str">
        <f t="shared" si="9"/>
        <v/>
      </c>
      <c r="AM41" s="69">
        <f t="shared" si="10"/>
        <v>0</v>
      </c>
      <c r="AN41" s="69" t="str">
        <f t="shared" si="11"/>
        <v/>
      </c>
      <c r="AO41" s="69">
        <f t="shared" si="12"/>
        <v>0</v>
      </c>
      <c r="AP41" s="69" t="str">
        <f t="shared" si="13"/>
        <v/>
      </c>
      <c r="AQ41" s="69">
        <f t="shared" si="14"/>
        <v>0</v>
      </c>
      <c r="AR41" s="69" t="str">
        <f t="shared" si="15"/>
        <v/>
      </c>
      <c r="AY41" s="75"/>
      <c r="AZ41" s="75"/>
      <c r="BA41" s="75"/>
      <c r="BB41" s="76"/>
      <c r="BC41" s="72"/>
      <c r="BN41" s="72"/>
    </row>
    <row r="42" spans="1:66" ht="30" customHeight="1" x14ac:dyDescent="0.35">
      <c r="A42" s="29" t="str">
        <f>CONCATENATE($B$17,"
",$B$32,"
",$B$40)</f>
        <v>PT138 - ANÁLISE ESTRUTURAL DO VVS1
ETAPA DE ESCRITÓRIO
CIVIL</v>
      </c>
      <c r="B42" s="60" t="s">
        <v>19</v>
      </c>
      <c r="C42" s="91" t="str">
        <f>IF(AND($B42=[1]mauro!$A41,[1]mauro!$B41=C$4),"ok","nok")</f>
        <v>nok</v>
      </c>
      <c r="D42" s="91" t="str">
        <f>IF(AND($B42=[1]mauro!$A41,[1]mauro!$B41=D$4),"ok","nok")</f>
        <v>nok</v>
      </c>
      <c r="E42" s="91" t="str">
        <f>IF(AND($B42=[1]mauro!$A41,[1]mauro!$B41=E$4),"ok","nok")</f>
        <v>nok</v>
      </c>
      <c r="F42" s="91" t="str">
        <f>IF(AND($B42=[1]mauro!$A41,[1]mauro!$B41=F$4),"ok","nok")</f>
        <v>nok</v>
      </c>
      <c r="G42" s="91" t="str">
        <f>IF(AND($B42=[1]mauro!$A41,[1]mauro!$B41=G$4),"ok","nok")</f>
        <v>nok</v>
      </c>
      <c r="H42" s="91" t="str">
        <f>IF(AND($B42=[1]mauro!$A41,[1]mauro!$B41=H$4),"ok","nok")</f>
        <v>nok</v>
      </c>
      <c r="I42" s="103"/>
      <c r="J42" s="91" t="str">
        <f>IF(AND($B42=[1]mauro!$A41,[1]mauro!$B41=J$4),"ok","nok")</f>
        <v>nok</v>
      </c>
      <c r="K42" s="91" t="str">
        <f>IF(AND($B42=[1]mauro!$A41,[1]mauro!$B41=K$4),"ok","nok")</f>
        <v>nok</v>
      </c>
      <c r="L42" s="91" t="str">
        <f>IF(AND($B42=[1]mauro!$A41,[1]mauro!$B41=L$4),"ok","nok")</f>
        <v>nok</v>
      </c>
      <c r="M42" s="91" t="str">
        <f>IF(AND($B42=[1]mauro!$A41,[1]mauro!$B41=M$4),"ok","nok")</f>
        <v>nok</v>
      </c>
      <c r="N42" s="91" t="str">
        <f>IF(AND($B42=[1]mauro!$A41,[1]mauro!$B41=N$4),"ok","nok")</f>
        <v>ok</v>
      </c>
      <c r="O42" s="91" t="str">
        <f>IF(AND($B42=[1]mauro!$A41,[1]mauro!$B41=O$4),"ok","nok")</f>
        <v>nok</v>
      </c>
      <c r="P42" s="91" t="str">
        <f>IF(AND($B42=[1]mauro!$A41,[1]mauro!$B41=P$4),"ok","nok")</f>
        <v>nok</v>
      </c>
      <c r="Q42" s="91" t="str">
        <f>IF(AND($B42=[1]mauro!$A41,[1]mauro!$B41=Q$4),"ok","nok")</f>
        <v>nok</v>
      </c>
      <c r="R42" s="91" t="str">
        <f>IF(AND($B42=[1]mauro!$A41,[1]mauro!$B41=R$4),"ok","nok")</f>
        <v>nok</v>
      </c>
      <c r="S42" s="91" t="str">
        <f>IF(AND($B42=[1]mauro!$A41,[1]mauro!$B41=S$4),"ok","nok")</f>
        <v>nok</v>
      </c>
      <c r="T42" s="91" t="str">
        <f>IF(AND($B42=[1]mauro!$A41,[1]mauro!$B41=T$4),"ok","nok")</f>
        <v>nok</v>
      </c>
      <c r="U42" s="91" t="str">
        <f>IF(AND($B42=[1]mauro!$A41,[1]mauro!$B41=U$4),"ok","nok")</f>
        <v>nok</v>
      </c>
      <c r="V42" s="91" t="str">
        <f>IF(AND($B42=[1]mauro!$A41,[1]mauro!$B41=V$4),"ok","nok")</f>
        <v>nok</v>
      </c>
      <c r="W42" s="91" t="str">
        <f>IF(AND($B42=[1]mauro!$A41,[1]mauro!$B41=W$4),"ok","nok")</f>
        <v>nok</v>
      </c>
      <c r="X42" s="91" t="str">
        <f>IF(AND($B42=[1]mauro!$A41,[1]mauro!$B41=X$4),"ok","nok")</f>
        <v>nok</v>
      </c>
      <c r="Y42" s="112" t="s">
        <v>2</v>
      </c>
      <c r="Z42" s="113"/>
      <c r="AA42" s="113"/>
      <c r="AB42" s="114"/>
      <c r="AC42"/>
      <c r="AD42" s="74"/>
      <c r="AE42" s="68" t="str">
        <f t="shared" si="5"/>
        <v/>
      </c>
      <c r="AF42" s="68"/>
      <c r="AG42" s="68"/>
      <c r="AH42" s="68"/>
      <c r="AI42" s="69">
        <f t="shared" si="6"/>
        <v>0</v>
      </c>
      <c r="AJ42" s="69" t="str">
        <f t="shared" si="7"/>
        <v/>
      </c>
      <c r="AK42" s="69">
        <f t="shared" si="8"/>
        <v>0</v>
      </c>
      <c r="AL42" s="69" t="str">
        <f t="shared" si="9"/>
        <v/>
      </c>
      <c r="AM42" s="69">
        <f t="shared" si="10"/>
        <v>1</v>
      </c>
      <c r="AN42" s="69" t="str">
        <f t="shared" si="11"/>
        <v>ENTREGUE</v>
      </c>
      <c r="AO42" s="69">
        <f t="shared" si="12"/>
        <v>0</v>
      </c>
      <c r="AP42" s="69" t="str">
        <f t="shared" si="13"/>
        <v/>
      </c>
      <c r="AQ42" s="69">
        <f t="shared" si="14"/>
        <v>0</v>
      </c>
      <c r="AR42" s="69" t="str">
        <f t="shared" si="15"/>
        <v/>
      </c>
      <c r="AY42" s="75"/>
      <c r="AZ42" s="75"/>
      <c r="BA42" s="75"/>
      <c r="BB42" s="76"/>
      <c r="BC42" s="72"/>
    </row>
    <row r="43" spans="1:66" ht="30" customHeight="1" x14ac:dyDescent="0.35">
      <c r="A43" s="29" t="str">
        <f>CONCATENATE($B$17,"
",$B$32,"
",$B$40)</f>
        <v>PT138 - ANÁLISE ESTRUTURAL DO VVS1
ETAPA DE ESCRITÓRIO
CIVIL</v>
      </c>
      <c r="B43" s="60" t="s">
        <v>103</v>
      </c>
      <c r="C43" s="91" t="str">
        <f>IF(AND($B43=[1]mauro!$A42,[1]mauro!$B42=C$4),"ok","nok")</f>
        <v>nok</v>
      </c>
      <c r="D43" s="91" t="str">
        <f>IF(AND($B43=[1]mauro!$A42,[1]mauro!$B42=D$4),"ok","nok")</f>
        <v>nok</v>
      </c>
      <c r="E43" s="91" t="str">
        <f>IF(AND($B43=[1]mauro!$A42,[1]mauro!$B42=E$4),"ok","nok")</f>
        <v>nok</v>
      </c>
      <c r="F43" s="91" t="str">
        <f>IF(AND($B43=[1]mauro!$A42,[1]mauro!$B42=F$4),"ok","nok")</f>
        <v>nok</v>
      </c>
      <c r="G43" s="91" t="str">
        <f>IF(AND($B43=[1]mauro!$A42,[1]mauro!$B42=G$4),"ok","nok")</f>
        <v>nok</v>
      </c>
      <c r="H43" s="91" t="str">
        <f>IF(AND($B43=[1]mauro!$A42,[1]mauro!$B42=H$4),"ok","nok")</f>
        <v>nok</v>
      </c>
      <c r="I43" s="91" t="str">
        <f>IF(AND($B43=[1]mauro!$A42,[1]mauro!$B42=I$4),"ok","nok")</f>
        <v>nok</v>
      </c>
      <c r="J43" s="91" t="str">
        <f>IF(AND($B43=[1]mauro!$A42,[1]mauro!$B42=J$4),"ok","nok")</f>
        <v>nok</v>
      </c>
      <c r="K43" s="91" t="str">
        <f>IF(AND($B43=[1]mauro!$A42,[1]mauro!$B42=K$4),"ok","nok")</f>
        <v>nok</v>
      </c>
      <c r="L43" s="91" t="str">
        <f>IF(AND($B43=[1]mauro!$A42,[1]mauro!$B42=L$4),"ok","nok")</f>
        <v>nok</v>
      </c>
      <c r="M43" s="91" t="str">
        <f>IF(AND($B43=[1]mauro!$A42,[1]mauro!$B42=M$4),"ok","nok")</f>
        <v>nok</v>
      </c>
      <c r="N43" s="91" t="str">
        <f>IF(AND($B43=[1]mauro!$A42,[1]mauro!$B42=N$4),"ok","nok")</f>
        <v>nok</v>
      </c>
      <c r="O43" s="91" t="str">
        <f>IF(AND($B43=[1]mauro!$A42,[1]mauro!$B42=O$4),"ok","nok")</f>
        <v>nok</v>
      </c>
      <c r="P43" s="91" t="str">
        <f>IF(AND($B43=[1]mauro!$A42,[1]mauro!$B42=P$4),"ok","nok")</f>
        <v>nok</v>
      </c>
      <c r="Q43" s="91" t="str">
        <f>IF(AND($B43=[1]mauro!$A42,[1]mauro!$B42=Q$4),"ok","nok")</f>
        <v>nok</v>
      </c>
      <c r="R43" s="91" t="str">
        <f>IF(AND($B43=[1]mauro!$A42,[1]mauro!$B42=R$4),"ok","nok")</f>
        <v>nok</v>
      </c>
      <c r="S43" s="91" t="str">
        <f>IF(AND($B43=[1]mauro!$A42,[1]mauro!$B42=S$4),"ok","nok")</f>
        <v>ok</v>
      </c>
      <c r="T43" s="91" t="str">
        <f>IF(AND($B43=[1]mauro!$A42,[1]mauro!$B42=T$4),"ok","nok")</f>
        <v>nok</v>
      </c>
      <c r="U43" s="91" t="str">
        <f>IF(AND($B43=[1]mauro!$A42,[1]mauro!$B42=U$4),"ok","nok")</f>
        <v>nok</v>
      </c>
      <c r="V43" s="91" t="str">
        <f>IF(AND($B43=[1]mauro!$A42,[1]mauro!$B42=V$4),"ok","nok")</f>
        <v>nok</v>
      </c>
      <c r="W43" s="91" t="str">
        <f>IF(AND($B43=[1]mauro!$A42,[1]mauro!$B42=W$4),"ok","nok")</f>
        <v>nok</v>
      </c>
      <c r="X43" s="91" t="str">
        <f>IF(AND($B43=[1]mauro!$A42,[1]mauro!$B42=X$4),"ok","nok")</f>
        <v>nok</v>
      </c>
      <c r="Y43" s="112" t="s">
        <v>37</v>
      </c>
      <c r="Z43" s="113"/>
      <c r="AA43" s="113"/>
      <c r="AB43" s="114"/>
      <c r="AC43"/>
      <c r="AD43" s="74"/>
      <c r="AE43" s="68" t="str">
        <f t="shared" si="5"/>
        <v/>
      </c>
      <c r="AF43" s="68"/>
      <c r="AG43" s="68"/>
      <c r="AH43" s="68"/>
      <c r="AI43" s="69">
        <f t="shared" si="6"/>
        <v>0</v>
      </c>
      <c r="AJ43" s="69" t="str">
        <f t="shared" si="7"/>
        <v/>
      </c>
      <c r="AK43" s="69">
        <f t="shared" si="8"/>
        <v>0</v>
      </c>
      <c r="AL43" s="69" t="str">
        <f t="shared" si="9"/>
        <v/>
      </c>
      <c r="AM43" s="69">
        <f t="shared" si="10"/>
        <v>0</v>
      </c>
      <c r="AN43" s="69" t="str">
        <f t="shared" si="11"/>
        <v/>
      </c>
      <c r="AO43" s="69">
        <f t="shared" si="12"/>
        <v>1</v>
      </c>
      <c r="AP43" s="69" t="str">
        <f t="shared" si="13"/>
        <v/>
      </c>
      <c r="AQ43" s="69">
        <f t="shared" si="14"/>
        <v>0</v>
      </c>
      <c r="AR43" s="69" t="str">
        <f t="shared" si="15"/>
        <v/>
      </c>
      <c r="AY43" s="75"/>
      <c r="AZ43" s="75"/>
      <c r="BA43" s="75"/>
      <c r="BB43" s="76"/>
      <c r="BC43" s="72"/>
    </row>
    <row r="44" spans="1:66" ht="30" customHeight="1" x14ac:dyDescent="0.35">
      <c r="A44" s="29" t="str">
        <f>CONCATENATE($B$17,"
",$B$32,"
",$B$40)</f>
        <v>PT138 - ANÁLISE ESTRUTURAL DO VVS1
ETAPA DE ESCRITÓRIO
CIVIL</v>
      </c>
      <c r="B44" s="60" t="s">
        <v>104</v>
      </c>
      <c r="C44" s="91" t="str">
        <f>IF(AND($B44=[1]mauro!$A43,[1]mauro!$B43=C$4),"ok","nok")</f>
        <v>nok</v>
      </c>
      <c r="D44" s="91" t="str">
        <f>IF(AND($B44=[1]mauro!$A43,[1]mauro!$B43=D$4),"ok","nok")</f>
        <v>nok</v>
      </c>
      <c r="E44" s="91" t="str">
        <f>IF(AND($B44=[1]mauro!$A43,[1]mauro!$B43=E$4),"ok","nok")</f>
        <v>nok</v>
      </c>
      <c r="F44" s="91" t="str">
        <f>IF(AND($B44=[1]mauro!$A43,[1]mauro!$B43=F$4),"ok","nok")</f>
        <v>nok</v>
      </c>
      <c r="G44" s="91" t="str">
        <f>IF(AND($B44=[1]mauro!$A43,[1]mauro!$B43=G$4),"ok","nok")</f>
        <v>nok</v>
      </c>
      <c r="H44" s="91" t="str">
        <f>IF(AND($B44=[1]mauro!$A43,[1]mauro!$B43=H$4),"ok","nok")</f>
        <v>nok</v>
      </c>
      <c r="I44" s="91" t="str">
        <f>IF(AND($B44=[1]mauro!$A43,[1]mauro!$B43=I$4),"ok","nok")</f>
        <v>nok</v>
      </c>
      <c r="J44" s="91" t="str">
        <f>IF(AND($B44=[1]mauro!$A43,[1]mauro!$B43=J$4),"ok","nok")</f>
        <v>nok</v>
      </c>
      <c r="K44" s="91" t="str">
        <f>IF(AND($B44=[1]mauro!$A43,[1]mauro!$B43=K$4),"ok","nok")</f>
        <v>nok</v>
      </c>
      <c r="L44" s="91" t="str">
        <f>IF(AND($B44=[1]mauro!$A43,[1]mauro!$B43=L$4),"ok","nok")</f>
        <v>nok</v>
      </c>
      <c r="M44" s="91" t="str">
        <f>IF(AND($B44=[1]mauro!$A43,[1]mauro!$B43=M$4),"ok","nok")</f>
        <v>nok</v>
      </c>
      <c r="N44" s="91" t="str">
        <f>IF(AND($B44=[1]mauro!$A43,[1]mauro!$B43=N$4),"ok","nok")</f>
        <v>nok</v>
      </c>
      <c r="O44" s="91" t="str">
        <f>IF(AND($B44=[1]mauro!$A43,[1]mauro!$B43=O$4),"ok","nok")</f>
        <v>nok</v>
      </c>
      <c r="P44" s="91" t="str">
        <f>IF(AND($B44=[1]mauro!$A43,[1]mauro!$B43=P$4),"ok","nok")</f>
        <v>nok</v>
      </c>
      <c r="Q44" s="91" t="str">
        <f>IF(AND($B44=[1]mauro!$A43,[1]mauro!$B43=Q$4),"ok","nok")</f>
        <v>nok</v>
      </c>
      <c r="R44" s="91" t="str">
        <f>IF(AND($B44=[1]mauro!$A43,[1]mauro!$B43=R$4),"ok","nok")</f>
        <v>nok</v>
      </c>
      <c r="S44" s="91" t="str">
        <f>IF(AND($B44=[1]mauro!$A43,[1]mauro!$B43=S$4),"ok","nok")</f>
        <v>ok</v>
      </c>
      <c r="T44" s="91" t="str">
        <f>IF(AND($B44=[1]mauro!$A43,[1]mauro!$B43=T$4),"ok","nok")</f>
        <v>nok</v>
      </c>
      <c r="U44" s="91" t="str">
        <f>IF(AND($B44=[1]mauro!$A43,[1]mauro!$B43=U$4),"ok","nok")</f>
        <v>nok</v>
      </c>
      <c r="V44" s="91" t="str">
        <f>IF(AND($B44=[1]mauro!$A43,[1]mauro!$B43=V$4),"ok","nok")</f>
        <v>nok</v>
      </c>
      <c r="W44" s="91" t="str">
        <f>IF(AND($B44=[1]mauro!$A43,[1]mauro!$B43=W$4),"ok","nok")</f>
        <v>nok</v>
      </c>
      <c r="X44" s="91" t="str">
        <f>IF(AND($B44=[1]mauro!$A43,[1]mauro!$B43=X$4),"ok","nok")</f>
        <v>nok</v>
      </c>
      <c r="Y44" s="112" t="s">
        <v>37</v>
      </c>
      <c r="Z44" s="113"/>
      <c r="AA44" s="113"/>
      <c r="AB44" s="114"/>
      <c r="AC44"/>
      <c r="AD44" s="74"/>
      <c r="AE44" s="68" t="str">
        <f t="shared" si="5"/>
        <v/>
      </c>
      <c r="AF44" s="68"/>
      <c r="AG44" s="68"/>
      <c r="AH44" s="68"/>
      <c r="AI44" s="69">
        <f t="shared" si="6"/>
        <v>0</v>
      </c>
      <c r="AJ44" s="69" t="str">
        <f t="shared" si="7"/>
        <v/>
      </c>
      <c r="AK44" s="69">
        <f t="shared" si="8"/>
        <v>0</v>
      </c>
      <c r="AL44" s="69" t="str">
        <f t="shared" si="9"/>
        <v/>
      </c>
      <c r="AM44" s="69">
        <f t="shared" si="10"/>
        <v>0</v>
      </c>
      <c r="AN44" s="69" t="str">
        <f t="shared" si="11"/>
        <v/>
      </c>
      <c r="AO44" s="69">
        <f t="shared" si="12"/>
        <v>1</v>
      </c>
      <c r="AP44" s="69" t="str">
        <f t="shared" si="13"/>
        <v/>
      </c>
      <c r="AQ44" s="69">
        <f t="shared" si="14"/>
        <v>0</v>
      </c>
      <c r="AR44" s="69" t="str">
        <f t="shared" si="15"/>
        <v/>
      </c>
      <c r="AY44" s="75"/>
      <c r="AZ44" s="75"/>
      <c r="BA44" s="75"/>
      <c r="BB44" s="76"/>
      <c r="BC44" s="72"/>
    </row>
    <row r="45" spans="1:66" ht="30" customHeight="1" x14ac:dyDescent="0.35">
      <c r="A45" s="29"/>
      <c r="B45" s="60" t="s">
        <v>19</v>
      </c>
      <c r="C45" s="91" t="str">
        <f>IF(AND($B45=[1]mauro!$A44,[1]mauro!$B44=C$4),"ok","nok")</f>
        <v>nok</v>
      </c>
      <c r="D45" s="91" t="str">
        <f>IF(AND($B45=[1]mauro!$A44,[1]mauro!$B44=D$4),"ok","nok")</f>
        <v>nok</v>
      </c>
      <c r="E45" s="91" t="str">
        <f>IF(AND($B45=[1]mauro!$A44,[1]mauro!$B44=E$4),"ok","nok")</f>
        <v>nok</v>
      </c>
      <c r="F45" s="91" t="str">
        <f>IF(AND($B45=[1]mauro!$A44,[1]mauro!$B44=F$4),"ok","nok")</f>
        <v>nok</v>
      </c>
      <c r="G45" s="91" t="str">
        <f>IF(AND($B45=[1]mauro!$A44,[1]mauro!$B44=G$4),"ok","nok")</f>
        <v>nok</v>
      </c>
      <c r="H45" s="91" t="str">
        <f>IF(AND($B45=[1]mauro!$A44,[1]mauro!$B44=H$4),"ok","nok")</f>
        <v>nok</v>
      </c>
      <c r="I45" s="91" t="str">
        <f>IF(AND($B45=[1]mauro!$A44,[1]mauro!$B44=I$4),"ok","nok")</f>
        <v>nok</v>
      </c>
      <c r="J45" s="91" t="str">
        <f>IF(AND($B45=[1]mauro!$A44,[1]mauro!$B44=J$4),"ok","nok")</f>
        <v>nok</v>
      </c>
      <c r="K45" s="91" t="str">
        <f>IF(AND($B45=[1]mauro!$A44,[1]mauro!$B44=K$4),"ok","nok")</f>
        <v>nok</v>
      </c>
      <c r="L45" s="91" t="str">
        <f>IF(AND($B45=[1]mauro!$A44,[1]mauro!$B44=L$4),"ok","nok")</f>
        <v>nok</v>
      </c>
      <c r="M45" s="91" t="str">
        <f>IF(AND($B45=[1]mauro!$A44,[1]mauro!$B44=M$4),"ok","nok")</f>
        <v>nok</v>
      </c>
      <c r="N45" s="91" t="str">
        <f>IF(AND($B45=[1]mauro!$A44,[1]mauro!$B44=N$4),"ok","nok")</f>
        <v>nok</v>
      </c>
      <c r="O45" s="91" t="str">
        <f>IF(AND($B45=[1]mauro!$A44,[1]mauro!$B44=O$4),"ok","nok")</f>
        <v>nok</v>
      </c>
      <c r="P45" s="91" t="str">
        <f>IF(AND($B45=[1]mauro!$A44,[1]mauro!$B44=P$4),"ok","nok")</f>
        <v>nok</v>
      </c>
      <c r="Q45" s="91" t="str">
        <f>IF(AND($B45=[1]mauro!$A44,[1]mauro!$B44=Q$4),"ok","nok")</f>
        <v>nok</v>
      </c>
      <c r="R45" s="91" t="str">
        <f>IF(AND($B45=[1]mauro!$A44,[1]mauro!$B44=R$4),"ok","nok")</f>
        <v>nok</v>
      </c>
      <c r="S45" s="91" t="str">
        <f>IF(AND($B45=[1]mauro!$A44,[1]mauro!$B44=S$4),"ok","nok")</f>
        <v>nok</v>
      </c>
      <c r="T45" s="91" t="str">
        <f>IF(AND($B45=[1]mauro!$A44,[1]mauro!$B44=T$4),"ok","nok")</f>
        <v>nok</v>
      </c>
      <c r="U45" s="91" t="str">
        <f>IF(AND($B45=[1]mauro!$A44,[1]mauro!$B44=U$4),"ok","nok")</f>
        <v>nok</v>
      </c>
      <c r="V45" s="91" t="str">
        <f>IF(AND($B45=[1]mauro!$A44,[1]mauro!$B44=V$4),"ok","nok")</f>
        <v>nok</v>
      </c>
      <c r="W45" s="91" t="str">
        <f>IF(AND($B45=[1]mauro!$A44,[1]mauro!$B44=W$4),"ok","nok")</f>
        <v>nok</v>
      </c>
      <c r="X45" s="91" t="str">
        <f>IF(AND($B45=[1]mauro!$A44,[1]mauro!$B44=X$4),"ok","nok")</f>
        <v>ok</v>
      </c>
      <c r="Y45" s="112" t="s">
        <v>15</v>
      </c>
      <c r="Z45" s="113"/>
      <c r="AA45" s="113"/>
      <c r="AB45" s="114"/>
      <c r="AC45"/>
      <c r="AD45" s="74"/>
      <c r="AE45" s="68"/>
      <c r="AF45" s="68"/>
      <c r="AG45" s="68"/>
      <c r="AH45" s="68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Y45" s="75"/>
      <c r="AZ45" s="75"/>
      <c r="BA45" s="75"/>
      <c r="BB45" s="76"/>
      <c r="BC45" s="72"/>
    </row>
    <row r="46" spans="1:66" ht="30" customHeight="1" x14ac:dyDescent="0.35">
      <c r="A46" s="29"/>
      <c r="B46" s="61" t="s">
        <v>55</v>
      </c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99"/>
      <c r="Y46" s="110"/>
      <c r="Z46" s="111"/>
      <c r="AA46" s="111"/>
      <c r="AB46" s="111"/>
      <c r="AC46"/>
      <c r="AD46" s="74"/>
      <c r="AE46" s="68" t="str">
        <f t="shared" si="5"/>
        <v/>
      </c>
      <c r="AF46" s="68"/>
      <c r="AG46" s="68"/>
      <c r="AH46" s="68"/>
      <c r="AI46" s="69">
        <f t="shared" si="6"/>
        <v>0</v>
      </c>
      <c r="AJ46" s="69" t="str">
        <f t="shared" si="7"/>
        <v/>
      </c>
      <c r="AK46" s="69">
        <f t="shared" si="8"/>
        <v>0</v>
      </c>
      <c r="AL46" s="69" t="str">
        <f t="shared" si="9"/>
        <v/>
      </c>
      <c r="AM46" s="69">
        <f t="shared" si="10"/>
        <v>0</v>
      </c>
      <c r="AN46" s="69" t="str">
        <f t="shared" si="11"/>
        <v/>
      </c>
      <c r="AO46" s="69">
        <f t="shared" si="12"/>
        <v>0</v>
      </c>
      <c r="AP46" s="69" t="str">
        <f t="shared" si="13"/>
        <v/>
      </c>
      <c r="AQ46" s="69">
        <f t="shared" si="14"/>
        <v>0</v>
      </c>
      <c r="AR46" s="69" t="str">
        <f t="shared" si="15"/>
        <v/>
      </c>
      <c r="AY46" s="75"/>
      <c r="AZ46" s="75"/>
      <c r="BA46" s="75"/>
      <c r="BB46" s="76"/>
      <c r="BC46" s="72"/>
    </row>
    <row r="47" spans="1:66" ht="30" customHeight="1" x14ac:dyDescent="0.35">
      <c r="A47" s="29"/>
      <c r="B47" s="62" t="s">
        <v>56</v>
      </c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100"/>
      <c r="Y47" s="93"/>
      <c r="Z47" s="94"/>
      <c r="AA47" s="94"/>
      <c r="AB47" s="94"/>
      <c r="AC47"/>
      <c r="AD47" s="74"/>
      <c r="AE47" s="68" t="str">
        <f t="shared" si="5"/>
        <v/>
      </c>
      <c r="AF47" s="68"/>
      <c r="AG47" s="68"/>
      <c r="AH47" s="68"/>
      <c r="AI47" s="69">
        <f t="shared" si="6"/>
        <v>0</v>
      </c>
      <c r="AJ47" s="69" t="str">
        <f t="shared" si="7"/>
        <v/>
      </c>
      <c r="AK47" s="69">
        <f t="shared" si="8"/>
        <v>0</v>
      </c>
      <c r="AL47" s="69" t="str">
        <f t="shared" si="9"/>
        <v/>
      </c>
      <c r="AM47" s="69">
        <f t="shared" si="10"/>
        <v>0</v>
      </c>
      <c r="AN47" s="69" t="str">
        <f t="shared" si="11"/>
        <v/>
      </c>
      <c r="AO47" s="69">
        <f t="shared" si="12"/>
        <v>0</v>
      </c>
      <c r="AP47" s="69" t="str">
        <f t="shared" si="13"/>
        <v/>
      </c>
      <c r="AQ47" s="69">
        <f t="shared" si="14"/>
        <v>0</v>
      </c>
      <c r="AR47" s="69" t="str">
        <f t="shared" si="15"/>
        <v/>
      </c>
      <c r="AY47" s="75"/>
      <c r="AZ47" s="75"/>
      <c r="BA47" s="75"/>
      <c r="BB47" s="76"/>
      <c r="BC47" s="72"/>
    </row>
    <row r="48" spans="1:66" ht="30" customHeight="1" x14ac:dyDescent="0.35">
      <c r="A48" s="29"/>
      <c r="B48" s="73" t="s">
        <v>57</v>
      </c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101"/>
      <c r="Y48" s="120"/>
      <c r="Z48" s="121"/>
      <c r="AA48" s="121"/>
      <c r="AB48" s="121"/>
      <c r="AC48"/>
      <c r="AD48" s="74"/>
      <c r="AE48" s="68" t="str">
        <f t="shared" si="5"/>
        <v/>
      </c>
      <c r="AF48" s="68"/>
      <c r="AG48" s="68"/>
      <c r="AH48" s="68"/>
      <c r="AI48" s="69">
        <f t="shared" si="6"/>
        <v>0</v>
      </c>
      <c r="AJ48" s="69" t="str">
        <f t="shared" si="7"/>
        <v/>
      </c>
      <c r="AK48" s="69">
        <f t="shared" si="8"/>
        <v>0</v>
      </c>
      <c r="AL48" s="69" t="str">
        <f t="shared" si="9"/>
        <v/>
      </c>
      <c r="AM48" s="69">
        <f t="shared" si="10"/>
        <v>0</v>
      </c>
      <c r="AN48" s="69" t="str">
        <f t="shared" si="11"/>
        <v/>
      </c>
      <c r="AO48" s="69">
        <f t="shared" si="12"/>
        <v>0</v>
      </c>
      <c r="AP48" s="69" t="str">
        <f t="shared" si="13"/>
        <v/>
      </c>
      <c r="AQ48" s="69">
        <f t="shared" si="14"/>
        <v>0</v>
      </c>
      <c r="AR48" s="69" t="str">
        <f t="shared" si="15"/>
        <v/>
      </c>
      <c r="AY48" s="75"/>
      <c r="AZ48" s="75"/>
      <c r="BA48" s="75"/>
      <c r="BB48" s="76"/>
      <c r="BC48" s="72"/>
    </row>
    <row r="49" spans="1:55" ht="30" customHeight="1" x14ac:dyDescent="0.35">
      <c r="A49" s="29"/>
      <c r="B49" s="59" t="s">
        <v>58</v>
      </c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98"/>
      <c r="Y49" s="115"/>
      <c r="Z49" s="116"/>
      <c r="AA49" s="116"/>
      <c r="AB49" s="116"/>
      <c r="AC49"/>
      <c r="AD49" s="74"/>
      <c r="AE49" s="68" t="str">
        <f t="shared" si="5"/>
        <v/>
      </c>
      <c r="AF49" s="68"/>
      <c r="AG49" s="68"/>
      <c r="AH49" s="68"/>
      <c r="AI49" s="69">
        <f t="shared" si="6"/>
        <v>0</v>
      </c>
      <c r="AJ49" s="69" t="str">
        <f t="shared" si="7"/>
        <v/>
      </c>
      <c r="AK49" s="69">
        <f t="shared" si="8"/>
        <v>0</v>
      </c>
      <c r="AL49" s="69" t="str">
        <f t="shared" si="9"/>
        <v/>
      </c>
      <c r="AM49" s="69">
        <f t="shared" si="10"/>
        <v>0</v>
      </c>
      <c r="AN49" s="69" t="str">
        <f t="shared" si="11"/>
        <v/>
      </c>
      <c r="AO49" s="69">
        <f t="shared" si="12"/>
        <v>0</v>
      </c>
      <c r="AP49" s="69" t="str">
        <f t="shared" si="13"/>
        <v/>
      </c>
      <c r="AQ49" s="69">
        <f t="shared" si="14"/>
        <v>0</v>
      </c>
      <c r="AR49" s="69" t="str">
        <f t="shared" si="15"/>
        <v/>
      </c>
      <c r="AY49" s="75"/>
      <c r="AZ49" s="75"/>
      <c r="BA49" s="75"/>
      <c r="BB49" s="76"/>
      <c r="BC49" s="72"/>
    </row>
    <row r="50" spans="1:55" ht="30" customHeight="1" x14ac:dyDescent="0.35">
      <c r="A50" s="29" t="str">
        <f>CONCATENATE($B$17,"
",$B$47,"
",$B$48)</f>
        <v>PT138 - ANÁLISE ESTRUTURAL DO VVS1
GERAL
ANÁLISES DO CUSTO DO CICLO DE VIDA DO ATIVO</v>
      </c>
      <c r="B50" s="60" t="s">
        <v>19</v>
      </c>
      <c r="C50" s="91" t="str">
        <f>IF(AND($B50=[1]mauro!$A49,[1]mauro!$B49=C$4),"ok","nok")</f>
        <v>nok</v>
      </c>
      <c r="D50" s="91" t="str">
        <f>IF(AND($B50=[1]mauro!$A49,[1]mauro!$B49=D$4),"ok","nok")</f>
        <v>nok</v>
      </c>
      <c r="E50" s="91" t="str">
        <f>IF(AND($B50=[1]mauro!$A49,[1]mauro!$B49=E$4),"ok","nok")</f>
        <v>nok</v>
      </c>
      <c r="F50" s="91" t="str">
        <f>IF(AND($B50=[1]mauro!$A49,[1]mauro!$B49=F$4),"ok","nok")</f>
        <v>nok</v>
      </c>
      <c r="G50" s="91" t="str">
        <f>IF(AND($B50=[1]mauro!$A49,[1]mauro!$B49=G$4),"ok","nok")</f>
        <v>nok</v>
      </c>
      <c r="H50" s="91" t="str">
        <f>IF(AND($B50=[1]mauro!$A49,[1]mauro!$B49=H$4),"ok","nok")</f>
        <v>nok</v>
      </c>
      <c r="I50" s="103"/>
      <c r="J50" s="91" t="str">
        <f>IF(AND($B50=[1]mauro!$A49,[1]mauro!$B49=J$4),"ok","nok")</f>
        <v>nok</v>
      </c>
      <c r="K50" s="91" t="str">
        <f>IF(AND($B50=[1]mauro!$A49,[1]mauro!$B49=K$4),"ok","nok")</f>
        <v>nok</v>
      </c>
      <c r="L50" s="91" t="str">
        <f>IF(AND($B50=[1]mauro!$A49,[1]mauro!$B49=L$4),"ok","nok")</f>
        <v>nok</v>
      </c>
      <c r="M50" s="91" t="str">
        <f>IF(AND($B50=[1]mauro!$A49,[1]mauro!$B49=M$4),"ok","nok")</f>
        <v>nok</v>
      </c>
      <c r="N50" s="91" t="str">
        <f>IF(AND($B50=[1]mauro!$A49,[1]mauro!$B49=N$4),"ok","nok")</f>
        <v>ok</v>
      </c>
      <c r="O50" s="91" t="str">
        <f>IF(AND($B50=[1]mauro!$A49,[1]mauro!$B49=O$4),"ok","nok")</f>
        <v>nok</v>
      </c>
      <c r="P50" s="91" t="str">
        <f>IF(AND($B50=[1]mauro!$A49,[1]mauro!$B49=P$4),"ok","nok")</f>
        <v>nok</v>
      </c>
      <c r="Q50" s="91" t="str">
        <f>IF(AND($B50=[1]mauro!$A49,[1]mauro!$B49=Q$4),"ok","nok")</f>
        <v>nok</v>
      </c>
      <c r="R50" s="91" t="str">
        <f>IF(AND($B50=[1]mauro!$A49,[1]mauro!$B49=R$4),"ok","nok")</f>
        <v>nok</v>
      </c>
      <c r="S50" s="91" t="str">
        <f>IF(AND($B50=[1]mauro!$A49,[1]mauro!$B49=S$4),"ok","nok")</f>
        <v>nok</v>
      </c>
      <c r="T50" s="91" t="str">
        <f>IF(AND($B50=[1]mauro!$A49,[1]mauro!$B49=T$4),"ok","nok")</f>
        <v>nok</v>
      </c>
      <c r="U50" s="91" t="str">
        <f>IF(AND($B50=[1]mauro!$A49,[1]mauro!$B49=U$4),"ok","nok")</f>
        <v>nok</v>
      </c>
      <c r="V50" s="91" t="str">
        <f>IF(AND($B50=[1]mauro!$A49,[1]mauro!$B49=V$4),"ok","nok")</f>
        <v>nok</v>
      </c>
      <c r="W50" s="91" t="str">
        <f>IF(AND($B50=[1]mauro!$A49,[1]mauro!$B49=W$4),"ok","nok")</f>
        <v>nok</v>
      </c>
      <c r="X50" s="91" t="str">
        <f>IF(AND($B50=[1]mauro!$A49,[1]mauro!$B49=X$4),"ok","nok")</f>
        <v>nok</v>
      </c>
      <c r="Y50" s="112" t="s">
        <v>2</v>
      </c>
      <c r="Z50" s="113"/>
      <c r="AA50" s="113"/>
      <c r="AB50" s="114"/>
      <c r="AC50"/>
      <c r="AD50" s="74"/>
      <c r="AE50" s="68" t="str">
        <f t="shared" si="5"/>
        <v/>
      </c>
      <c r="AF50" s="68"/>
      <c r="AG50" s="68"/>
      <c r="AH50" s="68"/>
      <c r="AI50" s="69">
        <f t="shared" si="6"/>
        <v>0</v>
      </c>
      <c r="AJ50" s="69" t="str">
        <f t="shared" si="7"/>
        <v/>
      </c>
      <c r="AK50" s="69">
        <f t="shared" si="8"/>
        <v>0</v>
      </c>
      <c r="AL50" s="69" t="str">
        <f t="shared" si="9"/>
        <v/>
      </c>
      <c r="AM50" s="69">
        <f t="shared" si="10"/>
        <v>1</v>
      </c>
      <c r="AN50" s="69" t="str">
        <f t="shared" si="11"/>
        <v>ENTREGUE</v>
      </c>
      <c r="AO50" s="69">
        <f t="shared" si="12"/>
        <v>0</v>
      </c>
      <c r="AP50" s="69" t="str">
        <f t="shared" si="13"/>
        <v/>
      </c>
      <c r="AQ50" s="69">
        <f t="shared" si="14"/>
        <v>0</v>
      </c>
      <c r="AR50" s="69" t="str">
        <f t="shared" si="15"/>
        <v/>
      </c>
      <c r="AY50" s="75"/>
      <c r="AZ50" s="75"/>
      <c r="BA50" s="75"/>
      <c r="BB50" s="76"/>
      <c r="BC50" s="72"/>
    </row>
    <row r="51" spans="1:55" ht="30" customHeight="1" x14ac:dyDescent="0.35">
      <c r="A51" s="29" t="str">
        <f>CONCATENATE($B$17,"
",$B$47,"
",$B$48)</f>
        <v>PT138 - ANÁLISE ESTRUTURAL DO VVS1
GERAL
ANÁLISES DO CUSTO DO CICLO DE VIDA DO ATIVO</v>
      </c>
      <c r="B51" s="60" t="s">
        <v>103</v>
      </c>
      <c r="C51" s="91" t="str">
        <f>IF(AND($B51=[1]mauro!$A50,[1]mauro!$B50=C$4),"ok","nok")</f>
        <v>nok</v>
      </c>
      <c r="D51" s="91" t="str">
        <f>IF(AND($B51=[1]mauro!$A50,[1]mauro!$B50=D$4),"ok","nok")</f>
        <v>nok</v>
      </c>
      <c r="E51" s="91" t="str">
        <f>IF(AND($B51=[1]mauro!$A50,[1]mauro!$B50=E$4),"ok","nok")</f>
        <v>nok</v>
      </c>
      <c r="F51" s="91" t="str">
        <f>IF(AND($B51=[1]mauro!$A50,[1]mauro!$B50=F$4),"ok","nok")</f>
        <v>nok</v>
      </c>
      <c r="G51" s="91" t="str">
        <f>IF(AND($B51=[1]mauro!$A50,[1]mauro!$B50=G$4),"ok","nok")</f>
        <v>nok</v>
      </c>
      <c r="H51" s="91" t="str">
        <f>IF(AND($B51=[1]mauro!$A50,[1]mauro!$B50=H$4),"ok","nok")</f>
        <v>nok</v>
      </c>
      <c r="I51" s="91" t="str">
        <f>IF(AND($B51=[1]mauro!$A50,[1]mauro!$B50=I$4),"ok","nok")</f>
        <v>nok</v>
      </c>
      <c r="J51" s="91" t="str">
        <f>IF(AND($B51=[1]mauro!$A50,[1]mauro!$B50=J$4),"ok","nok")</f>
        <v>nok</v>
      </c>
      <c r="K51" s="91" t="str">
        <f>IF(AND($B51=[1]mauro!$A50,[1]mauro!$B50=K$4),"ok","nok")</f>
        <v>nok</v>
      </c>
      <c r="L51" s="91" t="str">
        <f>IF(AND($B51=[1]mauro!$A50,[1]mauro!$B50=L$4),"ok","nok")</f>
        <v>nok</v>
      </c>
      <c r="M51" s="91" t="str">
        <f>IF(AND($B51=[1]mauro!$A50,[1]mauro!$B50=M$4),"ok","nok")</f>
        <v>nok</v>
      </c>
      <c r="N51" s="91" t="str">
        <f>IF(AND($B51=[1]mauro!$A50,[1]mauro!$B50=N$4),"ok","nok")</f>
        <v>nok</v>
      </c>
      <c r="O51" s="91" t="str">
        <f>IF(AND($B51=[1]mauro!$A50,[1]mauro!$B50=O$4),"ok","nok")</f>
        <v>nok</v>
      </c>
      <c r="P51" s="91" t="str">
        <f>IF(AND($B51=[1]mauro!$A50,[1]mauro!$B50=P$4),"ok","nok")</f>
        <v>nok</v>
      </c>
      <c r="Q51" s="91" t="str">
        <f>IF(AND($B51=[1]mauro!$A50,[1]mauro!$B50=Q$4),"ok","nok")</f>
        <v>nok</v>
      </c>
      <c r="R51" s="91" t="str">
        <f>IF(AND($B51=[1]mauro!$A50,[1]mauro!$B50=R$4),"ok","nok")</f>
        <v>nok</v>
      </c>
      <c r="S51" s="91" t="str">
        <f>IF(AND($B51=[1]mauro!$A50,[1]mauro!$B50=S$4),"ok","nok")</f>
        <v>ok</v>
      </c>
      <c r="T51" s="91" t="str">
        <f>IF(AND($B51=[1]mauro!$A50,[1]mauro!$B50=T$4),"ok","nok")</f>
        <v>nok</v>
      </c>
      <c r="U51" s="91" t="str">
        <f>IF(AND($B51=[1]mauro!$A50,[1]mauro!$B50=U$4),"ok","nok")</f>
        <v>nok</v>
      </c>
      <c r="V51" s="91" t="str">
        <f>IF(AND($B51=[1]mauro!$A50,[1]mauro!$B50=V$4),"ok","nok")</f>
        <v>nok</v>
      </c>
      <c r="W51" s="91" t="str">
        <f>IF(AND($B51=[1]mauro!$A50,[1]mauro!$B50=W$4),"ok","nok")</f>
        <v>nok</v>
      </c>
      <c r="X51" s="91" t="str">
        <f>IF(AND($B51=[1]mauro!$A50,[1]mauro!$B50=X$4),"ok","nok")</f>
        <v>nok</v>
      </c>
      <c r="Y51" s="112" t="s">
        <v>15</v>
      </c>
      <c r="Z51" s="113"/>
      <c r="AA51" s="113"/>
      <c r="AB51" s="114"/>
      <c r="AC51"/>
      <c r="AD51" s="74"/>
      <c r="AE51" s="68" t="str">
        <f t="shared" si="5"/>
        <v/>
      </c>
      <c r="AF51" s="68"/>
      <c r="AG51" s="68"/>
      <c r="AH51" s="68"/>
      <c r="AI51" s="69">
        <f t="shared" si="6"/>
        <v>0</v>
      </c>
      <c r="AJ51" s="69" t="str">
        <f t="shared" si="7"/>
        <v/>
      </c>
      <c r="AK51" s="69">
        <f t="shared" si="8"/>
        <v>0</v>
      </c>
      <c r="AL51" s="69" t="str">
        <f t="shared" si="9"/>
        <v/>
      </c>
      <c r="AM51" s="69">
        <f t="shared" si="10"/>
        <v>0</v>
      </c>
      <c r="AN51" s="69" t="str">
        <f t="shared" si="11"/>
        <v/>
      </c>
      <c r="AO51" s="69">
        <f t="shared" si="12"/>
        <v>1</v>
      </c>
      <c r="AP51" s="69" t="str">
        <f t="shared" si="13"/>
        <v/>
      </c>
      <c r="AQ51" s="69">
        <f t="shared" si="14"/>
        <v>0</v>
      </c>
      <c r="AR51" s="69" t="str">
        <f t="shared" si="15"/>
        <v/>
      </c>
      <c r="AY51" s="75"/>
      <c r="AZ51" s="75"/>
      <c r="BA51" s="75"/>
      <c r="BB51" s="76"/>
      <c r="BC51" s="72"/>
    </row>
    <row r="52" spans="1:55" ht="30" customHeight="1" x14ac:dyDescent="0.35">
      <c r="A52" s="29" t="str">
        <f>CONCATENATE($B$17,"
",$B$47,"
",$B$48)</f>
        <v>PT138 - ANÁLISE ESTRUTURAL DO VVS1
GERAL
ANÁLISES DO CUSTO DO CICLO DE VIDA DO ATIVO</v>
      </c>
      <c r="B52" s="60" t="s">
        <v>104</v>
      </c>
      <c r="C52" s="91" t="str">
        <f>IF(AND($B52=[1]mauro!$A52,[1]mauro!$B52=C$4),"ok","nok")</f>
        <v>nok</v>
      </c>
      <c r="D52" s="91" t="str">
        <f>IF(AND($B52=[1]mauro!$A52,[1]mauro!$B52=D$4),"ok","nok")</f>
        <v>nok</v>
      </c>
      <c r="E52" s="91" t="str">
        <f>IF(AND($B52=[1]mauro!$A52,[1]mauro!$B52=E$4),"ok","nok")</f>
        <v>nok</v>
      </c>
      <c r="F52" s="91" t="str">
        <f>IF(AND($B52=[1]mauro!$A52,[1]mauro!$B52=F$4),"ok","nok")</f>
        <v>nok</v>
      </c>
      <c r="G52" s="91" t="str">
        <f>IF(AND($B52=[1]mauro!$A52,[1]mauro!$B52=G$4),"ok","nok")</f>
        <v>nok</v>
      </c>
      <c r="H52" s="91" t="str">
        <f>IF(AND($B52=[1]mauro!$A52,[1]mauro!$B52=H$4),"ok","nok")</f>
        <v>nok</v>
      </c>
      <c r="I52" s="91" t="str">
        <f>IF(AND($B52=[1]mauro!$A52,[1]mauro!$B52=I$4),"ok","nok")</f>
        <v>nok</v>
      </c>
      <c r="J52" s="91" t="str">
        <f>IF(AND($B52=[1]mauro!$A51,[1]mauro!$B51=J$4),"ok","nok")</f>
        <v>nok</v>
      </c>
      <c r="K52" s="91" t="str">
        <f>IF(AND($B52=[1]mauro!$A51,[1]mauro!$B51=K$4),"ok","nok")</f>
        <v>nok</v>
      </c>
      <c r="L52" s="91" t="str">
        <f>IF(AND($B52=[1]mauro!$A51,[1]mauro!$B51=L$4),"ok","nok")</f>
        <v>nok</v>
      </c>
      <c r="M52" s="91" t="str">
        <f>IF(AND($B52=[1]mauro!$A51,[1]mauro!$B51=M$4),"ok","nok")</f>
        <v>nok</v>
      </c>
      <c r="N52" s="91" t="str">
        <f>IF(AND($B52=[1]mauro!$A51,[1]mauro!$B51=N$4),"ok","nok")</f>
        <v>nok</v>
      </c>
      <c r="O52" s="91" t="str">
        <f>IF(AND($B52=[1]mauro!$A51,[1]mauro!$B51=O$4),"ok","nok")</f>
        <v>nok</v>
      </c>
      <c r="P52" s="91" t="str">
        <f>IF(AND($B52=[1]mauro!$A51,[1]mauro!$B51=P$4),"ok","nok")</f>
        <v>nok</v>
      </c>
      <c r="Q52" s="91" t="str">
        <f>IF(AND($B52=[1]mauro!$A51,[1]mauro!$B51=Q$4),"ok","nok")</f>
        <v>nok</v>
      </c>
      <c r="R52" s="91" t="str">
        <f>IF(AND($B52=[1]mauro!$A51,[1]mauro!$B51=R$4),"ok","nok")</f>
        <v>nok</v>
      </c>
      <c r="S52" s="91" t="str">
        <f>IF(AND($B52=[1]mauro!$A51,[1]mauro!$B51=S$4),"ok","nok")</f>
        <v>ok</v>
      </c>
      <c r="T52" s="91" t="str">
        <f>IF(AND($B52=[1]mauro!$A51,[1]mauro!$B51=T$4),"ok","nok")</f>
        <v>nok</v>
      </c>
      <c r="U52" s="91" t="str">
        <f>IF(AND($B52=[1]mauro!$A51,[1]mauro!$B51=U$4),"ok","nok")</f>
        <v>nok</v>
      </c>
      <c r="V52" s="91" t="str">
        <f>IF(AND($B52=[1]mauro!$A51,[1]mauro!$B51=V$4),"ok","nok")</f>
        <v>nok</v>
      </c>
      <c r="W52" s="91" t="str">
        <f>IF(AND($B52=[1]mauro!$A51,[1]mauro!$B51=W$4),"ok","nok")</f>
        <v>nok</v>
      </c>
      <c r="X52" s="91" t="str">
        <f>IF(AND($B52=[1]mauro!$A51,[1]mauro!$B51=X$4),"ok","nok")</f>
        <v>nok</v>
      </c>
      <c r="Y52" s="112" t="s">
        <v>15</v>
      </c>
      <c r="Z52" s="113"/>
      <c r="AA52" s="113"/>
      <c r="AB52" s="114"/>
      <c r="AC52"/>
      <c r="AD52" s="74"/>
      <c r="AE52" s="68" t="str">
        <f t="shared" si="5"/>
        <v/>
      </c>
      <c r="AF52" s="68"/>
      <c r="AG52" s="68"/>
      <c r="AH52" s="68"/>
      <c r="AI52" s="69">
        <f t="shared" si="6"/>
        <v>0</v>
      </c>
      <c r="AJ52" s="69" t="str">
        <f t="shared" si="7"/>
        <v/>
      </c>
      <c r="AK52" s="69">
        <f t="shared" si="8"/>
        <v>0</v>
      </c>
      <c r="AL52" s="69" t="str">
        <f t="shared" si="9"/>
        <v/>
      </c>
      <c r="AM52" s="69">
        <f t="shared" si="10"/>
        <v>0</v>
      </c>
      <c r="AN52" s="69" t="str">
        <f t="shared" si="11"/>
        <v/>
      </c>
      <c r="AO52" s="69">
        <f t="shared" si="12"/>
        <v>1</v>
      </c>
      <c r="AP52" s="69" t="str">
        <f t="shared" si="13"/>
        <v/>
      </c>
      <c r="AQ52" s="69">
        <f t="shared" si="14"/>
        <v>0</v>
      </c>
      <c r="AR52" s="69" t="str">
        <f t="shared" si="15"/>
        <v/>
      </c>
      <c r="AY52" s="75"/>
      <c r="AZ52" s="75"/>
      <c r="BA52" s="75"/>
      <c r="BB52" s="76"/>
      <c r="BC52" s="72"/>
    </row>
    <row r="53" spans="1:55" ht="30" customHeight="1" x14ac:dyDescent="0.35">
      <c r="A53" s="29"/>
      <c r="B53" s="60" t="s">
        <v>19</v>
      </c>
      <c r="C53" s="91"/>
      <c r="D53" s="91"/>
      <c r="E53" s="91"/>
      <c r="F53" s="91"/>
      <c r="G53" s="91"/>
      <c r="H53" s="91"/>
      <c r="I53" s="91"/>
      <c r="J53" s="91" t="str">
        <f>IF(AND($B53=[1]mauro!$A52,[1]mauro!$B52=J$4),"ok","nok")</f>
        <v>nok</v>
      </c>
      <c r="K53" s="91" t="str">
        <f>IF(AND($B53=[1]mauro!$A52,[1]mauro!$B52=K$4),"ok","nok")</f>
        <v>nok</v>
      </c>
      <c r="L53" s="91" t="str">
        <f>IF(AND($B53=[1]mauro!$A52,[1]mauro!$B52=L$4),"ok","nok")</f>
        <v>nok</v>
      </c>
      <c r="M53" s="91" t="str">
        <f>IF(AND($B53=[1]mauro!$A52,[1]mauro!$B52=M$4),"ok","nok")</f>
        <v>nok</v>
      </c>
      <c r="N53" s="91" t="str">
        <f>IF(AND($B53=[1]mauro!$A52,[1]mauro!$B52=N$4),"ok","nok")</f>
        <v>nok</v>
      </c>
      <c r="O53" s="91" t="str">
        <f>IF(AND($B53=[1]mauro!$A52,[1]mauro!$B52=O$4),"ok","nok")</f>
        <v>nok</v>
      </c>
      <c r="P53" s="91" t="str">
        <f>IF(AND($B53=[1]mauro!$A52,[1]mauro!$B52=P$4),"ok","nok")</f>
        <v>nok</v>
      </c>
      <c r="Q53" s="91" t="str">
        <f>IF(AND($B53=[1]mauro!$A52,[1]mauro!$B52=Q$4),"ok","nok")</f>
        <v>nok</v>
      </c>
      <c r="R53" s="91" t="str">
        <f>IF(AND($B53=[1]mauro!$A52,[1]mauro!$B52=R$4),"ok","nok")</f>
        <v>nok</v>
      </c>
      <c r="S53" s="91" t="str">
        <f>IF(AND($B53=[1]mauro!$A52,[1]mauro!$B52=S$4),"ok","nok")</f>
        <v>nok</v>
      </c>
      <c r="T53" s="91" t="str">
        <f>IF(AND($B53=[1]mauro!$A52,[1]mauro!$B52=T$4),"ok","nok")</f>
        <v>nok</v>
      </c>
      <c r="U53" s="91" t="str">
        <f>IF(AND($B53=[1]mauro!$A52,[1]mauro!$B52=U$4),"ok","nok")</f>
        <v>nok</v>
      </c>
      <c r="V53" s="91" t="str">
        <f>IF(AND($B53=[1]mauro!$A52,[1]mauro!$B52=V$4),"ok","nok")</f>
        <v>nok</v>
      </c>
      <c r="W53" s="91" t="str">
        <f>IF(AND($B53=[1]mauro!$A52,[1]mauro!$B52=W$4),"ok","nok")</f>
        <v>nok</v>
      </c>
      <c r="X53" s="91" t="str">
        <f>IF(AND($B53=[1]mauro!$A52,[1]mauro!$B52=X$4),"ok","nok")</f>
        <v>ok</v>
      </c>
      <c r="Y53" s="112" t="s">
        <v>15</v>
      </c>
      <c r="Z53" s="113"/>
      <c r="AA53" s="113"/>
      <c r="AB53" s="114"/>
      <c r="AC53"/>
      <c r="AD53" s="74"/>
      <c r="AE53" s="68"/>
      <c r="AF53" s="68"/>
      <c r="AG53" s="68"/>
      <c r="AH53" s="68"/>
      <c r="AI53" s="69"/>
      <c r="AJ53" s="69"/>
      <c r="AK53" s="69"/>
      <c r="AL53" s="69"/>
      <c r="AM53" s="69"/>
      <c r="AN53" s="69"/>
      <c r="AO53" s="69"/>
      <c r="AP53" s="69"/>
      <c r="AQ53" s="69"/>
      <c r="AR53" s="69"/>
      <c r="AY53" s="75"/>
      <c r="AZ53" s="75"/>
      <c r="BA53" s="75"/>
      <c r="BB53" s="76"/>
      <c r="BC53" s="72"/>
    </row>
    <row r="54" spans="1:55" ht="30" customHeight="1" x14ac:dyDescent="0.35">
      <c r="A54" s="29"/>
      <c r="B54" s="73" t="s">
        <v>59</v>
      </c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101"/>
      <c r="Y54" s="120"/>
      <c r="Z54" s="121"/>
      <c r="AA54" s="121"/>
      <c r="AB54" s="121"/>
      <c r="AC54"/>
      <c r="AD54" s="74"/>
      <c r="AE54" s="68" t="str">
        <f t="shared" si="5"/>
        <v/>
      </c>
      <c r="AF54" s="68"/>
      <c r="AG54" s="68"/>
      <c r="AH54" s="68"/>
      <c r="AI54" s="69">
        <f t="shared" si="6"/>
        <v>0</v>
      </c>
      <c r="AJ54" s="69" t="str">
        <f t="shared" si="7"/>
        <v/>
      </c>
      <c r="AK54" s="69">
        <f t="shared" si="8"/>
        <v>0</v>
      </c>
      <c r="AL54" s="69" t="str">
        <f t="shared" si="9"/>
        <v/>
      </c>
      <c r="AM54" s="69">
        <f t="shared" si="10"/>
        <v>0</v>
      </c>
      <c r="AN54" s="69" t="str">
        <f t="shared" si="11"/>
        <v/>
      </c>
      <c r="AO54" s="69">
        <f t="shared" si="12"/>
        <v>0</v>
      </c>
      <c r="AP54" s="69" t="str">
        <f t="shared" si="13"/>
        <v/>
      </c>
      <c r="AQ54" s="69">
        <f t="shared" si="14"/>
        <v>0</v>
      </c>
      <c r="AR54" s="69" t="str">
        <f t="shared" si="15"/>
        <v/>
      </c>
      <c r="AY54" s="75"/>
      <c r="AZ54" s="75"/>
      <c r="BA54" s="75"/>
      <c r="BB54" s="76"/>
      <c r="BC54" s="72"/>
    </row>
    <row r="55" spans="1:55" ht="30" customHeight="1" x14ac:dyDescent="0.35">
      <c r="A55" s="29"/>
      <c r="B55" s="59" t="s">
        <v>44</v>
      </c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98"/>
      <c r="Y55" s="115"/>
      <c r="Z55" s="116"/>
      <c r="AA55" s="116"/>
      <c r="AB55" s="116"/>
      <c r="AC55"/>
      <c r="AD55" s="74"/>
      <c r="AE55" s="68" t="str">
        <f t="shared" si="5"/>
        <v/>
      </c>
      <c r="AF55" s="68"/>
      <c r="AG55" s="68"/>
      <c r="AH55" s="68"/>
      <c r="AI55" s="69">
        <f t="shared" si="6"/>
        <v>0</v>
      </c>
      <c r="AJ55" s="69" t="str">
        <f t="shared" si="7"/>
        <v/>
      </c>
      <c r="AK55" s="69">
        <f t="shared" si="8"/>
        <v>0</v>
      </c>
      <c r="AL55" s="69" t="str">
        <f t="shared" si="9"/>
        <v/>
      </c>
      <c r="AM55" s="69">
        <f t="shared" si="10"/>
        <v>0</v>
      </c>
      <c r="AN55" s="69" t="str">
        <f t="shared" si="11"/>
        <v/>
      </c>
      <c r="AO55" s="69">
        <f t="shared" si="12"/>
        <v>0</v>
      </c>
      <c r="AP55" s="69" t="str">
        <f t="shared" si="13"/>
        <v/>
      </c>
      <c r="AQ55" s="69">
        <f t="shared" si="14"/>
        <v>0</v>
      </c>
      <c r="AR55" s="69" t="str">
        <f t="shared" si="15"/>
        <v/>
      </c>
      <c r="AY55" s="75"/>
      <c r="AZ55" s="75"/>
      <c r="BA55" s="75"/>
      <c r="BB55" s="76"/>
      <c r="BC55" s="72"/>
    </row>
    <row r="56" spans="1:55" ht="30" customHeight="1" x14ac:dyDescent="0.35">
      <c r="A56" s="29" t="str">
        <f>CONCATENATE($B$17,"
",$B$47,"
",$B$54)</f>
        <v>PT138 - ANÁLISE ESTRUTURAL DO VVS1
GERAL
ANÁLISE DE CONFIABILIDADE</v>
      </c>
      <c r="B56" s="60" t="s">
        <v>19</v>
      </c>
      <c r="C56" s="91" t="str">
        <f>IF(AND($B56=[1]mauro!$A55,[1]mauro!$B55=C$4),"ok","nok")</f>
        <v>nok</v>
      </c>
      <c r="D56" s="91" t="str">
        <f>IF(AND($B56=[1]mauro!$A55,[1]mauro!$B55=D$4),"ok","nok")</f>
        <v>nok</v>
      </c>
      <c r="E56" s="91" t="str">
        <f>IF(AND($B56=[1]mauro!$A55,[1]mauro!$B55=E$4),"ok","nok")</f>
        <v>nok</v>
      </c>
      <c r="F56" s="91" t="str">
        <f>IF(AND($B56=[1]mauro!$A55,[1]mauro!$B55=F$4),"ok","nok")</f>
        <v>nok</v>
      </c>
      <c r="G56" s="91" t="str">
        <f>IF(AND($B56=[1]mauro!$A55,[1]mauro!$B55=G$4),"ok","nok")</f>
        <v>nok</v>
      </c>
      <c r="H56" s="91" t="str">
        <f>IF(AND($B56=[1]mauro!$A55,[1]mauro!$B55=H$4),"ok","nok")</f>
        <v>nok</v>
      </c>
      <c r="I56" s="103"/>
      <c r="J56" s="91" t="str">
        <f>IF(AND($B56=[1]mauro!$A55,[1]mauro!$B55=J$4),"ok","nok")</f>
        <v>nok</v>
      </c>
      <c r="K56" s="91" t="str">
        <f>IF(AND($B56=[1]mauro!$A55,[1]mauro!$B55=K$4),"ok","nok")</f>
        <v>nok</v>
      </c>
      <c r="L56" s="91" t="str">
        <f>IF(AND($B56=[1]mauro!$A55,[1]mauro!$B55=L$4),"ok","nok")</f>
        <v>nok</v>
      </c>
      <c r="M56" s="91" t="str">
        <f>IF(AND($B56=[1]mauro!$A55,[1]mauro!$B55=M$4),"ok","nok")</f>
        <v>nok</v>
      </c>
      <c r="N56" s="91" t="str">
        <f>IF(AND($B56=[1]mauro!$A55,[1]mauro!$B55=N$4),"ok","nok")</f>
        <v>nok</v>
      </c>
      <c r="O56" s="91" t="str">
        <f>IF(AND($B56=[1]mauro!$A55,[1]mauro!$B55=O$4),"ok","nok")</f>
        <v>nok</v>
      </c>
      <c r="P56" s="91" t="str">
        <f>IF(AND($B56=[1]mauro!$A55,[1]mauro!$B55=P$4),"ok","nok")</f>
        <v>nok</v>
      </c>
      <c r="Q56" s="91" t="str">
        <f>IF(AND($B56=[1]mauro!$A55,[1]mauro!$B55=Q$4),"ok","nok")</f>
        <v>nok</v>
      </c>
      <c r="R56" s="91" t="str">
        <f>IF(AND($B56=[1]mauro!$A55,[1]mauro!$B55=R$4),"ok","nok")</f>
        <v>nok</v>
      </c>
      <c r="S56" s="91" t="str">
        <f>IF(AND($B56=[1]mauro!$A55,[1]mauro!$B55=S$4),"ok","nok")</f>
        <v>nok</v>
      </c>
      <c r="T56" s="91" t="str">
        <f>IF(AND($B56=[1]mauro!$A55,[1]mauro!$B55=T$4),"ok","nok")</f>
        <v>nok</v>
      </c>
      <c r="U56" s="91" t="str">
        <f>IF(AND($B56=[1]mauro!$A55,[1]mauro!$B55=U$4),"ok","nok")</f>
        <v>nok</v>
      </c>
      <c r="V56" s="91" t="str">
        <f>IF(AND($B56=[1]mauro!$A55,[1]mauro!$B55=V$4),"ok","nok")</f>
        <v>nok</v>
      </c>
      <c r="W56" s="91" t="str">
        <f>IF(AND($B56=[1]mauro!$A55,[1]mauro!$B55=W$4),"ok","nok")</f>
        <v>nok</v>
      </c>
      <c r="X56" s="91" t="str">
        <f>IF(AND($B56=[1]mauro!$A55,[1]mauro!$B55=X$4),"ok","nok")</f>
        <v>ok</v>
      </c>
      <c r="Y56" s="112" t="s">
        <v>15</v>
      </c>
      <c r="Z56" s="113"/>
      <c r="AA56" s="113"/>
      <c r="AB56" s="114"/>
      <c r="AC56"/>
      <c r="AD56" s="74"/>
      <c r="AE56" s="68" t="str">
        <f t="shared" si="5"/>
        <v/>
      </c>
      <c r="AF56" s="68"/>
      <c r="AG56" s="68"/>
      <c r="AH56" s="68"/>
      <c r="AI56" s="69">
        <f t="shared" si="6"/>
        <v>0</v>
      </c>
      <c r="AJ56" s="69" t="str">
        <f t="shared" si="7"/>
        <v/>
      </c>
      <c r="AK56" s="69">
        <f t="shared" si="8"/>
        <v>0</v>
      </c>
      <c r="AL56" s="69" t="str">
        <f t="shared" si="9"/>
        <v/>
      </c>
      <c r="AM56" s="69">
        <f t="shared" si="10"/>
        <v>0</v>
      </c>
      <c r="AN56" s="69" t="str">
        <f t="shared" si="11"/>
        <v/>
      </c>
      <c r="AO56" s="69">
        <f t="shared" si="12"/>
        <v>0</v>
      </c>
      <c r="AP56" s="69" t="str">
        <f t="shared" si="13"/>
        <v/>
      </c>
      <c r="AQ56" s="69">
        <f t="shared" si="14"/>
        <v>1</v>
      </c>
      <c r="AR56" s="69" t="str">
        <f t="shared" si="15"/>
        <v/>
      </c>
      <c r="AY56" s="75"/>
      <c r="AZ56" s="75"/>
      <c r="BA56" s="75"/>
      <c r="BB56" s="76"/>
      <c r="BC56" s="72"/>
    </row>
    <row r="57" spans="1:55" ht="30" customHeight="1" x14ac:dyDescent="0.35">
      <c r="A57" s="29"/>
      <c r="B57" s="73" t="s">
        <v>60</v>
      </c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101"/>
      <c r="Y57" s="120"/>
      <c r="Z57" s="121"/>
      <c r="AA57" s="121"/>
      <c r="AB57" s="121"/>
      <c r="AC57"/>
      <c r="AD57" s="74"/>
      <c r="AE57" s="68" t="str">
        <f t="shared" si="5"/>
        <v/>
      </c>
      <c r="AF57" s="68"/>
      <c r="AG57" s="68"/>
      <c r="AH57" s="68"/>
      <c r="AI57" s="69">
        <f t="shared" si="6"/>
        <v>0</v>
      </c>
      <c r="AJ57" s="69" t="str">
        <f t="shared" si="7"/>
        <v/>
      </c>
      <c r="AK57" s="69">
        <f t="shared" si="8"/>
        <v>0</v>
      </c>
      <c r="AL57" s="69" t="str">
        <f t="shared" si="9"/>
        <v/>
      </c>
      <c r="AM57" s="69">
        <f t="shared" si="10"/>
        <v>0</v>
      </c>
      <c r="AN57" s="69" t="str">
        <f t="shared" si="11"/>
        <v/>
      </c>
      <c r="AO57" s="69">
        <f t="shared" si="12"/>
        <v>0</v>
      </c>
      <c r="AP57" s="69" t="str">
        <f t="shared" si="13"/>
        <v/>
      </c>
      <c r="AQ57" s="69">
        <f t="shared" si="14"/>
        <v>0</v>
      </c>
      <c r="AR57" s="69" t="str">
        <f t="shared" si="15"/>
        <v/>
      </c>
      <c r="AY57" s="75"/>
      <c r="AZ57" s="75"/>
      <c r="BA57" s="75"/>
      <c r="BB57" s="76"/>
      <c r="BC57" s="72"/>
    </row>
    <row r="58" spans="1:55" ht="30" customHeight="1" x14ac:dyDescent="0.35">
      <c r="A58" s="29" t="str">
        <f>CONCATENATE($B$17,"
",$B$47,"
",$B$57)</f>
        <v>PT138 - ANÁLISE ESTRUTURAL DO VVS1
GERAL
TEMPO DE PARADA / INTERFERÊNCIA DE CADA SERVIÇO</v>
      </c>
      <c r="B58" s="58" t="s">
        <v>61</v>
      </c>
      <c r="C58" s="91" t="str">
        <f>IF(AND($B58=[1]mauro!$A57,[1]mauro!$B57=C$4),"ok","nok")</f>
        <v>nok</v>
      </c>
      <c r="D58" s="91" t="str">
        <f>IF(AND($B58=[1]mauro!$A57,[1]mauro!$B57=D$4),"ok","nok")</f>
        <v>nok</v>
      </c>
      <c r="E58" s="91" t="str">
        <f>IF(AND($B58=[1]mauro!$A57,[1]mauro!$B57=E$4),"ok","nok")</f>
        <v>nok</v>
      </c>
      <c r="F58" s="91" t="str">
        <f>IF(AND($B58=[1]mauro!$A57,[1]mauro!$B57=F$4),"ok","nok")</f>
        <v>nok</v>
      </c>
      <c r="G58" s="91" t="str">
        <f>IF(AND($B58=[1]mauro!$A57,[1]mauro!$B57=G$4),"ok","nok")</f>
        <v>nok</v>
      </c>
      <c r="H58" s="91" t="str">
        <f>IF(AND($B58=[1]mauro!$A57,[1]mauro!$B57=H$4),"ok","nok")</f>
        <v>nok</v>
      </c>
      <c r="I58" s="91" t="str">
        <f>IF(AND($B58=[1]mauro!$A57,[1]mauro!$B57=I$4),"ok","nok")</f>
        <v>nok</v>
      </c>
      <c r="J58" s="91" t="str">
        <f>IF(AND($B58=[1]mauro!$A57,[1]mauro!$B57=J$4),"ok","nok")</f>
        <v>nok</v>
      </c>
      <c r="K58" s="91" t="str">
        <f>IF(AND($B58=[1]mauro!$A57,[1]mauro!$B57=K$4),"ok","nok")</f>
        <v>nok</v>
      </c>
      <c r="L58" s="91" t="str">
        <f>IF(AND($B58=[1]mauro!$A57,[1]mauro!$B57=L$4),"ok","nok")</f>
        <v>nok</v>
      </c>
      <c r="M58" s="91" t="str">
        <f>IF(AND($B58=[1]mauro!$A57,[1]mauro!$B57=M$4),"ok","nok")</f>
        <v>nok</v>
      </c>
      <c r="N58" s="91" t="str">
        <f>IF(AND($B58=[1]mauro!$A57,[1]mauro!$B57=N$4),"ok","nok")</f>
        <v>nok</v>
      </c>
      <c r="O58" s="91" t="str">
        <f>IF(AND($B58=[1]mauro!$A57,[1]mauro!$B57=O$4),"ok","nok")</f>
        <v>ok</v>
      </c>
      <c r="P58" s="91" t="str">
        <f>IF(AND($B58=[1]mauro!$A57,[1]mauro!$B57=P$4),"ok","nok")</f>
        <v>nok</v>
      </c>
      <c r="Q58" s="91" t="str">
        <f>IF(AND($B58=[1]mauro!$A57,[1]mauro!$B57=Q$4),"ok","nok")</f>
        <v>nok</v>
      </c>
      <c r="R58" s="91" t="str">
        <f>IF(AND($B58=[1]mauro!$A57,[1]mauro!$B57=R$4),"ok","nok")</f>
        <v>nok</v>
      </c>
      <c r="S58" s="91" t="str">
        <f>IF(AND($B58=[1]mauro!$A57,[1]mauro!$B57=S$4),"ok","nok")</f>
        <v>nok</v>
      </c>
      <c r="T58" s="91" t="str">
        <f>IF(AND($B58=[1]mauro!$A57,[1]mauro!$B57=T$4),"ok","nok")</f>
        <v>nok</v>
      </c>
      <c r="U58" s="91" t="str">
        <f>IF(AND($B58=[1]mauro!$A57,[1]mauro!$B57=U$4),"ok","nok")</f>
        <v>nok</v>
      </c>
      <c r="V58" s="91" t="str">
        <f>IF(AND($B58=[1]mauro!$A57,[1]mauro!$B57=V$4),"ok","nok")</f>
        <v>nok</v>
      </c>
      <c r="W58" s="91" t="str">
        <f>IF(AND($B58=[1]mauro!$A57,[1]mauro!$B57=W$4),"ok","nok")</f>
        <v>nok</v>
      </c>
      <c r="X58" s="91" t="str">
        <f>IF(AND($B58=[1]mauro!$A57,[1]mauro!$B57=X$4),"ok","nok")</f>
        <v>nok</v>
      </c>
      <c r="Y58" s="112" t="s">
        <v>2</v>
      </c>
      <c r="Z58" s="113"/>
      <c r="AA58" s="113"/>
      <c r="AB58" s="114"/>
      <c r="AC58"/>
      <c r="AD58" s="74"/>
      <c r="AE58" s="68" t="str">
        <f t="shared" si="5"/>
        <v/>
      </c>
      <c r="AF58" s="68"/>
      <c r="AG58" s="68"/>
      <c r="AH58" s="68"/>
      <c r="AI58" s="69">
        <f t="shared" si="6"/>
        <v>0</v>
      </c>
      <c r="AJ58" s="69" t="str">
        <f t="shared" si="7"/>
        <v/>
      </c>
      <c r="AK58" s="69">
        <f t="shared" si="8"/>
        <v>0</v>
      </c>
      <c r="AL58" s="69" t="str">
        <f t="shared" si="9"/>
        <v/>
      </c>
      <c r="AM58" s="69">
        <f t="shared" si="10"/>
        <v>1</v>
      </c>
      <c r="AN58" s="69" t="str">
        <f t="shared" si="11"/>
        <v>ENTREGUE</v>
      </c>
      <c r="AO58" s="69">
        <f t="shared" si="12"/>
        <v>0</v>
      </c>
      <c r="AP58" s="69" t="str">
        <f t="shared" si="13"/>
        <v/>
      </c>
      <c r="AQ58" s="69">
        <f t="shared" si="14"/>
        <v>0</v>
      </c>
      <c r="AR58" s="69" t="str">
        <f t="shared" si="15"/>
        <v/>
      </c>
      <c r="AY58" s="75"/>
      <c r="AZ58" s="75"/>
      <c r="BA58" s="75"/>
      <c r="BB58" s="76"/>
      <c r="BC58" s="72"/>
    </row>
    <row r="59" spans="1:55" ht="30" customHeight="1" x14ac:dyDescent="0.35">
      <c r="A59" s="29" t="str">
        <f>CONCATENATE($B$17,"
",$B$47,"
",$B$57)</f>
        <v>PT138 - ANÁLISE ESTRUTURAL DO VVS1
GERAL
TEMPO DE PARADA / INTERFERÊNCIA DE CADA SERVIÇO</v>
      </c>
      <c r="B59" s="58" t="s">
        <v>77</v>
      </c>
      <c r="C59" s="91" t="str">
        <f>IF(AND($B59=[1]mauro!$A58,[1]mauro!$B58=C$4),"ok","nok")</f>
        <v>nok</v>
      </c>
      <c r="D59" s="91" t="str">
        <f>IF(AND($B59=[1]mauro!$A58,[1]mauro!$B58=D$4),"ok","nok")</f>
        <v>nok</v>
      </c>
      <c r="E59" s="91" t="str">
        <f>IF(AND($B59=[1]mauro!$A58,[1]mauro!$B58=E$4),"ok","nok")</f>
        <v>nok</v>
      </c>
      <c r="F59" s="91" t="str">
        <f>IF(AND($B59=[1]mauro!$A58,[1]mauro!$B58=F$4),"ok","nok")</f>
        <v>nok</v>
      </c>
      <c r="G59" s="91" t="str">
        <f>IF(AND($B59=[1]mauro!$A58,[1]mauro!$B58=G$4),"ok","nok")</f>
        <v>nok</v>
      </c>
      <c r="H59" s="91" t="str">
        <f>IF(AND($B59=[1]mauro!$A58,[1]mauro!$B58=H$4),"ok","nok")</f>
        <v>nok</v>
      </c>
      <c r="I59" s="91" t="str">
        <f>IF(AND($B59=[1]mauro!$A58,[1]mauro!$B58=I$4),"ok","nok")</f>
        <v>nok</v>
      </c>
      <c r="J59" s="91" t="str">
        <f>IF(AND($B59=[1]mauro!$A58,[1]mauro!$B58=J$4),"ok","nok")</f>
        <v>nok</v>
      </c>
      <c r="K59" s="91" t="str">
        <f>IF(AND($B59=[1]mauro!$A58,[1]mauro!$B58=K$4),"ok","nok")</f>
        <v>nok</v>
      </c>
      <c r="L59" s="91" t="str">
        <f>IF(AND($B59=[1]mauro!$A58,[1]mauro!$B58=L$4),"ok","nok")</f>
        <v>nok</v>
      </c>
      <c r="M59" s="91" t="str">
        <f>IF(AND($B59=[1]mauro!$A58,[1]mauro!$B58=M$4),"ok","nok")</f>
        <v>nok</v>
      </c>
      <c r="N59" s="91" t="str">
        <f>IF(AND($B59=[1]mauro!$A58,[1]mauro!$B58=N$4),"ok","nok")</f>
        <v>nok</v>
      </c>
      <c r="O59" s="91" t="str">
        <f>IF(AND($B59=[1]mauro!$A58,[1]mauro!$B58=O$4),"ok","nok")</f>
        <v>nok</v>
      </c>
      <c r="P59" s="91" t="str">
        <f>IF(AND($B59=[1]mauro!$A58,[1]mauro!$B58=P$4),"ok","nok")</f>
        <v>nok</v>
      </c>
      <c r="Q59" s="91" t="str">
        <f>IF(AND($B59=[1]mauro!$A58,[1]mauro!$B58=Q$4),"ok","nok")</f>
        <v>nok</v>
      </c>
      <c r="R59" s="91" t="str">
        <f>IF(AND($B59=[1]mauro!$A58,[1]mauro!$B58=R$4),"ok","nok")</f>
        <v>nok</v>
      </c>
      <c r="S59" s="91" t="str">
        <f>IF(AND($B59=[1]mauro!$A58,[1]mauro!$B58=S$4),"ok","nok")</f>
        <v>nok</v>
      </c>
      <c r="T59" s="91" t="str">
        <f>IF(AND($B59=[1]mauro!$A58,[1]mauro!$B58=T$4),"ok","nok")</f>
        <v>nok</v>
      </c>
      <c r="U59" s="91" t="str">
        <f>IF(AND($B59=[1]mauro!$A58,[1]mauro!$B58=U$4),"ok","nok")</f>
        <v>nok</v>
      </c>
      <c r="V59" s="91" t="str">
        <f>IF(AND($B59=[1]mauro!$A58,[1]mauro!$B58=V$4),"ok","nok")</f>
        <v>nok</v>
      </c>
      <c r="W59" s="91" t="str">
        <f>IF(AND($B59=[1]mauro!$A58,[1]mauro!$B58=W$4),"ok","nok")</f>
        <v>ok</v>
      </c>
      <c r="X59" s="91" t="str">
        <f>IF(AND($B59=[1]mauro!$A58,[1]mauro!$B58=X$4),"ok","nok")</f>
        <v>nok</v>
      </c>
      <c r="Y59" s="112" t="s">
        <v>15</v>
      </c>
      <c r="Z59" s="113"/>
      <c r="AA59" s="113"/>
      <c r="AB59" s="114"/>
      <c r="AC59"/>
      <c r="AD59"/>
      <c r="AE59" s="68" t="str">
        <f t="shared" si="5"/>
        <v/>
      </c>
      <c r="AF59" s="68"/>
      <c r="AG59" s="68"/>
      <c r="AH59" s="68"/>
      <c r="AI59" s="69">
        <f t="shared" si="6"/>
        <v>0</v>
      </c>
      <c r="AJ59" s="69" t="str">
        <f t="shared" si="7"/>
        <v/>
      </c>
      <c r="AK59" s="69">
        <f t="shared" si="8"/>
        <v>0</v>
      </c>
      <c r="AL59" s="69" t="str">
        <f t="shared" si="9"/>
        <v/>
      </c>
      <c r="AM59" s="69">
        <f t="shared" si="10"/>
        <v>0</v>
      </c>
      <c r="AN59" s="69" t="str">
        <f t="shared" si="11"/>
        <v/>
      </c>
      <c r="AO59" s="69">
        <f t="shared" si="12"/>
        <v>0</v>
      </c>
      <c r="AP59" s="69" t="str">
        <f t="shared" si="13"/>
        <v/>
      </c>
      <c r="AQ59" s="69">
        <f t="shared" si="14"/>
        <v>1</v>
      </c>
      <c r="AR59" s="69" t="str">
        <f t="shared" si="15"/>
        <v/>
      </c>
      <c r="AY59" s="75"/>
      <c r="AZ59" s="75"/>
      <c r="BA59" s="75"/>
      <c r="BB59" s="76"/>
      <c r="BC59" s="72"/>
    </row>
    <row r="60" spans="1:55" ht="30" customHeight="1" x14ac:dyDescent="0.35">
      <c r="A60" s="29"/>
      <c r="B60" s="73" t="s">
        <v>62</v>
      </c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101"/>
      <c r="Y60" s="120"/>
      <c r="Z60" s="121"/>
      <c r="AA60" s="121"/>
      <c r="AB60" s="121"/>
      <c r="AC60"/>
      <c r="AD60" s="74"/>
      <c r="AE60" s="68" t="str">
        <f t="shared" si="5"/>
        <v/>
      </c>
      <c r="AF60" s="68"/>
      <c r="AG60" s="68"/>
      <c r="AH60" s="68"/>
      <c r="AI60" s="69">
        <f t="shared" si="6"/>
        <v>0</v>
      </c>
      <c r="AJ60" s="69" t="str">
        <f t="shared" si="7"/>
        <v/>
      </c>
      <c r="AK60" s="69">
        <f t="shared" si="8"/>
        <v>0</v>
      </c>
      <c r="AL60" s="69" t="str">
        <f t="shared" si="9"/>
        <v/>
      </c>
      <c r="AM60" s="69">
        <f t="shared" si="10"/>
        <v>0</v>
      </c>
      <c r="AN60" s="69" t="str">
        <f t="shared" si="11"/>
        <v/>
      </c>
      <c r="AO60" s="69">
        <f t="shared" si="12"/>
        <v>0</v>
      </c>
      <c r="AP60" s="69" t="str">
        <f t="shared" si="13"/>
        <v/>
      </c>
      <c r="AQ60" s="69">
        <f t="shared" si="14"/>
        <v>0</v>
      </c>
      <c r="AR60" s="69" t="str">
        <f t="shared" si="15"/>
        <v/>
      </c>
      <c r="AY60" s="75"/>
      <c r="AZ60" s="75"/>
      <c r="BA60" s="75"/>
      <c r="BB60" s="76"/>
      <c r="BC60" s="72"/>
    </row>
    <row r="61" spans="1:55" ht="30" customHeight="1" x14ac:dyDescent="0.35">
      <c r="A61" s="29" t="str">
        <f>CONCATENATE($B$17,"
",$B$47,"
",$B$60)</f>
        <v>PT138 - ANÁLISE ESTRUTURAL DO VVS1
GERAL
TRADE-OFF - 5 ALTERNATIVAS</v>
      </c>
      <c r="B61" s="58" t="s">
        <v>78</v>
      </c>
      <c r="C61" s="91" t="str">
        <f>IF(AND($B61=[1]mauro!$A60,[1]mauro!$B60=C$4),"ok","nok")</f>
        <v>nok</v>
      </c>
      <c r="D61" s="91" t="str">
        <f>IF(AND($B61=[1]mauro!$A60,[1]mauro!$B60=D$4),"ok","nok")</f>
        <v>nok</v>
      </c>
      <c r="E61" s="91" t="str">
        <f>IF(AND($B61=[1]mauro!$A60,[1]mauro!$B60=E$4),"ok","nok")</f>
        <v>nok</v>
      </c>
      <c r="F61" s="91" t="str">
        <f>IF(AND($B61=[1]mauro!$A60,[1]mauro!$B60=F$4),"ok","nok")</f>
        <v>nok</v>
      </c>
      <c r="G61" s="91" t="str">
        <f>IF(AND($B61=[1]mauro!$A60,[1]mauro!$B60=G$4),"ok","nok")</f>
        <v>nok</v>
      </c>
      <c r="H61" s="91" t="str">
        <f>IF(AND($B61=[1]mauro!$A60,[1]mauro!$B60=H$4),"ok","nok")</f>
        <v>nok</v>
      </c>
      <c r="I61" s="91" t="str">
        <f>IF(AND($B61=[1]mauro!$A60,[1]mauro!$B60=I$4),"ok","nok")</f>
        <v>nok</v>
      </c>
      <c r="J61" s="91" t="str">
        <f>IF(AND($B61=[1]mauro!$A60,[1]mauro!$B60=J$4),"ok","nok")</f>
        <v>nok</v>
      </c>
      <c r="K61" s="91" t="str">
        <f>IF(AND($B61=[1]mauro!$A60,[1]mauro!$B60=K$4),"ok","nok")</f>
        <v>nok</v>
      </c>
      <c r="L61" s="91" t="str">
        <f>IF(AND($B61=[1]mauro!$A60,[1]mauro!$B60=L$4),"ok","nok")</f>
        <v>nok</v>
      </c>
      <c r="M61" s="91" t="str">
        <f>IF(AND($B61=[1]mauro!$A60,[1]mauro!$B60=M$4),"ok","nok")</f>
        <v>nok</v>
      </c>
      <c r="N61" s="91" t="str">
        <f>IF(AND($B61=[1]mauro!$A60,[1]mauro!$B60=N$4),"ok","nok")</f>
        <v>nok</v>
      </c>
      <c r="O61" s="91" t="str">
        <f>IF(AND($B61=[1]mauro!$A60,[1]mauro!$B60=O$4),"ok","nok")</f>
        <v>ok</v>
      </c>
      <c r="P61" s="91" t="str">
        <f>IF(AND($B61=[1]mauro!$A60,[1]mauro!$B60=P$4),"ok","nok")</f>
        <v>nok</v>
      </c>
      <c r="Q61" s="91" t="str">
        <f>IF(AND($B61=[1]mauro!$A60,[1]mauro!$B60=Q$4),"ok","nok")</f>
        <v>nok</v>
      </c>
      <c r="R61" s="91" t="str">
        <f>IF(AND($B61=[1]mauro!$A60,[1]mauro!$B60=R$4),"ok","nok")</f>
        <v>nok</v>
      </c>
      <c r="S61" s="91" t="str">
        <f>IF(AND($B61=[1]mauro!$A60,[1]mauro!$B60=S$4),"ok","nok")</f>
        <v>nok</v>
      </c>
      <c r="T61" s="91" t="str">
        <f>IF(AND($B61=[1]mauro!$A60,[1]mauro!$B60=T$4),"ok","nok")</f>
        <v>nok</v>
      </c>
      <c r="U61" s="91" t="str">
        <f>IF(AND($B61=[1]mauro!$A60,[1]mauro!$B60=U$4),"ok","nok")</f>
        <v>nok</v>
      </c>
      <c r="V61" s="91" t="str">
        <f>IF(AND($B61=[1]mauro!$A60,[1]mauro!$B60=V$4),"ok","nok")</f>
        <v>nok</v>
      </c>
      <c r="W61" s="91" t="str">
        <f>IF(AND($B61=[1]mauro!$A60,[1]mauro!$B60=W$4),"ok","nok")</f>
        <v>nok</v>
      </c>
      <c r="X61" s="91" t="str">
        <f>IF(AND($B61=[1]mauro!$A60,[1]mauro!$B60=X$4),"ok","nok")</f>
        <v>nok</v>
      </c>
      <c r="Y61" s="112" t="s">
        <v>36</v>
      </c>
      <c r="Z61" s="113"/>
      <c r="AA61" s="113"/>
      <c r="AB61" s="114"/>
      <c r="AC61"/>
      <c r="AD61" s="74"/>
      <c r="AE61" s="68" t="str">
        <f t="shared" si="5"/>
        <v>Elaboração do Plano de Trade Off</v>
      </c>
      <c r="AF61" s="68" t="s">
        <v>105</v>
      </c>
      <c r="AG61" s="102">
        <v>45230</v>
      </c>
      <c r="AH61" s="68" t="s">
        <v>106</v>
      </c>
      <c r="AI61" s="69">
        <f t="shared" si="6"/>
        <v>0</v>
      </c>
      <c r="AJ61" s="69" t="str">
        <f t="shared" si="7"/>
        <v/>
      </c>
      <c r="AK61" s="69">
        <f t="shared" si="8"/>
        <v>0</v>
      </c>
      <c r="AL61" s="69" t="str">
        <f t="shared" si="9"/>
        <v/>
      </c>
      <c r="AM61" s="69">
        <f t="shared" si="10"/>
        <v>1</v>
      </c>
      <c r="AN61" s="69" t="str">
        <f t="shared" si="11"/>
        <v/>
      </c>
      <c r="AO61" s="69">
        <f t="shared" si="12"/>
        <v>0</v>
      </c>
      <c r="AP61" s="69" t="str">
        <f t="shared" si="13"/>
        <v/>
      </c>
      <c r="AQ61" s="69">
        <f t="shared" si="14"/>
        <v>0</v>
      </c>
      <c r="AR61" s="69" t="str">
        <f t="shared" si="15"/>
        <v/>
      </c>
      <c r="AY61" s="75"/>
      <c r="AZ61" s="75"/>
      <c r="BA61" s="75"/>
      <c r="BB61" s="76"/>
      <c r="BC61" s="72"/>
    </row>
    <row r="62" spans="1:55" ht="30" customHeight="1" x14ac:dyDescent="0.35">
      <c r="A62" s="29" t="str">
        <f>CONCATENATE($B$17,"
",$B$47,"
",$B$60)</f>
        <v>PT138 - ANÁLISE ESTRUTURAL DO VVS1
GERAL
TRADE-OFF - 5 ALTERNATIVAS</v>
      </c>
      <c r="B62" s="58" t="s">
        <v>79</v>
      </c>
      <c r="C62" s="91" t="str">
        <f>IF(AND($B62=[1]mauro!$A61,[1]mauro!$B61=C$4),"ok","nok")</f>
        <v>nok</v>
      </c>
      <c r="D62" s="91" t="str">
        <f>IF(AND($B62=[1]mauro!$A61,[1]mauro!$B61=D$4),"ok","nok")</f>
        <v>nok</v>
      </c>
      <c r="E62" s="91" t="str">
        <f>IF(AND($B62=[1]mauro!$A61,[1]mauro!$B61=E$4),"ok","nok")</f>
        <v>nok</v>
      </c>
      <c r="F62" s="91" t="str">
        <f>IF(AND($B62=[1]mauro!$A61,[1]mauro!$B61=F$4),"ok","nok")</f>
        <v>nok</v>
      </c>
      <c r="G62" s="91" t="str">
        <f>IF(AND($B62=[1]mauro!$A61,[1]mauro!$B61=G$4),"ok","nok")</f>
        <v>nok</v>
      </c>
      <c r="H62" s="91" t="str">
        <f>IF(AND($B62=[1]mauro!$A61,[1]mauro!$B61=H$4),"ok","nok")</f>
        <v>nok</v>
      </c>
      <c r="I62" s="91" t="str">
        <f>IF(AND($B62=[1]mauro!$A61,[1]mauro!$B61=I$4),"ok","nok")</f>
        <v>nok</v>
      </c>
      <c r="J62" s="91" t="str">
        <f>IF(AND($B62=[1]mauro!$A61,[1]mauro!$B61=J$4),"ok","nok")</f>
        <v>nok</v>
      </c>
      <c r="K62" s="91" t="str">
        <f>IF(AND($B62=[1]mauro!$A61,[1]mauro!$B61=K$4),"ok","nok")</f>
        <v>nok</v>
      </c>
      <c r="L62" s="91" t="str">
        <f>IF(AND($B62=[1]mauro!$A61,[1]mauro!$B61=L$4),"ok","nok")</f>
        <v>nok</v>
      </c>
      <c r="M62" s="91" t="str">
        <f>IF(AND($B62=[1]mauro!$A61,[1]mauro!$B61=M$4),"ok","nok")</f>
        <v>nok</v>
      </c>
      <c r="N62" s="91" t="str">
        <f>IF(AND($B62=[1]mauro!$A61,[1]mauro!$B61=N$4),"ok","nok")</f>
        <v>nok</v>
      </c>
      <c r="O62" s="91" t="str">
        <f>IF(AND($B62=[1]mauro!$A61,[1]mauro!$B61=O$4),"ok","nok")</f>
        <v>nok</v>
      </c>
      <c r="P62" s="91" t="str">
        <f>IF(AND($B62=[1]mauro!$A61,[1]mauro!$B61=P$4),"ok","nok")</f>
        <v>ok</v>
      </c>
      <c r="Q62" s="91" t="str">
        <f>IF(AND($B62=[1]mauro!$A61,[1]mauro!$B61=Q$4),"ok","nok")</f>
        <v>nok</v>
      </c>
      <c r="R62" s="91" t="str">
        <f>IF(AND($B62=[1]mauro!$A61,[1]mauro!$B61=R$4),"ok","nok")</f>
        <v>nok</v>
      </c>
      <c r="S62" s="91" t="str">
        <f>IF(AND($B62=[1]mauro!$A61,[1]mauro!$B61=S$4),"ok","nok")</f>
        <v>nok</v>
      </c>
      <c r="T62" s="91" t="str">
        <f>IF(AND($B62=[1]mauro!$A61,[1]mauro!$B61=T$4),"ok","nok")</f>
        <v>nok</v>
      </c>
      <c r="U62" s="91" t="str">
        <f>IF(AND($B62=[1]mauro!$A61,[1]mauro!$B61=U$4),"ok","nok")</f>
        <v>nok</v>
      </c>
      <c r="V62" s="91" t="str">
        <f>IF(AND($B62=[1]mauro!$A61,[1]mauro!$B61=V$4),"ok","nok")</f>
        <v>nok</v>
      </c>
      <c r="W62" s="91" t="str">
        <f>IF(AND($B62=[1]mauro!$A61,[1]mauro!$B61=W$4),"ok","nok")</f>
        <v>nok</v>
      </c>
      <c r="X62" s="91" t="str">
        <f>IF(AND($B62=[1]mauro!$A61,[1]mauro!$B61=X$4),"ok","nok")</f>
        <v>nok</v>
      </c>
      <c r="Y62" s="112" t="s">
        <v>2</v>
      </c>
      <c r="Z62" s="113"/>
      <c r="AA62" s="113"/>
      <c r="AB62" s="114"/>
      <c r="AC62"/>
      <c r="AD62" s="74"/>
      <c r="AE62" s="68" t="str">
        <f t="shared" si="5"/>
        <v/>
      </c>
      <c r="AF62" s="68"/>
      <c r="AG62" s="68"/>
      <c r="AH62" s="68"/>
      <c r="AI62" s="69">
        <f t="shared" si="6"/>
        <v>0</v>
      </c>
      <c r="AJ62" s="69" t="str">
        <f t="shared" si="7"/>
        <v/>
      </c>
      <c r="AK62" s="69">
        <f t="shared" si="8"/>
        <v>0</v>
      </c>
      <c r="AL62" s="69" t="str">
        <f t="shared" si="9"/>
        <v/>
      </c>
      <c r="AM62" s="69">
        <f t="shared" si="10"/>
        <v>1</v>
      </c>
      <c r="AN62" s="69" t="str">
        <f t="shared" si="11"/>
        <v>ENTREGUE</v>
      </c>
      <c r="AO62" s="69">
        <f t="shared" si="12"/>
        <v>0</v>
      </c>
      <c r="AP62" s="69" t="str">
        <f t="shared" si="13"/>
        <v/>
      </c>
      <c r="AQ62" s="69">
        <f t="shared" si="14"/>
        <v>0</v>
      </c>
      <c r="AR62" s="69" t="str">
        <f t="shared" si="15"/>
        <v/>
      </c>
      <c r="AY62" s="75"/>
      <c r="AZ62" s="75"/>
      <c r="BA62" s="75"/>
      <c r="BB62" s="76"/>
      <c r="BC62" s="72"/>
    </row>
    <row r="63" spans="1:55" ht="30" customHeight="1" x14ac:dyDescent="0.35">
      <c r="A63" s="29"/>
      <c r="B63" s="59" t="s">
        <v>80</v>
      </c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98"/>
      <c r="Y63" s="115"/>
      <c r="Z63" s="116"/>
      <c r="AA63" s="116"/>
      <c r="AB63" s="116"/>
      <c r="AC63"/>
      <c r="AD63" s="74"/>
      <c r="AE63" s="68" t="str">
        <f t="shared" si="5"/>
        <v/>
      </c>
      <c r="AF63" s="68"/>
      <c r="AG63" s="68"/>
      <c r="AH63" s="68"/>
      <c r="AI63" s="69">
        <f t="shared" si="6"/>
        <v>0</v>
      </c>
      <c r="AJ63" s="69" t="str">
        <f t="shared" si="7"/>
        <v/>
      </c>
      <c r="AK63" s="69">
        <f t="shared" si="8"/>
        <v>0</v>
      </c>
      <c r="AL63" s="69" t="str">
        <f t="shared" si="9"/>
        <v/>
      </c>
      <c r="AM63" s="69">
        <f t="shared" si="10"/>
        <v>0</v>
      </c>
      <c r="AN63" s="69" t="str">
        <f t="shared" si="11"/>
        <v/>
      </c>
      <c r="AO63" s="69">
        <f t="shared" si="12"/>
        <v>0</v>
      </c>
      <c r="AP63" s="69" t="str">
        <f t="shared" si="13"/>
        <v/>
      </c>
      <c r="AQ63" s="69">
        <f t="shared" si="14"/>
        <v>0</v>
      </c>
      <c r="AR63" s="69" t="str">
        <f t="shared" si="15"/>
        <v/>
      </c>
      <c r="AY63" s="75"/>
      <c r="AZ63" s="75"/>
      <c r="BA63" s="75"/>
      <c r="BB63" s="76"/>
      <c r="BC63" s="72"/>
    </row>
    <row r="64" spans="1:55" ht="30" customHeight="1" x14ac:dyDescent="0.35">
      <c r="A64" s="29" t="str">
        <f>CONCATENATE($B$17,"
",$B$47,"
",$B$60)</f>
        <v>PT138 - ANÁLISE ESTRUTURAL DO VVS1
GERAL
TRADE-OFF - 5 ALTERNATIVAS</v>
      </c>
      <c r="B64" s="60" t="s">
        <v>22</v>
      </c>
      <c r="C64" s="91" t="str">
        <f>IF(AND($B64=[1]mauro!$A63,[1]mauro!$B63=C$4),"ok","nok")</f>
        <v>nok</v>
      </c>
      <c r="D64" s="91" t="str">
        <f>IF(AND($B64=[1]mauro!$A63,[1]mauro!$B63=D$4),"ok","nok")</f>
        <v>nok</v>
      </c>
      <c r="E64" s="91" t="str">
        <f>IF(AND($B64=[1]mauro!$A63,[1]mauro!$B63=E$4),"ok","nok")</f>
        <v>nok</v>
      </c>
      <c r="F64" s="91" t="str">
        <f>IF(AND($B64=[1]mauro!$A63,[1]mauro!$B63=F$4),"ok","nok")</f>
        <v>nok</v>
      </c>
      <c r="G64" s="91" t="str">
        <f>IF(AND($B64=[1]mauro!$A63,[1]mauro!$B63=G$4),"ok","nok")</f>
        <v>nok</v>
      </c>
      <c r="H64" s="91" t="str">
        <f>IF(AND($B64=[1]mauro!$A63,[1]mauro!$B63=H$4),"ok","nok")</f>
        <v>nok</v>
      </c>
      <c r="I64" s="91" t="str">
        <f>IF(AND($B64=[1]mauro!$A63,[1]mauro!$B63=I$4),"ok","nok")</f>
        <v>nok</v>
      </c>
      <c r="J64" s="91" t="str">
        <f>IF(AND($B64=[1]mauro!$A63,[1]mauro!$B63=J$4),"ok","nok")</f>
        <v>nok</v>
      </c>
      <c r="K64" s="91" t="str">
        <f>IF(AND($B64=[1]mauro!$A63,[1]mauro!$B63=K$4),"ok","nok")</f>
        <v>nok</v>
      </c>
      <c r="L64" s="91" t="str">
        <f>IF(AND($B64=[1]mauro!$A63,[1]mauro!$B63=L$4),"ok","nok")</f>
        <v>nok</v>
      </c>
      <c r="M64" s="91" t="str">
        <f>IF(AND($B64=[1]mauro!$A63,[1]mauro!$B63=M$4),"ok","nok")</f>
        <v>nok</v>
      </c>
      <c r="N64" s="91" t="str">
        <f>IF(AND($B64=[1]mauro!$A63,[1]mauro!$B63=N$4),"ok","nok")</f>
        <v>nok</v>
      </c>
      <c r="O64" s="91" t="str">
        <f>IF(AND($B64=[1]mauro!$A63,[1]mauro!$B63=O$4),"ok","nok")</f>
        <v>nok</v>
      </c>
      <c r="P64" s="91" t="str">
        <f>IF(AND($B64=[1]mauro!$A63,[1]mauro!$B63=P$4),"ok","nok")</f>
        <v>nok</v>
      </c>
      <c r="Q64" s="91" t="str">
        <f>IF(AND($B64=[1]mauro!$A63,[1]mauro!$B63=Q$4),"ok","nok")</f>
        <v>nok</v>
      </c>
      <c r="R64" s="91" t="str">
        <f>IF(AND($B64=[1]mauro!$A63,[1]mauro!$B63=R$4),"ok","nok")</f>
        <v>nok</v>
      </c>
      <c r="S64" s="91" t="str">
        <f>IF(AND($B64=[1]mauro!$A63,[1]mauro!$B63=S$4),"ok","nok")</f>
        <v>nok</v>
      </c>
      <c r="T64" s="91" t="str">
        <f>IF(AND($B64=[1]mauro!$A63,[1]mauro!$B63=T$4),"ok","nok")</f>
        <v>nok</v>
      </c>
      <c r="U64" s="91" t="str">
        <f>IF(AND($B64=[1]mauro!$A63,[1]mauro!$B63=U$4),"ok","nok")</f>
        <v>nok</v>
      </c>
      <c r="V64" s="91" t="str">
        <f>IF(AND($B64=[1]mauro!$A63,[1]mauro!$B63=V$4),"ok","nok")</f>
        <v>nok</v>
      </c>
      <c r="W64" s="91" t="str">
        <f>IF(AND($B64=[1]mauro!$A63,[1]mauro!$B63=W$4),"ok","nok")</f>
        <v>ok</v>
      </c>
      <c r="X64" s="91" t="str">
        <f>IF(AND($B64=[1]mauro!$A63,[1]mauro!$B63=X$4),"ok","nok")</f>
        <v>nok</v>
      </c>
      <c r="Y64" s="112" t="s">
        <v>15</v>
      </c>
      <c r="Z64" s="113"/>
      <c r="AA64" s="113"/>
      <c r="AB64" s="114"/>
      <c r="AC64"/>
      <c r="AD64" s="74"/>
      <c r="AE64" s="68" t="str">
        <f t="shared" si="5"/>
        <v/>
      </c>
      <c r="AF64" s="68"/>
      <c r="AG64" s="68"/>
      <c r="AH64" s="68"/>
      <c r="AI64" s="69">
        <f t="shared" si="6"/>
        <v>0</v>
      </c>
      <c r="AJ64" s="69" t="str">
        <f t="shared" si="7"/>
        <v/>
      </c>
      <c r="AK64" s="69">
        <f t="shared" si="8"/>
        <v>0</v>
      </c>
      <c r="AL64" s="69" t="str">
        <f t="shared" si="9"/>
        <v/>
      </c>
      <c r="AM64" s="69">
        <f t="shared" si="10"/>
        <v>0</v>
      </c>
      <c r="AN64" s="69" t="str">
        <f t="shared" si="11"/>
        <v/>
      </c>
      <c r="AO64" s="69">
        <f t="shared" si="12"/>
        <v>0</v>
      </c>
      <c r="AP64" s="69" t="str">
        <f t="shared" si="13"/>
        <v/>
      </c>
      <c r="AQ64" s="69">
        <f t="shared" si="14"/>
        <v>1</v>
      </c>
      <c r="AR64" s="69" t="str">
        <f t="shared" si="15"/>
        <v/>
      </c>
      <c r="AY64" s="75"/>
      <c r="AZ64" s="75"/>
      <c r="BA64" s="75"/>
      <c r="BB64" s="76"/>
      <c r="BC64" s="72"/>
    </row>
    <row r="65" spans="1:55" ht="30" customHeight="1" x14ac:dyDescent="0.35">
      <c r="A65" s="29" t="str">
        <f>CONCATENATE($B$17,"
",$B$47,"
",$B$60)</f>
        <v>PT138 - ANÁLISE ESTRUTURAL DO VVS1
GERAL
TRADE-OFF - 5 ALTERNATIVAS</v>
      </c>
      <c r="B65" s="60" t="s">
        <v>19</v>
      </c>
      <c r="C65" s="91" t="str">
        <f>IF(AND($B65=[1]mauro!$A64,[1]mauro!$B64=C$4),"ok","nok")</f>
        <v>nok</v>
      </c>
      <c r="D65" s="91" t="str">
        <f>IF(AND($B65=[1]mauro!$A64,[1]mauro!$B64=D$4),"ok","nok")</f>
        <v>nok</v>
      </c>
      <c r="E65" s="91" t="str">
        <f>IF(AND($B65=[1]mauro!$A64,[1]mauro!$B64=E$4),"ok","nok")</f>
        <v>nok</v>
      </c>
      <c r="F65" s="91" t="str">
        <f>IF(AND($B65=[1]mauro!$A64,[1]mauro!$B64=F$4),"ok","nok")</f>
        <v>nok</v>
      </c>
      <c r="G65" s="91" t="str">
        <f>IF(AND($B65=[1]mauro!$A64,[1]mauro!$B64=G$4),"ok","nok")</f>
        <v>nok</v>
      </c>
      <c r="H65" s="91" t="str">
        <f>IF(AND($B65=[1]mauro!$A64,[1]mauro!$B64=H$4),"ok","nok")</f>
        <v>nok</v>
      </c>
      <c r="I65" s="91" t="str">
        <f>IF(AND($B65=[1]mauro!$A64,[1]mauro!$B64=I$4),"ok","nok")</f>
        <v>nok</v>
      </c>
      <c r="J65" s="91" t="str">
        <f>IF(AND($B65=[1]mauro!$A64,[1]mauro!$B64=J$4),"ok","nok")</f>
        <v>nok</v>
      </c>
      <c r="K65" s="91" t="str">
        <f>IF(AND($B65=[1]mauro!$A64,[1]mauro!$B64=K$4),"ok","nok")</f>
        <v>nok</v>
      </c>
      <c r="L65" s="91" t="str">
        <f>IF(AND($B65=[1]mauro!$A64,[1]mauro!$B64=L$4),"ok","nok")</f>
        <v>nok</v>
      </c>
      <c r="M65" s="91" t="str">
        <f>IF(AND($B65=[1]mauro!$A64,[1]mauro!$B64=M$4),"ok","nok")</f>
        <v>nok</v>
      </c>
      <c r="N65" s="91" t="str">
        <f>IF(AND($B65=[1]mauro!$A64,[1]mauro!$B64=N$4),"ok","nok")</f>
        <v>nok</v>
      </c>
      <c r="O65" s="91" t="str">
        <f>IF(AND($B65=[1]mauro!$A64,[1]mauro!$B64=O$4),"ok","nok")</f>
        <v>nok</v>
      </c>
      <c r="P65" s="91" t="str">
        <f>IF(AND($B65=[1]mauro!$A64,[1]mauro!$B64=P$4),"ok","nok")</f>
        <v>nok</v>
      </c>
      <c r="Q65" s="91" t="str">
        <f>IF(AND($B65=[1]mauro!$A64,[1]mauro!$B64=Q$4),"ok","nok")</f>
        <v>nok</v>
      </c>
      <c r="R65" s="91" t="str">
        <f>IF(AND($B65=[1]mauro!$A64,[1]mauro!$B64=R$4),"ok","nok")</f>
        <v>nok</v>
      </c>
      <c r="S65" s="91" t="str">
        <f>IF(AND($B65=[1]mauro!$A64,[1]mauro!$B64=S$4),"ok","nok")</f>
        <v>nok</v>
      </c>
      <c r="T65" s="91" t="str">
        <f>IF(AND($B65=[1]mauro!$A64,[1]mauro!$B64=T$4),"ok","nok")</f>
        <v>nok</v>
      </c>
      <c r="U65" s="91" t="str">
        <f>IF(AND($B65=[1]mauro!$A64,[1]mauro!$B64=U$4),"ok","nok")</f>
        <v>nok</v>
      </c>
      <c r="V65" s="91" t="str">
        <f>IF(AND($B65=[1]mauro!$A64,[1]mauro!$B64=V$4),"ok","nok")</f>
        <v>nok</v>
      </c>
      <c r="W65" s="91" t="str">
        <f>IF(AND($B65=[1]mauro!$A64,[1]mauro!$B64=W$4),"ok","nok")</f>
        <v>nok</v>
      </c>
      <c r="X65" s="91" t="str">
        <f>IF(AND($B65=[1]mauro!$A64,[1]mauro!$B64=X$4),"ok","nok")</f>
        <v>ok</v>
      </c>
      <c r="Y65" s="112" t="s">
        <v>15</v>
      </c>
      <c r="Z65" s="113"/>
      <c r="AA65" s="113"/>
      <c r="AB65" s="114"/>
      <c r="AC65"/>
      <c r="AD65" s="74"/>
      <c r="AE65" s="68" t="str">
        <f t="shared" si="5"/>
        <v/>
      </c>
      <c r="AF65" s="68"/>
      <c r="AG65" s="68"/>
      <c r="AH65" s="68"/>
      <c r="AI65" s="69">
        <f t="shared" si="6"/>
        <v>0</v>
      </c>
      <c r="AJ65" s="69" t="str">
        <f t="shared" si="7"/>
        <v/>
      </c>
      <c r="AK65" s="69">
        <f t="shared" si="8"/>
        <v>0</v>
      </c>
      <c r="AL65" s="69" t="str">
        <f t="shared" si="9"/>
        <v/>
      </c>
      <c r="AM65" s="69">
        <f t="shared" si="10"/>
        <v>0</v>
      </c>
      <c r="AN65" s="69" t="str">
        <f t="shared" si="11"/>
        <v/>
      </c>
      <c r="AO65" s="69">
        <f t="shared" si="12"/>
        <v>0</v>
      </c>
      <c r="AP65" s="69" t="str">
        <f t="shared" si="13"/>
        <v/>
      </c>
      <c r="AQ65" s="69">
        <f t="shared" si="14"/>
        <v>1</v>
      </c>
      <c r="AR65" s="69" t="str">
        <f t="shared" si="15"/>
        <v/>
      </c>
      <c r="AY65" s="75"/>
      <c r="AZ65" s="75"/>
      <c r="BA65" s="75"/>
      <c r="BB65" s="76"/>
      <c r="BC65" s="72"/>
    </row>
    <row r="66" spans="1:55" ht="30" customHeight="1" x14ac:dyDescent="0.35">
      <c r="A66" s="29"/>
      <c r="B66" s="55" t="s">
        <v>63</v>
      </c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95"/>
      <c r="Y66" s="122"/>
      <c r="Z66" s="123"/>
      <c r="AA66" s="123"/>
      <c r="AB66" s="124"/>
      <c r="AC66"/>
      <c r="AD66" s="74"/>
      <c r="AE66" s="68" t="str">
        <f t="shared" si="5"/>
        <v/>
      </c>
      <c r="AF66" s="68"/>
      <c r="AG66" s="68"/>
      <c r="AH66" s="68"/>
      <c r="AI66" s="69">
        <f t="shared" si="6"/>
        <v>0</v>
      </c>
      <c r="AJ66" s="69" t="str">
        <f t="shared" si="7"/>
        <v/>
      </c>
      <c r="AK66" s="69">
        <f t="shared" si="8"/>
        <v>0</v>
      </c>
      <c r="AL66" s="69" t="str">
        <f t="shared" si="9"/>
        <v/>
      </c>
      <c r="AM66" s="69">
        <f t="shared" si="10"/>
        <v>0</v>
      </c>
      <c r="AN66" s="69" t="str">
        <f t="shared" si="11"/>
        <v/>
      </c>
      <c r="AO66" s="69">
        <f t="shared" si="12"/>
        <v>0</v>
      </c>
      <c r="AP66" s="69" t="str">
        <f t="shared" si="13"/>
        <v/>
      </c>
      <c r="AQ66" s="69">
        <f t="shared" si="14"/>
        <v>0</v>
      </c>
      <c r="AR66" s="69" t="str">
        <f t="shared" si="15"/>
        <v/>
      </c>
      <c r="AY66" s="75"/>
      <c r="AZ66" s="75"/>
      <c r="BA66" s="75"/>
      <c r="BB66" s="76"/>
      <c r="BC66" s="72"/>
    </row>
    <row r="67" spans="1:55" ht="30" customHeight="1" x14ac:dyDescent="0.35">
      <c r="A67" s="29"/>
      <c r="B67" s="56" t="s">
        <v>64</v>
      </c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96"/>
      <c r="Y67" s="129"/>
      <c r="Z67" s="130"/>
      <c r="AA67" s="130"/>
      <c r="AB67" s="134"/>
      <c r="AC67"/>
      <c r="AD67" s="74"/>
      <c r="AE67" s="68" t="str">
        <f t="shared" si="5"/>
        <v/>
      </c>
      <c r="AF67" s="68"/>
      <c r="AG67" s="68"/>
      <c r="AH67" s="68"/>
      <c r="AI67" s="69">
        <f t="shared" si="6"/>
        <v>0</v>
      </c>
      <c r="AJ67" s="69" t="str">
        <f t="shared" si="7"/>
        <v/>
      </c>
      <c r="AK67" s="69">
        <f t="shared" si="8"/>
        <v>0</v>
      </c>
      <c r="AL67" s="69" t="str">
        <f t="shared" si="9"/>
        <v/>
      </c>
      <c r="AM67" s="69">
        <f t="shared" si="10"/>
        <v>0</v>
      </c>
      <c r="AN67" s="69" t="str">
        <f t="shared" si="11"/>
        <v/>
      </c>
      <c r="AO67" s="69">
        <f t="shared" si="12"/>
        <v>0</v>
      </c>
      <c r="AP67" s="69" t="str">
        <f t="shared" si="13"/>
        <v/>
      </c>
      <c r="AQ67" s="69">
        <f t="shared" si="14"/>
        <v>0</v>
      </c>
      <c r="AR67" s="69" t="str">
        <f t="shared" si="15"/>
        <v/>
      </c>
      <c r="AY67" s="75"/>
      <c r="AZ67" s="75"/>
      <c r="BA67" s="75"/>
      <c r="BB67" s="76"/>
      <c r="BC67" s="72"/>
    </row>
    <row r="68" spans="1:55" ht="30" customHeight="1" x14ac:dyDescent="0.35">
      <c r="A68" s="29"/>
      <c r="B68" s="57" t="s">
        <v>65</v>
      </c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97"/>
      <c r="Y68" s="127"/>
      <c r="Z68" s="128"/>
      <c r="AA68" s="128"/>
      <c r="AB68" s="128"/>
      <c r="AC68"/>
      <c r="AD68" s="74"/>
      <c r="AE68" s="68" t="str">
        <f t="shared" si="5"/>
        <v/>
      </c>
      <c r="AF68" s="68"/>
      <c r="AG68" s="68"/>
      <c r="AH68" s="68"/>
      <c r="AI68" s="69">
        <f t="shared" si="6"/>
        <v>0</v>
      </c>
      <c r="AJ68" s="69" t="str">
        <f t="shared" si="7"/>
        <v/>
      </c>
      <c r="AK68" s="69">
        <f t="shared" si="8"/>
        <v>0</v>
      </c>
      <c r="AL68" s="69" t="str">
        <f t="shared" si="9"/>
        <v/>
      </c>
      <c r="AM68" s="69">
        <f t="shared" si="10"/>
        <v>0</v>
      </c>
      <c r="AN68" s="69" t="str">
        <f t="shared" si="11"/>
        <v/>
      </c>
      <c r="AO68" s="69">
        <f t="shared" si="12"/>
        <v>0</v>
      </c>
      <c r="AP68" s="69" t="str">
        <f t="shared" si="13"/>
        <v/>
      </c>
      <c r="AQ68" s="69">
        <f t="shared" si="14"/>
        <v>0</v>
      </c>
      <c r="AR68" s="69" t="str">
        <f t="shared" si="15"/>
        <v/>
      </c>
      <c r="AY68" s="75"/>
      <c r="AZ68" s="75"/>
      <c r="BA68" s="75"/>
      <c r="BB68" s="76"/>
      <c r="BC68" s="72"/>
    </row>
    <row r="69" spans="1:55" ht="30" customHeight="1" x14ac:dyDescent="0.35">
      <c r="A69" s="29"/>
      <c r="B69" s="61" t="s">
        <v>53</v>
      </c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99"/>
      <c r="Y69" s="110"/>
      <c r="Z69" s="111"/>
      <c r="AA69" s="111"/>
      <c r="AB69" s="111"/>
      <c r="AC69"/>
      <c r="AD69" s="74"/>
      <c r="AE69" s="68" t="str">
        <f t="shared" si="5"/>
        <v/>
      </c>
      <c r="AF69" s="68"/>
      <c r="AG69" s="68"/>
      <c r="AH69" s="68"/>
      <c r="AI69" s="69">
        <f t="shared" si="6"/>
        <v>0</v>
      </c>
      <c r="AJ69" s="69" t="str">
        <f t="shared" si="7"/>
        <v/>
      </c>
      <c r="AK69" s="69">
        <f t="shared" si="8"/>
        <v>0</v>
      </c>
      <c r="AL69" s="69" t="str">
        <f t="shared" si="9"/>
        <v/>
      </c>
      <c r="AM69" s="69">
        <f t="shared" si="10"/>
        <v>0</v>
      </c>
      <c r="AN69" s="69" t="str">
        <f t="shared" si="11"/>
        <v/>
      </c>
      <c r="AO69" s="69">
        <f t="shared" si="12"/>
        <v>0</v>
      </c>
      <c r="AP69" s="69" t="str">
        <f t="shared" si="13"/>
        <v/>
      </c>
      <c r="AQ69" s="69">
        <f t="shared" si="14"/>
        <v>0</v>
      </c>
      <c r="AR69" s="69" t="str">
        <f t="shared" si="15"/>
        <v/>
      </c>
      <c r="AY69" s="75"/>
      <c r="AZ69" s="75"/>
      <c r="BA69" s="75"/>
      <c r="BB69" s="76"/>
      <c r="BC69" s="72"/>
    </row>
    <row r="70" spans="1:55" ht="30" customHeight="1" x14ac:dyDescent="0.35">
      <c r="A70" s="29" t="str">
        <f>CONCATENATE($B$66,"
",$B$67,"
",$B$68)</f>
        <v>MOSAIC
MÁQUINAS DE PÁTIO - ARAXÁ
312-RM-301</v>
      </c>
      <c r="B70" s="58" t="s">
        <v>76</v>
      </c>
      <c r="C70" s="91" t="str">
        <f>IF(AND($B70=[1]mauro!$A69,[1]mauro!$B69=C$4),"ok","nok")</f>
        <v>nok</v>
      </c>
      <c r="D70" s="91" t="str">
        <f>IF(AND($B70=[1]mauro!$A69,[1]mauro!$B69=D$4),"ok","nok")</f>
        <v>nok</v>
      </c>
      <c r="E70" s="91" t="str">
        <f>IF(AND($B70=[1]mauro!$A69,[1]mauro!$B69=E$4),"ok","nok")</f>
        <v>nok</v>
      </c>
      <c r="F70" s="91" t="str">
        <f>IF(AND($B70=[1]mauro!$A69,[1]mauro!$B69=F$4),"ok","nok")</f>
        <v>nok</v>
      </c>
      <c r="G70" s="91" t="str">
        <f>IF(AND($B70=[1]mauro!$A69,[1]mauro!$B69=G$4),"ok","nok")</f>
        <v>nok</v>
      </c>
      <c r="H70" s="91" t="str">
        <f>IF(AND($B70=[1]mauro!$A69,[1]mauro!$B69=H$4),"ok","nok")</f>
        <v>nok</v>
      </c>
      <c r="I70" s="91" t="str">
        <f>IF(AND($B70=[1]mauro!$A69,[1]mauro!$B69=I$4),"ok","nok")</f>
        <v>nok</v>
      </c>
      <c r="J70" s="91" t="str">
        <f>IF(AND($B70=[1]mauro!$A69,[1]mauro!$B69=J$4),"ok","nok")</f>
        <v>nok</v>
      </c>
      <c r="K70" s="91" t="str">
        <f>IF(AND($B70=[1]mauro!$A69,[1]mauro!$B69=K$4),"ok","nok")</f>
        <v>nok</v>
      </c>
      <c r="L70" s="91" t="str">
        <f>IF(AND($B70=[1]mauro!$A69,[1]mauro!$B69=L$4),"ok","nok")</f>
        <v>nok</v>
      </c>
      <c r="M70" s="91" t="str">
        <f>IF(AND($B70=[1]mauro!$A69,[1]mauro!$B69=M$4),"ok","nok")</f>
        <v>nok</v>
      </c>
      <c r="N70" s="91" t="str">
        <f>IF(AND($B70=[1]mauro!$A69,[1]mauro!$B69=N$4),"ok","nok")</f>
        <v>nok</v>
      </c>
      <c r="O70" s="91" t="str">
        <f>IF(AND($B70=[1]mauro!$A69,[1]mauro!$B69=O$4),"ok","nok")</f>
        <v>nok</v>
      </c>
      <c r="P70" s="91" t="str">
        <f>IF(AND($B70=[1]mauro!$A69,[1]mauro!$B69=P$4),"ok","nok")</f>
        <v>nok</v>
      </c>
      <c r="Q70" s="91" t="str">
        <f>IF(AND($B70=[1]mauro!$A69,[1]mauro!$B69=Q$4),"ok","nok")</f>
        <v>nok</v>
      </c>
      <c r="R70" s="91" t="str">
        <f>IF(AND($B70=[1]mauro!$A69,[1]mauro!$B69=R$4),"ok","nok")</f>
        <v>nok</v>
      </c>
      <c r="S70" s="91" t="str">
        <f>IF(AND($B70=[1]mauro!$A69,[1]mauro!$B69=S$4),"ok","nok")</f>
        <v>nok</v>
      </c>
      <c r="T70" s="91" t="str">
        <f>IF(AND($B70=[1]mauro!$A69,[1]mauro!$B69=T$4),"ok","nok")</f>
        <v>ok</v>
      </c>
      <c r="U70" s="91" t="str">
        <f>IF(AND($B70=[1]mauro!$A69,[1]mauro!$B69=U$4),"ok","nok")</f>
        <v>nok</v>
      </c>
      <c r="V70" s="91" t="str">
        <f>IF(AND($B70=[1]mauro!$A69,[1]mauro!$B69=V$4),"ok","nok")</f>
        <v>nok</v>
      </c>
      <c r="W70" s="91" t="str">
        <f>IF(AND($B70=[1]mauro!$A69,[1]mauro!$B69=W$4),"ok","nok")</f>
        <v>nok</v>
      </c>
      <c r="X70" s="91" t="str">
        <f>IF(AND($B70=[1]mauro!$A69,[1]mauro!$B69=X$4),"ok","nok")</f>
        <v>nok</v>
      </c>
      <c r="Y70" s="112" t="s">
        <v>15</v>
      </c>
      <c r="Z70" s="113"/>
      <c r="AA70" s="113"/>
      <c r="AB70" s="114"/>
      <c r="AC70"/>
      <c r="AD70" s="74"/>
      <c r="AE70" s="68" t="str">
        <f t="shared" si="5"/>
        <v/>
      </c>
      <c r="AF70" s="68"/>
      <c r="AG70" s="68"/>
      <c r="AH70" s="68"/>
      <c r="AI70" s="69">
        <f t="shared" si="6"/>
        <v>0</v>
      </c>
      <c r="AJ70" s="69" t="str">
        <f t="shared" si="7"/>
        <v/>
      </c>
      <c r="AK70" s="69">
        <f t="shared" si="8"/>
        <v>0</v>
      </c>
      <c r="AL70" s="69" t="str">
        <f t="shared" si="9"/>
        <v/>
      </c>
      <c r="AM70" s="69">
        <f t="shared" si="10"/>
        <v>0</v>
      </c>
      <c r="AN70" s="69" t="str">
        <f t="shared" si="11"/>
        <v/>
      </c>
      <c r="AO70" s="69">
        <f t="shared" si="12"/>
        <v>1</v>
      </c>
      <c r="AP70" s="69" t="str">
        <f t="shared" si="13"/>
        <v/>
      </c>
      <c r="AQ70" s="69">
        <f t="shared" si="14"/>
        <v>0</v>
      </c>
      <c r="AR70" s="69" t="str">
        <f t="shared" si="15"/>
        <v/>
      </c>
      <c r="AY70" s="75"/>
      <c r="AZ70" s="75"/>
      <c r="BA70" s="75"/>
      <c r="BB70" s="76"/>
      <c r="BC70" s="72"/>
    </row>
    <row r="71" spans="1:55" ht="30" customHeight="1" x14ac:dyDescent="0.35">
      <c r="A71" s="29"/>
      <c r="B71" s="61" t="s">
        <v>67</v>
      </c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99"/>
      <c r="Y71" s="110"/>
      <c r="Z71" s="111"/>
      <c r="AA71" s="111"/>
      <c r="AB71" s="111"/>
      <c r="AC71"/>
      <c r="AD71" s="74"/>
      <c r="AE71" s="68" t="str">
        <f t="shared" si="5"/>
        <v/>
      </c>
      <c r="AF71" s="68"/>
      <c r="AG71" s="68"/>
      <c r="AH71" s="68"/>
      <c r="AI71" s="69">
        <f t="shared" si="6"/>
        <v>0</v>
      </c>
      <c r="AJ71" s="69" t="str">
        <f t="shared" si="7"/>
        <v/>
      </c>
      <c r="AK71" s="69">
        <f t="shared" si="8"/>
        <v>0</v>
      </c>
      <c r="AL71" s="69" t="str">
        <f t="shared" si="9"/>
        <v/>
      </c>
      <c r="AM71" s="69">
        <f t="shared" si="10"/>
        <v>0</v>
      </c>
      <c r="AN71" s="69" t="str">
        <f t="shared" si="11"/>
        <v/>
      </c>
      <c r="AO71" s="69">
        <f t="shared" si="12"/>
        <v>0</v>
      </c>
      <c r="AP71" s="69" t="str">
        <f t="shared" si="13"/>
        <v/>
      </c>
      <c r="AQ71" s="69">
        <f t="shared" si="14"/>
        <v>0</v>
      </c>
      <c r="AR71" s="69" t="str">
        <f t="shared" si="15"/>
        <v/>
      </c>
      <c r="AY71" s="75"/>
      <c r="AZ71" s="75"/>
      <c r="BA71" s="75"/>
      <c r="BB71" s="76"/>
      <c r="BC71" s="72"/>
    </row>
    <row r="72" spans="1:55" ht="30" customHeight="1" x14ac:dyDescent="0.35">
      <c r="A72" s="29"/>
      <c r="B72" s="59" t="s">
        <v>81</v>
      </c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98"/>
      <c r="Y72" s="115"/>
      <c r="Z72" s="116"/>
      <c r="AA72" s="116"/>
      <c r="AB72" s="116"/>
      <c r="AC72"/>
      <c r="AD72" s="74"/>
      <c r="AE72" s="68" t="str">
        <f t="shared" si="5"/>
        <v/>
      </c>
      <c r="AF72" s="68"/>
      <c r="AG72" s="68"/>
      <c r="AH72" s="68"/>
      <c r="AI72" s="69">
        <f t="shared" si="6"/>
        <v>0</v>
      </c>
      <c r="AJ72" s="69" t="str">
        <f t="shared" si="7"/>
        <v/>
      </c>
      <c r="AK72" s="69">
        <f t="shared" si="8"/>
        <v>0</v>
      </c>
      <c r="AL72" s="69" t="str">
        <f t="shared" si="9"/>
        <v/>
      </c>
      <c r="AM72" s="69">
        <f t="shared" si="10"/>
        <v>0</v>
      </c>
      <c r="AN72" s="69" t="str">
        <f t="shared" si="11"/>
        <v/>
      </c>
      <c r="AO72" s="69">
        <f t="shared" si="12"/>
        <v>0</v>
      </c>
      <c r="AP72" s="69" t="str">
        <f t="shared" si="13"/>
        <v/>
      </c>
      <c r="AQ72" s="69">
        <f t="shared" si="14"/>
        <v>0</v>
      </c>
      <c r="AR72" s="69" t="str">
        <f t="shared" si="15"/>
        <v/>
      </c>
      <c r="AY72" s="75"/>
      <c r="AZ72" s="75"/>
      <c r="BA72" s="75"/>
      <c r="BB72" s="76"/>
      <c r="BC72" s="72"/>
    </row>
    <row r="73" spans="1:55" ht="30" customHeight="1" x14ac:dyDescent="0.35">
      <c r="A73" s="29" t="str">
        <f>CONCATENATE($B$66,"
",$B$67,"
",$B$68)</f>
        <v>MOSAIC
MÁQUINAS DE PÁTIO - ARAXÁ
312-RM-301</v>
      </c>
      <c r="B73" s="60" t="s">
        <v>22</v>
      </c>
      <c r="C73" s="91" t="str">
        <f>IF(AND($B73=[1]mauro!$A72,[1]mauro!$B72=C$4),"ok","nok")</f>
        <v>nok</v>
      </c>
      <c r="D73" s="91" t="str">
        <f>IF(AND($B73=[1]mauro!$A72,[1]mauro!$B72=D$4),"ok","nok")</f>
        <v>nok</v>
      </c>
      <c r="E73" s="91" t="str">
        <f>IF(AND($B73=[1]mauro!$A72,[1]mauro!$B72=E$4),"ok","nok")</f>
        <v>nok</v>
      </c>
      <c r="F73" s="91" t="str">
        <f>IF(AND($B73=[1]mauro!$A72,[1]mauro!$B72=F$4),"ok","nok")</f>
        <v>nok</v>
      </c>
      <c r="G73" s="91" t="str">
        <f>IF(AND($B73=[1]mauro!$A72,[1]mauro!$B72=G$4),"ok","nok")</f>
        <v>nok</v>
      </c>
      <c r="H73" s="91" t="str">
        <f>IF(AND($B73=[1]mauro!$A72,[1]mauro!$B72=H$4),"ok","nok")</f>
        <v>nok</v>
      </c>
      <c r="I73" s="91" t="str">
        <f>IF(AND($B73=[1]mauro!$A72,[1]mauro!$B72=I$4),"ok","nok")</f>
        <v>nok</v>
      </c>
      <c r="J73" s="91" t="str">
        <f>IF(AND($B73=[1]mauro!$A72,[1]mauro!$B72=J$4),"ok","nok")</f>
        <v>nok</v>
      </c>
      <c r="K73" s="91" t="str">
        <f>IF(AND($B73=[1]mauro!$A72,[1]mauro!$B72=K$4),"ok","nok")</f>
        <v>nok</v>
      </c>
      <c r="L73" s="91" t="str">
        <f>IF(AND($B73=[1]mauro!$A72,[1]mauro!$B72=L$4),"ok","nok")</f>
        <v>nok</v>
      </c>
      <c r="M73" s="91" t="str">
        <f>IF(AND($B73=[1]mauro!$A72,[1]mauro!$B72=M$4),"ok","nok")</f>
        <v>nok</v>
      </c>
      <c r="N73" s="91" t="str">
        <f>IF(AND($B73=[1]mauro!$A72,[1]mauro!$B72=N$4),"ok","nok")</f>
        <v>nok</v>
      </c>
      <c r="O73" s="91" t="str">
        <f>IF(AND($B73=[1]mauro!$A72,[1]mauro!$B72=O$4),"ok","nok")</f>
        <v>nok</v>
      </c>
      <c r="P73" s="91" t="str">
        <f>IF(AND($B73=[1]mauro!$A72,[1]mauro!$B72=P$4),"ok","nok")</f>
        <v>nok</v>
      </c>
      <c r="Q73" s="91" t="str">
        <f>IF(AND($B73=[1]mauro!$A72,[1]mauro!$B72=Q$4),"ok","nok")</f>
        <v>nok</v>
      </c>
      <c r="R73" s="91" t="str">
        <f>IF(AND($B73=[1]mauro!$A72,[1]mauro!$B72=R$4),"ok","nok")</f>
        <v>nok</v>
      </c>
      <c r="S73" s="91" t="str">
        <f>IF(AND($B73=[1]mauro!$A72,[1]mauro!$B72=S$4),"ok","nok")</f>
        <v>nok</v>
      </c>
      <c r="T73" s="91" t="str">
        <f>IF(AND($B73=[1]mauro!$A72,[1]mauro!$B72=T$4),"ok","nok")</f>
        <v>ok</v>
      </c>
      <c r="U73" s="91" t="str">
        <f>IF(AND($B73=[1]mauro!$A72,[1]mauro!$B72=U$4),"ok","nok")</f>
        <v>nok</v>
      </c>
      <c r="V73" s="91" t="str">
        <f>IF(AND($B73=[1]mauro!$A72,[1]mauro!$B72=V$4),"ok","nok")</f>
        <v>nok</v>
      </c>
      <c r="W73" s="91" t="str">
        <f>IF(AND($B73=[1]mauro!$A72,[1]mauro!$B72=W$4),"ok","nok")</f>
        <v>nok</v>
      </c>
      <c r="X73" s="91" t="str">
        <f>IF(AND($B73=[1]mauro!$A72,[1]mauro!$B72=X$4),"ok","nok")</f>
        <v>nok</v>
      </c>
      <c r="Y73" s="112" t="s">
        <v>2</v>
      </c>
      <c r="Z73" s="113"/>
      <c r="AA73" s="113"/>
      <c r="AB73" s="114"/>
      <c r="AC73"/>
      <c r="AD73" s="74"/>
      <c r="AE73" s="68" t="str">
        <f t="shared" si="5"/>
        <v/>
      </c>
      <c r="AF73" s="68"/>
      <c r="AG73" s="68"/>
      <c r="AH73" s="68"/>
      <c r="AI73" s="69">
        <f t="shared" si="6"/>
        <v>0</v>
      </c>
      <c r="AJ73" s="69" t="str">
        <f t="shared" si="7"/>
        <v/>
      </c>
      <c r="AK73" s="69">
        <f t="shared" si="8"/>
        <v>0</v>
      </c>
      <c r="AL73" s="69" t="str">
        <f t="shared" si="9"/>
        <v/>
      </c>
      <c r="AM73" s="69">
        <f t="shared" si="10"/>
        <v>0</v>
      </c>
      <c r="AN73" s="69" t="str">
        <f t="shared" si="11"/>
        <v/>
      </c>
      <c r="AO73" s="69">
        <f t="shared" si="12"/>
        <v>1</v>
      </c>
      <c r="AP73" s="69" t="str">
        <f t="shared" si="13"/>
        <v>ENTREGUE</v>
      </c>
      <c r="AQ73" s="69">
        <f t="shared" si="14"/>
        <v>0</v>
      </c>
      <c r="AR73" s="69" t="str">
        <f t="shared" si="15"/>
        <v/>
      </c>
      <c r="AY73" s="75"/>
      <c r="AZ73" s="75"/>
      <c r="BA73" s="75"/>
      <c r="BB73" s="76"/>
      <c r="BC73" s="72"/>
    </row>
    <row r="74" spans="1:55" s="19" customFormat="1" ht="30" customHeight="1" x14ac:dyDescent="0.35">
      <c r="A74" s="29"/>
      <c r="B74" s="59" t="s">
        <v>82</v>
      </c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98"/>
      <c r="Y74" s="115"/>
      <c r="Z74" s="116"/>
      <c r="AA74" s="116"/>
      <c r="AB74" s="116"/>
      <c r="AC74"/>
      <c r="AD74" s="30"/>
      <c r="AE74" s="68" t="str">
        <f t="shared" ref="AE74:AE106" si="21">IF(Y74="ATRASADO",B74,"")</f>
        <v/>
      </c>
      <c r="AF74" s="68"/>
      <c r="AG74" s="68"/>
      <c r="AH74" s="68"/>
      <c r="AI74" s="69">
        <f t="shared" ref="AI74:AI106" si="22">COUNTIF(C74:G74,"ok")</f>
        <v>0</v>
      </c>
      <c r="AJ74" s="69" t="str">
        <f t="shared" ref="AJ74:AJ106" si="23">IF(AND(AI74=1,OR($Y74="entregue",$Y74="efprazo")),$Y74,"")</f>
        <v/>
      </c>
      <c r="AK74" s="69">
        <f t="shared" ref="AK74:AK106" si="24">COUNTIF(H74:L74,"ok")</f>
        <v>0</v>
      </c>
      <c r="AL74" s="69" t="str">
        <f t="shared" ref="AL74:AL106" si="25">IF(AND(AK74=1,OR($Y74="entregue",$Y74="efprazo")),$Y74,"")</f>
        <v/>
      </c>
      <c r="AM74" s="69">
        <f t="shared" ref="AM74:AM106" si="26">COUNTIF(M74:Q74,"ok")</f>
        <v>0</v>
      </c>
      <c r="AN74" s="69" t="str">
        <f t="shared" ref="AN74:AN106" si="27">IF(AND(AM74=1,OR($Y74="entregue",$Y74="efprazo")),$Y74,"")</f>
        <v/>
      </c>
      <c r="AO74" s="69">
        <f t="shared" ref="AO74:AO106" si="28">COUNTIF(R74:V74,"ok")</f>
        <v>0</v>
      </c>
      <c r="AP74" s="69" t="str">
        <f t="shared" ref="AP74:AP106" si="29">IF(AND(AO74=1,OR($Y74="entregue",$Y74="efprazo")),$Y74,"")</f>
        <v/>
      </c>
      <c r="AQ74" s="69">
        <f t="shared" ref="AQ74:AQ106" si="30">COUNTIF(W74:X74,"ok")</f>
        <v>0</v>
      </c>
      <c r="AR74" s="69" t="str">
        <f t="shared" ref="AR74:AR106" si="31">IF(AND(AQ74=1,OR($Y74="entregue",$Y74="efprazo")),$Y74,"")</f>
        <v/>
      </c>
      <c r="AS74" s="13"/>
    </row>
    <row r="75" spans="1:55" ht="30" customHeight="1" x14ac:dyDescent="0.35">
      <c r="A75" s="29" t="str">
        <f>CONCATENATE($B$66,"
",$B$67,"
",$B$68)</f>
        <v>MOSAIC
MÁQUINAS DE PÁTIO - ARAXÁ
312-RM-301</v>
      </c>
      <c r="B75" s="60" t="s">
        <v>22</v>
      </c>
      <c r="C75" s="91" t="str">
        <f>IF(AND($B75=[1]mauro!$A74,[1]mauro!$B74=C$4),"ok","nok")</f>
        <v>nok</v>
      </c>
      <c r="D75" s="91" t="str">
        <f>IF(AND($B75=[1]mauro!$A74,[1]mauro!$B74=D$4),"ok","nok")</f>
        <v>nok</v>
      </c>
      <c r="E75" s="91" t="str">
        <f>IF(AND($B75=[1]mauro!$A74,[1]mauro!$B74=E$4),"ok","nok")</f>
        <v>nok</v>
      </c>
      <c r="F75" s="91" t="str">
        <f>IF(AND($B75=[1]mauro!$A74,[1]mauro!$B74=F$4),"ok","nok")</f>
        <v>nok</v>
      </c>
      <c r="G75" s="91" t="str">
        <f>IF(AND($B75=[1]mauro!$A74,[1]mauro!$B74=G$4),"ok","nok")</f>
        <v>nok</v>
      </c>
      <c r="H75" s="91" t="str">
        <f>IF(AND($B75=[1]mauro!$A74,[1]mauro!$B74=H$4),"ok","nok")</f>
        <v>nok</v>
      </c>
      <c r="I75" s="91" t="str">
        <f>IF(AND($B75=[1]mauro!$A74,[1]mauro!$B74=I$4),"ok","nok")</f>
        <v>nok</v>
      </c>
      <c r="J75" s="91" t="str">
        <f>IF(AND($B75=[1]mauro!$A74,[1]mauro!$B74=J$4),"ok","nok")</f>
        <v>nok</v>
      </c>
      <c r="K75" s="91" t="str">
        <f>IF(AND($B75=[1]mauro!$A74,[1]mauro!$B74=K$4),"ok","nok")</f>
        <v>nok</v>
      </c>
      <c r="L75" s="91" t="str">
        <f>IF(AND($B75=[1]mauro!$A74,[1]mauro!$B74=L$4),"ok","nok")</f>
        <v>nok</v>
      </c>
      <c r="M75" s="91" t="str">
        <f>IF(AND($B75=[1]mauro!$A74,[1]mauro!$B74=M$4),"ok","nok")</f>
        <v>nok</v>
      </c>
      <c r="N75" s="91" t="str">
        <f>IF(AND($B75=[1]mauro!$A74,[1]mauro!$B74=N$4),"ok","nok")</f>
        <v>nok</v>
      </c>
      <c r="O75" s="91" t="str">
        <f>IF(AND($B75=[1]mauro!$A74,[1]mauro!$B74=O$4),"ok","nok")</f>
        <v>nok</v>
      </c>
      <c r="P75" s="91" t="str">
        <f>IF(AND($B75=[1]mauro!$A74,[1]mauro!$B74=P$4),"ok","nok")</f>
        <v>nok</v>
      </c>
      <c r="Q75" s="91" t="str">
        <f>IF(AND($B75=[1]mauro!$A74,[1]mauro!$B74=Q$4),"ok","nok")</f>
        <v>nok</v>
      </c>
      <c r="R75" s="91" t="str">
        <f>IF(AND($B75=[1]mauro!$A74,[1]mauro!$B74=R$4),"ok","nok")</f>
        <v>nok</v>
      </c>
      <c r="S75" s="91" t="str">
        <f>IF(AND($B75=[1]mauro!$A74,[1]mauro!$B74=S$4),"ok","nok")</f>
        <v>nok</v>
      </c>
      <c r="T75" s="91" t="str">
        <f>IF(AND($B75=[1]mauro!$A74,[1]mauro!$B74=T$4),"ok","nok")</f>
        <v>ok</v>
      </c>
      <c r="U75" s="91" t="str">
        <f>IF(AND($B75=[1]mauro!$A74,[1]mauro!$B74=U$4),"ok","nok")</f>
        <v>nok</v>
      </c>
      <c r="V75" s="91" t="str">
        <f>IF(AND($B75=[1]mauro!$A74,[1]mauro!$B74=V$4),"ok","nok")</f>
        <v>nok</v>
      </c>
      <c r="W75" s="91" t="str">
        <f>IF(AND($B75=[1]mauro!$A74,[1]mauro!$B74=W$4),"ok","nok")</f>
        <v>nok</v>
      </c>
      <c r="X75" s="91" t="str">
        <f>IF(AND($B75=[1]mauro!$A74,[1]mauro!$B74=X$4),"ok","nok")</f>
        <v>nok</v>
      </c>
      <c r="Y75" s="112" t="s">
        <v>15</v>
      </c>
      <c r="Z75" s="113"/>
      <c r="AA75" s="113"/>
      <c r="AB75" s="114"/>
      <c r="AC75"/>
      <c r="AE75" s="68" t="str">
        <f t="shared" si="21"/>
        <v/>
      </c>
      <c r="AF75" s="68"/>
      <c r="AG75" s="68"/>
      <c r="AH75" s="68"/>
      <c r="AI75" s="69">
        <f t="shared" si="22"/>
        <v>0</v>
      </c>
      <c r="AJ75" s="69" t="str">
        <f t="shared" si="23"/>
        <v/>
      </c>
      <c r="AK75" s="69">
        <f t="shared" si="24"/>
        <v>0</v>
      </c>
      <c r="AL75" s="69" t="str">
        <f t="shared" si="25"/>
        <v/>
      </c>
      <c r="AM75" s="69">
        <f t="shared" si="26"/>
        <v>0</v>
      </c>
      <c r="AN75" s="69" t="str">
        <f t="shared" si="27"/>
        <v/>
      </c>
      <c r="AO75" s="69">
        <f t="shared" si="28"/>
        <v>1</v>
      </c>
      <c r="AP75" s="69" t="str">
        <f t="shared" si="29"/>
        <v/>
      </c>
      <c r="AQ75" s="69">
        <f t="shared" si="30"/>
        <v>0</v>
      </c>
      <c r="AR75" s="69" t="str">
        <f t="shared" si="31"/>
        <v/>
      </c>
    </row>
    <row r="76" spans="1:55" ht="30" customHeight="1" x14ac:dyDescent="0.35">
      <c r="A76" s="29"/>
      <c r="B76" s="56" t="s">
        <v>70</v>
      </c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96"/>
      <c r="Y76" s="129"/>
      <c r="Z76" s="130"/>
      <c r="AA76" s="130"/>
      <c r="AB76" s="134"/>
      <c r="AC76"/>
      <c r="AE76" s="68" t="str">
        <f t="shared" si="21"/>
        <v/>
      </c>
      <c r="AF76" s="68"/>
      <c r="AG76" s="68"/>
      <c r="AH76" s="68"/>
      <c r="AI76" s="69">
        <f t="shared" si="22"/>
        <v>0</v>
      </c>
      <c r="AJ76" s="69" t="str">
        <f t="shared" si="23"/>
        <v/>
      </c>
      <c r="AK76" s="69">
        <f t="shared" si="24"/>
        <v>0</v>
      </c>
      <c r="AL76" s="69" t="str">
        <f t="shared" si="25"/>
        <v/>
      </c>
      <c r="AM76" s="69">
        <f t="shared" si="26"/>
        <v>0</v>
      </c>
      <c r="AN76" s="69" t="str">
        <f t="shared" si="27"/>
        <v/>
      </c>
      <c r="AO76" s="69">
        <f t="shared" si="28"/>
        <v>0</v>
      </c>
      <c r="AP76" s="69" t="str">
        <f t="shared" si="29"/>
        <v/>
      </c>
      <c r="AQ76" s="69">
        <f t="shared" si="30"/>
        <v>0</v>
      </c>
      <c r="AR76" s="69" t="str">
        <f t="shared" si="31"/>
        <v/>
      </c>
    </row>
    <row r="77" spans="1:55" ht="30" customHeight="1" x14ac:dyDescent="0.35">
      <c r="A77" s="29"/>
      <c r="B77" s="57" t="s">
        <v>83</v>
      </c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97"/>
      <c r="Y77" s="127"/>
      <c r="Z77" s="128"/>
      <c r="AA77" s="128"/>
      <c r="AB77" s="128"/>
      <c r="AC77"/>
      <c r="AE77" s="68" t="str">
        <f t="shared" si="21"/>
        <v/>
      </c>
      <c r="AF77" s="68"/>
      <c r="AG77" s="68"/>
      <c r="AH77" s="68"/>
      <c r="AI77" s="69">
        <f t="shared" si="22"/>
        <v>0</v>
      </c>
      <c r="AJ77" s="69" t="str">
        <f t="shared" si="23"/>
        <v/>
      </c>
      <c r="AK77" s="69">
        <f t="shared" si="24"/>
        <v>0</v>
      </c>
      <c r="AL77" s="69" t="str">
        <f t="shared" si="25"/>
        <v/>
      </c>
      <c r="AM77" s="69">
        <f t="shared" si="26"/>
        <v>0</v>
      </c>
      <c r="AN77" s="69" t="str">
        <f t="shared" si="27"/>
        <v/>
      </c>
      <c r="AO77" s="69">
        <f t="shared" si="28"/>
        <v>0</v>
      </c>
      <c r="AP77" s="69" t="str">
        <f t="shared" si="29"/>
        <v/>
      </c>
      <c r="AQ77" s="69">
        <f t="shared" si="30"/>
        <v>0</v>
      </c>
      <c r="AR77" s="69" t="str">
        <f t="shared" si="31"/>
        <v/>
      </c>
    </row>
    <row r="78" spans="1:55" ht="30" customHeight="1" x14ac:dyDescent="0.35">
      <c r="A78" s="29"/>
      <c r="B78" s="61" t="s">
        <v>47</v>
      </c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99"/>
      <c r="Y78" s="110"/>
      <c r="Z78" s="111"/>
      <c r="AA78" s="111"/>
      <c r="AB78" s="111"/>
      <c r="AC78"/>
      <c r="AE78" s="68" t="str">
        <f t="shared" si="21"/>
        <v/>
      </c>
      <c r="AF78" s="68"/>
      <c r="AG78" s="68"/>
      <c r="AH78" s="68"/>
      <c r="AI78" s="69">
        <f t="shared" si="22"/>
        <v>0</v>
      </c>
      <c r="AJ78" s="69" t="str">
        <f t="shared" si="23"/>
        <v/>
      </c>
      <c r="AK78" s="69">
        <f t="shared" si="24"/>
        <v>0</v>
      </c>
      <c r="AL78" s="69" t="str">
        <f t="shared" si="25"/>
        <v/>
      </c>
      <c r="AM78" s="69">
        <f t="shared" si="26"/>
        <v>0</v>
      </c>
      <c r="AN78" s="69" t="str">
        <f t="shared" si="27"/>
        <v/>
      </c>
      <c r="AO78" s="69">
        <f t="shared" si="28"/>
        <v>0</v>
      </c>
      <c r="AP78" s="69" t="str">
        <f t="shared" si="29"/>
        <v/>
      </c>
      <c r="AQ78" s="69">
        <f t="shared" si="30"/>
        <v>0</v>
      </c>
      <c r="AR78" s="69" t="str">
        <f t="shared" si="31"/>
        <v/>
      </c>
    </row>
    <row r="79" spans="1:55" ht="30" customHeight="1" x14ac:dyDescent="0.35">
      <c r="A79" s="29" t="str">
        <f>CONCATENATE($B$66,"
",$B$76,"
",$B$77)</f>
        <v>MOSAIC
MÁQUINAS DE PÁTIO - CAJATI
EMPILHADEIRA - HO01SK</v>
      </c>
      <c r="B79" s="58" t="s">
        <v>71</v>
      </c>
      <c r="C79" s="91" t="str">
        <f>IF(AND($B79=[1]mauro!$A78,[1]mauro!$B78=C$4),"ok","nok")</f>
        <v>nok</v>
      </c>
      <c r="D79" s="91" t="str">
        <f>IF(AND($B79=[1]mauro!$A78,[1]mauro!$B78=D$4),"ok","nok")</f>
        <v>nok</v>
      </c>
      <c r="E79" s="91" t="str">
        <f>IF(AND($B79=[1]mauro!$A78,[1]mauro!$B78=E$4),"ok","nok")</f>
        <v>nok</v>
      </c>
      <c r="F79" s="91" t="str">
        <f>IF(AND($B79=[1]mauro!$A78,[1]mauro!$B78=F$4),"ok","nok")</f>
        <v>nok</v>
      </c>
      <c r="G79" s="91" t="str">
        <f>IF(AND($B79=[1]mauro!$A78,[1]mauro!$B78=G$4),"ok","nok")</f>
        <v>nok</v>
      </c>
      <c r="H79" s="103"/>
      <c r="I79" s="91" t="str">
        <f>IF(AND($B79=[1]mauro!$A78,[1]mauro!$B78=I$4),"ok","nok")</f>
        <v>nok</v>
      </c>
      <c r="J79" s="91" t="str">
        <f>IF(AND($B79=[1]mauro!$A78,[1]mauro!$B78=J$4),"ok","nok")</f>
        <v>nok</v>
      </c>
      <c r="K79" s="91" t="str">
        <f>IF(AND($B79=[1]mauro!$A78,[1]mauro!$B78=K$4),"ok","nok")</f>
        <v>nok</v>
      </c>
      <c r="L79" s="91" t="str">
        <f>IF(AND($B79=[1]mauro!$A78,[1]mauro!$B78=L$4),"ok","nok")</f>
        <v>nok</v>
      </c>
      <c r="M79" s="91" t="str">
        <f>IF(AND($B79=[1]mauro!$A78,[1]mauro!$B78=M$4),"ok","nok")</f>
        <v>nok</v>
      </c>
      <c r="N79" s="91" t="str">
        <f>IF(AND($B79=[1]mauro!$A78,[1]mauro!$B78=N$4),"ok","nok")</f>
        <v>nok</v>
      </c>
      <c r="O79" s="91" t="str">
        <f>IF(AND($B79=[1]mauro!$A78,[1]mauro!$B78=O$4),"ok","nok")</f>
        <v>nok</v>
      </c>
      <c r="P79" s="91" t="str">
        <f>IF(AND($B79=[1]mauro!$A78,[1]mauro!$B78=P$4),"ok","nok")</f>
        <v>nok</v>
      </c>
      <c r="Q79" s="91" t="str">
        <f>IF(AND($B79=[1]mauro!$A78,[1]mauro!$B78=Q$4),"ok","nok")</f>
        <v>nok</v>
      </c>
      <c r="R79" s="91" t="str">
        <f>IF(AND($B79=[1]mauro!$A78,[1]mauro!$B78=R$4),"ok","nok")</f>
        <v>nok</v>
      </c>
      <c r="S79" s="91" t="str">
        <f>IF(AND($B79=[1]mauro!$A78,[1]mauro!$B78=S$4),"ok","nok")</f>
        <v>nok</v>
      </c>
      <c r="T79" s="91" t="str">
        <f>IF(AND($B79=[1]mauro!$A78,[1]mauro!$B78=T$4),"ok","nok")</f>
        <v>nok</v>
      </c>
      <c r="U79" s="91" t="str">
        <f>IF(AND($B79=[1]mauro!$A78,[1]mauro!$B78=U$4),"ok","nok")</f>
        <v>nok</v>
      </c>
      <c r="V79" s="91" t="str">
        <f>IF(AND($B79=[1]mauro!$A78,[1]mauro!$B78=V$4),"ok","nok")</f>
        <v>nok</v>
      </c>
      <c r="W79" s="91" t="str">
        <f>IF(AND($B79=[1]mauro!$A78,[1]mauro!$B78=W$4),"ok","nok")</f>
        <v>ok</v>
      </c>
      <c r="X79" s="91" t="str">
        <f>IF(AND($B79=[1]mauro!$A78,[1]mauro!$B78=X$4),"ok","nok")</f>
        <v>nok</v>
      </c>
      <c r="Y79" s="112" t="s">
        <v>2</v>
      </c>
      <c r="Z79" s="113"/>
      <c r="AA79" s="113"/>
      <c r="AB79" s="114"/>
      <c r="AC79"/>
      <c r="AE79" s="68" t="str">
        <f t="shared" si="21"/>
        <v/>
      </c>
      <c r="AF79" s="68" t="s">
        <v>99</v>
      </c>
      <c r="AG79" s="102">
        <v>45222</v>
      </c>
      <c r="AH79" s="68" t="s">
        <v>100</v>
      </c>
      <c r="AI79" s="69">
        <f t="shared" si="22"/>
        <v>0</v>
      </c>
      <c r="AJ79" s="69" t="str">
        <f t="shared" si="23"/>
        <v/>
      </c>
      <c r="AK79" s="69">
        <f t="shared" si="24"/>
        <v>0</v>
      </c>
      <c r="AL79" s="69" t="str">
        <f t="shared" si="25"/>
        <v/>
      </c>
      <c r="AM79" s="69">
        <f t="shared" si="26"/>
        <v>0</v>
      </c>
      <c r="AN79" s="69" t="str">
        <f t="shared" si="27"/>
        <v/>
      </c>
      <c r="AO79" s="69">
        <f t="shared" si="28"/>
        <v>0</v>
      </c>
      <c r="AP79" s="69" t="str">
        <f t="shared" si="29"/>
        <v/>
      </c>
      <c r="AQ79" s="69">
        <f t="shared" si="30"/>
        <v>1</v>
      </c>
      <c r="AR79" s="69" t="str">
        <f t="shared" si="31"/>
        <v>ENTREGUE</v>
      </c>
    </row>
    <row r="80" spans="1:55" ht="30" customHeight="1" x14ac:dyDescent="0.35">
      <c r="B80" s="61" t="s">
        <v>53</v>
      </c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99"/>
      <c r="Y80" s="110"/>
      <c r="Z80" s="111"/>
      <c r="AA80" s="111"/>
      <c r="AB80" s="111"/>
      <c r="AC80"/>
      <c r="AE80" s="68" t="str">
        <f t="shared" si="21"/>
        <v/>
      </c>
      <c r="AF80" s="68"/>
      <c r="AG80" s="68"/>
      <c r="AH80" s="68"/>
      <c r="AI80" s="69">
        <f t="shared" si="22"/>
        <v>0</v>
      </c>
      <c r="AJ80" s="69" t="str">
        <f t="shared" si="23"/>
        <v/>
      </c>
      <c r="AK80" s="69">
        <f t="shared" si="24"/>
        <v>0</v>
      </c>
      <c r="AL80" s="69" t="str">
        <f t="shared" si="25"/>
        <v/>
      </c>
      <c r="AM80" s="69">
        <f t="shared" si="26"/>
        <v>0</v>
      </c>
      <c r="AN80" s="69" t="str">
        <f t="shared" si="27"/>
        <v/>
      </c>
      <c r="AO80" s="69">
        <f t="shared" si="28"/>
        <v>0</v>
      </c>
      <c r="AP80" s="69" t="str">
        <f t="shared" si="29"/>
        <v/>
      </c>
      <c r="AQ80" s="69">
        <f t="shared" si="30"/>
        <v>0</v>
      </c>
      <c r="AR80" s="69" t="str">
        <f t="shared" si="31"/>
        <v/>
      </c>
    </row>
    <row r="81" spans="1:44" ht="30" customHeight="1" x14ac:dyDescent="0.35">
      <c r="A81" s="29" t="str">
        <f>CONCATENATE($B$66,"
",$B$76,"
",$B$77)</f>
        <v>MOSAIC
MÁQUINAS DE PÁTIO - CAJATI
EMPILHADEIRA - HO01SK</v>
      </c>
      <c r="B81" s="58" t="s">
        <v>66</v>
      </c>
      <c r="C81" s="91" t="str">
        <f>IF(AND($B81=[1]mauro!$A80,[1]mauro!$B80=C$4),"ok","nok")</f>
        <v>nok</v>
      </c>
      <c r="D81" s="91" t="str">
        <f>IF(AND($B81=[1]mauro!$A80,[1]mauro!$B80=D$4),"ok","nok")</f>
        <v>nok</v>
      </c>
      <c r="E81" s="91" t="str">
        <f>IF(AND($B81=[1]mauro!$A80,[1]mauro!$B80=E$4),"ok","nok")</f>
        <v>nok</v>
      </c>
      <c r="F81" s="91" t="str">
        <f>IF(AND($B81=[1]mauro!$A80,[1]mauro!$B80=F$4),"ok","nok")</f>
        <v>nok</v>
      </c>
      <c r="G81" s="91" t="str">
        <f>IF(AND($B81=[1]mauro!$A80,[1]mauro!$B80=G$4),"ok","nok")</f>
        <v>nok</v>
      </c>
      <c r="H81" s="91" t="str">
        <f>IF(AND($B81=[1]mauro!$A80,[1]mauro!$B80=H$4),"ok","nok")</f>
        <v>nok</v>
      </c>
      <c r="I81" s="91" t="str">
        <f>IF(AND($B81=[1]mauro!$A80,[1]mauro!$B80=I$4),"ok","nok")</f>
        <v>nok</v>
      </c>
      <c r="J81" s="91" t="str">
        <f>IF(AND($B81=[1]mauro!$A80,[1]mauro!$B80=J$4),"ok","nok")</f>
        <v>nok</v>
      </c>
      <c r="K81" s="91" t="str">
        <f>IF(AND($B81=[1]mauro!$A80,[1]mauro!$B80=K$4),"ok","nok")</f>
        <v>nok</v>
      </c>
      <c r="L81" s="103"/>
      <c r="M81" s="91" t="str">
        <f>IF(AND($B81=[1]mauro!$A80,[1]mauro!$B80=M$4),"ok","nok")</f>
        <v>nok</v>
      </c>
      <c r="N81" s="91" t="str">
        <f>IF(AND($B81=[1]mauro!$A80,[1]mauro!$B80=N$4),"ok","nok")</f>
        <v>nok</v>
      </c>
      <c r="O81" s="91" t="str">
        <f>IF(AND($B81=[1]mauro!$A80,[1]mauro!$B80=O$4),"ok","nok")</f>
        <v>nok</v>
      </c>
      <c r="P81" s="91" t="str">
        <f>IF(AND($B81=[1]mauro!$A80,[1]mauro!$B80=P$4),"ok","nok")</f>
        <v>nok</v>
      </c>
      <c r="Q81" s="91" t="str">
        <f>IF(AND($B81=[1]mauro!$A80,[1]mauro!$B80=Q$4),"ok","nok")</f>
        <v>nok</v>
      </c>
      <c r="R81" s="91" t="str">
        <f>IF(AND($B81=[1]mauro!$A80,[1]mauro!$B80=R$4),"ok","nok")</f>
        <v>nok</v>
      </c>
      <c r="S81" s="91" t="str">
        <f>IF(AND($B81=[1]mauro!$A80,[1]mauro!$B80=S$4),"ok","nok")</f>
        <v>ok</v>
      </c>
      <c r="T81" s="91" t="str">
        <f>IF(AND($B81=[1]mauro!$A80,[1]mauro!$B80=T$4),"ok","nok")</f>
        <v>nok</v>
      </c>
      <c r="U81" s="91" t="str">
        <f>IF(AND($B81=[1]mauro!$A80,[1]mauro!$B80=U$4),"ok","nok")</f>
        <v>nok</v>
      </c>
      <c r="V81" s="91" t="str">
        <f>IF(AND($B81=[1]mauro!$A80,[1]mauro!$B80=V$4),"ok","nok")</f>
        <v>nok</v>
      </c>
      <c r="W81" s="91" t="str">
        <f>IF(AND($B81=[1]mauro!$A80,[1]mauro!$B80=W$4),"ok","nok")</f>
        <v>nok</v>
      </c>
      <c r="X81" s="91" t="str">
        <f>IF(AND($B81=[1]mauro!$A80,[1]mauro!$B80=X$4),"ok","nok")</f>
        <v>nok</v>
      </c>
      <c r="Y81" s="112" t="s">
        <v>38</v>
      </c>
      <c r="Z81" s="113"/>
      <c r="AA81" s="113"/>
      <c r="AB81" s="114"/>
      <c r="AC81"/>
      <c r="AE81" s="68" t="str">
        <f t="shared" si="21"/>
        <v/>
      </c>
      <c r="AF81" s="68" t="s">
        <v>101</v>
      </c>
      <c r="AG81" s="102">
        <v>45219</v>
      </c>
      <c r="AH81" s="68" t="s">
        <v>102</v>
      </c>
      <c r="AI81" s="69">
        <f t="shared" si="22"/>
        <v>0</v>
      </c>
      <c r="AJ81" s="69" t="str">
        <f t="shared" si="23"/>
        <v/>
      </c>
      <c r="AK81" s="69">
        <f t="shared" si="24"/>
        <v>0</v>
      </c>
      <c r="AL81" s="69" t="str">
        <f t="shared" si="25"/>
        <v/>
      </c>
      <c r="AM81" s="69">
        <f t="shared" si="26"/>
        <v>0</v>
      </c>
      <c r="AN81" s="69" t="str">
        <f t="shared" si="27"/>
        <v/>
      </c>
      <c r="AO81" s="69">
        <f t="shared" si="28"/>
        <v>1</v>
      </c>
      <c r="AP81" s="69" t="str">
        <f t="shared" si="29"/>
        <v>EFPRAZO</v>
      </c>
      <c r="AQ81" s="69">
        <f t="shared" si="30"/>
        <v>0</v>
      </c>
      <c r="AR81" s="69" t="str">
        <f t="shared" si="31"/>
        <v/>
      </c>
    </row>
    <row r="82" spans="1:44" ht="30" customHeight="1" x14ac:dyDescent="0.35">
      <c r="B82" s="61" t="s">
        <v>67</v>
      </c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99"/>
      <c r="Y82" s="110"/>
      <c r="Z82" s="111"/>
      <c r="AA82" s="111"/>
      <c r="AB82" s="111"/>
      <c r="AC82"/>
      <c r="AE82" s="68" t="str">
        <f t="shared" si="21"/>
        <v/>
      </c>
      <c r="AF82" s="68"/>
      <c r="AG82" s="68"/>
      <c r="AH82" s="68"/>
      <c r="AI82" s="69">
        <f t="shared" si="22"/>
        <v>0</v>
      </c>
      <c r="AJ82" s="69" t="str">
        <f t="shared" si="23"/>
        <v/>
      </c>
      <c r="AK82" s="69">
        <f t="shared" si="24"/>
        <v>0</v>
      </c>
      <c r="AL82" s="69" t="str">
        <f t="shared" si="25"/>
        <v/>
      </c>
      <c r="AM82" s="69">
        <f t="shared" si="26"/>
        <v>0</v>
      </c>
      <c r="AN82" s="69" t="str">
        <f t="shared" si="27"/>
        <v/>
      </c>
      <c r="AO82" s="69">
        <f t="shared" si="28"/>
        <v>0</v>
      </c>
      <c r="AP82" s="69" t="str">
        <f t="shared" si="29"/>
        <v/>
      </c>
      <c r="AQ82" s="69">
        <f t="shared" si="30"/>
        <v>0</v>
      </c>
      <c r="AR82" s="69" t="str">
        <f t="shared" si="31"/>
        <v/>
      </c>
    </row>
    <row r="83" spans="1:44" ht="30" customHeight="1" x14ac:dyDescent="0.35">
      <c r="A83" s="29"/>
      <c r="B83" s="59" t="s">
        <v>68</v>
      </c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98"/>
      <c r="Y83" s="115"/>
      <c r="Z83" s="116"/>
      <c r="AA83" s="116"/>
      <c r="AB83" s="116"/>
      <c r="AC83"/>
      <c r="AE83" s="68" t="str">
        <f t="shared" si="21"/>
        <v/>
      </c>
      <c r="AF83" s="68"/>
      <c r="AG83" s="68"/>
      <c r="AH83" s="68"/>
      <c r="AI83" s="69">
        <f t="shared" si="22"/>
        <v>0</v>
      </c>
      <c r="AJ83" s="69" t="str">
        <f t="shared" si="23"/>
        <v/>
      </c>
      <c r="AK83" s="69">
        <f t="shared" si="24"/>
        <v>0</v>
      </c>
      <c r="AL83" s="69" t="str">
        <f t="shared" si="25"/>
        <v/>
      </c>
      <c r="AM83" s="69">
        <f t="shared" si="26"/>
        <v>0</v>
      </c>
      <c r="AN83" s="69" t="str">
        <f t="shared" si="27"/>
        <v/>
      </c>
      <c r="AO83" s="69">
        <f t="shared" si="28"/>
        <v>0</v>
      </c>
      <c r="AP83" s="69" t="str">
        <f t="shared" si="29"/>
        <v/>
      </c>
      <c r="AQ83" s="69">
        <f t="shared" si="30"/>
        <v>0</v>
      </c>
      <c r="AR83" s="69" t="str">
        <f t="shared" si="31"/>
        <v/>
      </c>
    </row>
    <row r="84" spans="1:44" ht="30" customHeight="1" x14ac:dyDescent="0.35">
      <c r="A84" s="29" t="str">
        <f>CONCATENATE($B$66,"
",$B$76,"
",$B$77)</f>
        <v>MOSAIC
MÁQUINAS DE PÁTIO - CAJATI
EMPILHADEIRA - HO01SK</v>
      </c>
      <c r="B84" s="60" t="s">
        <v>22</v>
      </c>
      <c r="C84" s="91" t="str">
        <f>IF(AND($B84=[1]mauro!$A83,[1]mauro!$B83=C$4),"ok","nok")</f>
        <v>nok</v>
      </c>
      <c r="D84" s="91" t="str">
        <f>IF(AND($B84=[1]mauro!$A83,[1]mauro!$B83=D$4),"ok","nok")</f>
        <v>nok</v>
      </c>
      <c r="E84" s="91" t="str">
        <f>IF(AND($B84=[1]mauro!$A83,[1]mauro!$B83=E$4),"ok","nok")</f>
        <v>nok</v>
      </c>
      <c r="F84" s="91" t="str">
        <f>IF(AND($B84=[1]mauro!$A83,[1]mauro!$B83=F$4),"ok","nok")</f>
        <v>nok</v>
      </c>
      <c r="G84" s="91" t="str">
        <f>IF(AND($B84=[1]mauro!$A83,[1]mauro!$B83=G$4),"ok","nok")</f>
        <v>nok</v>
      </c>
      <c r="H84" s="91" t="str">
        <f>IF(AND($B84=[1]mauro!$A83,[1]mauro!$B83=H$4),"ok","nok")</f>
        <v>nok</v>
      </c>
      <c r="I84" s="91" t="str">
        <f>IF(AND($B84=[1]mauro!$A83,[1]mauro!$B83=I$4),"ok","nok")</f>
        <v>nok</v>
      </c>
      <c r="J84" s="91" t="str">
        <f>IF(AND($B84=[1]mauro!$A83,[1]mauro!$B83=J$4),"ok","nok")</f>
        <v>nok</v>
      </c>
      <c r="K84" s="91" t="str">
        <f>IF(AND($B84=[1]mauro!$A83,[1]mauro!$B83=K$4),"ok","nok")</f>
        <v>nok</v>
      </c>
      <c r="L84" s="103"/>
      <c r="M84" s="91" t="str">
        <f>IF(AND($B84=[1]mauro!$A83,[1]mauro!$B83=M$4),"ok","nok")</f>
        <v>nok</v>
      </c>
      <c r="N84" s="91" t="str">
        <f>IF(AND($B84=[1]mauro!$A83,[1]mauro!$B83=N$4),"ok","nok")</f>
        <v>nok</v>
      </c>
      <c r="O84" s="91" t="str">
        <f>IF(AND($B84=[1]mauro!$A83,[1]mauro!$B83=O$4),"ok","nok")</f>
        <v>nok</v>
      </c>
      <c r="P84" s="91" t="str">
        <f>IF(AND($B84=[1]mauro!$A83,[1]mauro!$B83=P$4),"ok","nok")</f>
        <v>nok</v>
      </c>
      <c r="Q84" s="91" t="str">
        <f>IF(AND($B84=[1]mauro!$A83,[1]mauro!$B83=Q$4),"ok","nok")</f>
        <v>nok</v>
      </c>
      <c r="R84" s="91" t="str">
        <f>IF(AND($B84=[1]mauro!$A83,[1]mauro!$B83=R$4),"ok","nok")</f>
        <v>nok</v>
      </c>
      <c r="S84" s="91" t="str">
        <f>IF(AND($B84=[1]mauro!$A83,[1]mauro!$B83=S$4),"ok","nok")</f>
        <v>ok</v>
      </c>
      <c r="T84" s="91" t="str">
        <f>IF(AND($B84=[1]mauro!$A83,[1]mauro!$B83=T$4),"ok","nok")</f>
        <v>nok</v>
      </c>
      <c r="U84" s="91" t="str">
        <f>IF(AND($B84=[1]mauro!$A83,[1]mauro!$B83=U$4),"ok","nok")</f>
        <v>nok</v>
      </c>
      <c r="V84" s="91" t="str">
        <f>IF(AND($B84=[1]mauro!$A83,[1]mauro!$B83=V$4),"ok","nok")</f>
        <v>nok</v>
      </c>
      <c r="W84" s="91" t="str">
        <f>IF(AND($B84=[1]mauro!$A83,[1]mauro!$B83=W$4),"ok","nok")</f>
        <v>nok</v>
      </c>
      <c r="X84" s="91" t="str">
        <f>IF(AND($B84=[1]mauro!$A83,[1]mauro!$B83=X$4),"ok","nok")</f>
        <v>nok</v>
      </c>
      <c r="Y84" s="112" t="s">
        <v>38</v>
      </c>
      <c r="Z84" s="113"/>
      <c r="AA84" s="113"/>
      <c r="AB84" s="114"/>
      <c r="AC84"/>
      <c r="AE84" s="68" t="str">
        <f t="shared" si="21"/>
        <v/>
      </c>
      <c r="AF84" s="68"/>
      <c r="AG84" s="68"/>
      <c r="AH84" s="68"/>
      <c r="AI84" s="69">
        <f t="shared" si="22"/>
        <v>0</v>
      </c>
      <c r="AJ84" s="69" t="str">
        <f t="shared" si="23"/>
        <v/>
      </c>
      <c r="AK84" s="69">
        <f t="shared" si="24"/>
        <v>0</v>
      </c>
      <c r="AL84" s="69" t="str">
        <f t="shared" si="25"/>
        <v/>
      </c>
      <c r="AM84" s="69">
        <f t="shared" si="26"/>
        <v>0</v>
      </c>
      <c r="AN84" s="69" t="str">
        <f t="shared" si="27"/>
        <v/>
      </c>
      <c r="AO84" s="69">
        <f t="shared" si="28"/>
        <v>1</v>
      </c>
      <c r="AP84" s="69" t="str">
        <f t="shared" si="29"/>
        <v>EFPRAZO</v>
      </c>
      <c r="AQ84" s="69">
        <f t="shared" si="30"/>
        <v>0</v>
      </c>
      <c r="AR84" s="69" t="str">
        <f t="shared" si="31"/>
        <v/>
      </c>
    </row>
    <row r="85" spans="1:44" ht="30" customHeight="1" x14ac:dyDescent="0.35">
      <c r="A85" s="29"/>
      <c r="B85" s="55" t="s">
        <v>72</v>
      </c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95"/>
      <c r="Y85" s="122"/>
      <c r="Z85" s="123"/>
      <c r="AA85" s="123"/>
      <c r="AB85" s="124"/>
      <c r="AC85"/>
      <c r="AE85" s="68" t="str">
        <f t="shared" si="21"/>
        <v/>
      </c>
      <c r="AF85" s="68"/>
      <c r="AG85" s="68"/>
      <c r="AH85" s="68"/>
      <c r="AI85" s="69">
        <f t="shared" si="22"/>
        <v>0</v>
      </c>
      <c r="AJ85" s="69" t="str">
        <f t="shared" si="23"/>
        <v/>
      </c>
      <c r="AK85" s="69">
        <f t="shared" si="24"/>
        <v>0</v>
      </c>
      <c r="AL85" s="69" t="str">
        <f t="shared" si="25"/>
        <v/>
      </c>
      <c r="AM85" s="69">
        <f t="shared" si="26"/>
        <v>0</v>
      </c>
      <c r="AN85" s="69" t="str">
        <f t="shared" si="27"/>
        <v/>
      </c>
      <c r="AO85" s="69">
        <f t="shared" si="28"/>
        <v>0</v>
      </c>
      <c r="AP85" s="69" t="str">
        <f t="shared" si="29"/>
        <v/>
      </c>
      <c r="AQ85" s="69">
        <f t="shared" si="30"/>
        <v>0</v>
      </c>
      <c r="AR85" s="69" t="str">
        <f t="shared" si="31"/>
        <v/>
      </c>
    </row>
    <row r="86" spans="1:44" ht="30" customHeight="1" x14ac:dyDescent="0.35">
      <c r="A86" s="29"/>
      <c r="B86" s="56" t="s">
        <v>73</v>
      </c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96"/>
      <c r="Y86" s="129"/>
      <c r="Z86" s="130"/>
      <c r="AA86" s="130"/>
      <c r="AB86" s="134"/>
      <c r="AC86"/>
      <c r="AE86" s="68" t="str">
        <f t="shared" si="21"/>
        <v/>
      </c>
      <c r="AF86" s="68"/>
      <c r="AG86" s="68"/>
      <c r="AH86" s="68"/>
      <c r="AI86" s="69">
        <f t="shared" si="22"/>
        <v>0</v>
      </c>
      <c r="AJ86" s="69" t="str">
        <f t="shared" si="23"/>
        <v/>
      </c>
      <c r="AK86" s="69">
        <f t="shared" si="24"/>
        <v>0</v>
      </c>
      <c r="AL86" s="69" t="str">
        <f t="shared" si="25"/>
        <v/>
      </c>
      <c r="AM86" s="69">
        <f t="shared" si="26"/>
        <v>0</v>
      </c>
      <c r="AN86" s="69" t="str">
        <f t="shared" si="27"/>
        <v/>
      </c>
      <c r="AO86" s="69">
        <f t="shared" si="28"/>
        <v>0</v>
      </c>
      <c r="AP86" s="69" t="str">
        <f t="shared" si="29"/>
        <v/>
      </c>
      <c r="AQ86" s="69">
        <f t="shared" si="30"/>
        <v>0</v>
      </c>
      <c r="AR86" s="69" t="str">
        <f t="shared" si="31"/>
        <v/>
      </c>
    </row>
    <row r="87" spans="1:44" ht="30" customHeight="1" x14ac:dyDescent="0.35">
      <c r="B87" s="61" t="s">
        <v>53</v>
      </c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99"/>
      <c r="Y87" s="110"/>
      <c r="Z87" s="111"/>
      <c r="AA87" s="111"/>
      <c r="AB87" s="111"/>
      <c r="AC87"/>
      <c r="AE87" s="68" t="str">
        <f t="shared" si="21"/>
        <v/>
      </c>
      <c r="AF87" s="68"/>
      <c r="AG87" s="68"/>
      <c r="AH87" s="68"/>
      <c r="AI87" s="69">
        <f t="shared" si="22"/>
        <v>0</v>
      </c>
      <c r="AJ87" s="69" t="str">
        <f t="shared" si="23"/>
        <v/>
      </c>
      <c r="AK87" s="69">
        <f t="shared" si="24"/>
        <v>0</v>
      </c>
      <c r="AL87" s="69" t="str">
        <f t="shared" si="25"/>
        <v/>
      </c>
      <c r="AM87" s="69">
        <f t="shared" si="26"/>
        <v>0</v>
      </c>
      <c r="AN87" s="69" t="str">
        <f t="shared" si="27"/>
        <v/>
      </c>
      <c r="AO87" s="69">
        <f t="shared" si="28"/>
        <v>0</v>
      </c>
      <c r="AP87" s="69" t="str">
        <f t="shared" si="29"/>
        <v/>
      </c>
      <c r="AQ87" s="69">
        <f t="shared" si="30"/>
        <v>0</v>
      </c>
      <c r="AR87" s="69" t="str">
        <f t="shared" si="31"/>
        <v/>
      </c>
    </row>
    <row r="88" spans="1:44" ht="30" customHeight="1" x14ac:dyDescent="0.35">
      <c r="A88" s="29" t="str">
        <f>CONCATENATE($B$85,"
",$B$86,"
",$B$87)</f>
        <v>CSI - CSN
PRÉDIO DE PENEIRAMENTO - CASA DE PEDRA
ETAPA DE ESCRITÓRIO</v>
      </c>
      <c r="B88" s="58" t="s">
        <v>84</v>
      </c>
      <c r="C88" s="91" t="str">
        <f>IF(AND($B88=[1]mauro!$A87,[1]mauro!$B87=C$4),"ok","nok")</f>
        <v>nok</v>
      </c>
      <c r="D88" s="91" t="str">
        <f>IF(AND($B88=[1]mauro!$A87,[1]mauro!$B87=D$4),"ok","nok")</f>
        <v>nok</v>
      </c>
      <c r="E88" s="91" t="str">
        <f>IF(AND($B88=[1]mauro!$A87,[1]mauro!$B87=E$4),"ok","nok")</f>
        <v>nok</v>
      </c>
      <c r="F88" s="91" t="str">
        <f>IF(AND($B88=[1]mauro!$A87,[1]mauro!$B87=F$4),"ok","nok")</f>
        <v>nok</v>
      </c>
      <c r="G88" s="103"/>
      <c r="H88" s="91" t="str">
        <f>IF(AND($B88=[1]mauro!$A87,[1]mauro!$B87=H$4),"ok","nok")</f>
        <v>nok</v>
      </c>
      <c r="I88" s="91" t="str">
        <f>IF(AND($B88=[1]mauro!$A87,[1]mauro!$B87=I$4),"ok","nok")</f>
        <v>nok</v>
      </c>
      <c r="J88" s="91" t="str">
        <f>IF(AND($B88=[1]mauro!$A87,[1]mauro!$B87=J$4),"ok","nok")</f>
        <v>ok</v>
      </c>
      <c r="K88" s="91" t="str">
        <f>IF(AND($B88=[1]mauro!$A87,[1]mauro!$B87=K$4),"ok","nok")</f>
        <v>nok</v>
      </c>
      <c r="L88" s="91" t="str">
        <f>IF(AND($B88=[1]mauro!$A87,[1]mauro!$B87=L$4),"ok","nok")</f>
        <v>nok</v>
      </c>
      <c r="M88" s="91" t="str">
        <f>IF(AND($B88=[1]mauro!$A87,[1]mauro!$B87=M$4),"ok","nok")</f>
        <v>nok</v>
      </c>
      <c r="N88" s="91" t="str">
        <f>IF(AND($B88=[1]mauro!$A87,[1]mauro!$B87=N$4),"ok","nok")</f>
        <v>nok</v>
      </c>
      <c r="O88" s="91" t="str">
        <f>IF(AND($B88=[1]mauro!$A87,[1]mauro!$B87=O$4),"ok","nok")</f>
        <v>nok</v>
      </c>
      <c r="P88" s="91" t="str">
        <f>IF(AND($B88=[1]mauro!$A87,[1]mauro!$B87=P$4),"ok","nok")</f>
        <v>nok</v>
      </c>
      <c r="Q88" s="91" t="str">
        <f>IF(AND($B88=[1]mauro!$A87,[1]mauro!$B87=Q$4),"ok","nok")</f>
        <v>nok</v>
      </c>
      <c r="R88" s="91" t="str">
        <f>IF(AND($B88=[1]mauro!$A87,[1]mauro!$B87=R$4),"ok","nok")</f>
        <v>nok</v>
      </c>
      <c r="S88" s="91" t="str">
        <f>IF(AND($B88=[1]mauro!$A87,[1]mauro!$B87=S$4),"ok","nok")</f>
        <v>nok</v>
      </c>
      <c r="T88" s="91" t="str">
        <f>IF(AND($B88=[1]mauro!$A87,[1]mauro!$B87=T$4),"ok","nok")</f>
        <v>nok</v>
      </c>
      <c r="U88" s="91" t="str">
        <f>IF(AND($B88=[1]mauro!$A87,[1]mauro!$B87=U$4),"ok","nok")</f>
        <v>nok</v>
      </c>
      <c r="V88" s="91" t="str">
        <f>IF(AND($B88=[1]mauro!$A87,[1]mauro!$B87=V$4),"ok","nok")</f>
        <v>nok</v>
      </c>
      <c r="W88" s="91" t="str">
        <f>IF(AND($B88=[1]mauro!$A87,[1]mauro!$B87=W$4),"ok","nok")</f>
        <v>nok</v>
      </c>
      <c r="X88" s="91" t="str">
        <f>IF(AND($B88=[1]mauro!$A87,[1]mauro!$B87=X$4),"ok","nok")</f>
        <v>nok</v>
      </c>
      <c r="Y88" s="112" t="s">
        <v>2</v>
      </c>
      <c r="Z88" s="113"/>
      <c r="AA88" s="113"/>
      <c r="AB88" s="114"/>
      <c r="AC88"/>
      <c r="AE88" s="68" t="str">
        <f t="shared" si="21"/>
        <v/>
      </c>
      <c r="AF88" s="68"/>
      <c r="AG88" s="68"/>
      <c r="AH88" s="68"/>
      <c r="AI88" s="69">
        <f t="shared" si="22"/>
        <v>0</v>
      </c>
      <c r="AJ88" s="69" t="str">
        <f t="shared" si="23"/>
        <v/>
      </c>
      <c r="AK88" s="69">
        <f t="shared" si="24"/>
        <v>1</v>
      </c>
      <c r="AL88" s="69" t="str">
        <f t="shared" si="25"/>
        <v>ENTREGUE</v>
      </c>
      <c r="AM88" s="69">
        <f t="shared" si="26"/>
        <v>0</v>
      </c>
      <c r="AN88" s="69" t="str">
        <f t="shared" si="27"/>
        <v/>
      </c>
      <c r="AO88" s="69">
        <f t="shared" si="28"/>
        <v>0</v>
      </c>
      <c r="AP88" s="69" t="str">
        <f t="shared" si="29"/>
        <v/>
      </c>
      <c r="AQ88" s="69">
        <f t="shared" si="30"/>
        <v>0</v>
      </c>
      <c r="AR88" s="69" t="str">
        <f t="shared" si="31"/>
        <v/>
      </c>
    </row>
    <row r="89" spans="1:44" ht="30" customHeight="1" x14ac:dyDescent="0.35">
      <c r="A89" s="29" t="str">
        <f>CONCATENATE($B$85,"
",$B$86,"
",$B$87)</f>
        <v>CSI - CSN
PRÉDIO DE PENEIRAMENTO - CASA DE PEDRA
ETAPA DE ESCRITÓRIO</v>
      </c>
      <c r="B89" s="58" t="s">
        <v>85</v>
      </c>
      <c r="C89" s="91" t="str">
        <f>IF(AND($B89=[1]mauro!$A88,[1]mauro!$B88=C$4),"ok","nok")</f>
        <v>nok</v>
      </c>
      <c r="D89" s="91" t="str">
        <f>IF(AND($B89=[1]mauro!$A88,[1]mauro!$B88=D$4),"ok","nok")</f>
        <v>nok</v>
      </c>
      <c r="E89" s="91" t="str">
        <f>IF(AND($B89=[1]mauro!$A88,[1]mauro!$B88=E$4),"ok","nok")</f>
        <v>nok</v>
      </c>
      <c r="F89" s="91" t="str">
        <f>IF(AND($B89=[1]mauro!$A88,[1]mauro!$B88=F$4),"ok","nok")</f>
        <v>nok</v>
      </c>
      <c r="G89" s="103"/>
      <c r="H89" s="91" t="str">
        <f>IF(AND($B89=[1]mauro!$A88,[1]mauro!$B88=H$4),"ok","nok")</f>
        <v>nok</v>
      </c>
      <c r="I89" s="91" t="str">
        <f>IF(AND($B89=[1]mauro!$A88,[1]mauro!$B88=I$4),"ok","nok")</f>
        <v>nok</v>
      </c>
      <c r="J89" s="91" t="str">
        <f>IF(AND($B89=[1]mauro!$A88,[1]mauro!$B88=J$4),"ok","nok")</f>
        <v>nok</v>
      </c>
      <c r="K89" s="91" t="str">
        <f>IF(AND($B89=[1]mauro!$A88,[1]mauro!$B88=K$4),"ok","nok")</f>
        <v>ok</v>
      </c>
      <c r="L89" s="91" t="str">
        <f>IF(AND($B89=[1]mauro!$A88,[1]mauro!$B88=L$4),"ok","nok")</f>
        <v>nok</v>
      </c>
      <c r="M89" s="91" t="str">
        <f>IF(AND($B89=[1]mauro!$A88,[1]mauro!$B88=M$4),"ok","nok")</f>
        <v>nok</v>
      </c>
      <c r="N89" s="91" t="str">
        <f>IF(AND($B89=[1]mauro!$A88,[1]mauro!$B88=N$4),"ok","nok")</f>
        <v>nok</v>
      </c>
      <c r="O89" s="91" t="str">
        <f>IF(AND($B89=[1]mauro!$A88,[1]mauro!$B88=O$4),"ok","nok")</f>
        <v>nok</v>
      </c>
      <c r="P89" s="91" t="str">
        <f>IF(AND($B89=[1]mauro!$A88,[1]mauro!$B88=P$4),"ok","nok")</f>
        <v>nok</v>
      </c>
      <c r="Q89" s="91" t="str">
        <f>IF(AND($B89=[1]mauro!$A88,[1]mauro!$B88=Q$4),"ok","nok")</f>
        <v>nok</v>
      </c>
      <c r="R89" s="91" t="str">
        <f>IF(AND($B89=[1]mauro!$A88,[1]mauro!$B88=R$4),"ok","nok")</f>
        <v>nok</v>
      </c>
      <c r="S89" s="91" t="str">
        <f>IF(AND($B89=[1]mauro!$A88,[1]mauro!$B88=S$4),"ok","nok")</f>
        <v>nok</v>
      </c>
      <c r="T89" s="91" t="str">
        <f>IF(AND($B89=[1]mauro!$A88,[1]mauro!$B88=T$4),"ok","nok")</f>
        <v>nok</v>
      </c>
      <c r="U89" s="91" t="str">
        <f>IF(AND($B89=[1]mauro!$A88,[1]mauro!$B88=U$4),"ok","nok")</f>
        <v>nok</v>
      </c>
      <c r="V89" s="91" t="str">
        <f>IF(AND($B89=[1]mauro!$A88,[1]mauro!$B88=V$4),"ok","nok")</f>
        <v>nok</v>
      </c>
      <c r="W89" s="91" t="str">
        <f>IF(AND($B89=[1]mauro!$A88,[1]mauro!$B88=W$4),"ok","nok")</f>
        <v>nok</v>
      </c>
      <c r="X89" s="91" t="str">
        <f>IF(AND($B89=[1]mauro!$A88,[1]mauro!$B88=X$4),"ok","nok")</f>
        <v>nok</v>
      </c>
      <c r="Y89" s="112" t="s">
        <v>38</v>
      </c>
      <c r="Z89" s="113"/>
      <c r="AA89" s="113"/>
      <c r="AB89" s="114"/>
      <c r="AC89"/>
      <c r="AE89" s="68" t="str">
        <f t="shared" si="21"/>
        <v/>
      </c>
      <c r="AF89" s="68"/>
      <c r="AG89" s="68"/>
      <c r="AH89" s="68"/>
      <c r="AI89" s="69">
        <f t="shared" si="22"/>
        <v>0</v>
      </c>
      <c r="AJ89" s="69" t="str">
        <f t="shared" si="23"/>
        <v/>
      </c>
      <c r="AK89" s="69">
        <f t="shared" si="24"/>
        <v>1</v>
      </c>
      <c r="AL89" s="69" t="str">
        <f t="shared" si="25"/>
        <v>EFPRAZO</v>
      </c>
      <c r="AM89" s="69">
        <f t="shared" si="26"/>
        <v>0</v>
      </c>
      <c r="AN89" s="69" t="str">
        <f t="shared" si="27"/>
        <v/>
      </c>
      <c r="AO89" s="69">
        <f t="shared" si="28"/>
        <v>0</v>
      </c>
      <c r="AP89" s="69" t="str">
        <f t="shared" si="29"/>
        <v/>
      </c>
      <c r="AQ89" s="69">
        <f t="shared" si="30"/>
        <v>0</v>
      </c>
      <c r="AR89" s="69" t="str">
        <f t="shared" si="31"/>
        <v/>
      </c>
    </row>
    <row r="90" spans="1:44" ht="30" customHeight="1" x14ac:dyDescent="0.35">
      <c r="A90" s="29"/>
      <c r="B90" s="61" t="s">
        <v>67</v>
      </c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99"/>
      <c r="Y90" s="110"/>
      <c r="Z90" s="111"/>
      <c r="AA90" s="111"/>
      <c r="AB90" s="111"/>
      <c r="AC90"/>
      <c r="AE90" s="68" t="str">
        <f t="shared" si="21"/>
        <v/>
      </c>
      <c r="AF90" s="68"/>
      <c r="AG90" s="68"/>
      <c r="AH90" s="68"/>
      <c r="AI90" s="69">
        <f t="shared" si="22"/>
        <v>0</v>
      </c>
      <c r="AJ90" s="69" t="str">
        <f t="shared" si="23"/>
        <v/>
      </c>
      <c r="AK90" s="69">
        <f t="shared" si="24"/>
        <v>0</v>
      </c>
      <c r="AL90" s="69" t="str">
        <f t="shared" si="25"/>
        <v/>
      </c>
      <c r="AM90" s="69">
        <f t="shared" si="26"/>
        <v>0</v>
      </c>
      <c r="AN90" s="69" t="str">
        <f t="shared" si="27"/>
        <v/>
      </c>
      <c r="AO90" s="69">
        <f t="shared" si="28"/>
        <v>0</v>
      </c>
      <c r="AP90" s="69" t="str">
        <f t="shared" si="29"/>
        <v/>
      </c>
      <c r="AQ90" s="69">
        <f t="shared" si="30"/>
        <v>0</v>
      </c>
      <c r="AR90" s="69" t="str">
        <f t="shared" si="31"/>
        <v/>
      </c>
    </row>
    <row r="91" spans="1:44" ht="30" customHeight="1" x14ac:dyDescent="0.35">
      <c r="A91" s="29" t="str">
        <f>CONCATENATE($B$85,"
",$B$86,"
",$B$90)</f>
        <v>CSI - CSN
PRÉDIO DE PENEIRAMENTO - CASA DE PEDRA
MARCOS CONTRATUAIS</v>
      </c>
      <c r="B91" s="59" t="s">
        <v>86</v>
      </c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98"/>
      <c r="Y91" s="115"/>
      <c r="Z91" s="116"/>
      <c r="AA91" s="116"/>
      <c r="AB91" s="116"/>
      <c r="AC91"/>
      <c r="AE91" s="68" t="str">
        <f t="shared" si="21"/>
        <v/>
      </c>
      <c r="AF91" s="68"/>
      <c r="AG91" s="68"/>
      <c r="AH91" s="68"/>
      <c r="AI91" s="69">
        <f t="shared" si="22"/>
        <v>0</v>
      </c>
      <c r="AJ91" s="69" t="str">
        <f t="shared" si="23"/>
        <v/>
      </c>
      <c r="AK91" s="69">
        <f t="shared" si="24"/>
        <v>0</v>
      </c>
      <c r="AL91" s="69" t="str">
        <f t="shared" si="25"/>
        <v/>
      </c>
      <c r="AM91" s="69">
        <f t="shared" si="26"/>
        <v>0</v>
      </c>
      <c r="AN91" s="69" t="str">
        <f t="shared" si="27"/>
        <v/>
      </c>
      <c r="AO91" s="69">
        <f t="shared" si="28"/>
        <v>0</v>
      </c>
      <c r="AP91" s="69" t="str">
        <f t="shared" si="29"/>
        <v/>
      </c>
      <c r="AQ91" s="69">
        <f t="shared" si="30"/>
        <v>0</v>
      </c>
      <c r="AR91" s="69" t="str">
        <f t="shared" si="31"/>
        <v/>
      </c>
    </row>
    <row r="92" spans="1:44" ht="30" customHeight="1" x14ac:dyDescent="0.35">
      <c r="A92" s="29" t="str">
        <f>CONCATENATE($B$85,"
",$B$86,"
",$B$90)</f>
        <v>CSI - CSN
PRÉDIO DE PENEIRAMENTO - CASA DE PEDRA
MARCOS CONTRATUAIS</v>
      </c>
      <c r="B92" s="60" t="s">
        <v>69</v>
      </c>
      <c r="C92" s="91" t="str">
        <f>IF(AND($B92=[1]mauro!$A91,[1]mauro!$B91=C$4),"ok","nok")</f>
        <v>nok</v>
      </c>
      <c r="D92" s="91" t="str">
        <f>IF(AND($B92=[1]mauro!$A91,[1]mauro!$B91=D$4),"ok","nok")</f>
        <v>nok</v>
      </c>
      <c r="E92" s="91" t="str">
        <f>IF(AND($B92=[1]mauro!$A91,[1]mauro!$B91=E$4),"ok","nok")</f>
        <v>nok</v>
      </c>
      <c r="F92" s="91" t="str">
        <f>IF(AND($B92=[1]mauro!$A91,[1]mauro!$B91=F$4),"ok","nok")</f>
        <v>nok</v>
      </c>
      <c r="G92" s="91" t="str">
        <f>IF(AND($B92=[1]mauro!$A91,[1]mauro!$B91=G$4),"ok","nok")</f>
        <v>nok</v>
      </c>
      <c r="H92" s="91" t="str">
        <f>IF(AND($B92=[1]mauro!$A91,[1]mauro!$B91=H$4),"ok","nok")</f>
        <v>nok</v>
      </c>
      <c r="I92" s="91" t="str">
        <f>IF(AND($B92=[1]mauro!$A91,[1]mauro!$B91=I$4),"ok","nok")</f>
        <v>nok</v>
      </c>
      <c r="J92" s="91" t="str">
        <f>IF(AND($B92=[1]mauro!$A91,[1]mauro!$B91=J$4),"ok","nok")</f>
        <v>nok</v>
      </c>
      <c r="K92" s="91" t="str">
        <f>IF(AND($B92=[1]mauro!$A91,[1]mauro!$B91=K$4),"ok","nok")</f>
        <v>nok</v>
      </c>
      <c r="L92" s="91" t="str">
        <f>IF(AND($B92=[1]mauro!$A91,[1]mauro!$B91=L$4),"ok","nok")</f>
        <v>nok</v>
      </c>
      <c r="M92" s="91" t="str">
        <f>IF(AND($B92=[1]mauro!$A91,[1]mauro!$B91=M$4),"ok","nok")</f>
        <v>ok</v>
      </c>
      <c r="N92" s="91" t="str">
        <f>IF(AND($B92=[1]mauro!$A91,[1]mauro!$B91=N$4),"ok","nok")</f>
        <v>nok</v>
      </c>
      <c r="O92" s="91" t="str">
        <f>IF(AND($B92=[1]mauro!$A91,[1]mauro!$B91=O$4),"ok","nok")</f>
        <v>nok</v>
      </c>
      <c r="P92" s="91" t="str">
        <f>IF(AND($B92=[1]mauro!$A91,[1]mauro!$B91=P$4),"ok","nok")</f>
        <v>nok</v>
      </c>
      <c r="Q92" s="91" t="str">
        <f>IF(AND($B92=[1]mauro!$A91,[1]mauro!$B91=Q$4),"ok","nok")</f>
        <v>nok</v>
      </c>
      <c r="R92" s="91" t="str">
        <f>IF(AND($B92=[1]mauro!$A91,[1]mauro!$B91=R$4),"ok","nok")</f>
        <v>nok</v>
      </c>
      <c r="S92" s="91" t="str">
        <f>IF(AND($B92=[1]mauro!$A91,[1]mauro!$B91=S$4),"ok","nok")</f>
        <v>nok</v>
      </c>
      <c r="T92" s="91" t="str">
        <f>IF(AND($B92=[1]mauro!$A91,[1]mauro!$B91=T$4),"ok","nok")</f>
        <v>nok</v>
      </c>
      <c r="U92" s="91" t="str">
        <f>IF(AND($B92=[1]mauro!$A91,[1]mauro!$B91=U$4),"ok","nok")</f>
        <v>nok</v>
      </c>
      <c r="V92" s="91" t="str">
        <f>IF(AND($B92=[1]mauro!$A91,[1]mauro!$B91=V$4),"ok","nok")</f>
        <v>nok</v>
      </c>
      <c r="W92" s="91" t="str">
        <f>IF(AND($B92=[1]mauro!$A91,[1]mauro!$B91=W$4),"ok","nok")</f>
        <v>nok</v>
      </c>
      <c r="X92" s="91" t="str">
        <f>IF(AND($B92=[1]mauro!$A91,[1]mauro!$B91=X$4),"ok","nok")</f>
        <v>nok</v>
      </c>
      <c r="Y92" s="112" t="s">
        <v>38</v>
      </c>
      <c r="Z92" s="113"/>
      <c r="AA92" s="113"/>
      <c r="AB92" s="114"/>
      <c r="AC92"/>
      <c r="AE92" s="68" t="str">
        <f t="shared" si="21"/>
        <v/>
      </c>
      <c r="AF92" s="68" t="s">
        <v>92</v>
      </c>
      <c r="AG92" s="102">
        <v>45210</v>
      </c>
      <c r="AH92" s="68" t="s">
        <v>93</v>
      </c>
      <c r="AI92" s="69">
        <f t="shared" si="22"/>
        <v>0</v>
      </c>
      <c r="AJ92" s="69" t="str">
        <f t="shared" si="23"/>
        <v/>
      </c>
      <c r="AK92" s="69">
        <f t="shared" si="24"/>
        <v>0</v>
      </c>
      <c r="AL92" s="69" t="str">
        <f t="shared" si="25"/>
        <v/>
      </c>
      <c r="AM92" s="69">
        <f t="shared" si="26"/>
        <v>1</v>
      </c>
      <c r="AN92" s="69" t="str">
        <f t="shared" si="27"/>
        <v>EFPRAZO</v>
      </c>
      <c r="AO92" s="69">
        <f t="shared" si="28"/>
        <v>0</v>
      </c>
      <c r="AP92" s="69" t="str">
        <f t="shared" si="29"/>
        <v/>
      </c>
      <c r="AQ92" s="69">
        <f t="shared" si="30"/>
        <v>0</v>
      </c>
      <c r="AR92" s="69" t="str">
        <f t="shared" si="31"/>
        <v/>
      </c>
    </row>
    <row r="93" spans="1:44" ht="30" customHeight="1" x14ac:dyDescent="0.35">
      <c r="A93" s="29"/>
      <c r="B93" s="55" t="s">
        <v>94</v>
      </c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95"/>
      <c r="Y93" s="122"/>
      <c r="Z93" s="123"/>
      <c r="AA93" s="123"/>
      <c r="AB93" s="124"/>
      <c r="AC93"/>
      <c r="AE93" s="68" t="str">
        <f t="shared" si="21"/>
        <v/>
      </c>
      <c r="AF93" s="68"/>
      <c r="AG93" s="68"/>
      <c r="AH93" s="68"/>
      <c r="AI93" s="69">
        <f t="shared" si="22"/>
        <v>0</v>
      </c>
      <c r="AJ93" s="69" t="str">
        <f t="shared" si="23"/>
        <v/>
      </c>
      <c r="AK93" s="69">
        <f t="shared" si="24"/>
        <v>0</v>
      </c>
      <c r="AL93" s="69" t="str">
        <f t="shared" si="25"/>
        <v/>
      </c>
      <c r="AM93" s="69">
        <f t="shared" si="26"/>
        <v>0</v>
      </c>
      <c r="AN93" s="69" t="str">
        <f t="shared" si="27"/>
        <v/>
      </c>
      <c r="AO93" s="69">
        <f t="shared" si="28"/>
        <v>0</v>
      </c>
      <c r="AP93" s="69" t="str">
        <f t="shared" si="29"/>
        <v/>
      </c>
      <c r="AQ93" s="69">
        <f t="shared" si="30"/>
        <v>0</v>
      </c>
      <c r="AR93" s="69" t="str">
        <f t="shared" si="31"/>
        <v/>
      </c>
    </row>
    <row r="94" spans="1:44" ht="30" customHeight="1" x14ac:dyDescent="0.35">
      <c r="A94" s="29"/>
      <c r="B94" s="56" t="s">
        <v>95</v>
      </c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129"/>
      <c r="Z94" s="130"/>
      <c r="AA94" s="130"/>
      <c r="AB94" s="134"/>
      <c r="AC94"/>
      <c r="AE94" s="68" t="str">
        <f t="shared" si="21"/>
        <v/>
      </c>
      <c r="AF94" s="68"/>
      <c r="AG94" s="68"/>
      <c r="AH94" s="68"/>
      <c r="AI94" s="69">
        <f t="shared" si="22"/>
        <v>0</v>
      </c>
      <c r="AJ94" s="69" t="str">
        <f t="shared" si="23"/>
        <v/>
      </c>
      <c r="AK94" s="69">
        <f t="shared" si="24"/>
        <v>0</v>
      </c>
      <c r="AL94" s="69" t="str">
        <f t="shared" si="25"/>
        <v/>
      </c>
      <c r="AM94" s="69">
        <f t="shared" si="26"/>
        <v>0</v>
      </c>
      <c r="AN94" s="69" t="str">
        <f t="shared" si="27"/>
        <v/>
      </c>
      <c r="AO94" s="69">
        <f t="shared" si="28"/>
        <v>0</v>
      </c>
      <c r="AP94" s="69" t="str">
        <f t="shared" si="29"/>
        <v/>
      </c>
      <c r="AQ94" s="69">
        <f t="shared" si="30"/>
        <v>0</v>
      </c>
      <c r="AR94" s="69" t="str">
        <f t="shared" si="31"/>
        <v/>
      </c>
    </row>
    <row r="95" spans="1:44" ht="30" customHeight="1" x14ac:dyDescent="0.35">
      <c r="A95" s="29" t="str">
        <f>CONCATENATE($B$93,"
",$B$94,""
)</f>
        <v>CSN
AVALIAÇÃO DA INTEGRIDADE ESTRUTURAL DA LINHA 1 DE TRANSPORTE DE CIMENTO</v>
      </c>
      <c r="B95" s="61" t="s">
        <v>47</v>
      </c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110"/>
      <c r="Z95" s="111"/>
      <c r="AA95" s="111"/>
      <c r="AB95" s="111"/>
      <c r="AC95"/>
      <c r="AE95" s="68" t="str">
        <f t="shared" si="21"/>
        <v/>
      </c>
      <c r="AF95" s="68"/>
      <c r="AG95" s="68"/>
      <c r="AH95" s="68"/>
      <c r="AI95" s="69">
        <f t="shared" si="22"/>
        <v>0</v>
      </c>
      <c r="AJ95" s="69" t="str">
        <f t="shared" si="23"/>
        <v/>
      </c>
      <c r="AK95" s="69">
        <f t="shared" si="24"/>
        <v>0</v>
      </c>
      <c r="AL95" s="69" t="str">
        <f t="shared" si="25"/>
        <v/>
      </c>
      <c r="AM95" s="69">
        <f t="shared" si="26"/>
        <v>0</v>
      </c>
      <c r="AN95" s="69" t="str">
        <f t="shared" si="27"/>
        <v/>
      </c>
      <c r="AO95" s="69">
        <f t="shared" si="28"/>
        <v>0</v>
      </c>
      <c r="AP95" s="69" t="str">
        <f t="shared" si="29"/>
        <v/>
      </c>
      <c r="AQ95" s="69">
        <f t="shared" si="30"/>
        <v>0</v>
      </c>
      <c r="AR95" s="69" t="str">
        <f t="shared" si="31"/>
        <v/>
      </c>
    </row>
    <row r="96" spans="1:44" ht="30" customHeight="1" x14ac:dyDescent="0.35">
      <c r="A96" s="29" t="str">
        <f t="shared" ref="A96:A97" si="32">CONCATENATE($B$93,"
",$B$94,""
)</f>
        <v>CSN
AVALIAÇÃO DA INTEGRIDADE ESTRUTURAL DA LINHA 1 DE TRANSPORTE DE CIMENTO</v>
      </c>
      <c r="B96" s="58" t="s">
        <v>96</v>
      </c>
      <c r="C96" s="91" t="str">
        <f>IF(AND($B96=[1]mauro!$A95,[1]mauro!$B95=C$4),"ok","nok")</f>
        <v>nok</v>
      </c>
      <c r="D96" s="91" t="str">
        <f>IF(AND($B96=[1]mauro!$A95,[1]mauro!$B95=D$4),"ok","nok")</f>
        <v>nok</v>
      </c>
      <c r="E96" s="91" t="str">
        <f>IF(AND($B96=[1]mauro!$A95,[1]mauro!$B95=E$4),"ok","nok")</f>
        <v>nok</v>
      </c>
      <c r="F96" s="91" t="str">
        <f>IF(AND($B96=[1]mauro!$A95,[1]mauro!$B95=F$4),"ok","nok")</f>
        <v>nok</v>
      </c>
      <c r="G96" s="91" t="str">
        <f>IF(AND($B96=[1]mauro!$A95,[1]mauro!$B95=G$4),"ok","nok")</f>
        <v>nok</v>
      </c>
      <c r="H96" s="91" t="str">
        <f>IF(AND($B96=[1]mauro!$A95,[1]mauro!$B95=H$4),"ok","nok")</f>
        <v>nok</v>
      </c>
      <c r="I96" s="91" t="str">
        <f>IF(AND($B96=[1]mauro!$A95,[1]mauro!$B95=I$4),"ok","nok")</f>
        <v>nok</v>
      </c>
      <c r="J96" s="91" t="str">
        <f>IF(AND($B96=[1]mauro!$A95,[1]mauro!$B95=J$4),"ok","nok")</f>
        <v>nok</v>
      </c>
      <c r="K96" s="91" t="str">
        <f>IF(AND($B96=[1]mauro!$A95,[1]mauro!$B95=K$4),"ok","nok")</f>
        <v>nok</v>
      </c>
      <c r="L96" s="91" t="str">
        <f>IF(AND($B96=[1]mauro!$A95,[1]mauro!$B95=L$4),"ok","nok")</f>
        <v>nok</v>
      </c>
      <c r="M96" s="91" t="str">
        <f>IF(AND($B96=[1]mauro!$A95,[1]mauro!$B95=M$4),"ok","nok")</f>
        <v>nok</v>
      </c>
      <c r="N96" s="91" t="str">
        <f>IF(AND($B96=[1]mauro!$A95,[1]mauro!$B95=N$4),"ok","nok")</f>
        <v>nok</v>
      </c>
      <c r="O96" s="91" t="str">
        <f>IF(AND($B96=[1]mauro!$A95,[1]mauro!$B95=O$4),"ok","nok")</f>
        <v>ok</v>
      </c>
      <c r="P96" s="91" t="str">
        <f>IF(AND($B96=[1]mauro!$A95,[1]mauro!$B95=P$4),"ok","nok")</f>
        <v>nok</v>
      </c>
      <c r="Q96" s="91" t="str">
        <f>IF(AND($B96=[1]mauro!$A95,[1]mauro!$B95=Q$4),"ok","nok")</f>
        <v>nok</v>
      </c>
      <c r="R96" s="91" t="str">
        <f>IF(AND($B96=[1]mauro!$A95,[1]mauro!$B95=R$4),"ok","nok")</f>
        <v>nok</v>
      </c>
      <c r="S96" s="91" t="str">
        <f>IF(AND($B96=[1]mauro!$A95,[1]mauro!$B95=S$4),"ok","nok")</f>
        <v>nok</v>
      </c>
      <c r="T96" s="91" t="str">
        <f>IF(AND($B96=[1]mauro!$A95,[1]mauro!$B95=T$4),"ok","nok")</f>
        <v>nok</v>
      </c>
      <c r="U96" s="91" t="str">
        <f>IF(AND($B96=[1]mauro!$A95,[1]mauro!$B95=U$4),"ok","nok")</f>
        <v>nok</v>
      </c>
      <c r="V96" s="91" t="str">
        <f>IF(AND($B96=[1]mauro!$A95,[1]mauro!$B95=V$4),"ok","nok")</f>
        <v>nok</v>
      </c>
      <c r="W96" s="91" t="str">
        <f>IF(AND($B96=[1]mauro!$A95,[1]mauro!$B95=W$4),"ok","nok")</f>
        <v>nok</v>
      </c>
      <c r="X96" s="91" t="str">
        <f>IF(AND($B96=[1]mauro!$A95,[1]mauro!$B95=X$4),"ok","nok")</f>
        <v>nok</v>
      </c>
      <c r="Y96" s="112" t="s">
        <v>2</v>
      </c>
      <c r="Z96" s="113"/>
      <c r="AA96" s="113"/>
      <c r="AB96" s="114"/>
      <c r="AC96"/>
      <c r="AE96" s="68" t="str">
        <f t="shared" si="21"/>
        <v/>
      </c>
      <c r="AF96" s="68"/>
      <c r="AG96" s="68"/>
      <c r="AH96" s="68"/>
      <c r="AI96" s="69">
        <f t="shared" si="22"/>
        <v>0</v>
      </c>
      <c r="AJ96" s="69" t="str">
        <f t="shared" si="23"/>
        <v/>
      </c>
      <c r="AK96" s="69">
        <f t="shared" si="24"/>
        <v>0</v>
      </c>
      <c r="AL96" s="69" t="str">
        <f t="shared" si="25"/>
        <v/>
      </c>
      <c r="AM96" s="69">
        <f t="shared" si="26"/>
        <v>1</v>
      </c>
      <c r="AN96" s="69" t="str">
        <f t="shared" si="27"/>
        <v>ENTREGUE</v>
      </c>
      <c r="AO96" s="69">
        <f t="shared" si="28"/>
        <v>0</v>
      </c>
      <c r="AP96" s="69" t="str">
        <f t="shared" si="29"/>
        <v/>
      </c>
      <c r="AQ96" s="69">
        <f t="shared" si="30"/>
        <v>0</v>
      </c>
      <c r="AR96" s="69" t="str">
        <f t="shared" si="31"/>
        <v/>
      </c>
    </row>
    <row r="97" spans="1:45" ht="30" customHeight="1" x14ac:dyDescent="0.35">
      <c r="A97" s="29" t="str">
        <f t="shared" si="32"/>
        <v>CSN
AVALIAÇÃO DA INTEGRIDADE ESTRUTURAL DA LINHA 1 DE TRANSPORTE DE CIMENTO</v>
      </c>
      <c r="B97" s="58" t="s">
        <v>87</v>
      </c>
      <c r="C97" s="91" t="str">
        <f>IF(AND($B97=[1]mauro!$A96,[1]mauro!$B96=C$4),"ok","nok")</f>
        <v>nok</v>
      </c>
      <c r="D97" s="91" t="str">
        <f>IF(AND($B97=[1]mauro!$A96,[1]mauro!$B96=D$4),"ok","nok")</f>
        <v>nok</v>
      </c>
      <c r="E97" s="91" t="str">
        <f>IF(AND($B97=[1]mauro!$A96,[1]mauro!$B96=E$4),"ok","nok")</f>
        <v>nok</v>
      </c>
      <c r="F97" s="91" t="str">
        <f>IF(AND($B97=[1]mauro!$A96,[1]mauro!$B96=F$4),"ok","nok")</f>
        <v>nok</v>
      </c>
      <c r="G97" s="91" t="str">
        <f>IF(AND($B97=[1]mauro!$A96,[1]mauro!$B96=G$4),"ok","nok")</f>
        <v>nok</v>
      </c>
      <c r="H97" s="91" t="str">
        <f>IF(AND($B97=[1]mauro!$A96,[1]mauro!$B96=H$4),"ok","nok")</f>
        <v>nok</v>
      </c>
      <c r="I97" s="91" t="str">
        <f>IF(AND($B97=[1]mauro!$A96,[1]mauro!$B96=I$4),"ok","nok")</f>
        <v>nok</v>
      </c>
      <c r="J97" s="91" t="str">
        <f>IF(AND($B97=[1]mauro!$A96,[1]mauro!$B96=J$4),"ok","nok")</f>
        <v>nok</v>
      </c>
      <c r="K97" s="91" t="str">
        <f>IF(AND($B97=[1]mauro!$A96,[1]mauro!$B96=K$4),"ok","nok")</f>
        <v>nok</v>
      </c>
      <c r="L97" s="91" t="str">
        <f>IF(AND($B97=[1]mauro!$A96,[1]mauro!$B96=L$4),"ok","nok")</f>
        <v>nok</v>
      </c>
      <c r="M97" s="91" t="str">
        <f>IF(AND($B97=[1]mauro!$A96,[1]mauro!$B96=M$4),"ok","nok")</f>
        <v>nok</v>
      </c>
      <c r="N97" s="91" t="str">
        <f>IF(AND($B97=[1]mauro!$A96,[1]mauro!$B96=N$4),"ok","nok")</f>
        <v>nok</v>
      </c>
      <c r="O97" s="91" t="str">
        <f>IF(AND($B97=[1]mauro!$A96,[1]mauro!$B96=O$4),"ok","nok")</f>
        <v>nok</v>
      </c>
      <c r="P97" s="91" t="str">
        <f>IF(AND($B97=[1]mauro!$A96,[1]mauro!$B96=P$4),"ok","nok")</f>
        <v>nok</v>
      </c>
      <c r="Q97" s="91" t="str">
        <f>IF(AND($B97=[1]mauro!$A96,[1]mauro!$B96=Q$4),"ok","nok")</f>
        <v>nok</v>
      </c>
      <c r="R97" s="91" t="str">
        <f>IF(AND($B97=[1]mauro!$A96,[1]mauro!$B96=R$4),"ok","nok")</f>
        <v>nok</v>
      </c>
      <c r="S97" s="91" t="str">
        <f>IF(AND($B97=[1]mauro!$A96,[1]mauro!$B96=S$4),"ok","nok")</f>
        <v>nok</v>
      </c>
      <c r="T97" s="91" t="str">
        <f>IF(AND($B97=[1]mauro!$A96,[1]mauro!$B96=T$4),"ok","nok")</f>
        <v>nok</v>
      </c>
      <c r="U97" s="91" t="str">
        <f>IF(AND($B97=[1]mauro!$A96,[1]mauro!$B96=U$4),"ok","nok")</f>
        <v>nok</v>
      </c>
      <c r="V97" s="91" t="str">
        <f>IF(AND($B97=[1]mauro!$A96,[1]mauro!$B96=V$4),"ok","nok")</f>
        <v>nok</v>
      </c>
      <c r="W97" s="91" t="str">
        <f>IF(AND($B97=[1]mauro!$A96,[1]mauro!$B96=W$4),"ok","nok")</f>
        <v>ok</v>
      </c>
      <c r="X97" s="91" t="str">
        <f>IF(AND($B97=[1]mauro!$A96,[1]mauro!$B96=X$4),"ok","nok")</f>
        <v>nok</v>
      </c>
      <c r="Y97" s="112" t="s">
        <v>15</v>
      </c>
      <c r="Z97" s="113"/>
      <c r="AA97" s="113"/>
      <c r="AB97" s="114"/>
      <c r="AC97"/>
      <c r="AE97" s="68" t="str">
        <f t="shared" si="21"/>
        <v/>
      </c>
      <c r="AF97" s="68"/>
      <c r="AG97" s="68"/>
      <c r="AH97" s="68"/>
      <c r="AI97" s="69">
        <f t="shared" si="22"/>
        <v>0</v>
      </c>
      <c r="AJ97" s="69" t="str">
        <f t="shared" si="23"/>
        <v/>
      </c>
      <c r="AK97" s="69">
        <f t="shared" si="24"/>
        <v>0</v>
      </c>
      <c r="AL97" s="69" t="str">
        <f t="shared" si="25"/>
        <v/>
      </c>
      <c r="AM97" s="69">
        <f t="shared" si="26"/>
        <v>0</v>
      </c>
      <c r="AN97" s="69" t="str">
        <f t="shared" si="27"/>
        <v/>
      </c>
      <c r="AO97" s="69">
        <f t="shared" si="28"/>
        <v>0</v>
      </c>
      <c r="AP97" s="69" t="str">
        <f t="shared" si="29"/>
        <v/>
      </c>
      <c r="AQ97" s="69">
        <f t="shared" si="30"/>
        <v>1</v>
      </c>
      <c r="AR97" s="69" t="str">
        <f t="shared" si="31"/>
        <v/>
      </c>
    </row>
    <row r="98" spans="1:45" ht="30" customHeight="1" x14ac:dyDescent="0.35">
      <c r="A98" s="29"/>
      <c r="B98" s="58" t="s">
        <v>74</v>
      </c>
      <c r="C98" s="91" t="str">
        <f>IF(AND($B98=[1]mauro!$A97,[1]mauro!$B97=C$4),"ok","nok")</f>
        <v>nok</v>
      </c>
      <c r="D98" s="91" t="str">
        <f>IF(AND($B98=[1]mauro!$A97,[1]mauro!$B97=D$4),"ok","nok")</f>
        <v>nok</v>
      </c>
      <c r="E98" s="91" t="str">
        <f>IF(AND($B98=[1]mauro!$A97,[1]mauro!$B97=E$4),"ok","nok")</f>
        <v>nok</v>
      </c>
      <c r="F98" s="91" t="str">
        <f>IF(AND($B98=[1]mauro!$A97,[1]mauro!$B97=F$4),"ok","nok")</f>
        <v>nok</v>
      </c>
      <c r="G98" s="91" t="str">
        <f>IF(AND($B98=[1]mauro!$A97,[1]mauro!$B97=G$4),"ok","nok")</f>
        <v>nok</v>
      </c>
      <c r="H98" s="91" t="str">
        <f>IF(AND($B98=[1]mauro!$A97,[1]mauro!$B97=H$4),"ok","nok")</f>
        <v>nok</v>
      </c>
      <c r="I98" s="91" t="str">
        <f>IF(AND($B98=[1]mauro!$A97,[1]mauro!$B97=I$4),"ok","nok")</f>
        <v>nok</v>
      </c>
      <c r="J98" s="91" t="str">
        <f>IF(AND($B98=[1]mauro!$A97,[1]mauro!$B97=J$4),"ok","nok")</f>
        <v>nok</v>
      </c>
      <c r="K98" s="91" t="str">
        <f>IF(AND($B98=[1]mauro!$A97,[1]mauro!$B97=K$4),"ok","nok")</f>
        <v>nok</v>
      </c>
      <c r="L98" s="91" t="str">
        <f>IF(AND($B98=[1]mauro!$A97,[1]mauro!$B97=L$4),"ok","nok")</f>
        <v>nok</v>
      </c>
      <c r="M98" s="91" t="str">
        <f>IF(AND($B98=[1]mauro!$A97,[1]mauro!$B97=M$4),"ok","nok")</f>
        <v>nok</v>
      </c>
      <c r="N98" s="91" t="str">
        <f>IF(AND($B98=[1]mauro!$A97,[1]mauro!$B97=N$4),"ok","nok")</f>
        <v>nok</v>
      </c>
      <c r="O98" s="91" t="str">
        <f>IF(AND($B98=[1]mauro!$A97,[1]mauro!$B97=O$4),"ok","nok")</f>
        <v>nok</v>
      </c>
      <c r="P98" s="91" t="str">
        <f>IF(AND($B98=[1]mauro!$A97,[1]mauro!$B97=P$4),"ok","nok")</f>
        <v>nok</v>
      </c>
      <c r="Q98" s="91" t="str">
        <f>IF(AND($B98=[1]mauro!$A97,[1]mauro!$B97=Q$4),"ok","nok")</f>
        <v>nok</v>
      </c>
      <c r="R98" s="91" t="str">
        <f>IF(AND($B98=[1]mauro!$A97,[1]mauro!$B97=R$4),"ok","nok")</f>
        <v>nok</v>
      </c>
      <c r="S98" s="91" t="str">
        <f>IF(AND($B98=[1]mauro!$A97,[1]mauro!$B97=S$4),"ok","nok")</f>
        <v>nok</v>
      </c>
      <c r="T98" s="91" t="str">
        <f>IF(AND($B98=[1]mauro!$A97,[1]mauro!$B97=T$4),"ok","nok")</f>
        <v>nok</v>
      </c>
      <c r="U98" s="91" t="str">
        <f>IF(AND($B98=[1]mauro!$A97,[1]mauro!$B97=U$4),"ok","nok")</f>
        <v>nok</v>
      </c>
      <c r="V98" s="91" t="str">
        <f>IF(AND($B98=[1]mauro!$A97,[1]mauro!$B97=V$4),"ok","nok")</f>
        <v>nok</v>
      </c>
      <c r="W98" s="91" t="str">
        <f>IF(AND($B98=[1]mauro!$A97,[1]mauro!$B97=W$4),"ok","nok")</f>
        <v>ok</v>
      </c>
      <c r="X98" s="91" t="str">
        <f>IF(AND($B98=[1]mauro!$A97,[1]mauro!$B97=X$4),"ok","nok")</f>
        <v>nok</v>
      </c>
      <c r="Y98" s="112" t="s">
        <v>15</v>
      </c>
      <c r="Z98" s="113"/>
      <c r="AA98" s="113"/>
      <c r="AB98" s="114"/>
      <c r="AC98"/>
      <c r="AE98" s="68" t="str">
        <f t="shared" si="21"/>
        <v/>
      </c>
      <c r="AF98" s="68"/>
      <c r="AG98" s="68"/>
      <c r="AH98" s="68"/>
      <c r="AI98" s="69">
        <f t="shared" si="22"/>
        <v>0</v>
      </c>
      <c r="AJ98" s="69" t="str">
        <f t="shared" si="23"/>
        <v/>
      </c>
      <c r="AK98" s="69">
        <f t="shared" si="24"/>
        <v>0</v>
      </c>
      <c r="AL98" s="69" t="str">
        <f t="shared" si="25"/>
        <v/>
      </c>
      <c r="AM98" s="69">
        <f t="shared" si="26"/>
        <v>0</v>
      </c>
      <c r="AN98" s="69" t="str">
        <f t="shared" si="27"/>
        <v/>
      </c>
      <c r="AO98" s="69">
        <f t="shared" si="28"/>
        <v>0</v>
      </c>
      <c r="AP98" s="69" t="str">
        <f t="shared" si="29"/>
        <v/>
      </c>
      <c r="AQ98" s="69">
        <f t="shared" si="30"/>
        <v>1</v>
      </c>
      <c r="AR98" s="69" t="str">
        <f t="shared" si="31"/>
        <v/>
      </c>
    </row>
    <row r="99" spans="1:45" ht="30" customHeight="1" x14ac:dyDescent="0.35">
      <c r="A99" s="29" t="str">
        <f>CONCATENATE($B$93,"
",$B$98,""
)</f>
        <v>CSN
Inspeção Visual</v>
      </c>
      <c r="B99" s="58" t="s">
        <v>88</v>
      </c>
      <c r="C99" s="91" t="str">
        <f>IF(AND($B99=[1]mauro!$A98,[1]mauro!$B98=C$4),"ok","nok")</f>
        <v>nok</v>
      </c>
      <c r="D99" s="91" t="str">
        <f>IF(AND($B99=[1]mauro!$A98,[1]mauro!$B98=D$4),"ok","nok")</f>
        <v>nok</v>
      </c>
      <c r="E99" s="91" t="str">
        <f>IF(AND($B99=[1]mauro!$A98,[1]mauro!$B98=E$4),"ok","nok")</f>
        <v>nok</v>
      </c>
      <c r="F99" s="91" t="str">
        <f>IF(AND($B99=[1]mauro!$A98,[1]mauro!$B98=F$4),"ok","nok")</f>
        <v>nok</v>
      </c>
      <c r="G99" s="91" t="str">
        <f>IF(AND($B99=[1]mauro!$A98,[1]mauro!$B98=G$4),"ok","nok")</f>
        <v>nok</v>
      </c>
      <c r="H99" s="91" t="str">
        <f>IF(AND($B99=[1]mauro!$A98,[1]mauro!$B98=H$4),"ok","nok")</f>
        <v>nok</v>
      </c>
      <c r="I99" s="91" t="str">
        <f>IF(AND($B99=[1]mauro!$A98,[1]mauro!$B98=I$4),"ok","nok")</f>
        <v>nok</v>
      </c>
      <c r="J99" s="91" t="str">
        <f>IF(AND($B99=[1]mauro!$A98,[1]mauro!$B98=J$4),"ok","nok")</f>
        <v>nok</v>
      </c>
      <c r="K99" s="91" t="str">
        <f>IF(AND($B99=[1]mauro!$A98,[1]mauro!$B98=K$4),"ok","nok")</f>
        <v>nok</v>
      </c>
      <c r="L99" s="91" t="str">
        <f>IF(AND($B99=[1]mauro!$A98,[1]mauro!$B98=L$4),"ok","nok")</f>
        <v>nok</v>
      </c>
      <c r="M99" s="91" t="str">
        <f>IF(AND($B99=[1]mauro!$A98,[1]mauro!$B98=M$4),"ok","nok")</f>
        <v>nok</v>
      </c>
      <c r="N99" s="91" t="str">
        <f>IF(AND($B99=[1]mauro!$A98,[1]mauro!$B98=N$4),"ok","nok")</f>
        <v>nok</v>
      </c>
      <c r="O99" s="91" t="str">
        <f>IF(AND($B99=[1]mauro!$A98,[1]mauro!$B98=O$4),"ok","nok")</f>
        <v>nok</v>
      </c>
      <c r="P99" s="91" t="str">
        <f>IF(AND($B99=[1]mauro!$A98,[1]mauro!$B98=P$4),"ok","nok")</f>
        <v>nok</v>
      </c>
      <c r="Q99" s="91" t="str">
        <f>IF(AND($B99=[1]mauro!$A98,[1]mauro!$B98=Q$4),"ok","nok")</f>
        <v>nok</v>
      </c>
      <c r="R99" s="91" t="str">
        <f>IF(AND($B99=[1]mauro!$A98,[1]mauro!$B98=R$4),"ok","nok")</f>
        <v>nok</v>
      </c>
      <c r="S99" s="91" t="str">
        <f>IF(AND($B99=[1]mauro!$A98,[1]mauro!$B98=S$4),"ok","nok")</f>
        <v>nok</v>
      </c>
      <c r="T99" s="91" t="str">
        <f>IF(AND($B99=[1]mauro!$A98,[1]mauro!$B98=T$4),"ok","nok")</f>
        <v>nok</v>
      </c>
      <c r="U99" s="91" t="str">
        <f>IF(AND($B99=[1]mauro!$A98,[1]mauro!$B98=U$4),"ok","nok")</f>
        <v>nok</v>
      </c>
      <c r="V99" s="91" t="str">
        <f>IF(AND($B99=[1]mauro!$A98,[1]mauro!$B98=V$4),"ok","nok")</f>
        <v>nok</v>
      </c>
      <c r="W99" s="91" t="str">
        <f>IF(AND($B99=[1]mauro!$A98,[1]mauro!$B98=W$4),"ok","nok")</f>
        <v>ok</v>
      </c>
      <c r="X99" s="91" t="str">
        <f>IF(AND($B99=[1]mauro!$A98,[1]mauro!$B98=X$4),"ok","nok")</f>
        <v>nok</v>
      </c>
      <c r="Y99" s="112" t="s">
        <v>15</v>
      </c>
      <c r="Z99" s="113"/>
      <c r="AA99" s="113"/>
      <c r="AB99" s="114"/>
      <c r="AC99"/>
      <c r="AE99" s="68" t="str">
        <f t="shared" si="21"/>
        <v/>
      </c>
      <c r="AF99" s="68"/>
      <c r="AG99" s="68"/>
      <c r="AH99" s="68"/>
      <c r="AI99" s="69">
        <f t="shared" si="22"/>
        <v>0</v>
      </c>
      <c r="AJ99" s="69" t="str">
        <f t="shared" si="23"/>
        <v/>
      </c>
      <c r="AK99" s="69">
        <f t="shared" si="24"/>
        <v>0</v>
      </c>
      <c r="AL99" s="69" t="str">
        <f t="shared" si="25"/>
        <v/>
      </c>
      <c r="AM99" s="69">
        <f t="shared" si="26"/>
        <v>0</v>
      </c>
      <c r="AN99" s="69" t="str">
        <f t="shared" si="27"/>
        <v/>
      </c>
      <c r="AO99" s="69">
        <f t="shared" si="28"/>
        <v>0</v>
      </c>
      <c r="AP99" s="69" t="str">
        <f t="shared" si="29"/>
        <v/>
      </c>
      <c r="AQ99" s="69">
        <f t="shared" si="30"/>
        <v>1</v>
      </c>
      <c r="AR99" s="69" t="str">
        <f t="shared" si="31"/>
        <v/>
      </c>
    </row>
    <row r="100" spans="1:45" ht="30" customHeight="1" x14ac:dyDescent="0.35">
      <c r="A100" s="29" t="str">
        <f t="shared" ref="A100:A101" si="33">CONCATENATE($B$93,"
",$B$98,""
)</f>
        <v>CSN
Inspeção Visual</v>
      </c>
      <c r="B100" s="61" t="s">
        <v>53</v>
      </c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99"/>
      <c r="Y100" s="110"/>
      <c r="Z100" s="111"/>
      <c r="AA100" s="111"/>
      <c r="AB100" s="111"/>
      <c r="AC100"/>
      <c r="AE100" s="68" t="str">
        <f t="shared" si="21"/>
        <v/>
      </c>
      <c r="AF100" s="68"/>
      <c r="AG100" s="68"/>
      <c r="AH100" s="68"/>
      <c r="AI100" s="69">
        <f t="shared" si="22"/>
        <v>0</v>
      </c>
      <c r="AJ100" s="69" t="str">
        <f t="shared" si="23"/>
        <v/>
      </c>
      <c r="AK100" s="69">
        <f t="shared" si="24"/>
        <v>0</v>
      </c>
      <c r="AL100" s="69" t="str">
        <f t="shared" si="25"/>
        <v/>
      </c>
      <c r="AM100" s="69">
        <f t="shared" si="26"/>
        <v>0</v>
      </c>
      <c r="AN100" s="69" t="str">
        <f t="shared" si="27"/>
        <v/>
      </c>
      <c r="AO100" s="69">
        <f t="shared" si="28"/>
        <v>0</v>
      </c>
      <c r="AP100" s="69" t="str">
        <f t="shared" si="29"/>
        <v/>
      </c>
      <c r="AQ100" s="69">
        <f t="shared" si="30"/>
        <v>0</v>
      </c>
      <c r="AR100" s="69" t="str">
        <f t="shared" si="31"/>
        <v/>
      </c>
    </row>
    <row r="101" spans="1:45" ht="30" customHeight="1" x14ac:dyDescent="0.35">
      <c r="A101" s="29" t="str">
        <f t="shared" si="33"/>
        <v>CSN
Inspeção Visual</v>
      </c>
      <c r="B101" s="58" t="s">
        <v>97</v>
      </c>
      <c r="C101" s="91" t="str">
        <f>IF(AND($B101=[1]mauro!$A100,[1]mauro!$B100=C$4),"ok","nok")</f>
        <v>nok</v>
      </c>
      <c r="D101" s="91" t="str">
        <f>IF(AND($B101=[1]mauro!$A100,[1]mauro!$B100=D$4),"ok","nok")</f>
        <v>nok</v>
      </c>
      <c r="E101" s="91" t="str">
        <f>IF(AND($B101=[1]mauro!$A100,[1]mauro!$B100=E$4),"ok","nok")</f>
        <v>nok</v>
      </c>
      <c r="F101" s="91" t="str">
        <f>IF(AND($B101=[1]mauro!$A100,[1]mauro!$B100=F$4),"ok","nok")</f>
        <v>nok</v>
      </c>
      <c r="G101" s="91" t="str">
        <f>IF(AND($B101=[1]mauro!$A100,[1]mauro!$B100=G$4),"ok","nok")</f>
        <v>nok</v>
      </c>
      <c r="H101" s="91" t="str">
        <f>IF(AND($B101=[1]mauro!$A100,[1]mauro!$B100=H$4),"ok","nok")</f>
        <v>nok</v>
      </c>
      <c r="I101" s="91" t="str">
        <f>IF(AND($B101=[1]mauro!$A100,[1]mauro!$B100=I$4),"ok","nok")</f>
        <v>nok</v>
      </c>
      <c r="J101" s="91" t="str">
        <f>IF(AND($B101=[1]mauro!$A100,[1]mauro!$B100=J$4),"ok","nok")</f>
        <v>nok</v>
      </c>
      <c r="K101" s="91" t="str">
        <f>IF(AND($B101=[1]mauro!$A100,[1]mauro!$B100=K$4),"ok","nok")</f>
        <v>nok</v>
      </c>
      <c r="L101" s="91" t="str">
        <f>IF(AND($B101=[1]mauro!$A100,[1]mauro!$B100=L$4),"ok","nok")</f>
        <v>nok</v>
      </c>
      <c r="M101" s="91" t="str">
        <f>IF(AND($B101=[1]mauro!$A100,[1]mauro!$B100=M$4),"ok","nok")</f>
        <v>nok</v>
      </c>
      <c r="N101" s="91" t="str">
        <f>IF(AND($B101=[1]mauro!$A100,[1]mauro!$B100=N$4),"ok","nok")</f>
        <v>nok</v>
      </c>
      <c r="O101" s="91" t="str">
        <f>IF(AND($B101=[1]mauro!$A100,[1]mauro!$B100=O$4),"ok","nok")</f>
        <v>nok</v>
      </c>
      <c r="P101" s="91" t="str">
        <f>IF(AND($B101=[1]mauro!$A100,[1]mauro!$B100=P$4),"ok","nok")</f>
        <v>nok</v>
      </c>
      <c r="Q101" s="91" t="str">
        <f>IF(AND($B101=[1]mauro!$A100,[1]mauro!$B100=Q$4),"ok","nok")</f>
        <v>nok</v>
      </c>
      <c r="R101" s="91" t="str">
        <f>IF(AND($B101=[1]mauro!$A100,[1]mauro!$B100=R$4),"ok","nok")</f>
        <v>nok</v>
      </c>
      <c r="S101" s="91" t="str">
        <f>IF(AND($B101=[1]mauro!$A100,[1]mauro!$B100=S$4),"ok","nok")</f>
        <v>nok</v>
      </c>
      <c r="T101" s="91" t="str">
        <f>IF(AND($B101=[1]mauro!$A100,[1]mauro!$B100=T$4),"ok","nok")</f>
        <v>ok</v>
      </c>
      <c r="U101" s="91" t="str">
        <f>IF(AND($B101=[1]mauro!$A100,[1]mauro!$B100=U$4),"ok","nok")</f>
        <v>nok</v>
      </c>
      <c r="V101" s="91" t="str">
        <f>IF(AND($B101=[1]mauro!$A100,[1]mauro!$B100=V$4),"ok","nok")</f>
        <v>nok</v>
      </c>
      <c r="W101" s="91" t="str">
        <f>IF(AND($B101=[1]mauro!$A100,[1]mauro!$B100=W$4),"ok","nok")</f>
        <v>nok</v>
      </c>
      <c r="X101" s="91" t="str">
        <f>IF(AND($B101=[1]mauro!$A100,[1]mauro!$B100=X$4),"ok","nok")</f>
        <v>nok</v>
      </c>
      <c r="Y101" s="112" t="s">
        <v>15</v>
      </c>
      <c r="Z101" s="113"/>
      <c r="AA101" s="113"/>
      <c r="AB101" s="114"/>
      <c r="AC101"/>
      <c r="AE101" s="68" t="str">
        <f t="shared" si="21"/>
        <v/>
      </c>
      <c r="AF101" s="68"/>
      <c r="AG101" s="68"/>
      <c r="AH101" s="68"/>
      <c r="AI101" s="69">
        <f t="shared" si="22"/>
        <v>0</v>
      </c>
      <c r="AJ101" s="69" t="str">
        <f t="shared" si="23"/>
        <v/>
      </c>
      <c r="AK101" s="69">
        <f t="shared" si="24"/>
        <v>0</v>
      </c>
      <c r="AL101" s="69" t="str">
        <f t="shared" si="25"/>
        <v/>
      </c>
      <c r="AM101" s="69">
        <f t="shared" si="26"/>
        <v>0</v>
      </c>
      <c r="AN101" s="69" t="str">
        <f t="shared" si="27"/>
        <v/>
      </c>
      <c r="AO101" s="69">
        <f t="shared" si="28"/>
        <v>1</v>
      </c>
      <c r="AP101" s="69" t="str">
        <f t="shared" si="29"/>
        <v/>
      </c>
      <c r="AQ101" s="69">
        <f t="shared" si="30"/>
        <v>0</v>
      </c>
      <c r="AR101" s="69" t="str">
        <f t="shared" si="31"/>
        <v/>
      </c>
    </row>
    <row r="102" spans="1:45" ht="30" customHeight="1" x14ac:dyDescent="0.35">
      <c r="A102" s="29"/>
      <c r="B102" s="58" t="s">
        <v>89</v>
      </c>
      <c r="C102" s="91" t="str">
        <f>IF(AND($B102=[1]mauro!$A101,[1]mauro!$B101=C$4),"ok","nok")</f>
        <v>nok</v>
      </c>
      <c r="D102" s="91" t="str">
        <f>IF(AND($B102=[1]mauro!$A101,[1]mauro!$B101=D$4),"ok","nok")</f>
        <v>nok</v>
      </c>
      <c r="E102" s="91" t="str">
        <f>IF(AND($B102=[1]mauro!$A101,[1]mauro!$B101=E$4),"ok","nok")</f>
        <v>nok</v>
      </c>
      <c r="F102" s="91" t="str">
        <f>IF(AND($B102=[1]mauro!$A101,[1]mauro!$B101=F$4),"ok","nok")</f>
        <v>nok</v>
      </c>
      <c r="G102" s="91" t="str">
        <f>IF(AND($B102=[1]mauro!$A101,[1]mauro!$B101=G$4),"ok","nok")</f>
        <v>nok</v>
      </c>
      <c r="H102" s="91" t="str">
        <f>IF(AND($B102=[1]mauro!$A101,[1]mauro!$B101=H$4),"ok","nok")</f>
        <v>nok</v>
      </c>
      <c r="I102" s="91" t="str">
        <f>IF(AND($B102=[1]mauro!$A101,[1]mauro!$B101=I$4),"ok","nok")</f>
        <v>nok</v>
      </c>
      <c r="J102" s="91" t="str">
        <f>IF(AND($B102=[1]mauro!$A101,[1]mauro!$B101=J$4),"ok","nok")</f>
        <v>nok</v>
      </c>
      <c r="K102" s="91" t="str">
        <f>IF(AND($B102=[1]mauro!$A101,[1]mauro!$B101=K$4),"ok","nok")</f>
        <v>nok</v>
      </c>
      <c r="L102" s="91" t="str">
        <f>IF(AND($B102=[1]mauro!$A101,[1]mauro!$B101=L$4),"ok","nok")</f>
        <v>nok</v>
      </c>
      <c r="M102" s="91" t="str">
        <f>IF(AND($B102=[1]mauro!$A101,[1]mauro!$B101=M$4),"ok","nok")</f>
        <v>nok</v>
      </c>
      <c r="N102" s="91" t="str">
        <f>IF(AND($B102=[1]mauro!$A101,[1]mauro!$B101=N$4),"ok","nok")</f>
        <v>nok</v>
      </c>
      <c r="O102" s="91" t="str">
        <f>IF(AND($B102=[1]mauro!$A101,[1]mauro!$B101=O$4),"ok","nok")</f>
        <v>nok</v>
      </c>
      <c r="P102" s="91" t="str">
        <f>IF(AND($B102=[1]mauro!$A101,[1]mauro!$B101=P$4),"ok","nok")</f>
        <v>nok</v>
      </c>
      <c r="Q102" s="91" t="str">
        <f>IF(AND($B102=[1]mauro!$A101,[1]mauro!$B101=Q$4),"ok","nok")</f>
        <v>nok</v>
      </c>
      <c r="R102" s="91" t="str">
        <f>IF(AND($B102=[1]mauro!$A101,[1]mauro!$B101=R$4),"ok","nok")</f>
        <v>nok</v>
      </c>
      <c r="S102" s="91" t="str">
        <f>IF(AND($B102=[1]mauro!$A101,[1]mauro!$B101=S$4),"ok","nok")</f>
        <v>nok</v>
      </c>
      <c r="T102" s="91" t="str">
        <f>IF(AND($B102=[1]mauro!$A101,[1]mauro!$B101=T$4),"ok","nok")</f>
        <v>ok</v>
      </c>
      <c r="U102" s="91" t="str">
        <f>IF(AND($B102=[1]mauro!$A101,[1]mauro!$B101=U$4),"ok","nok")</f>
        <v>nok</v>
      </c>
      <c r="V102" s="91" t="str">
        <f>IF(AND($B102=[1]mauro!$A101,[1]mauro!$B101=V$4),"ok","nok")</f>
        <v>nok</v>
      </c>
      <c r="W102" s="91" t="str">
        <f>IF(AND($B102=[1]mauro!$A101,[1]mauro!$B101=W$4),"ok","nok")</f>
        <v>nok</v>
      </c>
      <c r="X102" s="91" t="str">
        <f>IF(AND($B102=[1]mauro!$A101,[1]mauro!$B101=X$4),"ok","nok")</f>
        <v>nok</v>
      </c>
      <c r="Y102" s="112" t="s">
        <v>2</v>
      </c>
      <c r="Z102" s="113"/>
      <c r="AA102" s="113"/>
      <c r="AB102" s="114"/>
      <c r="AC102"/>
      <c r="AE102" s="68" t="str">
        <f t="shared" si="21"/>
        <v/>
      </c>
      <c r="AF102" s="68"/>
      <c r="AG102" s="68"/>
      <c r="AH102" s="68"/>
      <c r="AI102" s="69">
        <f t="shared" si="22"/>
        <v>0</v>
      </c>
      <c r="AJ102" s="69" t="str">
        <f t="shared" si="23"/>
        <v/>
      </c>
      <c r="AK102" s="69">
        <f t="shared" si="24"/>
        <v>0</v>
      </c>
      <c r="AL102" s="69" t="str">
        <f t="shared" si="25"/>
        <v/>
      </c>
      <c r="AM102" s="69">
        <f t="shared" si="26"/>
        <v>0</v>
      </c>
      <c r="AN102" s="69" t="str">
        <f t="shared" si="27"/>
        <v/>
      </c>
      <c r="AO102" s="69">
        <f t="shared" si="28"/>
        <v>1</v>
      </c>
      <c r="AP102" s="69" t="str">
        <f t="shared" si="29"/>
        <v>ENTREGUE</v>
      </c>
      <c r="AQ102" s="69">
        <f t="shared" si="30"/>
        <v>0</v>
      </c>
      <c r="AR102" s="69" t="str">
        <f t="shared" si="31"/>
        <v/>
      </c>
    </row>
    <row r="103" spans="1:45" ht="30" customHeight="1" x14ac:dyDescent="0.35">
      <c r="A103" s="29" t="str">
        <f>CONCATENATE($B$93,"
",$B$102,""
)</f>
        <v>CSN
Modelagem CAD - Condição de Projeto</v>
      </c>
      <c r="B103" s="58" t="s">
        <v>90</v>
      </c>
      <c r="C103" s="91" t="str">
        <f>IF(AND($B103=[1]mauro!$A102,[1]mauro!$B102=C$4),"ok","nok")</f>
        <v>nok</v>
      </c>
      <c r="D103" s="91" t="str">
        <f>IF(AND($B103=[1]mauro!$A102,[1]mauro!$B102=D$4),"ok","nok")</f>
        <v>nok</v>
      </c>
      <c r="E103" s="91" t="str">
        <f>IF(AND($B103=[1]mauro!$A102,[1]mauro!$B102=E$4),"ok","nok")</f>
        <v>nok</v>
      </c>
      <c r="F103" s="91" t="str">
        <f>IF(AND($B103=[1]mauro!$A102,[1]mauro!$B102=F$4),"ok","nok")</f>
        <v>nok</v>
      </c>
      <c r="G103" s="91" t="str">
        <f>IF(AND($B103=[1]mauro!$A102,[1]mauro!$B102=G$4),"ok","nok")</f>
        <v>nok</v>
      </c>
      <c r="H103" s="91" t="str">
        <f>IF(AND($B103=[1]mauro!$A102,[1]mauro!$B102=H$4),"ok","nok")</f>
        <v>nok</v>
      </c>
      <c r="I103" s="91" t="str">
        <f>IF(AND($B103=[1]mauro!$A102,[1]mauro!$B102=I$4),"ok","nok")</f>
        <v>nok</v>
      </c>
      <c r="J103" s="91" t="str">
        <f>IF(AND($B103=[1]mauro!$A102,[1]mauro!$B102=J$4),"ok","nok")</f>
        <v>nok</v>
      </c>
      <c r="K103" s="91" t="str">
        <f>IF(AND($B103=[1]mauro!$A102,[1]mauro!$B102=K$4),"ok","nok")</f>
        <v>nok</v>
      </c>
      <c r="L103" s="91" t="str">
        <f>IF(AND($B103=[1]mauro!$A102,[1]mauro!$B102=L$4),"ok","nok")</f>
        <v>nok</v>
      </c>
      <c r="M103" s="91" t="str">
        <f>IF(AND($B103=[1]mauro!$A102,[1]mauro!$B102=M$4),"ok","nok")</f>
        <v>nok</v>
      </c>
      <c r="N103" s="91" t="str">
        <f>IF(AND($B103=[1]mauro!$A102,[1]mauro!$B102=N$4),"ok","nok")</f>
        <v>nok</v>
      </c>
      <c r="O103" s="91" t="str">
        <f>IF(AND($B103=[1]mauro!$A102,[1]mauro!$B102=O$4),"ok","nok")</f>
        <v>nok</v>
      </c>
      <c r="P103" s="91" t="str">
        <f>IF(AND($B103=[1]mauro!$A102,[1]mauro!$B102=P$4),"ok","nok")</f>
        <v>nok</v>
      </c>
      <c r="Q103" s="91" t="str">
        <f>IF(AND($B103=[1]mauro!$A102,[1]mauro!$B102=Q$4),"ok","nok")</f>
        <v>nok</v>
      </c>
      <c r="R103" s="91" t="str">
        <f>IF(AND($B103=[1]mauro!$A102,[1]mauro!$B102=R$4),"ok","nok")</f>
        <v>nok</v>
      </c>
      <c r="S103" s="91" t="str">
        <f>IF(AND($B103=[1]mauro!$A102,[1]mauro!$B102=S$4),"ok","nok")</f>
        <v>nok</v>
      </c>
      <c r="T103" s="91" t="str">
        <f>IF(AND($B103=[1]mauro!$A102,[1]mauro!$B102=T$4),"ok","nok")</f>
        <v>nok</v>
      </c>
      <c r="U103" s="91" t="str">
        <f>IF(AND($B103=[1]mauro!$A102,[1]mauro!$B102=U$4),"ok","nok")</f>
        <v>nok</v>
      </c>
      <c r="V103" s="91" t="str">
        <f>IF(AND($B103=[1]mauro!$A102,[1]mauro!$B102=V$4),"ok","nok")</f>
        <v>ok</v>
      </c>
      <c r="W103" s="91" t="str">
        <f>IF(AND($B103=[1]mauro!$A102,[1]mauro!$B102=W$4),"ok","nok")</f>
        <v>nok</v>
      </c>
      <c r="X103" s="91" t="str">
        <f>IF(AND($B103=[1]mauro!$A102,[1]mauro!$B102=X$4),"ok","nok")</f>
        <v>nok</v>
      </c>
      <c r="Y103" s="112" t="s">
        <v>2</v>
      </c>
      <c r="Z103" s="113"/>
      <c r="AA103" s="113"/>
      <c r="AB103" s="114"/>
      <c r="AC103"/>
      <c r="AE103" s="68" t="str">
        <f t="shared" si="21"/>
        <v/>
      </c>
      <c r="AF103" s="68"/>
      <c r="AG103" s="68"/>
      <c r="AH103" s="68"/>
      <c r="AI103" s="69">
        <f t="shared" si="22"/>
        <v>0</v>
      </c>
      <c r="AJ103" s="69" t="str">
        <f t="shared" si="23"/>
        <v/>
      </c>
      <c r="AK103" s="69">
        <f t="shared" si="24"/>
        <v>0</v>
      </c>
      <c r="AL103" s="69" t="str">
        <f t="shared" si="25"/>
        <v/>
      </c>
      <c r="AM103" s="69">
        <f t="shared" si="26"/>
        <v>0</v>
      </c>
      <c r="AN103" s="69" t="str">
        <f t="shared" si="27"/>
        <v/>
      </c>
      <c r="AO103" s="69">
        <f t="shared" si="28"/>
        <v>1</v>
      </c>
      <c r="AP103" s="69" t="str">
        <f t="shared" si="29"/>
        <v>ENTREGUE</v>
      </c>
      <c r="AQ103" s="69">
        <f t="shared" si="30"/>
        <v>0</v>
      </c>
      <c r="AR103" s="69" t="str">
        <f t="shared" si="31"/>
        <v/>
      </c>
    </row>
    <row r="104" spans="1:45" ht="30" customHeight="1" x14ac:dyDescent="0.35">
      <c r="A104" s="29" t="str">
        <f t="shared" ref="A104:A106" si="34">CONCATENATE($B$93,"
",$B$102,""
)</f>
        <v>CSN
Modelagem CAD - Condição de Projeto</v>
      </c>
      <c r="B104" s="58" t="s">
        <v>75</v>
      </c>
      <c r="C104" s="91" t="str">
        <f>IF(AND($B104=[1]mauro!$A103,[1]mauro!$B103=C$4),"ok","nok")</f>
        <v>nok</v>
      </c>
      <c r="D104" s="91" t="str">
        <f>IF(AND($B104=[1]mauro!$A103,[1]mauro!$B103=D$4),"ok","nok")</f>
        <v>nok</v>
      </c>
      <c r="E104" s="91" t="str">
        <f>IF(AND($B104=[1]mauro!$A103,[1]mauro!$B103=E$4),"ok","nok")</f>
        <v>nok</v>
      </c>
      <c r="F104" s="91" t="str">
        <f>IF(AND($B104=[1]mauro!$A103,[1]mauro!$B103=F$4),"ok","nok")</f>
        <v>nok</v>
      </c>
      <c r="G104" s="91" t="str">
        <f>IF(AND($B104=[1]mauro!$A103,[1]mauro!$B103=G$4),"ok","nok")</f>
        <v>nok</v>
      </c>
      <c r="H104" s="91" t="str">
        <f>IF(AND($B104=[1]mauro!$A103,[1]mauro!$B103=H$4),"ok","nok")</f>
        <v>nok</v>
      </c>
      <c r="I104" s="91" t="str">
        <f>IF(AND($B104=[1]mauro!$A103,[1]mauro!$B103=I$4),"ok","nok")</f>
        <v>nok</v>
      </c>
      <c r="J104" s="91" t="str">
        <f>IF(AND($B104=[1]mauro!$A103,[1]mauro!$B103=J$4),"ok","nok")</f>
        <v>nok</v>
      </c>
      <c r="K104" s="91" t="str">
        <f>IF(AND($B104=[1]mauro!$A103,[1]mauro!$B103=K$4),"ok","nok")</f>
        <v>nok</v>
      </c>
      <c r="L104" s="91" t="str">
        <f>IF(AND($B104=[1]mauro!$A103,[1]mauro!$B103=L$4),"ok","nok")</f>
        <v>nok</v>
      </c>
      <c r="M104" s="91" t="str">
        <f>IF(AND($B104=[1]mauro!$A103,[1]mauro!$B103=M$4),"ok","nok")</f>
        <v>nok</v>
      </c>
      <c r="N104" s="91" t="str">
        <f>IF(AND($B104=[1]mauro!$A103,[1]mauro!$B103=N$4),"ok","nok")</f>
        <v>nok</v>
      </c>
      <c r="O104" s="91" t="str">
        <f>IF(AND($B104=[1]mauro!$A103,[1]mauro!$B103=O$4),"ok","nok")</f>
        <v>nok</v>
      </c>
      <c r="P104" s="91" t="str">
        <f>IF(AND($B104=[1]mauro!$A103,[1]mauro!$B103=P$4),"ok","nok")</f>
        <v>nok</v>
      </c>
      <c r="Q104" s="91" t="str">
        <f>IF(AND($B104=[1]mauro!$A103,[1]mauro!$B103=Q$4),"ok","nok")</f>
        <v>nok</v>
      </c>
      <c r="R104" s="91" t="str">
        <f>IF(AND($B104=[1]mauro!$A103,[1]mauro!$B103=R$4),"ok","nok")</f>
        <v>nok</v>
      </c>
      <c r="S104" s="91" t="str">
        <f>IF(AND($B104=[1]mauro!$A103,[1]mauro!$B103=S$4),"ok","nok")</f>
        <v>nok</v>
      </c>
      <c r="T104" s="91" t="str">
        <f>IF(AND($B104=[1]mauro!$A103,[1]mauro!$B103=T$4),"ok","nok")</f>
        <v>nok</v>
      </c>
      <c r="U104" s="91" t="str">
        <f>IF(AND($B104=[1]mauro!$A103,[1]mauro!$B103=U$4),"ok","nok")</f>
        <v>nok</v>
      </c>
      <c r="V104" s="91" t="str">
        <f>IF(AND($B104=[1]mauro!$A103,[1]mauro!$B103=V$4),"ok","nok")</f>
        <v>nok</v>
      </c>
      <c r="W104" s="91" t="str">
        <f>IF(AND($B104=[1]mauro!$A103,[1]mauro!$B103=W$4),"ok","nok")</f>
        <v>nok</v>
      </c>
      <c r="X104" s="91" t="str">
        <f>IF(AND($B104=[1]mauro!$A103,[1]mauro!$B103=X$4),"ok","nok")</f>
        <v>ok</v>
      </c>
      <c r="Y104" s="112" t="s">
        <v>2</v>
      </c>
      <c r="Z104" s="113"/>
      <c r="AA104" s="113"/>
      <c r="AB104" s="114"/>
      <c r="AC104"/>
      <c r="AE104" s="68" t="str">
        <f t="shared" si="21"/>
        <v/>
      </c>
      <c r="AF104" s="68"/>
      <c r="AG104" s="68"/>
      <c r="AH104" s="68"/>
      <c r="AI104" s="69">
        <f t="shared" si="22"/>
        <v>0</v>
      </c>
      <c r="AJ104" s="69" t="str">
        <f t="shared" si="23"/>
        <v/>
      </c>
      <c r="AK104" s="69">
        <f t="shared" si="24"/>
        <v>0</v>
      </c>
      <c r="AL104" s="69" t="str">
        <f t="shared" si="25"/>
        <v/>
      </c>
      <c r="AM104" s="69">
        <f t="shared" si="26"/>
        <v>0</v>
      </c>
      <c r="AN104" s="69" t="str">
        <f t="shared" si="27"/>
        <v/>
      </c>
      <c r="AO104" s="69">
        <f t="shared" si="28"/>
        <v>0</v>
      </c>
      <c r="AP104" s="69" t="str">
        <f t="shared" si="29"/>
        <v/>
      </c>
      <c r="AQ104" s="69">
        <f t="shared" si="30"/>
        <v>1</v>
      </c>
      <c r="AR104" s="69" t="str">
        <f t="shared" si="31"/>
        <v>ENTREGUE</v>
      </c>
    </row>
    <row r="105" spans="1:45" ht="30" customHeight="1" x14ac:dyDescent="0.35">
      <c r="A105" s="29" t="str">
        <f t="shared" si="34"/>
        <v>CSN
Modelagem CAD - Condição de Projeto</v>
      </c>
      <c r="B105" s="58" t="s">
        <v>66</v>
      </c>
      <c r="C105" s="91" t="str">
        <f>IF(AND($B105=[1]mauro!$A104,[1]mauro!$B104=C$4),"ok","nok")</f>
        <v>nok</v>
      </c>
      <c r="D105" s="91" t="str">
        <f>IF(AND($B105=[1]mauro!$A104,[1]mauro!$B104=D$4),"ok","nok")</f>
        <v>nok</v>
      </c>
      <c r="E105" s="91" t="str">
        <f>IF(AND($B105=[1]mauro!$A104,[1]mauro!$B104=E$4),"ok","nok")</f>
        <v>nok</v>
      </c>
      <c r="F105" s="91" t="str">
        <f>IF(AND($B105=[1]mauro!$A104,[1]mauro!$B104=F$4),"ok","nok")</f>
        <v>nok</v>
      </c>
      <c r="G105" s="91" t="str">
        <f>IF(AND($B105=[1]mauro!$A104,[1]mauro!$B104=G$4),"ok","nok")</f>
        <v>nok</v>
      </c>
      <c r="H105" s="91" t="str">
        <f>IF(AND($B105=[1]mauro!$A104,[1]mauro!$B104=H$4),"ok","nok")</f>
        <v>nok</v>
      </c>
      <c r="I105" s="91" t="str">
        <f>IF(AND($B105=[1]mauro!$A104,[1]mauro!$B104=I$4),"ok","nok")</f>
        <v>nok</v>
      </c>
      <c r="J105" s="91" t="str">
        <f>IF(AND($B105=[1]mauro!$A104,[1]mauro!$B104=J$4),"ok","nok")</f>
        <v>nok</v>
      </c>
      <c r="K105" s="91" t="str">
        <f>IF(AND($B105=[1]mauro!$A104,[1]mauro!$B104=K$4),"ok","nok")</f>
        <v>nok</v>
      </c>
      <c r="L105" s="91" t="str">
        <f>IF(AND($B105=[1]mauro!$A104,[1]mauro!$B104=L$4),"ok","nok")</f>
        <v>nok</v>
      </c>
      <c r="M105" s="91" t="str">
        <f>IF(AND($B105=[1]mauro!$A104,[1]mauro!$B104=M$4),"ok","nok")</f>
        <v>nok</v>
      </c>
      <c r="N105" s="91" t="str">
        <f>IF(AND($B105=[1]mauro!$A104,[1]mauro!$B104=N$4),"ok","nok")</f>
        <v>nok</v>
      </c>
      <c r="O105" s="91" t="str">
        <f>IF(AND($B105=[1]mauro!$A104,[1]mauro!$B104=O$4),"ok","nok")</f>
        <v>nok</v>
      </c>
      <c r="P105" s="91" t="str">
        <f>IF(AND($B105=[1]mauro!$A104,[1]mauro!$B104=P$4),"ok","nok")</f>
        <v>nok</v>
      </c>
      <c r="Q105" s="91" t="str">
        <f>IF(AND($B105=[1]mauro!$A104,[1]mauro!$B104=Q$4),"ok","nok")</f>
        <v>nok</v>
      </c>
      <c r="R105" s="91" t="str">
        <f>IF(AND($B105=[1]mauro!$A104,[1]mauro!$B104=R$4),"ok","nok")</f>
        <v>nok</v>
      </c>
      <c r="S105" s="91" t="str">
        <f>IF(AND($B105=[1]mauro!$A104,[1]mauro!$B104=S$4),"ok","nok")</f>
        <v>nok</v>
      </c>
      <c r="T105" s="91" t="str">
        <f>IF(AND($B105=[1]mauro!$A104,[1]mauro!$B104=T$4),"ok","nok")</f>
        <v>nok</v>
      </c>
      <c r="U105" s="91" t="str">
        <f>IF(AND($B105=[1]mauro!$A104,[1]mauro!$B104=U$4),"ok","nok")</f>
        <v>nok</v>
      </c>
      <c r="V105" s="91" t="str">
        <f>IF(AND($B105=[1]mauro!$A104,[1]mauro!$B104=V$4),"ok","nok")</f>
        <v>ok</v>
      </c>
      <c r="W105" s="91" t="str">
        <f>IF(AND($B105=[1]mauro!$A104,[1]mauro!$B104=W$4),"ok","nok")</f>
        <v>nok</v>
      </c>
      <c r="X105" s="91" t="str">
        <f>IF(AND($B105=[1]mauro!$A104,[1]mauro!$B104=X$4),"ok","nok")</f>
        <v>nok</v>
      </c>
      <c r="Y105" s="112" t="s">
        <v>15</v>
      </c>
      <c r="Z105" s="113"/>
      <c r="AA105" s="113"/>
      <c r="AB105" s="114"/>
      <c r="AC105"/>
      <c r="AE105" s="68" t="str">
        <f t="shared" si="21"/>
        <v/>
      </c>
      <c r="AF105" s="68"/>
      <c r="AG105" s="68"/>
      <c r="AH105" s="68"/>
      <c r="AI105" s="69">
        <f t="shared" si="22"/>
        <v>0</v>
      </c>
      <c r="AJ105" s="69" t="str">
        <f t="shared" si="23"/>
        <v/>
      </c>
      <c r="AK105" s="69">
        <f t="shared" si="24"/>
        <v>0</v>
      </c>
      <c r="AL105" s="69" t="str">
        <f t="shared" si="25"/>
        <v/>
      </c>
      <c r="AM105" s="69">
        <f t="shared" si="26"/>
        <v>0</v>
      </c>
      <c r="AN105" s="69" t="str">
        <f t="shared" si="27"/>
        <v/>
      </c>
      <c r="AO105" s="69">
        <f t="shared" si="28"/>
        <v>1</v>
      </c>
      <c r="AP105" s="69" t="str">
        <f t="shared" si="29"/>
        <v/>
      </c>
      <c r="AQ105" s="69">
        <f t="shared" si="30"/>
        <v>0</v>
      </c>
      <c r="AR105" s="69" t="str">
        <f t="shared" si="31"/>
        <v/>
      </c>
    </row>
    <row r="106" spans="1:45" ht="30" customHeight="1" x14ac:dyDescent="0.35">
      <c r="A106" s="29" t="str">
        <f t="shared" si="34"/>
        <v>CSN
Modelagem CAD - Condição de Projeto</v>
      </c>
      <c r="B106" s="58" t="s">
        <v>91</v>
      </c>
      <c r="C106" s="91" t="str">
        <f>IF(AND($B106=[1]mauro!$A105,[1]mauro!$B105=C$4),"ok","nok")</f>
        <v>nok</v>
      </c>
      <c r="D106" s="91" t="str">
        <f>IF(AND($B106=[1]mauro!$A105,[1]mauro!$B105=D$4),"ok","nok")</f>
        <v>nok</v>
      </c>
      <c r="E106" s="91" t="str">
        <f>IF(AND($B106=[1]mauro!$A105,[1]mauro!$B105=E$4),"ok","nok")</f>
        <v>nok</v>
      </c>
      <c r="F106" s="91" t="str">
        <f>IF(AND($B106=[1]mauro!$A105,[1]mauro!$B105=F$4),"ok","nok")</f>
        <v>nok</v>
      </c>
      <c r="G106" s="91" t="str">
        <f>IF(AND($B106=[1]mauro!$A105,[1]mauro!$B105=G$4),"ok","nok")</f>
        <v>nok</v>
      </c>
      <c r="H106" s="91" t="str">
        <f>IF(AND($B106=[1]mauro!$A105,[1]mauro!$B105=H$4),"ok","nok")</f>
        <v>nok</v>
      </c>
      <c r="I106" s="91" t="str">
        <f>IF(AND($B106=[1]mauro!$A105,[1]mauro!$B105=I$4),"ok","nok")</f>
        <v>nok</v>
      </c>
      <c r="J106" s="91" t="str">
        <f>IF(AND($B106=[1]mauro!$A105,[1]mauro!$B105=J$4),"ok","nok")</f>
        <v>nok</v>
      </c>
      <c r="K106" s="91" t="str">
        <f>IF(AND($B106=[1]mauro!$A105,[1]mauro!$B105=K$4),"ok","nok")</f>
        <v>nok</v>
      </c>
      <c r="L106" s="91" t="str">
        <f>IF(AND($B106=[1]mauro!$A105,[1]mauro!$B105=L$4),"ok","nok")</f>
        <v>nok</v>
      </c>
      <c r="M106" s="91" t="str">
        <f>IF(AND($B106=[1]mauro!$A105,[1]mauro!$B105=M$4),"ok","nok")</f>
        <v>nok</v>
      </c>
      <c r="N106" s="91" t="str">
        <f>IF(AND($B106=[1]mauro!$A105,[1]mauro!$B105=N$4),"ok","nok")</f>
        <v>nok</v>
      </c>
      <c r="O106" s="91" t="str">
        <f>IF(AND($B106=[1]mauro!$A105,[1]mauro!$B105=O$4),"ok","nok")</f>
        <v>nok</v>
      </c>
      <c r="P106" s="91" t="str">
        <f>IF(AND($B106=[1]mauro!$A105,[1]mauro!$B105=P$4),"ok","nok")</f>
        <v>nok</v>
      </c>
      <c r="Q106" s="91" t="str">
        <f>IF(AND($B106=[1]mauro!$A105,[1]mauro!$B105=Q$4),"ok","nok")</f>
        <v>nok</v>
      </c>
      <c r="R106" s="91" t="str">
        <f>IF(AND($B106=[1]mauro!$A105,[1]mauro!$B105=R$4),"ok","nok")</f>
        <v>nok</v>
      </c>
      <c r="S106" s="91" t="str">
        <f>IF(AND($B106=[1]mauro!$A105,[1]mauro!$B105=S$4),"ok","nok")</f>
        <v>nok</v>
      </c>
      <c r="T106" s="91" t="str">
        <f>IF(AND($B106=[1]mauro!$A105,[1]mauro!$B105=T$4),"ok","nok")</f>
        <v>nok</v>
      </c>
      <c r="U106" s="91" t="str">
        <f>IF(AND($B106=[1]mauro!$A105,[1]mauro!$B105=U$4),"ok","nok")</f>
        <v>nok</v>
      </c>
      <c r="V106" s="91" t="str">
        <f>IF(AND($B106=[1]mauro!$A105,[1]mauro!$B105=V$4),"ok","nok")</f>
        <v>nok</v>
      </c>
      <c r="W106" s="91" t="str">
        <f>IF(AND($B106=[1]mauro!$A105,[1]mauro!$B105=W$4),"ok","nok")</f>
        <v>ok</v>
      </c>
      <c r="X106" s="91" t="str">
        <f>IF(AND($B106=[1]mauro!$A105,[1]mauro!$B105=X$4),"ok","nok")</f>
        <v>nok</v>
      </c>
      <c r="Y106" s="112" t="s">
        <v>2</v>
      </c>
      <c r="Z106" s="113"/>
      <c r="AA106" s="113"/>
      <c r="AB106" s="114"/>
      <c r="AC106"/>
      <c r="AE106" s="68" t="str">
        <f t="shared" si="21"/>
        <v/>
      </c>
      <c r="AF106" s="68"/>
      <c r="AG106" s="68"/>
      <c r="AH106" s="68"/>
      <c r="AI106" s="69">
        <f t="shared" si="22"/>
        <v>0</v>
      </c>
      <c r="AJ106" s="69" t="str">
        <f t="shared" si="23"/>
        <v/>
      </c>
      <c r="AK106" s="69">
        <f t="shared" si="24"/>
        <v>0</v>
      </c>
      <c r="AL106" s="69" t="str">
        <f t="shared" si="25"/>
        <v/>
      </c>
      <c r="AM106" s="69">
        <f t="shared" si="26"/>
        <v>0</v>
      </c>
      <c r="AN106" s="69" t="str">
        <f t="shared" si="27"/>
        <v/>
      </c>
      <c r="AO106" s="69">
        <f t="shared" si="28"/>
        <v>0</v>
      </c>
      <c r="AP106" s="69" t="str">
        <f t="shared" si="29"/>
        <v/>
      </c>
      <c r="AQ106" s="69">
        <f t="shared" si="30"/>
        <v>1</v>
      </c>
      <c r="AR106" s="69" t="str">
        <f t="shared" si="31"/>
        <v>ENTREGUE</v>
      </c>
    </row>
    <row r="107" spans="1:45" s="19" customFormat="1" ht="62.25" customHeight="1" x14ac:dyDescent="0.35">
      <c r="A107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F107" s="51"/>
      <c r="AG107" s="54"/>
      <c r="AH107" s="51"/>
      <c r="AI107" s="30"/>
      <c r="AJ107" s="30"/>
      <c r="AK107" s="30"/>
      <c r="AL107" s="30"/>
      <c r="AM107" s="30"/>
      <c r="AN107" s="30"/>
      <c r="AO107" s="30"/>
      <c r="AP107" s="30"/>
      <c r="AQ107" s="30"/>
      <c r="AR107" s="30"/>
      <c r="AS107" s="13"/>
    </row>
    <row r="108" spans="1:45" x14ac:dyDescent="0.35"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45" x14ac:dyDescent="0.35"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45" x14ac:dyDescent="0.35"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45" x14ac:dyDescent="0.35"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45" x14ac:dyDescent="0.35"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6:22" x14ac:dyDescent="0.35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6:22" x14ac:dyDescent="0.35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6:22" x14ac:dyDescent="0.35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6:22" x14ac:dyDescent="0.35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6:22" x14ac:dyDescent="0.35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6:22" x14ac:dyDescent="0.35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6:22" x14ac:dyDescent="0.35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6:22" x14ac:dyDescent="0.35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6:22" x14ac:dyDescent="0.35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6:22" x14ac:dyDescent="0.35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6:22" x14ac:dyDescent="0.35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6:22" x14ac:dyDescent="0.35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6:22" x14ac:dyDescent="0.35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6:22" x14ac:dyDescent="0.35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6:22" x14ac:dyDescent="0.35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6:22" x14ac:dyDescent="0.35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6:22" x14ac:dyDescent="0.35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6:22" x14ac:dyDescent="0.35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6:22" x14ac:dyDescent="0.35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6:22" x14ac:dyDescent="0.35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6:22" x14ac:dyDescent="0.35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6:22" x14ac:dyDescent="0.35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6:22" x14ac:dyDescent="0.35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6:22" x14ac:dyDescent="0.35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6:22" x14ac:dyDescent="0.35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6:22" x14ac:dyDescent="0.35"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6:22" x14ac:dyDescent="0.35"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6:22" x14ac:dyDescent="0.35"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6:22" x14ac:dyDescent="0.35"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6:22" x14ac:dyDescent="0.35"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6:22" x14ac:dyDescent="0.35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6:22" x14ac:dyDescent="0.35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6:22" x14ac:dyDescent="0.35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6:22" x14ac:dyDescent="0.35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6:22" x14ac:dyDescent="0.35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6:22" x14ac:dyDescent="0.35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6:22" x14ac:dyDescent="0.35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6:22" x14ac:dyDescent="0.35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6:22" x14ac:dyDescent="0.35"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6:22" x14ac:dyDescent="0.35"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6:22" x14ac:dyDescent="0.35"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6:22" x14ac:dyDescent="0.35"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6:22" x14ac:dyDescent="0.35"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6:22" x14ac:dyDescent="0.35"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6:22" x14ac:dyDescent="0.35"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6:22" x14ac:dyDescent="0.35"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6:22" x14ac:dyDescent="0.35"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6:22" x14ac:dyDescent="0.35"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6:22" x14ac:dyDescent="0.35"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6:22" x14ac:dyDescent="0.35"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6:22" x14ac:dyDescent="0.35"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6:22" x14ac:dyDescent="0.35"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6:22" x14ac:dyDescent="0.35"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6:22" x14ac:dyDescent="0.35"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6:22" x14ac:dyDescent="0.35"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6:22" x14ac:dyDescent="0.35"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6:22" x14ac:dyDescent="0.35"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6:22" x14ac:dyDescent="0.35"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6:22" x14ac:dyDescent="0.35"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6:22" x14ac:dyDescent="0.35"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6:22" x14ac:dyDescent="0.35"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6:22" x14ac:dyDescent="0.35"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6:22" x14ac:dyDescent="0.35"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6:22" x14ac:dyDescent="0.35"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6:22" x14ac:dyDescent="0.35"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6:22" x14ac:dyDescent="0.35"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6:22" x14ac:dyDescent="0.35"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6:22" x14ac:dyDescent="0.35"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6:22" x14ac:dyDescent="0.35"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6:22" x14ac:dyDescent="0.35"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6:22" x14ac:dyDescent="0.35"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6:22" x14ac:dyDescent="0.35"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6:22" x14ac:dyDescent="0.35"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6:22" x14ac:dyDescent="0.35"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6:22" x14ac:dyDescent="0.35"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6:22" x14ac:dyDescent="0.35"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6:22" x14ac:dyDescent="0.35"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6:22" x14ac:dyDescent="0.35"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6:22" x14ac:dyDescent="0.35"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6:22" x14ac:dyDescent="0.35"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6:22" x14ac:dyDescent="0.35"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6:22" x14ac:dyDescent="0.35"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6:22" x14ac:dyDescent="0.35"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6:22" x14ac:dyDescent="0.35"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6:22" x14ac:dyDescent="0.35"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6:22" x14ac:dyDescent="0.35"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6:22" x14ac:dyDescent="0.35"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6:22" x14ac:dyDescent="0.35"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6:22" x14ac:dyDescent="0.35"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6:22" x14ac:dyDescent="0.35"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6:22" x14ac:dyDescent="0.35"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6:22" x14ac:dyDescent="0.35"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6:22" x14ac:dyDescent="0.35"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6:22" x14ac:dyDescent="0.35"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6:22" x14ac:dyDescent="0.35"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6:22" x14ac:dyDescent="0.35"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6:22" x14ac:dyDescent="0.35"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6:22" x14ac:dyDescent="0.35"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6:22" x14ac:dyDescent="0.35"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6:22" x14ac:dyDescent="0.35"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6:22" x14ac:dyDescent="0.35"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6:22" x14ac:dyDescent="0.35"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6:22" x14ac:dyDescent="0.35"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6:22" x14ac:dyDescent="0.35"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6:22" x14ac:dyDescent="0.35"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6:22" x14ac:dyDescent="0.35"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6:22" x14ac:dyDescent="0.35"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6:22" x14ac:dyDescent="0.35"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6:22" x14ac:dyDescent="0.35"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6:22" x14ac:dyDescent="0.35"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6:22" x14ac:dyDescent="0.35"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6:22" x14ac:dyDescent="0.35"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6:22" x14ac:dyDescent="0.35"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6:22" x14ac:dyDescent="0.35"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6:22" x14ac:dyDescent="0.35"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6:22" x14ac:dyDescent="0.35"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6:22" x14ac:dyDescent="0.35"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6:22" x14ac:dyDescent="0.35"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6:22" x14ac:dyDescent="0.35"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6:22" x14ac:dyDescent="0.35"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6:22" x14ac:dyDescent="0.35"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6:22" x14ac:dyDescent="0.35"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6:22" x14ac:dyDescent="0.35"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6:22" x14ac:dyDescent="0.35"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6:22" x14ac:dyDescent="0.35"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6:22" x14ac:dyDescent="0.35"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6:22" x14ac:dyDescent="0.35"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6:22" x14ac:dyDescent="0.35"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6:22" x14ac:dyDescent="0.35"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6:22" x14ac:dyDescent="0.35"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6:22" x14ac:dyDescent="0.35"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6:22" x14ac:dyDescent="0.35"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6:22" x14ac:dyDescent="0.35"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6:22" x14ac:dyDescent="0.35"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6:22" x14ac:dyDescent="0.35"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6:22" x14ac:dyDescent="0.35"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6:22" x14ac:dyDescent="0.35"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6:22" x14ac:dyDescent="0.35"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6:22" x14ac:dyDescent="0.35"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6:22" x14ac:dyDescent="0.35"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6:22" x14ac:dyDescent="0.35"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6:22" x14ac:dyDescent="0.35"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6:22" x14ac:dyDescent="0.35"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6:22" x14ac:dyDescent="0.35"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6:22" x14ac:dyDescent="0.35"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6:22" x14ac:dyDescent="0.35"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6:22" x14ac:dyDescent="0.35"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6:22" x14ac:dyDescent="0.35"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6:22" x14ac:dyDescent="0.35"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6:22" x14ac:dyDescent="0.35"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6:22" x14ac:dyDescent="0.35"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6:22" x14ac:dyDescent="0.35"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6:22" x14ac:dyDescent="0.35"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6:22" x14ac:dyDescent="0.35"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6:22" x14ac:dyDescent="0.35"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6:22" x14ac:dyDescent="0.35"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6:22" x14ac:dyDescent="0.35"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6:22" x14ac:dyDescent="0.35"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6:22" x14ac:dyDescent="0.35"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</row>
    <row r="272" spans="6:22" x14ac:dyDescent="0.35"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</row>
    <row r="273" spans="6:22" x14ac:dyDescent="0.35"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</row>
    <row r="274" spans="6:22" x14ac:dyDescent="0.35"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</row>
    <row r="275" spans="6:22" x14ac:dyDescent="0.35"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</row>
    <row r="276" spans="6:22" x14ac:dyDescent="0.35"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</row>
    <row r="277" spans="6:22" x14ac:dyDescent="0.35"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</row>
    <row r="278" spans="6:22" x14ac:dyDescent="0.35"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</row>
    <row r="279" spans="6:22" x14ac:dyDescent="0.35"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</row>
    <row r="280" spans="6:22" x14ac:dyDescent="0.35"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</row>
    <row r="281" spans="6:22" x14ac:dyDescent="0.35"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</row>
    <row r="282" spans="6:22" x14ac:dyDescent="0.35"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</row>
    <row r="283" spans="6:22" x14ac:dyDescent="0.35"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</row>
    <row r="284" spans="6:22" x14ac:dyDescent="0.35"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</row>
    <row r="285" spans="6:22" x14ac:dyDescent="0.35"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</row>
    <row r="286" spans="6:22" x14ac:dyDescent="0.35"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</row>
    <row r="287" spans="6:22" x14ac:dyDescent="0.35"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</row>
    <row r="288" spans="6:22" x14ac:dyDescent="0.35"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</row>
    <row r="289" spans="6:22" x14ac:dyDescent="0.35"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</row>
    <row r="290" spans="6:22" x14ac:dyDescent="0.35"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</row>
    <row r="291" spans="6:22" x14ac:dyDescent="0.35"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</row>
    <row r="292" spans="6:22" x14ac:dyDescent="0.35"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</row>
    <row r="293" spans="6:22" x14ac:dyDescent="0.35"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</row>
    <row r="294" spans="6:22" x14ac:dyDescent="0.35"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</row>
    <row r="295" spans="6:22" x14ac:dyDescent="0.35"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</row>
    <row r="296" spans="6:22" x14ac:dyDescent="0.35"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</row>
    <row r="297" spans="6:22" x14ac:dyDescent="0.35"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</row>
    <row r="298" spans="6:22" x14ac:dyDescent="0.35"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</row>
    <row r="299" spans="6:22" x14ac:dyDescent="0.35"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</row>
    <row r="300" spans="6:22" x14ac:dyDescent="0.35"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</row>
    <row r="301" spans="6:22" x14ac:dyDescent="0.35"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</row>
    <row r="302" spans="6:22" x14ac:dyDescent="0.35"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</row>
    <row r="303" spans="6:22" x14ac:dyDescent="0.35"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</row>
    <row r="304" spans="6:22" x14ac:dyDescent="0.35"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</row>
    <row r="305" spans="6:22" x14ac:dyDescent="0.35"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</row>
    <row r="306" spans="6:22" x14ac:dyDescent="0.35"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</row>
    <row r="307" spans="6:22" x14ac:dyDescent="0.35"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</row>
    <row r="308" spans="6:22" x14ac:dyDescent="0.35"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</row>
    <row r="309" spans="6:22" x14ac:dyDescent="0.35"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</row>
    <row r="310" spans="6:22" x14ac:dyDescent="0.35"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</row>
    <row r="311" spans="6:22" x14ac:dyDescent="0.35"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</row>
    <row r="312" spans="6:22" x14ac:dyDescent="0.35"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</row>
    <row r="313" spans="6:22" x14ac:dyDescent="0.35"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</row>
    <row r="314" spans="6:22" x14ac:dyDescent="0.35"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</row>
    <row r="315" spans="6:22" x14ac:dyDescent="0.35"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</row>
    <row r="316" spans="6:22" x14ac:dyDescent="0.35"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</row>
    <row r="317" spans="6:22" x14ac:dyDescent="0.35"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</row>
    <row r="318" spans="6:22" x14ac:dyDescent="0.35"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</row>
    <row r="319" spans="6:22" x14ac:dyDescent="0.35"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</row>
    <row r="320" spans="6:22" x14ac:dyDescent="0.35"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</row>
    <row r="321" spans="6:22" x14ac:dyDescent="0.35"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</row>
    <row r="322" spans="6:22" x14ac:dyDescent="0.35"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</row>
    <row r="323" spans="6:22" x14ac:dyDescent="0.35"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</row>
    <row r="324" spans="6:22" x14ac:dyDescent="0.35"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</row>
    <row r="325" spans="6:22" x14ac:dyDescent="0.35"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</row>
    <row r="326" spans="6:22" x14ac:dyDescent="0.35"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</row>
    <row r="327" spans="6:22" x14ac:dyDescent="0.35"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</row>
    <row r="328" spans="6:22" x14ac:dyDescent="0.35"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</row>
    <row r="329" spans="6:22" x14ac:dyDescent="0.35"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</row>
    <row r="330" spans="6:22" x14ac:dyDescent="0.35"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</row>
    <row r="331" spans="6:22" x14ac:dyDescent="0.35"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</row>
    <row r="332" spans="6:22" x14ac:dyDescent="0.35"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</row>
    <row r="333" spans="6:22" x14ac:dyDescent="0.35"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</row>
    <row r="334" spans="6:22" x14ac:dyDescent="0.35"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</row>
    <row r="335" spans="6:22" x14ac:dyDescent="0.35"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</row>
    <row r="336" spans="6:22" x14ac:dyDescent="0.35"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</row>
    <row r="337" spans="6:22" x14ac:dyDescent="0.35"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</row>
    <row r="338" spans="6:22" x14ac:dyDescent="0.35"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</row>
    <row r="339" spans="6:22" x14ac:dyDescent="0.35"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</row>
    <row r="340" spans="6:22" x14ac:dyDescent="0.35"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</row>
    <row r="341" spans="6:22" x14ac:dyDescent="0.35"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</row>
    <row r="342" spans="6:22" x14ac:dyDescent="0.35"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</row>
    <row r="343" spans="6:22" x14ac:dyDescent="0.35"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</row>
    <row r="344" spans="6:22" x14ac:dyDescent="0.35"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</row>
    <row r="345" spans="6:22" x14ac:dyDescent="0.35"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</row>
    <row r="346" spans="6:22" x14ac:dyDescent="0.35"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</row>
    <row r="347" spans="6:22" x14ac:dyDescent="0.35"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</row>
    <row r="348" spans="6:22" x14ac:dyDescent="0.35"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</row>
    <row r="349" spans="6:22" x14ac:dyDescent="0.35"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</row>
    <row r="350" spans="6:22" x14ac:dyDescent="0.35"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</row>
    <row r="351" spans="6:22" x14ac:dyDescent="0.35"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</row>
    <row r="352" spans="6:22" x14ac:dyDescent="0.35"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</row>
    <row r="353" spans="6:22" x14ac:dyDescent="0.35"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</row>
    <row r="354" spans="6:22" x14ac:dyDescent="0.35"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</row>
    <row r="355" spans="6:22" x14ac:dyDescent="0.35"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</row>
    <row r="356" spans="6:22" x14ac:dyDescent="0.35"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</row>
    <row r="357" spans="6:22" x14ac:dyDescent="0.35"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</row>
    <row r="358" spans="6:22" x14ac:dyDescent="0.35"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</row>
    <row r="359" spans="6:22" x14ac:dyDescent="0.35"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</row>
    <row r="360" spans="6:22" x14ac:dyDescent="0.35"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</row>
    <row r="361" spans="6:22" x14ac:dyDescent="0.35"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</row>
    <row r="362" spans="6:22" x14ac:dyDescent="0.35"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</row>
    <row r="363" spans="6:22" x14ac:dyDescent="0.35"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</row>
    <row r="364" spans="6:22" x14ac:dyDescent="0.35"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</row>
    <row r="365" spans="6:22" x14ac:dyDescent="0.35"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</row>
    <row r="366" spans="6:22" x14ac:dyDescent="0.35"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</row>
    <row r="367" spans="6:22" x14ac:dyDescent="0.35"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</row>
    <row r="368" spans="6:22" x14ac:dyDescent="0.35"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</row>
    <row r="369" spans="6:22" x14ac:dyDescent="0.35"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</row>
    <row r="370" spans="6:22" x14ac:dyDescent="0.35"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</row>
    <row r="371" spans="6:22" x14ac:dyDescent="0.35"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</row>
    <row r="372" spans="6:22" x14ac:dyDescent="0.35"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</row>
    <row r="373" spans="6:22" x14ac:dyDescent="0.35"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</row>
    <row r="374" spans="6:22" x14ac:dyDescent="0.35"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</row>
    <row r="375" spans="6:22" x14ac:dyDescent="0.35"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</row>
    <row r="376" spans="6:22" x14ac:dyDescent="0.35"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</row>
    <row r="377" spans="6:22" x14ac:dyDescent="0.35"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</row>
    <row r="378" spans="6:22" x14ac:dyDescent="0.35"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</row>
    <row r="379" spans="6:22" x14ac:dyDescent="0.35"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</row>
    <row r="380" spans="6:22" x14ac:dyDescent="0.35"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</row>
    <row r="381" spans="6:22" x14ac:dyDescent="0.35"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</row>
    <row r="382" spans="6:22" x14ac:dyDescent="0.35"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</row>
    <row r="383" spans="6:22" x14ac:dyDescent="0.35"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</row>
    <row r="384" spans="6:22" x14ac:dyDescent="0.35"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</row>
    <row r="385" spans="6:22" x14ac:dyDescent="0.35"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</row>
    <row r="386" spans="6:22" x14ac:dyDescent="0.35"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</row>
    <row r="387" spans="6:22" x14ac:dyDescent="0.35"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</row>
    <row r="388" spans="6:22" x14ac:dyDescent="0.35"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</row>
    <row r="389" spans="6:22" x14ac:dyDescent="0.35"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</row>
    <row r="390" spans="6:22" x14ac:dyDescent="0.35"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</row>
    <row r="391" spans="6:22" x14ac:dyDescent="0.35"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</row>
    <row r="392" spans="6:22" x14ac:dyDescent="0.35"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</row>
    <row r="393" spans="6:22" x14ac:dyDescent="0.35"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</row>
    <row r="394" spans="6:22" x14ac:dyDescent="0.35"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</row>
    <row r="395" spans="6:22" x14ac:dyDescent="0.35"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</row>
    <row r="396" spans="6:22" x14ac:dyDescent="0.35"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</row>
    <row r="397" spans="6:22" x14ac:dyDescent="0.35"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</row>
    <row r="398" spans="6:22" x14ac:dyDescent="0.35"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</row>
    <row r="399" spans="6:22" x14ac:dyDescent="0.35"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</row>
    <row r="400" spans="6:22" x14ac:dyDescent="0.35"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</row>
    <row r="401" spans="6:22" x14ac:dyDescent="0.35"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</row>
    <row r="402" spans="6:22" x14ac:dyDescent="0.35"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</row>
    <row r="403" spans="6:22" x14ac:dyDescent="0.35"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</row>
    <row r="404" spans="6:22" x14ac:dyDescent="0.35"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</row>
    <row r="405" spans="6:22" x14ac:dyDescent="0.35"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</row>
    <row r="406" spans="6:22" x14ac:dyDescent="0.35"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</row>
    <row r="407" spans="6:22" x14ac:dyDescent="0.35"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</row>
    <row r="408" spans="6:22" x14ac:dyDescent="0.35"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</row>
    <row r="409" spans="6:22" x14ac:dyDescent="0.35"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</row>
  </sheetData>
  <sheetProtection selectLockedCells="1"/>
  <mergeCells count="174">
    <mergeCell ref="Y87:AB87"/>
    <mergeCell ref="Y88:AB88"/>
    <mergeCell ref="Y89:AB89"/>
    <mergeCell ref="Y90:AB90"/>
    <mergeCell ref="Y104:AB104"/>
    <mergeCell ref="Y105:AB105"/>
    <mergeCell ref="Y106:AB106"/>
    <mergeCell ref="Y100:AB100"/>
    <mergeCell ref="Y101:AB101"/>
    <mergeCell ref="Y102:AB102"/>
    <mergeCell ref="Y103:AB103"/>
    <mergeCell ref="Y91:AB91"/>
    <mergeCell ref="Y92:AB92"/>
    <mergeCell ref="Y93:AB93"/>
    <mergeCell ref="Y94:AB94"/>
    <mergeCell ref="Y95:AB95"/>
    <mergeCell ref="Y96:AB96"/>
    <mergeCell ref="Y97:AB97"/>
    <mergeCell ref="Y98:AB98"/>
    <mergeCell ref="Y99:AB99"/>
    <mergeCell ref="Y79:AB79"/>
    <mergeCell ref="Y80:AB80"/>
    <mergeCell ref="Y81:AB81"/>
    <mergeCell ref="Y67:AB67"/>
    <mergeCell ref="Y82:AB82"/>
    <mergeCell ref="Y83:AB83"/>
    <mergeCell ref="Y84:AB84"/>
    <mergeCell ref="Y85:AB85"/>
    <mergeCell ref="Y86:AB86"/>
    <mergeCell ref="Y55:AB55"/>
    <mergeCell ref="Y56:AB56"/>
    <mergeCell ref="Y57:AB57"/>
    <mergeCell ref="Y58:AB58"/>
    <mergeCell ref="Y74:AB74"/>
    <mergeCell ref="Y75:AB75"/>
    <mergeCell ref="Y76:AB76"/>
    <mergeCell ref="Y77:AB77"/>
    <mergeCell ref="Y78:AB78"/>
    <mergeCell ref="Y32:AB32"/>
    <mergeCell ref="Y41:AB41"/>
    <mergeCell ref="Y42:AB42"/>
    <mergeCell ref="Y43:AB43"/>
    <mergeCell ref="Y44:AB44"/>
    <mergeCell ref="Y46:AB46"/>
    <mergeCell ref="Y48:AB48"/>
    <mergeCell ref="Y30:AB30"/>
    <mergeCell ref="Y31:AB31"/>
    <mergeCell ref="Y38:AB38"/>
    <mergeCell ref="Y39:AB39"/>
    <mergeCell ref="Y45:AB45"/>
    <mergeCell ref="B4:B5"/>
    <mergeCell ref="C4:C5"/>
    <mergeCell ref="D4:D5"/>
    <mergeCell ref="E4:E5"/>
    <mergeCell ref="F4:F5"/>
    <mergeCell ref="P4:P5"/>
    <mergeCell ref="Q4:Q5"/>
    <mergeCell ref="R4:R5"/>
    <mergeCell ref="M4:M5"/>
    <mergeCell ref="N4:N5"/>
    <mergeCell ref="O4:O5"/>
    <mergeCell ref="G4:G5"/>
    <mergeCell ref="H4:H5"/>
    <mergeCell ref="I4:I5"/>
    <mergeCell ref="J4:J5"/>
    <mergeCell ref="K4:K5"/>
    <mergeCell ref="L4:L5"/>
    <mergeCell ref="S4:S5"/>
    <mergeCell ref="T4:T5"/>
    <mergeCell ref="U4:U5"/>
    <mergeCell ref="Y27:AB27"/>
    <mergeCell ref="Y28:AB28"/>
    <mergeCell ref="Y6:AB6"/>
    <mergeCell ref="AS6:AV6"/>
    <mergeCell ref="AX6:BA6"/>
    <mergeCell ref="V4:V5"/>
    <mergeCell ref="W4:W5"/>
    <mergeCell ref="X4:X5"/>
    <mergeCell ref="Y8:AB8"/>
    <mergeCell ref="AS8:AU8"/>
    <mergeCell ref="AX8:AZ8"/>
    <mergeCell ref="Y23:AB23"/>
    <mergeCell ref="Y24:AB24"/>
    <mergeCell ref="Y25:AB25"/>
    <mergeCell ref="Y14:AB14"/>
    <mergeCell ref="AX14:AZ14"/>
    <mergeCell ref="BC6:BF6"/>
    <mergeCell ref="BH6:BK6"/>
    <mergeCell ref="Y7:AB7"/>
    <mergeCell ref="AS7:AU7"/>
    <mergeCell ref="AX7:AZ7"/>
    <mergeCell ref="BC7:BE7"/>
    <mergeCell ref="BH7:BJ7"/>
    <mergeCell ref="AD4:AD5"/>
    <mergeCell ref="AE4:AE5"/>
    <mergeCell ref="AF4:AF5"/>
    <mergeCell ref="AG4:AG5"/>
    <mergeCell ref="AH4:AH5"/>
    <mergeCell ref="Y4:AB5"/>
    <mergeCell ref="AC4:AC5"/>
    <mergeCell ref="BC8:BE8"/>
    <mergeCell ref="BH8:BJ8"/>
    <mergeCell ref="Y9:AB9"/>
    <mergeCell ref="AS9:AU9"/>
    <mergeCell ref="AX9:AZ9"/>
    <mergeCell ref="BC9:BE9"/>
    <mergeCell ref="BH9:BJ9"/>
    <mergeCell ref="Y13:AB13"/>
    <mergeCell ref="AX13:AZ13"/>
    <mergeCell ref="BC13:BE13"/>
    <mergeCell ref="BH13:BJ13"/>
    <mergeCell ref="BC14:BE14"/>
    <mergeCell ref="BH14:BJ14"/>
    <mergeCell ref="BI16:BK16"/>
    <mergeCell ref="BI17:BK17"/>
    <mergeCell ref="BI18:BK18"/>
    <mergeCell ref="BI19:BK19"/>
    <mergeCell ref="Y10:AB10"/>
    <mergeCell ref="Y11:AB11"/>
    <mergeCell ref="AX11:BA11"/>
    <mergeCell ref="BC11:BF11"/>
    <mergeCell ref="BH11:BK11"/>
    <mergeCell ref="Y12:AB12"/>
    <mergeCell ref="AX12:AZ12"/>
    <mergeCell ref="BC12:BE12"/>
    <mergeCell ref="BH12:BJ12"/>
    <mergeCell ref="BM6:BP6"/>
    <mergeCell ref="BM7:BO7"/>
    <mergeCell ref="BM8:BO8"/>
    <mergeCell ref="BM9:BO9"/>
    <mergeCell ref="BM11:BP11"/>
    <mergeCell ref="BM12:BO12"/>
    <mergeCell ref="BM13:BO13"/>
    <mergeCell ref="BM14:BO14"/>
    <mergeCell ref="Y68:AB68"/>
    <mergeCell ref="Y33:AB33"/>
    <mergeCell ref="Y35:AB35"/>
    <mergeCell ref="Y36:AB36"/>
    <mergeCell ref="Y37:AB37"/>
    <mergeCell ref="Y19:AB19"/>
    <mergeCell ref="Y21:AB21"/>
    <mergeCell ref="Y22:AB22"/>
    <mergeCell ref="Y15:AB15"/>
    <mergeCell ref="Y16:AB16"/>
    <mergeCell ref="Y17:AB17"/>
    <mergeCell ref="Y18:AB18"/>
    <mergeCell ref="AY34:BA34"/>
    <mergeCell ref="AY35:BA35"/>
    <mergeCell ref="BI20:BK20"/>
    <mergeCell ref="Y53:AB53"/>
    <mergeCell ref="BF27:BH27"/>
    <mergeCell ref="Y69:AB69"/>
    <mergeCell ref="Y70:AB70"/>
    <mergeCell ref="Y71:AB71"/>
    <mergeCell ref="Y72:AB72"/>
    <mergeCell ref="Y73:AB73"/>
    <mergeCell ref="AY27:BB27"/>
    <mergeCell ref="AY28:BA28"/>
    <mergeCell ref="AY32:BA32"/>
    <mergeCell ref="AY33:BA33"/>
    <mergeCell ref="Y59:AB59"/>
    <mergeCell ref="Y60:AB60"/>
    <mergeCell ref="Y61:AB61"/>
    <mergeCell ref="Y62:AB62"/>
    <mergeCell ref="Y63:AB63"/>
    <mergeCell ref="Y64:AB64"/>
    <mergeCell ref="Y65:AB65"/>
    <mergeCell ref="Y66:AB66"/>
    <mergeCell ref="Y54:AB54"/>
    <mergeCell ref="Y50:AB50"/>
    <mergeCell ref="Y51:AB51"/>
    <mergeCell ref="Y52:AB52"/>
    <mergeCell ref="Y49:AB49"/>
    <mergeCell ref="Y29:AB29"/>
  </mergeCells>
  <phoneticPr fontId="17" type="noConversion"/>
  <conditionalFormatting sqref="AC10:AD10 C28:H31 J28:X31 C23:J25 L23:X25">
    <cfRule type="expression" dxfId="211" priority="754">
      <formula>C10="nok"</formula>
    </cfRule>
    <cfRule type="expression" dxfId="210" priority="755">
      <formula>C10="ok"</formula>
    </cfRule>
  </conditionalFormatting>
  <conditionalFormatting sqref="Y10:AB12 Y14:AB16 Y22:AB25">
    <cfRule type="expression" dxfId="209" priority="638">
      <formula>Y10="risco"</formula>
    </cfRule>
    <cfRule type="expression" dxfId="208" priority="639">
      <formula>Y10="entregue"</formula>
    </cfRule>
    <cfRule type="expression" dxfId="207" priority="640">
      <formula>Y10="atrasado"</formula>
    </cfRule>
    <cfRule type="expression" dxfId="206" priority="641">
      <formula>Y10="efprazo"</formula>
    </cfRule>
    <cfRule type="expression" dxfId="205" priority="642">
      <formula>Y10="vazio"</formula>
    </cfRule>
  </conditionalFormatting>
  <conditionalFormatting sqref="C10:X12">
    <cfRule type="expression" dxfId="204" priority="359">
      <formula>C10="nok"</formula>
    </cfRule>
    <cfRule type="expression" dxfId="203" priority="360">
      <formula>C10="ok"</formula>
    </cfRule>
  </conditionalFormatting>
  <conditionalFormatting sqref="C14:H14 J14:X14 C15:K16 M15:X16">
    <cfRule type="expression" dxfId="202" priority="280">
      <formula>C14="nok"</formula>
    </cfRule>
    <cfRule type="expression" dxfId="201" priority="281">
      <formula>C14="ok"</formula>
    </cfRule>
  </conditionalFormatting>
  <conditionalFormatting sqref="Y28:AB28">
    <cfRule type="expression" dxfId="200" priority="270">
      <formula>Y28="risco"</formula>
    </cfRule>
    <cfRule type="expression" dxfId="199" priority="271">
      <formula>Y28="entregue"</formula>
    </cfRule>
    <cfRule type="expression" dxfId="198" priority="272">
      <formula>Y28="atrasado"</formula>
    </cfRule>
    <cfRule type="expression" dxfId="197" priority="273">
      <formula>Y28="efprazo"</formula>
    </cfRule>
    <cfRule type="expression" dxfId="196" priority="274">
      <formula>Y28="vazio"</formula>
    </cfRule>
  </conditionalFormatting>
  <conditionalFormatting sqref="Y36:AB39">
    <cfRule type="expression" dxfId="195" priority="265">
      <formula>Y36="risco"</formula>
    </cfRule>
    <cfRule type="expression" dxfId="194" priority="266">
      <formula>Y36="entregue"</formula>
    </cfRule>
    <cfRule type="expression" dxfId="193" priority="267">
      <formula>Y36="atrasado"</formula>
    </cfRule>
    <cfRule type="expression" dxfId="192" priority="268">
      <formula>Y36="efprazo"</formula>
    </cfRule>
    <cfRule type="expression" dxfId="191" priority="269">
      <formula>Y36="vazio"</formula>
    </cfRule>
  </conditionalFormatting>
  <conditionalFormatting sqref="Y42:AB42">
    <cfRule type="expression" dxfId="190" priority="260">
      <formula>Y42="risco"</formula>
    </cfRule>
    <cfRule type="expression" dxfId="189" priority="261">
      <formula>Y42="entregue"</formula>
    </cfRule>
    <cfRule type="expression" dxfId="188" priority="262">
      <formula>Y42="atrasado"</formula>
    </cfRule>
    <cfRule type="expression" dxfId="187" priority="263">
      <formula>Y42="efprazo"</formula>
    </cfRule>
    <cfRule type="expression" dxfId="186" priority="264">
      <formula>Y42="vazio"</formula>
    </cfRule>
  </conditionalFormatting>
  <conditionalFormatting sqref="Y50:AB53">
    <cfRule type="expression" dxfId="185" priority="255">
      <formula>Y50="risco"</formula>
    </cfRule>
    <cfRule type="expression" dxfId="184" priority="256">
      <formula>Y50="entregue"</formula>
    </cfRule>
    <cfRule type="expression" dxfId="183" priority="257">
      <formula>Y50="atrasado"</formula>
    </cfRule>
    <cfRule type="expression" dxfId="182" priority="258">
      <formula>Y50="efprazo"</formula>
    </cfRule>
    <cfRule type="expression" dxfId="181" priority="259">
      <formula>Y50="vazio"</formula>
    </cfRule>
  </conditionalFormatting>
  <conditionalFormatting sqref="Y56:AB56">
    <cfRule type="expression" dxfId="180" priority="250">
      <formula>Y56="risco"</formula>
    </cfRule>
    <cfRule type="expression" dxfId="179" priority="251">
      <formula>Y56="entregue"</formula>
    </cfRule>
    <cfRule type="expression" dxfId="178" priority="252">
      <formula>Y56="atrasado"</formula>
    </cfRule>
    <cfRule type="expression" dxfId="177" priority="253">
      <formula>Y56="efprazo"</formula>
    </cfRule>
    <cfRule type="expression" dxfId="176" priority="254">
      <formula>Y56="vazio"</formula>
    </cfRule>
  </conditionalFormatting>
  <conditionalFormatting sqref="Y58:AB59">
    <cfRule type="expression" dxfId="175" priority="245">
      <formula>Y58="risco"</formula>
    </cfRule>
    <cfRule type="expression" dxfId="174" priority="246">
      <formula>Y58="entregue"</formula>
    </cfRule>
    <cfRule type="expression" dxfId="173" priority="247">
      <formula>Y58="atrasado"</formula>
    </cfRule>
    <cfRule type="expression" dxfId="172" priority="248">
      <formula>Y58="efprazo"</formula>
    </cfRule>
    <cfRule type="expression" dxfId="171" priority="249">
      <formula>Y58="vazio"</formula>
    </cfRule>
  </conditionalFormatting>
  <conditionalFormatting sqref="Y61:AB62">
    <cfRule type="expression" dxfId="170" priority="240">
      <formula>Y61="risco"</formula>
    </cfRule>
    <cfRule type="expression" dxfId="169" priority="241">
      <formula>Y61="entregue"</formula>
    </cfRule>
    <cfRule type="expression" dxfId="168" priority="242">
      <formula>Y61="atrasado"</formula>
    </cfRule>
    <cfRule type="expression" dxfId="167" priority="243">
      <formula>Y61="efprazo"</formula>
    </cfRule>
    <cfRule type="expression" dxfId="166" priority="244">
      <formula>Y61="vazio"</formula>
    </cfRule>
  </conditionalFormatting>
  <conditionalFormatting sqref="Y64:AB65">
    <cfRule type="expression" dxfId="165" priority="235">
      <formula>Y64="risco"</formula>
    </cfRule>
    <cfRule type="expression" dxfId="164" priority="236">
      <formula>Y64="entregue"</formula>
    </cfRule>
    <cfRule type="expression" dxfId="163" priority="237">
      <formula>Y64="atrasado"</formula>
    </cfRule>
    <cfRule type="expression" dxfId="162" priority="238">
      <formula>Y64="efprazo"</formula>
    </cfRule>
    <cfRule type="expression" dxfId="161" priority="239">
      <formula>Y64="vazio"</formula>
    </cfRule>
  </conditionalFormatting>
  <conditionalFormatting sqref="Y70:AB70">
    <cfRule type="expression" dxfId="160" priority="230">
      <formula>Y70="risco"</formula>
    </cfRule>
    <cfRule type="expression" dxfId="159" priority="231">
      <formula>Y70="entregue"</formula>
    </cfRule>
    <cfRule type="expression" dxfId="158" priority="232">
      <formula>Y70="atrasado"</formula>
    </cfRule>
    <cfRule type="expression" dxfId="157" priority="233">
      <formula>Y70="efprazo"</formula>
    </cfRule>
    <cfRule type="expression" dxfId="156" priority="234">
      <formula>Y70="vazio"</formula>
    </cfRule>
  </conditionalFormatting>
  <conditionalFormatting sqref="Y73:AB73">
    <cfRule type="expression" dxfId="155" priority="225">
      <formula>Y73="risco"</formula>
    </cfRule>
    <cfRule type="expression" dxfId="154" priority="226">
      <formula>Y73="entregue"</formula>
    </cfRule>
    <cfRule type="expression" dxfId="153" priority="227">
      <formula>Y73="atrasado"</formula>
    </cfRule>
    <cfRule type="expression" dxfId="152" priority="228">
      <formula>Y73="efprazo"</formula>
    </cfRule>
    <cfRule type="expression" dxfId="151" priority="229">
      <formula>Y73="vazio"</formula>
    </cfRule>
  </conditionalFormatting>
  <conditionalFormatting sqref="Y75:AB75">
    <cfRule type="expression" dxfId="150" priority="220">
      <formula>Y75="risco"</formula>
    </cfRule>
    <cfRule type="expression" dxfId="149" priority="221">
      <formula>Y75="entregue"</formula>
    </cfRule>
    <cfRule type="expression" dxfId="148" priority="222">
      <formula>Y75="atrasado"</formula>
    </cfRule>
    <cfRule type="expression" dxfId="147" priority="223">
      <formula>Y75="efprazo"</formula>
    </cfRule>
    <cfRule type="expression" dxfId="146" priority="224">
      <formula>Y75="vazio"</formula>
    </cfRule>
  </conditionalFormatting>
  <conditionalFormatting sqref="Y79:AB79">
    <cfRule type="expression" dxfId="145" priority="215">
      <formula>Y79="risco"</formula>
    </cfRule>
    <cfRule type="expression" dxfId="144" priority="216">
      <formula>Y79="entregue"</formula>
    </cfRule>
    <cfRule type="expression" dxfId="143" priority="217">
      <formula>Y79="atrasado"</formula>
    </cfRule>
    <cfRule type="expression" dxfId="142" priority="218">
      <formula>Y79="efprazo"</formula>
    </cfRule>
    <cfRule type="expression" dxfId="141" priority="219">
      <formula>Y79="vazio"</formula>
    </cfRule>
  </conditionalFormatting>
  <conditionalFormatting sqref="Y81:AB81">
    <cfRule type="expression" dxfId="140" priority="210">
      <formula>Y81="risco"</formula>
    </cfRule>
    <cfRule type="expression" dxfId="139" priority="211">
      <formula>Y81="entregue"</formula>
    </cfRule>
    <cfRule type="expression" dxfId="138" priority="212">
      <formula>Y81="atrasado"</formula>
    </cfRule>
    <cfRule type="expression" dxfId="137" priority="213">
      <formula>Y81="efprazo"</formula>
    </cfRule>
    <cfRule type="expression" dxfId="136" priority="214">
      <formula>Y81="vazio"</formula>
    </cfRule>
  </conditionalFormatting>
  <conditionalFormatting sqref="Y84:AB84">
    <cfRule type="expression" dxfId="135" priority="205">
      <formula>Y84="risco"</formula>
    </cfRule>
    <cfRule type="expression" dxfId="134" priority="206">
      <formula>Y84="entregue"</formula>
    </cfRule>
    <cfRule type="expression" dxfId="133" priority="207">
      <formula>Y84="atrasado"</formula>
    </cfRule>
    <cfRule type="expression" dxfId="132" priority="208">
      <formula>Y84="efprazo"</formula>
    </cfRule>
    <cfRule type="expression" dxfId="131" priority="209">
      <formula>Y84="vazio"</formula>
    </cfRule>
  </conditionalFormatting>
  <conditionalFormatting sqref="Y88:AB89">
    <cfRule type="expression" dxfId="130" priority="200">
      <formula>Y88="risco"</formula>
    </cfRule>
    <cfRule type="expression" dxfId="129" priority="201">
      <formula>Y88="entregue"</formula>
    </cfRule>
    <cfRule type="expression" dxfId="128" priority="202">
      <formula>Y88="atrasado"</formula>
    </cfRule>
    <cfRule type="expression" dxfId="127" priority="203">
      <formula>Y88="efprazo"</formula>
    </cfRule>
    <cfRule type="expression" dxfId="126" priority="204">
      <formula>Y88="vazio"</formula>
    </cfRule>
  </conditionalFormatting>
  <conditionalFormatting sqref="Y92:AB92">
    <cfRule type="expression" dxfId="125" priority="195">
      <formula>Y92="risco"</formula>
    </cfRule>
    <cfRule type="expression" dxfId="124" priority="196">
      <formula>Y92="entregue"</formula>
    </cfRule>
    <cfRule type="expression" dxfId="123" priority="197">
      <formula>Y92="atrasado"</formula>
    </cfRule>
    <cfRule type="expression" dxfId="122" priority="198">
      <formula>Y92="efprazo"</formula>
    </cfRule>
    <cfRule type="expression" dxfId="121" priority="199">
      <formula>Y92="vazio"</formula>
    </cfRule>
  </conditionalFormatting>
  <conditionalFormatting sqref="Y96:AB99">
    <cfRule type="expression" dxfId="120" priority="190">
      <formula>Y96="risco"</formula>
    </cfRule>
    <cfRule type="expression" dxfId="119" priority="191">
      <formula>Y96="entregue"</formula>
    </cfRule>
    <cfRule type="expression" dxfId="118" priority="192">
      <formula>Y96="atrasado"</formula>
    </cfRule>
    <cfRule type="expression" dxfId="117" priority="193">
      <formula>Y96="efprazo"</formula>
    </cfRule>
    <cfRule type="expression" dxfId="116" priority="194">
      <formula>Y96="vazio"</formula>
    </cfRule>
  </conditionalFormatting>
  <conditionalFormatting sqref="Y101:AB106">
    <cfRule type="expression" dxfId="115" priority="180">
      <formula>Y101="risco"</formula>
    </cfRule>
    <cfRule type="expression" dxfId="114" priority="181">
      <formula>Y101="entregue"</formula>
    </cfRule>
    <cfRule type="expression" dxfId="113" priority="182">
      <formula>Y101="atrasado"</formula>
    </cfRule>
    <cfRule type="expression" dxfId="112" priority="183">
      <formula>Y101="efprazo"</formula>
    </cfRule>
    <cfRule type="expression" dxfId="111" priority="184">
      <formula>Y101="vazio"</formula>
    </cfRule>
  </conditionalFormatting>
  <conditionalFormatting sqref="C22:H22 J22:X22 K23:K25">
    <cfRule type="expression" dxfId="110" priority="153">
      <formula>C22="nok"</formula>
    </cfRule>
    <cfRule type="expression" dxfId="109" priority="154">
      <formula>C22="ok"</formula>
    </cfRule>
  </conditionalFormatting>
  <conditionalFormatting sqref="I29:I31">
    <cfRule type="expression" dxfId="108" priority="151">
      <formula>I29="nok"</formula>
    </cfRule>
    <cfRule type="expression" dxfId="107" priority="152">
      <formula>I29="ok"</formula>
    </cfRule>
  </conditionalFormatting>
  <conditionalFormatting sqref="C36:H39 L36:X39">
    <cfRule type="expression" dxfId="106" priority="149">
      <formula>C36="nok"</formula>
    </cfRule>
    <cfRule type="expression" dxfId="105" priority="150">
      <formula>C36="ok"</formula>
    </cfRule>
  </conditionalFormatting>
  <conditionalFormatting sqref="C42:H45 L42:X45">
    <cfRule type="expression" dxfId="104" priority="147">
      <formula>C42="nok"</formula>
    </cfRule>
    <cfRule type="expression" dxfId="103" priority="148">
      <formula>C42="ok"</formula>
    </cfRule>
  </conditionalFormatting>
  <conditionalFormatting sqref="C50:H50 J50:X50 C51:X53">
    <cfRule type="expression" dxfId="102" priority="145">
      <formula>C50="nok"</formula>
    </cfRule>
    <cfRule type="expression" dxfId="101" priority="146">
      <formula>C50="ok"</formula>
    </cfRule>
  </conditionalFormatting>
  <conditionalFormatting sqref="C56:H56 J56:X56">
    <cfRule type="expression" dxfId="100" priority="143">
      <formula>C56="nok"</formula>
    </cfRule>
    <cfRule type="expression" dxfId="99" priority="144">
      <formula>C56="ok"</formula>
    </cfRule>
  </conditionalFormatting>
  <conditionalFormatting sqref="C58:X59">
    <cfRule type="expression" dxfId="98" priority="141">
      <formula>C58="nok"</formula>
    </cfRule>
    <cfRule type="expression" dxfId="97" priority="142">
      <formula>C58="ok"</formula>
    </cfRule>
  </conditionalFormatting>
  <conditionalFormatting sqref="C61:X62">
    <cfRule type="expression" dxfId="96" priority="139">
      <formula>C61="nok"</formula>
    </cfRule>
    <cfRule type="expression" dxfId="95" priority="140">
      <formula>C61="ok"</formula>
    </cfRule>
  </conditionalFormatting>
  <conditionalFormatting sqref="C64:X65">
    <cfRule type="expression" dxfId="94" priority="137">
      <formula>C64="nok"</formula>
    </cfRule>
    <cfRule type="expression" dxfId="93" priority="138">
      <formula>C64="ok"</formula>
    </cfRule>
  </conditionalFormatting>
  <conditionalFormatting sqref="C70:X70">
    <cfRule type="expression" dxfId="92" priority="135">
      <formula>C70="nok"</formula>
    </cfRule>
    <cfRule type="expression" dxfId="91" priority="136">
      <formula>C70="ok"</formula>
    </cfRule>
  </conditionalFormatting>
  <conditionalFormatting sqref="C73:X73">
    <cfRule type="expression" dxfId="90" priority="133">
      <formula>C73="nok"</formula>
    </cfRule>
    <cfRule type="expression" dxfId="89" priority="134">
      <formula>C73="ok"</formula>
    </cfRule>
  </conditionalFormatting>
  <conditionalFormatting sqref="C75:X75">
    <cfRule type="expression" dxfId="88" priority="131">
      <formula>C75="nok"</formula>
    </cfRule>
    <cfRule type="expression" dxfId="87" priority="132">
      <formula>C75="ok"</formula>
    </cfRule>
  </conditionalFormatting>
  <conditionalFormatting sqref="C79:G79 I79:X79">
    <cfRule type="expression" dxfId="86" priority="129">
      <formula>C79="nok"</formula>
    </cfRule>
    <cfRule type="expression" dxfId="85" priority="130">
      <formula>C79="ok"</formula>
    </cfRule>
  </conditionalFormatting>
  <conditionalFormatting sqref="C81:K81 M81:X81">
    <cfRule type="expression" dxfId="84" priority="127">
      <formula>C81="nok"</formula>
    </cfRule>
    <cfRule type="expression" dxfId="83" priority="128">
      <formula>C81="ok"</formula>
    </cfRule>
  </conditionalFormatting>
  <conditionalFormatting sqref="C84:K84 M84:X84">
    <cfRule type="expression" dxfId="82" priority="125">
      <formula>C84="nok"</formula>
    </cfRule>
    <cfRule type="expression" dxfId="81" priority="126">
      <formula>C84="ok"</formula>
    </cfRule>
  </conditionalFormatting>
  <conditionalFormatting sqref="C88:F89 H88:X89">
    <cfRule type="expression" dxfId="80" priority="123">
      <formula>C88="nok"</formula>
    </cfRule>
    <cfRule type="expression" dxfId="79" priority="124">
      <formula>C88="ok"</formula>
    </cfRule>
  </conditionalFormatting>
  <conditionalFormatting sqref="D96:X99">
    <cfRule type="expression" dxfId="78" priority="119">
      <formula>D96="nok"</formula>
    </cfRule>
    <cfRule type="expression" dxfId="77" priority="120">
      <formula>D96="ok"</formula>
    </cfRule>
  </conditionalFormatting>
  <conditionalFormatting sqref="D101:X105">
    <cfRule type="expression" dxfId="76" priority="117">
      <formula>D101="nok"</formula>
    </cfRule>
    <cfRule type="expression" dxfId="75" priority="118">
      <formula>D101="ok"</formula>
    </cfRule>
  </conditionalFormatting>
  <conditionalFormatting sqref="D106:X106">
    <cfRule type="expression" dxfId="74" priority="115">
      <formula>D106="nok"</formula>
    </cfRule>
    <cfRule type="expression" dxfId="73" priority="116">
      <formula>D106="ok"</formula>
    </cfRule>
  </conditionalFormatting>
  <conditionalFormatting sqref="I14">
    <cfRule type="expression" dxfId="72" priority="109">
      <formula>I14="nok"</formula>
    </cfRule>
    <cfRule type="expression" dxfId="71" priority="110">
      <formula>I14="ok"</formula>
    </cfRule>
  </conditionalFormatting>
  <conditionalFormatting sqref="L15">
    <cfRule type="expression" dxfId="70" priority="107">
      <formula>L15="nok"</formula>
    </cfRule>
    <cfRule type="expression" dxfId="69" priority="108">
      <formula>L15="ok"</formula>
    </cfRule>
  </conditionalFormatting>
  <conditionalFormatting sqref="L16">
    <cfRule type="expression" dxfId="68" priority="105">
      <formula>L16="nok"</formula>
    </cfRule>
    <cfRule type="expression" dxfId="67" priority="106">
      <formula>L16="ok"</formula>
    </cfRule>
  </conditionalFormatting>
  <conditionalFormatting sqref="I22">
    <cfRule type="expression" dxfId="66" priority="103">
      <formula>I22="nok"</formula>
    </cfRule>
    <cfRule type="expression" dxfId="65" priority="104">
      <formula>I22="ok"</formula>
    </cfRule>
  </conditionalFormatting>
  <conditionalFormatting sqref="I28">
    <cfRule type="expression" dxfId="64" priority="93">
      <formula>I28="nok"</formula>
    </cfRule>
    <cfRule type="expression" dxfId="63" priority="94">
      <formula>I28="ok"</formula>
    </cfRule>
  </conditionalFormatting>
  <conditionalFormatting sqref="I37:J39 J36:K36">
    <cfRule type="expression" dxfId="62" priority="91">
      <formula>I36="nok"</formula>
    </cfRule>
    <cfRule type="expression" dxfId="61" priority="92">
      <formula>I36="ok"</formula>
    </cfRule>
  </conditionalFormatting>
  <conditionalFormatting sqref="K37:K39">
    <cfRule type="expression" dxfId="60" priority="89">
      <formula>K37="nok"</formula>
    </cfRule>
    <cfRule type="expression" dxfId="59" priority="90">
      <formula>K37="ok"</formula>
    </cfRule>
  </conditionalFormatting>
  <conditionalFormatting sqref="I36">
    <cfRule type="expression" dxfId="58" priority="85">
      <formula>I36="nok"</formula>
    </cfRule>
    <cfRule type="expression" dxfId="57" priority="86">
      <formula>I36="ok"</formula>
    </cfRule>
  </conditionalFormatting>
  <conditionalFormatting sqref="J42:K45 I43:I45">
    <cfRule type="expression" dxfId="56" priority="83">
      <formula>I42="nok"</formula>
    </cfRule>
    <cfRule type="expression" dxfId="55" priority="84">
      <formula>I42="ok"</formula>
    </cfRule>
  </conditionalFormatting>
  <conditionalFormatting sqref="I42">
    <cfRule type="expression" dxfId="54" priority="77">
      <formula>I42="nok"</formula>
    </cfRule>
    <cfRule type="expression" dxfId="53" priority="78">
      <formula>I42="ok"</formula>
    </cfRule>
  </conditionalFormatting>
  <conditionalFormatting sqref="I50">
    <cfRule type="expression" dxfId="52" priority="75">
      <formula>I50="nok"</formula>
    </cfRule>
    <cfRule type="expression" dxfId="51" priority="76">
      <formula>I50="ok"</formula>
    </cfRule>
  </conditionalFormatting>
  <conditionalFormatting sqref="I56">
    <cfRule type="expression" dxfId="50" priority="65">
      <formula>I56="nok"</formula>
    </cfRule>
    <cfRule type="expression" dxfId="49" priority="66">
      <formula>I56="ok"</formula>
    </cfRule>
  </conditionalFormatting>
  <conditionalFormatting sqref="H79">
    <cfRule type="expression" dxfId="48" priority="63">
      <formula>H79="nok"</formula>
    </cfRule>
    <cfRule type="expression" dxfId="47" priority="64">
      <formula>H79="ok"</formula>
    </cfRule>
  </conditionalFormatting>
  <conditionalFormatting sqref="G88">
    <cfRule type="expression" dxfId="46" priority="61">
      <formula>G88="nok"</formula>
    </cfRule>
    <cfRule type="expression" dxfId="45" priority="62">
      <formula>G88="ok"</formula>
    </cfRule>
  </conditionalFormatting>
  <conditionalFormatting sqref="G89">
    <cfRule type="expression" dxfId="44" priority="59">
      <formula>G89="nok"</formula>
    </cfRule>
    <cfRule type="expression" dxfId="43" priority="60">
      <formula>G89="ok"</formula>
    </cfRule>
  </conditionalFormatting>
  <conditionalFormatting sqref="L81">
    <cfRule type="expression" dxfId="42" priority="57">
      <formula>L81="nok"</formula>
    </cfRule>
    <cfRule type="expression" dxfId="41" priority="58">
      <formula>L81="ok"</formula>
    </cfRule>
  </conditionalFormatting>
  <conditionalFormatting sqref="L84">
    <cfRule type="expression" dxfId="40" priority="55">
      <formula>L84="nok"</formula>
    </cfRule>
    <cfRule type="expression" dxfId="39" priority="56">
      <formula>L84="ok"</formula>
    </cfRule>
  </conditionalFormatting>
  <conditionalFormatting sqref="C96:C99">
    <cfRule type="expression" dxfId="38" priority="45">
      <formula>C96="nok"</formula>
    </cfRule>
    <cfRule type="expression" dxfId="37" priority="46">
      <formula>C96="ok"</formula>
    </cfRule>
  </conditionalFormatting>
  <conditionalFormatting sqref="C101:C106">
    <cfRule type="expression" dxfId="36" priority="43">
      <formula>C101="nok"</formula>
    </cfRule>
    <cfRule type="expression" dxfId="35" priority="44">
      <formula>C101="ok"</formula>
    </cfRule>
  </conditionalFormatting>
  <conditionalFormatting sqref="C92:X92">
    <cfRule type="expression" dxfId="34" priority="41">
      <formula>C92="nok"</formula>
    </cfRule>
    <cfRule type="expression" dxfId="33" priority="42">
      <formula>C92="ok"</formula>
    </cfRule>
  </conditionalFormatting>
  <conditionalFormatting sqref="Y30:AB30">
    <cfRule type="expression" dxfId="32" priority="36">
      <formula>Y30="risco"</formula>
    </cfRule>
    <cfRule type="expression" dxfId="31" priority="37">
      <formula>Y30="entregue"</formula>
    </cfRule>
    <cfRule type="expression" dxfId="30" priority="38">
      <formula>Y30="atrasado"</formula>
    </cfRule>
    <cfRule type="expression" dxfId="29" priority="39">
      <formula>Y30="efprazo"</formula>
    </cfRule>
    <cfRule type="expression" dxfId="28" priority="40">
      <formula>Y30="vazio"</formula>
    </cfRule>
  </conditionalFormatting>
  <conditionalFormatting sqref="Y31:AB31">
    <cfRule type="expression" dxfId="27" priority="31">
      <formula>Y31="risco"</formula>
    </cfRule>
    <cfRule type="expression" dxfId="26" priority="32">
      <formula>Y31="entregue"</formula>
    </cfRule>
    <cfRule type="expression" dxfId="25" priority="33">
      <formula>Y31="atrasado"</formula>
    </cfRule>
    <cfRule type="expression" dxfId="24" priority="34">
      <formula>Y31="efprazo"</formula>
    </cfRule>
    <cfRule type="expression" dxfId="23" priority="35">
      <formula>Y31="vazio"</formula>
    </cfRule>
  </conditionalFormatting>
  <conditionalFormatting sqref="Y29:AB29">
    <cfRule type="expression" dxfId="22" priority="16">
      <formula>Y29="risco"</formula>
    </cfRule>
    <cfRule type="expression" dxfId="21" priority="17">
      <formula>Y29="entregue"</formula>
    </cfRule>
    <cfRule type="expression" dxfId="20" priority="18">
      <formula>Y29="atrasado"</formula>
    </cfRule>
    <cfRule type="expression" dxfId="19" priority="19">
      <formula>Y29="efprazo"</formula>
    </cfRule>
    <cfRule type="expression" dxfId="18" priority="20">
      <formula>Y29="vazio"</formula>
    </cfRule>
  </conditionalFormatting>
  <conditionalFormatting sqref="Y43:AB43">
    <cfRule type="expression" dxfId="17" priority="11">
      <formula>Y43="risco"</formula>
    </cfRule>
    <cfRule type="expression" dxfId="16" priority="12">
      <formula>Y43="entregue"</formula>
    </cfRule>
    <cfRule type="expression" dxfId="15" priority="13">
      <formula>Y43="atrasado"</formula>
    </cfRule>
    <cfRule type="expression" dxfId="14" priority="14">
      <formula>Y43="efprazo"</formula>
    </cfRule>
    <cfRule type="expression" dxfId="13" priority="15">
      <formula>Y43="vazio"</formula>
    </cfRule>
  </conditionalFormatting>
  <conditionalFormatting sqref="Y44:AB44">
    <cfRule type="expression" dxfId="12" priority="6">
      <formula>Y44="risco"</formula>
    </cfRule>
    <cfRule type="expression" dxfId="11" priority="7">
      <formula>Y44="entregue"</formula>
    </cfRule>
    <cfRule type="expression" dxfId="10" priority="8">
      <formula>Y44="atrasado"</formula>
    </cfRule>
    <cfRule type="expression" dxfId="9" priority="9">
      <formula>Y44="efprazo"</formula>
    </cfRule>
    <cfRule type="expression" dxfId="8" priority="10">
      <formula>Y44="vazio"</formula>
    </cfRule>
  </conditionalFormatting>
  <conditionalFormatting sqref="Y45:AB45">
    <cfRule type="expression" dxfId="7" priority="1">
      <formula>Y45="risco"</formula>
    </cfRule>
    <cfRule type="expression" dxfId="6" priority="2">
      <formula>Y45="entregue"</formula>
    </cfRule>
    <cfRule type="expression" dxfId="5" priority="3">
      <formula>Y45="atrasado"</formula>
    </cfRule>
    <cfRule type="expression" dxfId="4" priority="4">
      <formula>Y45="efprazo"</formula>
    </cfRule>
    <cfRule type="expression" dxfId="3" priority="5">
      <formula>Y45="vazio"</formula>
    </cfRule>
  </conditionalFormatting>
  <dataValidations count="1">
    <dataValidation type="list" allowBlank="1" showInputMessage="1" showErrorMessage="1" sqref="Y10:AB12 Y14:AB16 Y101:AB106 Y36:AB39 Y42:AB45 Y58:AB59 Y61:AB62 Y64:AB65 Y70:AB70 Y73:AB73 Y75:AB75 Y79:AB79 Y81:AB81 Y84:AB84 Y88:AB89 Y92:AB92 Y56:AB56 Y96:AB99 Y50:AB53 Y28:AB31 Y22:AB25" xr:uid="{D41C92AC-224F-405F-AADD-9226EA675B9A}">
      <formula1>"ENTREGUE,RISCO,ATRASADO,EFPRAZO,VAZIO"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ECDFC-F43B-4568-BADA-59A27C22820D}">
  <sheetPr codeName="Planilha10"/>
  <dimension ref="A1:G190"/>
  <sheetViews>
    <sheetView showGridLines="0" zoomScale="59" zoomScaleNormal="59" workbookViewId="0">
      <pane ySplit="7" topLeftCell="A8" activePane="bottomLeft" state="frozen"/>
      <selection pane="bottomLeft" activeCell="E12" sqref="E12"/>
    </sheetView>
  </sheetViews>
  <sheetFormatPr defaultRowHeight="14.5" x14ac:dyDescent="0.35"/>
  <cols>
    <col min="1" max="1" width="70.7265625" customWidth="1"/>
    <col min="2" max="2" width="75.7265625" style="29" customWidth="1"/>
    <col min="3" max="3" width="37.54296875" customWidth="1"/>
    <col min="4" max="4" width="26.81640625" customWidth="1"/>
    <col min="5" max="5" width="73.1796875" style="3" customWidth="1"/>
    <col min="6" max="6" width="16.81640625" customWidth="1"/>
    <col min="7" max="7" width="32.1796875" style="29" customWidth="1"/>
  </cols>
  <sheetData>
    <row r="1" spans="1:7" ht="6.75" customHeight="1" x14ac:dyDescent="0.35">
      <c r="A1" s="159"/>
      <c r="E1" s="36"/>
    </row>
    <row r="2" spans="1:7" ht="15" customHeight="1" x14ac:dyDescent="0.35">
      <c r="A2" s="159"/>
      <c r="C2" s="2"/>
      <c r="D2" s="2"/>
      <c r="E2" s="37"/>
      <c r="F2" s="26"/>
    </row>
    <row r="3" spans="1:7" ht="36.75" customHeight="1" x14ac:dyDescent="0.35">
      <c r="A3" s="159"/>
      <c r="C3" s="2"/>
      <c r="D3" s="2"/>
      <c r="E3" s="37"/>
      <c r="F3" s="26"/>
    </row>
    <row r="4" spans="1:7" ht="17.25" customHeight="1" x14ac:dyDescent="0.35">
      <c r="A4" s="159"/>
      <c r="B4" s="159"/>
      <c r="C4" s="162"/>
      <c r="D4" s="162"/>
      <c r="E4" s="163"/>
      <c r="F4" s="158"/>
      <c r="G4" s="158"/>
    </row>
    <row r="5" spans="1:7" ht="34.5" customHeight="1" x14ac:dyDescent="0.35">
      <c r="A5" s="48"/>
      <c r="B5" s="159"/>
      <c r="C5" s="159"/>
      <c r="D5" s="159"/>
      <c r="E5" s="164"/>
      <c r="F5" s="161"/>
      <c r="G5" s="158"/>
    </row>
    <row r="6" spans="1:7" ht="8.25" customHeight="1" x14ac:dyDescent="0.35">
      <c r="A6" s="160" t="s">
        <v>18</v>
      </c>
      <c r="B6" s="40"/>
      <c r="C6" s="19"/>
      <c r="D6" s="19"/>
      <c r="E6" s="38"/>
      <c r="F6" s="21"/>
      <c r="G6" s="85"/>
    </row>
    <row r="7" spans="1:7" ht="41.25" customHeight="1" x14ac:dyDescent="0.35">
      <c r="A7" s="160"/>
      <c r="B7" s="20" t="s">
        <v>17</v>
      </c>
      <c r="C7" s="20" t="s">
        <v>0</v>
      </c>
      <c r="D7" s="20" t="s">
        <v>1</v>
      </c>
      <c r="E7" s="31" t="s">
        <v>12</v>
      </c>
      <c r="F7" s="32" t="s">
        <v>9</v>
      </c>
      <c r="G7" s="86" t="s">
        <v>34</v>
      </c>
    </row>
    <row r="8" spans="1:7" ht="65.150000000000006" customHeight="1" x14ac:dyDescent="0.35">
      <c r="A8" s="41" t="str" cm="1">
        <f t="array" ref="A8:A11">_xlfn._xlws.FILTER(MAURO!A6:A9936,MAURO!AF6:AF9936&lt;&gt;"","")</f>
        <v>PT138 - ANÁLISE ESTRUTURAL DO VVS1
GERAL
TRADE-OFF - 5 ALTERNATIVAS</v>
      </c>
      <c r="B8" s="41" t="str" cm="1">
        <f t="array" ref="B8:B11">_xlfn._xlws.FILTER(MAURO!B6:B9971,MAURO!AF6:AF9971&lt;&gt;"","")</f>
        <v>Elaboração do Plano de Trade Off</v>
      </c>
      <c r="C8" s="22" t="str" cm="1">
        <f t="array" ref="C8:C11">_xlfn._xlws.FILTER(MAURO!AF6:AF9971,MAURO!AF6:AF9971&lt;&gt;"","")</f>
        <v>Mauro / Gabriel Honorato</v>
      </c>
      <c r="D8" s="23" cm="1">
        <f t="array" ref="D8:D11">_xlfn._xlws.FILTER(MAURO!AG6:AG9971,MAURO!AG6:AG9971&lt;&gt;"","")</f>
        <v>45230</v>
      </c>
      <c r="E8" s="33" t="str" cm="1">
        <f t="array" ref="E8:E11">_xlfn._xlws.FILTER(MAURO!AH6:AH9971,MAURO!AH6:AH9971&lt;&gt;"","")</f>
        <v>Desenvolvimento de documento final do Plano de Trade-Off</v>
      </c>
      <c r="F8" s="28" t="s">
        <v>15</v>
      </c>
    </row>
    <row r="9" spans="1:7" ht="65.150000000000006" customHeight="1" x14ac:dyDescent="0.35">
      <c r="A9" s="43" t="str">
        <v>MOSAIC
MÁQUINAS DE PÁTIO - CAJATI
EMPILHADEIRA - HO01SK</v>
      </c>
      <c r="B9" s="43" t="str">
        <v>Coleta</v>
      </c>
      <c r="C9" s="44" t="str">
        <v>Leonardo</v>
      </c>
      <c r="D9" s="45">
        <v>45222</v>
      </c>
      <c r="E9" s="46" t="str">
        <v>Coletas serão realizadas com os equipamentos já instalados</v>
      </c>
      <c r="F9" s="47" t="s">
        <v>98</v>
      </c>
      <c r="G9" s="87"/>
    </row>
    <row r="10" spans="1:7" ht="65.150000000000006" customHeight="1" x14ac:dyDescent="0.35">
      <c r="A10" s="42" t="str">
        <v>MOSAIC
MÁQUINAS DE PÁTIO - CAJATI
EMPILHADEIRA - HO01SK</v>
      </c>
      <c r="B10" s="42" t="str">
        <v>Elaboração do Relatório de Campo</v>
      </c>
      <c r="C10" s="24" t="str">
        <v>Mauro \ Marcos</v>
      </c>
      <c r="D10" s="25">
        <v>45219</v>
      </c>
      <c r="E10" s="34" t="str">
        <v>Elaboração do relatório de campo com informações de inspeções realizadas. Dados de coleta serão incluídos depois.</v>
      </c>
      <c r="F10" s="28" t="s">
        <v>98</v>
      </c>
    </row>
    <row r="11" spans="1:7" ht="65.150000000000006" customHeight="1" x14ac:dyDescent="0.35">
      <c r="A11" s="43" t="str">
        <v>CSI - CSN
PRÉDIO DE PENEIRAMENTO - CASA DE PEDRA
MARCOS CONTRATUAIS</v>
      </c>
      <c r="B11" s="43" t="str">
        <v>MARCO - Emissão Inicial</v>
      </c>
      <c r="C11" s="44" t="str">
        <v>Mauro</v>
      </c>
      <c r="D11" s="45">
        <v>45210</v>
      </c>
      <c r="E11" s="46" t="str">
        <v>Entrega do relatório atualizado, juntamente com a revisão do desenho esquemático</v>
      </c>
      <c r="F11" s="47" t="s">
        <v>98</v>
      </c>
      <c r="G11" s="87"/>
    </row>
    <row r="12" spans="1:7" ht="65.150000000000006" customHeight="1" x14ac:dyDescent="0.35">
      <c r="A12" s="42"/>
      <c r="B12" s="42"/>
      <c r="C12" s="24"/>
      <c r="D12" s="25"/>
      <c r="E12" s="34"/>
      <c r="F12" s="28"/>
    </row>
    <row r="13" spans="1:7" ht="65.150000000000006" customHeight="1" x14ac:dyDescent="0.35">
      <c r="A13" s="43"/>
      <c r="B13" s="43"/>
      <c r="C13" s="44"/>
      <c r="D13" s="45"/>
      <c r="E13" s="46"/>
      <c r="F13" s="47"/>
      <c r="G13" s="87"/>
    </row>
    <row r="14" spans="1:7" ht="65.150000000000006" customHeight="1" x14ac:dyDescent="0.35">
      <c r="A14" s="42"/>
      <c r="B14" s="42"/>
      <c r="C14" s="24"/>
      <c r="D14" s="25"/>
      <c r="E14" s="34"/>
      <c r="F14" s="28"/>
    </row>
    <row r="15" spans="1:7" ht="65.150000000000006" customHeight="1" x14ac:dyDescent="0.35">
      <c r="A15" s="43"/>
      <c r="B15" s="43"/>
      <c r="C15" s="44"/>
      <c r="D15" s="45"/>
      <c r="E15" s="46"/>
      <c r="F15" s="47"/>
      <c r="G15" s="87"/>
    </row>
    <row r="16" spans="1:7" ht="65.150000000000006" customHeight="1" x14ac:dyDescent="0.35">
      <c r="A16" s="42"/>
      <c r="B16" s="42"/>
      <c r="C16" s="24"/>
      <c r="D16" s="25"/>
      <c r="E16" s="34"/>
      <c r="F16" s="28"/>
    </row>
    <row r="17" spans="1:7" ht="65.150000000000006" customHeight="1" x14ac:dyDescent="0.35">
      <c r="A17" s="43"/>
      <c r="B17" s="43"/>
      <c r="C17" s="44"/>
      <c r="D17" s="45"/>
      <c r="E17" s="46"/>
      <c r="F17" s="47"/>
      <c r="G17" s="87"/>
    </row>
    <row r="18" spans="1:7" ht="65.150000000000006" customHeight="1" x14ac:dyDescent="0.35">
      <c r="A18" s="42"/>
      <c r="B18" s="42"/>
      <c r="C18" s="24"/>
      <c r="D18" s="25"/>
      <c r="E18" s="34"/>
      <c r="F18" s="28" t="s">
        <v>15</v>
      </c>
    </row>
    <row r="19" spans="1:7" ht="65.150000000000006" customHeight="1" x14ac:dyDescent="0.35">
      <c r="A19" s="43"/>
      <c r="B19" s="43"/>
      <c r="C19" s="44"/>
      <c r="D19" s="45"/>
      <c r="E19" s="46"/>
      <c r="F19" s="47"/>
      <c r="G19" s="87"/>
    </row>
    <row r="20" spans="1:7" ht="65.150000000000006" customHeight="1" x14ac:dyDescent="0.35">
      <c r="A20" s="42"/>
      <c r="B20" s="42"/>
      <c r="C20" s="24"/>
      <c r="D20" s="25"/>
      <c r="E20" s="34"/>
      <c r="F20" s="28" t="s">
        <v>15</v>
      </c>
    </row>
    <row r="21" spans="1:7" ht="65.150000000000006" customHeight="1" x14ac:dyDescent="0.35">
      <c r="A21" s="43"/>
      <c r="B21" s="43"/>
      <c r="C21" s="44"/>
      <c r="D21" s="45"/>
      <c r="E21" s="46"/>
      <c r="F21" s="47"/>
      <c r="G21" s="87"/>
    </row>
    <row r="22" spans="1:7" ht="65.150000000000006" customHeight="1" x14ac:dyDescent="0.35">
      <c r="A22" s="42"/>
      <c r="B22" s="42"/>
      <c r="C22" s="24"/>
      <c r="D22" s="25"/>
      <c r="E22" s="34"/>
      <c r="F22" s="28" t="s">
        <v>15</v>
      </c>
    </row>
    <row r="23" spans="1:7" ht="65.150000000000006" customHeight="1" x14ac:dyDescent="0.35">
      <c r="A23" s="43"/>
      <c r="B23" s="43"/>
      <c r="C23" s="44"/>
      <c r="D23" s="45"/>
      <c r="E23" s="46"/>
      <c r="F23" s="47"/>
      <c r="G23" s="87"/>
    </row>
    <row r="24" spans="1:7" ht="65.150000000000006" customHeight="1" x14ac:dyDescent="0.35">
      <c r="A24" s="42"/>
      <c r="B24" s="42"/>
      <c r="C24" s="24"/>
      <c r="D24" s="25"/>
      <c r="E24" s="34"/>
      <c r="F24" s="28" t="s">
        <v>15</v>
      </c>
    </row>
    <row r="25" spans="1:7" ht="65.150000000000006" customHeight="1" x14ac:dyDescent="0.35">
      <c r="A25" s="43"/>
      <c r="B25" s="43"/>
      <c r="C25" s="44"/>
      <c r="D25" s="45"/>
      <c r="E25" s="46"/>
      <c r="F25" s="47"/>
      <c r="G25" s="87"/>
    </row>
    <row r="26" spans="1:7" ht="65.150000000000006" customHeight="1" x14ac:dyDescent="0.35">
      <c r="A26" s="42"/>
      <c r="B26" s="42"/>
      <c r="C26" s="24"/>
      <c r="D26" s="25"/>
      <c r="E26" s="34"/>
      <c r="F26" s="28" t="s">
        <v>15</v>
      </c>
    </row>
    <row r="27" spans="1:7" ht="65.150000000000006" customHeight="1" x14ac:dyDescent="0.35">
      <c r="A27" s="43"/>
      <c r="B27" s="43"/>
      <c r="C27" s="44"/>
      <c r="D27" s="45"/>
      <c r="E27" s="46"/>
      <c r="F27" s="47"/>
      <c r="G27" s="87"/>
    </row>
    <row r="28" spans="1:7" ht="65.150000000000006" customHeight="1" x14ac:dyDescent="0.35">
      <c r="A28" s="42"/>
      <c r="B28" s="42"/>
      <c r="C28" s="24"/>
      <c r="D28" s="25"/>
      <c r="E28" s="34"/>
      <c r="F28" s="28" t="s">
        <v>15</v>
      </c>
    </row>
    <row r="29" spans="1:7" ht="65.150000000000006" customHeight="1" x14ac:dyDescent="0.35">
      <c r="A29" s="43"/>
      <c r="B29" s="43"/>
      <c r="C29" s="44"/>
      <c r="D29" s="45"/>
      <c r="E29" s="46"/>
      <c r="F29" s="47"/>
      <c r="G29" s="87"/>
    </row>
    <row r="30" spans="1:7" ht="65.150000000000006" customHeight="1" x14ac:dyDescent="0.35">
      <c r="A30" s="42"/>
      <c r="B30" s="42"/>
      <c r="C30" s="24"/>
      <c r="D30" s="25"/>
      <c r="E30" s="34"/>
      <c r="F30" s="28" t="s">
        <v>15</v>
      </c>
    </row>
    <row r="31" spans="1:7" ht="65.150000000000006" customHeight="1" x14ac:dyDescent="0.35">
      <c r="A31" s="43"/>
      <c r="B31" s="43"/>
      <c r="C31" s="44"/>
      <c r="D31" s="45"/>
      <c r="E31" s="46"/>
      <c r="F31" s="47"/>
      <c r="G31" s="87"/>
    </row>
    <row r="32" spans="1:7" ht="65.150000000000006" customHeight="1" x14ac:dyDescent="0.35">
      <c r="A32" s="42"/>
      <c r="B32" s="42"/>
      <c r="C32" s="24"/>
      <c r="D32" s="25"/>
      <c r="E32" s="34"/>
      <c r="F32" s="28" t="s">
        <v>15</v>
      </c>
    </row>
    <row r="33" spans="1:7" ht="65.150000000000006" customHeight="1" x14ac:dyDescent="0.35">
      <c r="A33" s="43"/>
      <c r="B33" s="43"/>
      <c r="C33" s="44"/>
      <c r="D33" s="45"/>
      <c r="E33" s="46"/>
      <c r="F33" s="47"/>
      <c r="G33" s="87"/>
    </row>
    <row r="34" spans="1:7" ht="65.150000000000006" customHeight="1" x14ac:dyDescent="0.35">
      <c r="A34" s="42"/>
      <c r="B34" s="42"/>
      <c r="C34" s="24"/>
      <c r="D34" s="25"/>
      <c r="E34" s="34"/>
      <c r="F34" s="28" t="s">
        <v>15</v>
      </c>
    </row>
    <row r="35" spans="1:7" ht="65.150000000000006" customHeight="1" x14ac:dyDescent="0.35">
      <c r="A35" s="43"/>
      <c r="B35" s="43"/>
      <c r="C35" s="44"/>
      <c r="D35" s="45"/>
      <c r="E35" s="46"/>
      <c r="F35" s="47" t="s">
        <v>15</v>
      </c>
      <c r="G35" s="87"/>
    </row>
    <row r="36" spans="1:7" ht="65.150000000000006" customHeight="1" x14ac:dyDescent="0.35">
      <c r="A36" s="42"/>
      <c r="B36" s="42"/>
      <c r="C36" s="24"/>
      <c r="D36" s="25"/>
      <c r="E36" s="34"/>
      <c r="F36" s="28" t="s">
        <v>15</v>
      </c>
    </row>
    <row r="37" spans="1:7" ht="65.150000000000006" customHeight="1" x14ac:dyDescent="0.35">
      <c r="A37" s="43"/>
      <c r="B37" s="43"/>
      <c r="C37" s="44"/>
      <c r="D37" s="45"/>
      <c r="E37" s="46"/>
      <c r="F37" s="47" t="s">
        <v>15</v>
      </c>
      <c r="G37" s="87"/>
    </row>
    <row r="38" spans="1:7" ht="65.150000000000006" customHeight="1" x14ac:dyDescent="0.35">
      <c r="A38" s="42"/>
      <c r="B38" s="42"/>
      <c r="C38" s="24"/>
      <c r="D38" s="25"/>
      <c r="E38" s="34"/>
      <c r="F38" s="28" t="s">
        <v>15</v>
      </c>
    </row>
    <row r="39" spans="1:7" ht="65.150000000000006" customHeight="1" x14ac:dyDescent="0.35">
      <c r="A39" s="43"/>
      <c r="B39" s="43"/>
      <c r="C39" s="44"/>
      <c r="D39" s="45"/>
      <c r="E39" s="46"/>
      <c r="F39" s="47" t="s">
        <v>15</v>
      </c>
      <c r="G39" s="87"/>
    </row>
    <row r="40" spans="1:7" ht="65.150000000000006" customHeight="1" x14ac:dyDescent="0.35">
      <c r="A40" s="42"/>
      <c r="B40" s="42"/>
      <c r="C40" s="24"/>
      <c r="D40" s="25"/>
      <c r="E40" s="34"/>
      <c r="F40" s="28" t="s">
        <v>15</v>
      </c>
    </row>
    <row r="41" spans="1:7" ht="65.150000000000006" customHeight="1" x14ac:dyDescent="0.35">
      <c r="A41" s="43"/>
      <c r="B41" s="43"/>
      <c r="C41" s="44"/>
      <c r="D41" s="45"/>
      <c r="E41" s="46"/>
      <c r="F41" s="47" t="s">
        <v>15</v>
      </c>
      <c r="G41" s="87"/>
    </row>
    <row r="42" spans="1:7" ht="65.150000000000006" customHeight="1" x14ac:dyDescent="0.35">
      <c r="A42" s="42"/>
      <c r="B42" s="42"/>
      <c r="C42" s="24"/>
      <c r="D42" s="25"/>
      <c r="E42" s="34"/>
      <c r="F42" s="28" t="s">
        <v>15</v>
      </c>
    </row>
    <row r="43" spans="1:7" ht="65.150000000000006" customHeight="1" x14ac:dyDescent="0.35">
      <c r="A43" s="43"/>
      <c r="B43" s="43"/>
      <c r="C43" s="44"/>
      <c r="D43" s="45"/>
      <c r="E43" s="46"/>
      <c r="F43" s="47" t="s">
        <v>15</v>
      </c>
      <c r="G43" s="87"/>
    </row>
    <row r="44" spans="1:7" ht="65.150000000000006" customHeight="1" x14ac:dyDescent="0.35">
      <c r="A44" s="42"/>
      <c r="B44" s="42"/>
      <c r="C44" s="24"/>
      <c r="D44" s="25"/>
      <c r="E44" s="34"/>
      <c r="F44" s="28" t="s">
        <v>15</v>
      </c>
    </row>
    <row r="45" spans="1:7" ht="65.150000000000006" customHeight="1" x14ac:dyDescent="0.35">
      <c r="A45" s="43"/>
      <c r="B45" s="43"/>
      <c r="C45" s="44"/>
      <c r="D45" s="45"/>
      <c r="E45" s="46"/>
      <c r="F45" s="47" t="s">
        <v>15</v>
      </c>
      <c r="G45" s="87"/>
    </row>
    <row r="46" spans="1:7" ht="65.150000000000006" customHeight="1" x14ac:dyDescent="0.35">
      <c r="A46" s="42"/>
      <c r="B46" s="42"/>
      <c r="C46" s="24"/>
      <c r="D46" s="25"/>
      <c r="E46" s="34"/>
      <c r="F46" s="28" t="s">
        <v>15</v>
      </c>
    </row>
    <row r="47" spans="1:7" ht="65.150000000000006" customHeight="1" x14ac:dyDescent="0.35">
      <c r="A47" s="43"/>
      <c r="B47" s="43"/>
      <c r="C47" s="44"/>
      <c r="D47" s="45"/>
      <c r="E47" s="46"/>
      <c r="F47" s="47" t="s">
        <v>15</v>
      </c>
      <c r="G47" s="87"/>
    </row>
    <row r="48" spans="1:7" ht="65.150000000000006" customHeight="1" x14ac:dyDescent="0.35">
      <c r="A48" s="42"/>
      <c r="B48" s="42"/>
      <c r="C48" s="24"/>
      <c r="D48" s="25"/>
      <c r="E48" s="34"/>
      <c r="F48" s="28" t="s">
        <v>15</v>
      </c>
    </row>
    <row r="49" spans="1:7" ht="65.150000000000006" customHeight="1" x14ac:dyDescent="0.35">
      <c r="A49" s="43"/>
      <c r="B49" s="43"/>
      <c r="C49" s="44"/>
      <c r="D49" s="45"/>
      <c r="E49" s="46"/>
      <c r="F49" s="47" t="s">
        <v>15</v>
      </c>
      <c r="G49" s="87"/>
    </row>
    <row r="50" spans="1:7" ht="65.150000000000006" customHeight="1" x14ac:dyDescent="0.35">
      <c r="A50" s="42"/>
      <c r="B50" s="42"/>
      <c r="C50" s="24"/>
      <c r="D50" s="25"/>
      <c r="E50" s="34"/>
      <c r="F50" s="28" t="s">
        <v>15</v>
      </c>
    </row>
    <row r="51" spans="1:7" ht="65.150000000000006" customHeight="1" x14ac:dyDescent="0.35">
      <c r="A51" s="43"/>
      <c r="B51" s="43"/>
      <c r="C51" s="44"/>
      <c r="D51" s="45"/>
      <c r="E51" s="46"/>
      <c r="F51" s="47" t="s">
        <v>15</v>
      </c>
      <c r="G51" s="87"/>
    </row>
    <row r="52" spans="1:7" ht="65.150000000000006" customHeight="1" x14ac:dyDescent="0.35">
      <c r="A52" s="42"/>
      <c r="B52" s="42"/>
      <c r="C52" s="24"/>
      <c r="D52" s="25"/>
      <c r="E52" s="34"/>
      <c r="F52" s="28" t="s">
        <v>15</v>
      </c>
    </row>
    <row r="53" spans="1:7" ht="65.150000000000006" customHeight="1" x14ac:dyDescent="0.35">
      <c r="A53" s="43"/>
      <c r="B53" s="43"/>
      <c r="C53" s="44"/>
      <c r="D53" s="45"/>
      <c r="E53" s="46"/>
      <c r="F53" s="47" t="s">
        <v>15</v>
      </c>
      <c r="G53" s="87"/>
    </row>
    <row r="54" spans="1:7" ht="65.150000000000006" customHeight="1" x14ac:dyDescent="0.35">
      <c r="A54" s="42"/>
      <c r="B54" s="42"/>
      <c r="C54" s="24"/>
      <c r="D54" s="25"/>
      <c r="E54" s="34"/>
      <c r="F54" s="28" t="s">
        <v>15</v>
      </c>
    </row>
    <row r="55" spans="1:7" ht="65.150000000000006" customHeight="1" x14ac:dyDescent="0.35">
      <c r="A55" s="43"/>
      <c r="B55" s="43"/>
      <c r="C55" s="44"/>
      <c r="D55" s="45"/>
      <c r="E55" s="46"/>
      <c r="F55" s="47" t="s">
        <v>15</v>
      </c>
      <c r="G55" s="87"/>
    </row>
    <row r="56" spans="1:7" ht="65.150000000000006" customHeight="1" x14ac:dyDescent="0.35">
      <c r="A56" s="42"/>
      <c r="B56" s="42"/>
      <c r="C56" s="24"/>
      <c r="D56" s="25"/>
      <c r="E56" s="34"/>
      <c r="F56" s="28" t="s">
        <v>15</v>
      </c>
    </row>
    <row r="57" spans="1:7" ht="65.150000000000006" customHeight="1" x14ac:dyDescent="0.35">
      <c r="A57" s="43"/>
      <c r="B57" s="43"/>
      <c r="C57" s="44"/>
      <c r="D57" s="45"/>
      <c r="E57" s="46"/>
      <c r="F57" s="47" t="s">
        <v>15</v>
      </c>
      <c r="G57" s="87"/>
    </row>
    <row r="58" spans="1:7" ht="65.150000000000006" customHeight="1" x14ac:dyDescent="0.35">
      <c r="A58" s="42"/>
      <c r="B58" s="42"/>
      <c r="C58" s="24"/>
      <c r="D58" s="25"/>
      <c r="E58" s="34"/>
      <c r="F58" s="28" t="s">
        <v>15</v>
      </c>
    </row>
    <row r="59" spans="1:7" ht="65.150000000000006" customHeight="1" x14ac:dyDescent="0.35">
      <c r="A59" s="43"/>
      <c r="B59" s="43"/>
      <c r="C59" s="44"/>
      <c r="D59" s="45"/>
      <c r="E59" s="46"/>
      <c r="F59" s="47" t="s">
        <v>15</v>
      </c>
      <c r="G59" s="87"/>
    </row>
    <row r="60" spans="1:7" ht="65.150000000000006" customHeight="1" x14ac:dyDescent="0.35">
      <c r="A60" s="42"/>
      <c r="B60" s="42"/>
      <c r="C60" s="24"/>
      <c r="D60" s="25"/>
      <c r="E60" s="34"/>
      <c r="F60" s="28" t="s">
        <v>15</v>
      </c>
    </row>
    <row r="61" spans="1:7" ht="65.150000000000006" customHeight="1" x14ac:dyDescent="0.35">
      <c r="A61" s="43"/>
      <c r="B61" s="43"/>
      <c r="C61" s="44"/>
      <c r="D61" s="45"/>
      <c r="E61" s="46"/>
      <c r="F61" s="47" t="s">
        <v>15</v>
      </c>
      <c r="G61" s="87"/>
    </row>
    <row r="62" spans="1:7" ht="65.150000000000006" customHeight="1" x14ac:dyDescent="0.35">
      <c r="A62" s="42"/>
      <c r="B62" s="42"/>
      <c r="C62" s="24"/>
      <c r="D62" s="25"/>
      <c r="E62" s="34"/>
      <c r="F62" s="28" t="s">
        <v>15</v>
      </c>
    </row>
    <row r="63" spans="1:7" ht="65.150000000000006" customHeight="1" x14ac:dyDescent="0.35">
      <c r="A63" s="43"/>
      <c r="B63" s="43"/>
      <c r="C63" s="44"/>
      <c r="D63" s="45"/>
      <c r="E63" s="46"/>
      <c r="F63" s="47" t="s">
        <v>15</v>
      </c>
      <c r="G63" s="87"/>
    </row>
    <row r="64" spans="1:7" ht="65.150000000000006" customHeight="1" x14ac:dyDescent="0.35">
      <c r="A64" s="42"/>
      <c r="B64" s="42"/>
      <c r="C64" s="24"/>
      <c r="D64" s="25"/>
      <c r="E64" s="34"/>
      <c r="F64" s="28" t="s">
        <v>15</v>
      </c>
    </row>
    <row r="65" spans="1:7" ht="65.150000000000006" customHeight="1" x14ac:dyDescent="0.35">
      <c r="A65" s="43"/>
      <c r="B65" s="43"/>
      <c r="C65" s="44"/>
      <c r="D65" s="45"/>
      <c r="E65" s="46"/>
      <c r="F65" s="47" t="s">
        <v>15</v>
      </c>
      <c r="G65" s="87"/>
    </row>
    <row r="66" spans="1:7" ht="65.150000000000006" customHeight="1" x14ac:dyDescent="0.35">
      <c r="A66" s="42"/>
      <c r="B66" s="42"/>
      <c r="C66" s="24"/>
      <c r="D66" s="25"/>
      <c r="E66" s="34"/>
      <c r="F66" s="28" t="s">
        <v>15</v>
      </c>
    </row>
    <row r="67" spans="1:7" ht="65.150000000000006" customHeight="1" x14ac:dyDescent="0.35">
      <c r="A67" s="43"/>
      <c r="B67" s="43"/>
      <c r="C67" s="44"/>
      <c r="D67" s="45"/>
      <c r="E67" s="46"/>
      <c r="F67" s="47" t="s">
        <v>15</v>
      </c>
      <c r="G67" s="87"/>
    </row>
    <row r="68" spans="1:7" ht="65.150000000000006" customHeight="1" x14ac:dyDescent="0.35">
      <c r="A68" s="42"/>
      <c r="B68" s="42"/>
      <c r="C68" s="24"/>
      <c r="D68" s="25"/>
      <c r="E68" s="34"/>
      <c r="F68" s="28" t="s">
        <v>15</v>
      </c>
    </row>
    <row r="69" spans="1:7" ht="65.150000000000006" customHeight="1" x14ac:dyDescent="0.35">
      <c r="A69" s="43"/>
      <c r="B69" s="43"/>
      <c r="C69" s="44"/>
      <c r="D69" s="45"/>
      <c r="E69" s="46"/>
      <c r="F69" s="47" t="s">
        <v>15</v>
      </c>
    </row>
    <row r="70" spans="1:7" ht="65.150000000000006" customHeight="1" x14ac:dyDescent="0.35">
      <c r="A70" s="42"/>
      <c r="B70" s="42"/>
      <c r="C70" s="24"/>
      <c r="D70" s="25"/>
      <c r="E70" s="34"/>
      <c r="F70" s="28" t="s">
        <v>15</v>
      </c>
    </row>
    <row r="71" spans="1:7" ht="65.150000000000006" customHeight="1" x14ac:dyDescent="0.35">
      <c r="A71" s="43"/>
      <c r="B71" s="43"/>
      <c r="C71" s="44"/>
      <c r="D71" s="45"/>
      <c r="E71" s="46"/>
      <c r="F71" s="47" t="s">
        <v>15</v>
      </c>
    </row>
    <row r="72" spans="1:7" ht="65.150000000000006" customHeight="1" x14ac:dyDescent="0.35">
      <c r="A72" s="42"/>
      <c r="B72" s="42"/>
      <c r="C72" s="24"/>
      <c r="D72" s="25"/>
      <c r="E72" s="34"/>
      <c r="F72" s="28" t="s">
        <v>15</v>
      </c>
    </row>
    <row r="73" spans="1:7" ht="65.150000000000006" customHeight="1" x14ac:dyDescent="0.35">
      <c r="A73" s="43"/>
      <c r="B73" s="43"/>
      <c r="C73" s="44"/>
      <c r="D73" s="45"/>
      <c r="E73" s="46"/>
      <c r="F73" s="47" t="s">
        <v>15</v>
      </c>
    </row>
    <row r="74" spans="1:7" ht="65.150000000000006" customHeight="1" x14ac:dyDescent="0.35">
      <c r="A74" s="42"/>
      <c r="B74" s="42"/>
      <c r="C74" s="24"/>
      <c r="D74" s="25"/>
      <c r="E74" s="34"/>
      <c r="F74" s="28" t="s">
        <v>15</v>
      </c>
    </row>
    <row r="75" spans="1:7" ht="65.150000000000006" customHeight="1" x14ac:dyDescent="0.35">
      <c r="A75" s="43"/>
      <c r="B75" s="43"/>
      <c r="C75" s="44"/>
      <c r="D75" s="45"/>
      <c r="E75" s="46"/>
      <c r="F75" s="47" t="s">
        <v>15</v>
      </c>
    </row>
    <row r="76" spans="1:7" ht="65.150000000000006" customHeight="1" x14ac:dyDescent="0.35">
      <c r="A76" s="42"/>
      <c r="B76" s="42"/>
      <c r="C76" s="24"/>
      <c r="D76" s="25"/>
      <c r="E76" s="34"/>
      <c r="F76" s="28" t="s">
        <v>15</v>
      </c>
    </row>
    <row r="77" spans="1:7" ht="65.150000000000006" customHeight="1" x14ac:dyDescent="0.35">
      <c r="A77" s="43"/>
      <c r="B77" s="43"/>
      <c r="C77" s="44"/>
      <c r="D77" s="45"/>
      <c r="E77" s="46"/>
      <c r="F77" s="47" t="s">
        <v>15</v>
      </c>
    </row>
    <row r="78" spans="1:7" ht="30" customHeight="1" x14ac:dyDescent="0.35">
      <c r="B78" s="39"/>
      <c r="C78" s="24"/>
      <c r="D78" s="25"/>
      <c r="E78" s="34"/>
      <c r="F78" s="28" t="s">
        <v>15</v>
      </c>
    </row>
    <row r="79" spans="1:7" ht="30" customHeight="1" x14ac:dyDescent="0.35">
      <c r="B79" s="39"/>
      <c r="C79" s="24"/>
      <c r="D79" s="25"/>
      <c r="E79" s="34"/>
      <c r="F79" s="28" t="s">
        <v>15</v>
      </c>
    </row>
    <row r="80" spans="1:7" ht="30" customHeight="1" x14ac:dyDescent="0.35">
      <c r="B80" s="39"/>
      <c r="C80" s="24"/>
      <c r="D80" s="25"/>
      <c r="E80" s="34"/>
      <c r="F80" s="28" t="s">
        <v>15</v>
      </c>
    </row>
    <row r="81" spans="2:6" ht="30" customHeight="1" x14ac:dyDescent="0.35">
      <c r="B81" s="39"/>
      <c r="C81" s="24"/>
      <c r="D81" s="25"/>
      <c r="E81" s="34"/>
      <c r="F81" s="28" t="s">
        <v>15</v>
      </c>
    </row>
    <row r="82" spans="2:6" ht="30" customHeight="1" x14ac:dyDescent="0.35">
      <c r="B82" s="39"/>
      <c r="C82" s="24"/>
      <c r="D82" s="25"/>
      <c r="E82" s="34"/>
      <c r="F82" s="28" t="s">
        <v>15</v>
      </c>
    </row>
    <row r="83" spans="2:6" ht="30" customHeight="1" x14ac:dyDescent="0.35">
      <c r="B83" s="39"/>
      <c r="C83" s="24"/>
      <c r="D83" s="25"/>
      <c r="E83" s="34"/>
      <c r="F83" s="28" t="s">
        <v>15</v>
      </c>
    </row>
    <row r="84" spans="2:6" ht="30" customHeight="1" x14ac:dyDescent="0.35">
      <c r="B84" s="39"/>
      <c r="C84" s="24"/>
      <c r="D84" s="25"/>
      <c r="E84" s="34"/>
      <c r="F84" s="28" t="s">
        <v>15</v>
      </c>
    </row>
    <row r="85" spans="2:6" ht="30" customHeight="1" x14ac:dyDescent="0.35">
      <c r="B85" s="39"/>
      <c r="C85" s="24"/>
      <c r="D85" s="25"/>
      <c r="E85" s="34"/>
      <c r="F85" s="28" t="s">
        <v>15</v>
      </c>
    </row>
    <row r="86" spans="2:6" ht="30" customHeight="1" x14ac:dyDescent="0.35">
      <c r="B86" s="39"/>
      <c r="C86" s="24"/>
      <c r="D86" s="25"/>
      <c r="E86" s="34"/>
      <c r="F86" s="28" t="s">
        <v>15</v>
      </c>
    </row>
    <row r="87" spans="2:6" ht="30" customHeight="1" x14ac:dyDescent="0.35">
      <c r="B87" s="39"/>
      <c r="C87" s="24"/>
      <c r="D87" s="25"/>
      <c r="E87" s="34"/>
      <c r="F87" s="28" t="s">
        <v>15</v>
      </c>
    </row>
    <row r="88" spans="2:6" ht="30" customHeight="1" x14ac:dyDescent="0.35">
      <c r="B88" s="39"/>
      <c r="C88" s="24"/>
      <c r="D88" s="25"/>
      <c r="E88" s="34"/>
      <c r="F88" s="28" t="s">
        <v>15</v>
      </c>
    </row>
    <row r="89" spans="2:6" ht="30" customHeight="1" x14ac:dyDescent="0.35">
      <c r="B89" s="39"/>
      <c r="C89" s="24"/>
      <c r="D89" s="25"/>
      <c r="E89" s="34"/>
      <c r="F89" s="28" t="s">
        <v>15</v>
      </c>
    </row>
    <row r="90" spans="2:6" ht="30" customHeight="1" x14ac:dyDescent="0.35">
      <c r="B90" s="39"/>
      <c r="C90" s="24"/>
      <c r="D90" s="25"/>
      <c r="E90" s="34"/>
      <c r="F90" s="28" t="s">
        <v>15</v>
      </c>
    </row>
    <row r="91" spans="2:6" ht="30" customHeight="1" x14ac:dyDescent="0.35">
      <c r="B91" s="39"/>
      <c r="C91" s="24"/>
      <c r="D91" s="25"/>
      <c r="E91" s="34"/>
      <c r="F91" s="28" t="s">
        <v>15</v>
      </c>
    </row>
    <row r="92" spans="2:6" ht="30" customHeight="1" x14ac:dyDescent="0.35">
      <c r="B92" s="39"/>
      <c r="C92" s="24"/>
      <c r="D92" s="25"/>
      <c r="E92" s="34"/>
      <c r="F92" s="28" t="s">
        <v>15</v>
      </c>
    </row>
    <row r="93" spans="2:6" ht="30" customHeight="1" x14ac:dyDescent="0.35">
      <c r="B93" s="39"/>
      <c r="C93" s="24"/>
      <c r="D93" s="25"/>
      <c r="E93" s="34"/>
      <c r="F93" s="28" t="s">
        <v>15</v>
      </c>
    </row>
    <row r="94" spans="2:6" ht="30" customHeight="1" x14ac:dyDescent="0.35">
      <c r="B94" s="39"/>
      <c r="C94" s="24"/>
      <c r="D94" s="25"/>
      <c r="E94" s="34"/>
      <c r="F94" s="28" t="s">
        <v>15</v>
      </c>
    </row>
    <row r="95" spans="2:6" ht="30" customHeight="1" x14ac:dyDescent="0.35">
      <c r="B95" s="39"/>
      <c r="C95" s="24"/>
      <c r="D95" s="25"/>
      <c r="E95" s="34"/>
      <c r="F95" s="28" t="s">
        <v>15</v>
      </c>
    </row>
    <row r="96" spans="2:6" ht="30" customHeight="1" x14ac:dyDescent="0.35">
      <c r="B96" s="39"/>
      <c r="C96" s="24"/>
      <c r="D96" s="25"/>
      <c r="E96" s="34"/>
      <c r="F96" s="28" t="s">
        <v>15</v>
      </c>
    </row>
    <row r="97" spans="2:6" ht="30" customHeight="1" x14ac:dyDescent="0.35">
      <c r="B97" s="39"/>
      <c r="C97" s="24"/>
      <c r="D97" s="25"/>
      <c r="E97" s="34"/>
      <c r="F97" s="28" t="s">
        <v>15</v>
      </c>
    </row>
    <row r="98" spans="2:6" ht="30" customHeight="1" x14ac:dyDescent="0.35">
      <c r="B98" s="39"/>
      <c r="C98" s="24"/>
      <c r="D98" s="25"/>
      <c r="E98" s="34"/>
      <c r="F98" s="28" t="s">
        <v>15</v>
      </c>
    </row>
    <row r="99" spans="2:6" ht="30" customHeight="1" x14ac:dyDescent="0.35">
      <c r="B99" s="39"/>
      <c r="C99" s="24"/>
      <c r="D99" s="25"/>
      <c r="E99" s="34"/>
      <c r="F99" s="28" t="s">
        <v>15</v>
      </c>
    </row>
    <row r="100" spans="2:6" ht="30" customHeight="1" x14ac:dyDescent="0.35">
      <c r="B100" s="39"/>
      <c r="C100" s="24"/>
      <c r="D100" s="25"/>
      <c r="E100" s="34"/>
      <c r="F100" s="28" t="s">
        <v>15</v>
      </c>
    </row>
    <row r="101" spans="2:6" ht="30" customHeight="1" x14ac:dyDescent="0.35">
      <c r="B101" s="39"/>
      <c r="C101" s="24"/>
      <c r="D101" s="25"/>
      <c r="E101" s="34"/>
      <c r="F101" s="28" t="s">
        <v>15</v>
      </c>
    </row>
    <row r="102" spans="2:6" ht="30" customHeight="1" x14ac:dyDescent="0.35">
      <c r="B102" s="39"/>
      <c r="C102" s="24"/>
      <c r="D102" s="25"/>
      <c r="E102" s="34"/>
      <c r="F102" s="28" t="s">
        <v>15</v>
      </c>
    </row>
    <row r="103" spans="2:6" ht="30" customHeight="1" x14ac:dyDescent="0.35">
      <c r="B103" s="39"/>
      <c r="C103" s="24"/>
      <c r="D103" s="25"/>
      <c r="E103" s="34"/>
      <c r="F103" s="28" t="s">
        <v>15</v>
      </c>
    </row>
    <row r="104" spans="2:6" ht="30" customHeight="1" x14ac:dyDescent="0.35">
      <c r="B104" s="39"/>
      <c r="C104" s="24"/>
      <c r="D104" s="25"/>
      <c r="E104" s="34"/>
      <c r="F104" s="28" t="s">
        <v>15</v>
      </c>
    </row>
    <row r="105" spans="2:6" ht="30" customHeight="1" x14ac:dyDescent="0.35">
      <c r="B105" s="39"/>
      <c r="C105" s="24"/>
      <c r="D105" s="25"/>
      <c r="E105" s="34"/>
      <c r="F105" s="28" t="s">
        <v>15</v>
      </c>
    </row>
    <row r="106" spans="2:6" ht="30" customHeight="1" x14ac:dyDescent="0.35">
      <c r="B106" s="39"/>
      <c r="C106" s="24"/>
      <c r="D106" s="25"/>
      <c r="E106" s="34"/>
      <c r="F106" s="28" t="s">
        <v>15</v>
      </c>
    </row>
    <row r="107" spans="2:6" ht="30" customHeight="1" x14ac:dyDescent="0.35">
      <c r="B107" s="39"/>
      <c r="C107" s="24"/>
      <c r="D107" s="25"/>
      <c r="E107" s="34"/>
      <c r="F107" s="28" t="s">
        <v>15</v>
      </c>
    </row>
    <row r="108" spans="2:6" ht="30" customHeight="1" x14ac:dyDescent="0.35">
      <c r="B108" s="39"/>
      <c r="C108" s="24"/>
      <c r="D108" s="25"/>
      <c r="E108" s="34"/>
      <c r="F108" s="28" t="s">
        <v>15</v>
      </c>
    </row>
    <row r="109" spans="2:6" ht="30" customHeight="1" x14ac:dyDescent="0.35">
      <c r="B109" s="39"/>
      <c r="C109" s="24"/>
      <c r="D109" s="25"/>
      <c r="E109" s="34"/>
      <c r="F109" s="28" t="s">
        <v>15</v>
      </c>
    </row>
    <row r="110" spans="2:6" ht="30" customHeight="1" x14ac:dyDescent="0.35">
      <c r="B110" s="39"/>
      <c r="C110" s="24"/>
      <c r="D110" s="25"/>
      <c r="E110" s="34"/>
      <c r="F110" s="28" t="s">
        <v>15</v>
      </c>
    </row>
    <row r="111" spans="2:6" ht="30" customHeight="1" x14ac:dyDescent="0.35">
      <c r="B111" s="39"/>
      <c r="C111" s="24"/>
      <c r="D111" s="25"/>
      <c r="E111" s="34"/>
      <c r="F111" s="28" t="s">
        <v>15</v>
      </c>
    </row>
    <row r="112" spans="2:6" ht="30" customHeight="1" x14ac:dyDescent="0.35">
      <c r="B112" s="39"/>
      <c r="C112" s="24"/>
      <c r="D112" s="25"/>
      <c r="E112" s="34"/>
      <c r="F112" s="28" t="s">
        <v>15</v>
      </c>
    </row>
    <row r="113" spans="2:7" ht="30" customHeight="1" x14ac:dyDescent="0.35">
      <c r="B113" s="39"/>
      <c r="C113" s="24"/>
      <c r="D113" s="25"/>
      <c r="E113" s="34"/>
      <c r="F113" s="28" t="s">
        <v>15</v>
      </c>
    </row>
    <row r="114" spans="2:7" ht="30" customHeight="1" x14ac:dyDescent="0.35">
      <c r="B114" s="39"/>
      <c r="C114" s="24"/>
      <c r="D114" s="25"/>
      <c r="E114" s="34"/>
      <c r="F114" s="28" t="s">
        <v>15</v>
      </c>
    </row>
    <row r="115" spans="2:7" ht="30" customHeight="1" x14ac:dyDescent="0.35">
      <c r="B115" s="39"/>
      <c r="C115" s="24"/>
      <c r="D115" s="25"/>
      <c r="E115" s="34"/>
      <c r="F115" s="28" t="s">
        <v>15</v>
      </c>
    </row>
    <row r="116" spans="2:7" ht="30" customHeight="1" x14ac:dyDescent="0.35">
      <c r="B116" s="39"/>
      <c r="C116" s="24"/>
      <c r="D116" s="25"/>
      <c r="E116" s="34"/>
      <c r="F116" s="28" t="s">
        <v>15</v>
      </c>
    </row>
    <row r="117" spans="2:7" s="19" customFormat="1" ht="16.5" customHeight="1" x14ac:dyDescent="0.35">
      <c r="B117" s="30"/>
      <c r="E117" s="35"/>
      <c r="G117" s="29"/>
    </row>
    <row r="190" spans="7:7" x14ac:dyDescent="0.35">
      <c r="G190" s="88"/>
    </row>
  </sheetData>
  <sheetProtection selectLockedCells="1"/>
  <mergeCells count="9">
    <mergeCell ref="G4:G5"/>
    <mergeCell ref="A1:A2"/>
    <mergeCell ref="A3:A4"/>
    <mergeCell ref="A6:A7"/>
    <mergeCell ref="F4:F5"/>
    <mergeCell ref="B4:B5"/>
    <mergeCell ref="C4:C5"/>
    <mergeCell ref="D4:D5"/>
    <mergeCell ref="E4:E5"/>
  </mergeCells>
  <conditionalFormatting sqref="F8:F116">
    <cfRule type="expression" dxfId="2" priority="1">
      <formula>F8="VAZIO"</formula>
    </cfRule>
    <cfRule type="expression" dxfId="1" priority="2">
      <formula>F8="X"</formula>
    </cfRule>
    <cfRule type="expression" dxfId="0" priority="3">
      <formula>F8="OK"</formula>
    </cfRule>
  </conditionalFormatting>
  <dataValidations count="1">
    <dataValidation type="list" allowBlank="1" showInputMessage="1" showErrorMessage="1" sqref="F8:F116" xr:uid="{1DC0B5EA-D15B-47B9-AF94-831A1FD5CE57}">
      <formula1>"OK,X,VAZIO"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D64D2-15A5-4672-811C-FA1D3F1494E1}">
  <sheetPr codeName="Planilha1"/>
  <dimension ref="A1:BA288"/>
  <sheetViews>
    <sheetView showGridLines="0" zoomScale="70" zoomScaleNormal="70" workbookViewId="0">
      <pane ySplit="5" topLeftCell="A6" activePane="bottomLeft" state="frozen"/>
      <selection pane="bottomLeft" activeCell="W80" sqref="W80"/>
    </sheetView>
  </sheetViews>
  <sheetFormatPr defaultRowHeight="14.5" x14ac:dyDescent="0.35"/>
  <cols>
    <col min="1" max="1" width="9.54296875" customWidth="1"/>
    <col min="2" max="2" width="7.81640625" customWidth="1"/>
    <col min="3" max="3" width="10.26953125" customWidth="1"/>
    <col min="4" max="4" width="8.26953125" customWidth="1"/>
    <col min="5" max="5" width="9.7265625" customWidth="1"/>
    <col min="6" max="6" width="12" bestFit="1" customWidth="1"/>
    <col min="7" max="7" width="15.7265625" customWidth="1"/>
    <col min="8" max="8" width="9.1796875" customWidth="1"/>
    <col min="32" max="32" width="11" customWidth="1"/>
  </cols>
  <sheetData>
    <row r="1" spans="1:4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</row>
    <row r="2" spans="1:41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</row>
    <row r="3" spans="1:41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</row>
    <row r="5" spans="1:41" ht="15.75" customHeigh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27"/>
      <c r="X5" s="27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</row>
    <row r="6" spans="1:41" ht="15.75" customHeight="1" thickBot="1" x14ac:dyDescent="0.4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</row>
    <row r="7" spans="1:41" ht="15" customHeight="1" x14ac:dyDescent="0.35">
      <c r="A7" s="168" t="s">
        <v>13</v>
      </c>
      <c r="B7" s="169"/>
      <c r="C7" s="169"/>
      <c r="D7" s="169"/>
      <c r="E7" s="169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70"/>
      <c r="W7" s="186">
        <f>MAURO!F4</f>
        <v>45204</v>
      </c>
      <c r="X7" s="187"/>
      <c r="Y7" s="177"/>
      <c r="Z7" s="178"/>
      <c r="AA7" s="178"/>
      <c r="AB7" s="178"/>
      <c r="AC7" s="178"/>
      <c r="AD7" s="178"/>
      <c r="AE7" s="178"/>
      <c r="AF7" s="178"/>
      <c r="AG7" s="178"/>
      <c r="AH7" s="178"/>
      <c r="AI7" s="178"/>
      <c r="AJ7" s="178"/>
      <c r="AK7" s="178"/>
      <c r="AL7" s="178"/>
      <c r="AM7" s="178"/>
      <c r="AN7" s="178"/>
      <c r="AO7" s="179"/>
    </row>
    <row r="8" spans="1:41" ht="15" customHeight="1" x14ac:dyDescent="0.35">
      <c r="A8" s="171"/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3"/>
      <c r="W8" s="188"/>
      <c r="X8" s="187"/>
      <c r="Y8" s="180"/>
      <c r="Z8" s="181"/>
      <c r="AA8" s="181"/>
      <c r="AB8" s="181"/>
      <c r="AC8" s="181"/>
      <c r="AD8" s="181"/>
      <c r="AE8" s="181"/>
      <c r="AF8" s="181"/>
      <c r="AG8" s="181"/>
      <c r="AH8" s="181"/>
      <c r="AI8" s="181"/>
      <c r="AJ8" s="181"/>
      <c r="AK8" s="181"/>
      <c r="AL8" s="181"/>
      <c r="AM8" s="181"/>
      <c r="AN8" s="181"/>
      <c r="AO8" s="182"/>
    </row>
    <row r="9" spans="1:41" ht="15.75" customHeight="1" thickBot="1" x14ac:dyDescent="0.4">
      <c r="A9" s="174"/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6"/>
      <c r="W9" s="188"/>
      <c r="X9" s="187"/>
      <c r="Y9" s="183"/>
      <c r="Z9" s="184"/>
      <c r="AA9" s="184"/>
      <c r="AB9" s="184"/>
      <c r="AC9" s="184"/>
      <c r="AD9" s="184"/>
      <c r="AE9" s="184"/>
      <c r="AF9" s="184"/>
      <c r="AG9" s="184"/>
      <c r="AH9" s="184"/>
      <c r="AI9" s="184"/>
      <c r="AJ9" s="184"/>
      <c r="AK9" s="184"/>
      <c r="AL9" s="184"/>
      <c r="AM9" s="184"/>
      <c r="AN9" s="184"/>
      <c r="AO9" s="185"/>
    </row>
    <row r="10" spans="1:41" ht="19.5" customHeight="1" thickBot="1" x14ac:dyDescent="0.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4"/>
      <c r="AI10" s="4"/>
      <c r="AJ10" s="4"/>
      <c r="AK10" s="4"/>
      <c r="AL10" s="4"/>
      <c r="AM10" s="4"/>
      <c r="AN10" s="4"/>
      <c r="AO10" s="4"/>
    </row>
    <row r="11" spans="1:41" ht="30" customHeight="1" thickBot="1" x14ac:dyDescent="0.4">
      <c r="A11" s="5"/>
      <c r="B11" s="165" t="s">
        <v>32</v>
      </c>
      <c r="C11" s="166"/>
      <c r="D11" s="166"/>
      <c r="E11" s="166"/>
      <c r="F11" s="166"/>
      <c r="G11" s="167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4"/>
      <c r="AI11" s="4"/>
      <c r="AJ11" s="4"/>
      <c r="AK11" s="4"/>
      <c r="AL11" s="4"/>
      <c r="AM11" s="4"/>
      <c r="AN11" s="4"/>
      <c r="AO11" s="4"/>
    </row>
    <row r="12" spans="1:41" ht="30" customHeight="1" x14ac:dyDescent="0.35">
      <c r="A12" s="5"/>
      <c r="B12" s="6" t="s">
        <v>5</v>
      </c>
      <c r="C12" s="7" t="s">
        <v>6</v>
      </c>
      <c r="D12" s="7" t="s">
        <v>7</v>
      </c>
      <c r="E12" s="7" t="s">
        <v>11</v>
      </c>
      <c r="F12" s="7" t="s">
        <v>8</v>
      </c>
      <c r="G12" s="8" t="s">
        <v>10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4"/>
      <c r="AI12" s="4"/>
      <c r="AJ12" s="4"/>
      <c r="AK12" s="4"/>
      <c r="AL12" s="4"/>
      <c r="AM12" s="4"/>
      <c r="AN12" s="4"/>
      <c r="AO12" s="4"/>
    </row>
    <row r="13" spans="1:41" ht="30" customHeight="1" thickBot="1" x14ac:dyDescent="0.4">
      <c r="A13" s="5"/>
      <c r="B13" s="9"/>
      <c r="C13" s="10"/>
      <c r="D13" s="10">
        <f>MAURO!AV9</f>
        <v>0.4</v>
      </c>
      <c r="E13" s="10"/>
      <c r="F13" s="10"/>
      <c r="G13" s="11">
        <f>(SUM(B13:F13))/100%</f>
        <v>0.4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4"/>
      <c r="AI13" s="4"/>
      <c r="AJ13" s="4"/>
      <c r="AK13" s="4"/>
      <c r="AL13" s="4"/>
      <c r="AM13" s="4"/>
      <c r="AN13" s="4"/>
      <c r="AO13" s="4"/>
    </row>
    <row r="14" spans="1:41" x14ac:dyDescent="0.35">
      <c r="A14" s="5"/>
      <c r="B14" s="12">
        <v>0.8</v>
      </c>
      <c r="C14" s="12">
        <v>0.8</v>
      </c>
      <c r="D14" s="12">
        <v>0.8</v>
      </c>
      <c r="E14" s="12">
        <v>0.8</v>
      </c>
      <c r="F14" s="12">
        <v>0.8</v>
      </c>
      <c r="G14" s="12">
        <v>0.8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4"/>
      <c r="AI14" s="4"/>
      <c r="AJ14" s="4"/>
      <c r="AK14" s="4"/>
      <c r="AL14" s="4"/>
      <c r="AM14" s="4"/>
      <c r="AN14" s="4"/>
      <c r="AO14" s="4"/>
    </row>
    <row r="15" spans="1:41" x14ac:dyDescent="0.3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4"/>
      <c r="AI15" s="4"/>
      <c r="AJ15" s="4"/>
      <c r="AK15" s="4"/>
      <c r="AL15" s="4"/>
      <c r="AM15" s="4"/>
      <c r="AN15" s="4"/>
      <c r="AO15" s="4"/>
    </row>
    <row r="16" spans="1:41" x14ac:dyDescent="0.3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12"/>
      <c r="AC16" s="5"/>
      <c r="AD16" s="5"/>
      <c r="AE16" s="5"/>
      <c r="AF16" s="5"/>
      <c r="AG16" s="5"/>
      <c r="AH16" s="4"/>
      <c r="AI16" s="4"/>
      <c r="AJ16" s="4"/>
      <c r="AK16" s="4"/>
      <c r="AL16" s="4"/>
      <c r="AM16" s="4"/>
      <c r="AN16" s="4"/>
      <c r="AO16" s="4"/>
    </row>
    <row r="17" spans="1:41" x14ac:dyDescent="0.3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4"/>
      <c r="AI17" s="4"/>
      <c r="AJ17" s="4"/>
      <c r="AK17" s="4"/>
      <c r="AL17" s="4"/>
      <c r="AM17" s="4"/>
      <c r="AN17" s="4"/>
      <c r="AO17" s="4"/>
    </row>
    <row r="18" spans="1:41" x14ac:dyDescent="0.3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4"/>
      <c r="AI18" s="4"/>
      <c r="AJ18" s="4"/>
      <c r="AK18" s="4"/>
      <c r="AL18" s="4"/>
      <c r="AM18" s="4"/>
      <c r="AN18" s="4"/>
      <c r="AO18" s="4"/>
    </row>
    <row r="19" spans="1:41" x14ac:dyDescent="0.35">
      <c r="A19" s="5"/>
      <c r="B19" s="12"/>
      <c r="C19" s="12"/>
      <c r="D19" s="12"/>
      <c r="E19" s="12"/>
      <c r="F19" s="12"/>
      <c r="G19" s="12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4"/>
      <c r="AI19" s="4"/>
      <c r="AJ19" s="4"/>
      <c r="AK19" s="4"/>
      <c r="AL19" s="4"/>
      <c r="AM19" s="4"/>
      <c r="AN19" s="4"/>
      <c r="AO19" s="4"/>
    </row>
    <row r="20" spans="1:41" x14ac:dyDescent="0.3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4"/>
      <c r="AI20" s="4"/>
      <c r="AJ20" s="4"/>
      <c r="AK20" s="4"/>
      <c r="AL20" s="4"/>
      <c r="AM20" s="4"/>
      <c r="AN20" s="4"/>
      <c r="AO20" s="4"/>
    </row>
    <row r="21" spans="1:41" x14ac:dyDescent="0.3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4"/>
      <c r="AI21" s="4"/>
      <c r="AJ21" s="4"/>
      <c r="AK21" s="4"/>
      <c r="AL21" s="4"/>
      <c r="AM21" s="4"/>
      <c r="AN21" s="4"/>
      <c r="AO21" s="4"/>
    </row>
    <row r="22" spans="1:41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4"/>
      <c r="AI22" s="4"/>
      <c r="AJ22" s="4"/>
      <c r="AK22" s="4"/>
      <c r="AL22" s="4"/>
      <c r="AM22" s="4"/>
      <c r="AN22" s="4"/>
      <c r="AO22" s="4"/>
    </row>
    <row r="23" spans="1:41" x14ac:dyDescent="0.3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4"/>
      <c r="AI23" s="4"/>
      <c r="AJ23" s="4"/>
      <c r="AK23" s="4"/>
      <c r="AL23" s="4"/>
      <c r="AM23" s="4"/>
      <c r="AN23" s="4"/>
      <c r="AO23" s="4"/>
    </row>
    <row r="24" spans="1:41" x14ac:dyDescent="0.3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4"/>
      <c r="AI24" s="4"/>
      <c r="AJ24" s="4"/>
      <c r="AK24" s="4"/>
      <c r="AL24" s="4"/>
      <c r="AM24" s="4"/>
      <c r="AN24" s="4"/>
      <c r="AO24" s="4"/>
    </row>
    <row r="25" spans="1:41" x14ac:dyDescent="0.3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4"/>
      <c r="AI25" s="4"/>
      <c r="AJ25" s="4"/>
      <c r="AK25" s="4"/>
      <c r="AL25" s="4"/>
      <c r="AM25" s="4"/>
      <c r="AN25" s="4"/>
      <c r="AO25" s="4"/>
    </row>
    <row r="26" spans="1:41" x14ac:dyDescent="0.3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4"/>
      <c r="AI26" s="4"/>
      <c r="AJ26" s="4"/>
      <c r="AK26" s="4"/>
      <c r="AL26" s="4"/>
      <c r="AM26" s="4"/>
      <c r="AN26" s="4"/>
      <c r="AO26" s="4"/>
    </row>
    <row r="27" spans="1:41" ht="20.149999999999999" customHeight="1" thickBot="1" x14ac:dyDescent="0.4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4"/>
      <c r="AI27" s="4"/>
      <c r="AJ27" s="4"/>
      <c r="AK27" s="4"/>
      <c r="AL27" s="4"/>
      <c r="AM27" s="4"/>
      <c r="AN27" s="4"/>
      <c r="AO27" s="4"/>
    </row>
    <row r="28" spans="1:41" ht="15" customHeight="1" x14ac:dyDescent="0.35">
      <c r="A28" s="168" t="s">
        <v>13</v>
      </c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70"/>
      <c r="W28" s="186">
        <f>MAURO!K4</f>
        <v>45211</v>
      </c>
      <c r="X28" s="187"/>
      <c r="Y28" s="177" t="s">
        <v>14</v>
      </c>
      <c r="Z28" s="178"/>
      <c r="AA28" s="178"/>
      <c r="AB28" s="178"/>
      <c r="AC28" s="178"/>
      <c r="AD28" s="178"/>
      <c r="AE28" s="178"/>
      <c r="AF28" s="178"/>
      <c r="AG28" s="178"/>
      <c r="AH28" s="178"/>
      <c r="AI28" s="178"/>
      <c r="AJ28" s="178"/>
      <c r="AK28" s="178"/>
      <c r="AL28" s="178"/>
      <c r="AM28" s="178"/>
      <c r="AN28" s="178"/>
      <c r="AO28" s="179"/>
    </row>
    <row r="29" spans="1:41" ht="15" customHeight="1" x14ac:dyDescent="0.35">
      <c r="A29" s="171"/>
      <c r="B29" s="172"/>
      <c r="C29" s="172"/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3"/>
      <c r="W29" s="188"/>
      <c r="X29" s="187"/>
      <c r="Y29" s="180"/>
      <c r="Z29" s="181"/>
      <c r="AA29" s="181"/>
      <c r="AB29" s="181"/>
      <c r="AC29" s="181"/>
      <c r="AD29" s="181"/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2"/>
    </row>
    <row r="30" spans="1:41" ht="15.75" customHeight="1" thickBot="1" x14ac:dyDescent="0.4">
      <c r="A30" s="174"/>
      <c r="B30" s="17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6"/>
      <c r="W30" s="188"/>
      <c r="X30" s="187"/>
      <c r="Y30" s="183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5"/>
    </row>
    <row r="31" spans="1:41" ht="20.149999999999999" customHeight="1" thickBot="1" x14ac:dyDescent="0.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4"/>
      <c r="AH31" s="4"/>
      <c r="AI31" s="4"/>
      <c r="AJ31" s="4"/>
      <c r="AK31" s="4"/>
      <c r="AL31" s="4"/>
      <c r="AM31" s="4"/>
      <c r="AN31" s="4"/>
      <c r="AO31" s="4"/>
    </row>
    <row r="32" spans="1:41" ht="30" customHeight="1" thickBot="1" x14ac:dyDescent="0.4">
      <c r="A32" s="5"/>
      <c r="B32" s="165" t="s">
        <v>33</v>
      </c>
      <c r="C32" s="166"/>
      <c r="D32" s="166"/>
      <c r="E32" s="166"/>
      <c r="F32" s="166"/>
      <c r="G32" s="167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4"/>
      <c r="AH32" s="4"/>
      <c r="AI32" s="4"/>
      <c r="AJ32" s="4"/>
      <c r="AK32" s="4"/>
      <c r="AL32" s="4"/>
      <c r="AM32" s="4"/>
      <c r="AN32" s="4"/>
      <c r="AO32" s="4"/>
    </row>
    <row r="33" spans="1:53" ht="30" customHeight="1" x14ac:dyDescent="0.35">
      <c r="A33" s="5"/>
      <c r="B33" s="6" t="s">
        <v>5</v>
      </c>
      <c r="C33" s="7" t="s">
        <v>6</v>
      </c>
      <c r="D33" s="7" t="s">
        <v>7</v>
      </c>
      <c r="E33" s="7" t="s">
        <v>11</v>
      </c>
      <c r="F33" s="7" t="s">
        <v>8</v>
      </c>
      <c r="G33" s="8" t="s">
        <v>10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4"/>
      <c r="AH33" s="4"/>
      <c r="AI33" s="4"/>
      <c r="AJ33" s="4"/>
      <c r="AK33" s="4"/>
      <c r="AL33" s="4"/>
      <c r="AM33" s="4"/>
      <c r="AN33" s="4"/>
      <c r="AO33" s="4"/>
    </row>
    <row r="34" spans="1:53" ht="30" customHeight="1" thickBot="1" x14ac:dyDescent="0.4">
      <c r="A34" s="5"/>
      <c r="B34" s="9"/>
      <c r="C34" s="10"/>
      <c r="D34" s="10">
        <f>MAURO!BA9</f>
        <v>1</v>
      </c>
      <c r="E34" s="10"/>
      <c r="F34" s="10"/>
      <c r="G34" s="11">
        <f>(SUM(B34:F34))/100%</f>
        <v>1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4"/>
      <c r="AH34" s="4"/>
      <c r="AI34" s="4"/>
      <c r="AJ34" s="4"/>
      <c r="AK34" s="4"/>
      <c r="AL34" s="4"/>
      <c r="AM34" s="4"/>
      <c r="AN34" s="4"/>
      <c r="AO34" s="4"/>
    </row>
    <row r="35" spans="1:53" x14ac:dyDescent="0.35">
      <c r="A35" s="5"/>
      <c r="B35" s="12">
        <v>0.8</v>
      </c>
      <c r="C35" s="12">
        <v>0.8</v>
      </c>
      <c r="D35" s="12">
        <v>0.8</v>
      </c>
      <c r="E35" s="12">
        <v>0.8</v>
      </c>
      <c r="F35" s="12">
        <v>0.8</v>
      </c>
      <c r="G35" s="12">
        <v>0.8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4"/>
      <c r="AH35" s="4"/>
      <c r="AI35" s="4"/>
      <c r="AJ35" s="4"/>
      <c r="AK35" s="4"/>
      <c r="AL35" s="4"/>
      <c r="AM35" s="4"/>
      <c r="AN35" s="4"/>
      <c r="AO35" s="4"/>
    </row>
    <row r="36" spans="1:53" x14ac:dyDescent="0.3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4"/>
      <c r="AH36" s="4"/>
      <c r="AI36" s="4"/>
      <c r="AJ36" s="4"/>
      <c r="AK36" s="4"/>
      <c r="AL36" s="4"/>
      <c r="AM36" s="4"/>
      <c r="AN36" s="4"/>
      <c r="AO36" s="4"/>
    </row>
    <row r="37" spans="1:53" x14ac:dyDescent="0.3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4"/>
      <c r="AH37" s="4"/>
      <c r="AI37" s="4"/>
      <c r="AJ37" s="4"/>
      <c r="AK37" s="4"/>
      <c r="AL37" s="4"/>
      <c r="AM37" s="4"/>
      <c r="AN37" s="4"/>
      <c r="AO37" s="4"/>
    </row>
    <row r="38" spans="1:53" x14ac:dyDescent="0.3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3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4"/>
      <c r="AH39" s="4"/>
      <c r="AI39" s="4"/>
      <c r="AJ39" s="4"/>
      <c r="AK39" s="4"/>
      <c r="AL39" s="4"/>
      <c r="AM39" s="4"/>
      <c r="AN39" s="4"/>
      <c r="AO39" s="4"/>
    </row>
    <row r="40" spans="1:53" x14ac:dyDescent="0.3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4"/>
      <c r="AH40" s="4"/>
      <c r="AI40" s="4"/>
      <c r="AJ40" s="4"/>
      <c r="AK40" s="4"/>
      <c r="AL40" s="4"/>
      <c r="AM40" s="4"/>
      <c r="AN40" s="4"/>
      <c r="AO40" s="4"/>
    </row>
    <row r="41" spans="1:53" x14ac:dyDescent="0.3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4"/>
      <c r="AH41" s="4"/>
      <c r="AI41" s="4"/>
      <c r="AJ41" s="4"/>
      <c r="AK41" s="4"/>
      <c r="AL41" s="4"/>
      <c r="AM41" s="4"/>
      <c r="AN41" s="4"/>
      <c r="AO41" s="4"/>
    </row>
    <row r="42" spans="1:53" x14ac:dyDescent="0.3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4"/>
      <c r="AH42" s="4"/>
      <c r="AI42" s="4"/>
      <c r="AJ42" s="4"/>
      <c r="AK42" s="4"/>
      <c r="AL42" s="4"/>
      <c r="AM42" s="4"/>
      <c r="AN42" s="4"/>
      <c r="AO42" s="4"/>
    </row>
    <row r="43" spans="1:53" x14ac:dyDescent="0.3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4"/>
      <c r="AH43" s="4"/>
      <c r="AI43" s="4"/>
      <c r="AJ43" s="4"/>
      <c r="AK43" s="4"/>
      <c r="AL43" s="4"/>
      <c r="AM43" s="4"/>
      <c r="AN43" s="4"/>
      <c r="AO43" s="4"/>
    </row>
    <row r="44" spans="1:53" x14ac:dyDescent="0.3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4"/>
      <c r="AH44" s="4"/>
      <c r="AI44" s="4"/>
      <c r="AJ44" s="4"/>
      <c r="AK44" s="4"/>
      <c r="AL44" s="4"/>
      <c r="AM44" s="4"/>
      <c r="AN44" s="4"/>
      <c r="AO44" s="4"/>
    </row>
    <row r="45" spans="1:53" x14ac:dyDescent="0.3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4"/>
      <c r="AH45" s="4"/>
      <c r="AI45" s="4"/>
      <c r="AJ45" s="4"/>
      <c r="AK45" s="4"/>
      <c r="AL45" s="4"/>
      <c r="AM45" s="4"/>
      <c r="AN45" s="4"/>
      <c r="AO45" s="4"/>
    </row>
    <row r="46" spans="1:53" x14ac:dyDescent="0.3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4"/>
      <c r="AH46" s="4"/>
      <c r="AI46" s="4"/>
      <c r="AJ46" s="4"/>
      <c r="AK46" s="4"/>
      <c r="AL46" s="4"/>
      <c r="AM46" s="4"/>
      <c r="AN46" s="4"/>
      <c r="AO46" s="4"/>
    </row>
    <row r="47" spans="1:53" ht="15" thickBot="1" x14ac:dyDescent="0.4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4"/>
      <c r="AH47" s="4"/>
      <c r="AI47" s="4"/>
      <c r="AJ47" s="4"/>
      <c r="AK47" s="4"/>
      <c r="AL47" s="4"/>
      <c r="AM47" s="4"/>
      <c r="AN47" s="4"/>
      <c r="AO47" s="4"/>
    </row>
    <row r="48" spans="1:53" ht="30" customHeight="1" thickBot="1" x14ac:dyDescent="0.4">
      <c r="A48" s="5"/>
      <c r="B48" s="165" t="s">
        <v>32</v>
      </c>
      <c r="C48" s="166"/>
      <c r="D48" s="166"/>
      <c r="E48" s="166"/>
      <c r="F48" s="166"/>
      <c r="G48" s="167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4"/>
      <c r="AH48" s="4"/>
      <c r="AI48" s="4"/>
      <c r="AJ48" s="4"/>
      <c r="AK48" s="4"/>
      <c r="AL48" s="4"/>
      <c r="AM48" s="4"/>
      <c r="AN48" s="4"/>
      <c r="AO48" s="4"/>
    </row>
    <row r="49" spans="1:41" ht="30" customHeight="1" x14ac:dyDescent="0.35">
      <c r="A49" s="5"/>
      <c r="B49" s="6" t="s">
        <v>5</v>
      </c>
      <c r="C49" s="7" t="s">
        <v>6</v>
      </c>
      <c r="D49" s="7" t="s">
        <v>7</v>
      </c>
      <c r="E49" s="7" t="s">
        <v>11</v>
      </c>
      <c r="F49" s="7" t="s">
        <v>8</v>
      </c>
      <c r="G49" s="8" t="s">
        <v>10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4"/>
      <c r="AH49" s="4"/>
      <c r="AI49" s="4"/>
      <c r="AJ49" s="4"/>
      <c r="AK49" s="4"/>
      <c r="AL49" s="4"/>
      <c r="AM49" s="4"/>
      <c r="AN49" s="4"/>
      <c r="AO49" s="4"/>
    </row>
    <row r="50" spans="1:41" ht="30" customHeight="1" thickBot="1" x14ac:dyDescent="0.4">
      <c r="A50" s="5"/>
      <c r="B50" s="9"/>
      <c r="C50" s="10"/>
      <c r="D50" s="10">
        <f>MAURO!BA14</f>
        <v>0.5</v>
      </c>
      <c r="E50" s="10"/>
      <c r="F50" s="10"/>
      <c r="G50" s="11">
        <f>(SUM(B50:F50))/100%</f>
        <v>0.5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4"/>
      <c r="AH50" s="4"/>
      <c r="AI50" s="4"/>
      <c r="AJ50" s="4"/>
      <c r="AK50" s="4"/>
      <c r="AL50" s="4"/>
      <c r="AM50" s="4"/>
      <c r="AN50" s="4"/>
      <c r="AO50" s="4"/>
    </row>
    <row r="51" spans="1:41" ht="15" thickBot="1" x14ac:dyDescent="0.4">
      <c r="A51" s="5"/>
      <c r="B51" s="12">
        <v>0.8</v>
      </c>
      <c r="C51" s="12">
        <v>0.8</v>
      </c>
      <c r="D51" s="12">
        <v>0.8</v>
      </c>
      <c r="E51" s="12">
        <v>0.8</v>
      </c>
      <c r="F51" s="12">
        <v>0.8</v>
      </c>
      <c r="G51" s="12">
        <v>0.8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4"/>
      <c r="AH51" s="4"/>
      <c r="AI51" s="4"/>
      <c r="AJ51" s="4"/>
      <c r="AK51" s="4"/>
      <c r="AL51" s="4"/>
      <c r="AM51" s="4"/>
      <c r="AN51" s="4"/>
      <c r="AO51" s="4"/>
    </row>
    <row r="52" spans="1:41" ht="15" customHeight="1" x14ac:dyDescent="0.35">
      <c r="A52" s="168" t="s">
        <v>13</v>
      </c>
      <c r="B52" s="169"/>
      <c r="C52" s="169"/>
      <c r="D52" s="169"/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70"/>
      <c r="W52" s="186">
        <f>MAURO!P4</f>
        <v>45218</v>
      </c>
      <c r="X52" s="187"/>
      <c r="Y52" s="177" t="s">
        <v>14</v>
      </c>
      <c r="Z52" s="178"/>
      <c r="AA52" s="178"/>
      <c r="AB52" s="178"/>
      <c r="AC52" s="178"/>
      <c r="AD52" s="178"/>
      <c r="AE52" s="178"/>
      <c r="AF52" s="178"/>
      <c r="AG52" s="178"/>
      <c r="AH52" s="178"/>
      <c r="AI52" s="178"/>
      <c r="AJ52" s="178"/>
      <c r="AK52" s="178"/>
      <c r="AL52" s="178"/>
      <c r="AM52" s="178"/>
      <c r="AN52" s="178"/>
      <c r="AO52" s="179"/>
    </row>
    <row r="53" spans="1:41" ht="15" customHeight="1" x14ac:dyDescent="0.35">
      <c r="A53" s="171"/>
      <c r="B53" s="172"/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3"/>
      <c r="W53" s="188"/>
      <c r="X53" s="187"/>
      <c r="Y53" s="180"/>
      <c r="Z53" s="181"/>
      <c r="AA53" s="181"/>
      <c r="AB53" s="181"/>
      <c r="AC53" s="181"/>
      <c r="AD53" s="181"/>
      <c r="AE53" s="181"/>
      <c r="AF53" s="181"/>
      <c r="AG53" s="181"/>
      <c r="AH53" s="181"/>
      <c r="AI53" s="181"/>
      <c r="AJ53" s="181"/>
      <c r="AK53" s="181"/>
      <c r="AL53" s="181"/>
      <c r="AM53" s="181"/>
      <c r="AN53" s="181"/>
      <c r="AO53" s="182"/>
    </row>
    <row r="54" spans="1:41" ht="15.75" customHeight="1" thickBot="1" x14ac:dyDescent="0.4">
      <c r="A54" s="174"/>
      <c r="B54" s="17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6"/>
      <c r="W54" s="188"/>
      <c r="X54" s="187"/>
      <c r="Y54" s="183"/>
      <c r="Z54" s="184"/>
      <c r="AA54" s="184"/>
      <c r="AB54" s="184"/>
      <c r="AC54" s="184"/>
      <c r="AD54" s="184"/>
      <c r="AE54" s="184"/>
      <c r="AF54" s="184"/>
      <c r="AG54" s="184"/>
      <c r="AH54" s="184"/>
      <c r="AI54" s="184"/>
      <c r="AJ54" s="184"/>
      <c r="AK54" s="184"/>
      <c r="AL54" s="184"/>
      <c r="AM54" s="184"/>
      <c r="AN54" s="184"/>
      <c r="AO54" s="185"/>
    </row>
    <row r="55" spans="1:41" ht="15" thickBot="1" x14ac:dyDescent="0.4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4"/>
      <c r="AH55" s="4"/>
      <c r="AI55" s="4"/>
      <c r="AJ55" s="4"/>
      <c r="AK55" s="4"/>
      <c r="AL55" s="4"/>
      <c r="AM55" s="4"/>
      <c r="AN55" s="4"/>
      <c r="AO55" s="4"/>
    </row>
    <row r="56" spans="1:41" ht="30" customHeight="1" thickBot="1" x14ac:dyDescent="0.4">
      <c r="A56" s="5"/>
      <c r="B56" s="165" t="s">
        <v>33</v>
      </c>
      <c r="C56" s="166"/>
      <c r="D56" s="166"/>
      <c r="E56" s="166"/>
      <c r="F56" s="166"/>
      <c r="G56" s="167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4"/>
      <c r="AH56" s="4"/>
      <c r="AI56" s="4"/>
      <c r="AJ56" s="4"/>
      <c r="AK56" s="4"/>
      <c r="AL56" s="4"/>
      <c r="AM56" s="4"/>
      <c r="AN56" s="4"/>
      <c r="AO56" s="4"/>
    </row>
    <row r="57" spans="1:41" ht="30" customHeight="1" x14ac:dyDescent="0.35">
      <c r="A57" s="5"/>
      <c r="B57" s="6" t="s">
        <v>5</v>
      </c>
      <c r="C57" s="7" t="s">
        <v>6</v>
      </c>
      <c r="D57" s="7" t="s">
        <v>7</v>
      </c>
      <c r="E57" s="7" t="s">
        <v>11</v>
      </c>
      <c r="F57" s="14" t="s">
        <v>8</v>
      </c>
      <c r="G57" s="15" t="s">
        <v>10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4"/>
      <c r="AH57" s="4"/>
      <c r="AI57" s="4"/>
      <c r="AJ57" s="4"/>
      <c r="AK57" s="4"/>
      <c r="AL57" s="4"/>
      <c r="AM57" s="4"/>
      <c r="AN57" s="4"/>
      <c r="AO57" s="4"/>
    </row>
    <row r="58" spans="1:41" ht="30" customHeight="1" thickBot="1" x14ac:dyDescent="0.4">
      <c r="A58" s="5"/>
      <c r="B58" s="9"/>
      <c r="C58" s="10"/>
      <c r="D58" s="10">
        <f>MAURO!BF9</f>
        <v>0.91666666666666663</v>
      </c>
      <c r="E58" s="10"/>
      <c r="F58" s="16"/>
      <c r="G58" s="80">
        <f>(SUM(B58:F58))/100%</f>
        <v>0.91666666666666663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4"/>
      <c r="AH58" s="4"/>
      <c r="AI58" s="4"/>
      <c r="AJ58" s="4"/>
      <c r="AK58" s="4"/>
      <c r="AL58" s="4"/>
      <c r="AM58" s="4"/>
      <c r="AN58" s="4"/>
      <c r="AO58" s="4"/>
    </row>
    <row r="59" spans="1:41" x14ac:dyDescent="0.35">
      <c r="A59" s="5"/>
      <c r="B59" s="12">
        <v>0.8</v>
      </c>
      <c r="C59" s="12">
        <v>0.8</v>
      </c>
      <c r="D59" s="12">
        <v>0.8</v>
      </c>
      <c r="E59" s="12">
        <v>0.8</v>
      </c>
      <c r="F59" s="12">
        <v>0.8</v>
      </c>
      <c r="G59" s="12">
        <v>0.8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4"/>
      <c r="AH59" s="4"/>
      <c r="AI59" s="4"/>
      <c r="AJ59" s="4"/>
      <c r="AK59" s="4"/>
      <c r="AL59" s="4"/>
      <c r="AM59" s="4"/>
      <c r="AN59" s="4"/>
      <c r="AO59" s="4"/>
    </row>
    <row r="60" spans="1:41" x14ac:dyDescent="0.3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4"/>
      <c r="AH60" s="4"/>
      <c r="AI60" s="4"/>
      <c r="AJ60" s="4"/>
      <c r="AK60" s="4"/>
      <c r="AL60" s="4"/>
      <c r="AM60" s="4"/>
      <c r="AN60" s="4"/>
      <c r="AO60" s="4"/>
    </row>
    <row r="61" spans="1:41" x14ac:dyDescent="0.3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4"/>
      <c r="AH61" s="4"/>
      <c r="AI61" s="4"/>
      <c r="AJ61" s="4"/>
      <c r="AK61" s="4"/>
      <c r="AL61" s="4"/>
      <c r="AM61" s="4"/>
      <c r="AN61" s="4"/>
      <c r="AO61" s="4"/>
    </row>
    <row r="62" spans="1:41" x14ac:dyDescent="0.3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4"/>
      <c r="AH62" s="4"/>
      <c r="AI62" s="4"/>
      <c r="AJ62" s="4"/>
      <c r="AK62" s="4"/>
      <c r="AL62" s="4"/>
      <c r="AM62" s="4"/>
      <c r="AN62" s="4"/>
      <c r="AO62" s="4"/>
    </row>
    <row r="63" spans="1:41" x14ac:dyDescent="0.3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4"/>
      <c r="AH63" s="4"/>
      <c r="AI63" s="4"/>
      <c r="AJ63" s="4"/>
      <c r="AK63" s="4"/>
      <c r="AL63" s="4"/>
      <c r="AM63" s="4"/>
      <c r="AN63" s="4"/>
      <c r="AO63" s="4"/>
    </row>
    <row r="64" spans="1:41" x14ac:dyDescent="0.3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4"/>
      <c r="AH64" s="4"/>
      <c r="AI64" s="4"/>
      <c r="AJ64" s="4"/>
      <c r="AK64" s="4"/>
      <c r="AL64" s="4"/>
      <c r="AM64" s="4"/>
      <c r="AN64" s="4"/>
      <c r="AO64" s="4"/>
    </row>
    <row r="65" spans="1:41" x14ac:dyDescent="0.3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4"/>
      <c r="AH65" s="4"/>
      <c r="AI65" s="4"/>
      <c r="AJ65" s="4"/>
      <c r="AK65" s="4"/>
      <c r="AL65" s="4"/>
      <c r="AM65" s="4"/>
      <c r="AN65" s="4"/>
      <c r="AO65" s="4"/>
    </row>
    <row r="66" spans="1:41" x14ac:dyDescent="0.3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4"/>
      <c r="AH66" s="4"/>
      <c r="AI66" s="4"/>
      <c r="AJ66" s="4"/>
      <c r="AK66" s="4"/>
      <c r="AL66" s="4"/>
      <c r="AM66" s="4"/>
      <c r="AN66" s="4"/>
      <c r="AO66" s="4"/>
    </row>
    <row r="67" spans="1:41" x14ac:dyDescent="0.3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4"/>
      <c r="AH67" s="4"/>
      <c r="AI67" s="4"/>
      <c r="AJ67" s="4"/>
      <c r="AK67" s="4"/>
      <c r="AL67" s="4"/>
      <c r="AM67" s="4"/>
      <c r="AN67" s="4"/>
      <c r="AO67" s="4"/>
    </row>
    <row r="68" spans="1:41" x14ac:dyDescent="0.3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4"/>
      <c r="AH68" s="4"/>
      <c r="AI68" s="4"/>
      <c r="AJ68" s="4"/>
      <c r="AK68" s="4"/>
      <c r="AL68" s="4"/>
      <c r="AM68" s="4"/>
      <c r="AN68" s="4"/>
      <c r="AO68" s="4"/>
    </row>
    <row r="69" spans="1:41" x14ac:dyDescent="0.3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4"/>
      <c r="AH69" s="4"/>
      <c r="AI69" s="4"/>
      <c r="AJ69" s="4"/>
      <c r="AK69" s="4"/>
      <c r="AL69" s="4"/>
      <c r="AM69" s="4"/>
      <c r="AN69" s="4"/>
      <c r="AO69" s="4"/>
    </row>
    <row r="70" spans="1:41" x14ac:dyDescent="0.3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4"/>
      <c r="AH70" s="4"/>
      <c r="AI70" s="4"/>
      <c r="AJ70" s="4"/>
      <c r="AK70" s="4"/>
      <c r="AL70" s="4"/>
      <c r="AM70" s="4"/>
      <c r="AN70" s="4"/>
      <c r="AO70" s="4"/>
    </row>
    <row r="71" spans="1:41" ht="15" thickBot="1" x14ac:dyDescent="0.4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4"/>
      <c r="AH71" s="4"/>
      <c r="AI71" s="4"/>
      <c r="AJ71" s="4"/>
      <c r="AK71" s="4"/>
      <c r="AL71" s="4"/>
      <c r="AM71" s="4"/>
      <c r="AN71" s="4"/>
      <c r="AO71" s="4"/>
    </row>
    <row r="72" spans="1:41" ht="30" customHeight="1" thickBot="1" x14ac:dyDescent="0.4">
      <c r="A72" s="5"/>
      <c r="B72" s="165" t="s">
        <v>32</v>
      </c>
      <c r="C72" s="166"/>
      <c r="D72" s="166"/>
      <c r="E72" s="166"/>
      <c r="F72" s="166"/>
      <c r="G72" s="167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4"/>
      <c r="AH72" s="4"/>
      <c r="AI72" s="4"/>
      <c r="AJ72" s="4"/>
      <c r="AK72" s="4"/>
      <c r="AL72" s="4"/>
      <c r="AM72" s="4"/>
      <c r="AN72" s="4"/>
      <c r="AO72" s="4"/>
    </row>
    <row r="73" spans="1:41" ht="30" customHeight="1" x14ac:dyDescent="0.35">
      <c r="A73" s="5"/>
      <c r="B73" s="6" t="s">
        <v>5</v>
      </c>
      <c r="C73" s="7" t="s">
        <v>6</v>
      </c>
      <c r="D73" s="7" t="s">
        <v>7</v>
      </c>
      <c r="E73" s="7" t="s">
        <v>11</v>
      </c>
      <c r="F73" s="7" t="s">
        <v>8</v>
      </c>
      <c r="G73" s="8" t="s">
        <v>10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4"/>
      <c r="AH73" s="4"/>
      <c r="AI73" s="4"/>
      <c r="AJ73" s="4"/>
      <c r="AK73" s="4"/>
      <c r="AL73" s="4"/>
      <c r="AM73" s="4"/>
      <c r="AN73" s="4"/>
      <c r="AO73" s="4"/>
    </row>
    <row r="74" spans="1:41" ht="30" customHeight="1" thickBot="1" x14ac:dyDescent="0.4">
      <c r="A74" s="5"/>
      <c r="B74" s="9"/>
      <c r="C74" s="10"/>
      <c r="D74" s="10">
        <f>MAURO!BF14</f>
        <v>0.8</v>
      </c>
      <c r="E74" s="10"/>
      <c r="F74" s="10"/>
      <c r="G74" s="11">
        <f>(SUM(B74:F74))/100%</f>
        <v>0.8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4"/>
      <c r="AH74" s="4"/>
      <c r="AI74" s="4"/>
      <c r="AJ74" s="4"/>
      <c r="AK74" s="4"/>
      <c r="AL74" s="4"/>
      <c r="AM74" s="4"/>
      <c r="AN74" s="4"/>
      <c r="AO74" s="4"/>
    </row>
    <row r="75" spans="1:41" x14ac:dyDescent="0.35">
      <c r="A75" s="5"/>
      <c r="B75" s="12">
        <v>0.8</v>
      </c>
      <c r="C75" s="12">
        <v>0.8</v>
      </c>
      <c r="D75" s="12">
        <v>0.8</v>
      </c>
      <c r="E75" s="12">
        <v>0.8</v>
      </c>
      <c r="F75" s="12">
        <v>0.8</v>
      </c>
      <c r="G75" s="12">
        <v>0.8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4"/>
      <c r="AH75" s="4"/>
      <c r="AI75" s="4"/>
      <c r="AJ75" s="4"/>
      <c r="AK75" s="4"/>
      <c r="AL75" s="4"/>
      <c r="AM75" s="4"/>
      <c r="AN75" s="4"/>
      <c r="AO75" s="4"/>
    </row>
    <row r="76" spans="1:41" ht="15" thickBot="1" x14ac:dyDescent="0.4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4"/>
      <c r="AH76" s="4"/>
      <c r="AI76" s="4"/>
      <c r="AJ76" s="4"/>
      <c r="AK76" s="4"/>
      <c r="AL76" s="4"/>
      <c r="AM76" s="4"/>
      <c r="AN76" s="4"/>
      <c r="AO76" s="4"/>
    </row>
    <row r="77" spans="1:41" ht="15" customHeight="1" x14ac:dyDescent="0.35">
      <c r="A77" s="13"/>
      <c r="B77" s="13"/>
      <c r="C77" s="13"/>
      <c r="D77" s="13"/>
      <c r="E77" s="13"/>
      <c r="F77" s="13"/>
      <c r="G77" s="13"/>
      <c r="H77" s="168" t="s">
        <v>13</v>
      </c>
      <c r="I77" s="169"/>
      <c r="J77" s="169"/>
      <c r="K77" s="169"/>
      <c r="L77" s="169"/>
      <c r="M77" s="169"/>
      <c r="N77" s="169"/>
      <c r="O77" s="169"/>
      <c r="P77" s="169"/>
      <c r="Q77" s="169"/>
      <c r="R77" s="169"/>
      <c r="S77" s="169"/>
      <c r="T77" s="169"/>
      <c r="U77" s="169"/>
      <c r="V77" s="170"/>
      <c r="W77" s="186" t="e">
        <f>MAURO!#REF!</f>
        <v>#REF!</v>
      </c>
      <c r="X77" s="187"/>
      <c r="Y77" s="177" t="s">
        <v>14</v>
      </c>
      <c r="Z77" s="178"/>
      <c r="AA77" s="178"/>
      <c r="AB77" s="178"/>
      <c r="AC77" s="178"/>
      <c r="AD77" s="178"/>
      <c r="AE77" s="178"/>
      <c r="AF77" s="178"/>
      <c r="AG77" s="178"/>
      <c r="AH77" s="178"/>
      <c r="AI77" s="178"/>
      <c r="AJ77" s="178"/>
      <c r="AK77" s="178"/>
      <c r="AL77" s="178"/>
      <c r="AM77" s="178"/>
      <c r="AN77" s="178"/>
      <c r="AO77" s="179"/>
    </row>
    <row r="78" spans="1:41" ht="15" customHeight="1" x14ac:dyDescent="0.35">
      <c r="A78" s="13"/>
      <c r="B78" s="13"/>
      <c r="C78" s="13"/>
      <c r="D78" s="13"/>
      <c r="E78" s="13"/>
      <c r="F78" s="13"/>
      <c r="G78" s="13"/>
      <c r="H78" s="171"/>
      <c r="I78" s="172"/>
      <c r="J78" s="172"/>
      <c r="K78" s="172"/>
      <c r="L78" s="172"/>
      <c r="M78" s="172"/>
      <c r="N78" s="172"/>
      <c r="O78" s="172"/>
      <c r="P78" s="172"/>
      <c r="Q78" s="172"/>
      <c r="R78" s="172"/>
      <c r="S78" s="172"/>
      <c r="T78" s="172"/>
      <c r="U78" s="172"/>
      <c r="V78" s="173"/>
      <c r="W78" s="188"/>
      <c r="X78" s="187"/>
      <c r="Y78" s="180"/>
      <c r="Z78" s="181"/>
      <c r="AA78" s="181"/>
      <c r="AB78" s="181"/>
      <c r="AC78" s="181"/>
      <c r="AD78" s="181"/>
      <c r="AE78" s="181"/>
      <c r="AF78" s="181"/>
      <c r="AG78" s="181"/>
      <c r="AH78" s="181"/>
      <c r="AI78" s="181"/>
      <c r="AJ78" s="181"/>
      <c r="AK78" s="181"/>
      <c r="AL78" s="181"/>
      <c r="AM78" s="181"/>
      <c r="AN78" s="181"/>
      <c r="AO78" s="182"/>
    </row>
    <row r="79" spans="1:41" ht="15.75" customHeight="1" thickBot="1" x14ac:dyDescent="0.4">
      <c r="A79" s="13"/>
      <c r="B79" s="13"/>
      <c r="C79" s="13"/>
      <c r="D79" s="13"/>
      <c r="E79" s="13"/>
      <c r="F79" s="13"/>
      <c r="G79" s="13"/>
      <c r="H79" s="174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6"/>
      <c r="W79" s="188"/>
      <c r="X79" s="187"/>
      <c r="Y79" s="183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4"/>
      <c r="AL79" s="184"/>
      <c r="AM79" s="184"/>
      <c r="AN79" s="184"/>
      <c r="AO79" s="185"/>
    </row>
    <row r="80" spans="1:41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4"/>
      <c r="AH80" s="4"/>
      <c r="AI80" s="4"/>
      <c r="AJ80" s="4"/>
      <c r="AK80" s="4"/>
      <c r="AL80" s="4"/>
      <c r="AM80" s="4"/>
      <c r="AN80" s="4"/>
      <c r="AO80" s="4"/>
    </row>
    <row r="81" spans="1:41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4"/>
      <c r="AH81" s="4"/>
      <c r="AI81" s="4"/>
      <c r="AJ81" s="4"/>
      <c r="AK81" s="4"/>
      <c r="AL81" s="4"/>
      <c r="AM81" s="4"/>
      <c r="AN81" s="4"/>
      <c r="AO81" s="4"/>
    </row>
    <row r="82" spans="1:41" ht="15" thickBot="1" x14ac:dyDescent="0.4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4"/>
      <c r="AH82" s="4"/>
      <c r="AI82" s="4"/>
      <c r="AJ82" s="4"/>
      <c r="AK82" s="4"/>
      <c r="AL82" s="4"/>
      <c r="AM82" s="4"/>
      <c r="AN82" s="4"/>
      <c r="AO82" s="4"/>
    </row>
    <row r="83" spans="1:41" ht="30" customHeight="1" thickBot="1" x14ac:dyDescent="0.4">
      <c r="A83" s="5"/>
      <c r="B83" s="165" t="s">
        <v>33</v>
      </c>
      <c r="C83" s="166"/>
      <c r="D83" s="166"/>
      <c r="E83" s="166"/>
      <c r="F83" s="166"/>
      <c r="G83" s="167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4"/>
      <c r="AH83" s="4"/>
      <c r="AI83" s="4"/>
      <c r="AJ83" s="4"/>
      <c r="AK83" s="4"/>
      <c r="AL83" s="4"/>
      <c r="AM83" s="4"/>
      <c r="AN83" s="4"/>
      <c r="AO83" s="4"/>
    </row>
    <row r="84" spans="1:41" ht="30" customHeight="1" x14ac:dyDescent="0.35">
      <c r="A84" s="5"/>
      <c r="B84" s="17" t="s">
        <v>5</v>
      </c>
      <c r="C84" s="18" t="s">
        <v>6</v>
      </c>
      <c r="D84" s="18" t="s">
        <v>7</v>
      </c>
      <c r="E84" s="7" t="s">
        <v>11</v>
      </c>
      <c r="F84" s="7" t="s">
        <v>8</v>
      </c>
      <c r="G84" s="8" t="s">
        <v>10</v>
      </c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4"/>
      <c r="AH84" s="4"/>
      <c r="AI84" s="4"/>
      <c r="AJ84" s="4"/>
      <c r="AK84" s="4"/>
      <c r="AL84" s="4"/>
      <c r="AM84" s="4"/>
      <c r="AN84" s="4"/>
      <c r="AO84" s="4"/>
    </row>
    <row r="85" spans="1:41" ht="30" customHeight="1" thickBot="1" x14ac:dyDescent="0.4">
      <c r="A85" s="5"/>
      <c r="B85" s="9"/>
      <c r="C85" s="10"/>
      <c r="D85" s="10">
        <f>MAURO!BK9</f>
        <v>0.54838709677419351</v>
      </c>
      <c r="E85" s="10"/>
      <c r="F85" s="10"/>
      <c r="G85" s="11">
        <f>(SUM(B85:F85))/100%</f>
        <v>0.54838709677419351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4"/>
      <c r="AH85" s="4"/>
      <c r="AI85" s="4"/>
      <c r="AJ85" s="4"/>
      <c r="AK85" s="4"/>
      <c r="AL85" s="4"/>
      <c r="AM85" s="4"/>
      <c r="AN85" s="4"/>
      <c r="AO85" s="4"/>
    </row>
    <row r="86" spans="1:41" x14ac:dyDescent="0.35">
      <c r="A86" s="5"/>
      <c r="B86" s="12">
        <v>0.8</v>
      </c>
      <c r="C86" s="12">
        <v>0.8</v>
      </c>
      <c r="D86" s="12">
        <v>0.8</v>
      </c>
      <c r="E86" s="12">
        <v>0.8</v>
      </c>
      <c r="F86" s="12">
        <v>0.8</v>
      </c>
      <c r="G86" s="12">
        <v>0.8</v>
      </c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4"/>
      <c r="AH86" s="4"/>
      <c r="AI86" s="4"/>
      <c r="AJ86" s="4"/>
      <c r="AK86" s="4"/>
      <c r="AL86" s="4"/>
      <c r="AM86" s="4"/>
      <c r="AN86" s="4"/>
      <c r="AO86" s="4"/>
    </row>
    <row r="87" spans="1:41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4"/>
      <c r="AH87" s="4"/>
      <c r="AI87" s="4"/>
      <c r="AJ87" s="4"/>
      <c r="AK87" s="4"/>
      <c r="AL87" s="4"/>
      <c r="AM87" s="4"/>
      <c r="AN87" s="4"/>
      <c r="AO87" s="4"/>
    </row>
    <row r="88" spans="1:41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4"/>
      <c r="AH88" s="4"/>
      <c r="AI88" s="4"/>
      <c r="AJ88" s="4"/>
      <c r="AK88" s="4"/>
      <c r="AL88" s="4"/>
      <c r="AM88" s="4"/>
      <c r="AN88" s="4"/>
      <c r="AO88" s="4"/>
    </row>
    <row r="89" spans="1:41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4"/>
      <c r="AH89" s="4"/>
      <c r="AI89" s="4"/>
      <c r="AJ89" s="4"/>
      <c r="AK89" s="4"/>
      <c r="AL89" s="4"/>
      <c r="AM89" s="4"/>
      <c r="AN89" s="4"/>
      <c r="AO89" s="4"/>
    </row>
    <row r="90" spans="1:41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4"/>
      <c r="AH90" s="4"/>
      <c r="AI90" s="4"/>
      <c r="AJ90" s="4"/>
      <c r="AK90" s="4"/>
      <c r="AL90" s="4"/>
      <c r="AM90" s="4"/>
      <c r="AN90" s="4"/>
      <c r="AO90" s="4"/>
    </row>
    <row r="91" spans="1:41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4"/>
      <c r="AH91" s="4"/>
      <c r="AI91" s="4"/>
      <c r="AJ91" s="4"/>
      <c r="AK91" s="4"/>
      <c r="AL91" s="4"/>
      <c r="AM91" s="4"/>
      <c r="AN91" s="4"/>
      <c r="AO91" s="4"/>
    </row>
    <row r="92" spans="1:41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4"/>
      <c r="AH92" s="4"/>
      <c r="AI92" s="4"/>
      <c r="AJ92" s="4"/>
      <c r="AK92" s="4"/>
      <c r="AL92" s="4"/>
      <c r="AM92" s="4"/>
      <c r="AN92" s="4"/>
      <c r="AO92" s="4"/>
    </row>
    <row r="93" spans="1:41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4"/>
      <c r="AH93" s="4"/>
      <c r="AI93" s="4"/>
      <c r="AJ93" s="4"/>
      <c r="AK93" s="4"/>
      <c r="AL93" s="4"/>
      <c r="AM93" s="4"/>
      <c r="AN93" s="4"/>
      <c r="AO93" s="4"/>
    </row>
    <row r="94" spans="1:41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4"/>
      <c r="AH94" s="4"/>
      <c r="AI94" s="4"/>
      <c r="AJ94" s="4"/>
      <c r="AK94" s="4"/>
      <c r="AL94" s="4"/>
      <c r="AM94" s="4"/>
      <c r="AN94" s="4"/>
      <c r="AO94" s="4"/>
    </row>
    <row r="95" spans="1:41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4"/>
      <c r="AH95" s="4"/>
      <c r="AI95" s="4"/>
      <c r="AJ95" s="4"/>
      <c r="AK95" s="4"/>
      <c r="AL95" s="4"/>
      <c r="AM95" s="4"/>
      <c r="AN95" s="4"/>
      <c r="AO95" s="4"/>
    </row>
    <row r="96" spans="1:41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4"/>
      <c r="AH96" s="4"/>
      <c r="AI96" s="4"/>
      <c r="AJ96" s="4"/>
      <c r="AK96" s="4"/>
      <c r="AL96" s="4"/>
      <c r="AM96" s="4"/>
      <c r="AN96" s="4"/>
      <c r="AO96" s="4"/>
    </row>
    <row r="97" spans="1:41" ht="15" thickBot="1" x14ac:dyDescent="0.4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4"/>
      <c r="AH97" s="4"/>
      <c r="AI97" s="4"/>
      <c r="AJ97" s="4"/>
      <c r="AK97" s="4"/>
      <c r="AL97" s="4"/>
      <c r="AM97" s="4"/>
      <c r="AN97" s="4"/>
      <c r="AO97" s="4"/>
    </row>
    <row r="98" spans="1:41" ht="16" thickBot="1" x14ac:dyDescent="0.4">
      <c r="A98" s="5"/>
      <c r="B98" s="165" t="s">
        <v>32</v>
      </c>
      <c r="C98" s="166"/>
      <c r="D98" s="166"/>
      <c r="E98" s="166"/>
      <c r="F98" s="166"/>
      <c r="G98" s="167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4"/>
      <c r="AH98" s="4"/>
      <c r="AI98" s="4"/>
      <c r="AJ98" s="4"/>
      <c r="AK98" s="4"/>
      <c r="AL98" s="4"/>
      <c r="AM98" s="4"/>
      <c r="AN98" s="4"/>
      <c r="AO98" s="4"/>
    </row>
    <row r="99" spans="1:41" ht="30" customHeight="1" x14ac:dyDescent="0.35">
      <c r="A99" s="5"/>
      <c r="B99" s="6" t="s">
        <v>5</v>
      </c>
      <c r="C99" s="7" t="s">
        <v>6</v>
      </c>
      <c r="D99" s="7" t="s">
        <v>7</v>
      </c>
      <c r="E99" s="7" t="s">
        <v>11</v>
      </c>
      <c r="F99" s="7" t="s">
        <v>8</v>
      </c>
      <c r="G99" s="8" t="s">
        <v>10</v>
      </c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4"/>
      <c r="AH99" s="4"/>
      <c r="AI99" s="4"/>
      <c r="AJ99" s="4"/>
      <c r="AK99" s="4"/>
      <c r="AL99" s="4"/>
      <c r="AM99" s="4"/>
      <c r="AN99" s="4"/>
      <c r="AO99" s="4"/>
    </row>
    <row r="100" spans="1:41" ht="30" customHeight="1" thickBot="1" x14ac:dyDescent="0.4">
      <c r="A100" s="5"/>
      <c r="B100" s="9"/>
      <c r="C100" s="10"/>
      <c r="D100" s="10">
        <f>MAURO!BK14</f>
        <v>0.21052631578947367</v>
      </c>
      <c r="E100" s="10"/>
      <c r="F100" s="10"/>
      <c r="G100" s="11">
        <f>(SUM(B100:F100))/100%</f>
        <v>0.21052631578947367</v>
      </c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4"/>
      <c r="AH100" s="4"/>
      <c r="AI100" s="4"/>
      <c r="AJ100" s="4"/>
      <c r="AK100" s="4"/>
      <c r="AL100" s="4"/>
      <c r="AM100" s="4"/>
      <c r="AN100" s="4"/>
      <c r="AO100" s="4"/>
    </row>
    <row r="101" spans="1:41" x14ac:dyDescent="0.35">
      <c r="A101" s="5"/>
      <c r="B101" s="12">
        <v>0.8</v>
      </c>
      <c r="C101" s="12">
        <v>0.8</v>
      </c>
      <c r="D101" s="12">
        <v>0.8</v>
      </c>
      <c r="E101" s="12">
        <v>0.8</v>
      </c>
      <c r="F101" s="12">
        <v>0.8</v>
      </c>
      <c r="G101" s="12">
        <v>0.8</v>
      </c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4"/>
      <c r="AH101" s="4"/>
      <c r="AI101" s="4"/>
      <c r="AJ101" s="4"/>
      <c r="AK101" s="4"/>
      <c r="AL101" s="4"/>
      <c r="AM101" s="4"/>
      <c r="AN101" s="4"/>
      <c r="AO101" s="4"/>
    </row>
    <row r="102" spans="1:41" x14ac:dyDescent="0.3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4"/>
      <c r="AH102" s="4"/>
      <c r="AI102" s="4"/>
      <c r="AJ102" s="4"/>
      <c r="AK102" s="4"/>
      <c r="AL102" s="4"/>
      <c r="AM102" s="4"/>
      <c r="AN102" s="4"/>
      <c r="AO102" s="4"/>
    </row>
    <row r="103" spans="1:41" x14ac:dyDescent="0.3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</row>
    <row r="104" spans="1:41" x14ac:dyDescent="0.3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</row>
    <row r="105" spans="1:41" x14ac:dyDescent="0.3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</row>
    <row r="106" spans="1:41" x14ac:dyDescent="0.3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</row>
    <row r="107" spans="1:41" x14ac:dyDescent="0.3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</row>
    <row r="108" spans="1:41" x14ac:dyDescent="0.3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</row>
    <row r="109" spans="1:41" x14ac:dyDescent="0.3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</row>
    <row r="110" spans="1:41" x14ac:dyDescent="0.3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</row>
    <row r="111" spans="1:41" x14ac:dyDescent="0.3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</row>
    <row r="112" spans="1:41" x14ac:dyDescent="0.3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</row>
    <row r="113" spans="1:41" x14ac:dyDescent="0.3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</row>
    <row r="114" spans="1:41" x14ac:dyDescent="0.3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</row>
    <row r="115" spans="1:41" x14ac:dyDescent="0.3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</row>
    <row r="116" spans="1:41" x14ac:dyDescent="0.3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</row>
    <row r="117" spans="1:41" x14ac:dyDescent="0.3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</row>
    <row r="118" spans="1:41" x14ac:dyDescent="0.3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</row>
    <row r="119" spans="1:41" x14ac:dyDescent="0.3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</row>
    <row r="120" spans="1:41" x14ac:dyDescent="0.3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</row>
    <row r="121" spans="1:41" x14ac:dyDescent="0.3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</row>
    <row r="122" spans="1:41" x14ac:dyDescent="0.3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</row>
    <row r="123" spans="1:41" x14ac:dyDescent="0.3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</row>
    <row r="124" spans="1:41" x14ac:dyDescent="0.3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</row>
    <row r="125" spans="1:41" x14ac:dyDescent="0.3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</row>
    <row r="126" spans="1:41" x14ac:dyDescent="0.3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</row>
    <row r="127" spans="1:41" x14ac:dyDescent="0.3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</row>
    <row r="128" spans="1:41" x14ac:dyDescent="0.3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</row>
    <row r="129" spans="1:41" x14ac:dyDescent="0.3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</row>
    <row r="130" spans="1:41" x14ac:dyDescent="0.3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</row>
    <row r="131" spans="1:41" x14ac:dyDescent="0.3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</row>
    <row r="132" spans="1:41" x14ac:dyDescent="0.3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</row>
    <row r="133" spans="1:41" x14ac:dyDescent="0.3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</row>
    <row r="134" spans="1:41" x14ac:dyDescent="0.3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</row>
    <row r="135" spans="1:41" x14ac:dyDescent="0.3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</row>
    <row r="136" spans="1:41" x14ac:dyDescent="0.3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</row>
    <row r="137" spans="1:41" x14ac:dyDescent="0.3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</row>
    <row r="138" spans="1:41" x14ac:dyDescent="0.3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</row>
    <row r="139" spans="1:41" x14ac:dyDescent="0.3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</row>
    <row r="140" spans="1:41" x14ac:dyDescent="0.3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</row>
    <row r="141" spans="1:41" x14ac:dyDescent="0.3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</row>
    <row r="142" spans="1:41" x14ac:dyDescent="0.3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</row>
    <row r="143" spans="1:41" x14ac:dyDescent="0.3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</row>
    <row r="144" spans="1:41" x14ac:dyDescent="0.3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</row>
    <row r="145" spans="1:41" x14ac:dyDescent="0.3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</row>
    <row r="146" spans="1:41" x14ac:dyDescent="0.3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</row>
    <row r="147" spans="1:41" x14ac:dyDescent="0.3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</row>
    <row r="148" spans="1:41" x14ac:dyDescent="0.3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</row>
    <row r="149" spans="1:41" x14ac:dyDescent="0.3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</row>
    <row r="150" spans="1:41" x14ac:dyDescent="0.3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</row>
    <row r="151" spans="1:41" x14ac:dyDescent="0.3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</row>
    <row r="152" spans="1:41" x14ac:dyDescent="0.3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</row>
    <row r="153" spans="1:41" x14ac:dyDescent="0.3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</row>
    <row r="154" spans="1:41" x14ac:dyDescent="0.3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</row>
    <row r="155" spans="1:41" x14ac:dyDescent="0.3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</row>
    <row r="156" spans="1:41" x14ac:dyDescent="0.3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</row>
    <row r="157" spans="1:41" x14ac:dyDescent="0.3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</row>
    <row r="158" spans="1:41" x14ac:dyDescent="0.3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</row>
    <row r="159" spans="1:41" x14ac:dyDescent="0.3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</row>
    <row r="160" spans="1:41" x14ac:dyDescent="0.3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</row>
    <row r="161" spans="1:41" x14ac:dyDescent="0.3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</row>
    <row r="162" spans="1:41" x14ac:dyDescent="0.3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</row>
    <row r="163" spans="1:41" x14ac:dyDescent="0.3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</row>
    <row r="164" spans="1:41" x14ac:dyDescent="0.3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</row>
    <row r="165" spans="1:41" x14ac:dyDescent="0.3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</row>
    <row r="166" spans="1:41" x14ac:dyDescent="0.3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</row>
    <row r="167" spans="1:41" x14ac:dyDescent="0.3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</row>
    <row r="168" spans="1:41" x14ac:dyDescent="0.3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</row>
    <row r="169" spans="1:41" x14ac:dyDescent="0.3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</row>
    <row r="170" spans="1:41" x14ac:dyDescent="0.3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</row>
    <row r="171" spans="1:41" x14ac:dyDescent="0.3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</row>
    <row r="172" spans="1:41" x14ac:dyDescent="0.3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</row>
    <row r="173" spans="1:41" x14ac:dyDescent="0.3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</row>
    <row r="174" spans="1:41" x14ac:dyDescent="0.3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</row>
    <row r="175" spans="1:41" x14ac:dyDescent="0.3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</row>
    <row r="176" spans="1:41" x14ac:dyDescent="0.3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</row>
    <row r="177" spans="1:41" x14ac:dyDescent="0.3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</row>
    <row r="178" spans="1:41" x14ac:dyDescent="0.3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</row>
    <row r="179" spans="1:41" x14ac:dyDescent="0.3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</row>
    <row r="180" spans="1:41" x14ac:dyDescent="0.3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</row>
    <row r="181" spans="1:41" x14ac:dyDescent="0.3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</row>
    <row r="182" spans="1:41" x14ac:dyDescent="0.3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</row>
    <row r="183" spans="1:41" x14ac:dyDescent="0.3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</row>
    <row r="184" spans="1:41" x14ac:dyDescent="0.3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</row>
    <row r="185" spans="1:41" x14ac:dyDescent="0.3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</row>
    <row r="186" spans="1:41" x14ac:dyDescent="0.3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</row>
    <row r="187" spans="1:41" x14ac:dyDescent="0.3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</row>
    <row r="188" spans="1:41" x14ac:dyDescent="0.3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</row>
    <row r="189" spans="1:41" x14ac:dyDescent="0.3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</row>
    <row r="190" spans="1:41" x14ac:dyDescent="0.3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</row>
    <row r="191" spans="1:41" x14ac:dyDescent="0.3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</row>
    <row r="192" spans="1:41" x14ac:dyDescent="0.3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</row>
    <row r="193" spans="1:41" x14ac:dyDescent="0.3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</row>
    <row r="194" spans="1:41" x14ac:dyDescent="0.3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</row>
    <row r="195" spans="1:41" x14ac:dyDescent="0.3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</row>
    <row r="196" spans="1:41" x14ac:dyDescent="0.3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</row>
    <row r="197" spans="1:41" x14ac:dyDescent="0.3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</row>
    <row r="198" spans="1:41" x14ac:dyDescent="0.3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</row>
    <row r="199" spans="1:41" x14ac:dyDescent="0.3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</row>
    <row r="200" spans="1:41" x14ac:dyDescent="0.3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</row>
    <row r="201" spans="1:41" x14ac:dyDescent="0.3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</row>
    <row r="202" spans="1:41" x14ac:dyDescent="0.3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</row>
    <row r="203" spans="1:41" x14ac:dyDescent="0.3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</row>
    <row r="204" spans="1:41" x14ac:dyDescent="0.3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</row>
    <row r="205" spans="1:41" x14ac:dyDescent="0.3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</row>
    <row r="206" spans="1:41" x14ac:dyDescent="0.3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</row>
    <row r="207" spans="1:41" x14ac:dyDescent="0.3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</row>
    <row r="208" spans="1:41" x14ac:dyDescent="0.3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</row>
    <row r="209" spans="1:41" x14ac:dyDescent="0.3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</row>
    <row r="210" spans="1:41" x14ac:dyDescent="0.3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</row>
    <row r="211" spans="1:41" x14ac:dyDescent="0.3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</row>
    <row r="212" spans="1:41" x14ac:dyDescent="0.3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</row>
    <row r="213" spans="1:41" x14ac:dyDescent="0.3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</row>
    <row r="214" spans="1:41" x14ac:dyDescent="0.3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</row>
    <row r="215" spans="1:41" x14ac:dyDescent="0.3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</row>
    <row r="216" spans="1:41" x14ac:dyDescent="0.3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</row>
    <row r="217" spans="1:41" x14ac:dyDescent="0.3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</row>
    <row r="218" spans="1:41" x14ac:dyDescent="0.3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</row>
    <row r="219" spans="1:41" x14ac:dyDescent="0.3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</row>
    <row r="220" spans="1:41" x14ac:dyDescent="0.3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</row>
    <row r="221" spans="1:41" x14ac:dyDescent="0.3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</row>
    <row r="222" spans="1:41" x14ac:dyDescent="0.3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</row>
    <row r="223" spans="1:41" x14ac:dyDescent="0.3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</row>
    <row r="224" spans="1:41" x14ac:dyDescent="0.3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</row>
    <row r="225" spans="1:41" x14ac:dyDescent="0.3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</row>
    <row r="226" spans="1:41" x14ac:dyDescent="0.3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</row>
    <row r="227" spans="1:41" x14ac:dyDescent="0.3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</row>
    <row r="228" spans="1:41" x14ac:dyDescent="0.3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</row>
    <row r="229" spans="1:41" x14ac:dyDescent="0.3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</row>
    <row r="230" spans="1:41" x14ac:dyDescent="0.3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</row>
    <row r="231" spans="1:41" x14ac:dyDescent="0.3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</row>
    <row r="232" spans="1:41" x14ac:dyDescent="0.3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</row>
    <row r="233" spans="1:41" x14ac:dyDescent="0.3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</row>
    <row r="234" spans="1:41" x14ac:dyDescent="0.3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</row>
    <row r="235" spans="1:41" x14ac:dyDescent="0.3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</row>
    <row r="236" spans="1:41" x14ac:dyDescent="0.3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</row>
    <row r="237" spans="1:41" x14ac:dyDescent="0.3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</row>
    <row r="238" spans="1:41" x14ac:dyDescent="0.3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</row>
    <row r="239" spans="1:41" x14ac:dyDescent="0.3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</row>
    <row r="240" spans="1:41" x14ac:dyDescent="0.3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</row>
    <row r="241" spans="1:41" x14ac:dyDescent="0.3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</row>
    <row r="242" spans="1:41" x14ac:dyDescent="0.3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</row>
    <row r="243" spans="1:41" x14ac:dyDescent="0.3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</row>
    <row r="244" spans="1:41" x14ac:dyDescent="0.3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</row>
    <row r="245" spans="1:41" x14ac:dyDescent="0.3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</row>
    <row r="246" spans="1:41" x14ac:dyDescent="0.3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</row>
    <row r="247" spans="1:41" x14ac:dyDescent="0.3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</row>
    <row r="248" spans="1:41" x14ac:dyDescent="0.3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</row>
    <row r="249" spans="1:41" x14ac:dyDescent="0.3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</row>
    <row r="250" spans="1:41" x14ac:dyDescent="0.3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</row>
    <row r="251" spans="1:41" x14ac:dyDescent="0.3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</row>
    <row r="252" spans="1:41" x14ac:dyDescent="0.3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</row>
    <row r="253" spans="1:41" x14ac:dyDescent="0.3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</row>
    <row r="254" spans="1:41" x14ac:dyDescent="0.3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</row>
    <row r="255" spans="1:41" x14ac:dyDescent="0.3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</row>
    <row r="256" spans="1:41" x14ac:dyDescent="0.3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</row>
    <row r="257" spans="1:41" x14ac:dyDescent="0.3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</row>
    <row r="258" spans="1:41" x14ac:dyDescent="0.3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</row>
    <row r="259" spans="1:41" x14ac:dyDescent="0.3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</row>
    <row r="260" spans="1:41" x14ac:dyDescent="0.3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</row>
    <row r="261" spans="1:41" x14ac:dyDescent="0.3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</row>
    <row r="262" spans="1:41" x14ac:dyDescent="0.3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</row>
    <row r="263" spans="1:41" x14ac:dyDescent="0.3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</row>
    <row r="264" spans="1:41" x14ac:dyDescent="0.3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</row>
    <row r="265" spans="1:41" x14ac:dyDescent="0.3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</row>
    <row r="266" spans="1:41" x14ac:dyDescent="0.3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</row>
    <row r="267" spans="1:41" x14ac:dyDescent="0.3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</row>
    <row r="268" spans="1:41" x14ac:dyDescent="0.3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</row>
    <row r="269" spans="1:41" x14ac:dyDescent="0.3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</row>
    <row r="270" spans="1:41" x14ac:dyDescent="0.3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</row>
    <row r="271" spans="1:41" x14ac:dyDescent="0.3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</row>
    <row r="272" spans="1:41" x14ac:dyDescent="0.3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</row>
    <row r="273" spans="1:41" x14ac:dyDescent="0.3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</row>
    <row r="274" spans="1:41" x14ac:dyDescent="0.3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</row>
    <row r="275" spans="1:41" x14ac:dyDescent="0.3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</row>
    <row r="276" spans="1:41" x14ac:dyDescent="0.3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</row>
    <row r="277" spans="1:41" x14ac:dyDescent="0.3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</row>
    <row r="278" spans="1:41" x14ac:dyDescent="0.3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</row>
    <row r="279" spans="1:41" x14ac:dyDescent="0.3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41" x14ac:dyDescent="0.3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</row>
    <row r="281" spans="1:41" x14ac:dyDescent="0.3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</row>
    <row r="282" spans="1:41" x14ac:dyDescent="0.3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</row>
    <row r="283" spans="1:41" x14ac:dyDescent="0.3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</row>
    <row r="284" spans="1:41" x14ac:dyDescent="0.3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</row>
    <row r="285" spans="1:41" x14ac:dyDescent="0.3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</row>
    <row r="286" spans="1:41" x14ac:dyDescent="0.3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</row>
    <row r="287" spans="1:41" x14ac:dyDescent="0.3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</row>
    <row r="288" spans="1:41" x14ac:dyDescent="0.3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</row>
  </sheetData>
  <sheetProtection selectLockedCells="1" selectUnlockedCells="1"/>
  <mergeCells count="19">
    <mergeCell ref="Y28:AO30"/>
    <mergeCell ref="Y7:AO9"/>
    <mergeCell ref="H77:V79"/>
    <mergeCell ref="Y77:AO79"/>
    <mergeCell ref="Y52:AO54"/>
    <mergeCell ref="W7:X9"/>
    <mergeCell ref="W28:X30"/>
    <mergeCell ref="W52:X54"/>
    <mergeCell ref="W77:X79"/>
    <mergeCell ref="B83:G83"/>
    <mergeCell ref="A28:V30"/>
    <mergeCell ref="A52:V54"/>
    <mergeCell ref="B98:G98"/>
    <mergeCell ref="A7:V9"/>
    <mergeCell ref="B11:G11"/>
    <mergeCell ref="B48:G48"/>
    <mergeCell ref="B72:G72"/>
    <mergeCell ref="B32:G32"/>
    <mergeCell ref="B56:G56"/>
  </mergeCells>
  <pageMargins left="0.511811024" right="0.511811024" top="0.78740157499999996" bottom="0.78740157499999996" header="0.31496062000000002" footer="0.31496062000000002"/>
  <pageSetup paperSize="8" orientation="landscape" r:id="rId1"/>
  <ignoredErrors>
    <ignoredError sqref="A15:V18 A51 A48 C48:V48 A36:V47 A32 C32:V32 A60:V71 A56 C56:V56 A76:V76 A72 C72:V72 A87:V97 A83 C83:V83 A100 A33:D33 F33:V33 A49:D49 F49:V49 A57:D57 F57:V57 A73:D73 F73:V73 A84:D84 F84:V84 A99:D99 F99:V99 A58 H58:V58 A74 H74:V74 A85 H85:V85 H100:V100 A13 A34 A50 A80:V82 A77:G77 A78:G79 A31:V31 A53:V55 B52:V52 H34:V34 H50:V50 H13:V13 A14 H14:V14 A35 H35:V35 H51:V51 A59 H59:V59 A75 H75:V75 A86 H86:V86 A20:V27 A19 I19:V19 W8:X27 A98 H98:V98 X7 W29:X51 X28 W53:X76 X52 W78:X79 X77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MAURO</vt:lpstr>
      <vt:lpstr>PA MAURO</vt:lpstr>
      <vt:lpstr>ADERÊNCIA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Honorato</dc:creator>
  <cp:lastModifiedBy>Maiza Porto</cp:lastModifiedBy>
  <cp:lastPrinted>2022-09-27T19:29:13Z</cp:lastPrinted>
  <dcterms:created xsi:type="dcterms:W3CDTF">2022-08-31T13:32:23Z</dcterms:created>
  <dcterms:modified xsi:type="dcterms:W3CDTF">2023-10-30T12:43:23Z</dcterms:modified>
</cp:coreProperties>
</file>