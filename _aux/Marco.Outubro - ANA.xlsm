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maiza.porto\Desktop\Marco - Outubro 2023\"/>
    </mc:Choice>
  </mc:AlternateContent>
  <xr:revisionPtr revIDLastSave="0" documentId="13_ncr:1_{0CDFCB0E-CC7E-40E9-9759-EB4360033C5C}" xr6:coauthVersionLast="47" xr6:coauthVersionMax="47" xr10:uidLastSave="{00000000-0000-0000-0000-000000000000}"/>
  <bookViews>
    <workbookView xWindow="28680" yWindow="-120" windowWidth="29040" windowHeight="15840" tabRatio="855" xr2:uid="{FCF3E4BD-C91C-4330-B31E-E3BC2B293FBE}"/>
  </bookViews>
  <sheets>
    <sheet name="ANA" sheetId="25" r:id="rId1"/>
    <sheet name="PA ANA" sheetId="12" r:id="rId2"/>
    <sheet name="ADERÊNCIA" sheetId="11" state="hidden" r:id="rId3"/>
    <sheet name="% DE DESVIO" sheetId="29" r:id="rId4"/>
  </sheets>
  <externalReferences>
    <externalReference r:id="rId5"/>
  </externalReferences>
  <definedNames>
    <definedName name="_xlnm._FilterDatabase" localSheetId="0" hidden="1">ANA!$A$4:$BN$218</definedName>
    <definedName name="primeiro" localSheetId="0">ANA!#REF!</definedName>
    <definedName name="primeiro" localSheetId="1">'PA ANA'!#REF!</definedName>
    <definedName name="primeiro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218" i="25" l="1"/>
  <c r="A212" i="25"/>
  <c r="A213" i="25"/>
  <c r="A214" i="25"/>
  <c r="A215" i="25"/>
  <c r="A216" i="25"/>
  <c r="A211" i="25"/>
  <c r="A206" i="25"/>
  <c r="A207" i="25"/>
  <c r="A208" i="25"/>
  <c r="A205" i="25"/>
  <c r="A199" i="25"/>
  <c r="A200" i="25"/>
  <c r="A201" i="25"/>
  <c r="A202" i="25"/>
  <c r="A203" i="25"/>
  <c r="A198" i="25"/>
  <c r="A192" i="25"/>
  <c r="A193" i="25"/>
  <c r="A194" i="25"/>
  <c r="A195" i="25"/>
  <c r="A196" i="25"/>
  <c r="A191" i="25"/>
  <c r="A188" i="25"/>
  <c r="A189" i="25"/>
  <c r="A187" i="25"/>
  <c r="A184" i="25"/>
  <c r="A180" i="25"/>
  <c r="A181" i="25"/>
  <c r="A179" i="25"/>
  <c r="A176" i="25"/>
  <c r="A177" i="25"/>
  <c r="A175" i="25"/>
  <c r="A171" i="25"/>
  <c r="A168" i="25"/>
  <c r="A169" i="25"/>
  <c r="A172" i="25"/>
  <c r="A167" i="25"/>
  <c r="A164" i="25"/>
  <c r="A165" i="25"/>
  <c r="A163" i="25"/>
  <c r="A157" i="25"/>
  <c r="A158" i="25"/>
  <c r="A159" i="25"/>
  <c r="A160" i="25"/>
  <c r="A161" i="25"/>
  <c r="A156" i="25"/>
  <c r="A153" i="25"/>
  <c r="A154" i="25" l="1"/>
  <c r="A144" i="25"/>
  <c r="A146" i="25"/>
  <c r="A147" i="25"/>
  <c r="A148" i="25"/>
  <c r="A149" i="25"/>
  <c r="A143" i="25"/>
  <c r="A138" i="25"/>
  <c r="A139" i="25"/>
  <c r="A140" i="25"/>
  <c r="A137" i="25"/>
  <c r="A135" i="25"/>
  <c r="A134" i="25"/>
  <c r="A130" i="25"/>
  <c r="A131" i="25"/>
  <c r="A132" i="25"/>
  <c r="A129" i="25"/>
  <c r="A123" i="25"/>
  <c r="A124" i="25"/>
  <c r="A125" i="25"/>
  <c r="A126" i="25"/>
  <c r="A127" i="25"/>
  <c r="A122" i="25"/>
  <c r="A118" i="25"/>
  <c r="A119" i="25"/>
  <c r="A120" i="25"/>
  <c r="A117" i="25"/>
  <c r="A113" i="25"/>
  <c r="A111" i="25"/>
  <c r="A106" i="25"/>
  <c r="A107" i="25"/>
  <c r="A108" i="25"/>
  <c r="A105" i="25"/>
  <c r="A102" i="25"/>
  <c r="A103" i="25"/>
  <c r="A101" i="25"/>
  <c r="A97" i="25"/>
  <c r="A93" i="25"/>
  <c r="A94" i="25"/>
  <c r="A92" i="25"/>
  <c r="A86" i="25"/>
  <c r="A85" i="25"/>
  <c r="A70" i="25"/>
  <c r="A71" i="25"/>
  <c r="A72" i="25"/>
  <c r="A73" i="25"/>
  <c r="A74" i="25"/>
  <c r="A75" i="25"/>
  <c r="A76" i="25"/>
  <c r="A77" i="25"/>
  <c r="A78" i="25"/>
  <c r="A79" i="25"/>
  <c r="A80" i="25"/>
  <c r="A69" i="25"/>
  <c r="A54" i="25"/>
  <c r="A55" i="25"/>
  <c r="A56" i="25"/>
  <c r="A57" i="25"/>
  <c r="A58" i="25"/>
  <c r="A59" i="25"/>
  <c r="A60" i="25"/>
  <c r="A61" i="25"/>
  <c r="A62" i="25"/>
  <c r="A63" i="25"/>
  <c r="A64" i="25"/>
  <c r="A65" i="25"/>
  <c r="A66" i="25"/>
  <c r="A67" i="25"/>
  <c r="A53" i="25"/>
  <c r="A49" i="25"/>
  <c r="A46" i="25"/>
  <c r="A43" i="25"/>
  <c r="A44" i="25"/>
  <c r="A45" i="25"/>
  <c r="A42" i="25"/>
  <c r="A36" i="25"/>
  <c r="A37" i="25"/>
  <c r="A29" i="25"/>
  <c r="A30" i="25"/>
  <c r="A24" i="25"/>
  <c r="A23" i="25"/>
  <c r="A19" i="25"/>
  <c r="A18" i="25"/>
  <c r="A12" i="25"/>
  <c r="A13" i="25"/>
  <c r="A14" i="25"/>
  <c r="A15" i="25"/>
  <c r="A11" i="25"/>
  <c r="X218" i="25"/>
  <c r="W218" i="25"/>
  <c r="V218" i="25"/>
  <c r="U218" i="25"/>
  <c r="T218" i="25"/>
  <c r="S218" i="25"/>
  <c r="R218" i="25"/>
  <c r="Q218" i="25"/>
  <c r="P218" i="25"/>
  <c r="O218" i="25"/>
  <c r="N218" i="25"/>
  <c r="M218" i="25"/>
  <c r="L218" i="25"/>
  <c r="K218" i="25"/>
  <c r="J218" i="25"/>
  <c r="I218" i="25"/>
  <c r="H218" i="25"/>
  <c r="G218" i="25"/>
  <c r="F218" i="25"/>
  <c r="E218" i="25"/>
  <c r="D218" i="25"/>
  <c r="C218" i="25"/>
  <c r="X216" i="25"/>
  <c r="W216" i="25"/>
  <c r="V216" i="25"/>
  <c r="U216" i="25"/>
  <c r="T216" i="25"/>
  <c r="S216" i="25"/>
  <c r="R216" i="25"/>
  <c r="Q216" i="25"/>
  <c r="P216" i="25"/>
  <c r="O216" i="25"/>
  <c r="N216" i="25"/>
  <c r="M216" i="25"/>
  <c r="L216" i="25"/>
  <c r="K216" i="25"/>
  <c r="J216" i="25"/>
  <c r="I216" i="25"/>
  <c r="H216" i="25"/>
  <c r="G216" i="25"/>
  <c r="F216" i="25"/>
  <c r="E216" i="25"/>
  <c r="D216" i="25"/>
  <c r="C216" i="25"/>
  <c r="X215" i="25"/>
  <c r="W215" i="25"/>
  <c r="V215" i="25"/>
  <c r="U215" i="25"/>
  <c r="T215" i="25"/>
  <c r="S215" i="25"/>
  <c r="R215" i="25"/>
  <c r="Q215" i="25"/>
  <c r="P215" i="25"/>
  <c r="O215" i="25"/>
  <c r="N215" i="25"/>
  <c r="M215" i="25"/>
  <c r="L215" i="25"/>
  <c r="K215" i="25"/>
  <c r="J215" i="25"/>
  <c r="I215" i="25"/>
  <c r="H215" i="25"/>
  <c r="G215" i="25"/>
  <c r="F215" i="25"/>
  <c r="E215" i="25"/>
  <c r="D215" i="25"/>
  <c r="C215" i="25"/>
  <c r="X214" i="25"/>
  <c r="W214" i="25"/>
  <c r="V214" i="25"/>
  <c r="U214" i="25"/>
  <c r="T214" i="25"/>
  <c r="S214" i="25"/>
  <c r="R214" i="25"/>
  <c r="Q214" i="25"/>
  <c r="P214" i="25"/>
  <c r="O214" i="25"/>
  <c r="N214" i="25"/>
  <c r="M214" i="25"/>
  <c r="L214" i="25"/>
  <c r="K214" i="25"/>
  <c r="J214" i="25"/>
  <c r="I214" i="25"/>
  <c r="H214" i="25"/>
  <c r="G214" i="25"/>
  <c r="F214" i="25"/>
  <c r="E214" i="25"/>
  <c r="D214" i="25"/>
  <c r="C214" i="25"/>
  <c r="X213" i="25"/>
  <c r="W213" i="25"/>
  <c r="V213" i="25"/>
  <c r="U213" i="25"/>
  <c r="T213" i="25"/>
  <c r="S213" i="25"/>
  <c r="R213" i="25"/>
  <c r="Q213" i="25"/>
  <c r="P213" i="25"/>
  <c r="O213" i="25"/>
  <c r="N213" i="25"/>
  <c r="M213" i="25"/>
  <c r="L213" i="25"/>
  <c r="K213" i="25"/>
  <c r="J213" i="25"/>
  <c r="I213" i="25"/>
  <c r="H213" i="25"/>
  <c r="G213" i="25"/>
  <c r="F213" i="25"/>
  <c r="E213" i="25"/>
  <c r="D213" i="25"/>
  <c r="C213" i="25"/>
  <c r="X212" i="25"/>
  <c r="W212" i="25"/>
  <c r="V212" i="25"/>
  <c r="U212" i="25"/>
  <c r="T212" i="25"/>
  <c r="S212" i="25"/>
  <c r="R212" i="25"/>
  <c r="Q212" i="25"/>
  <c r="P212" i="25"/>
  <c r="O212" i="25"/>
  <c r="N212" i="25"/>
  <c r="M212" i="25"/>
  <c r="L212" i="25"/>
  <c r="K212" i="25"/>
  <c r="J212" i="25"/>
  <c r="I212" i="25"/>
  <c r="H212" i="25"/>
  <c r="G212" i="25"/>
  <c r="F212" i="25"/>
  <c r="E212" i="25"/>
  <c r="D212" i="25"/>
  <c r="C212" i="25"/>
  <c r="X211" i="25"/>
  <c r="W211" i="25"/>
  <c r="V211" i="25"/>
  <c r="U211" i="25"/>
  <c r="T211" i="25"/>
  <c r="S211" i="25"/>
  <c r="R211" i="25"/>
  <c r="Q211" i="25"/>
  <c r="P211" i="25"/>
  <c r="O211" i="25"/>
  <c r="N211" i="25"/>
  <c r="M211" i="25"/>
  <c r="L211" i="25"/>
  <c r="K211" i="25"/>
  <c r="J211" i="25"/>
  <c r="I211" i="25"/>
  <c r="H211" i="25"/>
  <c r="G211" i="25"/>
  <c r="F211" i="25"/>
  <c r="E211" i="25"/>
  <c r="D211" i="25"/>
  <c r="C211" i="25"/>
  <c r="X208" i="25"/>
  <c r="W208" i="25"/>
  <c r="V208" i="25"/>
  <c r="U208" i="25"/>
  <c r="T208" i="25"/>
  <c r="S208" i="25"/>
  <c r="R208" i="25"/>
  <c r="Q208" i="25"/>
  <c r="P208" i="25"/>
  <c r="O208" i="25"/>
  <c r="N208" i="25"/>
  <c r="M208" i="25"/>
  <c r="L208" i="25"/>
  <c r="K208" i="25"/>
  <c r="J208" i="25"/>
  <c r="I208" i="25"/>
  <c r="H208" i="25"/>
  <c r="G208" i="25"/>
  <c r="F208" i="25"/>
  <c r="E208" i="25"/>
  <c r="D208" i="25"/>
  <c r="C208" i="25"/>
  <c r="X207" i="25"/>
  <c r="W207" i="25"/>
  <c r="V207" i="25"/>
  <c r="U207" i="25"/>
  <c r="T207" i="25"/>
  <c r="S207" i="25"/>
  <c r="R207" i="25"/>
  <c r="Q207" i="25"/>
  <c r="P207" i="25"/>
  <c r="O207" i="25"/>
  <c r="N207" i="25"/>
  <c r="M207" i="25"/>
  <c r="L207" i="25"/>
  <c r="K207" i="25"/>
  <c r="J207" i="25"/>
  <c r="I207" i="25"/>
  <c r="H207" i="25"/>
  <c r="G207" i="25"/>
  <c r="F207" i="25"/>
  <c r="E207" i="25"/>
  <c r="D207" i="25"/>
  <c r="C207" i="25"/>
  <c r="X206" i="25"/>
  <c r="W206" i="25"/>
  <c r="V206" i="25"/>
  <c r="U206" i="25"/>
  <c r="T206" i="25"/>
  <c r="S206" i="25"/>
  <c r="R206" i="25"/>
  <c r="Q206" i="25"/>
  <c r="P206" i="25"/>
  <c r="O206" i="25"/>
  <c r="N206" i="25"/>
  <c r="M206" i="25"/>
  <c r="L206" i="25"/>
  <c r="K206" i="25"/>
  <c r="J206" i="25"/>
  <c r="I206" i="25"/>
  <c r="H206" i="25"/>
  <c r="G206" i="25"/>
  <c r="F206" i="25"/>
  <c r="E206" i="25"/>
  <c r="D206" i="25"/>
  <c r="C206" i="25"/>
  <c r="X205" i="25"/>
  <c r="W205" i="25"/>
  <c r="V205" i="25"/>
  <c r="U205" i="25"/>
  <c r="T205" i="25"/>
  <c r="S205" i="25"/>
  <c r="R205" i="25"/>
  <c r="Q205" i="25"/>
  <c r="P205" i="25"/>
  <c r="O205" i="25"/>
  <c r="N205" i="25"/>
  <c r="M205" i="25"/>
  <c r="L205" i="25"/>
  <c r="K205" i="25"/>
  <c r="J205" i="25"/>
  <c r="I205" i="25"/>
  <c r="H205" i="25"/>
  <c r="G205" i="25"/>
  <c r="F205" i="25"/>
  <c r="E205" i="25"/>
  <c r="D205" i="25"/>
  <c r="C205" i="25"/>
  <c r="X203" i="25"/>
  <c r="W203" i="25"/>
  <c r="V203" i="25"/>
  <c r="U203" i="25"/>
  <c r="T203" i="25"/>
  <c r="S203" i="25"/>
  <c r="R203" i="25"/>
  <c r="Q203" i="25"/>
  <c r="P203" i="25"/>
  <c r="O203" i="25"/>
  <c r="N203" i="25"/>
  <c r="M203" i="25"/>
  <c r="L203" i="25"/>
  <c r="K203" i="25"/>
  <c r="J203" i="25"/>
  <c r="I203" i="25"/>
  <c r="H203" i="25"/>
  <c r="G203" i="25"/>
  <c r="F203" i="25"/>
  <c r="E203" i="25"/>
  <c r="D203" i="25"/>
  <c r="C203" i="25"/>
  <c r="X202" i="25"/>
  <c r="W202" i="25"/>
  <c r="V202" i="25"/>
  <c r="U202" i="25"/>
  <c r="T202" i="25"/>
  <c r="S202" i="25"/>
  <c r="R202" i="25"/>
  <c r="Q202" i="25"/>
  <c r="P202" i="25"/>
  <c r="O202" i="25"/>
  <c r="N202" i="25"/>
  <c r="M202" i="25"/>
  <c r="L202" i="25"/>
  <c r="K202" i="25"/>
  <c r="J202" i="25"/>
  <c r="I202" i="25"/>
  <c r="H202" i="25"/>
  <c r="G202" i="25"/>
  <c r="F202" i="25"/>
  <c r="E202" i="25"/>
  <c r="D202" i="25"/>
  <c r="C202" i="25"/>
  <c r="X201" i="25"/>
  <c r="W201" i="25"/>
  <c r="V201" i="25"/>
  <c r="U201" i="25"/>
  <c r="T201" i="25"/>
  <c r="S201" i="25"/>
  <c r="R201" i="25"/>
  <c r="Q201" i="25"/>
  <c r="P201" i="25"/>
  <c r="O201" i="25"/>
  <c r="N201" i="25"/>
  <c r="M201" i="25"/>
  <c r="L201" i="25"/>
  <c r="K201" i="25"/>
  <c r="J201" i="25"/>
  <c r="I201" i="25"/>
  <c r="H201" i="25"/>
  <c r="G201" i="25"/>
  <c r="F201" i="25"/>
  <c r="E201" i="25"/>
  <c r="D201" i="25"/>
  <c r="C201" i="25"/>
  <c r="X200" i="25"/>
  <c r="W200" i="25"/>
  <c r="V200" i="25"/>
  <c r="U200" i="25"/>
  <c r="T200" i="25"/>
  <c r="S200" i="25"/>
  <c r="R200" i="25"/>
  <c r="Q200" i="25"/>
  <c r="P200" i="25"/>
  <c r="O200" i="25"/>
  <c r="N200" i="25"/>
  <c r="M200" i="25"/>
  <c r="L200" i="25"/>
  <c r="K200" i="25"/>
  <c r="J200" i="25"/>
  <c r="I200" i="25"/>
  <c r="H200" i="25"/>
  <c r="G200" i="25"/>
  <c r="F200" i="25"/>
  <c r="E200" i="25"/>
  <c r="D200" i="25"/>
  <c r="C200" i="25"/>
  <c r="X199" i="25"/>
  <c r="W199" i="25"/>
  <c r="V199" i="25"/>
  <c r="U199" i="25"/>
  <c r="T199" i="25"/>
  <c r="S199" i="25"/>
  <c r="R199" i="25"/>
  <c r="Q199" i="25"/>
  <c r="P199" i="25"/>
  <c r="O199" i="25"/>
  <c r="N199" i="25"/>
  <c r="M199" i="25"/>
  <c r="L199" i="25"/>
  <c r="K199" i="25"/>
  <c r="J199" i="25"/>
  <c r="I199" i="25"/>
  <c r="H199" i="25"/>
  <c r="G199" i="25"/>
  <c r="F199" i="25"/>
  <c r="E199" i="25"/>
  <c r="D199" i="25"/>
  <c r="C199" i="25"/>
  <c r="X198" i="25"/>
  <c r="W198" i="25"/>
  <c r="V198" i="25"/>
  <c r="U198" i="25"/>
  <c r="T198" i="25"/>
  <c r="S198" i="25"/>
  <c r="R198" i="25"/>
  <c r="Q198" i="25"/>
  <c r="P198" i="25"/>
  <c r="O198" i="25"/>
  <c r="N198" i="25"/>
  <c r="M198" i="25"/>
  <c r="L198" i="25"/>
  <c r="K198" i="25"/>
  <c r="J198" i="25"/>
  <c r="I198" i="25"/>
  <c r="H198" i="25"/>
  <c r="G198" i="25"/>
  <c r="F198" i="25"/>
  <c r="E198" i="25"/>
  <c r="D198" i="25"/>
  <c r="C198" i="25"/>
  <c r="X196" i="25"/>
  <c r="W196" i="25"/>
  <c r="V196" i="25"/>
  <c r="U196" i="25"/>
  <c r="T196" i="25"/>
  <c r="S196" i="25"/>
  <c r="R196" i="25"/>
  <c r="Q196" i="25"/>
  <c r="P196" i="25"/>
  <c r="O196" i="25"/>
  <c r="N196" i="25"/>
  <c r="M196" i="25"/>
  <c r="L196" i="25"/>
  <c r="K196" i="25"/>
  <c r="J196" i="25"/>
  <c r="I196" i="25"/>
  <c r="H196" i="25"/>
  <c r="G196" i="25"/>
  <c r="F196" i="25"/>
  <c r="E196" i="25"/>
  <c r="D196" i="25"/>
  <c r="C196" i="25"/>
  <c r="X195" i="25"/>
  <c r="W195" i="25"/>
  <c r="V195" i="25"/>
  <c r="U195" i="25"/>
  <c r="T195" i="25"/>
  <c r="S195" i="25"/>
  <c r="R195" i="25"/>
  <c r="Q195" i="25"/>
  <c r="P195" i="25"/>
  <c r="O195" i="25"/>
  <c r="N195" i="25"/>
  <c r="M195" i="25"/>
  <c r="L195" i="25"/>
  <c r="K195" i="25"/>
  <c r="J195" i="25"/>
  <c r="I195" i="25"/>
  <c r="H195" i="25"/>
  <c r="G195" i="25"/>
  <c r="F195" i="25"/>
  <c r="E195" i="25"/>
  <c r="D195" i="25"/>
  <c r="C195" i="25"/>
  <c r="X194" i="25"/>
  <c r="W194" i="25"/>
  <c r="V194" i="25"/>
  <c r="U194" i="25"/>
  <c r="T194" i="25"/>
  <c r="S194" i="25"/>
  <c r="R194" i="25"/>
  <c r="Q194" i="25"/>
  <c r="P194" i="25"/>
  <c r="O194" i="25"/>
  <c r="N194" i="25"/>
  <c r="M194" i="25"/>
  <c r="L194" i="25"/>
  <c r="K194" i="25"/>
  <c r="J194" i="25"/>
  <c r="I194" i="25"/>
  <c r="H194" i="25"/>
  <c r="G194" i="25"/>
  <c r="F194" i="25"/>
  <c r="E194" i="25"/>
  <c r="D194" i="25"/>
  <c r="C194" i="25"/>
  <c r="X193" i="25"/>
  <c r="W193" i="25"/>
  <c r="V193" i="25"/>
  <c r="U193" i="25"/>
  <c r="T193" i="25"/>
  <c r="S193" i="25"/>
  <c r="R193" i="25"/>
  <c r="Q193" i="25"/>
  <c r="P193" i="25"/>
  <c r="O193" i="25"/>
  <c r="N193" i="25"/>
  <c r="M193" i="25"/>
  <c r="L193" i="25"/>
  <c r="K193" i="25"/>
  <c r="J193" i="25"/>
  <c r="I193" i="25"/>
  <c r="H193" i="25"/>
  <c r="G193" i="25"/>
  <c r="F193" i="25"/>
  <c r="E193" i="25"/>
  <c r="D193" i="25"/>
  <c r="C193" i="25"/>
  <c r="X192" i="25"/>
  <c r="W192" i="25"/>
  <c r="V192" i="25"/>
  <c r="U192" i="25"/>
  <c r="T192" i="25"/>
  <c r="S192" i="25"/>
  <c r="R192" i="25"/>
  <c r="Q192" i="25"/>
  <c r="P192" i="25"/>
  <c r="O192" i="25"/>
  <c r="N192" i="25"/>
  <c r="M192" i="25"/>
  <c r="L192" i="25"/>
  <c r="K192" i="25"/>
  <c r="J192" i="25"/>
  <c r="I192" i="25"/>
  <c r="H192" i="25"/>
  <c r="G192" i="25"/>
  <c r="F192" i="25"/>
  <c r="E192" i="25"/>
  <c r="D192" i="25"/>
  <c r="C192" i="25"/>
  <c r="X191" i="25"/>
  <c r="W191" i="25"/>
  <c r="V191" i="25"/>
  <c r="U191" i="25"/>
  <c r="T191" i="25"/>
  <c r="S191" i="25"/>
  <c r="R191" i="25"/>
  <c r="Q191" i="25"/>
  <c r="P191" i="25"/>
  <c r="O191" i="25"/>
  <c r="N191" i="25"/>
  <c r="M191" i="25"/>
  <c r="L191" i="25"/>
  <c r="K191" i="25"/>
  <c r="J191" i="25"/>
  <c r="I191" i="25"/>
  <c r="H191" i="25"/>
  <c r="G191" i="25"/>
  <c r="F191" i="25"/>
  <c r="E191" i="25"/>
  <c r="D191" i="25"/>
  <c r="C191" i="25"/>
  <c r="X189" i="25"/>
  <c r="W189" i="25"/>
  <c r="V189" i="25"/>
  <c r="U189" i="25"/>
  <c r="T189" i="25"/>
  <c r="S189" i="25"/>
  <c r="R189" i="25"/>
  <c r="Q189" i="25"/>
  <c r="P189" i="25"/>
  <c r="O189" i="25"/>
  <c r="N189" i="25"/>
  <c r="M189" i="25"/>
  <c r="L189" i="25"/>
  <c r="K189" i="25"/>
  <c r="J189" i="25"/>
  <c r="I189" i="25"/>
  <c r="H189" i="25"/>
  <c r="G189" i="25"/>
  <c r="F189" i="25"/>
  <c r="E189" i="25"/>
  <c r="D189" i="25"/>
  <c r="C189" i="25"/>
  <c r="X188" i="25"/>
  <c r="W188" i="25"/>
  <c r="V188" i="25"/>
  <c r="U188" i="25"/>
  <c r="T188" i="25"/>
  <c r="S188" i="25"/>
  <c r="R188" i="25"/>
  <c r="Q188" i="25"/>
  <c r="P188" i="25"/>
  <c r="O188" i="25"/>
  <c r="N188" i="25"/>
  <c r="M188" i="25"/>
  <c r="L188" i="25"/>
  <c r="K188" i="25"/>
  <c r="J188" i="25"/>
  <c r="I188" i="25"/>
  <c r="H188" i="25"/>
  <c r="G188" i="25"/>
  <c r="F188" i="25"/>
  <c r="E188" i="25"/>
  <c r="D188" i="25"/>
  <c r="C188" i="25"/>
  <c r="X187" i="25"/>
  <c r="W187" i="25"/>
  <c r="V187" i="25"/>
  <c r="U187" i="25"/>
  <c r="T187" i="25"/>
  <c r="S187" i="25"/>
  <c r="R187" i="25"/>
  <c r="Q187" i="25"/>
  <c r="P187" i="25"/>
  <c r="O187" i="25"/>
  <c r="N187" i="25"/>
  <c r="M187" i="25"/>
  <c r="L187" i="25"/>
  <c r="K187" i="25"/>
  <c r="J187" i="25"/>
  <c r="I187" i="25"/>
  <c r="H187" i="25"/>
  <c r="G187" i="25"/>
  <c r="F187" i="25"/>
  <c r="E187" i="25"/>
  <c r="D187" i="25"/>
  <c r="C187" i="25"/>
  <c r="X184" i="25"/>
  <c r="W184" i="25"/>
  <c r="V184" i="25"/>
  <c r="U184" i="25"/>
  <c r="T184" i="25"/>
  <c r="S184" i="25"/>
  <c r="R184" i="25"/>
  <c r="Q184" i="25"/>
  <c r="P184" i="25"/>
  <c r="O184" i="25"/>
  <c r="N184" i="25"/>
  <c r="M184" i="25"/>
  <c r="L184" i="25"/>
  <c r="K184" i="25"/>
  <c r="J184" i="25"/>
  <c r="I184" i="25"/>
  <c r="H184" i="25"/>
  <c r="G184" i="25"/>
  <c r="F184" i="25"/>
  <c r="E184" i="25"/>
  <c r="D184" i="25"/>
  <c r="C184" i="25"/>
  <c r="X181" i="25"/>
  <c r="W181" i="25"/>
  <c r="V181" i="25"/>
  <c r="U181" i="25"/>
  <c r="T181" i="25"/>
  <c r="S181" i="25"/>
  <c r="R181" i="25"/>
  <c r="Q181" i="25"/>
  <c r="P181" i="25"/>
  <c r="O181" i="25"/>
  <c r="N181" i="25"/>
  <c r="M181" i="25"/>
  <c r="L181" i="25"/>
  <c r="K181" i="25"/>
  <c r="J181" i="25"/>
  <c r="I181" i="25"/>
  <c r="H181" i="25"/>
  <c r="G181" i="25"/>
  <c r="F181" i="25"/>
  <c r="E181" i="25"/>
  <c r="D181" i="25"/>
  <c r="C181" i="25"/>
  <c r="X180" i="25"/>
  <c r="W180" i="25"/>
  <c r="V180" i="25"/>
  <c r="U180" i="25"/>
  <c r="T180" i="25"/>
  <c r="S180" i="25"/>
  <c r="R180" i="25"/>
  <c r="Q180" i="25"/>
  <c r="P180" i="25"/>
  <c r="O180" i="25"/>
  <c r="N180" i="25"/>
  <c r="M180" i="25"/>
  <c r="L180" i="25"/>
  <c r="K180" i="25"/>
  <c r="J180" i="25"/>
  <c r="I180" i="25"/>
  <c r="H180" i="25"/>
  <c r="G180" i="25"/>
  <c r="F180" i="25"/>
  <c r="E180" i="25"/>
  <c r="D180" i="25"/>
  <c r="C180" i="25"/>
  <c r="X179" i="25"/>
  <c r="W179" i="25"/>
  <c r="V179" i="25"/>
  <c r="U179" i="25"/>
  <c r="T179" i="25"/>
  <c r="S179" i="25"/>
  <c r="R179" i="25"/>
  <c r="Q179" i="25"/>
  <c r="P179" i="25"/>
  <c r="O179" i="25"/>
  <c r="N179" i="25"/>
  <c r="M179" i="25"/>
  <c r="L179" i="25"/>
  <c r="K179" i="25"/>
  <c r="J179" i="25"/>
  <c r="I179" i="25"/>
  <c r="H179" i="25"/>
  <c r="G179" i="25"/>
  <c r="F179" i="25"/>
  <c r="E179" i="25"/>
  <c r="D179" i="25"/>
  <c r="C179" i="25"/>
  <c r="X177" i="25"/>
  <c r="W177" i="25"/>
  <c r="V177" i="25"/>
  <c r="U177" i="25"/>
  <c r="T177" i="25"/>
  <c r="S177" i="25"/>
  <c r="R177" i="25"/>
  <c r="Q177" i="25"/>
  <c r="P177" i="25"/>
  <c r="O177" i="25"/>
  <c r="N177" i="25"/>
  <c r="M177" i="25"/>
  <c r="L177" i="25"/>
  <c r="K177" i="25"/>
  <c r="J177" i="25"/>
  <c r="I177" i="25"/>
  <c r="H177" i="25"/>
  <c r="G177" i="25"/>
  <c r="F177" i="25"/>
  <c r="E177" i="25"/>
  <c r="D177" i="25"/>
  <c r="C177" i="25"/>
  <c r="X176" i="25"/>
  <c r="W176" i="25"/>
  <c r="V176" i="25"/>
  <c r="U176" i="25"/>
  <c r="T176" i="25"/>
  <c r="S176" i="25"/>
  <c r="R176" i="25"/>
  <c r="Q176" i="25"/>
  <c r="P176" i="25"/>
  <c r="O176" i="25"/>
  <c r="N176" i="25"/>
  <c r="M176" i="25"/>
  <c r="L176" i="25"/>
  <c r="K176" i="25"/>
  <c r="J176" i="25"/>
  <c r="I176" i="25"/>
  <c r="H176" i="25"/>
  <c r="G176" i="25"/>
  <c r="F176" i="25"/>
  <c r="E176" i="25"/>
  <c r="D176" i="25"/>
  <c r="C176" i="25"/>
  <c r="X175" i="25"/>
  <c r="W175" i="25"/>
  <c r="V175" i="25"/>
  <c r="U175" i="25"/>
  <c r="T175" i="25"/>
  <c r="S175" i="25"/>
  <c r="R175" i="25"/>
  <c r="Q175" i="25"/>
  <c r="P175" i="25"/>
  <c r="O175" i="25"/>
  <c r="N175" i="25"/>
  <c r="M175" i="25"/>
  <c r="L175" i="25"/>
  <c r="K175" i="25"/>
  <c r="J175" i="25"/>
  <c r="I175" i="25"/>
  <c r="H175" i="25"/>
  <c r="G175" i="25"/>
  <c r="F175" i="25"/>
  <c r="E175" i="25"/>
  <c r="D175" i="25"/>
  <c r="C175" i="25"/>
  <c r="X172" i="25"/>
  <c r="W172" i="25"/>
  <c r="V172" i="25"/>
  <c r="U172" i="25"/>
  <c r="T172" i="25"/>
  <c r="S172" i="25"/>
  <c r="R172" i="25"/>
  <c r="Q172" i="25"/>
  <c r="P172" i="25"/>
  <c r="O172" i="25"/>
  <c r="N172" i="25"/>
  <c r="M172" i="25"/>
  <c r="L172" i="25"/>
  <c r="K172" i="25"/>
  <c r="J172" i="25"/>
  <c r="I172" i="25"/>
  <c r="H172" i="25"/>
  <c r="G172" i="25"/>
  <c r="F172" i="25"/>
  <c r="E172" i="25"/>
  <c r="D172" i="25"/>
  <c r="C172" i="25"/>
  <c r="X171" i="25"/>
  <c r="W171" i="25"/>
  <c r="V171" i="25"/>
  <c r="U171" i="25"/>
  <c r="T171" i="25"/>
  <c r="S171" i="25"/>
  <c r="R171" i="25"/>
  <c r="Q171" i="25"/>
  <c r="P171" i="25"/>
  <c r="O171" i="25"/>
  <c r="N171" i="25"/>
  <c r="M171" i="25"/>
  <c r="L171" i="25"/>
  <c r="K171" i="25"/>
  <c r="J171" i="25"/>
  <c r="I171" i="25"/>
  <c r="H171" i="25"/>
  <c r="G171" i="25"/>
  <c r="F171" i="25"/>
  <c r="E171" i="25"/>
  <c r="D171" i="25"/>
  <c r="C171" i="25"/>
  <c r="X169" i="25"/>
  <c r="W169" i="25"/>
  <c r="V169" i="25"/>
  <c r="U169" i="25"/>
  <c r="T169" i="25"/>
  <c r="S169" i="25"/>
  <c r="R169" i="25"/>
  <c r="Q169" i="25"/>
  <c r="P169" i="25"/>
  <c r="O169" i="25"/>
  <c r="N169" i="25"/>
  <c r="M169" i="25"/>
  <c r="L169" i="25"/>
  <c r="K169" i="25"/>
  <c r="J169" i="25"/>
  <c r="I169" i="25"/>
  <c r="H169" i="25"/>
  <c r="G169" i="25"/>
  <c r="F169" i="25"/>
  <c r="E169" i="25"/>
  <c r="D169" i="25"/>
  <c r="C169" i="25"/>
  <c r="X168" i="25"/>
  <c r="W168" i="25"/>
  <c r="V168" i="25"/>
  <c r="U168" i="25"/>
  <c r="T168" i="25"/>
  <c r="S168" i="25"/>
  <c r="R168" i="25"/>
  <c r="Q168" i="25"/>
  <c r="P168" i="25"/>
  <c r="O168" i="25"/>
  <c r="N168" i="25"/>
  <c r="M168" i="25"/>
  <c r="L168" i="25"/>
  <c r="K168" i="25"/>
  <c r="J168" i="25"/>
  <c r="I168" i="25"/>
  <c r="H168" i="25"/>
  <c r="G168" i="25"/>
  <c r="F168" i="25"/>
  <c r="E168" i="25"/>
  <c r="D168" i="25"/>
  <c r="C168" i="25"/>
  <c r="X167" i="25"/>
  <c r="W167" i="25"/>
  <c r="V167" i="25"/>
  <c r="U167" i="25"/>
  <c r="T167" i="25"/>
  <c r="S167" i="25"/>
  <c r="R167" i="25"/>
  <c r="Q167" i="25"/>
  <c r="P167" i="25"/>
  <c r="O167" i="25"/>
  <c r="N167" i="25"/>
  <c r="M167" i="25"/>
  <c r="L167" i="25"/>
  <c r="K167" i="25"/>
  <c r="J167" i="25"/>
  <c r="I167" i="25"/>
  <c r="H167" i="25"/>
  <c r="G167" i="25"/>
  <c r="F167" i="25"/>
  <c r="E167" i="25"/>
  <c r="D167" i="25"/>
  <c r="C167" i="25"/>
  <c r="X165" i="25"/>
  <c r="W165" i="25"/>
  <c r="V165" i="25"/>
  <c r="U165" i="25"/>
  <c r="T165" i="25"/>
  <c r="S165" i="25"/>
  <c r="R165" i="25"/>
  <c r="Q165" i="25"/>
  <c r="P165" i="25"/>
  <c r="O165" i="25"/>
  <c r="N165" i="25"/>
  <c r="M165" i="25"/>
  <c r="L165" i="25"/>
  <c r="K165" i="25"/>
  <c r="J165" i="25"/>
  <c r="I165" i="25"/>
  <c r="H165" i="25"/>
  <c r="G165" i="25"/>
  <c r="F165" i="25"/>
  <c r="E165" i="25"/>
  <c r="D165" i="25"/>
  <c r="C165" i="25"/>
  <c r="X164" i="25"/>
  <c r="W164" i="25"/>
  <c r="V164" i="25"/>
  <c r="U164" i="25"/>
  <c r="T164" i="25"/>
  <c r="S164" i="25"/>
  <c r="R164" i="25"/>
  <c r="Q164" i="25"/>
  <c r="P164" i="25"/>
  <c r="O164" i="25"/>
  <c r="N164" i="25"/>
  <c r="M164" i="25"/>
  <c r="L164" i="25"/>
  <c r="K164" i="25"/>
  <c r="J164" i="25"/>
  <c r="I164" i="25"/>
  <c r="H164" i="25"/>
  <c r="G164" i="25"/>
  <c r="F164" i="25"/>
  <c r="E164" i="25"/>
  <c r="D164" i="25"/>
  <c r="C164" i="25"/>
  <c r="X163" i="25"/>
  <c r="W163" i="25"/>
  <c r="V163" i="25"/>
  <c r="U163" i="25"/>
  <c r="T163" i="25"/>
  <c r="S163" i="25"/>
  <c r="R163" i="25"/>
  <c r="Q163" i="25"/>
  <c r="P163" i="25"/>
  <c r="O163" i="25"/>
  <c r="N163" i="25"/>
  <c r="M163" i="25"/>
  <c r="L163" i="25"/>
  <c r="K163" i="25"/>
  <c r="J163" i="25"/>
  <c r="I163" i="25"/>
  <c r="H163" i="25"/>
  <c r="G163" i="25"/>
  <c r="F163" i="25"/>
  <c r="E163" i="25"/>
  <c r="D163" i="25"/>
  <c r="C163" i="25"/>
  <c r="X161" i="25"/>
  <c r="W161" i="25"/>
  <c r="V161" i="25"/>
  <c r="U161" i="25"/>
  <c r="T161" i="25"/>
  <c r="S161" i="25"/>
  <c r="R161" i="25"/>
  <c r="Q161" i="25"/>
  <c r="P161" i="25"/>
  <c r="O161" i="25"/>
  <c r="N161" i="25"/>
  <c r="M161" i="25"/>
  <c r="L161" i="25"/>
  <c r="K161" i="25"/>
  <c r="J161" i="25"/>
  <c r="I161" i="25"/>
  <c r="H161" i="25"/>
  <c r="G161" i="25"/>
  <c r="F161" i="25"/>
  <c r="E161" i="25"/>
  <c r="D161" i="25"/>
  <c r="C161" i="25"/>
  <c r="X160" i="25"/>
  <c r="W160" i="25"/>
  <c r="V160" i="25"/>
  <c r="U160" i="25"/>
  <c r="T160" i="25"/>
  <c r="S160" i="25"/>
  <c r="R160" i="25"/>
  <c r="Q160" i="25"/>
  <c r="P160" i="25"/>
  <c r="O160" i="25"/>
  <c r="N160" i="25"/>
  <c r="M160" i="25"/>
  <c r="L160" i="25"/>
  <c r="K160" i="25"/>
  <c r="J160" i="25"/>
  <c r="I160" i="25"/>
  <c r="H160" i="25"/>
  <c r="G160" i="25"/>
  <c r="F160" i="25"/>
  <c r="E160" i="25"/>
  <c r="D160" i="25"/>
  <c r="C160" i="25"/>
  <c r="X159" i="25"/>
  <c r="W159" i="25"/>
  <c r="V159" i="25"/>
  <c r="U159" i="25"/>
  <c r="T159" i="25"/>
  <c r="S159" i="25"/>
  <c r="R159" i="25"/>
  <c r="Q159" i="25"/>
  <c r="P159" i="25"/>
  <c r="O159" i="25"/>
  <c r="N159" i="25"/>
  <c r="M159" i="25"/>
  <c r="L159" i="25"/>
  <c r="K159" i="25"/>
  <c r="J159" i="25"/>
  <c r="I159" i="25"/>
  <c r="H159" i="25"/>
  <c r="G159" i="25"/>
  <c r="F159" i="25"/>
  <c r="E159" i="25"/>
  <c r="D159" i="25"/>
  <c r="C159" i="25"/>
  <c r="X158" i="25"/>
  <c r="W158" i="25"/>
  <c r="V158" i="25"/>
  <c r="U158" i="25"/>
  <c r="T158" i="25"/>
  <c r="S158" i="25"/>
  <c r="R158" i="25"/>
  <c r="Q158" i="25"/>
  <c r="P158" i="25"/>
  <c r="O158" i="25"/>
  <c r="N158" i="25"/>
  <c r="M158" i="25"/>
  <c r="L158" i="25"/>
  <c r="K158" i="25"/>
  <c r="J158" i="25"/>
  <c r="I158" i="25"/>
  <c r="H158" i="25"/>
  <c r="G158" i="25"/>
  <c r="F158" i="25"/>
  <c r="E158" i="25"/>
  <c r="D158" i="25"/>
  <c r="C158" i="25"/>
  <c r="X157" i="25"/>
  <c r="W157" i="25"/>
  <c r="V157" i="25"/>
  <c r="U157" i="25"/>
  <c r="T157" i="25"/>
  <c r="S157" i="25"/>
  <c r="R157" i="25"/>
  <c r="Q157" i="25"/>
  <c r="P157" i="25"/>
  <c r="O157" i="25"/>
  <c r="N157" i="25"/>
  <c r="M157" i="25"/>
  <c r="L157" i="25"/>
  <c r="K157" i="25"/>
  <c r="J157" i="25"/>
  <c r="I157" i="25"/>
  <c r="H157" i="25"/>
  <c r="G157" i="25"/>
  <c r="F157" i="25"/>
  <c r="E157" i="25"/>
  <c r="D157" i="25"/>
  <c r="C157" i="25"/>
  <c r="X156" i="25"/>
  <c r="W156" i="25"/>
  <c r="V156" i="25"/>
  <c r="U156" i="25"/>
  <c r="T156" i="25"/>
  <c r="S156" i="25"/>
  <c r="R156" i="25"/>
  <c r="Q156" i="25"/>
  <c r="P156" i="25"/>
  <c r="O156" i="25"/>
  <c r="N156" i="25"/>
  <c r="M156" i="25"/>
  <c r="L156" i="25"/>
  <c r="K156" i="25"/>
  <c r="J156" i="25"/>
  <c r="I156" i="25"/>
  <c r="H156" i="25"/>
  <c r="G156" i="25"/>
  <c r="F156" i="25"/>
  <c r="E156" i="25"/>
  <c r="D156" i="25"/>
  <c r="C156" i="25"/>
  <c r="X154" i="25"/>
  <c r="W154" i="25"/>
  <c r="V154" i="25"/>
  <c r="U154" i="25"/>
  <c r="T154" i="25"/>
  <c r="S154" i="25"/>
  <c r="R154" i="25"/>
  <c r="Q154" i="25"/>
  <c r="P154" i="25"/>
  <c r="O154" i="25"/>
  <c r="N154" i="25"/>
  <c r="M154" i="25"/>
  <c r="L154" i="25"/>
  <c r="K154" i="25"/>
  <c r="J154" i="25"/>
  <c r="I154" i="25"/>
  <c r="H154" i="25"/>
  <c r="G154" i="25"/>
  <c r="F154" i="25"/>
  <c r="E154" i="25"/>
  <c r="D154" i="25"/>
  <c r="C154" i="25"/>
  <c r="X153" i="25"/>
  <c r="W153" i="25"/>
  <c r="V153" i="25"/>
  <c r="U153" i="25"/>
  <c r="T153" i="25"/>
  <c r="S153" i="25"/>
  <c r="R153" i="25"/>
  <c r="Q153" i="25"/>
  <c r="P153" i="25"/>
  <c r="O153" i="25"/>
  <c r="N153" i="25"/>
  <c r="M153" i="25"/>
  <c r="L153" i="25"/>
  <c r="K153" i="25"/>
  <c r="J153" i="25"/>
  <c r="I153" i="25"/>
  <c r="H153" i="25"/>
  <c r="G153" i="25"/>
  <c r="F153" i="25"/>
  <c r="E153" i="25"/>
  <c r="D153" i="25"/>
  <c r="C153" i="25"/>
  <c r="X149" i="25"/>
  <c r="W149" i="25"/>
  <c r="V149" i="25"/>
  <c r="U149" i="25"/>
  <c r="T149" i="25"/>
  <c r="S149" i="25"/>
  <c r="R149" i="25"/>
  <c r="Q149" i="25"/>
  <c r="P149" i="25"/>
  <c r="O149" i="25"/>
  <c r="N149" i="25"/>
  <c r="M149" i="25"/>
  <c r="L149" i="25"/>
  <c r="K149" i="25"/>
  <c r="J149" i="25"/>
  <c r="I149" i="25"/>
  <c r="H149" i="25"/>
  <c r="G149" i="25"/>
  <c r="F149" i="25"/>
  <c r="E149" i="25"/>
  <c r="D149" i="25"/>
  <c r="C149" i="25"/>
  <c r="X148" i="25"/>
  <c r="W148" i="25"/>
  <c r="V148" i="25"/>
  <c r="U148" i="25"/>
  <c r="T148" i="25"/>
  <c r="S148" i="25"/>
  <c r="R148" i="25"/>
  <c r="Q148" i="25"/>
  <c r="P148" i="25"/>
  <c r="O148" i="25"/>
  <c r="N148" i="25"/>
  <c r="M148" i="25"/>
  <c r="L148" i="25"/>
  <c r="K148" i="25"/>
  <c r="J148" i="25"/>
  <c r="I148" i="25"/>
  <c r="H148" i="25"/>
  <c r="G148" i="25"/>
  <c r="F148" i="25"/>
  <c r="E148" i="25"/>
  <c r="D148" i="25"/>
  <c r="C148" i="25"/>
  <c r="X147" i="25"/>
  <c r="W147" i="25"/>
  <c r="V147" i="25"/>
  <c r="U147" i="25"/>
  <c r="T147" i="25"/>
  <c r="S147" i="25"/>
  <c r="R147" i="25"/>
  <c r="Q147" i="25"/>
  <c r="P147" i="25"/>
  <c r="O147" i="25"/>
  <c r="N147" i="25"/>
  <c r="M147" i="25"/>
  <c r="L147" i="25"/>
  <c r="K147" i="25"/>
  <c r="J147" i="25"/>
  <c r="I147" i="25"/>
  <c r="H147" i="25"/>
  <c r="G147" i="25"/>
  <c r="F147" i="25"/>
  <c r="E147" i="25"/>
  <c r="D147" i="25"/>
  <c r="C147" i="25"/>
  <c r="X146" i="25"/>
  <c r="W146" i="25"/>
  <c r="V146" i="25"/>
  <c r="U146" i="25"/>
  <c r="T146" i="25"/>
  <c r="S146" i="25"/>
  <c r="R146" i="25"/>
  <c r="Q146" i="25"/>
  <c r="P146" i="25"/>
  <c r="O146" i="25"/>
  <c r="N146" i="25"/>
  <c r="M146" i="25"/>
  <c r="L146" i="25"/>
  <c r="K146" i="25"/>
  <c r="J146" i="25"/>
  <c r="I146" i="25"/>
  <c r="H146" i="25"/>
  <c r="G146" i="25"/>
  <c r="F146" i="25"/>
  <c r="E146" i="25"/>
  <c r="D146" i="25"/>
  <c r="C146" i="25"/>
  <c r="X144" i="25"/>
  <c r="W144" i="25"/>
  <c r="V144" i="25"/>
  <c r="U144" i="25"/>
  <c r="T144" i="25"/>
  <c r="S144" i="25"/>
  <c r="R144" i="25"/>
  <c r="Q144" i="25"/>
  <c r="P144" i="25"/>
  <c r="O144" i="25"/>
  <c r="N144" i="25"/>
  <c r="M144" i="25"/>
  <c r="L144" i="25"/>
  <c r="K144" i="25"/>
  <c r="J144" i="25"/>
  <c r="I144" i="25"/>
  <c r="H144" i="25"/>
  <c r="G144" i="25"/>
  <c r="F144" i="25"/>
  <c r="E144" i="25"/>
  <c r="D144" i="25"/>
  <c r="C144" i="25"/>
  <c r="X143" i="25"/>
  <c r="W143" i="25"/>
  <c r="V143" i="25"/>
  <c r="U143" i="25"/>
  <c r="T143" i="25"/>
  <c r="S143" i="25"/>
  <c r="R143" i="25"/>
  <c r="Q143" i="25"/>
  <c r="P143" i="25"/>
  <c r="O143" i="25"/>
  <c r="N143" i="25"/>
  <c r="M143" i="25"/>
  <c r="L143" i="25"/>
  <c r="K143" i="25"/>
  <c r="J143" i="25"/>
  <c r="I143" i="25"/>
  <c r="H143" i="25"/>
  <c r="G143" i="25"/>
  <c r="F143" i="25"/>
  <c r="E143" i="25"/>
  <c r="D143" i="25"/>
  <c r="C143" i="25"/>
  <c r="X140" i="25"/>
  <c r="W140" i="25"/>
  <c r="V140" i="25"/>
  <c r="U140" i="25"/>
  <c r="T140" i="25"/>
  <c r="S140" i="25"/>
  <c r="R140" i="25"/>
  <c r="Q140" i="25"/>
  <c r="P140" i="25"/>
  <c r="O140" i="25"/>
  <c r="N140" i="25"/>
  <c r="M140" i="25"/>
  <c r="L140" i="25"/>
  <c r="K140" i="25"/>
  <c r="J140" i="25"/>
  <c r="I140" i="25"/>
  <c r="H140" i="25"/>
  <c r="G140" i="25"/>
  <c r="F140" i="25"/>
  <c r="E140" i="25"/>
  <c r="D140" i="25"/>
  <c r="C140" i="25"/>
  <c r="X139" i="25"/>
  <c r="W139" i="25"/>
  <c r="V139" i="25"/>
  <c r="U139" i="25"/>
  <c r="T139" i="25"/>
  <c r="S139" i="25"/>
  <c r="R139" i="25"/>
  <c r="Q139" i="25"/>
  <c r="P139" i="25"/>
  <c r="O139" i="25"/>
  <c r="N139" i="25"/>
  <c r="M139" i="25"/>
  <c r="L139" i="25"/>
  <c r="K139" i="25"/>
  <c r="J139" i="25"/>
  <c r="I139" i="25"/>
  <c r="H139" i="25"/>
  <c r="G139" i="25"/>
  <c r="F139" i="25"/>
  <c r="E139" i="25"/>
  <c r="D139" i="25"/>
  <c r="C139" i="25"/>
  <c r="X138" i="25"/>
  <c r="W138" i="25"/>
  <c r="V138" i="25"/>
  <c r="U138" i="25"/>
  <c r="T138" i="25"/>
  <c r="S138" i="25"/>
  <c r="R138" i="25"/>
  <c r="Q138" i="25"/>
  <c r="P138" i="25"/>
  <c r="O138" i="25"/>
  <c r="N138" i="25"/>
  <c r="M138" i="25"/>
  <c r="L138" i="25"/>
  <c r="K138" i="25"/>
  <c r="J138" i="25"/>
  <c r="I138" i="25"/>
  <c r="H138" i="25"/>
  <c r="G138" i="25"/>
  <c r="F138" i="25"/>
  <c r="E138" i="25"/>
  <c r="D138" i="25"/>
  <c r="C138" i="25"/>
  <c r="X137" i="25"/>
  <c r="W137" i="25"/>
  <c r="V137" i="25"/>
  <c r="U137" i="25"/>
  <c r="T137" i="25"/>
  <c r="S137" i="25"/>
  <c r="R137" i="25"/>
  <c r="Q137" i="25"/>
  <c r="P137" i="25"/>
  <c r="O137" i="25"/>
  <c r="N137" i="25"/>
  <c r="M137" i="25"/>
  <c r="L137" i="25"/>
  <c r="K137" i="25"/>
  <c r="J137" i="25"/>
  <c r="I137" i="25"/>
  <c r="H137" i="25"/>
  <c r="G137" i="25"/>
  <c r="F137" i="25"/>
  <c r="E137" i="25"/>
  <c r="D137" i="25"/>
  <c r="C137" i="25"/>
  <c r="X135" i="25"/>
  <c r="W135" i="25"/>
  <c r="V135" i="25"/>
  <c r="U135" i="25"/>
  <c r="T135" i="25"/>
  <c r="S135" i="25"/>
  <c r="R135" i="25"/>
  <c r="Q135" i="25"/>
  <c r="P135" i="25"/>
  <c r="O135" i="25"/>
  <c r="N135" i="25"/>
  <c r="M135" i="25"/>
  <c r="L135" i="25"/>
  <c r="K135" i="25"/>
  <c r="J135" i="25"/>
  <c r="I135" i="25"/>
  <c r="H135" i="25"/>
  <c r="G135" i="25"/>
  <c r="F135" i="25"/>
  <c r="E135" i="25"/>
  <c r="D135" i="25"/>
  <c r="C135" i="25"/>
  <c r="X134" i="25"/>
  <c r="W134" i="25"/>
  <c r="V134" i="25"/>
  <c r="U134" i="25"/>
  <c r="T134" i="25"/>
  <c r="S134" i="25"/>
  <c r="R134" i="25"/>
  <c r="Q134" i="25"/>
  <c r="P134" i="25"/>
  <c r="O134" i="25"/>
  <c r="N134" i="25"/>
  <c r="M134" i="25"/>
  <c r="L134" i="25"/>
  <c r="K134" i="25"/>
  <c r="J134" i="25"/>
  <c r="I134" i="25"/>
  <c r="H134" i="25"/>
  <c r="G134" i="25"/>
  <c r="F134" i="25"/>
  <c r="E134" i="25"/>
  <c r="D134" i="25"/>
  <c r="C134" i="25"/>
  <c r="X132" i="25"/>
  <c r="W132" i="25"/>
  <c r="V132" i="25"/>
  <c r="U132" i="25"/>
  <c r="T132" i="25"/>
  <c r="S132" i="25"/>
  <c r="R132" i="25"/>
  <c r="Q132" i="25"/>
  <c r="P132" i="25"/>
  <c r="O132" i="25"/>
  <c r="N132" i="25"/>
  <c r="M132" i="25"/>
  <c r="L132" i="25"/>
  <c r="K132" i="25"/>
  <c r="J132" i="25"/>
  <c r="I132" i="25"/>
  <c r="H132" i="25"/>
  <c r="G132" i="25"/>
  <c r="F132" i="25"/>
  <c r="E132" i="25"/>
  <c r="D132" i="25"/>
  <c r="C132" i="25"/>
  <c r="X131" i="25"/>
  <c r="W131" i="25"/>
  <c r="V131" i="25"/>
  <c r="U131" i="25"/>
  <c r="T131" i="25"/>
  <c r="S131" i="25"/>
  <c r="R131" i="25"/>
  <c r="Q131" i="25"/>
  <c r="P131" i="25"/>
  <c r="O131" i="25"/>
  <c r="N131" i="25"/>
  <c r="M131" i="25"/>
  <c r="L131" i="25"/>
  <c r="K131" i="25"/>
  <c r="J131" i="25"/>
  <c r="I131" i="25"/>
  <c r="H131" i="25"/>
  <c r="G131" i="25"/>
  <c r="F131" i="25"/>
  <c r="E131" i="25"/>
  <c r="D131" i="25"/>
  <c r="C131" i="25"/>
  <c r="X130" i="25"/>
  <c r="W130" i="25"/>
  <c r="V130" i="25"/>
  <c r="U130" i="25"/>
  <c r="T130" i="25"/>
  <c r="S130" i="25"/>
  <c r="R130" i="25"/>
  <c r="Q130" i="25"/>
  <c r="P130" i="25"/>
  <c r="O130" i="25"/>
  <c r="N130" i="25"/>
  <c r="M130" i="25"/>
  <c r="L130" i="25"/>
  <c r="K130" i="25"/>
  <c r="J130" i="25"/>
  <c r="I130" i="25"/>
  <c r="H130" i="25"/>
  <c r="G130" i="25"/>
  <c r="F130" i="25"/>
  <c r="E130" i="25"/>
  <c r="D130" i="25"/>
  <c r="C130" i="25"/>
  <c r="X129" i="25"/>
  <c r="W129" i="25"/>
  <c r="V129" i="25"/>
  <c r="U129" i="25"/>
  <c r="T129" i="25"/>
  <c r="S129" i="25"/>
  <c r="R129" i="25"/>
  <c r="Q129" i="25"/>
  <c r="P129" i="25"/>
  <c r="O129" i="25"/>
  <c r="N129" i="25"/>
  <c r="M129" i="25"/>
  <c r="L129" i="25"/>
  <c r="K129" i="25"/>
  <c r="J129" i="25"/>
  <c r="I129" i="25"/>
  <c r="H129" i="25"/>
  <c r="G129" i="25"/>
  <c r="F129" i="25"/>
  <c r="E129" i="25"/>
  <c r="D129" i="25"/>
  <c r="C129" i="25"/>
  <c r="X127" i="25"/>
  <c r="W127" i="25"/>
  <c r="V127" i="25"/>
  <c r="U127" i="25"/>
  <c r="T127" i="25"/>
  <c r="S127" i="25"/>
  <c r="R127" i="25"/>
  <c r="Q127" i="25"/>
  <c r="P127" i="25"/>
  <c r="O127" i="25"/>
  <c r="N127" i="25"/>
  <c r="M127" i="25"/>
  <c r="L127" i="25"/>
  <c r="K127" i="25"/>
  <c r="J127" i="25"/>
  <c r="I127" i="25"/>
  <c r="H127" i="25"/>
  <c r="G127" i="25"/>
  <c r="F127" i="25"/>
  <c r="E127" i="25"/>
  <c r="D127" i="25"/>
  <c r="C127" i="25"/>
  <c r="X126" i="25"/>
  <c r="W126" i="25"/>
  <c r="V126" i="25"/>
  <c r="U126" i="25"/>
  <c r="T126" i="25"/>
  <c r="S126" i="25"/>
  <c r="R126" i="25"/>
  <c r="Q126" i="25"/>
  <c r="P126" i="25"/>
  <c r="O126" i="25"/>
  <c r="N126" i="25"/>
  <c r="M126" i="25"/>
  <c r="L126" i="25"/>
  <c r="K126" i="25"/>
  <c r="J126" i="25"/>
  <c r="I126" i="25"/>
  <c r="H126" i="25"/>
  <c r="G126" i="25"/>
  <c r="F126" i="25"/>
  <c r="E126" i="25"/>
  <c r="D126" i="25"/>
  <c r="C126" i="25"/>
  <c r="X125" i="25"/>
  <c r="W125" i="25"/>
  <c r="V125" i="25"/>
  <c r="U125" i="25"/>
  <c r="T125" i="25"/>
  <c r="S125" i="25"/>
  <c r="R125" i="25"/>
  <c r="Q125" i="25"/>
  <c r="P125" i="25"/>
  <c r="O125" i="25"/>
  <c r="N125" i="25"/>
  <c r="M125" i="25"/>
  <c r="L125" i="25"/>
  <c r="K125" i="25"/>
  <c r="J125" i="25"/>
  <c r="I125" i="25"/>
  <c r="H125" i="25"/>
  <c r="G125" i="25"/>
  <c r="F125" i="25"/>
  <c r="E125" i="25"/>
  <c r="D125" i="25"/>
  <c r="C125" i="25"/>
  <c r="X124" i="25"/>
  <c r="W124" i="25"/>
  <c r="V124" i="25"/>
  <c r="U124" i="25"/>
  <c r="T124" i="25"/>
  <c r="S124" i="25"/>
  <c r="R124" i="25"/>
  <c r="Q124" i="25"/>
  <c r="P124" i="25"/>
  <c r="O124" i="25"/>
  <c r="N124" i="25"/>
  <c r="M124" i="25"/>
  <c r="L124" i="25"/>
  <c r="K124" i="25"/>
  <c r="J124" i="25"/>
  <c r="I124" i="25"/>
  <c r="H124" i="25"/>
  <c r="G124" i="25"/>
  <c r="F124" i="25"/>
  <c r="E124" i="25"/>
  <c r="D124" i="25"/>
  <c r="C124" i="25"/>
  <c r="X123" i="25"/>
  <c r="W123" i="25"/>
  <c r="V123" i="25"/>
  <c r="U123" i="25"/>
  <c r="T123" i="25"/>
  <c r="S123" i="25"/>
  <c r="R123" i="25"/>
  <c r="Q123" i="25"/>
  <c r="P123" i="25"/>
  <c r="O123" i="25"/>
  <c r="N123" i="25"/>
  <c r="M123" i="25"/>
  <c r="L123" i="25"/>
  <c r="K123" i="25"/>
  <c r="J123" i="25"/>
  <c r="I123" i="25"/>
  <c r="H123" i="25"/>
  <c r="G123" i="25"/>
  <c r="F123" i="25"/>
  <c r="E123" i="25"/>
  <c r="D123" i="25"/>
  <c r="C123" i="25"/>
  <c r="X122" i="25"/>
  <c r="W122" i="25"/>
  <c r="V122" i="25"/>
  <c r="U122" i="25"/>
  <c r="T122" i="25"/>
  <c r="S122" i="25"/>
  <c r="R122" i="25"/>
  <c r="Q122" i="25"/>
  <c r="P122" i="25"/>
  <c r="O122" i="25"/>
  <c r="N122" i="25"/>
  <c r="M122" i="25"/>
  <c r="L122" i="25"/>
  <c r="K122" i="25"/>
  <c r="J122" i="25"/>
  <c r="I122" i="25"/>
  <c r="H122" i="25"/>
  <c r="G122" i="25"/>
  <c r="F122" i="25"/>
  <c r="E122" i="25"/>
  <c r="D122" i="25"/>
  <c r="C122" i="25"/>
  <c r="X120" i="25"/>
  <c r="W120" i="25"/>
  <c r="V120" i="25"/>
  <c r="U120" i="25"/>
  <c r="T120" i="25"/>
  <c r="S120" i="25"/>
  <c r="R120" i="25"/>
  <c r="Q120" i="25"/>
  <c r="P120" i="25"/>
  <c r="O120" i="25"/>
  <c r="N120" i="25"/>
  <c r="M120" i="25"/>
  <c r="L120" i="25"/>
  <c r="K120" i="25"/>
  <c r="J120" i="25"/>
  <c r="I120" i="25"/>
  <c r="H120" i="25"/>
  <c r="G120" i="25"/>
  <c r="F120" i="25"/>
  <c r="E120" i="25"/>
  <c r="D120" i="25"/>
  <c r="C120" i="25"/>
  <c r="X119" i="25"/>
  <c r="W119" i="25"/>
  <c r="V119" i="25"/>
  <c r="U119" i="25"/>
  <c r="T119" i="25"/>
  <c r="S119" i="25"/>
  <c r="R119" i="25"/>
  <c r="Q119" i="25"/>
  <c r="P119" i="25"/>
  <c r="O119" i="25"/>
  <c r="N119" i="25"/>
  <c r="M119" i="25"/>
  <c r="L119" i="25"/>
  <c r="K119" i="25"/>
  <c r="J119" i="25"/>
  <c r="I119" i="25"/>
  <c r="H119" i="25"/>
  <c r="G119" i="25"/>
  <c r="F119" i="25"/>
  <c r="E119" i="25"/>
  <c r="D119" i="25"/>
  <c r="C119" i="25"/>
  <c r="X118" i="25"/>
  <c r="W118" i="25"/>
  <c r="V118" i="25"/>
  <c r="U118" i="25"/>
  <c r="T118" i="25"/>
  <c r="S118" i="25"/>
  <c r="R118" i="25"/>
  <c r="Q118" i="25"/>
  <c r="P118" i="25"/>
  <c r="O118" i="25"/>
  <c r="N118" i="25"/>
  <c r="M118" i="25"/>
  <c r="L118" i="25"/>
  <c r="K118" i="25"/>
  <c r="J118" i="25"/>
  <c r="I118" i="25"/>
  <c r="H118" i="25"/>
  <c r="G118" i="25"/>
  <c r="F118" i="25"/>
  <c r="E118" i="25"/>
  <c r="D118" i="25"/>
  <c r="C118" i="25"/>
  <c r="X117" i="25"/>
  <c r="W117" i="25"/>
  <c r="V117" i="25"/>
  <c r="U117" i="25"/>
  <c r="T117" i="25"/>
  <c r="S117" i="25"/>
  <c r="R117" i="25"/>
  <c r="Q117" i="25"/>
  <c r="P117" i="25"/>
  <c r="O117" i="25"/>
  <c r="N117" i="25"/>
  <c r="M117" i="25"/>
  <c r="L117" i="25"/>
  <c r="K117" i="25"/>
  <c r="J117" i="25"/>
  <c r="I117" i="25"/>
  <c r="H117" i="25"/>
  <c r="G117" i="25"/>
  <c r="F117" i="25"/>
  <c r="E117" i="25"/>
  <c r="D117" i="25"/>
  <c r="C117" i="25"/>
  <c r="X113" i="25"/>
  <c r="W113" i="25"/>
  <c r="V113" i="25"/>
  <c r="U113" i="25"/>
  <c r="T113" i="25"/>
  <c r="S113" i="25"/>
  <c r="R113" i="25"/>
  <c r="Q113" i="25"/>
  <c r="P113" i="25"/>
  <c r="O113" i="25"/>
  <c r="N113" i="25"/>
  <c r="M113" i="25"/>
  <c r="L113" i="25"/>
  <c r="K113" i="25"/>
  <c r="J113" i="25"/>
  <c r="I113" i="25"/>
  <c r="H113" i="25"/>
  <c r="G113" i="25"/>
  <c r="F113" i="25"/>
  <c r="E113" i="25"/>
  <c r="D113" i="25"/>
  <c r="C113" i="25"/>
  <c r="X111" i="25"/>
  <c r="W111" i="25"/>
  <c r="V111" i="25"/>
  <c r="U111" i="25"/>
  <c r="T111" i="25"/>
  <c r="S111" i="25"/>
  <c r="R111" i="25"/>
  <c r="Q111" i="25"/>
  <c r="P111" i="25"/>
  <c r="O111" i="25"/>
  <c r="N111" i="25"/>
  <c r="M111" i="25"/>
  <c r="L111" i="25"/>
  <c r="K111" i="25"/>
  <c r="J111" i="25"/>
  <c r="I111" i="25"/>
  <c r="H111" i="25"/>
  <c r="G111" i="25"/>
  <c r="F111" i="25"/>
  <c r="E111" i="25"/>
  <c r="D111" i="25"/>
  <c r="C111" i="25"/>
  <c r="X108" i="25"/>
  <c r="W108" i="25"/>
  <c r="V108" i="25"/>
  <c r="U108" i="25"/>
  <c r="T108" i="25"/>
  <c r="S108" i="25"/>
  <c r="R108" i="25"/>
  <c r="Q108" i="25"/>
  <c r="P108" i="25"/>
  <c r="O108" i="25"/>
  <c r="N108" i="25"/>
  <c r="M108" i="25"/>
  <c r="L108" i="25"/>
  <c r="K108" i="25"/>
  <c r="J108" i="25"/>
  <c r="I108" i="25"/>
  <c r="H108" i="25"/>
  <c r="G108" i="25"/>
  <c r="F108" i="25"/>
  <c r="E108" i="25"/>
  <c r="D108" i="25"/>
  <c r="C108" i="25"/>
  <c r="X107" i="25"/>
  <c r="W107" i="25"/>
  <c r="V107" i="25"/>
  <c r="U107" i="25"/>
  <c r="T107" i="25"/>
  <c r="S107" i="25"/>
  <c r="R107" i="25"/>
  <c r="Q107" i="25"/>
  <c r="P107" i="25"/>
  <c r="O107" i="25"/>
  <c r="N107" i="25"/>
  <c r="M107" i="25"/>
  <c r="L107" i="25"/>
  <c r="K107" i="25"/>
  <c r="J107" i="25"/>
  <c r="I107" i="25"/>
  <c r="H107" i="25"/>
  <c r="G107" i="25"/>
  <c r="F107" i="25"/>
  <c r="E107" i="25"/>
  <c r="D107" i="25"/>
  <c r="C107" i="25"/>
  <c r="X106" i="25"/>
  <c r="W106" i="25"/>
  <c r="V106" i="25"/>
  <c r="U106" i="25"/>
  <c r="T106" i="25"/>
  <c r="S106" i="25"/>
  <c r="R106" i="25"/>
  <c r="Q106" i="25"/>
  <c r="P106" i="25"/>
  <c r="O106" i="25"/>
  <c r="N106" i="25"/>
  <c r="M106" i="25"/>
  <c r="L106" i="25"/>
  <c r="K106" i="25"/>
  <c r="J106" i="25"/>
  <c r="I106" i="25"/>
  <c r="H106" i="25"/>
  <c r="G106" i="25"/>
  <c r="F106" i="25"/>
  <c r="E106" i="25"/>
  <c r="D106" i="25"/>
  <c r="C106" i="25"/>
  <c r="X105" i="25"/>
  <c r="W105" i="25"/>
  <c r="V105" i="25"/>
  <c r="U105" i="25"/>
  <c r="T105" i="25"/>
  <c r="S105" i="25"/>
  <c r="R105" i="25"/>
  <c r="Q105" i="25"/>
  <c r="P105" i="25"/>
  <c r="O105" i="25"/>
  <c r="N105" i="25"/>
  <c r="M105" i="25"/>
  <c r="L105" i="25"/>
  <c r="K105" i="25"/>
  <c r="J105" i="25"/>
  <c r="I105" i="25"/>
  <c r="H105" i="25"/>
  <c r="G105" i="25"/>
  <c r="F105" i="25"/>
  <c r="E105" i="25"/>
  <c r="D105" i="25"/>
  <c r="C105" i="25"/>
  <c r="X103" i="25"/>
  <c r="W103" i="25"/>
  <c r="V103" i="25"/>
  <c r="U103" i="25"/>
  <c r="T103" i="25"/>
  <c r="S103" i="25"/>
  <c r="R103" i="25"/>
  <c r="Q103" i="25"/>
  <c r="P103" i="25"/>
  <c r="O103" i="25"/>
  <c r="N103" i="25"/>
  <c r="M103" i="25"/>
  <c r="L103" i="25"/>
  <c r="K103" i="25"/>
  <c r="J103" i="25"/>
  <c r="I103" i="25"/>
  <c r="H103" i="25"/>
  <c r="G103" i="25"/>
  <c r="F103" i="25"/>
  <c r="E103" i="25"/>
  <c r="D103" i="25"/>
  <c r="C103" i="25"/>
  <c r="X102" i="25"/>
  <c r="W102" i="25"/>
  <c r="V102" i="25"/>
  <c r="U102" i="25"/>
  <c r="T102" i="25"/>
  <c r="S102" i="25"/>
  <c r="R102" i="25"/>
  <c r="Q102" i="25"/>
  <c r="P102" i="25"/>
  <c r="O102" i="25"/>
  <c r="N102" i="25"/>
  <c r="M102" i="25"/>
  <c r="L102" i="25"/>
  <c r="K102" i="25"/>
  <c r="J102" i="25"/>
  <c r="I102" i="25"/>
  <c r="H102" i="25"/>
  <c r="G102" i="25"/>
  <c r="F102" i="25"/>
  <c r="E102" i="25"/>
  <c r="D102" i="25"/>
  <c r="C102" i="25"/>
  <c r="X101" i="25"/>
  <c r="W101" i="25"/>
  <c r="V101" i="25"/>
  <c r="U101" i="25"/>
  <c r="T101" i="25"/>
  <c r="S101" i="25"/>
  <c r="R101" i="25"/>
  <c r="Q101" i="25"/>
  <c r="P101" i="25"/>
  <c r="O101" i="25"/>
  <c r="N101" i="25"/>
  <c r="M101" i="25"/>
  <c r="L101" i="25"/>
  <c r="K101" i="25"/>
  <c r="J101" i="25"/>
  <c r="I101" i="25"/>
  <c r="H101" i="25"/>
  <c r="G101" i="25"/>
  <c r="F101" i="25"/>
  <c r="E101" i="25"/>
  <c r="D101" i="25"/>
  <c r="C101" i="25"/>
  <c r="X97" i="25"/>
  <c r="W97" i="25"/>
  <c r="V97" i="25"/>
  <c r="U97" i="25"/>
  <c r="T97" i="25"/>
  <c r="S97" i="25"/>
  <c r="R97" i="25"/>
  <c r="Q97" i="25"/>
  <c r="P97" i="25"/>
  <c r="O97" i="25"/>
  <c r="N97" i="25"/>
  <c r="M97" i="25"/>
  <c r="L97" i="25"/>
  <c r="K97" i="25"/>
  <c r="J97" i="25"/>
  <c r="I97" i="25"/>
  <c r="H97" i="25"/>
  <c r="G97" i="25"/>
  <c r="F97" i="25"/>
  <c r="E97" i="25"/>
  <c r="D97" i="25"/>
  <c r="C97" i="25"/>
  <c r="X94" i="25"/>
  <c r="W94" i="25"/>
  <c r="V94" i="25"/>
  <c r="U94" i="25"/>
  <c r="T94" i="25"/>
  <c r="S94" i="25"/>
  <c r="R94" i="25"/>
  <c r="Q94" i="25"/>
  <c r="P94" i="25"/>
  <c r="O94" i="25"/>
  <c r="N94" i="25"/>
  <c r="M94" i="25"/>
  <c r="L94" i="25"/>
  <c r="K94" i="25"/>
  <c r="J94" i="25"/>
  <c r="I94" i="25"/>
  <c r="H94" i="25"/>
  <c r="G94" i="25"/>
  <c r="F94" i="25"/>
  <c r="E94" i="25"/>
  <c r="D94" i="25"/>
  <c r="C94" i="25"/>
  <c r="X93" i="25"/>
  <c r="W93" i="25"/>
  <c r="V93" i="25"/>
  <c r="U93" i="25"/>
  <c r="T93" i="25"/>
  <c r="S93" i="25"/>
  <c r="R93" i="25"/>
  <c r="Q93" i="25"/>
  <c r="P93" i="25"/>
  <c r="O93" i="25"/>
  <c r="N93" i="25"/>
  <c r="M93" i="25"/>
  <c r="L93" i="25"/>
  <c r="K93" i="25"/>
  <c r="J93" i="25"/>
  <c r="I93" i="25"/>
  <c r="H93" i="25"/>
  <c r="G93" i="25"/>
  <c r="F93" i="25"/>
  <c r="E93" i="25"/>
  <c r="D93" i="25"/>
  <c r="C93" i="25"/>
  <c r="X92" i="25"/>
  <c r="W92" i="25"/>
  <c r="V92" i="25"/>
  <c r="U92" i="25"/>
  <c r="T92" i="25"/>
  <c r="S92" i="25"/>
  <c r="R92" i="25"/>
  <c r="Q92" i="25"/>
  <c r="P92" i="25"/>
  <c r="O92" i="25"/>
  <c r="N92" i="25"/>
  <c r="M92" i="25"/>
  <c r="L92" i="25"/>
  <c r="K92" i="25"/>
  <c r="J92" i="25"/>
  <c r="I92" i="25"/>
  <c r="H92" i="25"/>
  <c r="G92" i="25"/>
  <c r="F92" i="25"/>
  <c r="E92" i="25"/>
  <c r="D92" i="25"/>
  <c r="C92" i="25"/>
  <c r="X86" i="25"/>
  <c r="W86" i="25"/>
  <c r="V86" i="25"/>
  <c r="U86" i="25"/>
  <c r="T86" i="25"/>
  <c r="S86" i="25"/>
  <c r="R86" i="25"/>
  <c r="Q86" i="25"/>
  <c r="P86" i="25"/>
  <c r="O86" i="25"/>
  <c r="N86" i="25"/>
  <c r="M86" i="25"/>
  <c r="L86" i="25"/>
  <c r="K86" i="25"/>
  <c r="J86" i="25"/>
  <c r="I86" i="25"/>
  <c r="H86" i="25"/>
  <c r="G86" i="25"/>
  <c r="F86" i="25"/>
  <c r="E86" i="25"/>
  <c r="D86" i="25"/>
  <c r="C86" i="25"/>
  <c r="X85" i="25"/>
  <c r="W85" i="25"/>
  <c r="V85" i="25"/>
  <c r="U85" i="25"/>
  <c r="T85" i="25"/>
  <c r="S85" i="25"/>
  <c r="R85" i="25"/>
  <c r="Q85" i="25"/>
  <c r="P85" i="25"/>
  <c r="O85" i="25"/>
  <c r="N85" i="25"/>
  <c r="M85" i="25"/>
  <c r="L85" i="25"/>
  <c r="K85" i="25"/>
  <c r="J85" i="25"/>
  <c r="I85" i="25"/>
  <c r="H85" i="25"/>
  <c r="G85" i="25"/>
  <c r="F85" i="25"/>
  <c r="E85" i="25"/>
  <c r="D85" i="25"/>
  <c r="C85" i="25"/>
  <c r="X80" i="25"/>
  <c r="W80" i="25"/>
  <c r="V80" i="25"/>
  <c r="U80" i="25"/>
  <c r="T80" i="25"/>
  <c r="S80" i="25"/>
  <c r="R80" i="25"/>
  <c r="Q80" i="25"/>
  <c r="P80" i="25"/>
  <c r="O80" i="25"/>
  <c r="N80" i="25"/>
  <c r="M80" i="25"/>
  <c r="L80" i="25"/>
  <c r="K80" i="25"/>
  <c r="J80" i="25"/>
  <c r="I80" i="25"/>
  <c r="H80" i="25"/>
  <c r="G80" i="25"/>
  <c r="F80" i="25"/>
  <c r="E80" i="25"/>
  <c r="D80" i="25"/>
  <c r="C80" i="25"/>
  <c r="X79" i="25"/>
  <c r="W79" i="25"/>
  <c r="V79" i="25"/>
  <c r="U79" i="25"/>
  <c r="T79" i="25"/>
  <c r="S79" i="25"/>
  <c r="R79" i="25"/>
  <c r="Q79" i="25"/>
  <c r="P79" i="25"/>
  <c r="O79" i="25"/>
  <c r="N79" i="25"/>
  <c r="M79" i="25"/>
  <c r="L79" i="25"/>
  <c r="K79" i="25"/>
  <c r="J79" i="25"/>
  <c r="I79" i="25"/>
  <c r="H79" i="25"/>
  <c r="G79" i="25"/>
  <c r="F79" i="25"/>
  <c r="E79" i="25"/>
  <c r="D79" i="25"/>
  <c r="C79" i="25"/>
  <c r="X78" i="25"/>
  <c r="W78" i="25"/>
  <c r="V78" i="25"/>
  <c r="U78" i="25"/>
  <c r="T78" i="25"/>
  <c r="S78" i="25"/>
  <c r="R78" i="25"/>
  <c r="Q78" i="25"/>
  <c r="P78" i="25"/>
  <c r="O78" i="25"/>
  <c r="N78" i="25"/>
  <c r="M78" i="25"/>
  <c r="L78" i="25"/>
  <c r="K78" i="25"/>
  <c r="J78" i="25"/>
  <c r="I78" i="25"/>
  <c r="H78" i="25"/>
  <c r="G78" i="25"/>
  <c r="F78" i="25"/>
  <c r="E78" i="25"/>
  <c r="D78" i="25"/>
  <c r="C78" i="25"/>
  <c r="X77" i="25"/>
  <c r="W77" i="25"/>
  <c r="V77" i="25"/>
  <c r="U77" i="25"/>
  <c r="T77" i="25"/>
  <c r="S77" i="25"/>
  <c r="R77" i="25"/>
  <c r="Q77" i="25"/>
  <c r="P77" i="25"/>
  <c r="O77" i="25"/>
  <c r="N77" i="25"/>
  <c r="M77" i="25"/>
  <c r="L77" i="25"/>
  <c r="K77" i="25"/>
  <c r="J77" i="25"/>
  <c r="I77" i="25"/>
  <c r="H77" i="25"/>
  <c r="G77" i="25"/>
  <c r="F77" i="25"/>
  <c r="E77" i="25"/>
  <c r="D77" i="25"/>
  <c r="C77" i="25"/>
  <c r="X76" i="25"/>
  <c r="W76" i="25"/>
  <c r="V76" i="25"/>
  <c r="U76" i="25"/>
  <c r="T76" i="25"/>
  <c r="S76" i="25"/>
  <c r="R76" i="25"/>
  <c r="Q76" i="25"/>
  <c r="P76" i="25"/>
  <c r="O76" i="25"/>
  <c r="N76" i="25"/>
  <c r="M76" i="25"/>
  <c r="L76" i="25"/>
  <c r="K76" i="25"/>
  <c r="J76" i="25"/>
  <c r="I76" i="25"/>
  <c r="H76" i="25"/>
  <c r="G76" i="25"/>
  <c r="F76" i="25"/>
  <c r="E76" i="25"/>
  <c r="D76" i="25"/>
  <c r="C76" i="25"/>
  <c r="X75" i="25"/>
  <c r="W75" i="25"/>
  <c r="V75" i="25"/>
  <c r="U75" i="25"/>
  <c r="T75" i="25"/>
  <c r="S75" i="25"/>
  <c r="R75" i="25"/>
  <c r="Q75" i="25"/>
  <c r="P75" i="25"/>
  <c r="O75" i="25"/>
  <c r="N75" i="25"/>
  <c r="M75" i="25"/>
  <c r="L75" i="25"/>
  <c r="K75" i="25"/>
  <c r="J75" i="25"/>
  <c r="I75" i="25"/>
  <c r="H75" i="25"/>
  <c r="G75" i="25"/>
  <c r="F75" i="25"/>
  <c r="E75" i="25"/>
  <c r="D75" i="25"/>
  <c r="C75" i="25"/>
  <c r="X74" i="25"/>
  <c r="W74" i="25"/>
  <c r="V74" i="25"/>
  <c r="U74" i="25"/>
  <c r="T74" i="25"/>
  <c r="S74" i="25"/>
  <c r="R74" i="25"/>
  <c r="Q74" i="25"/>
  <c r="P74" i="25"/>
  <c r="O74" i="25"/>
  <c r="N74" i="25"/>
  <c r="M74" i="25"/>
  <c r="L74" i="25"/>
  <c r="K74" i="25"/>
  <c r="J74" i="25"/>
  <c r="I74" i="25"/>
  <c r="H74" i="25"/>
  <c r="G74" i="25"/>
  <c r="F74" i="25"/>
  <c r="E74" i="25"/>
  <c r="D74" i="25"/>
  <c r="C74" i="25"/>
  <c r="X73" i="25"/>
  <c r="W73" i="25"/>
  <c r="V73" i="25"/>
  <c r="U73" i="25"/>
  <c r="T73" i="25"/>
  <c r="S73" i="25"/>
  <c r="R73" i="25"/>
  <c r="Q73" i="25"/>
  <c r="P73" i="25"/>
  <c r="O73" i="25"/>
  <c r="N73" i="25"/>
  <c r="M73" i="25"/>
  <c r="L73" i="25"/>
  <c r="K73" i="25"/>
  <c r="J73" i="25"/>
  <c r="I73" i="25"/>
  <c r="H73" i="25"/>
  <c r="G73" i="25"/>
  <c r="F73" i="25"/>
  <c r="E73" i="25"/>
  <c r="D73" i="25"/>
  <c r="C73" i="25"/>
  <c r="X72" i="25"/>
  <c r="W72" i="25"/>
  <c r="V72" i="25"/>
  <c r="U72" i="25"/>
  <c r="T72" i="25"/>
  <c r="S72" i="25"/>
  <c r="R72" i="25"/>
  <c r="Q72" i="25"/>
  <c r="P72" i="25"/>
  <c r="O72" i="25"/>
  <c r="N72" i="25"/>
  <c r="M72" i="25"/>
  <c r="L72" i="25"/>
  <c r="K72" i="25"/>
  <c r="J72" i="25"/>
  <c r="I72" i="25"/>
  <c r="H72" i="25"/>
  <c r="G72" i="25"/>
  <c r="F72" i="25"/>
  <c r="E72" i="25"/>
  <c r="D72" i="25"/>
  <c r="C72" i="25"/>
  <c r="X71" i="25"/>
  <c r="W71" i="25"/>
  <c r="V71" i="25"/>
  <c r="U71" i="25"/>
  <c r="T71" i="25"/>
  <c r="S71" i="25"/>
  <c r="R71" i="25"/>
  <c r="Q71" i="25"/>
  <c r="P71" i="25"/>
  <c r="O71" i="25"/>
  <c r="N71" i="25"/>
  <c r="M71" i="25"/>
  <c r="L71" i="25"/>
  <c r="K71" i="25"/>
  <c r="J71" i="25"/>
  <c r="I71" i="25"/>
  <c r="H71" i="25"/>
  <c r="G71" i="25"/>
  <c r="F71" i="25"/>
  <c r="E71" i="25"/>
  <c r="D71" i="25"/>
  <c r="C71" i="25"/>
  <c r="X70" i="25"/>
  <c r="W70" i="25"/>
  <c r="V70" i="25"/>
  <c r="U70" i="25"/>
  <c r="T70" i="25"/>
  <c r="S70" i="25"/>
  <c r="R70" i="25"/>
  <c r="Q70" i="25"/>
  <c r="P70" i="25"/>
  <c r="O70" i="25"/>
  <c r="N70" i="25"/>
  <c r="M70" i="25"/>
  <c r="L70" i="25"/>
  <c r="K70" i="25"/>
  <c r="J70" i="25"/>
  <c r="I70" i="25"/>
  <c r="H70" i="25"/>
  <c r="G70" i="25"/>
  <c r="F70" i="25"/>
  <c r="E70" i="25"/>
  <c r="D70" i="25"/>
  <c r="C70" i="25"/>
  <c r="X69" i="25"/>
  <c r="W69" i="25"/>
  <c r="V69" i="25"/>
  <c r="U69" i="25"/>
  <c r="T69" i="25"/>
  <c r="S69" i="25"/>
  <c r="R69" i="25"/>
  <c r="Q69" i="25"/>
  <c r="P69" i="25"/>
  <c r="O69" i="25"/>
  <c r="N69" i="25"/>
  <c r="M69" i="25"/>
  <c r="L69" i="25"/>
  <c r="K69" i="25"/>
  <c r="J69" i="25"/>
  <c r="I69" i="25"/>
  <c r="H69" i="25"/>
  <c r="G69" i="25"/>
  <c r="F69" i="25"/>
  <c r="E69" i="25"/>
  <c r="D69" i="25"/>
  <c r="C69" i="25"/>
  <c r="X67" i="25"/>
  <c r="W67" i="25"/>
  <c r="V67" i="25"/>
  <c r="U67" i="25"/>
  <c r="T67" i="25"/>
  <c r="S67" i="25"/>
  <c r="R67" i="25"/>
  <c r="Q67" i="25"/>
  <c r="P67" i="25"/>
  <c r="O67" i="25"/>
  <c r="N67" i="25"/>
  <c r="M67" i="25"/>
  <c r="L67" i="25"/>
  <c r="K67" i="25"/>
  <c r="J67" i="25"/>
  <c r="I67" i="25"/>
  <c r="H67" i="25"/>
  <c r="G67" i="25"/>
  <c r="F67" i="25"/>
  <c r="E67" i="25"/>
  <c r="D67" i="25"/>
  <c r="C67" i="25"/>
  <c r="X66" i="25"/>
  <c r="W66" i="25"/>
  <c r="V66" i="25"/>
  <c r="U66" i="25"/>
  <c r="T66" i="25"/>
  <c r="S66" i="25"/>
  <c r="R66" i="25"/>
  <c r="Q66" i="25"/>
  <c r="P66" i="25"/>
  <c r="O66" i="25"/>
  <c r="N66" i="25"/>
  <c r="M66" i="25"/>
  <c r="L66" i="25"/>
  <c r="K66" i="25"/>
  <c r="J66" i="25"/>
  <c r="I66" i="25"/>
  <c r="H66" i="25"/>
  <c r="G66" i="25"/>
  <c r="F66" i="25"/>
  <c r="E66" i="25"/>
  <c r="D66" i="25"/>
  <c r="C66" i="25"/>
  <c r="X65" i="25"/>
  <c r="W65" i="25"/>
  <c r="V65" i="25"/>
  <c r="U65" i="25"/>
  <c r="T65" i="25"/>
  <c r="S65" i="25"/>
  <c r="R65" i="25"/>
  <c r="Q65" i="25"/>
  <c r="P65" i="25"/>
  <c r="O65" i="25"/>
  <c r="N65" i="25"/>
  <c r="M65" i="25"/>
  <c r="L65" i="25"/>
  <c r="K65" i="25"/>
  <c r="J65" i="25"/>
  <c r="I65" i="25"/>
  <c r="H65" i="25"/>
  <c r="G65" i="25"/>
  <c r="F65" i="25"/>
  <c r="E65" i="25"/>
  <c r="D65" i="25"/>
  <c r="C65" i="25"/>
  <c r="X64" i="25"/>
  <c r="W64" i="25"/>
  <c r="V64" i="25"/>
  <c r="U64" i="25"/>
  <c r="T64" i="25"/>
  <c r="S64" i="25"/>
  <c r="R64" i="25"/>
  <c r="Q64" i="25"/>
  <c r="P64" i="25"/>
  <c r="O64" i="25"/>
  <c r="N64" i="25"/>
  <c r="M64" i="25"/>
  <c r="L64" i="25"/>
  <c r="K64" i="25"/>
  <c r="J64" i="25"/>
  <c r="I64" i="25"/>
  <c r="H64" i="25"/>
  <c r="G64" i="25"/>
  <c r="F64" i="25"/>
  <c r="E64" i="25"/>
  <c r="D64" i="25"/>
  <c r="C64" i="25"/>
  <c r="X63" i="25"/>
  <c r="W63" i="25"/>
  <c r="V63" i="25"/>
  <c r="U63" i="25"/>
  <c r="T63" i="25"/>
  <c r="S63" i="25"/>
  <c r="R63" i="25"/>
  <c r="Q63" i="25"/>
  <c r="P63" i="25"/>
  <c r="O63" i="25"/>
  <c r="N63" i="25"/>
  <c r="M63" i="25"/>
  <c r="L63" i="25"/>
  <c r="K63" i="25"/>
  <c r="J63" i="25"/>
  <c r="I63" i="25"/>
  <c r="H63" i="25"/>
  <c r="G63" i="25"/>
  <c r="F63" i="25"/>
  <c r="E63" i="25"/>
  <c r="D63" i="25"/>
  <c r="C63" i="25"/>
  <c r="X62" i="25"/>
  <c r="W62" i="25"/>
  <c r="V62" i="25"/>
  <c r="U62" i="25"/>
  <c r="T62" i="25"/>
  <c r="S62" i="25"/>
  <c r="R62" i="25"/>
  <c r="Q62" i="25"/>
  <c r="P62" i="25"/>
  <c r="O62" i="25"/>
  <c r="N62" i="25"/>
  <c r="M62" i="25"/>
  <c r="L62" i="25"/>
  <c r="K62" i="25"/>
  <c r="J62" i="25"/>
  <c r="I62" i="25"/>
  <c r="H62" i="25"/>
  <c r="G62" i="25"/>
  <c r="F62" i="25"/>
  <c r="E62" i="25"/>
  <c r="D62" i="25"/>
  <c r="C62" i="25"/>
  <c r="X61" i="25"/>
  <c r="W61" i="25"/>
  <c r="V61" i="25"/>
  <c r="U61" i="25"/>
  <c r="T61" i="25"/>
  <c r="S61" i="25"/>
  <c r="R61" i="25"/>
  <c r="Q61" i="25"/>
  <c r="P61" i="25"/>
  <c r="O61" i="25"/>
  <c r="N61" i="25"/>
  <c r="M61" i="25"/>
  <c r="L61" i="25"/>
  <c r="K61" i="25"/>
  <c r="J61" i="25"/>
  <c r="I61" i="25"/>
  <c r="H61" i="25"/>
  <c r="G61" i="25"/>
  <c r="F61" i="25"/>
  <c r="E61" i="25"/>
  <c r="D61" i="25"/>
  <c r="C61" i="25"/>
  <c r="X60" i="25"/>
  <c r="W60" i="25"/>
  <c r="V60" i="25"/>
  <c r="U60" i="25"/>
  <c r="T60" i="25"/>
  <c r="S60" i="25"/>
  <c r="R60" i="25"/>
  <c r="Q60" i="25"/>
  <c r="P60" i="25"/>
  <c r="O60" i="25"/>
  <c r="N60" i="25"/>
  <c r="M60" i="25"/>
  <c r="L60" i="25"/>
  <c r="K60" i="25"/>
  <c r="J60" i="25"/>
  <c r="I60" i="25"/>
  <c r="H60" i="25"/>
  <c r="G60" i="25"/>
  <c r="F60" i="25"/>
  <c r="E60" i="25"/>
  <c r="D60" i="25"/>
  <c r="C60" i="25"/>
  <c r="X59" i="25"/>
  <c r="W59" i="25"/>
  <c r="V59" i="25"/>
  <c r="U59" i="25"/>
  <c r="T59" i="25"/>
  <c r="S59" i="25"/>
  <c r="R59" i="25"/>
  <c r="Q59" i="25"/>
  <c r="P59" i="25"/>
  <c r="O59" i="25"/>
  <c r="N59" i="25"/>
  <c r="M59" i="25"/>
  <c r="L59" i="25"/>
  <c r="K59" i="25"/>
  <c r="J59" i="25"/>
  <c r="I59" i="25"/>
  <c r="H59" i="25"/>
  <c r="G59" i="25"/>
  <c r="F59" i="25"/>
  <c r="E59" i="25"/>
  <c r="D59" i="25"/>
  <c r="C59" i="25"/>
  <c r="X58" i="25"/>
  <c r="W58" i="25"/>
  <c r="V58" i="25"/>
  <c r="U58" i="25"/>
  <c r="T58" i="25"/>
  <c r="S58" i="25"/>
  <c r="R58" i="25"/>
  <c r="Q58" i="25"/>
  <c r="P58" i="25"/>
  <c r="O58" i="25"/>
  <c r="N58" i="25"/>
  <c r="M58" i="25"/>
  <c r="L58" i="25"/>
  <c r="K58" i="25"/>
  <c r="J58" i="25"/>
  <c r="I58" i="25"/>
  <c r="H58" i="25"/>
  <c r="G58" i="25"/>
  <c r="F58" i="25"/>
  <c r="E58" i="25"/>
  <c r="D58" i="25"/>
  <c r="C58" i="25"/>
  <c r="X57" i="25"/>
  <c r="W57" i="25"/>
  <c r="V57" i="25"/>
  <c r="U57" i="25"/>
  <c r="T57" i="25"/>
  <c r="S57" i="25"/>
  <c r="R57" i="25"/>
  <c r="Q57" i="25"/>
  <c r="P57" i="25"/>
  <c r="O57" i="25"/>
  <c r="N57" i="25"/>
  <c r="M57" i="25"/>
  <c r="L57" i="25"/>
  <c r="K57" i="25"/>
  <c r="J57" i="25"/>
  <c r="I57" i="25"/>
  <c r="H57" i="25"/>
  <c r="G57" i="25"/>
  <c r="F57" i="25"/>
  <c r="E57" i="25"/>
  <c r="D57" i="25"/>
  <c r="C57" i="25"/>
  <c r="X56" i="25"/>
  <c r="W56" i="25"/>
  <c r="V56" i="25"/>
  <c r="U56" i="25"/>
  <c r="T56" i="25"/>
  <c r="S56" i="25"/>
  <c r="R56" i="25"/>
  <c r="Q56" i="25"/>
  <c r="P56" i="25"/>
  <c r="O56" i="25"/>
  <c r="N56" i="25"/>
  <c r="M56" i="25"/>
  <c r="L56" i="25"/>
  <c r="K56" i="25"/>
  <c r="J56" i="25"/>
  <c r="I56" i="25"/>
  <c r="H56" i="25"/>
  <c r="G56" i="25"/>
  <c r="F56" i="25"/>
  <c r="E56" i="25"/>
  <c r="D56" i="25"/>
  <c r="C56" i="25"/>
  <c r="X55" i="25"/>
  <c r="W55" i="25"/>
  <c r="V55" i="25"/>
  <c r="U55" i="25"/>
  <c r="T55" i="25"/>
  <c r="S55" i="25"/>
  <c r="R55" i="25"/>
  <c r="Q55" i="25"/>
  <c r="P55" i="25"/>
  <c r="O55" i="25"/>
  <c r="N55" i="25"/>
  <c r="M55" i="25"/>
  <c r="L55" i="25"/>
  <c r="K55" i="25"/>
  <c r="J55" i="25"/>
  <c r="I55" i="25"/>
  <c r="H55" i="25"/>
  <c r="G55" i="25"/>
  <c r="F55" i="25"/>
  <c r="E55" i="25"/>
  <c r="D55" i="25"/>
  <c r="C55" i="25"/>
  <c r="X54" i="25"/>
  <c r="W54" i="25"/>
  <c r="V54" i="25"/>
  <c r="U54" i="25"/>
  <c r="T54" i="25"/>
  <c r="S54" i="25"/>
  <c r="R54" i="25"/>
  <c r="Q54" i="25"/>
  <c r="P54" i="25"/>
  <c r="O54" i="25"/>
  <c r="N54" i="25"/>
  <c r="M54" i="25"/>
  <c r="L54" i="25"/>
  <c r="K54" i="25"/>
  <c r="J54" i="25"/>
  <c r="I54" i="25"/>
  <c r="H54" i="25"/>
  <c r="G54" i="25"/>
  <c r="F54" i="25"/>
  <c r="E54" i="25"/>
  <c r="D54" i="25"/>
  <c r="C54" i="25"/>
  <c r="X53" i="25"/>
  <c r="W53" i="25"/>
  <c r="V53" i="25"/>
  <c r="U53" i="25"/>
  <c r="T53" i="25"/>
  <c r="S53" i="25"/>
  <c r="R53" i="25"/>
  <c r="Q53" i="25"/>
  <c r="P53" i="25"/>
  <c r="O53" i="25"/>
  <c r="N53" i="25"/>
  <c r="M53" i="25"/>
  <c r="L53" i="25"/>
  <c r="K53" i="25"/>
  <c r="J53" i="25"/>
  <c r="I53" i="25"/>
  <c r="H53" i="25"/>
  <c r="G53" i="25"/>
  <c r="F53" i="25"/>
  <c r="E53" i="25"/>
  <c r="D53" i="25"/>
  <c r="C53" i="25"/>
  <c r="X49" i="25"/>
  <c r="W49" i="25"/>
  <c r="V49" i="25"/>
  <c r="U49" i="25"/>
  <c r="T49" i="25"/>
  <c r="S49" i="25"/>
  <c r="R49" i="25"/>
  <c r="Q49" i="25"/>
  <c r="P49" i="25"/>
  <c r="O49" i="25"/>
  <c r="N49" i="25"/>
  <c r="M49" i="25"/>
  <c r="L49" i="25"/>
  <c r="K49" i="25"/>
  <c r="J49" i="25"/>
  <c r="I49" i="25"/>
  <c r="H49" i="25"/>
  <c r="G49" i="25"/>
  <c r="F49" i="25"/>
  <c r="E49" i="25"/>
  <c r="D49" i="25"/>
  <c r="C49" i="25"/>
  <c r="X46" i="25"/>
  <c r="W46" i="25"/>
  <c r="V46" i="25"/>
  <c r="U46" i="25"/>
  <c r="T46" i="25"/>
  <c r="S46" i="25"/>
  <c r="R46" i="25"/>
  <c r="Q46" i="25"/>
  <c r="P46" i="25"/>
  <c r="O46" i="25"/>
  <c r="N46" i="25"/>
  <c r="M46" i="25"/>
  <c r="L46" i="25"/>
  <c r="K46" i="25"/>
  <c r="J46" i="25"/>
  <c r="I46" i="25"/>
  <c r="H46" i="25"/>
  <c r="G46" i="25"/>
  <c r="F46" i="25"/>
  <c r="E46" i="25"/>
  <c r="D46" i="25"/>
  <c r="C46" i="25"/>
  <c r="X45" i="25"/>
  <c r="W45" i="25"/>
  <c r="V45" i="25"/>
  <c r="U45" i="25"/>
  <c r="T45" i="25"/>
  <c r="S45" i="25"/>
  <c r="R45" i="25"/>
  <c r="Q45" i="25"/>
  <c r="P45" i="25"/>
  <c r="O45" i="25"/>
  <c r="N45" i="25"/>
  <c r="M45" i="25"/>
  <c r="L45" i="25"/>
  <c r="K45" i="25"/>
  <c r="J45" i="25"/>
  <c r="I45" i="25"/>
  <c r="H45" i="25"/>
  <c r="G45" i="25"/>
  <c r="F45" i="25"/>
  <c r="E45" i="25"/>
  <c r="D45" i="25"/>
  <c r="C45" i="25"/>
  <c r="X44" i="25"/>
  <c r="W44" i="25"/>
  <c r="V44" i="25"/>
  <c r="U44" i="25"/>
  <c r="T44" i="25"/>
  <c r="S44" i="25"/>
  <c r="R44" i="25"/>
  <c r="Q44" i="25"/>
  <c r="P44" i="25"/>
  <c r="O44" i="25"/>
  <c r="N44" i="25"/>
  <c r="M44" i="25"/>
  <c r="L44" i="25"/>
  <c r="K44" i="25"/>
  <c r="J44" i="25"/>
  <c r="I44" i="25"/>
  <c r="H44" i="25"/>
  <c r="G44" i="25"/>
  <c r="F44" i="25"/>
  <c r="E44" i="25"/>
  <c r="D44" i="25"/>
  <c r="C44" i="25"/>
  <c r="X43" i="25"/>
  <c r="W43" i="25"/>
  <c r="V43" i="25"/>
  <c r="U43" i="25"/>
  <c r="T43" i="25"/>
  <c r="S43" i="25"/>
  <c r="R43" i="25"/>
  <c r="Q43" i="25"/>
  <c r="P43" i="25"/>
  <c r="O43" i="25"/>
  <c r="N43" i="25"/>
  <c r="M43" i="25"/>
  <c r="L43" i="25"/>
  <c r="K43" i="25"/>
  <c r="J43" i="25"/>
  <c r="I43" i="25"/>
  <c r="H43" i="25"/>
  <c r="G43" i="25"/>
  <c r="F43" i="25"/>
  <c r="E43" i="25"/>
  <c r="D43" i="25"/>
  <c r="C43" i="25"/>
  <c r="X42" i="25"/>
  <c r="W42" i="25"/>
  <c r="V42" i="25"/>
  <c r="U42" i="25"/>
  <c r="T42" i="25"/>
  <c r="S42" i="25"/>
  <c r="R42" i="25"/>
  <c r="Q42" i="25"/>
  <c r="P42" i="25"/>
  <c r="O42" i="25"/>
  <c r="N42" i="25"/>
  <c r="M42" i="25"/>
  <c r="L42" i="25"/>
  <c r="K42" i="25"/>
  <c r="J42" i="25"/>
  <c r="I42" i="25"/>
  <c r="H42" i="25"/>
  <c r="G42" i="25"/>
  <c r="F42" i="25"/>
  <c r="E42" i="25"/>
  <c r="D42" i="25"/>
  <c r="C42" i="25"/>
  <c r="X37" i="25"/>
  <c r="W37" i="25"/>
  <c r="V37" i="25"/>
  <c r="U37" i="25"/>
  <c r="T37" i="25"/>
  <c r="S37" i="25"/>
  <c r="R37" i="25"/>
  <c r="Q37" i="25"/>
  <c r="P37" i="25"/>
  <c r="O37" i="25"/>
  <c r="N37" i="25"/>
  <c r="M37" i="25"/>
  <c r="L37" i="25"/>
  <c r="K37" i="25"/>
  <c r="J37" i="25"/>
  <c r="I37" i="25"/>
  <c r="H37" i="25"/>
  <c r="G37" i="25"/>
  <c r="F37" i="25"/>
  <c r="E37" i="25"/>
  <c r="D37" i="25"/>
  <c r="C37" i="25"/>
  <c r="X36" i="25"/>
  <c r="W36" i="25"/>
  <c r="V36" i="25"/>
  <c r="U36" i="25"/>
  <c r="T36" i="25"/>
  <c r="S36" i="25"/>
  <c r="R36" i="25"/>
  <c r="Q36" i="25"/>
  <c r="P36" i="25"/>
  <c r="O36" i="25"/>
  <c r="N36" i="25"/>
  <c r="M36" i="25"/>
  <c r="L36" i="25"/>
  <c r="K36" i="25"/>
  <c r="J36" i="25"/>
  <c r="I36" i="25"/>
  <c r="H36" i="25"/>
  <c r="G36" i="25"/>
  <c r="F36" i="25"/>
  <c r="E36" i="25"/>
  <c r="D36" i="25"/>
  <c r="C36" i="25"/>
  <c r="X30" i="25"/>
  <c r="W30" i="25"/>
  <c r="V30" i="25"/>
  <c r="U30" i="25"/>
  <c r="T30" i="25"/>
  <c r="S30" i="25"/>
  <c r="R30" i="25"/>
  <c r="Q30" i="25"/>
  <c r="P30" i="25"/>
  <c r="O30" i="25"/>
  <c r="N30" i="25"/>
  <c r="M30" i="25"/>
  <c r="L30" i="25"/>
  <c r="K30" i="25"/>
  <c r="J30" i="25"/>
  <c r="I30" i="25"/>
  <c r="H30" i="25"/>
  <c r="G30" i="25"/>
  <c r="F30" i="25"/>
  <c r="E30" i="25"/>
  <c r="D30" i="25"/>
  <c r="C30" i="25"/>
  <c r="X29" i="25"/>
  <c r="W29" i="25"/>
  <c r="V29" i="25"/>
  <c r="U29" i="25"/>
  <c r="T29" i="25"/>
  <c r="S29" i="25"/>
  <c r="R29" i="25"/>
  <c r="Q29" i="25"/>
  <c r="P29" i="25"/>
  <c r="O29" i="25"/>
  <c r="N29" i="25"/>
  <c r="M29" i="25"/>
  <c r="L29" i="25"/>
  <c r="K29" i="25"/>
  <c r="J29" i="25"/>
  <c r="I29" i="25"/>
  <c r="H29" i="25"/>
  <c r="G29" i="25"/>
  <c r="F29" i="25"/>
  <c r="E29" i="25"/>
  <c r="D29" i="25"/>
  <c r="C29" i="25"/>
  <c r="X24" i="25"/>
  <c r="W24" i="25"/>
  <c r="V24" i="25"/>
  <c r="U24" i="25"/>
  <c r="T24" i="25"/>
  <c r="S24" i="25"/>
  <c r="R24" i="25"/>
  <c r="Q24" i="25"/>
  <c r="P24" i="25"/>
  <c r="O24" i="25"/>
  <c r="N24" i="25"/>
  <c r="M24" i="25"/>
  <c r="L24" i="25"/>
  <c r="K24" i="25"/>
  <c r="J24" i="25"/>
  <c r="I24" i="25"/>
  <c r="H24" i="25"/>
  <c r="G24" i="25"/>
  <c r="F24" i="25"/>
  <c r="E24" i="25"/>
  <c r="D24" i="25"/>
  <c r="C24" i="25"/>
  <c r="X23" i="25"/>
  <c r="W23" i="25"/>
  <c r="V23" i="25"/>
  <c r="U23" i="25"/>
  <c r="T23" i="25"/>
  <c r="S23" i="25"/>
  <c r="R23" i="25"/>
  <c r="Q23" i="25"/>
  <c r="P23" i="25"/>
  <c r="O23" i="25"/>
  <c r="N23" i="25"/>
  <c r="M23" i="25"/>
  <c r="L23" i="25"/>
  <c r="K23" i="25"/>
  <c r="J23" i="25"/>
  <c r="I23" i="25"/>
  <c r="H23" i="25"/>
  <c r="G23" i="25"/>
  <c r="F23" i="25"/>
  <c r="E23" i="25"/>
  <c r="D23" i="25"/>
  <c r="C23" i="25"/>
  <c r="X19" i="25"/>
  <c r="W19" i="25"/>
  <c r="V19" i="25"/>
  <c r="U19" i="25"/>
  <c r="T19" i="25"/>
  <c r="S19" i="25"/>
  <c r="R19" i="25"/>
  <c r="Q19" i="25"/>
  <c r="P19" i="25"/>
  <c r="O19" i="25"/>
  <c r="N19" i="25"/>
  <c r="M19" i="25"/>
  <c r="L19" i="25"/>
  <c r="K19" i="25"/>
  <c r="J19" i="25"/>
  <c r="I19" i="25"/>
  <c r="H19" i="25"/>
  <c r="G19" i="25"/>
  <c r="F19" i="25"/>
  <c r="E19" i="25"/>
  <c r="D19" i="25"/>
  <c r="C19" i="25"/>
  <c r="X18" i="25"/>
  <c r="W18" i="25"/>
  <c r="V18" i="25"/>
  <c r="U18" i="25"/>
  <c r="T18" i="25"/>
  <c r="S18" i="25"/>
  <c r="R18" i="25"/>
  <c r="Q18" i="25"/>
  <c r="P18" i="25"/>
  <c r="O18" i="25"/>
  <c r="N18" i="25"/>
  <c r="M18" i="25"/>
  <c r="L18" i="25"/>
  <c r="K18" i="25"/>
  <c r="J18" i="25"/>
  <c r="I18" i="25"/>
  <c r="H18" i="25"/>
  <c r="G18" i="25"/>
  <c r="F18" i="25"/>
  <c r="E18" i="25"/>
  <c r="D18" i="25"/>
  <c r="C18" i="25"/>
  <c r="C12" i="25"/>
  <c r="D12" i="25"/>
  <c r="E12" i="25"/>
  <c r="F12" i="25"/>
  <c r="G12" i="25"/>
  <c r="H12" i="25"/>
  <c r="I12" i="25"/>
  <c r="J12" i="25"/>
  <c r="K12" i="25"/>
  <c r="L12" i="25"/>
  <c r="M12" i="25"/>
  <c r="N12" i="25"/>
  <c r="O12" i="25"/>
  <c r="P12" i="25"/>
  <c r="Q12" i="25"/>
  <c r="R12" i="25"/>
  <c r="S12" i="25"/>
  <c r="T12" i="25"/>
  <c r="U12" i="25"/>
  <c r="V12" i="25"/>
  <c r="W12" i="25"/>
  <c r="X12" i="25"/>
  <c r="C13" i="25"/>
  <c r="D13" i="25"/>
  <c r="E13" i="25"/>
  <c r="F13" i="25"/>
  <c r="G13" i="25"/>
  <c r="H13" i="25"/>
  <c r="I13" i="25"/>
  <c r="J13" i="25"/>
  <c r="K13" i="25"/>
  <c r="L13" i="25"/>
  <c r="M13" i="25"/>
  <c r="N13" i="25"/>
  <c r="O13" i="25"/>
  <c r="P13" i="25"/>
  <c r="Q13" i="25"/>
  <c r="R13" i="25"/>
  <c r="S13" i="25"/>
  <c r="T13" i="25"/>
  <c r="U13" i="25"/>
  <c r="V13" i="25"/>
  <c r="W13" i="25"/>
  <c r="X13" i="25"/>
  <c r="C14" i="25"/>
  <c r="D14" i="25"/>
  <c r="E14" i="25"/>
  <c r="F14" i="25"/>
  <c r="G14" i="25"/>
  <c r="H14" i="25"/>
  <c r="I14" i="25"/>
  <c r="J14" i="25"/>
  <c r="K14" i="25"/>
  <c r="L14" i="25"/>
  <c r="M14" i="25"/>
  <c r="N14" i="25"/>
  <c r="O14" i="25"/>
  <c r="P14" i="25"/>
  <c r="Q14" i="25"/>
  <c r="R14" i="25"/>
  <c r="S14" i="25"/>
  <c r="T14" i="25"/>
  <c r="U14" i="25"/>
  <c r="V14" i="25"/>
  <c r="W14" i="25"/>
  <c r="X14" i="25"/>
  <c r="C15" i="25"/>
  <c r="D15" i="25"/>
  <c r="E15" i="25"/>
  <c r="F15" i="25"/>
  <c r="G15" i="25"/>
  <c r="H15" i="25"/>
  <c r="I15" i="25"/>
  <c r="J15" i="25"/>
  <c r="K15" i="25"/>
  <c r="L15" i="25"/>
  <c r="M15" i="25"/>
  <c r="N15" i="25"/>
  <c r="O15" i="25"/>
  <c r="P15" i="25"/>
  <c r="Q15" i="25"/>
  <c r="R15" i="25"/>
  <c r="S15" i="25"/>
  <c r="T15" i="25"/>
  <c r="U15" i="25"/>
  <c r="V15" i="25"/>
  <c r="W15" i="25"/>
  <c r="X15" i="25"/>
  <c r="D11" i="25"/>
  <c r="E11" i="25"/>
  <c r="F11" i="25"/>
  <c r="G11" i="25"/>
  <c r="H11" i="25"/>
  <c r="I11" i="25"/>
  <c r="J11" i="25"/>
  <c r="K11" i="25"/>
  <c r="L11" i="25"/>
  <c r="M11" i="25"/>
  <c r="N11" i="25"/>
  <c r="O11" i="25"/>
  <c r="P11" i="25"/>
  <c r="Q11" i="25"/>
  <c r="R11" i="25"/>
  <c r="S11" i="25"/>
  <c r="T11" i="25"/>
  <c r="U11" i="25"/>
  <c r="V11" i="25"/>
  <c r="W11" i="25"/>
  <c r="X11" i="25"/>
  <c r="C11" i="25"/>
  <c r="AG7" i="25" l="1"/>
  <c r="AH7" i="25" s="1"/>
  <c r="AI7" i="25"/>
  <c r="AJ7" i="25" s="1"/>
  <c r="AK7" i="25"/>
  <c r="AL7" i="25" s="1"/>
  <c r="AM7" i="25"/>
  <c r="AN7" i="25" s="1"/>
  <c r="AO7" i="25"/>
  <c r="AP7" i="25" s="1"/>
  <c r="AG8" i="25"/>
  <c r="AH8" i="25" s="1"/>
  <c r="AI8" i="25"/>
  <c r="AJ8" i="25" s="1"/>
  <c r="AK8" i="25"/>
  <c r="AL8" i="25" s="1"/>
  <c r="AM8" i="25"/>
  <c r="AN8" i="25" s="1"/>
  <c r="AO8" i="25"/>
  <c r="AP8" i="25" s="1"/>
  <c r="AG9" i="25"/>
  <c r="AH9" i="25" s="1"/>
  <c r="AI9" i="25"/>
  <c r="AJ9" i="25" s="1"/>
  <c r="AK9" i="25"/>
  <c r="AL9" i="25" s="1"/>
  <c r="AM9" i="25"/>
  <c r="AN9" i="25" s="1"/>
  <c r="AO9" i="25"/>
  <c r="AP9" i="25" s="1"/>
  <c r="AG10" i="25"/>
  <c r="AH10" i="25" s="1"/>
  <c r="AI10" i="25"/>
  <c r="AJ10" i="25" s="1"/>
  <c r="AK10" i="25"/>
  <c r="AL10" i="25" s="1"/>
  <c r="AM10" i="25"/>
  <c r="AN10" i="25" s="1"/>
  <c r="AO10" i="25"/>
  <c r="AP10" i="25" s="1"/>
  <c r="AG14" i="25"/>
  <c r="AH14" i="25" s="1"/>
  <c r="AI14" i="25"/>
  <c r="AJ14" i="25" s="1"/>
  <c r="AK14" i="25"/>
  <c r="AL14" i="25" s="1"/>
  <c r="AM14" i="25"/>
  <c r="AN14" i="25" s="1"/>
  <c r="AO14" i="25"/>
  <c r="AP14" i="25" s="1"/>
  <c r="AG15" i="25"/>
  <c r="AH15" i="25" s="1"/>
  <c r="AI15" i="25"/>
  <c r="AJ15" i="25" s="1"/>
  <c r="AK15" i="25"/>
  <c r="AL15" i="25" s="1"/>
  <c r="AM15" i="25"/>
  <c r="AN15" i="25" s="1"/>
  <c r="AO15" i="25"/>
  <c r="AP15" i="25" s="1"/>
  <c r="AG18" i="25"/>
  <c r="AH18" i="25" s="1"/>
  <c r="AI18" i="25"/>
  <c r="AJ18" i="25" s="1"/>
  <c r="AK18" i="25"/>
  <c r="AL18" i="25" s="1"/>
  <c r="AM18" i="25"/>
  <c r="AN18" i="25" s="1"/>
  <c r="AO18" i="25"/>
  <c r="AP18" i="25" s="1"/>
  <c r="AG19" i="25"/>
  <c r="AH19" i="25" s="1"/>
  <c r="AI19" i="25"/>
  <c r="AJ19" i="25" s="1"/>
  <c r="AK19" i="25"/>
  <c r="AL19" i="25" s="1"/>
  <c r="AM19" i="25"/>
  <c r="AN19" i="25" s="1"/>
  <c r="AO19" i="25"/>
  <c r="AP19" i="25" s="1"/>
  <c r="AG20" i="25"/>
  <c r="AH20" i="25" s="1"/>
  <c r="AI20" i="25"/>
  <c r="AJ20" i="25" s="1"/>
  <c r="AK20" i="25"/>
  <c r="AL20" i="25" s="1"/>
  <c r="AM20" i="25"/>
  <c r="AN20" i="25" s="1"/>
  <c r="AO20" i="25"/>
  <c r="AP20" i="25" s="1"/>
  <c r="AG24" i="25"/>
  <c r="AH24" i="25" s="1"/>
  <c r="AI24" i="25"/>
  <c r="AJ24" i="25" s="1"/>
  <c r="AK24" i="25"/>
  <c r="AL24" i="25" s="1"/>
  <c r="AM24" i="25"/>
  <c r="AN24" i="25" s="1"/>
  <c r="AO24" i="25"/>
  <c r="AP24" i="25" s="1"/>
  <c r="AG25" i="25"/>
  <c r="AH25" i="25" s="1"/>
  <c r="AI25" i="25"/>
  <c r="AJ25" i="25" s="1"/>
  <c r="AK25" i="25"/>
  <c r="AL25" i="25" s="1"/>
  <c r="AM25" i="25"/>
  <c r="AN25" i="25" s="1"/>
  <c r="AO25" i="25"/>
  <c r="AP25" i="25" s="1"/>
  <c r="AG26" i="25"/>
  <c r="AH26" i="25" s="1"/>
  <c r="AI26" i="25"/>
  <c r="AJ26" i="25" s="1"/>
  <c r="AK26" i="25"/>
  <c r="AL26" i="25" s="1"/>
  <c r="AM26" i="25"/>
  <c r="AN26" i="25" s="1"/>
  <c r="AO26" i="25"/>
  <c r="AP26" i="25" s="1"/>
  <c r="AG27" i="25"/>
  <c r="AH27" i="25" s="1"/>
  <c r="AI27" i="25"/>
  <c r="AJ27" i="25" s="1"/>
  <c r="AK27" i="25"/>
  <c r="AL27" i="25" s="1"/>
  <c r="AM27" i="25"/>
  <c r="AN27" i="25" s="1"/>
  <c r="AO27" i="25"/>
  <c r="AP27" i="25" s="1"/>
  <c r="AG31" i="25"/>
  <c r="AH31" i="25" s="1"/>
  <c r="AI31" i="25"/>
  <c r="AJ31" i="25" s="1"/>
  <c r="AK31" i="25"/>
  <c r="AL31" i="25" s="1"/>
  <c r="AM31" i="25"/>
  <c r="AN31" i="25" s="1"/>
  <c r="AO31" i="25"/>
  <c r="AP31" i="25" s="1"/>
  <c r="AG32" i="25"/>
  <c r="AH32" i="25" s="1"/>
  <c r="AI32" i="25"/>
  <c r="AJ32" i="25" s="1"/>
  <c r="AK32" i="25"/>
  <c r="AL32" i="25" s="1"/>
  <c r="AM32" i="25"/>
  <c r="AN32" i="25" s="1"/>
  <c r="AO32" i="25"/>
  <c r="AP32" i="25" s="1"/>
  <c r="AG33" i="25"/>
  <c r="AH33" i="25" s="1"/>
  <c r="AI33" i="25"/>
  <c r="AJ33" i="25" s="1"/>
  <c r="AK33" i="25"/>
  <c r="AL33" i="25" s="1"/>
  <c r="AM33" i="25"/>
  <c r="AN33" i="25" s="1"/>
  <c r="AO33" i="25"/>
  <c r="AP33" i="25" s="1"/>
  <c r="AG34" i="25"/>
  <c r="AH34" i="25" s="1"/>
  <c r="AI34" i="25"/>
  <c r="AJ34" i="25" s="1"/>
  <c r="AK34" i="25"/>
  <c r="AL34" i="25" s="1"/>
  <c r="AM34" i="25"/>
  <c r="AN34" i="25" s="1"/>
  <c r="AO34" i="25"/>
  <c r="AP34" i="25" s="1"/>
  <c r="AG35" i="25"/>
  <c r="AH35" i="25" s="1"/>
  <c r="AI35" i="25"/>
  <c r="AJ35" i="25" s="1"/>
  <c r="AK35" i="25"/>
  <c r="AL35" i="25" s="1"/>
  <c r="AM35" i="25"/>
  <c r="AN35" i="25" s="1"/>
  <c r="AO35" i="25"/>
  <c r="AP35" i="25" s="1"/>
  <c r="AG39" i="25"/>
  <c r="AH39" i="25" s="1"/>
  <c r="AI39" i="25"/>
  <c r="AJ39" i="25" s="1"/>
  <c r="AK39" i="25"/>
  <c r="AL39" i="25" s="1"/>
  <c r="AM39" i="25"/>
  <c r="AN39" i="25" s="1"/>
  <c r="AO39" i="25"/>
  <c r="AP39" i="25" s="1"/>
  <c r="AG40" i="25"/>
  <c r="AH40" i="25" s="1"/>
  <c r="AI40" i="25"/>
  <c r="AJ40" i="25" s="1"/>
  <c r="AK40" i="25"/>
  <c r="AL40" i="25" s="1"/>
  <c r="AM40" i="25"/>
  <c r="AN40" i="25" s="1"/>
  <c r="AO40" i="25"/>
  <c r="AP40" i="25" s="1"/>
  <c r="AG41" i="25"/>
  <c r="AH41" i="25" s="1"/>
  <c r="AI41" i="25"/>
  <c r="AJ41" i="25" s="1"/>
  <c r="AK41" i="25"/>
  <c r="AL41" i="25" s="1"/>
  <c r="AM41" i="25"/>
  <c r="AN41" i="25" s="1"/>
  <c r="AO41" i="25"/>
  <c r="AP41" i="25" s="1"/>
  <c r="AG42" i="25"/>
  <c r="AH42" i="25" s="1"/>
  <c r="AI42" i="25"/>
  <c r="AJ42" i="25" s="1"/>
  <c r="AK42" i="25"/>
  <c r="AL42" i="25" s="1"/>
  <c r="AM42" i="25"/>
  <c r="AN42" i="25" s="1"/>
  <c r="AO42" i="25"/>
  <c r="AP42" i="25" s="1"/>
  <c r="AG46" i="25"/>
  <c r="AH46" i="25" s="1"/>
  <c r="AI46" i="25"/>
  <c r="AJ46" i="25" s="1"/>
  <c r="AK46" i="25"/>
  <c r="AL46" i="25" s="1"/>
  <c r="AM46" i="25"/>
  <c r="AN46" i="25" s="1"/>
  <c r="AO46" i="25"/>
  <c r="AP46" i="25" s="1"/>
  <c r="AG47" i="25"/>
  <c r="AH47" i="25" s="1"/>
  <c r="AI47" i="25"/>
  <c r="AJ47" i="25" s="1"/>
  <c r="AK47" i="25"/>
  <c r="AL47" i="25" s="1"/>
  <c r="AM47" i="25"/>
  <c r="AN47" i="25" s="1"/>
  <c r="AO47" i="25"/>
  <c r="AP47" i="25" s="1"/>
  <c r="AG51" i="25"/>
  <c r="AH51" i="25" s="1"/>
  <c r="AI51" i="25"/>
  <c r="AJ51" i="25" s="1"/>
  <c r="AK51" i="25"/>
  <c r="AL51" i="25" s="1"/>
  <c r="AM51" i="25"/>
  <c r="AN51" i="25" s="1"/>
  <c r="AO51" i="25"/>
  <c r="AP51" i="25" s="1"/>
  <c r="AG52" i="25"/>
  <c r="AH52" i="25" s="1"/>
  <c r="AI52" i="25"/>
  <c r="AJ52" i="25" s="1"/>
  <c r="AK52" i="25"/>
  <c r="AL52" i="25" s="1"/>
  <c r="AM52" i="25"/>
  <c r="AN52" i="25" s="1"/>
  <c r="AO52" i="25"/>
  <c r="AP52" i="25" s="1"/>
  <c r="AG70" i="25"/>
  <c r="AH70" i="25" s="1"/>
  <c r="AI70" i="25"/>
  <c r="AJ70" i="25" s="1"/>
  <c r="AK70" i="25"/>
  <c r="AL70" i="25" s="1"/>
  <c r="AM70" i="25"/>
  <c r="AN70" i="25" s="1"/>
  <c r="AO70" i="25"/>
  <c r="AP70" i="25" s="1"/>
  <c r="AG71" i="25"/>
  <c r="AH71" i="25" s="1"/>
  <c r="AI71" i="25"/>
  <c r="AJ71" i="25" s="1"/>
  <c r="AK71" i="25"/>
  <c r="AL71" i="25" s="1"/>
  <c r="AM71" i="25"/>
  <c r="AN71" i="25" s="1"/>
  <c r="AO71" i="25"/>
  <c r="AP71" i="25" s="1"/>
  <c r="AG72" i="25"/>
  <c r="AH72" i="25" s="1"/>
  <c r="AI72" i="25"/>
  <c r="AJ72" i="25" s="1"/>
  <c r="AK72" i="25"/>
  <c r="AL72" i="25" s="1"/>
  <c r="AM72" i="25"/>
  <c r="AN72" i="25" s="1"/>
  <c r="AO72" i="25"/>
  <c r="AP72" i="25" s="1"/>
  <c r="AG78" i="25"/>
  <c r="AH78" i="25" s="1"/>
  <c r="AI78" i="25"/>
  <c r="AJ78" i="25" s="1"/>
  <c r="AK78" i="25"/>
  <c r="AL78" i="25" s="1"/>
  <c r="AM78" i="25"/>
  <c r="AN78" i="25" s="1"/>
  <c r="AO78" i="25"/>
  <c r="AP78" i="25" s="1"/>
  <c r="AG83" i="25"/>
  <c r="AH83" i="25" s="1"/>
  <c r="AI83" i="25"/>
  <c r="AJ83" i="25" s="1"/>
  <c r="AK83" i="25"/>
  <c r="AL83" i="25" s="1"/>
  <c r="AM83" i="25"/>
  <c r="AN83" i="25" s="1"/>
  <c r="AO83" i="25"/>
  <c r="AP83" i="25" s="1"/>
  <c r="AG84" i="25"/>
  <c r="AH84" i="25" s="1"/>
  <c r="AI84" i="25"/>
  <c r="AJ84" i="25" s="1"/>
  <c r="AK84" i="25"/>
  <c r="AL84" i="25" s="1"/>
  <c r="AM84" i="25"/>
  <c r="AN84" i="25" s="1"/>
  <c r="AO84" i="25"/>
  <c r="AP84" i="25" s="1"/>
  <c r="AG85" i="25"/>
  <c r="AH85" i="25" s="1"/>
  <c r="AI85" i="25"/>
  <c r="AJ85" i="25" s="1"/>
  <c r="AK85" i="25"/>
  <c r="AL85" i="25" s="1"/>
  <c r="AM85" i="25"/>
  <c r="AN85" i="25" s="1"/>
  <c r="AO85" i="25"/>
  <c r="AP85" i="25" s="1"/>
  <c r="AG86" i="25"/>
  <c r="AH86" i="25" s="1"/>
  <c r="AI86" i="25"/>
  <c r="AJ86" i="25" s="1"/>
  <c r="AK86" i="25"/>
  <c r="AL86" i="25" s="1"/>
  <c r="AM86" i="25"/>
  <c r="AN86" i="25" s="1"/>
  <c r="AO86" i="25"/>
  <c r="AP86" i="25" s="1"/>
  <c r="AG91" i="25"/>
  <c r="AH91" i="25" s="1"/>
  <c r="AI91" i="25"/>
  <c r="AJ91" i="25" s="1"/>
  <c r="AK91" i="25"/>
  <c r="AL91" i="25" s="1"/>
  <c r="AM91" i="25"/>
  <c r="AN91" i="25" s="1"/>
  <c r="AO91" i="25"/>
  <c r="AP91" i="25" s="1"/>
  <c r="AG93" i="25"/>
  <c r="AH93" i="25" s="1"/>
  <c r="AI93" i="25"/>
  <c r="AJ93" i="25" s="1"/>
  <c r="AK93" i="25"/>
  <c r="AL93" i="25" s="1"/>
  <c r="AM93" i="25"/>
  <c r="AN93" i="25" s="1"/>
  <c r="AO93" i="25"/>
  <c r="AP93" i="25" s="1"/>
  <c r="AG94" i="25"/>
  <c r="AH94" i="25" s="1"/>
  <c r="AI94" i="25"/>
  <c r="AJ94" i="25" s="1"/>
  <c r="AK94" i="25"/>
  <c r="AL94" i="25" s="1"/>
  <c r="AM94" i="25"/>
  <c r="AN94" i="25" s="1"/>
  <c r="AO94" i="25"/>
  <c r="AP94" i="25" s="1"/>
  <c r="AG95" i="25"/>
  <c r="AH95" i="25" s="1"/>
  <c r="AI95" i="25"/>
  <c r="AJ95" i="25" s="1"/>
  <c r="AK95" i="25"/>
  <c r="AL95" i="25" s="1"/>
  <c r="AM95" i="25"/>
  <c r="AN95" i="25" s="1"/>
  <c r="AO95" i="25"/>
  <c r="AP95" i="25" s="1"/>
  <c r="AG96" i="25"/>
  <c r="AH96" i="25" s="1"/>
  <c r="AI96" i="25"/>
  <c r="AJ96" i="25" s="1"/>
  <c r="AK96" i="25"/>
  <c r="AL96" i="25" s="1"/>
  <c r="AM96" i="25"/>
  <c r="AN96" i="25" s="1"/>
  <c r="AO96" i="25"/>
  <c r="AP96" i="25" s="1"/>
  <c r="AG97" i="25"/>
  <c r="AH97" i="25" s="1"/>
  <c r="AI97" i="25"/>
  <c r="AJ97" i="25" s="1"/>
  <c r="AK97" i="25"/>
  <c r="AL97" i="25" s="1"/>
  <c r="AM97" i="25"/>
  <c r="AN97" i="25" s="1"/>
  <c r="AO97" i="25"/>
  <c r="AP97" i="25" s="1"/>
  <c r="AG102" i="25"/>
  <c r="AH102" i="25" s="1"/>
  <c r="AI102" i="25"/>
  <c r="AJ102" i="25" s="1"/>
  <c r="AK102" i="25"/>
  <c r="AL102" i="25" s="1"/>
  <c r="AM102" i="25"/>
  <c r="AN102" i="25" s="1"/>
  <c r="AO102" i="25"/>
  <c r="AP102" i="25" s="1"/>
  <c r="AG103" i="25"/>
  <c r="AH103" i="25" s="1"/>
  <c r="AI103" i="25"/>
  <c r="AJ103" i="25" s="1"/>
  <c r="AK103" i="25"/>
  <c r="AL103" i="25" s="1"/>
  <c r="AM103" i="25"/>
  <c r="AN103" i="25" s="1"/>
  <c r="AO103" i="25"/>
  <c r="AP103" i="25" s="1"/>
  <c r="AG108" i="25"/>
  <c r="AH108" i="25" s="1"/>
  <c r="AI108" i="25"/>
  <c r="AJ108" i="25" s="1"/>
  <c r="AK108" i="25"/>
  <c r="AL108" i="25" s="1"/>
  <c r="AM108" i="25"/>
  <c r="AN108" i="25" s="1"/>
  <c r="AO108" i="25"/>
  <c r="AP108" i="25" s="1"/>
  <c r="AG109" i="25"/>
  <c r="AH109" i="25" s="1"/>
  <c r="AI109" i="25"/>
  <c r="AJ109" i="25" s="1"/>
  <c r="AK109" i="25"/>
  <c r="AL109" i="25" s="1"/>
  <c r="AM109" i="25"/>
  <c r="AN109" i="25" s="1"/>
  <c r="AO109" i="25"/>
  <c r="AP109" i="25" s="1"/>
  <c r="AG115" i="25"/>
  <c r="AH115" i="25" s="1"/>
  <c r="AI115" i="25"/>
  <c r="AJ115" i="25" s="1"/>
  <c r="AK115" i="25"/>
  <c r="AL115" i="25" s="1"/>
  <c r="AM115" i="25"/>
  <c r="AN115" i="25" s="1"/>
  <c r="AO115" i="25"/>
  <c r="AP115" i="25" s="1"/>
  <c r="AG122" i="25"/>
  <c r="AH122" i="25" s="1"/>
  <c r="AI122" i="25"/>
  <c r="AJ122" i="25" s="1"/>
  <c r="AK122" i="25"/>
  <c r="AL122" i="25" s="1"/>
  <c r="AM122" i="25"/>
  <c r="AN122" i="25" s="1"/>
  <c r="AO122" i="25"/>
  <c r="AP122" i="25" s="1"/>
  <c r="AG124" i="25"/>
  <c r="AH124" i="25" s="1"/>
  <c r="AI124" i="25"/>
  <c r="AJ124" i="25" s="1"/>
  <c r="AK124" i="25"/>
  <c r="AL124" i="25" s="1"/>
  <c r="AM124" i="25"/>
  <c r="AN124" i="25" s="1"/>
  <c r="AO124" i="25"/>
  <c r="AP124" i="25" s="1"/>
  <c r="AG125" i="25"/>
  <c r="AH125" i="25" s="1"/>
  <c r="AI125" i="25"/>
  <c r="AJ125" i="25" s="1"/>
  <c r="AK125" i="25"/>
  <c r="AL125" i="25" s="1"/>
  <c r="AM125" i="25"/>
  <c r="AN125" i="25" s="1"/>
  <c r="AO125" i="25"/>
  <c r="AP125" i="25" s="1"/>
  <c r="AG132" i="25"/>
  <c r="AH132" i="25" s="1"/>
  <c r="AI132" i="25"/>
  <c r="AJ132" i="25" s="1"/>
  <c r="AK132" i="25"/>
  <c r="AL132" i="25" s="1"/>
  <c r="AM132" i="25"/>
  <c r="AN132" i="25" s="1"/>
  <c r="AO132" i="25"/>
  <c r="AP132" i="25" s="1"/>
  <c r="AG139" i="25"/>
  <c r="AH139" i="25" s="1"/>
  <c r="AI139" i="25"/>
  <c r="AJ139" i="25" s="1"/>
  <c r="AK139" i="25"/>
  <c r="AL139" i="25" s="1"/>
  <c r="AM139" i="25"/>
  <c r="AN139" i="25" s="1"/>
  <c r="AO139" i="25"/>
  <c r="AP139" i="25" s="1"/>
  <c r="AG144" i="25"/>
  <c r="AH144" i="25" s="1"/>
  <c r="AI144" i="25"/>
  <c r="AJ144" i="25" s="1"/>
  <c r="AK144" i="25"/>
  <c r="AL144" i="25" s="1"/>
  <c r="AM144" i="25"/>
  <c r="AN144" i="25" s="1"/>
  <c r="AO144" i="25"/>
  <c r="AP144" i="25" s="1"/>
  <c r="AG145" i="25"/>
  <c r="AH145" i="25" s="1"/>
  <c r="AI145" i="25"/>
  <c r="AJ145" i="25" s="1"/>
  <c r="AK145" i="25"/>
  <c r="AL145" i="25" s="1"/>
  <c r="AM145" i="25"/>
  <c r="AN145" i="25" s="1"/>
  <c r="AO145" i="25"/>
  <c r="AP145" i="25" s="1"/>
  <c r="AG148" i="25"/>
  <c r="AH148" i="25" s="1"/>
  <c r="AI148" i="25"/>
  <c r="AJ148" i="25" s="1"/>
  <c r="AK148" i="25"/>
  <c r="AL148" i="25" s="1"/>
  <c r="AM148" i="25"/>
  <c r="AN148" i="25" s="1"/>
  <c r="AO148" i="25"/>
  <c r="AP148" i="25" s="1"/>
  <c r="AG150" i="25"/>
  <c r="AH150" i="25" s="1"/>
  <c r="AI150" i="25"/>
  <c r="AJ150" i="25" s="1"/>
  <c r="AK150" i="25"/>
  <c r="AL150" i="25" s="1"/>
  <c r="AM150" i="25"/>
  <c r="AN150" i="25" s="1"/>
  <c r="AO150" i="25"/>
  <c r="AP150" i="25" s="1"/>
  <c r="AG151" i="25"/>
  <c r="AH151" i="25" s="1"/>
  <c r="AI151" i="25"/>
  <c r="AJ151" i="25" s="1"/>
  <c r="AK151" i="25"/>
  <c r="AL151" i="25" s="1"/>
  <c r="AM151" i="25"/>
  <c r="AN151" i="25" s="1"/>
  <c r="AO151" i="25"/>
  <c r="AP151" i="25" s="1"/>
  <c r="AG152" i="25"/>
  <c r="AH152" i="25" s="1"/>
  <c r="AI152" i="25"/>
  <c r="AJ152" i="25" s="1"/>
  <c r="AK152" i="25"/>
  <c r="AL152" i="25" s="1"/>
  <c r="AM152" i="25"/>
  <c r="AN152" i="25" s="1"/>
  <c r="AO152" i="25"/>
  <c r="AP152" i="25" s="1"/>
  <c r="AG158" i="25"/>
  <c r="AH158" i="25" s="1"/>
  <c r="AI158" i="25"/>
  <c r="AJ158" i="25" s="1"/>
  <c r="AK158" i="25"/>
  <c r="AL158" i="25" s="1"/>
  <c r="AM158" i="25"/>
  <c r="AN158" i="25" s="1"/>
  <c r="AO158" i="25"/>
  <c r="AP158" i="25" s="1"/>
  <c r="AG162" i="25"/>
  <c r="AH162" i="25" s="1"/>
  <c r="AI162" i="25"/>
  <c r="AJ162" i="25" s="1"/>
  <c r="AK162" i="25"/>
  <c r="AL162" i="25" s="1"/>
  <c r="AM162" i="25"/>
  <c r="AN162" i="25" s="1"/>
  <c r="AO162" i="25"/>
  <c r="AP162" i="25" s="1"/>
  <c r="AG164" i="25"/>
  <c r="AH164" i="25" s="1"/>
  <c r="AI164" i="25"/>
  <c r="AJ164" i="25" s="1"/>
  <c r="AK164" i="25"/>
  <c r="AL164" i="25" s="1"/>
  <c r="AM164" i="25"/>
  <c r="AN164" i="25" s="1"/>
  <c r="AO164" i="25"/>
  <c r="AP164" i="25" s="1"/>
  <c r="AG165" i="25"/>
  <c r="AH165" i="25" s="1"/>
  <c r="AI165" i="25"/>
  <c r="AJ165" i="25" s="1"/>
  <c r="AK165" i="25"/>
  <c r="AL165" i="25" s="1"/>
  <c r="AM165" i="25"/>
  <c r="AN165" i="25" s="1"/>
  <c r="AO165" i="25"/>
  <c r="AP165" i="25" s="1"/>
  <c r="AG168" i="25"/>
  <c r="AH168" i="25" s="1"/>
  <c r="AI168" i="25"/>
  <c r="AJ168" i="25" s="1"/>
  <c r="AK168" i="25"/>
  <c r="AL168" i="25" s="1"/>
  <c r="AM168" i="25"/>
  <c r="AN168" i="25" s="1"/>
  <c r="AO168" i="25"/>
  <c r="AP168" i="25" s="1"/>
  <c r="AG172" i="25"/>
  <c r="AH172" i="25" s="1"/>
  <c r="AI172" i="25"/>
  <c r="AJ172" i="25" s="1"/>
  <c r="AK172" i="25"/>
  <c r="AL172" i="25" s="1"/>
  <c r="AM172" i="25"/>
  <c r="AN172" i="25" s="1"/>
  <c r="AO172" i="25"/>
  <c r="AP172" i="25" s="1"/>
  <c r="AG173" i="25"/>
  <c r="AH173" i="25" s="1"/>
  <c r="AI173" i="25"/>
  <c r="AJ173" i="25" s="1"/>
  <c r="AK173" i="25"/>
  <c r="AL173" i="25" s="1"/>
  <c r="AM173" i="25"/>
  <c r="AN173" i="25" s="1"/>
  <c r="AO173" i="25"/>
  <c r="AP173" i="25" s="1"/>
  <c r="AG174" i="25"/>
  <c r="AH174" i="25" s="1"/>
  <c r="AI174" i="25"/>
  <c r="AJ174" i="25" s="1"/>
  <c r="AK174" i="25"/>
  <c r="AL174" i="25" s="1"/>
  <c r="AM174" i="25"/>
  <c r="AN174" i="25" s="1"/>
  <c r="AO174" i="25"/>
  <c r="AP174" i="25" s="1"/>
  <c r="AG181" i="25"/>
  <c r="AH181" i="25" s="1"/>
  <c r="AI181" i="25"/>
  <c r="AJ181" i="25" s="1"/>
  <c r="AK181" i="25"/>
  <c r="AL181" i="25" s="1"/>
  <c r="AM181" i="25"/>
  <c r="AN181" i="25" s="1"/>
  <c r="AO181" i="25"/>
  <c r="AP181" i="25" s="1"/>
  <c r="AG185" i="25"/>
  <c r="AH185" i="25" s="1"/>
  <c r="AI185" i="25"/>
  <c r="AJ185" i="25" s="1"/>
  <c r="AK185" i="25"/>
  <c r="AL185" i="25" s="1"/>
  <c r="AM185" i="25"/>
  <c r="AN185" i="25" s="1"/>
  <c r="AO185" i="25"/>
  <c r="AP185" i="25" s="1"/>
  <c r="AG189" i="25"/>
  <c r="AH189" i="25" s="1"/>
  <c r="AI189" i="25"/>
  <c r="AJ189" i="25" s="1"/>
  <c r="AK189" i="25"/>
  <c r="AL189" i="25" s="1"/>
  <c r="AM189" i="25"/>
  <c r="AN189" i="25" s="1"/>
  <c r="AO189" i="25"/>
  <c r="AP189" i="25" s="1"/>
  <c r="AG191" i="25"/>
  <c r="AH191" i="25" s="1"/>
  <c r="AI191" i="25"/>
  <c r="AJ191" i="25" s="1"/>
  <c r="AK191" i="25"/>
  <c r="AL191" i="25" s="1"/>
  <c r="AM191" i="25"/>
  <c r="AN191" i="25" s="1"/>
  <c r="AO191" i="25"/>
  <c r="AP191" i="25" s="1"/>
  <c r="AG192" i="25"/>
  <c r="AH192" i="25" s="1"/>
  <c r="AI192" i="25"/>
  <c r="AJ192" i="25" s="1"/>
  <c r="AK192" i="25"/>
  <c r="AL192" i="25" s="1"/>
  <c r="AM192" i="25"/>
  <c r="AN192" i="25" s="1"/>
  <c r="AO192" i="25"/>
  <c r="AP192" i="25" s="1"/>
  <c r="AO6" i="25"/>
  <c r="AM6" i="25"/>
  <c r="AK6" i="25"/>
  <c r="AI6" i="25"/>
  <c r="AG6" i="25"/>
  <c r="AC7" i="25"/>
  <c r="AC8" i="25"/>
  <c r="AC9" i="25"/>
  <c r="AC10" i="25"/>
  <c r="AC11" i="25"/>
  <c r="AC12" i="25"/>
  <c r="AC13" i="25"/>
  <c r="AC14" i="25"/>
  <c r="AC15" i="25"/>
  <c r="AC16" i="25"/>
  <c r="AC17" i="25"/>
  <c r="AC18" i="25"/>
  <c r="AC19" i="25"/>
  <c r="AC20" i="25"/>
  <c r="AC21" i="25"/>
  <c r="AC22" i="25"/>
  <c r="AC23" i="25"/>
  <c r="AC24" i="25"/>
  <c r="AC25" i="25"/>
  <c r="AC26" i="25"/>
  <c r="AC27" i="25"/>
  <c r="AC28" i="25"/>
  <c r="AC29" i="25"/>
  <c r="AC30" i="25"/>
  <c r="AC31" i="25"/>
  <c r="AC32" i="25"/>
  <c r="AC33" i="25"/>
  <c r="AC34" i="25"/>
  <c r="AC35" i="25"/>
  <c r="AC36" i="25"/>
  <c r="AC37" i="25"/>
  <c r="AC38" i="25"/>
  <c r="AC39" i="25"/>
  <c r="AC40" i="25"/>
  <c r="AC41" i="25"/>
  <c r="AC42" i="25"/>
  <c r="AC43" i="25"/>
  <c r="AC44" i="25"/>
  <c r="AC45" i="25"/>
  <c r="AC46" i="25"/>
  <c r="AC47" i="25"/>
  <c r="AC48" i="25"/>
  <c r="AC49" i="25"/>
  <c r="AC50" i="25"/>
  <c r="AC51" i="25"/>
  <c r="AC52" i="25"/>
  <c r="AC53" i="25"/>
  <c r="AC54" i="25"/>
  <c r="AC55" i="25"/>
  <c r="AC56" i="25"/>
  <c r="AC57" i="25"/>
  <c r="AC58" i="25"/>
  <c r="AC59" i="25"/>
  <c r="AC60" i="25"/>
  <c r="AC61" i="25"/>
  <c r="AC62" i="25"/>
  <c r="AC63" i="25"/>
  <c r="AC64" i="25"/>
  <c r="AC65" i="25"/>
  <c r="AC66" i="25"/>
  <c r="AC67" i="25"/>
  <c r="AC68" i="25"/>
  <c r="AC69" i="25"/>
  <c r="AC70" i="25"/>
  <c r="AC71" i="25"/>
  <c r="AC72" i="25"/>
  <c r="AC73" i="25"/>
  <c r="AC74" i="25"/>
  <c r="AC75" i="25"/>
  <c r="AC76" i="25"/>
  <c r="AC77" i="25"/>
  <c r="AC78" i="25"/>
  <c r="AC79" i="25"/>
  <c r="AC80" i="25"/>
  <c r="AC81" i="25"/>
  <c r="AC82" i="25"/>
  <c r="AC83" i="25"/>
  <c r="AC84" i="25"/>
  <c r="AC85" i="25"/>
  <c r="AC86" i="25"/>
  <c r="AC87" i="25"/>
  <c r="AC88" i="25"/>
  <c r="AC89" i="25"/>
  <c r="AC90" i="25"/>
  <c r="AC91" i="25"/>
  <c r="AC92" i="25"/>
  <c r="AC93" i="25"/>
  <c r="AC94" i="25"/>
  <c r="AC95" i="25"/>
  <c r="AC96" i="25"/>
  <c r="AC97" i="25"/>
  <c r="AC98" i="25"/>
  <c r="AC99" i="25"/>
  <c r="AC100" i="25"/>
  <c r="AC101" i="25"/>
  <c r="AC102" i="25"/>
  <c r="AC103" i="25"/>
  <c r="AC104" i="25"/>
  <c r="AC105" i="25"/>
  <c r="AC106" i="25"/>
  <c r="AC107" i="25"/>
  <c r="AC108" i="25"/>
  <c r="AC109" i="25"/>
  <c r="AC110" i="25"/>
  <c r="AC111" i="25"/>
  <c r="AC112" i="25"/>
  <c r="AC113" i="25"/>
  <c r="AC114" i="25"/>
  <c r="AC115" i="25"/>
  <c r="AC116" i="25"/>
  <c r="AC117" i="25"/>
  <c r="AC118" i="25"/>
  <c r="AC119" i="25"/>
  <c r="AC120" i="25"/>
  <c r="AC121" i="25"/>
  <c r="AC122" i="25"/>
  <c r="AC123" i="25"/>
  <c r="AC124" i="25"/>
  <c r="AC125" i="25"/>
  <c r="AC126" i="25"/>
  <c r="AC127" i="25"/>
  <c r="AC128" i="25"/>
  <c r="AC129" i="25"/>
  <c r="AC130" i="25"/>
  <c r="AC131" i="25"/>
  <c r="AC132" i="25"/>
  <c r="AC133" i="25"/>
  <c r="AC134" i="25"/>
  <c r="AC135" i="25"/>
  <c r="AC136" i="25"/>
  <c r="AC137" i="25"/>
  <c r="AC138" i="25"/>
  <c r="AC139" i="25"/>
  <c r="AC140" i="25"/>
  <c r="AC141" i="25"/>
  <c r="AC142" i="25"/>
  <c r="AC143" i="25"/>
  <c r="AC144" i="25"/>
  <c r="AC145" i="25"/>
  <c r="AC146" i="25"/>
  <c r="AC147" i="25"/>
  <c r="AC148" i="25"/>
  <c r="AC149" i="25"/>
  <c r="AC150" i="25"/>
  <c r="AC151" i="25"/>
  <c r="AC152" i="25"/>
  <c r="AC153" i="25"/>
  <c r="AC154" i="25"/>
  <c r="AC155" i="25"/>
  <c r="AC156" i="25"/>
  <c r="AC157" i="25"/>
  <c r="AC158" i="25"/>
  <c r="AC159" i="25"/>
  <c r="AC160" i="25"/>
  <c r="AC161" i="25"/>
  <c r="AC162" i="25"/>
  <c r="AC163" i="25"/>
  <c r="AC164" i="25"/>
  <c r="AC165" i="25"/>
  <c r="AC166" i="25"/>
  <c r="AC167" i="25"/>
  <c r="AC168" i="25"/>
  <c r="AC169" i="25"/>
  <c r="AC170" i="25"/>
  <c r="AC171" i="25"/>
  <c r="AC172" i="25"/>
  <c r="AC173" i="25"/>
  <c r="AC174" i="25"/>
  <c r="AC175" i="25"/>
  <c r="AC176" i="25"/>
  <c r="AC177" i="25"/>
  <c r="AC178" i="25"/>
  <c r="AC179" i="25"/>
  <c r="AC180" i="25"/>
  <c r="AC181" i="25"/>
  <c r="AC182" i="25"/>
  <c r="AC183" i="25"/>
  <c r="AC184" i="25"/>
  <c r="AC185" i="25"/>
  <c r="AC186" i="25"/>
  <c r="AC187" i="25"/>
  <c r="AC188" i="25"/>
  <c r="AC189" i="25"/>
  <c r="AC190" i="25"/>
  <c r="AC191" i="25"/>
  <c r="AC192" i="25"/>
  <c r="AC193" i="25"/>
  <c r="AC194" i="25"/>
  <c r="AC195" i="25"/>
  <c r="AC196" i="25"/>
  <c r="AV29" i="25" l="1"/>
  <c r="AO177" i="25"/>
  <c r="AP177" i="25" s="1"/>
  <c r="AM177" i="25"/>
  <c r="AN177" i="25" s="1"/>
  <c r="AI176" i="25"/>
  <c r="AJ176" i="25" s="1"/>
  <c r="AO175" i="25"/>
  <c r="AP175" i="25" s="1"/>
  <c r="AM175" i="25"/>
  <c r="AN175" i="25" s="1"/>
  <c r="AI170" i="25"/>
  <c r="AJ170" i="25" s="1"/>
  <c r="AO169" i="25"/>
  <c r="AP169" i="25" s="1"/>
  <c r="AM169" i="25"/>
  <c r="AN169" i="25" s="1"/>
  <c r="AI166" i="25"/>
  <c r="AJ166" i="25" s="1"/>
  <c r="AO156" i="25"/>
  <c r="AP156" i="25" s="1"/>
  <c r="AM156" i="25"/>
  <c r="AN156" i="25" s="1"/>
  <c r="AI155" i="25"/>
  <c r="AJ155" i="25" s="1"/>
  <c r="AO154" i="25"/>
  <c r="AP154" i="25" s="1"/>
  <c r="AM154" i="25"/>
  <c r="AN154" i="25" s="1"/>
  <c r="AI153" i="25"/>
  <c r="AJ153" i="25" s="1"/>
  <c r="AO149" i="25"/>
  <c r="AP149" i="25" s="1"/>
  <c r="AM149" i="25"/>
  <c r="AN149" i="25" s="1"/>
  <c r="AI147" i="25"/>
  <c r="AJ147" i="25" s="1"/>
  <c r="AO146" i="25"/>
  <c r="AP146" i="25" s="1"/>
  <c r="AM146" i="25"/>
  <c r="AN146" i="25" s="1"/>
  <c r="AI143" i="25"/>
  <c r="AJ143" i="25" s="1"/>
  <c r="AO142" i="25"/>
  <c r="AP142" i="25" s="1"/>
  <c r="AM142" i="25"/>
  <c r="AN142" i="25" s="1"/>
  <c r="AI141" i="25"/>
  <c r="AJ141" i="25" s="1"/>
  <c r="AO140" i="25"/>
  <c r="AP140" i="25" s="1"/>
  <c r="AM140" i="25"/>
  <c r="AN140" i="25" s="1"/>
  <c r="AI138" i="25"/>
  <c r="AJ138" i="25" s="1"/>
  <c r="AO137" i="25"/>
  <c r="AP137" i="25" s="1"/>
  <c r="AM137" i="25"/>
  <c r="AN137" i="25" s="1"/>
  <c r="AI136" i="25"/>
  <c r="AJ136" i="25" s="1"/>
  <c r="AO135" i="25"/>
  <c r="AP135" i="25" s="1"/>
  <c r="AM135" i="25"/>
  <c r="AN135" i="25" s="1"/>
  <c r="AI134" i="25"/>
  <c r="AJ134" i="25" s="1"/>
  <c r="AO133" i="25"/>
  <c r="AP133" i="25" s="1"/>
  <c r="AM133" i="25"/>
  <c r="AN133" i="25" s="1"/>
  <c r="AI131" i="25"/>
  <c r="AJ131" i="25" s="1"/>
  <c r="AO130" i="25"/>
  <c r="AP130" i="25" s="1"/>
  <c r="AM130" i="25"/>
  <c r="AN130" i="25" s="1"/>
  <c r="AI129" i="25"/>
  <c r="AJ129" i="25" s="1"/>
  <c r="AO128" i="25"/>
  <c r="AP128" i="25" s="1"/>
  <c r="AM128" i="25"/>
  <c r="AN128" i="25" s="1"/>
  <c r="AI127" i="25"/>
  <c r="AJ127" i="25" s="1"/>
  <c r="AM126" i="25"/>
  <c r="AN126" i="25" s="1"/>
  <c r="BR9" i="25"/>
  <c r="AK127" i="25" l="1"/>
  <c r="AL127" i="25" s="1"/>
  <c r="AK129" i="25"/>
  <c r="AL129" i="25" s="1"/>
  <c r="AG133" i="25"/>
  <c r="AH133" i="25" s="1"/>
  <c r="AK134" i="25"/>
  <c r="AL134" i="25" s="1"/>
  <c r="AK136" i="25"/>
  <c r="AL136" i="25" s="1"/>
  <c r="AK138" i="25"/>
  <c r="AL138" i="25" s="1"/>
  <c r="AK141" i="25"/>
  <c r="AL141" i="25" s="1"/>
  <c r="AG142" i="25"/>
  <c r="AH142" i="25" s="1"/>
  <c r="AK143" i="25"/>
  <c r="AL143" i="25" s="1"/>
  <c r="AK147" i="25"/>
  <c r="AL147" i="25" s="1"/>
  <c r="AG154" i="25"/>
  <c r="AH154" i="25" s="1"/>
  <c r="AG156" i="25"/>
  <c r="AH156" i="25" s="1"/>
  <c r="AK166" i="25"/>
  <c r="AL166" i="25" s="1"/>
  <c r="AK170" i="25"/>
  <c r="AL170" i="25" s="1"/>
  <c r="AG177" i="25"/>
  <c r="AH177" i="25" s="1"/>
  <c r="AI126" i="25"/>
  <c r="AJ126" i="25" s="1"/>
  <c r="AM127" i="25"/>
  <c r="AN127" i="25" s="1"/>
  <c r="AM129" i="25"/>
  <c r="AN129" i="25" s="1"/>
  <c r="AI130" i="25"/>
  <c r="AJ130" i="25" s="1"/>
  <c r="AM131" i="25"/>
  <c r="AN131" i="25" s="1"/>
  <c r="AI133" i="25"/>
  <c r="AJ133" i="25" s="1"/>
  <c r="AM134" i="25"/>
  <c r="AN134" i="25" s="1"/>
  <c r="AI135" i="25"/>
  <c r="AJ135" i="25" s="1"/>
  <c r="AM136" i="25"/>
  <c r="AN136" i="25" s="1"/>
  <c r="AI137" i="25"/>
  <c r="AJ137" i="25" s="1"/>
  <c r="AM138" i="25"/>
  <c r="AN138" i="25" s="1"/>
  <c r="AI140" i="25"/>
  <c r="AJ140" i="25" s="1"/>
  <c r="AM141" i="25"/>
  <c r="AN141" i="25" s="1"/>
  <c r="AI142" i="25"/>
  <c r="AJ142" i="25" s="1"/>
  <c r="AM143" i="25"/>
  <c r="AN143" i="25" s="1"/>
  <c r="AI146" i="25"/>
  <c r="AJ146" i="25" s="1"/>
  <c r="AM147" i="25"/>
  <c r="AN147" i="25" s="1"/>
  <c r="AI149" i="25"/>
  <c r="AJ149" i="25" s="1"/>
  <c r="AM153" i="25"/>
  <c r="AN153" i="25" s="1"/>
  <c r="AI154" i="25"/>
  <c r="AJ154" i="25" s="1"/>
  <c r="AM155" i="25"/>
  <c r="AN155" i="25" s="1"/>
  <c r="AI156" i="25"/>
  <c r="AJ156" i="25" s="1"/>
  <c r="AM166" i="25"/>
  <c r="AN166" i="25" s="1"/>
  <c r="AI169" i="25"/>
  <c r="AJ169" i="25" s="1"/>
  <c r="AM170" i="25"/>
  <c r="AN170" i="25" s="1"/>
  <c r="AI175" i="25"/>
  <c r="AJ175" i="25" s="1"/>
  <c r="AM176" i="25"/>
  <c r="AN176" i="25" s="1"/>
  <c r="AI177" i="25"/>
  <c r="AJ177" i="25" s="1"/>
  <c r="AK126" i="25"/>
  <c r="AL126" i="25" s="1"/>
  <c r="AG128" i="25"/>
  <c r="AH128" i="25" s="1"/>
  <c r="AG130" i="25"/>
  <c r="AH130" i="25" s="1"/>
  <c r="AK131" i="25"/>
  <c r="AL131" i="25" s="1"/>
  <c r="AG135" i="25"/>
  <c r="AH135" i="25" s="1"/>
  <c r="AG137" i="25"/>
  <c r="AH137" i="25" s="1"/>
  <c r="AG140" i="25"/>
  <c r="AH140" i="25" s="1"/>
  <c r="AG146" i="25"/>
  <c r="AH146" i="25" s="1"/>
  <c r="AG149" i="25"/>
  <c r="AH149" i="25" s="1"/>
  <c r="AK153" i="25"/>
  <c r="AL153" i="25" s="1"/>
  <c r="AK155" i="25"/>
  <c r="AL155" i="25" s="1"/>
  <c r="AG169" i="25"/>
  <c r="AH169" i="25" s="1"/>
  <c r="AG175" i="25"/>
  <c r="AH175" i="25" s="1"/>
  <c r="AK176" i="25"/>
  <c r="AL176" i="25" s="1"/>
  <c r="AI128" i="25"/>
  <c r="AJ128" i="25" s="1"/>
  <c r="AO126" i="25"/>
  <c r="AP126" i="25" s="1"/>
  <c r="AG127" i="25"/>
  <c r="AH127" i="25" s="1"/>
  <c r="AO127" i="25"/>
  <c r="AP127" i="25" s="1"/>
  <c r="AK128" i="25"/>
  <c r="AL128" i="25" s="1"/>
  <c r="AG129" i="25"/>
  <c r="AH129" i="25" s="1"/>
  <c r="AO129" i="25"/>
  <c r="AP129" i="25" s="1"/>
  <c r="AK130" i="25"/>
  <c r="AL130" i="25" s="1"/>
  <c r="AG131" i="25"/>
  <c r="AH131" i="25" s="1"/>
  <c r="AO131" i="25"/>
  <c r="AP131" i="25" s="1"/>
  <c r="AK133" i="25"/>
  <c r="AL133" i="25" s="1"/>
  <c r="AG134" i="25"/>
  <c r="AH134" i="25" s="1"/>
  <c r="AO134" i="25"/>
  <c r="AP134" i="25" s="1"/>
  <c r="AK135" i="25"/>
  <c r="AL135" i="25" s="1"/>
  <c r="AG136" i="25"/>
  <c r="AH136" i="25" s="1"/>
  <c r="AO136" i="25"/>
  <c r="AP136" i="25" s="1"/>
  <c r="AK137" i="25"/>
  <c r="AL137" i="25" s="1"/>
  <c r="AG138" i="25"/>
  <c r="AH138" i="25" s="1"/>
  <c r="AO138" i="25"/>
  <c r="AP138" i="25" s="1"/>
  <c r="AK140" i="25"/>
  <c r="AL140" i="25" s="1"/>
  <c r="AG141" i="25"/>
  <c r="AH141" i="25" s="1"/>
  <c r="AO141" i="25"/>
  <c r="AP141" i="25" s="1"/>
  <c r="AK142" i="25"/>
  <c r="AL142" i="25" s="1"/>
  <c r="AG143" i="25"/>
  <c r="AH143" i="25" s="1"/>
  <c r="AO143" i="25"/>
  <c r="AP143" i="25" s="1"/>
  <c r="AK146" i="25"/>
  <c r="AL146" i="25" s="1"/>
  <c r="AG147" i="25"/>
  <c r="AH147" i="25" s="1"/>
  <c r="AO147" i="25"/>
  <c r="AP147" i="25" s="1"/>
  <c r="AK149" i="25"/>
  <c r="AL149" i="25" s="1"/>
  <c r="AG153" i="25"/>
  <c r="AH153" i="25" s="1"/>
  <c r="AO153" i="25"/>
  <c r="AP153" i="25" s="1"/>
  <c r="AK154" i="25"/>
  <c r="AL154" i="25" s="1"/>
  <c r="AG155" i="25"/>
  <c r="AH155" i="25" s="1"/>
  <c r="AO155" i="25"/>
  <c r="AP155" i="25" s="1"/>
  <c r="AK156" i="25"/>
  <c r="AL156" i="25" s="1"/>
  <c r="AG166" i="25"/>
  <c r="AH166" i="25" s="1"/>
  <c r="AO166" i="25"/>
  <c r="AP166" i="25" s="1"/>
  <c r="AK169" i="25"/>
  <c r="AL169" i="25" s="1"/>
  <c r="AG170" i="25"/>
  <c r="AH170" i="25" s="1"/>
  <c r="AO170" i="25"/>
  <c r="AP170" i="25" s="1"/>
  <c r="AK175" i="25"/>
  <c r="AL175" i="25" s="1"/>
  <c r="AG176" i="25"/>
  <c r="AH176" i="25" s="1"/>
  <c r="AO176" i="25"/>
  <c r="AP176" i="25" s="1"/>
  <c r="AK177" i="25"/>
  <c r="AL177" i="25" s="1"/>
  <c r="AM36" i="25"/>
  <c r="AN36" i="25" s="1"/>
  <c r="AK28" i="25"/>
  <c r="AL28" i="25" s="1"/>
  <c r="AI21" i="25"/>
  <c r="AJ21" i="25" s="1"/>
  <c r="AM99" i="25"/>
  <c r="AN99" i="25" s="1"/>
  <c r="AI100" i="25"/>
  <c r="AJ100" i="25" s="1"/>
  <c r="AM101" i="25"/>
  <c r="AN101" i="25" s="1"/>
  <c r="AM106" i="25"/>
  <c r="AN106" i="25" s="1"/>
  <c r="AO104" i="25"/>
  <c r="AP104" i="25" s="1"/>
  <c r="AO107" i="25" l="1"/>
  <c r="AP107" i="25" s="1"/>
  <c r="AK106" i="25"/>
  <c r="AL106" i="25" s="1"/>
  <c r="AG105" i="25"/>
  <c r="AH105" i="25" s="1"/>
  <c r="AO100" i="25"/>
  <c r="AP100" i="25" s="1"/>
  <c r="AO21" i="25"/>
  <c r="AP21" i="25" s="1"/>
  <c r="AI28" i="25"/>
  <c r="AJ28" i="25" s="1"/>
  <c r="AI101" i="25"/>
  <c r="AJ101" i="25" s="1"/>
  <c r="AI99" i="25"/>
  <c r="AJ99" i="25" s="1"/>
  <c r="AM21" i="25"/>
  <c r="AN21" i="25" s="1"/>
  <c r="AO28" i="25"/>
  <c r="AP28" i="25" s="1"/>
  <c r="AI36" i="25"/>
  <c r="AJ36" i="25" s="1"/>
  <c r="AI107" i="25"/>
  <c r="AJ107" i="25" s="1"/>
  <c r="AI105" i="25"/>
  <c r="AJ105" i="25" s="1"/>
  <c r="AM104" i="25"/>
  <c r="AN104" i="25" s="1"/>
  <c r="AG107" i="25"/>
  <c r="AH107" i="25" s="1"/>
  <c r="AO105" i="25"/>
  <c r="AP105" i="25" s="1"/>
  <c r="AK101" i="25"/>
  <c r="AL101" i="25" s="1"/>
  <c r="AG100" i="25"/>
  <c r="AH100" i="25" s="1"/>
  <c r="AK99" i="25"/>
  <c r="AL99" i="25" s="1"/>
  <c r="AK36" i="25"/>
  <c r="AL36" i="25" s="1"/>
  <c r="AK104" i="25"/>
  <c r="AL104" i="25" s="1"/>
  <c r="AM107" i="25"/>
  <c r="AN107" i="25" s="1"/>
  <c r="AI106" i="25"/>
  <c r="AJ106" i="25" s="1"/>
  <c r="AM105" i="25"/>
  <c r="AN105" i="25" s="1"/>
  <c r="AM100" i="25"/>
  <c r="AN100" i="25" s="1"/>
  <c r="AI104" i="25"/>
  <c r="AJ104" i="25" s="1"/>
  <c r="AK107" i="25"/>
  <c r="AL107" i="25" s="1"/>
  <c r="AO106" i="25"/>
  <c r="AP106" i="25" s="1"/>
  <c r="AG106" i="25"/>
  <c r="AH106" i="25" s="1"/>
  <c r="AK105" i="25"/>
  <c r="AL105" i="25" s="1"/>
  <c r="AO101" i="25"/>
  <c r="AP101" i="25" s="1"/>
  <c r="AG101" i="25"/>
  <c r="AH101" i="25" s="1"/>
  <c r="AK100" i="25"/>
  <c r="AL100" i="25" s="1"/>
  <c r="AO99" i="25"/>
  <c r="AP99" i="25" s="1"/>
  <c r="AG99" i="25"/>
  <c r="AH99" i="25" s="1"/>
  <c r="AK21" i="25"/>
  <c r="AL21" i="25" s="1"/>
  <c r="AM28" i="25"/>
  <c r="AN28" i="25" s="1"/>
  <c r="AO36" i="25"/>
  <c r="AP36" i="25" s="1"/>
  <c r="BJ24" i="25"/>
  <c r="AO11" i="25" l="1"/>
  <c r="AP11" i="25" s="1"/>
  <c r="AM11" i="25"/>
  <c r="AN11" i="25" s="1"/>
  <c r="AI11" i="25"/>
  <c r="AJ11" i="25" s="1"/>
  <c r="AK11" i="25"/>
  <c r="AL11" i="25" s="1"/>
  <c r="AO194" i="25" l="1"/>
  <c r="AP194" i="25" s="1"/>
  <c r="AK196" i="25"/>
  <c r="AL196" i="25" s="1"/>
  <c r="AG196" i="25"/>
  <c r="AH196" i="25" s="1"/>
  <c r="AI190" i="25"/>
  <c r="AJ190" i="25" s="1"/>
  <c r="AM186" i="25"/>
  <c r="AN186" i="25" s="1"/>
  <c r="AK187" i="25"/>
  <c r="AL187" i="25" s="1"/>
  <c r="AI188" i="25"/>
  <c r="AJ188" i="25" s="1"/>
  <c r="AK182" i="25"/>
  <c r="AL182" i="25" s="1"/>
  <c r="AK183" i="25"/>
  <c r="AL183" i="25" s="1"/>
  <c r="AO183" i="25"/>
  <c r="AP183" i="25" s="1"/>
  <c r="AK184" i="25"/>
  <c r="AL184" i="25" s="1"/>
  <c r="AO184" i="25"/>
  <c r="AP184" i="25" s="1"/>
  <c r="AG183" i="25"/>
  <c r="AH183" i="25" s="1"/>
  <c r="AM178" i="25"/>
  <c r="AN178" i="25" s="1"/>
  <c r="AO178" i="25"/>
  <c r="AP178" i="25" s="1"/>
  <c r="AO179" i="25"/>
  <c r="AP179" i="25" s="1"/>
  <c r="AK180" i="25"/>
  <c r="AL180" i="25" s="1"/>
  <c r="AG180" i="25"/>
  <c r="AH180" i="25" s="1"/>
  <c r="AK171" i="25"/>
  <c r="AL171" i="25" s="1"/>
  <c r="AM171" i="25"/>
  <c r="AN171" i="25" s="1"/>
  <c r="AO171" i="25"/>
  <c r="AP171" i="25" s="1"/>
  <c r="AI167" i="25"/>
  <c r="AJ167" i="25" s="1"/>
  <c r="AG167" i="25"/>
  <c r="AH167" i="25" s="1"/>
  <c r="AO163" i="25"/>
  <c r="AP163" i="25" s="1"/>
  <c r="AK159" i="25"/>
  <c r="AL159" i="25" s="1"/>
  <c r="AO159" i="25"/>
  <c r="AP159" i="25" s="1"/>
  <c r="AK160" i="25"/>
  <c r="AL160" i="25" s="1"/>
  <c r="AI161" i="25"/>
  <c r="AJ161" i="25" s="1"/>
  <c r="AI157" i="25"/>
  <c r="AJ157" i="25" s="1"/>
  <c r="AG157" i="25"/>
  <c r="AH157" i="25" s="1"/>
  <c r="AG126" i="25"/>
  <c r="AH126" i="25" s="1"/>
  <c r="AM123" i="25"/>
  <c r="AN123" i="25" s="1"/>
  <c r="AO123" i="25"/>
  <c r="AP123" i="25" s="1"/>
  <c r="AI116" i="25"/>
  <c r="AJ116" i="25" s="1"/>
  <c r="AO117" i="25"/>
  <c r="AP117" i="25" s="1"/>
  <c r="AM118" i="25"/>
  <c r="AN118" i="25" s="1"/>
  <c r="AO118" i="25"/>
  <c r="AP118" i="25" s="1"/>
  <c r="AK119" i="25"/>
  <c r="AL119" i="25" s="1"/>
  <c r="AO119" i="25"/>
  <c r="AP119" i="25" s="1"/>
  <c r="AK120" i="25"/>
  <c r="AL120" i="25" s="1"/>
  <c r="AI121" i="25"/>
  <c r="AJ121" i="25" s="1"/>
  <c r="AG118" i="25"/>
  <c r="AH118" i="25" s="1"/>
  <c r="AK110" i="25"/>
  <c r="AL110" i="25" s="1"/>
  <c r="AI111" i="25"/>
  <c r="AJ111" i="25" s="1"/>
  <c r="AO112" i="25"/>
  <c r="AP112" i="25" s="1"/>
  <c r="AM113" i="25"/>
  <c r="AN113" i="25" s="1"/>
  <c r="AO113" i="25"/>
  <c r="AP113" i="25" s="1"/>
  <c r="AK114" i="25"/>
  <c r="AL114" i="25" s="1"/>
  <c r="AG111" i="25"/>
  <c r="AH111" i="25" s="1"/>
  <c r="AG110" i="25"/>
  <c r="AH110" i="25" s="1"/>
  <c r="AG104" i="25"/>
  <c r="AH104" i="25" s="1"/>
  <c r="AM98" i="25"/>
  <c r="AN98" i="25" s="1"/>
  <c r="AO98" i="25"/>
  <c r="AP98" i="25" s="1"/>
  <c r="AI92" i="25"/>
  <c r="AJ92" i="25" s="1"/>
  <c r="AM87" i="25"/>
  <c r="AN87" i="25" s="1"/>
  <c r="AO87" i="25"/>
  <c r="AP87" i="25" s="1"/>
  <c r="AK88" i="25"/>
  <c r="AL88" i="25" s="1"/>
  <c r="AI89" i="25"/>
  <c r="AJ89" i="25" s="1"/>
  <c r="AO90" i="25"/>
  <c r="AP90" i="25" s="1"/>
  <c r="AG90" i="25"/>
  <c r="AH90" i="25" s="1"/>
  <c r="AO79" i="25"/>
  <c r="AP79" i="25" s="1"/>
  <c r="AM80" i="25"/>
  <c r="AN80" i="25" s="1"/>
  <c r="AO80" i="25"/>
  <c r="AP80" i="25" s="1"/>
  <c r="AM81" i="25"/>
  <c r="AN81" i="25" s="1"/>
  <c r="AO81" i="25"/>
  <c r="AP81" i="25" s="1"/>
  <c r="AM82" i="25"/>
  <c r="AN82" i="25" s="1"/>
  <c r="AO82" i="25"/>
  <c r="AP82" i="25" s="1"/>
  <c r="AG82" i="25"/>
  <c r="AH82" i="25" s="1"/>
  <c r="AO73" i="25"/>
  <c r="AP73" i="25" s="1"/>
  <c r="AK74" i="25"/>
  <c r="AL74" i="25" s="1"/>
  <c r="AI75" i="25"/>
  <c r="AJ75" i="25" s="1"/>
  <c r="AO76" i="25"/>
  <c r="AP76" i="25" s="1"/>
  <c r="AM77" i="25"/>
  <c r="AN77" i="25" s="1"/>
  <c r="AO77" i="25"/>
  <c r="AP77" i="25" s="1"/>
  <c r="AG75" i="25"/>
  <c r="AH75" i="25" s="1"/>
  <c r="AI53" i="25"/>
  <c r="AJ53" i="25" s="1"/>
  <c r="AO54" i="25"/>
  <c r="AP54" i="25" s="1"/>
  <c r="AM55" i="25"/>
  <c r="AN55" i="25" s="1"/>
  <c r="AO55" i="25"/>
  <c r="AP55" i="25" s="1"/>
  <c r="AK56" i="25"/>
  <c r="AL56" i="25" s="1"/>
  <c r="AI57" i="25"/>
  <c r="AJ57" i="25" s="1"/>
  <c r="AO58" i="25"/>
  <c r="AP58" i="25" s="1"/>
  <c r="AM59" i="25"/>
  <c r="AN59" i="25" s="1"/>
  <c r="AO59" i="25"/>
  <c r="AP59" i="25" s="1"/>
  <c r="AI61" i="25"/>
  <c r="AJ61" i="25" s="1"/>
  <c r="AO62" i="25"/>
  <c r="AP62" i="25" s="1"/>
  <c r="AM63" i="25"/>
  <c r="AN63" i="25" s="1"/>
  <c r="AO63" i="25"/>
  <c r="AP63" i="25" s="1"/>
  <c r="AK64" i="25"/>
  <c r="AL64" i="25" s="1"/>
  <c r="AI65" i="25"/>
  <c r="AJ65" i="25" s="1"/>
  <c r="AO66" i="25"/>
  <c r="AP66" i="25" s="1"/>
  <c r="AM67" i="25"/>
  <c r="AN67" i="25" s="1"/>
  <c r="AO67" i="25"/>
  <c r="AP67" i="25" s="1"/>
  <c r="AK68" i="25"/>
  <c r="AL68" i="25" s="1"/>
  <c r="AI69" i="25"/>
  <c r="AJ69" i="25" s="1"/>
  <c r="AG57" i="25"/>
  <c r="AH57" i="25" s="1"/>
  <c r="AG61" i="25"/>
  <c r="AH61" i="25" s="1"/>
  <c r="AG65" i="25"/>
  <c r="AH65" i="25" s="1"/>
  <c r="AG69" i="25"/>
  <c r="AH69" i="25" s="1"/>
  <c r="AO48" i="25"/>
  <c r="AP48" i="25" s="1"/>
  <c r="AO49" i="25"/>
  <c r="AP49" i="25" s="1"/>
  <c r="AO50" i="25"/>
  <c r="AP50" i="25" s="1"/>
  <c r="AG48" i="25"/>
  <c r="AH48" i="25" s="1"/>
  <c r="AI43" i="25"/>
  <c r="AJ43" i="25" s="1"/>
  <c r="AO43" i="25"/>
  <c r="AP43" i="25" s="1"/>
  <c r="AK44" i="25"/>
  <c r="AL44" i="25" s="1"/>
  <c r="AM44" i="25"/>
  <c r="AN44" i="25" s="1"/>
  <c r="AO44" i="25"/>
  <c r="AP44" i="25" s="1"/>
  <c r="AG44" i="25"/>
  <c r="AH44" i="25" s="1"/>
  <c r="AI38" i="25"/>
  <c r="AJ38" i="25" s="1"/>
  <c r="AG36" i="25"/>
  <c r="AH36" i="25" s="1"/>
  <c r="AI29" i="25"/>
  <c r="AJ29" i="25" s="1"/>
  <c r="AI30" i="25"/>
  <c r="AJ30" i="25" s="1"/>
  <c r="AG28" i="25"/>
  <c r="AH28" i="25" s="1"/>
  <c r="AI22" i="25"/>
  <c r="AJ22" i="25" s="1"/>
  <c r="AI23" i="25"/>
  <c r="AJ23" i="25" s="1"/>
  <c r="AG22" i="25"/>
  <c r="AH22" i="25" s="1"/>
  <c r="AG21" i="25"/>
  <c r="AH21" i="25" s="1"/>
  <c r="AM16" i="25"/>
  <c r="AN16" i="25" s="1"/>
  <c r="AO16" i="25"/>
  <c r="AP16" i="25" s="1"/>
  <c r="AM17" i="25"/>
  <c r="AN17" i="25" s="1"/>
  <c r="AO17" i="25"/>
  <c r="AP17" i="25" s="1"/>
  <c r="AG16" i="25"/>
  <c r="AH16" i="25" s="1"/>
  <c r="AM13" i="25"/>
  <c r="AN13" i="25" s="1"/>
  <c r="AO13" i="25"/>
  <c r="AP13" i="25" s="1"/>
  <c r="AO12" i="25" l="1"/>
  <c r="AP12" i="25" s="1"/>
  <c r="BN13" i="25"/>
  <c r="AK60" i="25"/>
  <c r="AL60" i="25" s="1"/>
  <c r="AM179" i="25"/>
  <c r="AN179" i="25" s="1"/>
  <c r="BN8" i="25"/>
  <c r="AT8" i="25"/>
  <c r="BI8" i="25"/>
  <c r="BD8" i="25"/>
  <c r="AG11" i="25"/>
  <c r="AH11" i="25" s="1"/>
  <c r="AY8" i="25"/>
  <c r="AI13" i="25"/>
  <c r="AJ13" i="25" s="1"/>
  <c r="AM12" i="25"/>
  <c r="AN12" i="25" s="1"/>
  <c r="BI13" i="25"/>
  <c r="AG17" i="25"/>
  <c r="AH17" i="25" s="1"/>
  <c r="AK17" i="25"/>
  <c r="AL17" i="25" s="1"/>
  <c r="AI16" i="25"/>
  <c r="AJ16" i="25" s="1"/>
  <c r="AO30" i="25"/>
  <c r="AP30" i="25" s="1"/>
  <c r="AI45" i="25"/>
  <c r="AJ45" i="25" s="1"/>
  <c r="AM43" i="25"/>
  <c r="AN43" i="25" s="1"/>
  <c r="AK43" i="25"/>
  <c r="AL43" i="25" s="1"/>
  <c r="AG50" i="25"/>
  <c r="AH50" i="25" s="1"/>
  <c r="AM50" i="25"/>
  <c r="AN50" i="25" s="1"/>
  <c r="AK50" i="25"/>
  <c r="AL50" i="25" s="1"/>
  <c r="AM49" i="25"/>
  <c r="AN49" i="25" s="1"/>
  <c r="AK49" i="25"/>
  <c r="AL49" i="25" s="1"/>
  <c r="AM48" i="25"/>
  <c r="AN48" i="25" s="1"/>
  <c r="AK48" i="25"/>
  <c r="AL48" i="25" s="1"/>
  <c r="AG68" i="25"/>
  <c r="AH68" i="25" s="1"/>
  <c r="AG64" i="25"/>
  <c r="AH64" i="25" s="1"/>
  <c r="AG60" i="25"/>
  <c r="AH60" i="25" s="1"/>
  <c r="AG56" i="25"/>
  <c r="AH56" i="25" s="1"/>
  <c r="AO69" i="25"/>
  <c r="AP69" i="25" s="1"/>
  <c r="AI68" i="25"/>
  <c r="AJ68" i="25" s="1"/>
  <c r="AK67" i="25"/>
  <c r="AL67" i="25" s="1"/>
  <c r="AM66" i="25"/>
  <c r="AN66" i="25" s="1"/>
  <c r="AO65" i="25"/>
  <c r="AP65" i="25" s="1"/>
  <c r="AI64" i="25"/>
  <c r="AJ64" i="25" s="1"/>
  <c r="AK63" i="25"/>
  <c r="AL63" i="25" s="1"/>
  <c r="AM62" i="25"/>
  <c r="AN62" i="25" s="1"/>
  <c r="AO61" i="25"/>
  <c r="AP61" i="25" s="1"/>
  <c r="AI60" i="25"/>
  <c r="AJ60" i="25" s="1"/>
  <c r="AK59" i="25"/>
  <c r="AL59" i="25" s="1"/>
  <c r="AM58" i="25"/>
  <c r="AN58" i="25" s="1"/>
  <c r="AO57" i="25"/>
  <c r="AP57" i="25" s="1"/>
  <c r="AI56" i="25"/>
  <c r="AJ56" i="25" s="1"/>
  <c r="AK55" i="25"/>
  <c r="AL55" i="25" s="1"/>
  <c r="AM54" i="25"/>
  <c r="AN54" i="25" s="1"/>
  <c r="AO53" i="25"/>
  <c r="AP53" i="25" s="1"/>
  <c r="AG73" i="25"/>
  <c r="AH73" i="25" s="1"/>
  <c r="AG74" i="25"/>
  <c r="AH74" i="25" s="1"/>
  <c r="AK77" i="25"/>
  <c r="AL77" i="25" s="1"/>
  <c r="AM76" i="25"/>
  <c r="AN76" i="25" s="1"/>
  <c r="AO75" i="25"/>
  <c r="AP75" i="25" s="1"/>
  <c r="AI74" i="25"/>
  <c r="AJ74" i="25" s="1"/>
  <c r="AK73" i="25"/>
  <c r="AL73" i="25" s="1"/>
  <c r="AG81" i="25"/>
  <c r="AH81" i="25" s="1"/>
  <c r="AK82" i="25"/>
  <c r="AL82" i="25" s="1"/>
  <c r="AK81" i="25"/>
  <c r="AL81" i="25" s="1"/>
  <c r="AK80" i="25"/>
  <c r="AL80" i="25" s="1"/>
  <c r="AM79" i="25"/>
  <c r="AN79" i="25" s="1"/>
  <c r="AK79" i="25"/>
  <c r="AL79" i="25" s="1"/>
  <c r="AG89" i="25"/>
  <c r="AH89" i="25" s="1"/>
  <c r="AM90" i="25"/>
  <c r="AN90" i="25" s="1"/>
  <c r="AO89" i="25"/>
  <c r="AP89" i="25" s="1"/>
  <c r="AI88" i="25"/>
  <c r="AJ88" i="25" s="1"/>
  <c r="AK87" i="25"/>
  <c r="AL87" i="25" s="1"/>
  <c r="AO92" i="25"/>
  <c r="AP92" i="25" s="1"/>
  <c r="AG98" i="25"/>
  <c r="AH98" i="25" s="1"/>
  <c r="AK98" i="25"/>
  <c r="AL98" i="25" s="1"/>
  <c r="AG114" i="25"/>
  <c r="AH114" i="25" s="1"/>
  <c r="AI114" i="25"/>
  <c r="AJ114" i="25" s="1"/>
  <c r="AK113" i="25"/>
  <c r="AL113" i="25" s="1"/>
  <c r="AM112" i="25"/>
  <c r="AN112" i="25" s="1"/>
  <c r="AO111" i="25"/>
  <c r="AP111" i="25" s="1"/>
  <c r="AI110" i="25"/>
  <c r="AJ110" i="25" s="1"/>
  <c r="AG119" i="25"/>
  <c r="AH119" i="25" s="1"/>
  <c r="AO121" i="25"/>
  <c r="AP121" i="25" s="1"/>
  <c r="AI120" i="25"/>
  <c r="AJ120" i="25" s="1"/>
  <c r="AI119" i="25"/>
  <c r="AJ119" i="25" s="1"/>
  <c r="AK118" i="25"/>
  <c r="AL118" i="25" s="1"/>
  <c r="AM117" i="25"/>
  <c r="AN117" i="25" s="1"/>
  <c r="AO116" i="25"/>
  <c r="AP116" i="25" s="1"/>
  <c r="AG123" i="25"/>
  <c r="AH123" i="25" s="1"/>
  <c r="AK123" i="25"/>
  <c r="AL123" i="25" s="1"/>
  <c r="AG159" i="25"/>
  <c r="AH159" i="25" s="1"/>
  <c r="AO161" i="25"/>
  <c r="AP161" i="25" s="1"/>
  <c r="AI160" i="25"/>
  <c r="AJ160" i="25" s="1"/>
  <c r="AI159" i="25"/>
  <c r="AJ159" i="25" s="1"/>
  <c r="AM163" i="25"/>
  <c r="AN163" i="25" s="1"/>
  <c r="AG171" i="25"/>
  <c r="AH171" i="25" s="1"/>
  <c r="AI171" i="25"/>
  <c r="AJ171" i="25" s="1"/>
  <c r="AI180" i="25"/>
  <c r="AJ180" i="25" s="1"/>
  <c r="AK179" i="25"/>
  <c r="AL179" i="25" s="1"/>
  <c r="AK178" i="25"/>
  <c r="AL178" i="25" s="1"/>
  <c r="AG184" i="25"/>
  <c r="AH184" i="25" s="1"/>
  <c r="AI184" i="25"/>
  <c r="AJ184" i="25" s="1"/>
  <c r="AI183" i="25"/>
  <c r="AJ183" i="25" s="1"/>
  <c r="AI182" i="25"/>
  <c r="AJ182" i="25" s="1"/>
  <c r="AG186" i="25"/>
  <c r="AH186" i="25" s="1"/>
  <c r="AO188" i="25"/>
  <c r="AP188" i="25" s="1"/>
  <c r="AI187" i="25"/>
  <c r="AJ187" i="25" s="1"/>
  <c r="AK186" i="25"/>
  <c r="AL186" i="25" s="1"/>
  <c r="AO190" i="25"/>
  <c r="AP190" i="25" s="1"/>
  <c r="AG193" i="25"/>
  <c r="AH193" i="25" s="1"/>
  <c r="AI196" i="25"/>
  <c r="AJ196" i="25" s="1"/>
  <c r="AK195" i="25"/>
  <c r="AL195" i="25" s="1"/>
  <c r="AM194" i="25"/>
  <c r="AN194" i="25" s="1"/>
  <c r="AO193" i="25"/>
  <c r="AP193" i="25" s="1"/>
  <c r="AM195" i="25"/>
  <c r="AN195" i="25" s="1"/>
  <c r="AK13" i="25"/>
  <c r="AL13" i="25" s="1"/>
  <c r="AI17" i="25"/>
  <c r="AJ17" i="25" s="1"/>
  <c r="AK16" i="25"/>
  <c r="AL16" i="25" s="1"/>
  <c r="AO38" i="25"/>
  <c r="AP38" i="25" s="1"/>
  <c r="AI37" i="25"/>
  <c r="AJ37" i="25" s="1"/>
  <c r="AG13" i="25"/>
  <c r="AH13" i="25" s="1"/>
  <c r="AK12" i="25"/>
  <c r="AL12" i="25" s="1"/>
  <c r="BD13" i="25"/>
  <c r="AI12" i="25"/>
  <c r="AJ12" i="25" s="1"/>
  <c r="AY13" i="25"/>
  <c r="AO23" i="25"/>
  <c r="AP23" i="25" s="1"/>
  <c r="AO22" i="25"/>
  <c r="AP22" i="25" s="1"/>
  <c r="AG30" i="25"/>
  <c r="AH30" i="25" s="1"/>
  <c r="AM30" i="25"/>
  <c r="AN30" i="25" s="1"/>
  <c r="AK30" i="25"/>
  <c r="AL30" i="25" s="1"/>
  <c r="AO29" i="25"/>
  <c r="AP29" i="25" s="1"/>
  <c r="AK29" i="25"/>
  <c r="AL29" i="25" s="1"/>
  <c r="AG38" i="25"/>
  <c r="AH38" i="25" s="1"/>
  <c r="AM38" i="25"/>
  <c r="AN38" i="25" s="1"/>
  <c r="AK38" i="25"/>
  <c r="AL38" i="25" s="1"/>
  <c r="AO37" i="25"/>
  <c r="AP37" i="25" s="1"/>
  <c r="AG43" i="25"/>
  <c r="AH43" i="25" s="1"/>
  <c r="AO45" i="25"/>
  <c r="AP45" i="25" s="1"/>
  <c r="AI44" i="25"/>
  <c r="AJ44" i="25" s="1"/>
  <c r="AG49" i="25"/>
  <c r="AH49" i="25" s="1"/>
  <c r="AI50" i="25"/>
  <c r="AJ50" i="25" s="1"/>
  <c r="AI49" i="25"/>
  <c r="AJ49" i="25" s="1"/>
  <c r="AI48" i="25"/>
  <c r="AJ48" i="25" s="1"/>
  <c r="AG67" i="25"/>
  <c r="AH67" i="25" s="1"/>
  <c r="AG63" i="25"/>
  <c r="AH63" i="25" s="1"/>
  <c r="AG59" i="25"/>
  <c r="AH59" i="25" s="1"/>
  <c r="AG55" i="25"/>
  <c r="AH55" i="25" s="1"/>
  <c r="AM69" i="25"/>
  <c r="AN69" i="25" s="1"/>
  <c r="AO68" i="25"/>
  <c r="AP68" i="25" s="1"/>
  <c r="AI67" i="25"/>
  <c r="AJ67" i="25" s="1"/>
  <c r="AK66" i="25"/>
  <c r="AL66" i="25" s="1"/>
  <c r="AM65" i="25"/>
  <c r="AN65" i="25" s="1"/>
  <c r="AO64" i="25"/>
  <c r="AP64" i="25" s="1"/>
  <c r="AI63" i="25"/>
  <c r="AJ63" i="25" s="1"/>
  <c r="AK62" i="25"/>
  <c r="AL62" i="25" s="1"/>
  <c r="AM61" i="25"/>
  <c r="AN61" i="25" s="1"/>
  <c r="AO60" i="25"/>
  <c r="AP60" i="25" s="1"/>
  <c r="AI59" i="25"/>
  <c r="AJ59" i="25" s="1"/>
  <c r="AK58" i="25"/>
  <c r="AL58" i="25" s="1"/>
  <c r="AM57" i="25"/>
  <c r="AN57" i="25" s="1"/>
  <c r="AO56" i="25"/>
  <c r="AP56" i="25" s="1"/>
  <c r="AI55" i="25"/>
  <c r="AJ55" i="25" s="1"/>
  <c r="AK54" i="25"/>
  <c r="AL54" i="25" s="1"/>
  <c r="AM53" i="25"/>
  <c r="AN53" i="25" s="1"/>
  <c r="AG77" i="25"/>
  <c r="AH77" i="25" s="1"/>
  <c r="AI77" i="25"/>
  <c r="AJ77" i="25" s="1"/>
  <c r="AK76" i="25"/>
  <c r="AL76" i="25" s="1"/>
  <c r="AM75" i="25"/>
  <c r="AN75" i="25" s="1"/>
  <c r="AO74" i="25"/>
  <c r="AP74" i="25" s="1"/>
  <c r="AI73" i="25"/>
  <c r="AJ73" i="25" s="1"/>
  <c r="AG80" i="25"/>
  <c r="AH80" i="25" s="1"/>
  <c r="AI82" i="25"/>
  <c r="AJ82" i="25" s="1"/>
  <c r="AI81" i="25"/>
  <c r="AJ81" i="25" s="1"/>
  <c r="AI80" i="25"/>
  <c r="AJ80" i="25" s="1"/>
  <c r="AI79" i="25"/>
  <c r="AJ79" i="25" s="1"/>
  <c r="AG88" i="25"/>
  <c r="AH88" i="25" s="1"/>
  <c r="AK90" i="25"/>
  <c r="AL90" i="25" s="1"/>
  <c r="AM89" i="25"/>
  <c r="AN89" i="25" s="1"/>
  <c r="AO88" i="25"/>
  <c r="AP88" i="25" s="1"/>
  <c r="AI87" i="25"/>
  <c r="AJ87" i="25" s="1"/>
  <c r="AM92" i="25"/>
  <c r="AN92" i="25" s="1"/>
  <c r="AI98" i="25"/>
  <c r="AJ98" i="25" s="1"/>
  <c r="AG113" i="25"/>
  <c r="AH113" i="25" s="1"/>
  <c r="AO114" i="25"/>
  <c r="AP114" i="25" s="1"/>
  <c r="AI113" i="25"/>
  <c r="AJ113" i="25" s="1"/>
  <c r="AK112" i="25"/>
  <c r="AL112" i="25" s="1"/>
  <c r="AM111" i="25"/>
  <c r="AN111" i="25" s="1"/>
  <c r="AO110" i="25"/>
  <c r="AP110" i="25" s="1"/>
  <c r="AG116" i="25"/>
  <c r="AH116" i="25" s="1"/>
  <c r="AG120" i="25"/>
  <c r="AH120" i="25" s="1"/>
  <c r="AM121" i="25"/>
  <c r="AN121" i="25" s="1"/>
  <c r="AO120" i="25"/>
  <c r="AP120" i="25" s="1"/>
  <c r="AI118" i="25"/>
  <c r="AJ118" i="25" s="1"/>
  <c r="AK117" i="25"/>
  <c r="AL117" i="25" s="1"/>
  <c r="AM116" i="25"/>
  <c r="AN116" i="25" s="1"/>
  <c r="AI123" i="25"/>
  <c r="AJ123" i="25" s="1"/>
  <c r="AO157" i="25"/>
  <c r="AP157" i="25" s="1"/>
  <c r="AM157" i="25"/>
  <c r="AN157" i="25" s="1"/>
  <c r="AG160" i="25"/>
  <c r="AH160" i="25" s="1"/>
  <c r="AM161" i="25"/>
  <c r="AN161" i="25" s="1"/>
  <c r="AO160" i="25"/>
  <c r="AP160" i="25" s="1"/>
  <c r="AG163" i="25"/>
  <c r="AH163" i="25" s="1"/>
  <c r="AK163" i="25"/>
  <c r="AL163" i="25" s="1"/>
  <c r="AO167" i="25"/>
  <c r="AP167" i="25" s="1"/>
  <c r="AG178" i="25"/>
  <c r="AH178" i="25" s="1"/>
  <c r="AO180" i="25"/>
  <c r="AP180" i="25" s="1"/>
  <c r="AI179" i="25"/>
  <c r="AJ179" i="25" s="1"/>
  <c r="AI178" i="25"/>
  <c r="AJ178" i="25" s="1"/>
  <c r="AO182" i="25"/>
  <c r="AP182" i="25" s="1"/>
  <c r="AG187" i="25"/>
  <c r="AH187" i="25" s="1"/>
  <c r="AM188" i="25"/>
  <c r="AN188" i="25" s="1"/>
  <c r="AO187" i="25"/>
  <c r="AP187" i="25" s="1"/>
  <c r="AI186" i="25"/>
  <c r="AJ186" i="25" s="1"/>
  <c r="AM190" i="25"/>
  <c r="AN190" i="25" s="1"/>
  <c r="AG194" i="25"/>
  <c r="AH194" i="25" s="1"/>
  <c r="AO196" i="25"/>
  <c r="AP196" i="25" s="1"/>
  <c r="AI195" i="25"/>
  <c r="AJ195" i="25" s="1"/>
  <c r="AK194" i="25"/>
  <c r="AL194" i="25" s="1"/>
  <c r="AM193" i="25"/>
  <c r="AN193" i="25" s="1"/>
  <c r="AK193" i="25"/>
  <c r="AL193" i="25" s="1"/>
  <c r="AM73" i="25"/>
  <c r="AN73" i="25" s="1"/>
  <c r="AG12" i="25"/>
  <c r="AH12" i="25" s="1"/>
  <c r="AG23" i="25"/>
  <c r="AH23" i="25" s="1"/>
  <c r="AM23" i="25"/>
  <c r="AN23" i="25" s="1"/>
  <c r="AK23" i="25"/>
  <c r="AL23" i="25" s="1"/>
  <c r="AM22" i="25"/>
  <c r="AN22" i="25" s="1"/>
  <c r="AK22" i="25"/>
  <c r="AL22" i="25" s="1"/>
  <c r="AG29" i="25"/>
  <c r="AH29" i="25" s="1"/>
  <c r="AM29" i="25"/>
  <c r="AN29" i="25" s="1"/>
  <c r="AG37" i="25"/>
  <c r="AH37" i="25" s="1"/>
  <c r="AM37" i="25"/>
  <c r="AN37" i="25" s="1"/>
  <c r="AK37" i="25"/>
  <c r="AL37" i="25" s="1"/>
  <c r="AG45" i="25"/>
  <c r="AH45" i="25" s="1"/>
  <c r="AM45" i="25"/>
  <c r="AN45" i="25" s="1"/>
  <c r="AK45" i="25"/>
  <c r="AL45" i="25" s="1"/>
  <c r="AG53" i="25"/>
  <c r="AH53" i="25" s="1"/>
  <c r="AG66" i="25"/>
  <c r="AH66" i="25" s="1"/>
  <c r="AG62" i="25"/>
  <c r="AH62" i="25" s="1"/>
  <c r="AG58" i="25"/>
  <c r="AH58" i="25" s="1"/>
  <c r="AG54" i="25"/>
  <c r="AH54" i="25" s="1"/>
  <c r="AK69" i="25"/>
  <c r="AL69" i="25" s="1"/>
  <c r="AM68" i="25"/>
  <c r="AN68" i="25" s="1"/>
  <c r="AI66" i="25"/>
  <c r="AJ66" i="25" s="1"/>
  <c r="AK65" i="25"/>
  <c r="AL65" i="25" s="1"/>
  <c r="AM64" i="25"/>
  <c r="AN64" i="25" s="1"/>
  <c r="AI62" i="25"/>
  <c r="AJ62" i="25" s="1"/>
  <c r="AK61" i="25"/>
  <c r="AL61" i="25" s="1"/>
  <c r="AM60" i="25"/>
  <c r="AN60" i="25" s="1"/>
  <c r="AI58" i="25"/>
  <c r="AJ58" i="25" s="1"/>
  <c r="AK57" i="25"/>
  <c r="AL57" i="25" s="1"/>
  <c r="AM56" i="25"/>
  <c r="AN56" i="25" s="1"/>
  <c r="AI54" i="25"/>
  <c r="AJ54" i="25" s="1"/>
  <c r="AK53" i="25"/>
  <c r="AL53" i="25" s="1"/>
  <c r="AG76" i="25"/>
  <c r="AH76" i="25" s="1"/>
  <c r="AI76" i="25"/>
  <c r="AJ76" i="25" s="1"/>
  <c r="AK75" i="25"/>
  <c r="AL75" i="25" s="1"/>
  <c r="AM74" i="25"/>
  <c r="AN74" i="25" s="1"/>
  <c r="AG79" i="25"/>
  <c r="AH79" i="25" s="1"/>
  <c r="AG87" i="25"/>
  <c r="AH87" i="25" s="1"/>
  <c r="AI90" i="25"/>
  <c r="AJ90" i="25" s="1"/>
  <c r="AK89" i="25"/>
  <c r="AL89" i="25" s="1"/>
  <c r="AM88" i="25"/>
  <c r="AN88" i="25" s="1"/>
  <c r="AG92" i="25"/>
  <c r="AH92" i="25" s="1"/>
  <c r="AK92" i="25"/>
  <c r="AL92" i="25" s="1"/>
  <c r="AG112" i="25"/>
  <c r="AH112" i="25" s="1"/>
  <c r="AM114" i="25"/>
  <c r="AN114" i="25" s="1"/>
  <c r="AI112" i="25"/>
  <c r="AJ112" i="25" s="1"/>
  <c r="AK111" i="25"/>
  <c r="AL111" i="25" s="1"/>
  <c r="AM110" i="25"/>
  <c r="AN110" i="25" s="1"/>
  <c r="AG117" i="25"/>
  <c r="AH117" i="25" s="1"/>
  <c r="AG121" i="25"/>
  <c r="AH121" i="25" s="1"/>
  <c r="AK121" i="25"/>
  <c r="AL121" i="25" s="1"/>
  <c r="AM120" i="25"/>
  <c r="AN120" i="25" s="1"/>
  <c r="AM119" i="25"/>
  <c r="AN119" i="25" s="1"/>
  <c r="AI117" i="25"/>
  <c r="AJ117" i="25" s="1"/>
  <c r="AK116" i="25"/>
  <c r="AL116" i="25" s="1"/>
  <c r="AK157" i="25"/>
  <c r="AL157" i="25" s="1"/>
  <c r="AG161" i="25"/>
  <c r="AH161" i="25" s="1"/>
  <c r="AK161" i="25"/>
  <c r="AL161" i="25" s="1"/>
  <c r="AM160" i="25"/>
  <c r="AN160" i="25" s="1"/>
  <c r="AM159" i="25"/>
  <c r="AN159" i="25" s="1"/>
  <c r="AI163" i="25"/>
  <c r="AJ163" i="25" s="1"/>
  <c r="AM167" i="25"/>
  <c r="AN167" i="25" s="1"/>
  <c r="AK167" i="25"/>
  <c r="AL167" i="25" s="1"/>
  <c r="AG179" i="25"/>
  <c r="AH179" i="25" s="1"/>
  <c r="AM180" i="25"/>
  <c r="AN180" i="25" s="1"/>
  <c r="AG182" i="25"/>
  <c r="AH182" i="25" s="1"/>
  <c r="AM184" i="25"/>
  <c r="AN184" i="25" s="1"/>
  <c r="AM183" i="25"/>
  <c r="AN183" i="25" s="1"/>
  <c r="AM182" i="25"/>
  <c r="AN182" i="25" s="1"/>
  <c r="AG188" i="25"/>
  <c r="AH188" i="25" s="1"/>
  <c r="AK188" i="25"/>
  <c r="AL188" i="25" s="1"/>
  <c r="AM187" i="25"/>
  <c r="AN187" i="25" s="1"/>
  <c r="AO186" i="25"/>
  <c r="AP186" i="25" s="1"/>
  <c r="AG190" i="25"/>
  <c r="AH190" i="25" s="1"/>
  <c r="AK190" i="25"/>
  <c r="AL190" i="25" s="1"/>
  <c r="AG195" i="25"/>
  <c r="AH195" i="25" s="1"/>
  <c r="AM196" i="25"/>
  <c r="AN196" i="25" s="1"/>
  <c r="AO195" i="25"/>
  <c r="AP195" i="25" s="1"/>
  <c r="AI194" i="25"/>
  <c r="AJ194" i="25" s="1"/>
  <c r="AI193" i="25"/>
  <c r="AJ193" i="25" s="1"/>
  <c r="BF30" i="25" l="1"/>
  <c r="BJ30" i="25" s="1"/>
  <c r="BR13" i="25"/>
  <c r="BR14" i="25"/>
  <c r="BK32" i="25" l="1"/>
  <c r="BK31" i="25"/>
  <c r="B17" i="29"/>
  <c r="A20" i="29"/>
  <c r="B18" i="29"/>
  <c r="B19" i="29"/>
  <c r="B20" i="29"/>
  <c r="BJ32" i="25" l="1"/>
  <c r="AP6" i="25"/>
  <c r="AN6" i="25"/>
  <c r="BI12" i="25" s="1"/>
  <c r="BI14" i="25" s="1"/>
  <c r="AL6" i="25"/>
  <c r="BD12" i="25" s="1"/>
  <c r="BD14" i="25" s="1"/>
  <c r="AJ6" i="25"/>
  <c r="AY12" i="25" s="1"/>
  <c r="AY14" i="25" s="1"/>
  <c r="AH6" i="25"/>
  <c r="BN7" i="25" l="1" a="1"/>
  <c r="BN7" i="25" s="1"/>
  <c r="BI7" i="25" a="1"/>
  <c r="BI7" i="25" s="1"/>
  <c r="BI9" i="25" s="1"/>
  <c r="BN12" i="25"/>
  <c r="BN14" i="25" s="1"/>
  <c r="AY7" i="25" a="1"/>
  <c r="AY7" i="25" s="1"/>
  <c r="AY9" i="25" s="1"/>
  <c r="BD7" i="25" a="1"/>
  <c r="BD7" i="25" s="1"/>
  <c r="BD9" i="25" s="1"/>
  <c r="AT7" i="25"/>
  <c r="AT9" i="25" s="1"/>
  <c r="AC6" i="25"/>
  <c r="AS30" i="25" s="1" a="1"/>
  <c r="AS30" i="25" l="1"/>
  <c r="AY35" i="25"/>
  <c r="AZ35" i="25" s="1"/>
  <c r="AY39" i="25"/>
  <c r="AZ39" i="25" s="1"/>
  <c r="AY43" i="25"/>
  <c r="AZ43" i="25" s="1"/>
  <c r="AY47" i="25"/>
  <c r="AZ47" i="25" s="1"/>
  <c r="AY51" i="25"/>
  <c r="AZ51" i="25" s="1"/>
  <c r="AY32" i="25"/>
  <c r="AZ32" i="25" s="1"/>
  <c r="AY36" i="25"/>
  <c r="AZ36" i="25" s="1"/>
  <c r="AY40" i="25"/>
  <c r="AZ40" i="25" s="1"/>
  <c r="AY44" i="25"/>
  <c r="AZ44" i="25" s="1"/>
  <c r="AY48" i="25"/>
  <c r="AZ48" i="25" s="1"/>
  <c r="AY52" i="25"/>
  <c r="AZ52" i="25" s="1"/>
  <c r="AY33" i="25"/>
  <c r="AZ33" i="25" s="1"/>
  <c r="AY37" i="25"/>
  <c r="AZ37" i="25" s="1"/>
  <c r="AY41" i="25"/>
  <c r="AZ41" i="25" s="1"/>
  <c r="AY45" i="25"/>
  <c r="AZ45" i="25" s="1"/>
  <c r="AY49" i="25"/>
  <c r="AZ49" i="25" s="1"/>
  <c r="AY53" i="25"/>
  <c r="AZ53" i="25" s="1"/>
  <c r="AY34" i="25"/>
  <c r="AZ34" i="25" s="1"/>
  <c r="AY38" i="25"/>
  <c r="AZ38" i="25" s="1"/>
  <c r="AY42" i="25"/>
  <c r="AZ42" i="25" s="1"/>
  <c r="AY46" i="25"/>
  <c r="AZ46" i="25" s="1"/>
  <c r="AY50" i="25"/>
  <c r="AZ50" i="25" s="1"/>
  <c r="AY54" i="25"/>
  <c r="AZ54" i="25" s="1"/>
  <c r="BN9" i="25"/>
  <c r="A17" i="29"/>
  <c r="A18" i="29"/>
  <c r="A19" i="29"/>
  <c r="AY31" i="25"/>
  <c r="BR7" i="25"/>
  <c r="BR10" i="25"/>
  <c r="AZ31" i="25" l="1"/>
  <c r="AZ30" i="25" s="1"/>
  <c r="AY30" i="25"/>
  <c r="BR8" i="25"/>
  <c r="BR11" i="25" s="1"/>
  <c r="BV9" i="25" l="1"/>
  <c r="BV8" i="25"/>
  <c r="BV7" i="25"/>
  <c r="BV10" i="25"/>
  <c r="BV11" i="25" l="1"/>
  <c r="B8" i="12" l="1" a="1"/>
  <c r="B8" i="12" s="1"/>
  <c r="E8" i="12" a="1"/>
  <c r="E8" i="12" s="1"/>
  <c r="D8" i="12" a="1"/>
  <c r="D8" i="12" s="1"/>
  <c r="C8" i="12" a="1"/>
  <c r="C8" i="12" s="1"/>
  <c r="BJ31" i="25" l="1"/>
  <c r="A8" i="12" a="1"/>
  <c r="A8" i="12" s="1"/>
  <c r="C20" i="29" l="1"/>
  <c r="C19" i="29"/>
  <c r="C18" i="29"/>
  <c r="C17" i="29"/>
  <c r="W77" i="11"/>
  <c r="W52" i="11"/>
  <c r="W28" i="11"/>
  <c r="W7" i="11"/>
  <c r="B74" i="11" l="1"/>
  <c r="G74" i="11" s="1"/>
  <c r="B50" i="11"/>
  <c r="G50" i="11" s="1"/>
  <c r="B34" i="11"/>
  <c r="G34" i="11" s="1"/>
  <c r="B100" i="11" l="1"/>
  <c r="G100" i="11" s="1"/>
  <c r="B58" i="11"/>
  <c r="G58" i="11" s="1"/>
  <c r="B85" i="11"/>
  <c r="G85" i="11" s="1"/>
  <c r="B13" i="11"/>
  <c r="G13" i="1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<sst xmlns="http://schemas.openxmlformats.org/spreadsheetml/2006/main" count="559" uniqueCount="164">
  <si>
    <t>QUEM?</t>
  </si>
  <si>
    <t>QUANDO?</t>
  </si>
  <si>
    <t>ENTREGUE</t>
  </si>
  <si>
    <t>TOTAL</t>
  </si>
  <si>
    <t>ADERENCIA</t>
  </si>
  <si>
    <t>ANA</t>
  </si>
  <si>
    <t>ADRIANO</t>
  </si>
  <si>
    <t>JOÃO</t>
  </si>
  <si>
    <t>MARCOS</t>
  </si>
  <si>
    <t>STATUS</t>
  </si>
  <si>
    <t>ENGENHARIA</t>
  </si>
  <si>
    <t>ROGERIO</t>
  </si>
  <si>
    <t>PLANO DE AÇÃO</t>
  </si>
  <si>
    <t>ADERÊNCIA SEMANAL</t>
  </si>
  <si>
    <t>ADERÊNCIA ACUMULADA</t>
  </si>
  <si>
    <t>VAZIO</t>
  </si>
  <si>
    <t>MARCO | ENTREGA</t>
  </si>
  <si>
    <t>ENTREGA</t>
  </si>
  <si>
    <t>MARCO</t>
  </si>
  <si>
    <t>MARCO - Emissão Inicial (Rev_A)</t>
  </si>
  <si>
    <t>ADERÊNCIA ACUMULADA 1</t>
  </si>
  <si>
    <t>ADERÊNCIA SEMANA 1</t>
  </si>
  <si>
    <t>ADERÊNCIA SEMANA 2</t>
  </si>
  <si>
    <t>ADERÊNCIA SEMANA 3</t>
  </si>
  <si>
    <t>ADERÊNCIA SEMANA 4</t>
  </si>
  <si>
    <t>ADERÊNCIA ACUMULADA 3</t>
  </si>
  <si>
    <t>ADERÊNCIA ACUMULADA 2</t>
  </si>
  <si>
    <t>ATRASO MENSAL</t>
  </si>
  <si>
    <t xml:space="preserve">ADERÊNCIA SEMANAL </t>
  </si>
  <si>
    <t xml:space="preserve">ADERÊNCIA ACUMULADA </t>
  </si>
  <si>
    <t>OBS</t>
  </si>
  <si>
    <t>CAUSA DO DESVIO - ANA</t>
  </si>
  <si>
    <t>EFPRAZO E ENTREGUE</t>
  </si>
  <si>
    <t>ATRASADO</t>
  </si>
  <si>
    <t>RISCO</t>
  </si>
  <si>
    <t>EFPRAZO</t>
  </si>
  <si>
    <t>ADERÊNCIA ACUMULADA 4</t>
  </si>
  <si>
    <t>ADERÊNCIA SEMANA 5</t>
  </si>
  <si>
    <t>VALE - CONTRATO 580 (ACG)</t>
  </si>
  <si>
    <t>PT070 - ESTUDO DAS MÁQUINAS DE PÁTIO - PROJETO CAMINHO DE ROLAMENTO DA EM-6219 (Brucutu)</t>
  </si>
  <si>
    <t>ETAPA DE ESCRITÓRIO - ETAPA 2</t>
  </si>
  <si>
    <t>ANÁLISE DE 2º NÍVEL</t>
  </si>
  <si>
    <t>MARCO - MEMÓRIA DE CÁLCULO</t>
  </si>
  <si>
    <t>Aprovação do Cliente</t>
  </si>
  <si>
    <t>Certificação do documento - Vibracon</t>
  </si>
  <si>
    <t>MARCO - Envio do documento Certificado (Rev_0)</t>
  </si>
  <si>
    <t>DESENHOS DETALHADOS</t>
  </si>
  <si>
    <t>MARCO - PROJETOS ATUALIZADOS</t>
  </si>
  <si>
    <t>ETAPA DE ESCRITÓRIO - ETAPA 3</t>
  </si>
  <si>
    <t>PT124_ADP_AES_129/2021 - OFICINA DE MUTUCA (MUTUCA)</t>
  </si>
  <si>
    <t>FASE 1 - AVALIAÇÃO ESTRUTURAL GERAL DO GALPÃO</t>
  </si>
  <si>
    <t>MARCOS CONTRATUAIS (APROVAÇÃO DOS DOCUMENTOS)</t>
  </si>
  <si>
    <t>MARCO 2 - Entrega do Projeto de As-Built</t>
  </si>
  <si>
    <t>FASE 2 - AVALIAÇÃO ESTRUTURAL - ETAPA EXPERIMENTAL</t>
  </si>
  <si>
    <t>ETAPA DE CAMPO</t>
  </si>
  <si>
    <t>INSTRUMENTAÇÃO E COLETA TOPOGRÁFICA</t>
  </si>
  <si>
    <t>RELATÓRIO FINAL</t>
  </si>
  <si>
    <t>MARCO - RELATÓRIO TÉCNICO FINAL</t>
  </si>
  <si>
    <t>FASE 3 - AVALIAÇÃO ESTRUTURAL - PROJETO DE REFORÇO</t>
  </si>
  <si>
    <t>ETAPA DE ESCRITÓRIO</t>
  </si>
  <si>
    <t>MARCOS CONTRATUAIS</t>
  </si>
  <si>
    <t>PT160 - LAUDOS TÉCNICOS PARA REGULARIZAÇÃO DE EDIFICAÇÕES (Porto de Tubarão)</t>
  </si>
  <si>
    <t>ETAPA INICIAL</t>
  </si>
  <si>
    <t>Elaboração da Lista de Documentos</t>
  </si>
  <si>
    <t>PACOTE 1</t>
  </si>
  <si>
    <t>ETAPA DE ENGENHARIA</t>
  </si>
  <si>
    <t>RELATÓRIOS</t>
  </si>
  <si>
    <t>MARCO - 1a ENTREGA DOS RELATÓRIOS - PACOTE 1</t>
  </si>
  <si>
    <t>PT165 - ESTUDO DE ENGENHARIA DO GALPÃO INDUSTRIAL G2 (Duque de Caxias)</t>
  </si>
  <si>
    <t>FASE 1 - PROJETO PRELIMINAR DE ARQUITETURA DO G2 E SERVIÇOS DE CAMPO</t>
  </si>
  <si>
    <t>MARCO - PROJETO ARQUITETÔNICO (LAYOUT)</t>
  </si>
  <si>
    <t>FASE 2 - SIMULAÇÕES COMPUTACIONAIS</t>
  </si>
  <si>
    <t>MODELAGEM DO GALPÃO</t>
  </si>
  <si>
    <t>GALPÃO EXISTENTE (CENÁRIO 1)</t>
  </si>
  <si>
    <t>MARCO - MEMÓRIA DE CÁLCULO (CENÁRIO 1 - ESTR. METÁLICA)</t>
  </si>
  <si>
    <t>ANÁLISES ESTRUTURAIS E GEOTÉCNICAS DO GALPÃO</t>
  </si>
  <si>
    <t>MARCO - RELATÓRIO TÉCNICO (CENÁRIO 1 - CIVIL)</t>
  </si>
  <si>
    <t>FASE 3 - ESTUDO DE VIABILIDADE</t>
  </si>
  <si>
    <t>MODELAGEM DO NOVO GALPÃO (CENÁRIO 2)</t>
  </si>
  <si>
    <t>Aplicação das cargas e condições de contorno</t>
  </si>
  <si>
    <t>Análise dos resultados</t>
  </si>
  <si>
    <t>Elaboração da Memória de Cálculo</t>
  </si>
  <si>
    <t>Verificação da Memória de Cálculo</t>
  </si>
  <si>
    <t>MARCO - MEMÓRIA DE CÁLCULO (CENÁRIO 2 - ESTR. METÁLICA)</t>
  </si>
  <si>
    <t>MARCO - MEMÓRIA DE CÁLCULO (CENÁRIO 2 - CIVIL)</t>
  </si>
  <si>
    <t>ELABORAÇÃO DE TRADE-OFF E APRESENTAÇÃO EXECUTIVA DE ALTERNATIVAS</t>
  </si>
  <si>
    <t>MARCO - LAYOUT GERAL DO CENÁRIO 2</t>
  </si>
  <si>
    <t>MARCO - RELATÓRIO DE VIABILIDADE (LAUDO)</t>
  </si>
  <si>
    <t>FASE 4 - PROJETO DE ENGENHARIA</t>
  </si>
  <si>
    <t>GALPÃO NOVO (CENÁRIO 2)</t>
  </si>
  <si>
    <t>Verificação do projeto</t>
  </si>
  <si>
    <t>MARCO - PROJETO CONCEITUAL DAS ESTRUTURAS METÁLICAS</t>
  </si>
  <si>
    <t>PT186 - ESTALEIRO DE SOLDAS_ANÁLISE ESTRUTURAL E PROJETO DETALHADO DA COBERTURA</t>
  </si>
  <si>
    <t>ESTRUTURA METÁLICA</t>
  </si>
  <si>
    <t>MARCO - MEMÓRIA DE CÁLCULO DO GALPÃO</t>
  </si>
  <si>
    <t>Elaboração do Relatório de Diagnóstico de PNR</t>
  </si>
  <si>
    <t>Verificação do Relatório de Diagnóstico de PNR</t>
  </si>
  <si>
    <t>MARCO - RELATÓRIO DE DIAGNÓSTICO DE PNR</t>
  </si>
  <si>
    <t>CIVIL</t>
  </si>
  <si>
    <t>MARCO - PLANO DE CORPO DE PROVA</t>
  </si>
  <si>
    <t>MARCO - PLANO DE SONDAGEM</t>
  </si>
  <si>
    <t>PT188 - ESTUDO DE ENGENHARIA DO GALPÃO RH75</t>
  </si>
  <si>
    <t>FASE 1 - SERVIÇOS DE CAMPO</t>
  </si>
  <si>
    <t>Tratamento da nuvem de pontos</t>
  </si>
  <si>
    <t>Elaboração do Relatório da Nuvem de Pontos</t>
  </si>
  <si>
    <t>Verificação do Relatório da Nuvem de Pontos</t>
  </si>
  <si>
    <t>MARCO - RELATÓRIO DA NUVEM DE PONTOS</t>
  </si>
  <si>
    <t>Elaboração do Relatório de Inspeção</t>
  </si>
  <si>
    <t>Verificação do Relatório de Inspeção</t>
  </si>
  <si>
    <t>MARCO - RELATÓRIO DE INSPEÇÃO DE CAMPO</t>
  </si>
  <si>
    <t>Elaboração do As-Built</t>
  </si>
  <si>
    <t>Verificação do As-Built</t>
  </si>
  <si>
    <t>MARCO - AS BUILT</t>
  </si>
  <si>
    <t>FASE 2 - CÁLCULOS</t>
  </si>
  <si>
    <t>Análise da Documentação</t>
  </si>
  <si>
    <t>Modelagem Númerica do Galpão</t>
  </si>
  <si>
    <t>OK</t>
  </si>
  <si>
    <t>Falta de Recurso</t>
  </si>
  <si>
    <t>Atraso do Cliente</t>
  </si>
  <si>
    <t>Revisão do Documento</t>
  </si>
  <si>
    <t>MARCO - Envio do documento revisado (Rev_B)</t>
  </si>
  <si>
    <t>Atendimento a comentários</t>
  </si>
  <si>
    <t>MARCO - Emissão (Rev_B)</t>
  </si>
  <si>
    <t>77 - Descarregamento E Distribuicao De Soda Caustica</t>
  </si>
  <si>
    <t>83 - Casa De Bombas - Aspersão Do Patio Finos</t>
  </si>
  <si>
    <t>92 - Casa De Bombas - Espessamento</t>
  </si>
  <si>
    <t>178 - Sala De Controle Operacional Do Peneiramento</t>
  </si>
  <si>
    <t>74 - Casa De Bombas BV55</t>
  </si>
  <si>
    <t>147 - Cabine De Comando VV-01</t>
  </si>
  <si>
    <t>167 - Casa De Compressores</t>
  </si>
  <si>
    <t>173 - Britagem De Carvao - Supressao De PO</t>
  </si>
  <si>
    <t>184 - Casa De Compressores Peneiramento</t>
  </si>
  <si>
    <t>205 - Casa De Bombas De Oleo 2</t>
  </si>
  <si>
    <t>204 - Casa De Bombas De Oleo 1</t>
  </si>
  <si>
    <t>148 - Cabine De Comando VV-02 (Confirmar demolição)</t>
  </si>
  <si>
    <t>149 - Cabine De Comando VV-03</t>
  </si>
  <si>
    <t>85 - Predio Da Caldeira E Abrigo De Cilindros</t>
  </si>
  <si>
    <t>415 - Sala De Materiais E Controle</t>
  </si>
  <si>
    <t>180 - Sala De Controle 68 (By Pass)</t>
  </si>
  <si>
    <t>492 - Deposito De Materiais Radioativos</t>
  </si>
  <si>
    <t>406 - Subestacao Inversores 3Q65/69</t>
  </si>
  <si>
    <t>407 - Subestacao Precip. Eletrostatico 3R1 (3SE-PE)</t>
  </si>
  <si>
    <t>421 - Subestacao Eletrica Bacia De Decantacao 01</t>
  </si>
  <si>
    <t>425 - Subestacao Reservatorio Da Bacia 1 - SE-RBD1</t>
  </si>
  <si>
    <t>888I - Usina 8 - Subestacao De Servicos Aux. Dos Patios</t>
  </si>
  <si>
    <t>324 - Subestacao 7SEP-PSE</t>
  </si>
  <si>
    <t>254 - Se AXO 40</t>
  </si>
  <si>
    <t>243 - Sala Painel Eletrico - ETE Sul</t>
  </si>
  <si>
    <t>Elaboração do Projeto Conceitual das Fundações</t>
  </si>
  <si>
    <t>MARCO - PROJETO CONCEITUAL DAS FUNDAÇÕES</t>
  </si>
  <si>
    <t>Elaboração do Projeto Conceitual das Instalações Elétricas, Utilidades, SPDA, SPCI, ponte rolante, salas administrativas</t>
  </si>
  <si>
    <t>MARCO - PROJETO CONCEITUAL (INSTALAÇÕES ELÉTRICAS, UTILIDADES, SPDA, SPCI, PONTE ROLANTE, SALAS ADM.)</t>
  </si>
  <si>
    <t>MARCO - FOLHA DE DADOS</t>
  </si>
  <si>
    <t>MARCO - PLANILHA DE QUANTIDADES</t>
  </si>
  <si>
    <t>ESPECIFICAÇÃO TÉCNICA DE CONTRATAÇÃO "TURN-KEY"</t>
  </si>
  <si>
    <t>Elaboração da Especificação Técnica</t>
  </si>
  <si>
    <t>Verificação da Especificação Técnica</t>
  </si>
  <si>
    <t>MARCO - ESPECIFICAÇÃO TÉCNICA</t>
  </si>
  <si>
    <t>Elaboração do Projeto de Reforço do Galpão</t>
  </si>
  <si>
    <t>Verificação do Projeto de Reforço do Galpão</t>
  </si>
  <si>
    <t>MARCO - PROJETO DETALHADO/REFORÇO DO GALPÃO</t>
  </si>
  <si>
    <t>Elaboração da Planilha de Quantidades</t>
  </si>
  <si>
    <t>Verificação da Planilha de Quantidades</t>
  </si>
  <si>
    <t>Elaboração da Lista de Desenhos e Documentos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</si>
</sst>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26"/>
      <color theme="0"/>
      <name val="Calibri"/>
      <family val="2"/>
      <scheme val="minor"/>
    </font>
    <font>
      <b/>
      <sz val="11"/>
      <color rgb="FF2C4594"/>
      <name val="Calibri"/>
      <family val="2"/>
      <scheme val="minor"/>
    </font>
    <font>
      <b/>
      <sz val="16"/>
      <color rgb="FF5D9145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26"/>
      <color rgb="FFA5A8A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375623"/>
      <name val="Calibri"/>
      <family val="2"/>
      <scheme val="minor"/>
    </font>
    <font>
      <sz val="11"/>
      <color rgb="FF375623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6"/>
      <color rgb="FF2C4594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FFFF00"/>
      <name val="Calibri"/>
      <family val="2"/>
      <scheme val="minor"/>
    </font>
    <font>
      <b/>
      <sz val="11"/>
      <color rgb="FF1F3864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2C4594"/>
        <bgColor indexed="64"/>
      </patternFill>
    </fill>
    <fill>
      <patternFill patternType="solid">
        <fgColor rgb="FF2C944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20326A"/>
        <bgColor indexed="64"/>
      </patternFill>
    </fill>
    <fill>
      <patternFill patternType="solid">
        <fgColor rgb="FF3B5CC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4F8F2"/>
        <bgColor indexed="64"/>
      </patternFill>
    </fill>
    <fill>
      <patternFill patternType="solid">
        <fgColor rgb="FF5A76CE"/>
        <bgColor indexed="64"/>
      </patternFill>
    </fill>
    <fill>
      <patternFill patternType="solid">
        <fgColor rgb="FF889CDC"/>
        <bgColor indexed="64"/>
      </patternFill>
    </fill>
    <fill>
      <patternFill patternType="solid">
        <fgColor rgb="FFB8C4EA"/>
        <bgColor indexed="64"/>
      </patternFill>
    </fill>
    <fill>
      <patternFill patternType="solid">
        <fgColor rgb="FFA5A8A6"/>
        <bgColor indexed="64"/>
      </patternFill>
    </fill>
  </fills>
  <borders count="58">
    <border>
      <left/>
      <right/>
      <top/>
      <bottom/>
      <diagonal/>
    </border>
    <border>
      <left style="thin">
        <color theme="2"/>
      </left>
      <right style="thin">
        <color theme="2"/>
      </right>
      <top/>
      <bottom/>
      <diagonal/>
    </border>
    <border>
      <left/>
      <right style="thin">
        <color theme="2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/>
      <diagonal/>
    </border>
    <border>
      <left style="thin">
        <color theme="2"/>
      </left>
      <right style="thin">
        <color theme="2"/>
      </right>
      <top/>
      <bottom style="thin">
        <color theme="2"/>
      </bottom>
      <diagonal/>
    </border>
    <border>
      <left style="thin">
        <color theme="2"/>
      </left>
      <right/>
      <top style="thin">
        <color theme="2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rgb="FF2C4594"/>
      </left>
      <right style="thin">
        <color rgb="FF2C4594"/>
      </right>
      <top style="thin">
        <color rgb="FF2C4594"/>
      </top>
      <bottom style="thin">
        <color rgb="FF2C4594"/>
      </bottom>
      <diagonal/>
    </border>
    <border>
      <left style="thin">
        <color rgb="FF2C4594"/>
      </left>
      <right style="thin">
        <color rgb="FF2C4594"/>
      </right>
      <top style="thin">
        <color rgb="FF2C4594"/>
      </top>
      <bottom style="thin">
        <color theme="2"/>
      </bottom>
      <diagonal/>
    </border>
    <border>
      <left/>
      <right style="thin">
        <color rgb="FF2C4594"/>
      </right>
      <top/>
      <bottom/>
      <diagonal/>
    </border>
    <border>
      <left style="thin">
        <color theme="2"/>
      </left>
      <right style="thin">
        <color rgb="FF2C4594"/>
      </right>
      <top/>
      <bottom/>
      <diagonal/>
    </border>
    <border>
      <left style="thin">
        <color rgb="FF2C4594"/>
      </left>
      <right style="thin">
        <color rgb="FF2C4594"/>
      </right>
      <top style="thin">
        <color rgb="FF2C4594"/>
      </top>
      <bottom/>
      <diagonal/>
    </border>
    <border>
      <left style="medium">
        <color rgb="FF2C4594"/>
      </left>
      <right/>
      <top style="medium">
        <color rgb="FF2C4594"/>
      </top>
      <bottom/>
      <diagonal/>
    </border>
    <border>
      <left/>
      <right/>
      <top style="medium">
        <color rgb="FF2C4594"/>
      </top>
      <bottom/>
      <diagonal/>
    </border>
    <border>
      <left/>
      <right style="medium">
        <color rgb="FF2C4594"/>
      </right>
      <top style="medium">
        <color rgb="FF2C4594"/>
      </top>
      <bottom/>
      <diagonal/>
    </border>
    <border>
      <left style="medium">
        <color rgb="FF2C4594"/>
      </left>
      <right/>
      <top/>
      <bottom/>
      <diagonal/>
    </border>
    <border>
      <left/>
      <right style="medium">
        <color rgb="FF2C4594"/>
      </right>
      <top/>
      <bottom/>
      <diagonal/>
    </border>
    <border>
      <left style="medium">
        <color rgb="FF2C4594"/>
      </left>
      <right/>
      <top/>
      <bottom style="medium">
        <color rgb="FF2C4594"/>
      </bottom>
      <diagonal/>
    </border>
    <border>
      <left/>
      <right/>
      <top/>
      <bottom style="medium">
        <color rgb="FF2C4594"/>
      </bottom>
      <diagonal/>
    </border>
    <border>
      <left/>
      <right style="medium">
        <color rgb="FF2C4594"/>
      </right>
      <top/>
      <bottom style="medium">
        <color rgb="FF2C4594"/>
      </bottom>
      <diagonal/>
    </border>
    <border>
      <left/>
      <right/>
      <top/>
      <bottom style="thin">
        <color rgb="FF2C4594"/>
      </bottom>
      <diagonal/>
    </border>
    <border>
      <left style="medium">
        <color rgb="FF2C9449"/>
      </left>
      <right/>
      <top style="medium">
        <color rgb="FF2C9449"/>
      </top>
      <bottom/>
      <diagonal/>
    </border>
    <border>
      <left/>
      <right/>
      <top style="medium">
        <color rgb="FF2C9449"/>
      </top>
      <bottom/>
      <diagonal/>
    </border>
    <border>
      <left/>
      <right style="medium">
        <color rgb="FF2C9449"/>
      </right>
      <top style="medium">
        <color rgb="FF2C9449"/>
      </top>
      <bottom/>
      <diagonal/>
    </border>
    <border>
      <left style="medium">
        <color rgb="FF2C9449"/>
      </left>
      <right/>
      <top/>
      <bottom/>
      <diagonal/>
    </border>
    <border>
      <left/>
      <right style="medium">
        <color rgb="FF2C9449"/>
      </right>
      <top/>
      <bottom/>
      <diagonal/>
    </border>
    <border>
      <left style="medium">
        <color rgb="FF2C9449"/>
      </left>
      <right/>
      <top/>
      <bottom style="medium">
        <color rgb="FF2C9449"/>
      </bottom>
      <diagonal/>
    </border>
    <border>
      <left/>
      <right/>
      <top/>
      <bottom style="medium">
        <color rgb="FF2C9449"/>
      </bottom>
      <diagonal/>
    </border>
    <border>
      <left/>
      <right style="medium">
        <color rgb="FF2C9449"/>
      </right>
      <top/>
      <bottom style="medium">
        <color rgb="FF2C9449"/>
      </bottom>
      <diagonal/>
    </border>
    <border>
      <left style="thin">
        <color rgb="FFB1BBCC"/>
      </left>
      <right style="thin">
        <color rgb="FFB1BBCC"/>
      </right>
      <top style="thin">
        <color rgb="FFB1BBCC"/>
      </top>
      <bottom style="thin">
        <color rgb="FFB1BBCC"/>
      </bottom>
      <diagonal/>
    </border>
    <border>
      <left style="thin">
        <color rgb="FFB1BBCC"/>
      </left>
      <right/>
      <top style="thin">
        <color rgb="FFB1BBCC"/>
      </top>
      <bottom style="thin">
        <color rgb="FFB1BBCC"/>
      </bottom>
      <diagonal/>
    </border>
    <border>
      <left/>
      <right/>
      <top style="thin">
        <color rgb="FFB1BBCC"/>
      </top>
      <bottom style="thin">
        <color rgb="FFB1BBCC"/>
      </bottom>
      <diagonal/>
    </border>
    <border>
      <left/>
      <right style="thin">
        <color rgb="FFB1BBCC"/>
      </right>
      <top style="thin">
        <color rgb="FFB1BBCC"/>
      </top>
      <bottom style="thin">
        <color rgb="FFB1BBCC"/>
      </bottom>
      <diagonal/>
    </border>
    <border>
      <left style="thin">
        <color theme="2"/>
      </left>
      <right/>
      <top/>
      <bottom/>
      <diagonal/>
    </border>
    <border>
      <left style="thin">
        <color theme="2"/>
      </left>
      <right/>
      <top/>
      <bottom style="thin">
        <color rgb="FFB1BBCC"/>
      </bottom>
      <diagonal/>
    </border>
    <border>
      <left/>
      <right/>
      <top/>
      <bottom style="thin">
        <color rgb="FFB1BBCC"/>
      </bottom>
      <diagonal/>
    </border>
    <border>
      <left/>
      <right style="thin">
        <color theme="2"/>
      </right>
      <top/>
      <bottom style="thin">
        <color rgb="FFB1BBCC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Dashed">
        <color auto="1"/>
      </right>
      <top/>
      <bottom/>
      <diagonal/>
    </border>
    <border>
      <left style="mediumDashed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2">
    <xf numFmtId="0" fontId="0" fillId="0" borderId="0"/>
    <xf numFmtId="9" fontId="4" fillId="0" borderId="0" applyFont="0" applyFill="0" applyBorder="0" applyAlignment="0" applyProtection="0"/>
  </cellStyleXfs>
  <cellXfs count="174">
    <xf numFmtId="0" fontId="0" fillId="0" borderId="0" xfId="0"/>
    <xf numFmtId="0" fontId="0" fillId="2" borderId="0" xfId="0" applyFill="1"/>
    <xf numFmtId="0" fontId="0" fillId="3" borderId="1" xfId="0" applyFill="1" applyBorder="1"/>
    <xf numFmtId="0" fontId="0" fillId="0" borderId="0" xfId="0" applyAlignment="1">
      <alignment horizontal="left" vertical="center"/>
    </xf>
    <xf numFmtId="0" fontId="0" fillId="0" borderId="0" xfId="0" applyProtection="1">
      <protection locked="0"/>
    </xf>
    <xf numFmtId="0" fontId="0" fillId="2" borderId="0" xfId="0" applyFill="1" applyProtection="1">
      <protection locked="0"/>
    </xf>
    <xf numFmtId="0" fontId="1" fillId="5" borderId="9" xfId="0" applyFont="1" applyFill="1" applyBorder="1" applyAlignment="1" applyProtection="1">
      <alignment horizontal="center" vertical="center"/>
      <protection locked="0"/>
    </xf>
    <xf numFmtId="0" fontId="1" fillId="5" borderId="10" xfId="0" applyFont="1" applyFill="1" applyBorder="1" applyAlignment="1" applyProtection="1">
      <alignment horizontal="center" vertical="center"/>
      <protection locked="0"/>
    </xf>
    <xf numFmtId="0" fontId="1" fillId="5" borderId="14" xfId="0" applyFont="1" applyFill="1" applyBorder="1" applyAlignment="1" applyProtection="1">
      <alignment horizontal="center" vertical="center"/>
      <protection locked="0"/>
    </xf>
    <xf numFmtId="9" fontId="1" fillId="4" borderId="12" xfId="0" applyNumberFormat="1" applyFont="1" applyFill="1" applyBorder="1" applyAlignment="1" applyProtection="1">
      <alignment horizontal="center" vertical="center"/>
      <protection locked="0"/>
    </xf>
    <xf numFmtId="9" fontId="1" fillId="4" borderId="13" xfId="0" applyNumberFormat="1" applyFont="1" applyFill="1" applyBorder="1" applyAlignment="1" applyProtection="1">
      <alignment horizontal="center" vertical="center"/>
      <protection locked="0"/>
    </xf>
    <xf numFmtId="9" fontId="1" fillId="4" borderId="15" xfId="0" applyNumberFormat="1" applyFont="1" applyFill="1" applyBorder="1" applyAlignment="1" applyProtection="1">
      <alignment horizontal="center" vertical="center"/>
      <protection locked="0"/>
    </xf>
    <xf numFmtId="9" fontId="0" fillId="2" borderId="0" xfId="1" applyFont="1" applyFill="1" applyProtection="1">
      <protection locked="0"/>
    </xf>
    <xf numFmtId="0" fontId="0" fillId="6" borderId="0" xfId="0" applyFill="1" applyProtection="1">
      <protection locked="0"/>
    </xf>
    <xf numFmtId="0" fontId="1" fillId="5" borderId="16" xfId="0" applyFont="1" applyFill="1" applyBorder="1" applyAlignment="1" applyProtection="1">
      <alignment horizontal="center" vertical="center"/>
      <protection locked="0"/>
    </xf>
    <xf numFmtId="0" fontId="1" fillId="5" borderId="11" xfId="0" applyFont="1" applyFill="1" applyBorder="1" applyAlignment="1" applyProtection="1">
      <alignment horizontal="center" vertical="center"/>
      <protection locked="0"/>
    </xf>
    <xf numFmtId="9" fontId="1" fillId="4" borderId="17" xfId="0" applyNumberFormat="1" applyFont="1" applyFill="1" applyBorder="1" applyAlignment="1" applyProtection="1">
      <alignment horizontal="center" vertical="center"/>
      <protection locked="0"/>
    </xf>
    <xf numFmtId="0" fontId="1" fillId="5" borderId="18" xfId="0" applyFont="1" applyFill="1" applyBorder="1" applyAlignment="1" applyProtection="1">
      <alignment horizontal="center" vertical="center"/>
      <protection locked="0"/>
    </xf>
    <xf numFmtId="0" fontId="1" fillId="5" borderId="19" xfId="0" applyFont="1" applyFill="1" applyBorder="1" applyAlignment="1" applyProtection="1">
      <alignment horizontal="center" vertical="center"/>
      <protection locked="0"/>
    </xf>
    <xf numFmtId="0" fontId="0" fillId="6" borderId="0" xfId="0" applyFill="1"/>
    <xf numFmtId="0" fontId="7" fillId="4" borderId="21" xfId="0" applyFont="1" applyFill="1" applyBorder="1" applyAlignment="1">
      <alignment horizontal="center" vertical="center"/>
    </xf>
    <xf numFmtId="0" fontId="0" fillId="6" borderId="23" xfId="0" applyFill="1" applyBorder="1"/>
    <xf numFmtId="14" fontId="3" fillId="0" borderId="20" xfId="0" applyNumberFormat="1" applyFont="1" applyBorder="1" applyAlignment="1">
      <alignment horizontal="center" vertical="center"/>
    </xf>
    <xf numFmtId="0" fontId="0" fillId="3" borderId="24" xfId="0" applyFill="1" applyBorder="1"/>
    <xf numFmtId="0" fontId="0" fillId="0" borderId="34" xfId="0" applyBorder="1" applyProtection="1">
      <protection locked="0"/>
    </xf>
    <xf numFmtId="0" fontId="8" fillId="2" borderId="20" xfId="0" applyFont="1" applyFill="1" applyBorder="1" applyAlignment="1" applyProtection="1">
      <alignment horizontal="center" vertical="center"/>
      <protection locked="0"/>
    </xf>
    <xf numFmtId="0" fontId="0" fillId="0" borderId="0" xfId="0" applyAlignment="1">
      <alignment wrapText="1"/>
    </xf>
    <xf numFmtId="0" fontId="0" fillId="6" borderId="0" xfId="0" applyFill="1" applyAlignment="1" applyProtection="1">
      <alignment wrapText="1"/>
      <protection locked="0"/>
    </xf>
    <xf numFmtId="0" fontId="2" fillId="7" borderId="21" xfId="0" applyFont="1" applyFill="1" applyBorder="1" applyAlignment="1">
      <alignment horizontal="center" vertical="center"/>
    </xf>
    <xf numFmtId="0" fontId="7" fillId="4" borderId="25" xfId="0" applyFont="1" applyFill="1" applyBorder="1" applyAlignment="1">
      <alignment horizontal="center" vertical="center"/>
    </xf>
    <xf numFmtId="0" fontId="0" fillId="6" borderId="0" xfId="0" applyFill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0" fillId="3" borderId="24" xfId="0" applyFill="1" applyBorder="1" applyAlignment="1">
      <alignment horizontal="left" vertical="center"/>
    </xf>
    <xf numFmtId="0" fontId="0" fillId="6" borderId="23" xfId="0" applyFill="1" applyBorder="1" applyAlignment="1">
      <alignment horizontal="left" vertical="center"/>
    </xf>
    <xf numFmtId="0" fontId="3" fillId="0" borderId="20" xfId="0" applyFont="1" applyBorder="1" applyAlignment="1">
      <alignment wrapText="1"/>
    </xf>
    <xf numFmtId="0" fontId="2" fillId="6" borderId="22" xfId="0" applyFont="1" applyFill="1" applyBorder="1" applyAlignment="1" applyProtection="1">
      <alignment vertical="center" wrapText="1"/>
      <protection locked="0"/>
    </xf>
    <xf numFmtId="0" fontId="3" fillId="0" borderId="20" xfId="0" applyFont="1" applyBorder="1" applyAlignment="1">
      <alignment vertical="center" wrapText="1"/>
    </xf>
    <xf numFmtId="0" fontId="3" fillId="8" borderId="20" xfId="0" applyFont="1" applyFill="1" applyBorder="1" applyAlignment="1">
      <alignment vertical="center" wrapText="1"/>
    </xf>
    <xf numFmtId="14" fontId="3" fillId="8" borderId="20" xfId="0" applyNumberFormat="1" applyFont="1" applyFill="1" applyBorder="1" applyAlignment="1">
      <alignment horizontal="center" vertical="center"/>
    </xf>
    <xf numFmtId="0" fontId="0" fillId="5" borderId="0" xfId="0" applyFill="1" applyAlignment="1" applyProtection="1">
      <alignment horizontal="center" vertical="center" wrapText="1"/>
      <protection locked="0"/>
    </xf>
    <xf numFmtId="14" fontId="0" fillId="0" borderId="0" xfId="0" applyNumberFormat="1"/>
    <xf numFmtId="14" fontId="0" fillId="3" borderId="1" xfId="0" applyNumberFormat="1" applyFill="1" applyBorder="1"/>
    <xf numFmtId="14" fontId="0" fillId="6" borderId="0" xfId="0" applyNumberFormat="1" applyFill="1"/>
    <xf numFmtId="14" fontId="7" fillId="4" borderId="2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" borderId="0" xfId="0" applyFill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4" fontId="0" fillId="2" borderId="0" xfId="0" applyNumberFormat="1" applyFill="1" applyAlignment="1">
      <alignment horizontal="center" vertical="center"/>
    </xf>
    <xf numFmtId="0" fontId="11" fillId="9" borderId="43" xfId="0" applyFont="1" applyFill="1" applyBorder="1" applyAlignment="1">
      <alignment vertical="center" wrapText="1"/>
    </xf>
    <xf numFmtId="0" fontId="11" fillId="6" borderId="43" xfId="0" applyFont="1" applyFill="1" applyBorder="1" applyAlignment="1">
      <alignment vertical="center" wrapText="1"/>
    </xf>
    <xf numFmtId="0" fontId="11" fillId="10" borderId="43" xfId="0" applyFont="1" applyFill="1" applyBorder="1" applyAlignment="1">
      <alignment vertical="center" wrapText="1"/>
    </xf>
    <xf numFmtId="0" fontId="12" fillId="11" borderId="43" xfId="0" applyFont="1" applyFill="1" applyBorder="1" applyAlignment="1">
      <alignment vertical="center" wrapText="1"/>
    </xf>
    <xf numFmtId="0" fontId="13" fillId="12" borderId="43" xfId="0" applyFont="1" applyFill="1" applyBorder="1" applyAlignment="1">
      <alignment vertical="center" wrapText="1"/>
    </xf>
    <xf numFmtId="0" fontId="14" fillId="11" borderId="43" xfId="0" applyFont="1" applyFill="1" applyBorder="1" applyAlignment="1">
      <alignment vertical="center" wrapText="1"/>
    </xf>
    <xf numFmtId="0" fontId="11" fillId="13" borderId="43" xfId="0" applyFont="1" applyFill="1" applyBorder="1" applyAlignment="1">
      <alignment vertical="center" wrapText="1"/>
    </xf>
    <xf numFmtId="0" fontId="11" fillId="14" borderId="43" xfId="0" applyFont="1" applyFill="1" applyBorder="1" applyAlignment="1">
      <alignment vertical="center" wrapText="1"/>
    </xf>
    <xf numFmtId="16" fontId="0" fillId="5" borderId="1" xfId="0" applyNumberFormat="1" applyFill="1" applyBorder="1" applyAlignment="1">
      <alignment horizontal="center" vertical="center" wrapText="1"/>
    </xf>
    <xf numFmtId="16" fontId="0" fillId="5" borderId="4" xfId="0" applyNumberFormat="1" applyFill="1" applyBorder="1" applyAlignment="1">
      <alignment horizontal="center" vertical="center" wrapText="1"/>
    </xf>
    <xf numFmtId="0" fontId="0" fillId="5" borderId="2" xfId="0" applyFill="1" applyBorder="1" applyAlignment="1">
      <alignment horizontal="center" vertical="center" wrapText="1"/>
    </xf>
    <xf numFmtId="0" fontId="15" fillId="0" borderId="0" xfId="0" applyFont="1"/>
    <xf numFmtId="0" fontId="16" fillId="2" borderId="43" xfId="0" applyFont="1" applyFill="1" applyBorder="1" applyAlignment="1">
      <alignment horizontal="center" vertical="center"/>
    </xf>
    <xf numFmtId="0" fontId="7" fillId="11" borderId="43" xfId="0" applyFont="1" applyFill="1" applyBorder="1" applyAlignment="1">
      <alignment vertical="center" wrapText="1"/>
    </xf>
    <xf numFmtId="0" fontId="15" fillId="0" borderId="51" xfId="0" applyFont="1" applyBorder="1" applyAlignment="1">
      <alignment horizontal="center" vertical="center"/>
    </xf>
    <xf numFmtId="10" fontId="15" fillId="0" borderId="51" xfId="0" applyNumberFormat="1" applyFont="1" applyBorder="1" applyAlignment="1">
      <alignment horizontal="center" vertical="center"/>
    </xf>
    <xf numFmtId="9" fontId="0" fillId="0" borderId="0" xfId="1" applyFont="1"/>
    <xf numFmtId="9" fontId="1" fillId="5" borderId="9" xfId="1" applyFont="1" applyFill="1" applyBorder="1" applyAlignment="1" applyProtection="1">
      <alignment horizontal="center" vertical="center"/>
      <protection locked="0"/>
    </xf>
    <xf numFmtId="0" fontId="0" fillId="12" borderId="0" xfId="0" applyFill="1" applyAlignment="1">
      <alignment wrapText="1"/>
    </xf>
    <xf numFmtId="0" fontId="15" fillId="12" borderId="0" xfId="0" applyFont="1" applyFill="1"/>
    <xf numFmtId="0" fontId="0" fillId="12" borderId="0" xfId="0" applyFill="1"/>
    <xf numFmtId="0" fontId="0" fillId="12" borderId="0" xfId="0" applyFill="1" applyProtection="1">
      <protection locked="0"/>
    </xf>
    <xf numFmtId="0" fontId="3" fillId="8" borderId="20" xfId="0" applyFont="1" applyFill="1" applyBorder="1" applyAlignment="1">
      <alignment horizontal="center" vertical="center" wrapText="1"/>
    </xf>
    <xf numFmtId="14" fontId="3" fillId="8" borderId="20" xfId="0" applyNumberFormat="1" applyFont="1" applyFill="1" applyBorder="1" applyAlignment="1">
      <alignment horizontal="center" vertical="center" wrapText="1"/>
    </xf>
    <xf numFmtId="0" fontId="0" fillId="8" borderId="0" xfId="0" applyFill="1"/>
    <xf numFmtId="0" fontId="19" fillId="15" borderId="43" xfId="0" applyFont="1" applyFill="1" applyBorder="1" applyAlignment="1">
      <alignment vertical="center" wrapText="1"/>
    </xf>
    <xf numFmtId="9" fontId="0" fillId="0" borderId="51" xfId="1" applyFont="1" applyBorder="1" applyAlignment="1">
      <alignment horizontal="center" vertical="center"/>
    </xf>
    <xf numFmtId="0" fontId="0" fillId="0" borderId="51" xfId="0" applyBorder="1" applyAlignment="1">
      <alignment horizontal="center" vertical="center"/>
    </xf>
    <xf numFmtId="9" fontId="0" fillId="0" borderId="51" xfId="0" applyNumberFormat="1" applyBorder="1" applyAlignment="1">
      <alignment horizontal="center" vertical="center"/>
    </xf>
    <xf numFmtId="9" fontId="0" fillId="0" borderId="0" xfId="0" applyNumberFormat="1"/>
    <xf numFmtId="0" fontId="1" fillId="5" borderId="9" xfId="0" applyFont="1" applyFill="1" applyBorder="1" applyAlignment="1" applyProtection="1">
      <alignment horizontal="left" vertical="center"/>
      <protection locked="0"/>
    </xf>
    <xf numFmtId="0" fontId="0" fillId="0" borderId="55" xfId="0" applyBorder="1" applyAlignment="1">
      <alignment wrapText="1"/>
    </xf>
    <xf numFmtId="0" fontId="0" fillId="0" borderId="56" xfId="0" applyBorder="1" applyAlignment="1">
      <alignment wrapText="1"/>
    </xf>
    <xf numFmtId="0" fontId="15" fillId="0" borderId="57" xfId="0" applyFont="1" applyBorder="1" applyAlignment="1">
      <alignment horizontal="center" vertical="center"/>
    </xf>
    <xf numFmtId="0" fontId="15" fillId="0" borderId="0" xfId="0" applyFont="1" applyAlignment="1">
      <alignment horizontal="left" vertical="center"/>
    </xf>
    <xf numFmtId="0" fontId="15" fillId="0" borderId="0" xfId="0" applyFont="1" applyAlignment="1">
      <alignment horizontal="center" vertical="center"/>
    </xf>
    <xf numFmtId="0" fontId="14" fillId="2" borderId="43" xfId="0" applyFont="1" applyFill="1" applyBorder="1" applyAlignment="1">
      <alignment vertical="center" wrapText="1"/>
    </xf>
    <xf numFmtId="0" fontId="13" fillId="11" borderId="44" xfId="0" applyFont="1" applyFill="1" applyBorder="1" applyAlignment="1">
      <alignment horizontal="center" vertical="center" wrapText="1"/>
    </xf>
    <xf numFmtId="0" fontId="13" fillId="11" borderId="45" xfId="0" applyFont="1" applyFill="1" applyBorder="1" applyAlignment="1">
      <alignment horizontal="center" vertical="center" wrapText="1"/>
    </xf>
    <xf numFmtId="0" fontId="13" fillId="11" borderId="46" xfId="0" applyFont="1" applyFill="1" applyBorder="1" applyAlignment="1">
      <alignment horizontal="center" vertical="center" wrapText="1"/>
    </xf>
    <xf numFmtId="0" fontId="0" fillId="12" borderId="44" xfId="0" applyFill="1" applyBorder="1" applyAlignment="1">
      <alignment horizontal="center"/>
    </xf>
    <xf numFmtId="0" fontId="0" fillId="12" borderId="45" xfId="0" applyFill="1" applyBorder="1" applyAlignment="1">
      <alignment horizontal="center"/>
    </xf>
    <xf numFmtId="0" fontId="0" fillId="12" borderId="46" xfId="0" applyFill="1" applyBorder="1" applyAlignment="1">
      <alignment horizontal="center"/>
    </xf>
    <xf numFmtId="0" fontId="11" fillId="13" borderId="44" xfId="0" applyFont="1" applyFill="1" applyBorder="1" applyAlignment="1">
      <alignment horizontal="center" vertical="center" wrapText="1"/>
    </xf>
    <xf numFmtId="0" fontId="11" fillId="13" borderId="45" xfId="0" applyFont="1" applyFill="1" applyBorder="1" applyAlignment="1">
      <alignment horizontal="center" vertical="center" wrapText="1"/>
    </xf>
    <xf numFmtId="0" fontId="11" fillId="13" borderId="46" xfId="0" applyFont="1" applyFill="1" applyBorder="1" applyAlignment="1">
      <alignment horizontal="center" vertical="center" wrapText="1"/>
    </xf>
    <xf numFmtId="0" fontId="19" fillId="15" borderId="44" xfId="0" applyFont="1" applyFill="1" applyBorder="1" applyAlignment="1">
      <alignment horizontal="center" vertical="center" wrapText="1"/>
    </xf>
    <xf numFmtId="0" fontId="19" fillId="15" borderId="45" xfId="0" applyFont="1" applyFill="1" applyBorder="1" applyAlignment="1">
      <alignment horizontal="center" vertical="center" wrapText="1"/>
    </xf>
    <xf numFmtId="0" fontId="19" fillId="15" borderId="46" xfId="0" applyFont="1" applyFill="1" applyBorder="1" applyAlignment="1">
      <alignment horizontal="center" vertical="center" wrapText="1"/>
    </xf>
    <xf numFmtId="0" fontId="11" fillId="10" borderId="44" xfId="0" applyFont="1" applyFill="1" applyBorder="1" applyAlignment="1">
      <alignment horizontal="center" vertical="center" wrapText="1"/>
    </xf>
    <xf numFmtId="0" fontId="11" fillId="10" borderId="45" xfId="0" applyFont="1" applyFill="1" applyBorder="1" applyAlignment="1">
      <alignment horizontal="center" vertical="center" wrapText="1"/>
    </xf>
    <xf numFmtId="0" fontId="11" fillId="10" borderId="46" xfId="0" applyFont="1" applyFill="1" applyBorder="1" applyAlignment="1">
      <alignment horizontal="center" vertical="center" wrapText="1"/>
    </xf>
    <xf numFmtId="0" fontId="15" fillId="0" borderId="51" xfId="0" applyFont="1" applyBorder="1" applyAlignment="1">
      <alignment horizontal="left" vertical="center"/>
    </xf>
    <xf numFmtId="0" fontId="11" fillId="6" borderId="44" xfId="0" applyFont="1" applyFill="1" applyBorder="1" applyAlignment="1">
      <alignment horizontal="center" vertical="center" wrapText="1"/>
    </xf>
    <xf numFmtId="0" fontId="11" fillId="6" borderId="45" xfId="0" applyFont="1" applyFill="1" applyBorder="1" applyAlignment="1">
      <alignment horizontal="center" vertical="center" wrapText="1"/>
    </xf>
    <xf numFmtId="0" fontId="11" fillId="6" borderId="46" xfId="0" applyFont="1" applyFill="1" applyBorder="1" applyAlignment="1">
      <alignment horizontal="center" vertical="center" wrapText="1"/>
    </xf>
    <xf numFmtId="0" fontId="0" fillId="0" borderId="52" xfId="0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54" xfId="0" applyBorder="1" applyAlignment="1">
      <alignment horizontal="center" vertical="center"/>
    </xf>
    <xf numFmtId="0" fontId="15" fillId="0" borderId="51" xfId="0" applyFont="1" applyBorder="1" applyAlignment="1">
      <alignment horizontal="center" vertical="center"/>
    </xf>
    <xf numFmtId="16" fontId="0" fillId="5" borderId="1" xfId="0" applyNumberFormat="1" applyFill="1" applyBorder="1" applyAlignment="1">
      <alignment horizontal="center" vertical="center" wrapText="1"/>
    </xf>
    <xf numFmtId="16" fontId="0" fillId="5" borderId="4" xfId="0" applyNumberFormat="1" applyFill="1" applyBorder="1" applyAlignment="1">
      <alignment horizontal="center" vertical="center" wrapText="1"/>
    </xf>
    <xf numFmtId="16" fontId="0" fillId="12" borderId="1" xfId="0" applyNumberFormat="1" applyFill="1" applyBorder="1" applyAlignment="1">
      <alignment horizontal="center" vertical="center" wrapText="1"/>
    </xf>
    <xf numFmtId="16" fontId="0" fillId="12" borderId="4" xfId="0" applyNumberFormat="1" applyFill="1" applyBorder="1" applyAlignment="1">
      <alignment horizontal="center" vertical="center" wrapText="1"/>
    </xf>
    <xf numFmtId="16" fontId="0" fillId="16" borderId="1" xfId="0" applyNumberFormat="1" applyFill="1" applyBorder="1" applyAlignment="1">
      <alignment horizontal="center" vertical="center" wrapText="1"/>
    </xf>
    <xf numFmtId="16" fontId="0" fillId="16" borderId="4" xfId="0" applyNumberFormat="1" applyFill="1" applyBorder="1" applyAlignment="1">
      <alignment horizontal="center" vertical="center" wrapText="1"/>
    </xf>
    <xf numFmtId="16" fontId="7" fillId="5" borderId="47" xfId="0" applyNumberFormat="1" applyFont="1" applyFill="1" applyBorder="1" applyAlignment="1">
      <alignment horizontal="center" vertical="center" wrapText="1"/>
    </xf>
    <xf numFmtId="16" fontId="7" fillId="5" borderId="0" xfId="0" applyNumberFormat="1" applyFont="1" applyFill="1" applyAlignment="1">
      <alignment horizontal="center" vertical="center" wrapText="1"/>
    </xf>
    <xf numFmtId="16" fontId="7" fillId="5" borderId="2" xfId="0" applyNumberFormat="1" applyFont="1" applyFill="1" applyBorder="1" applyAlignment="1">
      <alignment horizontal="center" vertical="center" wrapText="1"/>
    </xf>
    <xf numFmtId="16" fontId="7" fillId="5" borderId="48" xfId="0" applyNumberFormat="1" applyFont="1" applyFill="1" applyBorder="1" applyAlignment="1">
      <alignment horizontal="center" vertical="center" wrapText="1"/>
    </xf>
    <xf numFmtId="16" fontId="7" fillId="5" borderId="49" xfId="0" applyNumberFormat="1" applyFont="1" applyFill="1" applyBorder="1" applyAlignment="1">
      <alignment horizontal="center" vertical="center" wrapText="1"/>
    </xf>
    <xf numFmtId="16" fontId="7" fillId="5" borderId="50" xfId="0" applyNumberFormat="1" applyFont="1" applyFill="1" applyBorder="1" applyAlignment="1">
      <alignment horizontal="center" vertical="center" wrapText="1"/>
    </xf>
    <xf numFmtId="0" fontId="18" fillId="9" borderId="44" xfId="0" applyFont="1" applyFill="1" applyBorder="1" applyAlignment="1">
      <alignment horizontal="center" vertical="center" wrapText="1"/>
    </xf>
    <xf numFmtId="0" fontId="18" fillId="9" borderId="45" xfId="0" applyFont="1" applyFill="1" applyBorder="1" applyAlignment="1">
      <alignment horizontal="center" vertical="center" wrapText="1"/>
    </xf>
    <xf numFmtId="0" fontId="18" fillId="9" borderId="46" xfId="0" applyFont="1" applyFill="1" applyBorder="1" applyAlignment="1">
      <alignment horizontal="center" vertical="center" wrapText="1"/>
    </xf>
    <xf numFmtId="16" fontId="9" fillId="6" borderId="3" xfId="0" applyNumberFormat="1" applyFont="1" applyFill="1" applyBorder="1" applyAlignment="1">
      <alignment horizontal="center" vertical="center"/>
    </xf>
    <xf numFmtId="0" fontId="9" fillId="6" borderId="1" xfId="0" applyFont="1" applyFill="1" applyBorder="1" applyAlignment="1">
      <alignment horizontal="center" vertical="center"/>
    </xf>
    <xf numFmtId="16" fontId="2" fillId="6" borderId="5" xfId="0" applyNumberFormat="1" applyFont="1" applyFill="1" applyBorder="1" applyAlignment="1">
      <alignment horizontal="center" vertical="center"/>
    </xf>
    <xf numFmtId="16" fontId="2" fillId="6" borderId="47" xfId="0" applyNumberFormat="1" applyFont="1" applyFill="1" applyBorder="1" applyAlignment="1">
      <alignment horizontal="center" vertical="center"/>
    </xf>
    <xf numFmtId="16" fontId="2" fillId="7" borderId="3" xfId="0" applyNumberFormat="1" applyFont="1" applyFill="1" applyBorder="1" applyAlignment="1" applyProtection="1">
      <alignment horizontal="center" vertical="center"/>
      <protection locked="0"/>
    </xf>
    <xf numFmtId="16" fontId="2" fillId="7" borderId="1" xfId="0" applyNumberFormat="1" applyFont="1" applyFill="1" applyBorder="1" applyAlignment="1" applyProtection="1">
      <alignment horizontal="center" vertical="center"/>
      <protection locked="0"/>
    </xf>
    <xf numFmtId="0" fontId="2" fillId="6" borderId="5" xfId="0" applyFont="1" applyFill="1" applyBorder="1" applyAlignment="1">
      <alignment horizontal="center" vertical="center"/>
    </xf>
    <xf numFmtId="0" fontId="2" fillId="6" borderId="47" xfId="0" applyFont="1" applyFill="1" applyBorder="1" applyAlignment="1">
      <alignment horizontal="center" vertical="center"/>
    </xf>
    <xf numFmtId="0" fontId="11" fillId="14" borderId="44" xfId="0" applyFont="1" applyFill="1" applyBorder="1" applyAlignment="1">
      <alignment horizontal="center" vertical="center" wrapText="1"/>
    </xf>
    <xf numFmtId="0" fontId="11" fillId="14" borderId="45" xfId="0" applyFont="1" applyFill="1" applyBorder="1" applyAlignment="1">
      <alignment horizontal="center" vertical="center" wrapText="1"/>
    </xf>
    <xf numFmtId="0" fontId="11" fillId="14" borderId="46" xfId="0" applyFont="1" applyFill="1" applyBorder="1" applyAlignment="1">
      <alignment horizontal="center" vertical="center" wrapText="1"/>
    </xf>
    <xf numFmtId="0" fontId="0" fillId="0" borderId="52" xfId="0" applyBorder="1" applyAlignment="1">
      <alignment horizontal="left" vertical="center"/>
    </xf>
    <xf numFmtId="0" fontId="0" fillId="0" borderId="53" xfId="0" applyBorder="1" applyAlignment="1">
      <alignment horizontal="left" vertical="center"/>
    </xf>
    <xf numFmtId="0" fontId="0" fillId="0" borderId="54" xfId="0" applyBorder="1" applyAlignment="1">
      <alignment horizontal="left" vertical="center"/>
    </xf>
    <xf numFmtId="0" fontId="15" fillId="0" borderId="52" xfId="0" applyFont="1" applyBorder="1" applyAlignment="1">
      <alignment horizontal="center" vertical="center"/>
    </xf>
    <xf numFmtId="0" fontId="15" fillId="0" borderId="53" xfId="0" applyFont="1" applyBorder="1" applyAlignment="1">
      <alignment horizontal="center" vertical="center"/>
    </xf>
    <xf numFmtId="0" fontId="15" fillId="0" borderId="54" xfId="0" applyFont="1" applyBorder="1" applyAlignment="1">
      <alignment horizontal="center" vertical="center"/>
    </xf>
    <xf numFmtId="16" fontId="0" fillId="5" borderId="23" xfId="0" applyNumberFormat="1" applyFill="1" applyBorder="1" applyAlignment="1">
      <alignment horizontal="center" vertical="center" wrapText="1"/>
    </xf>
    <xf numFmtId="0" fontId="0" fillId="5" borderId="0" xfId="0" applyFill="1" applyAlignment="1">
      <alignment horizontal="center" vertical="center" wrapText="1"/>
    </xf>
    <xf numFmtId="0" fontId="0" fillId="5" borderId="23" xfId="0" applyFill="1" applyBorder="1" applyAlignment="1">
      <alignment horizontal="center" vertical="center" wrapText="1"/>
    </xf>
    <xf numFmtId="0" fontId="2" fillId="6" borderId="23" xfId="0" applyFont="1" applyFill="1" applyBorder="1" applyAlignment="1">
      <alignment horizontal="center" vertical="center"/>
    </xf>
    <xf numFmtId="16" fontId="0" fillId="5" borderId="0" xfId="0" applyNumberFormat="1" applyFill="1" applyAlignment="1">
      <alignment horizontal="left" vertical="center" wrapText="1"/>
    </xf>
    <xf numFmtId="0" fontId="0" fillId="5" borderId="0" xfId="0" applyFill="1" applyAlignment="1">
      <alignment horizontal="left" vertical="center" wrapText="1"/>
    </xf>
    <xf numFmtId="14" fontId="0" fillId="5" borderId="0" xfId="0" applyNumberFormat="1" applyFill="1" applyAlignment="1">
      <alignment horizontal="center" vertical="center" wrapText="1"/>
    </xf>
    <xf numFmtId="16" fontId="0" fillId="5" borderId="0" xfId="0" applyNumberFormat="1" applyFill="1" applyAlignment="1">
      <alignment horizontal="center" vertical="center" wrapText="1"/>
    </xf>
    <xf numFmtId="0" fontId="6" fillId="7" borderId="35" xfId="0" applyFont="1" applyFill="1" applyBorder="1" applyAlignment="1" applyProtection="1">
      <alignment horizontal="center" vertical="center"/>
      <protection locked="0"/>
    </xf>
    <xf numFmtId="0" fontId="6" fillId="7" borderId="36" xfId="0" applyFont="1" applyFill="1" applyBorder="1" applyAlignment="1" applyProtection="1">
      <alignment horizontal="center" vertical="center"/>
      <protection locked="0"/>
    </xf>
    <xf numFmtId="0" fontId="6" fillId="7" borderId="37" xfId="0" applyFont="1" applyFill="1" applyBorder="1" applyAlignment="1" applyProtection="1">
      <alignment horizontal="center" vertical="center"/>
      <protection locked="0"/>
    </xf>
    <xf numFmtId="0" fontId="6" fillId="7" borderId="38" xfId="0" applyFont="1" applyFill="1" applyBorder="1" applyAlignment="1" applyProtection="1">
      <alignment horizontal="center" vertical="center"/>
      <protection locked="0"/>
    </xf>
    <xf numFmtId="0" fontId="6" fillId="7" borderId="0" xfId="0" applyFont="1" applyFill="1" applyAlignment="1" applyProtection="1">
      <alignment horizontal="center" vertical="center"/>
      <protection locked="0"/>
    </xf>
    <xf numFmtId="0" fontId="6" fillId="7" borderId="39" xfId="0" applyFont="1" applyFill="1" applyBorder="1" applyAlignment="1" applyProtection="1">
      <alignment horizontal="center" vertical="center"/>
      <protection locked="0"/>
    </xf>
    <xf numFmtId="0" fontId="6" fillId="7" borderId="40" xfId="0" applyFont="1" applyFill="1" applyBorder="1" applyAlignment="1" applyProtection="1">
      <alignment horizontal="center" vertical="center"/>
      <protection locked="0"/>
    </xf>
    <xf numFmtId="0" fontId="6" fillId="7" borderId="41" xfId="0" applyFont="1" applyFill="1" applyBorder="1" applyAlignment="1" applyProtection="1">
      <alignment horizontal="center" vertical="center"/>
      <protection locked="0"/>
    </xf>
    <xf numFmtId="0" fontId="6" fillId="7" borderId="42" xfId="0" applyFont="1" applyFill="1" applyBorder="1" applyAlignment="1" applyProtection="1">
      <alignment horizontal="center" vertical="center"/>
      <protection locked="0"/>
    </xf>
    <xf numFmtId="0" fontId="6" fillId="6" borderId="26" xfId="0" applyFont="1" applyFill="1" applyBorder="1" applyAlignment="1" applyProtection="1">
      <alignment horizontal="center" vertical="center"/>
      <protection locked="0"/>
    </xf>
    <xf numFmtId="0" fontId="6" fillId="6" borderId="27" xfId="0" applyFont="1" applyFill="1" applyBorder="1" applyAlignment="1" applyProtection="1">
      <alignment horizontal="center" vertical="center"/>
      <protection locked="0"/>
    </xf>
    <xf numFmtId="0" fontId="6" fillId="6" borderId="28" xfId="0" applyFont="1" applyFill="1" applyBorder="1" applyAlignment="1" applyProtection="1">
      <alignment horizontal="center" vertical="center"/>
      <protection locked="0"/>
    </xf>
    <xf numFmtId="0" fontId="6" fillId="6" borderId="29" xfId="0" applyFont="1" applyFill="1" applyBorder="1" applyAlignment="1" applyProtection="1">
      <alignment horizontal="center" vertical="center"/>
      <protection locked="0"/>
    </xf>
    <xf numFmtId="0" fontId="6" fillId="6" borderId="0" xfId="0" applyFont="1" applyFill="1" applyAlignment="1" applyProtection="1">
      <alignment horizontal="center" vertical="center"/>
      <protection locked="0"/>
    </xf>
    <xf numFmtId="0" fontId="6" fillId="6" borderId="30" xfId="0" applyFont="1" applyFill="1" applyBorder="1" applyAlignment="1" applyProtection="1">
      <alignment horizontal="center" vertical="center"/>
      <protection locked="0"/>
    </xf>
    <xf numFmtId="0" fontId="6" fillId="6" borderId="31" xfId="0" applyFont="1" applyFill="1" applyBorder="1" applyAlignment="1" applyProtection="1">
      <alignment horizontal="center" vertical="center"/>
      <protection locked="0"/>
    </xf>
    <xf numFmtId="0" fontId="6" fillId="6" borderId="32" xfId="0" applyFont="1" applyFill="1" applyBorder="1" applyAlignment="1" applyProtection="1">
      <alignment horizontal="center" vertical="center"/>
      <protection locked="0"/>
    </xf>
    <xf numFmtId="0" fontId="6" fillId="6" borderId="33" xfId="0" applyFont="1" applyFill="1" applyBorder="1" applyAlignment="1" applyProtection="1">
      <alignment horizontal="center" vertical="center"/>
      <protection locked="0"/>
    </xf>
    <xf numFmtId="16" fontId="10" fillId="2" borderId="29" xfId="0" applyNumberFormat="1" applyFont="1" applyFill="1" applyBorder="1" applyAlignment="1" applyProtection="1">
      <alignment horizontal="center" vertical="center"/>
      <protection locked="0"/>
    </xf>
    <xf numFmtId="0" fontId="10" fillId="2" borderId="0" xfId="0" applyFont="1" applyFill="1" applyAlignment="1" applyProtection="1">
      <alignment horizontal="center" vertical="center"/>
      <protection locked="0"/>
    </xf>
    <xf numFmtId="0" fontId="10" fillId="2" borderId="29" xfId="0" applyFont="1" applyFill="1" applyBorder="1" applyAlignment="1" applyProtection="1">
      <alignment horizontal="center" vertical="center"/>
      <protection locked="0"/>
    </xf>
    <xf numFmtId="0" fontId="5" fillId="6" borderId="6" xfId="0" applyFont="1" applyFill="1" applyBorder="1" applyAlignment="1" applyProtection="1">
      <alignment horizontal="center" vertical="center"/>
      <protection locked="0"/>
    </xf>
    <xf numFmtId="0" fontId="5" fillId="6" borderId="7" xfId="0" applyFont="1" applyFill="1" applyBorder="1" applyAlignment="1" applyProtection="1">
      <alignment horizontal="center" vertical="center"/>
      <protection locked="0"/>
    </xf>
    <xf numFmtId="0" fontId="5" fillId="6" borderId="8" xfId="0" applyFont="1" applyFill="1" applyBorder="1" applyAlignment="1" applyProtection="1">
      <alignment horizontal="center" vertical="center"/>
      <protection locked="0"/>
    </xf>
    <xf numFmtId="16" fontId="0" fillId="2" borderId="1" xfId="0" applyNumberFormat="1" applyFill="1" applyBorder="1" applyAlignment="1">
      <alignment horizontal="center" vertical="center" wrapText="1"/>
    </xf>
    <xf numFmtId="16" fontId="0" fillId="2" borderId="4" xfId="0" applyNumberFormat="1" applyFill="1" applyBorder="1" applyAlignment="1">
      <alignment horizontal="center" vertical="center" wrapText="1"/>
    </xf>
  </cellXfs>
  <cellStyles count="2">
    <cellStyle name="Normal" xfId="0" builtinId="0"/>
    <cellStyle name="Porcentagem" xfId="1" builtinId="5"/>
  </cellStyles>
  <dxfs count="93">
    <dxf>
      <font>
        <color rgb="FF5D9145"/>
      </font>
    </dxf>
    <dxf>
      <font>
        <color rgb="FFFF0000"/>
      </font>
    </dxf>
    <dxf>
      <font>
        <color theme="0"/>
      </font>
      <fill>
        <patternFill>
          <bgColor theme="0"/>
        </patternFill>
      </fill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b/>
        <i val="0"/>
      </font>
    </dxf>
    <dxf>
      <font>
        <b val="0"/>
        <i val="0"/>
        <color auto="1"/>
      </font>
    </dxf>
    <dxf>
      <font>
        <b/>
        <i val="0"/>
      </font>
    </dxf>
    <dxf>
      <font>
        <b val="0"/>
        <i val="0"/>
        <color auto="1"/>
      </font>
    </dxf>
  </dxfs>
  <tableStyles count="2" defaultTableStyle="TableStyleMedium2" defaultPivotStyle="PivotStyleLight16">
    <tableStyle name="Estilo de Segmentação de Dados 1" pivot="0" table="0" count="5" xr9:uid="{704B59EC-0DE0-421C-BE23-BCF915879D2C}">
      <tableStyleElement type="wholeTable" dxfId="92"/>
      <tableStyleElement type="headerRow" dxfId="91"/>
    </tableStyle>
    <tableStyle name="Estilo de Segmentação de Dados 1 2" pivot="0" table="0" count="5" xr9:uid="{ADA87C23-2F0C-4DF3-895A-21CE9CA9E690}">
      <tableStyleElement type="wholeTable" dxfId="90"/>
      <tableStyleElement type="headerRow" dxfId="89"/>
    </tableStyle>
  </tableStyles>
  <colors>
    <mruColors>
      <color rgb="FFFFABAB"/>
      <color rgb="FFD5E5D1"/>
      <color rgb="FFF4F8F2"/>
      <color rgb="FF3BC385"/>
      <color rgb="FF2C4594"/>
      <color rgb="FF211E5D"/>
      <color rgb="FF2C9449"/>
      <color rgb="FFA5A8A6"/>
      <color rgb="FF07485C"/>
      <color rgb="FF5D9145"/>
    </mruColors>
  </colors>
  <extLst>
    <ext xmlns:x14="http://schemas.microsoft.com/office/spreadsheetml/2009/9/main" uri="{46F421CA-312F-682f-3DD2-61675219B42D}">
      <x14:dxfs count="6">
        <dxf>
          <font>
            <b val="0"/>
            <i val="0"/>
            <color auto="1"/>
          </font>
          <fill>
            <patternFill>
              <bgColor theme="0" tint="-0.34998626667073579"/>
            </patternFill>
          </fill>
        </dxf>
        <dxf>
          <font>
            <b val="0"/>
            <i val="0"/>
            <color theme="0"/>
          </font>
          <fill>
            <patternFill>
              <bgColor rgb="FF7030A0"/>
            </patternFill>
          </fill>
        </dxf>
        <dxf>
          <fill>
            <patternFill>
              <bgColor theme="2"/>
            </patternFill>
          </fill>
        </dxf>
        <dxf>
          <font>
            <b val="0"/>
            <i val="0"/>
            <color auto="1"/>
          </font>
          <fill>
            <patternFill>
              <bgColor theme="0" tint="-0.34998626667073579"/>
            </patternFill>
          </fill>
        </dxf>
        <dxf>
          <font>
            <b val="0"/>
            <i val="0"/>
            <color theme="0"/>
          </font>
          <fill>
            <patternFill>
              <bgColor rgb="FF2C4594"/>
            </patternFill>
          </fill>
        </dxf>
        <dxf>
          <fill>
            <patternFill>
              <bgColor theme="2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Estilo de Segmentação de Dados 1">
          <x14:slicerStyleElements>
            <x14:slicerStyleElement type="unselectedItemWithData" dxfId="5"/>
            <x14:slicerStyleElement type="selectedItemWithData" dxfId="4"/>
            <x14:slicerStyleElement type="selectedItemWithNoData" dxfId="3"/>
          </x14:slicerStyleElements>
        </x14:slicerStyle>
        <x14:slicerStyle name="Estilo de Segmentação de Dados 1 2">
          <x14:slicerStyleElements>
            <x14:slicerStyleElement type="unselectedItemWithData" dxfId="2"/>
            <x14:slicerStyleElement type="selectedItemWithData" dxfId="1"/>
            <x14:slicerStyleElement type="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externalLink" Target="externalLinks/externalLink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472F91"/>
              </a:solidFill>
              <a:ln>
                <a:noFill/>
              </a:ln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B2EC-41F7-8743-D301F03D1073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B2EC-41F7-8743-D301F03D1073}"/>
              </c:ext>
            </c:extLst>
          </c:dPt>
          <c:dPt>
            <c:idx val="2"/>
            <c:invertIfNegative val="0"/>
            <c:bubble3D val="0"/>
            <c:spPr>
              <a:solidFill>
                <a:srgbClr val="A5A8A6"/>
              </a:solidFill>
              <a:ln>
                <a:noFill/>
              </a:ln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8-A175-4765-BED0-61933FE6F8B8}"/>
              </c:ext>
            </c:extLst>
          </c:dPt>
          <c:dPt>
            <c:idx val="3"/>
            <c:invertIfNegative val="0"/>
            <c:bubble3D val="0"/>
            <c:spPr>
              <a:solidFill>
                <a:srgbClr val="2C9449"/>
              </a:solidFill>
              <a:ln>
                <a:noFill/>
              </a:ln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B2EC-41F7-8743-D301F03D1073}"/>
              </c:ext>
            </c:extLst>
          </c:dPt>
          <c:dPt>
            <c:idx val="4"/>
            <c:invertIfNegative val="0"/>
            <c:bubble3D val="0"/>
            <c:spPr>
              <a:solidFill>
                <a:srgbClr val="07485C"/>
              </a:solidFill>
              <a:ln>
                <a:noFill/>
              </a:ln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4-B2EC-41F7-8743-D301F03D1073}"/>
              </c:ext>
            </c:extLst>
          </c:dPt>
          <c:dPt>
            <c:idx val="5"/>
            <c:invertIfNegative val="0"/>
            <c:bubble3D val="0"/>
            <c:spPr>
              <a:solidFill>
                <a:srgbClr val="2C4594"/>
              </a:solidFill>
              <a:ln>
                <a:solidFill>
                  <a:schemeClr val="bg1"/>
                </a:solidFill>
              </a:ln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A-ACB6-4A3F-B288-90719D9ABFA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ADERÊNCIA!$B$12:$G$12</c:f>
              <c:strCache>
                <c:ptCount val="6"/>
                <c:pt idx="0">
                  <c:v>ANA</c:v>
                </c:pt>
                <c:pt idx="1">
                  <c:v>ADRIANO</c:v>
                </c:pt>
                <c:pt idx="2">
                  <c:v>JOÃO</c:v>
                </c:pt>
                <c:pt idx="3">
                  <c:v>ROGERIO</c:v>
                </c:pt>
                <c:pt idx="4">
                  <c:v>MARCOS</c:v>
                </c:pt>
                <c:pt idx="5">
                  <c:v>ENGENHARIA</c:v>
                </c:pt>
              </c:strCache>
            </c:strRef>
          </c:cat>
          <c:val>
            <c:numRef>
              <c:f>ADERÊNCIA!$B$13:$G$13</c:f>
              <c:numCache>
                <c:formatCode>0%</c:formatCode>
                <c:ptCount val="6"/>
                <c:pt idx="0">
                  <c:v>0.42857142857142855</c:v>
                </c:pt>
                <c:pt idx="5">
                  <c:v>0.42857142857142855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2EC-41F7-8743-D301F03D1073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00"/>
        <c:axId val="1618748111"/>
        <c:axId val="1618748943"/>
      </c:barChart>
      <c:lineChart>
        <c:grouping val="standard"/>
        <c:varyColors val="0"/>
        <c:ser>
          <c:idx val="1"/>
          <c:order val="1"/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val>
            <c:numRef>
              <c:f>ADERÊNCIA!$B$14:$G$14</c:f>
              <c:numCache>
                <c:formatCode>0%</c:formatCode>
                <c:ptCount val="6"/>
                <c:pt idx="0">
                  <c:v>0.8</c:v>
                </c:pt>
                <c:pt idx="1">
                  <c:v>0.8</c:v>
                </c:pt>
                <c:pt idx="2">
                  <c:v>0.8</c:v>
                </c:pt>
                <c:pt idx="3">
                  <c:v>0.8</c:v>
                </c:pt>
                <c:pt idx="4">
                  <c:v>0.8</c:v>
                </c:pt>
                <c:pt idx="5">
                  <c:v>0.8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ACB6-4A3F-B288-90719D9ABF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18748111"/>
        <c:axId val="1618748943"/>
      </c:lineChart>
      <c:catAx>
        <c:axId val="16187481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18748943"/>
        <c:crosses val="autoZero"/>
        <c:auto val="1"/>
        <c:lblAlgn val="ctr"/>
        <c:lblOffset val="100"/>
        <c:noMultiLvlLbl val="0"/>
      </c:catAx>
      <c:valAx>
        <c:axId val="1618748943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18748111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/>
    </a:solidFill>
    <a:ln w="9525" cap="flat" cmpd="sng" algn="ctr">
      <a:solidFill>
        <a:sysClr val="windowText" lastClr="000000">
          <a:alpha val="97000"/>
        </a:sys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472F91"/>
              </a:solidFill>
              <a:ln>
                <a:noFill/>
              </a:ln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33A1-49FE-991C-289004721C65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33A1-49FE-991C-289004721C65}"/>
              </c:ext>
            </c:extLst>
          </c:dPt>
          <c:dPt>
            <c:idx val="2"/>
            <c:invertIfNegative val="0"/>
            <c:bubble3D val="0"/>
            <c:spPr>
              <a:solidFill>
                <a:srgbClr val="A5A8A6"/>
              </a:solidFill>
              <a:ln>
                <a:noFill/>
              </a:ln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33A1-49FE-991C-289004721C65}"/>
              </c:ext>
            </c:extLst>
          </c:dPt>
          <c:dPt>
            <c:idx val="3"/>
            <c:invertIfNegative val="0"/>
            <c:bubble3D val="0"/>
            <c:spPr>
              <a:solidFill>
                <a:srgbClr val="2C9449"/>
              </a:solidFill>
              <a:ln>
                <a:noFill/>
              </a:ln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33A1-49FE-991C-289004721C65}"/>
              </c:ext>
            </c:extLst>
          </c:dPt>
          <c:dPt>
            <c:idx val="4"/>
            <c:invertIfNegative val="0"/>
            <c:bubble3D val="0"/>
            <c:spPr>
              <a:solidFill>
                <a:srgbClr val="07485C"/>
              </a:solidFill>
              <a:ln>
                <a:noFill/>
              </a:ln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A-3A94-43A6-BBB4-607AD21EC147}"/>
              </c:ext>
            </c:extLst>
          </c:dPt>
          <c:dPt>
            <c:idx val="5"/>
            <c:invertIfNegative val="0"/>
            <c:bubble3D val="0"/>
            <c:spPr>
              <a:solidFill>
                <a:srgbClr val="2C4594"/>
              </a:solidFill>
              <a:ln>
                <a:solidFill>
                  <a:schemeClr val="bg1"/>
                </a:solidFill>
              </a:ln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8-A97B-439F-A288-A7906625DAC6}"/>
              </c:ext>
            </c:extLst>
          </c:dPt>
          <c:dLbls>
            <c:dLbl>
              <c:idx val="1"/>
              <c:layout>
                <c:manualLayout>
                  <c:x val="0"/>
                  <c:y val="1.1140350877192982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3A1-49FE-991C-289004721C6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ADERÊNCIA!$B$49:$G$49</c:f>
              <c:strCache>
                <c:ptCount val="6"/>
                <c:pt idx="0">
                  <c:v>ANA</c:v>
                </c:pt>
                <c:pt idx="1">
                  <c:v>ADRIANO</c:v>
                </c:pt>
                <c:pt idx="2">
                  <c:v>JOÃO</c:v>
                </c:pt>
                <c:pt idx="3">
                  <c:v>ROGERIO</c:v>
                </c:pt>
                <c:pt idx="4">
                  <c:v>MARCOS</c:v>
                </c:pt>
                <c:pt idx="5">
                  <c:v>ENGENHARIA</c:v>
                </c:pt>
              </c:strCache>
            </c:strRef>
          </c:cat>
          <c:val>
            <c:numRef>
              <c:f>ADERÊNCIA!$B$50:$G$50</c:f>
              <c:numCache>
                <c:formatCode>0%</c:formatCode>
                <c:ptCount val="6"/>
                <c:pt idx="0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3A1-49FE-991C-289004721C6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6"/>
        <c:axId val="1618748111"/>
        <c:axId val="1618748943"/>
      </c:barChart>
      <c:lineChart>
        <c:grouping val="standard"/>
        <c:varyColors val="0"/>
        <c:ser>
          <c:idx val="1"/>
          <c:order val="1"/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ADERÊNCIA!$B$49:$G$49</c:f>
              <c:strCache>
                <c:ptCount val="6"/>
                <c:pt idx="0">
                  <c:v>ANA</c:v>
                </c:pt>
                <c:pt idx="1">
                  <c:v>ADRIANO</c:v>
                </c:pt>
                <c:pt idx="2">
                  <c:v>JOÃO</c:v>
                </c:pt>
                <c:pt idx="3">
                  <c:v>ROGERIO</c:v>
                </c:pt>
                <c:pt idx="4">
                  <c:v>MARCOS</c:v>
                </c:pt>
                <c:pt idx="5">
                  <c:v>ENGENHARIA</c:v>
                </c:pt>
              </c:strCache>
            </c:strRef>
          </c:cat>
          <c:val>
            <c:numRef>
              <c:f>ADERÊNCIA!$B$51:$G$51</c:f>
              <c:numCache>
                <c:formatCode>0%</c:formatCode>
                <c:ptCount val="6"/>
                <c:pt idx="0">
                  <c:v>0.8</c:v>
                </c:pt>
                <c:pt idx="1">
                  <c:v>0.8</c:v>
                </c:pt>
                <c:pt idx="2">
                  <c:v>0.8</c:v>
                </c:pt>
                <c:pt idx="3">
                  <c:v>0.8</c:v>
                </c:pt>
                <c:pt idx="4">
                  <c:v>0.8</c:v>
                </c:pt>
                <c:pt idx="5">
                  <c:v>0.8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A97B-439F-A288-A7906625DA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18748111"/>
        <c:axId val="1618748943"/>
      </c:lineChart>
      <c:catAx>
        <c:axId val="16187481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18748943"/>
        <c:crosses val="autoZero"/>
        <c:auto val="1"/>
        <c:lblAlgn val="ctr"/>
        <c:lblOffset val="100"/>
        <c:noMultiLvlLbl val="0"/>
      </c:catAx>
      <c:valAx>
        <c:axId val="1618748943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18748111"/>
        <c:crosses val="autoZero"/>
        <c:crossBetween val="between"/>
        <c:majorUnit val="0.1"/>
      </c:valAx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>
              <a:outerShdw blurRad="50800" dist="38100" dir="16200000" rotWithShape="0">
                <a:prstClr val="black">
                  <a:alpha val="40000"/>
                </a:prstClr>
              </a:outerShdw>
            </a:effectLst>
          </c:spPr>
          <c:invertIfNegative val="0"/>
          <c:dPt>
            <c:idx val="0"/>
            <c:invertIfNegative val="0"/>
            <c:bubble3D val="0"/>
            <c:spPr>
              <a:solidFill>
                <a:srgbClr val="472F91"/>
              </a:solidFill>
              <a:ln>
                <a:noFill/>
              </a:ln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6-1DCC-48F3-BF06-79D4F2E6403C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1DCC-48F3-BF06-79D4F2E6403C}"/>
              </c:ext>
            </c:extLst>
          </c:dPt>
          <c:dPt>
            <c:idx val="2"/>
            <c:invertIfNegative val="0"/>
            <c:bubble3D val="0"/>
            <c:spPr>
              <a:solidFill>
                <a:srgbClr val="A5A8A6"/>
              </a:solidFill>
              <a:ln>
                <a:noFill/>
              </a:ln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5739-498C-86DE-021805847225}"/>
              </c:ext>
            </c:extLst>
          </c:dPt>
          <c:dPt>
            <c:idx val="3"/>
            <c:invertIfNegative val="0"/>
            <c:bubble3D val="0"/>
            <c:spPr>
              <a:solidFill>
                <a:srgbClr val="2C9449"/>
              </a:solidFill>
              <a:ln>
                <a:noFill/>
              </a:ln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5739-498C-86DE-021805847225}"/>
              </c:ext>
            </c:extLst>
          </c:dPt>
          <c:dPt>
            <c:idx val="4"/>
            <c:invertIfNegative val="0"/>
            <c:bubble3D val="0"/>
            <c:spPr>
              <a:solidFill>
                <a:srgbClr val="07485C"/>
              </a:solidFill>
              <a:ln>
                <a:noFill/>
              </a:ln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8-1DCC-48F3-BF06-79D4F2E6403C}"/>
              </c:ext>
            </c:extLst>
          </c:dPt>
          <c:dPt>
            <c:idx val="5"/>
            <c:invertIfNegative val="0"/>
            <c:bubble3D val="0"/>
            <c:spPr>
              <a:solidFill>
                <a:srgbClr val="2C4594"/>
              </a:solidFill>
              <a:ln>
                <a:solidFill>
                  <a:schemeClr val="bg1"/>
                </a:solidFill>
              </a:ln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4-5BF8-4E7C-903D-3427DE664F2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ADERÊNCIA!$B$73:$G$73</c:f>
              <c:strCache>
                <c:ptCount val="6"/>
                <c:pt idx="0">
                  <c:v>ANA</c:v>
                </c:pt>
                <c:pt idx="1">
                  <c:v>ADRIANO</c:v>
                </c:pt>
                <c:pt idx="2">
                  <c:v>JOÃO</c:v>
                </c:pt>
                <c:pt idx="3">
                  <c:v>ROGERIO</c:v>
                </c:pt>
                <c:pt idx="4">
                  <c:v>MARCOS</c:v>
                </c:pt>
                <c:pt idx="5">
                  <c:v>ENGENHARIA</c:v>
                </c:pt>
              </c:strCache>
            </c:strRef>
          </c:cat>
          <c:val>
            <c:numRef>
              <c:f>ADERÊNCIA!$B$74:$G$74</c:f>
              <c:numCache>
                <c:formatCode>0%</c:formatCode>
                <c:ptCount val="6"/>
                <c:pt idx="0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739-498C-86DE-02180584722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00"/>
        <c:axId val="1618748111"/>
        <c:axId val="1618748943"/>
      </c:barChart>
      <c:lineChart>
        <c:grouping val="standard"/>
        <c:varyColors val="0"/>
        <c:ser>
          <c:idx val="1"/>
          <c:order val="1"/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ADERÊNCIA!$B$73:$G$73</c:f>
              <c:strCache>
                <c:ptCount val="6"/>
                <c:pt idx="0">
                  <c:v>ANA</c:v>
                </c:pt>
                <c:pt idx="1">
                  <c:v>ADRIANO</c:v>
                </c:pt>
                <c:pt idx="2">
                  <c:v>JOÃO</c:v>
                </c:pt>
                <c:pt idx="3">
                  <c:v>ROGERIO</c:v>
                </c:pt>
                <c:pt idx="4">
                  <c:v>MARCOS</c:v>
                </c:pt>
                <c:pt idx="5">
                  <c:v>ENGENHARIA</c:v>
                </c:pt>
              </c:strCache>
            </c:strRef>
          </c:cat>
          <c:val>
            <c:numRef>
              <c:f>ADERÊNCIA!$B$75:$G$75</c:f>
              <c:numCache>
                <c:formatCode>0%</c:formatCode>
                <c:ptCount val="6"/>
                <c:pt idx="0">
                  <c:v>0.8</c:v>
                </c:pt>
                <c:pt idx="1">
                  <c:v>0.8</c:v>
                </c:pt>
                <c:pt idx="2">
                  <c:v>0.8</c:v>
                </c:pt>
                <c:pt idx="3">
                  <c:v>0.8</c:v>
                </c:pt>
                <c:pt idx="4">
                  <c:v>0.8</c:v>
                </c:pt>
                <c:pt idx="5">
                  <c:v>0.8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5BF8-4E7C-903D-3427DE664F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18748111"/>
        <c:axId val="1618748943"/>
      </c:lineChart>
      <c:catAx>
        <c:axId val="16187481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18748943"/>
        <c:crosses val="autoZero"/>
        <c:auto val="1"/>
        <c:lblAlgn val="ctr"/>
        <c:lblOffset val="100"/>
        <c:noMultiLvlLbl val="0"/>
      </c:catAx>
      <c:valAx>
        <c:axId val="1618748943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18748111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>
              <a:outerShdw blurRad="50800" dist="38100" dir="16200000" rotWithShape="0">
                <a:prstClr val="black">
                  <a:alpha val="40000"/>
                </a:prstClr>
              </a:outerShdw>
            </a:effectLst>
          </c:spPr>
          <c:invertIfNegative val="0"/>
          <c:dPt>
            <c:idx val="0"/>
            <c:invertIfNegative val="0"/>
            <c:bubble3D val="0"/>
            <c:spPr>
              <a:solidFill>
                <a:srgbClr val="472F91"/>
              </a:solidFill>
              <a:ln>
                <a:noFill/>
              </a:ln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F523-4A36-8220-BAE534BB9CFA}"/>
              </c:ext>
            </c:extLst>
          </c:dPt>
          <c:dPt>
            <c:idx val="1"/>
            <c:invertIfNegative val="0"/>
            <c:bubble3D val="0"/>
            <c:spPr>
              <a:solidFill>
                <a:srgbClr val="FFC000"/>
              </a:solidFill>
              <a:ln>
                <a:noFill/>
              </a:ln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F523-4A36-8220-BAE534BB9CFA}"/>
              </c:ext>
            </c:extLst>
          </c:dPt>
          <c:dPt>
            <c:idx val="2"/>
            <c:invertIfNegative val="0"/>
            <c:bubble3D val="0"/>
            <c:spPr>
              <a:solidFill>
                <a:srgbClr val="A5A8A6"/>
              </a:solidFill>
              <a:ln>
                <a:noFill/>
              </a:ln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8-236E-4DE0-94F9-7E52BA8D098A}"/>
              </c:ext>
            </c:extLst>
          </c:dPt>
          <c:dPt>
            <c:idx val="3"/>
            <c:invertIfNegative val="0"/>
            <c:bubble3D val="0"/>
            <c:spPr>
              <a:solidFill>
                <a:srgbClr val="2C9449"/>
              </a:solidFill>
              <a:ln>
                <a:noFill/>
              </a:ln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F523-4A36-8220-BAE534BB9CFA}"/>
              </c:ext>
            </c:extLst>
          </c:dPt>
          <c:dPt>
            <c:idx val="4"/>
            <c:invertIfNegative val="0"/>
            <c:bubble3D val="0"/>
            <c:spPr>
              <a:solidFill>
                <a:srgbClr val="07485C"/>
              </a:solidFill>
              <a:ln>
                <a:noFill/>
              </a:ln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F523-4A36-8220-BAE534BB9CFA}"/>
              </c:ext>
            </c:extLst>
          </c:dPt>
          <c:dPt>
            <c:idx val="5"/>
            <c:invertIfNegative val="0"/>
            <c:bubble3D val="0"/>
            <c:spPr>
              <a:solidFill>
                <a:srgbClr val="2C4594"/>
              </a:solidFill>
              <a:ln>
                <a:solidFill>
                  <a:schemeClr val="bg1"/>
                </a:solidFill>
              </a:ln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A-C3AB-468B-A94C-5BC7F4A3FECA}"/>
              </c:ext>
            </c:extLst>
          </c:dPt>
          <c:dLbls>
            <c:dLbl>
              <c:idx val="0"/>
              <c:layout>
                <c:manualLayout>
                  <c:x val="0"/>
                  <c:y val="1.4853801169590609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F523-4A36-8220-BAE534BB9CFA}"/>
                </c:ext>
              </c:extLst>
            </c:dLbl>
            <c:dLbl>
              <c:idx val="1"/>
              <c:layout>
                <c:manualLayout>
                  <c:x val="0"/>
                  <c:y val="2.2280701754385963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523-4A36-8220-BAE534BB9CF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ADERÊNCIA!$B$33:$G$33</c:f>
              <c:strCache>
                <c:ptCount val="6"/>
                <c:pt idx="0">
                  <c:v>ANA</c:v>
                </c:pt>
                <c:pt idx="1">
                  <c:v>ADRIANO</c:v>
                </c:pt>
                <c:pt idx="2">
                  <c:v>JOÃO</c:v>
                </c:pt>
                <c:pt idx="3">
                  <c:v>ROGERIO</c:v>
                </c:pt>
                <c:pt idx="4">
                  <c:v>MARCOS</c:v>
                </c:pt>
                <c:pt idx="5">
                  <c:v>ENGENHARIA</c:v>
                </c:pt>
              </c:strCache>
            </c:strRef>
          </c:cat>
          <c:val>
            <c:numRef>
              <c:f>ADERÊNCIA!$B$34:$G$34</c:f>
              <c:numCache>
                <c:formatCode>0%</c:formatCode>
                <c:ptCount val="6"/>
                <c:pt idx="0">
                  <c:v>0.48571428571428571</c:v>
                </c:pt>
                <c:pt idx="5">
                  <c:v>0.48571428571428571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523-4A36-8220-BAE534BB9CF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00"/>
        <c:axId val="1618748111"/>
        <c:axId val="1618748943"/>
      </c:barChart>
      <c:lineChart>
        <c:grouping val="standard"/>
        <c:varyColors val="0"/>
        <c:ser>
          <c:idx val="1"/>
          <c:order val="1"/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ADERÊNCIA!$B$33:$G$33</c:f>
              <c:strCache>
                <c:ptCount val="6"/>
                <c:pt idx="0">
                  <c:v>ANA</c:v>
                </c:pt>
                <c:pt idx="1">
                  <c:v>ADRIANO</c:v>
                </c:pt>
                <c:pt idx="2">
                  <c:v>JOÃO</c:v>
                </c:pt>
                <c:pt idx="3">
                  <c:v>ROGERIO</c:v>
                </c:pt>
                <c:pt idx="4">
                  <c:v>MARCOS</c:v>
                </c:pt>
                <c:pt idx="5">
                  <c:v>ENGENHARIA</c:v>
                </c:pt>
              </c:strCache>
            </c:strRef>
          </c:cat>
          <c:val>
            <c:numRef>
              <c:f>ADERÊNCIA!$B$35:$G$35</c:f>
              <c:numCache>
                <c:formatCode>0%</c:formatCode>
                <c:ptCount val="6"/>
                <c:pt idx="0">
                  <c:v>0.8</c:v>
                </c:pt>
                <c:pt idx="1">
                  <c:v>0.8</c:v>
                </c:pt>
                <c:pt idx="2">
                  <c:v>0.8</c:v>
                </c:pt>
                <c:pt idx="3">
                  <c:v>0.8</c:v>
                </c:pt>
                <c:pt idx="4">
                  <c:v>0.8</c:v>
                </c:pt>
                <c:pt idx="5">
                  <c:v>0.8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5BAA-4DFE-9752-705AEDCF38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18748111"/>
        <c:axId val="1618748943"/>
      </c:lineChart>
      <c:catAx>
        <c:axId val="16187481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18748943"/>
        <c:crosses val="autoZero"/>
        <c:auto val="1"/>
        <c:lblAlgn val="ctr"/>
        <c:lblOffset val="100"/>
        <c:noMultiLvlLbl val="0"/>
      </c:catAx>
      <c:valAx>
        <c:axId val="1618748943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18748111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>
              <a:outerShdw blurRad="50800" dist="38100" dir="16200000" rotWithShape="0">
                <a:prstClr val="black">
                  <a:alpha val="40000"/>
                </a:prstClr>
              </a:outerShdw>
            </a:effectLst>
          </c:spPr>
          <c:invertIfNegative val="0"/>
          <c:dPt>
            <c:idx val="0"/>
            <c:invertIfNegative val="0"/>
            <c:bubble3D val="0"/>
            <c:spPr>
              <a:solidFill>
                <a:srgbClr val="472F91"/>
              </a:solidFill>
              <a:ln>
                <a:noFill/>
              </a:ln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2249-405C-9A02-C4BD354BADAE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2249-405C-9A02-C4BD354BADAE}"/>
              </c:ext>
            </c:extLst>
          </c:dPt>
          <c:dPt>
            <c:idx val="2"/>
            <c:invertIfNegative val="0"/>
            <c:bubble3D val="0"/>
            <c:spPr>
              <a:solidFill>
                <a:srgbClr val="A5A8A6"/>
              </a:solidFill>
              <a:ln>
                <a:noFill/>
              </a:ln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8-A8AE-4104-898C-0B704422A6B0}"/>
              </c:ext>
            </c:extLst>
          </c:dPt>
          <c:dPt>
            <c:idx val="3"/>
            <c:invertIfNegative val="0"/>
            <c:bubble3D val="0"/>
            <c:spPr>
              <a:solidFill>
                <a:srgbClr val="2C9449"/>
              </a:solidFill>
              <a:ln>
                <a:noFill/>
              </a:ln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2249-405C-9A02-C4BD354BADAE}"/>
              </c:ext>
            </c:extLst>
          </c:dPt>
          <c:dPt>
            <c:idx val="4"/>
            <c:invertIfNegative val="0"/>
            <c:bubble3D val="0"/>
            <c:spPr>
              <a:solidFill>
                <a:srgbClr val="07485C"/>
              </a:solidFill>
              <a:ln>
                <a:noFill/>
              </a:ln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2249-405C-9A02-C4BD354BADAE}"/>
              </c:ext>
            </c:extLst>
          </c:dPt>
          <c:dPt>
            <c:idx val="5"/>
            <c:invertIfNegative val="0"/>
            <c:bubble3D val="0"/>
            <c:spPr>
              <a:solidFill>
                <a:srgbClr val="2C4594"/>
              </a:solidFill>
              <a:ln>
                <a:solidFill>
                  <a:schemeClr val="bg1"/>
                </a:solidFill>
              </a:ln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A-C18A-446A-A392-F56CCA8CEC5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ADERÊNCIA!$B$57:$G$57</c:f>
              <c:strCache>
                <c:ptCount val="6"/>
                <c:pt idx="0">
                  <c:v>ANA</c:v>
                </c:pt>
                <c:pt idx="1">
                  <c:v>ADRIANO</c:v>
                </c:pt>
                <c:pt idx="2">
                  <c:v>JOÃO</c:v>
                </c:pt>
                <c:pt idx="3">
                  <c:v>ROGERIO</c:v>
                </c:pt>
                <c:pt idx="4">
                  <c:v>MARCOS</c:v>
                </c:pt>
                <c:pt idx="5">
                  <c:v>ENGENHARIA</c:v>
                </c:pt>
              </c:strCache>
            </c:strRef>
          </c:cat>
          <c:val>
            <c:numRef>
              <c:f>ADERÊNCIA!$B$58:$G$58</c:f>
              <c:numCache>
                <c:formatCode>0%</c:formatCode>
                <c:ptCount val="6"/>
                <c:pt idx="0">
                  <c:v>0.34615384615384615</c:v>
                </c:pt>
                <c:pt idx="5">
                  <c:v>0.34615384615384615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249-405C-9A02-C4BD354BADAE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00"/>
        <c:axId val="1618748111"/>
        <c:axId val="1618748943"/>
      </c:barChart>
      <c:lineChart>
        <c:grouping val="standard"/>
        <c:varyColors val="0"/>
        <c:ser>
          <c:idx val="1"/>
          <c:order val="1"/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ADERÊNCIA!$B$57:$G$57</c:f>
              <c:strCache>
                <c:ptCount val="6"/>
                <c:pt idx="0">
                  <c:v>ANA</c:v>
                </c:pt>
                <c:pt idx="1">
                  <c:v>ADRIANO</c:v>
                </c:pt>
                <c:pt idx="2">
                  <c:v>JOÃO</c:v>
                </c:pt>
                <c:pt idx="3">
                  <c:v>ROGERIO</c:v>
                </c:pt>
                <c:pt idx="4">
                  <c:v>MARCOS</c:v>
                </c:pt>
                <c:pt idx="5">
                  <c:v>ENGENHARIA</c:v>
                </c:pt>
              </c:strCache>
            </c:strRef>
          </c:cat>
          <c:val>
            <c:numRef>
              <c:f>ADERÊNCIA!$B$59:$G$59</c:f>
              <c:numCache>
                <c:formatCode>0%</c:formatCode>
                <c:ptCount val="6"/>
                <c:pt idx="0">
                  <c:v>0.8</c:v>
                </c:pt>
                <c:pt idx="1">
                  <c:v>0.8</c:v>
                </c:pt>
                <c:pt idx="2">
                  <c:v>0.8</c:v>
                </c:pt>
                <c:pt idx="3">
                  <c:v>0.8</c:v>
                </c:pt>
                <c:pt idx="4">
                  <c:v>0.8</c:v>
                </c:pt>
                <c:pt idx="5">
                  <c:v>0.8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5765-458C-B372-5682BEFBE3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18748111"/>
        <c:axId val="1618748943"/>
      </c:lineChart>
      <c:catAx>
        <c:axId val="16187481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18748943"/>
        <c:crosses val="autoZero"/>
        <c:auto val="1"/>
        <c:lblAlgn val="ctr"/>
        <c:lblOffset val="100"/>
        <c:noMultiLvlLbl val="0"/>
      </c:catAx>
      <c:valAx>
        <c:axId val="1618748943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18748111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>
              <a:outerShdw blurRad="50800" dist="38100" dir="16200000" rotWithShape="0">
                <a:prstClr val="black">
                  <a:alpha val="40000"/>
                </a:prstClr>
              </a:outerShdw>
            </a:effectLst>
          </c:spPr>
          <c:invertIfNegative val="0"/>
          <c:dPt>
            <c:idx val="0"/>
            <c:invertIfNegative val="0"/>
            <c:bubble3D val="0"/>
            <c:spPr>
              <a:solidFill>
                <a:srgbClr val="472F91"/>
              </a:solidFill>
              <a:ln>
                <a:noFill/>
              </a:ln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AD27-468B-997F-0DAE0397AA62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AD27-468B-997F-0DAE0397AA62}"/>
              </c:ext>
            </c:extLst>
          </c:dPt>
          <c:dPt>
            <c:idx val="2"/>
            <c:invertIfNegative val="0"/>
            <c:bubble3D val="0"/>
            <c:spPr>
              <a:solidFill>
                <a:srgbClr val="A5A8A6"/>
              </a:solidFill>
              <a:ln>
                <a:noFill/>
              </a:ln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8-18C0-489B-9904-1528924EF6C1}"/>
              </c:ext>
            </c:extLst>
          </c:dPt>
          <c:dPt>
            <c:idx val="3"/>
            <c:invertIfNegative val="0"/>
            <c:bubble3D val="0"/>
            <c:spPr>
              <a:solidFill>
                <a:srgbClr val="2C9449"/>
              </a:solidFill>
              <a:ln>
                <a:noFill/>
              </a:ln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AD27-468B-997F-0DAE0397AA62}"/>
              </c:ext>
            </c:extLst>
          </c:dPt>
          <c:dPt>
            <c:idx val="4"/>
            <c:invertIfNegative val="0"/>
            <c:bubble3D val="0"/>
            <c:spPr>
              <a:solidFill>
                <a:srgbClr val="07485C"/>
              </a:solidFill>
              <a:ln>
                <a:noFill/>
              </a:ln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AD27-468B-997F-0DAE0397AA62}"/>
              </c:ext>
            </c:extLst>
          </c:dPt>
          <c:dPt>
            <c:idx val="5"/>
            <c:invertIfNegative val="0"/>
            <c:bubble3D val="0"/>
            <c:spPr>
              <a:solidFill>
                <a:srgbClr val="2C4594"/>
              </a:solidFill>
              <a:ln>
                <a:solidFill>
                  <a:schemeClr val="bg1"/>
                </a:solidFill>
              </a:ln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A-BAFE-44FC-A20D-5335EF534F1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ADERÊNCIA!$B$84:$G$84</c:f>
              <c:strCache>
                <c:ptCount val="6"/>
                <c:pt idx="0">
                  <c:v>ANA</c:v>
                </c:pt>
                <c:pt idx="1">
                  <c:v>ADRIANO</c:v>
                </c:pt>
                <c:pt idx="2">
                  <c:v>JOÃO</c:v>
                </c:pt>
                <c:pt idx="3">
                  <c:v>ROGERIO</c:v>
                </c:pt>
                <c:pt idx="4">
                  <c:v>MARCOS</c:v>
                </c:pt>
                <c:pt idx="5">
                  <c:v>ENGENHARIA</c:v>
                </c:pt>
              </c:strCache>
            </c:strRef>
          </c:cat>
          <c:val>
            <c:numRef>
              <c:f>ADERÊNCIA!$B$85:$G$85</c:f>
              <c:numCache>
                <c:formatCode>0%</c:formatCode>
                <c:ptCount val="6"/>
                <c:pt idx="0">
                  <c:v>0.29032258064516131</c:v>
                </c:pt>
                <c:pt idx="5">
                  <c:v>0.29032258064516131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D27-468B-997F-0DAE0397AA6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00"/>
        <c:axId val="1618748111"/>
        <c:axId val="1618748943"/>
      </c:barChart>
      <c:lineChart>
        <c:grouping val="standard"/>
        <c:varyColors val="0"/>
        <c:ser>
          <c:idx val="1"/>
          <c:order val="1"/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ADERÊNCIA!$B$84:$G$84</c:f>
              <c:strCache>
                <c:ptCount val="6"/>
                <c:pt idx="0">
                  <c:v>ANA</c:v>
                </c:pt>
                <c:pt idx="1">
                  <c:v>ADRIANO</c:v>
                </c:pt>
                <c:pt idx="2">
                  <c:v>JOÃO</c:v>
                </c:pt>
                <c:pt idx="3">
                  <c:v>ROGERIO</c:v>
                </c:pt>
                <c:pt idx="4">
                  <c:v>MARCOS</c:v>
                </c:pt>
                <c:pt idx="5">
                  <c:v>ENGENHARIA</c:v>
                </c:pt>
              </c:strCache>
            </c:strRef>
          </c:cat>
          <c:val>
            <c:numRef>
              <c:f>ADERÊNCIA!$B$86:$G$86</c:f>
              <c:numCache>
                <c:formatCode>0%</c:formatCode>
                <c:ptCount val="6"/>
                <c:pt idx="0">
                  <c:v>0.8</c:v>
                </c:pt>
                <c:pt idx="1">
                  <c:v>0.8</c:v>
                </c:pt>
                <c:pt idx="2">
                  <c:v>0.8</c:v>
                </c:pt>
                <c:pt idx="3">
                  <c:v>0.8</c:v>
                </c:pt>
                <c:pt idx="4">
                  <c:v>0.8</c:v>
                </c:pt>
                <c:pt idx="5">
                  <c:v>0.8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4607-41C5-88B7-015A432F32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18748111"/>
        <c:axId val="1618748943"/>
      </c:lineChart>
      <c:catAx>
        <c:axId val="16187481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18748943"/>
        <c:crosses val="autoZero"/>
        <c:auto val="1"/>
        <c:lblAlgn val="ctr"/>
        <c:lblOffset val="100"/>
        <c:noMultiLvlLbl val="0"/>
      </c:catAx>
      <c:valAx>
        <c:axId val="1618748943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18748111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>
              <a:outerShdw blurRad="50800" dist="38100" dir="16200000" rotWithShape="0">
                <a:prstClr val="black">
                  <a:alpha val="40000"/>
                </a:prstClr>
              </a:outerShdw>
            </a:effectLst>
          </c:spPr>
          <c:invertIfNegative val="0"/>
          <c:dPt>
            <c:idx val="0"/>
            <c:invertIfNegative val="0"/>
            <c:bubble3D val="0"/>
            <c:spPr>
              <a:solidFill>
                <a:srgbClr val="472F91"/>
              </a:solidFill>
              <a:ln>
                <a:noFill/>
              </a:ln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4F24-4563-AC29-49A28C2E78FB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4F24-4563-AC29-49A28C2E78FB}"/>
              </c:ext>
            </c:extLst>
          </c:dPt>
          <c:dPt>
            <c:idx val="2"/>
            <c:invertIfNegative val="0"/>
            <c:bubble3D val="0"/>
            <c:spPr>
              <a:solidFill>
                <a:srgbClr val="A5A8A6"/>
              </a:solidFill>
              <a:ln>
                <a:noFill/>
              </a:ln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0-4F24-4563-AC29-49A28C2E78FB}"/>
              </c:ext>
            </c:extLst>
          </c:dPt>
          <c:dPt>
            <c:idx val="3"/>
            <c:invertIfNegative val="0"/>
            <c:bubble3D val="0"/>
            <c:spPr>
              <a:solidFill>
                <a:srgbClr val="2C9449"/>
              </a:solidFill>
              <a:ln>
                <a:noFill/>
              </a:ln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4-4F24-4563-AC29-49A28C2E78FB}"/>
              </c:ext>
            </c:extLst>
          </c:dPt>
          <c:dPt>
            <c:idx val="4"/>
            <c:invertIfNegative val="0"/>
            <c:bubble3D val="0"/>
            <c:spPr>
              <a:solidFill>
                <a:srgbClr val="07485C"/>
              </a:solidFill>
              <a:ln>
                <a:noFill/>
              </a:ln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4F24-4563-AC29-49A28C2E78FB}"/>
              </c:ext>
            </c:extLst>
          </c:dPt>
          <c:dPt>
            <c:idx val="5"/>
            <c:invertIfNegative val="0"/>
            <c:bubble3D val="0"/>
            <c:spPr>
              <a:solidFill>
                <a:srgbClr val="2C4594"/>
              </a:solidFill>
              <a:ln>
                <a:solidFill>
                  <a:schemeClr val="bg1"/>
                </a:solidFill>
              </a:ln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4F24-4563-AC29-49A28C2E78F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ADERÊNCIA!$B$99:$G$99</c:f>
              <c:strCache>
                <c:ptCount val="6"/>
                <c:pt idx="0">
                  <c:v>ANA</c:v>
                </c:pt>
                <c:pt idx="1">
                  <c:v>ADRIANO</c:v>
                </c:pt>
                <c:pt idx="2">
                  <c:v>JOÃO</c:v>
                </c:pt>
                <c:pt idx="3">
                  <c:v>ROGERIO</c:v>
                </c:pt>
                <c:pt idx="4">
                  <c:v>MARCOS</c:v>
                </c:pt>
                <c:pt idx="5">
                  <c:v>ENGENHARIA</c:v>
                </c:pt>
              </c:strCache>
            </c:strRef>
          </c:cat>
          <c:val>
            <c:numRef>
              <c:f>ADERÊNCIA!$B$100:$G$100</c:f>
              <c:numCache>
                <c:formatCode>0%</c:formatCode>
                <c:ptCount val="6"/>
                <c:pt idx="0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F62-451E-B59C-B2404228017E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00"/>
        <c:axId val="1618748111"/>
        <c:axId val="1618748943"/>
      </c:barChart>
      <c:lineChart>
        <c:grouping val="standard"/>
        <c:varyColors val="0"/>
        <c:ser>
          <c:idx val="1"/>
          <c:order val="1"/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ADERÊNCIA!$B$99:$G$99</c:f>
              <c:strCache>
                <c:ptCount val="6"/>
                <c:pt idx="0">
                  <c:v>ANA</c:v>
                </c:pt>
                <c:pt idx="1">
                  <c:v>ADRIANO</c:v>
                </c:pt>
                <c:pt idx="2">
                  <c:v>JOÃO</c:v>
                </c:pt>
                <c:pt idx="3">
                  <c:v>ROGERIO</c:v>
                </c:pt>
                <c:pt idx="4">
                  <c:v>MARCOS</c:v>
                </c:pt>
                <c:pt idx="5">
                  <c:v>ENGENHARIA</c:v>
                </c:pt>
              </c:strCache>
            </c:strRef>
          </c:cat>
          <c:val>
            <c:numRef>
              <c:f>ADERÊNCIA!$B$101:$G$101</c:f>
              <c:numCache>
                <c:formatCode>0%</c:formatCode>
                <c:ptCount val="6"/>
                <c:pt idx="0">
                  <c:v>0.8</c:v>
                </c:pt>
                <c:pt idx="1">
                  <c:v>0.8</c:v>
                </c:pt>
                <c:pt idx="2">
                  <c:v>0.8</c:v>
                </c:pt>
                <c:pt idx="3">
                  <c:v>0.8</c:v>
                </c:pt>
                <c:pt idx="4">
                  <c:v>0.8</c:v>
                </c:pt>
                <c:pt idx="5">
                  <c:v>0.8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4F24-4563-AC29-49A28C2E78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18748111"/>
        <c:axId val="1618748943"/>
      </c:lineChart>
      <c:catAx>
        <c:axId val="16187481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18748943"/>
        <c:crosses val="autoZero"/>
        <c:auto val="1"/>
        <c:lblAlgn val="ctr"/>
        <c:lblOffset val="100"/>
        <c:noMultiLvlLbl val="0"/>
      </c:catAx>
      <c:valAx>
        <c:axId val="1618748943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18748111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'% DE DESVIO'!$A$16:$A$20</c15:sqref>
                  </c15:fullRef>
                </c:ext>
              </c:extLst>
              <c:f>'% DE DESVIO'!$A$17:$A$20</c:f>
              <c:strCach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'% DE DESVIO'!$C$16:$C$20</c15:sqref>
                  </c15:fullRef>
                </c:ext>
              </c:extLst>
              <c:f>'% DE DESVIO'!$C$17:$C$20</c:f>
              <c:numCache>
                <c:formatCode>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97-4C60-8132-BDC553C93624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00"/>
        <c:axId val="1618748111"/>
        <c:axId val="1618748943"/>
      </c:barChart>
      <c:catAx>
        <c:axId val="16187481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18748943"/>
        <c:crosses val="autoZero"/>
        <c:auto val="1"/>
        <c:lblAlgn val="ctr"/>
        <c:lblOffset val="100"/>
        <c:noMultiLvlLbl val="0"/>
      </c:catAx>
      <c:valAx>
        <c:axId val="1618748943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18748111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'PA ANA'!A1"/><Relationship Id="rId3" Type="http://schemas.openxmlformats.org/officeDocument/2006/relationships/image" Target="../media/image2.png"/><Relationship Id="rId7" Type="http://schemas.microsoft.com/office/2007/relationships/hdphoto" Target="../media/hdphoto2.wdp"/><Relationship Id="rId12" Type="http://schemas.openxmlformats.org/officeDocument/2006/relationships/hyperlink" Target="#'% DE DESVIO'!A1"/><Relationship Id="rId2" Type="http://schemas.openxmlformats.org/officeDocument/2006/relationships/image" Target="../media/image1.png"/><Relationship Id="rId1" Type="http://schemas.openxmlformats.org/officeDocument/2006/relationships/hyperlink" Target="#ADER&#202;NCIA!A1"/><Relationship Id="rId6" Type="http://schemas.openxmlformats.org/officeDocument/2006/relationships/image" Target="../media/image4.png"/><Relationship Id="rId11" Type="http://schemas.openxmlformats.org/officeDocument/2006/relationships/image" Target="../media/image6.svg"/><Relationship Id="rId5" Type="http://schemas.microsoft.com/office/2007/relationships/hdphoto" Target="../media/hdphoto1.wdp"/><Relationship Id="rId10" Type="http://schemas.openxmlformats.org/officeDocument/2006/relationships/image" Target="../media/image5.png"/><Relationship Id="rId4" Type="http://schemas.openxmlformats.org/officeDocument/2006/relationships/image" Target="../media/image3.png"/><Relationship Id="rId9" Type="http://schemas.openxmlformats.org/officeDocument/2006/relationships/hyperlink" Target="#'PA ROGERIO'!A1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png"/><Relationship Id="rId3" Type="http://schemas.openxmlformats.org/officeDocument/2006/relationships/image" Target="../media/image1.png"/><Relationship Id="rId7" Type="http://schemas.openxmlformats.org/officeDocument/2006/relationships/image" Target="../media/image6.svg"/><Relationship Id="rId2" Type="http://schemas.openxmlformats.org/officeDocument/2006/relationships/hyperlink" Target="#ADER&#202;NCIA!A1"/><Relationship Id="rId1" Type="http://schemas.openxmlformats.org/officeDocument/2006/relationships/image" Target="../media/image7.png"/><Relationship Id="rId6" Type="http://schemas.openxmlformats.org/officeDocument/2006/relationships/image" Target="../media/image5.png"/><Relationship Id="rId11" Type="http://schemas.microsoft.com/office/2007/relationships/hdphoto" Target="../media/hdphoto2.wdp"/><Relationship Id="rId5" Type="http://schemas.openxmlformats.org/officeDocument/2006/relationships/image" Target="../media/image2.png"/><Relationship Id="rId10" Type="http://schemas.openxmlformats.org/officeDocument/2006/relationships/image" Target="../media/image4.png"/><Relationship Id="rId4" Type="http://schemas.openxmlformats.org/officeDocument/2006/relationships/hyperlink" Target="#ANA!A1"/><Relationship Id="rId9" Type="http://schemas.microsoft.com/office/2007/relationships/hdphoto" Target="../media/hdphoto1.wdp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png"/><Relationship Id="rId13" Type="http://schemas.openxmlformats.org/officeDocument/2006/relationships/image" Target="../media/image2.png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hyperlink" Target="#ANA!A1"/><Relationship Id="rId17" Type="http://schemas.microsoft.com/office/2007/relationships/hdphoto" Target="../media/hdphoto2.wdp"/><Relationship Id="rId2" Type="http://schemas.openxmlformats.org/officeDocument/2006/relationships/chart" Target="../charts/chart2.xml"/><Relationship Id="rId16" Type="http://schemas.openxmlformats.org/officeDocument/2006/relationships/image" Target="../media/image4.png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microsoft.com/office/2007/relationships/hdphoto" Target="../media/hdphoto3.wdp"/><Relationship Id="rId5" Type="http://schemas.openxmlformats.org/officeDocument/2006/relationships/chart" Target="../charts/chart5.xml"/><Relationship Id="rId15" Type="http://schemas.microsoft.com/office/2007/relationships/hdphoto" Target="../media/hdphoto1.wdp"/><Relationship Id="rId10" Type="http://schemas.openxmlformats.org/officeDocument/2006/relationships/image" Target="../media/image8.png"/><Relationship Id="rId4" Type="http://schemas.openxmlformats.org/officeDocument/2006/relationships/chart" Target="../charts/chart4.xml"/><Relationship Id="rId9" Type="http://schemas.openxmlformats.org/officeDocument/2006/relationships/hyperlink" Target="#ADER&#202;NCIA!A1"/><Relationship Id="rId14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8" Type="http://schemas.microsoft.com/office/2007/relationships/hdphoto" Target="../media/hdphoto1.wdp"/><Relationship Id="rId3" Type="http://schemas.openxmlformats.org/officeDocument/2006/relationships/image" Target="../media/image8.png"/><Relationship Id="rId7" Type="http://schemas.openxmlformats.org/officeDocument/2006/relationships/image" Target="../media/image3.png"/><Relationship Id="rId2" Type="http://schemas.openxmlformats.org/officeDocument/2006/relationships/hyperlink" Target="#ADER&#202;NCIA!A1"/><Relationship Id="rId1" Type="http://schemas.openxmlformats.org/officeDocument/2006/relationships/image" Target="../media/image7.png"/><Relationship Id="rId6" Type="http://schemas.openxmlformats.org/officeDocument/2006/relationships/image" Target="../media/image2.png"/><Relationship Id="rId11" Type="http://schemas.openxmlformats.org/officeDocument/2006/relationships/chart" Target="../charts/chart8.xml"/><Relationship Id="rId5" Type="http://schemas.openxmlformats.org/officeDocument/2006/relationships/hyperlink" Target="#ANA!A1"/><Relationship Id="rId10" Type="http://schemas.microsoft.com/office/2007/relationships/hdphoto" Target="../media/hdphoto2.wdp"/><Relationship Id="rId4" Type="http://schemas.microsoft.com/office/2007/relationships/hdphoto" Target="../media/hdphoto3.wdp"/><Relationship Id="rId9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52316</xdr:colOff>
      <xdr:row>3</xdr:row>
      <xdr:rowOff>171450</xdr:rowOff>
    </xdr:from>
    <xdr:to>
      <xdr:col>1</xdr:col>
      <xdr:colOff>4460875</xdr:colOff>
      <xdr:row>4</xdr:row>
      <xdr:rowOff>127000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262BF414-5102-489A-B27C-5F9E08E2A8DF}"/>
            </a:ext>
          </a:extLst>
        </xdr:cNvPr>
        <xdr:cNvSpPr/>
      </xdr:nvSpPr>
      <xdr:spPr>
        <a:xfrm>
          <a:off x="52316" y="901700"/>
          <a:ext cx="4408559" cy="400050"/>
        </a:xfrm>
        <a:prstGeom prst="roundRect">
          <a:avLst/>
        </a:prstGeom>
        <a:solidFill>
          <a:srgbClr val="2C4594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COORDENAÇÃO</a:t>
          </a:r>
          <a:r>
            <a:rPr lang="pt-BR" sz="1100" b="1" baseline="0"/>
            <a:t> ANA</a:t>
          </a:r>
          <a:endParaRPr lang="pt-BR" sz="1100" b="1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28</xdr:col>
      <xdr:colOff>49145</xdr:colOff>
      <xdr:row>3</xdr:row>
      <xdr:rowOff>66912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9824190F-1AA8-40BC-B6AE-ABDE196D173F}"/>
            </a:ext>
          </a:extLst>
        </xdr:cNvPr>
        <xdr:cNvGrpSpPr/>
      </xdr:nvGrpSpPr>
      <xdr:grpSpPr>
        <a:xfrm>
          <a:off x="0" y="0"/>
          <a:ext cx="20733602" cy="799000"/>
          <a:chOff x="0" y="0"/>
          <a:chExt cx="19664666" cy="814021"/>
        </a:xfrm>
      </xdr:grpSpPr>
      <xdr:sp macro="" textlink="">
        <xdr:nvSpPr>
          <xdr:cNvPr id="4" name="Retângulo 3">
            <a:extLst>
              <a:ext uri="{FF2B5EF4-FFF2-40B4-BE49-F238E27FC236}">
                <a16:creationId xmlns:a16="http://schemas.microsoft.com/office/drawing/2014/main" id="{DC117F7C-AC8C-3F2B-212D-EE8778CC49D4}"/>
              </a:ext>
            </a:extLst>
          </xdr:cNvPr>
          <xdr:cNvSpPr/>
        </xdr:nvSpPr>
        <xdr:spPr>
          <a:xfrm>
            <a:off x="0" y="0"/>
            <a:ext cx="19664666" cy="814021"/>
          </a:xfrm>
          <a:prstGeom prst="rect">
            <a:avLst/>
          </a:prstGeom>
          <a:solidFill>
            <a:srgbClr val="2C4594"/>
          </a:solidFill>
          <a:effectLst>
            <a:outerShdw blurRad="50800" dist="38100" dir="8100000" algn="t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5" name="Agrupar 4">
            <a:extLst>
              <a:ext uri="{FF2B5EF4-FFF2-40B4-BE49-F238E27FC236}">
                <a16:creationId xmlns:a16="http://schemas.microsoft.com/office/drawing/2014/main" id="{B6737E65-C173-3BBD-08DE-643E598B38F3}"/>
              </a:ext>
            </a:extLst>
          </xdr:cNvPr>
          <xdr:cNvGrpSpPr/>
        </xdr:nvGrpSpPr>
        <xdr:grpSpPr>
          <a:xfrm>
            <a:off x="14898859" y="264150"/>
            <a:ext cx="774107" cy="306456"/>
            <a:chOff x="16683879" y="257175"/>
            <a:chExt cx="771526" cy="323850"/>
          </a:xfrm>
        </xdr:grpSpPr>
        <xdr:sp macro="" textlink="">
          <xdr:nvSpPr>
            <xdr:cNvPr id="14" name="Retângulo: Cantos Arredondados 13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8CE328CA-7431-8E1D-BAFF-C19B8B44ACC2}"/>
                </a:ext>
              </a:extLst>
            </xdr:cNvPr>
            <xdr:cNvSpPr/>
          </xdr:nvSpPr>
          <xdr:spPr>
            <a:xfrm>
              <a:off x="16683879" y="257175"/>
              <a:ext cx="771526" cy="323850"/>
            </a:xfrm>
            <a:prstGeom prst="roundRect">
              <a:avLst/>
            </a:prstGeom>
            <a:solidFill>
              <a:sysClr val="window" lastClr="FFFFFF"/>
            </a:solidFill>
            <a:effectLst>
              <a:outerShdw blurRad="50800" dist="38100" dir="16200000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t-BR" sz="1100"/>
                <a:t>1</a:t>
              </a:r>
            </a:p>
          </xdr:txBody>
        </xdr:sp>
        <xdr:pic>
          <xdr:nvPicPr>
            <xdr:cNvPr id="15" name="Imagem 14" descr="ícones Do Computador, Gráfico, Gráfico De Barras png transparente grátis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0CDB4809-4A3E-6E56-B9CC-34B0978F0582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2" cstate="print">
              <a:clrChange>
                <a:clrFrom>
                  <a:srgbClr val="EDEDED"/>
                </a:clrFrom>
                <a:clrTo>
                  <a:srgbClr val="EDEDED">
                    <a:alpha val="0"/>
                  </a:srgbClr>
                </a:clrTo>
              </a:clrChang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6826734" y="295277"/>
              <a:ext cx="504825" cy="276224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</xdr:grpSp>
      <xdr:grpSp>
        <xdr:nvGrpSpPr>
          <xdr:cNvPr id="11" name="Agrupar 10">
            <a:extLst>
              <a:ext uri="{FF2B5EF4-FFF2-40B4-BE49-F238E27FC236}">
                <a16:creationId xmlns:a16="http://schemas.microsoft.com/office/drawing/2014/main" id="{9DAE4401-C59E-97B2-8381-6D0664F39930}"/>
              </a:ext>
            </a:extLst>
          </xdr:cNvPr>
          <xdr:cNvGrpSpPr/>
        </xdr:nvGrpSpPr>
        <xdr:grpSpPr>
          <a:xfrm>
            <a:off x="13931864" y="263768"/>
            <a:ext cx="805960" cy="307732"/>
            <a:chOff x="13931864" y="293076"/>
            <a:chExt cx="805960" cy="307732"/>
          </a:xfrm>
        </xdr:grpSpPr>
        <xdr:sp macro="[0]!Salvar" textlink="">
          <xdr:nvSpPr>
            <xdr:cNvPr id="12" name="Retângulo: Cantos Arredondados 11">
              <a:extLst>
                <a:ext uri="{FF2B5EF4-FFF2-40B4-BE49-F238E27FC236}">
                  <a16:creationId xmlns:a16="http://schemas.microsoft.com/office/drawing/2014/main" id="{EF3058DC-6166-EAE2-B0E9-E246AC82AD34}"/>
                </a:ext>
              </a:extLst>
            </xdr:cNvPr>
            <xdr:cNvSpPr/>
          </xdr:nvSpPr>
          <xdr:spPr>
            <a:xfrm>
              <a:off x="13931864" y="293076"/>
              <a:ext cx="805960" cy="307732"/>
            </a:xfrm>
            <a:prstGeom prst="roundRect">
              <a:avLst/>
            </a:prstGeom>
            <a:solidFill>
              <a:sysClr val="window" lastClr="FFFFFF"/>
            </a:solidFill>
            <a:ln>
              <a:solidFill>
                <a:srgbClr val="2C4594"/>
              </a:solidFill>
            </a:ln>
            <a:effectLst>
              <a:outerShdw blurRad="50800" dist="38100" dir="16200000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100" b="1">
                  <a:solidFill>
                    <a:srgbClr val="2C4594"/>
                  </a:solidFill>
                </a:rPr>
                <a:t>         </a:t>
              </a:r>
            </a:p>
          </xdr:txBody>
        </xdr:sp>
        <xdr:pic macro="[0]!Salvar">
          <xdr:nvPicPr>
            <xdr:cNvPr id="13" name="Imagem 12" descr="Opção de salvar arquivo - ícones de interface grátis">
              <a:extLst>
                <a:ext uri="{FF2B5EF4-FFF2-40B4-BE49-F238E27FC236}">
                  <a16:creationId xmlns:a16="http://schemas.microsoft.com/office/drawing/2014/main" id="{680FC9DC-5088-9190-6481-D2C4C7F93B69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3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4210276" y="337038"/>
              <a:ext cx="248093" cy="236461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</xdr:grpSp>
    </xdr:grpSp>
    <xdr:clientData/>
  </xdr:twoCellAnchor>
  <xdr:twoCellAnchor>
    <xdr:from>
      <xdr:col>25</xdr:col>
      <xdr:colOff>314555</xdr:colOff>
      <xdr:row>1</xdr:row>
      <xdr:rowOff>120685</xdr:rowOff>
    </xdr:from>
    <xdr:to>
      <xdr:col>26</xdr:col>
      <xdr:colOff>463163</xdr:colOff>
      <xdr:row>2</xdr:row>
      <xdr:rowOff>331343</xdr:rowOff>
    </xdr:to>
    <xdr:pic macro="[0]!EstaPastaDeTrabalho.telaCheia">
      <xdr:nvPicPr>
        <xdr:cNvPr id="19" name="Imagem 18" descr="Botão de ícones do computador Monitores de computador, salvar tela inteira,  diversos, ângulo, texto png | PNGWing">
          <a:extLst>
            <a:ext uri="{FF2B5EF4-FFF2-40B4-BE49-F238E27FC236}">
              <a16:creationId xmlns:a16="http://schemas.microsoft.com/office/drawing/2014/main" id="{D204B62C-49F5-4DFF-93AC-445169A64D1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lum bright="70000" contrast="-70000"/>
          <a:extLst>
            <a:ext uri="{BEBA8EAE-BF5A-486C-A8C5-ECC9F3942E4B}">
              <a14:imgProps xmlns:a14="http://schemas.microsoft.com/office/drawing/2010/main">
                <a14:imgLayer r:embed="rId5">
                  <a14:imgEffect>
                    <a14:backgroundRemoval t="9890" b="91209" l="9816" r="89571">
                      <a14:foregroundMark x1="56087" y1="49023" x2="56087" y2="49023"/>
                      <a14:foregroundMark x1="32515" y1="91209" x2="32515" y2="91209"/>
                      <a14:backgroundMark x1="31902" y1="93407" x2="31902" y2="93407"/>
                      <a14:backgroundMark x1="31902" y1="92308" x2="31902" y2="92308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554805" y="206410"/>
          <a:ext cx="691533" cy="401158"/>
        </a:xfrm>
        <a:prstGeom prst="rect">
          <a:avLst/>
        </a:prstGeom>
        <a:noFill/>
        <a:effectLst>
          <a:outerShdw blurRad="50800" dist="38100" dir="16200000" rotWithShape="0">
            <a:prstClr val="black">
              <a:alpha val="40000"/>
            </a:prst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26</xdr:col>
      <xdr:colOff>494910</xdr:colOff>
      <xdr:row>1</xdr:row>
      <xdr:rowOff>148970</xdr:rowOff>
    </xdr:from>
    <xdr:to>
      <xdr:col>27</xdr:col>
      <xdr:colOff>300108</xdr:colOff>
      <xdr:row>2</xdr:row>
      <xdr:rowOff>336594</xdr:rowOff>
    </xdr:to>
    <xdr:pic macro="[0]!EstaPastaDeTrabalho.telaNormal">
      <xdr:nvPicPr>
        <xdr:cNvPr id="20" name="Imagem 19">
          <a:extLst>
            <a:ext uri="{FF2B5EF4-FFF2-40B4-BE49-F238E27FC236}">
              <a16:creationId xmlns:a16="http://schemas.microsoft.com/office/drawing/2014/main" id="{F8636A56-63BC-4D7B-B79E-4CF345E89A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lum bright="70000" contrast="-70000"/>
          <a:extLst>
            <a:ext uri="{BEBA8EAE-BF5A-486C-A8C5-ECC9F3942E4B}">
              <a14:imgProps xmlns:a14="http://schemas.microsoft.com/office/drawing/2010/main">
                <a14:imgLayer r:embed="rId7">
                  <a14:imgEffect>
                    <a14:backgroundRemoval t="6196" b="90435" l="6932" r="92614">
                      <a14:foregroundMark x1="38295" y1="40326" x2="38295" y2="40326"/>
                      <a14:foregroundMark x1="56364" y1="57609" x2="56364" y2="57609"/>
                      <a14:foregroundMark x1="92614" y1="40978" x2="92614" y2="40978"/>
                      <a14:foregroundMark x1="87955" y1="6304" x2="87955" y2="6304"/>
                      <a14:foregroundMark x1="22955" y1="90543" x2="22955" y2="90543"/>
                      <a14:foregroundMark x1="27045" y1="90543" x2="27045" y2="90543"/>
                      <a14:foregroundMark x1="6932" y1="77717" x2="6932" y2="77717"/>
                    </a14:backgroundRemoval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8278085" y="234695"/>
          <a:ext cx="348123" cy="378124"/>
        </a:xfrm>
        <a:prstGeom prst="rect">
          <a:avLst/>
        </a:prstGeom>
        <a:effectLst>
          <a:outerShdw blurRad="50800" dist="38100" dir="16200000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5</xdr:col>
      <xdr:colOff>42650</xdr:colOff>
      <xdr:row>1</xdr:row>
      <xdr:rowOff>28432</xdr:rowOff>
    </xdr:from>
    <xdr:to>
      <xdr:col>10</xdr:col>
      <xdr:colOff>454926</xdr:colOff>
      <xdr:row>3</xdr:row>
      <xdr:rowOff>14216</xdr:rowOff>
    </xdr:to>
    <xdr:sp macro="" textlink="">
      <xdr:nvSpPr>
        <xdr:cNvPr id="21" name="Retângulo 20">
          <a:extLst>
            <a:ext uri="{FF2B5EF4-FFF2-40B4-BE49-F238E27FC236}">
              <a16:creationId xmlns:a16="http://schemas.microsoft.com/office/drawing/2014/main" id="{A5BED445-7C24-4CD3-B382-17B824FF9900}"/>
            </a:ext>
          </a:extLst>
        </xdr:cNvPr>
        <xdr:cNvSpPr/>
      </xdr:nvSpPr>
      <xdr:spPr>
        <a:xfrm>
          <a:off x="7510250" y="114157"/>
          <a:ext cx="3126901" cy="64300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3600" b="1">
              <a:latin typeface="Gill Sans MT" panose="020B0502020104020203" pitchFamily="34" charset="0"/>
            </a:rPr>
            <a:t>VIBRAPLAN</a:t>
          </a:r>
        </a:p>
      </xdr:txBody>
    </xdr:sp>
    <xdr:clientData/>
  </xdr:twoCellAnchor>
  <xdr:twoCellAnchor>
    <xdr:from>
      <xdr:col>20</xdr:col>
      <xdr:colOff>476251</xdr:colOff>
      <xdr:row>1</xdr:row>
      <xdr:rowOff>174625</xdr:rowOff>
    </xdr:from>
    <xdr:to>
      <xdr:col>22</xdr:col>
      <xdr:colOff>349251</xdr:colOff>
      <xdr:row>2</xdr:row>
      <xdr:rowOff>285751</xdr:rowOff>
    </xdr:to>
    <xdr:grpSp>
      <xdr:nvGrpSpPr>
        <xdr:cNvPr id="25" name="Agrupar 24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E2CE2701-31C9-4BD5-A6F3-F0EA998579FC}"/>
            </a:ext>
          </a:extLst>
        </xdr:cNvPr>
        <xdr:cNvGrpSpPr/>
      </xdr:nvGrpSpPr>
      <xdr:grpSpPr>
        <a:xfrm>
          <a:off x="16551777" y="261353"/>
          <a:ext cx="1045912" cy="291766"/>
          <a:chOff x="15898346" y="266139"/>
          <a:chExt cx="777481" cy="308168"/>
        </a:xfrm>
      </xdr:grpSpPr>
      <xdr:sp macro="" textlink="">
        <xdr:nvSpPr>
          <xdr:cNvPr id="27" name="Retângulo: Cantos Arredondados 26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9369FD5F-4A24-AE0A-4ECE-F2378ED0441A}"/>
              </a:ext>
            </a:extLst>
          </xdr:cNvPr>
          <xdr:cNvSpPr/>
        </xdr:nvSpPr>
        <xdr:spPr>
          <a:xfrm>
            <a:off x="15898346" y="266139"/>
            <a:ext cx="777481" cy="304590"/>
          </a:xfrm>
          <a:prstGeom prst="roundRect">
            <a:avLst/>
          </a:prstGeom>
          <a:solidFill>
            <a:sysClr val="window" lastClr="FFFFFF"/>
          </a:solidFill>
          <a:effectLst>
            <a:outerShdw blurRad="50800" dist="38100" dir="16200000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pt-BR" sz="1100"/>
              <a:t>1</a:t>
            </a:r>
          </a:p>
        </xdr:txBody>
      </xdr:sp>
      <xdr:pic>
        <xdr:nvPicPr>
          <xdr:cNvPr id="28" name="Gráfico 27" descr="Lista de Verificação com preenchimento sólido">
            <a:extLst>
              <a:ext uri="{FF2B5EF4-FFF2-40B4-BE49-F238E27FC236}">
                <a16:creationId xmlns:a16="http://schemas.microsoft.com/office/drawing/2014/main" id="{F18F6454-11A4-03EC-0CD2-EF49703B9AF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6122464" y="266146"/>
            <a:ext cx="308161" cy="308161"/>
          </a:xfrm>
          <a:prstGeom prst="rect">
            <a:avLst/>
          </a:prstGeom>
        </xdr:spPr>
      </xdr:pic>
    </xdr:grpSp>
    <xdr:clientData/>
  </xdr:twoCellAnchor>
  <xdr:twoCellAnchor>
    <xdr:from>
      <xdr:col>22</xdr:col>
      <xdr:colOff>412750</xdr:colOff>
      <xdr:row>1</xdr:row>
      <xdr:rowOff>161192</xdr:rowOff>
    </xdr:from>
    <xdr:to>
      <xdr:col>24</xdr:col>
      <xdr:colOff>146538</xdr:colOff>
      <xdr:row>2</xdr:row>
      <xdr:rowOff>317499</xdr:rowOff>
    </xdr:to>
    <xdr:sp macro="" textlink="">
      <xdr:nvSpPr>
        <xdr:cNvPr id="811" name="Retângulo: Cantos Arredondados 810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E97C26E-DC08-412A-B1A8-A65061B2CA83}"/>
            </a:ext>
          </a:extLst>
        </xdr:cNvPr>
        <xdr:cNvSpPr/>
      </xdr:nvSpPr>
      <xdr:spPr>
        <a:xfrm>
          <a:off x="16827500" y="240567"/>
          <a:ext cx="845038" cy="346807"/>
        </a:xfrm>
        <a:prstGeom prst="roundRect">
          <a:avLst>
            <a:gd name="adj" fmla="val 20834"/>
          </a:avLst>
        </a:prstGeom>
        <a:solidFill>
          <a:sysClr val="window" lastClr="FFFFFF"/>
        </a:solidFill>
        <a:effectLst>
          <a:outerShdw blurRad="50800" dist="38100" dir="16200000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>
              <a:solidFill>
                <a:srgbClr val="2C4594"/>
              </a:solidFill>
            </a:rPr>
            <a:t>%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7</xdr:col>
      <xdr:colOff>0</xdr:colOff>
      <xdr:row>3</xdr:row>
      <xdr:rowOff>111125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0A43AD17-3B63-88BE-04E1-B1FD2E5A63BA}"/>
            </a:ext>
          </a:extLst>
        </xdr:cNvPr>
        <xdr:cNvGrpSpPr/>
      </xdr:nvGrpSpPr>
      <xdr:grpSpPr>
        <a:xfrm>
          <a:off x="0" y="0"/>
          <a:ext cx="23256875" cy="841375"/>
          <a:chOff x="0" y="0"/>
          <a:chExt cx="19750368" cy="809065"/>
        </a:xfrm>
      </xdr:grpSpPr>
      <xdr:grpSp>
        <xdr:nvGrpSpPr>
          <xdr:cNvPr id="8" name="Agrupar 7">
            <a:extLst>
              <a:ext uri="{FF2B5EF4-FFF2-40B4-BE49-F238E27FC236}">
                <a16:creationId xmlns:a16="http://schemas.microsoft.com/office/drawing/2014/main" id="{9740EFC7-8A96-45BD-BDB5-096E061DDC99}"/>
              </a:ext>
            </a:extLst>
          </xdr:cNvPr>
          <xdr:cNvGrpSpPr/>
        </xdr:nvGrpSpPr>
        <xdr:grpSpPr>
          <a:xfrm>
            <a:off x="0" y="0"/>
            <a:ext cx="19750368" cy="809065"/>
            <a:chOff x="0" y="0"/>
            <a:chExt cx="19664666" cy="814021"/>
          </a:xfrm>
        </xdr:grpSpPr>
        <xdr:grpSp>
          <xdr:nvGrpSpPr>
            <xdr:cNvPr id="9" name="Agrupar 8">
              <a:extLst>
                <a:ext uri="{FF2B5EF4-FFF2-40B4-BE49-F238E27FC236}">
                  <a16:creationId xmlns:a16="http://schemas.microsoft.com/office/drawing/2014/main" id="{2039AE17-B474-D7B3-C4AB-C35F9390A796}"/>
                </a:ext>
              </a:extLst>
            </xdr:cNvPr>
            <xdr:cNvGrpSpPr/>
          </xdr:nvGrpSpPr>
          <xdr:grpSpPr>
            <a:xfrm>
              <a:off x="0" y="0"/>
              <a:ext cx="19664666" cy="814021"/>
              <a:chOff x="0" y="0"/>
              <a:chExt cx="19527543" cy="809625"/>
            </a:xfrm>
          </xdr:grpSpPr>
          <xdr:sp macro="[0]!Salvar" textlink="">
            <xdr:nvSpPr>
              <xdr:cNvPr id="21" name="Retângulo 20">
                <a:extLst>
                  <a:ext uri="{FF2B5EF4-FFF2-40B4-BE49-F238E27FC236}">
                    <a16:creationId xmlns:a16="http://schemas.microsoft.com/office/drawing/2014/main" id="{F263319B-5571-BCCC-9323-7B8A288CB318}"/>
                  </a:ext>
                </a:extLst>
              </xdr:cNvPr>
              <xdr:cNvSpPr/>
            </xdr:nvSpPr>
            <xdr:spPr>
              <a:xfrm>
                <a:off x="0" y="0"/>
                <a:ext cx="19527543" cy="809625"/>
              </a:xfrm>
              <a:prstGeom prst="rect">
                <a:avLst/>
              </a:prstGeom>
              <a:solidFill>
                <a:srgbClr val="2C4594"/>
              </a:solidFill>
              <a:effectLst>
                <a:outerShdw blurRad="50800" dist="38100" dir="8100000" algn="tr" rotWithShape="0">
                  <a:prstClr val="black">
                    <a:alpha val="40000"/>
                  </a:prstClr>
                </a:outerShdw>
              </a:effec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t-BR" sz="1100"/>
              </a:p>
            </xdr:txBody>
          </xdr:sp>
          <xdr:pic macro="[0]!Salvar">
            <xdr:nvPicPr>
              <xdr:cNvPr id="22" name="Imagem 21">
                <a:extLst>
                  <a:ext uri="{FF2B5EF4-FFF2-40B4-BE49-F238E27FC236}">
                    <a16:creationId xmlns:a16="http://schemas.microsoft.com/office/drawing/2014/main" id="{8B6A6788-3714-B617-9572-AC3BB4DF7AD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" cstate="print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7828611" y="133351"/>
                <a:ext cx="2905125" cy="624904"/>
              </a:xfrm>
              <a:prstGeom prst="rect">
                <a:avLst/>
              </a:prstGeom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xdr:spPr>
          </xdr:pic>
        </xdr:grpSp>
        <xdr:grpSp>
          <xdr:nvGrpSpPr>
            <xdr:cNvPr id="10" name="Agrupar 9">
              <a:extLst>
                <a:ext uri="{FF2B5EF4-FFF2-40B4-BE49-F238E27FC236}">
                  <a16:creationId xmlns:a16="http://schemas.microsoft.com/office/drawing/2014/main" id="{E299D2C3-6A2D-56E6-598A-0DC3AEB8A197}"/>
                </a:ext>
              </a:extLst>
            </xdr:cNvPr>
            <xdr:cNvGrpSpPr/>
          </xdr:nvGrpSpPr>
          <xdr:grpSpPr>
            <a:xfrm>
              <a:off x="14898859" y="264150"/>
              <a:ext cx="774107" cy="306456"/>
              <a:chOff x="16683879" y="257175"/>
              <a:chExt cx="771526" cy="323850"/>
            </a:xfrm>
          </xdr:grpSpPr>
          <xdr:sp macro="[0]!Salvar" textlink="">
            <xdr:nvSpPr>
              <xdr:cNvPr id="19" name="Retângulo: Cantos Arredondados 18">
                <a:hlinkClick xmlns:r="http://schemas.openxmlformats.org/officeDocument/2006/relationships" r:id="rId2"/>
                <a:extLst>
                  <a:ext uri="{FF2B5EF4-FFF2-40B4-BE49-F238E27FC236}">
                    <a16:creationId xmlns:a16="http://schemas.microsoft.com/office/drawing/2014/main" id="{2170494A-307C-5DC2-7FE0-3DD93B5EC82E}"/>
                  </a:ext>
                </a:extLst>
              </xdr:cNvPr>
              <xdr:cNvSpPr/>
            </xdr:nvSpPr>
            <xdr:spPr>
              <a:xfrm>
                <a:off x="16683879" y="257175"/>
                <a:ext cx="771526" cy="323850"/>
              </a:xfrm>
              <a:prstGeom prst="roundRect">
                <a:avLst/>
              </a:prstGeom>
              <a:solidFill>
                <a:sysClr val="window" lastClr="FFFFFF"/>
              </a:solidFill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r>
                  <a:rPr lang="pt-BR" sz="1100"/>
                  <a:t>1</a:t>
                </a:r>
              </a:p>
            </xdr:txBody>
          </xdr:sp>
          <xdr:pic macro="[0]!Salvar">
            <xdr:nvPicPr>
              <xdr:cNvPr id="20" name="Imagem 19" descr="ícones Do Computador, Gráfico, Gráfico De Barras png transparente grátis">
                <a:hlinkClick xmlns:r="http://schemas.openxmlformats.org/officeDocument/2006/relationships" r:id="rId2"/>
                <a:extLst>
                  <a:ext uri="{FF2B5EF4-FFF2-40B4-BE49-F238E27FC236}">
                    <a16:creationId xmlns:a16="http://schemas.microsoft.com/office/drawing/2014/main" id="{BC91E500-4D1A-483B-AE40-AF67702F7C71}"/>
                  </a:ext>
                </a:extLst>
              </xdr:cNvPr>
              <xdr:cNvPicPr>
                <a:picLocks noChangeAspect="1" noChangeArrowheads="1"/>
              </xdr:cNvPicPr>
            </xdr:nvPicPr>
            <xdr:blipFill>
              <a:blip xmlns:r="http://schemas.openxmlformats.org/officeDocument/2006/relationships" r:embed="rId3" cstate="print">
                <a:clrChange>
                  <a:clrFrom>
                    <a:srgbClr val="EDEDED"/>
                  </a:clrFrom>
                  <a:clrTo>
                    <a:srgbClr val="EDEDED">
                      <a:alpha val="0"/>
                    </a:srgbClr>
                  </a:clrTo>
                </a:clrChange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xdr:blipFill>
            <xdr:spPr bwMode="auto">
              <a:xfrm>
                <a:off x="16826734" y="295277"/>
                <a:ext cx="504825" cy="276224"/>
              </a:xfrm>
              <a:prstGeom prst="rect">
                <a:avLst/>
              </a:prstGeom>
              <a:noFill/>
              <a:extLst>
                <a:ext uri="{909E8E84-426E-40DD-AFC4-6F175D3DCCD1}">
                  <a14:hiddenFill xmlns:a14="http://schemas.microsoft.com/office/drawing/2010/main">
                    <a:solidFill>
                      <a:srgbClr val="FFFFFF"/>
                    </a:solidFill>
                  </a14:hiddenFill>
                </a:ext>
              </a:extLst>
            </xdr:spPr>
          </xdr:pic>
        </xdr:grpSp>
        <xdr:sp macro="[0]!Salvar" textlink="">
          <xdr:nvSpPr>
            <xdr:cNvPr id="11" name="Retângulo: Cantos Arredondados 10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52572A56-0DDE-6029-D46C-6CC323638111}"/>
                </a:ext>
              </a:extLst>
            </xdr:cNvPr>
            <xdr:cNvSpPr/>
          </xdr:nvSpPr>
          <xdr:spPr>
            <a:xfrm>
              <a:off x="47625" y="168948"/>
              <a:ext cx="1639123" cy="395376"/>
            </a:xfrm>
            <a:prstGeom prst="roundRect">
              <a:avLst/>
            </a:prstGeom>
            <a:solidFill>
              <a:sysClr val="window" lastClr="FFFFFF"/>
            </a:solidFill>
            <a:effectLst>
              <a:outerShdw blurRad="50800" dist="38100" dir="16200000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600">
                  <a:solidFill>
                    <a:srgbClr val="2C4594"/>
                  </a:solidFill>
                </a:rPr>
                <a:t>ANA</a:t>
              </a:r>
            </a:p>
          </xdr:txBody>
        </xdr:sp>
        <xdr:grpSp>
          <xdr:nvGrpSpPr>
            <xdr:cNvPr id="16" name="Agrupar 15">
              <a:extLst>
                <a:ext uri="{FF2B5EF4-FFF2-40B4-BE49-F238E27FC236}">
                  <a16:creationId xmlns:a16="http://schemas.microsoft.com/office/drawing/2014/main" id="{413C9CFC-4869-DD97-2BDD-96AE48057A28}"/>
                </a:ext>
              </a:extLst>
            </xdr:cNvPr>
            <xdr:cNvGrpSpPr/>
          </xdr:nvGrpSpPr>
          <xdr:grpSpPr>
            <a:xfrm>
              <a:off x="13931864" y="263768"/>
              <a:ext cx="805960" cy="307732"/>
              <a:chOff x="13931864" y="293076"/>
              <a:chExt cx="805960" cy="307732"/>
            </a:xfrm>
          </xdr:grpSpPr>
          <xdr:sp macro="[0]!Salvar" textlink="">
            <xdr:nvSpPr>
              <xdr:cNvPr id="17" name="Retângulo: Cantos Arredondados 16">
                <a:extLst>
                  <a:ext uri="{FF2B5EF4-FFF2-40B4-BE49-F238E27FC236}">
                    <a16:creationId xmlns:a16="http://schemas.microsoft.com/office/drawing/2014/main" id="{85ECFEE4-FC7D-1793-B090-B63AC7763794}"/>
                  </a:ext>
                </a:extLst>
              </xdr:cNvPr>
              <xdr:cNvSpPr/>
            </xdr:nvSpPr>
            <xdr:spPr>
              <a:xfrm>
                <a:off x="13931864" y="293076"/>
                <a:ext cx="805960" cy="307732"/>
              </a:xfrm>
              <a:prstGeom prst="roundRect">
                <a:avLst/>
              </a:prstGeom>
              <a:solidFill>
                <a:sysClr val="window" lastClr="FFFFFF"/>
              </a:solidFill>
              <a:ln>
                <a:solidFill>
                  <a:srgbClr val="2C4594"/>
                </a:solidFill>
              </a:ln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pt-BR" sz="1100" b="1">
                    <a:solidFill>
                      <a:srgbClr val="2C4594"/>
                    </a:solidFill>
                  </a:rPr>
                  <a:t>         </a:t>
                </a:r>
              </a:p>
            </xdr:txBody>
          </xdr:sp>
          <xdr:pic macro="[0]!Salvar">
            <xdr:nvPicPr>
              <xdr:cNvPr id="18" name="Imagem 17" descr="Opção de salvar arquivo - ícones de interface grátis">
                <a:extLst>
                  <a:ext uri="{FF2B5EF4-FFF2-40B4-BE49-F238E27FC236}">
                    <a16:creationId xmlns:a16="http://schemas.microsoft.com/office/drawing/2014/main" id="{4F30AA9F-3E70-34FC-E450-00F74F55B547}"/>
                  </a:ext>
                </a:extLst>
              </xdr:cNvPr>
              <xdr:cNvPicPr>
                <a:picLocks noChangeAspect="1" noChangeArrowheads="1"/>
              </xdr:cNvPicPr>
            </xdr:nvPicPr>
            <xdr:blipFill>
              <a:blip xmlns:r="http://schemas.openxmlformats.org/officeDocument/2006/relationships" r:embed="rId5" cstate="print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xdr:blipFill>
            <xdr:spPr bwMode="auto">
              <a:xfrm>
                <a:off x="14210276" y="337038"/>
                <a:ext cx="248093" cy="236461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 xmlns:a14="http://schemas.microsoft.com/office/drawing/2010/main">
                    <a:solidFill>
                      <a:srgbClr val="FFFFFF"/>
                    </a:solidFill>
                  </a14:hiddenFill>
                </a:ext>
              </a:extLst>
            </xdr:spPr>
          </xdr:pic>
        </xdr:grpSp>
      </xdr:grpSp>
      <xdr:sp macro="[0]!Salvar" textlink="">
        <xdr:nvSpPr>
          <xdr:cNvPr id="23" name="Retângulo: Cantos Arredondados 22">
            <a:extLst>
              <a:ext uri="{FF2B5EF4-FFF2-40B4-BE49-F238E27FC236}">
                <a16:creationId xmlns:a16="http://schemas.microsoft.com/office/drawing/2014/main" id="{1DCE9943-D3AA-4840-A0FE-2D1D423195F5}"/>
              </a:ext>
            </a:extLst>
          </xdr:cNvPr>
          <xdr:cNvSpPr/>
        </xdr:nvSpPr>
        <xdr:spPr>
          <a:xfrm>
            <a:off x="15898346" y="266139"/>
            <a:ext cx="777481" cy="304590"/>
          </a:xfrm>
          <a:prstGeom prst="roundRect">
            <a:avLst/>
          </a:prstGeom>
          <a:solidFill>
            <a:sysClr val="window" lastClr="FFFFFF"/>
          </a:solidFill>
          <a:effectLst>
            <a:innerShdw blurRad="63500" dist="50800" dir="189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pt-BR" sz="1100"/>
              <a:t>1</a:t>
            </a:r>
          </a:p>
        </xdr:txBody>
      </xdr:sp>
      <xdr:pic macro="[0]!Salvar">
        <xdr:nvPicPr>
          <xdr:cNvPr id="24" name="Gráfico 23" descr="Lista de Verificação com preenchimento sólido">
            <a:extLst>
              <a:ext uri="{FF2B5EF4-FFF2-40B4-BE49-F238E27FC236}">
                <a16:creationId xmlns:a16="http://schemas.microsoft.com/office/drawing/2014/main" id="{0452ED39-55F5-4BC2-A951-B8738677057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6122464" y="266146"/>
            <a:ext cx="308161" cy="308161"/>
          </a:xfrm>
          <a:prstGeom prst="rect">
            <a:avLst/>
          </a:prstGeom>
          <a:effectLst>
            <a:innerShdw blurRad="63500" dist="50800" dir="18900000">
              <a:prstClr val="black">
                <a:alpha val="50000"/>
              </a:prstClr>
            </a:innerShdw>
          </a:effectLst>
        </xdr:spPr>
      </xdr:pic>
    </xdr:grpSp>
    <xdr:clientData/>
  </xdr:twoCellAnchor>
  <xdr:twoCellAnchor>
    <xdr:from>
      <xdr:col>1</xdr:col>
      <xdr:colOff>3569423</xdr:colOff>
      <xdr:row>3</xdr:row>
      <xdr:rowOff>180226</xdr:rowOff>
    </xdr:from>
    <xdr:to>
      <xdr:col>3</xdr:col>
      <xdr:colOff>618312</xdr:colOff>
      <xdr:row>4</xdr:row>
      <xdr:rowOff>318619</xdr:rowOff>
    </xdr:to>
    <xdr:sp macro="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9D06D4F1-C0A6-4FD6-8690-1C14DB1D8A85}"/>
            </a:ext>
          </a:extLst>
        </xdr:cNvPr>
        <xdr:cNvSpPr/>
      </xdr:nvSpPr>
      <xdr:spPr>
        <a:xfrm>
          <a:off x="8284298" y="910476"/>
          <a:ext cx="4605389" cy="360643"/>
        </a:xfrm>
        <a:prstGeom prst="roundRect">
          <a:avLst/>
        </a:prstGeom>
        <a:solidFill>
          <a:srgbClr val="2C4594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COORDENAÇÃO</a:t>
          </a:r>
          <a:r>
            <a:rPr lang="pt-BR" sz="1100" b="1" baseline="0"/>
            <a:t> ANA</a:t>
          </a:r>
          <a:endParaRPr lang="pt-BR" sz="1100" b="1"/>
        </a:p>
      </xdr:txBody>
    </xdr:sp>
    <xdr:clientData/>
  </xdr:twoCellAnchor>
  <xdr:twoCellAnchor>
    <xdr:from>
      <xdr:col>5</xdr:col>
      <xdr:colOff>614282</xdr:colOff>
      <xdr:row>1</xdr:row>
      <xdr:rowOff>160636</xdr:rowOff>
    </xdr:from>
    <xdr:to>
      <xdr:col>6</xdr:col>
      <xdr:colOff>202658</xdr:colOff>
      <xdr:row>2</xdr:row>
      <xdr:rowOff>363916</xdr:rowOff>
    </xdr:to>
    <xdr:pic macro="[0]!EstaPastaDeTrabalho.telaCheia">
      <xdr:nvPicPr>
        <xdr:cNvPr id="5" name="Imagem 4" descr="Botão de ícones do computador Monitores de computador, salvar tela inteira,  diversos, ângulo, texto png | PNGWing">
          <a:extLst>
            <a:ext uri="{FF2B5EF4-FFF2-40B4-BE49-F238E27FC236}">
              <a16:creationId xmlns:a16="http://schemas.microsoft.com/office/drawing/2014/main" id="{75A6D092-02A5-4557-99DA-5C600A669F9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>
          <a:lum bright="70000" contrast="-70000"/>
          <a:extLst>
            <a:ext uri="{BEBA8EAE-BF5A-486C-A8C5-ECC9F3942E4B}">
              <a14:imgProps xmlns:a14="http://schemas.microsoft.com/office/drawing/2010/main">
                <a14:imgLayer r:embed="rId9">
                  <a14:imgEffect>
                    <a14:backgroundRemoval t="9890" b="91209" l="9816" r="89571">
                      <a14:foregroundMark x1="56087" y1="49023" x2="56087" y2="49023"/>
                      <a14:foregroundMark x1="32515" y1="91209" x2="32515" y2="91209"/>
                      <a14:backgroundMark x1="31902" y1="93407" x2="31902" y2="93407"/>
                      <a14:backgroundMark x1="31902" y1="92308" x2="31902" y2="92308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553157" y="240011"/>
          <a:ext cx="715501" cy="393780"/>
        </a:xfrm>
        <a:prstGeom prst="rect">
          <a:avLst/>
        </a:prstGeom>
        <a:noFill/>
        <a:effectLst>
          <a:outerShdw blurRad="50800" dist="38100" dir="16200000" rotWithShape="0">
            <a:prstClr val="black">
              <a:alpha val="40000"/>
            </a:prst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236015</xdr:colOff>
      <xdr:row>1</xdr:row>
      <xdr:rowOff>173156</xdr:rowOff>
    </xdr:from>
    <xdr:to>
      <xdr:col>6</xdr:col>
      <xdr:colOff>605319</xdr:colOff>
      <xdr:row>2</xdr:row>
      <xdr:rowOff>343788</xdr:rowOff>
    </xdr:to>
    <xdr:pic macro="[0]!EstaPastaDeTrabalho.telaNormal">
      <xdr:nvPicPr>
        <xdr:cNvPr id="6" name="Imagem 5">
          <a:extLst>
            <a:ext uri="{FF2B5EF4-FFF2-40B4-BE49-F238E27FC236}">
              <a16:creationId xmlns:a16="http://schemas.microsoft.com/office/drawing/2014/main" id="{B1A01225-8ECA-4893-8A01-F4F1CD6DEF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lum bright="70000" contrast="-70000"/>
          <a:extLst>
            <a:ext uri="{BEBA8EAE-BF5A-486C-A8C5-ECC9F3942E4B}">
              <a14:imgProps xmlns:a14="http://schemas.microsoft.com/office/drawing/2010/main">
                <a14:imgLayer r:embed="rId11">
                  <a14:imgEffect>
                    <a14:backgroundRemoval t="6196" b="90435" l="6932" r="92614">
                      <a14:foregroundMark x1="38295" y1="40326" x2="38295" y2="40326"/>
                      <a14:foregroundMark x1="56364" y1="57609" x2="56364" y2="57609"/>
                      <a14:foregroundMark x1="92614" y1="40978" x2="92614" y2="40978"/>
                      <a14:foregroundMark x1="87955" y1="6304" x2="87955" y2="6304"/>
                      <a14:foregroundMark x1="22955" y1="90543" x2="22955" y2="90543"/>
                      <a14:foregroundMark x1="27045" y1="90543" x2="27045" y2="90543"/>
                      <a14:foregroundMark x1="6932" y1="77717" x2="6932" y2="77717"/>
                    </a14:backgroundRemoval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20302015" y="252531"/>
          <a:ext cx="369304" cy="361132"/>
        </a:xfrm>
        <a:prstGeom prst="rect">
          <a:avLst/>
        </a:prstGeom>
        <a:effectLst>
          <a:outerShdw blurRad="50800" dist="38100" dir="16200000" rotWithShape="0">
            <a:prstClr val="black">
              <a:alpha val="40000"/>
            </a:prstClr>
          </a:outerShdw>
        </a:effec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269874</xdr:colOff>
      <xdr:row>9</xdr:row>
      <xdr:rowOff>190501</xdr:rowOff>
    </xdr:from>
    <xdr:to>
      <xdr:col>22</xdr:col>
      <xdr:colOff>111125</xdr:colOff>
      <xdr:row>25</xdr:row>
      <xdr:rowOff>171450</xdr:rowOff>
    </xdr:to>
    <xdr:grpSp>
      <xdr:nvGrpSpPr>
        <xdr:cNvPr id="71" name="Agrupar 70">
          <a:extLst>
            <a:ext uri="{FF2B5EF4-FFF2-40B4-BE49-F238E27FC236}">
              <a16:creationId xmlns:a16="http://schemas.microsoft.com/office/drawing/2014/main" id="{642DD813-49D0-12DA-08FC-6913870D62B8}"/>
            </a:ext>
          </a:extLst>
        </xdr:cNvPr>
        <xdr:cNvGrpSpPr/>
      </xdr:nvGrpSpPr>
      <xdr:grpSpPr>
        <a:xfrm>
          <a:off x="5290910" y="1891394"/>
          <a:ext cx="9053286" cy="3491592"/>
          <a:chOff x="4524374" y="1158876"/>
          <a:chExt cx="8890001" cy="3425824"/>
        </a:xfrm>
      </xdr:grpSpPr>
      <xdr:graphicFrame macro="">
        <xdr:nvGraphicFramePr>
          <xdr:cNvPr id="35" name="Gráfico 34">
            <a:extLst>
              <a:ext uri="{FF2B5EF4-FFF2-40B4-BE49-F238E27FC236}">
                <a16:creationId xmlns:a16="http://schemas.microsoft.com/office/drawing/2014/main" id="{F47C543C-B8F0-A6C4-F408-3216BB23A337}"/>
              </a:ext>
            </a:extLst>
          </xdr:cNvPr>
          <xdr:cNvGraphicFramePr/>
        </xdr:nvGraphicFramePr>
        <xdr:xfrm>
          <a:off x="4524374" y="1158876"/>
          <a:ext cx="8645526" cy="342582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8" name="CaixaDeTexto 7">
            <a:extLst>
              <a:ext uri="{FF2B5EF4-FFF2-40B4-BE49-F238E27FC236}">
                <a16:creationId xmlns:a16="http://schemas.microsoft.com/office/drawing/2014/main" id="{E40F0787-0693-8B33-F653-C245011B2ECB}"/>
              </a:ext>
            </a:extLst>
          </xdr:cNvPr>
          <xdr:cNvSpPr txBox="1"/>
        </xdr:nvSpPr>
        <xdr:spPr>
          <a:xfrm>
            <a:off x="12858750" y="1460741"/>
            <a:ext cx="555625" cy="257151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accent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100">
                <a:solidFill>
                  <a:srgbClr val="2C4594"/>
                </a:solidFill>
              </a:rPr>
              <a:t>META</a:t>
            </a:r>
          </a:p>
        </xdr:txBody>
      </xdr:sp>
      <xdr:cxnSp macro="">
        <xdr:nvCxnSpPr>
          <xdr:cNvPr id="10" name="Conector de Seta Reta 9">
            <a:extLst>
              <a:ext uri="{FF2B5EF4-FFF2-40B4-BE49-F238E27FC236}">
                <a16:creationId xmlns:a16="http://schemas.microsoft.com/office/drawing/2014/main" id="{5F86C6ED-07AE-2EAC-74A6-32196522D7D1}"/>
              </a:ext>
            </a:extLst>
          </xdr:cNvPr>
          <xdr:cNvCxnSpPr/>
        </xdr:nvCxnSpPr>
        <xdr:spPr>
          <a:xfrm flipH="1">
            <a:off x="12477750" y="1708076"/>
            <a:ext cx="381000" cy="341395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158750</xdr:colOff>
      <xdr:row>32</xdr:row>
      <xdr:rowOff>95250</xdr:rowOff>
    </xdr:from>
    <xdr:to>
      <xdr:col>21</xdr:col>
      <xdr:colOff>488128</xdr:colOff>
      <xdr:row>48</xdr:row>
      <xdr:rowOff>70375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F6DB4C7-E23F-47DA-86A1-754F35E736C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158750</xdr:colOff>
      <xdr:row>56</xdr:row>
      <xdr:rowOff>105683</xdr:rowOff>
    </xdr:from>
    <xdr:to>
      <xdr:col>21</xdr:col>
      <xdr:colOff>490050</xdr:colOff>
      <xdr:row>72</xdr:row>
      <xdr:rowOff>83983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3688FCA0-FD85-4088-9FD1-F7B57FDC1E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25</xdr:col>
      <xdr:colOff>257175</xdr:colOff>
      <xdr:row>32</xdr:row>
      <xdr:rowOff>95252</xdr:rowOff>
    </xdr:from>
    <xdr:to>
      <xdr:col>39</xdr:col>
      <xdr:colOff>329375</xdr:colOff>
      <xdr:row>48</xdr:row>
      <xdr:rowOff>77577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5565B9FD-A6C4-48E1-A51E-C8F6A2A84EE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25</xdr:col>
      <xdr:colOff>213485</xdr:colOff>
      <xdr:row>56</xdr:row>
      <xdr:rowOff>70565</xdr:rowOff>
    </xdr:from>
    <xdr:to>
      <xdr:col>39</xdr:col>
      <xdr:colOff>285685</xdr:colOff>
      <xdr:row>72</xdr:row>
      <xdr:rowOff>52890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75C9ABD8-DA6A-4626-B946-D179E9CC184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25</xdr:col>
      <xdr:colOff>212053</xdr:colOff>
      <xdr:row>82</xdr:row>
      <xdr:rowOff>69938</xdr:rowOff>
    </xdr:from>
    <xdr:to>
      <xdr:col>39</xdr:col>
      <xdr:colOff>416353</xdr:colOff>
      <xdr:row>98</xdr:row>
      <xdr:rowOff>52263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5BC6442-EE0F-4F40-9A67-955497430C9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190500</xdr:colOff>
      <xdr:row>82</xdr:row>
      <xdr:rowOff>29482</xdr:rowOff>
    </xdr:from>
    <xdr:to>
      <xdr:col>21</xdr:col>
      <xdr:colOff>521800</xdr:colOff>
      <xdr:row>98</xdr:row>
      <xdr:rowOff>13649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7DB6F49-ED7B-4F1C-8146-18D8B271FA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41</xdr:col>
      <xdr:colOff>31750</xdr:colOff>
      <xdr:row>4</xdr:row>
      <xdr:rowOff>190500</xdr:rowOff>
    </xdr:to>
    <xdr:grpSp>
      <xdr:nvGrpSpPr>
        <xdr:cNvPr id="23" name="Agrupar 22">
          <a:extLst>
            <a:ext uri="{FF2B5EF4-FFF2-40B4-BE49-F238E27FC236}">
              <a16:creationId xmlns:a16="http://schemas.microsoft.com/office/drawing/2014/main" id="{1380A68D-07A7-49C8-9D3E-35F132BF2CA0}"/>
            </a:ext>
          </a:extLst>
        </xdr:cNvPr>
        <xdr:cNvGrpSpPr/>
      </xdr:nvGrpSpPr>
      <xdr:grpSpPr>
        <a:xfrm>
          <a:off x="0" y="0"/>
          <a:ext cx="26059039" cy="898071"/>
          <a:chOff x="0" y="0"/>
          <a:chExt cx="20669250" cy="952500"/>
        </a:xfrm>
      </xdr:grpSpPr>
      <xdr:grpSp>
        <xdr:nvGrpSpPr>
          <xdr:cNvPr id="30" name="Agrupar 29">
            <a:extLst>
              <a:ext uri="{FF2B5EF4-FFF2-40B4-BE49-F238E27FC236}">
                <a16:creationId xmlns:a16="http://schemas.microsoft.com/office/drawing/2014/main" id="{C54AFD20-EAF8-385A-8ABA-5C95822AA780}"/>
              </a:ext>
            </a:extLst>
          </xdr:cNvPr>
          <xdr:cNvGrpSpPr/>
        </xdr:nvGrpSpPr>
        <xdr:grpSpPr>
          <a:xfrm>
            <a:off x="0" y="0"/>
            <a:ext cx="20669250" cy="952500"/>
            <a:chOff x="0" y="0"/>
            <a:chExt cx="20513967" cy="958054"/>
          </a:xfrm>
        </xdr:grpSpPr>
        <xdr:grpSp>
          <xdr:nvGrpSpPr>
            <xdr:cNvPr id="37" name="Agrupar 36">
              <a:extLst>
                <a:ext uri="{FF2B5EF4-FFF2-40B4-BE49-F238E27FC236}">
                  <a16:creationId xmlns:a16="http://schemas.microsoft.com/office/drawing/2014/main" id="{19C575EC-6600-668C-8AEC-BD350E451149}"/>
                </a:ext>
              </a:extLst>
            </xdr:cNvPr>
            <xdr:cNvGrpSpPr/>
          </xdr:nvGrpSpPr>
          <xdr:grpSpPr>
            <a:xfrm>
              <a:off x="0" y="0"/>
              <a:ext cx="20513967" cy="958054"/>
              <a:chOff x="0" y="0"/>
              <a:chExt cx="20370922" cy="952880"/>
            </a:xfrm>
          </xdr:grpSpPr>
          <xdr:sp macro="" textlink="">
            <xdr:nvSpPr>
              <xdr:cNvPr id="61" name="Retângulo 60">
                <a:extLst>
                  <a:ext uri="{FF2B5EF4-FFF2-40B4-BE49-F238E27FC236}">
                    <a16:creationId xmlns:a16="http://schemas.microsoft.com/office/drawing/2014/main" id="{319905CE-7E14-0534-B179-E2E4E15BF196}"/>
                  </a:ext>
                </a:extLst>
              </xdr:cNvPr>
              <xdr:cNvSpPr/>
            </xdr:nvSpPr>
            <xdr:spPr>
              <a:xfrm>
                <a:off x="0" y="0"/>
                <a:ext cx="20370922" cy="952880"/>
              </a:xfrm>
              <a:prstGeom prst="rect">
                <a:avLst/>
              </a:prstGeom>
              <a:solidFill>
                <a:srgbClr val="2C4594"/>
              </a:solidFill>
              <a:effectLst>
                <a:outerShdw blurRad="50800" dist="38100" dir="8100000" algn="tr" rotWithShape="0">
                  <a:prstClr val="black">
                    <a:alpha val="40000"/>
                  </a:prstClr>
                </a:outerShdw>
              </a:effec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t-BR" sz="1100"/>
              </a:p>
            </xdr:txBody>
          </xdr:sp>
          <xdr:pic>
            <xdr:nvPicPr>
              <xdr:cNvPr id="62" name="Imagem 61">
                <a:extLst>
                  <a:ext uri="{FF2B5EF4-FFF2-40B4-BE49-F238E27FC236}">
                    <a16:creationId xmlns:a16="http://schemas.microsoft.com/office/drawing/2014/main" id="{68E0DDE7-A2AC-9AD8-E19C-61A8396FBAB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8" cstate="print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7828611" y="212758"/>
                <a:ext cx="2905125" cy="624904"/>
              </a:xfrm>
              <a:prstGeom prst="rect">
                <a:avLst/>
              </a:prstGeom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xdr:spPr>
          </xdr:pic>
        </xdr:grpSp>
        <xdr:grpSp>
          <xdr:nvGrpSpPr>
            <xdr:cNvPr id="38" name="Agrupar 37">
              <a:extLst>
                <a:ext uri="{FF2B5EF4-FFF2-40B4-BE49-F238E27FC236}">
                  <a16:creationId xmlns:a16="http://schemas.microsoft.com/office/drawing/2014/main" id="{4AC779E2-392D-3A12-9B5A-2445A5751B4F}"/>
                </a:ext>
              </a:extLst>
            </xdr:cNvPr>
            <xdr:cNvGrpSpPr/>
          </xdr:nvGrpSpPr>
          <xdr:grpSpPr>
            <a:xfrm>
              <a:off x="14898860" y="343990"/>
              <a:ext cx="774107" cy="306456"/>
              <a:chOff x="16683879" y="341545"/>
              <a:chExt cx="771526" cy="323850"/>
            </a:xfrm>
          </xdr:grpSpPr>
          <xdr:sp macro="" textlink="">
            <xdr:nvSpPr>
              <xdr:cNvPr id="48" name="Retângulo: Cantos Arredondados 47">
                <a:hlinkClick xmlns:r="http://schemas.openxmlformats.org/officeDocument/2006/relationships" r:id="rId9"/>
                <a:extLst>
                  <a:ext uri="{FF2B5EF4-FFF2-40B4-BE49-F238E27FC236}">
                    <a16:creationId xmlns:a16="http://schemas.microsoft.com/office/drawing/2014/main" id="{3313AEB0-F94E-6638-0A2D-3B032C9B4D98}"/>
                  </a:ext>
                </a:extLst>
              </xdr:cNvPr>
              <xdr:cNvSpPr/>
            </xdr:nvSpPr>
            <xdr:spPr>
              <a:xfrm>
                <a:off x="16683879" y="341545"/>
                <a:ext cx="771526" cy="323850"/>
              </a:xfrm>
              <a:prstGeom prst="roundRect">
                <a:avLst/>
              </a:prstGeom>
              <a:solidFill>
                <a:sysClr val="window" lastClr="FFFFFF"/>
              </a:solidFill>
              <a:effectLst>
                <a:innerShdw blurRad="63500" dist="50800" dir="18900000">
                  <a:prstClr val="black">
                    <a:alpha val="50000"/>
                  </a:prstClr>
                </a:innerShdw>
              </a:effec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r>
                  <a:rPr lang="pt-BR" sz="1100"/>
                  <a:t>1</a:t>
                </a:r>
              </a:p>
            </xdr:txBody>
          </xdr:sp>
          <xdr:pic>
            <xdr:nvPicPr>
              <xdr:cNvPr id="60" name="Imagem 59" descr="ícones Do Computador, Gráfico, Gráfico De Barras png transparente grátis">
                <a:hlinkClick xmlns:r="http://schemas.openxmlformats.org/officeDocument/2006/relationships" r:id="rId9"/>
                <a:extLst>
                  <a:ext uri="{FF2B5EF4-FFF2-40B4-BE49-F238E27FC236}">
                    <a16:creationId xmlns:a16="http://schemas.microsoft.com/office/drawing/2014/main" id="{2D4E1C2E-AEB6-FF16-7C59-0204F2E090B0}"/>
                  </a:ext>
                </a:extLst>
              </xdr:cNvPr>
              <xdr:cNvPicPr preferRelativeResize="0">
                <a:picLocks noChangeArrowheads="1"/>
              </xdr:cNvPicPr>
            </xdr:nvPicPr>
            <xdr:blipFill rotWithShape="1">
              <a:blip xmlns:r="http://schemas.openxmlformats.org/officeDocument/2006/relationships" r:embed="rId10" cstate="print">
                <a:clrChange>
                  <a:clrFrom>
                    <a:srgbClr val="FFFFFF"/>
                  </a:clrFrom>
                  <a:clrTo>
                    <a:srgbClr val="FFFFFF">
                      <a:alpha val="0"/>
                    </a:srgbClr>
                  </a:clrTo>
                </a:clrChange>
                <a:extLst>
                  <a:ext uri="{BEBA8EAE-BF5A-486C-A8C5-ECC9F3942E4B}">
                    <a14:imgProps xmlns:a14="http://schemas.microsoft.com/office/drawing/2010/main">
                      <a14:imgLayer r:embed="rId11">
                        <a14:imgEffect>
                          <a14:backgroundRemoval t="14620" b="85965" l="27365" r="69595">
                            <a14:foregroundMark x1="37162" y1="42690" x2="37162" y2="42690"/>
                            <a14:foregroundMark x1="56757" y1="57310" x2="56757" y2="57310"/>
                            <a14:foregroundMark x1="66892" y1="73099" x2="66892" y2="73099"/>
                            <a14:foregroundMark x1="27365" y1="52047" x2="27365" y2="52047"/>
                            <a14:foregroundMark x1="52703" y1="85380" x2="52703" y2="85380"/>
                            <a14:foregroundMark x1="65541" y1="85965" x2="65541" y2="85965"/>
                          </a14:backgroundRemoval>
                        </a14:imgEffect>
                      </a14:imgLayer>
                    </a14:imgProps>
                  </a:ex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 l="25323" t="6249" r="24729" b="8681"/>
              <a:stretch/>
            </xdr:blipFill>
            <xdr:spPr bwMode="auto">
              <a:xfrm>
                <a:off x="16941178" y="416752"/>
                <a:ext cx="284883" cy="229591"/>
              </a:xfrm>
              <a:prstGeom prst="rect">
                <a:avLst/>
              </a:prstGeom>
              <a:noFill/>
              <a:extLst>
                <a:ext uri="{909E8E84-426E-40DD-AFC4-6F175D3DCCD1}">
                  <a14:hiddenFill xmlns:a14="http://schemas.microsoft.com/office/drawing/2010/main">
                    <a:solidFill>
                      <a:srgbClr val="FFFFFF"/>
                    </a:solidFill>
                  </a14:hiddenFill>
                </a:ext>
              </a:extLst>
            </xdr:spPr>
          </xdr:pic>
        </xdr:grpSp>
        <xdr:sp macro="" textlink="">
          <xdr:nvSpPr>
            <xdr:cNvPr id="39" name="Retângulo: Cantos Arredondados 38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35BE6696-E7D7-EC82-CE0C-1BA3112A2A6D}"/>
                </a:ext>
              </a:extLst>
            </xdr:cNvPr>
            <xdr:cNvSpPr/>
          </xdr:nvSpPr>
          <xdr:spPr>
            <a:xfrm>
              <a:off x="47625" y="320161"/>
              <a:ext cx="762000" cy="324000"/>
            </a:xfrm>
            <a:prstGeom prst="roundRect">
              <a:avLst/>
            </a:prstGeom>
            <a:solidFill>
              <a:sysClr val="window" lastClr="FFFFFF"/>
            </a:solidFill>
            <a:effectLst>
              <a:outerShdw blurRad="50800" dist="38100" dir="16200000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600">
                  <a:solidFill>
                    <a:srgbClr val="2C4594"/>
                  </a:solidFill>
                </a:rPr>
                <a:t>ANA</a:t>
              </a:r>
            </a:p>
          </xdr:txBody>
        </xdr:sp>
        <xdr:grpSp>
          <xdr:nvGrpSpPr>
            <xdr:cNvPr id="44" name="Agrupar 43">
              <a:extLst>
                <a:ext uri="{FF2B5EF4-FFF2-40B4-BE49-F238E27FC236}">
                  <a16:creationId xmlns:a16="http://schemas.microsoft.com/office/drawing/2014/main" id="{AFD029C7-4D19-FB14-A730-D61E036857BF}"/>
                </a:ext>
              </a:extLst>
            </xdr:cNvPr>
            <xdr:cNvGrpSpPr/>
          </xdr:nvGrpSpPr>
          <xdr:grpSpPr>
            <a:xfrm>
              <a:off x="13931864" y="343607"/>
              <a:ext cx="805960" cy="307732"/>
              <a:chOff x="13931864" y="372915"/>
              <a:chExt cx="805960" cy="307732"/>
            </a:xfrm>
          </xdr:grpSpPr>
          <xdr:sp macro="[0]!Salvar" textlink="">
            <xdr:nvSpPr>
              <xdr:cNvPr id="45" name="Retângulo: Cantos Arredondados 44">
                <a:extLst>
                  <a:ext uri="{FF2B5EF4-FFF2-40B4-BE49-F238E27FC236}">
                    <a16:creationId xmlns:a16="http://schemas.microsoft.com/office/drawing/2014/main" id="{C2144C13-F837-27F9-166F-1B31B1412354}"/>
                  </a:ext>
                </a:extLst>
              </xdr:cNvPr>
              <xdr:cNvSpPr/>
            </xdr:nvSpPr>
            <xdr:spPr>
              <a:xfrm>
                <a:off x="13931864" y="372915"/>
                <a:ext cx="805960" cy="307732"/>
              </a:xfrm>
              <a:prstGeom prst="roundRect">
                <a:avLst/>
              </a:prstGeom>
              <a:solidFill>
                <a:sysClr val="window" lastClr="FFFFFF"/>
              </a:solidFill>
              <a:ln>
                <a:solidFill>
                  <a:srgbClr val="2C4594"/>
                </a:solidFill>
              </a:ln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pt-BR" sz="1100" b="1">
                    <a:solidFill>
                      <a:srgbClr val="2C4594"/>
                    </a:solidFill>
                  </a:rPr>
                  <a:t>         </a:t>
                </a:r>
              </a:p>
            </xdr:txBody>
          </xdr:sp>
          <xdr:pic macro="[0]!Salvar">
            <xdr:nvPicPr>
              <xdr:cNvPr id="46" name="Imagem 45" descr="Opção de salvar arquivo - ícones de interface grátis">
                <a:extLst>
                  <a:ext uri="{FF2B5EF4-FFF2-40B4-BE49-F238E27FC236}">
                    <a16:creationId xmlns:a16="http://schemas.microsoft.com/office/drawing/2014/main" id="{352D64F0-2F9C-7B0B-97EE-EE3F061862C2}"/>
                  </a:ext>
                </a:extLst>
              </xdr:cNvPr>
              <xdr:cNvPicPr>
                <a:picLocks noChangeAspect="1" noChangeArrowheads="1"/>
              </xdr:cNvPicPr>
            </xdr:nvPicPr>
            <xdr:blipFill>
              <a:blip xmlns:r="http://schemas.openxmlformats.org/officeDocument/2006/relationships" r:embed="rId13" cstate="print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xdr:blipFill>
            <xdr:spPr bwMode="auto">
              <a:xfrm>
                <a:off x="14210276" y="416877"/>
                <a:ext cx="248093" cy="236461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 xmlns:a14="http://schemas.microsoft.com/office/drawing/2010/main">
                    <a:solidFill>
                      <a:srgbClr val="FFFFFF"/>
                    </a:solidFill>
                  </a14:hiddenFill>
                </a:ext>
              </a:extLst>
            </xdr:spPr>
          </xdr:pic>
        </xdr:grpSp>
      </xdr:grpSp>
      <xdr:pic macro="[0]!EstaPastaDeTrabalho.telaCheia">
        <xdr:nvPicPr>
          <xdr:cNvPr id="28" name="Imagem 27" descr="Botão de ícones do computador Monitores de computador, salvar tela inteira,  diversos, ângulo, texto png | PNGWing">
            <a:extLst>
              <a:ext uri="{FF2B5EF4-FFF2-40B4-BE49-F238E27FC236}">
                <a16:creationId xmlns:a16="http://schemas.microsoft.com/office/drawing/2014/main" id="{E151222B-D9AE-5ECB-1285-968B596BB28A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4" cstate="print">
            <a:lum bright="70000" contrast="-70000"/>
            <a:extLst>
              <a:ext uri="{BEBA8EAE-BF5A-486C-A8C5-ECC9F3942E4B}">
                <a14:imgProps xmlns:a14="http://schemas.microsoft.com/office/drawing/2010/main">
                  <a14:imgLayer r:embed="rId15">
                    <a14:imgEffect>
                      <a14:backgroundRemoval t="9890" b="91209" l="9816" r="89571">
                        <a14:foregroundMark x1="56087" y1="49023" x2="56087" y2="49023"/>
                        <a14:foregroundMark x1="32515" y1="91209" x2="32515" y2="91209"/>
                        <a14:backgroundMark x1="31902" y1="93407" x2="31902" y2="93407"/>
                        <a14:backgroundMark x1="31902" y1="92308" x2="31902" y2="92308"/>
                      </a14:backgroundRemoval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8726350" y="286160"/>
            <a:ext cx="717385" cy="397009"/>
          </a:xfrm>
          <a:prstGeom prst="rect">
            <a:avLst/>
          </a:prstGeom>
          <a:noFill/>
          <a:effectLst>
            <a:outerShdw blurRad="50800" dist="38100" dir="16200000" rotWithShape="0">
              <a:prstClr val="black">
                <a:alpha val="40000"/>
              </a:prstClr>
            </a:outerShdw>
          </a:effectLst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 macro="[0]!EstaPastaDeTrabalho.telaNormal">
        <xdr:nvPicPr>
          <xdr:cNvPr id="29" name="Imagem 28">
            <a:extLst>
              <a:ext uri="{FF2B5EF4-FFF2-40B4-BE49-F238E27FC236}">
                <a16:creationId xmlns:a16="http://schemas.microsoft.com/office/drawing/2014/main" id="{D53C23F9-4D4B-A3CF-7FF9-52EFF01EF00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>
            <a:lum bright="70000" contrast="-70000"/>
            <a:extLst>
              <a:ext uri="{BEBA8EAE-BF5A-486C-A8C5-ECC9F3942E4B}">
                <a14:imgProps xmlns:a14="http://schemas.microsoft.com/office/drawing/2010/main">
                  <a14:imgLayer r:embed="rId17">
                    <a14:imgEffect>
                      <a14:backgroundRemoval t="6196" b="90435" l="6932" r="92614">
                        <a14:foregroundMark x1="38295" y1="40326" x2="38295" y2="40326"/>
                        <a14:foregroundMark x1="56364" y1="57609" x2="56364" y2="57609"/>
                        <a14:foregroundMark x1="92614" y1="40978" x2="92614" y2="40978"/>
                        <a14:foregroundMark x1="87955" y1="6304" x2="87955" y2="6304"/>
                        <a14:foregroundMark x1="22955" y1="90543" x2="22955" y2="90543"/>
                        <a14:foregroundMark x1="27045" y1="90543" x2="27045" y2="90543"/>
                        <a14:foregroundMark x1="6932" y1="77717" x2="6932" y2="77717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19477091" y="314555"/>
            <a:ext cx="369305" cy="373886"/>
          </a:xfrm>
          <a:prstGeom prst="rect">
            <a:avLst/>
          </a:prstGeom>
          <a:effectLst>
            <a:outerShdw blurRad="50800" dist="38100" dir="16200000" rotWithShape="0">
              <a:prstClr val="black">
                <a:alpha val="40000"/>
              </a:prstClr>
            </a:outerShdw>
          </a:effectLst>
        </xdr:spPr>
      </xdr:pic>
    </xdr:grpSp>
    <xdr:clientData/>
  </xdr:twoCellAnchor>
  <xdr:twoCellAnchor>
    <xdr:from>
      <xdr:col>21</xdr:col>
      <xdr:colOff>158750</xdr:colOff>
      <xdr:row>33</xdr:row>
      <xdr:rowOff>47625</xdr:rowOff>
    </xdr:from>
    <xdr:to>
      <xdr:col>22</xdr:col>
      <xdr:colOff>111125</xdr:colOff>
      <xdr:row>33</xdr:row>
      <xdr:rowOff>322650</xdr:rowOff>
    </xdr:to>
    <xdr:sp macro="" textlink="">
      <xdr:nvSpPr>
        <xdr:cNvPr id="33" name="CaixaDeTexto 32">
          <a:extLst>
            <a:ext uri="{FF2B5EF4-FFF2-40B4-BE49-F238E27FC236}">
              <a16:creationId xmlns:a16="http://schemas.microsoft.com/office/drawing/2014/main" id="{22C2551A-74B7-4906-B016-89C965C65DCB}"/>
            </a:ext>
          </a:extLst>
        </xdr:cNvPr>
        <xdr:cNvSpPr txBox="1"/>
      </xdr:nvSpPr>
      <xdr:spPr>
        <a:xfrm>
          <a:off x="8604250" y="7540625"/>
          <a:ext cx="555625" cy="275025"/>
        </a:xfrm>
        <a:prstGeom prst="rect">
          <a:avLst/>
        </a:prstGeom>
        <a:solidFill>
          <a:schemeClr val="lt1"/>
        </a:solidFill>
        <a:ln w="9525" cmpd="sng"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>
              <a:solidFill>
                <a:srgbClr val="2C4594"/>
              </a:solidFill>
            </a:rPr>
            <a:t>META</a:t>
          </a:r>
        </a:p>
      </xdr:txBody>
    </xdr:sp>
    <xdr:clientData/>
  </xdr:twoCellAnchor>
  <xdr:twoCellAnchor>
    <xdr:from>
      <xdr:col>20</xdr:col>
      <xdr:colOff>381000</xdr:colOff>
      <xdr:row>33</xdr:row>
      <xdr:rowOff>312152</xdr:rowOff>
    </xdr:from>
    <xdr:to>
      <xdr:col>21</xdr:col>
      <xdr:colOff>158750</xdr:colOff>
      <xdr:row>35</xdr:row>
      <xdr:rowOff>105777</xdr:rowOff>
    </xdr:to>
    <xdr:cxnSp macro="">
      <xdr:nvCxnSpPr>
        <xdr:cNvPr id="47" name="Conector de Seta Reta 46">
          <a:extLst>
            <a:ext uri="{FF2B5EF4-FFF2-40B4-BE49-F238E27FC236}">
              <a16:creationId xmlns:a16="http://schemas.microsoft.com/office/drawing/2014/main" id="{ABCC65DE-9DCE-4832-9DA1-D160B52453BC}"/>
            </a:ext>
          </a:extLst>
        </xdr:cNvPr>
        <xdr:cNvCxnSpPr/>
      </xdr:nvCxnSpPr>
      <xdr:spPr>
        <a:xfrm flipH="1">
          <a:off x="8223250" y="7805152"/>
          <a:ext cx="381000" cy="3651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0</xdr:colOff>
      <xdr:row>33</xdr:row>
      <xdr:rowOff>31750</xdr:rowOff>
    </xdr:from>
    <xdr:to>
      <xdr:col>39</xdr:col>
      <xdr:colOff>555625</xdr:colOff>
      <xdr:row>33</xdr:row>
      <xdr:rowOff>306775</xdr:rowOff>
    </xdr:to>
    <xdr:sp macro="" textlink="">
      <xdr:nvSpPr>
        <xdr:cNvPr id="49" name="CaixaDeTexto 48">
          <a:extLst>
            <a:ext uri="{FF2B5EF4-FFF2-40B4-BE49-F238E27FC236}">
              <a16:creationId xmlns:a16="http://schemas.microsoft.com/office/drawing/2014/main" id="{C88FEDCD-7355-41C6-99CD-4485EB6CFA16}"/>
            </a:ext>
          </a:extLst>
        </xdr:cNvPr>
        <xdr:cNvSpPr txBox="1"/>
      </xdr:nvSpPr>
      <xdr:spPr>
        <a:xfrm>
          <a:off x="19431000" y="7524750"/>
          <a:ext cx="555625" cy="275025"/>
        </a:xfrm>
        <a:prstGeom prst="rect">
          <a:avLst/>
        </a:prstGeom>
        <a:solidFill>
          <a:schemeClr val="lt1"/>
        </a:solidFill>
        <a:ln w="9525" cmpd="sng"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>
              <a:solidFill>
                <a:srgbClr val="2C4594"/>
              </a:solidFill>
            </a:rPr>
            <a:t>META</a:t>
          </a:r>
        </a:p>
      </xdr:txBody>
    </xdr:sp>
    <xdr:clientData/>
  </xdr:twoCellAnchor>
  <xdr:twoCellAnchor>
    <xdr:from>
      <xdr:col>38</xdr:col>
      <xdr:colOff>222250</xdr:colOff>
      <xdr:row>33</xdr:row>
      <xdr:rowOff>296277</xdr:rowOff>
    </xdr:from>
    <xdr:to>
      <xdr:col>39</xdr:col>
      <xdr:colOff>0</xdr:colOff>
      <xdr:row>35</xdr:row>
      <xdr:rowOff>89902</xdr:rowOff>
    </xdr:to>
    <xdr:cxnSp macro="">
      <xdr:nvCxnSpPr>
        <xdr:cNvPr id="50" name="Conector de Seta Reta 49">
          <a:extLst>
            <a:ext uri="{FF2B5EF4-FFF2-40B4-BE49-F238E27FC236}">
              <a16:creationId xmlns:a16="http://schemas.microsoft.com/office/drawing/2014/main" id="{C50D280F-D77C-4EF2-9DAA-FEB8F104DD03}"/>
            </a:ext>
          </a:extLst>
        </xdr:cNvPr>
        <xdr:cNvCxnSpPr/>
      </xdr:nvCxnSpPr>
      <xdr:spPr>
        <a:xfrm flipH="1">
          <a:off x="19050000" y="7789277"/>
          <a:ext cx="381000" cy="3651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158750</xdr:colOff>
      <xdr:row>57</xdr:row>
      <xdr:rowOff>127000</xdr:rowOff>
    </xdr:from>
    <xdr:to>
      <xdr:col>22</xdr:col>
      <xdr:colOff>111125</xdr:colOff>
      <xdr:row>58</xdr:row>
      <xdr:rowOff>21025</xdr:rowOff>
    </xdr:to>
    <xdr:sp macro="" textlink="">
      <xdr:nvSpPr>
        <xdr:cNvPr id="51" name="CaixaDeTexto 50">
          <a:extLst>
            <a:ext uri="{FF2B5EF4-FFF2-40B4-BE49-F238E27FC236}">
              <a16:creationId xmlns:a16="http://schemas.microsoft.com/office/drawing/2014/main" id="{F56560EE-CA71-49B3-BC85-941E973E794F}"/>
            </a:ext>
          </a:extLst>
        </xdr:cNvPr>
        <xdr:cNvSpPr txBox="1"/>
      </xdr:nvSpPr>
      <xdr:spPr>
        <a:xfrm>
          <a:off x="8604250" y="13398500"/>
          <a:ext cx="555625" cy="275025"/>
        </a:xfrm>
        <a:prstGeom prst="rect">
          <a:avLst/>
        </a:prstGeom>
        <a:solidFill>
          <a:schemeClr val="lt1"/>
        </a:solidFill>
        <a:ln w="9525" cmpd="sng"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>
              <a:solidFill>
                <a:srgbClr val="2C4594"/>
              </a:solidFill>
            </a:rPr>
            <a:t>META</a:t>
          </a:r>
        </a:p>
      </xdr:txBody>
    </xdr:sp>
    <xdr:clientData/>
  </xdr:twoCellAnchor>
  <xdr:twoCellAnchor>
    <xdr:from>
      <xdr:col>20</xdr:col>
      <xdr:colOff>381000</xdr:colOff>
      <xdr:row>58</xdr:row>
      <xdr:rowOff>10527</xdr:rowOff>
    </xdr:from>
    <xdr:to>
      <xdr:col>21</xdr:col>
      <xdr:colOff>158750</xdr:colOff>
      <xdr:row>59</xdr:row>
      <xdr:rowOff>185152</xdr:rowOff>
    </xdr:to>
    <xdr:cxnSp macro="">
      <xdr:nvCxnSpPr>
        <xdr:cNvPr id="52" name="Conector de Seta Reta 51">
          <a:extLst>
            <a:ext uri="{FF2B5EF4-FFF2-40B4-BE49-F238E27FC236}">
              <a16:creationId xmlns:a16="http://schemas.microsoft.com/office/drawing/2014/main" id="{C502D1E6-3BC5-46AF-A1B0-E469A3BA87D9}"/>
            </a:ext>
          </a:extLst>
        </xdr:cNvPr>
        <xdr:cNvCxnSpPr/>
      </xdr:nvCxnSpPr>
      <xdr:spPr>
        <a:xfrm flipH="1">
          <a:off x="8223250" y="13663027"/>
          <a:ext cx="381000" cy="3651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523875</xdr:colOff>
      <xdr:row>57</xdr:row>
      <xdr:rowOff>15875</xdr:rowOff>
    </xdr:from>
    <xdr:to>
      <xdr:col>39</xdr:col>
      <xdr:colOff>476250</xdr:colOff>
      <xdr:row>57</xdr:row>
      <xdr:rowOff>290900</xdr:rowOff>
    </xdr:to>
    <xdr:sp macro="" textlink="">
      <xdr:nvSpPr>
        <xdr:cNvPr id="53" name="CaixaDeTexto 52">
          <a:extLst>
            <a:ext uri="{FF2B5EF4-FFF2-40B4-BE49-F238E27FC236}">
              <a16:creationId xmlns:a16="http://schemas.microsoft.com/office/drawing/2014/main" id="{227FE555-6885-45E0-BBC7-1AB15162CF98}"/>
            </a:ext>
          </a:extLst>
        </xdr:cNvPr>
        <xdr:cNvSpPr txBox="1"/>
      </xdr:nvSpPr>
      <xdr:spPr>
        <a:xfrm>
          <a:off x="19351625" y="13287375"/>
          <a:ext cx="555625" cy="275025"/>
        </a:xfrm>
        <a:prstGeom prst="rect">
          <a:avLst/>
        </a:prstGeom>
        <a:solidFill>
          <a:schemeClr val="lt1"/>
        </a:solidFill>
        <a:ln w="9525" cmpd="sng"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>
              <a:solidFill>
                <a:srgbClr val="2C4594"/>
              </a:solidFill>
            </a:rPr>
            <a:t>META</a:t>
          </a:r>
        </a:p>
      </xdr:txBody>
    </xdr:sp>
    <xdr:clientData/>
  </xdr:twoCellAnchor>
  <xdr:twoCellAnchor>
    <xdr:from>
      <xdr:col>38</xdr:col>
      <xdr:colOff>142875</xdr:colOff>
      <xdr:row>57</xdr:row>
      <xdr:rowOff>280402</xdr:rowOff>
    </xdr:from>
    <xdr:to>
      <xdr:col>38</xdr:col>
      <xdr:colOff>523875</xdr:colOff>
      <xdr:row>59</xdr:row>
      <xdr:rowOff>74027</xdr:rowOff>
    </xdr:to>
    <xdr:cxnSp macro="">
      <xdr:nvCxnSpPr>
        <xdr:cNvPr id="54" name="Conector de Seta Reta 53">
          <a:extLst>
            <a:ext uri="{FF2B5EF4-FFF2-40B4-BE49-F238E27FC236}">
              <a16:creationId xmlns:a16="http://schemas.microsoft.com/office/drawing/2014/main" id="{B1533886-B0F2-47FB-9279-0FA9B5319FC5}"/>
            </a:ext>
          </a:extLst>
        </xdr:cNvPr>
        <xdr:cNvCxnSpPr/>
      </xdr:nvCxnSpPr>
      <xdr:spPr>
        <a:xfrm flipH="1">
          <a:off x="18970625" y="13551902"/>
          <a:ext cx="381000" cy="3651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190500</xdr:colOff>
      <xdr:row>82</xdr:row>
      <xdr:rowOff>333375</xdr:rowOff>
    </xdr:from>
    <xdr:to>
      <xdr:col>22</xdr:col>
      <xdr:colOff>142875</xdr:colOff>
      <xdr:row>83</xdr:row>
      <xdr:rowOff>227400</xdr:rowOff>
    </xdr:to>
    <xdr:sp macro="" textlink="">
      <xdr:nvSpPr>
        <xdr:cNvPr id="55" name="CaixaDeTexto 54">
          <a:extLst>
            <a:ext uri="{FF2B5EF4-FFF2-40B4-BE49-F238E27FC236}">
              <a16:creationId xmlns:a16="http://schemas.microsoft.com/office/drawing/2014/main" id="{7A0AF666-E360-46F1-A969-0286C08E2207}"/>
            </a:ext>
          </a:extLst>
        </xdr:cNvPr>
        <xdr:cNvSpPr txBox="1"/>
      </xdr:nvSpPr>
      <xdr:spPr>
        <a:xfrm>
          <a:off x="8636000" y="19192875"/>
          <a:ext cx="555625" cy="275025"/>
        </a:xfrm>
        <a:prstGeom prst="rect">
          <a:avLst/>
        </a:prstGeom>
        <a:solidFill>
          <a:schemeClr val="lt1"/>
        </a:solidFill>
        <a:ln w="9525" cmpd="sng"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>
              <a:solidFill>
                <a:srgbClr val="2C4594"/>
              </a:solidFill>
            </a:rPr>
            <a:t>META</a:t>
          </a:r>
        </a:p>
      </xdr:txBody>
    </xdr:sp>
    <xdr:clientData/>
  </xdr:twoCellAnchor>
  <xdr:twoCellAnchor>
    <xdr:from>
      <xdr:col>20</xdr:col>
      <xdr:colOff>412750</xdr:colOff>
      <xdr:row>83</xdr:row>
      <xdr:rowOff>216902</xdr:rowOff>
    </xdr:from>
    <xdr:to>
      <xdr:col>21</xdr:col>
      <xdr:colOff>190500</xdr:colOff>
      <xdr:row>84</xdr:row>
      <xdr:rowOff>201027</xdr:rowOff>
    </xdr:to>
    <xdr:cxnSp macro="">
      <xdr:nvCxnSpPr>
        <xdr:cNvPr id="56" name="Conector de Seta Reta 55">
          <a:extLst>
            <a:ext uri="{FF2B5EF4-FFF2-40B4-BE49-F238E27FC236}">
              <a16:creationId xmlns:a16="http://schemas.microsoft.com/office/drawing/2014/main" id="{B5712F62-14CF-455C-BF9B-EA51EE188FF6}"/>
            </a:ext>
          </a:extLst>
        </xdr:cNvPr>
        <xdr:cNvCxnSpPr/>
      </xdr:nvCxnSpPr>
      <xdr:spPr>
        <a:xfrm flipH="1">
          <a:off x="8255000" y="19457402"/>
          <a:ext cx="381000" cy="3651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63500</xdr:colOff>
      <xdr:row>83</xdr:row>
      <xdr:rowOff>15875</xdr:rowOff>
    </xdr:from>
    <xdr:to>
      <xdr:col>40</xdr:col>
      <xdr:colOff>15875</xdr:colOff>
      <xdr:row>83</xdr:row>
      <xdr:rowOff>290900</xdr:rowOff>
    </xdr:to>
    <xdr:sp macro="" textlink="">
      <xdr:nvSpPr>
        <xdr:cNvPr id="57" name="CaixaDeTexto 56">
          <a:extLst>
            <a:ext uri="{FF2B5EF4-FFF2-40B4-BE49-F238E27FC236}">
              <a16:creationId xmlns:a16="http://schemas.microsoft.com/office/drawing/2014/main" id="{D48D17AD-3210-499C-8004-513F9C55B6B6}"/>
            </a:ext>
          </a:extLst>
        </xdr:cNvPr>
        <xdr:cNvSpPr txBox="1"/>
      </xdr:nvSpPr>
      <xdr:spPr>
        <a:xfrm>
          <a:off x="19494500" y="19256375"/>
          <a:ext cx="555625" cy="275025"/>
        </a:xfrm>
        <a:prstGeom prst="rect">
          <a:avLst/>
        </a:prstGeom>
        <a:solidFill>
          <a:schemeClr val="lt1"/>
        </a:solidFill>
        <a:ln w="9525" cmpd="sng"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>
              <a:solidFill>
                <a:srgbClr val="2C4594"/>
              </a:solidFill>
            </a:rPr>
            <a:t>META</a:t>
          </a:r>
        </a:p>
      </xdr:txBody>
    </xdr:sp>
    <xdr:clientData/>
  </xdr:twoCellAnchor>
  <xdr:twoCellAnchor>
    <xdr:from>
      <xdr:col>38</xdr:col>
      <xdr:colOff>285750</xdr:colOff>
      <xdr:row>83</xdr:row>
      <xdr:rowOff>280402</xdr:rowOff>
    </xdr:from>
    <xdr:to>
      <xdr:col>39</xdr:col>
      <xdr:colOff>63500</xdr:colOff>
      <xdr:row>84</xdr:row>
      <xdr:rowOff>264527</xdr:rowOff>
    </xdr:to>
    <xdr:cxnSp macro="">
      <xdr:nvCxnSpPr>
        <xdr:cNvPr id="58" name="Conector de Seta Reta 57">
          <a:extLst>
            <a:ext uri="{FF2B5EF4-FFF2-40B4-BE49-F238E27FC236}">
              <a16:creationId xmlns:a16="http://schemas.microsoft.com/office/drawing/2014/main" id="{F6DE9E9E-686D-4A89-9F9F-8DC52E72EAB4}"/>
            </a:ext>
          </a:extLst>
        </xdr:cNvPr>
        <xdr:cNvCxnSpPr/>
      </xdr:nvCxnSpPr>
      <xdr:spPr>
        <a:xfrm flipH="1">
          <a:off x="19113500" y="19520902"/>
          <a:ext cx="381000" cy="3651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127000</xdr:colOff>
      <xdr:row>6</xdr:row>
      <xdr:rowOff>142875</xdr:rowOff>
    </xdr:from>
    <xdr:to>
      <xdr:col>40</xdr:col>
      <xdr:colOff>560237</xdr:colOff>
      <xdr:row>8</xdr:row>
      <xdr:rowOff>83848</xdr:rowOff>
    </xdr:to>
    <xdr:sp macro="[0]!OCULTAR1" textlink="">
      <xdr:nvSpPr>
        <xdr:cNvPr id="9" name="Retângulo: Cantos Arredondados 8">
          <a:extLst>
            <a:ext uri="{FF2B5EF4-FFF2-40B4-BE49-F238E27FC236}">
              <a16:creationId xmlns:a16="http://schemas.microsoft.com/office/drawing/2014/main" id="{200F5DA5-7876-4D09-BC0F-6011DEBACEC4}"/>
            </a:ext>
          </a:extLst>
        </xdr:cNvPr>
        <xdr:cNvSpPr/>
      </xdr:nvSpPr>
      <xdr:spPr>
        <a:xfrm>
          <a:off x="19558000" y="1317625"/>
          <a:ext cx="1036487" cy="321973"/>
        </a:xfrm>
        <a:prstGeom prst="roundRect">
          <a:avLst/>
        </a:prstGeom>
        <a:solidFill>
          <a:sysClr val="window" lastClr="FFFFFF"/>
        </a:solidFill>
        <a:effectLst>
          <a:outerShdw blurRad="50800" dist="38100" dir="16200000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>
              <a:solidFill>
                <a:srgbClr val="2C4594"/>
              </a:solidFill>
            </a:rPr>
            <a:t>OCULTAR</a:t>
          </a:r>
        </a:p>
      </xdr:txBody>
    </xdr:sp>
    <xdr:clientData/>
  </xdr:twoCellAnchor>
  <xdr:twoCellAnchor>
    <xdr:from>
      <xdr:col>37</xdr:col>
      <xdr:colOff>142875</xdr:colOff>
      <xdr:row>6</xdr:row>
      <xdr:rowOff>142875</xdr:rowOff>
    </xdr:from>
    <xdr:to>
      <xdr:col>38</xdr:col>
      <xdr:colOff>576112</xdr:colOff>
      <xdr:row>8</xdr:row>
      <xdr:rowOff>83848</xdr:rowOff>
    </xdr:to>
    <xdr:sp macro="[0]!EXIBIR1" textlink="">
      <xdr:nvSpPr>
        <xdr:cNvPr id="11" name="Retângulo: Cantos Arredondados 10">
          <a:extLst>
            <a:ext uri="{FF2B5EF4-FFF2-40B4-BE49-F238E27FC236}">
              <a16:creationId xmlns:a16="http://schemas.microsoft.com/office/drawing/2014/main" id="{8237C801-0E4A-4182-B4B1-6811651146B4}"/>
            </a:ext>
          </a:extLst>
        </xdr:cNvPr>
        <xdr:cNvSpPr/>
      </xdr:nvSpPr>
      <xdr:spPr>
        <a:xfrm>
          <a:off x="18367375" y="1317625"/>
          <a:ext cx="1036487" cy="321973"/>
        </a:xfrm>
        <a:prstGeom prst="roundRect">
          <a:avLst/>
        </a:prstGeom>
        <a:solidFill>
          <a:sysClr val="window" lastClr="FFFFFF"/>
        </a:solidFill>
        <a:effectLst>
          <a:outerShdw blurRad="50800" dist="38100" dir="16200000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>
              <a:solidFill>
                <a:srgbClr val="2C4594"/>
              </a:solidFill>
            </a:rPr>
            <a:t>EXIBIR</a:t>
          </a:r>
        </a:p>
      </xdr:txBody>
    </xdr:sp>
    <xdr:clientData/>
  </xdr:twoCellAnchor>
  <xdr:twoCellAnchor>
    <xdr:from>
      <xdr:col>39</xdr:col>
      <xdr:colOff>127000</xdr:colOff>
      <xdr:row>27</xdr:row>
      <xdr:rowOff>142875</xdr:rowOff>
    </xdr:from>
    <xdr:to>
      <xdr:col>40</xdr:col>
      <xdr:colOff>560237</xdr:colOff>
      <xdr:row>29</xdr:row>
      <xdr:rowOff>83848</xdr:rowOff>
    </xdr:to>
    <xdr:sp macro="[0]!OCULTAR2" textlink="">
      <xdr:nvSpPr>
        <xdr:cNvPr id="12" name="Retângulo: Cantos Arredondados 11">
          <a:extLst>
            <a:ext uri="{FF2B5EF4-FFF2-40B4-BE49-F238E27FC236}">
              <a16:creationId xmlns:a16="http://schemas.microsoft.com/office/drawing/2014/main" id="{38382BF6-E15A-4B9E-AB1C-4CC40CA10BFF}"/>
            </a:ext>
          </a:extLst>
        </xdr:cNvPr>
        <xdr:cNvSpPr/>
      </xdr:nvSpPr>
      <xdr:spPr>
        <a:xfrm>
          <a:off x="19558000" y="6032500"/>
          <a:ext cx="1036487" cy="321973"/>
        </a:xfrm>
        <a:prstGeom prst="roundRect">
          <a:avLst/>
        </a:prstGeom>
        <a:solidFill>
          <a:sysClr val="window" lastClr="FFFFFF"/>
        </a:solidFill>
        <a:effectLst>
          <a:outerShdw blurRad="50800" dist="38100" dir="16200000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>
              <a:solidFill>
                <a:srgbClr val="2C4594"/>
              </a:solidFill>
            </a:rPr>
            <a:t>OCULTAR</a:t>
          </a:r>
        </a:p>
      </xdr:txBody>
    </xdr:sp>
    <xdr:clientData/>
  </xdr:twoCellAnchor>
  <xdr:twoCellAnchor>
    <xdr:from>
      <xdr:col>37</xdr:col>
      <xdr:colOff>142875</xdr:colOff>
      <xdr:row>27</xdr:row>
      <xdr:rowOff>142875</xdr:rowOff>
    </xdr:from>
    <xdr:to>
      <xdr:col>38</xdr:col>
      <xdr:colOff>576112</xdr:colOff>
      <xdr:row>29</xdr:row>
      <xdr:rowOff>83848</xdr:rowOff>
    </xdr:to>
    <xdr:sp macro="[0]!EXIBIR2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3491602B-4A51-4DBE-99EC-41D5FCFE7A7E}"/>
            </a:ext>
          </a:extLst>
        </xdr:cNvPr>
        <xdr:cNvSpPr/>
      </xdr:nvSpPr>
      <xdr:spPr>
        <a:xfrm>
          <a:off x="18367375" y="6032500"/>
          <a:ext cx="1036487" cy="321973"/>
        </a:xfrm>
        <a:prstGeom prst="roundRect">
          <a:avLst/>
        </a:prstGeom>
        <a:solidFill>
          <a:sysClr val="window" lastClr="FFFFFF"/>
        </a:solidFill>
        <a:effectLst>
          <a:outerShdw blurRad="50800" dist="38100" dir="16200000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>
              <a:solidFill>
                <a:srgbClr val="2C4594"/>
              </a:solidFill>
            </a:rPr>
            <a:t>EXIBIR</a:t>
          </a:r>
        </a:p>
      </xdr:txBody>
    </xdr:sp>
    <xdr:clientData/>
  </xdr:twoCellAnchor>
  <xdr:twoCellAnchor>
    <xdr:from>
      <xdr:col>39</xdr:col>
      <xdr:colOff>111125</xdr:colOff>
      <xdr:row>51</xdr:row>
      <xdr:rowOff>142875</xdr:rowOff>
    </xdr:from>
    <xdr:to>
      <xdr:col>40</xdr:col>
      <xdr:colOff>544362</xdr:colOff>
      <xdr:row>53</xdr:row>
      <xdr:rowOff>83848</xdr:rowOff>
    </xdr:to>
    <xdr:sp macro="[0]!OCULTAR3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07F0A5EC-D7BC-4FAE-AA2F-FC9EC6F292C8}"/>
            </a:ext>
          </a:extLst>
        </xdr:cNvPr>
        <xdr:cNvSpPr/>
      </xdr:nvSpPr>
      <xdr:spPr>
        <a:xfrm>
          <a:off x="19542125" y="11858625"/>
          <a:ext cx="1036487" cy="321973"/>
        </a:xfrm>
        <a:prstGeom prst="roundRect">
          <a:avLst/>
        </a:prstGeom>
        <a:solidFill>
          <a:sysClr val="window" lastClr="FFFFFF"/>
        </a:solidFill>
        <a:effectLst>
          <a:outerShdw blurRad="50800" dist="38100" dir="16200000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>
              <a:solidFill>
                <a:srgbClr val="2C4594"/>
              </a:solidFill>
            </a:rPr>
            <a:t>OCULTAR</a:t>
          </a:r>
        </a:p>
      </xdr:txBody>
    </xdr:sp>
    <xdr:clientData/>
  </xdr:twoCellAnchor>
  <xdr:twoCellAnchor>
    <xdr:from>
      <xdr:col>37</xdr:col>
      <xdr:colOff>127000</xdr:colOff>
      <xdr:row>51</xdr:row>
      <xdr:rowOff>142875</xdr:rowOff>
    </xdr:from>
    <xdr:to>
      <xdr:col>38</xdr:col>
      <xdr:colOff>560237</xdr:colOff>
      <xdr:row>53</xdr:row>
      <xdr:rowOff>83848</xdr:rowOff>
    </xdr:to>
    <xdr:sp macro="[0]!EXIBIR3" textlink="">
      <xdr:nvSpPr>
        <xdr:cNvPr id="15" name="Retângulo: Cantos Arredondados 14">
          <a:extLst>
            <a:ext uri="{FF2B5EF4-FFF2-40B4-BE49-F238E27FC236}">
              <a16:creationId xmlns:a16="http://schemas.microsoft.com/office/drawing/2014/main" id="{CD067D7E-7C14-43E7-8467-A38E1D26CB96}"/>
            </a:ext>
          </a:extLst>
        </xdr:cNvPr>
        <xdr:cNvSpPr/>
      </xdr:nvSpPr>
      <xdr:spPr>
        <a:xfrm>
          <a:off x="18351500" y="11858625"/>
          <a:ext cx="1036487" cy="321973"/>
        </a:xfrm>
        <a:prstGeom prst="roundRect">
          <a:avLst/>
        </a:prstGeom>
        <a:solidFill>
          <a:sysClr val="window" lastClr="FFFFFF"/>
        </a:solidFill>
        <a:effectLst>
          <a:outerShdw blurRad="50800" dist="38100" dir="16200000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>
              <a:solidFill>
                <a:srgbClr val="2C4594"/>
              </a:solidFill>
            </a:rPr>
            <a:t>EXIBIR</a:t>
          </a:r>
        </a:p>
      </xdr:txBody>
    </xdr:sp>
    <xdr:clientData/>
  </xdr:twoCellAnchor>
  <xdr:twoCellAnchor>
    <xdr:from>
      <xdr:col>39</xdr:col>
      <xdr:colOff>111125</xdr:colOff>
      <xdr:row>76</xdr:row>
      <xdr:rowOff>142875</xdr:rowOff>
    </xdr:from>
    <xdr:to>
      <xdr:col>40</xdr:col>
      <xdr:colOff>544362</xdr:colOff>
      <xdr:row>78</xdr:row>
      <xdr:rowOff>83848</xdr:rowOff>
    </xdr:to>
    <xdr:sp macro="[0]!OCULTAR4" textlink="">
      <xdr:nvSpPr>
        <xdr:cNvPr id="20" name="Retângulo: Cantos Arredondados 19">
          <a:extLst>
            <a:ext uri="{FF2B5EF4-FFF2-40B4-BE49-F238E27FC236}">
              <a16:creationId xmlns:a16="http://schemas.microsoft.com/office/drawing/2014/main" id="{271B84BB-7ABB-403A-A381-9548D7C8A152}"/>
            </a:ext>
          </a:extLst>
        </xdr:cNvPr>
        <xdr:cNvSpPr/>
      </xdr:nvSpPr>
      <xdr:spPr>
        <a:xfrm>
          <a:off x="19542125" y="17827625"/>
          <a:ext cx="1036487" cy="321973"/>
        </a:xfrm>
        <a:prstGeom prst="roundRect">
          <a:avLst/>
        </a:prstGeom>
        <a:solidFill>
          <a:sysClr val="window" lastClr="FFFFFF"/>
        </a:solidFill>
        <a:effectLst>
          <a:outerShdw blurRad="50800" dist="38100" dir="16200000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>
              <a:solidFill>
                <a:srgbClr val="2C4594"/>
              </a:solidFill>
            </a:rPr>
            <a:t>OCULTAR</a:t>
          </a:r>
        </a:p>
      </xdr:txBody>
    </xdr:sp>
    <xdr:clientData/>
  </xdr:twoCellAnchor>
  <xdr:twoCellAnchor>
    <xdr:from>
      <xdr:col>37</xdr:col>
      <xdr:colOff>127000</xdr:colOff>
      <xdr:row>76</xdr:row>
      <xdr:rowOff>142875</xdr:rowOff>
    </xdr:from>
    <xdr:to>
      <xdr:col>38</xdr:col>
      <xdr:colOff>560237</xdr:colOff>
      <xdr:row>78</xdr:row>
      <xdr:rowOff>83848</xdr:rowOff>
    </xdr:to>
    <xdr:sp macro="[0]!EXIBIR4" textlink="">
      <xdr:nvSpPr>
        <xdr:cNvPr id="24" name="Retângulo: Cantos Arredondados 23">
          <a:extLst>
            <a:ext uri="{FF2B5EF4-FFF2-40B4-BE49-F238E27FC236}">
              <a16:creationId xmlns:a16="http://schemas.microsoft.com/office/drawing/2014/main" id="{59C11A28-DFC3-4530-BBFF-A7DE3728E2E3}"/>
            </a:ext>
          </a:extLst>
        </xdr:cNvPr>
        <xdr:cNvSpPr/>
      </xdr:nvSpPr>
      <xdr:spPr>
        <a:xfrm>
          <a:off x="18351500" y="17827625"/>
          <a:ext cx="1036487" cy="321973"/>
        </a:xfrm>
        <a:prstGeom prst="roundRect">
          <a:avLst/>
        </a:prstGeom>
        <a:solidFill>
          <a:sysClr val="window" lastClr="FFFFFF"/>
        </a:solidFill>
        <a:effectLst>
          <a:outerShdw blurRad="50800" dist="38100" dir="16200000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>
              <a:solidFill>
                <a:srgbClr val="2C4594"/>
              </a:solidFill>
            </a:rPr>
            <a:t>EXIBIR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0</xdr:rowOff>
    </xdr:from>
    <xdr:to>
      <xdr:col>24</xdr:col>
      <xdr:colOff>0</xdr:colOff>
      <xdr:row>4</xdr:row>
      <xdr:rowOff>190500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id="{ABEF1BFD-4332-4E7D-AE2A-79FD363CD4CE}"/>
            </a:ext>
          </a:extLst>
        </xdr:cNvPr>
        <xdr:cNvGrpSpPr/>
      </xdr:nvGrpSpPr>
      <xdr:grpSpPr>
        <a:xfrm>
          <a:off x="0" y="0"/>
          <a:ext cx="20546786" cy="898071"/>
          <a:chOff x="0" y="0"/>
          <a:chExt cx="20669250" cy="952500"/>
        </a:xfrm>
      </xdr:grpSpPr>
      <xdr:grpSp>
        <xdr:nvGrpSpPr>
          <xdr:cNvPr id="13" name="Agrupar 12">
            <a:extLst>
              <a:ext uri="{FF2B5EF4-FFF2-40B4-BE49-F238E27FC236}">
                <a16:creationId xmlns:a16="http://schemas.microsoft.com/office/drawing/2014/main" id="{5180B6B0-4669-7EE2-CF46-32F0B48A9A32}"/>
              </a:ext>
            </a:extLst>
          </xdr:cNvPr>
          <xdr:cNvGrpSpPr/>
        </xdr:nvGrpSpPr>
        <xdr:grpSpPr>
          <a:xfrm>
            <a:off x="0" y="0"/>
            <a:ext cx="20669250" cy="952500"/>
            <a:chOff x="0" y="0"/>
            <a:chExt cx="20513967" cy="958054"/>
          </a:xfrm>
        </xdr:grpSpPr>
        <xdr:grpSp>
          <xdr:nvGrpSpPr>
            <xdr:cNvPr id="16" name="Agrupar 15">
              <a:extLst>
                <a:ext uri="{FF2B5EF4-FFF2-40B4-BE49-F238E27FC236}">
                  <a16:creationId xmlns:a16="http://schemas.microsoft.com/office/drawing/2014/main" id="{679D1A7E-DE9F-4DE1-807E-EBAD76799CC8}"/>
                </a:ext>
              </a:extLst>
            </xdr:cNvPr>
            <xdr:cNvGrpSpPr/>
          </xdr:nvGrpSpPr>
          <xdr:grpSpPr>
            <a:xfrm>
              <a:off x="0" y="0"/>
              <a:ext cx="20513967" cy="958054"/>
              <a:chOff x="0" y="0"/>
              <a:chExt cx="20370922" cy="952880"/>
            </a:xfrm>
          </xdr:grpSpPr>
          <xdr:sp macro="" textlink="">
            <xdr:nvSpPr>
              <xdr:cNvPr id="28" name="Retângulo 27">
                <a:extLst>
                  <a:ext uri="{FF2B5EF4-FFF2-40B4-BE49-F238E27FC236}">
                    <a16:creationId xmlns:a16="http://schemas.microsoft.com/office/drawing/2014/main" id="{19FDD56D-01E8-0D54-4410-AC855AAAA1DC}"/>
                  </a:ext>
                </a:extLst>
              </xdr:cNvPr>
              <xdr:cNvSpPr/>
            </xdr:nvSpPr>
            <xdr:spPr>
              <a:xfrm>
                <a:off x="0" y="0"/>
                <a:ext cx="20370922" cy="952880"/>
              </a:xfrm>
              <a:prstGeom prst="rect">
                <a:avLst/>
              </a:prstGeom>
              <a:solidFill>
                <a:srgbClr val="2C4594"/>
              </a:solidFill>
              <a:effectLst>
                <a:outerShdw blurRad="50800" dist="38100" dir="8100000" algn="tr" rotWithShape="0">
                  <a:prstClr val="black">
                    <a:alpha val="40000"/>
                  </a:prstClr>
                </a:outerShdw>
              </a:effec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t-BR" sz="1100"/>
              </a:p>
            </xdr:txBody>
          </xdr:sp>
          <xdr:pic>
            <xdr:nvPicPr>
              <xdr:cNvPr id="29" name="Imagem 28">
                <a:extLst>
                  <a:ext uri="{FF2B5EF4-FFF2-40B4-BE49-F238E27FC236}">
                    <a16:creationId xmlns:a16="http://schemas.microsoft.com/office/drawing/2014/main" id="{36A88AD6-9E96-9CD5-8C97-07D6377CFD9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" cstate="print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7828611" y="212758"/>
                <a:ext cx="2905125" cy="624904"/>
              </a:xfrm>
              <a:prstGeom prst="rect">
                <a:avLst/>
              </a:prstGeom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xdr:spPr>
          </xdr:pic>
        </xdr:grpSp>
        <xdr:grpSp>
          <xdr:nvGrpSpPr>
            <xdr:cNvPr id="17" name="Agrupar 16">
              <a:extLst>
                <a:ext uri="{FF2B5EF4-FFF2-40B4-BE49-F238E27FC236}">
                  <a16:creationId xmlns:a16="http://schemas.microsoft.com/office/drawing/2014/main" id="{B7B8FE38-E31F-FDCB-3D98-D56484A01061}"/>
                </a:ext>
              </a:extLst>
            </xdr:cNvPr>
            <xdr:cNvGrpSpPr/>
          </xdr:nvGrpSpPr>
          <xdr:grpSpPr>
            <a:xfrm>
              <a:off x="14898860" y="343990"/>
              <a:ext cx="774107" cy="306456"/>
              <a:chOff x="16683879" y="341545"/>
              <a:chExt cx="771526" cy="323850"/>
            </a:xfrm>
          </xdr:grpSpPr>
          <xdr:sp macro="" textlink="">
            <xdr:nvSpPr>
              <xdr:cNvPr id="26" name="Retângulo: Cantos Arredondados 25">
                <a:hlinkClick xmlns:r="http://schemas.openxmlformats.org/officeDocument/2006/relationships" r:id="rId2"/>
                <a:extLst>
                  <a:ext uri="{FF2B5EF4-FFF2-40B4-BE49-F238E27FC236}">
                    <a16:creationId xmlns:a16="http://schemas.microsoft.com/office/drawing/2014/main" id="{04EADB02-D9F3-9BFB-2ACE-C73A6CD8C676}"/>
                  </a:ext>
                </a:extLst>
              </xdr:cNvPr>
              <xdr:cNvSpPr/>
            </xdr:nvSpPr>
            <xdr:spPr>
              <a:xfrm>
                <a:off x="16683879" y="341545"/>
                <a:ext cx="771526" cy="323850"/>
              </a:xfrm>
              <a:prstGeom prst="roundRect">
                <a:avLst/>
              </a:prstGeom>
              <a:solidFill>
                <a:sysClr val="window" lastClr="FFFFFF"/>
              </a:solidFill>
              <a:effectLst>
                <a:innerShdw blurRad="63500" dist="50800" dir="18900000">
                  <a:prstClr val="black">
                    <a:alpha val="50000"/>
                  </a:prstClr>
                </a:innerShdw>
              </a:effec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r>
                  <a:rPr lang="pt-BR" sz="1100"/>
                  <a:t>1</a:t>
                </a:r>
              </a:p>
            </xdr:txBody>
          </xdr:sp>
          <xdr:pic>
            <xdr:nvPicPr>
              <xdr:cNvPr id="27" name="Imagem 26" descr="ícones Do Computador, Gráfico, Gráfico De Barras png transparente grátis">
                <a:hlinkClick xmlns:r="http://schemas.openxmlformats.org/officeDocument/2006/relationships" r:id="rId2"/>
                <a:extLst>
                  <a:ext uri="{FF2B5EF4-FFF2-40B4-BE49-F238E27FC236}">
                    <a16:creationId xmlns:a16="http://schemas.microsoft.com/office/drawing/2014/main" id="{A99F4203-7336-55E6-8B4F-C58494B88A7C}"/>
                  </a:ext>
                </a:extLst>
              </xdr:cNvPr>
              <xdr:cNvPicPr preferRelativeResize="0">
                <a:picLocks noChangeArrowheads="1"/>
              </xdr:cNvPicPr>
            </xdr:nvPicPr>
            <xdr:blipFill rotWithShape="1">
              <a:blip xmlns:r="http://schemas.openxmlformats.org/officeDocument/2006/relationships" r:embed="rId3" cstate="print">
                <a:clrChange>
                  <a:clrFrom>
                    <a:srgbClr val="FFFFFF"/>
                  </a:clrFrom>
                  <a:clrTo>
                    <a:srgbClr val="FFFFFF">
                      <a:alpha val="0"/>
                    </a:srgbClr>
                  </a:clrTo>
                </a:clrChange>
                <a:extLst>
                  <a:ext uri="{BEBA8EAE-BF5A-486C-A8C5-ECC9F3942E4B}">
                    <a14:imgProps xmlns:a14="http://schemas.microsoft.com/office/drawing/2010/main">
                      <a14:imgLayer r:embed="rId4">
                        <a14:imgEffect>
                          <a14:backgroundRemoval t="14620" b="85965" l="27365" r="69595">
                            <a14:foregroundMark x1="37162" y1="42690" x2="37162" y2="42690"/>
                            <a14:foregroundMark x1="56757" y1="57310" x2="56757" y2="57310"/>
                            <a14:foregroundMark x1="66892" y1="73099" x2="66892" y2="73099"/>
                            <a14:foregroundMark x1="27365" y1="52047" x2="27365" y2="52047"/>
                            <a14:foregroundMark x1="52703" y1="85380" x2="52703" y2="85380"/>
                            <a14:foregroundMark x1="65541" y1="85965" x2="65541" y2="85965"/>
                          </a14:backgroundRemoval>
                        </a14:imgEffect>
                      </a14:imgLayer>
                    </a14:imgProps>
                  </a:ex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 l="25323" t="6249" r="24729" b="8681"/>
              <a:stretch/>
            </xdr:blipFill>
            <xdr:spPr bwMode="auto">
              <a:xfrm>
                <a:off x="16941178" y="416752"/>
                <a:ext cx="284883" cy="229591"/>
              </a:xfrm>
              <a:prstGeom prst="rect">
                <a:avLst/>
              </a:prstGeom>
              <a:noFill/>
              <a:extLst>
                <a:ext uri="{909E8E84-426E-40DD-AFC4-6F175D3DCCD1}">
                  <a14:hiddenFill xmlns:a14="http://schemas.microsoft.com/office/drawing/2010/main">
                    <a:solidFill>
                      <a:srgbClr val="FFFFFF"/>
                    </a:solidFill>
                  </a14:hiddenFill>
                </a:ext>
              </a:extLst>
            </xdr:spPr>
          </xdr:pic>
        </xdr:grpSp>
        <xdr:sp macro="" textlink="">
          <xdr:nvSpPr>
            <xdr:cNvPr id="18" name="Retângulo: Cantos Arredondados 17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CAEB3E20-D85E-B2B5-3D66-664A9A12DD43}"/>
                </a:ext>
              </a:extLst>
            </xdr:cNvPr>
            <xdr:cNvSpPr/>
          </xdr:nvSpPr>
          <xdr:spPr>
            <a:xfrm>
              <a:off x="47625" y="320160"/>
              <a:ext cx="1463786" cy="377849"/>
            </a:xfrm>
            <a:prstGeom prst="roundRect">
              <a:avLst/>
            </a:prstGeom>
            <a:solidFill>
              <a:sysClr val="window" lastClr="FFFFFF"/>
            </a:solidFill>
            <a:effectLst>
              <a:outerShdw blurRad="50800" dist="38100" dir="16200000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600">
                  <a:solidFill>
                    <a:srgbClr val="2C4594"/>
                  </a:solidFill>
                </a:rPr>
                <a:t>ANA</a:t>
              </a:r>
            </a:p>
          </xdr:txBody>
        </xdr:sp>
        <xdr:grpSp>
          <xdr:nvGrpSpPr>
            <xdr:cNvPr id="23" name="Agrupar 22">
              <a:extLst>
                <a:ext uri="{FF2B5EF4-FFF2-40B4-BE49-F238E27FC236}">
                  <a16:creationId xmlns:a16="http://schemas.microsoft.com/office/drawing/2014/main" id="{1A960F10-CA29-A29A-5F82-FDF1E0BCE1CB}"/>
                </a:ext>
              </a:extLst>
            </xdr:cNvPr>
            <xdr:cNvGrpSpPr/>
          </xdr:nvGrpSpPr>
          <xdr:grpSpPr>
            <a:xfrm>
              <a:off x="13931864" y="343607"/>
              <a:ext cx="805960" cy="307732"/>
              <a:chOff x="13931864" y="372915"/>
              <a:chExt cx="805960" cy="307732"/>
            </a:xfrm>
          </xdr:grpSpPr>
          <xdr:sp macro="[0]!Salvar" textlink="">
            <xdr:nvSpPr>
              <xdr:cNvPr id="24" name="Retângulo: Cantos Arredondados 23">
                <a:extLst>
                  <a:ext uri="{FF2B5EF4-FFF2-40B4-BE49-F238E27FC236}">
                    <a16:creationId xmlns:a16="http://schemas.microsoft.com/office/drawing/2014/main" id="{2A94D754-B89D-5C83-B5F3-BCF58B408A65}"/>
                  </a:ext>
                </a:extLst>
              </xdr:cNvPr>
              <xdr:cNvSpPr/>
            </xdr:nvSpPr>
            <xdr:spPr>
              <a:xfrm>
                <a:off x="13931864" y="372915"/>
                <a:ext cx="805960" cy="307732"/>
              </a:xfrm>
              <a:prstGeom prst="roundRect">
                <a:avLst/>
              </a:prstGeom>
              <a:solidFill>
                <a:sysClr val="window" lastClr="FFFFFF"/>
              </a:solidFill>
              <a:ln>
                <a:solidFill>
                  <a:srgbClr val="2C4594"/>
                </a:solidFill>
              </a:ln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pt-BR" sz="1100" b="1">
                    <a:solidFill>
                      <a:srgbClr val="2C4594"/>
                    </a:solidFill>
                  </a:rPr>
                  <a:t>         </a:t>
                </a:r>
              </a:p>
            </xdr:txBody>
          </xdr:sp>
          <xdr:pic macro="[0]!Salvar">
            <xdr:nvPicPr>
              <xdr:cNvPr id="25" name="Imagem 24" descr="Opção de salvar arquivo - ícones de interface grátis">
                <a:extLst>
                  <a:ext uri="{FF2B5EF4-FFF2-40B4-BE49-F238E27FC236}">
                    <a16:creationId xmlns:a16="http://schemas.microsoft.com/office/drawing/2014/main" id="{2321053C-56C2-EC69-D142-50AE1A66A9A9}"/>
                  </a:ext>
                </a:extLst>
              </xdr:cNvPr>
              <xdr:cNvPicPr>
                <a:picLocks noChangeAspect="1" noChangeArrowheads="1"/>
              </xdr:cNvPicPr>
            </xdr:nvPicPr>
            <xdr:blipFill>
              <a:blip xmlns:r="http://schemas.openxmlformats.org/officeDocument/2006/relationships" r:embed="rId6" cstate="print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xdr:blipFill>
            <xdr:spPr bwMode="auto">
              <a:xfrm>
                <a:off x="14210276" y="416877"/>
                <a:ext cx="248093" cy="236461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 xmlns:a14="http://schemas.microsoft.com/office/drawing/2010/main">
                    <a:solidFill>
                      <a:srgbClr val="FFFFFF"/>
                    </a:solidFill>
                  </a14:hiddenFill>
                </a:ext>
              </a:extLst>
            </xdr:spPr>
          </xdr:pic>
        </xdr:grpSp>
      </xdr:grpSp>
      <xdr:pic macro="[0]!EstaPastaDeTrabalho.telaCheia">
        <xdr:nvPicPr>
          <xdr:cNvPr id="14" name="Imagem 13" descr="Botão de ícones do computador Monitores de computador, salvar tela inteira,  diversos, ângulo, texto png | PNGWing">
            <a:extLst>
              <a:ext uri="{FF2B5EF4-FFF2-40B4-BE49-F238E27FC236}">
                <a16:creationId xmlns:a16="http://schemas.microsoft.com/office/drawing/2014/main" id="{A22F0A4D-99A4-6E67-2EF1-FA649502B902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7" cstate="print">
            <a:lum bright="70000" contrast="-70000"/>
            <a:extLst>
              <a:ext uri="{BEBA8EAE-BF5A-486C-A8C5-ECC9F3942E4B}">
                <a14:imgProps xmlns:a14="http://schemas.microsoft.com/office/drawing/2010/main">
                  <a14:imgLayer r:embed="rId8">
                    <a14:imgEffect>
                      <a14:backgroundRemoval t="9890" b="91209" l="9816" r="89571">
                        <a14:foregroundMark x1="56087" y1="49023" x2="56087" y2="49023"/>
                        <a14:foregroundMark x1="32515" y1="91209" x2="32515" y2="91209"/>
                        <a14:backgroundMark x1="31902" y1="93407" x2="31902" y2="93407"/>
                        <a14:backgroundMark x1="31902" y1="92308" x2="31902" y2="92308"/>
                      </a14:backgroundRemoval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8726350" y="286160"/>
            <a:ext cx="717385" cy="397009"/>
          </a:xfrm>
          <a:prstGeom prst="rect">
            <a:avLst/>
          </a:prstGeom>
          <a:noFill/>
          <a:effectLst>
            <a:outerShdw blurRad="50800" dist="38100" dir="16200000" rotWithShape="0">
              <a:prstClr val="black">
                <a:alpha val="40000"/>
              </a:prstClr>
            </a:outerShdw>
          </a:effectLst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 macro="[0]!EstaPastaDeTrabalho.telaNormal">
        <xdr:nvPicPr>
          <xdr:cNvPr id="15" name="Imagem 14">
            <a:extLst>
              <a:ext uri="{FF2B5EF4-FFF2-40B4-BE49-F238E27FC236}">
                <a16:creationId xmlns:a16="http://schemas.microsoft.com/office/drawing/2014/main" id="{B16DDA82-D6C0-D4CE-2C1E-9499E27C42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>
            <a:lum bright="70000" contrast="-70000"/>
            <a:extLst>
              <a:ext uri="{BEBA8EAE-BF5A-486C-A8C5-ECC9F3942E4B}">
                <a14:imgProps xmlns:a14="http://schemas.microsoft.com/office/drawing/2010/main">
                  <a14:imgLayer r:embed="rId10">
                    <a14:imgEffect>
                      <a14:backgroundRemoval t="6196" b="90435" l="6932" r="92614">
                        <a14:foregroundMark x1="38295" y1="40326" x2="38295" y2="40326"/>
                        <a14:foregroundMark x1="56364" y1="57609" x2="56364" y2="57609"/>
                        <a14:foregroundMark x1="92614" y1="40978" x2="92614" y2="40978"/>
                        <a14:foregroundMark x1="87955" y1="6304" x2="87955" y2="6304"/>
                        <a14:foregroundMark x1="22955" y1="90543" x2="22955" y2="90543"/>
                        <a14:foregroundMark x1="27045" y1="90543" x2="27045" y2="90543"/>
                        <a14:foregroundMark x1="6932" y1="77717" x2="6932" y2="77717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19477091" y="314555"/>
            <a:ext cx="369305" cy="373886"/>
          </a:xfrm>
          <a:prstGeom prst="rect">
            <a:avLst/>
          </a:prstGeom>
          <a:effectLst>
            <a:outerShdw blurRad="50800" dist="38100" dir="16200000" rotWithShape="0">
              <a:prstClr val="black">
                <a:alpha val="40000"/>
              </a:prstClr>
            </a:outerShdw>
          </a:effectLst>
        </xdr:spPr>
      </xdr:pic>
    </xdr:grpSp>
    <xdr:clientData/>
  </xdr:twoCellAnchor>
  <xdr:twoCellAnchor>
    <xdr:from>
      <xdr:col>4</xdr:col>
      <xdr:colOff>1483179</xdr:colOff>
      <xdr:row>10</xdr:row>
      <xdr:rowOff>165554</xdr:rowOff>
    </xdr:from>
    <xdr:to>
      <xdr:col>14</xdr:col>
      <xdr:colOff>521800</xdr:colOff>
      <xdr:row>25</xdr:row>
      <xdr:rowOff>340221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8072BE8F-BB1F-41AE-86C9-728B72EC4D1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maiza.porto\Desktop\Marco%20-%20Outubro%202023\Pasta.Outubro.xlsx" TargetMode="External"/><Relationship Id="rId1" Type="http://schemas.openxmlformats.org/officeDocument/2006/relationships/externalLinkPath" Target="Pasta.Outubro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ogério"/>
      <sheetName val="mauro"/>
      <sheetName val="marcos"/>
      <sheetName val="ana"/>
      <sheetName val="adriano"/>
      <sheetName val="CGA"/>
    </sheetNames>
    <sheetDataSet>
      <sheetData sheetId="0"/>
      <sheetData sheetId="1"/>
      <sheetData sheetId="2"/>
      <sheetData sheetId="3">
        <row r="8">
          <cell r="A8" t="str">
            <v>Revisão do Documento</v>
          </cell>
          <cell r="B8">
            <v>45205</v>
          </cell>
        </row>
        <row r="9">
          <cell r="A9" t="str">
            <v>MARCO - Envio do documento revisado (Rev_B)</v>
          </cell>
          <cell r="B9">
            <v>45205</v>
          </cell>
        </row>
        <row r="10">
          <cell r="A10" t="str">
            <v>Aprovação do Cliente</v>
          </cell>
          <cell r="B10">
            <v>45216</v>
          </cell>
        </row>
        <row r="11">
          <cell r="A11" t="str">
            <v>Certificação do documento - Vibracon</v>
          </cell>
          <cell r="B11">
            <v>45219</v>
          </cell>
        </row>
        <row r="12">
          <cell r="A12" t="str">
            <v>MARCO - Envio do documento Certificado (Rev_0)</v>
          </cell>
          <cell r="B12">
            <v>45219</v>
          </cell>
        </row>
        <row r="15">
          <cell r="A15" t="str">
            <v>Certificação do documento - Vibracon</v>
          </cell>
          <cell r="B15">
            <v>45205</v>
          </cell>
        </row>
        <row r="16">
          <cell r="A16" t="str">
            <v>MARCO - Envio do documento Certificado (Rev_0)</v>
          </cell>
          <cell r="B16">
            <v>45205</v>
          </cell>
        </row>
        <row r="20">
          <cell r="A20" t="str">
            <v>Certificação do documento - Vibracon</v>
          </cell>
          <cell r="B20">
            <v>45205</v>
          </cell>
        </row>
        <row r="21">
          <cell r="A21" t="str">
            <v>MARCO - Envio do documento Certificado (Rev_0)</v>
          </cell>
          <cell r="B21">
            <v>45205</v>
          </cell>
        </row>
        <row r="26">
          <cell r="A26" t="str">
            <v>Certificação do documento - Vibracon</v>
          </cell>
          <cell r="B26">
            <v>45205</v>
          </cell>
        </row>
        <row r="27">
          <cell r="A27" t="str">
            <v>MARCO - Envio do documento Certificado (Rev_0)</v>
          </cell>
          <cell r="B27">
            <v>45205</v>
          </cell>
        </row>
        <row r="33">
          <cell r="A33" t="str">
            <v>Certificação do documento - Vibracon</v>
          </cell>
          <cell r="B33">
            <v>45205</v>
          </cell>
        </row>
        <row r="34">
          <cell r="A34" t="str">
            <v>MARCO - Envio do documento Certificado (Rev_0)</v>
          </cell>
          <cell r="B34">
            <v>45205</v>
          </cell>
        </row>
        <row r="39">
          <cell r="A39" t="str">
            <v>Atendimento a comentários</v>
          </cell>
          <cell r="B39">
            <v>45205</v>
          </cell>
        </row>
        <row r="40">
          <cell r="A40" t="str">
            <v>MARCO - Emissão (Rev_B)</v>
          </cell>
          <cell r="B40">
            <v>45205</v>
          </cell>
        </row>
        <row r="41">
          <cell r="A41" t="str">
            <v>Aprovação do Cliente</v>
          </cell>
          <cell r="B41">
            <v>45216</v>
          </cell>
        </row>
        <row r="42">
          <cell r="A42" t="str">
            <v>Certificação do documento - Vibracon</v>
          </cell>
          <cell r="B42">
            <v>45219</v>
          </cell>
        </row>
        <row r="43">
          <cell r="A43" t="str">
            <v>MARCO - Envio do documento Certificado (Rev_0)</v>
          </cell>
          <cell r="B43">
            <v>45219</v>
          </cell>
        </row>
        <row r="46">
          <cell r="A46" t="str">
            <v>Elaboração da Lista de Documentos</v>
          </cell>
          <cell r="B46">
            <v>45212</v>
          </cell>
        </row>
        <row r="50">
          <cell r="A50" t="str">
            <v>77 - Descarregamento E Distribuicao De Soda Caustica</v>
          </cell>
          <cell r="B50">
            <v>45208</v>
          </cell>
        </row>
        <row r="51">
          <cell r="A51" t="str">
            <v>83 - Casa De Bombas - Aspersão Do Patio Finos</v>
          </cell>
          <cell r="B51">
            <v>45212</v>
          </cell>
        </row>
        <row r="52">
          <cell r="A52" t="str">
            <v>92 - Casa De Bombas - Espessamento</v>
          </cell>
          <cell r="B52">
            <v>45218</v>
          </cell>
        </row>
        <row r="53">
          <cell r="A53" t="str">
            <v>178 - Sala De Controle Operacional Do Peneiramento</v>
          </cell>
          <cell r="B53">
            <v>45210</v>
          </cell>
        </row>
        <row r="54">
          <cell r="A54" t="str">
            <v>74 - Casa De Bombas BV55</v>
          </cell>
          <cell r="B54">
            <v>45215</v>
          </cell>
        </row>
        <row r="55">
          <cell r="A55" t="str">
            <v>147 - Cabine De Comando VV-01</v>
          </cell>
          <cell r="B55">
            <v>45218</v>
          </cell>
        </row>
        <row r="56">
          <cell r="A56" t="str">
            <v>167 - Casa De Compressores</v>
          </cell>
          <cell r="B56">
            <v>45205</v>
          </cell>
        </row>
        <row r="57">
          <cell r="A57" t="str">
            <v>173 - Britagem De Carvao - Supressao De PO</v>
          </cell>
          <cell r="B57">
            <v>45210</v>
          </cell>
        </row>
        <row r="58">
          <cell r="A58" t="str">
            <v>184 - Casa De Compressores Peneiramento</v>
          </cell>
          <cell r="B58">
            <v>45216</v>
          </cell>
        </row>
        <row r="59">
          <cell r="A59" t="str">
            <v>205 - Casa De Bombas De Oleo 2</v>
          </cell>
          <cell r="B59">
            <v>45219</v>
          </cell>
        </row>
        <row r="60">
          <cell r="A60" t="str">
            <v>204 - Casa De Bombas De Oleo 1</v>
          </cell>
          <cell r="B60">
            <v>45209</v>
          </cell>
        </row>
        <row r="61">
          <cell r="A61" t="str">
            <v>148 - Cabine De Comando VV-02 (Confirmar demolição)</v>
          </cell>
          <cell r="B61">
            <v>45216</v>
          </cell>
        </row>
        <row r="62">
          <cell r="A62" t="str">
            <v>149 - Cabine De Comando VV-03</v>
          </cell>
          <cell r="B62">
            <v>45219</v>
          </cell>
        </row>
        <row r="63">
          <cell r="A63" t="str">
            <v>85 - Predio Da Caldeira E Abrigo De Cilindros</v>
          </cell>
          <cell r="B63">
            <v>45215</v>
          </cell>
        </row>
        <row r="64">
          <cell r="A64" t="str">
            <v>415 - Sala De Materiais E Controle</v>
          </cell>
          <cell r="B64">
            <v>45219</v>
          </cell>
        </row>
        <row r="66">
          <cell r="A66" t="str">
            <v>MARCO - Emissão Inicial (Rev_A)</v>
          </cell>
          <cell r="B66">
            <v>45219</v>
          </cell>
        </row>
        <row r="67">
          <cell r="A67" t="str">
            <v>Aprovação do Cliente</v>
          </cell>
          <cell r="B67">
            <v>45230</v>
          </cell>
        </row>
        <row r="68">
          <cell r="A68" t="str">
            <v>180 - Sala De Controle 68 (By Pass)</v>
          </cell>
          <cell r="B68">
            <v>45224</v>
          </cell>
        </row>
        <row r="69">
          <cell r="A69" t="str">
            <v>492 - Deposito De Materiais Radioativos</v>
          </cell>
          <cell r="B69">
            <v>45230</v>
          </cell>
        </row>
        <row r="70">
          <cell r="A70" t="str">
            <v>406 - Subestacao Inversores 3Q65/69</v>
          </cell>
          <cell r="B70">
            <v>45224</v>
          </cell>
        </row>
        <row r="71">
          <cell r="A71" t="str">
            <v>407 - Subestacao Precip. Eletrostatico 3R1 (3SE-PE)</v>
          </cell>
          <cell r="B71">
            <v>45230</v>
          </cell>
        </row>
        <row r="72">
          <cell r="A72" t="str">
            <v>421 - Subestacao Eletrica Bacia De Decantacao 01</v>
          </cell>
          <cell r="B72">
            <v>45224</v>
          </cell>
        </row>
        <row r="73">
          <cell r="A73" t="str">
            <v>425 - Subestacao Reservatorio Da Bacia 1 - SE-RBD1</v>
          </cell>
          <cell r="B73">
            <v>45230</v>
          </cell>
        </row>
        <row r="74">
          <cell r="A74" t="str">
            <v>888I - Usina 8 - Subestacao De Servicos Aux. Dos Patios</v>
          </cell>
          <cell r="B74">
            <v>45224</v>
          </cell>
        </row>
        <row r="75">
          <cell r="A75" t="str">
            <v>324 - Subestacao 7SEP-PSE</v>
          </cell>
          <cell r="B75">
            <v>45230</v>
          </cell>
        </row>
        <row r="76">
          <cell r="A76" t="str">
            <v>254 - Se AXO 40</v>
          </cell>
          <cell r="B76">
            <v>45224</v>
          </cell>
        </row>
        <row r="77">
          <cell r="A77" t="str">
            <v>243 - Sala Painel Eletrico - ETE Sul</v>
          </cell>
          <cell r="B77">
            <v>45230</v>
          </cell>
        </row>
        <row r="82">
          <cell r="A82" t="str">
            <v>Certificação do documento - Vibracon</v>
          </cell>
          <cell r="B82">
            <v>45205</v>
          </cell>
        </row>
        <row r="83">
          <cell r="A83" t="str">
            <v>MARCO - Envio do documento Certificado (Rev_0)</v>
          </cell>
          <cell r="B83">
            <v>45205</v>
          </cell>
        </row>
        <row r="89">
          <cell r="A89" t="str">
            <v>Aprovação do Cliente</v>
          </cell>
          <cell r="B89">
            <v>45205</v>
          </cell>
        </row>
        <row r="90">
          <cell r="A90" t="str">
            <v>Certificação do documento - Vibracon</v>
          </cell>
          <cell r="B90">
            <v>45210</v>
          </cell>
        </row>
        <row r="91">
          <cell r="A91" t="str">
            <v>MARCO - Envio do documento Certificado (Rev_0)</v>
          </cell>
          <cell r="B91">
            <v>45210</v>
          </cell>
        </row>
        <row r="94">
          <cell r="A94" t="str">
            <v>MARCO - Envio do documento Certificado (Rev_0)</v>
          </cell>
          <cell r="B94">
            <v>45202</v>
          </cell>
        </row>
        <row r="98">
          <cell r="A98" t="str">
            <v>Aprovação do Cliente</v>
          </cell>
          <cell r="B98">
            <v>45205</v>
          </cell>
        </row>
        <row r="99">
          <cell r="A99" t="str">
            <v>Certificação do documento - Vibracon</v>
          </cell>
          <cell r="B99">
            <v>45210</v>
          </cell>
        </row>
        <row r="100">
          <cell r="A100" t="str">
            <v>MARCO - Envio do documento Certificado (Rev_0)</v>
          </cell>
          <cell r="B100">
            <v>45210</v>
          </cell>
        </row>
        <row r="102">
          <cell r="A102" t="str">
            <v>MARCO - Emissão Inicial (Rev_A)</v>
          </cell>
          <cell r="B102">
            <v>45202</v>
          </cell>
        </row>
        <row r="103">
          <cell r="A103" t="str">
            <v>Aprovação do Cliente</v>
          </cell>
          <cell r="B103">
            <v>45211</v>
          </cell>
        </row>
        <row r="104">
          <cell r="A104" t="str">
            <v>Certificação do documento - Vibracon</v>
          </cell>
          <cell r="B104">
            <v>45216</v>
          </cell>
        </row>
        <row r="105">
          <cell r="A105" t="str">
            <v>MARCO - Envio do documento Certificado (Rev_0)</v>
          </cell>
          <cell r="B105">
            <v>45216</v>
          </cell>
        </row>
        <row r="108">
          <cell r="A108" t="str">
            <v>MARCO - Envio do documento Certificado (Rev_0)</v>
          </cell>
          <cell r="B108">
            <v>45202</v>
          </cell>
        </row>
        <row r="110">
          <cell r="A110" t="str">
            <v>MARCO - Envio do documento Certificado (Rev_0)</v>
          </cell>
          <cell r="B110">
            <v>45202</v>
          </cell>
        </row>
        <row r="114">
          <cell r="A114" t="str">
            <v>Certificação do documento - Vibracon</v>
          </cell>
          <cell r="B114">
            <v>45202</v>
          </cell>
        </row>
        <row r="115">
          <cell r="A115" t="str">
            <v>MARCO - Envio do documento Certificado (Rev_0)</v>
          </cell>
          <cell r="B115">
            <v>45202</v>
          </cell>
        </row>
        <row r="116">
          <cell r="A116" t="str">
            <v>Elaboração do Projeto Conceitual das Fundações</v>
          </cell>
          <cell r="B116">
            <v>45203</v>
          </cell>
        </row>
        <row r="117">
          <cell r="A117" t="str">
            <v>Verificação do projeto</v>
          </cell>
          <cell r="B117">
            <v>45203</v>
          </cell>
        </row>
        <row r="119">
          <cell r="A119" t="str">
            <v>MARCO - Emissão Inicial (Rev_A)</v>
          </cell>
          <cell r="B119">
            <v>45203</v>
          </cell>
        </row>
        <row r="120">
          <cell r="A120" t="str">
            <v>Aprovação do Cliente</v>
          </cell>
          <cell r="B120">
            <v>45210</v>
          </cell>
        </row>
        <row r="121">
          <cell r="A121" t="str">
            <v>Certificação do documento - Vibracon</v>
          </cell>
          <cell r="B121">
            <v>45215</v>
          </cell>
        </row>
        <row r="122">
          <cell r="A122" t="str">
            <v>MARCO - Envio do documento Certificado (Rev_0)</v>
          </cell>
          <cell r="B122">
            <v>45215</v>
          </cell>
        </row>
        <row r="123">
          <cell r="A123" t="str">
            <v>Elaboração do Projeto Conceitual das Instalações Elétricas, Utilidades, SPDA, SPCI, ponte rolante, salas administrativas</v>
          </cell>
          <cell r="B123">
            <v>45205</v>
          </cell>
        </row>
        <row r="124">
          <cell r="A124" t="str">
            <v>Verificação do projeto</v>
          </cell>
          <cell r="B124">
            <v>45205</v>
          </cell>
        </row>
        <row r="126">
          <cell r="A126" t="str">
            <v>MARCO - Emissão Inicial (Rev_A)</v>
          </cell>
          <cell r="B126">
            <v>45205</v>
          </cell>
        </row>
        <row r="127">
          <cell r="A127" t="str">
            <v>Aprovação do Cliente</v>
          </cell>
          <cell r="B127">
            <v>45212</v>
          </cell>
        </row>
        <row r="128">
          <cell r="A128" t="str">
            <v>Certificação do documento - Vibracon</v>
          </cell>
          <cell r="B128">
            <v>45217</v>
          </cell>
        </row>
        <row r="129">
          <cell r="A129" t="str">
            <v>MARCO - Envio do documento Certificado (Rev_0)</v>
          </cell>
          <cell r="B129">
            <v>45217</v>
          </cell>
        </row>
        <row r="131">
          <cell r="A131" t="str">
            <v>Certificação do documento - Vibracon</v>
          </cell>
          <cell r="B131">
            <v>45203</v>
          </cell>
        </row>
        <row r="132">
          <cell r="A132" t="str">
            <v>MARCO - Envio do documento Certificado (Rev_0)</v>
          </cell>
          <cell r="B132">
            <v>45203</v>
          </cell>
        </row>
        <row r="134">
          <cell r="A134" t="str">
            <v>MARCO - Emissão Inicial (Rev_A)</v>
          </cell>
          <cell r="B134">
            <v>45202</v>
          </cell>
        </row>
        <row r="135">
          <cell r="A135" t="str">
            <v>Aprovação do Cliente</v>
          </cell>
          <cell r="B135">
            <v>45209</v>
          </cell>
        </row>
        <row r="136">
          <cell r="A136" t="str">
            <v>Certificação do documento - Vibracon</v>
          </cell>
          <cell r="B136">
            <v>45210</v>
          </cell>
        </row>
        <row r="137">
          <cell r="A137" t="str">
            <v>MARCO - Envio do documento Certificado (Rev_0)</v>
          </cell>
          <cell r="B137">
            <v>45210</v>
          </cell>
        </row>
        <row r="140">
          <cell r="A140" t="str">
            <v>Elaboração da Especificação Técnica</v>
          </cell>
          <cell r="B140">
            <v>45205</v>
          </cell>
        </row>
        <row r="141">
          <cell r="A141" t="str">
            <v>Verificação da Especificação Técnica</v>
          </cell>
          <cell r="B141">
            <v>45205</v>
          </cell>
        </row>
        <row r="143">
          <cell r="A143" t="str">
            <v>MARCO - Emissão Inicial (Rev_A)</v>
          </cell>
          <cell r="B143">
            <v>45205</v>
          </cell>
        </row>
        <row r="144">
          <cell r="A144" t="str">
            <v>Aprovação do Cliente</v>
          </cell>
          <cell r="B144">
            <v>45212</v>
          </cell>
        </row>
        <row r="145">
          <cell r="A145" t="str">
            <v>Certificação do documento - Vibracon</v>
          </cell>
          <cell r="B145">
            <v>45215</v>
          </cell>
        </row>
        <row r="146">
          <cell r="A146" t="str">
            <v>MARCO - Envio do documento Certificado (Rev_0)</v>
          </cell>
          <cell r="B146">
            <v>45215</v>
          </cell>
        </row>
        <row r="150">
          <cell r="A150" t="str">
            <v>Elaboração da Memória de Cálculo</v>
          </cell>
          <cell r="B150">
            <v>45210</v>
          </cell>
        </row>
        <row r="151">
          <cell r="A151" t="str">
            <v>Verificação da Memória de Cálculo</v>
          </cell>
          <cell r="B151">
            <v>45211</v>
          </cell>
        </row>
        <row r="153">
          <cell r="A153" t="str">
            <v>MARCO - Emissão Inicial (Rev_A)</v>
          </cell>
          <cell r="B153">
            <v>45211</v>
          </cell>
        </row>
        <row r="154">
          <cell r="A154" t="str">
            <v>Aprovação do Cliente</v>
          </cell>
          <cell r="B154">
            <v>45222</v>
          </cell>
        </row>
        <row r="155">
          <cell r="A155" t="str">
            <v>Certificação do documento - Vibracon</v>
          </cell>
          <cell r="B155">
            <v>45225</v>
          </cell>
        </row>
        <row r="156">
          <cell r="A156" t="str">
            <v>MARCO - Envio do documento Certificado (Rev_0)</v>
          </cell>
          <cell r="B156">
            <v>45225</v>
          </cell>
        </row>
        <row r="157">
          <cell r="A157" t="str">
            <v>Elaboração do Projeto de Reforço do Galpão</v>
          </cell>
          <cell r="B157">
            <v>45219</v>
          </cell>
        </row>
        <row r="158">
          <cell r="A158" t="str">
            <v>Verificação do Projeto de Reforço do Galpão</v>
          </cell>
          <cell r="B158">
            <v>45222</v>
          </cell>
        </row>
        <row r="160">
          <cell r="A160" t="str">
            <v>MARCO - Emissão Inicial (Rev_A)</v>
          </cell>
          <cell r="B160">
            <v>45222</v>
          </cell>
        </row>
        <row r="161">
          <cell r="A161" t="str">
            <v>Elaboração da Planilha de Quantidades</v>
          </cell>
          <cell r="B161">
            <v>45226</v>
          </cell>
        </row>
        <row r="162">
          <cell r="A162" t="str">
            <v>Verificação da Planilha de Quantidades</v>
          </cell>
          <cell r="B162">
            <v>45229</v>
          </cell>
        </row>
        <row r="164">
          <cell r="A164" t="str">
            <v>MARCO - Emissão Inicial (Rev_A)</v>
          </cell>
          <cell r="B164">
            <v>45229</v>
          </cell>
        </row>
        <row r="165">
          <cell r="A165" t="str">
            <v>Elaboração do Relatório de Diagnóstico de PNR</v>
          </cell>
          <cell r="B165">
            <v>45217</v>
          </cell>
        </row>
        <row r="166">
          <cell r="A166" t="str">
            <v>Verificação do Relatório de Diagnóstico de PNR</v>
          </cell>
          <cell r="B166">
            <v>45218</v>
          </cell>
        </row>
        <row r="168">
          <cell r="A168" t="str">
            <v>MARCO - Emissão Inicial (Rev_A)</v>
          </cell>
          <cell r="B168">
            <v>45218</v>
          </cell>
        </row>
        <row r="169">
          <cell r="A169" t="str">
            <v>Aprovação do Cliente</v>
          </cell>
          <cell r="B169">
            <v>45229</v>
          </cell>
        </row>
        <row r="172">
          <cell r="A172" t="str">
            <v>Aprovação do Cliente</v>
          </cell>
          <cell r="B172">
            <v>45209</v>
          </cell>
        </row>
        <row r="173">
          <cell r="A173" t="str">
            <v>Certificação do documento - Vibracon</v>
          </cell>
          <cell r="B173">
            <v>45212</v>
          </cell>
        </row>
        <row r="174">
          <cell r="A174" t="str">
            <v>MARCO - Envio do documento Certificado (Rev_0)</v>
          </cell>
          <cell r="B174">
            <v>45212</v>
          </cell>
        </row>
        <row r="176">
          <cell r="A176" t="str">
            <v>Aprovação do Cliente</v>
          </cell>
          <cell r="B176">
            <v>45210</v>
          </cell>
        </row>
        <row r="177">
          <cell r="A177" t="str">
            <v>Certificação do documento - Vibracon</v>
          </cell>
          <cell r="B177">
            <v>45215</v>
          </cell>
        </row>
        <row r="178">
          <cell r="A178" t="str">
            <v>MARCO - Envio do documento Certificado (Rev_0)</v>
          </cell>
          <cell r="B178">
            <v>45215</v>
          </cell>
        </row>
        <row r="181">
          <cell r="A181" t="str">
            <v>Elaboração da Lista de Desenhos e Documentos</v>
          </cell>
          <cell r="B181">
            <v>45208</v>
          </cell>
        </row>
        <row r="184">
          <cell r="A184" t="str">
            <v>Tratamento da nuvem de pontos</v>
          </cell>
          <cell r="B184">
            <v>45209</v>
          </cell>
        </row>
        <row r="185">
          <cell r="A185" t="str">
            <v>Elaboração do Relatório da Nuvem de Pontos</v>
          </cell>
          <cell r="B185">
            <v>45211</v>
          </cell>
        </row>
        <row r="186">
          <cell r="A186" t="str">
            <v>Verificação do Relatório da Nuvem de Pontos</v>
          </cell>
          <cell r="B186">
            <v>45212</v>
          </cell>
        </row>
        <row r="188">
          <cell r="A188" t="str">
            <v>MARCO - Emissão Inicial (Rev_A)</v>
          </cell>
          <cell r="B188">
            <v>45212</v>
          </cell>
        </row>
        <row r="189">
          <cell r="A189" t="str">
            <v>Aprovação do Cliente</v>
          </cell>
          <cell r="B189">
            <v>45223</v>
          </cell>
        </row>
        <row r="190">
          <cell r="A190" t="str">
            <v>Certificação do documento - Vibracon</v>
          </cell>
          <cell r="B190">
            <v>45226</v>
          </cell>
        </row>
        <row r="191">
          <cell r="A191" t="str">
            <v>MARCO - Envio do documento Certificado (Rev_0)</v>
          </cell>
          <cell r="B191">
            <v>45226</v>
          </cell>
        </row>
        <row r="192">
          <cell r="A192" t="str">
            <v>Elaboração do Relatório de Inspeção</v>
          </cell>
          <cell r="B192">
            <v>45215</v>
          </cell>
        </row>
        <row r="193">
          <cell r="A193" t="str">
            <v>Verificação do Relatório de Inspeção</v>
          </cell>
          <cell r="B193">
            <v>45210</v>
          </cell>
        </row>
        <row r="195">
          <cell r="A195" t="str">
            <v>MARCO - Emissão Inicial (Rev_A)</v>
          </cell>
          <cell r="B195">
            <v>45210</v>
          </cell>
        </row>
        <row r="196">
          <cell r="A196" t="str">
            <v>Aprovação do Cliente</v>
          </cell>
          <cell r="B196">
            <v>45219</v>
          </cell>
        </row>
        <row r="197">
          <cell r="A197" t="str">
            <v>Certificação do documento - Vibracon</v>
          </cell>
          <cell r="B197">
            <v>45224</v>
          </cell>
        </row>
        <row r="198">
          <cell r="A198" t="str">
            <v>MARCO - Envio do documento Certificado (Rev_0)</v>
          </cell>
          <cell r="B198">
            <v>45224</v>
          </cell>
        </row>
        <row r="199">
          <cell r="A199" t="str">
            <v>Elaboração do As-Built</v>
          </cell>
          <cell r="B199">
            <v>45212</v>
          </cell>
        </row>
        <row r="200">
          <cell r="A200" t="str">
            <v>Verificação do As-Built</v>
          </cell>
          <cell r="B200">
            <v>45212</v>
          </cell>
        </row>
        <row r="202">
          <cell r="A202" t="str">
            <v>MARCO - Emissão Inicial (Rev_A)</v>
          </cell>
          <cell r="B202">
            <v>45212</v>
          </cell>
        </row>
        <row r="203">
          <cell r="A203" t="str">
            <v>Aprovação do Cliente</v>
          </cell>
          <cell r="B203">
            <v>45223</v>
          </cell>
        </row>
        <row r="204">
          <cell r="A204" t="str">
            <v>Certificação do documento - Vibracon</v>
          </cell>
          <cell r="B204">
            <v>45226</v>
          </cell>
        </row>
        <row r="205">
          <cell r="A205" t="str">
            <v>MARCO - Envio do documento Certificado (Rev_0)</v>
          </cell>
          <cell r="B205">
            <v>45226</v>
          </cell>
        </row>
        <row r="208">
          <cell r="A208" t="str">
            <v>Análise da Documentação</v>
          </cell>
          <cell r="B208">
            <v>45209</v>
          </cell>
        </row>
        <row r="209">
          <cell r="A209" t="str">
            <v>Modelagem Númerica do Galpão</v>
          </cell>
          <cell r="B209">
            <v>45216</v>
          </cell>
        </row>
        <row r="210">
          <cell r="A210" t="str">
            <v>Aplicação das cargas e condições de contorno</v>
          </cell>
          <cell r="B210">
            <v>45218</v>
          </cell>
        </row>
        <row r="211">
          <cell r="A211" t="str">
            <v>Análise dos resultados</v>
          </cell>
          <cell r="B211">
            <v>45224</v>
          </cell>
        </row>
        <row r="212">
          <cell r="A212" t="str">
            <v>Elaboração da Memória de Cálculo</v>
          </cell>
          <cell r="B212">
            <v>45229</v>
          </cell>
        </row>
        <row r="213">
          <cell r="A213" t="str">
            <v>Verificação da Memória de Cálculo</v>
          </cell>
          <cell r="B213">
            <v>45229</v>
          </cell>
        </row>
        <row r="215">
          <cell r="A215" t="str">
            <v>MARCO - Emissão Inicial (Rev_A)</v>
          </cell>
          <cell r="B215">
            <v>45229</v>
          </cell>
        </row>
      </sheetData>
      <sheetData sheetId="4"/>
      <sheetData sheetId="5"/>
    </sheetDataSet>
  </externalBook>
</externalL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C4A9E1-3EF5-486A-956A-EE5D6CB54F65}">
  <sheetPr codeName="Planilha16"/>
  <dimension ref="A1:DE218"/>
  <sheetViews>
    <sheetView showGridLines="0" tabSelected="1" topLeftCell="B1" zoomScale="57" zoomScaleNormal="57" workbookViewId="0">
      <pane ySplit="5" topLeftCell="A6" activePane="bottomLeft" state="frozen"/>
      <selection pane="bottomLeft" activeCell="Q8" sqref="Q8"/>
    </sheetView>
  </sheetViews>
  <sheetFormatPr defaultRowHeight="14.5" x14ac:dyDescent="0.35"/>
  <cols>
    <col min="1" max="1" width="49.81640625" style="26" hidden="1" customWidth="1"/>
    <col min="2" max="2" width="79.453125" style="26" customWidth="1"/>
    <col min="3" max="5" width="8.26953125" style="26" customWidth="1"/>
    <col min="6" max="6" width="8.26953125" style="79" customWidth="1"/>
    <col min="7" max="7" width="8.26953125" style="80" customWidth="1"/>
    <col min="8" max="10" width="8.26953125" style="26" customWidth="1"/>
    <col min="11" max="11" width="8.26953125" style="79" customWidth="1"/>
    <col min="12" max="12" width="8.26953125" style="80" customWidth="1"/>
    <col min="13" max="15" width="8.26953125" style="26" customWidth="1"/>
    <col min="16" max="16" width="8.26953125" style="79" customWidth="1"/>
    <col min="17" max="17" width="8.26953125" style="80" customWidth="1"/>
    <col min="18" max="20" width="8.26953125" style="26" customWidth="1"/>
    <col min="21" max="21" width="8.26953125" style="79" customWidth="1"/>
    <col min="22" max="24" width="8.26953125" style="26" customWidth="1"/>
    <col min="25" max="28" width="8.1796875" style="26" customWidth="1"/>
    <col min="29" max="29" width="89.26953125" style="3" customWidth="1"/>
    <col min="30" max="30" width="37.81640625" style="44" customWidth="1"/>
    <col min="31" max="31" width="35.54296875" style="46" customWidth="1"/>
    <col min="32" max="32" width="81.453125" style="44" customWidth="1"/>
    <col min="33" max="42" width="17.54296875" style="26" customWidth="1"/>
    <col min="43" max="43" width="9.1796875" style="4" customWidth="1"/>
    <col min="44" max="44" width="14.81640625" customWidth="1"/>
    <col min="45" max="46" width="9.1796875" customWidth="1"/>
    <col min="47" max="47" width="9.7265625" customWidth="1"/>
    <col min="48" max="48" width="12.81640625" customWidth="1"/>
    <col min="49" max="52" width="9.1796875" customWidth="1"/>
    <col min="53" max="53" width="12.81640625" customWidth="1"/>
    <col min="54" max="60" width="9.1796875" customWidth="1"/>
    <col min="61" max="61" width="11.1796875" bestFit="1" customWidth="1"/>
    <col min="62" max="68" width="9.1796875" customWidth="1"/>
  </cols>
  <sheetData>
    <row r="1" spans="1:109" ht="6.75" customHeight="1" x14ac:dyDescent="0.35">
      <c r="AC1"/>
    </row>
    <row r="2" spans="1:109" ht="15" customHeight="1" x14ac:dyDescent="0.35">
      <c r="AC2" s="1"/>
      <c r="AD2" s="45"/>
      <c r="AE2" s="47"/>
      <c r="AF2" s="45"/>
    </row>
    <row r="3" spans="1:109" ht="36.75" customHeight="1" x14ac:dyDescent="0.35">
      <c r="AC3" s="1"/>
      <c r="AD3" s="45"/>
      <c r="AE3" s="47"/>
      <c r="AF3" s="45"/>
    </row>
    <row r="4" spans="1:109" ht="35.25" customHeight="1" x14ac:dyDescent="0.35">
      <c r="B4" s="108"/>
      <c r="C4" s="110">
        <v>45201</v>
      </c>
      <c r="D4" s="110">
        <v>45202</v>
      </c>
      <c r="E4" s="110">
        <v>45203</v>
      </c>
      <c r="F4" s="110">
        <v>45204</v>
      </c>
      <c r="G4" s="110">
        <v>45205</v>
      </c>
      <c r="H4" s="110">
        <v>45208</v>
      </c>
      <c r="I4" s="110">
        <v>45209</v>
      </c>
      <c r="J4" s="110">
        <v>45210</v>
      </c>
      <c r="K4" s="110">
        <v>45211</v>
      </c>
      <c r="L4" s="172">
        <v>45212</v>
      </c>
      <c r="M4" s="172">
        <v>45215</v>
      </c>
      <c r="N4" s="172">
        <v>45216</v>
      </c>
      <c r="O4" s="172">
        <v>45217</v>
      </c>
      <c r="P4" s="172">
        <v>45218</v>
      </c>
      <c r="Q4" s="172">
        <v>45219</v>
      </c>
      <c r="R4" s="172">
        <v>45222</v>
      </c>
      <c r="S4" s="172">
        <v>45223</v>
      </c>
      <c r="T4" s="172">
        <v>45224</v>
      </c>
      <c r="U4" s="172">
        <v>45225</v>
      </c>
      <c r="V4" s="172">
        <v>45226</v>
      </c>
      <c r="W4" s="112">
        <v>45229</v>
      </c>
      <c r="X4" s="112">
        <v>45230</v>
      </c>
      <c r="Y4" s="114" t="s">
        <v>9</v>
      </c>
      <c r="Z4" s="115"/>
      <c r="AA4" s="115"/>
      <c r="AB4" s="116"/>
      <c r="AC4" s="123" t="s">
        <v>16</v>
      </c>
      <c r="AD4" s="125" t="s">
        <v>0</v>
      </c>
      <c r="AE4" s="129" t="s">
        <v>1</v>
      </c>
      <c r="AF4" s="127" t="s">
        <v>12</v>
      </c>
      <c r="AG4" s="58"/>
      <c r="AH4" s="58"/>
      <c r="AI4" s="56"/>
      <c r="AJ4" s="56"/>
      <c r="AK4" s="56"/>
      <c r="AL4" s="56"/>
      <c r="AM4" s="56"/>
      <c r="AN4" s="56"/>
      <c r="AO4" s="56"/>
      <c r="AP4" s="56"/>
    </row>
    <row r="5" spans="1:109" ht="15" customHeight="1" x14ac:dyDescent="0.35">
      <c r="B5" s="109"/>
      <c r="C5" s="111"/>
      <c r="D5" s="111"/>
      <c r="E5" s="111"/>
      <c r="F5" s="111"/>
      <c r="G5" s="111"/>
      <c r="H5" s="111"/>
      <c r="I5" s="111"/>
      <c r="J5" s="111"/>
      <c r="K5" s="111"/>
      <c r="L5" s="173"/>
      <c r="M5" s="173"/>
      <c r="N5" s="173"/>
      <c r="O5" s="173"/>
      <c r="P5" s="173"/>
      <c r="Q5" s="173"/>
      <c r="R5" s="173"/>
      <c r="S5" s="173"/>
      <c r="T5" s="173"/>
      <c r="U5" s="173"/>
      <c r="V5" s="173"/>
      <c r="W5" s="113"/>
      <c r="X5" s="113"/>
      <c r="Y5" s="117"/>
      <c r="Z5" s="118"/>
      <c r="AA5" s="118"/>
      <c r="AB5" s="119"/>
      <c r="AC5" s="124"/>
      <c r="AD5" s="126"/>
      <c r="AE5" s="130"/>
      <c r="AF5" s="128"/>
      <c r="AG5" s="58"/>
      <c r="AH5" s="58"/>
      <c r="AI5" s="57"/>
      <c r="AJ5" s="57"/>
      <c r="AK5" s="57"/>
      <c r="AL5" s="57"/>
      <c r="AM5" s="57"/>
      <c r="AN5" s="57"/>
      <c r="AO5" s="57"/>
      <c r="AP5" s="57"/>
    </row>
    <row r="6" spans="1:109" ht="30" customHeight="1" x14ac:dyDescent="0.35">
      <c r="B6" s="48" t="s">
        <v>38</v>
      </c>
      <c r="C6" s="48"/>
      <c r="D6" s="48"/>
      <c r="E6" s="48"/>
      <c r="F6" s="48"/>
      <c r="G6" s="48"/>
      <c r="H6" s="48"/>
      <c r="I6" s="48"/>
      <c r="J6" s="48"/>
      <c r="K6" s="48"/>
      <c r="L6" s="48"/>
      <c r="M6" s="48"/>
      <c r="N6" s="48"/>
      <c r="O6" s="48"/>
      <c r="P6" s="48"/>
      <c r="Q6" s="48"/>
      <c r="R6" s="48"/>
      <c r="S6" s="48"/>
      <c r="T6" s="48"/>
      <c r="U6" s="48"/>
      <c r="V6" s="48"/>
      <c r="W6" s="48"/>
      <c r="X6" s="48"/>
      <c r="Y6" s="120"/>
      <c r="Z6" s="121"/>
      <c r="AA6" s="121"/>
      <c r="AB6" s="122"/>
      <c r="AC6" s="60" t="str">
        <f t="shared" ref="AC6" si="0">IF(Y6="ATRASADO",B6,"")</f>
        <v/>
      </c>
      <c r="AD6" s="60"/>
      <c r="AE6" s="60"/>
      <c r="AF6" s="60"/>
      <c r="AG6" s="61">
        <f>COUNTIF(C6:G6,"ok")</f>
        <v>0</v>
      </c>
      <c r="AH6" s="61" t="str">
        <f>IF(AND(AG6=1,OR($Y6="entregue",$Y6="efprazo")),$Y6,"")</f>
        <v/>
      </c>
      <c r="AI6" s="61">
        <f>COUNTIF(H6:L6,"ok")</f>
        <v>0</v>
      </c>
      <c r="AJ6" s="61" t="str">
        <f>IF(AND(AI6=1,OR($Y6="entregue",$Y6="efprazo")),$Y6,"")</f>
        <v/>
      </c>
      <c r="AK6" s="61">
        <f>COUNTIF(M6:Q6,"ok")</f>
        <v>0</v>
      </c>
      <c r="AL6" s="61" t="str">
        <f>IF(AND(AK6=1,OR($Y6="entregue",$Y6="efprazo")),$Y6,"")</f>
        <v/>
      </c>
      <c r="AM6" s="61">
        <f>COUNTIF(R6:V6,"ok")</f>
        <v>0</v>
      </c>
      <c r="AN6" s="61" t="str">
        <f>IF(AND(AM6=1,OR($Y6="entregue",$Y6="efprazo")),$Y6,"")</f>
        <v/>
      </c>
      <c r="AO6" s="61">
        <f>COUNTIF(W6:X6,"ok")</f>
        <v>0</v>
      </c>
      <c r="AP6" s="61" t="str">
        <f>IF(AND(AO6=1,OR($Y6="entregue",$Y6="efprazo")),$Y6,"")</f>
        <v/>
      </c>
      <c r="AQ6" s="107" t="s">
        <v>21</v>
      </c>
      <c r="AR6" s="107"/>
      <c r="AS6" s="107"/>
      <c r="AT6" s="107"/>
      <c r="AU6" s="59"/>
      <c r="AV6" s="107" t="s">
        <v>20</v>
      </c>
      <c r="AW6" s="107"/>
      <c r="AX6" s="107"/>
      <c r="AY6" s="107"/>
      <c r="AZ6" s="59"/>
      <c r="BA6" s="107" t="s">
        <v>26</v>
      </c>
      <c r="BB6" s="107"/>
      <c r="BC6" s="107"/>
      <c r="BD6" s="107"/>
      <c r="BE6" s="59"/>
      <c r="BF6" s="107" t="s">
        <v>25</v>
      </c>
      <c r="BG6" s="107"/>
      <c r="BH6" s="107"/>
      <c r="BI6" s="107"/>
      <c r="BJ6" s="59"/>
      <c r="BK6" s="107" t="s">
        <v>36</v>
      </c>
      <c r="BL6" s="107"/>
      <c r="BM6" s="107"/>
      <c r="BN6" s="107"/>
    </row>
    <row r="7" spans="1:109" ht="30" customHeight="1" x14ac:dyDescent="0.35">
      <c r="B7" s="49" t="s">
        <v>39</v>
      </c>
      <c r="C7" s="49"/>
      <c r="D7" s="49"/>
      <c r="E7" s="49"/>
      <c r="F7" s="49"/>
      <c r="G7" s="49"/>
      <c r="H7" s="49"/>
      <c r="I7" s="49"/>
      <c r="J7" s="49"/>
      <c r="K7" s="49"/>
      <c r="L7" s="49"/>
      <c r="M7" s="49"/>
      <c r="N7" s="49"/>
      <c r="O7" s="49"/>
      <c r="P7" s="49"/>
      <c r="Q7" s="49"/>
      <c r="R7" s="49"/>
      <c r="S7" s="49"/>
      <c r="T7" s="49"/>
      <c r="U7" s="49"/>
      <c r="V7" s="49"/>
      <c r="W7" s="49"/>
      <c r="X7" s="49"/>
      <c r="Y7" s="101"/>
      <c r="Z7" s="102"/>
      <c r="AA7" s="102"/>
      <c r="AB7" s="103"/>
      <c r="AC7" s="60" t="str">
        <f t="shared" ref="AC7:AC70" si="1">IF(Y7="ATRASADO",B7,"")</f>
        <v/>
      </c>
      <c r="AD7" s="60"/>
      <c r="AE7" s="60"/>
      <c r="AF7" s="60"/>
      <c r="AG7" s="61">
        <f t="shared" ref="AG7:AG70" si="2">COUNTIF(C7:G7,"ok")</f>
        <v>0</v>
      </c>
      <c r="AH7" s="61" t="str">
        <f t="shared" ref="AH7:AH70" si="3">IF(AND(AG7=1,OR($Y7="entregue",$Y7="efprazo")),$Y7,"")</f>
        <v/>
      </c>
      <c r="AI7" s="61">
        <f t="shared" ref="AI7:AI70" si="4">COUNTIF(H7:L7,"ok")</f>
        <v>0</v>
      </c>
      <c r="AJ7" s="61" t="str">
        <f t="shared" ref="AJ7:AJ70" si="5">IF(AND(AI7=1,OR($Y7="entregue",$Y7="efprazo")),$Y7,"")</f>
        <v/>
      </c>
      <c r="AK7" s="61">
        <f t="shared" ref="AK7:AK70" si="6">COUNTIF(M7:Q7,"ok")</f>
        <v>0</v>
      </c>
      <c r="AL7" s="61" t="str">
        <f t="shared" ref="AL7:AL70" si="7">IF(AND(AK7=1,OR($Y7="entregue",$Y7="efprazo")),$Y7,"")</f>
        <v/>
      </c>
      <c r="AM7" s="61">
        <f t="shared" ref="AM7:AM70" si="8">COUNTIF(R7:V7,"ok")</f>
        <v>0</v>
      </c>
      <c r="AN7" s="61" t="str">
        <f t="shared" ref="AN7:AN70" si="9">IF(AND(AM7=1,OR($Y7="entregue",$Y7="efprazo")),$Y7,"")</f>
        <v/>
      </c>
      <c r="AO7" s="61">
        <f t="shared" ref="AO7:AO70" si="10">COUNTIF(W7:X7,"ok")</f>
        <v>0</v>
      </c>
      <c r="AP7" s="61" t="str">
        <f t="shared" ref="AP7:AP70" si="11">IF(AND(AO7=1,OR($Y7="entregue",$Y7="efprazo")),$Y7,"")</f>
        <v/>
      </c>
      <c r="AQ7" s="100" t="s">
        <v>2</v>
      </c>
      <c r="AR7" s="100"/>
      <c r="AS7" s="100"/>
      <c r="AT7" s="62">
        <f>COUNTIF(AH:AH,"ENTREGUE")</f>
        <v>15</v>
      </c>
      <c r="AU7" s="59"/>
      <c r="AV7" s="100" t="s">
        <v>2</v>
      </c>
      <c r="AW7" s="100"/>
      <c r="AX7" s="100"/>
      <c r="AY7" s="62" cm="1">
        <f t="array" ref="AY7">SUM(COUNTIF(AH:AJ,{"ENTREGUE";"EFPRAZO"}))</f>
        <v>34</v>
      </c>
      <c r="AZ7" s="59"/>
      <c r="BA7" s="100" t="s">
        <v>2</v>
      </c>
      <c r="BB7" s="100"/>
      <c r="BC7" s="100"/>
      <c r="BD7" s="62" cm="1">
        <f t="array" ref="BD7">SUM(COUNTIF(AH:AL,{"ENTREGUE";"EFPRAZO"}))</f>
        <v>36</v>
      </c>
      <c r="BE7" s="59"/>
      <c r="BF7" s="100" t="s">
        <v>2</v>
      </c>
      <c r="BG7" s="100"/>
      <c r="BH7" s="100"/>
      <c r="BI7" s="62" cm="1">
        <f t="array" ref="BI7">SUM(COUNTIF(AH:AN,{"ENTREGUE";"EFPRAZO"}))</f>
        <v>36</v>
      </c>
      <c r="BJ7" s="59"/>
      <c r="BK7" s="100" t="s">
        <v>2</v>
      </c>
      <c r="BL7" s="100"/>
      <c r="BM7" s="100"/>
      <c r="BN7" s="62" cm="1">
        <f t="array" ref="BN7">SUM(COUNTIF(AH:AP,{"ENTREGUE";"EFPRAZO"}))</f>
        <v>36</v>
      </c>
      <c r="BR7" s="62">
        <f>SUM(COUNTIF(Y:AB,"VAZIO"))</f>
        <v>49</v>
      </c>
      <c r="BS7" s="104" t="s">
        <v>15</v>
      </c>
      <c r="BT7" s="105"/>
      <c r="BU7" s="106"/>
      <c r="BV7" s="74">
        <f>BR7/BR11</f>
        <v>0.36029411764705882</v>
      </c>
    </row>
    <row r="8" spans="1:109" ht="30" customHeight="1" x14ac:dyDescent="0.35">
      <c r="B8" s="50" t="s">
        <v>40</v>
      </c>
      <c r="C8" s="50"/>
      <c r="D8" s="50"/>
      <c r="E8" s="50"/>
      <c r="F8" s="50"/>
      <c r="G8" s="50"/>
      <c r="H8" s="50"/>
      <c r="I8" s="50"/>
      <c r="J8" s="50"/>
      <c r="K8" s="50"/>
      <c r="L8" s="50"/>
      <c r="M8" s="50"/>
      <c r="N8" s="50"/>
      <c r="O8" s="50"/>
      <c r="P8" s="50"/>
      <c r="Q8" s="50"/>
      <c r="R8" s="50"/>
      <c r="S8" s="50"/>
      <c r="T8" s="50"/>
      <c r="U8" s="50"/>
      <c r="V8" s="50"/>
      <c r="W8" s="50"/>
      <c r="X8" s="50"/>
      <c r="Y8" s="97"/>
      <c r="Z8" s="98"/>
      <c r="AA8" s="98"/>
      <c r="AB8" s="99"/>
      <c r="AC8" s="60" t="str">
        <f t="shared" si="1"/>
        <v/>
      </c>
      <c r="AD8" s="60"/>
      <c r="AE8" s="60"/>
      <c r="AF8" s="60"/>
      <c r="AG8" s="61">
        <f t="shared" si="2"/>
        <v>0</v>
      </c>
      <c r="AH8" s="61" t="str">
        <f t="shared" si="3"/>
        <v/>
      </c>
      <c r="AI8" s="61">
        <f t="shared" si="4"/>
        <v>0</v>
      </c>
      <c r="AJ8" s="61" t="str">
        <f t="shared" si="5"/>
        <v/>
      </c>
      <c r="AK8" s="61">
        <f t="shared" si="6"/>
        <v>0</v>
      </c>
      <c r="AL8" s="61" t="str">
        <f t="shared" si="7"/>
        <v/>
      </c>
      <c r="AM8" s="61">
        <f t="shared" si="8"/>
        <v>0</v>
      </c>
      <c r="AN8" s="61" t="str">
        <f t="shared" si="9"/>
        <v/>
      </c>
      <c r="AO8" s="61">
        <f t="shared" si="10"/>
        <v>0</v>
      </c>
      <c r="AP8" s="61" t="str">
        <f t="shared" si="11"/>
        <v/>
      </c>
      <c r="AQ8" s="100" t="s">
        <v>3</v>
      </c>
      <c r="AR8" s="100"/>
      <c r="AS8" s="100"/>
      <c r="AT8" s="62">
        <f>SUM(COUNTIF(C:G,"OK"))</f>
        <v>35</v>
      </c>
      <c r="AU8" s="59"/>
      <c r="AV8" s="100" t="s">
        <v>3</v>
      </c>
      <c r="AW8" s="100"/>
      <c r="AX8" s="100"/>
      <c r="AY8" s="62">
        <f>SUM(COUNTIF(C:L,"OK"))</f>
        <v>70</v>
      </c>
      <c r="AZ8" s="59"/>
      <c r="BA8" s="100" t="s">
        <v>3</v>
      </c>
      <c r="BB8" s="100"/>
      <c r="BC8" s="100"/>
      <c r="BD8" s="62">
        <f>SUM(COUNTIF(C:Q,"OK"))</f>
        <v>104</v>
      </c>
      <c r="BE8" s="59"/>
      <c r="BF8" s="100" t="s">
        <v>3</v>
      </c>
      <c r="BG8" s="100"/>
      <c r="BH8" s="100"/>
      <c r="BI8" s="62">
        <f>SUM(COUNTIF(C:V,"OK"))</f>
        <v>124</v>
      </c>
      <c r="BJ8" s="59"/>
      <c r="BK8" s="100" t="s">
        <v>3</v>
      </c>
      <c r="BL8" s="100"/>
      <c r="BM8" s="100"/>
      <c r="BN8" s="62">
        <f>SUM(COUNTIF(C:X,"OK"))</f>
        <v>136</v>
      </c>
      <c r="BR8" s="62">
        <f>SUM(BR13:BR14)</f>
        <v>37</v>
      </c>
      <c r="BS8" s="104" t="s">
        <v>32</v>
      </c>
      <c r="BT8" s="105"/>
      <c r="BU8" s="106"/>
      <c r="BV8" s="74">
        <f>BR8/BR11</f>
        <v>0.27205882352941174</v>
      </c>
    </row>
    <row r="9" spans="1:109" ht="30" customHeight="1" x14ac:dyDescent="0.35">
      <c r="B9" s="54" t="s">
        <v>41</v>
      </c>
      <c r="C9" s="54"/>
      <c r="D9" s="54"/>
      <c r="E9" s="54"/>
      <c r="F9" s="54"/>
      <c r="G9" s="54"/>
      <c r="H9" s="54"/>
      <c r="I9" s="54"/>
      <c r="J9" s="54"/>
      <c r="K9" s="54"/>
      <c r="L9" s="54"/>
      <c r="M9" s="54"/>
      <c r="N9" s="54"/>
      <c r="O9" s="54"/>
      <c r="P9" s="54"/>
      <c r="Q9" s="54"/>
      <c r="R9" s="54"/>
      <c r="S9" s="54"/>
      <c r="T9" s="54"/>
      <c r="U9" s="54"/>
      <c r="V9" s="54"/>
      <c r="W9" s="54"/>
      <c r="X9" s="54"/>
      <c r="Y9" s="91"/>
      <c r="Z9" s="92"/>
      <c r="AA9" s="92"/>
      <c r="AB9" s="93"/>
      <c r="AC9" s="60" t="str">
        <f t="shared" si="1"/>
        <v/>
      </c>
      <c r="AD9" s="60"/>
      <c r="AE9" s="60"/>
      <c r="AF9" s="60"/>
      <c r="AG9" s="61">
        <f t="shared" si="2"/>
        <v>0</v>
      </c>
      <c r="AH9" s="61" t="str">
        <f t="shared" si="3"/>
        <v/>
      </c>
      <c r="AI9" s="61">
        <f t="shared" si="4"/>
        <v>0</v>
      </c>
      <c r="AJ9" s="61" t="str">
        <f t="shared" si="5"/>
        <v/>
      </c>
      <c r="AK9" s="61">
        <f t="shared" si="6"/>
        <v>0</v>
      </c>
      <c r="AL9" s="61" t="str">
        <f t="shared" si="7"/>
        <v/>
      </c>
      <c r="AM9" s="61">
        <f t="shared" si="8"/>
        <v>0</v>
      </c>
      <c r="AN9" s="61" t="str">
        <f t="shared" si="9"/>
        <v/>
      </c>
      <c r="AO9" s="61">
        <f t="shared" si="10"/>
        <v>0</v>
      </c>
      <c r="AP9" s="61" t="str">
        <f t="shared" si="11"/>
        <v/>
      </c>
      <c r="AQ9" s="100" t="s">
        <v>4</v>
      </c>
      <c r="AR9" s="100"/>
      <c r="AS9" s="100"/>
      <c r="AT9" s="63">
        <f>IF(AT8=0,0,AT7/AT8)</f>
        <v>0.42857142857142855</v>
      </c>
      <c r="AU9" s="59"/>
      <c r="AV9" s="100" t="s">
        <v>4</v>
      </c>
      <c r="AW9" s="100"/>
      <c r="AX9" s="100"/>
      <c r="AY9" s="63">
        <f>IF(AY8=0,0,AY7/AY8)</f>
        <v>0.48571428571428571</v>
      </c>
      <c r="AZ9" s="59"/>
      <c r="BA9" s="100" t="s">
        <v>4</v>
      </c>
      <c r="BB9" s="100"/>
      <c r="BC9" s="100"/>
      <c r="BD9" s="63">
        <f>IF(BD8=0,0,BD7/BD8)</f>
        <v>0.34615384615384615</v>
      </c>
      <c r="BE9" s="59"/>
      <c r="BF9" s="100" t="s">
        <v>4</v>
      </c>
      <c r="BG9" s="100"/>
      <c r="BH9" s="100"/>
      <c r="BI9" s="63">
        <f>IF(BI8=0,0,BI7/BI8)</f>
        <v>0.29032258064516131</v>
      </c>
      <c r="BJ9" s="59"/>
      <c r="BK9" s="100" t="s">
        <v>4</v>
      </c>
      <c r="BL9" s="100"/>
      <c r="BM9" s="100"/>
      <c r="BN9" s="63">
        <f>IF(BN8=0,0,BN7/BN8)</f>
        <v>0.26470588235294118</v>
      </c>
      <c r="BR9" s="62">
        <f>SUM(COUNTIF(Y:AB,"ATRASADO"))</f>
        <v>39</v>
      </c>
      <c r="BS9" s="104" t="s">
        <v>33</v>
      </c>
      <c r="BT9" s="105"/>
      <c r="BU9" s="106"/>
      <c r="BV9" s="74">
        <f>BR9/BR11</f>
        <v>0.28676470588235292</v>
      </c>
    </row>
    <row r="10" spans="1:109" ht="30" customHeight="1" x14ac:dyDescent="0.35">
      <c r="B10" s="52" t="s">
        <v>42</v>
      </c>
      <c r="C10" s="52"/>
      <c r="D10" s="52"/>
      <c r="E10" s="52"/>
      <c r="F10" s="52"/>
      <c r="G10" s="52"/>
      <c r="H10" s="52"/>
      <c r="I10" s="52"/>
      <c r="J10" s="52"/>
      <c r="K10" s="52"/>
      <c r="L10" s="52"/>
      <c r="M10" s="52"/>
      <c r="N10" s="52"/>
      <c r="O10" s="52"/>
      <c r="P10" s="52"/>
      <c r="Q10" s="52"/>
      <c r="R10" s="52"/>
      <c r="S10" s="52"/>
      <c r="T10" s="52"/>
      <c r="U10" s="52"/>
      <c r="V10" s="52"/>
      <c r="W10" s="52"/>
      <c r="X10" s="52"/>
      <c r="Y10" s="88"/>
      <c r="Z10" s="89"/>
      <c r="AA10" s="89"/>
      <c r="AB10" s="90"/>
      <c r="AC10" s="60" t="str">
        <f t="shared" si="1"/>
        <v/>
      </c>
      <c r="AD10" s="60"/>
      <c r="AE10" s="60"/>
      <c r="AF10" s="60"/>
      <c r="AG10" s="61">
        <f t="shared" si="2"/>
        <v>0</v>
      </c>
      <c r="AH10" s="61" t="str">
        <f t="shared" si="3"/>
        <v/>
      </c>
      <c r="AI10" s="61">
        <f t="shared" si="4"/>
        <v>0</v>
      </c>
      <c r="AJ10" s="61" t="str">
        <f t="shared" si="5"/>
        <v/>
      </c>
      <c r="AK10" s="61">
        <f t="shared" si="6"/>
        <v>0</v>
      </c>
      <c r="AL10" s="61" t="str">
        <f t="shared" si="7"/>
        <v/>
      </c>
      <c r="AM10" s="61">
        <f t="shared" si="8"/>
        <v>0</v>
      </c>
      <c r="AN10" s="61" t="str">
        <f t="shared" si="9"/>
        <v/>
      </c>
      <c r="AO10" s="61">
        <f t="shared" si="10"/>
        <v>0</v>
      </c>
      <c r="AP10" s="61" t="str">
        <f t="shared" si="11"/>
        <v/>
      </c>
      <c r="AQ10" s="59"/>
      <c r="AR10" s="59"/>
      <c r="AS10" s="59"/>
      <c r="AT10" s="59"/>
      <c r="AU10" s="59"/>
      <c r="AV10" s="59"/>
      <c r="AW10" s="59"/>
      <c r="AX10" s="59"/>
      <c r="AY10" s="59"/>
      <c r="AZ10" s="59"/>
      <c r="BA10" s="59"/>
      <c r="BB10" s="59"/>
      <c r="BC10" s="59"/>
      <c r="BD10" s="59"/>
      <c r="BE10" s="59"/>
      <c r="BF10" s="59"/>
      <c r="BG10" s="59"/>
      <c r="BH10" s="59"/>
      <c r="BI10" s="59"/>
      <c r="BJ10" s="59"/>
      <c r="BK10" s="59"/>
      <c r="BL10" s="59"/>
      <c r="BM10" s="59"/>
      <c r="BN10" s="59"/>
      <c r="BR10" s="62">
        <f>SUM(COUNTIF(Y:AB,"RISCO"))</f>
        <v>11</v>
      </c>
      <c r="BS10" s="104" t="s">
        <v>34</v>
      </c>
      <c r="BT10" s="105"/>
      <c r="BU10" s="106"/>
      <c r="BV10" s="74">
        <f>BR10/BR11</f>
        <v>8.0882352941176475E-2</v>
      </c>
    </row>
    <row r="11" spans="1:109" ht="30" customHeight="1" x14ac:dyDescent="0.35">
      <c r="A11" s="26" t="str">
        <f>CONCATENATE($B$7,"
",$B$8,"
",$B$9)</f>
        <v>PT070 - ESTUDO DAS MÁQUINAS DE PÁTIO - PROJETO CAMINHO DE ROLAMENTO DA EM-6219 (Brucutu)
ETAPA DE ESCRITÓRIO - ETAPA 2
ANÁLISE DE 2º NÍVEL</v>
      </c>
      <c r="B11" s="53" t="s">
        <v>119</v>
      </c>
      <c r="C11" s="84" t="str">
        <f>IF(AND($B11=[1]ana!$A8,[1]ana!$B8=C$4),"ok","nok")</f>
        <v>nok</v>
      </c>
      <c r="D11" s="84" t="str">
        <f>IF(AND($B11=[1]ana!$A8,[1]ana!$B8=D$4),"ok","nok")</f>
        <v>nok</v>
      </c>
      <c r="E11" s="84" t="str">
        <f>IF(AND($B11=[1]ana!$A8,[1]ana!$B8=E$4),"ok","nok")</f>
        <v>nok</v>
      </c>
      <c r="F11" s="84" t="str">
        <f>IF(AND($B11=[1]ana!$A8,[1]ana!$B8=F$4),"ok","nok")</f>
        <v>nok</v>
      </c>
      <c r="G11" s="84" t="str">
        <f>IF(AND($B11=[1]ana!$A8,[1]ana!$B8=G$4),"ok","nok")</f>
        <v>ok</v>
      </c>
      <c r="H11" s="84" t="str">
        <f>IF(AND($B11=[1]ana!$A8,[1]ana!$B8=H$4),"ok","nok")</f>
        <v>nok</v>
      </c>
      <c r="I11" s="84" t="str">
        <f>IF(AND($B11=[1]ana!$A8,[1]ana!$B8=I$4),"ok","nok")</f>
        <v>nok</v>
      </c>
      <c r="J11" s="84" t="str">
        <f>IF(AND($B11=[1]ana!$A8,[1]ana!$B8=J$4),"ok","nok")</f>
        <v>nok</v>
      </c>
      <c r="K11" s="84" t="str">
        <f>IF(AND($B11=[1]ana!$A8,[1]ana!$B8=K$4),"ok","nok")</f>
        <v>nok</v>
      </c>
      <c r="L11" s="84" t="str">
        <f>IF(AND($B11=[1]ana!$A8,[1]ana!$B8=L$4),"ok","nok")</f>
        <v>nok</v>
      </c>
      <c r="M11" s="84" t="str">
        <f>IF(AND($B11=[1]ana!$A8,[1]ana!$B8=M$4),"ok","nok")</f>
        <v>nok</v>
      </c>
      <c r="N11" s="84" t="str">
        <f>IF(AND($B11=[1]ana!$A8,[1]ana!$B8=N$4),"ok","nok")</f>
        <v>nok</v>
      </c>
      <c r="O11" s="84" t="str">
        <f>IF(AND($B11=[1]ana!$A8,[1]ana!$B8=O$4),"ok","nok")</f>
        <v>nok</v>
      </c>
      <c r="P11" s="84" t="str">
        <f>IF(AND($B11=[1]ana!$A8,[1]ana!$B8=P$4),"ok","nok")</f>
        <v>nok</v>
      </c>
      <c r="Q11" s="84" t="str">
        <f>IF(AND($B11=[1]ana!$A8,[1]ana!$B8=Q$4),"ok","nok")</f>
        <v>nok</v>
      </c>
      <c r="R11" s="84" t="str">
        <f>IF(AND($B11=[1]ana!$A8,[1]ana!$B8=R$4),"ok","nok")</f>
        <v>nok</v>
      </c>
      <c r="S11" s="84" t="str">
        <f>IF(AND($B11=[1]ana!$A8,[1]ana!$B8=S$4),"ok","nok")</f>
        <v>nok</v>
      </c>
      <c r="T11" s="84" t="str">
        <f>IF(AND($B11=[1]ana!$A8,[1]ana!$B8=T$4),"ok","nok")</f>
        <v>nok</v>
      </c>
      <c r="U11" s="84" t="str">
        <f>IF(AND($B11=[1]ana!$A8,[1]ana!$B8=U$4),"ok","nok")</f>
        <v>nok</v>
      </c>
      <c r="V11" s="84" t="str">
        <f>IF(AND($B11=[1]ana!$A8,[1]ana!$B8=V$4),"ok","nok")</f>
        <v>nok</v>
      </c>
      <c r="W11" s="84" t="str">
        <f>IF(AND($B11=[1]ana!$A8,[1]ana!$B8=W$4),"ok","nok")</f>
        <v>nok</v>
      </c>
      <c r="X11" s="84" t="str">
        <f>IF(AND($B11=[1]ana!$A8,[1]ana!$B8=X$4),"ok","nok")</f>
        <v>nok</v>
      </c>
      <c r="Y11" s="85" t="s">
        <v>33</v>
      </c>
      <c r="Z11" s="86"/>
      <c r="AA11" s="86"/>
      <c r="AB11" s="87"/>
      <c r="AC11" s="60" t="str">
        <f t="shared" si="1"/>
        <v>Revisão do Documento</v>
      </c>
      <c r="AD11" s="60"/>
      <c r="AE11" s="60"/>
      <c r="AF11" s="60"/>
      <c r="AG11" s="61">
        <f t="shared" si="2"/>
        <v>1</v>
      </c>
      <c r="AH11" s="61" t="str">
        <f t="shared" si="3"/>
        <v/>
      </c>
      <c r="AI11" s="61">
        <f t="shared" si="4"/>
        <v>0</v>
      </c>
      <c r="AJ11" s="61" t="str">
        <f t="shared" si="5"/>
        <v/>
      </c>
      <c r="AK11" s="61">
        <f t="shared" si="6"/>
        <v>0</v>
      </c>
      <c r="AL11" s="61" t="str">
        <f t="shared" si="7"/>
        <v/>
      </c>
      <c r="AM11" s="61">
        <f t="shared" si="8"/>
        <v>0</v>
      </c>
      <c r="AN11" s="61" t="str">
        <f t="shared" si="9"/>
        <v/>
      </c>
      <c r="AO11" s="61">
        <f t="shared" si="10"/>
        <v>0</v>
      </c>
      <c r="AP11" s="61" t="str">
        <f t="shared" si="11"/>
        <v/>
      </c>
      <c r="AQ11" s="59"/>
      <c r="AR11" s="59"/>
      <c r="AS11" s="59"/>
      <c r="AT11" s="59"/>
      <c r="AU11" s="59"/>
      <c r="AV11" s="107" t="s">
        <v>22</v>
      </c>
      <c r="AW11" s="107"/>
      <c r="AX11" s="107"/>
      <c r="AY11" s="107"/>
      <c r="AZ11" s="59"/>
      <c r="BA11" s="107" t="s">
        <v>23</v>
      </c>
      <c r="BB11" s="107"/>
      <c r="BC11" s="107"/>
      <c r="BD11" s="107"/>
      <c r="BE11" s="59"/>
      <c r="BF11" s="107" t="s">
        <v>24</v>
      </c>
      <c r="BG11" s="107"/>
      <c r="BH11" s="107"/>
      <c r="BI11" s="107"/>
      <c r="BJ11" s="59"/>
      <c r="BK11" s="107" t="s">
        <v>37</v>
      </c>
      <c r="BL11" s="107"/>
      <c r="BM11" s="107"/>
      <c r="BN11" s="107"/>
      <c r="BR11" s="75">
        <f>SUM(BR7:BR10)</f>
        <v>136</v>
      </c>
      <c r="BS11" s="104" t="s">
        <v>3</v>
      </c>
      <c r="BT11" s="105"/>
      <c r="BU11" s="106"/>
      <c r="BV11" s="76">
        <f>SUM(BV7:BV10)</f>
        <v>1</v>
      </c>
    </row>
    <row r="12" spans="1:109" ht="30" customHeight="1" x14ac:dyDescent="0.35">
      <c r="A12" s="26" t="str">
        <f t="shared" ref="A12:A15" si="12">CONCATENATE($B$7,"
",$B$8,"
",$B$9)</f>
        <v>PT070 - ESTUDO DAS MÁQUINAS DE PÁTIO - PROJETO CAMINHO DE ROLAMENTO DA EM-6219 (Brucutu)
ETAPA DE ESCRITÓRIO - ETAPA 2
ANÁLISE DE 2º NÍVEL</v>
      </c>
      <c r="B12" s="53" t="s">
        <v>120</v>
      </c>
      <c r="C12" s="84" t="str">
        <f>IF(AND($B12=[1]ana!$A9,[1]ana!$B9=C$4),"ok","nok")</f>
        <v>nok</v>
      </c>
      <c r="D12" s="84" t="str">
        <f>IF(AND($B12=[1]ana!$A9,[1]ana!$B9=D$4),"ok","nok")</f>
        <v>nok</v>
      </c>
      <c r="E12" s="84" t="str">
        <f>IF(AND($B12=[1]ana!$A9,[1]ana!$B9=E$4),"ok","nok")</f>
        <v>nok</v>
      </c>
      <c r="F12" s="84" t="str">
        <f>IF(AND($B12=[1]ana!$A9,[1]ana!$B9=F$4),"ok","nok")</f>
        <v>nok</v>
      </c>
      <c r="G12" s="84" t="str">
        <f>IF(AND($B12=[1]ana!$A9,[1]ana!$B9=G$4),"ok","nok")</f>
        <v>ok</v>
      </c>
      <c r="H12" s="84" t="str">
        <f>IF(AND($B12=[1]ana!$A9,[1]ana!$B9=H$4),"ok","nok")</f>
        <v>nok</v>
      </c>
      <c r="I12" s="84" t="str">
        <f>IF(AND($B12=[1]ana!$A9,[1]ana!$B9=I$4),"ok","nok")</f>
        <v>nok</v>
      </c>
      <c r="J12" s="84" t="str">
        <f>IF(AND($B12=[1]ana!$A9,[1]ana!$B9=J$4),"ok","nok")</f>
        <v>nok</v>
      </c>
      <c r="K12" s="84" t="str">
        <f>IF(AND($B12=[1]ana!$A9,[1]ana!$B9=K$4),"ok","nok")</f>
        <v>nok</v>
      </c>
      <c r="L12" s="84" t="str">
        <f>IF(AND($B12=[1]ana!$A9,[1]ana!$B9=L$4),"ok","nok")</f>
        <v>nok</v>
      </c>
      <c r="M12" s="84" t="str">
        <f>IF(AND($B12=[1]ana!$A9,[1]ana!$B9=M$4),"ok","nok")</f>
        <v>nok</v>
      </c>
      <c r="N12" s="84" t="str">
        <f>IF(AND($B12=[1]ana!$A9,[1]ana!$B9=N$4),"ok","nok")</f>
        <v>nok</v>
      </c>
      <c r="O12" s="84" t="str">
        <f>IF(AND($B12=[1]ana!$A9,[1]ana!$B9=O$4),"ok","nok")</f>
        <v>nok</v>
      </c>
      <c r="P12" s="84" t="str">
        <f>IF(AND($B12=[1]ana!$A9,[1]ana!$B9=P$4),"ok","nok")</f>
        <v>nok</v>
      </c>
      <c r="Q12" s="84" t="str">
        <f>IF(AND($B12=[1]ana!$A9,[1]ana!$B9=Q$4),"ok","nok")</f>
        <v>nok</v>
      </c>
      <c r="R12" s="84" t="str">
        <f>IF(AND($B12=[1]ana!$A9,[1]ana!$B9=R$4),"ok","nok")</f>
        <v>nok</v>
      </c>
      <c r="S12" s="84" t="str">
        <f>IF(AND($B12=[1]ana!$A9,[1]ana!$B9=S$4),"ok","nok")</f>
        <v>nok</v>
      </c>
      <c r="T12" s="84" t="str">
        <f>IF(AND($B12=[1]ana!$A9,[1]ana!$B9=T$4),"ok","nok")</f>
        <v>nok</v>
      </c>
      <c r="U12" s="84" t="str">
        <f>IF(AND($B12=[1]ana!$A9,[1]ana!$B9=U$4),"ok","nok")</f>
        <v>nok</v>
      </c>
      <c r="V12" s="84" t="str">
        <f>IF(AND($B12=[1]ana!$A9,[1]ana!$B9=V$4),"ok","nok")</f>
        <v>nok</v>
      </c>
      <c r="W12" s="84" t="str">
        <f>IF(AND($B12=[1]ana!$A9,[1]ana!$B9=W$4),"ok","nok")</f>
        <v>nok</v>
      </c>
      <c r="X12" s="84" t="str">
        <f>IF(AND($B12=[1]ana!$A9,[1]ana!$B9=X$4),"ok","nok")</f>
        <v>nok</v>
      </c>
      <c r="Y12" s="85" t="s">
        <v>33</v>
      </c>
      <c r="Z12" s="86"/>
      <c r="AA12" s="86"/>
      <c r="AB12" s="87"/>
      <c r="AC12" s="60" t="str">
        <f t="shared" si="1"/>
        <v>MARCO - Envio do documento revisado (Rev_B)</v>
      </c>
      <c r="AD12" s="60"/>
      <c r="AE12" s="60"/>
      <c r="AF12" s="60"/>
      <c r="AG12" s="61">
        <f t="shared" si="2"/>
        <v>1</v>
      </c>
      <c r="AH12" s="61" t="str">
        <f t="shared" si="3"/>
        <v/>
      </c>
      <c r="AI12" s="61">
        <f t="shared" si="4"/>
        <v>0</v>
      </c>
      <c r="AJ12" s="61" t="str">
        <f t="shared" si="5"/>
        <v/>
      </c>
      <c r="AK12" s="61">
        <f t="shared" si="6"/>
        <v>0</v>
      </c>
      <c r="AL12" s="61" t="str">
        <f t="shared" si="7"/>
        <v/>
      </c>
      <c r="AM12" s="61">
        <f t="shared" si="8"/>
        <v>0</v>
      </c>
      <c r="AN12" s="61" t="str">
        <f t="shared" si="9"/>
        <v/>
      </c>
      <c r="AO12" s="61">
        <f t="shared" si="10"/>
        <v>0</v>
      </c>
      <c r="AP12" s="61" t="str">
        <f t="shared" si="11"/>
        <v/>
      </c>
      <c r="AQ12" s="59"/>
      <c r="AR12" s="59"/>
      <c r="AS12" s="59"/>
      <c r="AT12" s="59"/>
      <c r="AU12" s="59"/>
      <c r="AV12" s="100" t="s">
        <v>2</v>
      </c>
      <c r="AW12" s="100"/>
      <c r="AX12" s="100"/>
      <c r="AY12" s="62">
        <f>SUM(COUNTIF(AJ:AJ,"ENTREGUE"))</f>
        <v>8</v>
      </c>
      <c r="AZ12" s="59"/>
      <c r="BA12" s="100" t="s">
        <v>2</v>
      </c>
      <c r="BB12" s="100"/>
      <c r="BC12" s="100"/>
      <c r="BD12" s="62">
        <f>SUM(COUNTIF(AL:AL,"ENTREGUE"))</f>
        <v>2</v>
      </c>
      <c r="BE12" s="59"/>
      <c r="BF12" s="100" t="s">
        <v>2</v>
      </c>
      <c r="BG12" s="100"/>
      <c r="BH12" s="100"/>
      <c r="BI12" s="62">
        <f>SUM(COUNTIF(AN:AN,"ENTREGUE"))</f>
        <v>0</v>
      </c>
      <c r="BJ12" s="59"/>
      <c r="BK12" s="100" t="s">
        <v>2</v>
      </c>
      <c r="BL12" s="100"/>
      <c r="BM12" s="100"/>
      <c r="BN12" s="62">
        <f>SUM(COUNTIF(AP:AP,"ENTREGUE"))</f>
        <v>0</v>
      </c>
    </row>
    <row r="13" spans="1:109" s="68" customFormat="1" ht="30" customHeight="1" x14ac:dyDescent="0.35">
      <c r="A13" s="26" t="str">
        <f t="shared" si="12"/>
        <v>PT070 - ESTUDO DAS MÁQUINAS DE PÁTIO - PROJETO CAMINHO DE ROLAMENTO DA EM-6219 (Brucutu)
ETAPA DE ESCRITÓRIO - ETAPA 2
ANÁLISE DE 2º NÍVEL</v>
      </c>
      <c r="B13" s="53" t="s">
        <v>43</v>
      </c>
      <c r="C13" s="84" t="str">
        <f>IF(AND($B13=[1]ana!$A10,[1]ana!$B10=C$4),"ok","nok")</f>
        <v>nok</v>
      </c>
      <c r="D13" s="84" t="str">
        <f>IF(AND($B13=[1]ana!$A10,[1]ana!$B10=D$4),"ok","nok")</f>
        <v>nok</v>
      </c>
      <c r="E13" s="84" t="str">
        <f>IF(AND($B13=[1]ana!$A10,[1]ana!$B10=E$4),"ok","nok")</f>
        <v>nok</v>
      </c>
      <c r="F13" s="84" t="str">
        <f>IF(AND($B13=[1]ana!$A10,[1]ana!$B10=F$4),"ok","nok")</f>
        <v>nok</v>
      </c>
      <c r="G13" s="84" t="str">
        <f>IF(AND($B13=[1]ana!$A10,[1]ana!$B10=G$4),"ok","nok")</f>
        <v>nok</v>
      </c>
      <c r="H13" s="84" t="str">
        <f>IF(AND($B13=[1]ana!$A10,[1]ana!$B10=H$4),"ok","nok")</f>
        <v>nok</v>
      </c>
      <c r="I13" s="84" t="str">
        <f>IF(AND($B13=[1]ana!$A10,[1]ana!$B10=I$4),"ok","nok")</f>
        <v>nok</v>
      </c>
      <c r="J13" s="84" t="str">
        <f>IF(AND($B13=[1]ana!$A10,[1]ana!$B10=J$4),"ok","nok")</f>
        <v>nok</v>
      </c>
      <c r="K13" s="84" t="str">
        <f>IF(AND($B13=[1]ana!$A10,[1]ana!$B10=K$4),"ok","nok")</f>
        <v>nok</v>
      </c>
      <c r="L13" s="84" t="str">
        <f>IF(AND($B13=[1]ana!$A10,[1]ana!$B10=L$4),"ok","nok")</f>
        <v>nok</v>
      </c>
      <c r="M13" s="84" t="str">
        <f>IF(AND($B13=[1]ana!$A10,[1]ana!$B10=M$4),"ok","nok")</f>
        <v>nok</v>
      </c>
      <c r="N13" s="84" t="str">
        <f>IF(AND($B13=[1]ana!$A10,[1]ana!$B10=N$4),"ok","nok")</f>
        <v>ok</v>
      </c>
      <c r="O13" s="84" t="str">
        <f>IF(AND($B13=[1]ana!$A10,[1]ana!$B10=O$4),"ok","nok")</f>
        <v>nok</v>
      </c>
      <c r="P13" s="84" t="str">
        <f>IF(AND($B13=[1]ana!$A10,[1]ana!$B10=P$4),"ok","nok")</f>
        <v>nok</v>
      </c>
      <c r="Q13" s="84" t="str">
        <f>IF(AND($B13=[1]ana!$A10,[1]ana!$B10=Q$4),"ok","nok")</f>
        <v>nok</v>
      </c>
      <c r="R13" s="84" t="str">
        <f>IF(AND($B13=[1]ana!$A10,[1]ana!$B10=R$4),"ok","nok")</f>
        <v>nok</v>
      </c>
      <c r="S13" s="84" t="str">
        <f>IF(AND($B13=[1]ana!$A10,[1]ana!$B10=S$4),"ok","nok")</f>
        <v>nok</v>
      </c>
      <c r="T13" s="84" t="str">
        <f>IF(AND($B13=[1]ana!$A10,[1]ana!$B10=T$4),"ok","nok")</f>
        <v>nok</v>
      </c>
      <c r="U13" s="84" t="str">
        <f>IF(AND($B13=[1]ana!$A10,[1]ana!$B10=U$4),"ok","nok")</f>
        <v>nok</v>
      </c>
      <c r="V13" s="84" t="str">
        <f>IF(AND($B13=[1]ana!$A10,[1]ana!$B10=V$4),"ok","nok")</f>
        <v>nok</v>
      </c>
      <c r="W13" s="84" t="str">
        <f>IF(AND($B13=[1]ana!$A10,[1]ana!$B10=W$4),"ok","nok")</f>
        <v>nok</v>
      </c>
      <c r="X13" s="84" t="str">
        <f>IF(AND($B13=[1]ana!$A10,[1]ana!$B10=X$4),"ok","nok")</f>
        <v>nok</v>
      </c>
      <c r="Y13" s="85" t="s">
        <v>33</v>
      </c>
      <c r="Z13" s="86"/>
      <c r="AA13" s="86"/>
      <c r="AB13" s="87"/>
      <c r="AC13" s="60" t="str">
        <f t="shared" si="1"/>
        <v>Aprovação do Cliente</v>
      </c>
      <c r="AD13" s="60"/>
      <c r="AE13" s="60"/>
      <c r="AF13" s="60"/>
      <c r="AG13" s="61">
        <f t="shared" si="2"/>
        <v>0</v>
      </c>
      <c r="AH13" s="61" t="str">
        <f t="shared" si="3"/>
        <v/>
      </c>
      <c r="AI13" s="61">
        <f t="shared" si="4"/>
        <v>0</v>
      </c>
      <c r="AJ13" s="61" t="str">
        <f t="shared" si="5"/>
        <v/>
      </c>
      <c r="AK13" s="61">
        <f t="shared" si="6"/>
        <v>1</v>
      </c>
      <c r="AL13" s="61" t="str">
        <f t="shared" si="7"/>
        <v/>
      </c>
      <c r="AM13" s="61">
        <f t="shared" si="8"/>
        <v>0</v>
      </c>
      <c r="AN13" s="61" t="str">
        <f t="shared" si="9"/>
        <v/>
      </c>
      <c r="AO13" s="61">
        <f t="shared" si="10"/>
        <v>0</v>
      </c>
      <c r="AP13" s="61" t="str">
        <f t="shared" si="11"/>
        <v/>
      </c>
      <c r="AQ13" s="59"/>
      <c r="AR13" s="59"/>
      <c r="AS13" s="59"/>
      <c r="AT13" s="59"/>
      <c r="AU13" s="59"/>
      <c r="AV13" s="100" t="s">
        <v>3</v>
      </c>
      <c r="AW13" s="100"/>
      <c r="AX13" s="100"/>
      <c r="AY13" s="62">
        <f>SUM(COUNTIF(H:L,"OK"))</f>
        <v>35</v>
      </c>
      <c r="AZ13" s="59"/>
      <c r="BA13" s="100" t="s">
        <v>3</v>
      </c>
      <c r="BB13" s="100"/>
      <c r="BC13" s="100"/>
      <c r="BD13" s="62">
        <f>SUM(COUNTIF(M:Q,"OK"))</f>
        <v>34</v>
      </c>
      <c r="BE13" s="59"/>
      <c r="BF13" s="100" t="s">
        <v>3</v>
      </c>
      <c r="BG13" s="100"/>
      <c r="BH13" s="100"/>
      <c r="BI13" s="62">
        <f>SUM(COUNTIF(R:V,"OK"))</f>
        <v>20</v>
      </c>
      <c r="BJ13" s="59"/>
      <c r="BK13" s="100" t="s">
        <v>3</v>
      </c>
      <c r="BL13" s="100"/>
      <c r="BM13" s="100"/>
      <c r="BN13" s="62">
        <f>SUM(COUNTIF(W:X,"OK"))</f>
        <v>12</v>
      </c>
      <c r="BR13" s="62">
        <f>SUM(COUNTIF(Y:AB,"ENTREGUE"))</f>
        <v>26</v>
      </c>
      <c r="BS13" t="s">
        <v>2</v>
      </c>
      <c r="BT13"/>
      <c r="BU13"/>
      <c r="BV13"/>
      <c r="CG13"/>
      <c r="DA13"/>
      <c r="DB13"/>
      <c r="DC13"/>
      <c r="DD13"/>
      <c r="DE13"/>
    </row>
    <row r="14" spans="1:109" ht="30" customHeight="1" x14ac:dyDescent="0.35">
      <c r="A14" s="26" t="str">
        <f t="shared" si="12"/>
        <v>PT070 - ESTUDO DAS MÁQUINAS DE PÁTIO - PROJETO CAMINHO DE ROLAMENTO DA EM-6219 (Brucutu)
ETAPA DE ESCRITÓRIO - ETAPA 2
ANÁLISE DE 2º NÍVEL</v>
      </c>
      <c r="B14" s="53" t="s">
        <v>44</v>
      </c>
      <c r="C14" s="84" t="str">
        <f>IF(AND($B14=[1]ana!$A11,[1]ana!$B11=C$4),"ok","nok")</f>
        <v>nok</v>
      </c>
      <c r="D14" s="84" t="str">
        <f>IF(AND($B14=[1]ana!$A11,[1]ana!$B11=D$4),"ok","nok")</f>
        <v>nok</v>
      </c>
      <c r="E14" s="84" t="str">
        <f>IF(AND($B14=[1]ana!$A11,[1]ana!$B11=E$4),"ok","nok")</f>
        <v>nok</v>
      </c>
      <c r="F14" s="84" t="str">
        <f>IF(AND($B14=[1]ana!$A11,[1]ana!$B11=F$4),"ok","nok")</f>
        <v>nok</v>
      </c>
      <c r="G14" s="84" t="str">
        <f>IF(AND($B14=[1]ana!$A11,[1]ana!$B11=G$4),"ok","nok")</f>
        <v>nok</v>
      </c>
      <c r="H14" s="84" t="str">
        <f>IF(AND($B14=[1]ana!$A11,[1]ana!$B11=H$4),"ok","nok")</f>
        <v>nok</v>
      </c>
      <c r="I14" s="84" t="str">
        <f>IF(AND($B14=[1]ana!$A11,[1]ana!$B11=I$4),"ok","nok")</f>
        <v>nok</v>
      </c>
      <c r="J14" s="84" t="str">
        <f>IF(AND($B14=[1]ana!$A11,[1]ana!$B11=J$4),"ok","nok")</f>
        <v>nok</v>
      </c>
      <c r="K14" s="84" t="str">
        <f>IF(AND($B14=[1]ana!$A11,[1]ana!$B11=K$4),"ok","nok")</f>
        <v>nok</v>
      </c>
      <c r="L14" s="84" t="str">
        <f>IF(AND($B14=[1]ana!$A11,[1]ana!$B11=L$4),"ok","nok")</f>
        <v>nok</v>
      </c>
      <c r="M14" s="84" t="str">
        <f>IF(AND($B14=[1]ana!$A11,[1]ana!$B11=M$4),"ok","nok")</f>
        <v>nok</v>
      </c>
      <c r="N14" s="84" t="str">
        <f>IF(AND($B14=[1]ana!$A11,[1]ana!$B11=N$4),"ok","nok")</f>
        <v>nok</v>
      </c>
      <c r="O14" s="84" t="str">
        <f>IF(AND($B14=[1]ana!$A11,[1]ana!$B11=O$4),"ok","nok")</f>
        <v>nok</v>
      </c>
      <c r="P14" s="84" t="str">
        <f>IF(AND($B14=[1]ana!$A11,[1]ana!$B11=P$4),"ok","nok")</f>
        <v>nok</v>
      </c>
      <c r="Q14" s="84" t="str">
        <f>IF(AND($B14=[1]ana!$A11,[1]ana!$B11=Q$4),"ok","nok")</f>
        <v>ok</v>
      </c>
      <c r="R14" s="84" t="str">
        <f>IF(AND($B14=[1]ana!$A11,[1]ana!$B11=R$4),"ok","nok")</f>
        <v>nok</v>
      </c>
      <c r="S14" s="84" t="str">
        <f>IF(AND($B14=[1]ana!$A11,[1]ana!$B11=S$4),"ok","nok")</f>
        <v>nok</v>
      </c>
      <c r="T14" s="84" t="str">
        <f>IF(AND($B14=[1]ana!$A11,[1]ana!$B11=T$4),"ok","nok")</f>
        <v>nok</v>
      </c>
      <c r="U14" s="84" t="str">
        <f>IF(AND($B14=[1]ana!$A11,[1]ana!$B11=U$4),"ok","nok")</f>
        <v>nok</v>
      </c>
      <c r="V14" s="84" t="str">
        <f>IF(AND($B14=[1]ana!$A11,[1]ana!$B11=V$4),"ok","nok")</f>
        <v>nok</v>
      </c>
      <c r="W14" s="84" t="str">
        <f>IF(AND($B14=[1]ana!$A11,[1]ana!$B11=W$4),"ok","nok")</f>
        <v>nok</v>
      </c>
      <c r="X14" s="84" t="str">
        <f>IF(AND($B14=[1]ana!$A11,[1]ana!$B11=X$4),"ok","nok")</f>
        <v>nok</v>
      </c>
      <c r="Y14" s="85" t="s">
        <v>34</v>
      </c>
      <c r="Z14" s="86"/>
      <c r="AA14" s="86"/>
      <c r="AB14" s="87"/>
      <c r="AC14" s="60" t="str">
        <f t="shared" si="1"/>
        <v/>
      </c>
      <c r="AD14" s="60"/>
      <c r="AE14" s="60"/>
      <c r="AF14" s="60"/>
      <c r="AG14" s="61">
        <f t="shared" si="2"/>
        <v>0</v>
      </c>
      <c r="AH14" s="61" t="str">
        <f t="shared" si="3"/>
        <v/>
      </c>
      <c r="AI14" s="61">
        <f t="shared" si="4"/>
        <v>0</v>
      </c>
      <c r="AJ14" s="61" t="str">
        <f t="shared" si="5"/>
        <v/>
      </c>
      <c r="AK14" s="61">
        <f t="shared" si="6"/>
        <v>1</v>
      </c>
      <c r="AL14" s="61" t="str">
        <f t="shared" si="7"/>
        <v/>
      </c>
      <c r="AM14" s="61">
        <f t="shared" si="8"/>
        <v>0</v>
      </c>
      <c r="AN14" s="61" t="str">
        <f t="shared" si="9"/>
        <v/>
      </c>
      <c r="AO14" s="61">
        <f t="shared" si="10"/>
        <v>0</v>
      </c>
      <c r="AP14" s="61" t="str">
        <f t="shared" si="11"/>
        <v/>
      </c>
      <c r="AQ14" s="59"/>
      <c r="AR14" s="59"/>
      <c r="AS14" s="59"/>
      <c r="AT14" s="59"/>
      <c r="AU14" s="59"/>
      <c r="AV14" s="100" t="s">
        <v>4</v>
      </c>
      <c r="AW14" s="100"/>
      <c r="AX14" s="100"/>
      <c r="AY14" s="63">
        <f>IF(AY13=0,0,AY12/AY13)</f>
        <v>0.22857142857142856</v>
      </c>
      <c r="AZ14" s="59"/>
      <c r="BA14" s="100" t="s">
        <v>4</v>
      </c>
      <c r="BB14" s="100"/>
      <c r="BC14" s="100"/>
      <c r="BD14" s="63">
        <f>IF(BD13=0,0,BD12/BD13)</f>
        <v>5.8823529411764705E-2</v>
      </c>
      <c r="BE14" s="59"/>
      <c r="BF14" s="100" t="s">
        <v>4</v>
      </c>
      <c r="BG14" s="100"/>
      <c r="BH14" s="100"/>
      <c r="BI14" s="63">
        <f>IF(BI13=0,0,BI12/BI13)</f>
        <v>0</v>
      </c>
      <c r="BJ14" s="59"/>
      <c r="BK14" s="100" t="s">
        <v>4</v>
      </c>
      <c r="BL14" s="100"/>
      <c r="BM14" s="100"/>
      <c r="BN14" s="63">
        <f>IF(BN13=0,0,BN12/BN13)</f>
        <v>0</v>
      </c>
      <c r="BR14" s="62">
        <f>SUM(COUNTIF(Y:AB,"EFPRAZO"))</f>
        <v>11</v>
      </c>
      <c r="BS14" t="s">
        <v>35</v>
      </c>
    </row>
    <row r="15" spans="1:109" ht="30" customHeight="1" x14ac:dyDescent="0.35">
      <c r="A15" s="26" t="str">
        <f t="shared" si="12"/>
        <v>PT070 - ESTUDO DAS MÁQUINAS DE PÁTIO - PROJETO CAMINHO DE ROLAMENTO DA EM-6219 (Brucutu)
ETAPA DE ESCRITÓRIO - ETAPA 2
ANÁLISE DE 2º NÍVEL</v>
      </c>
      <c r="B15" s="53" t="s">
        <v>45</v>
      </c>
      <c r="C15" s="84" t="str">
        <f>IF(AND($B15=[1]ana!$A12,[1]ana!$B12=C$4),"ok","nok")</f>
        <v>nok</v>
      </c>
      <c r="D15" s="84" t="str">
        <f>IF(AND($B15=[1]ana!$A12,[1]ana!$B12=D$4),"ok","nok")</f>
        <v>nok</v>
      </c>
      <c r="E15" s="84" t="str">
        <f>IF(AND($B15=[1]ana!$A12,[1]ana!$B12=E$4),"ok","nok")</f>
        <v>nok</v>
      </c>
      <c r="F15" s="84" t="str">
        <f>IF(AND($B15=[1]ana!$A12,[1]ana!$B12=F$4),"ok","nok")</f>
        <v>nok</v>
      </c>
      <c r="G15" s="84" t="str">
        <f>IF(AND($B15=[1]ana!$A12,[1]ana!$B12=G$4),"ok","nok")</f>
        <v>nok</v>
      </c>
      <c r="H15" s="84" t="str">
        <f>IF(AND($B15=[1]ana!$A12,[1]ana!$B12=H$4),"ok","nok")</f>
        <v>nok</v>
      </c>
      <c r="I15" s="84" t="str">
        <f>IF(AND($B15=[1]ana!$A12,[1]ana!$B12=I$4),"ok","nok")</f>
        <v>nok</v>
      </c>
      <c r="J15" s="84" t="str">
        <f>IF(AND($B15=[1]ana!$A12,[1]ana!$B12=J$4),"ok","nok")</f>
        <v>nok</v>
      </c>
      <c r="K15" s="84" t="str">
        <f>IF(AND($B15=[1]ana!$A12,[1]ana!$B12=K$4),"ok","nok")</f>
        <v>nok</v>
      </c>
      <c r="L15" s="84" t="str">
        <f>IF(AND($B15=[1]ana!$A12,[1]ana!$B12=L$4),"ok","nok")</f>
        <v>nok</v>
      </c>
      <c r="M15" s="84" t="str">
        <f>IF(AND($B15=[1]ana!$A12,[1]ana!$B12=M$4),"ok","nok")</f>
        <v>nok</v>
      </c>
      <c r="N15" s="84" t="str">
        <f>IF(AND($B15=[1]ana!$A12,[1]ana!$B12=N$4),"ok","nok")</f>
        <v>nok</v>
      </c>
      <c r="O15" s="84" t="str">
        <f>IF(AND($B15=[1]ana!$A12,[1]ana!$B12=O$4),"ok","nok")</f>
        <v>nok</v>
      </c>
      <c r="P15" s="84" t="str">
        <f>IF(AND($B15=[1]ana!$A12,[1]ana!$B12=P$4),"ok","nok")</f>
        <v>nok</v>
      </c>
      <c r="Q15" s="84" t="str">
        <f>IF(AND($B15=[1]ana!$A12,[1]ana!$B12=Q$4),"ok","nok")</f>
        <v>ok</v>
      </c>
      <c r="R15" s="84" t="str">
        <f>IF(AND($B15=[1]ana!$A12,[1]ana!$B12=R$4),"ok","nok")</f>
        <v>nok</v>
      </c>
      <c r="S15" s="84" t="str">
        <f>IF(AND($B15=[1]ana!$A12,[1]ana!$B12=S$4),"ok","nok")</f>
        <v>nok</v>
      </c>
      <c r="T15" s="84" t="str">
        <f>IF(AND($B15=[1]ana!$A12,[1]ana!$B12=T$4),"ok","nok")</f>
        <v>nok</v>
      </c>
      <c r="U15" s="84" t="str">
        <f>IF(AND($B15=[1]ana!$A12,[1]ana!$B12=U$4),"ok","nok")</f>
        <v>nok</v>
      </c>
      <c r="V15" s="84" t="str">
        <f>IF(AND($B15=[1]ana!$A12,[1]ana!$B12=V$4),"ok","nok")</f>
        <v>nok</v>
      </c>
      <c r="W15" s="84" t="str">
        <f>IF(AND($B15=[1]ana!$A12,[1]ana!$B12=W$4),"ok","nok")</f>
        <v>nok</v>
      </c>
      <c r="X15" s="84" t="str">
        <f>IF(AND($B15=[1]ana!$A12,[1]ana!$B12=X$4),"ok","nok")</f>
        <v>nok</v>
      </c>
      <c r="Y15" s="85" t="s">
        <v>34</v>
      </c>
      <c r="Z15" s="86"/>
      <c r="AA15" s="86"/>
      <c r="AB15" s="87"/>
      <c r="AC15" s="60" t="str">
        <f t="shared" si="1"/>
        <v/>
      </c>
      <c r="AD15" s="60"/>
      <c r="AE15" s="60"/>
      <c r="AF15" s="60"/>
      <c r="AG15" s="61">
        <f t="shared" si="2"/>
        <v>0</v>
      </c>
      <c r="AH15" s="61" t="str">
        <f t="shared" si="3"/>
        <v/>
      </c>
      <c r="AI15" s="61">
        <f t="shared" si="4"/>
        <v>0</v>
      </c>
      <c r="AJ15" s="61" t="str">
        <f t="shared" si="5"/>
        <v/>
      </c>
      <c r="AK15" s="61">
        <f t="shared" si="6"/>
        <v>1</v>
      </c>
      <c r="AL15" s="61" t="str">
        <f t="shared" si="7"/>
        <v/>
      </c>
      <c r="AM15" s="61">
        <f t="shared" si="8"/>
        <v>0</v>
      </c>
      <c r="AN15" s="61" t="str">
        <f t="shared" si="9"/>
        <v/>
      </c>
      <c r="AO15" s="61">
        <f t="shared" si="10"/>
        <v>0</v>
      </c>
      <c r="AP15" s="61" t="str">
        <f t="shared" si="11"/>
        <v/>
      </c>
    </row>
    <row r="16" spans="1:109" ht="30" customHeight="1" x14ac:dyDescent="0.35">
      <c r="B16" s="54" t="s">
        <v>46</v>
      </c>
      <c r="C16" s="54"/>
      <c r="D16" s="54"/>
      <c r="E16" s="54"/>
      <c r="F16" s="54"/>
      <c r="G16" s="54"/>
      <c r="H16" s="54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54"/>
      <c r="T16" s="54"/>
      <c r="U16" s="54"/>
      <c r="V16" s="54"/>
      <c r="W16" s="54"/>
      <c r="X16" s="54"/>
      <c r="Y16" s="91"/>
      <c r="Z16" s="92"/>
      <c r="AA16" s="92"/>
      <c r="AB16" s="93"/>
      <c r="AC16" s="60" t="str">
        <f t="shared" si="1"/>
        <v/>
      </c>
      <c r="AD16" s="60"/>
      <c r="AE16" s="60"/>
      <c r="AF16" s="60"/>
      <c r="AG16" s="61">
        <f t="shared" si="2"/>
        <v>0</v>
      </c>
      <c r="AH16" s="61" t="str">
        <f t="shared" si="3"/>
        <v/>
      </c>
      <c r="AI16" s="61">
        <f t="shared" si="4"/>
        <v>0</v>
      </c>
      <c r="AJ16" s="61" t="str">
        <f t="shared" si="5"/>
        <v/>
      </c>
      <c r="AK16" s="61">
        <f t="shared" si="6"/>
        <v>0</v>
      </c>
      <c r="AL16" s="61" t="str">
        <f t="shared" si="7"/>
        <v/>
      </c>
      <c r="AM16" s="61">
        <f t="shared" si="8"/>
        <v>0</v>
      </c>
      <c r="AN16" s="61" t="str">
        <f t="shared" si="9"/>
        <v/>
      </c>
      <c r="AO16" s="61">
        <f t="shared" si="10"/>
        <v>0</v>
      </c>
      <c r="AP16" s="61" t="str">
        <f t="shared" si="11"/>
        <v/>
      </c>
    </row>
    <row r="17" spans="1:109" ht="30" customHeight="1" x14ac:dyDescent="0.35">
      <c r="B17" s="52" t="s">
        <v>47</v>
      </c>
      <c r="C17" s="52"/>
      <c r="D17" s="52"/>
      <c r="E17" s="52"/>
      <c r="F17" s="52"/>
      <c r="G17" s="52"/>
      <c r="H17" s="52"/>
      <c r="I17" s="52"/>
      <c r="J17" s="52"/>
      <c r="K17" s="52"/>
      <c r="L17" s="52"/>
      <c r="M17" s="52"/>
      <c r="N17" s="52"/>
      <c r="O17" s="52"/>
      <c r="P17" s="52"/>
      <c r="Q17" s="52"/>
      <c r="R17" s="52"/>
      <c r="S17" s="52"/>
      <c r="T17" s="52"/>
      <c r="U17" s="52"/>
      <c r="V17" s="52"/>
      <c r="W17" s="52"/>
      <c r="X17" s="52"/>
      <c r="Y17" s="88"/>
      <c r="Z17" s="89"/>
      <c r="AA17" s="89"/>
      <c r="AB17" s="90"/>
      <c r="AC17" s="60" t="str">
        <f t="shared" si="1"/>
        <v/>
      </c>
      <c r="AD17" s="60"/>
      <c r="AE17" s="60"/>
      <c r="AF17" s="60"/>
      <c r="AG17" s="61">
        <f t="shared" si="2"/>
        <v>0</v>
      </c>
      <c r="AH17" s="61" t="str">
        <f t="shared" si="3"/>
        <v/>
      </c>
      <c r="AI17" s="61">
        <f t="shared" si="4"/>
        <v>0</v>
      </c>
      <c r="AJ17" s="61" t="str">
        <f t="shared" si="5"/>
        <v/>
      </c>
      <c r="AK17" s="61">
        <f t="shared" si="6"/>
        <v>0</v>
      </c>
      <c r="AL17" s="61" t="str">
        <f t="shared" si="7"/>
        <v/>
      </c>
      <c r="AM17" s="61">
        <f t="shared" si="8"/>
        <v>0</v>
      </c>
      <c r="AN17" s="61" t="str">
        <f t="shared" si="9"/>
        <v/>
      </c>
      <c r="AO17" s="61">
        <f t="shared" si="10"/>
        <v>0</v>
      </c>
      <c r="AP17" s="61" t="str">
        <f t="shared" si="11"/>
        <v/>
      </c>
    </row>
    <row r="18" spans="1:109" ht="30" customHeight="1" x14ac:dyDescent="0.35">
      <c r="A18" s="26" t="str">
        <f>CONCATENATE($B$7,"
",$B$8,"
",$B$16)</f>
        <v>PT070 - ESTUDO DAS MÁQUINAS DE PÁTIO - PROJETO CAMINHO DE ROLAMENTO DA EM-6219 (Brucutu)
ETAPA DE ESCRITÓRIO - ETAPA 2
DESENHOS DETALHADOS</v>
      </c>
      <c r="B18" s="53" t="s">
        <v>44</v>
      </c>
      <c r="C18" s="84" t="str">
        <f>IF(AND($B18=[1]ana!$A15,[1]ana!$B15=C$4),"ok","nok")</f>
        <v>nok</v>
      </c>
      <c r="D18" s="84" t="str">
        <f>IF(AND($B18=[1]ana!$A15,[1]ana!$B15=D$4),"ok","nok")</f>
        <v>nok</v>
      </c>
      <c r="E18" s="84" t="str">
        <f>IF(AND($B18=[1]ana!$A15,[1]ana!$B15=E$4),"ok","nok")</f>
        <v>nok</v>
      </c>
      <c r="F18" s="84" t="str">
        <f>IF(AND($B18=[1]ana!$A15,[1]ana!$B15=F$4),"ok","nok")</f>
        <v>nok</v>
      </c>
      <c r="G18" s="84" t="str">
        <f>IF(AND($B18=[1]ana!$A15,[1]ana!$B15=G$4),"ok","nok")</f>
        <v>ok</v>
      </c>
      <c r="H18" s="84" t="str">
        <f>IF(AND($B18=[1]ana!$A15,[1]ana!$B15=H$4),"ok","nok")</f>
        <v>nok</v>
      </c>
      <c r="I18" s="84" t="str">
        <f>IF(AND($B18=[1]ana!$A15,[1]ana!$B15=I$4),"ok","nok")</f>
        <v>nok</v>
      </c>
      <c r="J18" s="84" t="str">
        <f>IF(AND($B18=[1]ana!$A15,[1]ana!$B15=J$4),"ok","nok")</f>
        <v>nok</v>
      </c>
      <c r="K18" s="84" t="str">
        <f>IF(AND($B18=[1]ana!$A15,[1]ana!$B15=K$4),"ok","nok")</f>
        <v>nok</v>
      </c>
      <c r="L18" s="84" t="str">
        <f>IF(AND($B18=[1]ana!$A15,[1]ana!$B15=L$4),"ok","nok")</f>
        <v>nok</v>
      </c>
      <c r="M18" s="84" t="str">
        <f>IF(AND($B18=[1]ana!$A15,[1]ana!$B15=M$4),"ok","nok")</f>
        <v>nok</v>
      </c>
      <c r="N18" s="84" t="str">
        <f>IF(AND($B18=[1]ana!$A15,[1]ana!$B15=N$4),"ok","nok")</f>
        <v>nok</v>
      </c>
      <c r="O18" s="84" t="str">
        <f>IF(AND($B18=[1]ana!$A15,[1]ana!$B15=O$4),"ok","nok")</f>
        <v>nok</v>
      </c>
      <c r="P18" s="84" t="str">
        <f>IF(AND($B18=[1]ana!$A15,[1]ana!$B15=P$4),"ok","nok")</f>
        <v>nok</v>
      </c>
      <c r="Q18" s="84" t="str">
        <f>IF(AND($B18=[1]ana!$A15,[1]ana!$B15=Q$4),"ok","nok")</f>
        <v>nok</v>
      </c>
      <c r="R18" s="84" t="str">
        <f>IF(AND($B18=[1]ana!$A15,[1]ana!$B15=R$4),"ok","nok")</f>
        <v>nok</v>
      </c>
      <c r="S18" s="84" t="str">
        <f>IF(AND($B18=[1]ana!$A15,[1]ana!$B15=S$4),"ok","nok")</f>
        <v>nok</v>
      </c>
      <c r="T18" s="84" t="str">
        <f>IF(AND($B18=[1]ana!$A15,[1]ana!$B15=T$4),"ok","nok")</f>
        <v>nok</v>
      </c>
      <c r="U18" s="84" t="str">
        <f>IF(AND($B18=[1]ana!$A15,[1]ana!$B15=U$4),"ok","nok")</f>
        <v>nok</v>
      </c>
      <c r="V18" s="84" t="str">
        <f>IF(AND($B18=[1]ana!$A15,[1]ana!$B15=V$4),"ok","nok")</f>
        <v>nok</v>
      </c>
      <c r="W18" s="84" t="str">
        <f>IF(AND($B18=[1]ana!$A15,[1]ana!$B15=W$4),"ok","nok")</f>
        <v>nok</v>
      </c>
      <c r="X18" s="84" t="str">
        <f>IF(AND($B18=[1]ana!$A15,[1]ana!$B15=X$4),"ok","nok")</f>
        <v>nok</v>
      </c>
      <c r="Y18" s="85" t="s">
        <v>33</v>
      </c>
      <c r="Z18" s="86"/>
      <c r="AA18" s="86"/>
      <c r="AB18" s="87"/>
      <c r="AC18" s="60" t="str">
        <f t="shared" si="1"/>
        <v>Certificação do documento - Vibracon</v>
      </c>
      <c r="AD18" s="60"/>
      <c r="AE18" s="60"/>
      <c r="AF18" s="60"/>
      <c r="AG18" s="61">
        <f t="shared" si="2"/>
        <v>1</v>
      </c>
      <c r="AH18" s="61" t="str">
        <f t="shared" si="3"/>
        <v/>
      </c>
      <c r="AI18" s="61">
        <f t="shared" si="4"/>
        <v>0</v>
      </c>
      <c r="AJ18" s="61" t="str">
        <f t="shared" si="5"/>
        <v/>
      </c>
      <c r="AK18" s="61">
        <f t="shared" si="6"/>
        <v>0</v>
      </c>
      <c r="AL18" s="61" t="str">
        <f t="shared" si="7"/>
        <v/>
      </c>
      <c r="AM18" s="61">
        <f t="shared" si="8"/>
        <v>0</v>
      </c>
      <c r="AN18" s="61" t="str">
        <f t="shared" si="9"/>
        <v/>
      </c>
      <c r="AO18" s="61">
        <f t="shared" si="10"/>
        <v>0</v>
      </c>
      <c r="AP18" s="61" t="str">
        <f t="shared" si="11"/>
        <v/>
      </c>
    </row>
    <row r="19" spans="1:109" ht="30" customHeight="1" x14ac:dyDescent="0.35">
      <c r="A19" s="26" t="str">
        <f>CONCATENATE($B$7,"
",$B$8,"
",$B$16)</f>
        <v>PT070 - ESTUDO DAS MÁQUINAS DE PÁTIO - PROJETO CAMINHO DE ROLAMENTO DA EM-6219 (Brucutu)
ETAPA DE ESCRITÓRIO - ETAPA 2
DESENHOS DETALHADOS</v>
      </c>
      <c r="B19" s="53" t="s">
        <v>45</v>
      </c>
      <c r="C19" s="84" t="str">
        <f>IF(AND($B19=[1]ana!$A16,[1]ana!$B16=C$4),"ok","nok")</f>
        <v>nok</v>
      </c>
      <c r="D19" s="84" t="str">
        <f>IF(AND($B19=[1]ana!$A16,[1]ana!$B16=D$4),"ok","nok")</f>
        <v>nok</v>
      </c>
      <c r="E19" s="84" t="str">
        <f>IF(AND($B19=[1]ana!$A16,[1]ana!$B16=E$4),"ok","nok")</f>
        <v>nok</v>
      </c>
      <c r="F19" s="84" t="str">
        <f>IF(AND($B19=[1]ana!$A16,[1]ana!$B16=F$4),"ok","nok")</f>
        <v>nok</v>
      </c>
      <c r="G19" s="84" t="str">
        <f>IF(AND($B19=[1]ana!$A16,[1]ana!$B16=G$4),"ok","nok")</f>
        <v>ok</v>
      </c>
      <c r="H19" s="84" t="str">
        <f>IF(AND($B19=[1]ana!$A16,[1]ana!$B16=H$4),"ok","nok")</f>
        <v>nok</v>
      </c>
      <c r="I19" s="84" t="str">
        <f>IF(AND($B19=[1]ana!$A16,[1]ana!$B16=I$4),"ok","nok")</f>
        <v>nok</v>
      </c>
      <c r="J19" s="84" t="str">
        <f>IF(AND($B19=[1]ana!$A16,[1]ana!$B16=J$4),"ok","nok")</f>
        <v>nok</v>
      </c>
      <c r="K19" s="84" t="str">
        <f>IF(AND($B19=[1]ana!$A16,[1]ana!$B16=K$4),"ok","nok")</f>
        <v>nok</v>
      </c>
      <c r="L19" s="84" t="str">
        <f>IF(AND($B19=[1]ana!$A16,[1]ana!$B16=L$4),"ok","nok")</f>
        <v>nok</v>
      </c>
      <c r="M19" s="84" t="str">
        <f>IF(AND($B19=[1]ana!$A16,[1]ana!$B16=M$4),"ok","nok")</f>
        <v>nok</v>
      </c>
      <c r="N19" s="84" t="str">
        <f>IF(AND($B19=[1]ana!$A16,[1]ana!$B16=N$4),"ok","nok")</f>
        <v>nok</v>
      </c>
      <c r="O19" s="84" t="str">
        <f>IF(AND($B19=[1]ana!$A16,[1]ana!$B16=O$4),"ok","nok")</f>
        <v>nok</v>
      </c>
      <c r="P19" s="84" t="str">
        <f>IF(AND($B19=[1]ana!$A16,[1]ana!$B16=P$4),"ok","nok")</f>
        <v>nok</v>
      </c>
      <c r="Q19" s="84" t="str">
        <f>IF(AND($B19=[1]ana!$A16,[1]ana!$B16=Q$4),"ok","nok")</f>
        <v>nok</v>
      </c>
      <c r="R19" s="84" t="str">
        <f>IF(AND($B19=[1]ana!$A16,[1]ana!$B16=R$4),"ok","nok")</f>
        <v>nok</v>
      </c>
      <c r="S19" s="84" t="str">
        <f>IF(AND($B19=[1]ana!$A16,[1]ana!$B16=S$4),"ok","nok")</f>
        <v>nok</v>
      </c>
      <c r="T19" s="84" t="str">
        <f>IF(AND($B19=[1]ana!$A16,[1]ana!$B16=T$4),"ok","nok")</f>
        <v>nok</v>
      </c>
      <c r="U19" s="84" t="str">
        <f>IF(AND($B19=[1]ana!$A16,[1]ana!$B16=U$4),"ok","nok")</f>
        <v>nok</v>
      </c>
      <c r="V19" s="84" t="str">
        <f>IF(AND($B19=[1]ana!$A16,[1]ana!$B16=V$4),"ok","nok")</f>
        <v>nok</v>
      </c>
      <c r="W19" s="84" t="str">
        <f>IF(AND($B19=[1]ana!$A16,[1]ana!$B16=W$4),"ok","nok")</f>
        <v>nok</v>
      </c>
      <c r="X19" s="84" t="str">
        <f>IF(AND($B19=[1]ana!$A16,[1]ana!$B16=X$4),"ok","nok")</f>
        <v>nok</v>
      </c>
      <c r="Y19" s="85" t="s">
        <v>33</v>
      </c>
      <c r="Z19" s="86"/>
      <c r="AA19" s="86"/>
      <c r="AB19" s="87"/>
      <c r="AC19" s="60" t="str">
        <f t="shared" si="1"/>
        <v>MARCO - Envio do documento Certificado (Rev_0)</v>
      </c>
      <c r="AD19" s="60"/>
      <c r="AE19" s="60"/>
      <c r="AF19" s="60"/>
      <c r="AG19" s="61">
        <f t="shared" si="2"/>
        <v>1</v>
      </c>
      <c r="AH19" s="61" t="str">
        <f t="shared" si="3"/>
        <v/>
      </c>
      <c r="AI19" s="61">
        <f t="shared" si="4"/>
        <v>0</v>
      </c>
      <c r="AJ19" s="61" t="str">
        <f t="shared" si="5"/>
        <v/>
      </c>
      <c r="AK19" s="61">
        <f t="shared" si="6"/>
        <v>0</v>
      </c>
      <c r="AL19" s="61" t="str">
        <f t="shared" si="7"/>
        <v/>
      </c>
      <c r="AM19" s="61">
        <f t="shared" si="8"/>
        <v>0</v>
      </c>
      <c r="AN19" s="61" t="str">
        <f t="shared" si="9"/>
        <v/>
      </c>
      <c r="AO19" s="61">
        <f t="shared" si="10"/>
        <v>0</v>
      </c>
      <c r="AP19" s="61" t="str">
        <f t="shared" si="11"/>
        <v/>
      </c>
    </row>
    <row r="20" spans="1:109" ht="30" customHeight="1" x14ac:dyDescent="0.35">
      <c r="B20" s="50" t="s">
        <v>48</v>
      </c>
      <c r="C20" s="50"/>
      <c r="D20" s="50"/>
      <c r="E20" s="50"/>
      <c r="F20" s="50"/>
      <c r="G20" s="50"/>
      <c r="H20" s="50"/>
      <c r="I20" s="50"/>
      <c r="J20" s="50"/>
      <c r="K20" s="50"/>
      <c r="L20" s="50"/>
      <c r="M20" s="50"/>
      <c r="N20" s="50"/>
      <c r="O20" s="50"/>
      <c r="P20" s="50"/>
      <c r="Q20" s="50"/>
      <c r="R20" s="50"/>
      <c r="S20" s="50"/>
      <c r="T20" s="50"/>
      <c r="U20" s="50"/>
      <c r="V20" s="50"/>
      <c r="W20" s="50"/>
      <c r="X20" s="50"/>
      <c r="Y20" s="97"/>
      <c r="Z20" s="98"/>
      <c r="AA20" s="98"/>
      <c r="AB20" s="99"/>
      <c r="AC20" s="60" t="str">
        <f t="shared" si="1"/>
        <v/>
      </c>
      <c r="AD20" s="60"/>
      <c r="AE20" s="60"/>
      <c r="AF20" s="60"/>
      <c r="AG20" s="61">
        <f t="shared" si="2"/>
        <v>0</v>
      </c>
      <c r="AH20" s="61" t="str">
        <f t="shared" si="3"/>
        <v/>
      </c>
      <c r="AI20" s="61">
        <f t="shared" si="4"/>
        <v>0</v>
      </c>
      <c r="AJ20" s="61" t="str">
        <f t="shared" si="5"/>
        <v/>
      </c>
      <c r="AK20" s="61">
        <f t="shared" si="6"/>
        <v>0</v>
      </c>
      <c r="AL20" s="61" t="str">
        <f t="shared" si="7"/>
        <v/>
      </c>
      <c r="AM20" s="61">
        <f t="shared" si="8"/>
        <v>0</v>
      </c>
      <c r="AN20" s="61" t="str">
        <f t="shared" si="9"/>
        <v/>
      </c>
      <c r="AO20" s="61">
        <f t="shared" si="10"/>
        <v>0</v>
      </c>
      <c r="AP20" s="61" t="str">
        <f t="shared" si="11"/>
        <v/>
      </c>
    </row>
    <row r="21" spans="1:109" ht="30" customHeight="1" x14ac:dyDescent="0.35">
      <c r="B21" s="54" t="s">
        <v>41</v>
      </c>
      <c r="C21" s="54"/>
      <c r="D21" s="54"/>
      <c r="E21" s="54"/>
      <c r="F21" s="54"/>
      <c r="G21" s="54"/>
      <c r="H21" s="54"/>
      <c r="I21" s="54"/>
      <c r="J21" s="54"/>
      <c r="K21" s="54"/>
      <c r="L21" s="54"/>
      <c r="M21" s="54"/>
      <c r="N21" s="54"/>
      <c r="O21" s="54"/>
      <c r="P21" s="54"/>
      <c r="Q21" s="54"/>
      <c r="R21" s="54"/>
      <c r="S21" s="54"/>
      <c r="T21" s="54"/>
      <c r="U21" s="54"/>
      <c r="V21" s="54"/>
      <c r="W21" s="54"/>
      <c r="X21" s="54"/>
      <c r="Y21" s="91"/>
      <c r="Z21" s="92"/>
      <c r="AA21" s="92"/>
      <c r="AB21" s="93"/>
      <c r="AC21" s="60" t="str">
        <f t="shared" si="1"/>
        <v/>
      </c>
      <c r="AD21" s="60"/>
      <c r="AE21" s="60"/>
      <c r="AF21" s="60"/>
      <c r="AG21" s="61">
        <f t="shared" si="2"/>
        <v>0</v>
      </c>
      <c r="AH21" s="61" t="str">
        <f t="shared" si="3"/>
        <v/>
      </c>
      <c r="AI21" s="61">
        <f t="shared" si="4"/>
        <v>0</v>
      </c>
      <c r="AJ21" s="61" t="str">
        <f t="shared" si="5"/>
        <v/>
      </c>
      <c r="AK21" s="61">
        <f t="shared" si="6"/>
        <v>0</v>
      </c>
      <c r="AL21" s="61" t="str">
        <f t="shared" si="7"/>
        <v/>
      </c>
      <c r="AM21" s="61">
        <f t="shared" si="8"/>
        <v>0</v>
      </c>
      <c r="AN21" s="61" t="str">
        <f t="shared" si="9"/>
        <v/>
      </c>
      <c r="AO21" s="61">
        <f t="shared" si="10"/>
        <v>0</v>
      </c>
      <c r="AP21" s="61" t="str">
        <f t="shared" si="11"/>
        <v/>
      </c>
      <c r="AV21" s="64"/>
      <c r="AW21" s="64"/>
    </row>
    <row r="22" spans="1:109" ht="30" customHeight="1" x14ac:dyDescent="0.35">
      <c r="B22" s="52" t="s">
        <v>42</v>
      </c>
      <c r="C22" s="52"/>
      <c r="D22" s="52"/>
      <c r="E22" s="52"/>
      <c r="F22" s="52"/>
      <c r="G22" s="52"/>
      <c r="H22" s="52"/>
      <c r="I22" s="52"/>
      <c r="J22" s="52"/>
      <c r="K22" s="52"/>
      <c r="L22" s="52"/>
      <c r="M22" s="52"/>
      <c r="N22" s="52"/>
      <c r="O22" s="52"/>
      <c r="P22" s="52"/>
      <c r="Q22" s="52"/>
      <c r="R22" s="52"/>
      <c r="S22" s="52"/>
      <c r="T22" s="52"/>
      <c r="U22" s="52"/>
      <c r="V22" s="52"/>
      <c r="W22" s="52"/>
      <c r="X22" s="52"/>
      <c r="Y22" s="88"/>
      <c r="Z22" s="89"/>
      <c r="AA22" s="89"/>
      <c r="AB22" s="90"/>
      <c r="AC22" s="60" t="str">
        <f t="shared" si="1"/>
        <v/>
      </c>
      <c r="AD22" s="60"/>
      <c r="AE22" s="60"/>
      <c r="AF22" s="60"/>
      <c r="AG22" s="61">
        <f t="shared" si="2"/>
        <v>0</v>
      </c>
      <c r="AH22" s="61" t="str">
        <f t="shared" si="3"/>
        <v/>
      </c>
      <c r="AI22" s="61">
        <f t="shared" si="4"/>
        <v>0</v>
      </c>
      <c r="AJ22" s="61" t="str">
        <f t="shared" si="5"/>
        <v/>
      </c>
      <c r="AK22" s="61">
        <f t="shared" si="6"/>
        <v>0</v>
      </c>
      <c r="AL22" s="61" t="str">
        <f t="shared" si="7"/>
        <v/>
      </c>
      <c r="AM22" s="61">
        <f t="shared" si="8"/>
        <v>0</v>
      </c>
      <c r="AN22" s="61" t="str">
        <f t="shared" si="9"/>
        <v/>
      </c>
      <c r="AO22" s="61">
        <f t="shared" si="10"/>
        <v>0</v>
      </c>
      <c r="AP22" s="61" t="str">
        <f t="shared" si="11"/>
        <v/>
      </c>
      <c r="AV22" s="64"/>
      <c r="AW22" s="64"/>
    </row>
    <row r="23" spans="1:109" ht="30" customHeight="1" x14ac:dyDescent="0.35">
      <c r="A23" s="26" t="str">
        <f>CONCATENATE($B$7,"
",$B$20,"
",$B$21)</f>
        <v>PT070 - ESTUDO DAS MÁQUINAS DE PÁTIO - PROJETO CAMINHO DE ROLAMENTO DA EM-6219 (Brucutu)
ETAPA DE ESCRITÓRIO - ETAPA 3
ANÁLISE DE 2º NÍVEL</v>
      </c>
      <c r="B23" s="53" t="s">
        <v>44</v>
      </c>
      <c r="C23" s="84" t="str">
        <f>IF(AND($B23=[1]ana!$A20,[1]ana!$B20=C$4),"ok","nok")</f>
        <v>nok</v>
      </c>
      <c r="D23" s="84" t="str">
        <f>IF(AND($B23=[1]ana!$A20,[1]ana!$B20=D$4),"ok","nok")</f>
        <v>nok</v>
      </c>
      <c r="E23" s="84" t="str">
        <f>IF(AND($B23=[1]ana!$A20,[1]ana!$B20=E$4),"ok","nok")</f>
        <v>nok</v>
      </c>
      <c r="F23" s="84" t="str">
        <f>IF(AND($B23=[1]ana!$A20,[1]ana!$B20=F$4),"ok","nok")</f>
        <v>nok</v>
      </c>
      <c r="G23" s="84" t="str">
        <f>IF(AND($B23=[1]ana!$A20,[1]ana!$B20=G$4),"ok","nok")</f>
        <v>ok</v>
      </c>
      <c r="H23" s="84" t="str">
        <f>IF(AND($B23=[1]ana!$A20,[1]ana!$B20=H$4),"ok","nok")</f>
        <v>nok</v>
      </c>
      <c r="I23" s="84" t="str">
        <f>IF(AND($B23=[1]ana!$A20,[1]ana!$B20=I$4),"ok","nok")</f>
        <v>nok</v>
      </c>
      <c r="J23" s="84" t="str">
        <f>IF(AND($B23=[1]ana!$A20,[1]ana!$B20=J$4),"ok","nok")</f>
        <v>nok</v>
      </c>
      <c r="K23" s="84" t="str">
        <f>IF(AND($B23=[1]ana!$A20,[1]ana!$B20=K$4),"ok","nok")</f>
        <v>nok</v>
      </c>
      <c r="L23" s="84" t="str">
        <f>IF(AND($B23=[1]ana!$A20,[1]ana!$B20=L$4),"ok","nok")</f>
        <v>nok</v>
      </c>
      <c r="M23" s="84" t="str">
        <f>IF(AND($B23=[1]ana!$A20,[1]ana!$B20=M$4),"ok","nok")</f>
        <v>nok</v>
      </c>
      <c r="N23" s="84" t="str">
        <f>IF(AND($B23=[1]ana!$A20,[1]ana!$B20=N$4),"ok","nok")</f>
        <v>nok</v>
      </c>
      <c r="O23" s="84" t="str">
        <f>IF(AND($B23=[1]ana!$A20,[1]ana!$B20=O$4),"ok","nok")</f>
        <v>nok</v>
      </c>
      <c r="P23" s="84" t="str">
        <f>IF(AND($B23=[1]ana!$A20,[1]ana!$B20=P$4),"ok","nok")</f>
        <v>nok</v>
      </c>
      <c r="Q23" s="84" t="str">
        <f>IF(AND($B23=[1]ana!$A20,[1]ana!$B20=Q$4),"ok","nok")</f>
        <v>nok</v>
      </c>
      <c r="R23" s="84" t="str">
        <f>IF(AND($B23=[1]ana!$A20,[1]ana!$B20=R$4),"ok","nok")</f>
        <v>nok</v>
      </c>
      <c r="S23" s="84" t="str">
        <f>IF(AND($B23=[1]ana!$A20,[1]ana!$B20=S$4),"ok","nok")</f>
        <v>nok</v>
      </c>
      <c r="T23" s="84" t="str">
        <f>IF(AND($B23=[1]ana!$A20,[1]ana!$B20=T$4),"ok","nok")</f>
        <v>nok</v>
      </c>
      <c r="U23" s="84" t="str">
        <f>IF(AND($B23=[1]ana!$A20,[1]ana!$B20=U$4),"ok","nok")</f>
        <v>nok</v>
      </c>
      <c r="V23" s="84" t="str">
        <f>IF(AND($B23=[1]ana!$A20,[1]ana!$B20=V$4),"ok","nok")</f>
        <v>nok</v>
      </c>
      <c r="W23" s="84" t="str">
        <f>IF(AND($B23=[1]ana!$A20,[1]ana!$B20=W$4),"ok","nok")</f>
        <v>nok</v>
      </c>
      <c r="X23" s="84" t="str">
        <f>IF(AND($B23=[1]ana!$A20,[1]ana!$B20=X$4),"ok","nok")</f>
        <v>nok</v>
      </c>
      <c r="Y23" s="85" t="s">
        <v>33</v>
      </c>
      <c r="Z23" s="86"/>
      <c r="AA23" s="86"/>
      <c r="AB23" s="87"/>
      <c r="AC23" s="60" t="str">
        <f t="shared" si="1"/>
        <v>Certificação do documento - Vibracon</v>
      </c>
      <c r="AD23" s="60"/>
      <c r="AE23" s="60"/>
      <c r="AF23" s="60"/>
      <c r="AG23" s="61">
        <f t="shared" si="2"/>
        <v>1</v>
      </c>
      <c r="AH23" s="61" t="str">
        <f t="shared" si="3"/>
        <v/>
      </c>
      <c r="AI23" s="61">
        <f t="shared" si="4"/>
        <v>0</v>
      </c>
      <c r="AJ23" s="61" t="str">
        <f t="shared" si="5"/>
        <v/>
      </c>
      <c r="AK23" s="61">
        <f t="shared" si="6"/>
        <v>0</v>
      </c>
      <c r="AL23" s="61" t="str">
        <f t="shared" si="7"/>
        <v/>
      </c>
      <c r="AM23" s="61">
        <f t="shared" si="8"/>
        <v>0</v>
      </c>
      <c r="AN23" s="61" t="str">
        <f t="shared" si="9"/>
        <v/>
      </c>
      <c r="AO23" s="61">
        <f t="shared" si="10"/>
        <v>0</v>
      </c>
      <c r="AP23" s="61" t="str">
        <f t="shared" si="11"/>
        <v/>
      </c>
      <c r="AR23" s="82"/>
      <c r="AS23" s="82"/>
      <c r="AT23" s="82"/>
      <c r="AU23" s="83"/>
      <c r="AW23" s="64"/>
    </row>
    <row r="24" spans="1:109" ht="30" customHeight="1" x14ac:dyDescent="0.35">
      <c r="A24" s="26" t="str">
        <f>CONCATENATE($B$7,"
",$B$20,"
",$B$21)</f>
        <v>PT070 - ESTUDO DAS MÁQUINAS DE PÁTIO - PROJETO CAMINHO DE ROLAMENTO DA EM-6219 (Brucutu)
ETAPA DE ESCRITÓRIO - ETAPA 3
ANÁLISE DE 2º NÍVEL</v>
      </c>
      <c r="B24" s="53" t="s">
        <v>45</v>
      </c>
      <c r="C24" s="84" t="str">
        <f>IF(AND($B24=[1]ana!$A21,[1]ana!$B21=C$4),"ok","nok")</f>
        <v>nok</v>
      </c>
      <c r="D24" s="84" t="str">
        <f>IF(AND($B24=[1]ana!$A21,[1]ana!$B21=D$4),"ok","nok")</f>
        <v>nok</v>
      </c>
      <c r="E24" s="84" t="str">
        <f>IF(AND($B24=[1]ana!$A21,[1]ana!$B21=E$4),"ok","nok")</f>
        <v>nok</v>
      </c>
      <c r="F24" s="84" t="str">
        <f>IF(AND($B24=[1]ana!$A21,[1]ana!$B21=F$4),"ok","nok")</f>
        <v>nok</v>
      </c>
      <c r="G24" s="84" t="str">
        <f>IF(AND($B24=[1]ana!$A21,[1]ana!$B21=G$4),"ok","nok")</f>
        <v>ok</v>
      </c>
      <c r="H24" s="84" t="str">
        <f>IF(AND($B24=[1]ana!$A21,[1]ana!$B21=H$4),"ok","nok")</f>
        <v>nok</v>
      </c>
      <c r="I24" s="84" t="str">
        <f>IF(AND($B24=[1]ana!$A21,[1]ana!$B21=I$4),"ok","nok")</f>
        <v>nok</v>
      </c>
      <c r="J24" s="84" t="str">
        <f>IF(AND($B24=[1]ana!$A21,[1]ana!$B21=J$4),"ok","nok")</f>
        <v>nok</v>
      </c>
      <c r="K24" s="84" t="str">
        <f>IF(AND($B24=[1]ana!$A21,[1]ana!$B21=K$4),"ok","nok")</f>
        <v>nok</v>
      </c>
      <c r="L24" s="84" t="str">
        <f>IF(AND($B24=[1]ana!$A21,[1]ana!$B21=L$4),"ok","nok")</f>
        <v>nok</v>
      </c>
      <c r="M24" s="84" t="str">
        <f>IF(AND($B24=[1]ana!$A21,[1]ana!$B21=M$4),"ok","nok")</f>
        <v>nok</v>
      </c>
      <c r="N24" s="84" t="str">
        <f>IF(AND($B24=[1]ana!$A21,[1]ana!$B21=N$4),"ok","nok")</f>
        <v>nok</v>
      </c>
      <c r="O24" s="84" t="str">
        <f>IF(AND($B24=[1]ana!$A21,[1]ana!$B21=O$4),"ok","nok")</f>
        <v>nok</v>
      </c>
      <c r="P24" s="84" t="str">
        <f>IF(AND($B24=[1]ana!$A21,[1]ana!$B21=P$4),"ok","nok")</f>
        <v>nok</v>
      </c>
      <c r="Q24" s="84" t="str">
        <f>IF(AND($B24=[1]ana!$A21,[1]ana!$B21=Q$4),"ok","nok")</f>
        <v>nok</v>
      </c>
      <c r="R24" s="84" t="str">
        <f>IF(AND($B24=[1]ana!$A21,[1]ana!$B21=R$4),"ok","nok")</f>
        <v>nok</v>
      </c>
      <c r="S24" s="84" t="str">
        <f>IF(AND($B24=[1]ana!$A21,[1]ana!$B21=S$4),"ok","nok")</f>
        <v>nok</v>
      </c>
      <c r="T24" s="84" t="str">
        <f>IF(AND($B24=[1]ana!$A21,[1]ana!$B21=T$4),"ok","nok")</f>
        <v>nok</v>
      </c>
      <c r="U24" s="84" t="str">
        <f>IF(AND($B24=[1]ana!$A21,[1]ana!$B21=U$4),"ok","nok")</f>
        <v>nok</v>
      </c>
      <c r="V24" s="84" t="str">
        <f>IF(AND($B24=[1]ana!$A21,[1]ana!$B21=V$4),"ok","nok")</f>
        <v>nok</v>
      </c>
      <c r="W24" s="84" t="str">
        <f>IF(AND($B24=[1]ana!$A21,[1]ana!$B21=W$4),"ok","nok")</f>
        <v>nok</v>
      </c>
      <c r="X24" s="84" t="str">
        <f>IF(AND($B24=[1]ana!$A21,[1]ana!$B21=X$4),"ok","nok")</f>
        <v>nok</v>
      </c>
      <c r="Y24" s="85" t="s">
        <v>33</v>
      </c>
      <c r="Z24" s="86"/>
      <c r="AA24" s="86"/>
      <c r="AB24" s="87"/>
      <c r="AC24" s="60" t="str">
        <f t="shared" si="1"/>
        <v>MARCO - Envio do documento Certificado (Rev_0)</v>
      </c>
      <c r="AD24" s="60"/>
      <c r="AE24" s="60"/>
      <c r="AF24" s="60"/>
      <c r="AG24" s="61">
        <f t="shared" si="2"/>
        <v>1</v>
      </c>
      <c r="AH24" s="61" t="str">
        <f t="shared" si="3"/>
        <v/>
      </c>
      <c r="AI24" s="61">
        <f t="shared" si="4"/>
        <v>0</v>
      </c>
      <c r="AJ24" s="61" t="str">
        <f t="shared" si="5"/>
        <v/>
      </c>
      <c r="AK24" s="61">
        <f t="shared" si="6"/>
        <v>0</v>
      </c>
      <c r="AL24" s="61" t="str">
        <f t="shared" si="7"/>
        <v/>
      </c>
      <c r="AM24" s="61">
        <f t="shared" si="8"/>
        <v>0</v>
      </c>
      <c r="AN24" s="61" t="str">
        <f t="shared" si="9"/>
        <v/>
      </c>
      <c r="AO24" s="61">
        <f t="shared" si="10"/>
        <v>0</v>
      </c>
      <c r="AP24" s="61" t="str">
        <f t="shared" si="11"/>
        <v/>
      </c>
      <c r="AR24" s="82"/>
      <c r="AS24" s="82"/>
      <c r="AT24" s="82"/>
      <c r="AU24" s="83"/>
      <c r="AV24" s="68"/>
      <c r="AW24" s="64"/>
      <c r="BJ24">
        <f>128-49</f>
        <v>79</v>
      </c>
    </row>
    <row r="25" spans="1:109" ht="30" customHeight="1" x14ac:dyDescent="0.35">
      <c r="B25" s="49" t="s">
        <v>49</v>
      </c>
      <c r="C25" s="49"/>
      <c r="D25" s="49"/>
      <c r="E25" s="49"/>
      <c r="F25" s="49"/>
      <c r="G25" s="49"/>
      <c r="H25" s="49"/>
      <c r="I25" s="49"/>
      <c r="J25" s="49"/>
      <c r="K25" s="49"/>
      <c r="L25" s="49"/>
      <c r="M25" s="49"/>
      <c r="N25" s="49"/>
      <c r="O25" s="49"/>
      <c r="P25" s="49"/>
      <c r="Q25" s="49"/>
      <c r="R25" s="49"/>
      <c r="S25" s="49"/>
      <c r="T25" s="49"/>
      <c r="U25" s="49"/>
      <c r="V25" s="49"/>
      <c r="W25" s="49"/>
      <c r="X25" s="49"/>
      <c r="Y25" s="101"/>
      <c r="Z25" s="102"/>
      <c r="AA25" s="102"/>
      <c r="AB25" s="103"/>
      <c r="AC25" s="60" t="str">
        <f t="shared" si="1"/>
        <v/>
      </c>
      <c r="AD25" s="60"/>
      <c r="AE25" s="60"/>
      <c r="AF25" s="60"/>
      <c r="AG25" s="61">
        <f t="shared" si="2"/>
        <v>0</v>
      </c>
      <c r="AH25" s="61" t="str">
        <f t="shared" si="3"/>
        <v/>
      </c>
      <c r="AI25" s="61">
        <f t="shared" si="4"/>
        <v>0</v>
      </c>
      <c r="AJ25" s="61" t="str">
        <f t="shared" si="5"/>
        <v/>
      </c>
      <c r="AK25" s="61">
        <f t="shared" si="6"/>
        <v>0</v>
      </c>
      <c r="AL25" s="61" t="str">
        <f t="shared" si="7"/>
        <v/>
      </c>
      <c r="AM25" s="61">
        <f t="shared" si="8"/>
        <v>0</v>
      </c>
      <c r="AN25" s="61" t="str">
        <f t="shared" si="9"/>
        <v/>
      </c>
      <c r="AO25" s="61">
        <f t="shared" si="10"/>
        <v>0</v>
      </c>
      <c r="AP25" s="61" t="str">
        <f t="shared" si="11"/>
        <v/>
      </c>
      <c r="AR25" s="83"/>
      <c r="AS25" s="83"/>
      <c r="AT25" s="83"/>
      <c r="AU25" s="83"/>
      <c r="AW25" s="64"/>
      <c r="DA25" s="68"/>
      <c r="DB25" s="68"/>
      <c r="DC25" s="68"/>
      <c r="DD25" s="68"/>
      <c r="DE25" s="68"/>
    </row>
    <row r="26" spans="1:109" ht="30" customHeight="1" x14ac:dyDescent="0.35">
      <c r="B26" s="50" t="s">
        <v>50</v>
      </c>
      <c r="C26" s="50"/>
      <c r="D26" s="50"/>
      <c r="E26" s="50"/>
      <c r="F26" s="50"/>
      <c r="G26" s="50"/>
      <c r="H26" s="50"/>
      <c r="I26" s="50"/>
      <c r="J26" s="50"/>
      <c r="K26" s="50"/>
      <c r="L26" s="50"/>
      <c r="M26" s="50"/>
      <c r="N26" s="50"/>
      <c r="O26" s="50"/>
      <c r="P26" s="50"/>
      <c r="Q26" s="50"/>
      <c r="R26" s="50"/>
      <c r="S26" s="50"/>
      <c r="T26" s="50"/>
      <c r="U26" s="50"/>
      <c r="V26" s="50"/>
      <c r="W26" s="50"/>
      <c r="X26" s="50"/>
      <c r="Y26" s="97"/>
      <c r="Z26" s="98"/>
      <c r="AA26" s="98"/>
      <c r="AB26" s="99"/>
      <c r="AC26" s="60" t="str">
        <f t="shared" si="1"/>
        <v/>
      </c>
      <c r="AD26" s="60"/>
      <c r="AE26" s="60"/>
      <c r="AF26" s="60"/>
      <c r="AG26" s="61">
        <f t="shared" si="2"/>
        <v>0</v>
      </c>
      <c r="AH26" s="61" t="str">
        <f t="shared" si="3"/>
        <v/>
      </c>
      <c r="AI26" s="61">
        <f t="shared" si="4"/>
        <v>0</v>
      </c>
      <c r="AJ26" s="61" t="str">
        <f t="shared" si="5"/>
        <v/>
      </c>
      <c r="AK26" s="61">
        <f t="shared" si="6"/>
        <v>0</v>
      </c>
      <c r="AL26" s="61" t="str">
        <f t="shared" si="7"/>
        <v/>
      </c>
      <c r="AM26" s="61">
        <f t="shared" si="8"/>
        <v>0</v>
      </c>
      <c r="AN26" s="61" t="str">
        <f t="shared" si="9"/>
        <v/>
      </c>
      <c r="AO26" s="61">
        <f t="shared" si="10"/>
        <v>0</v>
      </c>
      <c r="AP26" s="61" t="str">
        <f t="shared" si="11"/>
        <v/>
      </c>
    </row>
    <row r="27" spans="1:109" ht="30" customHeight="1" x14ac:dyDescent="0.35">
      <c r="B27" s="54" t="s">
        <v>51</v>
      </c>
      <c r="C27" s="54"/>
      <c r="D27" s="54"/>
      <c r="E27" s="54"/>
      <c r="F27" s="54"/>
      <c r="G27" s="54"/>
      <c r="H27" s="54"/>
      <c r="I27" s="54"/>
      <c r="J27" s="54"/>
      <c r="K27" s="54"/>
      <c r="L27" s="54"/>
      <c r="M27" s="54"/>
      <c r="N27" s="54"/>
      <c r="O27" s="54"/>
      <c r="P27" s="54"/>
      <c r="Q27" s="54"/>
      <c r="R27" s="54"/>
      <c r="S27" s="54"/>
      <c r="T27" s="54"/>
      <c r="U27" s="54"/>
      <c r="V27" s="54"/>
      <c r="W27" s="54"/>
      <c r="X27" s="54"/>
      <c r="Y27" s="91"/>
      <c r="Z27" s="92"/>
      <c r="AA27" s="92"/>
      <c r="AB27" s="93"/>
      <c r="AC27" s="60" t="str">
        <f t="shared" si="1"/>
        <v/>
      </c>
      <c r="AD27" s="60"/>
      <c r="AE27" s="60"/>
      <c r="AF27" s="60"/>
      <c r="AG27" s="61">
        <f t="shared" si="2"/>
        <v>0</v>
      </c>
      <c r="AH27" s="61" t="str">
        <f t="shared" si="3"/>
        <v/>
      </c>
      <c r="AI27" s="61">
        <f t="shared" si="4"/>
        <v>0</v>
      </c>
      <c r="AJ27" s="61" t="str">
        <f t="shared" si="5"/>
        <v/>
      </c>
      <c r="AK27" s="61">
        <f t="shared" si="6"/>
        <v>0</v>
      </c>
      <c r="AL27" s="61" t="str">
        <f t="shared" si="7"/>
        <v/>
      </c>
      <c r="AM27" s="61">
        <f t="shared" si="8"/>
        <v>0</v>
      </c>
      <c r="AN27" s="61" t="str">
        <f t="shared" si="9"/>
        <v/>
      </c>
      <c r="AO27" s="61">
        <f t="shared" si="10"/>
        <v>0</v>
      </c>
      <c r="AP27" s="61" t="str">
        <f t="shared" si="11"/>
        <v/>
      </c>
    </row>
    <row r="28" spans="1:109" ht="30" customHeight="1" x14ac:dyDescent="0.35">
      <c r="B28" s="52" t="s">
        <v>52</v>
      </c>
      <c r="C28" s="52"/>
      <c r="D28" s="52"/>
      <c r="E28" s="52"/>
      <c r="F28" s="52"/>
      <c r="G28" s="52"/>
      <c r="H28" s="52"/>
      <c r="I28" s="52"/>
      <c r="J28" s="52"/>
      <c r="K28" s="52"/>
      <c r="L28" s="52"/>
      <c r="M28" s="52"/>
      <c r="N28" s="52"/>
      <c r="O28" s="52"/>
      <c r="P28" s="52"/>
      <c r="Q28" s="52"/>
      <c r="R28" s="52"/>
      <c r="S28" s="52"/>
      <c r="T28" s="52"/>
      <c r="U28" s="52"/>
      <c r="V28" s="52"/>
      <c r="W28" s="52"/>
      <c r="X28" s="52"/>
      <c r="Y28" s="88"/>
      <c r="Z28" s="89"/>
      <c r="AA28" s="89"/>
      <c r="AB28" s="90"/>
      <c r="AC28" s="60" t="str">
        <f t="shared" si="1"/>
        <v/>
      </c>
      <c r="AD28" s="60"/>
      <c r="AE28" s="60"/>
      <c r="AF28" s="60"/>
      <c r="AG28" s="61">
        <f t="shared" si="2"/>
        <v>0</v>
      </c>
      <c r="AH28" s="61" t="str">
        <f t="shared" si="3"/>
        <v/>
      </c>
      <c r="AI28" s="61">
        <f t="shared" si="4"/>
        <v>0</v>
      </c>
      <c r="AJ28" s="61" t="str">
        <f t="shared" si="5"/>
        <v/>
      </c>
      <c r="AK28" s="61">
        <f t="shared" si="6"/>
        <v>0</v>
      </c>
      <c r="AL28" s="61" t="str">
        <f t="shared" si="7"/>
        <v/>
      </c>
      <c r="AM28" s="61">
        <f t="shared" si="8"/>
        <v>0</v>
      </c>
      <c r="AN28" s="61" t="str">
        <f t="shared" si="9"/>
        <v/>
      </c>
      <c r="AO28" s="61">
        <f t="shared" si="10"/>
        <v>0</v>
      </c>
      <c r="AP28" s="61" t="str">
        <f t="shared" si="11"/>
        <v/>
      </c>
    </row>
    <row r="29" spans="1:109" ht="30" customHeight="1" x14ac:dyDescent="0.35">
      <c r="A29" s="26" t="str">
        <f t="shared" ref="A29:A30" si="13">CONCATENATE($B$25,"
",$B$26,"
",$B$27,"
",$B$28)</f>
        <v>PT124_ADP_AES_129/2021 - OFICINA DE MUTUCA (MUTUCA)
FASE 1 - AVALIAÇÃO ESTRUTURAL GERAL DO GALPÃO
MARCOS CONTRATUAIS (APROVAÇÃO DOS DOCUMENTOS)
MARCO 2 - Entrega do Projeto de As-Built</v>
      </c>
      <c r="B29" s="53" t="s">
        <v>44</v>
      </c>
      <c r="C29" s="84" t="str">
        <f>IF(AND($B29=[1]ana!$A26,[1]ana!$B26=C$4),"ok","nok")</f>
        <v>nok</v>
      </c>
      <c r="D29" s="84" t="str">
        <f>IF(AND($B29=[1]ana!$A26,[1]ana!$B26=D$4),"ok","nok")</f>
        <v>nok</v>
      </c>
      <c r="E29" s="84" t="str">
        <f>IF(AND($B29=[1]ana!$A26,[1]ana!$B26=E$4),"ok","nok")</f>
        <v>nok</v>
      </c>
      <c r="F29" s="84" t="str">
        <f>IF(AND($B29=[1]ana!$A26,[1]ana!$B26=F$4),"ok","nok")</f>
        <v>nok</v>
      </c>
      <c r="G29" s="84" t="str">
        <f>IF(AND($B29=[1]ana!$A26,[1]ana!$B26=G$4),"ok","nok")</f>
        <v>ok</v>
      </c>
      <c r="H29" s="84" t="str">
        <f>IF(AND($B29=[1]ana!$A26,[1]ana!$B26=H$4),"ok","nok")</f>
        <v>nok</v>
      </c>
      <c r="I29" s="84" t="str">
        <f>IF(AND($B29=[1]ana!$A26,[1]ana!$B26=I$4),"ok","nok")</f>
        <v>nok</v>
      </c>
      <c r="J29" s="84" t="str">
        <f>IF(AND($B29=[1]ana!$A26,[1]ana!$B26=J$4),"ok","nok")</f>
        <v>nok</v>
      </c>
      <c r="K29" s="84" t="str">
        <f>IF(AND($B29=[1]ana!$A26,[1]ana!$B26=K$4),"ok","nok")</f>
        <v>nok</v>
      </c>
      <c r="L29" s="84" t="str">
        <f>IF(AND($B29=[1]ana!$A26,[1]ana!$B26=L$4),"ok","nok")</f>
        <v>nok</v>
      </c>
      <c r="M29" s="84" t="str">
        <f>IF(AND($B29=[1]ana!$A26,[1]ana!$B26=M$4),"ok","nok")</f>
        <v>nok</v>
      </c>
      <c r="N29" s="84" t="str">
        <f>IF(AND($B29=[1]ana!$A26,[1]ana!$B26=N$4),"ok","nok")</f>
        <v>nok</v>
      </c>
      <c r="O29" s="84" t="str">
        <f>IF(AND($B29=[1]ana!$A26,[1]ana!$B26=O$4),"ok","nok")</f>
        <v>nok</v>
      </c>
      <c r="P29" s="84" t="str">
        <f>IF(AND($B29=[1]ana!$A26,[1]ana!$B26=P$4),"ok","nok")</f>
        <v>nok</v>
      </c>
      <c r="Q29" s="84" t="str">
        <f>IF(AND($B29=[1]ana!$A26,[1]ana!$B26=Q$4),"ok","nok")</f>
        <v>nok</v>
      </c>
      <c r="R29" s="84" t="str">
        <f>IF(AND($B29=[1]ana!$A26,[1]ana!$B26=R$4),"ok","nok")</f>
        <v>nok</v>
      </c>
      <c r="S29" s="84" t="str">
        <f>IF(AND($B29=[1]ana!$A26,[1]ana!$B26=S$4),"ok","nok")</f>
        <v>nok</v>
      </c>
      <c r="T29" s="84" t="str">
        <f>IF(AND($B29=[1]ana!$A26,[1]ana!$B26=T$4),"ok","nok")</f>
        <v>nok</v>
      </c>
      <c r="U29" s="84" t="str">
        <f>IF(AND($B29=[1]ana!$A26,[1]ana!$B26=U$4),"ok","nok")</f>
        <v>nok</v>
      </c>
      <c r="V29" s="84" t="str">
        <f>IF(AND($B29=[1]ana!$A26,[1]ana!$B26=V$4),"ok","nok")</f>
        <v>nok</v>
      </c>
      <c r="W29" s="84" t="str">
        <f>IF(AND($B29=[1]ana!$A26,[1]ana!$B26=W$4),"ok","nok")</f>
        <v>nok</v>
      </c>
      <c r="X29" s="84" t="str">
        <f>IF(AND($B29=[1]ana!$A26,[1]ana!$B26=X$4),"ok","nok")</f>
        <v>nok</v>
      </c>
      <c r="Y29" s="85" t="s">
        <v>33</v>
      </c>
      <c r="Z29" s="86"/>
      <c r="AA29" s="86"/>
      <c r="AB29" s="87"/>
      <c r="AC29" s="60" t="str">
        <f t="shared" si="1"/>
        <v>Certificação do documento - Vibracon</v>
      </c>
      <c r="AD29" s="60"/>
      <c r="AE29" s="60"/>
      <c r="AF29" s="60"/>
      <c r="AG29" s="61">
        <f t="shared" si="2"/>
        <v>1</v>
      </c>
      <c r="AH29" s="61" t="str">
        <f t="shared" si="3"/>
        <v/>
      </c>
      <c r="AI29" s="61">
        <f t="shared" si="4"/>
        <v>0</v>
      </c>
      <c r="AJ29" s="61" t="str">
        <f t="shared" si="5"/>
        <v/>
      </c>
      <c r="AK29" s="61">
        <f t="shared" si="6"/>
        <v>0</v>
      </c>
      <c r="AL29" s="61" t="str">
        <f t="shared" si="7"/>
        <v/>
      </c>
      <c r="AM29" s="61">
        <f t="shared" si="8"/>
        <v>0</v>
      </c>
      <c r="AN29" s="61" t="str">
        <f t="shared" si="9"/>
        <v/>
      </c>
      <c r="AO29" s="61">
        <f t="shared" si="10"/>
        <v>0</v>
      </c>
      <c r="AP29" s="61" t="str">
        <f t="shared" si="11"/>
        <v/>
      </c>
      <c r="AS29" s="100" t="s">
        <v>27</v>
      </c>
      <c r="AT29" s="100"/>
      <c r="AU29" s="100"/>
      <c r="AV29" s="62">
        <f>SUM(COUNTIF(Y:AB,"ATRASADO"))</f>
        <v>39</v>
      </c>
      <c r="DA29" s="68"/>
      <c r="DB29" s="68"/>
      <c r="DC29" s="68"/>
      <c r="DD29" s="68"/>
      <c r="DE29" s="68"/>
    </row>
    <row r="30" spans="1:109" ht="30" customHeight="1" x14ac:dyDescent="0.35">
      <c r="A30" s="26" t="str">
        <f t="shared" si="13"/>
        <v>PT124_ADP_AES_129/2021 - OFICINA DE MUTUCA (MUTUCA)
FASE 1 - AVALIAÇÃO ESTRUTURAL GERAL DO GALPÃO
MARCOS CONTRATUAIS (APROVAÇÃO DOS DOCUMENTOS)
MARCO 2 - Entrega do Projeto de As-Built</v>
      </c>
      <c r="B30" s="53" t="s">
        <v>45</v>
      </c>
      <c r="C30" s="84" t="str">
        <f>IF(AND($B30=[1]ana!$A27,[1]ana!$B27=C$4),"ok","nok")</f>
        <v>nok</v>
      </c>
      <c r="D30" s="84" t="str">
        <f>IF(AND($B30=[1]ana!$A27,[1]ana!$B27=D$4),"ok","nok")</f>
        <v>nok</v>
      </c>
      <c r="E30" s="84" t="str">
        <f>IF(AND($B30=[1]ana!$A27,[1]ana!$B27=E$4),"ok","nok")</f>
        <v>nok</v>
      </c>
      <c r="F30" s="84" t="str">
        <f>IF(AND($B30=[1]ana!$A27,[1]ana!$B27=F$4),"ok","nok")</f>
        <v>nok</v>
      </c>
      <c r="G30" s="84" t="str">
        <f>IF(AND($B30=[1]ana!$A27,[1]ana!$B27=G$4),"ok","nok")</f>
        <v>ok</v>
      </c>
      <c r="H30" s="84" t="str">
        <f>IF(AND($B30=[1]ana!$A27,[1]ana!$B27=H$4),"ok","nok")</f>
        <v>nok</v>
      </c>
      <c r="I30" s="84" t="str">
        <f>IF(AND($B30=[1]ana!$A27,[1]ana!$B27=I$4),"ok","nok")</f>
        <v>nok</v>
      </c>
      <c r="J30" s="84" t="str">
        <f>IF(AND($B30=[1]ana!$A27,[1]ana!$B27=J$4),"ok","nok")</f>
        <v>nok</v>
      </c>
      <c r="K30" s="84" t="str">
        <f>IF(AND($B30=[1]ana!$A27,[1]ana!$B27=K$4),"ok","nok")</f>
        <v>nok</v>
      </c>
      <c r="L30" s="84" t="str">
        <f>IF(AND($B30=[1]ana!$A27,[1]ana!$B27=L$4),"ok","nok")</f>
        <v>nok</v>
      </c>
      <c r="M30" s="84" t="str">
        <f>IF(AND($B30=[1]ana!$A27,[1]ana!$B27=M$4),"ok","nok")</f>
        <v>nok</v>
      </c>
      <c r="N30" s="84" t="str">
        <f>IF(AND($B30=[1]ana!$A27,[1]ana!$B27=N$4),"ok","nok")</f>
        <v>nok</v>
      </c>
      <c r="O30" s="84" t="str">
        <f>IF(AND($B30=[1]ana!$A27,[1]ana!$B27=O$4),"ok","nok")</f>
        <v>nok</v>
      </c>
      <c r="P30" s="84" t="str">
        <f>IF(AND($B30=[1]ana!$A27,[1]ana!$B27=P$4),"ok","nok")</f>
        <v>nok</v>
      </c>
      <c r="Q30" s="84" t="str">
        <f>IF(AND($B30=[1]ana!$A27,[1]ana!$B27=Q$4),"ok","nok")</f>
        <v>nok</v>
      </c>
      <c r="R30" s="84" t="str">
        <f>IF(AND($B30=[1]ana!$A27,[1]ana!$B27=R$4),"ok","nok")</f>
        <v>nok</v>
      </c>
      <c r="S30" s="84" t="str">
        <f>IF(AND($B30=[1]ana!$A27,[1]ana!$B27=S$4),"ok","nok")</f>
        <v>nok</v>
      </c>
      <c r="T30" s="84" t="str">
        <f>IF(AND($B30=[1]ana!$A27,[1]ana!$B27=T$4),"ok","nok")</f>
        <v>nok</v>
      </c>
      <c r="U30" s="84" t="str">
        <f>IF(AND($B30=[1]ana!$A27,[1]ana!$B27=U$4),"ok","nok")</f>
        <v>nok</v>
      </c>
      <c r="V30" s="84" t="str">
        <f>IF(AND($B30=[1]ana!$A27,[1]ana!$B27=V$4),"ok","nok")</f>
        <v>nok</v>
      </c>
      <c r="W30" s="84" t="str">
        <f>IF(AND($B30=[1]ana!$A27,[1]ana!$B27=W$4),"ok","nok")</f>
        <v>nok</v>
      </c>
      <c r="X30" s="84" t="str">
        <f>IF(AND($B30=[1]ana!$A27,[1]ana!$B27=X$4),"ok","nok")</f>
        <v>nok</v>
      </c>
      <c r="Y30" s="85" t="s">
        <v>33</v>
      </c>
      <c r="Z30" s="86"/>
      <c r="AA30" s="86"/>
      <c r="AB30" s="87"/>
      <c r="AC30" s="60" t="str">
        <f t="shared" si="1"/>
        <v>MARCO - Envio do documento Certificado (Rev_0)</v>
      </c>
      <c r="AD30" s="60"/>
      <c r="AE30" s="60"/>
      <c r="AF30" s="60"/>
      <c r="AG30" s="61">
        <f t="shared" si="2"/>
        <v>1</v>
      </c>
      <c r="AH30" s="61" t="str">
        <f t="shared" si="3"/>
        <v/>
      </c>
      <c r="AI30" s="61">
        <f t="shared" si="4"/>
        <v>0</v>
      </c>
      <c r="AJ30" s="61" t="str">
        <f t="shared" si="5"/>
        <v/>
      </c>
      <c r="AK30" s="61">
        <f t="shared" si="6"/>
        <v>0</v>
      </c>
      <c r="AL30" s="61" t="str">
        <f t="shared" si="7"/>
        <v/>
      </c>
      <c r="AM30" s="61">
        <f t="shared" si="8"/>
        <v>0</v>
      </c>
      <c r="AN30" s="61" t="str">
        <f t="shared" si="9"/>
        <v/>
      </c>
      <c r="AO30" s="61">
        <f t="shared" si="10"/>
        <v>0</v>
      </c>
      <c r="AP30" s="61" t="str">
        <f t="shared" si="11"/>
        <v/>
      </c>
      <c r="AS30" t="str" cm="1">
        <f t="array" ref="AS30:AS46">_xlfn.UNIQUE(AC6:AC196)</f>
        <v/>
      </c>
      <c r="AY30">
        <f>SUM(AY31:AY59)</f>
        <v>37</v>
      </c>
      <c r="AZ30" s="77">
        <f>SUM(AZ31:AZ56)</f>
        <v>0.94871794871794901</v>
      </c>
      <c r="BC30" s="137" t="s">
        <v>27</v>
      </c>
      <c r="BD30" s="138"/>
      <c r="BE30" s="139"/>
      <c r="BF30" s="81">
        <f>SUM(COUNTIF(Y:AB,"ATRASADO"))</f>
        <v>39</v>
      </c>
      <c r="BG30" s="44"/>
      <c r="BH30" s="44"/>
      <c r="BI30" s="75"/>
      <c r="BJ30" s="76">
        <f>BF30/BN8</f>
        <v>0.28676470588235292</v>
      </c>
    </row>
    <row r="31" spans="1:109" ht="30" customHeight="1" x14ac:dyDescent="0.35">
      <c r="B31" s="50" t="s">
        <v>53</v>
      </c>
      <c r="C31" s="50"/>
      <c r="D31" s="50"/>
      <c r="E31" s="50"/>
      <c r="F31" s="50"/>
      <c r="G31" s="50"/>
      <c r="H31" s="50"/>
      <c r="I31" s="50"/>
      <c r="J31" s="50"/>
      <c r="K31" s="50"/>
      <c r="L31" s="50"/>
      <c r="M31" s="50"/>
      <c r="N31" s="50"/>
      <c r="O31" s="50"/>
      <c r="P31" s="50"/>
      <c r="Q31" s="50"/>
      <c r="R31" s="50"/>
      <c r="S31" s="50"/>
      <c r="T31" s="50"/>
      <c r="U31" s="50"/>
      <c r="V31" s="50"/>
      <c r="W31" s="50"/>
      <c r="X31" s="50"/>
      <c r="Y31" s="97"/>
      <c r="Z31" s="98"/>
      <c r="AA31" s="98"/>
      <c r="AB31" s="99"/>
      <c r="AC31" s="60" t="str">
        <f t="shared" si="1"/>
        <v/>
      </c>
      <c r="AD31" s="60"/>
      <c r="AE31" s="60"/>
      <c r="AF31" s="60"/>
      <c r="AG31" s="61">
        <f t="shared" si="2"/>
        <v>0</v>
      </c>
      <c r="AH31" s="61" t="str">
        <f t="shared" si="3"/>
        <v/>
      </c>
      <c r="AI31" s="61">
        <f t="shared" si="4"/>
        <v>0</v>
      </c>
      <c r="AJ31" s="61" t="str">
        <f t="shared" si="5"/>
        <v/>
      </c>
      <c r="AK31" s="61">
        <f t="shared" si="6"/>
        <v>0</v>
      </c>
      <c r="AL31" s="61" t="str">
        <f t="shared" si="7"/>
        <v/>
      </c>
      <c r="AM31" s="61">
        <f t="shared" si="8"/>
        <v>0</v>
      </c>
      <c r="AN31" s="61" t="str">
        <f t="shared" si="9"/>
        <v/>
      </c>
      <c r="AO31" s="61">
        <f t="shared" si="10"/>
        <v>0</v>
      </c>
      <c r="AP31" s="61" t="str">
        <f t="shared" si="11"/>
        <v/>
      </c>
      <c r="AS31" t="str">
        <v>Revisão do Documento</v>
      </c>
      <c r="AY31">
        <f t="shared" ref="AY31:AY54" si="14">COUNTIF(AC4:AC196,AS31)</f>
        <v>1</v>
      </c>
      <c r="AZ31" s="64">
        <f>AY31/$AV$29</f>
        <v>2.564102564102564E-2</v>
      </c>
      <c r="BC31" s="134" t="s">
        <v>118</v>
      </c>
      <c r="BD31" s="135"/>
      <c r="BE31" s="135"/>
      <c r="BF31" s="135"/>
      <c r="BG31" s="135"/>
      <c r="BH31" s="136"/>
      <c r="BI31" s="75">
        <v>22</v>
      </c>
      <c r="BJ31" s="74">
        <f>(($BJ$30*BI31)/$BF$30)</f>
        <v>0.16176470588235295</v>
      </c>
      <c r="BK31" s="64">
        <f>BI31/BF30</f>
        <v>0.5641025641025641</v>
      </c>
    </row>
    <row r="32" spans="1:109" ht="30" customHeight="1" x14ac:dyDescent="0.35">
      <c r="B32" s="54" t="s">
        <v>54</v>
      </c>
      <c r="C32" s="54"/>
      <c r="D32" s="54"/>
      <c r="E32" s="54"/>
      <c r="F32" s="54"/>
      <c r="G32" s="54"/>
      <c r="H32" s="54"/>
      <c r="I32" s="54"/>
      <c r="J32" s="54"/>
      <c r="K32" s="54"/>
      <c r="L32" s="54"/>
      <c r="M32" s="54"/>
      <c r="N32" s="54"/>
      <c r="O32" s="54"/>
      <c r="P32" s="54"/>
      <c r="Q32" s="54"/>
      <c r="R32" s="54"/>
      <c r="S32" s="54"/>
      <c r="T32" s="54"/>
      <c r="U32" s="54"/>
      <c r="V32" s="54"/>
      <c r="W32" s="54"/>
      <c r="X32" s="54"/>
      <c r="Y32" s="91"/>
      <c r="Z32" s="92"/>
      <c r="AA32" s="92"/>
      <c r="AB32" s="93"/>
      <c r="AC32" s="60" t="str">
        <f t="shared" si="1"/>
        <v/>
      </c>
      <c r="AD32" s="60"/>
      <c r="AE32" s="60"/>
      <c r="AF32" s="60"/>
      <c r="AG32" s="61">
        <f t="shared" si="2"/>
        <v>0</v>
      </c>
      <c r="AH32" s="61" t="str">
        <f t="shared" si="3"/>
        <v/>
      </c>
      <c r="AI32" s="61">
        <f t="shared" si="4"/>
        <v>0</v>
      </c>
      <c r="AJ32" s="61" t="str">
        <f t="shared" si="5"/>
        <v/>
      </c>
      <c r="AK32" s="61">
        <f t="shared" si="6"/>
        <v>0</v>
      </c>
      <c r="AL32" s="61" t="str">
        <f t="shared" si="7"/>
        <v/>
      </c>
      <c r="AM32" s="61">
        <f t="shared" si="8"/>
        <v>0</v>
      </c>
      <c r="AN32" s="61" t="str">
        <f t="shared" si="9"/>
        <v/>
      </c>
      <c r="AO32" s="61">
        <f t="shared" si="10"/>
        <v>0</v>
      </c>
      <c r="AP32" s="61" t="str">
        <f t="shared" si="11"/>
        <v/>
      </c>
      <c r="AS32" t="str">
        <v>MARCO - Envio do documento revisado (Rev_B)</v>
      </c>
      <c r="AY32">
        <f t="shared" si="14"/>
        <v>1</v>
      </c>
      <c r="AZ32" s="64">
        <f t="shared" ref="AZ32:AZ54" si="15">AY32/$AV$29</f>
        <v>2.564102564102564E-2</v>
      </c>
      <c r="BC32" s="134" t="s">
        <v>117</v>
      </c>
      <c r="BD32" s="135"/>
      <c r="BE32" s="135"/>
      <c r="BF32" s="135"/>
      <c r="BG32" s="135"/>
      <c r="BH32" s="136"/>
      <c r="BI32" s="75">
        <v>20</v>
      </c>
      <c r="BJ32" s="74">
        <f>(($BJ$30*BI32)/$BF$30)</f>
        <v>0.14705882352941174</v>
      </c>
      <c r="BK32" s="64">
        <f>BI32/BF30</f>
        <v>0.51282051282051277</v>
      </c>
      <c r="DA32" s="68"/>
      <c r="DB32" s="68"/>
      <c r="DC32" s="68"/>
      <c r="DD32" s="68"/>
      <c r="DE32" s="68"/>
    </row>
    <row r="33" spans="1:87" ht="30" customHeight="1" x14ac:dyDescent="0.35">
      <c r="B33" s="55" t="s">
        <v>55</v>
      </c>
      <c r="C33" s="55"/>
      <c r="D33" s="55"/>
      <c r="E33" s="55"/>
      <c r="F33" s="55"/>
      <c r="G33" s="55"/>
      <c r="H33" s="55"/>
      <c r="I33" s="55"/>
      <c r="J33" s="55"/>
      <c r="K33" s="55"/>
      <c r="L33" s="55"/>
      <c r="M33" s="55"/>
      <c r="N33" s="55"/>
      <c r="O33" s="55"/>
      <c r="P33" s="55"/>
      <c r="Q33" s="55"/>
      <c r="R33" s="55"/>
      <c r="S33" s="55"/>
      <c r="T33" s="55"/>
      <c r="U33" s="55"/>
      <c r="V33" s="55"/>
      <c r="W33" s="55"/>
      <c r="X33" s="55"/>
      <c r="Y33" s="131"/>
      <c r="Z33" s="132"/>
      <c r="AA33" s="132"/>
      <c r="AB33" s="133"/>
      <c r="AC33" s="60" t="str">
        <f t="shared" si="1"/>
        <v/>
      </c>
      <c r="AD33" s="60"/>
      <c r="AE33" s="60"/>
      <c r="AF33" s="60"/>
      <c r="AG33" s="61">
        <f t="shared" si="2"/>
        <v>0</v>
      </c>
      <c r="AH33" s="61" t="str">
        <f t="shared" si="3"/>
        <v/>
      </c>
      <c r="AI33" s="61">
        <f t="shared" si="4"/>
        <v>0</v>
      </c>
      <c r="AJ33" s="61" t="str">
        <f t="shared" si="5"/>
        <v/>
      </c>
      <c r="AK33" s="61">
        <f t="shared" si="6"/>
        <v>0</v>
      </c>
      <c r="AL33" s="61" t="str">
        <f t="shared" si="7"/>
        <v/>
      </c>
      <c r="AM33" s="61">
        <f t="shared" si="8"/>
        <v>0</v>
      </c>
      <c r="AN33" s="61" t="str">
        <f t="shared" si="9"/>
        <v/>
      </c>
      <c r="AO33" s="61">
        <f t="shared" si="10"/>
        <v>0</v>
      </c>
      <c r="AP33" s="61" t="str">
        <f t="shared" si="11"/>
        <v/>
      </c>
      <c r="AS33" t="str">
        <v>Aprovação do Cliente</v>
      </c>
      <c r="AY33">
        <f t="shared" si="14"/>
        <v>4</v>
      </c>
      <c r="AZ33" s="64">
        <f t="shared" si="15"/>
        <v>0.10256410256410256</v>
      </c>
      <c r="BC33" s="134"/>
      <c r="BD33" s="135"/>
      <c r="BE33" s="135"/>
      <c r="BF33" s="135"/>
      <c r="BG33" s="135"/>
      <c r="BH33" s="136"/>
      <c r="BI33" s="75"/>
      <c r="BJ33" s="74"/>
      <c r="BK33" s="64"/>
    </row>
    <row r="34" spans="1:87" ht="30" customHeight="1" x14ac:dyDescent="0.35">
      <c r="B34" s="73" t="s">
        <v>56</v>
      </c>
      <c r="C34" s="73"/>
      <c r="D34" s="73"/>
      <c r="E34" s="73"/>
      <c r="F34" s="73"/>
      <c r="G34" s="73"/>
      <c r="H34" s="73"/>
      <c r="I34" s="73"/>
      <c r="J34" s="73"/>
      <c r="K34" s="73"/>
      <c r="L34" s="73"/>
      <c r="M34" s="73"/>
      <c r="N34" s="73"/>
      <c r="O34" s="73"/>
      <c r="P34" s="73"/>
      <c r="Q34" s="73"/>
      <c r="R34" s="73"/>
      <c r="S34" s="73"/>
      <c r="T34" s="73"/>
      <c r="U34" s="73"/>
      <c r="V34" s="73"/>
      <c r="W34" s="73"/>
      <c r="X34" s="73"/>
      <c r="Y34" s="94"/>
      <c r="Z34" s="95"/>
      <c r="AA34" s="95"/>
      <c r="AB34" s="96"/>
      <c r="AC34" s="60" t="str">
        <f t="shared" si="1"/>
        <v/>
      </c>
      <c r="AD34" s="60"/>
      <c r="AE34" s="60"/>
      <c r="AF34" s="60"/>
      <c r="AG34" s="61">
        <f t="shared" si="2"/>
        <v>0</v>
      </c>
      <c r="AH34" s="61" t="str">
        <f t="shared" si="3"/>
        <v/>
      </c>
      <c r="AI34" s="61">
        <f t="shared" si="4"/>
        <v>0</v>
      </c>
      <c r="AJ34" s="61" t="str">
        <f t="shared" si="5"/>
        <v/>
      </c>
      <c r="AK34" s="61">
        <f t="shared" si="6"/>
        <v>0</v>
      </c>
      <c r="AL34" s="61" t="str">
        <f t="shared" si="7"/>
        <v/>
      </c>
      <c r="AM34" s="61">
        <f t="shared" si="8"/>
        <v>0</v>
      </c>
      <c r="AN34" s="61" t="str">
        <f t="shared" si="9"/>
        <v/>
      </c>
      <c r="AO34" s="61">
        <f t="shared" si="10"/>
        <v>0</v>
      </c>
      <c r="AP34" s="61" t="str">
        <f t="shared" si="11"/>
        <v/>
      </c>
      <c r="AS34" t="str">
        <v>Certificação do documento - Vibracon</v>
      </c>
      <c r="AY34">
        <f t="shared" si="14"/>
        <v>9</v>
      </c>
      <c r="AZ34" s="64">
        <f t="shared" si="15"/>
        <v>0.23076923076923078</v>
      </c>
    </row>
    <row r="35" spans="1:87" ht="30" customHeight="1" x14ac:dyDescent="0.35">
      <c r="B35" s="52" t="s">
        <v>57</v>
      </c>
      <c r="C35" s="52"/>
      <c r="D35" s="52"/>
      <c r="E35" s="52"/>
      <c r="F35" s="52"/>
      <c r="G35" s="52"/>
      <c r="H35" s="52"/>
      <c r="I35" s="52"/>
      <c r="J35" s="52"/>
      <c r="K35" s="52"/>
      <c r="L35" s="52"/>
      <c r="M35" s="52"/>
      <c r="N35" s="52"/>
      <c r="O35" s="52"/>
      <c r="P35" s="52"/>
      <c r="Q35" s="52"/>
      <c r="R35" s="52"/>
      <c r="S35" s="52"/>
      <c r="T35" s="52"/>
      <c r="U35" s="52"/>
      <c r="V35" s="52"/>
      <c r="W35" s="52"/>
      <c r="X35" s="52"/>
      <c r="Y35" s="88"/>
      <c r="Z35" s="89"/>
      <c r="AA35" s="89"/>
      <c r="AB35" s="90"/>
      <c r="AC35" s="60" t="str">
        <f t="shared" si="1"/>
        <v/>
      </c>
      <c r="AD35" s="60"/>
      <c r="AE35" s="60"/>
      <c r="AF35" s="60"/>
      <c r="AG35" s="61">
        <f t="shared" si="2"/>
        <v>0</v>
      </c>
      <c r="AH35" s="61" t="str">
        <f t="shared" si="3"/>
        <v/>
      </c>
      <c r="AI35" s="61">
        <f t="shared" si="4"/>
        <v>0</v>
      </c>
      <c r="AJ35" s="61" t="str">
        <f t="shared" si="5"/>
        <v/>
      </c>
      <c r="AK35" s="61">
        <f t="shared" si="6"/>
        <v>0</v>
      </c>
      <c r="AL35" s="61" t="str">
        <f t="shared" si="7"/>
        <v/>
      </c>
      <c r="AM35" s="61">
        <f t="shared" si="8"/>
        <v>0</v>
      </c>
      <c r="AN35" s="61" t="str">
        <f t="shared" si="9"/>
        <v/>
      </c>
      <c r="AO35" s="61">
        <f t="shared" si="10"/>
        <v>0</v>
      </c>
      <c r="AP35" s="61" t="str">
        <f t="shared" si="11"/>
        <v/>
      </c>
      <c r="AS35" t="str">
        <v>MARCO - Envio do documento Certificado (Rev_0)</v>
      </c>
      <c r="AY35">
        <f t="shared" si="14"/>
        <v>11</v>
      </c>
      <c r="AZ35" s="64">
        <f t="shared" si="15"/>
        <v>0.28205128205128205</v>
      </c>
    </row>
    <row r="36" spans="1:87" ht="30" customHeight="1" x14ac:dyDescent="0.35">
      <c r="A36" s="26" t="str">
        <f>CONCATENATE($B$31,"
",$B$32,"
",$B$33,"
",$B$34)</f>
        <v>FASE 2 - AVALIAÇÃO ESTRUTURAL - ETAPA EXPERIMENTAL
ETAPA DE CAMPO
INSTRUMENTAÇÃO E COLETA TOPOGRÁFICA
RELATÓRIO FINAL</v>
      </c>
      <c r="B36" s="53" t="s">
        <v>44</v>
      </c>
      <c r="C36" s="84" t="str">
        <f>IF(AND($B36=[1]ana!$A33,[1]ana!$B33=C$4),"ok","nok")</f>
        <v>nok</v>
      </c>
      <c r="D36" s="84" t="str">
        <f>IF(AND($B36=[1]ana!$A33,[1]ana!$B33=D$4),"ok","nok")</f>
        <v>nok</v>
      </c>
      <c r="E36" s="84" t="str">
        <f>IF(AND($B36=[1]ana!$A33,[1]ana!$B33=E$4),"ok","nok")</f>
        <v>nok</v>
      </c>
      <c r="F36" s="84" t="str">
        <f>IF(AND($B36=[1]ana!$A33,[1]ana!$B33=F$4),"ok","nok")</f>
        <v>nok</v>
      </c>
      <c r="G36" s="84" t="str">
        <f>IF(AND($B36=[1]ana!$A33,[1]ana!$B33=G$4),"ok","nok")</f>
        <v>ok</v>
      </c>
      <c r="H36" s="84" t="str">
        <f>IF(AND($B36=[1]ana!$A33,[1]ana!$B33=H$4),"ok","nok")</f>
        <v>nok</v>
      </c>
      <c r="I36" s="84" t="str">
        <f>IF(AND($B36=[1]ana!$A33,[1]ana!$B33=I$4),"ok","nok")</f>
        <v>nok</v>
      </c>
      <c r="J36" s="84" t="str">
        <f>IF(AND($B36=[1]ana!$A33,[1]ana!$B33=J$4),"ok","nok")</f>
        <v>nok</v>
      </c>
      <c r="K36" s="84" t="str">
        <f>IF(AND($B36=[1]ana!$A33,[1]ana!$B33=K$4),"ok","nok")</f>
        <v>nok</v>
      </c>
      <c r="L36" s="84" t="str">
        <f>IF(AND($B36=[1]ana!$A33,[1]ana!$B33=L$4),"ok","nok")</f>
        <v>nok</v>
      </c>
      <c r="M36" s="84" t="str">
        <f>IF(AND($B36=[1]ana!$A33,[1]ana!$B33=M$4),"ok","nok")</f>
        <v>nok</v>
      </c>
      <c r="N36" s="84" t="str">
        <f>IF(AND($B36=[1]ana!$A33,[1]ana!$B33=N$4),"ok","nok")</f>
        <v>nok</v>
      </c>
      <c r="O36" s="84" t="str">
        <f>IF(AND($B36=[1]ana!$A33,[1]ana!$B33=O$4),"ok","nok")</f>
        <v>nok</v>
      </c>
      <c r="P36" s="84" t="str">
        <f>IF(AND($B36=[1]ana!$A33,[1]ana!$B33=P$4),"ok","nok")</f>
        <v>nok</v>
      </c>
      <c r="Q36" s="84" t="str">
        <f>IF(AND($B36=[1]ana!$A33,[1]ana!$B33=Q$4),"ok","nok")</f>
        <v>nok</v>
      </c>
      <c r="R36" s="84" t="str">
        <f>IF(AND($B36=[1]ana!$A33,[1]ana!$B33=R$4),"ok","nok")</f>
        <v>nok</v>
      </c>
      <c r="S36" s="84" t="str">
        <f>IF(AND($B36=[1]ana!$A33,[1]ana!$B33=S$4),"ok","nok")</f>
        <v>nok</v>
      </c>
      <c r="T36" s="84" t="str">
        <f>IF(AND($B36=[1]ana!$A33,[1]ana!$B33=T$4),"ok","nok")</f>
        <v>nok</v>
      </c>
      <c r="U36" s="84" t="str">
        <f>IF(AND($B36=[1]ana!$A33,[1]ana!$B33=U$4),"ok","nok")</f>
        <v>nok</v>
      </c>
      <c r="V36" s="84" t="str">
        <f>IF(AND($B36=[1]ana!$A33,[1]ana!$B33=V$4),"ok","nok")</f>
        <v>nok</v>
      </c>
      <c r="W36" s="84" t="str">
        <f>IF(AND($B36=[1]ana!$A33,[1]ana!$B33=W$4),"ok","nok")</f>
        <v>nok</v>
      </c>
      <c r="X36" s="84" t="str">
        <f>IF(AND($B36=[1]ana!$A33,[1]ana!$B33=X$4),"ok","nok")</f>
        <v>nok</v>
      </c>
      <c r="Y36" s="85" t="s">
        <v>33</v>
      </c>
      <c r="Z36" s="86"/>
      <c r="AA36" s="86"/>
      <c r="AB36" s="87"/>
      <c r="AC36" s="60" t="str">
        <f t="shared" si="1"/>
        <v>Certificação do documento - Vibracon</v>
      </c>
      <c r="AD36" s="60"/>
      <c r="AE36" s="60"/>
      <c r="AF36" s="60"/>
      <c r="AG36" s="61">
        <f t="shared" si="2"/>
        <v>1</v>
      </c>
      <c r="AH36" s="61" t="str">
        <f t="shared" si="3"/>
        <v/>
      </c>
      <c r="AI36" s="61">
        <f t="shared" si="4"/>
        <v>0</v>
      </c>
      <c r="AJ36" s="61" t="str">
        <f t="shared" si="5"/>
        <v/>
      </c>
      <c r="AK36" s="61">
        <f t="shared" si="6"/>
        <v>0</v>
      </c>
      <c r="AL36" s="61" t="str">
        <f t="shared" si="7"/>
        <v/>
      </c>
      <c r="AM36" s="61">
        <f t="shared" si="8"/>
        <v>0</v>
      </c>
      <c r="AN36" s="61" t="str">
        <f t="shared" si="9"/>
        <v/>
      </c>
      <c r="AO36" s="61">
        <f t="shared" si="10"/>
        <v>0</v>
      </c>
      <c r="AP36" s="61" t="str">
        <f t="shared" si="11"/>
        <v/>
      </c>
      <c r="AS36" t="str">
        <v>Atendimento a comentários</v>
      </c>
      <c r="AY36">
        <f t="shared" si="14"/>
        <v>1</v>
      </c>
      <c r="AZ36" s="64">
        <f t="shared" si="15"/>
        <v>2.564102564102564E-2</v>
      </c>
    </row>
    <row r="37" spans="1:87" s="68" customFormat="1" ht="30" customHeight="1" x14ac:dyDescent="0.35">
      <c r="A37" s="26" t="str">
        <f>CONCATENATE($B$25,"
",$B$32,"
",$B$33,"
",$B$34)</f>
        <v>PT124_ADP_AES_129/2021 - OFICINA DE MUTUCA (MUTUCA)
ETAPA DE CAMPO
INSTRUMENTAÇÃO E COLETA TOPOGRÁFICA
RELATÓRIO FINAL</v>
      </c>
      <c r="B37" s="53" t="s">
        <v>45</v>
      </c>
      <c r="C37" s="84" t="str">
        <f>IF(AND($B37=[1]ana!$A34,[1]ana!$B34=C$4),"ok","nok")</f>
        <v>nok</v>
      </c>
      <c r="D37" s="84" t="str">
        <f>IF(AND($B37=[1]ana!$A34,[1]ana!$B34=D$4),"ok","nok")</f>
        <v>nok</v>
      </c>
      <c r="E37" s="84" t="str">
        <f>IF(AND($B37=[1]ana!$A34,[1]ana!$B34=E$4),"ok","nok")</f>
        <v>nok</v>
      </c>
      <c r="F37" s="84" t="str">
        <f>IF(AND($B37=[1]ana!$A34,[1]ana!$B34=F$4),"ok","nok")</f>
        <v>nok</v>
      </c>
      <c r="G37" s="84" t="str">
        <f>IF(AND($B37=[1]ana!$A34,[1]ana!$B34=G$4),"ok","nok")</f>
        <v>ok</v>
      </c>
      <c r="H37" s="84" t="str">
        <f>IF(AND($B37=[1]ana!$A34,[1]ana!$B34=H$4),"ok","nok")</f>
        <v>nok</v>
      </c>
      <c r="I37" s="84" t="str">
        <f>IF(AND($B37=[1]ana!$A34,[1]ana!$B34=I$4),"ok","nok")</f>
        <v>nok</v>
      </c>
      <c r="J37" s="84" t="str">
        <f>IF(AND($B37=[1]ana!$A34,[1]ana!$B34=J$4),"ok","nok")</f>
        <v>nok</v>
      </c>
      <c r="K37" s="84" t="str">
        <f>IF(AND($B37=[1]ana!$A34,[1]ana!$B34=K$4),"ok","nok")</f>
        <v>nok</v>
      </c>
      <c r="L37" s="84" t="str">
        <f>IF(AND($B37=[1]ana!$A34,[1]ana!$B34=L$4),"ok","nok")</f>
        <v>nok</v>
      </c>
      <c r="M37" s="84" t="str">
        <f>IF(AND($B37=[1]ana!$A34,[1]ana!$B34=M$4),"ok","nok")</f>
        <v>nok</v>
      </c>
      <c r="N37" s="84" t="str">
        <f>IF(AND($B37=[1]ana!$A34,[1]ana!$B34=N$4),"ok","nok")</f>
        <v>nok</v>
      </c>
      <c r="O37" s="84" t="str">
        <f>IF(AND($B37=[1]ana!$A34,[1]ana!$B34=O$4),"ok","nok")</f>
        <v>nok</v>
      </c>
      <c r="P37" s="84" t="str">
        <f>IF(AND($B37=[1]ana!$A34,[1]ana!$B34=P$4),"ok","nok")</f>
        <v>nok</v>
      </c>
      <c r="Q37" s="84" t="str">
        <f>IF(AND($B37=[1]ana!$A34,[1]ana!$B34=Q$4),"ok","nok")</f>
        <v>nok</v>
      </c>
      <c r="R37" s="84" t="str">
        <f>IF(AND($B37=[1]ana!$A34,[1]ana!$B34=R$4),"ok","nok")</f>
        <v>nok</v>
      </c>
      <c r="S37" s="84" t="str">
        <f>IF(AND($B37=[1]ana!$A34,[1]ana!$B34=S$4),"ok","nok")</f>
        <v>nok</v>
      </c>
      <c r="T37" s="84" t="str">
        <f>IF(AND($B37=[1]ana!$A34,[1]ana!$B34=T$4),"ok","nok")</f>
        <v>nok</v>
      </c>
      <c r="U37" s="84" t="str">
        <f>IF(AND($B37=[1]ana!$A34,[1]ana!$B34=U$4),"ok","nok")</f>
        <v>nok</v>
      </c>
      <c r="V37" s="84" t="str">
        <f>IF(AND($B37=[1]ana!$A34,[1]ana!$B34=V$4),"ok","nok")</f>
        <v>nok</v>
      </c>
      <c r="W37" s="84" t="str">
        <f>IF(AND($B37=[1]ana!$A34,[1]ana!$B34=W$4),"ok","nok")</f>
        <v>nok</v>
      </c>
      <c r="X37" s="84" t="str">
        <f>IF(AND($B37=[1]ana!$A34,[1]ana!$B34=X$4),"ok","nok")</f>
        <v>nok</v>
      </c>
      <c r="Y37" s="85" t="s">
        <v>33</v>
      </c>
      <c r="Z37" s="86"/>
      <c r="AA37" s="86"/>
      <c r="AB37" s="87"/>
      <c r="AC37" s="60" t="str">
        <f t="shared" si="1"/>
        <v>MARCO - Envio do documento Certificado (Rev_0)</v>
      </c>
      <c r="AD37" s="60"/>
      <c r="AE37" s="60"/>
      <c r="AF37" s="60"/>
      <c r="AG37" s="61">
        <f t="shared" si="2"/>
        <v>1</v>
      </c>
      <c r="AH37" s="61" t="str">
        <f t="shared" si="3"/>
        <v/>
      </c>
      <c r="AI37" s="61">
        <f t="shared" si="4"/>
        <v>0</v>
      </c>
      <c r="AJ37" s="61" t="str">
        <f t="shared" si="5"/>
        <v/>
      </c>
      <c r="AK37" s="61">
        <f t="shared" si="6"/>
        <v>0</v>
      </c>
      <c r="AL37" s="61" t="str">
        <f t="shared" si="7"/>
        <v/>
      </c>
      <c r="AM37" s="61">
        <f t="shared" si="8"/>
        <v>0</v>
      </c>
      <c r="AN37" s="61" t="str">
        <f t="shared" si="9"/>
        <v/>
      </c>
      <c r="AO37" s="61">
        <f t="shared" si="10"/>
        <v>0</v>
      </c>
      <c r="AP37" s="61" t="str">
        <f t="shared" si="11"/>
        <v/>
      </c>
      <c r="AQ37" s="67"/>
      <c r="AR37"/>
      <c r="AS37" t="str">
        <v>MARCO - Emissão (Rev_B)</v>
      </c>
      <c r="AT37"/>
      <c r="AU37"/>
      <c r="AV37"/>
      <c r="AW37"/>
      <c r="AX37"/>
      <c r="AY37">
        <f t="shared" si="14"/>
        <v>1</v>
      </c>
      <c r="AZ37" s="64">
        <f t="shared" si="15"/>
        <v>2.564102564102564E-2</v>
      </c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</row>
    <row r="38" spans="1:87" ht="30" customHeight="1" x14ac:dyDescent="0.35">
      <c r="B38" s="50" t="s">
        <v>58</v>
      </c>
      <c r="C38" s="50"/>
      <c r="D38" s="50"/>
      <c r="E38" s="50"/>
      <c r="F38" s="50"/>
      <c r="G38" s="50"/>
      <c r="H38" s="50"/>
      <c r="I38" s="50"/>
      <c r="J38" s="50"/>
      <c r="K38" s="50"/>
      <c r="L38" s="50"/>
      <c r="M38" s="50"/>
      <c r="N38" s="50"/>
      <c r="O38" s="50"/>
      <c r="P38" s="50"/>
      <c r="Q38" s="50"/>
      <c r="R38" s="50"/>
      <c r="S38" s="50"/>
      <c r="T38" s="50"/>
      <c r="U38" s="50"/>
      <c r="V38" s="50"/>
      <c r="W38" s="50"/>
      <c r="X38" s="50"/>
      <c r="Y38" s="97"/>
      <c r="Z38" s="98"/>
      <c r="AA38" s="98"/>
      <c r="AB38" s="99"/>
      <c r="AC38" s="60" t="str">
        <f t="shared" si="1"/>
        <v/>
      </c>
      <c r="AD38" s="60"/>
      <c r="AE38" s="60"/>
      <c r="AF38" s="60"/>
      <c r="AG38" s="61">
        <f t="shared" si="2"/>
        <v>0</v>
      </c>
      <c r="AH38" s="61" t="str">
        <f t="shared" si="3"/>
        <v/>
      </c>
      <c r="AI38" s="61">
        <f t="shared" si="4"/>
        <v>0</v>
      </c>
      <c r="AJ38" s="61" t="str">
        <f t="shared" si="5"/>
        <v/>
      </c>
      <c r="AK38" s="61">
        <f t="shared" si="6"/>
        <v>0</v>
      </c>
      <c r="AL38" s="61" t="str">
        <f t="shared" si="7"/>
        <v/>
      </c>
      <c r="AM38" s="61">
        <f t="shared" si="8"/>
        <v>0</v>
      </c>
      <c r="AN38" s="61" t="str">
        <f t="shared" si="9"/>
        <v/>
      </c>
      <c r="AO38" s="61">
        <f t="shared" si="10"/>
        <v>0</v>
      </c>
      <c r="AP38" s="61" t="str">
        <f t="shared" si="11"/>
        <v/>
      </c>
      <c r="AS38" t="str">
        <v>Elaboração da Lista de Documentos</v>
      </c>
      <c r="AY38">
        <f t="shared" si="14"/>
        <v>1</v>
      </c>
      <c r="AZ38" s="64">
        <f t="shared" si="15"/>
        <v>2.564102564102564E-2</v>
      </c>
    </row>
    <row r="39" spans="1:87" ht="30" customHeight="1" x14ac:dyDescent="0.35">
      <c r="B39" s="54" t="s">
        <v>59</v>
      </c>
      <c r="C39" s="54"/>
      <c r="D39" s="54"/>
      <c r="E39" s="54"/>
      <c r="F39" s="54"/>
      <c r="G39" s="54"/>
      <c r="H39" s="54"/>
      <c r="I39" s="54"/>
      <c r="J39" s="54"/>
      <c r="K39" s="54"/>
      <c r="L39" s="54"/>
      <c r="M39" s="54"/>
      <c r="N39" s="54"/>
      <c r="O39" s="54"/>
      <c r="P39" s="54"/>
      <c r="Q39" s="54"/>
      <c r="R39" s="54"/>
      <c r="S39" s="54"/>
      <c r="T39" s="54"/>
      <c r="U39" s="54"/>
      <c r="V39" s="54"/>
      <c r="W39" s="54"/>
      <c r="X39" s="54"/>
      <c r="Y39" s="91"/>
      <c r="Z39" s="92"/>
      <c r="AA39" s="92"/>
      <c r="AB39" s="93"/>
      <c r="AC39" s="60" t="str">
        <f t="shared" si="1"/>
        <v/>
      </c>
      <c r="AD39" s="60"/>
      <c r="AE39" s="60"/>
      <c r="AF39" s="60"/>
      <c r="AG39" s="61">
        <f t="shared" si="2"/>
        <v>0</v>
      </c>
      <c r="AH39" s="61" t="str">
        <f t="shared" si="3"/>
        <v/>
      </c>
      <c r="AI39" s="61">
        <f t="shared" si="4"/>
        <v>0</v>
      </c>
      <c r="AJ39" s="61" t="str">
        <f t="shared" si="5"/>
        <v/>
      </c>
      <c r="AK39" s="61">
        <f t="shared" si="6"/>
        <v>0</v>
      </c>
      <c r="AL39" s="61" t="str">
        <f t="shared" si="7"/>
        <v/>
      </c>
      <c r="AM39" s="61">
        <f t="shared" si="8"/>
        <v>0</v>
      </c>
      <c r="AN39" s="61" t="str">
        <f t="shared" si="9"/>
        <v/>
      </c>
      <c r="AO39" s="61">
        <f t="shared" si="10"/>
        <v>0</v>
      </c>
      <c r="AP39" s="61" t="str">
        <f t="shared" si="11"/>
        <v/>
      </c>
      <c r="AS39" t="str">
        <v>77 - Descarregamento E Distribuicao De Soda Caustica</v>
      </c>
      <c r="AY39">
        <f t="shared" si="14"/>
        <v>1</v>
      </c>
      <c r="AZ39" s="64">
        <f t="shared" si="15"/>
        <v>2.564102564102564E-2</v>
      </c>
    </row>
    <row r="40" spans="1:87" ht="30" customHeight="1" x14ac:dyDescent="0.35">
      <c r="B40" s="55" t="s">
        <v>60</v>
      </c>
      <c r="C40" s="55"/>
      <c r="D40" s="55"/>
      <c r="E40" s="55"/>
      <c r="F40" s="55"/>
      <c r="G40" s="55"/>
      <c r="H40" s="55"/>
      <c r="I40" s="55"/>
      <c r="J40" s="55"/>
      <c r="K40" s="55"/>
      <c r="L40" s="55"/>
      <c r="M40" s="55"/>
      <c r="N40" s="55"/>
      <c r="O40" s="55"/>
      <c r="P40" s="55"/>
      <c r="Q40" s="55"/>
      <c r="R40" s="55"/>
      <c r="S40" s="55"/>
      <c r="T40" s="55"/>
      <c r="U40" s="55"/>
      <c r="V40" s="55"/>
      <c r="W40" s="55"/>
      <c r="X40" s="55"/>
      <c r="Y40" s="131"/>
      <c r="Z40" s="132"/>
      <c r="AA40" s="132"/>
      <c r="AB40" s="133"/>
      <c r="AC40" s="60" t="str">
        <f t="shared" si="1"/>
        <v/>
      </c>
      <c r="AD40" s="60"/>
      <c r="AE40" s="60"/>
      <c r="AF40" s="60"/>
      <c r="AG40" s="61">
        <f t="shared" si="2"/>
        <v>0</v>
      </c>
      <c r="AH40" s="61" t="str">
        <f t="shared" si="3"/>
        <v/>
      </c>
      <c r="AI40" s="61">
        <f t="shared" si="4"/>
        <v>0</v>
      </c>
      <c r="AJ40" s="61" t="str">
        <f t="shared" si="5"/>
        <v/>
      </c>
      <c r="AK40" s="61">
        <f t="shared" si="6"/>
        <v>0</v>
      </c>
      <c r="AL40" s="61" t="str">
        <f t="shared" si="7"/>
        <v/>
      </c>
      <c r="AM40" s="61">
        <f t="shared" si="8"/>
        <v>0</v>
      </c>
      <c r="AN40" s="61" t="str">
        <f t="shared" si="9"/>
        <v/>
      </c>
      <c r="AO40" s="61">
        <f t="shared" si="10"/>
        <v>0</v>
      </c>
      <c r="AP40" s="61" t="str">
        <f t="shared" si="11"/>
        <v/>
      </c>
      <c r="AS40" t="str">
        <v>83 - Casa De Bombas - Aspersão Do Patio Finos</v>
      </c>
      <c r="AY40">
        <f t="shared" si="14"/>
        <v>1</v>
      </c>
      <c r="AZ40" s="64">
        <f t="shared" si="15"/>
        <v>2.564102564102564E-2</v>
      </c>
      <c r="BJ40" s="64"/>
    </row>
    <row r="41" spans="1:87" s="68" customFormat="1" ht="30" customHeight="1" x14ac:dyDescent="0.35">
      <c r="A41" s="66"/>
      <c r="B41" s="52" t="s">
        <v>42</v>
      </c>
      <c r="C41" s="52"/>
      <c r="D41" s="52"/>
      <c r="E41" s="52"/>
      <c r="F41" s="52"/>
      <c r="G41" s="52"/>
      <c r="H41" s="52"/>
      <c r="I41" s="52"/>
      <c r="J41" s="52"/>
      <c r="K41" s="52"/>
      <c r="L41" s="52"/>
      <c r="M41" s="52"/>
      <c r="N41" s="52"/>
      <c r="O41" s="52"/>
      <c r="P41" s="52"/>
      <c r="Q41" s="52"/>
      <c r="R41" s="52"/>
      <c r="S41" s="52"/>
      <c r="T41" s="52"/>
      <c r="U41" s="52"/>
      <c r="V41" s="52"/>
      <c r="W41" s="52"/>
      <c r="X41" s="52"/>
      <c r="Y41" s="88"/>
      <c r="Z41" s="89"/>
      <c r="AA41" s="89"/>
      <c r="AB41" s="90"/>
      <c r="AC41" s="60" t="str">
        <f t="shared" si="1"/>
        <v/>
      </c>
      <c r="AD41" s="60"/>
      <c r="AE41" s="60"/>
      <c r="AF41" s="60"/>
      <c r="AG41" s="61">
        <f t="shared" si="2"/>
        <v>0</v>
      </c>
      <c r="AH41" s="61" t="str">
        <f t="shared" si="3"/>
        <v/>
      </c>
      <c r="AI41" s="61">
        <f t="shared" si="4"/>
        <v>0</v>
      </c>
      <c r="AJ41" s="61" t="str">
        <f t="shared" si="5"/>
        <v/>
      </c>
      <c r="AK41" s="61">
        <f t="shared" si="6"/>
        <v>0</v>
      </c>
      <c r="AL41" s="61" t="str">
        <f t="shared" si="7"/>
        <v/>
      </c>
      <c r="AM41" s="61">
        <f t="shared" si="8"/>
        <v>0</v>
      </c>
      <c r="AN41" s="61" t="str">
        <f t="shared" si="9"/>
        <v/>
      </c>
      <c r="AO41" s="61">
        <f t="shared" si="10"/>
        <v>0</v>
      </c>
      <c r="AP41" s="61" t="str">
        <f t="shared" si="11"/>
        <v/>
      </c>
      <c r="AQ41" s="67"/>
      <c r="AR41"/>
      <c r="AS41" t="str">
        <v>178 - Sala De Controle Operacional Do Peneiramento</v>
      </c>
      <c r="AT41"/>
      <c r="AU41"/>
      <c r="AV41"/>
      <c r="AW41"/>
      <c r="AX41"/>
      <c r="AY41">
        <f t="shared" si="14"/>
        <v>1</v>
      </c>
      <c r="AZ41" s="64">
        <f t="shared" si="15"/>
        <v>2.564102564102564E-2</v>
      </c>
      <c r="BA41"/>
      <c r="BB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</row>
    <row r="42" spans="1:87" ht="30" customHeight="1" x14ac:dyDescent="0.35">
      <c r="A42" s="26" t="str">
        <f>CONCATENATE($B$25,"
",$B$38,"
",$B$39,"
",$B$40)</f>
        <v>PT124_ADP_AES_129/2021 - OFICINA DE MUTUCA (MUTUCA)
FASE 3 - AVALIAÇÃO ESTRUTURAL - PROJETO DE REFORÇO
ETAPA DE ESCRITÓRIO
MARCOS CONTRATUAIS</v>
      </c>
      <c r="B42" s="53" t="s">
        <v>121</v>
      </c>
      <c r="C42" s="84" t="str">
        <f>IF(AND($B42=[1]ana!$A39,[1]ana!$B39=C$4),"ok","nok")</f>
        <v>nok</v>
      </c>
      <c r="D42" s="84" t="str">
        <f>IF(AND($B42=[1]ana!$A39,[1]ana!$B39=D$4),"ok","nok")</f>
        <v>nok</v>
      </c>
      <c r="E42" s="84" t="str">
        <f>IF(AND($B42=[1]ana!$A39,[1]ana!$B39=E$4),"ok","nok")</f>
        <v>nok</v>
      </c>
      <c r="F42" s="84" t="str">
        <f>IF(AND($B42=[1]ana!$A39,[1]ana!$B39=F$4),"ok","nok")</f>
        <v>nok</v>
      </c>
      <c r="G42" s="84" t="str">
        <f>IF(AND($B42=[1]ana!$A39,[1]ana!$B39=G$4),"ok","nok")</f>
        <v>ok</v>
      </c>
      <c r="H42" s="84" t="str">
        <f>IF(AND($B42=[1]ana!$A39,[1]ana!$B39=H$4),"ok","nok")</f>
        <v>nok</v>
      </c>
      <c r="I42" s="84" t="str">
        <f>IF(AND($B42=[1]ana!$A39,[1]ana!$B39=I$4),"ok","nok")</f>
        <v>nok</v>
      </c>
      <c r="J42" s="84" t="str">
        <f>IF(AND($B42=[1]ana!$A39,[1]ana!$B39=J$4),"ok","nok")</f>
        <v>nok</v>
      </c>
      <c r="K42" s="84" t="str">
        <f>IF(AND($B42=[1]ana!$A39,[1]ana!$B39=K$4),"ok","nok")</f>
        <v>nok</v>
      </c>
      <c r="L42" s="84" t="str">
        <f>IF(AND($B42=[1]ana!$A39,[1]ana!$B39=L$4),"ok","nok")</f>
        <v>nok</v>
      </c>
      <c r="M42" s="84" t="str">
        <f>IF(AND($B42=[1]ana!$A39,[1]ana!$B39=M$4),"ok","nok")</f>
        <v>nok</v>
      </c>
      <c r="N42" s="84" t="str">
        <f>IF(AND($B42=[1]ana!$A39,[1]ana!$B39=N$4),"ok","nok")</f>
        <v>nok</v>
      </c>
      <c r="O42" s="84" t="str">
        <f>IF(AND($B42=[1]ana!$A39,[1]ana!$B39=O$4),"ok","nok")</f>
        <v>nok</v>
      </c>
      <c r="P42" s="84" t="str">
        <f>IF(AND($B42=[1]ana!$A39,[1]ana!$B39=P$4),"ok","nok")</f>
        <v>nok</v>
      </c>
      <c r="Q42" s="84" t="str">
        <f>IF(AND($B42=[1]ana!$A39,[1]ana!$B39=Q$4),"ok","nok")</f>
        <v>nok</v>
      </c>
      <c r="R42" s="84" t="str">
        <f>IF(AND($B42=[1]ana!$A39,[1]ana!$B39=R$4),"ok","nok")</f>
        <v>nok</v>
      </c>
      <c r="S42" s="84" t="str">
        <f>IF(AND($B42=[1]ana!$A39,[1]ana!$B39=S$4),"ok","nok")</f>
        <v>nok</v>
      </c>
      <c r="T42" s="84" t="str">
        <f>IF(AND($B42=[1]ana!$A39,[1]ana!$B39=T$4),"ok","nok")</f>
        <v>nok</v>
      </c>
      <c r="U42" s="84" t="str">
        <f>IF(AND($B42=[1]ana!$A39,[1]ana!$B39=U$4),"ok","nok")</f>
        <v>nok</v>
      </c>
      <c r="V42" s="84" t="str">
        <f>IF(AND($B42=[1]ana!$A39,[1]ana!$B39=V$4),"ok","nok")</f>
        <v>nok</v>
      </c>
      <c r="W42" s="84" t="str">
        <f>IF(AND($B42=[1]ana!$A39,[1]ana!$B39=W$4),"ok","nok")</f>
        <v>nok</v>
      </c>
      <c r="X42" s="84" t="str">
        <f>IF(AND($B42=[1]ana!$A39,[1]ana!$B39=X$4),"ok","nok")</f>
        <v>nok</v>
      </c>
      <c r="Y42" s="85" t="s">
        <v>33</v>
      </c>
      <c r="Z42" s="86"/>
      <c r="AA42" s="86"/>
      <c r="AB42" s="87"/>
      <c r="AC42" s="60" t="str">
        <f t="shared" si="1"/>
        <v>Atendimento a comentários</v>
      </c>
      <c r="AD42" s="60"/>
      <c r="AE42" s="60"/>
      <c r="AF42" s="60"/>
      <c r="AG42" s="61">
        <f t="shared" si="2"/>
        <v>1</v>
      </c>
      <c r="AH42" s="61" t="str">
        <f t="shared" si="3"/>
        <v/>
      </c>
      <c r="AI42" s="61">
        <f t="shared" si="4"/>
        <v>0</v>
      </c>
      <c r="AJ42" s="61" t="str">
        <f t="shared" si="5"/>
        <v/>
      </c>
      <c r="AK42" s="61">
        <f t="shared" si="6"/>
        <v>0</v>
      </c>
      <c r="AL42" s="61" t="str">
        <f t="shared" si="7"/>
        <v/>
      </c>
      <c r="AM42" s="61">
        <f t="shared" si="8"/>
        <v>0</v>
      </c>
      <c r="AN42" s="61" t="str">
        <f t="shared" si="9"/>
        <v/>
      </c>
      <c r="AO42" s="61">
        <f t="shared" si="10"/>
        <v>0</v>
      </c>
      <c r="AP42" s="61" t="str">
        <f t="shared" si="11"/>
        <v/>
      </c>
      <c r="AS42" t="str">
        <v>167 - Casa De Compressores</v>
      </c>
      <c r="AY42">
        <f t="shared" si="14"/>
        <v>1</v>
      </c>
      <c r="AZ42" s="64">
        <f t="shared" si="15"/>
        <v>2.564102564102564E-2</v>
      </c>
    </row>
    <row r="43" spans="1:87" ht="30" customHeight="1" x14ac:dyDescent="0.35">
      <c r="A43" s="26" t="str">
        <f t="shared" ref="A43:A45" si="16">CONCATENATE($B$25,"
",$B$38,"
",$B$39,"
",$B$40)</f>
        <v>PT124_ADP_AES_129/2021 - OFICINA DE MUTUCA (MUTUCA)
FASE 3 - AVALIAÇÃO ESTRUTURAL - PROJETO DE REFORÇO
ETAPA DE ESCRITÓRIO
MARCOS CONTRATUAIS</v>
      </c>
      <c r="B43" s="53" t="s">
        <v>122</v>
      </c>
      <c r="C43" s="84" t="str">
        <f>IF(AND($B43=[1]ana!$A40,[1]ana!$B40=C$4),"ok","nok")</f>
        <v>nok</v>
      </c>
      <c r="D43" s="84" t="str">
        <f>IF(AND($B43=[1]ana!$A40,[1]ana!$B40=D$4),"ok","nok")</f>
        <v>nok</v>
      </c>
      <c r="E43" s="84" t="str">
        <f>IF(AND($B43=[1]ana!$A40,[1]ana!$B40=E$4),"ok","nok")</f>
        <v>nok</v>
      </c>
      <c r="F43" s="84" t="str">
        <f>IF(AND($B43=[1]ana!$A40,[1]ana!$B40=F$4),"ok","nok")</f>
        <v>nok</v>
      </c>
      <c r="G43" s="84" t="str">
        <f>IF(AND($B43=[1]ana!$A40,[1]ana!$B40=G$4),"ok","nok")</f>
        <v>ok</v>
      </c>
      <c r="H43" s="84" t="str">
        <f>IF(AND($B43=[1]ana!$A40,[1]ana!$B40=H$4),"ok","nok")</f>
        <v>nok</v>
      </c>
      <c r="I43" s="84" t="str">
        <f>IF(AND($B43=[1]ana!$A40,[1]ana!$B40=I$4),"ok","nok")</f>
        <v>nok</v>
      </c>
      <c r="J43" s="84" t="str">
        <f>IF(AND($B43=[1]ana!$A40,[1]ana!$B40=J$4),"ok","nok")</f>
        <v>nok</v>
      </c>
      <c r="K43" s="84" t="str">
        <f>IF(AND($B43=[1]ana!$A40,[1]ana!$B40=K$4),"ok","nok")</f>
        <v>nok</v>
      </c>
      <c r="L43" s="84" t="str">
        <f>IF(AND($B43=[1]ana!$A40,[1]ana!$B40=L$4),"ok","nok")</f>
        <v>nok</v>
      </c>
      <c r="M43" s="84" t="str">
        <f>IF(AND($B43=[1]ana!$A40,[1]ana!$B40=M$4),"ok","nok")</f>
        <v>nok</v>
      </c>
      <c r="N43" s="84" t="str">
        <f>IF(AND($B43=[1]ana!$A40,[1]ana!$B40=N$4),"ok","nok")</f>
        <v>nok</v>
      </c>
      <c r="O43" s="84" t="str">
        <f>IF(AND($B43=[1]ana!$A40,[1]ana!$B40=O$4),"ok","nok")</f>
        <v>nok</v>
      </c>
      <c r="P43" s="84" t="str">
        <f>IF(AND($B43=[1]ana!$A40,[1]ana!$B40=P$4),"ok","nok")</f>
        <v>nok</v>
      </c>
      <c r="Q43" s="84" t="str">
        <f>IF(AND($B43=[1]ana!$A40,[1]ana!$B40=Q$4),"ok","nok")</f>
        <v>nok</v>
      </c>
      <c r="R43" s="84" t="str">
        <f>IF(AND($B43=[1]ana!$A40,[1]ana!$B40=R$4),"ok","nok")</f>
        <v>nok</v>
      </c>
      <c r="S43" s="84" t="str">
        <f>IF(AND($B43=[1]ana!$A40,[1]ana!$B40=S$4),"ok","nok")</f>
        <v>nok</v>
      </c>
      <c r="T43" s="84" t="str">
        <f>IF(AND($B43=[1]ana!$A40,[1]ana!$B40=T$4),"ok","nok")</f>
        <v>nok</v>
      </c>
      <c r="U43" s="84" t="str">
        <f>IF(AND($B43=[1]ana!$A40,[1]ana!$B40=U$4),"ok","nok")</f>
        <v>nok</v>
      </c>
      <c r="V43" s="84" t="str">
        <f>IF(AND($B43=[1]ana!$A40,[1]ana!$B40=V$4),"ok","nok")</f>
        <v>nok</v>
      </c>
      <c r="W43" s="84" t="str">
        <f>IF(AND($B43=[1]ana!$A40,[1]ana!$B40=W$4),"ok","nok")</f>
        <v>nok</v>
      </c>
      <c r="X43" s="84" t="str">
        <f>IF(AND($B43=[1]ana!$A40,[1]ana!$B40=X$4),"ok","nok")</f>
        <v>nok</v>
      </c>
      <c r="Y43" s="85" t="s">
        <v>33</v>
      </c>
      <c r="Z43" s="86"/>
      <c r="AA43" s="86"/>
      <c r="AB43" s="87"/>
      <c r="AC43" s="60" t="str">
        <f t="shared" si="1"/>
        <v>MARCO - Emissão (Rev_B)</v>
      </c>
      <c r="AD43" s="60"/>
      <c r="AE43" s="60"/>
      <c r="AF43" s="60"/>
      <c r="AG43" s="61">
        <f t="shared" si="2"/>
        <v>1</v>
      </c>
      <c r="AH43" s="61" t="str">
        <f t="shared" si="3"/>
        <v/>
      </c>
      <c r="AI43" s="61">
        <f t="shared" si="4"/>
        <v>0</v>
      </c>
      <c r="AJ43" s="61" t="str">
        <f t="shared" si="5"/>
        <v/>
      </c>
      <c r="AK43" s="61">
        <f t="shared" si="6"/>
        <v>0</v>
      </c>
      <c r="AL43" s="61" t="str">
        <f t="shared" si="7"/>
        <v/>
      </c>
      <c r="AM43" s="61">
        <f t="shared" si="8"/>
        <v>0</v>
      </c>
      <c r="AN43" s="61" t="str">
        <f t="shared" si="9"/>
        <v/>
      </c>
      <c r="AO43" s="61">
        <f t="shared" si="10"/>
        <v>0</v>
      </c>
      <c r="AP43" s="61" t="str">
        <f t="shared" si="11"/>
        <v/>
      </c>
      <c r="AS43" t="str">
        <v>173 - Britagem De Carvao - Supressao De PO</v>
      </c>
      <c r="AY43">
        <f t="shared" si="14"/>
        <v>1</v>
      </c>
      <c r="AZ43" s="64">
        <f t="shared" si="15"/>
        <v>2.564102564102564E-2</v>
      </c>
    </row>
    <row r="44" spans="1:87" ht="30" customHeight="1" x14ac:dyDescent="0.35">
      <c r="A44" s="26" t="str">
        <f t="shared" si="16"/>
        <v>PT124_ADP_AES_129/2021 - OFICINA DE MUTUCA (MUTUCA)
FASE 3 - AVALIAÇÃO ESTRUTURAL - PROJETO DE REFORÇO
ETAPA DE ESCRITÓRIO
MARCOS CONTRATUAIS</v>
      </c>
      <c r="B44" s="53" t="s">
        <v>43</v>
      </c>
      <c r="C44" s="84" t="str">
        <f>IF(AND($B44=[1]ana!$A41,[1]ana!$B41=C$4),"ok","nok")</f>
        <v>nok</v>
      </c>
      <c r="D44" s="84" t="str">
        <f>IF(AND($B44=[1]ana!$A41,[1]ana!$B41=D$4),"ok","nok")</f>
        <v>nok</v>
      </c>
      <c r="E44" s="84" t="str">
        <f>IF(AND($B44=[1]ana!$A41,[1]ana!$B41=E$4),"ok","nok")</f>
        <v>nok</v>
      </c>
      <c r="F44" s="84" t="str">
        <f>IF(AND($B44=[1]ana!$A41,[1]ana!$B41=F$4),"ok","nok")</f>
        <v>nok</v>
      </c>
      <c r="G44" s="84" t="str">
        <f>IF(AND($B44=[1]ana!$A41,[1]ana!$B41=G$4),"ok","nok")</f>
        <v>nok</v>
      </c>
      <c r="H44" s="84" t="str">
        <f>IF(AND($B44=[1]ana!$A41,[1]ana!$B41=H$4),"ok","nok")</f>
        <v>nok</v>
      </c>
      <c r="I44" s="84" t="str">
        <f>IF(AND($B44=[1]ana!$A41,[1]ana!$B41=I$4),"ok","nok")</f>
        <v>nok</v>
      </c>
      <c r="J44" s="84" t="str">
        <f>IF(AND($B44=[1]ana!$A41,[1]ana!$B41=J$4),"ok","nok")</f>
        <v>nok</v>
      </c>
      <c r="K44" s="84" t="str">
        <f>IF(AND($B44=[1]ana!$A41,[1]ana!$B41=K$4),"ok","nok")</f>
        <v>nok</v>
      </c>
      <c r="L44" s="84" t="str">
        <f>IF(AND($B44=[1]ana!$A41,[1]ana!$B41=L$4),"ok","nok")</f>
        <v>nok</v>
      </c>
      <c r="M44" s="84" t="str">
        <f>IF(AND($B44=[1]ana!$A41,[1]ana!$B41=M$4),"ok","nok")</f>
        <v>nok</v>
      </c>
      <c r="N44" s="84" t="str">
        <f>IF(AND($B44=[1]ana!$A41,[1]ana!$B41=N$4),"ok","nok")</f>
        <v>ok</v>
      </c>
      <c r="O44" s="84" t="str">
        <f>IF(AND($B44=[1]ana!$A41,[1]ana!$B41=O$4),"ok","nok")</f>
        <v>nok</v>
      </c>
      <c r="P44" s="84" t="str">
        <f>IF(AND($B44=[1]ana!$A41,[1]ana!$B41=P$4),"ok","nok")</f>
        <v>nok</v>
      </c>
      <c r="Q44" s="84" t="str">
        <f>IF(AND($B44=[1]ana!$A41,[1]ana!$B41=Q$4),"ok","nok")</f>
        <v>nok</v>
      </c>
      <c r="R44" s="84" t="str">
        <f>IF(AND($B44=[1]ana!$A41,[1]ana!$B41=R$4),"ok","nok")</f>
        <v>nok</v>
      </c>
      <c r="S44" s="84" t="str">
        <f>IF(AND($B44=[1]ana!$A41,[1]ana!$B41=S$4),"ok","nok")</f>
        <v>nok</v>
      </c>
      <c r="T44" s="84" t="str">
        <f>IF(AND($B44=[1]ana!$A41,[1]ana!$B41=T$4),"ok","nok")</f>
        <v>nok</v>
      </c>
      <c r="U44" s="84" t="str">
        <f>IF(AND($B44=[1]ana!$A41,[1]ana!$B41=U$4),"ok","nok")</f>
        <v>nok</v>
      </c>
      <c r="V44" s="84" t="str">
        <f>IF(AND($B44=[1]ana!$A41,[1]ana!$B41=V$4),"ok","nok")</f>
        <v>nok</v>
      </c>
      <c r="W44" s="84" t="str">
        <f>IF(AND($B44=[1]ana!$A41,[1]ana!$B41=W$4),"ok","nok")</f>
        <v>nok</v>
      </c>
      <c r="X44" s="84" t="str">
        <f>IF(AND($B44=[1]ana!$A41,[1]ana!$B41=X$4),"ok","nok")</f>
        <v>nok</v>
      </c>
      <c r="Y44" s="85" t="s">
        <v>33</v>
      </c>
      <c r="Z44" s="86"/>
      <c r="AA44" s="86"/>
      <c r="AB44" s="87"/>
      <c r="AC44" s="60" t="str">
        <f t="shared" si="1"/>
        <v>Aprovação do Cliente</v>
      </c>
      <c r="AD44" s="60"/>
      <c r="AE44" s="60"/>
      <c r="AF44" s="60"/>
      <c r="AG44" s="61">
        <f t="shared" si="2"/>
        <v>0</v>
      </c>
      <c r="AH44" s="61" t="str">
        <f t="shared" si="3"/>
        <v/>
      </c>
      <c r="AI44" s="61">
        <f t="shared" si="4"/>
        <v>0</v>
      </c>
      <c r="AJ44" s="61" t="str">
        <f t="shared" si="5"/>
        <v/>
      </c>
      <c r="AK44" s="61">
        <f t="shared" si="6"/>
        <v>1</v>
      </c>
      <c r="AL44" s="61" t="str">
        <f t="shared" si="7"/>
        <v/>
      </c>
      <c r="AM44" s="61">
        <f t="shared" si="8"/>
        <v>0</v>
      </c>
      <c r="AN44" s="61" t="str">
        <f t="shared" si="9"/>
        <v/>
      </c>
      <c r="AO44" s="61">
        <f t="shared" si="10"/>
        <v>0</v>
      </c>
      <c r="AP44" s="61" t="str">
        <f t="shared" si="11"/>
        <v/>
      </c>
      <c r="AS44" t="str">
        <v>204 - Casa De Bombas De Oleo 1</v>
      </c>
      <c r="AY44">
        <f t="shared" si="14"/>
        <v>1</v>
      </c>
      <c r="AZ44" s="64">
        <f t="shared" si="15"/>
        <v>2.564102564102564E-2</v>
      </c>
    </row>
    <row r="45" spans="1:87" ht="30" customHeight="1" x14ac:dyDescent="0.35">
      <c r="A45" s="26" t="str">
        <f t="shared" si="16"/>
        <v>PT124_ADP_AES_129/2021 - OFICINA DE MUTUCA (MUTUCA)
FASE 3 - AVALIAÇÃO ESTRUTURAL - PROJETO DE REFORÇO
ETAPA DE ESCRITÓRIO
MARCOS CONTRATUAIS</v>
      </c>
      <c r="B45" s="53" t="s">
        <v>44</v>
      </c>
      <c r="C45" s="84" t="str">
        <f>IF(AND($B45=[1]ana!$A42,[1]ana!$B42=C$4),"ok","nok")</f>
        <v>nok</v>
      </c>
      <c r="D45" s="84" t="str">
        <f>IF(AND($B45=[1]ana!$A42,[1]ana!$B42=D$4),"ok","nok")</f>
        <v>nok</v>
      </c>
      <c r="E45" s="84" t="str">
        <f>IF(AND($B45=[1]ana!$A42,[1]ana!$B42=E$4),"ok","nok")</f>
        <v>nok</v>
      </c>
      <c r="F45" s="84" t="str">
        <f>IF(AND($B45=[1]ana!$A42,[1]ana!$B42=F$4),"ok","nok")</f>
        <v>nok</v>
      </c>
      <c r="G45" s="84" t="str">
        <f>IF(AND($B45=[1]ana!$A42,[1]ana!$B42=G$4),"ok","nok")</f>
        <v>nok</v>
      </c>
      <c r="H45" s="84" t="str">
        <f>IF(AND($B45=[1]ana!$A42,[1]ana!$B42=H$4),"ok","nok")</f>
        <v>nok</v>
      </c>
      <c r="I45" s="84" t="str">
        <f>IF(AND($B45=[1]ana!$A42,[1]ana!$B42=I$4),"ok","nok")</f>
        <v>nok</v>
      </c>
      <c r="J45" s="84" t="str">
        <f>IF(AND($B45=[1]ana!$A42,[1]ana!$B42=J$4),"ok","nok")</f>
        <v>nok</v>
      </c>
      <c r="K45" s="84" t="str">
        <f>IF(AND($B45=[1]ana!$A42,[1]ana!$B42=K$4),"ok","nok")</f>
        <v>nok</v>
      </c>
      <c r="L45" s="84" t="str">
        <f>IF(AND($B45=[1]ana!$A42,[1]ana!$B42=L$4),"ok","nok")</f>
        <v>nok</v>
      </c>
      <c r="M45" s="84" t="str">
        <f>IF(AND($B45=[1]ana!$A42,[1]ana!$B42=M$4),"ok","nok")</f>
        <v>nok</v>
      </c>
      <c r="N45" s="84" t="str">
        <f>IF(AND($B45=[1]ana!$A42,[1]ana!$B42=N$4),"ok","nok")</f>
        <v>nok</v>
      </c>
      <c r="O45" s="84" t="str">
        <f>IF(AND($B45=[1]ana!$A42,[1]ana!$B42=O$4),"ok","nok")</f>
        <v>nok</v>
      </c>
      <c r="P45" s="84" t="str">
        <f>IF(AND($B45=[1]ana!$A42,[1]ana!$B42=P$4),"ok","nok")</f>
        <v>nok</v>
      </c>
      <c r="Q45" s="84" t="str">
        <f>IF(AND($B45=[1]ana!$A42,[1]ana!$B42=Q$4),"ok","nok")</f>
        <v>ok</v>
      </c>
      <c r="R45" s="84" t="str">
        <f>IF(AND($B45=[1]ana!$A42,[1]ana!$B42=R$4),"ok","nok")</f>
        <v>nok</v>
      </c>
      <c r="S45" s="84" t="str">
        <f>IF(AND($B45=[1]ana!$A42,[1]ana!$B42=S$4),"ok","nok")</f>
        <v>nok</v>
      </c>
      <c r="T45" s="84" t="str">
        <f>IF(AND($B45=[1]ana!$A42,[1]ana!$B42=T$4),"ok","nok")</f>
        <v>nok</v>
      </c>
      <c r="U45" s="84" t="str">
        <f>IF(AND($B45=[1]ana!$A42,[1]ana!$B42=U$4),"ok","nok")</f>
        <v>nok</v>
      </c>
      <c r="V45" s="84" t="str">
        <f>IF(AND($B45=[1]ana!$A42,[1]ana!$B42=V$4),"ok","nok")</f>
        <v>nok</v>
      </c>
      <c r="W45" s="84" t="str">
        <f>IF(AND($B45=[1]ana!$A42,[1]ana!$B42=W$4),"ok","nok")</f>
        <v>nok</v>
      </c>
      <c r="X45" s="84" t="str">
        <f>IF(AND($B45=[1]ana!$A42,[1]ana!$B42=X$4),"ok","nok")</f>
        <v>nok</v>
      </c>
      <c r="Y45" s="85" t="s">
        <v>33</v>
      </c>
      <c r="Z45" s="86"/>
      <c r="AA45" s="86"/>
      <c r="AB45" s="87"/>
      <c r="AC45" s="60" t="str">
        <f t="shared" si="1"/>
        <v>Certificação do documento - Vibracon</v>
      </c>
      <c r="AD45" s="60"/>
      <c r="AE45" s="60"/>
      <c r="AF45" s="60"/>
      <c r="AG45" s="61">
        <f t="shared" si="2"/>
        <v>0</v>
      </c>
      <c r="AH45" s="61" t="str">
        <f t="shared" si="3"/>
        <v/>
      </c>
      <c r="AI45" s="61">
        <f t="shared" si="4"/>
        <v>0</v>
      </c>
      <c r="AJ45" s="61" t="str">
        <f t="shared" si="5"/>
        <v/>
      </c>
      <c r="AK45" s="61">
        <f t="shared" si="6"/>
        <v>1</v>
      </c>
      <c r="AL45" s="61" t="str">
        <f t="shared" si="7"/>
        <v/>
      </c>
      <c r="AM45" s="61">
        <f t="shared" si="8"/>
        <v>0</v>
      </c>
      <c r="AN45" s="61" t="str">
        <f t="shared" si="9"/>
        <v/>
      </c>
      <c r="AO45" s="61">
        <f t="shared" si="10"/>
        <v>0</v>
      </c>
      <c r="AP45" s="61" t="str">
        <f t="shared" si="11"/>
        <v/>
      </c>
      <c r="AS45" t="str">
        <v>85 - Predio Da Caldeira E Abrigo De Cilindros</v>
      </c>
      <c r="AY45">
        <f t="shared" si="14"/>
        <v>1</v>
      </c>
      <c r="AZ45" s="64">
        <f t="shared" si="15"/>
        <v>2.564102564102564E-2</v>
      </c>
    </row>
    <row r="46" spans="1:87" ht="30" customHeight="1" x14ac:dyDescent="0.35">
      <c r="A46" s="26" t="str">
        <f>CONCATENATE($B$25,"
",$B$38,"
",$B$39,"
",$B$40)</f>
        <v>PT124_ADP_AES_129/2021 - OFICINA DE MUTUCA (MUTUCA)
FASE 3 - AVALIAÇÃO ESTRUTURAL - PROJETO DE REFORÇO
ETAPA DE ESCRITÓRIO
MARCOS CONTRATUAIS</v>
      </c>
      <c r="B46" s="53" t="s">
        <v>45</v>
      </c>
      <c r="C46" s="84" t="str">
        <f>IF(AND($B46=[1]ana!$A43,[1]ana!$B43=C$4),"ok","nok")</f>
        <v>nok</v>
      </c>
      <c r="D46" s="84" t="str">
        <f>IF(AND($B46=[1]ana!$A43,[1]ana!$B43=D$4),"ok","nok")</f>
        <v>nok</v>
      </c>
      <c r="E46" s="84" t="str">
        <f>IF(AND($B46=[1]ana!$A43,[1]ana!$B43=E$4),"ok","nok")</f>
        <v>nok</v>
      </c>
      <c r="F46" s="84" t="str">
        <f>IF(AND($B46=[1]ana!$A43,[1]ana!$B43=F$4),"ok","nok")</f>
        <v>nok</v>
      </c>
      <c r="G46" s="84" t="str">
        <f>IF(AND($B46=[1]ana!$A43,[1]ana!$B43=G$4),"ok","nok")</f>
        <v>nok</v>
      </c>
      <c r="H46" s="84" t="str">
        <f>IF(AND($B46=[1]ana!$A43,[1]ana!$B43=H$4),"ok","nok")</f>
        <v>nok</v>
      </c>
      <c r="I46" s="84" t="str">
        <f>IF(AND($B46=[1]ana!$A43,[1]ana!$B43=I$4),"ok","nok")</f>
        <v>nok</v>
      </c>
      <c r="J46" s="84" t="str">
        <f>IF(AND($B46=[1]ana!$A43,[1]ana!$B43=J$4),"ok","nok")</f>
        <v>nok</v>
      </c>
      <c r="K46" s="84" t="str">
        <f>IF(AND($B46=[1]ana!$A43,[1]ana!$B43=K$4),"ok","nok")</f>
        <v>nok</v>
      </c>
      <c r="L46" s="84" t="str">
        <f>IF(AND($B46=[1]ana!$A43,[1]ana!$B43=L$4),"ok","nok")</f>
        <v>nok</v>
      </c>
      <c r="M46" s="84" t="str">
        <f>IF(AND($B46=[1]ana!$A43,[1]ana!$B43=M$4),"ok","nok")</f>
        <v>nok</v>
      </c>
      <c r="N46" s="84" t="str">
        <f>IF(AND($B46=[1]ana!$A43,[1]ana!$B43=N$4),"ok","nok")</f>
        <v>nok</v>
      </c>
      <c r="O46" s="84" t="str">
        <f>IF(AND($B46=[1]ana!$A43,[1]ana!$B43=O$4),"ok","nok")</f>
        <v>nok</v>
      </c>
      <c r="P46" s="84" t="str">
        <f>IF(AND($B46=[1]ana!$A43,[1]ana!$B43=P$4),"ok","nok")</f>
        <v>nok</v>
      </c>
      <c r="Q46" s="84" t="str">
        <f>IF(AND($B46=[1]ana!$A43,[1]ana!$B43=Q$4),"ok","nok")</f>
        <v>ok</v>
      </c>
      <c r="R46" s="84" t="str">
        <f>IF(AND($B46=[1]ana!$A43,[1]ana!$B43=R$4),"ok","nok")</f>
        <v>nok</v>
      </c>
      <c r="S46" s="84" t="str">
        <f>IF(AND($B46=[1]ana!$A43,[1]ana!$B43=S$4),"ok","nok")</f>
        <v>nok</v>
      </c>
      <c r="T46" s="84" t="str">
        <f>IF(AND($B46=[1]ana!$A43,[1]ana!$B43=T$4),"ok","nok")</f>
        <v>nok</v>
      </c>
      <c r="U46" s="84" t="str">
        <f>IF(AND($B46=[1]ana!$A43,[1]ana!$B43=U$4),"ok","nok")</f>
        <v>nok</v>
      </c>
      <c r="V46" s="84" t="str">
        <f>IF(AND($B46=[1]ana!$A43,[1]ana!$B43=V$4),"ok","nok")</f>
        <v>nok</v>
      </c>
      <c r="W46" s="84" t="str">
        <f>IF(AND($B46=[1]ana!$A43,[1]ana!$B43=W$4),"ok","nok")</f>
        <v>nok</v>
      </c>
      <c r="X46" s="84" t="str">
        <f>IF(AND($B46=[1]ana!$A43,[1]ana!$B43=X$4),"ok","nok")</f>
        <v>nok</v>
      </c>
      <c r="Y46" s="85" t="s">
        <v>33</v>
      </c>
      <c r="Z46" s="86"/>
      <c r="AA46" s="86"/>
      <c r="AB46" s="87"/>
      <c r="AC46" s="60" t="str">
        <f t="shared" si="1"/>
        <v>MARCO - Envio do documento Certificado (Rev_0)</v>
      </c>
      <c r="AD46" s="60"/>
      <c r="AE46" s="60"/>
      <c r="AF46" s="60"/>
      <c r="AG46" s="61">
        <f t="shared" si="2"/>
        <v>0</v>
      </c>
      <c r="AH46" s="61" t="str">
        <f t="shared" si="3"/>
        <v/>
      </c>
      <c r="AI46" s="61">
        <f t="shared" si="4"/>
        <v>0</v>
      </c>
      <c r="AJ46" s="61" t="str">
        <f t="shared" si="5"/>
        <v/>
      </c>
      <c r="AK46" s="61">
        <f t="shared" si="6"/>
        <v>1</v>
      </c>
      <c r="AL46" s="61" t="str">
        <f t="shared" si="7"/>
        <v/>
      </c>
      <c r="AM46" s="61">
        <f t="shared" si="8"/>
        <v>0</v>
      </c>
      <c r="AN46" s="61" t="str">
        <f t="shared" si="9"/>
        <v/>
      </c>
      <c r="AO46" s="61">
        <f t="shared" si="10"/>
        <v>0</v>
      </c>
      <c r="AP46" s="61" t="str">
        <f t="shared" si="11"/>
        <v/>
      </c>
      <c r="AS46" t="str">
        <v>Elaboração da Lista de Desenhos e Documentos</v>
      </c>
      <c r="AY46">
        <f t="shared" si="14"/>
        <v>1</v>
      </c>
      <c r="AZ46" s="64">
        <f t="shared" si="15"/>
        <v>2.564102564102564E-2</v>
      </c>
    </row>
    <row r="47" spans="1:87" ht="30" customHeight="1" x14ac:dyDescent="0.35">
      <c r="B47" s="49" t="s">
        <v>61</v>
      </c>
      <c r="C47" s="49"/>
      <c r="D47" s="49"/>
      <c r="E47" s="49"/>
      <c r="F47" s="49"/>
      <c r="G47" s="49"/>
      <c r="H47" s="49"/>
      <c r="I47" s="49"/>
      <c r="J47" s="49"/>
      <c r="K47" s="49"/>
      <c r="L47" s="49"/>
      <c r="M47" s="49"/>
      <c r="N47" s="49"/>
      <c r="O47" s="49"/>
      <c r="P47" s="49"/>
      <c r="Q47" s="49"/>
      <c r="R47" s="49"/>
      <c r="S47" s="49"/>
      <c r="T47" s="49"/>
      <c r="U47" s="49"/>
      <c r="V47" s="49"/>
      <c r="W47" s="49"/>
      <c r="X47" s="49"/>
      <c r="Y47" s="101"/>
      <c r="Z47" s="102"/>
      <c r="AA47" s="102"/>
      <c r="AB47" s="103"/>
      <c r="AC47" s="60" t="str">
        <f t="shared" si="1"/>
        <v/>
      </c>
      <c r="AD47" s="60"/>
      <c r="AE47" s="60"/>
      <c r="AF47" s="60"/>
      <c r="AG47" s="61">
        <f t="shared" si="2"/>
        <v>0</v>
      </c>
      <c r="AH47" s="61" t="str">
        <f t="shared" si="3"/>
        <v/>
      </c>
      <c r="AI47" s="61">
        <f t="shared" si="4"/>
        <v>0</v>
      </c>
      <c r="AJ47" s="61" t="str">
        <f t="shared" si="5"/>
        <v/>
      </c>
      <c r="AK47" s="61">
        <f t="shared" si="6"/>
        <v>0</v>
      </c>
      <c r="AL47" s="61" t="str">
        <f t="shared" si="7"/>
        <v/>
      </c>
      <c r="AM47" s="61">
        <f t="shared" si="8"/>
        <v>0</v>
      </c>
      <c r="AN47" s="61" t="str">
        <f t="shared" si="9"/>
        <v/>
      </c>
      <c r="AO47" s="61">
        <f t="shared" si="10"/>
        <v>0</v>
      </c>
      <c r="AP47" s="61" t="str">
        <f t="shared" si="11"/>
        <v/>
      </c>
      <c r="AY47">
        <f t="shared" si="14"/>
        <v>0</v>
      </c>
      <c r="AZ47" s="64">
        <f t="shared" si="15"/>
        <v>0</v>
      </c>
    </row>
    <row r="48" spans="1:87" ht="30" customHeight="1" x14ac:dyDescent="0.35">
      <c r="B48" s="50" t="s">
        <v>62</v>
      </c>
      <c r="C48" s="50"/>
      <c r="D48" s="50"/>
      <c r="E48" s="50"/>
      <c r="F48" s="50"/>
      <c r="G48" s="50"/>
      <c r="H48" s="50"/>
      <c r="I48" s="50"/>
      <c r="J48" s="50"/>
      <c r="K48" s="50"/>
      <c r="L48" s="50"/>
      <c r="M48" s="50"/>
      <c r="N48" s="50"/>
      <c r="O48" s="50"/>
      <c r="P48" s="50"/>
      <c r="Q48" s="50"/>
      <c r="R48" s="50"/>
      <c r="S48" s="50"/>
      <c r="T48" s="50"/>
      <c r="U48" s="50"/>
      <c r="V48" s="50"/>
      <c r="W48" s="50"/>
      <c r="X48" s="50"/>
      <c r="Y48" s="97"/>
      <c r="Z48" s="98"/>
      <c r="AA48" s="98"/>
      <c r="AB48" s="99"/>
      <c r="AC48" s="60" t="str">
        <f t="shared" si="1"/>
        <v/>
      </c>
      <c r="AD48" s="60"/>
      <c r="AE48" s="60"/>
      <c r="AF48" s="60"/>
      <c r="AG48" s="61">
        <f t="shared" si="2"/>
        <v>0</v>
      </c>
      <c r="AH48" s="61" t="str">
        <f t="shared" si="3"/>
        <v/>
      </c>
      <c r="AI48" s="61">
        <f t="shared" si="4"/>
        <v>0</v>
      </c>
      <c r="AJ48" s="61" t="str">
        <f t="shared" si="5"/>
        <v/>
      </c>
      <c r="AK48" s="61">
        <f t="shared" si="6"/>
        <v>0</v>
      </c>
      <c r="AL48" s="61" t="str">
        <f t="shared" si="7"/>
        <v/>
      </c>
      <c r="AM48" s="61">
        <f t="shared" si="8"/>
        <v>0</v>
      </c>
      <c r="AN48" s="61" t="str">
        <f t="shared" si="9"/>
        <v/>
      </c>
      <c r="AO48" s="61">
        <f t="shared" si="10"/>
        <v>0</v>
      </c>
      <c r="AP48" s="61" t="str">
        <f t="shared" si="11"/>
        <v/>
      </c>
      <c r="AY48">
        <f t="shared" si="14"/>
        <v>0</v>
      </c>
      <c r="AZ48" s="64">
        <f t="shared" si="15"/>
        <v>0</v>
      </c>
    </row>
    <row r="49" spans="1:87" s="68" customFormat="1" ht="30" customHeight="1" x14ac:dyDescent="0.35">
      <c r="A49" s="26" t="str">
        <f>CONCATENATE($B$47,"
",$B$48,""
)</f>
        <v>PT160 - LAUDOS TÉCNICOS PARA REGULARIZAÇÃO DE EDIFICAÇÕES (Porto de Tubarão)
ETAPA INICIAL</v>
      </c>
      <c r="B49" s="51" t="s">
        <v>63</v>
      </c>
      <c r="C49" s="84" t="str">
        <f>IF(AND($B49=[1]ana!$A46,[1]ana!$B46=C$4),"ok","nok")</f>
        <v>nok</v>
      </c>
      <c r="D49" s="84" t="str">
        <f>IF(AND($B49=[1]ana!$A46,[1]ana!$B46=D$4),"ok","nok")</f>
        <v>nok</v>
      </c>
      <c r="E49" s="84" t="str">
        <f>IF(AND($B49=[1]ana!$A46,[1]ana!$B46=E$4),"ok","nok")</f>
        <v>nok</v>
      </c>
      <c r="F49" s="84" t="str">
        <f>IF(AND($B49=[1]ana!$A46,[1]ana!$B46=F$4),"ok","nok")</f>
        <v>nok</v>
      </c>
      <c r="G49" s="84" t="str">
        <f>IF(AND($B49=[1]ana!$A46,[1]ana!$B46=G$4),"ok","nok")</f>
        <v>nok</v>
      </c>
      <c r="H49" s="84" t="str">
        <f>IF(AND($B49=[1]ana!$A46,[1]ana!$B46=H$4),"ok","nok")</f>
        <v>nok</v>
      </c>
      <c r="I49" s="84" t="str">
        <f>IF(AND($B49=[1]ana!$A46,[1]ana!$B46=I$4),"ok","nok")</f>
        <v>nok</v>
      </c>
      <c r="J49" s="84" t="str">
        <f>IF(AND($B49=[1]ana!$A46,[1]ana!$B46=J$4),"ok","nok")</f>
        <v>nok</v>
      </c>
      <c r="K49" s="84" t="str">
        <f>IF(AND($B49=[1]ana!$A46,[1]ana!$B46=K$4),"ok","nok")</f>
        <v>nok</v>
      </c>
      <c r="L49" s="84" t="str">
        <f>IF(AND($B49=[1]ana!$A46,[1]ana!$B46=L$4),"ok","nok")</f>
        <v>ok</v>
      </c>
      <c r="M49" s="84" t="str">
        <f>IF(AND($B49=[1]ana!$A46,[1]ana!$B46=M$4),"ok","nok")</f>
        <v>nok</v>
      </c>
      <c r="N49" s="84" t="str">
        <f>IF(AND($B49=[1]ana!$A46,[1]ana!$B46=N$4),"ok","nok")</f>
        <v>nok</v>
      </c>
      <c r="O49" s="84" t="str">
        <f>IF(AND($B49=[1]ana!$A46,[1]ana!$B46=O$4),"ok","nok")</f>
        <v>nok</v>
      </c>
      <c r="P49" s="84" t="str">
        <f>IF(AND($B49=[1]ana!$A46,[1]ana!$B46=P$4),"ok","nok")</f>
        <v>nok</v>
      </c>
      <c r="Q49" s="84" t="str">
        <f>IF(AND($B49=[1]ana!$A46,[1]ana!$B46=Q$4),"ok","nok")</f>
        <v>nok</v>
      </c>
      <c r="R49" s="84" t="str">
        <f>IF(AND($B49=[1]ana!$A46,[1]ana!$B46=R$4),"ok","nok")</f>
        <v>nok</v>
      </c>
      <c r="S49" s="84" t="str">
        <f>IF(AND($B49=[1]ana!$A46,[1]ana!$B46=S$4),"ok","nok")</f>
        <v>nok</v>
      </c>
      <c r="T49" s="84" t="str">
        <f>IF(AND($B49=[1]ana!$A46,[1]ana!$B46=T$4),"ok","nok")</f>
        <v>nok</v>
      </c>
      <c r="U49" s="84" t="str">
        <f>IF(AND($B49=[1]ana!$A46,[1]ana!$B46=U$4),"ok","nok")</f>
        <v>nok</v>
      </c>
      <c r="V49" s="84" t="str">
        <f>IF(AND($B49=[1]ana!$A46,[1]ana!$B46=V$4),"ok","nok")</f>
        <v>nok</v>
      </c>
      <c r="W49" s="84" t="str">
        <f>IF(AND($B49=[1]ana!$A46,[1]ana!$B46=W$4),"ok","nok")</f>
        <v>nok</v>
      </c>
      <c r="X49" s="84" t="str">
        <f>IF(AND($B49=[1]ana!$A46,[1]ana!$B46=X$4),"ok","nok")</f>
        <v>nok</v>
      </c>
      <c r="Y49" s="85" t="s">
        <v>33</v>
      </c>
      <c r="Z49" s="86"/>
      <c r="AA49" s="86"/>
      <c r="AB49" s="87"/>
      <c r="AC49" s="60" t="str">
        <f t="shared" si="1"/>
        <v>Elaboração da Lista de Documentos</v>
      </c>
      <c r="AD49" s="60"/>
      <c r="AE49" s="60"/>
      <c r="AF49" s="60"/>
      <c r="AG49" s="61">
        <f t="shared" si="2"/>
        <v>0</v>
      </c>
      <c r="AH49" s="61" t="str">
        <f t="shared" si="3"/>
        <v/>
      </c>
      <c r="AI49" s="61">
        <f t="shared" si="4"/>
        <v>1</v>
      </c>
      <c r="AJ49" s="61" t="str">
        <f t="shared" si="5"/>
        <v/>
      </c>
      <c r="AK49" s="61">
        <f t="shared" si="6"/>
        <v>0</v>
      </c>
      <c r="AL49" s="61" t="str">
        <f t="shared" si="7"/>
        <v/>
      </c>
      <c r="AM49" s="61">
        <f t="shared" si="8"/>
        <v>0</v>
      </c>
      <c r="AN49" s="61" t="str">
        <f t="shared" si="9"/>
        <v/>
      </c>
      <c r="AO49" s="61">
        <f t="shared" si="10"/>
        <v>0</v>
      </c>
      <c r="AP49" s="61" t="str">
        <f t="shared" si="11"/>
        <v/>
      </c>
      <c r="AQ49" s="67"/>
      <c r="AR49"/>
      <c r="AS49"/>
      <c r="AT49"/>
      <c r="AU49"/>
      <c r="AV49"/>
      <c r="AW49"/>
      <c r="AX49"/>
      <c r="AY49">
        <f t="shared" si="14"/>
        <v>0</v>
      </c>
      <c r="AZ49" s="64">
        <f>AY49/$AV$29</f>
        <v>0</v>
      </c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</row>
    <row r="50" spans="1:87" ht="30" customHeight="1" x14ac:dyDescent="0.35">
      <c r="B50" s="50" t="s">
        <v>65</v>
      </c>
      <c r="C50" s="50"/>
      <c r="D50" s="50"/>
      <c r="E50" s="50"/>
      <c r="F50" s="50"/>
      <c r="G50" s="50"/>
      <c r="H50" s="50"/>
      <c r="I50" s="50"/>
      <c r="J50" s="50"/>
      <c r="K50" s="50"/>
      <c r="L50" s="50"/>
      <c r="M50" s="50"/>
      <c r="N50" s="50"/>
      <c r="O50" s="50"/>
      <c r="P50" s="50"/>
      <c r="Q50" s="50"/>
      <c r="R50" s="50"/>
      <c r="S50" s="50"/>
      <c r="T50" s="50"/>
      <c r="U50" s="50"/>
      <c r="V50" s="50"/>
      <c r="W50" s="50"/>
      <c r="X50" s="50"/>
      <c r="Y50" s="97"/>
      <c r="Z50" s="98"/>
      <c r="AA50" s="98"/>
      <c r="AB50" s="99"/>
      <c r="AC50" s="60" t="str">
        <f t="shared" si="1"/>
        <v/>
      </c>
      <c r="AD50" s="60"/>
      <c r="AE50" s="60"/>
      <c r="AF50" s="60"/>
      <c r="AG50" s="61">
        <f t="shared" si="2"/>
        <v>0</v>
      </c>
      <c r="AH50" s="61" t="str">
        <f t="shared" si="3"/>
        <v/>
      </c>
      <c r="AI50" s="61">
        <f t="shared" si="4"/>
        <v>0</v>
      </c>
      <c r="AJ50" s="61" t="str">
        <f t="shared" si="5"/>
        <v/>
      </c>
      <c r="AK50" s="61">
        <f t="shared" si="6"/>
        <v>0</v>
      </c>
      <c r="AL50" s="61" t="str">
        <f t="shared" si="7"/>
        <v/>
      </c>
      <c r="AM50" s="61">
        <f t="shared" si="8"/>
        <v>0</v>
      </c>
      <c r="AN50" s="61" t="str">
        <f t="shared" si="9"/>
        <v/>
      </c>
      <c r="AO50" s="61">
        <f t="shared" si="10"/>
        <v>0</v>
      </c>
      <c r="AP50" s="61" t="str">
        <f t="shared" si="11"/>
        <v/>
      </c>
      <c r="AY50">
        <f t="shared" si="14"/>
        <v>0</v>
      </c>
      <c r="AZ50" s="64">
        <f t="shared" si="15"/>
        <v>0</v>
      </c>
    </row>
    <row r="51" spans="1:87" ht="30" customHeight="1" x14ac:dyDescent="0.35">
      <c r="B51" s="54" t="s">
        <v>66</v>
      </c>
      <c r="C51" s="54"/>
      <c r="D51" s="54"/>
      <c r="E51" s="54"/>
      <c r="F51" s="54"/>
      <c r="G51" s="54"/>
      <c r="H51" s="54"/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54"/>
      <c r="T51" s="54"/>
      <c r="U51" s="54"/>
      <c r="V51" s="54"/>
      <c r="W51" s="54"/>
      <c r="X51" s="54"/>
      <c r="Y51" s="91"/>
      <c r="Z51" s="92"/>
      <c r="AA51" s="92"/>
      <c r="AB51" s="93"/>
      <c r="AC51" s="60" t="str">
        <f t="shared" si="1"/>
        <v/>
      </c>
      <c r="AD51" s="60"/>
      <c r="AE51" s="60"/>
      <c r="AF51" s="60"/>
      <c r="AG51" s="61">
        <f t="shared" si="2"/>
        <v>0</v>
      </c>
      <c r="AH51" s="61" t="str">
        <f t="shared" si="3"/>
        <v/>
      </c>
      <c r="AI51" s="61">
        <f t="shared" si="4"/>
        <v>0</v>
      </c>
      <c r="AJ51" s="61" t="str">
        <f t="shared" si="5"/>
        <v/>
      </c>
      <c r="AK51" s="61">
        <f t="shared" si="6"/>
        <v>0</v>
      </c>
      <c r="AL51" s="61" t="str">
        <f t="shared" si="7"/>
        <v/>
      </c>
      <c r="AM51" s="61">
        <f t="shared" si="8"/>
        <v>0</v>
      </c>
      <c r="AN51" s="61" t="str">
        <f t="shared" si="9"/>
        <v/>
      </c>
      <c r="AO51" s="61">
        <f t="shared" si="10"/>
        <v>0</v>
      </c>
      <c r="AP51" s="61" t="str">
        <f t="shared" si="11"/>
        <v/>
      </c>
      <c r="AY51">
        <f t="shared" si="14"/>
        <v>0</v>
      </c>
      <c r="AZ51" s="64">
        <f t="shared" si="15"/>
        <v>0</v>
      </c>
    </row>
    <row r="52" spans="1:87" ht="30" customHeight="1" x14ac:dyDescent="0.35">
      <c r="B52" s="55" t="s">
        <v>64</v>
      </c>
      <c r="C52" s="55"/>
      <c r="D52" s="55"/>
      <c r="E52" s="55"/>
      <c r="F52" s="55"/>
      <c r="G52" s="55"/>
      <c r="H52" s="55"/>
      <c r="I52" s="55"/>
      <c r="J52" s="55"/>
      <c r="K52" s="55"/>
      <c r="L52" s="55"/>
      <c r="M52" s="55"/>
      <c r="N52" s="55"/>
      <c r="O52" s="55"/>
      <c r="P52" s="55"/>
      <c r="Q52" s="55"/>
      <c r="R52" s="55"/>
      <c r="S52" s="55"/>
      <c r="T52" s="55"/>
      <c r="U52" s="55"/>
      <c r="V52" s="55"/>
      <c r="W52" s="55"/>
      <c r="X52" s="55"/>
      <c r="Y52" s="131"/>
      <c r="Z52" s="132"/>
      <c r="AA52" s="132"/>
      <c r="AB52" s="133"/>
      <c r="AC52" s="60" t="str">
        <f t="shared" si="1"/>
        <v/>
      </c>
      <c r="AD52" s="60"/>
      <c r="AE52" s="60"/>
      <c r="AF52" s="60"/>
      <c r="AG52" s="61">
        <f t="shared" si="2"/>
        <v>0</v>
      </c>
      <c r="AH52" s="61" t="str">
        <f t="shared" si="3"/>
        <v/>
      </c>
      <c r="AI52" s="61">
        <f t="shared" si="4"/>
        <v>0</v>
      </c>
      <c r="AJ52" s="61" t="str">
        <f t="shared" si="5"/>
        <v/>
      </c>
      <c r="AK52" s="61">
        <f t="shared" si="6"/>
        <v>0</v>
      </c>
      <c r="AL52" s="61" t="str">
        <f t="shared" si="7"/>
        <v/>
      </c>
      <c r="AM52" s="61">
        <f t="shared" si="8"/>
        <v>0</v>
      </c>
      <c r="AN52" s="61" t="str">
        <f t="shared" si="9"/>
        <v/>
      </c>
      <c r="AO52" s="61">
        <f t="shared" si="10"/>
        <v>0</v>
      </c>
      <c r="AP52" s="61" t="str">
        <f t="shared" si="11"/>
        <v/>
      </c>
      <c r="AY52">
        <f t="shared" si="14"/>
        <v>0</v>
      </c>
      <c r="AZ52" s="64">
        <f t="shared" si="15"/>
        <v>0</v>
      </c>
    </row>
    <row r="53" spans="1:87" ht="30" customHeight="1" x14ac:dyDescent="0.35">
      <c r="A53" s="26" t="str">
        <f>CONCATENATE($B$47,"
",$B$50,"
",$B$51,"
",$B$52)</f>
        <v>PT160 - LAUDOS TÉCNICOS PARA REGULARIZAÇÃO DE EDIFICAÇÕES (Porto de Tubarão)
ETAPA DE ENGENHARIA
RELATÓRIOS
PACOTE 1</v>
      </c>
      <c r="B53" s="51" t="s">
        <v>123</v>
      </c>
      <c r="C53" s="84" t="str">
        <f>IF(AND($B53=[1]ana!$A50,[1]ana!$B50=C$4),"ok","nok")</f>
        <v>nok</v>
      </c>
      <c r="D53" s="84" t="str">
        <f>IF(AND($B53=[1]ana!$A50,[1]ana!$B50=D$4),"ok","nok")</f>
        <v>nok</v>
      </c>
      <c r="E53" s="84" t="str">
        <f>IF(AND($B53=[1]ana!$A50,[1]ana!$B50=E$4),"ok","nok")</f>
        <v>nok</v>
      </c>
      <c r="F53" s="84" t="str">
        <f>IF(AND($B53=[1]ana!$A50,[1]ana!$B50=F$4),"ok","nok")</f>
        <v>nok</v>
      </c>
      <c r="G53" s="84" t="str">
        <f>IF(AND($B53=[1]ana!$A50,[1]ana!$B50=G$4),"ok","nok")</f>
        <v>nok</v>
      </c>
      <c r="H53" s="84" t="str">
        <f>IF(AND($B53=[1]ana!$A50,[1]ana!$B50=H$4),"ok","nok")</f>
        <v>ok</v>
      </c>
      <c r="I53" s="84" t="str">
        <f>IF(AND($B53=[1]ana!$A50,[1]ana!$B50=I$4),"ok","nok")</f>
        <v>nok</v>
      </c>
      <c r="J53" s="84" t="str">
        <f>IF(AND($B53=[1]ana!$A50,[1]ana!$B50=J$4),"ok","nok")</f>
        <v>nok</v>
      </c>
      <c r="K53" s="84" t="str">
        <f>IF(AND($B53=[1]ana!$A50,[1]ana!$B50=K$4),"ok","nok")</f>
        <v>nok</v>
      </c>
      <c r="L53" s="84" t="str">
        <f>IF(AND($B53=[1]ana!$A50,[1]ana!$B50=L$4),"ok","nok")</f>
        <v>nok</v>
      </c>
      <c r="M53" s="84" t="str">
        <f>IF(AND($B53=[1]ana!$A50,[1]ana!$B50=M$4),"ok","nok")</f>
        <v>nok</v>
      </c>
      <c r="N53" s="84" t="str">
        <f>IF(AND($B53=[1]ana!$A50,[1]ana!$B50=N$4),"ok","nok")</f>
        <v>nok</v>
      </c>
      <c r="O53" s="84" t="str">
        <f>IF(AND($B53=[1]ana!$A50,[1]ana!$B50=O$4),"ok","nok")</f>
        <v>nok</v>
      </c>
      <c r="P53" s="84" t="str">
        <f>IF(AND($B53=[1]ana!$A50,[1]ana!$B50=P$4),"ok","nok")</f>
        <v>nok</v>
      </c>
      <c r="Q53" s="84" t="str">
        <f>IF(AND($B53=[1]ana!$A50,[1]ana!$B50=Q$4),"ok","nok")</f>
        <v>nok</v>
      </c>
      <c r="R53" s="84" t="str">
        <f>IF(AND($B53=[1]ana!$A50,[1]ana!$B50=R$4),"ok","nok")</f>
        <v>nok</v>
      </c>
      <c r="S53" s="84" t="str">
        <f>IF(AND($B53=[1]ana!$A50,[1]ana!$B50=S$4),"ok","nok")</f>
        <v>nok</v>
      </c>
      <c r="T53" s="84" t="str">
        <f>IF(AND($B53=[1]ana!$A50,[1]ana!$B50=T$4),"ok","nok")</f>
        <v>nok</v>
      </c>
      <c r="U53" s="84" t="str">
        <f>IF(AND($B53=[1]ana!$A50,[1]ana!$B50=U$4),"ok","nok")</f>
        <v>nok</v>
      </c>
      <c r="V53" s="84" t="str">
        <f>IF(AND($B53=[1]ana!$A50,[1]ana!$B50=V$4),"ok","nok")</f>
        <v>nok</v>
      </c>
      <c r="W53" s="84" t="str">
        <f>IF(AND($B53=[1]ana!$A50,[1]ana!$B50=W$4),"ok","nok")</f>
        <v>nok</v>
      </c>
      <c r="X53" s="84" t="str">
        <f>IF(AND($B53=[1]ana!$A50,[1]ana!$B50=X$4),"ok","nok")</f>
        <v>nok</v>
      </c>
      <c r="Y53" s="85" t="s">
        <v>33</v>
      </c>
      <c r="Z53" s="86"/>
      <c r="AA53" s="86"/>
      <c r="AB53" s="87"/>
      <c r="AC53" s="60" t="str">
        <f t="shared" si="1"/>
        <v>77 - Descarregamento E Distribuicao De Soda Caustica</v>
      </c>
      <c r="AD53" s="60"/>
      <c r="AE53" s="60"/>
      <c r="AF53" s="60"/>
      <c r="AG53" s="61">
        <f t="shared" si="2"/>
        <v>0</v>
      </c>
      <c r="AH53" s="61" t="str">
        <f t="shared" si="3"/>
        <v/>
      </c>
      <c r="AI53" s="61">
        <f t="shared" si="4"/>
        <v>1</v>
      </c>
      <c r="AJ53" s="61" t="str">
        <f t="shared" si="5"/>
        <v/>
      </c>
      <c r="AK53" s="61">
        <f t="shared" si="6"/>
        <v>0</v>
      </c>
      <c r="AL53" s="61" t="str">
        <f t="shared" si="7"/>
        <v/>
      </c>
      <c r="AM53" s="61">
        <f t="shared" si="8"/>
        <v>0</v>
      </c>
      <c r="AN53" s="61" t="str">
        <f t="shared" si="9"/>
        <v/>
      </c>
      <c r="AO53" s="61">
        <f t="shared" si="10"/>
        <v>0</v>
      </c>
      <c r="AP53" s="61" t="str">
        <f t="shared" si="11"/>
        <v/>
      </c>
      <c r="AY53">
        <f t="shared" si="14"/>
        <v>0</v>
      </c>
      <c r="AZ53" s="64">
        <f t="shared" si="15"/>
        <v>0</v>
      </c>
    </row>
    <row r="54" spans="1:87" ht="30" customHeight="1" x14ac:dyDescent="0.35">
      <c r="A54" s="26" t="str">
        <f t="shared" ref="A54:A67" si="17">CONCATENATE($B$47,"
",$B$50,"
",$B$51,"
",$B$52)</f>
        <v>PT160 - LAUDOS TÉCNICOS PARA REGULARIZAÇÃO DE EDIFICAÇÕES (Porto de Tubarão)
ETAPA DE ENGENHARIA
RELATÓRIOS
PACOTE 1</v>
      </c>
      <c r="B54" s="51" t="s">
        <v>124</v>
      </c>
      <c r="C54" s="84" t="str">
        <f>IF(AND($B54=[1]ana!$A51,[1]ana!$B51=C$4),"ok","nok")</f>
        <v>nok</v>
      </c>
      <c r="D54" s="84" t="str">
        <f>IF(AND($B54=[1]ana!$A51,[1]ana!$B51=D$4),"ok","nok")</f>
        <v>nok</v>
      </c>
      <c r="E54" s="84" t="str">
        <f>IF(AND($B54=[1]ana!$A51,[1]ana!$B51=E$4),"ok","nok")</f>
        <v>nok</v>
      </c>
      <c r="F54" s="84" t="str">
        <f>IF(AND($B54=[1]ana!$A51,[1]ana!$B51=F$4),"ok","nok")</f>
        <v>nok</v>
      </c>
      <c r="G54" s="84" t="str">
        <f>IF(AND($B54=[1]ana!$A51,[1]ana!$B51=G$4),"ok","nok")</f>
        <v>nok</v>
      </c>
      <c r="H54" s="84" t="str">
        <f>IF(AND($B54=[1]ana!$A51,[1]ana!$B51=H$4),"ok","nok")</f>
        <v>nok</v>
      </c>
      <c r="I54" s="84" t="str">
        <f>IF(AND($B54=[1]ana!$A51,[1]ana!$B51=I$4),"ok","nok")</f>
        <v>nok</v>
      </c>
      <c r="J54" s="84" t="str">
        <f>IF(AND($B54=[1]ana!$A51,[1]ana!$B51=J$4),"ok","nok")</f>
        <v>nok</v>
      </c>
      <c r="K54" s="84" t="str">
        <f>IF(AND($B54=[1]ana!$A51,[1]ana!$B51=K$4),"ok","nok")</f>
        <v>nok</v>
      </c>
      <c r="L54" s="84" t="str">
        <f>IF(AND($B54=[1]ana!$A51,[1]ana!$B51=L$4),"ok","nok")</f>
        <v>ok</v>
      </c>
      <c r="M54" s="84" t="str">
        <f>IF(AND($B54=[1]ana!$A51,[1]ana!$B51=M$4),"ok","nok")</f>
        <v>nok</v>
      </c>
      <c r="N54" s="84" t="str">
        <f>IF(AND($B54=[1]ana!$A51,[1]ana!$B51=N$4),"ok","nok")</f>
        <v>nok</v>
      </c>
      <c r="O54" s="84" t="str">
        <f>IF(AND($B54=[1]ana!$A51,[1]ana!$B51=O$4),"ok","nok")</f>
        <v>nok</v>
      </c>
      <c r="P54" s="84" t="str">
        <f>IF(AND($B54=[1]ana!$A51,[1]ana!$B51=P$4),"ok","nok")</f>
        <v>nok</v>
      </c>
      <c r="Q54" s="84" t="str">
        <f>IF(AND($B54=[1]ana!$A51,[1]ana!$B51=Q$4),"ok","nok")</f>
        <v>nok</v>
      </c>
      <c r="R54" s="84" t="str">
        <f>IF(AND($B54=[1]ana!$A51,[1]ana!$B51=R$4),"ok","nok")</f>
        <v>nok</v>
      </c>
      <c r="S54" s="84" t="str">
        <f>IF(AND($B54=[1]ana!$A51,[1]ana!$B51=S$4),"ok","nok")</f>
        <v>nok</v>
      </c>
      <c r="T54" s="84" t="str">
        <f>IF(AND($B54=[1]ana!$A51,[1]ana!$B51=T$4),"ok","nok")</f>
        <v>nok</v>
      </c>
      <c r="U54" s="84" t="str">
        <f>IF(AND($B54=[1]ana!$A51,[1]ana!$B51=U$4),"ok","nok")</f>
        <v>nok</v>
      </c>
      <c r="V54" s="84" t="str">
        <f>IF(AND($B54=[1]ana!$A51,[1]ana!$B51=V$4),"ok","nok")</f>
        <v>nok</v>
      </c>
      <c r="W54" s="84" t="str">
        <f>IF(AND($B54=[1]ana!$A51,[1]ana!$B51=W$4),"ok","nok")</f>
        <v>nok</v>
      </c>
      <c r="X54" s="84" t="str">
        <f>IF(AND($B54=[1]ana!$A51,[1]ana!$B51=X$4),"ok","nok")</f>
        <v>nok</v>
      </c>
      <c r="Y54" s="85" t="s">
        <v>33</v>
      </c>
      <c r="Z54" s="86"/>
      <c r="AA54" s="86"/>
      <c r="AB54" s="87"/>
      <c r="AC54" s="60" t="str">
        <f t="shared" si="1"/>
        <v>83 - Casa De Bombas - Aspersão Do Patio Finos</v>
      </c>
      <c r="AD54" s="60"/>
      <c r="AE54" s="60"/>
      <c r="AF54" s="60"/>
      <c r="AG54" s="61">
        <f t="shared" si="2"/>
        <v>0</v>
      </c>
      <c r="AH54" s="61" t="str">
        <f t="shared" si="3"/>
        <v/>
      </c>
      <c r="AI54" s="61">
        <f t="shared" si="4"/>
        <v>1</v>
      </c>
      <c r="AJ54" s="61" t="str">
        <f t="shared" si="5"/>
        <v/>
      </c>
      <c r="AK54" s="61">
        <f t="shared" si="6"/>
        <v>0</v>
      </c>
      <c r="AL54" s="61" t="str">
        <f t="shared" si="7"/>
        <v/>
      </c>
      <c r="AM54" s="61">
        <f t="shared" si="8"/>
        <v>0</v>
      </c>
      <c r="AN54" s="61" t="str">
        <f t="shared" si="9"/>
        <v/>
      </c>
      <c r="AO54" s="61">
        <f t="shared" si="10"/>
        <v>0</v>
      </c>
      <c r="AP54" s="61" t="str">
        <f t="shared" si="11"/>
        <v/>
      </c>
      <c r="AY54">
        <f t="shared" si="14"/>
        <v>0</v>
      </c>
      <c r="AZ54" s="64">
        <f t="shared" si="15"/>
        <v>0</v>
      </c>
    </row>
    <row r="55" spans="1:87" ht="30" customHeight="1" x14ac:dyDescent="0.35">
      <c r="A55" s="26" t="str">
        <f t="shared" si="17"/>
        <v>PT160 - LAUDOS TÉCNICOS PARA REGULARIZAÇÃO DE EDIFICAÇÕES (Porto de Tubarão)
ETAPA DE ENGENHARIA
RELATÓRIOS
PACOTE 1</v>
      </c>
      <c r="B55" s="51" t="s">
        <v>125</v>
      </c>
      <c r="C55" s="84" t="str">
        <f>IF(AND($B55=[1]ana!$A52,[1]ana!$B52=C$4),"ok","nok")</f>
        <v>nok</v>
      </c>
      <c r="D55" s="84" t="str">
        <f>IF(AND($B55=[1]ana!$A52,[1]ana!$B52=D$4),"ok","nok")</f>
        <v>nok</v>
      </c>
      <c r="E55" s="84" t="str">
        <f>IF(AND($B55=[1]ana!$A52,[1]ana!$B52=E$4),"ok","nok")</f>
        <v>nok</v>
      </c>
      <c r="F55" s="84" t="str">
        <f>IF(AND($B55=[1]ana!$A52,[1]ana!$B52=F$4),"ok","nok")</f>
        <v>nok</v>
      </c>
      <c r="G55" s="84" t="str">
        <f>IF(AND($B55=[1]ana!$A52,[1]ana!$B52=G$4),"ok","nok")</f>
        <v>nok</v>
      </c>
      <c r="H55" s="84" t="str">
        <f>IF(AND($B55=[1]ana!$A52,[1]ana!$B52=H$4),"ok","nok")</f>
        <v>nok</v>
      </c>
      <c r="I55" s="84" t="str">
        <f>IF(AND($B55=[1]ana!$A52,[1]ana!$B52=I$4),"ok","nok")</f>
        <v>nok</v>
      </c>
      <c r="J55" s="84" t="str">
        <f>IF(AND($B55=[1]ana!$A52,[1]ana!$B52=J$4),"ok","nok")</f>
        <v>nok</v>
      </c>
      <c r="K55" s="84" t="str">
        <f>IF(AND($B55=[1]ana!$A52,[1]ana!$B52=K$4),"ok","nok")</f>
        <v>nok</v>
      </c>
      <c r="L55" s="84" t="str">
        <f>IF(AND($B55=[1]ana!$A52,[1]ana!$B52=L$4),"ok","nok")</f>
        <v>nok</v>
      </c>
      <c r="M55" s="84" t="str">
        <f>IF(AND($B55=[1]ana!$A52,[1]ana!$B52=M$4),"ok","nok")</f>
        <v>nok</v>
      </c>
      <c r="N55" s="84" t="str">
        <f>IF(AND($B55=[1]ana!$A52,[1]ana!$B52=N$4),"ok","nok")</f>
        <v>nok</v>
      </c>
      <c r="O55" s="84" t="str">
        <f>IF(AND($B55=[1]ana!$A52,[1]ana!$B52=O$4),"ok","nok")</f>
        <v>nok</v>
      </c>
      <c r="P55" s="84" t="str">
        <f>IF(AND($B55=[1]ana!$A52,[1]ana!$B52=P$4),"ok","nok")</f>
        <v>ok</v>
      </c>
      <c r="Q55" s="84" t="str">
        <f>IF(AND($B55=[1]ana!$A52,[1]ana!$B52=Q$4),"ok","nok")</f>
        <v>nok</v>
      </c>
      <c r="R55" s="84" t="str">
        <f>IF(AND($B55=[1]ana!$A52,[1]ana!$B52=R$4),"ok","nok")</f>
        <v>nok</v>
      </c>
      <c r="S55" s="84" t="str">
        <f>IF(AND($B55=[1]ana!$A52,[1]ana!$B52=S$4),"ok","nok")</f>
        <v>nok</v>
      </c>
      <c r="T55" s="84" t="str">
        <f>IF(AND($B55=[1]ana!$A52,[1]ana!$B52=T$4),"ok","nok")</f>
        <v>nok</v>
      </c>
      <c r="U55" s="84" t="str">
        <f>IF(AND($B55=[1]ana!$A52,[1]ana!$B52=U$4),"ok","nok")</f>
        <v>nok</v>
      </c>
      <c r="V55" s="84" t="str">
        <f>IF(AND($B55=[1]ana!$A52,[1]ana!$B52=V$4),"ok","nok")</f>
        <v>nok</v>
      </c>
      <c r="W55" s="84" t="str">
        <f>IF(AND($B55=[1]ana!$A52,[1]ana!$B52=W$4),"ok","nok")</f>
        <v>nok</v>
      </c>
      <c r="X55" s="84" t="str">
        <f>IF(AND($B55=[1]ana!$A52,[1]ana!$B52=X$4),"ok","nok")</f>
        <v>nok</v>
      </c>
      <c r="Y55" s="85" t="s">
        <v>34</v>
      </c>
      <c r="Z55" s="86"/>
      <c r="AA55" s="86"/>
      <c r="AB55" s="87"/>
      <c r="AC55" s="60" t="str">
        <f t="shared" si="1"/>
        <v/>
      </c>
      <c r="AD55" s="60"/>
      <c r="AE55" s="60"/>
      <c r="AF55" s="60"/>
      <c r="AG55" s="61">
        <f t="shared" si="2"/>
        <v>0</v>
      </c>
      <c r="AH55" s="61" t="str">
        <f t="shared" si="3"/>
        <v/>
      </c>
      <c r="AI55" s="61">
        <f t="shared" si="4"/>
        <v>0</v>
      </c>
      <c r="AJ55" s="61" t="str">
        <f t="shared" si="5"/>
        <v/>
      </c>
      <c r="AK55" s="61">
        <f t="shared" si="6"/>
        <v>1</v>
      </c>
      <c r="AL55" s="61" t="str">
        <f t="shared" si="7"/>
        <v/>
      </c>
      <c r="AM55" s="61">
        <f t="shared" si="8"/>
        <v>0</v>
      </c>
      <c r="AN55" s="61" t="str">
        <f t="shared" si="9"/>
        <v/>
      </c>
      <c r="AO55" s="61">
        <f t="shared" si="10"/>
        <v>0</v>
      </c>
      <c r="AP55" s="61" t="str">
        <f t="shared" si="11"/>
        <v/>
      </c>
    </row>
    <row r="56" spans="1:87" ht="30" customHeight="1" x14ac:dyDescent="0.35">
      <c r="A56" s="26" t="str">
        <f t="shared" si="17"/>
        <v>PT160 - LAUDOS TÉCNICOS PARA REGULARIZAÇÃO DE EDIFICAÇÕES (Porto de Tubarão)
ETAPA DE ENGENHARIA
RELATÓRIOS
PACOTE 1</v>
      </c>
      <c r="B56" s="51" t="s">
        <v>126</v>
      </c>
      <c r="C56" s="84" t="str">
        <f>IF(AND($B56=[1]ana!$A53,[1]ana!$B53=C$4),"ok","nok")</f>
        <v>nok</v>
      </c>
      <c r="D56" s="84" t="str">
        <f>IF(AND($B56=[1]ana!$A53,[1]ana!$B53=D$4),"ok","nok")</f>
        <v>nok</v>
      </c>
      <c r="E56" s="84" t="str">
        <f>IF(AND($B56=[1]ana!$A53,[1]ana!$B53=E$4),"ok","nok")</f>
        <v>nok</v>
      </c>
      <c r="F56" s="84" t="str">
        <f>IF(AND($B56=[1]ana!$A53,[1]ana!$B53=F$4),"ok","nok")</f>
        <v>nok</v>
      </c>
      <c r="G56" s="84" t="str">
        <f>IF(AND($B56=[1]ana!$A53,[1]ana!$B53=G$4),"ok","nok")</f>
        <v>nok</v>
      </c>
      <c r="H56" s="84" t="str">
        <f>IF(AND($B56=[1]ana!$A53,[1]ana!$B53=H$4),"ok","nok")</f>
        <v>nok</v>
      </c>
      <c r="I56" s="84" t="str">
        <f>IF(AND($B56=[1]ana!$A53,[1]ana!$B53=I$4),"ok","nok")</f>
        <v>nok</v>
      </c>
      <c r="J56" s="84" t="str">
        <f>IF(AND($B56=[1]ana!$A53,[1]ana!$B53=J$4),"ok","nok")</f>
        <v>ok</v>
      </c>
      <c r="K56" s="84" t="str">
        <f>IF(AND($B56=[1]ana!$A53,[1]ana!$B53=K$4),"ok","nok")</f>
        <v>nok</v>
      </c>
      <c r="L56" s="84" t="str">
        <f>IF(AND($B56=[1]ana!$A53,[1]ana!$B53=L$4),"ok","nok")</f>
        <v>nok</v>
      </c>
      <c r="M56" s="84" t="str">
        <f>IF(AND($B56=[1]ana!$A53,[1]ana!$B53=M$4),"ok","nok")</f>
        <v>nok</v>
      </c>
      <c r="N56" s="84" t="str">
        <f>IF(AND($B56=[1]ana!$A53,[1]ana!$B53=N$4),"ok","nok")</f>
        <v>nok</v>
      </c>
      <c r="O56" s="84" t="str">
        <f>IF(AND($B56=[1]ana!$A53,[1]ana!$B53=O$4),"ok","nok")</f>
        <v>nok</v>
      </c>
      <c r="P56" s="84" t="str">
        <f>IF(AND($B56=[1]ana!$A53,[1]ana!$B53=P$4),"ok","nok")</f>
        <v>nok</v>
      </c>
      <c r="Q56" s="84" t="str">
        <f>IF(AND($B56=[1]ana!$A53,[1]ana!$B53=Q$4),"ok","nok")</f>
        <v>nok</v>
      </c>
      <c r="R56" s="84" t="str">
        <f>IF(AND($B56=[1]ana!$A53,[1]ana!$B53=R$4),"ok","nok")</f>
        <v>nok</v>
      </c>
      <c r="S56" s="84" t="str">
        <f>IF(AND($B56=[1]ana!$A53,[1]ana!$B53=S$4),"ok","nok")</f>
        <v>nok</v>
      </c>
      <c r="T56" s="84" t="str">
        <f>IF(AND($B56=[1]ana!$A53,[1]ana!$B53=T$4),"ok","nok")</f>
        <v>nok</v>
      </c>
      <c r="U56" s="84" t="str">
        <f>IF(AND($B56=[1]ana!$A53,[1]ana!$B53=U$4),"ok","nok")</f>
        <v>nok</v>
      </c>
      <c r="V56" s="84" t="str">
        <f>IF(AND($B56=[1]ana!$A53,[1]ana!$B53=V$4),"ok","nok")</f>
        <v>nok</v>
      </c>
      <c r="W56" s="84" t="str">
        <f>IF(AND($B56=[1]ana!$A53,[1]ana!$B53=W$4),"ok","nok")</f>
        <v>nok</v>
      </c>
      <c r="X56" s="84" t="str">
        <f>IF(AND($B56=[1]ana!$A53,[1]ana!$B53=X$4),"ok","nok")</f>
        <v>nok</v>
      </c>
      <c r="Y56" s="85" t="s">
        <v>33</v>
      </c>
      <c r="Z56" s="86"/>
      <c r="AA56" s="86"/>
      <c r="AB56" s="87"/>
      <c r="AC56" s="60" t="str">
        <f t="shared" si="1"/>
        <v>178 - Sala De Controle Operacional Do Peneiramento</v>
      </c>
      <c r="AD56" s="60"/>
      <c r="AE56" s="60"/>
      <c r="AF56" s="60"/>
      <c r="AG56" s="61">
        <f t="shared" si="2"/>
        <v>0</v>
      </c>
      <c r="AH56" s="61" t="str">
        <f t="shared" si="3"/>
        <v/>
      </c>
      <c r="AI56" s="61">
        <f t="shared" si="4"/>
        <v>1</v>
      </c>
      <c r="AJ56" s="61" t="str">
        <f t="shared" si="5"/>
        <v/>
      </c>
      <c r="AK56" s="61">
        <f t="shared" si="6"/>
        <v>0</v>
      </c>
      <c r="AL56" s="61" t="str">
        <f t="shared" si="7"/>
        <v/>
      </c>
      <c r="AM56" s="61">
        <f t="shared" si="8"/>
        <v>0</v>
      </c>
      <c r="AN56" s="61" t="str">
        <f t="shared" si="9"/>
        <v/>
      </c>
      <c r="AO56" s="61">
        <f t="shared" si="10"/>
        <v>0</v>
      </c>
      <c r="AP56" s="61" t="str">
        <f t="shared" si="11"/>
        <v/>
      </c>
      <c r="AZ56" s="64"/>
    </row>
    <row r="57" spans="1:87" ht="30" customHeight="1" x14ac:dyDescent="0.35">
      <c r="A57" s="26" t="str">
        <f t="shared" si="17"/>
        <v>PT160 - LAUDOS TÉCNICOS PARA REGULARIZAÇÃO DE EDIFICAÇÕES (Porto de Tubarão)
ETAPA DE ENGENHARIA
RELATÓRIOS
PACOTE 1</v>
      </c>
      <c r="B57" s="51" t="s">
        <v>127</v>
      </c>
      <c r="C57" s="84" t="str">
        <f>IF(AND($B57=[1]ana!$A54,[1]ana!$B54=C$4),"ok","nok")</f>
        <v>nok</v>
      </c>
      <c r="D57" s="84" t="str">
        <f>IF(AND($B57=[1]ana!$A54,[1]ana!$B54=D$4),"ok","nok")</f>
        <v>nok</v>
      </c>
      <c r="E57" s="84" t="str">
        <f>IF(AND($B57=[1]ana!$A54,[1]ana!$B54=E$4),"ok","nok")</f>
        <v>nok</v>
      </c>
      <c r="F57" s="84" t="str">
        <f>IF(AND($B57=[1]ana!$A54,[1]ana!$B54=F$4),"ok","nok")</f>
        <v>nok</v>
      </c>
      <c r="G57" s="84" t="str">
        <f>IF(AND($B57=[1]ana!$A54,[1]ana!$B54=G$4),"ok","nok")</f>
        <v>nok</v>
      </c>
      <c r="H57" s="84" t="str">
        <f>IF(AND($B57=[1]ana!$A54,[1]ana!$B54=H$4),"ok","nok")</f>
        <v>nok</v>
      </c>
      <c r="I57" s="84" t="str">
        <f>IF(AND($B57=[1]ana!$A54,[1]ana!$B54=I$4),"ok","nok")</f>
        <v>nok</v>
      </c>
      <c r="J57" s="84" t="str">
        <f>IF(AND($B57=[1]ana!$A54,[1]ana!$B54=J$4),"ok","nok")</f>
        <v>nok</v>
      </c>
      <c r="K57" s="84" t="str">
        <f>IF(AND($B57=[1]ana!$A54,[1]ana!$B54=K$4),"ok","nok")</f>
        <v>nok</v>
      </c>
      <c r="L57" s="84" t="str">
        <f>IF(AND($B57=[1]ana!$A54,[1]ana!$B54=L$4),"ok","nok")</f>
        <v>nok</v>
      </c>
      <c r="M57" s="84" t="str">
        <f>IF(AND($B57=[1]ana!$A54,[1]ana!$B54=M$4),"ok","nok")</f>
        <v>ok</v>
      </c>
      <c r="N57" s="84" t="str">
        <f>IF(AND($B57=[1]ana!$A54,[1]ana!$B54=N$4),"ok","nok")</f>
        <v>nok</v>
      </c>
      <c r="O57" s="84" t="str">
        <f>IF(AND($B57=[1]ana!$A54,[1]ana!$B54=O$4),"ok","nok")</f>
        <v>nok</v>
      </c>
      <c r="P57" s="84" t="str">
        <f>IF(AND($B57=[1]ana!$A54,[1]ana!$B54=P$4),"ok","nok")</f>
        <v>nok</v>
      </c>
      <c r="Q57" s="84" t="str">
        <f>IF(AND($B57=[1]ana!$A54,[1]ana!$B54=Q$4),"ok","nok")</f>
        <v>nok</v>
      </c>
      <c r="R57" s="84" t="str">
        <f>IF(AND($B57=[1]ana!$A54,[1]ana!$B54=R$4),"ok","nok")</f>
        <v>nok</v>
      </c>
      <c r="S57" s="84" t="str">
        <f>IF(AND($B57=[1]ana!$A54,[1]ana!$B54=S$4),"ok","nok")</f>
        <v>nok</v>
      </c>
      <c r="T57" s="84" t="str">
        <f>IF(AND($B57=[1]ana!$A54,[1]ana!$B54=T$4),"ok","nok")</f>
        <v>nok</v>
      </c>
      <c r="U57" s="84" t="str">
        <f>IF(AND($B57=[1]ana!$A54,[1]ana!$B54=U$4),"ok","nok")</f>
        <v>nok</v>
      </c>
      <c r="V57" s="84" t="str">
        <f>IF(AND($B57=[1]ana!$A54,[1]ana!$B54=V$4),"ok","nok")</f>
        <v>nok</v>
      </c>
      <c r="W57" s="84" t="str">
        <f>IF(AND($B57=[1]ana!$A54,[1]ana!$B54=W$4),"ok","nok")</f>
        <v>nok</v>
      </c>
      <c r="X57" s="84" t="str">
        <f>IF(AND($B57=[1]ana!$A54,[1]ana!$B54=X$4),"ok","nok")</f>
        <v>nok</v>
      </c>
      <c r="Y57" s="85" t="s">
        <v>34</v>
      </c>
      <c r="Z57" s="86"/>
      <c r="AA57" s="86"/>
      <c r="AB57" s="87"/>
      <c r="AC57" s="60" t="str">
        <f t="shared" si="1"/>
        <v/>
      </c>
      <c r="AD57" s="60"/>
      <c r="AE57" s="60"/>
      <c r="AF57" s="60"/>
      <c r="AG57" s="61">
        <f t="shared" si="2"/>
        <v>0</v>
      </c>
      <c r="AH57" s="61" t="str">
        <f t="shared" si="3"/>
        <v/>
      </c>
      <c r="AI57" s="61">
        <f t="shared" si="4"/>
        <v>0</v>
      </c>
      <c r="AJ57" s="61" t="str">
        <f t="shared" si="5"/>
        <v/>
      </c>
      <c r="AK57" s="61">
        <f t="shared" si="6"/>
        <v>1</v>
      </c>
      <c r="AL57" s="61" t="str">
        <f t="shared" si="7"/>
        <v/>
      </c>
      <c r="AM57" s="61">
        <f t="shared" si="8"/>
        <v>0</v>
      </c>
      <c r="AN57" s="61" t="str">
        <f t="shared" si="9"/>
        <v/>
      </c>
      <c r="AO57" s="61">
        <f t="shared" si="10"/>
        <v>0</v>
      </c>
      <c r="AP57" s="61" t="str">
        <f t="shared" si="11"/>
        <v/>
      </c>
      <c r="AZ57" s="64"/>
    </row>
    <row r="58" spans="1:87" ht="30" customHeight="1" x14ac:dyDescent="0.35">
      <c r="A58" s="26" t="str">
        <f t="shared" si="17"/>
        <v>PT160 - LAUDOS TÉCNICOS PARA REGULARIZAÇÃO DE EDIFICAÇÕES (Porto de Tubarão)
ETAPA DE ENGENHARIA
RELATÓRIOS
PACOTE 1</v>
      </c>
      <c r="B58" s="51" t="s">
        <v>128</v>
      </c>
      <c r="C58" s="84" t="str">
        <f>IF(AND($B58=[1]ana!$A55,[1]ana!$B55=C$4),"ok","nok")</f>
        <v>nok</v>
      </c>
      <c r="D58" s="84" t="str">
        <f>IF(AND($B58=[1]ana!$A55,[1]ana!$B55=D$4),"ok","nok")</f>
        <v>nok</v>
      </c>
      <c r="E58" s="84" t="str">
        <f>IF(AND($B58=[1]ana!$A55,[1]ana!$B55=E$4),"ok","nok")</f>
        <v>nok</v>
      </c>
      <c r="F58" s="84" t="str">
        <f>IF(AND($B58=[1]ana!$A55,[1]ana!$B55=F$4),"ok","nok")</f>
        <v>nok</v>
      </c>
      <c r="G58" s="84" t="str">
        <f>IF(AND($B58=[1]ana!$A55,[1]ana!$B55=G$4),"ok","nok")</f>
        <v>nok</v>
      </c>
      <c r="H58" s="84" t="str">
        <f>IF(AND($B58=[1]ana!$A55,[1]ana!$B55=H$4),"ok","nok")</f>
        <v>nok</v>
      </c>
      <c r="I58" s="84" t="str">
        <f>IF(AND($B58=[1]ana!$A55,[1]ana!$B55=I$4),"ok","nok")</f>
        <v>nok</v>
      </c>
      <c r="J58" s="84" t="str">
        <f>IF(AND($B58=[1]ana!$A55,[1]ana!$B55=J$4),"ok","nok")</f>
        <v>nok</v>
      </c>
      <c r="K58" s="84" t="str">
        <f>IF(AND($B58=[1]ana!$A55,[1]ana!$B55=K$4),"ok","nok")</f>
        <v>nok</v>
      </c>
      <c r="L58" s="84" t="str">
        <f>IF(AND($B58=[1]ana!$A55,[1]ana!$B55=L$4),"ok","nok")</f>
        <v>nok</v>
      </c>
      <c r="M58" s="84" t="str">
        <f>IF(AND($B58=[1]ana!$A55,[1]ana!$B55=M$4),"ok","nok")</f>
        <v>nok</v>
      </c>
      <c r="N58" s="84" t="str">
        <f>IF(AND($B58=[1]ana!$A55,[1]ana!$B55=N$4),"ok","nok")</f>
        <v>nok</v>
      </c>
      <c r="O58" s="84" t="str">
        <f>IF(AND($B58=[1]ana!$A55,[1]ana!$B55=O$4),"ok","nok")</f>
        <v>nok</v>
      </c>
      <c r="P58" s="84" t="str">
        <f>IF(AND($B58=[1]ana!$A55,[1]ana!$B55=P$4),"ok","nok")</f>
        <v>ok</v>
      </c>
      <c r="Q58" s="84" t="str">
        <f>IF(AND($B58=[1]ana!$A55,[1]ana!$B55=Q$4),"ok","nok")</f>
        <v>nok</v>
      </c>
      <c r="R58" s="84" t="str">
        <f>IF(AND($B58=[1]ana!$A55,[1]ana!$B55=R$4),"ok","nok")</f>
        <v>nok</v>
      </c>
      <c r="S58" s="84" t="str">
        <f>IF(AND($B58=[1]ana!$A55,[1]ana!$B55=S$4),"ok","nok")</f>
        <v>nok</v>
      </c>
      <c r="T58" s="84" t="str">
        <f>IF(AND($B58=[1]ana!$A55,[1]ana!$B55=T$4),"ok","nok")</f>
        <v>nok</v>
      </c>
      <c r="U58" s="84" t="str">
        <f>IF(AND($B58=[1]ana!$A55,[1]ana!$B55=U$4),"ok","nok")</f>
        <v>nok</v>
      </c>
      <c r="V58" s="84" t="str">
        <f>IF(AND($B58=[1]ana!$A55,[1]ana!$B55=V$4),"ok","nok")</f>
        <v>nok</v>
      </c>
      <c r="W58" s="84" t="str">
        <f>IF(AND($B58=[1]ana!$A55,[1]ana!$B55=W$4),"ok","nok")</f>
        <v>nok</v>
      </c>
      <c r="X58" s="84" t="str">
        <f>IF(AND($B58=[1]ana!$A55,[1]ana!$B55=X$4),"ok","nok")</f>
        <v>nok</v>
      </c>
      <c r="Y58" s="85" t="s">
        <v>34</v>
      </c>
      <c r="Z58" s="86"/>
      <c r="AA58" s="86"/>
      <c r="AB58" s="87"/>
      <c r="AC58" s="60" t="str">
        <f t="shared" si="1"/>
        <v/>
      </c>
      <c r="AD58" s="60"/>
      <c r="AE58" s="60"/>
      <c r="AF58" s="60"/>
      <c r="AG58" s="61">
        <f t="shared" si="2"/>
        <v>0</v>
      </c>
      <c r="AH58" s="61" t="str">
        <f t="shared" si="3"/>
        <v/>
      </c>
      <c r="AI58" s="61">
        <f t="shared" si="4"/>
        <v>0</v>
      </c>
      <c r="AJ58" s="61" t="str">
        <f t="shared" si="5"/>
        <v/>
      </c>
      <c r="AK58" s="61">
        <f t="shared" si="6"/>
        <v>1</v>
      </c>
      <c r="AL58" s="61" t="str">
        <f t="shared" si="7"/>
        <v/>
      </c>
      <c r="AM58" s="61">
        <f t="shared" si="8"/>
        <v>0</v>
      </c>
      <c r="AN58" s="61" t="str">
        <f t="shared" si="9"/>
        <v/>
      </c>
      <c r="AO58" s="61">
        <f t="shared" si="10"/>
        <v>0</v>
      </c>
      <c r="AP58" s="61" t="str">
        <f t="shared" si="11"/>
        <v/>
      </c>
      <c r="AS58" s="67"/>
      <c r="AT58" s="67"/>
      <c r="AZ58" s="64"/>
    </row>
    <row r="59" spans="1:87" s="68" customFormat="1" ht="30" customHeight="1" x14ac:dyDescent="0.35">
      <c r="A59" s="26" t="str">
        <f t="shared" si="17"/>
        <v>PT160 - LAUDOS TÉCNICOS PARA REGULARIZAÇÃO DE EDIFICAÇÕES (Porto de Tubarão)
ETAPA DE ENGENHARIA
RELATÓRIOS
PACOTE 1</v>
      </c>
      <c r="B59" s="51" t="s">
        <v>129</v>
      </c>
      <c r="C59" s="84" t="str">
        <f>IF(AND($B59=[1]ana!$A56,[1]ana!$B56=C$4),"ok","nok")</f>
        <v>nok</v>
      </c>
      <c r="D59" s="84" t="str">
        <f>IF(AND($B59=[1]ana!$A56,[1]ana!$B56=D$4),"ok","nok")</f>
        <v>nok</v>
      </c>
      <c r="E59" s="84" t="str">
        <f>IF(AND($B59=[1]ana!$A56,[1]ana!$B56=E$4),"ok","nok")</f>
        <v>nok</v>
      </c>
      <c r="F59" s="84" t="str">
        <f>IF(AND($B59=[1]ana!$A56,[1]ana!$B56=F$4),"ok","nok")</f>
        <v>nok</v>
      </c>
      <c r="G59" s="84" t="str">
        <f>IF(AND($B59=[1]ana!$A56,[1]ana!$B56=G$4),"ok","nok")</f>
        <v>ok</v>
      </c>
      <c r="H59" s="84" t="str">
        <f>IF(AND($B59=[1]ana!$A56,[1]ana!$B56=H$4),"ok","nok")</f>
        <v>nok</v>
      </c>
      <c r="I59" s="84" t="str">
        <f>IF(AND($B59=[1]ana!$A56,[1]ana!$B56=I$4),"ok","nok")</f>
        <v>nok</v>
      </c>
      <c r="J59" s="84" t="str">
        <f>IF(AND($B59=[1]ana!$A56,[1]ana!$B56=J$4),"ok","nok")</f>
        <v>nok</v>
      </c>
      <c r="K59" s="84" t="str">
        <f>IF(AND($B59=[1]ana!$A56,[1]ana!$B56=K$4),"ok","nok")</f>
        <v>nok</v>
      </c>
      <c r="L59" s="84" t="str">
        <f>IF(AND($B59=[1]ana!$A56,[1]ana!$B56=L$4),"ok","nok")</f>
        <v>nok</v>
      </c>
      <c r="M59" s="84" t="str">
        <f>IF(AND($B59=[1]ana!$A56,[1]ana!$B56=M$4),"ok","nok")</f>
        <v>nok</v>
      </c>
      <c r="N59" s="84" t="str">
        <f>IF(AND($B59=[1]ana!$A56,[1]ana!$B56=N$4),"ok","nok")</f>
        <v>nok</v>
      </c>
      <c r="O59" s="84" t="str">
        <f>IF(AND($B59=[1]ana!$A56,[1]ana!$B56=O$4),"ok","nok")</f>
        <v>nok</v>
      </c>
      <c r="P59" s="84" t="str">
        <f>IF(AND($B59=[1]ana!$A56,[1]ana!$B56=P$4),"ok","nok")</f>
        <v>nok</v>
      </c>
      <c r="Q59" s="84" t="str">
        <f>IF(AND($B59=[1]ana!$A56,[1]ana!$B56=Q$4),"ok","nok")</f>
        <v>nok</v>
      </c>
      <c r="R59" s="84" t="str">
        <f>IF(AND($B59=[1]ana!$A56,[1]ana!$B56=R$4),"ok","nok")</f>
        <v>nok</v>
      </c>
      <c r="S59" s="84" t="str">
        <f>IF(AND($B59=[1]ana!$A56,[1]ana!$B56=S$4),"ok","nok")</f>
        <v>nok</v>
      </c>
      <c r="T59" s="84" t="str">
        <f>IF(AND($B59=[1]ana!$A56,[1]ana!$B56=T$4),"ok","nok")</f>
        <v>nok</v>
      </c>
      <c r="U59" s="84" t="str">
        <f>IF(AND($B59=[1]ana!$A56,[1]ana!$B56=U$4),"ok","nok")</f>
        <v>nok</v>
      </c>
      <c r="V59" s="84" t="str">
        <f>IF(AND($B59=[1]ana!$A56,[1]ana!$B56=V$4),"ok","nok")</f>
        <v>nok</v>
      </c>
      <c r="W59" s="84" t="str">
        <f>IF(AND($B59=[1]ana!$A56,[1]ana!$B56=W$4),"ok","nok")</f>
        <v>nok</v>
      </c>
      <c r="X59" s="84" t="str">
        <f>IF(AND($B59=[1]ana!$A56,[1]ana!$B56=X$4),"ok","nok")</f>
        <v>nok</v>
      </c>
      <c r="Y59" s="85" t="s">
        <v>33</v>
      </c>
      <c r="Z59" s="86"/>
      <c r="AA59" s="86"/>
      <c r="AB59" s="87"/>
      <c r="AC59" s="60" t="str">
        <f t="shared" si="1"/>
        <v>167 - Casa De Compressores</v>
      </c>
      <c r="AD59" s="60"/>
      <c r="AE59" s="60"/>
      <c r="AF59" s="60"/>
      <c r="AG59" s="61">
        <f t="shared" si="2"/>
        <v>1</v>
      </c>
      <c r="AH59" s="61" t="str">
        <f t="shared" si="3"/>
        <v/>
      </c>
      <c r="AI59" s="61">
        <f t="shared" si="4"/>
        <v>0</v>
      </c>
      <c r="AJ59" s="61" t="str">
        <f t="shared" si="5"/>
        <v/>
      </c>
      <c r="AK59" s="61">
        <f t="shared" si="6"/>
        <v>0</v>
      </c>
      <c r="AL59" s="61" t="str">
        <f t="shared" si="7"/>
        <v/>
      </c>
      <c r="AM59" s="61">
        <f t="shared" si="8"/>
        <v>0</v>
      </c>
      <c r="AN59" s="61" t="str">
        <f t="shared" si="9"/>
        <v/>
      </c>
      <c r="AO59" s="61">
        <f t="shared" si="10"/>
        <v>0</v>
      </c>
      <c r="AP59" s="61" t="str">
        <f t="shared" si="11"/>
        <v/>
      </c>
      <c r="AQ59" s="67"/>
      <c r="AR59" s="67"/>
      <c r="AS59"/>
      <c r="AT59"/>
      <c r="AU59"/>
      <c r="AV59"/>
      <c r="AW59"/>
      <c r="AX59"/>
      <c r="AY59"/>
      <c r="AZ59" s="64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</row>
    <row r="60" spans="1:87" s="4" customFormat="1" ht="30" customHeight="1" x14ac:dyDescent="0.35">
      <c r="A60" s="26" t="str">
        <f t="shared" si="17"/>
        <v>PT160 - LAUDOS TÉCNICOS PARA REGULARIZAÇÃO DE EDIFICAÇÕES (Porto de Tubarão)
ETAPA DE ENGENHARIA
RELATÓRIOS
PACOTE 1</v>
      </c>
      <c r="B60" s="51" t="s">
        <v>130</v>
      </c>
      <c r="C60" s="84" t="str">
        <f>IF(AND($B60=[1]ana!$A57,[1]ana!$B57=C$4),"ok","nok")</f>
        <v>nok</v>
      </c>
      <c r="D60" s="84" t="str">
        <f>IF(AND($B60=[1]ana!$A57,[1]ana!$B57=D$4),"ok","nok")</f>
        <v>nok</v>
      </c>
      <c r="E60" s="84" t="str">
        <f>IF(AND($B60=[1]ana!$A57,[1]ana!$B57=E$4),"ok","nok")</f>
        <v>nok</v>
      </c>
      <c r="F60" s="84" t="str">
        <f>IF(AND($B60=[1]ana!$A57,[1]ana!$B57=F$4),"ok","nok")</f>
        <v>nok</v>
      </c>
      <c r="G60" s="84" t="str">
        <f>IF(AND($B60=[1]ana!$A57,[1]ana!$B57=G$4),"ok","nok")</f>
        <v>nok</v>
      </c>
      <c r="H60" s="84" t="str">
        <f>IF(AND($B60=[1]ana!$A57,[1]ana!$B57=H$4),"ok","nok")</f>
        <v>nok</v>
      </c>
      <c r="I60" s="84" t="str">
        <f>IF(AND($B60=[1]ana!$A57,[1]ana!$B57=I$4),"ok","nok")</f>
        <v>nok</v>
      </c>
      <c r="J60" s="84" t="str">
        <f>IF(AND($B60=[1]ana!$A57,[1]ana!$B57=J$4),"ok","nok")</f>
        <v>ok</v>
      </c>
      <c r="K60" s="84" t="str">
        <f>IF(AND($B60=[1]ana!$A57,[1]ana!$B57=K$4),"ok","nok")</f>
        <v>nok</v>
      </c>
      <c r="L60" s="84" t="str">
        <f>IF(AND($B60=[1]ana!$A57,[1]ana!$B57=L$4),"ok","nok")</f>
        <v>nok</v>
      </c>
      <c r="M60" s="84" t="str">
        <f>IF(AND($B60=[1]ana!$A57,[1]ana!$B57=M$4),"ok","nok")</f>
        <v>nok</v>
      </c>
      <c r="N60" s="84" t="str">
        <f>IF(AND($B60=[1]ana!$A57,[1]ana!$B57=N$4),"ok","nok")</f>
        <v>nok</v>
      </c>
      <c r="O60" s="84" t="str">
        <f>IF(AND($B60=[1]ana!$A57,[1]ana!$B57=O$4),"ok","nok")</f>
        <v>nok</v>
      </c>
      <c r="P60" s="84" t="str">
        <f>IF(AND($B60=[1]ana!$A57,[1]ana!$B57=P$4),"ok","nok")</f>
        <v>nok</v>
      </c>
      <c r="Q60" s="84" t="str">
        <f>IF(AND($B60=[1]ana!$A57,[1]ana!$B57=Q$4),"ok","nok")</f>
        <v>nok</v>
      </c>
      <c r="R60" s="84" t="str">
        <f>IF(AND($B60=[1]ana!$A57,[1]ana!$B57=R$4),"ok","nok")</f>
        <v>nok</v>
      </c>
      <c r="S60" s="84" t="str">
        <f>IF(AND($B60=[1]ana!$A57,[1]ana!$B57=S$4),"ok","nok")</f>
        <v>nok</v>
      </c>
      <c r="T60" s="84" t="str">
        <f>IF(AND($B60=[1]ana!$A57,[1]ana!$B57=T$4),"ok","nok")</f>
        <v>nok</v>
      </c>
      <c r="U60" s="84" t="str">
        <f>IF(AND($B60=[1]ana!$A57,[1]ana!$B57=U$4),"ok","nok")</f>
        <v>nok</v>
      </c>
      <c r="V60" s="84" t="str">
        <f>IF(AND($B60=[1]ana!$A57,[1]ana!$B57=V$4),"ok","nok")</f>
        <v>nok</v>
      </c>
      <c r="W60" s="84" t="str">
        <f>IF(AND($B60=[1]ana!$A57,[1]ana!$B57=W$4),"ok","nok")</f>
        <v>nok</v>
      </c>
      <c r="X60" s="84" t="str">
        <f>IF(AND($B60=[1]ana!$A57,[1]ana!$B57=X$4),"ok","nok")</f>
        <v>nok</v>
      </c>
      <c r="Y60" s="85" t="s">
        <v>33</v>
      </c>
      <c r="Z60" s="86"/>
      <c r="AA60" s="86"/>
      <c r="AB60" s="87"/>
      <c r="AC60" s="60" t="str">
        <f t="shared" si="1"/>
        <v>173 - Britagem De Carvao - Supressao De PO</v>
      </c>
      <c r="AD60" s="60"/>
      <c r="AE60" s="60"/>
      <c r="AF60" s="60"/>
      <c r="AG60" s="61">
        <f t="shared" si="2"/>
        <v>0</v>
      </c>
      <c r="AH60" s="61" t="str">
        <f t="shared" si="3"/>
        <v/>
      </c>
      <c r="AI60" s="61">
        <f t="shared" si="4"/>
        <v>1</v>
      </c>
      <c r="AJ60" s="61" t="str">
        <f t="shared" si="5"/>
        <v/>
      </c>
      <c r="AK60" s="61">
        <f t="shared" si="6"/>
        <v>0</v>
      </c>
      <c r="AL60" s="61" t="str">
        <f t="shared" si="7"/>
        <v/>
      </c>
      <c r="AM60" s="61">
        <f t="shared" si="8"/>
        <v>0</v>
      </c>
      <c r="AN60" s="61" t="str">
        <f t="shared" si="9"/>
        <v/>
      </c>
      <c r="AO60" s="61">
        <f t="shared" si="10"/>
        <v>0</v>
      </c>
      <c r="AP60" s="61" t="str">
        <f t="shared" si="11"/>
        <v/>
      </c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</row>
    <row r="61" spans="1:87" s="19" customFormat="1" ht="30" customHeight="1" x14ac:dyDescent="0.35">
      <c r="A61" s="26" t="str">
        <f t="shared" si="17"/>
        <v>PT160 - LAUDOS TÉCNICOS PARA REGULARIZAÇÃO DE EDIFICAÇÕES (Porto de Tubarão)
ETAPA DE ENGENHARIA
RELATÓRIOS
PACOTE 1</v>
      </c>
      <c r="B61" s="51" t="s">
        <v>131</v>
      </c>
      <c r="C61" s="84" t="str">
        <f>IF(AND($B61=[1]ana!$A58,[1]ana!$B58=C$4),"ok","nok")</f>
        <v>nok</v>
      </c>
      <c r="D61" s="84" t="str">
        <f>IF(AND($B61=[1]ana!$A58,[1]ana!$B58=D$4),"ok","nok")</f>
        <v>nok</v>
      </c>
      <c r="E61" s="84" t="str">
        <f>IF(AND($B61=[1]ana!$A58,[1]ana!$B58=E$4),"ok","nok")</f>
        <v>nok</v>
      </c>
      <c r="F61" s="84" t="str">
        <f>IF(AND($B61=[1]ana!$A58,[1]ana!$B58=F$4),"ok","nok")</f>
        <v>nok</v>
      </c>
      <c r="G61" s="84" t="str">
        <f>IF(AND($B61=[1]ana!$A58,[1]ana!$B58=G$4),"ok","nok")</f>
        <v>nok</v>
      </c>
      <c r="H61" s="84" t="str">
        <f>IF(AND($B61=[1]ana!$A58,[1]ana!$B58=H$4),"ok","nok")</f>
        <v>nok</v>
      </c>
      <c r="I61" s="84" t="str">
        <f>IF(AND($B61=[1]ana!$A58,[1]ana!$B58=I$4),"ok","nok")</f>
        <v>nok</v>
      </c>
      <c r="J61" s="84" t="str">
        <f>IF(AND($B61=[1]ana!$A58,[1]ana!$B58=J$4),"ok","nok")</f>
        <v>nok</v>
      </c>
      <c r="K61" s="84" t="str">
        <f>IF(AND($B61=[1]ana!$A58,[1]ana!$B58=K$4),"ok","nok")</f>
        <v>nok</v>
      </c>
      <c r="L61" s="84" t="str">
        <f>IF(AND($B61=[1]ana!$A58,[1]ana!$B58=L$4),"ok","nok")</f>
        <v>nok</v>
      </c>
      <c r="M61" s="84" t="str">
        <f>IF(AND($B61=[1]ana!$A58,[1]ana!$B58=M$4),"ok","nok")</f>
        <v>nok</v>
      </c>
      <c r="N61" s="84" t="str">
        <f>IF(AND($B61=[1]ana!$A58,[1]ana!$B58=N$4),"ok","nok")</f>
        <v>ok</v>
      </c>
      <c r="O61" s="84" t="str">
        <f>IF(AND($B61=[1]ana!$A58,[1]ana!$B58=O$4),"ok","nok")</f>
        <v>nok</v>
      </c>
      <c r="P61" s="84" t="str">
        <f>IF(AND($B61=[1]ana!$A58,[1]ana!$B58=P$4),"ok","nok")</f>
        <v>nok</v>
      </c>
      <c r="Q61" s="84" t="str">
        <f>IF(AND($B61=[1]ana!$A58,[1]ana!$B58=Q$4),"ok","nok")</f>
        <v>nok</v>
      </c>
      <c r="R61" s="84" t="str">
        <f>IF(AND($B61=[1]ana!$A58,[1]ana!$B58=R$4),"ok","nok")</f>
        <v>nok</v>
      </c>
      <c r="S61" s="84" t="str">
        <f>IF(AND($B61=[1]ana!$A58,[1]ana!$B58=S$4),"ok","nok")</f>
        <v>nok</v>
      </c>
      <c r="T61" s="84" t="str">
        <f>IF(AND($B61=[1]ana!$A58,[1]ana!$B58=T$4),"ok","nok")</f>
        <v>nok</v>
      </c>
      <c r="U61" s="84" t="str">
        <f>IF(AND($B61=[1]ana!$A58,[1]ana!$B58=U$4),"ok","nok")</f>
        <v>nok</v>
      </c>
      <c r="V61" s="84" t="str">
        <f>IF(AND($B61=[1]ana!$A58,[1]ana!$B58=V$4),"ok","nok")</f>
        <v>nok</v>
      </c>
      <c r="W61" s="84" t="str">
        <f>IF(AND($B61=[1]ana!$A58,[1]ana!$B58=W$4),"ok","nok")</f>
        <v>nok</v>
      </c>
      <c r="X61" s="84" t="str">
        <f>IF(AND($B61=[1]ana!$A58,[1]ana!$B58=X$4),"ok","nok")</f>
        <v>nok</v>
      </c>
      <c r="Y61" s="85" t="s">
        <v>34</v>
      </c>
      <c r="Z61" s="86"/>
      <c r="AA61" s="86"/>
      <c r="AB61" s="87"/>
      <c r="AC61" s="60" t="str">
        <f t="shared" si="1"/>
        <v/>
      </c>
      <c r="AD61" s="60"/>
      <c r="AE61" s="60"/>
      <c r="AF61" s="60"/>
      <c r="AG61" s="61">
        <f t="shared" si="2"/>
        <v>0</v>
      </c>
      <c r="AH61" s="61" t="str">
        <f t="shared" si="3"/>
        <v/>
      </c>
      <c r="AI61" s="61">
        <f t="shared" si="4"/>
        <v>0</v>
      </c>
      <c r="AJ61" s="61" t="str">
        <f t="shared" si="5"/>
        <v/>
      </c>
      <c r="AK61" s="61">
        <f t="shared" si="6"/>
        <v>1</v>
      </c>
      <c r="AL61" s="61" t="str">
        <f t="shared" si="7"/>
        <v/>
      </c>
      <c r="AM61" s="61">
        <f t="shared" si="8"/>
        <v>0</v>
      </c>
      <c r="AN61" s="61" t="str">
        <f t="shared" si="9"/>
        <v/>
      </c>
      <c r="AO61" s="61">
        <f t="shared" si="10"/>
        <v>0</v>
      </c>
      <c r="AP61" s="61" t="str">
        <f t="shared" si="11"/>
        <v/>
      </c>
      <c r="AQ61" s="13"/>
    </row>
    <row r="62" spans="1:87" ht="30" customHeight="1" x14ac:dyDescent="0.35">
      <c r="A62" s="26" t="str">
        <f t="shared" si="17"/>
        <v>PT160 - LAUDOS TÉCNICOS PARA REGULARIZAÇÃO DE EDIFICAÇÕES (Porto de Tubarão)
ETAPA DE ENGENHARIA
RELATÓRIOS
PACOTE 1</v>
      </c>
      <c r="B62" s="51" t="s">
        <v>132</v>
      </c>
      <c r="C62" s="84" t="str">
        <f>IF(AND($B62=[1]ana!$A59,[1]ana!$B59=C$4),"ok","nok")</f>
        <v>nok</v>
      </c>
      <c r="D62" s="84" t="str">
        <f>IF(AND($B62=[1]ana!$A59,[1]ana!$B59=D$4),"ok","nok")</f>
        <v>nok</v>
      </c>
      <c r="E62" s="84" t="str">
        <f>IF(AND($B62=[1]ana!$A59,[1]ana!$B59=E$4),"ok","nok")</f>
        <v>nok</v>
      </c>
      <c r="F62" s="84" t="str">
        <f>IF(AND($B62=[1]ana!$A59,[1]ana!$B59=F$4),"ok","nok")</f>
        <v>nok</v>
      </c>
      <c r="G62" s="84" t="str">
        <f>IF(AND($B62=[1]ana!$A59,[1]ana!$B59=G$4),"ok","nok")</f>
        <v>nok</v>
      </c>
      <c r="H62" s="84" t="str">
        <f>IF(AND($B62=[1]ana!$A59,[1]ana!$B59=H$4),"ok","nok")</f>
        <v>nok</v>
      </c>
      <c r="I62" s="84" t="str">
        <f>IF(AND($B62=[1]ana!$A59,[1]ana!$B59=I$4),"ok","nok")</f>
        <v>nok</v>
      </c>
      <c r="J62" s="84" t="str">
        <f>IF(AND($B62=[1]ana!$A59,[1]ana!$B59=J$4),"ok","nok")</f>
        <v>nok</v>
      </c>
      <c r="K62" s="84" t="str">
        <f>IF(AND($B62=[1]ana!$A59,[1]ana!$B59=K$4),"ok","nok")</f>
        <v>nok</v>
      </c>
      <c r="L62" s="84" t="str">
        <f>IF(AND($B62=[1]ana!$A59,[1]ana!$B59=L$4),"ok","nok")</f>
        <v>nok</v>
      </c>
      <c r="M62" s="84" t="str">
        <f>IF(AND($B62=[1]ana!$A59,[1]ana!$B59=M$4),"ok","nok")</f>
        <v>nok</v>
      </c>
      <c r="N62" s="84" t="str">
        <f>IF(AND($B62=[1]ana!$A59,[1]ana!$B59=N$4),"ok","nok")</f>
        <v>nok</v>
      </c>
      <c r="O62" s="84" t="str">
        <f>IF(AND($B62=[1]ana!$A59,[1]ana!$B59=O$4),"ok","nok")</f>
        <v>nok</v>
      </c>
      <c r="P62" s="84" t="str">
        <f>IF(AND($B62=[1]ana!$A59,[1]ana!$B59=P$4),"ok","nok")</f>
        <v>nok</v>
      </c>
      <c r="Q62" s="84" t="str">
        <f>IF(AND($B62=[1]ana!$A59,[1]ana!$B59=Q$4),"ok","nok")</f>
        <v>ok</v>
      </c>
      <c r="R62" s="84" t="str">
        <f>IF(AND($B62=[1]ana!$A59,[1]ana!$B59=R$4),"ok","nok")</f>
        <v>nok</v>
      </c>
      <c r="S62" s="84" t="str">
        <f>IF(AND($B62=[1]ana!$A59,[1]ana!$B59=S$4),"ok","nok")</f>
        <v>nok</v>
      </c>
      <c r="T62" s="84" t="str">
        <f>IF(AND($B62=[1]ana!$A59,[1]ana!$B59=T$4),"ok","nok")</f>
        <v>nok</v>
      </c>
      <c r="U62" s="84" t="str">
        <f>IF(AND($B62=[1]ana!$A59,[1]ana!$B59=U$4),"ok","nok")</f>
        <v>nok</v>
      </c>
      <c r="V62" s="84" t="str">
        <f>IF(AND($B62=[1]ana!$A59,[1]ana!$B59=V$4),"ok","nok")</f>
        <v>nok</v>
      </c>
      <c r="W62" s="84" t="str">
        <f>IF(AND($B62=[1]ana!$A59,[1]ana!$B59=W$4),"ok","nok")</f>
        <v>nok</v>
      </c>
      <c r="X62" s="84" t="str">
        <f>IF(AND($B62=[1]ana!$A59,[1]ana!$B59=X$4),"ok","nok")</f>
        <v>nok</v>
      </c>
      <c r="Y62" s="85" t="s">
        <v>34</v>
      </c>
      <c r="Z62" s="86"/>
      <c r="AA62" s="86"/>
      <c r="AB62" s="87"/>
      <c r="AC62" s="60" t="str">
        <f t="shared" si="1"/>
        <v/>
      </c>
      <c r="AD62" s="60"/>
      <c r="AE62" s="60"/>
      <c r="AF62" s="60"/>
      <c r="AG62" s="61">
        <f t="shared" si="2"/>
        <v>0</v>
      </c>
      <c r="AH62" s="61" t="str">
        <f t="shared" si="3"/>
        <v/>
      </c>
      <c r="AI62" s="61">
        <f t="shared" si="4"/>
        <v>0</v>
      </c>
      <c r="AJ62" s="61" t="str">
        <f t="shared" si="5"/>
        <v/>
      </c>
      <c r="AK62" s="61">
        <f t="shared" si="6"/>
        <v>1</v>
      </c>
      <c r="AL62" s="61" t="str">
        <f t="shared" si="7"/>
        <v/>
      </c>
      <c r="AM62" s="61">
        <f t="shared" si="8"/>
        <v>0</v>
      </c>
      <c r="AN62" s="61" t="str">
        <f t="shared" si="9"/>
        <v/>
      </c>
      <c r="AO62" s="61">
        <f t="shared" si="10"/>
        <v>0</v>
      </c>
      <c r="AP62" s="61" t="str">
        <f t="shared" si="11"/>
        <v/>
      </c>
    </row>
    <row r="63" spans="1:87" ht="30" customHeight="1" x14ac:dyDescent="0.35">
      <c r="A63" s="26" t="str">
        <f t="shared" si="17"/>
        <v>PT160 - LAUDOS TÉCNICOS PARA REGULARIZAÇÃO DE EDIFICAÇÕES (Porto de Tubarão)
ETAPA DE ENGENHARIA
RELATÓRIOS
PACOTE 1</v>
      </c>
      <c r="B63" s="51" t="s">
        <v>133</v>
      </c>
      <c r="C63" s="84" t="str">
        <f>IF(AND($B63=[1]ana!$A60,[1]ana!$B60=C$4),"ok","nok")</f>
        <v>nok</v>
      </c>
      <c r="D63" s="84" t="str">
        <f>IF(AND($B63=[1]ana!$A60,[1]ana!$B60=D$4),"ok","nok")</f>
        <v>nok</v>
      </c>
      <c r="E63" s="84" t="str">
        <f>IF(AND($B63=[1]ana!$A60,[1]ana!$B60=E$4),"ok","nok")</f>
        <v>nok</v>
      </c>
      <c r="F63" s="84" t="str">
        <f>IF(AND($B63=[1]ana!$A60,[1]ana!$B60=F$4),"ok","nok")</f>
        <v>nok</v>
      </c>
      <c r="G63" s="84" t="str">
        <f>IF(AND($B63=[1]ana!$A60,[1]ana!$B60=G$4),"ok","nok")</f>
        <v>nok</v>
      </c>
      <c r="H63" s="84" t="str">
        <f>IF(AND($B63=[1]ana!$A60,[1]ana!$B60=H$4),"ok","nok")</f>
        <v>nok</v>
      </c>
      <c r="I63" s="84" t="str">
        <f>IF(AND($B63=[1]ana!$A60,[1]ana!$B60=I$4),"ok","nok")</f>
        <v>ok</v>
      </c>
      <c r="J63" s="84" t="str">
        <f>IF(AND($B63=[1]ana!$A60,[1]ana!$B60=J$4),"ok","nok")</f>
        <v>nok</v>
      </c>
      <c r="K63" s="84" t="str">
        <f>IF(AND($B63=[1]ana!$A60,[1]ana!$B60=K$4),"ok","nok")</f>
        <v>nok</v>
      </c>
      <c r="L63" s="84" t="str">
        <f>IF(AND($B63=[1]ana!$A60,[1]ana!$B60=L$4),"ok","nok")</f>
        <v>nok</v>
      </c>
      <c r="M63" s="84" t="str">
        <f>IF(AND($B63=[1]ana!$A60,[1]ana!$B60=M$4),"ok","nok")</f>
        <v>nok</v>
      </c>
      <c r="N63" s="84" t="str">
        <f>IF(AND($B63=[1]ana!$A60,[1]ana!$B60=N$4),"ok","nok")</f>
        <v>nok</v>
      </c>
      <c r="O63" s="84" t="str">
        <f>IF(AND($B63=[1]ana!$A60,[1]ana!$B60=O$4),"ok","nok")</f>
        <v>nok</v>
      </c>
      <c r="P63" s="84" t="str">
        <f>IF(AND($B63=[1]ana!$A60,[1]ana!$B60=P$4),"ok","nok")</f>
        <v>nok</v>
      </c>
      <c r="Q63" s="84" t="str">
        <f>IF(AND($B63=[1]ana!$A60,[1]ana!$B60=Q$4),"ok","nok")</f>
        <v>nok</v>
      </c>
      <c r="R63" s="84" t="str">
        <f>IF(AND($B63=[1]ana!$A60,[1]ana!$B60=R$4),"ok","nok")</f>
        <v>nok</v>
      </c>
      <c r="S63" s="84" t="str">
        <f>IF(AND($B63=[1]ana!$A60,[1]ana!$B60=S$4),"ok","nok")</f>
        <v>nok</v>
      </c>
      <c r="T63" s="84" t="str">
        <f>IF(AND($B63=[1]ana!$A60,[1]ana!$B60=T$4),"ok","nok")</f>
        <v>nok</v>
      </c>
      <c r="U63" s="84" t="str">
        <f>IF(AND($B63=[1]ana!$A60,[1]ana!$B60=U$4),"ok","nok")</f>
        <v>nok</v>
      </c>
      <c r="V63" s="84" t="str">
        <f>IF(AND($B63=[1]ana!$A60,[1]ana!$B60=V$4),"ok","nok")</f>
        <v>nok</v>
      </c>
      <c r="W63" s="84" t="str">
        <f>IF(AND($B63=[1]ana!$A60,[1]ana!$B60=W$4),"ok","nok")</f>
        <v>nok</v>
      </c>
      <c r="X63" s="84" t="str">
        <f>IF(AND($B63=[1]ana!$A60,[1]ana!$B60=X$4),"ok","nok")</f>
        <v>nok</v>
      </c>
      <c r="Y63" s="85" t="s">
        <v>33</v>
      </c>
      <c r="Z63" s="86"/>
      <c r="AA63" s="86"/>
      <c r="AB63" s="87"/>
      <c r="AC63" s="60" t="str">
        <f t="shared" si="1"/>
        <v>204 - Casa De Bombas De Oleo 1</v>
      </c>
      <c r="AD63" s="60"/>
      <c r="AE63" s="60"/>
      <c r="AF63" s="60"/>
      <c r="AG63" s="61">
        <f t="shared" si="2"/>
        <v>0</v>
      </c>
      <c r="AH63" s="61" t="str">
        <f t="shared" si="3"/>
        <v/>
      </c>
      <c r="AI63" s="61">
        <f t="shared" si="4"/>
        <v>1</v>
      </c>
      <c r="AJ63" s="61" t="str">
        <f t="shared" si="5"/>
        <v/>
      </c>
      <c r="AK63" s="61">
        <f t="shared" si="6"/>
        <v>0</v>
      </c>
      <c r="AL63" s="61" t="str">
        <f t="shared" si="7"/>
        <v/>
      </c>
      <c r="AM63" s="61">
        <f t="shared" si="8"/>
        <v>0</v>
      </c>
      <c r="AN63" s="61" t="str">
        <f t="shared" si="9"/>
        <v/>
      </c>
      <c r="AO63" s="61">
        <f t="shared" si="10"/>
        <v>0</v>
      </c>
      <c r="AP63" s="61" t="str">
        <f t="shared" si="11"/>
        <v/>
      </c>
    </row>
    <row r="64" spans="1:87" ht="30" customHeight="1" x14ac:dyDescent="0.35">
      <c r="A64" s="26" t="str">
        <f t="shared" si="17"/>
        <v>PT160 - LAUDOS TÉCNICOS PARA REGULARIZAÇÃO DE EDIFICAÇÕES (Porto de Tubarão)
ETAPA DE ENGENHARIA
RELATÓRIOS
PACOTE 1</v>
      </c>
      <c r="B64" s="51" t="s">
        <v>134</v>
      </c>
      <c r="C64" s="84" t="str">
        <f>IF(AND($B64=[1]ana!$A61,[1]ana!$B61=C$4),"ok","nok")</f>
        <v>nok</v>
      </c>
      <c r="D64" s="84" t="str">
        <f>IF(AND($B64=[1]ana!$A61,[1]ana!$B61=D$4),"ok","nok")</f>
        <v>nok</v>
      </c>
      <c r="E64" s="84" t="str">
        <f>IF(AND($B64=[1]ana!$A61,[1]ana!$B61=E$4),"ok","nok")</f>
        <v>nok</v>
      </c>
      <c r="F64" s="84" t="str">
        <f>IF(AND($B64=[1]ana!$A61,[1]ana!$B61=F$4),"ok","nok")</f>
        <v>nok</v>
      </c>
      <c r="G64" s="84" t="str">
        <f>IF(AND($B64=[1]ana!$A61,[1]ana!$B61=G$4),"ok","nok")</f>
        <v>nok</v>
      </c>
      <c r="H64" s="84" t="str">
        <f>IF(AND($B64=[1]ana!$A61,[1]ana!$B61=H$4),"ok","nok")</f>
        <v>nok</v>
      </c>
      <c r="I64" s="84" t="str">
        <f>IF(AND($B64=[1]ana!$A61,[1]ana!$B61=I$4),"ok","nok")</f>
        <v>nok</v>
      </c>
      <c r="J64" s="84" t="str">
        <f>IF(AND($B64=[1]ana!$A61,[1]ana!$B61=J$4),"ok","nok")</f>
        <v>nok</v>
      </c>
      <c r="K64" s="84" t="str">
        <f>IF(AND($B64=[1]ana!$A61,[1]ana!$B61=K$4),"ok","nok")</f>
        <v>nok</v>
      </c>
      <c r="L64" s="84" t="str">
        <f>IF(AND($B64=[1]ana!$A61,[1]ana!$B61=L$4),"ok","nok")</f>
        <v>nok</v>
      </c>
      <c r="M64" s="84" t="str">
        <f>IF(AND($B64=[1]ana!$A61,[1]ana!$B61=M$4),"ok","nok")</f>
        <v>nok</v>
      </c>
      <c r="N64" s="84" t="str">
        <f>IF(AND($B64=[1]ana!$A61,[1]ana!$B61=N$4),"ok","nok")</f>
        <v>ok</v>
      </c>
      <c r="O64" s="84" t="str">
        <f>IF(AND($B64=[1]ana!$A61,[1]ana!$B61=O$4),"ok","nok")</f>
        <v>nok</v>
      </c>
      <c r="P64" s="84" t="str">
        <f>IF(AND($B64=[1]ana!$A61,[1]ana!$B61=P$4),"ok","nok")</f>
        <v>nok</v>
      </c>
      <c r="Q64" s="84" t="str">
        <f>IF(AND($B64=[1]ana!$A61,[1]ana!$B61=Q$4),"ok","nok")</f>
        <v>nok</v>
      </c>
      <c r="R64" s="84" t="str">
        <f>IF(AND($B64=[1]ana!$A61,[1]ana!$B61=R$4),"ok","nok")</f>
        <v>nok</v>
      </c>
      <c r="S64" s="84" t="str">
        <f>IF(AND($B64=[1]ana!$A61,[1]ana!$B61=S$4),"ok","nok")</f>
        <v>nok</v>
      </c>
      <c r="T64" s="84" t="str">
        <f>IF(AND($B64=[1]ana!$A61,[1]ana!$B61=T$4),"ok","nok")</f>
        <v>nok</v>
      </c>
      <c r="U64" s="84" t="str">
        <f>IF(AND($B64=[1]ana!$A61,[1]ana!$B61=U$4),"ok","nok")</f>
        <v>nok</v>
      </c>
      <c r="V64" s="84" t="str">
        <f>IF(AND($B64=[1]ana!$A61,[1]ana!$B61=V$4),"ok","nok")</f>
        <v>nok</v>
      </c>
      <c r="W64" s="84" t="str">
        <f>IF(AND($B64=[1]ana!$A61,[1]ana!$B61=W$4),"ok","nok")</f>
        <v>nok</v>
      </c>
      <c r="X64" s="84" t="str">
        <f>IF(AND($B64=[1]ana!$A61,[1]ana!$B61=X$4),"ok","nok")</f>
        <v>nok</v>
      </c>
      <c r="Y64" s="85" t="s">
        <v>34</v>
      </c>
      <c r="Z64" s="86"/>
      <c r="AA64" s="86"/>
      <c r="AB64" s="87"/>
      <c r="AC64" s="60" t="str">
        <f t="shared" si="1"/>
        <v/>
      </c>
      <c r="AD64" s="60"/>
      <c r="AE64" s="60"/>
      <c r="AF64" s="60"/>
      <c r="AG64" s="61">
        <f t="shared" si="2"/>
        <v>0</v>
      </c>
      <c r="AH64" s="61" t="str">
        <f t="shared" si="3"/>
        <v/>
      </c>
      <c r="AI64" s="61">
        <f t="shared" si="4"/>
        <v>0</v>
      </c>
      <c r="AJ64" s="61" t="str">
        <f t="shared" si="5"/>
        <v/>
      </c>
      <c r="AK64" s="61">
        <f t="shared" si="6"/>
        <v>1</v>
      </c>
      <c r="AL64" s="61" t="str">
        <f t="shared" si="7"/>
        <v/>
      </c>
      <c r="AM64" s="61">
        <f t="shared" si="8"/>
        <v>0</v>
      </c>
      <c r="AN64" s="61" t="str">
        <f t="shared" si="9"/>
        <v/>
      </c>
      <c r="AO64" s="61">
        <f t="shared" si="10"/>
        <v>0</v>
      </c>
      <c r="AP64" s="61" t="str">
        <f t="shared" si="11"/>
        <v/>
      </c>
    </row>
    <row r="65" spans="1:62" ht="30" customHeight="1" x14ac:dyDescent="0.35">
      <c r="A65" s="26" t="str">
        <f t="shared" si="17"/>
        <v>PT160 - LAUDOS TÉCNICOS PARA REGULARIZAÇÃO DE EDIFICAÇÕES (Porto de Tubarão)
ETAPA DE ENGENHARIA
RELATÓRIOS
PACOTE 1</v>
      </c>
      <c r="B65" s="51" t="s">
        <v>135</v>
      </c>
      <c r="C65" s="84" t="str">
        <f>IF(AND($B65=[1]ana!$A62,[1]ana!$B62=C$4),"ok","nok")</f>
        <v>nok</v>
      </c>
      <c r="D65" s="84" t="str">
        <f>IF(AND($B65=[1]ana!$A62,[1]ana!$B62=D$4),"ok","nok")</f>
        <v>nok</v>
      </c>
      <c r="E65" s="84" t="str">
        <f>IF(AND($B65=[1]ana!$A62,[1]ana!$B62=E$4),"ok","nok")</f>
        <v>nok</v>
      </c>
      <c r="F65" s="84" t="str">
        <f>IF(AND($B65=[1]ana!$A62,[1]ana!$B62=F$4),"ok","nok")</f>
        <v>nok</v>
      </c>
      <c r="G65" s="84" t="str">
        <f>IF(AND($B65=[1]ana!$A62,[1]ana!$B62=G$4),"ok","nok")</f>
        <v>nok</v>
      </c>
      <c r="H65" s="84" t="str">
        <f>IF(AND($B65=[1]ana!$A62,[1]ana!$B62=H$4),"ok","nok")</f>
        <v>nok</v>
      </c>
      <c r="I65" s="84" t="str">
        <f>IF(AND($B65=[1]ana!$A62,[1]ana!$B62=I$4),"ok","nok")</f>
        <v>nok</v>
      </c>
      <c r="J65" s="84" t="str">
        <f>IF(AND($B65=[1]ana!$A62,[1]ana!$B62=J$4),"ok","nok")</f>
        <v>nok</v>
      </c>
      <c r="K65" s="84" t="str">
        <f>IF(AND($B65=[1]ana!$A62,[1]ana!$B62=K$4),"ok","nok")</f>
        <v>nok</v>
      </c>
      <c r="L65" s="84" t="str">
        <f>IF(AND($B65=[1]ana!$A62,[1]ana!$B62=L$4),"ok","nok")</f>
        <v>nok</v>
      </c>
      <c r="M65" s="84" t="str">
        <f>IF(AND($B65=[1]ana!$A62,[1]ana!$B62=M$4),"ok","nok")</f>
        <v>nok</v>
      </c>
      <c r="N65" s="84" t="str">
        <f>IF(AND($B65=[1]ana!$A62,[1]ana!$B62=N$4),"ok","nok")</f>
        <v>nok</v>
      </c>
      <c r="O65" s="84" t="str">
        <f>IF(AND($B65=[1]ana!$A62,[1]ana!$B62=O$4),"ok","nok")</f>
        <v>nok</v>
      </c>
      <c r="P65" s="84" t="str">
        <f>IF(AND($B65=[1]ana!$A62,[1]ana!$B62=P$4),"ok","nok")</f>
        <v>nok</v>
      </c>
      <c r="Q65" s="84" t="str">
        <f>IF(AND($B65=[1]ana!$A62,[1]ana!$B62=Q$4),"ok","nok")</f>
        <v>ok</v>
      </c>
      <c r="R65" s="84" t="str">
        <f>IF(AND($B65=[1]ana!$A62,[1]ana!$B62=R$4),"ok","nok")</f>
        <v>nok</v>
      </c>
      <c r="S65" s="84" t="str">
        <f>IF(AND($B65=[1]ana!$A62,[1]ana!$B62=S$4),"ok","nok")</f>
        <v>nok</v>
      </c>
      <c r="T65" s="84" t="str">
        <f>IF(AND($B65=[1]ana!$A62,[1]ana!$B62=T$4),"ok","nok")</f>
        <v>nok</v>
      </c>
      <c r="U65" s="84" t="str">
        <f>IF(AND($B65=[1]ana!$A62,[1]ana!$B62=U$4),"ok","nok")</f>
        <v>nok</v>
      </c>
      <c r="V65" s="84" t="str">
        <f>IF(AND($B65=[1]ana!$A62,[1]ana!$B62=V$4),"ok","nok")</f>
        <v>nok</v>
      </c>
      <c r="W65" s="84" t="str">
        <f>IF(AND($B65=[1]ana!$A62,[1]ana!$B62=W$4),"ok","nok")</f>
        <v>nok</v>
      </c>
      <c r="X65" s="84" t="str">
        <f>IF(AND($B65=[1]ana!$A62,[1]ana!$B62=X$4),"ok","nok")</f>
        <v>nok</v>
      </c>
      <c r="Y65" s="85" t="s">
        <v>34</v>
      </c>
      <c r="Z65" s="86"/>
      <c r="AA65" s="86"/>
      <c r="AB65" s="87"/>
      <c r="AC65" s="60" t="str">
        <f t="shared" si="1"/>
        <v/>
      </c>
      <c r="AD65" s="60"/>
      <c r="AE65" s="60"/>
      <c r="AF65" s="60"/>
      <c r="AG65" s="61">
        <f t="shared" si="2"/>
        <v>0</v>
      </c>
      <c r="AH65" s="61" t="str">
        <f t="shared" si="3"/>
        <v/>
      </c>
      <c r="AI65" s="61">
        <f t="shared" si="4"/>
        <v>0</v>
      </c>
      <c r="AJ65" s="61" t="str">
        <f t="shared" si="5"/>
        <v/>
      </c>
      <c r="AK65" s="61">
        <f t="shared" si="6"/>
        <v>1</v>
      </c>
      <c r="AL65" s="61" t="str">
        <f t="shared" si="7"/>
        <v/>
      </c>
      <c r="AM65" s="61">
        <f t="shared" si="8"/>
        <v>0</v>
      </c>
      <c r="AN65" s="61" t="str">
        <f t="shared" si="9"/>
        <v/>
      </c>
      <c r="AO65" s="61">
        <f t="shared" si="10"/>
        <v>0</v>
      </c>
      <c r="AP65" s="61" t="str">
        <f t="shared" si="11"/>
        <v/>
      </c>
    </row>
    <row r="66" spans="1:62" s="44" customFormat="1" ht="30" customHeight="1" x14ac:dyDescent="0.35">
      <c r="A66" s="26" t="str">
        <f t="shared" si="17"/>
        <v>PT160 - LAUDOS TÉCNICOS PARA REGULARIZAÇÃO DE EDIFICAÇÕES (Porto de Tubarão)
ETAPA DE ENGENHARIA
RELATÓRIOS
PACOTE 1</v>
      </c>
      <c r="B66" s="51" t="s">
        <v>136</v>
      </c>
      <c r="C66" s="84" t="str">
        <f>IF(AND($B66=[1]ana!$A63,[1]ana!$B63=C$4),"ok","nok")</f>
        <v>nok</v>
      </c>
      <c r="D66" s="84" t="str">
        <f>IF(AND($B66=[1]ana!$A63,[1]ana!$B63=D$4),"ok","nok")</f>
        <v>nok</v>
      </c>
      <c r="E66" s="84" t="str">
        <f>IF(AND($B66=[1]ana!$A63,[1]ana!$B63=E$4),"ok","nok")</f>
        <v>nok</v>
      </c>
      <c r="F66" s="84" t="str">
        <f>IF(AND($B66=[1]ana!$A63,[1]ana!$B63=F$4),"ok","nok")</f>
        <v>nok</v>
      </c>
      <c r="G66" s="84" t="str">
        <f>IF(AND($B66=[1]ana!$A63,[1]ana!$B63=G$4),"ok","nok")</f>
        <v>nok</v>
      </c>
      <c r="H66" s="84" t="str">
        <f>IF(AND($B66=[1]ana!$A63,[1]ana!$B63=H$4),"ok","nok")</f>
        <v>nok</v>
      </c>
      <c r="I66" s="84" t="str">
        <f>IF(AND($B66=[1]ana!$A63,[1]ana!$B63=I$4),"ok","nok")</f>
        <v>nok</v>
      </c>
      <c r="J66" s="84" t="str">
        <f>IF(AND($B66=[1]ana!$A63,[1]ana!$B63=J$4),"ok","nok")</f>
        <v>nok</v>
      </c>
      <c r="K66" s="84" t="str">
        <f>IF(AND($B66=[1]ana!$A63,[1]ana!$B63=K$4),"ok","nok")</f>
        <v>nok</v>
      </c>
      <c r="L66" s="84" t="str">
        <f>IF(AND($B66=[1]ana!$A63,[1]ana!$B63=L$4),"ok","nok")</f>
        <v>nok</v>
      </c>
      <c r="M66" s="84" t="str">
        <f>IF(AND($B66=[1]ana!$A63,[1]ana!$B63=M$4),"ok","nok")</f>
        <v>ok</v>
      </c>
      <c r="N66" s="84" t="str">
        <f>IF(AND($B66=[1]ana!$A63,[1]ana!$B63=N$4),"ok","nok")</f>
        <v>nok</v>
      </c>
      <c r="O66" s="84" t="str">
        <f>IF(AND($B66=[1]ana!$A63,[1]ana!$B63=O$4),"ok","nok")</f>
        <v>nok</v>
      </c>
      <c r="P66" s="84" t="str">
        <f>IF(AND($B66=[1]ana!$A63,[1]ana!$B63=P$4),"ok","nok")</f>
        <v>nok</v>
      </c>
      <c r="Q66" s="84" t="str">
        <f>IF(AND($B66=[1]ana!$A63,[1]ana!$B63=Q$4),"ok","nok")</f>
        <v>nok</v>
      </c>
      <c r="R66" s="84" t="str">
        <f>IF(AND($B66=[1]ana!$A63,[1]ana!$B63=R$4),"ok","nok")</f>
        <v>nok</v>
      </c>
      <c r="S66" s="84" t="str">
        <f>IF(AND($B66=[1]ana!$A63,[1]ana!$B63=S$4),"ok","nok")</f>
        <v>nok</v>
      </c>
      <c r="T66" s="84" t="str">
        <f>IF(AND($B66=[1]ana!$A63,[1]ana!$B63=T$4),"ok","nok")</f>
        <v>nok</v>
      </c>
      <c r="U66" s="84" t="str">
        <f>IF(AND($B66=[1]ana!$A63,[1]ana!$B63=U$4),"ok","nok")</f>
        <v>nok</v>
      </c>
      <c r="V66" s="84" t="str">
        <f>IF(AND($B66=[1]ana!$A63,[1]ana!$B63=V$4),"ok","nok")</f>
        <v>nok</v>
      </c>
      <c r="W66" s="84" t="str">
        <f>IF(AND($B66=[1]ana!$A63,[1]ana!$B63=W$4),"ok","nok")</f>
        <v>nok</v>
      </c>
      <c r="X66" s="84" t="str">
        <f>IF(AND($B66=[1]ana!$A63,[1]ana!$B63=X$4),"ok","nok")</f>
        <v>nok</v>
      </c>
      <c r="Y66" s="85" t="s">
        <v>33</v>
      </c>
      <c r="Z66" s="86"/>
      <c r="AA66" s="86"/>
      <c r="AB66" s="87"/>
      <c r="AC66" s="60" t="str">
        <f t="shared" si="1"/>
        <v>85 - Predio Da Caldeira E Abrigo De Cilindros</v>
      </c>
      <c r="AD66" s="60"/>
      <c r="AE66" s="60"/>
      <c r="AF66" s="60"/>
      <c r="AG66" s="61">
        <f t="shared" si="2"/>
        <v>0</v>
      </c>
      <c r="AH66" s="61" t="str">
        <f t="shared" si="3"/>
        <v/>
      </c>
      <c r="AI66" s="61">
        <f t="shared" si="4"/>
        <v>0</v>
      </c>
      <c r="AJ66" s="61" t="str">
        <f t="shared" si="5"/>
        <v/>
      </c>
      <c r="AK66" s="61">
        <f t="shared" si="6"/>
        <v>1</v>
      </c>
      <c r="AL66" s="61" t="str">
        <f t="shared" si="7"/>
        <v/>
      </c>
      <c r="AM66" s="61">
        <f t="shared" si="8"/>
        <v>0</v>
      </c>
      <c r="AN66" s="61" t="str">
        <f t="shared" si="9"/>
        <v/>
      </c>
      <c r="AO66" s="61">
        <f t="shared" si="10"/>
        <v>0</v>
      </c>
      <c r="AP66" s="61" t="str">
        <f t="shared" si="11"/>
        <v/>
      </c>
      <c r="AQ66" s="4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</row>
    <row r="67" spans="1:62" s="44" customFormat="1" ht="30" customHeight="1" x14ac:dyDescent="0.35">
      <c r="A67" s="26" t="str">
        <f t="shared" si="17"/>
        <v>PT160 - LAUDOS TÉCNICOS PARA REGULARIZAÇÃO DE EDIFICAÇÕES (Porto de Tubarão)
ETAPA DE ENGENHARIA
RELATÓRIOS
PACOTE 1</v>
      </c>
      <c r="B67" s="51" t="s">
        <v>137</v>
      </c>
      <c r="C67" s="84" t="str">
        <f>IF(AND($B67=[1]ana!$A64,[1]ana!$B64=C$4),"ok","nok")</f>
        <v>nok</v>
      </c>
      <c r="D67" s="84" t="str">
        <f>IF(AND($B67=[1]ana!$A64,[1]ana!$B64=D$4),"ok","nok")</f>
        <v>nok</v>
      </c>
      <c r="E67" s="84" t="str">
        <f>IF(AND($B67=[1]ana!$A64,[1]ana!$B64=E$4),"ok","nok")</f>
        <v>nok</v>
      </c>
      <c r="F67" s="84" t="str">
        <f>IF(AND($B67=[1]ana!$A64,[1]ana!$B64=F$4),"ok","nok")</f>
        <v>nok</v>
      </c>
      <c r="G67" s="84" t="str">
        <f>IF(AND($B67=[1]ana!$A64,[1]ana!$B64=G$4),"ok","nok")</f>
        <v>nok</v>
      </c>
      <c r="H67" s="84" t="str">
        <f>IF(AND($B67=[1]ana!$A64,[1]ana!$B64=H$4),"ok","nok")</f>
        <v>nok</v>
      </c>
      <c r="I67" s="84" t="str">
        <f>IF(AND($B67=[1]ana!$A64,[1]ana!$B64=I$4),"ok","nok")</f>
        <v>nok</v>
      </c>
      <c r="J67" s="84" t="str">
        <f>IF(AND($B67=[1]ana!$A64,[1]ana!$B64=J$4),"ok","nok")</f>
        <v>nok</v>
      </c>
      <c r="K67" s="84" t="str">
        <f>IF(AND($B67=[1]ana!$A64,[1]ana!$B64=K$4),"ok","nok")</f>
        <v>nok</v>
      </c>
      <c r="L67" s="84" t="str">
        <f>IF(AND($B67=[1]ana!$A64,[1]ana!$B64=L$4),"ok","nok")</f>
        <v>nok</v>
      </c>
      <c r="M67" s="84" t="str">
        <f>IF(AND($B67=[1]ana!$A64,[1]ana!$B64=M$4),"ok","nok")</f>
        <v>nok</v>
      </c>
      <c r="N67" s="84" t="str">
        <f>IF(AND($B67=[1]ana!$A64,[1]ana!$B64=N$4),"ok","nok")</f>
        <v>nok</v>
      </c>
      <c r="O67" s="84" t="str">
        <f>IF(AND($B67=[1]ana!$A64,[1]ana!$B64=O$4),"ok","nok")</f>
        <v>nok</v>
      </c>
      <c r="P67" s="84" t="str">
        <f>IF(AND($B67=[1]ana!$A64,[1]ana!$B64=P$4),"ok","nok")</f>
        <v>nok</v>
      </c>
      <c r="Q67" s="84" t="str">
        <f>IF(AND($B67=[1]ana!$A64,[1]ana!$B64=Q$4),"ok","nok")</f>
        <v>ok</v>
      </c>
      <c r="R67" s="84" t="str">
        <f>IF(AND($B67=[1]ana!$A64,[1]ana!$B64=R$4),"ok","nok")</f>
        <v>nok</v>
      </c>
      <c r="S67" s="84" t="str">
        <f>IF(AND($B67=[1]ana!$A64,[1]ana!$B64=S$4),"ok","nok")</f>
        <v>nok</v>
      </c>
      <c r="T67" s="84" t="str">
        <f>IF(AND($B67=[1]ana!$A64,[1]ana!$B64=T$4),"ok","nok")</f>
        <v>nok</v>
      </c>
      <c r="U67" s="84" t="str">
        <f>IF(AND($B67=[1]ana!$A64,[1]ana!$B64=U$4),"ok","nok")</f>
        <v>nok</v>
      </c>
      <c r="V67" s="84" t="str">
        <f>IF(AND($B67=[1]ana!$A64,[1]ana!$B64=V$4),"ok","nok")</f>
        <v>nok</v>
      </c>
      <c r="W67" s="84" t="str">
        <f>IF(AND($B67=[1]ana!$A64,[1]ana!$B64=W$4),"ok","nok")</f>
        <v>nok</v>
      </c>
      <c r="X67" s="84" t="str">
        <f>IF(AND($B67=[1]ana!$A64,[1]ana!$B64=X$4),"ok","nok")</f>
        <v>nok</v>
      </c>
      <c r="Y67" s="85" t="s">
        <v>34</v>
      </c>
      <c r="Z67" s="86"/>
      <c r="AA67" s="86"/>
      <c r="AB67" s="87"/>
      <c r="AC67" s="60" t="str">
        <f t="shared" si="1"/>
        <v/>
      </c>
      <c r="AD67" s="60"/>
      <c r="AE67" s="60"/>
      <c r="AF67" s="60"/>
      <c r="AG67" s="61">
        <f t="shared" si="2"/>
        <v>0</v>
      </c>
      <c r="AH67" s="61" t="str">
        <f t="shared" si="3"/>
        <v/>
      </c>
      <c r="AI67" s="61">
        <f t="shared" si="4"/>
        <v>0</v>
      </c>
      <c r="AJ67" s="61" t="str">
        <f t="shared" si="5"/>
        <v/>
      </c>
      <c r="AK67" s="61">
        <f t="shared" si="6"/>
        <v>1</v>
      </c>
      <c r="AL67" s="61" t="str">
        <f t="shared" si="7"/>
        <v/>
      </c>
      <c r="AM67" s="61">
        <f t="shared" si="8"/>
        <v>0</v>
      </c>
      <c r="AN67" s="61" t="str">
        <f t="shared" si="9"/>
        <v/>
      </c>
      <c r="AO67" s="61">
        <f t="shared" si="10"/>
        <v>0</v>
      </c>
      <c r="AP67" s="61" t="str">
        <f t="shared" si="11"/>
        <v/>
      </c>
      <c r="AQ67" s="4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</row>
    <row r="68" spans="1:62" s="44" customFormat="1" ht="30" customHeight="1" x14ac:dyDescent="0.35">
      <c r="A68" s="26"/>
      <c r="B68" s="52" t="s">
        <v>67</v>
      </c>
      <c r="C68" s="52"/>
      <c r="D68" s="52"/>
      <c r="E68" s="52"/>
      <c r="F68" s="52"/>
      <c r="G68" s="52"/>
      <c r="H68" s="52"/>
      <c r="I68" s="52"/>
      <c r="J68" s="52"/>
      <c r="K68" s="52"/>
      <c r="L68" s="52"/>
      <c r="M68" s="52"/>
      <c r="N68" s="52"/>
      <c r="O68" s="52"/>
      <c r="P68" s="52"/>
      <c r="Q68" s="52"/>
      <c r="R68" s="52"/>
      <c r="S68" s="52"/>
      <c r="T68" s="52"/>
      <c r="U68" s="52"/>
      <c r="V68" s="52"/>
      <c r="W68" s="52"/>
      <c r="X68" s="52"/>
      <c r="Y68" s="88"/>
      <c r="Z68" s="89"/>
      <c r="AA68" s="89"/>
      <c r="AB68" s="90"/>
      <c r="AC68" s="60" t="str">
        <f t="shared" si="1"/>
        <v/>
      </c>
      <c r="AD68" s="60"/>
      <c r="AE68" s="60"/>
      <c r="AF68" s="60"/>
      <c r="AG68" s="61">
        <f t="shared" si="2"/>
        <v>0</v>
      </c>
      <c r="AH68" s="61" t="str">
        <f t="shared" si="3"/>
        <v/>
      </c>
      <c r="AI68" s="61">
        <f t="shared" si="4"/>
        <v>0</v>
      </c>
      <c r="AJ68" s="61" t="str">
        <f t="shared" si="5"/>
        <v/>
      </c>
      <c r="AK68" s="61">
        <f t="shared" si="6"/>
        <v>0</v>
      </c>
      <c r="AL68" s="61" t="str">
        <f t="shared" si="7"/>
        <v/>
      </c>
      <c r="AM68" s="61">
        <f t="shared" si="8"/>
        <v>0</v>
      </c>
      <c r="AN68" s="61" t="str">
        <f t="shared" si="9"/>
        <v/>
      </c>
      <c r="AO68" s="61">
        <f t="shared" si="10"/>
        <v>0</v>
      </c>
      <c r="AP68" s="61" t="str">
        <f t="shared" si="11"/>
        <v/>
      </c>
      <c r="AQ68" s="4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</row>
    <row r="69" spans="1:62" s="44" customFormat="1" ht="30" customHeight="1" x14ac:dyDescent="0.35">
      <c r="A69" s="26" t="str">
        <f>CONCATENATE($B$47,"
",$B$50,"
",$B$51,"
",$B$68)</f>
        <v>PT160 - LAUDOS TÉCNICOS PARA REGULARIZAÇÃO DE EDIFICAÇÕES (Porto de Tubarão)
ETAPA DE ENGENHARIA
RELATÓRIOS
MARCO - 1a ENTREGA DOS RELATÓRIOS - PACOTE 1</v>
      </c>
      <c r="B69" s="53" t="s">
        <v>19</v>
      </c>
      <c r="C69" s="84" t="str">
        <f>IF(AND($B69=[1]ana!$A66,[1]ana!$B66=C$4),"ok","nok")</f>
        <v>nok</v>
      </c>
      <c r="D69" s="84" t="str">
        <f>IF(AND($B69=[1]ana!$A66,[1]ana!$B66=D$4),"ok","nok")</f>
        <v>nok</v>
      </c>
      <c r="E69" s="84" t="str">
        <f>IF(AND($B69=[1]ana!$A66,[1]ana!$B66=E$4),"ok","nok")</f>
        <v>nok</v>
      </c>
      <c r="F69" s="84" t="str">
        <f>IF(AND($B69=[1]ana!$A66,[1]ana!$B66=F$4),"ok","nok")</f>
        <v>nok</v>
      </c>
      <c r="G69" s="84" t="str">
        <f>IF(AND($B69=[1]ana!$A66,[1]ana!$B66=G$4),"ok","nok")</f>
        <v>nok</v>
      </c>
      <c r="H69" s="84" t="str">
        <f>IF(AND($B69=[1]ana!$A66,[1]ana!$B66=H$4),"ok","nok")</f>
        <v>nok</v>
      </c>
      <c r="I69" s="84" t="str">
        <f>IF(AND($B69=[1]ana!$A66,[1]ana!$B66=I$4),"ok","nok")</f>
        <v>nok</v>
      </c>
      <c r="J69" s="84" t="str">
        <f>IF(AND($B69=[1]ana!$A66,[1]ana!$B66=J$4),"ok","nok")</f>
        <v>nok</v>
      </c>
      <c r="K69" s="84" t="str">
        <f>IF(AND($B69=[1]ana!$A66,[1]ana!$B66=K$4),"ok","nok")</f>
        <v>nok</v>
      </c>
      <c r="L69" s="84" t="str">
        <f>IF(AND($B69=[1]ana!$A66,[1]ana!$B66=L$4),"ok","nok")</f>
        <v>nok</v>
      </c>
      <c r="M69" s="84" t="str">
        <f>IF(AND($B69=[1]ana!$A66,[1]ana!$B66=M$4),"ok","nok")</f>
        <v>nok</v>
      </c>
      <c r="N69" s="84" t="str">
        <f>IF(AND($B69=[1]ana!$A66,[1]ana!$B66=N$4),"ok","nok")</f>
        <v>nok</v>
      </c>
      <c r="O69" s="84" t="str">
        <f>IF(AND($B69=[1]ana!$A66,[1]ana!$B66=O$4),"ok","nok")</f>
        <v>nok</v>
      </c>
      <c r="P69" s="84" t="str">
        <f>IF(AND($B69=[1]ana!$A66,[1]ana!$B66=P$4),"ok","nok")</f>
        <v>nok</v>
      </c>
      <c r="Q69" s="84" t="str">
        <f>IF(AND($B69=[1]ana!$A66,[1]ana!$B66=Q$4),"ok","nok")</f>
        <v>ok</v>
      </c>
      <c r="R69" s="84" t="str">
        <f>IF(AND($B69=[1]ana!$A66,[1]ana!$B66=R$4),"ok","nok")</f>
        <v>nok</v>
      </c>
      <c r="S69" s="84" t="str">
        <f>IF(AND($B69=[1]ana!$A66,[1]ana!$B66=S$4),"ok","nok")</f>
        <v>nok</v>
      </c>
      <c r="T69" s="84" t="str">
        <f>IF(AND($B69=[1]ana!$A66,[1]ana!$B66=T$4),"ok","nok")</f>
        <v>nok</v>
      </c>
      <c r="U69" s="84" t="str">
        <f>IF(AND($B69=[1]ana!$A66,[1]ana!$B66=U$4),"ok","nok")</f>
        <v>nok</v>
      </c>
      <c r="V69" s="84" t="str">
        <f>IF(AND($B69=[1]ana!$A66,[1]ana!$B66=V$4),"ok","nok")</f>
        <v>nok</v>
      </c>
      <c r="W69" s="84" t="str">
        <f>IF(AND($B69=[1]ana!$A66,[1]ana!$B66=W$4),"ok","nok")</f>
        <v>nok</v>
      </c>
      <c r="X69" s="84" t="str">
        <f>IF(AND($B69=[1]ana!$A66,[1]ana!$B66=X$4),"ok","nok")</f>
        <v>nok</v>
      </c>
      <c r="Y69" s="85" t="s">
        <v>15</v>
      </c>
      <c r="Z69" s="86"/>
      <c r="AA69" s="86"/>
      <c r="AB69" s="87"/>
      <c r="AC69" s="60" t="str">
        <f t="shared" si="1"/>
        <v/>
      </c>
      <c r="AD69" s="60"/>
      <c r="AE69" s="60"/>
      <c r="AF69" s="60"/>
      <c r="AG69" s="61">
        <f t="shared" si="2"/>
        <v>0</v>
      </c>
      <c r="AH69" s="61" t="str">
        <f t="shared" si="3"/>
        <v/>
      </c>
      <c r="AI69" s="61">
        <f t="shared" si="4"/>
        <v>0</v>
      </c>
      <c r="AJ69" s="61" t="str">
        <f t="shared" si="5"/>
        <v/>
      </c>
      <c r="AK69" s="61">
        <f t="shared" si="6"/>
        <v>1</v>
      </c>
      <c r="AL69" s="61" t="str">
        <f t="shared" si="7"/>
        <v/>
      </c>
      <c r="AM69" s="61">
        <f t="shared" si="8"/>
        <v>0</v>
      </c>
      <c r="AN69" s="61" t="str">
        <f t="shared" si="9"/>
        <v/>
      </c>
      <c r="AO69" s="61">
        <f t="shared" si="10"/>
        <v>0</v>
      </c>
      <c r="AP69" s="61" t="str">
        <f t="shared" si="11"/>
        <v/>
      </c>
      <c r="AQ69" s="4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</row>
    <row r="70" spans="1:62" s="44" customFormat="1" ht="30" customHeight="1" x14ac:dyDescent="0.35">
      <c r="A70" s="26" t="str">
        <f t="shared" ref="A70:A80" si="18">CONCATENATE($B$47,"
",$B$50,"
",$B$51,"
",$B$68)</f>
        <v>PT160 - LAUDOS TÉCNICOS PARA REGULARIZAÇÃO DE EDIFICAÇÕES (Porto de Tubarão)
ETAPA DE ENGENHARIA
RELATÓRIOS
MARCO - 1a ENTREGA DOS RELATÓRIOS - PACOTE 1</v>
      </c>
      <c r="B70" s="53" t="s">
        <v>43</v>
      </c>
      <c r="C70" s="84" t="str">
        <f>IF(AND($B70=[1]ana!$A67,[1]ana!$B67=C$4),"ok","nok")</f>
        <v>nok</v>
      </c>
      <c r="D70" s="84" t="str">
        <f>IF(AND($B70=[1]ana!$A67,[1]ana!$B67=D$4),"ok","nok")</f>
        <v>nok</v>
      </c>
      <c r="E70" s="84" t="str">
        <f>IF(AND($B70=[1]ana!$A67,[1]ana!$B67=E$4),"ok","nok")</f>
        <v>nok</v>
      </c>
      <c r="F70" s="84" t="str">
        <f>IF(AND($B70=[1]ana!$A67,[1]ana!$B67=F$4),"ok","nok")</f>
        <v>nok</v>
      </c>
      <c r="G70" s="84" t="str">
        <f>IF(AND($B70=[1]ana!$A67,[1]ana!$B67=G$4),"ok","nok")</f>
        <v>nok</v>
      </c>
      <c r="H70" s="84" t="str">
        <f>IF(AND($B70=[1]ana!$A67,[1]ana!$B67=H$4),"ok","nok")</f>
        <v>nok</v>
      </c>
      <c r="I70" s="84" t="str">
        <f>IF(AND($B70=[1]ana!$A67,[1]ana!$B67=I$4),"ok","nok")</f>
        <v>nok</v>
      </c>
      <c r="J70" s="84" t="str">
        <f>IF(AND($B70=[1]ana!$A67,[1]ana!$B67=J$4),"ok","nok")</f>
        <v>nok</v>
      </c>
      <c r="K70" s="84" t="str">
        <f>IF(AND($B70=[1]ana!$A67,[1]ana!$B67=K$4),"ok","nok")</f>
        <v>nok</v>
      </c>
      <c r="L70" s="84" t="str">
        <f>IF(AND($B70=[1]ana!$A67,[1]ana!$B67=L$4),"ok","nok")</f>
        <v>nok</v>
      </c>
      <c r="M70" s="84" t="str">
        <f>IF(AND($B70=[1]ana!$A67,[1]ana!$B67=M$4),"ok","nok")</f>
        <v>nok</v>
      </c>
      <c r="N70" s="84" t="str">
        <f>IF(AND($B70=[1]ana!$A67,[1]ana!$B67=N$4),"ok","nok")</f>
        <v>nok</v>
      </c>
      <c r="O70" s="84" t="str">
        <f>IF(AND($B70=[1]ana!$A67,[1]ana!$B67=O$4),"ok","nok")</f>
        <v>nok</v>
      </c>
      <c r="P70" s="84" t="str">
        <f>IF(AND($B70=[1]ana!$A67,[1]ana!$B67=P$4),"ok","nok")</f>
        <v>nok</v>
      </c>
      <c r="Q70" s="84" t="str">
        <f>IF(AND($B70=[1]ana!$A67,[1]ana!$B67=Q$4),"ok","nok")</f>
        <v>nok</v>
      </c>
      <c r="R70" s="84" t="str">
        <f>IF(AND($B70=[1]ana!$A67,[1]ana!$B67=R$4),"ok","nok")</f>
        <v>nok</v>
      </c>
      <c r="S70" s="84" t="str">
        <f>IF(AND($B70=[1]ana!$A67,[1]ana!$B67=S$4),"ok","nok")</f>
        <v>nok</v>
      </c>
      <c r="T70" s="84" t="str">
        <f>IF(AND($B70=[1]ana!$A67,[1]ana!$B67=T$4),"ok","nok")</f>
        <v>nok</v>
      </c>
      <c r="U70" s="84" t="str">
        <f>IF(AND($B70=[1]ana!$A67,[1]ana!$B67=U$4),"ok","nok")</f>
        <v>nok</v>
      </c>
      <c r="V70" s="84" t="str">
        <f>IF(AND($B70=[1]ana!$A67,[1]ana!$B67=V$4),"ok","nok")</f>
        <v>nok</v>
      </c>
      <c r="W70" s="84" t="str">
        <f>IF(AND($B70=[1]ana!$A67,[1]ana!$B67=W$4),"ok","nok")</f>
        <v>nok</v>
      </c>
      <c r="X70" s="84" t="str">
        <f>IF(AND($B70=[1]ana!$A67,[1]ana!$B67=X$4),"ok","nok")</f>
        <v>ok</v>
      </c>
      <c r="Y70" s="85" t="s">
        <v>15</v>
      </c>
      <c r="Z70" s="86"/>
      <c r="AA70" s="86"/>
      <c r="AB70" s="87"/>
      <c r="AC70" s="60" t="str">
        <f t="shared" si="1"/>
        <v/>
      </c>
      <c r="AD70" s="60"/>
      <c r="AE70" s="60"/>
      <c r="AF70" s="60"/>
      <c r="AG70" s="61">
        <f t="shared" si="2"/>
        <v>0</v>
      </c>
      <c r="AH70" s="61" t="str">
        <f t="shared" si="3"/>
        <v/>
      </c>
      <c r="AI70" s="61">
        <f t="shared" si="4"/>
        <v>0</v>
      </c>
      <c r="AJ70" s="61" t="str">
        <f t="shared" si="5"/>
        <v/>
      </c>
      <c r="AK70" s="61">
        <f t="shared" si="6"/>
        <v>0</v>
      </c>
      <c r="AL70" s="61" t="str">
        <f t="shared" si="7"/>
        <v/>
      </c>
      <c r="AM70" s="61">
        <f t="shared" si="8"/>
        <v>0</v>
      </c>
      <c r="AN70" s="61" t="str">
        <f t="shared" si="9"/>
        <v/>
      </c>
      <c r="AO70" s="61">
        <f t="shared" si="10"/>
        <v>1</v>
      </c>
      <c r="AP70" s="61" t="str">
        <f t="shared" si="11"/>
        <v/>
      </c>
      <c r="AQ70" s="4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</row>
    <row r="71" spans="1:62" s="44" customFormat="1" ht="30" customHeight="1" x14ac:dyDescent="0.35">
      <c r="A71" s="26" t="str">
        <f t="shared" si="18"/>
        <v>PT160 - LAUDOS TÉCNICOS PARA REGULARIZAÇÃO DE EDIFICAÇÕES (Porto de Tubarão)
ETAPA DE ENGENHARIA
RELATÓRIOS
MARCO - 1a ENTREGA DOS RELATÓRIOS - PACOTE 1</v>
      </c>
      <c r="B71" s="51" t="s">
        <v>138</v>
      </c>
      <c r="C71" s="84" t="str">
        <f>IF(AND($B71=[1]ana!$A68,[1]ana!$B68=C$4),"ok","nok")</f>
        <v>nok</v>
      </c>
      <c r="D71" s="84" t="str">
        <f>IF(AND($B71=[1]ana!$A68,[1]ana!$B68=D$4),"ok","nok")</f>
        <v>nok</v>
      </c>
      <c r="E71" s="84" t="str">
        <f>IF(AND($B71=[1]ana!$A68,[1]ana!$B68=E$4),"ok","nok")</f>
        <v>nok</v>
      </c>
      <c r="F71" s="84" t="str">
        <f>IF(AND($B71=[1]ana!$A68,[1]ana!$B68=F$4),"ok","nok")</f>
        <v>nok</v>
      </c>
      <c r="G71" s="84" t="str">
        <f>IF(AND($B71=[1]ana!$A68,[1]ana!$B68=G$4),"ok","nok")</f>
        <v>nok</v>
      </c>
      <c r="H71" s="84" t="str">
        <f>IF(AND($B71=[1]ana!$A68,[1]ana!$B68=H$4),"ok","nok")</f>
        <v>nok</v>
      </c>
      <c r="I71" s="84" t="str">
        <f>IF(AND($B71=[1]ana!$A68,[1]ana!$B68=I$4),"ok","nok")</f>
        <v>nok</v>
      </c>
      <c r="J71" s="84" t="str">
        <f>IF(AND($B71=[1]ana!$A68,[1]ana!$B68=J$4),"ok","nok")</f>
        <v>nok</v>
      </c>
      <c r="K71" s="84" t="str">
        <f>IF(AND($B71=[1]ana!$A68,[1]ana!$B68=K$4),"ok","nok")</f>
        <v>nok</v>
      </c>
      <c r="L71" s="84" t="str">
        <f>IF(AND($B71=[1]ana!$A68,[1]ana!$B68=L$4),"ok","nok")</f>
        <v>nok</v>
      </c>
      <c r="M71" s="84" t="str">
        <f>IF(AND($B71=[1]ana!$A68,[1]ana!$B68=M$4),"ok","nok")</f>
        <v>nok</v>
      </c>
      <c r="N71" s="84" t="str">
        <f>IF(AND($B71=[1]ana!$A68,[1]ana!$B68=N$4),"ok","nok")</f>
        <v>nok</v>
      </c>
      <c r="O71" s="84" t="str">
        <f>IF(AND($B71=[1]ana!$A68,[1]ana!$B68=O$4),"ok","nok")</f>
        <v>nok</v>
      </c>
      <c r="P71" s="84" t="str">
        <f>IF(AND($B71=[1]ana!$A68,[1]ana!$B68=P$4),"ok","nok")</f>
        <v>nok</v>
      </c>
      <c r="Q71" s="84" t="str">
        <f>IF(AND($B71=[1]ana!$A68,[1]ana!$B68=Q$4),"ok","nok")</f>
        <v>nok</v>
      </c>
      <c r="R71" s="84" t="str">
        <f>IF(AND($B71=[1]ana!$A68,[1]ana!$B68=R$4),"ok","nok")</f>
        <v>nok</v>
      </c>
      <c r="S71" s="84" t="str">
        <f>IF(AND($B71=[1]ana!$A68,[1]ana!$B68=S$4),"ok","nok")</f>
        <v>nok</v>
      </c>
      <c r="T71" s="84" t="str">
        <f>IF(AND($B71=[1]ana!$A68,[1]ana!$B68=T$4),"ok","nok")</f>
        <v>ok</v>
      </c>
      <c r="U71" s="84" t="str">
        <f>IF(AND($B71=[1]ana!$A68,[1]ana!$B68=U$4),"ok","nok")</f>
        <v>nok</v>
      </c>
      <c r="V71" s="84" t="str">
        <f>IF(AND($B71=[1]ana!$A68,[1]ana!$B68=V$4),"ok","nok")</f>
        <v>nok</v>
      </c>
      <c r="W71" s="84" t="str">
        <f>IF(AND($B71=[1]ana!$A68,[1]ana!$B68=W$4),"ok","nok")</f>
        <v>nok</v>
      </c>
      <c r="X71" s="84" t="str">
        <f>IF(AND($B71=[1]ana!$A68,[1]ana!$B68=X$4),"ok","nok")</f>
        <v>nok</v>
      </c>
      <c r="Y71" s="85" t="s">
        <v>15</v>
      </c>
      <c r="Z71" s="86"/>
      <c r="AA71" s="86"/>
      <c r="AB71" s="87"/>
      <c r="AC71" s="60" t="str">
        <f t="shared" ref="AC71:AC134" si="19">IF(Y71="ATRASADO",B71,"")</f>
        <v/>
      </c>
      <c r="AD71" s="60"/>
      <c r="AE71" s="60"/>
      <c r="AF71" s="60"/>
      <c r="AG71" s="61">
        <f t="shared" ref="AG71:AG134" si="20">COUNTIF(C71:G71,"ok")</f>
        <v>0</v>
      </c>
      <c r="AH71" s="61" t="str">
        <f t="shared" ref="AH71:AH134" si="21">IF(AND(AG71=1,OR($Y71="entregue",$Y71="efprazo")),$Y71,"")</f>
        <v/>
      </c>
      <c r="AI71" s="61">
        <f t="shared" ref="AI71:AI134" si="22">COUNTIF(H71:L71,"ok")</f>
        <v>0</v>
      </c>
      <c r="AJ71" s="61" t="str">
        <f t="shared" ref="AJ71:AJ134" si="23">IF(AND(AI71=1,OR($Y71="entregue",$Y71="efprazo")),$Y71,"")</f>
        <v/>
      </c>
      <c r="AK71" s="61">
        <f t="shared" ref="AK71:AK134" si="24">COUNTIF(M71:Q71,"ok")</f>
        <v>0</v>
      </c>
      <c r="AL71" s="61" t="str">
        <f t="shared" ref="AL71:AL134" si="25">IF(AND(AK71=1,OR($Y71="entregue",$Y71="efprazo")),$Y71,"")</f>
        <v/>
      </c>
      <c r="AM71" s="61">
        <f t="shared" ref="AM71:AM134" si="26">COUNTIF(R71:V71,"ok")</f>
        <v>1</v>
      </c>
      <c r="AN71" s="61" t="str">
        <f t="shared" ref="AN71:AN134" si="27">IF(AND(AM71=1,OR($Y71="entregue",$Y71="efprazo")),$Y71,"")</f>
        <v/>
      </c>
      <c r="AO71" s="61">
        <f t="shared" ref="AO71:AO134" si="28">COUNTIF(W71:X71,"ok")</f>
        <v>0</v>
      </c>
      <c r="AP71" s="61" t="str">
        <f t="shared" ref="AP71:AP134" si="29">IF(AND(AO71=1,OR($Y71="entregue",$Y71="efprazo")),$Y71,"")</f>
        <v/>
      </c>
      <c r="AQ71" s="4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</row>
    <row r="72" spans="1:62" s="44" customFormat="1" ht="30" customHeight="1" x14ac:dyDescent="0.35">
      <c r="A72" s="26" t="str">
        <f t="shared" si="18"/>
        <v>PT160 - LAUDOS TÉCNICOS PARA REGULARIZAÇÃO DE EDIFICAÇÕES (Porto de Tubarão)
ETAPA DE ENGENHARIA
RELATÓRIOS
MARCO - 1a ENTREGA DOS RELATÓRIOS - PACOTE 1</v>
      </c>
      <c r="B72" s="51" t="s">
        <v>139</v>
      </c>
      <c r="C72" s="84" t="str">
        <f>IF(AND($B72=[1]ana!$A69,[1]ana!$B69=C$4),"ok","nok")</f>
        <v>nok</v>
      </c>
      <c r="D72" s="84" t="str">
        <f>IF(AND($B72=[1]ana!$A69,[1]ana!$B69=D$4),"ok","nok")</f>
        <v>nok</v>
      </c>
      <c r="E72" s="84" t="str">
        <f>IF(AND($B72=[1]ana!$A69,[1]ana!$B69=E$4),"ok","nok")</f>
        <v>nok</v>
      </c>
      <c r="F72" s="84" t="str">
        <f>IF(AND($B72=[1]ana!$A69,[1]ana!$B69=F$4),"ok","nok")</f>
        <v>nok</v>
      </c>
      <c r="G72" s="84" t="str">
        <f>IF(AND($B72=[1]ana!$A69,[1]ana!$B69=G$4),"ok","nok")</f>
        <v>nok</v>
      </c>
      <c r="H72" s="84" t="str">
        <f>IF(AND($B72=[1]ana!$A69,[1]ana!$B69=H$4),"ok","nok")</f>
        <v>nok</v>
      </c>
      <c r="I72" s="84" t="str">
        <f>IF(AND($B72=[1]ana!$A69,[1]ana!$B69=I$4),"ok","nok")</f>
        <v>nok</v>
      </c>
      <c r="J72" s="84" t="str">
        <f>IF(AND($B72=[1]ana!$A69,[1]ana!$B69=J$4),"ok","nok")</f>
        <v>nok</v>
      </c>
      <c r="K72" s="84" t="str">
        <f>IF(AND($B72=[1]ana!$A69,[1]ana!$B69=K$4),"ok","nok")</f>
        <v>nok</v>
      </c>
      <c r="L72" s="84" t="str">
        <f>IF(AND($B72=[1]ana!$A69,[1]ana!$B69=L$4),"ok","nok")</f>
        <v>nok</v>
      </c>
      <c r="M72" s="84" t="str">
        <f>IF(AND($B72=[1]ana!$A69,[1]ana!$B69=M$4),"ok","nok")</f>
        <v>nok</v>
      </c>
      <c r="N72" s="84" t="str">
        <f>IF(AND($B72=[1]ana!$A69,[1]ana!$B69=N$4),"ok","nok")</f>
        <v>nok</v>
      </c>
      <c r="O72" s="84" t="str">
        <f>IF(AND($B72=[1]ana!$A69,[1]ana!$B69=O$4),"ok","nok")</f>
        <v>nok</v>
      </c>
      <c r="P72" s="84" t="str">
        <f>IF(AND($B72=[1]ana!$A69,[1]ana!$B69=P$4),"ok","nok")</f>
        <v>nok</v>
      </c>
      <c r="Q72" s="84" t="str">
        <f>IF(AND($B72=[1]ana!$A69,[1]ana!$B69=Q$4),"ok","nok")</f>
        <v>nok</v>
      </c>
      <c r="R72" s="84" t="str">
        <f>IF(AND($B72=[1]ana!$A69,[1]ana!$B69=R$4),"ok","nok")</f>
        <v>nok</v>
      </c>
      <c r="S72" s="84" t="str">
        <f>IF(AND($B72=[1]ana!$A69,[1]ana!$B69=S$4),"ok","nok")</f>
        <v>nok</v>
      </c>
      <c r="T72" s="84" t="str">
        <f>IF(AND($B72=[1]ana!$A69,[1]ana!$B69=T$4),"ok","nok")</f>
        <v>nok</v>
      </c>
      <c r="U72" s="84" t="str">
        <f>IF(AND($B72=[1]ana!$A69,[1]ana!$B69=U$4),"ok","nok")</f>
        <v>nok</v>
      </c>
      <c r="V72" s="84" t="str">
        <f>IF(AND($B72=[1]ana!$A69,[1]ana!$B69=V$4),"ok","nok")</f>
        <v>nok</v>
      </c>
      <c r="W72" s="84" t="str">
        <f>IF(AND($B72=[1]ana!$A69,[1]ana!$B69=W$4),"ok","nok")</f>
        <v>nok</v>
      </c>
      <c r="X72" s="84" t="str">
        <f>IF(AND($B72=[1]ana!$A69,[1]ana!$B69=X$4),"ok","nok")</f>
        <v>ok</v>
      </c>
      <c r="Y72" s="85" t="s">
        <v>15</v>
      </c>
      <c r="Z72" s="86"/>
      <c r="AA72" s="86"/>
      <c r="AB72" s="87"/>
      <c r="AC72" s="60" t="str">
        <f t="shared" si="19"/>
        <v/>
      </c>
      <c r="AD72" s="60"/>
      <c r="AE72" s="60"/>
      <c r="AF72" s="60"/>
      <c r="AG72" s="61">
        <f t="shared" si="20"/>
        <v>0</v>
      </c>
      <c r="AH72" s="61" t="str">
        <f t="shared" si="21"/>
        <v/>
      </c>
      <c r="AI72" s="61">
        <f t="shared" si="22"/>
        <v>0</v>
      </c>
      <c r="AJ72" s="61" t="str">
        <f t="shared" si="23"/>
        <v/>
      </c>
      <c r="AK72" s="61">
        <f t="shared" si="24"/>
        <v>0</v>
      </c>
      <c r="AL72" s="61" t="str">
        <f t="shared" si="25"/>
        <v/>
      </c>
      <c r="AM72" s="61">
        <f t="shared" si="26"/>
        <v>0</v>
      </c>
      <c r="AN72" s="61" t="str">
        <f t="shared" si="27"/>
        <v/>
      </c>
      <c r="AO72" s="61">
        <f t="shared" si="28"/>
        <v>1</v>
      </c>
      <c r="AP72" s="61" t="str">
        <f t="shared" si="29"/>
        <v/>
      </c>
      <c r="AQ72" s="4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</row>
    <row r="73" spans="1:62" s="44" customFormat="1" ht="30" customHeight="1" x14ac:dyDescent="0.35">
      <c r="A73" s="26" t="str">
        <f t="shared" si="18"/>
        <v>PT160 - LAUDOS TÉCNICOS PARA REGULARIZAÇÃO DE EDIFICAÇÕES (Porto de Tubarão)
ETAPA DE ENGENHARIA
RELATÓRIOS
MARCO - 1a ENTREGA DOS RELATÓRIOS - PACOTE 1</v>
      </c>
      <c r="B73" s="51" t="s">
        <v>140</v>
      </c>
      <c r="C73" s="84" t="str">
        <f>IF(AND($B73=[1]ana!$A70,[1]ana!$B70=C$4),"ok","nok")</f>
        <v>nok</v>
      </c>
      <c r="D73" s="84" t="str">
        <f>IF(AND($B73=[1]ana!$A70,[1]ana!$B70=D$4),"ok","nok")</f>
        <v>nok</v>
      </c>
      <c r="E73" s="84" t="str">
        <f>IF(AND($B73=[1]ana!$A70,[1]ana!$B70=E$4),"ok","nok")</f>
        <v>nok</v>
      </c>
      <c r="F73" s="84" t="str">
        <f>IF(AND($B73=[1]ana!$A70,[1]ana!$B70=F$4),"ok","nok")</f>
        <v>nok</v>
      </c>
      <c r="G73" s="84" t="str">
        <f>IF(AND($B73=[1]ana!$A70,[1]ana!$B70=G$4),"ok","nok")</f>
        <v>nok</v>
      </c>
      <c r="H73" s="84" t="str">
        <f>IF(AND($B73=[1]ana!$A70,[1]ana!$B70=H$4),"ok","nok")</f>
        <v>nok</v>
      </c>
      <c r="I73" s="84" t="str">
        <f>IF(AND($B73=[1]ana!$A70,[1]ana!$B70=I$4),"ok","nok")</f>
        <v>nok</v>
      </c>
      <c r="J73" s="84" t="str">
        <f>IF(AND($B73=[1]ana!$A70,[1]ana!$B70=J$4),"ok","nok")</f>
        <v>nok</v>
      </c>
      <c r="K73" s="84" t="str">
        <f>IF(AND($B73=[1]ana!$A70,[1]ana!$B70=K$4),"ok","nok")</f>
        <v>nok</v>
      </c>
      <c r="L73" s="84" t="str">
        <f>IF(AND($B73=[1]ana!$A70,[1]ana!$B70=L$4),"ok","nok")</f>
        <v>nok</v>
      </c>
      <c r="M73" s="84" t="str">
        <f>IF(AND($B73=[1]ana!$A70,[1]ana!$B70=M$4),"ok","nok")</f>
        <v>nok</v>
      </c>
      <c r="N73" s="84" t="str">
        <f>IF(AND($B73=[1]ana!$A70,[1]ana!$B70=N$4),"ok","nok")</f>
        <v>nok</v>
      </c>
      <c r="O73" s="84" t="str">
        <f>IF(AND($B73=[1]ana!$A70,[1]ana!$B70=O$4),"ok","nok")</f>
        <v>nok</v>
      </c>
      <c r="P73" s="84" t="str">
        <f>IF(AND($B73=[1]ana!$A70,[1]ana!$B70=P$4),"ok","nok")</f>
        <v>nok</v>
      </c>
      <c r="Q73" s="84" t="str">
        <f>IF(AND($B73=[1]ana!$A70,[1]ana!$B70=Q$4),"ok","nok")</f>
        <v>nok</v>
      </c>
      <c r="R73" s="84" t="str">
        <f>IF(AND($B73=[1]ana!$A70,[1]ana!$B70=R$4),"ok","nok")</f>
        <v>nok</v>
      </c>
      <c r="S73" s="84" t="str">
        <f>IF(AND($B73=[1]ana!$A70,[1]ana!$B70=S$4),"ok","nok")</f>
        <v>nok</v>
      </c>
      <c r="T73" s="84" t="str">
        <f>IF(AND($B73=[1]ana!$A70,[1]ana!$B70=T$4),"ok","nok")</f>
        <v>ok</v>
      </c>
      <c r="U73" s="84" t="str">
        <f>IF(AND($B73=[1]ana!$A70,[1]ana!$B70=U$4),"ok","nok")</f>
        <v>nok</v>
      </c>
      <c r="V73" s="84" t="str">
        <f>IF(AND($B73=[1]ana!$A70,[1]ana!$B70=V$4),"ok","nok")</f>
        <v>nok</v>
      </c>
      <c r="W73" s="84" t="str">
        <f>IF(AND($B73=[1]ana!$A70,[1]ana!$B70=W$4),"ok","nok")</f>
        <v>nok</v>
      </c>
      <c r="X73" s="84" t="str">
        <f>IF(AND($B73=[1]ana!$A70,[1]ana!$B70=X$4),"ok","nok")</f>
        <v>nok</v>
      </c>
      <c r="Y73" s="85" t="s">
        <v>15</v>
      </c>
      <c r="Z73" s="86"/>
      <c r="AA73" s="86"/>
      <c r="AB73" s="87"/>
      <c r="AC73" s="60" t="str">
        <f t="shared" si="19"/>
        <v/>
      </c>
      <c r="AD73" s="60"/>
      <c r="AE73" s="60"/>
      <c r="AF73" s="60"/>
      <c r="AG73" s="61">
        <f t="shared" si="20"/>
        <v>0</v>
      </c>
      <c r="AH73" s="61" t="str">
        <f t="shared" si="21"/>
        <v/>
      </c>
      <c r="AI73" s="61">
        <f t="shared" si="22"/>
        <v>0</v>
      </c>
      <c r="AJ73" s="61" t="str">
        <f t="shared" si="23"/>
        <v/>
      </c>
      <c r="AK73" s="61">
        <f t="shared" si="24"/>
        <v>0</v>
      </c>
      <c r="AL73" s="61" t="str">
        <f t="shared" si="25"/>
        <v/>
      </c>
      <c r="AM73" s="61">
        <f t="shared" si="26"/>
        <v>1</v>
      </c>
      <c r="AN73" s="61" t="str">
        <f t="shared" si="27"/>
        <v/>
      </c>
      <c r="AO73" s="61">
        <f t="shared" si="28"/>
        <v>0</v>
      </c>
      <c r="AP73" s="61" t="str">
        <f t="shared" si="29"/>
        <v/>
      </c>
      <c r="AQ73" s="4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</row>
    <row r="74" spans="1:62" s="44" customFormat="1" ht="30" customHeight="1" x14ac:dyDescent="0.35">
      <c r="A74" s="26" t="str">
        <f t="shared" si="18"/>
        <v>PT160 - LAUDOS TÉCNICOS PARA REGULARIZAÇÃO DE EDIFICAÇÕES (Porto de Tubarão)
ETAPA DE ENGENHARIA
RELATÓRIOS
MARCO - 1a ENTREGA DOS RELATÓRIOS - PACOTE 1</v>
      </c>
      <c r="B74" s="51" t="s">
        <v>141</v>
      </c>
      <c r="C74" s="84" t="str">
        <f>IF(AND($B74=[1]ana!$A71,[1]ana!$B71=C$4),"ok","nok")</f>
        <v>nok</v>
      </c>
      <c r="D74" s="84" t="str">
        <f>IF(AND($B74=[1]ana!$A71,[1]ana!$B71=D$4),"ok","nok")</f>
        <v>nok</v>
      </c>
      <c r="E74" s="84" t="str">
        <f>IF(AND($B74=[1]ana!$A71,[1]ana!$B71=E$4),"ok","nok")</f>
        <v>nok</v>
      </c>
      <c r="F74" s="84" t="str">
        <f>IF(AND($B74=[1]ana!$A71,[1]ana!$B71=F$4),"ok","nok")</f>
        <v>nok</v>
      </c>
      <c r="G74" s="84" t="str">
        <f>IF(AND($B74=[1]ana!$A71,[1]ana!$B71=G$4),"ok","nok")</f>
        <v>nok</v>
      </c>
      <c r="H74" s="84" t="str">
        <f>IF(AND($B74=[1]ana!$A71,[1]ana!$B71=H$4),"ok","nok")</f>
        <v>nok</v>
      </c>
      <c r="I74" s="84" t="str">
        <f>IF(AND($B74=[1]ana!$A71,[1]ana!$B71=I$4),"ok","nok")</f>
        <v>nok</v>
      </c>
      <c r="J74" s="84" t="str">
        <f>IF(AND($B74=[1]ana!$A71,[1]ana!$B71=J$4),"ok","nok")</f>
        <v>nok</v>
      </c>
      <c r="K74" s="84" t="str">
        <f>IF(AND($B74=[1]ana!$A71,[1]ana!$B71=K$4),"ok","nok")</f>
        <v>nok</v>
      </c>
      <c r="L74" s="84" t="str">
        <f>IF(AND($B74=[1]ana!$A71,[1]ana!$B71=L$4),"ok","nok")</f>
        <v>nok</v>
      </c>
      <c r="M74" s="84" t="str">
        <f>IF(AND($B74=[1]ana!$A71,[1]ana!$B71=M$4),"ok","nok")</f>
        <v>nok</v>
      </c>
      <c r="N74" s="84" t="str">
        <f>IF(AND($B74=[1]ana!$A71,[1]ana!$B71=N$4),"ok","nok")</f>
        <v>nok</v>
      </c>
      <c r="O74" s="84" t="str">
        <f>IF(AND($B74=[1]ana!$A71,[1]ana!$B71=O$4),"ok","nok")</f>
        <v>nok</v>
      </c>
      <c r="P74" s="84" t="str">
        <f>IF(AND($B74=[1]ana!$A71,[1]ana!$B71=P$4),"ok","nok")</f>
        <v>nok</v>
      </c>
      <c r="Q74" s="84" t="str">
        <f>IF(AND($B74=[1]ana!$A71,[1]ana!$B71=Q$4),"ok","nok")</f>
        <v>nok</v>
      </c>
      <c r="R74" s="84" t="str">
        <f>IF(AND($B74=[1]ana!$A71,[1]ana!$B71=R$4),"ok","nok")</f>
        <v>nok</v>
      </c>
      <c r="S74" s="84" t="str">
        <f>IF(AND($B74=[1]ana!$A71,[1]ana!$B71=S$4),"ok","nok")</f>
        <v>nok</v>
      </c>
      <c r="T74" s="84" t="str">
        <f>IF(AND($B74=[1]ana!$A71,[1]ana!$B71=T$4),"ok","nok")</f>
        <v>nok</v>
      </c>
      <c r="U74" s="84" t="str">
        <f>IF(AND($B74=[1]ana!$A71,[1]ana!$B71=U$4),"ok","nok")</f>
        <v>nok</v>
      </c>
      <c r="V74" s="84" t="str">
        <f>IF(AND($B74=[1]ana!$A71,[1]ana!$B71=V$4),"ok","nok")</f>
        <v>nok</v>
      </c>
      <c r="W74" s="84" t="str">
        <f>IF(AND($B74=[1]ana!$A71,[1]ana!$B71=W$4),"ok","nok")</f>
        <v>nok</v>
      </c>
      <c r="X74" s="84" t="str">
        <f>IF(AND($B74=[1]ana!$A71,[1]ana!$B71=X$4),"ok","nok")</f>
        <v>ok</v>
      </c>
      <c r="Y74" s="85" t="s">
        <v>15</v>
      </c>
      <c r="Z74" s="86"/>
      <c r="AA74" s="86"/>
      <c r="AB74" s="87"/>
      <c r="AC74" s="60" t="str">
        <f t="shared" si="19"/>
        <v/>
      </c>
      <c r="AD74" s="60"/>
      <c r="AE74" s="60"/>
      <c r="AF74" s="60"/>
      <c r="AG74" s="61">
        <f t="shared" si="20"/>
        <v>0</v>
      </c>
      <c r="AH74" s="61" t="str">
        <f t="shared" si="21"/>
        <v/>
      </c>
      <c r="AI74" s="61">
        <f t="shared" si="22"/>
        <v>0</v>
      </c>
      <c r="AJ74" s="61" t="str">
        <f t="shared" si="23"/>
        <v/>
      </c>
      <c r="AK74" s="61">
        <f t="shared" si="24"/>
        <v>0</v>
      </c>
      <c r="AL74" s="61" t="str">
        <f t="shared" si="25"/>
        <v/>
      </c>
      <c r="AM74" s="61">
        <f t="shared" si="26"/>
        <v>0</v>
      </c>
      <c r="AN74" s="61" t="str">
        <f t="shared" si="27"/>
        <v/>
      </c>
      <c r="AO74" s="61">
        <f t="shared" si="28"/>
        <v>1</v>
      </c>
      <c r="AP74" s="61" t="str">
        <f t="shared" si="29"/>
        <v/>
      </c>
      <c r="AQ74" s="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</row>
    <row r="75" spans="1:62" s="44" customFormat="1" ht="30" customHeight="1" x14ac:dyDescent="0.35">
      <c r="A75" s="26" t="str">
        <f t="shared" si="18"/>
        <v>PT160 - LAUDOS TÉCNICOS PARA REGULARIZAÇÃO DE EDIFICAÇÕES (Porto de Tubarão)
ETAPA DE ENGENHARIA
RELATÓRIOS
MARCO - 1a ENTREGA DOS RELATÓRIOS - PACOTE 1</v>
      </c>
      <c r="B75" s="51" t="s">
        <v>142</v>
      </c>
      <c r="C75" s="84" t="str">
        <f>IF(AND($B75=[1]ana!$A72,[1]ana!$B72=C$4),"ok","nok")</f>
        <v>nok</v>
      </c>
      <c r="D75" s="84" t="str">
        <f>IF(AND($B75=[1]ana!$A72,[1]ana!$B72=D$4),"ok","nok")</f>
        <v>nok</v>
      </c>
      <c r="E75" s="84" t="str">
        <f>IF(AND($B75=[1]ana!$A72,[1]ana!$B72=E$4),"ok","nok")</f>
        <v>nok</v>
      </c>
      <c r="F75" s="84" t="str">
        <f>IF(AND($B75=[1]ana!$A72,[1]ana!$B72=F$4),"ok","nok")</f>
        <v>nok</v>
      </c>
      <c r="G75" s="84" t="str">
        <f>IF(AND($B75=[1]ana!$A72,[1]ana!$B72=G$4),"ok","nok")</f>
        <v>nok</v>
      </c>
      <c r="H75" s="84" t="str">
        <f>IF(AND($B75=[1]ana!$A72,[1]ana!$B72=H$4),"ok","nok")</f>
        <v>nok</v>
      </c>
      <c r="I75" s="84" t="str">
        <f>IF(AND($B75=[1]ana!$A72,[1]ana!$B72=I$4),"ok","nok")</f>
        <v>nok</v>
      </c>
      <c r="J75" s="84" t="str">
        <f>IF(AND($B75=[1]ana!$A72,[1]ana!$B72=J$4),"ok","nok")</f>
        <v>nok</v>
      </c>
      <c r="K75" s="84" t="str">
        <f>IF(AND($B75=[1]ana!$A72,[1]ana!$B72=K$4),"ok","nok")</f>
        <v>nok</v>
      </c>
      <c r="L75" s="84" t="str">
        <f>IF(AND($B75=[1]ana!$A72,[1]ana!$B72=L$4),"ok","nok")</f>
        <v>nok</v>
      </c>
      <c r="M75" s="84" t="str">
        <f>IF(AND($B75=[1]ana!$A72,[1]ana!$B72=M$4),"ok","nok")</f>
        <v>nok</v>
      </c>
      <c r="N75" s="84" t="str">
        <f>IF(AND($B75=[1]ana!$A72,[1]ana!$B72=N$4),"ok","nok")</f>
        <v>nok</v>
      </c>
      <c r="O75" s="84" t="str">
        <f>IF(AND($B75=[1]ana!$A72,[1]ana!$B72=O$4),"ok","nok")</f>
        <v>nok</v>
      </c>
      <c r="P75" s="84" t="str">
        <f>IF(AND($B75=[1]ana!$A72,[1]ana!$B72=P$4),"ok","nok")</f>
        <v>nok</v>
      </c>
      <c r="Q75" s="84" t="str">
        <f>IF(AND($B75=[1]ana!$A72,[1]ana!$B72=Q$4),"ok","nok")</f>
        <v>nok</v>
      </c>
      <c r="R75" s="84" t="str">
        <f>IF(AND($B75=[1]ana!$A72,[1]ana!$B72=R$4),"ok","nok")</f>
        <v>nok</v>
      </c>
      <c r="S75" s="84" t="str">
        <f>IF(AND($B75=[1]ana!$A72,[1]ana!$B72=S$4),"ok","nok")</f>
        <v>nok</v>
      </c>
      <c r="T75" s="84" t="str">
        <f>IF(AND($B75=[1]ana!$A72,[1]ana!$B72=T$4),"ok","nok")</f>
        <v>ok</v>
      </c>
      <c r="U75" s="84" t="str">
        <f>IF(AND($B75=[1]ana!$A72,[1]ana!$B72=U$4),"ok","nok")</f>
        <v>nok</v>
      </c>
      <c r="V75" s="84" t="str">
        <f>IF(AND($B75=[1]ana!$A72,[1]ana!$B72=V$4),"ok","nok")</f>
        <v>nok</v>
      </c>
      <c r="W75" s="84" t="str">
        <f>IF(AND($B75=[1]ana!$A72,[1]ana!$B72=W$4),"ok","nok")</f>
        <v>nok</v>
      </c>
      <c r="X75" s="84" t="str">
        <f>IF(AND($B75=[1]ana!$A72,[1]ana!$B72=X$4),"ok","nok")</f>
        <v>nok</v>
      </c>
      <c r="Y75" s="85" t="s">
        <v>15</v>
      </c>
      <c r="Z75" s="86"/>
      <c r="AA75" s="86"/>
      <c r="AB75" s="87"/>
      <c r="AC75" s="60" t="str">
        <f t="shared" si="19"/>
        <v/>
      </c>
      <c r="AD75" s="60"/>
      <c r="AE75" s="60"/>
      <c r="AF75" s="60"/>
      <c r="AG75" s="61">
        <f t="shared" si="20"/>
        <v>0</v>
      </c>
      <c r="AH75" s="61" t="str">
        <f t="shared" si="21"/>
        <v/>
      </c>
      <c r="AI75" s="61">
        <f t="shared" si="22"/>
        <v>0</v>
      </c>
      <c r="AJ75" s="61" t="str">
        <f t="shared" si="23"/>
        <v/>
      </c>
      <c r="AK75" s="61">
        <f t="shared" si="24"/>
        <v>0</v>
      </c>
      <c r="AL75" s="61" t="str">
        <f t="shared" si="25"/>
        <v/>
      </c>
      <c r="AM75" s="61">
        <f t="shared" si="26"/>
        <v>1</v>
      </c>
      <c r="AN75" s="61" t="str">
        <f t="shared" si="27"/>
        <v/>
      </c>
      <c r="AO75" s="61">
        <f t="shared" si="28"/>
        <v>0</v>
      </c>
      <c r="AP75" s="61" t="str">
        <f t="shared" si="29"/>
        <v/>
      </c>
      <c r="AQ75" s="4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</row>
    <row r="76" spans="1:62" s="44" customFormat="1" ht="30" customHeight="1" x14ac:dyDescent="0.35">
      <c r="A76" s="26" t="str">
        <f t="shared" si="18"/>
        <v>PT160 - LAUDOS TÉCNICOS PARA REGULARIZAÇÃO DE EDIFICAÇÕES (Porto de Tubarão)
ETAPA DE ENGENHARIA
RELATÓRIOS
MARCO - 1a ENTREGA DOS RELATÓRIOS - PACOTE 1</v>
      </c>
      <c r="B76" s="51" t="s">
        <v>143</v>
      </c>
      <c r="C76" s="84" t="str">
        <f>IF(AND($B76=[1]ana!$A73,[1]ana!$B73=C$4),"ok","nok")</f>
        <v>nok</v>
      </c>
      <c r="D76" s="84" t="str">
        <f>IF(AND($B76=[1]ana!$A73,[1]ana!$B73=D$4),"ok","nok")</f>
        <v>nok</v>
      </c>
      <c r="E76" s="84" t="str">
        <f>IF(AND($B76=[1]ana!$A73,[1]ana!$B73=E$4),"ok","nok")</f>
        <v>nok</v>
      </c>
      <c r="F76" s="84" t="str">
        <f>IF(AND($B76=[1]ana!$A73,[1]ana!$B73=F$4),"ok","nok")</f>
        <v>nok</v>
      </c>
      <c r="G76" s="84" t="str">
        <f>IF(AND($B76=[1]ana!$A73,[1]ana!$B73=G$4),"ok","nok")</f>
        <v>nok</v>
      </c>
      <c r="H76" s="84" t="str">
        <f>IF(AND($B76=[1]ana!$A73,[1]ana!$B73=H$4),"ok","nok")</f>
        <v>nok</v>
      </c>
      <c r="I76" s="84" t="str">
        <f>IF(AND($B76=[1]ana!$A73,[1]ana!$B73=I$4),"ok","nok")</f>
        <v>nok</v>
      </c>
      <c r="J76" s="84" t="str">
        <f>IF(AND($B76=[1]ana!$A73,[1]ana!$B73=J$4),"ok","nok")</f>
        <v>nok</v>
      </c>
      <c r="K76" s="84" t="str">
        <f>IF(AND($B76=[1]ana!$A73,[1]ana!$B73=K$4),"ok","nok")</f>
        <v>nok</v>
      </c>
      <c r="L76" s="84" t="str">
        <f>IF(AND($B76=[1]ana!$A73,[1]ana!$B73=L$4),"ok","nok")</f>
        <v>nok</v>
      </c>
      <c r="M76" s="84" t="str">
        <f>IF(AND($B76=[1]ana!$A73,[1]ana!$B73=M$4),"ok","nok")</f>
        <v>nok</v>
      </c>
      <c r="N76" s="84" t="str">
        <f>IF(AND($B76=[1]ana!$A73,[1]ana!$B73=N$4),"ok","nok")</f>
        <v>nok</v>
      </c>
      <c r="O76" s="84" t="str">
        <f>IF(AND($B76=[1]ana!$A73,[1]ana!$B73=O$4),"ok","nok")</f>
        <v>nok</v>
      </c>
      <c r="P76" s="84" t="str">
        <f>IF(AND($B76=[1]ana!$A73,[1]ana!$B73=P$4),"ok","nok")</f>
        <v>nok</v>
      </c>
      <c r="Q76" s="84" t="str">
        <f>IF(AND($B76=[1]ana!$A73,[1]ana!$B73=Q$4),"ok","nok")</f>
        <v>nok</v>
      </c>
      <c r="R76" s="84" t="str">
        <f>IF(AND($B76=[1]ana!$A73,[1]ana!$B73=R$4),"ok","nok")</f>
        <v>nok</v>
      </c>
      <c r="S76" s="84" t="str">
        <f>IF(AND($B76=[1]ana!$A73,[1]ana!$B73=S$4),"ok","nok")</f>
        <v>nok</v>
      </c>
      <c r="T76" s="84" t="str">
        <f>IF(AND($B76=[1]ana!$A73,[1]ana!$B73=T$4),"ok","nok")</f>
        <v>nok</v>
      </c>
      <c r="U76" s="84" t="str">
        <f>IF(AND($B76=[1]ana!$A73,[1]ana!$B73=U$4),"ok","nok")</f>
        <v>nok</v>
      </c>
      <c r="V76" s="84" t="str">
        <f>IF(AND($B76=[1]ana!$A73,[1]ana!$B73=V$4),"ok","nok")</f>
        <v>nok</v>
      </c>
      <c r="W76" s="84" t="str">
        <f>IF(AND($B76=[1]ana!$A73,[1]ana!$B73=W$4),"ok","nok")</f>
        <v>nok</v>
      </c>
      <c r="X76" s="84" t="str">
        <f>IF(AND($B76=[1]ana!$A73,[1]ana!$B73=X$4),"ok","nok")</f>
        <v>ok</v>
      </c>
      <c r="Y76" s="85" t="s">
        <v>15</v>
      </c>
      <c r="Z76" s="86"/>
      <c r="AA76" s="86"/>
      <c r="AB76" s="87"/>
      <c r="AC76" s="60" t="str">
        <f t="shared" si="19"/>
        <v/>
      </c>
      <c r="AD76" s="60"/>
      <c r="AE76" s="60"/>
      <c r="AF76" s="60"/>
      <c r="AG76" s="61">
        <f t="shared" si="20"/>
        <v>0</v>
      </c>
      <c r="AH76" s="61" t="str">
        <f t="shared" si="21"/>
        <v/>
      </c>
      <c r="AI76" s="61">
        <f t="shared" si="22"/>
        <v>0</v>
      </c>
      <c r="AJ76" s="61" t="str">
        <f t="shared" si="23"/>
        <v/>
      </c>
      <c r="AK76" s="61">
        <f t="shared" si="24"/>
        <v>0</v>
      </c>
      <c r="AL76" s="61" t="str">
        <f t="shared" si="25"/>
        <v/>
      </c>
      <c r="AM76" s="61">
        <f t="shared" si="26"/>
        <v>0</v>
      </c>
      <c r="AN76" s="61" t="str">
        <f t="shared" si="27"/>
        <v/>
      </c>
      <c r="AO76" s="61">
        <f t="shared" si="28"/>
        <v>1</v>
      </c>
      <c r="AP76" s="61" t="str">
        <f t="shared" si="29"/>
        <v/>
      </c>
      <c r="AQ76" s="4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</row>
    <row r="77" spans="1:62" s="44" customFormat="1" ht="30" customHeight="1" x14ac:dyDescent="0.35">
      <c r="A77" s="26" t="str">
        <f t="shared" si="18"/>
        <v>PT160 - LAUDOS TÉCNICOS PARA REGULARIZAÇÃO DE EDIFICAÇÕES (Porto de Tubarão)
ETAPA DE ENGENHARIA
RELATÓRIOS
MARCO - 1a ENTREGA DOS RELATÓRIOS - PACOTE 1</v>
      </c>
      <c r="B77" s="51" t="s">
        <v>144</v>
      </c>
      <c r="C77" s="84" t="str">
        <f>IF(AND($B77=[1]ana!$A74,[1]ana!$B74=C$4),"ok","nok")</f>
        <v>nok</v>
      </c>
      <c r="D77" s="84" t="str">
        <f>IF(AND($B77=[1]ana!$A74,[1]ana!$B74=D$4),"ok","nok")</f>
        <v>nok</v>
      </c>
      <c r="E77" s="84" t="str">
        <f>IF(AND($B77=[1]ana!$A74,[1]ana!$B74=E$4),"ok","nok")</f>
        <v>nok</v>
      </c>
      <c r="F77" s="84" t="str">
        <f>IF(AND($B77=[1]ana!$A74,[1]ana!$B74=F$4),"ok","nok")</f>
        <v>nok</v>
      </c>
      <c r="G77" s="84" t="str">
        <f>IF(AND($B77=[1]ana!$A74,[1]ana!$B74=G$4),"ok","nok")</f>
        <v>nok</v>
      </c>
      <c r="H77" s="84" t="str">
        <f>IF(AND($B77=[1]ana!$A74,[1]ana!$B74=H$4),"ok","nok")</f>
        <v>nok</v>
      </c>
      <c r="I77" s="84" t="str">
        <f>IF(AND($B77=[1]ana!$A74,[1]ana!$B74=I$4),"ok","nok")</f>
        <v>nok</v>
      </c>
      <c r="J77" s="84" t="str">
        <f>IF(AND($B77=[1]ana!$A74,[1]ana!$B74=J$4),"ok","nok")</f>
        <v>nok</v>
      </c>
      <c r="K77" s="84" t="str">
        <f>IF(AND($B77=[1]ana!$A74,[1]ana!$B74=K$4),"ok","nok")</f>
        <v>nok</v>
      </c>
      <c r="L77" s="84" t="str">
        <f>IF(AND($B77=[1]ana!$A74,[1]ana!$B74=L$4),"ok","nok")</f>
        <v>nok</v>
      </c>
      <c r="M77" s="84" t="str">
        <f>IF(AND($B77=[1]ana!$A74,[1]ana!$B74=M$4),"ok","nok")</f>
        <v>nok</v>
      </c>
      <c r="N77" s="84" t="str">
        <f>IF(AND($B77=[1]ana!$A74,[1]ana!$B74=N$4),"ok","nok")</f>
        <v>nok</v>
      </c>
      <c r="O77" s="84" t="str">
        <f>IF(AND($B77=[1]ana!$A74,[1]ana!$B74=O$4),"ok","nok")</f>
        <v>nok</v>
      </c>
      <c r="P77" s="84" t="str">
        <f>IF(AND($B77=[1]ana!$A74,[1]ana!$B74=P$4),"ok","nok")</f>
        <v>nok</v>
      </c>
      <c r="Q77" s="84" t="str">
        <f>IF(AND($B77=[1]ana!$A74,[1]ana!$B74=Q$4),"ok","nok")</f>
        <v>nok</v>
      </c>
      <c r="R77" s="84" t="str">
        <f>IF(AND($B77=[1]ana!$A74,[1]ana!$B74=R$4),"ok","nok")</f>
        <v>nok</v>
      </c>
      <c r="S77" s="84" t="str">
        <f>IF(AND($B77=[1]ana!$A74,[1]ana!$B74=S$4),"ok","nok")</f>
        <v>nok</v>
      </c>
      <c r="T77" s="84" t="str">
        <f>IF(AND($B77=[1]ana!$A74,[1]ana!$B74=T$4),"ok","nok")</f>
        <v>ok</v>
      </c>
      <c r="U77" s="84" t="str">
        <f>IF(AND($B77=[1]ana!$A74,[1]ana!$B74=U$4),"ok","nok")</f>
        <v>nok</v>
      </c>
      <c r="V77" s="84" t="str">
        <f>IF(AND($B77=[1]ana!$A74,[1]ana!$B74=V$4),"ok","nok")</f>
        <v>nok</v>
      </c>
      <c r="W77" s="84" t="str">
        <f>IF(AND($B77=[1]ana!$A74,[1]ana!$B74=W$4),"ok","nok")</f>
        <v>nok</v>
      </c>
      <c r="X77" s="84" t="str">
        <f>IF(AND($B77=[1]ana!$A74,[1]ana!$B74=X$4),"ok","nok")</f>
        <v>nok</v>
      </c>
      <c r="Y77" s="85" t="s">
        <v>15</v>
      </c>
      <c r="Z77" s="86"/>
      <c r="AA77" s="86"/>
      <c r="AB77" s="87"/>
      <c r="AC77" s="60" t="str">
        <f t="shared" si="19"/>
        <v/>
      </c>
      <c r="AD77" s="60"/>
      <c r="AE77" s="60"/>
      <c r="AF77" s="60"/>
      <c r="AG77" s="61">
        <f t="shared" si="20"/>
        <v>0</v>
      </c>
      <c r="AH77" s="61" t="str">
        <f t="shared" si="21"/>
        <v/>
      </c>
      <c r="AI77" s="61">
        <f t="shared" si="22"/>
        <v>0</v>
      </c>
      <c r="AJ77" s="61" t="str">
        <f t="shared" si="23"/>
        <v/>
      </c>
      <c r="AK77" s="61">
        <f t="shared" si="24"/>
        <v>0</v>
      </c>
      <c r="AL77" s="61" t="str">
        <f t="shared" si="25"/>
        <v/>
      </c>
      <c r="AM77" s="61">
        <f t="shared" si="26"/>
        <v>1</v>
      </c>
      <c r="AN77" s="61" t="str">
        <f t="shared" si="27"/>
        <v/>
      </c>
      <c r="AO77" s="61">
        <f t="shared" si="28"/>
        <v>0</v>
      </c>
      <c r="AP77" s="61" t="str">
        <f t="shared" si="29"/>
        <v/>
      </c>
      <c r="AQ77" s="4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</row>
    <row r="78" spans="1:62" s="44" customFormat="1" ht="30" customHeight="1" x14ac:dyDescent="0.35">
      <c r="A78" s="26" t="str">
        <f t="shared" si="18"/>
        <v>PT160 - LAUDOS TÉCNICOS PARA REGULARIZAÇÃO DE EDIFICAÇÕES (Porto de Tubarão)
ETAPA DE ENGENHARIA
RELATÓRIOS
MARCO - 1a ENTREGA DOS RELATÓRIOS - PACOTE 1</v>
      </c>
      <c r="B78" s="51" t="s">
        <v>145</v>
      </c>
      <c r="C78" s="84" t="str">
        <f>IF(AND($B78=[1]ana!$A75,[1]ana!$B75=C$4),"ok","nok")</f>
        <v>nok</v>
      </c>
      <c r="D78" s="84" t="str">
        <f>IF(AND($B78=[1]ana!$A75,[1]ana!$B75=D$4),"ok","nok")</f>
        <v>nok</v>
      </c>
      <c r="E78" s="84" t="str">
        <f>IF(AND($B78=[1]ana!$A75,[1]ana!$B75=E$4),"ok","nok")</f>
        <v>nok</v>
      </c>
      <c r="F78" s="84" t="str">
        <f>IF(AND($B78=[1]ana!$A75,[1]ana!$B75=F$4),"ok","nok")</f>
        <v>nok</v>
      </c>
      <c r="G78" s="84" t="str">
        <f>IF(AND($B78=[1]ana!$A75,[1]ana!$B75=G$4),"ok","nok")</f>
        <v>nok</v>
      </c>
      <c r="H78" s="84" t="str">
        <f>IF(AND($B78=[1]ana!$A75,[1]ana!$B75=H$4),"ok","nok")</f>
        <v>nok</v>
      </c>
      <c r="I78" s="84" t="str">
        <f>IF(AND($B78=[1]ana!$A75,[1]ana!$B75=I$4),"ok","nok")</f>
        <v>nok</v>
      </c>
      <c r="J78" s="84" t="str">
        <f>IF(AND($B78=[1]ana!$A75,[1]ana!$B75=J$4),"ok","nok")</f>
        <v>nok</v>
      </c>
      <c r="K78" s="84" t="str">
        <f>IF(AND($B78=[1]ana!$A75,[1]ana!$B75=K$4),"ok","nok")</f>
        <v>nok</v>
      </c>
      <c r="L78" s="84" t="str">
        <f>IF(AND($B78=[1]ana!$A75,[1]ana!$B75=L$4),"ok","nok")</f>
        <v>nok</v>
      </c>
      <c r="M78" s="84" t="str">
        <f>IF(AND($B78=[1]ana!$A75,[1]ana!$B75=M$4),"ok","nok")</f>
        <v>nok</v>
      </c>
      <c r="N78" s="84" t="str">
        <f>IF(AND($B78=[1]ana!$A75,[1]ana!$B75=N$4),"ok","nok")</f>
        <v>nok</v>
      </c>
      <c r="O78" s="84" t="str">
        <f>IF(AND($B78=[1]ana!$A75,[1]ana!$B75=O$4),"ok","nok")</f>
        <v>nok</v>
      </c>
      <c r="P78" s="84" t="str">
        <f>IF(AND($B78=[1]ana!$A75,[1]ana!$B75=P$4),"ok","nok")</f>
        <v>nok</v>
      </c>
      <c r="Q78" s="84" t="str">
        <f>IF(AND($B78=[1]ana!$A75,[1]ana!$B75=Q$4),"ok","nok")</f>
        <v>nok</v>
      </c>
      <c r="R78" s="84" t="str">
        <f>IF(AND($B78=[1]ana!$A75,[1]ana!$B75=R$4),"ok","nok")</f>
        <v>nok</v>
      </c>
      <c r="S78" s="84" t="str">
        <f>IF(AND($B78=[1]ana!$A75,[1]ana!$B75=S$4),"ok","nok")</f>
        <v>nok</v>
      </c>
      <c r="T78" s="84" t="str">
        <f>IF(AND($B78=[1]ana!$A75,[1]ana!$B75=T$4),"ok","nok")</f>
        <v>nok</v>
      </c>
      <c r="U78" s="84" t="str">
        <f>IF(AND($B78=[1]ana!$A75,[1]ana!$B75=U$4),"ok","nok")</f>
        <v>nok</v>
      </c>
      <c r="V78" s="84" t="str">
        <f>IF(AND($B78=[1]ana!$A75,[1]ana!$B75=V$4),"ok","nok")</f>
        <v>nok</v>
      </c>
      <c r="W78" s="84" t="str">
        <f>IF(AND($B78=[1]ana!$A75,[1]ana!$B75=W$4),"ok","nok")</f>
        <v>nok</v>
      </c>
      <c r="X78" s="84" t="str">
        <f>IF(AND($B78=[1]ana!$A75,[1]ana!$B75=X$4),"ok","nok")</f>
        <v>ok</v>
      </c>
      <c r="Y78" s="85" t="s">
        <v>15</v>
      </c>
      <c r="Z78" s="86"/>
      <c r="AA78" s="86"/>
      <c r="AB78" s="87"/>
      <c r="AC78" s="60" t="str">
        <f t="shared" si="19"/>
        <v/>
      </c>
      <c r="AD78" s="60"/>
      <c r="AE78" s="60"/>
      <c r="AF78" s="60"/>
      <c r="AG78" s="61">
        <f t="shared" si="20"/>
        <v>0</v>
      </c>
      <c r="AH78" s="61" t="str">
        <f t="shared" si="21"/>
        <v/>
      </c>
      <c r="AI78" s="61">
        <f t="shared" si="22"/>
        <v>0</v>
      </c>
      <c r="AJ78" s="61" t="str">
        <f t="shared" si="23"/>
        <v/>
      </c>
      <c r="AK78" s="61">
        <f t="shared" si="24"/>
        <v>0</v>
      </c>
      <c r="AL78" s="61" t="str">
        <f t="shared" si="25"/>
        <v/>
      </c>
      <c r="AM78" s="61">
        <f t="shared" si="26"/>
        <v>0</v>
      </c>
      <c r="AN78" s="61" t="str">
        <f t="shared" si="27"/>
        <v/>
      </c>
      <c r="AO78" s="61">
        <f t="shared" si="28"/>
        <v>1</v>
      </c>
      <c r="AP78" s="61" t="str">
        <f t="shared" si="29"/>
        <v/>
      </c>
      <c r="AQ78" s="4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</row>
    <row r="79" spans="1:62" s="44" customFormat="1" ht="30" customHeight="1" x14ac:dyDescent="0.35">
      <c r="A79" s="26" t="str">
        <f t="shared" si="18"/>
        <v>PT160 - LAUDOS TÉCNICOS PARA REGULARIZAÇÃO DE EDIFICAÇÕES (Porto de Tubarão)
ETAPA DE ENGENHARIA
RELATÓRIOS
MARCO - 1a ENTREGA DOS RELATÓRIOS - PACOTE 1</v>
      </c>
      <c r="B79" s="51" t="s">
        <v>146</v>
      </c>
      <c r="C79" s="84" t="str">
        <f>IF(AND($B79=[1]ana!$A76,[1]ana!$B76=C$4),"ok","nok")</f>
        <v>nok</v>
      </c>
      <c r="D79" s="84" t="str">
        <f>IF(AND($B79=[1]ana!$A76,[1]ana!$B76=D$4),"ok","nok")</f>
        <v>nok</v>
      </c>
      <c r="E79" s="84" t="str">
        <f>IF(AND($B79=[1]ana!$A76,[1]ana!$B76=E$4),"ok","nok")</f>
        <v>nok</v>
      </c>
      <c r="F79" s="84" t="str">
        <f>IF(AND($B79=[1]ana!$A76,[1]ana!$B76=F$4),"ok","nok")</f>
        <v>nok</v>
      </c>
      <c r="G79" s="84" t="str">
        <f>IF(AND($B79=[1]ana!$A76,[1]ana!$B76=G$4),"ok","nok")</f>
        <v>nok</v>
      </c>
      <c r="H79" s="84" t="str">
        <f>IF(AND($B79=[1]ana!$A76,[1]ana!$B76=H$4),"ok","nok")</f>
        <v>nok</v>
      </c>
      <c r="I79" s="84" t="str">
        <f>IF(AND($B79=[1]ana!$A76,[1]ana!$B76=I$4),"ok","nok")</f>
        <v>nok</v>
      </c>
      <c r="J79" s="84" t="str">
        <f>IF(AND($B79=[1]ana!$A76,[1]ana!$B76=J$4),"ok","nok")</f>
        <v>nok</v>
      </c>
      <c r="K79" s="84" t="str">
        <f>IF(AND($B79=[1]ana!$A76,[1]ana!$B76=K$4),"ok","nok")</f>
        <v>nok</v>
      </c>
      <c r="L79" s="84" t="str">
        <f>IF(AND($B79=[1]ana!$A76,[1]ana!$B76=L$4),"ok","nok")</f>
        <v>nok</v>
      </c>
      <c r="M79" s="84" t="str">
        <f>IF(AND($B79=[1]ana!$A76,[1]ana!$B76=M$4),"ok","nok")</f>
        <v>nok</v>
      </c>
      <c r="N79" s="84" t="str">
        <f>IF(AND($B79=[1]ana!$A76,[1]ana!$B76=N$4),"ok","nok")</f>
        <v>nok</v>
      </c>
      <c r="O79" s="84" t="str">
        <f>IF(AND($B79=[1]ana!$A76,[1]ana!$B76=O$4),"ok","nok")</f>
        <v>nok</v>
      </c>
      <c r="P79" s="84" t="str">
        <f>IF(AND($B79=[1]ana!$A76,[1]ana!$B76=P$4),"ok","nok")</f>
        <v>nok</v>
      </c>
      <c r="Q79" s="84" t="str">
        <f>IF(AND($B79=[1]ana!$A76,[1]ana!$B76=Q$4),"ok","nok")</f>
        <v>nok</v>
      </c>
      <c r="R79" s="84" t="str">
        <f>IF(AND($B79=[1]ana!$A76,[1]ana!$B76=R$4),"ok","nok")</f>
        <v>nok</v>
      </c>
      <c r="S79" s="84" t="str">
        <f>IF(AND($B79=[1]ana!$A76,[1]ana!$B76=S$4),"ok","nok")</f>
        <v>nok</v>
      </c>
      <c r="T79" s="84" t="str">
        <f>IF(AND($B79=[1]ana!$A76,[1]ana!$B76=T$4),"ok","nok")</f>
        <v>ok</v>
      </c>
      <c r="U79" s="84" t="str">
        <f>IF(AND($B79=[1]ana!$A76,[1]ana!$B76=U$4),"ok","nok")</f>
        <v>nok</v>
      </c>
      <c r="V79" s="84" t="str">
        <f>IF(AND($B79=[1]ana!$A76,[1]ana!$B76=V$4),"ok","nok")</f>
        <v>nok</v>
      </c>
      <c r="W79" s="84" t="str">
        <f>IF(AND($B79=[1]ana!$A76,[1]ana!$B76=W$4),"ok","nok")</f>
        <v>nok</v>
      </c>
      <c r="X79" s="84" t="str">
        <f>IF(AND($B79=[1]ana!$A76,[1]ana!$B76=X$4),"ok","nok")</f>
        <v>nok</v>
      </c>
      <c r="Y79" s="85" t="s">
        <v>15</v>
      </c>
      <c r="Z79" s="86"/>
      <c r="AA79" s="86"/>
      <c r="AB79" s="87"/>
      <c r="AC79" s="60" t="str">
        <f t="shared" si="19"/>
        <v/>
      </c>
      <c r="AD79" s="60"/>
      <c r="AE79" s="60"/>
      <c r="AF79" s="60"/>
      <c r="AG79" s="61">
        <f t="shared" si="20"/>
        <v>0</v>
      </c>
      <c r="AH79" s="61" t="str">
        <f t="shared" si="21"/>
        <v/>
      </c>
      <c r="AI79" s="61">
        <f t="shared" si="22"/>
        <v>0</v>
      </c>
      <c r="AJ79" s="61" t="str">
        <f t="shared" si="23"/>
        <v/>
      </c>
      <c r="AK79" s="61">
        <f t="shared" si="24"/>
        <v>0</v>
      </c>
      <c r="AL79" s="61" t="str">
        <f t="shared" si="25"/>
        <v/>
      </c>
      <c r="AM79" s="61">
        <f t="shared" si="26"/>
        <v>1</v>
      </c>
      <c r="AN79" s="61" t="str">
        <f t="shared" si="27"/>
        <v/>
      </c>
      <c r="AO79" s="61">
        <f t="shared" si="28"/>
        <v>0</v>
      </c>
      <c r="AP79" s="61" t="str">
        <f t="shared" si="29"/>
        <v/>
      </c>
      <c r="AQ79" s="4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</row>
    <row r="80" spans="1:62" s="44" customFormat="1" ht="30" customHeight="1" x14ac:dyDescent="0.35">
      <c r="A80" s="26" t="str">
        <f t="shared" si="18"/>
        <v>PT160 - LAUDOS TÉCNICOS PARA REGULARIZAÇÃO DE EDIFICAÇÕES (Porto de Tubarão)
ETAPA DE ENGENHARIA
RELATÓRIOS
MARCO - 1a ENTREGA DOS RELATÓRIOS - PACOTE 1</v>
      </c>
      <c r="B80" s="51" t="s">
        <v>147</v>
      </c>
      <c r="C80" s="84" t="str">
        <f>IF(AND($B80=[1]ana!$A77,[1]ana!$B77=C$4),"ok","nok")</f>
        <v>nok</v>
      </c>
      <c r="D80" s="84" t="str">
        <f>IF(AND($B80=[1]ana!$A77,[1]ana!$B77=D$4),"ok","nok")</f>
        <v>nok</v>
      </c>
      <c r="E80" s="84" t="str">
        <f>IF(AND($B80=[1]ana!$A77,[1]ana!$B77=E$4),"ok","nok")</f>
        <v>nok</v>
      </c>
      <c r="F80" s="84" t="str">
        <f>IF(AND($B80=[1]ana!$A77,[1]ana!$B77=F$4),"ok","nok")</f>
        <v>nok</v>
      </c>
      <c r="G80" s="84" t="str">
        <f>IF(AND($B80=[1]ana!$A77,[1]ana!$B77=G$4),"ok","nok")</f>
        <v>nok</v>
      </c>
      <c r="H80" s="84" t="str">
        <f>IF(AND($B80=[1]ana!$A77,[1]ana!$B77=H$4),"ok","nok")</f>
        <v>nok</v>
      </c>
      <c r="I80" s="84" t="str">
        <f>IF(AND($B80=[1]ana!$A77,[1]ana!$B77=I$4),"ok","nok")</f>
        <v>nok</v>
      </c>
      <c r="J80" s="84" t="str">
        <f>IF(AND($B80=[1]ana!$A77,[1]ana!$B77=J$4),"ok","nok")</f>
        <v>nok</v>
      </c>
      <c r="K80" s="84" t="str">
        <f>IF(AND($B80=[1]ana!$A77,[1]ana!$B77=K$4),"ok","nok")</f>
        <v>nok</v>
      </c>
      <c r="L80" s="84" t="str">
        <f>IF(AND($B80=[1]ana!$A77,[1]ana!$B77=L$4),"ok","nok")</f>
        <v>nok</v>
      </c>
      <c r="M80" s="84" t="str">
        <f>IF(AND($B80=[1]ana!$A77,[1]ana!$B77=M$4),"ok","nok")</f>
        <v>nok</v>
      </c>
      <c r="N80" s="84" t="str">
        <f>IF(AND($B80=[1]ana!$A77,[1]ana!$B77=N$4),"ok","nok")</f>
        <v>nok</v>
      </c>
      <c r="O80" s="84" t="str">
        <f>IF(AND($B80=[1]ana!$A77,[1]ana!$B77=O$4),"ok","nok")</f>
        <v>nok</v>
      </c>
      <c r="P80" s="84" t="str">
        <f>IF(AND($B80=[1]ana!$A77,[1]ana!$B77=P$4),"ok","nok")</f>
        <v>nok</v>
      </c>
      <c r="Q80" s="84" t="str">
        <f>IF(AND($B80=[1]ana!$A77,[1]ana!$B77=Q$4),"ok","nok")</f>
        <v>nok</v>
      </c>
      <c r="R80" s="84" t="str">
        <f>IF(AND($B80=[1]ana!$A77,[1]ana!$B77=R$4),"ok","nok")</f>
        <v>nok</v>
      </c>
      <c r="S80" s="84" t="str">
        <f>IF(AND($B80=[1]ana!$A77,[1]ana!$B77=S$4),"ok","nok")</f>
        <v>nok</v>
      </c>
      <c r="T80" s="84" t="str">
        <f>IF(AND($B80=[1]ana!$A77,[1]ana!$B77=T$4),"ok","nok")</f>
        <v>nok</v>
      </c>
      <c r="U80" s="84" t="str">
        <f>IF(AND($B80=[1]ana!$A77,[1]ana!$B77=U$4),"ok","nok")</f>
        <v>nok</v>
      </c>
      <c r="V80" s="84" t="str">
        <f>IF(AND($B80=[1]ana!$A77,[1]ana!$B77=V$4),"ok","nok")</f>
        <v>nok</v>
      </c>
      <c r="W80" s="84" t="str">
        <f>IF(AND($B80=[1]ana!$A77,[1]ana!$B77=W$4),"ok","nok")</f>
        <v>nok</v>
      </c>
      <c r="X80" s="84" t="str">
        <f>IF(AND($B80=[1]ana!$A77,[1]ana!$B77=X$4),"ok","nok")</f>
        <v>ok</v>
      </c>
      <c r="Y80" s="85" t="s">
        <v>15</v>
      </c>
      <c r="Z80" s="86"/>
      <c r="AA80" s="86"/>
      <c r="AB80" s="87"/>
      <c r="AC80" s="60" t="str">
        <f t="shared" si="19"/>
        <v/>
      </c>
      <c r="AD80" s="60"/>
      <c r="AE80" s="60"/>
      <c r="AF80" s="60"/>
      <c r="AG80" s="61">
        <f t="shared" si="20"/>
        <v>0</v>
      </c>
      <c r="AH80" s="61" t="str">
        <f t="shared" si="21"/>
        <v/>
      </c>
      <c r="AI80" s="61">
        <f t="shared" si="22"/>
        <v>0</v>
      </c>
      <c r="AJ80" s="61" t="str">
        <f t="shared" si="23"/>
        <v/>
      </c>
      <c r="AK80" s="61">
        <f t="shared" si="24"/>
        <v>0</v>
      </c>
      <c r="AL80" s="61" t="str">
        <f t="shared" si="25"/>
        <v/>
      </c>
      <c r="AM80" s="61">
        <f t="shared" si="26"/>
        <v>0</v>
      </c>
      <c r="AN80" s="61" t="str">
        <f t="shared" si="27"/>
        <v/>
      </c>
      <c r="AO80" s="61">
        <f t="shared" si="28"/>
        <v>1</v>
      </c>
      <c r="AP80" s="61" t="str">
        <f t="shared" si="29"/>
        <v/>
      </c>
      <c r="AQ80" s="4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</row>
    <row r="81" spans="1:62" s="44" customFormat="1" ht="30" customHeight="1" x14ac:dyDescent="0.35">
      <c r="A81" s="26"/>
      <c r="B81" s="49" t="s">
        <v>68</v>
      </c>
      <c r="C81" s="49"/>
      <c r="D81" s="49"/>
      <c r="E81" s="49"/>
      <c r="F81" s="49"/>
      <c r="G81" s="49"/>
      <c r="H81" s="49"/>
      <c r="I81" s="49"/>
      <c r="J81" s="49"/>
      <c r="K81" s="49"/>
      <c r="L81" s="49"/>
      <c r="M81" s="49"/>
      <c r="N81" s="49"/>
      <c r="O81" s="49"/>
      <c r="P81" s="49"/>
      <c r="Q81" s="49"/>
      <c r="R81" s="49"/>
      <c r="S81" s="49"/>
      <c r="T81" s="49"/>
      <c r="U81" s="49"/>
      <c r="V81" s="49"/>
      <c r="W81" s="49"/>
      <c r="X81" s="49"/>
      <c r="Y81" s="101"/>
      <c r="Z81" s="102"/>
      <c r="AA81" s="102"/>
      <c r="AB81" s="103"/>
      <c r="AC81" s="60" t="str">
        <f t="shared" si="19"/>
        <v/>
      </c>
      <c r="AD81" s="60"/>
      <c r="AE81" s="60"/>
      <c r="AF81" s="60"/>
      <c r="AG81" s="61">
        <f t="shared" si="20"/>
        <v>0</v>
      </c>
      <c r="AH81" s="61" t="str">
        <f t="shared" si="21"/>
        <v/>
      </c>
      <c r="AI81" s="61">
        <f t="shared" si="22"/>
        <v>0</v>
      </c>
      <c r="AJ81" s="61" t="str">
        <f t="shared" si="23"/>
        <v/>
      </c>
      <c r="AK81" s="61">
        <f t="shared" si="24"/>
        <v>0</v>
      </c>
      <c r="AL81" s="61" t="str">
        <f t="shared" si="25"/>
        <v/>
      </c>
      <c r="AM81" s="61">
        <f t="shared" si="26"/>
        <v>0</v>
      </c>
      <c r="AN81" s="61" t="str">
        <f t="shared" si="27"/>
        <v/>
      </c>
      <c r="AO81" s="61">
        <f t="shared" si="28"/>
        <v>0</v>
      </c>
      <c r="AP81" s="61" t="str">
        <f t="shared" si="29"/>
        <v/>
      </c>
      <c r="AQ81" s="4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</row>
    <row r="82" spans="1:62" s="44" customFormat="1" ht="30" customHeight="1" x14ac:dyDescent="0.35">
      <c r="A82" s="26"/>
      <c r="B82" s="50" t="s">
        <v>54</v>
      </c>
      <c r="C82" s="50"/>
      <c r="D82" s="50"/>
      <c r="E82" s="50"/>
      <c r="F82" s="50"/>
      <c r="G82" s="50"/>
      <c r="H82" s="50"/>
      <c r="I82" s="50"/>
      <c r="J82" s="50"/>
      <c r="K82" s="50"/>
      <c r="L82" s="50"/>
      <c r="M82" s="50"/>
      <c r="N82" s="50"/>
      <c r="O82" s="50"/>
      <c r="P82" s="50"/>
      <c r="Q82" s="50"/>
      <c r="R82" s="50"/>
      <c r="S82" s="50"/>
      <c r="T82" s="50"/>
      <c r="U82" s="50"/>
      <c r="V82" s="50"/>
      <c r="W82" s="50"/>
      <c r="X82" s="50"/>
      <c r="Y82" s="97"/>
      <c r="Z82" s="98"/>
      <c r="AA82" s="98"/>
      <c r="AB82" s="99"/>
      <c r="AC82" s="60" t="str">
        <f t="shared" si="19"/>
        <v/>
      </c>
      <c r="AD82" s="60"/>
      <c r="AE82" s="60"/>
      <c r="AF82" s="60"/>
      <c r="AG82" s="61">
        <f t="shared" si="20"/>
        <v>0</v>
      </c>
      <c r="AH82" s="61" t="str">
        <f t="shared" si="21"/>
        <v/>
      </c>
      <c r="AI82" s="61">
        <f t="shared" si="22"/>
        <v>0</v>
      </c>
      <c r="AJ82" s="61" t="str">
        <f t="shared" si="23"/>
        <v/>
      </c>
      <c r="AK82" s="61">
        <f t="shared" si="24"/>
        <v>0</v>
      </c>
      <c r="AL82" s="61" t="str">
        <f t="shared" si="25"/>
        <v/>
      </c>
      <c r="AM82" s="61">
        <f t="shared" si="26"/>
        <v>0</v>
      </c>
      <c r="AN82" s="61" t="str">
        <f t="shared" si="27"/>
        <v/>
      </c>
      <c r="AO82" s="61">
        <f t="shared" si="28"/>
        <v>0</v>
      </c>
      <c r="AP82" s="61" t="str">
        <f t="shared" si="29"/>
        <v/>
      </c>
      <c r="AQ82" s="4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</row>
    <row r="83" spans="1:62" s="44" customFormat="1" ht="30" customHeight="1" x14ac:dyDescent="0.35">
      <c r="A83" s="66"/>
      <c r="B83" s="54" t="s">
        <v>69</v>
      </c>
      <c r="C83" s="54"/>
      <c r="D83" s="54"/>
      <c r="E83" s="54"/>
      <c r="F83" s="54"/>
      <c r="G83" s="54"/>
      <c r="H83" s="54"/>
      <c r="I83" s="54"/>
      <c r="J83" s="54"/>
      <c r="K83" s="54"/>
      <c r="L83" s="54"/>
      <c r="M83" s="54"/>
      <c r="N83" s="54"/>
      <c r="O83" s="54"/>
      <c r="P83" s="54"/>
      <c r="Q83" s="54"/>
      <c r="R83" s="54"/>
      <c r="S83" s="54"/>
      <c r="T83" s="54"/>
      <c r="U83" s="54"/>
      <c r="V83" s="54"/>
      <c r="W83" s="54"/>
      <c r="X83" s="54"/>
      <c r="Y83" s="91"/>
      <c r="Z83" s="92"/>
      <c r="AA83" s="92"/>
      <c r="AB83" s="93"/>
      <c r="AC83" s="60" t="str">
        <f t="shared" si="19"/>
        <v/>
      </c>
      <c r="AD83" s="60"/>
      <c r="AE83" s="60"/>
      <c r="AF83" s="60"/>
      <c r="AG83" s="61">
        <f t="shared" si="20"/>
        <v>0</v>
      </c>
      <c r="AH83" s="61" t="str">
        <f t="shared" si="21"/>
        <v/>
      </c>
      <c r="AI83" s="61">
        <f t="shared" si="22"/>
        <v>0</v>
      </c>
      <c r="AJ83" s="61" t="str">
        <f t="shared" si="23"/>
        <v/>
      </c>
      <c r="AK83" s="61">
        <f t="shared" si="24"/>
        <v>0</v>
      </c>
      <c r="AL83" s="61" t="str">
        <f t="shared" si="25"/>
        <v/>
      </c>
      <c r="AM83" s="61">
        <f t="shared" si="26"/>
        <v>0</v>
      </c>
      <c r="AN83" s="61" t="str">
        <f t="shared" si="27"/>
        <v/>
      </c>
      <c r="AO83" s="61">
        <f t="shared" si="28"/>
        <v>0</v>
      </c>
      <c r="AP83" s="61" t="str">
        <f t="shared" si="29"/>
        <v/>
      </c>
      <c r="AQ83" s="4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</row>
    <row r="84" spans="1:62" s="44" customFormat="1" ht="30" customHeight="1" x14ac:dyDescent="0.35">
      <c r="A84" s="66"/>
      <c r="B84" s="52" t="s">
        <v>70</v>
      </c>
      <c r="C84" s="52"/>
      <c r="D84" s="52"/>
      <c r="E84" s="52"/>
      <c r="F84" s="52"/>
      <c r="G84" s="52"/>
      <c r="H84" s="52"/>
      <c r="I84" s="52"/>
      <c r="J84" s="52"/>
      <c r="K84" s="52"/>
      <c r="L84" s="52"/>
      <c r="M84" s="52"/>
      <c r="N84" s="52"/>
      <c r="O84" s="52"/>
      <c r="P84" s="52"/>
      <c r="Q84" s="52"/>
      <c r="R84" s="52"/>
      <c r="S84" s="52"/>
      <c r="T84" s="52"/>
      <c r="U84" s="52"/>
      <c r="V84" s="52"/>
      <c r="W84" s="52"/>
      <c r="X84" s="52"/>
      <c r="Y84" s="88"/>
      <c r="Z84" s="89"/>
      <c r="AA84" s="89"/>
      <c r="AB84" s="90"/>
      <c r="AC84" s="60" t="str">
        <f t="shared" si="19"/>
        <v/>
      </c>
      <c r="AD84" s="60"/>
      <c r="AE84" s="60"/>
      <c r="AF84" s="60"/>
      <c r="AG84" s="61">
        <f t="shared" si="20"/>
        <v>0</v>
      </c>
      <c r="AH84" s="61" t="str">
        <f t="shared" si="21"/>
        <v/>
      </c>
      <c r="AI84" s="61">
        <f t="shared" si="22"/>
        <v>0</v>
      </c>
      <c r="AJ84" s="61" t="str">
        <f t="shared" si="23"/>
        <v/>
      </c>
      <c r="AK84" s="61">
        <f t="shared" si="24"/>
        <v>0</v>
      </c>
      <c r="AL84" s="61" t="str">
        <f t="shared" si="25"/>
        <v/>
      </c>
      <c r="AM84" s="61">
        <f t="shared" si="26"/>
        <v>0</v>
      </c>
      <c r="AN84" s="61" t="str">
        <f t="shared" si="27"/>
        <v/>
      </c>
      <c r="AO84" s="61">
        <f t="shared" si="28"/>
        <v>0</v>
      </c>
      <c r="AP84" s="61" t="str">
        <f t="shared" si="29"/>
        <v/>
      </c>
      <c r="AQ84" s="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</row>
    <row r="85" spans="1:62" s="44" customFormat="1" ht="30" customHeight="1" x14ac:dyDescent="0.35">
      <c r="A85" s="26" t="str">
        <f>CONCATENATE($B$81,"
",$B$82,"
",$B$83,"
",$B$84)</f>
        <v>PT165 - ESTUDO DE ENGENHARIA DO GALPÃO INDUSTRIAL G2 (Duque de Caxias)
ETAPA DE CAMPO
FASE 1 - PROJETO PRELIMINAR DE ARQUITETURA DO G2 E SERVIÇOS DE CAMPO
MARCO - PROJETO ARQUITETÔNICO (LAYOUT)</v>
      </c>
      <c r="B85" s="53" t="s">
        <v>44</v>
      </c>
      <c r="C85" s="84" t="str">
        <f>IF(AND($B85=[1]ana!$A82,[1]ana!$B82=C$4),"ok","nok")</f>
        <v>nok</v>
      </c>
      <c r="D85" s="84" t="str">
        <f>IF(AND($B85=[1]ana!$A82,[1]ana!$B82=D$4),"ok","nok")</f>
        <v>nok</v>
      </c>
      <c r="E85" s="84" t="str">
        <f>IF(AND($B85=[1]ana!$A82,[1]ana!$B82=E$4),"ok","nok")</f>
        <v>nok</v>
      </c>
      <c r="F85" s="84" t="str">
        <f>IF(AND($B85=[1]ana!$A82,[1]ana!$B82=F$4),"ok","nok")</f>
        <v>nok</v>
      </c>
      <c r="G85" s="84" t="str">
        <f>IF(AND($B85=[1]ana!$A82,[1]ana!$B82=G$4),"ok","nok")</f>
        <v>ok</v>
      </c>
      <c r="H85" s="84" t="str">
        <f>IF(AND($B85=[1]ana!$A82,[1]ana!$B82=H$4),"ok","nok")</f>
        <v>nok</v>
      </c>
      <c r="I85" s="84" t="str">
        <f>IF(AND($B85=[1]ana!$A82,[1]ana!$B82=I$4),"ok","nok")</f>
        <v>nok</v>
      </c>
      <c r="J85" s="84" t="str">
        <f>IF(AND($B85=[1]ana!$A82,[1]ana!$B82=J$4),"ok","nok")</f>
        <v>nok</v>
      </c>
      <c r="K85" s="84" t="str">
        <f>IF(AND($B85=[1]ana!$A82,[1]ana!$B82=K$4),"ok","nok")</f>
        <v>nok</v>
      </c>
      <c r="L85" s="84" t="str">
        <f>IF(AND($B85=[1]ana!$A82,[1]ana!$B82=L$4),"ok","nok")</f>
        <v>nok</v>
      </c>
      <c r="M85" s="84" t="str">
        <f>IF(AND($B85=[1]ana!$A82,[1]ana!$B82=M$4),"ok","nok")</f>
        <v>nok</v>
      </c>
      <c r="N85" s="84" t="str">
        <f>IF(AND($B85=[1]ana!$A82,[1]ana!$B82=N$4),"ok","nok")</f>
        <v>nok</v>
      </c>
      <c r="O85" s="84" t="str">
        <f>IF(AND($B85=[1]ana!$A82,[1]ana!$B82=O$4),"ok","nok")</f>
        <v>nok</v>
      </c>
      <c r="P85" s="84" t="str">
        <f>IF(AND($B85=[1]ana!$A82,[1]ana!$B82=P$4),"ok","nok")</f>
        <v>nok</v>
      </c>
      <c r="Q85" s="84" t="str">
        <f>IF(AND($B85=[1]ana!$A82,[1]ana!$B82=Q$4),"ok","nok")</f>
        <v>nok</v>
      </c>
      <c r="R85" s="84" t="str">
        <f>IF(AND($B85=[1]ana!$A82,[1]ana!$B82=R$4),"ok","nok")</f>
        <v>nok</v>
      </c>
      <c r="S85" s="84" t="str">
        <f>IF(AND($B85=[1]ana!$A82,[1]ana!$B82=S$4),"ok","nok")</f>
        <v>nok</v>
      </c>
      <c r="T85" s="84" t="str">
        <f>IF(AND($B85=[1]ana!$A82,[1]ana!$B82=T$4),"ok","nok")</f>
        <v>nok</v>
      </c>
      <c r="U85" s="84" t="str">
        <f>IF(AND($B85=[1]ana!$A82,[1]ana!$B82=U$4),"ok","nok")</f>
        <v>nok</v>
      </c>
      <c r="V85" s="84" t="str">
        <f>IF(AND($B85=[1]ana!$A82,[1]ana!$B82=V$4),"ok","nok")</f>
        <v>nok</v>
      </c>
      <c r="W85" s="84" t="str">
        <f>IF(AND($B85=[1]ana!$A82,[1]ana!$B82=W$4),"ok","nok")</f>
        <v>nok</v>
      </c>
      <c r="X85" s="84" t="str">
        <f>IF(AND($B85=[1]ana!$A82,[1]ana!$B82=X$4),"ok","nok")</f>
        <v>nok</v>
      </c>
      <c r="Y85" s="85" t="s">
        <v>35</v>
      </c>
      <c r="Z85" s="86"/>
      <c r="AA85" s="86"/>
      <c r="AB85" s="87"/>
      <c r="AC85" s="60" t="str">
        <f t="shared" si="19"/>
        <v/>
      </c>
      <c r="AD85" s="60"/>
      <c r="AE85" s="60"/>
      <c r="AF85" s="60"/>
      <c r="AG85" s="61">
        <f t="shared" si="20"/>
        <v>1</v>
      </c>
      <c r="AH85" s="61" t="str">
        <f t="shared" si="21"/>
        <v>EFPRAZO</v>
      </c>
      <c r="AI85" s="61">
        <f t="shared" si="22"/>
        <v>0</v>
      </c>
      <c r="AJ85" s="61" t="str">
        <f t="shared" si="23"/>
        <v/>
      </c>
      <c r="AK85" s="61">
        <f t="shared" si="24"/>
        <v>0</v>
      </c>
      <c r="AL85" s="61" t="str">
        <f t="shared" si="25"/>
        <v/>
      </c>
      <c r="AM85" s="61">
        <f t="shared" si="26"/>
        <v>0</v>
      </c>
      <c r="AN85" s="61" t="str">
        <f t="shared" si="27"/>
        <v/>
      </c>
      <c r="AO85" s="61">
        <f t="shared" si="28"/>
        <v>0</v>
      </c>
      <c r="AP85" s="61" t="str">
        <f t="shared" si="29"/>
        <v/>
      </c>
      <c r="AQ85" s="4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</row>
    <row r="86" spans="1:62" s="44" customFormat="1" ht="30" customHeight="1" x14ac:dyDescent="0.35">
      <c r="A86" s="26" t="str">
        <f>CONCATENATE($B$81,"
",$B$82,"
",$B$83,"
",$B$84)</f>
        <v>PT165 - ESTUDO DE ENGENHARIA DO GALPÃO INDUSTRIAL G2 (Duque de Caxias)
ETAPA DE CAMPO
FASE 1 - PROJETO PRELIMINAR DE ARQUITETURA DO G2 E SERVIÇOS DE CAMPO
MARCO - PROJETO ARQUITETÔNICO (LAYOUT)</v>
      </c>
      <c r="B86" s="53" t="s">
        <v>45</v>
      </c>
      <c r="C86" s="84" t="str">
        <f>IF(AND($B86=[1]ana!$A83,[1]ana!$B83=C$4),"ok","nok")</f>
        <v>nok</v>
      </c>
      <c r="D86" s="84" t="str">
        <f>IF(AND($B86=[1]ana!$A83,[1]ana!$B83=D$4),"ok","nok")</f>
        <v>nok</v>
      </c>
      <c r="E86" s="84" t="str">
        <f>IF(AND($B86=[1]ana!$A83,[1]ana!$B83=E$4),"ok","nok")</f>
        <v>nok</v>
      </c>
      <c r="F86" s="84" t="str">
        <f>IF(AND($B86=[1]ana!$A83,[1]ana!$B83=F$4),"ok","nok")</f>
        <v>nok</v>
      </c>
      <c r="G86" s="84" t="str">
        <f>IF(AND($B86=[1]ana!$A83,[1]ana!$B83=G$4),"ok","nok")</f>
        <v>ok</v>
      </c>
      <c r="H86" s="84" t="str">
        <f>IF(AND($B86=[1]ana!$A83,[1]ana!$B83=H$4),"ok","nok")</f>
        <v>nok</v>
      </c>
      <c r="I86" s="84" t="str">
        <f>IF(AND($B86=[1]ana!$A83,[1]ana!$B83=I$4),"ok","nok")</f>
        <v>nok</v>
      </c>
      <c r="J86" s="84" t="str">
        <f>IF(AND($B86=[1]ana!$A83,[1]ana!$B83=J$4),"ok","nok")</f>
        <v>nok</v>
      </c>
      <c r="K86" s="84" t="str">
        <f>IF(AND($B86=[1]ana!$A83,[1]ana!$B83=K$4),"ok","nok")</f>
        <v>nok</v>
      </c>
      <c r="L86" s="84" t="str">
        <f>IF(AND($B86=[1]ana!$A83,[1]ana!$B83=L$4),"ok","nok")</f>
        <v>nok</v>
      </c>
      <c r="M86" s="84" t="str">
        <f>IF(AND($B86=[1]ana!$A83,[1]ana!$B83=M$4),"ok","nok")</f>
        <v>nok</v>
      </c>
      <c r="N86" s="84" t="str">
        <f>IF(AND($B86=[1]ana!$A83,[1]ana!$B83=N$4),"ok","nok")</f>
        <v>nok</v>
      </c>
      <c r="O86" s="84" t="str">
        <f>IF(AND($B86=[1]ana!$A83,[1]ana!$B83=O$4),"ok","nok")</f>
        <v>nok</v>
      </c>
      <c r="P86" s="84" t="str">
        <f>IF(AND($B86=[1]ana!$A83,[1]ana!$B83=P$4),"ok","nok")</f>
        <v>nok</v>
      </c>
      <c r="Q86" s="84" t="str">
        <f>IF(AND($B86=[1]ana!$A83,[1]ana!$B83=Q$4),"ok","nok")</f>
        <v>nok</v>
      </c>
      <c r="R86" s="84" t="str">
        <f>IF(AND($B86=[1]ana!$A83,[1]ana!$B83=R$4),"ok","nok")</f>
        <v>nok</v>
      </c>
      <c r="S86" s="84" t="str">
        <f>IF(AND($B86=[1]ana!$A83,[1]ana!$B83=S$4),"ok","nok")</f>
        <v>nok</v>
      </c>
      <c r="T86" s="84" t="str">
        <f>IF(AND($B86=[1]ana!$A83,[1]ana!$B83=T$4),"ok","nok")</f>
        <v>nok</v>
      </c>
      <c r="U86" s="84" t="str">
        <f>IF(AND($B86=[1]ana!$A83,[1]ana!$B83=U$4),"ok","nok")</f>
        <v>nok</v>
      </c>
      <c r="V86" s="84" t="str">
        <f>IF(AND($B86=[1]ana!$A83,[1]ana!$B83=V$4),"ok","nok")</f>
        <v>nok</v>
      </c>
      <c r="W86" s="84" t="str">
        <f>IF(AND($B86=[1]ana!$A83,[1]ana!$B83=W$4),"ok","nok")</f>
        <v>nok</v>
      </c>
      <c r="X86" s="84" t="str">
        <f>IF(AND($B86=[1]ana!$A83,[1]ana!$B83=X$4),"ok","nok")</f>
        <v>nok</v>
      </c>
      <c r="Y86" s="85" t="s">
        <v>33</v>
      </c>
      <c r="Z86" s="86"/>
      <c r="AA86" s="86"/>
      <c r="AB86" s="87"/>
      <c r="AC86" s="60" t="str">
        <f t="shared" si="19"/>
        <v>MARCO - Envio do documento Certificado (Rev_0)</v>
      </c>
      <c r="AD86" s="60"/>
      <c r="AE86" s="60"/>
      <c r="AF86" s="60"/>
      <c r="AG86" s="61">
        <f t="shared" si="20"/>
        <v>1</v>
      </c>
      <c r="AH86" s="61" t="str">
        <f t="shared" si="21"/>
        <v/>
      </c>
      <c r="AI86" s="61">
        <f t="shared" si="22"/>
        <v>0</v>
      </c>
      <c r="AJ86" s="61" t="str">
        <f t="shared" si="23"/>
        <v/>
      </c>
      <c r="AK86" s="61">
        <f t="shared" si="24"/>
        <v>0</v>
      </c>
      <c r="AL86" s="61" t="str">
        <f t="shared" si="25"/>
        <v/>
      </c>
      <c r="AM86" s="61">
        <f t="shared" si="26"/>
        <v>0</v>
      </c>
      <c r="AN86" s="61" t="str">
        <f t="shared" si="27"/>
        <v/>
      </c>
      <c r="AO86" s="61">
        <f t="shared" si="28"/>
        <v>0</v>
      </c>
      <c r="AP86" s="61" t="str">
        <f t="shared" si="29"/>
        <v/>
      </c>
      <c r="AQ86" s="4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</row>
    <row r="87" spans="1:62" s="44" customFormat="1" ht="30" customHeight="1" x14ac:dyDescent="0.35">
      <c r="A87" s="26"/>
      <c r="B87" s="50" t="s">
        <v>59</v>
      </c>
      <c r="C87" s="50"/>
      <c r="D87" s="50"/>
      <c r="E87" s="50"/>
      <c r="F87" s="50"/>
      <c r="G87" s="50"/>
      <c r="H87" s="50"/>
      <c r="I87" s="50"/>
      <c r="J87" s="50"/>
      <c r="K87" s="50"/>
      <c r="L87" s="50"/>
      <c r="M87" s="50"/>
      <c r="N87" s="50"/>
      <c r="O87" s="50"/>
      <c r="P87" s="50"/>
      <c r="Q87" s="50"/>
      <c r="R87" s="50"/>
      <c r="S87" s="50"/>
      <c r="T87" s="50"/>
      <c r="U87" s="50"/>
      <c r="V87" s="50"/>
      <c r="W87" s="50"/>
      <c r="X87" s="50"/>
      <c r="Y87" s="97"/>
      <c r="Z87" s="98"/>
      <c r="AA87" s="98"/>
      <c r="AB87" s="99"/>
      <c r="AC87" s="60" t="str">
        <f t="shared" si="19"/>
        <v/>
      </c>
      <c r="AD87" s="60"/>
      <c r="AE87" s="60"/>
      <c r="AF87" s="60"/>
      <c r="AG87" s="61">
        <f t="shared" si="20"/>
        <v>0</v>
      </c>
      <c r="AH87" s="61" t="str">
        <f t="shared" si="21"/>
        <v/>
      </c>
      <c r="AI87" s="61">
        <f t="shared" si="22"/>
        <v>0</v>
      </c>
      <c r="AJ87" s="61" t="str">
        <f t="shared" si="23"/>
        <v/>
      </c>
      <c r="AK87" s="61">
        <f t="shared" si="24"/>
        <v>0</v>
      </c>
      <c r="AL87" s="61" t="str">
        <f t="shared" si="25"/>
        <v/>
      </c>
      <c r="AM87" s="61">
        <f t="shared" si="26"/>
        <v>0</v>
      </c>
      <c r="AN87" s="61" t="str">
        <f t="shared" si="27"/>
        <v/>
      </c>
      <c r="AO87" s="61">
        <f t="shared" si="28"/>
        <v>0</v>
      </c>
      <c r="AP87" s="61" t="str">
        <f t="shared" si="29"/>
        <v/>
      </c>
      <c r="AQ87" s="4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</row>
    <row r="88" spans="1:62" s="44" customFormat="1" ht="30" customHeight="1" x14ac:dyDescent="0.35">
      <c r="A88" s="26"/>
      <c r="B88" s="54" t="s">
        <v>71</v>
      </c>
      <c r="C88" s="54"/>
      <c r="D88" s="54"/>
      <c r="E88" s="54"/>
      <c r="F88" s="54"/>
      <c r="G88" s="54"/>
      <c r="H88" s="54"/>
      <c r="I88" s="54"/>
      <c r="J88" s="54"/>
      <c r="K88" s="54"/>
      <c r="L88" s="54"/>
      <c r="M88" s="54"/>
      <c r="N88" s="54"/>
      <c r="O88" s="54"/>
      <c r="P88" s="54"/>
      <c r="Q88" s="54"/>
      <c r="R88" s="54"/>
      <c r="S88" s="54"/>
      <c r="T88" s="54"/>
      <c r="U88" s="54"/>
      <c r="V88" s="54"/>
      <c r="W88" s="54"/>
      <c r="X88" s="54"/>
      <c r="Y88" s="91"/>
      <c r="Z88" s="92"/>
      <c r="AA88" s="92"/>
      <c r="AB88" s="93"/>
      <c r="AC88" s="60" t="str">
        <f t="shared" si="19"/>
        <v/>
      </c>
      <c r="AD88" s="60"/>
      <c r="AE88" s="60"/>
      <c r="AF88" s="60"/>
      <c r="AG88" s="61">
        <f t="shared" si="20"/>
        <v>0</v>
      </c>
      <c r="AH88" s="61" t="str">
        <f t="shared" si="21"/>
        <v/>
      </c>
      <c r="AI88" s="61">
        <f t="shared" si="22"/>
        <v>0</v>
      </c>
      <c r="AJ88" s="61" t="str">
        <f t="shared" si="23"/>
        <v/>
      </c>
      <c r="AK88" s="61">
        <f t="shared" si="24"/>
        <v>0</v>
      </c>
      <c r="AL88" s="61" t="str">
        <f t="shared" si="25"/>
        <v/>
      </c>
      <c r="AM88" s="61">
        <f t="shared" si="26"/>
        <v>0</v>
      </c>
      <c r="AN88" s="61" t="str">
        <f t="shared" si="27"/>
        <v/>
      </c>
      <c r="AO88" s="61">
        <f t="shared" si="28"/>
        <v>0</v>
      </c>
      <c r="AP88" s="61" t="str">
        <f t="shared" si="29"/>
        <v/>
      </c>
      <c r="AQ88" s="4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</row>
    <row r="89" spans="1:62" s="44" customFormat="1" ht="30" customHeight="1" x14ac:dyDescent="0.35">
      <c r="A89" s="26"/>
      <c r="B89" s="55" t="s">
        <v>72</v>
      </c>
      <c r="C89" s="55"/>
      <c r="D89" s="55"/>
      <c r="E89" s="55"/>
      <c r="F89" s="55"/>
      <c r="G89" s="55"/>
      <c r="H89" s="55"/>
      <c r="I89" s="55"/>
      <c r="J89" s="55"/>
      <c r="K89" s="55"/>
      <c r="L89" s="55"/>
      <c r="M89" s="55"/>
      <c r="N89" s="55"/>
      <c r="O89" s="55"/>
      <c r="P89" s="55"/>
      <c r="Q89" s="55"/>
      <c r="R89" s="55"/>
      <c r="S89" s="55"/>
      <c r="T89" s="55"/>
      <c r="U89" s="55"/>
      <c r="V89" s="55"/>
      <c r="W89" s="55"/>
      <c r="X89" s="55"/>
      <c r="Y89" s="131"/>
      <c r="Z89" s="132"/>
      <c r="AA89" s="132"/>
      <c r="AB89" s="133"/>
      <c r="AC89" s="60" t="str">
        <f t="shared" si="19"/>
        <v/>
      </c>
      <c r="AD89" s="60"/>
      <c r="AE89" s="60"/>
      <c r="AF89" s="60"/>
      <c r="AG89" s="61">
        <f t="shared" si="20"/>
        <v>0</v>
      </c>
      <c r="AH89" s="61" t="str">
        <f t="shared" si="21"/>
        <v/>
      </c>
      <c r="AI89" s="61">
        <f t="shared" si="22"/>
        <v>0</v>
      </c>
      <c r="AJ89" s="61" t="str">
        <f t="shared" si="23"/>
        <v/>
      </c>
      <c r="AK89" s="61">
        <f t="shared" si="24"/>
        <v>0</v>
      </c>
      <c r="AL89" s="61" t="str">
        <f t="shared" si="25"/>
        <v/>
      </c>
      <c r="AM89" s="61">
        <f t="shared" si="26"/>
        <v>0</v>
      </c>
      <c r="AN89" s="61" t="str">
        <f t="shared" si="27"/>
        <v/>
      </c>
      <c r="AO89" s="61">
        <f t="shared" si="28"/>
        <v>0</v>
      </c>
      <c r="AP89" s="61" t="str">
        <f t="shared" si="29"/>
        <v/>
      </c>
      <c r="AQ89" s="4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</row>
    <row r="90" spans="1:62" s="44" customFormat="1" ht="30" customHeight="1" x14ac:dyDescent="0.35">
      <c r="A90" s="26"/>
      <c r="B90" s="73" t="s">
        <v>73</v>
      </c>
      <c r="C90" s="73"/>
      <c r="D90" s="73"/>
      <c r="E90" s="73"/>
      <c r="F90" s="73"/>
      <c r="G90" s="73"/>
      <c r="H90" s="73"/>
      <c r="I90" s="73"/>
      <c r="J90" s="73"/>
      <c r="K90" s="73"/>
      <c r="L90" s="73"/>
      <c r="M90" s="73"/>
      <c r="N90" s="73"/>
      <c r="O90" s="73"/>
      <c r="P90" s="73"/>
      <c r="Q90" s="73"/>
      <c r="R90" s="73"/>
      <c r="S90" s="73"/>
      <c r="T90" s="73"/>
      <c r="U90" s="73"/>
      <c r="V90" s="73"/>
      <c r="W90" s="73"/>
      <c r="X90" s="73"/>
      <c r="Y90" s="94"/>
      <c r="Z90" s="95"/>
      <c r="AA90" s="95"/>
      <c r="AB90" s="96"/>
      <c r="AC90" s="60" t="str">
        <f t="shared" si="19"/>
        <v/>
      </c>
      <c r="AD90" s="60"/>
      <c r="AE90" s="60"/>
      <c r="AF90" s="60"/>
      <c r="AG90" s="61">
        <f t="shared" si="20"/>
        <v>0</v>
      </c>
      <c r="AH90" s="61" t="str">
        <f t="shared" si="21"/>
        <v/>
      </c>
      <c r="AI90" s="61">
        <f t="shared" si="22"/>
        <v>0</v>
      </c>
      <c r="AJ90" s="61" t="str">
        <f t="shared" si="23"/>
        <v/>
      </c>
      <c r="AK90" s="61">
        <f t="shared" si="24"/>
        <v>0</v>
      </c>
      <c r="AL90" s="61" t="str">
        <f t="shared" si="25"/>
        <v/>
      </c>
      <c r="AM90" s="61">
        <f t="shared" si="26"/>
        <v>0</v>
      </c>
      <c r="AN90" s="61" t="str">
        <f t="shared" si="27"/>
        <v/>
      </c>
      <c r="AO90" s="61">
        <f t="shared" si="28"/>
        <v>0</v>
      </c>
      <c r="AP90" s="61" t="str">
        <f t="shared" si="29"/>
        <v/>
      </c>
      <c r="AQ90" s="4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</row>
    <row r="91" spans="1:62" s="44" customFormat="1" ht="30" customHeight="1" x14ac:dyDescent="0.35">
      <c r="A91" s="26"/>
      <c r="B91" s="52" t="s">
        <v>74</v>
      </c>
      <c r="C91" s="52"/>
      <c r="D91" s="52"/>
      <c r="E91" s="52"/>
      <c r="F91" s="52"/>
      <c r="G91" s="52"/>
      <c r="H91" s="52"/>
      <c r="I91" s="52"/>
      <c r="J91" s="52"/>
      <c r="K91" s="52"/>
      <c r="L91" s="52"/>
      <c r="M91" s="52"/>
      <c r="N91" s="52"/>
      <c r="O91" s="52"/>
      <c r="P91" s="52"/>
      <c r="Q91" s="52"/>
      <c r="R91" s="52"/>
      <c r="S91" s="52"/>
      <c r="T91" s="52"/>
      <c r="U91" s="52"/>
      <c r="V91" s="52"/>
      <c r="W91" s="52"/>
      <c r="X91" s="52"/>
      <c r="Y91" s="88"/>
      <c r="Z91" s="89"/>
      <c r="AA91" s="89"/>
      <c r="AB91" s="90"/>
      <c r="AC91" s="60" t="str">
        <f t="shared" si="19"/>
        <v/>
      </c>
      <c r="AD91" s="60"/>
      <c r="AE91" s="60"/>
      <c r="AF91" s="60"/>
      <c r="AG91" s="61">
        <f t="shared" si="20"/>
        <v>0</v>
      </c>
      <c r="AH91" s="61" t="str">
        <f t="shared" si="21"/>
        <v/>
      </c>
      <c r="AI91" s="61">
        <f t="shared" si="22"/>
        <v>0</v>
      </c>
      <c r="AJ91" s="61" t="str">
        <f t="shared" si="23"/>
        <v/>
      </c>
      <c r="AK91" s="61">
        <f t="shared" si="24"/>
        <v>0</v>
      </c>
      <c r="AL91" s="61" t="str">
        <f t="shared" si="25"/>
        <v/>
      </c>
      <c r="AM91" s="61">
        <f t="shared" si="26"/>
        <v>0</v>
      </c>
      <c r="AN91" s="61" t="str">
        <f t="shared" si="27"/>
        <v/>
      </c>
      <c r="AO91" s="61">
        <f t="shared" si="28"/>
        <v>0</v>
      </c>
      <c r="AP91" s="61" t="str">
        <f t="shared" si="29"/>
        <v/>
      </c>
      <c r="AQ91" s="4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</row>
    <row r="92" spans="1:62" s="44" customFormat="1" ht="30" customHeight="1" x14ac:dyDescent="0.35">
      <c r="A92" s="26" t="str">
        <f>CONCATENATE($B$81,"
",$B$88,"
",$B$89,"
",$B$90)</f>
        <v>PT165 - ESTUDO DE ENGENHARIA DO GALPÃO INDUSTRIAL G2 (Duque de Caxias)
FASE 2 - SIMULAÇÕES COMPUTACIONAIS
MODELAGEM DO GALPÃO
GALPÃO EXISTENTE (CENÁRIO 1)</v>
      </c>
      <c r="B92" s="53" t="s">
        <v>43</v>
      </c>
      <c r="C92" s="84" t="str">
        <f>IF(AND($B92=[1]ana!$A89,[1]ana!$B89=C$4),"ok","nok")</f>
        <v>nok</v>
      </c>
      <c r="D92" s="84" t="str">
        <f>IF(AND($B92=[1]ana!$A89,[1]ana!$B89=D$4),"ok","nok")</f>
        <v>nok</v>
      </c>
      <c r="E92" s="84" t="str">
        <f>IF(AND($B92=[1]ana!$A89,[1]ana!$B89=E$4),"ok","nok")</f>
        <v>nok</v>
      </c>
      <c r="F92" s="84" t="str">
        <f>IF(AND($B92=[1]ana!$A89,[1]ana!$B89=F$4),"ok","nok")</f>
        <v>nok</v>
      </c>
      <c r="G92" s="84" t="str">
        <f>IF(AND($B92=[1]ana!$A89,[1]ana!$B89=G$4),"ok","nok")</f>
        <v>ok</v>
      </c>
      <c r="H92" s="84" t="str">
        <f>IF(AND($B92=[1]ana!$A89,[1]ana!$B89=H$4),"ok","nok")</f>
        <v>nok</v>
      </c>
      <c r="I92" s="84" t="str">
        <f>IF(AND($B92=[1]ana!$A89,[1]ana!$B89=I$4),"ok","nok")</f>
        <v>nok</v>
      </c>
      <c r="J92" s="84" t="str">
        <f>IF(AND($B92=[1]ana!$A89,[1]ana!$B89=J$4),"ok","nok")</f>
        <v>nok</v>
      </c>
      <c r="K92" s="84" t="str">
        <f>IF(AND($B92=[1]ana!$A89,[1]ana!$B89=K$4),"ok","nok")</f>
        <v>nok</v>
      </c>
      <c r="L92" s="84" t="str">
        <f>IF(AND($B92=[1]ana!$A89,[1]ana!$B89=L$4),"ok","nok")</f>
        <v>nok</v>
      </c>
      <c r="M92" s="84" t="str">
        <f>IF(AND($B92=[1]ana!$A89,[1]ana!$B89=M$4),"ok","nok")</f>
        <v>nok</v>
      </c>
      <c r="N92" s="84" t="str">
        <f>IF(AND($B92=[1]ana!$A89,[1]ana!$B89=N$4),"ok","nok")</f>
        <v>nok</v>
      </c>
      <c r="O92" s="84" t="str">
        <f>IF(AND($B92=[1]ana!$A89,[1]ana!$B89=O$4),"ok","nok")</f>
        <v>nok</v>
      </c>
      <c r="P92" s="84" t="str">
        <f>IF(AND($B92=[1]ana!$A89,[1]ana!$B89=P$4),"ok","nok")</f>
        <v>nok</v>
      </c>
      <c r="Q92" s="84" t="str">
        <f>IF(AND($B92=[1]ana!$A89,[1]ana!$B89=Q$4),"ok","nok")</f>
        <v>nok</v>
      </c>
      <c r="R92" s="84" t="str">
        <f>IF(AND($B92=[1]ana!$A89,[1]ana!$B89=R$4),"ok","nok")</f>
        <v>nok</v>
      </c>
      <c r="S92" s="84" t="str">
        <f>IF(AND($B92=[1]ana!$A89,[1]ana!$B89=S$4),"ok","nok")</f>
        <v>nok</v>
      </c>
      <c r="T92" s="84" t="str">
        <f>IF(AND($B92=[1]ana!$A89,[1]ana!$B89=T$4),"ok","nok")</f>
        <v>nok</v>
      </c>
      <c r="U92" s="84" t="str">
        <f>IF(AND($B92=[1]ana!$A89,[1]ana!$B89=U$4),"ok","nok")</f>
        <v>nok</v>
      </c>
      <c r="V92" s="84" t="str">
        <f>IF(AND($B92=[1]ana!$A89,[1]ana!$B89=V$4),"ok","nok")</f>
        <v>nok</v>
      </c>
      <c r="W92" s="84" t="str">
        <f>IF(AND($B92=[1]ana!$A89,[1]ana!$B89=W$4),"ok","nok")</f>
        <v>nok</v>
      </c>
      <c r="X92" s="84" t="str">
        <f>IF(AND($B92=[1]ana!$A89,[1]ana!$B89=X$4),"ok","nok")</f>
        <v>nok</v>
      </c>
      <c r="Y92" s="85" t="s">
        <v>35</v>
      </c>
      <c r="Z92" s="86"/>
      <c r="AA92" s="86"/>
      <c r="AB92" s="87"/>
      <c r="AC92" s="60" t="str">
        <f t="shared" si="19"/>
        <v/>
      </c>
      <c r="AD92" s="60"/>
      <c r="AE92" s="60"/>
      <c r="AF92" s="60"/>
      <c r="AG92" s="61">
        <f t="shared" si="20"/>
        <v>1</v>
      </c>
      <c r="AH92" s="61" t="str">
        <f t="shared" si="21"/>
        <v>EFPRAZO</v>
      </c>
      <c r="AI92" s="61">
        <f t="shared" si="22"/>
        <v>0</v>
      </c>
      <c r="AJ92" s="61" t="str">
        <f t="shared" si="23"/>
        <v/>
      </c>
      <c r="AK92" s="61">
        <f t="shared" si="24"/>
        <v>0</v>
      </c>
      <c r="AL92" s="61" t="str">
        <f t="shared" si="25"/>
        <v/>
      </c>
      <c r="AM92" s="61">
        <f t="shared" si="26"/>
        <v>0</v>
      </c>
      <c r="AN92" s="61" t="str">
        <f t="shared" si="27"/>
        <v/>
      </c>
      <c r="AO92" s="61">
        <f t="shared" si="28"/>
        <v>0</v>
      </c>
      <c r="AP92" s="61" t="str">
        <f t="shared" si="29"/>
        <v/>
      </c>
      <c r="AQ92" s="4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</row>
    <row r="93" spans="1:62" s="44" customFormat="1" ht="30" customHeight="1" x14ac:dyDescent="0.35">
      <c r="A93" s="26" t="str">
        <f t="shared" ref="A93:A94" si="30">CONCATENATE($B$81,"
",$B$88,"
",$B$89,"
",$B$90)</f>
        <v>PT165 - ESTUDO DE ENGENHARIA DO GALPÃO INDUSTRIAL G2 (Duque de Caxias)
FASE 2 - SIMULAÇÕES COMPUTACIONAIS
MODELAGEM DO GALPÃO
GALPÃO EXISTENTE (CENÁRIO 1)</v>
      </c>
      <c r="B93" s="53" t="s">
        <v>44</v>
      </c>
      <c r="C93" s="84" t="str">
        <f>IF(AND($B93=[1]ana!$A90,[1]ana!$B90=C$4),"ok","nok")</f>
        <v>nok</v>
      </c>
      <c r="D93" s="84" t="str">
        <f>IF(AND($B93=[1]ana!$A90,[1]ana!$B90=D$4),"ok","nok")</f>
        <v>nok</v>
      </c>
      <c r="E93" s="84" t="str">
        <f>IF(AND($B93=[1]ana!$A90,[1]ana!$B90=E$4),"ok","nok")</f>
        <v>nok</v>
      </c>
      <c r="F93" s="84" t="str">
        <f>IF(AND($B93=[1]ana!$A90,[1]ana!$B90=F$4),"ok","nok")</f>
        <v>nok</v>
      </c>
      <c r="G93" s="84" t="str">
        <f>IF(AND($B93=[1]ana!$A90,[1]ana!$B90=G$4),"ok","nok")</f>
        <v>nok</v>
      </c>
      <c r="H93" s="84" t="str">
        <f>IF(AND($B93=[1]ana!$A90,[1]ana!$B90=H$4),"ok","nok")</f>
        <v>nok</v>
      </c>
      <c r="I93" s="84" t="str">
        <f>IF(AND($B93=[1]ana!$A90,[1]ana!$B90=I$4),"ok","nok")</f>
        <v>nok</v>
      </c>
      <c r="J93" s="84" t="str">
        <f>IF(AND($B93=[1]ana!$A90,[1]ana!$B90=J$4),"ok","nok")</f>
        <v>ok</v>
      </c>
      <c r="K93" s="84" t="str">
        <f>IF(AND($B93=[1]ana!$A90,[1]ana!$B90=K$4),"ok","nok")</f>
        <v>nok</v>
      </c>
      <c r="L93" s="84" t="str">
        <f>IF(AND($B93=[1]ana!$A90,[1]ana!$B90=L$4),"ok","nok")</f>
        <v>nok</v>
      </c>
      <c r="M93" s="84" t="str">
        <f>IF(AND($B93=[1]ana!$A90,[1]ana!$B90=M$4),"ok","nok")</f>
        <v>nok</v>
      </c>
      <c r="N93" s="84" t="str">
        <f>IF(AND($B93=[1]ana!$A90,[1]ana!$B90=N$4),"ok","nok")</f>
        <v>nok</v>
      </c>
      <c r="O93" s="84" t="str">
        <f>IF(AND($B93=[1]ana!$A90,[1]ana!$B90=O$4),"ok","nok")</f>
        <v>nok</v>
      </c>
      <c r="P93" s="84" t="str">
        <f>IF(AND($B93=[1]ana!$A90,[1]ana!$B90=P$4),"ok","nok")</f>
        <v>nok</v>
      </c>
      <c r="Q93" s="84" t="str">
        <f>IF(AND($B93=[1]ana!$A90,[1]ana!$B90=Q$4),"ok","nok")</f>
        <v>nok</v>
      </c>
      <c r="R93" s="84" t="str">
        <f>IF(AND($B93=[1]ana!$A90,[1]ana!$B90=R$4),"ok","nok")</f>
        <v>nok</v>
      </c>
      <c r="S93" s="84" t="str">
        <f>IF(AND($B93=[1]ana!$A90,[1]ana!$B90=S$4),"ok","nok")</f>
        <v>nok</v>
      </c>
      <c r="T93" s="84" t="str">
        <f>IF(AND($B93=[1]ana!$A90,[1]ana!$B90=T$4),"ok","nok")</f>
        <v>nok</v>
      </c>
      <c r="U93" s="84" t="str">
        <f>IF(AND($B93=[1]ana!$A90,[1]ana!$B90=U$4),"ok","nok")</f>
        <v>nok</v>
      </c>
      <c r="V93" s="84" t="str">
        <f>IF(AND($B93=[1]ana!$A90,[1]ana!$B90=V$4),"ok","nok")</f>
        <v>nok</v>
      </c>
      <c r="W93" s="84" t="str">
        <f>IF(AND($B93=[1]ana!$A90,[1]ana!$B90=W$4),"ok","nok")</f>
        <v>nok</v>
      </c>
      <c r="X93" s="84" t="str">
        <f>IF(AND($B93=[1]ana!$A90,[1]ana!$B90=X$4),"ok","nok")</f>
        <v>nok</v>
      </c>
      <c r="Y93" s="85" t="s">
        <v>35</v>
      </c>
      <c r="Z93" s="86"/>
      <c r="AA93" s="86"/>
      <c r="AB93" s="87"/>
      <c r="AC93" s="60" t="str">
        <f t="shared" si="19"/>
        <v/>
      </c>
      <c r="AD93" s="60"/>
      <c r="AE93" s="60"/>
      <c r="AF93" s="60"/>
      <c r="AG93" s="61">
        <f t="shared" si="20"/>
        <v>0</v>
      </c>
      <c r="AH93" s="61" t="str">
        <f t="shared" si="21"/>
        <v/>
      </c>
      <c r="AI93" s="61">
        <f t="shared" si="22"/>
        <v>1</v>
      </c>
      <c r="AJ93" s="61" t="str">
        <f t="shared" si="23"/>
        <v>EFPRAZO</v>
      </c>
      <c r="AK93" s="61">
        <f t="shared" si="24"/>
        <v>0</v>
      </c>
      <c r="AL93" s="61" t="str">
        <f t="shared" si="25"/>
        <v/>
      </c>
      <c r="AM93" s="61">
        <f t="shared" si="26"/>
        <v>0</v>
      </c>
      <c r="AN93" s="61" t="str">
        <f t="shared" si="27"/>
        <v/>
      </c>
      <c r="AO93" s="61">
        <f t="shared" si="28"/>
        <v>0</v>
      </c>
      <c r="AP93" s="61" t="str">
        <f t="shared" si="29"/>
        <v/>
      </c>
      <c r="AQ93" s="4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</row>
    <row r="94" spans="1:62" ht="30" customHeight="1" x14ac:dyDescent="0.35">
      <c r="A94" s="26" t="str">
        <f t="shared" si="30"/>
        <v>PT165 - ESTUDO DE ENGENHARIA DO GALPÃO INDUSTRIAL G2 (Duque de Caxias)
FASE 2 - SIMULAÇÕES COMPUTACIONAIS
MODELAGEM DO GALPÃO
GALPÃO EXISTENTE (CENÁRIO 1)</v>
      </c>
      <c r="B94" s="53" t="s">
        <v>45</v>
      </c>
      <c r="C94" s="84" t="str">
        <f>IF(AND($B94=[1]ana!$A91,[1]ana!$B91=C$4),"ok","nok")</f>
        <v>nok</v>
      </c>
      <c r="D94" s="84" t="str">
        <f>IF(AND($B94=[1]ana!$A91,[1]ana!$B91=D$4),"ok","nok")</f>
        <v>nok</v>
      </c>
      <c r="E94" s="84" t="str">
        <f>IF(AND($B94=[1]ana!$A91,[1]ana!$B91=E$4),"ok","nok")</f>
        <v>nok</v>
      </c>
      <c r="F94" s="84" t="str">
        <f>IF(AND($B94=[1]ana!$A91,[1]ana!$B91=F$4),"ok","nok")</f>
        <v>nok</v>
      </c>
      <c r="G94" s="84" t="str">
        <f>IF(AND($B94=[1]ana!$A91,[1]ana!$B91=G$4),"ok","nok")</f>
        <v>nok</v>
      </c>
      <c r="H94" s="84" t="str">
        <f>IF(AND($B94=[1]ana!$A91,[1]ana!$B91=H$4),"ok","nok")</f>
        <v>nok</v>
      </c>
      <c r="I94" s="84" t="str">
        <f>IF(AND($B94=[1]ana!$A91,[1]ana!$B91=I$4),"ok","nok")</f>
        <v>nok</v>
      </c>
      <c r="J94" s="84" t="str">
        <f>IF(AND($B94=[1]ana!$A91,[1]ana!$B91=J$4),"ok","nok")</f>
        <v>ok</v>
      </c>
      <c r="K94" s="84" t="str">
        <f>IF(AND($B94=[1]ana!$A91,[1]ana!$B91=K$4),"ok","nok")</f>
        <v>nok</v>
      </c>
      <c r="L94" s="84" t="str">
        <f>IF(AND($B94=[1]ana!$A91,[1]ana!$B91=L$4),"ok","nok")</f>
        <v>nok</v>
      </c>
      <c r="M94" s="84" t="str">
        <f>IF(AND($B94=[1]ana!$A91,[1]ana!$B91=M$4),"ok","nok")</f>
        <v>nok</v>
      </c>
      <c r="N94" s="84" t="str">
        <f>IF(AND($B94=[1]ana!$A91,[1]ana!$B91=N$4),"ok","nok")</f>
        <v>nok</v>
      </c>
      <c r="O94" s="84" t="str">
        <f>IF(AND($B94=[1]ana!$A91,[1]ana!$B91=O$4),"ok","nok")</f>
        <v>nok</v>
      </c>
      <c r="P94" s="84" t="str">
        <f>IF(AND($B94=[1]ana!$A91,[1]ana!$B91=P$4),"ok","nok")</f>
        <v>nok</v>
      </c>
      <c r="Q94" s="84" t="str">
        <f>IF(AND($B94=[1]ana!$A91,[1]ana!$B91=Q$4),"ok","nok")</f>
        <v>nok</v>
      </c>
      <c r="R94" s="84" t="str">
        <f>IF(AND($B94=[1]ana!$A91,[1]ana!$B91=R$4),"ok","nok")</f>
        <v>nok</v>
      </c>
      <c r="S94" s="84" t="str">
        <f>IF(AND($B94=[1]ana!$A91,[1]ana!$B91=S$4),"ok","nok")</f>
        <v>nok</v>
      </c>
      <c r="T94" s="84" t="str">
        <f>IF(AND($B94=[1]ana!$A91,[1]ana!$B91=T$4),"ok","nok")</f>
        <v>nok</v>
      </c>
      <c r="U94" s="84" t="str">
        <f>IF(AND($B94=[1]ana!$A91,[1]ana!$B91=U$4),"ok","nok")</f>
        <v>nok</v>
      </c>
      <c r="V94" s="84" t="str">
        <f>IF(AND($B94=[1]ana!$A91,[1]ana!$B91=V$4),"ok","nok")</f>
        <v>nok</v>
      </c>
      <c r="W94" s="84" t="str">
        <f>IF(AND($B94=[1]ana!$A91,[1]ana!$B91=W$4),"ok","nok")</f>
        <v>nok</v>
      </c>
      <c r="X94" s="84" t="str">
        <f>IF(AND($B94=[1]ana!$A91,[1]ana!$B91=X$4),"ok","nok")</f>
        <v>nok</v>
      </c>
      <c r="Y94" s="85" t="s">
        <v>35</v>
      </c>
      <c r="Z94" s="86"/>
      <c r="AA94" s="86"/>
      <c r="AB94" s="87"/>
      <c r="AC94" s="60" t="str">
        <f t="shared" si="19"/>
        <v/>
      </c>
      <c r="AD94" s="60"/>
      <c r="AE94" s="60"/>
      <c r="AF94" s="60"/>
      <c r="AG94" s="61">
        <f t="shared" si="20"/>
        <v>0</v>
      </c>
      <c r="AH94" s="61" t="str">
        <f t="shared" si="21"/>
        <v/>
      </c>
      <c r="AI94" s="61">
        <f t="shared" si="22"/>
        <v>1</v>
      </c>
      <c r="AJ94" s="61" t="str">
        <f t="shared" si="23"/>
        <v>EFPRAZO</v>
      </c>
      <c r="AK94" s="61">
        <f t="shared" si="24"/>
        <v>0</v>
      </c>
      <c r="AL94" s="61" t="str">
        <f t="shared" si="25"/>
        <v/>
      </c>
      <c r="AM94" s="61">
        <f t="shared" si="26"/>
        <v>0</v>
      </c>
      <c r="AN94" s="61" t="str">
        <f t="shared" si="27"/>
        <v/>
      </c>
      <c r="AO94" s="61">
        <f t="shared" si="28"/>
        <v>0</v>
      </c>
      <c r="AP94" s="61" t="str">
        <f t="shared" si="29"/>
        <v/>
      </c>
    </row>
    <row r="95" spans="1:62" ht="30" customHeight="1" x14ac:dyDescent="0.35">
      <c r="A95" s="66"/>
      <c r="B95" s="55" t="s">
        <v>75</v>
      </c>
      <c r="C95" s="55"/>
      <c r="D95" s="55"/>
      <c r="E95" s="55"/>
      <c r="F95" s="55"/>
      <c r="G95" s="55"/>
      <c r="H95" s="55"/>
      <c r="I95" s="55"/>
      <c r="J95" s="55"/>
      <c r="K95" s="55"/>
      <c r="L95" s="55"/>
      <c r="M95" s="55"/>
      <c r="N95" s="55"/>
      <c r="O95" s="55"/>
      <c r="P95" s="55"/>
      <c r="Q95" s="55"/>
      <c r="R95" s="55"/>
      <c r="S95" s="55"/>
      <c r="T95" s="55"/>
      <c r="U95" s="55"/>
      <c r="V95" s="55"/>
      <c r="W95" s="55"/>
      <c r="X95" s="55"/>
      <c r="Y95" s="131"/>
      <c r="Z95" s="132"/>
      <c r="AA95" s="132"/>
      <c r="AB95" s="133"/>
      <c r="AC95" s="60" t="str">
        <f t="shared" si="19"/>
        <v/>
      </c>
      <c r="AD95" s="60"/>
      <c r="AE95" s="60"/>
      <c r="AF95" s="60"/>
      <c r="AG95" s="61">
        <f t="shared" si="20"/>
        <v>0</v>
      </c>
      <c r="AH95" s="61" t="str">
        <f t="shared" si="21"/>
        <v/>
      </c>
      <c r="AI95" s="61">
        <f t="shared" si="22"/>
        <v>0</v>
      </c>
      <c r="AJ95" s="61" t="str">
        <f t="shared" si="23"/>
        <v/>
      </c>
      <c r="AK95" s="61">
        <f t="shared" si="24"/>
        <v>0</v>
      </c>
      <c r="AL95" s="61" t="str">
        <f t="shared" si="25"/>
        <v/>
      </c>
      <c r="AM95" s="61">
        <f t="shared" si="26"/>
        <v>0</v>
      </c>
      <c r="AN95" s="61" t="str">
        <f t="shared" si="27"/>
        <v/>
      </c>
      <c r="AO95" s="61">
        <f t="shared" si="28"/>
        <v>0</v>
      </c>
      <c r="AP95" s="61" t="str">
        <f t="shared" si="29"/>
        <v/>
      </c>
    </row>
    <row r="96" spans="1:62" ht="30" customHeight="1" x14ac:dyDescent="0.35">
      <c r="A96" s="66"/>
      <c r="B96" s="52" t="s">
        <v>76</v>
      </c>
      <c r="C96" s="52"/>
      <c r="D96" s="52"/>
      <c r="E96" s="52"/>
      <c r="F96" s="52"/>
      <c r="G96" s="52"/>
      <c r="H96" s="52"/>
      <c r="I96" s="52"/>
      <c r="J96" s="52"/>
      <c r="K96" s="52"/>
      <c r="L96" s="52"/>
      <c r="M96" s="52"/>
      <c r="N96" s="52"/>
      <c r="O96" s="52"/>
      <c r="P96" s="52"/>
      <c r="Q96" s="52"/>
      <c r="R96" s="52"/>
      <c r="S96" s="52"/>
      <c r="T96" s="52"/>
      <c r="U96" s="52"/>
      <c r="V96" s="52"/>
      <c r="W96" s="52"/>
      <c r="X96" s="52"/>
      <c r="Y96" s="88"/>
      <c r="Z96" s="89"/>
      <c r="AA96" s="89"/>
      <c r="AB96" s="90"/>
      <c r="AC96" s="60" t="str">
        <f t="shared" si="19"/>
        <v/>
      </c>
      <c r="AD96" s="60"/>
      <c r="AE96" s="60"/>
      <c r="AF96" s="60"/>
      <c r="AG96" s="61">
        <f t="shared" si="20"/>
        <v>0</v>
      </c>
      <c r="AH96" s="61" t="str">
        <f t="shared" si="21"/>
        <v/>
      </c>
      <c r="AI96" s="61">
        <f t="shared" si="22"/>
        <v>0</v>
      </c>
      <c r="AJ96" s="61" t="str">
        <f t="shared" si="23"/>
        <v/>
      </c>
      <c r="AK96" s="61">
        <f t="shared" si="24"/>
        <v>0</v>
      </c>
      <c r="AL96" s="61" t="str">
        <f t="shared" si="25"/>
        <v/>
      </c>
      <c r="AM96" s="61">
        <f t="shared" si="26"/>
        <v>0</v>
      </c>
      <c r="AN96" s="61" t="str">
        <f t="shared" si="27"/>
        <v/>
      </c>
      <c r="AO96" s="61">
        <f t="shared" si="28"/>
        <v>0</v>
      </c>
      <c r="AP96" s="61" t="str">
        <f t="shared" si="29"/>
        <v/>
      </c>
    </row>
    <row r="97" spans="1:42" ht="30" customHeight="1" x14ac:dyDescent="0.35">
      <c r="A97" s="26" t="str">
        <f>CONCATENATE($B$81,"
",$B$88,"
",$B$95,"
",$B$96)</f>
        <v>PT165 - ESTUDO DE ENGENHARIA DO GALPÃO INDUSTRIAL G2 (Duque de Caxias)
FASE 2 - SIMULAÇÕES COMPUTACIONAIS
ANÁLISES ESTRUTURAIS E GEOTÉCNICAS DO GALPÃO
MARCO - RELATÓRIO TÉCNICO (CENÁRIO 1 - CIVIL)</v>
      </c>
      <c r="B97" s="53" t="s">
        <v>45</v>
      </c>
      <c r="C97" s="84" t="str">
        <f>IF(AND($B97=[1]ana!$A94,[1]ana!$B94=C$4),"ok","nok")</f>
        <v>nok</v>
      </c>
      <c r="D97" s="84" t="str">
        <f>IF(AND($B97=[1]ana!$A94,[1]ana!$B94=D$4),"ok","nok")</f>
        <v>ok</v>
      </c>
      <c r="E97" s="84" t="str">
        <f>IF(AND($B97=[1]ana!$A94,[1]ana!$B94=E$4),"ok","nok")</f>
        <v>nok</v>
      </c>
      <c r="F97" s="84" t="str">
        <f>IF(AND($B97=[1]ana!$A94,[1]ana!$B94=F$4),"ok","nok")</f>
        <v>nok</v>
      </c>
      <c r="G97" s="84" t="str">
        <f>IF(AND($B97=[1]ana!$A94,[1]ana!$B94=G$4),"ok","nok")</f>
        <v>nok</v>
      </c>
      <c r="H97" s="84" t="str">
        <f>IF(AND($B97=[1]ana!$A94,[1]ana!$B94=H$4),"ok","nok")</f>
        <v>nok</v>
      </c>
      <c r="I97" s="84" t="str">
        <f>IF(AND($B97=[1]ana!$A94,[1]ana!$B94=I$4),"ok","nok")</f>
        <v>nok</v>
      </c>
      <c r="J97" s="84" t="str">
        <f>IF(AND($B97=[1]ana!$A94,[1]ana!$B94=J$4),"ok","nok")</f>
        <v>nok</v>
      </c>
      <c r="K97" s="84" t="str">
        <f>IF(AND($B97=[1]ana!$A94,[1]ana!$B94=K$4),"ok","nok")</f>
        <v>nok</v>
      </c>
      <c r="L97" s="84" t="str">
        <f>IF(AND($B97=[1]ana!$A94,[1]ana!$B94=L$4),"ok","nok")</f>
        <v>nok</v>
      </c>
      <c r="M97" s="84" t="str">
        <f>IF(AND($B97=[1]ana!$A94,[1]ana!$B94=M$4),"ok","nok")</f>
        <v>nok</v>
      </c>
      <c r="N97" s="84" t="str">
        <f>IF(AND($B97=[1]ana!$A94,[1]ana!$B94=N$4),"ok","nok")</f>
        <v>nok</v>
      </c>
      <c r="O97" s="84" t="str">
        <f>IF(AND($B97=[1]ana!$A94,[1]ana!$B94=O$4),"ok","nok")</f>
        <v>nok</v>
      </c>
      <c r="P97" s="84" t="str">
        <f>IF(AND($B97=[1]ana!$A94,[1]ana!$B94=P$4),"ok","nok")</f>
        <v>nok</v>
      </c>
      <c r="Q97" s="84" t="str">
        <f>IF(AND($B97=[1]ana!$A94,[1]ana!$B94=Q$4),"ok","nok")</f>
        <v>nok</v>
      </c>
      <c r="R97" s="84" t="str">
        <f>IF(AND($B97=[1]ana!$A94,[1]ana!$B94=R$4),"ok","nok")</f>
        <v>nok</v>
      </c>
      <c r="S97" s="84" t="str">
        <f>IF(AND($B97=[1]ana!$A94,[1]ana!$B94=S$4),"ok","nok")</f>
        <v>nok</v>
      </c>
      <c r="T97" s="84" t="str">
        <f>IF(AND($B97=[1]ana!$A94,[1]ana!$B94=T$4),"ok","nok")</f>
        <v>nok</v>
      </c>
      <c r="U97" s="84" t="str">
        <f>IF(AND($B97=[1]ana!$A94,[1]ana!$B94=U$4),"ok","nok")</f>
        <v>nok</v>
      </c>
      <c r="V97" s="84" t="str">
        <f>IF(AND($B97=[1]ana!$A94,[1]ana!$B94=V$4),"ok","nok")</f>
        <v>nok</v>
      </c>
      <c r="W97" s="84" t="str">
        <f>IF(AND($B97=[1]ana!$A94,[1]ana!$B94=W$4),"ok","nok")</f>
        <v>nok</v>
      </c>
      <c r="X97" s="84" t="str">
        <f>IF(AND($B97=[1]ana!$A94,[1]ana!$B94=X$4),"ok","nok")</f>
        <v>nok</v>
      </c>
      <c r="Y97" s="85" t="s">
        <v>2</v>
      </c>
      <c r="Z97" s="86"/>
      <c r="AA97" s="86"/>
      <c r="AB97" s="87"/>
      <c r="AC97" s="60" t="str">
        <f t="shared" si="19"/>
        <v/>
      </c>
      <c r="AD97" s="60"/>
      <c r="AE97" s="60"/>
      <c r="AF97" s="60"/>
      <c r="AG97" s="61">
        <f t="shared" si="20"/>
        <v>1</v>
      </c>
      <c r="AH97" s="61" t="str">
        <f t="shared" si="21"/>
        <v>ENTREGUE</v>
      </c>
      <c r="AI97" s="61">
        <f t="shared" si="22"/>
        <v>0</v>
      </c>
      <c r="AJ97" s="61" t="str">
        <f t="shared" si="23"/>
        <v/>
      </c>
      <c r="AK97" s="61">
        <f t="shared" si="24"/>
        <v>0</v>
      </c>
      <c r="AL97" s="61" t="str">
        <f t="shared" si="25"/>
        <v/>
      </c>
      <c r="AM97" s="61">
        <f t="shared" si="26"/>
        <v>0</v>
      </c>
      <c r="AN97" s="61" t="str">
        <f t="shared" si="27"/>
        <v/>
      </c>
      <c r="AO97" s="61">
        <f t="shared" si="28"/>
        <v>0</v>
      </c>
      <c r="AP97" s="61" t="str">
        <f t="shared" si="29"/>
        <v/>
      </c>
    </row>
    <row r="98" spans="1:42" ht="30" customHeight="1" x14ac:dyDescent="0.35">
      <c r="B98" s="54" t="s">
        <v>77</v>
      </c>
      <c r="C98" s="54"/>
      <c r="D98" s="54"/>
      <c r="E98" s="54"/>
      <c r="F98" s="54"/>
      <c r="G98" s="54"/>
      <c r="H98" s="54"/>
      <c r="I98" s="54"/>
      <c r="J98" s="54"/>
      <c r="K98" s="54"/>
      <c r="L98" s="54"/>
      <c r="M98" s="54"/>
      <c r="N98" s="54"/>
      <c r="O98" s="54"/>
      <c r="P98" s="54"/>
      <c r="Q98" s="54"/>
      <c r="R98" s="54"/>
      <c r="S98" s="54"/>
      <c r="T98" s="54"/>
      <c r="U98" s="54"/>
      <c r="V98" s="54"/>
      <c r="W98" s="54"/>
      <c r="X98" s="54"/>
      <c r="Y98" s="91"/>
      <c r="Z98" s="92"/>
      <c r="AA98" s="92"/>
      <c r="AB98" s="93"/>
      <c r="AC98" s="60" t="str">
        <f t="shared" si="19"/>
        <v/>
      </c>
      <c r="AD98" s="60"/>
      <c r="AE98" s="60"/>
      <c r="AF98" s="60"/>
      <c r="AG98" s="61">
        <f t="shared" si="20"/>
        <v>0</v>
      </c>
      <c r="AH98" s="61" t="str">
        <f t="shared" si="21"/>
        <v/>
      </c>
      <c r="AI98" s="61">
        <f t="shared" si="22"/>
        <v>0</v>
      </c>
      <c r="AJ98" s="61" t="str">
        <f t="shared" si="23"/>
        <v/>
      </c>
      <c r="AK98" s="61">
        <f t="shared" si="24"/>
        <v>0</v>
      </c>
      <c r="AL98" s="61" t="str">
        <f t="shared" si="25"/>
        <v/>
      </c>
      <c r="AM98" s="61">
        <f t="shared" si="26"/>
        <v>0</v>
      </c>
      <c r="AN98" s="61" t="str">
        <f t="shared" si="27"/>
        <v/>
      </c>
      <c r="AO98" s="61">
        <f t="shared" si="28"/>
        <v>0</v>
      </c>
      <c r="AP98" s="61" t="str">
        <f t="shared" si="29"/>
        <v/>
      </c>
    </row>
    <row r="99" spans="1:42" ht="30" customHeight="1" x14ac:dyDescent="0.35">
      <c r="B99" s="55" t="s">
        <v>78</v>
      </c>
      <c r="C99" s="55"/>
      <c r="D99" s="55"/>
      <c r="E99" s="55"/>
      <c r="F99" s="55"/>
      <c r="G99" s="55"/>
      <c r="H99" s="55"/>
      <c r="I99" s="55"/>
      <c r="J99" s="55"/>
      <c r="K99" s="55"/>
      <c r="L99" s="55"/>
      <c r="M99" s="55"/>
      <c r="N99" s="55"/>
      <c r="O99" s="55"/>
      <c r="P99" s="55"/>
      <c r="Q99" s="55"/>
      <c r="R99" s="55"/>
      <c r="S99" s="55"/>
      <c r="T99" s="55"/>
      <c r="U99" s="55"/>
      <c r="V99" s="55"/>
      <c r="W99" s="55"/>
      <c r="X99" s="55"/>
      <c r="Y99" s="131"/>
      <c r="Z99" s="132"/>
      <c r="AA99" s="132"/>
      <c r="AB99" s="133"/>
      <c r="AC99" s="60" t="str">
        <f t="shared" si="19"/>
        <v/>
      </c>
      <c r="AD99" s="60"/>
      <c r="AE99" s="60"/>
      <c r="AF99" s="60"/>
      <c r="AG99" s="61">
        <f t="shared" si="20"/>
        <v>0</v>
      </c>
      <c r="AH99" s="61" t="str">
        <f t="shared" si="21"/>
        <v/>
      </c>
      <c r="AI99" s="61">
        <f t="shared" si="22"/>
        <v>0</v>
      </c>
      <c r="AJ99" s="61" t="str">
        <f t="shared" si="23"/>
        <v/>
      </c>
      <c r="AK99" s="61">
        <f t="shared" si="24"/>
        <v>0</v>
      </c>
      <c r="AL99" s="61" t="str">
        <f t="shared" si="25"/>
        <v/>
      </c>
      <c r="AM99" s="61">
        <f t="shared" si="26"/>
        <v>0</v>
      </c>
      <c r="AN99" s="61" t="str">
        <f t="shared" si="27"/>
        <v/>
      </c>
      <c r="AO99" s="61">
        <f t="shared" si="28"/>
        <v>0</v>
      </c>
      <c r="AP99" s="61" t="str">
        <f t="shared" si="29"/>
        <v/>
      </c>
    </row>
    <row r="100" spans="1:42" ht="30" customHeight="1" x14ac:dyDescent="0.35">
      <c r="B100" s="52" t="s">
        <v>83</v>
      </c>
      <c r="C100" s="52"/>
      <c r="D100" s="52"/>
      <c r="E100" s="52"/>
      <c r="F100" s="52"/>
      <c r="G100" s="52"/>
      <c r="H100" s="52"/>
      <c r="I100" s="52"/>
      <c r="J100" s="52"/>
      <c r="K100" s="52"/>
      <c r="L100" s="52"/>
      <c r="M100" s="52"/>
      <c r="N100" s="52"/>
      <c r="O100" s="52"/>
      <c r="P100" s="52"/>
      <c r="Q100" s="52"/>
      <c r="R100" s="52"/>
      <c r="S100" s="52"/>
      <c r="T100" s="52"/>
      <c r="U100" s="52"/>
      <c r="V100" s="52"/>
      <c r="W100" s="52"/>
      <c r="X100" s="52"/>
      <c r="Y100" s="88"/>
      <c r="Z100" s="89"/>
      <c r="AA100" s="89"/>
      <c r="AB100" s="90"/>
      <c r="AC100" s="60" t="str">
        <f t="shared" si="19"/>
        <v/>
      </c>
      <c r="AD100" s="60"/>
      <c r="AE100" s="60"/>
      <c r="AF100" s="60"/>
      <c r="AG100" s="61">
        <f t="shared" si="20"/>
        <v>0</v>
      </c>
      <c r="AH100" s="61" t="str">
        <f t="shared" si="21"/>
        <v/>
      </c>
      <c r="AI100" s="61">
        <f t="shared" si="22"/>
        <v>0</v>
      </c>
      <c r="AJ100" s="61" t="str">
        <f t="shared" si="23"/>
        <v/>
      </c>
      <c r="AK100" s="61">
        <f t="shared" si="24"/>
        <v>0</v>
      </c>
      <c r="AL100" s="61" t="str">
        <f t="shared" si="25"/>
        <v/>
      </c>
      <c r="AM100" s="61">
        <f t="shared" si="26"/>
        <v>0</v>
      </c>
      <c r="AN100" s="61" t="str">
        <f t="shared" si="27"/>
        <v/>
      </c>
      <c r="AO100" s="61">
        <f t="shared" si="28"/>
        <v>0</v>
      </c>
      <c r="AP100" s="61" t="str">
        <f t="shared" si="29"/>
        <v/>
      </c>
    </row>
    <row r="101" spans="1:42" ht="30" customHeight="1" x14ac:dyDescent="0.35">
      <c r="A101" s="26" t="str">
        <f>CONCATENATE($B$81,"
",$B$98,"
",$B$99,"
",$B$100)</f>
        <v>PT165 - ESTUDO DE ENGENHARIA DO GALPÃO INDUSTRIAL G2 (Duque de Caxias)
FASE 3 - ESTUDO DE VIABILIDADE
MODELAGEM DO NOVO GALPÃO (CENÁRIO 2)
MARCO - MEMÓRIA DE CÁLCULO (CENÁRIO 2 - ESTR. METÁLICA)</v>
      </c>
      <c r="B101" s="53" t="s">
        <v>43</v>
      </c>
      <c r="C101" s="84" t="str">
        <f>IF(AND($B101=[1]ana!$A98,[1]ana!$B98=C$4),"ok","nok")</f>
        <v>nok</v>
      </c>
      <c r="D101" s="84" t="str">
        <f>IF(AND($B101=[1]ana!$A98,[1]ana!$B98=D$4),"ok","nok")</f>
        <v>nok</v>
      </c>
      <c r="E101" s="84" t="str">
        <f>IF(AND($B101=[1]ana!$A98,[1]ana!$B98=E$4),"ok","nok")</f>
        <v>nok</v>
      </c>
      <c r="F101" s="84" t="str">
        <f>IF(AND($B101=[1]ana!$A98,[1]ana!$B98=F$4),"ok","nok")</f>
        <v>nok</v>
      </c>
      <c r="G101" s="84" t="str">
        <f>IF(AND($B101=[1]ana!$A98,[1]ana!$B98=G$4),"ok","nok")</f>
        <v>ok</v>
      </c>
      <c r="H101" s="84" t="str">
        <f>IF(AND($B101=[1]ana!$A98,[1]ana!$B98=H$4),"ok","nok")</f>
        <v>nok</v>
      </c>
      <c r="I101" s="84" t="str">
        <f>IF(AND($B101=[1]ana!$A98,[1]ana!$B98=I$4),"ok","nok")</f>
        <v>nok</v>
      </c>
      <c r="J101" s="84" t="str">
        <f>IF(AND($B101=[1]ana!$A98,[1]ana!$B98=J$4),"ok","nok")</f>
        <v>nok</v>
      </c>
      <c r="K101" s="84" t="str">
        <f>IF(AND($B101=[1]ana!$A98,[1]ana!$B98=K$4),"ok","nok")</f>
        <v>nok</v>
      </c>
      <c r="L101" s="84" t="str">
        <f>IF(AND($B101=[1]ana!$A98,[1]ana!$B98=L$4),"ok","nok")</f>
        <v>nok</v>
      </c>
      <c r="M101" s="84" t="str">
        <f>IF(AND($B101=[1]ana!$A98,[1]ana!$B98=M$4),"ok","nok")</f>
        <v>nok</v>
      </c>
      <c r="N101" s="84" t="str">
        <f>IF(AND($B101=[1]ana!$A98,[1]ana!$B98=N$4),"ok","nok")</f>
        <v>nok</v>
      </c>
      <c r="O101" s="84" t="str">
        <f>IF(AND($B101=[1]ana!$A98,[1]ana!$B98=O$4),"ok","nok")</f>
        <v>nok</v>
      </c>
      <c r="P101" s="84" t="str">
        <f>IF(AND($B101=[1]ana!$A98,[1]ana!$B98=P$4),"ok","nok")</f>
        <v>nok</v>
      </c>
      <c r="Q101" s="84" t="str">
        <f>IF(AND($B101=[1]ana!$A98,[1]ana!$B98=Q$4),"ok","nok")</f>
        <v>nok</v>
      </c>
      <c r="R101" s="84" t="str">
        <f>IF(AND($B101=[1]ana!$A98,[1]ana!$B98=R$4),"ok","nok")</f>
        <v>nok</v>
      </c>
      <c r="S101" s="84" t="str">
        <f>IF(AND($B101=[1]ana!$A98,[1]ana!$B98=S$4),"ok","nok")</f>
        <v>nok</v>
      </c>
      <c r="T101" s="84" t="str">
        <f>IF(AND($B101=[1]ana!$A98,[1]ana!$B98=T$4),"ok","nok")</f>
        <v>nok</v>
      </c>
      <c r="U101" s="84" t="str">
        <f>IF(AND($B101=[1]ana!$A98,[1]ana!$B98=U$4),"ok","nok")</f>
        <v>nok</v>
      </c>
      <c r="V101" s="84" t="str">
        <f>IF(AND($B101=[1]ana!$A98,[1]ana!$B98=V$4),"ok","nok")</f>
        <v>nok</v>
      </c>
      <c r="W101" s="84" t="str">
        <f>IF(AND($B101=[1]ana!$A98,[1]ana!$B98=W$4),"ok","nok")</f>
        <v>nok</v>
      </c>
      <c r="X101" s="84" t="str">
        <f>IF(AND($B101=[1]ana!$A98,[1]ana!$B98=X$4),"ok","nok")</f>
        <v>nok</v>
      </c>
      <c r="Y101" s="85" t="s">
        <v>2</v>
      </c>
      <c r="Z101" s="86"/>
      <c r="AA101" s="86"/>
      <c r="AB101" s="87"/>
      <c r="AC101" s="60" t="str">
        <f t="shared" si="19"/>
        <v/>
      </c>
      <c r="AD101" s="60"/>
      <c r="AE101" s="60"/>
      <c r="AF101" s="60"/>
      <c r="AG101" s="61">
        <f t="shared" si="20"/>
        <v>1</v>
      </c>
      <c r="AH101" s="61" t="str">
        <f t="shared" si="21"/>
        <v>ENTREGUE</v>
      </c>
      <c r="AI101" s="61">
        <f t="shared" si="22"/>
        <v>0</v>
      </c>
      <c r="AJ101" s="61" t="str">
        <f t="shared" si="23"/>
        <v/>
      </c>
      <c r="AK101" s="61">
        <f t="shared" si="24"/>
        <v>0</v>
      </c>
      <c r="AL101" s="61" t="str">
        <f t="shared" si="25"/>
        <v/>
      </c>
      <c r="AM101" s="61">
        <f t="shared" si="26"/>
        <v>0</v>
      </c>
      <c r="AN101" s="61" t="str">
        <f t="shared" si="27"/>
        <v/>
      </c>
      <c r="AO101" s="61">
        <f t="shared" si="28"/>
        <v>0</v>
      </c>
      <c r="AP101" s="61" t="str">
        <f t="shared" si="29"/>
        <v/>
      </c>
    </row>
    <row r="102" spans="1:42" ht="30" customHeight="1" x14ac:dyDescent="0.35">
      <c r="A102" s="26" t="str">
        <f t="shared" ref="A102:A103" si="31">CONCATENATE($B$81,"
",$B$98,"
",$B$99,"
",$B$100)</f>
        <v>PT165 - ESTUDO DE ENGENHARIA DO GALPÃO INDUSTRIAL G2 (Duque de Caxias)
FASE 3 - ESTUDO DE VIABILIDADE
MODELAGEM DO NOVO GALPÃO (CENÁRIO 2)
MARCO - MEMÓRIA DE CÁLCULO (CENÁRIO 2 - ESTR. METÁLICA)</v>
      </c>
      <c r="B102" s="53" t="s">
        <v>44</v>
      </c>
      <c r="C102" s="84" t="str">
        <f>IF(AND($B102=[1]ana!$A99,[1]ana!$B99=C$4),"ok","nok")</f>
        <v>nok</v>
      </c>
      <c r="D102" s="84" t="str">
        <f>IF(AND($B102=[1]ana!$A99,[1]ana!$B99=D$4),"ok","nok")</f>
        <v>nok</v>
      </c>
      <c r="E102" s="84" t="str">
        <f>IF(AND($B102=[1]ana!$A99,[1]ana!$B99=E$4),"ok","nok")</f>
        <v>nok</v>
      </c>
      <c r="F102" s="84" t="str">
        <f>IF(AND($B102=[1]ana!$A99,[1]ana!$B99=F$4),"ok","nok")</f>
        <v>nok</v>
      </c>
      <c r="G102" s="84" t="str">
        <f>IF(AND($B102=[1]ana!$A99,[1]ana!$B99=G$4),"ok","nok")</f>
        <v>nok</v>
      </c>
      <c r="H102" s="84" t="str">
        <f>IF(AND($B102=[1]ana!$A99,[1]ana!$B99=H$4),"ok","nok")</f>
        <v>nok</v>
      </c>
      <c r="I102" s="84" t="str">
        <f>IF(AND($B102=[1]ana!$A99,[1]ana!$B99=I$4),"ok","nok")</f>
        <v>nok</v>
      </c>
      <c r="J102" s="84" t="str">
        <f>IF(AND($B102=[1]ana!$A99,[1]ana!$B99=J$4),"ok","nok")</f>
        <v>ok</v>
      </c>
      <c r="K102" s="84" t="str">
        <f>IF(AND($B102=[1]ana!$A99,[1]ana!$B99=K$4),"ok","nok")</f>
        <v>nok</v>
      </c>
      <c r="L102" s="84" t="str">
        <f>IF(AND($B102=[1]ana!$A99,[1]ana!$B99=L$4),"ok","nok")</f>
        <v>nok</v>
      </c>
      <c r="M102" s="84" t="str">
        <f>IF(AND($B102=[1]ana!$A99,[1]ana!$B99=M$4),"ok","nok")</f>
        <v>nok</v>
      </c>
      <c r="N102" s="84" t="str">
        <f>IF(AND($B102=[1]ana!$A99,[1]ana!$B99=N$4),"ok","nok")</f>
        <v>nok</v>
      </c>
      <c r="O102" s="84" t="str">
        <f>IF(AND($B102=[1]ana!$A99,[1]ana!$B99=O$4),"ok","nok")</f>
        <v>nok</v>
      </c>
      <c r="P102" s="84" t="str">
        <f>IF(AND($B102=[1]ana!$A99,[1]ana!$B99=P$4),"ok","nok")</f>
        <v>nok</v>
      </c>
      <c r="Q102" s="84" t="str">
        <f>IF(AND($B102=[1]ana!$A99,[1]ana!$B99=Q$4),"ok","nok")</f>
        <v>nok</v>
      </c>
      <c r="R102" s="84" t="str">
        <f>IF(AND($B102=[1]ana!$A99,[1]ana!$B99=R$4),"ok","nok")</f>
        <v>nok</v>
      </c>
      <c r="S102" s="84" t="str">
        <f>IF(AND($B102=[1]ana!$A99,[1]ana!$B99=S$4),"ok","nok")</f>
        <v>nok</v>
      </c>
      <c r="T102" s="84" t="str">
        <f>IF(AND($B102=[1]ana!$A99,[1]ana!$B99=T$4),"ok","nok")</f>
        <v>nok</v>
      </c>
      <c r="U102" s="84" t="str">
        <f>IF(AND($B102=[1]ana!$A99,[1]ana!$B99=U$4),"ok","nok")</f>
        <v>nok</v>
      </c>
      <c r="V102" s="84" t="str">
        <f>IF(AND($B102=[1]ana!$A99,[1]ana!$B99=V$4),"ok","nok")</f>
        <v>nok</v>
      </c>
      <c r="W102" s="84" t="str">
        <f>IF(AND($B102=[1]ana!$A99,[1]ana!$B99=W$4),"ok","nok")</f>
        <v>nok</v>
      </c>
      <c r="X102" s="84" t="str">
        <f>IF(AND($B102=[1]ana!$A99,[1]ana!$B99=X$4),"ok","nok")</f>
        <v>nok</v>
      </c>
      <c r="Y102" s="85" t="s">
        <v>2</v>
      </c>
      <c r="Z102" s="86"/>
      <c r="AA102" s="86"/>
      <c r="AB102" s="87"/>
      <c r="AC102" s="60" t="str">
        <f t="shared" si="19"/>
        <v/>
      </c>
      <c r="AD102" s="60"/>
      <c r="AE102" s="60"/>
      <c r="AF102" s="60"/>
      <c r="AG102" s="61">
        <f t="shared" si="20"/>
        <v>0</v>
      </c>
      <c r="AH102" s="61" t="str">
        <f t="shared" si="21"/>
        <v/>
      </c>
      <c r="AI102" s="61">
        <f t="shared" si="22"/>
        <v>1</v>
      </c>
      <c r="AJ102" s="61" t="str">
        <f t="shared" si="23"/>
        <v>ENTREGUE</v>
      </c>
      <c r="AK102" s="61">
        <f t="shared" si="24"/>
        <v>0</v>
      </c>
      <c r="AL102" s="61" t="str">
        <f t="shared" si="25"/>
        <v/>
      </c>
      <c r="AM102" s="61">
        <f t="shared" si="26"/>
        <v>0</v>
      </c>
      <c r="AN102" s="61" t="str">
        <f t="shared" si="27"/>
        <v/>
      </c>
      <c r="AO102" s="61">
        <f t="shared" si="28"/>
        <v>0</v>
      </c>
      <c r="AP102" s="61" t="str">
        <f t="shared" si="29"/>
        <v/>
      </c>
    </row>
    <row r="103" spans="1:42" ht="30" customHeight="1" x14ac:dyDescent="0.35">
      <c r="A103" s="26" t="str">
        <f t="shared" si="31"/>
        <v>PT165 - ESTUDO DE ENGENHARIA DO GALPÃO INDUSTRIAL G2 (Duque de Caxias)
FASE 3 - ESTUDO DE VIABILIDADE
MODELAGEM DO NOVO GALPÃO (CENÁRIO 2)
MARCO - MEMÓRIA DE CÁLCULO (CENÁRIO 2 - ESTR. METÁLICA)</v>
      </c>
      <c r="B103" s="53" t="s">
        <v>45</v>
      </c>
      <c r="C103" s="84" t="str">
        <f>IF(AND($B103=[1]ana!$A100,[1]ana!$B100=C$4),"ok","nok")</f>
        <v>nok</v>
      </c>
      <c r="D103" s="84" t="str">
        <f>IF(AND($B103=[1]ana!$A100,[1]ana!$B100=D$4),"ok","nok")</f>
        <v>nok</v>
      </c>
      <c r="E103" s="84" t="str">
        <f>IF(AND($B103=[1]ana!$A100,[1]ana!$B100=E$4),"ok","nok")</f>
        <v>nok</v>
      </c>
      <c r="F103" s="84" t="str">
        <f>IF(AND($B103=[1]ana!$A100,[1]ana!$B100=F$4),"ok","nok")</f>
        <v>nok</v>
      </c>
      <c r="G103" s="84" t="str">
        <f>IF(AND($B103=[1]ana!$A100,[1]ana!$B100=G$4),"ok","nok")</f>
        <v>nok</v>
      </c>
      <c r="H103" s="84" t="str">
        <f>IF(AND($B103=[1]ana!$A100,[1]ana!$B100=H$4),"ok","nok")</f>
        <v>nok</v>
      </c>
      <c r="I103" s="84" t="str">
        <f>IF(AND($B103=[1]ana!$A100,[1]ana!$B100=I$4),"ok","nok")</f>
        <v>nok</v>
      </c>
      <c r="J103" s="84" t="str">
        <f>IF(AND($B103=[1]ana!$A100,[1]ana!$B100=J$4),"ok","nok")</f>
        <v>ok</v>
      </c>
      <c r="K103" s="84" t="str">
        <f>IF(AND($B103=[1]ana!$A100,[1]ana!$B100=K$4),"ok","nok")</f>
        <v>nok</v>
      </c>
      <c r="L103" s="84" t="str">
        <f>IF(AND($B103=[1]ana!$A100,[1]ana!$B100=L$4),"ok","nok")</f>
        <v>nok</v>
      </c>
      <c r="M103" s="84" t="str">
        <f>IF(AND($B103=[1]ana!$A100,[1]ana!$B100=M$4),"ok","nok")</f>
        <v>nok</v>
      </c>
      <c r="N103" s="84" t="str">
        <f>IF(AND($B103=[1]ana!$A100,[1]ana!$B100=N$4),"ok","nok")</f>
        <v>nok</v>
      </c>
      <c r="O103" s="84" t="str">
        <f>IF(AND($B103=[1]ana!$A100,[1]ana!$B100=O$4),"ok","nok")</f>
        <v>nok</v>
      </c>
      <c r="P103" s="84" t="str">
        <f>IF(AND($B103=[1]ana!$A100,[1]ana!$B100=P$4),"ok","nok")</f>
        <v>nok</v>
      </c>
      <c r="Q103" s="84" t="str">
        <f>IF(AND($B103=[1]ana!$A100,[1]ana!$B100=Q$4),"ok","nok")</f>
        <v>nok</v>
      </c>
      <c r="R103" s="84" t="str">
        <f>IF(AND($B103=[1]ana!$A100,[1]ana!$B100=R$4),"ok","nok")</f>
        <v>nok</v>
      </c>
      <c r="S103" s="84" t="str">
        <f>IF(AND($B103=[1]ana!$A100,[1]ana!$B100=S$4),"ok","nok")</f>
        <v>nok</v>
      </c>
      <c r="T103" s="84" t="str">
        <f>IF(AND($B103=[1]ana!$A100,[1]ana!$B100=T$4),"ok","nok")</f>
        <v>nok</v>
      </c>
      <c r="U103" s="84" t="str">
        <f>IF(AND($B103=[1]ana!$A100,[1]ana!$B100=U$4),"ok","nok")</f>
        <v>nok</v>
      </c>
      <c r="V103" s="84" t="str">
        <f>IF(AND($B103=[1]ana!$A100,[1]ana!$B100=V$4),"ok","nok")</f>
        <v>nok</v>
      </c>
      <c r="W103" s="84" t="str">
        <f>IF(AND($B103=[1]ana!$A100,[1]ana!$B100=W$4),"ok","nok")</f>
        <v>nok</v>
      </c>
      <c r="X103" s="84" t="str">
        <f>IF(AND($B103=[1]ana!$A100,[1]ana!$B100=X$4),"ok","nok")</f>
        <v>nok</v>
      </c>
      <c r="Y103" s="85" t="s">
        <v>2</v>
      </c>
      <c r="Z103" s="86"/>
      <c r="AA103" s="86"/>
      <c r="AB103" s="87"/>
      <c r="AC103" s="60" t="str">
        <f t="shared" si="19"/>
        <v/>
      </c>
      <c r="AD103" s="60"/>
      <c r="AE103" s="60"/>
      <c r="AF103" s="60"/>
      <c r="AG103" s="61">
        <f t="shared" si="20"/>
        <v>0</v>
      </c>
      <c r="AH103" s="61" t="str">
        <f t="shared" si="21"/>
        <v/>
      </c>
      <c r="AI103" s="61">
        <f t="shared" si="22"/>
        <v>1</v>
      </c>
      <c r="AJ103" s="61" t="str">
        <f t="shared" si="23"/>
        <v>ENTREGUE</v>
      </c>
      <c r="AK103" s="61">
        <f t="shared" si="24"/>
        <v>0</v>
      </c>
      <c r="AL103" s="61" t="str">
        <f t="shared" si="25"/>
        <v/>
      </c>
      <c r="AM103" s="61">
        <f t="shared" si="26"/>
        <v>0</v>
      </c>
      <c r="AN103" s="61" t="str">
        <f t="shared" si="27"/>
        <v/>
      </c>
      <c r="AO103" s="61">
        <f t="shared" si="28"/>
        <v>0</v>
      </c>
      <c r="AP103" s="61" t="str">
        <f t="shared" si="29"/>
        <v/>
      </c>
    </row>
    <row r="104" spans="1:42" ht="30" customHeight="1" x14ac:dyDescent="0.35">
      <c r="B104" s="52" t="s">
        <v>84</v>
      </c>
      <c r="C104" s="52"/>
      <c r="D104" s="52"/>
      <c r="E104" s="52"/>
      <c r="F104" s="52"/>
      <c r="G104" s="52"/>
      <c r="H104" s="52"/>
      <c r="I104" s="52"/>
      <c r="J104" s="52"/>
      <c r="K104" s="52"/>
      <c r="L104" s="52"/>
      <c r="M104" s="52"/>
      <c r="N104" s="52"/>
      <c r="O104" s="52"/>
      <c r="P104" s="52"/>
      <c r="Q104" s="52"/>
      <c r="R104" s="52"/>
      <c r="S104" s="52"/>
      <c r="T104" s="52"/>
      <c r="U104" s="52"/>
      <c r="V104" s="52"/>
      <c r="W104" s="52"/>
      <c r="X104" s="52"/>
      <c r="Y104" s="88"/>
      <c r="Z104" s="89"/>
      <c r="AA104" s="89"/>
      <c r="AB104" s="90"/>
      <c r="AC104" s="60" t="str">
        <f t="shared" si="19"/>
        <v/>
      </c>
      <c r="AD104" s="60"/>
      <c r="AE104" s="60"/>
      <c r="AF104" s="60"/>
      <c r="AG104" s="61">
        <f t="shared" si="20"/>
        <v>0</v>
      </c>
      <c r="AH104" s="61" t="str">
        <f t="shared" si="21"/>
        <v/>
      </c>
      <c r="AI104" s="61">
        <f t="shared" si="22"/>
        <v>0</v>
      </c>
      <c r="AJ104" s="61" t="str">
        <f t="shared" si="23"/>
        <v/>
      </c>
      <c r="AK104" s="61">
        <f t="shared" si="24"/>
        <v>0</v>
      </c>
      <c r="AL104" s="61" t="str">
        <f t="shared" si="25"/>
        <v/>
      </c>
      <c r="AM104" s="61">
        <f t="shared" si="26"/>
        <v>0</v>
      </c>
      <c r="AN104" s="61" t="str">
        <f t="shared" si="27"/>
        <v/>
      </c>
      <c r="AO104" s="61">
        <f t="shared" si="28"/>
        <v>0</v>
      </c>
      <c r="AP104" s="61" t="str">
        <f t="shared" si="29"/>
        <v/>
      </c>
    </row>
    <row r="105" spans="1:42" ht="30" customHeight="1" x14ac:dyDescent="0.35">
      <c r="A105" s="26" t="str">
        <f>CONCATENATE($B$81,"
",$B$98,"
",$B$99,"
",$B$104)</f>
        <v>PT165 - ESTUDO DE ENGENHARIA DO GALPÃO INDUSTRIAL G2 (Duque de Caxias)
FASE 3 - ESTUDO DE VIABILIDADE
MODELAGEM DO NOVO GALPÃO (CENÁRIO 2)
MARCO - MEMÓRIA DE CÁLCULO (CENÁRIO 2 - CIVIL)</v>
      </c>
      <c r="B105" s="53" t="s">
        <v>19</v>
      </c>
      <c r="C105" s="84" t="str">
        <f>IF(AND($B105=[1]ana!$A102,[1]ana!$B102=C$4),"ok","nok")</f>
        <v>nok</v>
      </c>
      <c r="D105" s="84" t="str">
        <f>IF(AND($B105=[1]ana!$A102,[1]ana!$B102=D$4),"ok","nok")</f>
        <v>ok</v>
      </c>
      <c r="E105" s="84" t="str">
        <f>IF(AND($B105=[1]ana!$A102,[1]ana!$B102=E$4),"ok","nok")</f>
        <v>nok</v>
      </c>
      <c r="F105" s="84" t="str">
        <f>IF(AND($B105=[1]ana!$A102,[1]ana!$B102=F$4),"ok","nok")</f>
        <v>nok</v>
      </c>
      <c r="G105" s="84" t="str">
        <f>IF(AND($B105=[1]ana!$A102,[1]ana!$B102=G$4),"ok","nok")</f>
        <v>nok</v>
      </c>
      <c r="H105" s="84" t="str">
        <f>IF(AND($B105=[1]ana!$A102,[1]ana!$B102=H$4),"ok","nok")</f>
        <v>nok</v>
      </c>
      <c r="I105" s="84" t="str">
        <f>IF(AND($B105=[1]ana!$A102,[1]ana!$B102=I$4),"ok","nok")</f>
        <v>nok</v>
      </c>
      <c r="J105" s="84" t="str">
        <f>IF(AND($B105=[1]ana!$A102,[1]ana!$B102=J$4),"ok","nok")</f>
        <v>nok</v>
      </c>
      <c r="K105" s="84" t="str">
        <f>IF(AND($B105=[1]ana!$A102,[1]ana!$B102=K$4),"ok","nok")</f>
        <v>nok</v>
      </c>
      <c r="L105" s="84" t="str">
        <f>IF(AND($B105=[1]ana!$A102,[1]ana!$B102=L$4),"ok","nok")</f>
        <v>nok</v>
      </c>
      <c r="M105" s="84" t="str">
        <f>IF(AND($B105=[1]ana!$A102,[1]ana!$B102=M$4),"ok","nok")</f>
        <v>nok</v>
      </c>
      <c r="N105" s="84" t="str">
        <f>IF(AND($B105=[1]ana!$A102,[1]ana!$B102=N$4),"ok","nok")</f>
        <v>nok</v>
      </c>
      <c r="O105" s="84" t="str">
        <f>IF(AND($B105=[1]ana!$A102,[1]ana!$B102=O$4),"ok","nok")</f>
        <v>nok</v>
      </c>
      <c r="P105" s="84" t="str">
        <f>IF(AND($B105=[1]ana!$A102,[1]ana!$B102=P$4),"ok","nok")</f>
        <v>nok</v>
      </c>
      <c r="Q105" s="84" t="str">
        <f>IF(AND($B105=[1]ana!$A102,[1]ana!$B102=Q$4),"ok","nok")</f>
        <v>nok</v>
      </c>
      <c r="R105" s="84" t="str">
        <f>IF(AND($B105=[1]ana!$A102,[1]ana!$B102=R$4),"ok","nok")</f>
        <v>nok</v>
      </c>
      <c r="S105" s="84" t="str">
        <f>IF(AND($B105=[1]ana!$A102,[1]ana!$B102=S$4),"ok","nok")</f>
        <v>nok</v>
      </c>
      <c r="T105" s="84" t="str">
        <f>IF(AND($B105=[1]ana!$A102,[1]ana!$B102=T$4),"ok","nok")</f>
        <v>nok</v>
      </c>
      <c r="U105" s="84" t="str">
        <f>IF(AND($B105=[1]ana!$A102,[1]ana!$B102=U$4),"ok","nok")</f>
        <v>nok</v>
      </c>
      <c r="V105" s="84" t="str">
        <f>IF(AND($B105=[1]ana!$A102,[1]ana!$B102=V$4),"ok","nok")</f>
        <v>nok</v>
      </c>
      <c r="W105" s="84" t="str">
        <f>IF(AND($B105=[1]ana!$A102,[1]ana!$B102=W$4),"ok","nok")</f>
        <v>nok</v>
      </c>
      <c r="X105" s="84" t="str">
        <f>IF(AND($B105=[1]ana!$A102,[1]ana!$B102=X$4),"ok","nok")</f>
        <v>nok</v>
      </c>
      <c r="Y105" s="85" t="s">
        <v>2</v>
      </c>
      <c r="Z105" s="86"/>
      <c r="AA105" s="86"/>
      <c r="AB105" s="87"/>
      <c r="AC105" s="60" t="str">
        <f t="shared" si="19"/>
        <v/>
      </c>
      <c r="AD105" s="60"/>
      <c r="AE105" s="60"/>
      <c r="AF105" s="60"/>
      <c r="AG105" s="61">
        <f t="shared" si="20"/>
        <v>1</v>
      </c>
      <c r="AH105" s="61" t="str">
        <f t="shared" si="21"/>
        <v>ENTREGUE</v>
      </c>
      <c r="AI105" s="61">
        <f t="shared" si="22"/>
        <v>0</v>
      </c>
      <c r="AJ105" s="61" t="str">
        <f t="shared" si="23"/>
        <v/>
      </c>
      <c r="AK105" s="61">
        <f t="shared" si="24"/>
        <v>0</v>
      </c>
      <c r="AL105" s="61" t="str">
        <f t="shared" si="25"/>
        <v/>
      </c>
      <c r="AM105" s="61">
        <f t="shared" si="26"/>
        <v>0</v>
      </c>
      <c r="AN105" s="61" t="str">
        <f t="shared" si="27"/>
        <v/>
      </c>
      <c r="AO105" s="61">
        <f t="shared" si="28"/>
        <v>0</v>
      </c>
      <c r="AP105" s="61" t="str">
        <f t="shared" si="29"/>
        <v/>
      </c>
    </row>
    <row r="106" spans="1:42" ht="30" customHeight="1" x14ac:dyDescent="0.35">
      <c r="A106" s="26" t="str">
        <f t="shared" ref="A106:A108" si="32">CONCATENATE($B$81,"
",$B$98,"
",$B$99,"
",$B$104)</f>
        <v>PT165 - ESTUDO DE ENGENHARIA DO GALPÃO INDUSTRIAL G2 (Duque de Caxias)
FASE 3 - ESTUDO DE VIABILIDADE
MODELAGEM DO NOVO GALPÃO (CENÁRIO 2)
MARCO - MEMÓRIA DE CÁLCULO (CENÁRIO 2 - CIVIL)</v>
      </c>
      <c r="B106" s="53" t="s">
        <v>43</v>
      </c>
      <c r="C106" s="84" t="str">
        <f>IF(AND($B106=[1]ana!$A103,[1]ana!$B103=C$4),"ok","nok")</f>
        <v>nok</v>
      </c>
      <c r="D106" s="84" t="str">
        <f>IF(AND($B106=[1]ana!$A103,[1]ana!$B103=D$4),"ok","nok")</f>
        <v>nok</v>
      </c>
      <c r="E106" s="84" t="str">
        <f>IF(AND($B106=[1]ana!$A103,[1]ana!$B103=E$4),"ok","nok")</f>
        <v>nok</v>
      </c>
      <c r="F106" s="84" t="str">
        <f>IF(AND($B106=[1]ana!$A103,[1]ana!$B103=F$4),"ok","nok")</f>
        <v>nok</v>
      </c>
      <c r="G106" s="84" t="str">
        <f>IF(AND($B106=[1]ana!$A103,[1]ana!$B103=G$4),"ok","nok")</f>
        <v>nok</v>
      </c>
      <c r="H106" s="84" t="str">
        <f>IF(AND($B106=[1]ana!$A103,[1]ana!$B103=H$4),"ok","nok")</f>
        <v>nok</v>
      </c>
      <c r="I106" s="84" t="str">
        <f>IF(AND($B106=[1]ana!$A103,[1]ana!$B103=I$4),"ok","nok")</f>
        <v>nok</v>
      </c>
      <c r="J106" s="84" t="str">
        <f>IF(AND($B106=[1]ana!$A103,[1]ana!$B103=J$4),"ok","nok")</f>
        <v>nok</v>
      </c>
      <c r="K106" s="84" t="str">
        <f>IF(AND($B106=[1]ana!$A103,[1]ana!$B103=K$4),"ok","nok")</f>
        <v>ok</v>
      </c>
      <c r="L106" s="84" t="str">
        <f>IF(AND($B106=[1]ana!$A103,[1]ana!$B103=L$4),"ok","nok")</f>
        <v>nok</v>
      </c>
      <c r="M106" s="84" t="str">
        <f>IF(AND($B106=[1]ana!$A103,[1]ana!$B103=M$4),"ok","nok")</f>
        <v>nok</v>
      </c>
      <c r="N106" s="84" t="str">
        <f>IF(AND($B106=[1]ana!$A103,[1]ana!$B103=N$4),"ok","nok")</f>
        <v>nok</v>
      </c>
      <c r="O106" s="84" t="str">
        <f>IF(AND($B106=[1]ana!$A103,[1]ana!$B103=O$4),"ok","nok")</f>
        <v>nok</v>
      </c>
      <c r="P106" s="84" t="str">
        <f>IF(AND($B106=[1]ana!$A103,[1]ana!$B103=P$4),"ok","nok")</f>
        <v>nok</v>
      </c>
      <c r="Q106" s="84" t="str">
        <f>IF(AND($B106=[1]ana!$A103,[1]ana!$B103=Q$4),"ok","nok")</f>
        <v>nok</v>
      </c>
      <c r="R106" s="84" t="str">
        <f>IF(AND($B106=[1]ana!$A103,[1]ana!$B103=R$4),"ok","nok")</f>
        <v>nok</v>
      </c>
      <c r="S106" s="84" t="str">
        <f>IF(AND($B106=[1]ana!$A103,[1]ana!$B103=S$4),"ok","nok")</f>
        <v>nok</v>
      </c>
      <c r="T106" s="84" t="str">
        <f>IF(AND($B106=[1]ana!$A103,[1]ana!$B103=T$4),"ok","nok")</f>
        <v>nok</v>
      </c>
      <c r="U106" s="84" t="str">
        <f>IF(AND($B106=[1]ana!$A103,[1]ana!$B103=U$4),"ok","nok")</f>
        <v>nok</v>
      </c>
      <c r="V106" s="84" t="str">
        <f>IF(AND($B106=[1]ana!$A103,[1]ana!$B103=V$4),"ok","nok")</f>
        <v>nok</v>
      </c>
      <c r="W106" s="84" t="str">
        <f>IF(AND($B106=[1]ana!$A103,[1]ana!$B103=W$4),"ok","nok")</f>
        <v>nok</v>
      </c>
      <c r="X106" s="84" t="str">
        <f>IF(AND($B106=[1]ana!$A103,[1]ana!$B103=X$4),"ok","nok")</f>
        <v>nok</v>
      </c>
      <c r="Y106" s="85" t="s">
        <v>2</v>
      </c>
      <c r="Z106" s="86"/>
      <c r="AA106" s="86"/>
      <c r="AB106" s="87"/>
      <c r="AC106" s="60" t="str">
        <f t="shared" si="19"/>
        <v/>
      </c>
      <c r="AD106" s="60"/>
      <c r="AE106" s="60"/>
      <c r="AF106" s="60"/>
      <c r="AG106" s="61">
        <f t="shared" si="20"/>
        <v>0</v>
      </c>
      <c r="AH106" s="61" t="str">
        <f t="shared" si="21"/>
        <v/>
      </c>
      <c r="AI106" s="61">
        <f t="shared" si="22"/>
        <v>1</v>
      </c>
      <c r="AJ106" s="61" t="str">
        <f t="shared" si="23"/>
        <v>ENTREGUE</v>
      </c>
      <c r="AK106" s="61">
        <f t="shared" si="24"/>
        <v>0</v>
      </c>
      <c r="AL106" s="61" t="str">
        <f t="shared" si="25"/>
        <v/>
      </c>
      <c r="AM106" s="61">
        <f t="shared" si="26"/>
        <v>0</v>
      </c>
      <c r="AN106" s="61" t="str">
        <f t="shared" si="27"/>
        <v/>
      </c>
      <c r="AO106" s="61">
        <f t="shared" si="28"/>
        <v>0</v>
      </c>
      <c r="AP106" s="61" t="str">
        <f t="shared" si="29"/>
        <v/>
      </c>
    </row>
    <row r="107" spans="1:42" ht="30" customHeight="1" x14ac:dyDescent="0.35">
      <c r="A107" s="26" t="str">
        <f t="shared" si="32"/>
        <v>PT165 - ESTUDO DE ENGENHARIA DO GALPÃO INDUSTRIAL G2 (Duque de Caxias)
FASE 3 - ESTUDO DE VIABILIDADE
MODELAGEM DO NOVO GALPÃO (CENÁRIO 2)
MARCO - MEMÓRIA DE CÁLCULO (CENÁRIO 2 - CIVIL)</v>
      </c>
      <c r="B107" s="53" t="s">
        <v>44</v>
      </c>
      <c r="C107" s="84" t="str">
        <f>IF(AND($B107=[1]ana!$A104,[1]ana!$B104=C$4),"ok","nok")</f>
        <v>nok</v>
      </c>
      <c r="D107" s="84" t="str">
        <f>IF(AND($B107=[1]ana!$A104,[1]ana!$B104=D$4),"ok","nok")</f>
        <v>nok</v>
      </c>
      <c r="E107" s="84" t="str">
        <f>IF(AND($B107=[1]ana!$A104,[1]ana!$B104=E$4),"ok","nok")</f>
        <v>nok</v>
      </c>
      <c r="F107" s="84" t="str">
        <f>IF(AND($B107=[1]ana!$A104,[1]ana!$B104=F$4),"ok","nok")</f>
        <v>nok</v>
      </c>
      <c r="G107" s="84" t="str">
        <f>IF(AND($B107=[1]ana!$A104,[1]ana!$B104=G$4),"ok","nok")</f>
        <v>nok</v>
      </c>
      <c r="H107" s="84" t="str">
        <f>IF(AND($B107=[1]ana!$A104,[1]ana!$B104=H$4),"ok","nok")</f>
        <v>nok</v>
      </c>
      <c r="I107" s="84" t="str">
        <f>IF(AND($B107=[1]ana!$A104,[1]ana!$B104=I$4),"ok","nok")</f>
        <v>nok</v>
      </c>
      <c r="J107" s="84" t="str">
        <f>IF(AND($B107=[1]ana!$A104,[1]ana!$B104=J$4),"ok","nok")</f>
        <v>nok</v>
      </c>
      <c r="K107" s="84" t="str">
        <f>IF(AND($B107=[1]ana!$A104,[1]ana!$B104=K$4),"ok","nok")</f>
        <v>nok</v>
      </c>
      <c r="L107" s="84" t="str">
        <f>IF(AND($B107=[1]ana!$A104,[1]ana!$B104=L$4),"ok","nok")</f>
        <v>nok</v>
      </c>
      <c r="M107" s="84" t="str">
        <f>IF(AND($B107=[1]ana!$A104,[1]ana!$B104=M$4),"ok","nok")</f>
        <v>nok</v>
      </c>
      <c r="N107" s="84" t="str">
        <f>IF(AND($B107=[1]ana!$A104,[1]ana!$B104=N$4),"ok","nok")</f>
        <v>ok</v>
      </c>
      <c r="O107" s="84" t="str">
        <f>IF(AND($B107=[1]ana!$A104,[1]ana!$B104=O$4),"ok","nok")</f>
        <v>nok</v>
      </c>
      <c r="P107" s="84" t="str">
        <f>IF(AND($B107=[1]ana!$A104,[1]ana!$B104=P$4),"ok","nok")</f>
        <v>nok</v>
      </c>
      <c r="Q107" s="84" t="str">
        <f>IF(AND($B107=[1]ana!$A104,[1]ana!$B104=Q$4),"ok","nok")</f>
        <v>nok</v>
      </c>
      <c r="R107" s="84" t="str">
        <f>IF(AND($B107=[1]ana!$A104,[1]ana!$B104=R$4),"ok","nok")</f>
        <v>nok</v>
      </c>
      <c r="S107" s="84" t="str">
        <f>IF(AND($B107=[1]ana!$A104,[1]ana!$B104=S$4),"ok","nok")</f>
        <v>nok</v>
      </c>
      <c r="T107" s="84" t="str">
        <f>IF(AND($B107=[1]ana!$A104,[1]ana!$B104=T$4),"ok","nok")</f>
        <v>nok</v>
      </c>
      <c r="U107" s="84" t="str">
        <f>IF(AND($B107=[1]ana!$A104,[1]ana!$B104=U$4),"ok","nok")</f>
        <v>nok</v>
      </c>
      <c r="V107" s="84" t="str">
        <f>IF(AND($B107=[1]ana!$A104,[1]ana!$B104=V$4),"ok","nok")</f>
        <v>nok</v>
      </c>
      <c r="W107" s="84" t="str">
        <f>IF(AND($B107=[1]ana!$A104,[1]ana!$B104=W$4),"ok","nok")</f>
        <v>nok</v>
      </c>
      <c r="X107" s="84" t="str">
        <f>IF(AND($B107=[1]ana!$A104,[1]ana!$B104=X$4),"ok","nok")</f>
        <v>nok</v>
      </c>
      <c r="Y107" s="85" t="s">
        <v>2</v>
      </c>
      <c r="Z107" s="86"/>
      <c r="AA107" s="86"/>
      <c r="AB107" s="87"/>
      <c r="AC107" s="60" t="str">
        <f t="shared" si="19"/>
        <v/>
      </c>
      <c r="AD107" s="60"/>
      <c r="AE107" s="60"/>
      <c r="AF107" s="60"/>
      <c r="AG107" s="61">
        <f t="shared" si="20"/>
        <v>0</v>
      </c>
      <c r="AH107" s="61" t="str">
        <f t="shared" si="21"/>
        <v/>
      </c>
      <c r="AI107" s="61">
        <f t="shared" si="22"/>
        <v>0</v>
      </c>
      <c r="AJ107" s="61" t="str">
        <f t="shared" si="23"/>
        <v/>
      </c>
      <c r="AK107" s="61">
        <f t="shared" si="24"/>
        <v>1</v>
      </c>
      <c r="AL107" s="61" t="str">
        <f t="shared" si="25"/>
        <v>ENTREGUE</v>
      </c>
      <c r="AM107" s="61">
        <f t="shared" si="26"/>
        <v>0</v>
      </c>
      <c r="AN107" s="61" t="str">
        <f t="shared" si="27"/>
        <v/>
      </c>
      <c r="AO107" s="61">
        <f t="shared" si="28"/>
        <v>0</v>
      </c>
      <c r="AP107" s="61" t="str">
        <f t="shared" si="29"/>
        <v/>
      </c>
    </row>
    <row r="108" spans="1:42" ht="30" customHeight="1" x14ac:dyDescent="0.35">
      <c r="A108" s="26" t="str">
        <f t="shared" si="32"/>
        <v>PT165 - ESTUDO DE ENGENHARIA DO GALPÃO INDUSTRIAL G2 (Duque de Caxias)
FASE 3 - ESTUDO DE VIABILIDADE
MODELAGEM DO NOVO GALPÃO (CENÁRIO 2)
MARCO - MEMÓRIA DE CÁLCULO (CENÁRIO 2 - CIVIL)</v>
      </c>
      <c r="B108" s="53" t="s">
        <v>45</v>
      </c>
      <c r="C108" s="84" t="str">
        <f>IF(AND($B108=[1]ana!$A105,[1]ana!$B105=C$4),"ok","nok")</f>
        <v>nok</v>
      </c>
      <c r="D108" s="84" t="str">
        <f>IF(AND($B108=[1]ana!$A105,[1]ana!$B105=D$4),"ok","nok")</f>
        <v>nok</v>
      </c>
      <c r="E108" s="84" t="str">
        <f>IF(AND($B108=[1]ana!$A105,[1]ana!$B105=E$4),"ok","nok")</f>
        <v>nok</v>
      </c>
      <c r="F108" s="84" t="str">
        <f>IF(AND($B108=[1]ana!$A105,[1]ana!$B105=F$4),"ok","nok")</f>
        <v>nok</v>
      </c>
      <c r="G108" s="84" t="str">
        <f>IF(AND($B108=[1]ana!$A105,[1]ana!$B105=G$4),"ok","nok")</f>
        <v>nok</v>
      </c>
      <c r="H108" s="84" t="str">
        <f>IF(AND($B108=[1]ana!$A105,[1]ana!$B105=H$4),"ok","nok")</f>
        <v>nok</v>
      </c>
      <c r="I108" s="84" t="str">
        <f>IF(AND($B108=[1]ana!$A105,[1]ana!$B105=I$4),"ok","nok")</f>
        <v>nok</v>
      </c>
      <c r="J108" s="84" t="str">
        <f>IF(AND($B108=[1]ana!$A105,[1]ana!$B105=J$4),"ok","nok")</f>
        <v>nok</v>
      </c>
      <c r="K108" s="84" t="str">
        <f>IF(AND($B108=[1]ana!$A105,[1]ana!$B105=K$4),"ok","nok")</f>
        <v>nok</v>
      </c>
      <c r="L108" s="84" t="str">
        <f>IF(AND($B108=[1]ana!$A105,[1]ana!$B105=L$4),"ok","nok")</f>
        <v>nok</v>
      </c>
      <c r="M108" s="84" t="str">
        <f>IF(AND($B108=[1]ana!$A105,[1]ana!$B105=M$4),"ok","nok")</f>
        <v>nok</v>
      </c>
      <c r="N108" s="84" t="str">
        <f>IF(AND($B108=[1]ana!$A105,[1]ana!$B105=N$4),"ok","nok")</f>
        <v>ok</v>
      </c>
      <c r="O108" s="84" t="str">
        <f>IF(AND($B108=[1]ana!$A105,[1]ana!$B105=O$4),"ok","nok")</f>
        <v>nok</v>
      </c>
      <c r="P108" s="84" t="str">
        <f>IF(AND($B108=[1]ana!$A105,[1]ana!$B105=P$4),"ok","nok")</f>
        <v>nok</v>
      </c>
      <c r="Q108" s="84" t="str">
        <f>IF(AND($B108=[1]ana!$A105,[1]ana!$B105=Q$4),"ok","nok")</f>
        <v>nok</v>
      </c>
      <c r="R108" s="84" t="str">
        <f>IF(AND($B108=[1]ana!$A105,[1]ana!$B105=R$4),"ok","nok")</f>
        <v>nok</v>
      </c>
      <c r="S108" s="84" t="str">
        <f>IF(AND($B108=[1]ana!$A105,[1]ana!$B105=S$4),"ok","nok")</f>
        <v>nok</v>
      </c>
      <c r="T108" s="84" t="str">
        <f>IF(AND($B108=[1]ana!$A105,[1]ana!$B105=T$4),"ok","nok")</f>
        <v>nok</v>
      </c>
      <c r="U108" s="84" t="str">
        <f>IF(AND($B108=[1]ana!$A105,[1]ana!$B105=U$4),"ok","nok")</f>
        <v>nok</v>
      </c>
      <c r="V108" s="84" t="str">
        <f>IF(AND($B108=[1]ana!$A105,[1]ana!$B105=V$4),"ok","nok")</f>
        <v>nok</v>
      </c>
      <c r="W108" s="84" t="str">
        <f>IF(AND($B108=[1]ana!$A105,[1]ana!$B105=W$4),"ok","nok")</f>
        <v>nok</v>
      </c>
      <c r="X108" s="84" t="str">
        <f>IF(AND($B108=[1]ana!$A105,[1]ana!$B105=X$4),"ok","nok")</f>
        <v>nok</v>
      </c>
      <c r="Y108" s="85" t="s">
        <v>2</v>
      </c>
      <c r="Z108" s="86"/>
      <c r="AA108" s="86"/>
      <c r="AB108" s="87"/>
      <c r="AC108" s="60" t="str">
        <f t="shared" si="19"/>
        <v/>
      </c>
      <c r="AD108" s="60"/>
      <c r="AE108" s="60"/>
      <c r="AF108" s="60"/>
      <c r="AG108" s="61">
        <f t="shared" si="20"/>
        <v>0</v>
      </c>
      <c r="AH108" s="61" t="str">
        <f t="shared" si="21"/>
        <v/>
      </c>
      <c r="AI108" s="61">
        <f t="shared" si="22"/>
        <v>0</v>
      </c>
      <c r="AJ108" s="61" t="str">
        <f t="shared" si="23"/>
        <v/>
      </c>
      <c r="AK108" s="61">
        <f t="shared" si="24"/>
        <v>1</v>
      </c>
      <c r="AL108" s="61" t="str">
        <f t="shared" si="25"/>
        <v>ENTREGUE</v>
      </c>
      <c r="AM108" s="61">
        <f t="shared" si="26"/>
        <v>0</v>
      </c>
      <c r="AN108" s="61" t="str">
        <f t="shared" si="27"/>
        <v/>
      </c>
      <c r="AO108" s="61">
        <f t="shared" si="28"/>
        <v>0</v>
      </c>
      <c r="AP108" s="61" t="str">
        <f t="shared" si="29"/>
        <v/>
      </c>
    </row>
    <row r="109" spans="1:42" ht="30" customHeight="1" x14ac:dyDescent="0.35">
      <c r="A109" s="66"/>
      <c r="B109" s="55" t="s">
        <v>85</v>
      </c>
      <c r="C109" s="55"/>
      <c r="D109" s="55"/>
      <c r="E109" s="55"/>
      <c r="F109" s="55"/>
      <c r="G109" s="55"/>
      <c r="H109" s="55"/>
      <c r="I109" s="55"/>
      <c r="J109" s="55"/>
      <c r="K109" s="55"/>
      <c r="L109" s="55"/>
      <c r="M109" s="55"/>
      <c r="N109" s="55"/>
      <c r="O109" s="55"/>
      <c r="P109" s="55"/>
      <c r="Q109" s="55"/>
      <c r="R109" s="55"/>
      <c r="S109" s="55"/>
      <c r="T109" s="55"/>
      <c r="U109" s="55"/>
      <c r="V109" s="55"/>
      <c r="W109" s="55"/>
      <c r="X109" s="55"/>
      <c r="Y109" s="131"/>
      <c r="Z109" s="132"/>
      <c r="AA109" s="132"/>
      <c r="AB109" s="133"/>
      <c r="AC109" s="60" t="str">
        <f t="shared" si="19"/>
        <v/>
      </c>
      <c r="AD109" s="60"/>
      <c r="AE109" s="60"/>
      <c r="AF109" s="60"/>
      <c r="AG109" s="61">
        <f t="shared" si="20"/>
        <v>0</v>
      </c>
      <c r="AH109" s="61" t="str">
        <f t="shared" si="21"/>
        <v/>
      </c>
      <c r="AI109" s="61">
        <f t="shared" si="22"/>
        <v>0</v>
      </c>
      <c r="AJ109" s="61" t="str">
        <f t="shared" si="23"/>
        <v/>
      </c>
      <c r="AK109" s="61">
        <f t="shared" si="24"/>
        <v>0</v>
      </c>
      <c r="AL109" s="61" t="str">
        <f t="shared" si="25"/>
        <v/>
      </c>
      <c r="AM109" s="61">
        <f t="shared" si="26"/>
        <v>0</v>
      </c>
      <c r="AN109" s="61" t="str">
        <f t="shared" si="27"/>
        <v/>
      </c>
      <c r="AO109" s="61">
        <f t="shared" si="28"/>
        <v>0</v>
      </c>
      <c r="AP109" s="61" t="str">
        <f t="shared" si="29"/>
        <v/>
      </c>
    </row>
    <row r="110" spans="1:42" ht="30" customHeight="1" x14ac:dyDescent="0.35">
      <c r="A110" s="66"/>
      <c r="B110" s="52" t="s">
        <v>86</v>
      </c>
      <c r="C110" s="52"/>
      <c r="D110" s="52"/>
      <c r="E110" s="52"/>
      <c r="F110" s="52"/>
      <c r="G110" s="52"/>
      <c r="H110" s="52"/>
      <c r="I110" s="52"/>
      <c r="J110" s="52"/>
      <c r="K110" s="52"/>
      <c r="L110" s="52"/>
      <c r="M110" s="52"/>
      <c r="N110" s="52"/>
      <c r="O110" s="52"/>
      <c r="P110" s="52"/>
      <c r="Q110" s="52"/>
      <c r="R110" s="52"/>
      <c r="S110" s="52"/>
      <c r="T110" s="52"/>
      <c r="U110" s="52"/>
      <c r="V110" s="52"/>
      <c r="W110" s="52"/>
      <c r="X110" s="52"/>
      <c r="Y110" s="88"/>
      <c r="Z110" s="89"/>
      <c r="AA110" s="89"/>
      <c r="AB110" s="90"/>
      <c r="AC110" s="60" t="str">
        <f t="shared" si="19"/>
        <v/>
      </c>
      <c r="AD110" s="60"/>
      <c r="AE110" s="60"/>
      <c r="AF110" s="60"/>
      <c r="AG110" s="61">
        <f t="shared" si="20"/>
        <v>0</v>
      </c>
      <c r="AH110" s="61" t="str">
        <f t="shared" si="21"/>
        <v/>
      </c>
      <c r="AI110" s="61">
        <f t="shared" si="22"/>
        <v>0</v>
      </c>
      <c r="AJ110" s="61" t="str">
        <f t="shared" si="23"/>
        <v/>
      </c>
      <c r="AK110" s="61">
        <f t="shared" si="24"/>
        <v>0</v>
      </c>
      <c r="AL110" s="61" t="str">
        <f t="shared" si="25"/>
        <v/>
      </c>
      <c r="AM110" s="61">
        <f t="shared" si="26"/>
        <v>0</v>
      </c>
      <c r="AN110" s="61" t="str">
        <f t="shared" si="27"/>
        <v/>
      </c>
      <c r="AO110" s="61">
        <f t="shared" si="28"/>
        <v>0</v>
      </c>
      <c r="AP110" s="61" t="str">
        <f t="shared" si="29"/>
        <v/>
      </c>
    </row>
    <row r="111" spans="1:42" ht="30" customHeight="1" x14ac:dyDescent="0.35">
      <c r="A111" s="26" t="str">
        <f>CONCATENATE($B$81,"
",$B$98,"
",$B$109,"
",$B$110)</f>
        <v>PT165 - ESTUDO DE ENGENHARIA DO GALPÃO INDUSTRIAL G2 (Duque de Caxias)
FASE 3 - ESTUDO DE VIABILIDADE
ELABORAÇÃO DE TRADE-OFF E APRESENTAÇÃO EXECUTIVA DE ALTERNATIVAS
MARCO - LAYOUT GERAL DO CENÁRIO 2</v>
      </c>
      <c r="B111" s="53" t="s">
        <v>45</v>
      </c>
      <c r="C111" s="84" t="str">
        <f>IF(AND($B111=[1]ana!$A108,[1]ana!$B108=C$4),"ok","nok")</f>
        <v>nok</v>
      </c>
      <c r="D111" s="84" t="str">
        <f>IF(AND($B111=[1]ana!$A108,[1]ana!$B108=D$4),"ok","nok")</f>
        <v>ok</v>
      </c>
      <c r="E111" s="84" t="str">
        <f>IF(AND($B111=[1]ana!$A108,[1]ana!$B108=E$4),"ok","nok")</f>
        <v>nok</v>
      </c>
      <c r="F111" s="84" t="str">
        <f>IF(AND($B111=[1]ana!$A108,[1]ana!$B108=F$4),"ok","nok")</f>
        <v>nok</v>
      </c>
      <c r="G111" s="84" t="str">
        <f>IF(AND($B111=[1]ana!$A108,[1]ana!$B108=G$4),"ok","nok")</f>
        <v>nok</v>
      </c>
      <c r="H111" s="84" t="str">
        <f>IF(AND($B111=[1]ana!$A108,[1]ana!$B108=H$4),"ok","nok")</f>
        <v>nok</v>
      </c>
      <c r="I111" s="84" t="str">
        <f>IF(AND($B111=[1]ana!$A108,[1]ana!$B108=I$4),"ok","nok")</f>
        <v>nok</v>
      </c>
      <c r="J111" s="84" t="str">
        <f>IF(AND($B111=[1]ana!$A108,[1]ana!$B108=J$4),"ok","nok")</f>
        <v>nok</v>
      </c>
      <c r="K111" s="84" t="str">
        <f>IF(AND($B111=[1]ana!$A108,[1]ana!$B108=K$4),"ok","nok")</f>
        <v>nok</v>
      </c>
      <c r="L111" s="84" t="str">
        <f>IF(AND($B111=[1]ana!$A108,[1]ana!$B108=L$4),"ok","nok")</f>
        <v>nok</v>
      </c>
      <c r="M111" s="84" t="str">
        <f>IF(AND($B111=[1]ana!$A108,[1]ana!$B108=M$4),"ok","nok")</f>
        <v>nok</v>
      </c>
      <c r="N111" s="84" t="str">
        <f>IF(AND($B111=[1]ana!$A108,[1]ana!$B108=N$4),"ok","nok")</f>
        <v>nok</v>
      </c>
      <c r="O111" s="84" t="str">
        <f>IF(AND($B111=[1]ana!$A108,[1]ana!$B108=O$4),"ok","nok")</f>
        <v>nok</v>
      </c>
      <c r="P111" s="84" t="str">
        <f>IF(AND($B111=[1]ana!$A108,[1]ana!$B108=P$4),"ok","nok")</f>
        <v>nok</v>
      </c>
      <c r="Q111" s="84" t="str">
        <f>IF(AND($B111=[1]ana!$A108,[1]ana!$B108=Q$4),"ok","nok")</f>
        <v>nok</v>
      </c>
      <c r="R111" s="84" t="str">
        <f>IF(AND($B111=[1]ana!$A108,[1]ana!$B108=R$4),"ok","nok")</f>
        <v>nok</v>
      </c>
      <c r="S111" s="84" t="str">
        <f>IF(AND($B111=[1]ana!$A108,[1]ana!$B108=S$4),"ok","nok")</f>
        <v>nok</v>
      </c>
      <c r="T111" s="84" t="str">
        <f>IF(AND($B111=[1]ana!$A108,[1]ana!$B108=T$4),"ok","nok")</f>
        <v>nok</v>
      </c>
      <c r="U111" s="84" t="str">
        <f>IF(AND($B111=[1]ana!$A108,[1]ana!$B108=U$4),"ok","nok")</f>
        <v>nok</v>
      </c>
      <c r="V111" s="84" t="str">
        <f>IF(AND($B111=[1]ana!$A108,[1]ana!$B108=V$4),"ok","nok")</f>
        <v>nok</v>
      </c>
      <c r="W111" s="84" t="str">
        <f>IF(AND($B111=[1]ana!$A108,[1]ana!$B108=W$4),"ok","nok")</f>
        <v>nok</v>
      </c>
      <c r="X111" s="84" t="str">
        <f>IF(AND($B111=[1]ana!$A108,[1]ana!$B108=X$4),"ok","nok")</f>
        <v>nok</v>
      </c>
      <c r="Y111" s="85" t="s">
        <v>2</v>
      </c>
      <c r="Z111" s="86"/>
      <c r="AA111" s="86"/>
      <c r="AB111" s="87"/>
      <c r="AC111" s="60" t="str">
        <f t="shared" si="19"/>
        <v/>
      </c>
      <c r="AD111" s="60"/>
      <c r="AE111" s="60"/>
      <c r="AF111" s="60"/>
      <c r="AG111" s="61">
        <f t="shared" si="20"/>
        <v>1</v>
      </c>
      <c r="AH111" s="61" t="str">
        <f t="shared" si="21"/>
        <v>ENTREGUE</v>
      </c>
      <c r="AI111" s="61">
        <f t="shared" si="22"/>
        <v>0</v>
      </c>
      <c r="AJ111" s="61" t="str">
        <f t="shared" si="23"/>
        <v/>
      </c>
      <c r="AK111" s="61">
        <f t="shared" si="24"/>
        <v>0</v>
      </c>
      <c r="AL111" s="61" t="str">
        <f t="shared" si="25"/>
        <v/>
      </c>
      <c r="AM111" s="61">
        <f t="shared" si="26"/>
        <v>0</v>
      </c>
      <c r="AN111" s="61" t="str">
        <f t="shared" si="27"/>
        <v/>
      </c>
      <c r="AO111" s="61">
        <f t="shared" si="28"/>
        <v>0</v>
      </c>
      <c r="AP111" s="61" t="str">
        <f t="shared" si="29"/>
        <v/>
      </c>
    </row>
    <row r="112" spans="1:42" ht="30" customHeight="1" x14ac:dyDescent="0.35">
      <c r="B112" s="52" t="s">
        <v>87</v>
      </c>
      <c r="C112" s="52"/>
      <c r="D112" s="52"/>
      <c r="E112" s="52"/>
      <c r="F112" s="52"/>
      <c r="G112" s="52"/>
      <c r="H112" s="52"/>
      <c r="I112" s="52"/>
      <c r="J112" s="52"/>
      <c r="K112" s="52"/>
      <c r="L112" s="52"/>
      <c r="M112" s="52"/>
      <c r="N112" s="52"/>
      <c r="O112" s="52"/>
      <c r="P112" s="52"/>
      <c r="Q112" s="52"/>
      <c r="R112" s="52"/>
      <c r="S112" s="52"/>
      <c r="T112" s="52"/>
      <c r="U112" s="52"/>
      <c r="V112" s="52"/>
      <c r="W112" s="52"/>
      <c r="X112" s="52"/>
      <c r="Y112" s="88"/>
      <c r="Z112" s="89"/>
      <c r="AA112" s="89"/>
      <c r="AB112" s="90"/>
      <c r="AC112" s="60" t="str">
        <f t="shared" si="19"/>
        <v/>
      </c>
      <c r="AD112" s="60"/>
      <c r="AE112" s="60"/>
      <c r="AF112" s="60"/>
      <c r="AG112" s="61">
        <f t="shared" si="20"/>
        <v>0</v>
      </c>
      <c r="AH112" s="61" t="str">
        <f t="shared" si="21"/>
        <v/>
      </c>
      <c r="AI112" s="61">
        <f t="shared" si="22"/>
        <v>0</v>
      </c>
      <c r="AJ112" s="61" t="str">
        <f t="shared" si="23"/>
        <v/>
      </c>
      <c r="AK112" s="61">
        <f t="shared" si="24"/>
        <v>0</v>
      </c>
      <c r="AL112" s="61" t="str">
        <f t="shared" si="25"/>
        <v/>
      </c>
      <c r="AM112" s="61">
        <f t="shared" si="26"/>
        <v>0</v>
      </c>
      <c r="AN112" s="61" t="str">
        <f t="shared" si="27"/>
        <v/>
      </c>
      <c r="AO112" s="61">
        <f t="shared" si="28"/>
        <v>0</v>
      </c>
      <c r="AP112" s="61" t="str">
        <f t="shared" si="29"/>
        <v/>
      </c>
    </row>
    <row r="113" spans="1:43" ht="30" customHeight="1" x14ac:dyDescent="0.35">
      <c r="A113" s="26" t="str">
        <f>CONCATENATE($B$81,"
",$B$98,"
",$B$109,"
",$B$112)</f>
        <v>PT165 - ESTUDO DE ENGENHARIA DO GALPÃO INDUSTRIAL G2 (Duque de Caxias)
FASE 3 - ESTUDO DE VIABILIDADE
ELABORAÇÃO DE TRADE-OFF E APRESENTAÇÃO EXECUTIVA DE ALTERNATIVAS
MARCO - RELATÓRIO DE VIABILIDADE (LAUDO)</v>
      </c>
      <c r="B113" s="53" t="s">
        <v>45</v>
      </c>
      <c r="C113" s="84" t="str">
        <f>IF(AND($B113=[1]ana!$A110,[1]ana!$B110=C$4),"ok","nok")</f>
        <v>nok</v>
      </c>
      <c r="D113" s="84" t="str">
        <f>IF(AND($B113=[1]ana!$A110,[1]ana!$B110=D$4),"ok","nok")</f>
        <v>ok</v>
      </c>
      <c r="E113" s="84" t="str">
        <f>IF(AND($B113=[1]ana!$A110,[1]ana!$B110=E$4),"ok","nok")</f>
        <v>nok</v>
      </c>
      <c r="F113" s="84" t="str">
        <f>IF(AND($B113=[1]ana!$A110,[1]ana!$B110=F$4),"ok","nok")</f>
        <v>nok</v>
      </c>
      <c r="G113" s="84" t="str">
        <f>IF(AND($B113=[1]ana!$A110,[1]ana!$B110=G$4),"ok","nok")</f>
        <v>nok</v>
      </c>
      <c r="H113" s="84" t="str">
        <f>IF(AND($B113=[1]ana!$A110,[1]ana!$B110=H$4),"ok","nok")</f>
        <v>nok</v>
      </c>
      <c r="I113" s="84" t="str">
        <f>IF(AND($B113=[1]ana!$A110,[1]ana!$B110=I$4),"ok","nok")</f>
        <v>nok</v>
      </c>
      <c r="J113" s="84" t="str">
        <f>IF(AND($B113=[1]ana!$A110,[1]ana!$B110=J$4),"ok","nok")</f>
        <v>nok</v>
      </c>
      <c r="K113" s="84" t="str">
        <f>IF(AND($B113=[1]ana!$A110,[1]ana!$B110=K$4),"ok","nok")</f>
        <v>nok</v>
      </c>
      <c r="L113" s="84" t="str">
        <f>IF(AND($B113=[1]ana!$A110,[1]ana!$B110=L$4),"ok","nok")</f>
        <v>nok</v>
      </c>
      <c r="M113" s="84" t="str">
        <f>IF(AND($B113=[1]ana!$A110,[1]ana!$B110=M$4),"ok","nok")</f>
        <v>nok</v>
      </c>
      <c r="N113" s="84" t="str">
        <f>IF(AND($B113=[1]ana!$A110,[1]ana!$B110=N$4),"ok","nok")</f>
        <v>nok</v>
      </c>
      <c r="O113" s="84" t="str">
        <f>IF(AND($B113=[1]ana!$A110,[1]ana!$B110=O$4),"ok","nok")</f>
        <v>nok</v>
      </c>
      <c r="P113" s="84" t="str">
        <f>IF(AND($B113=[1]ana!$A110,[1]ana!$B110=P$4),"ok","nok")</f>
        <v>nok</v>
      </c>
      <c r="Q113" s="84" t="str">
        <f>IF(AND($B113=[1]ana!$A110,[1]ana!$B110=Q$4),"ok","nok")</f>
        <v>nok</v>
      </c>
      <c r="R113" s="84" t="str">
        <f>IF(AND($B113=[1]ana!$A110,[1]ana!$B110=R$4),"ok","nok")</f>
        <v>nok</v>
      </c>
      <c r="S113" s="84" t="str">
        <f>IF(AND($B113=[1]ana!$A110,[1]ana!$B110=S$4),"ok","nok")</f>
        <v>nok</v>
      </c>
      <c r="T113" s="84" t="str">
        <f>IF(AND($B113=[1]ana!$A110,[1]ana!$B110=T$4),"ok","nok")</f>
        <v>nok</v>
      </c>
      <c r="U113" s="84" t="str">
        <f>IF(AND($B113=[1]ana!$A110,[1]ana!$B110=U$4),"ok","nok")</f>
        <v>nok</v>
      </c>
      <c r="V113" s="84" t="str">
        <f>IF(AND($B113=[1]ana!$A110,[1]ana!$B110=V$4),"ok","nok")</f>
        <v>nok</v>
      </c>
      <c r="W113" s="84" t="str">
        <f>IF(AND($B113=[1]ana!$A110,[1]ana!$B110=W$4),"ok","nok")</f>
        <v>nok</v>
      </c>
      <c r="X113" s="84" t="str">
        <f>IF(AND($B113=[1]ana!$A110,[1]ana!$B110=X$4),"ok","nok")</f>
        <v>nok</v>
      </c>
      <c r="Y113" s="85" t="s">
        <v>2</v>
      </c>
      <c r="Z113" s="86"/>
      <c r="AA113" s="86"/>
      <c r="AB113" s="87"/>
      <c r="AC113" s="60" t="str">
        <f t="shared" si="19"/>
        <v/>
      </c>
      <c r="AD113" s="60"/>
      <c r="AE113" s="60"/>
      <c r="AF113" s="60"/>
      <c r="AG113" s="61">
        <f t="shared" si="20"/>
        <v>1</v>
      </c>
      <c r="AH113" s="61" t="str">
        <f t="shared" si="21"/>
        <v>ENTREGUE</v>
      </c>
      <c r="AI113" s="61">
        <f t="shared" si="22"/>
        <v>0</v>
      </c>
      <c r="AJ113" s="61" t="str">
        <f t="shared" si="23"/>
        <v/>
      </c>
      <c r="AK113" s="61">
        <f t="shared" si="24"/>
        <v>0</v>
      </c>
      <c r="AL113" s="61" t="str">
        <f t="shared" si="25"/>
        <v/>
      </c>
      <c r="AM113" s="61">
        <f t="shared" si="26"/>
        <v>0</v>
      </c>
      <c r="AN113" s="61" t="str">
        <f t="shared" si="27"/>
        <v/>
      </c>
      <c r="AO113" s="61">
        <f t="shared" si="28"/>
        <v>0</v>
      </c>
      <c r="AP113" s="61" t="str">
        <f t="shared" si="29"/>
        <v/>
      </c>
    </row>
    <row r="114" spans="1:43" ht="30" customHeight="1" x14ac:dyDescent="0.35">
      <c r="B114" s="54" t="s">
        <v>88</v>
      </c>
      <c r="C114" s="54"/>
      <c r="D114" s="54"/>
      <c r="E114" s="54"/>
      <c r="F114" s="54"/>
      <c r="G114" s="54"/>
      <c r="H114" s="54"/>
      <c r="I114" s="54"/>
      <c r="J114" s="54"/>
      <c r="K114" s="54"/>
      <c r="L114" s="54"/>
      <c r="M114" s="54"/>
      <c r="N114" s="54"/>
      <c r="O114" s="54"/>
      <c r="P114" s="54"/>
      <c r="Q114" s="54"/>
      <c r="R114" s="54"/>
      <c r="S114" s="54"/>
      <c r="T114" s="54"/>
      <c r="U114" s="54"/>
      <c r="V114" s="54"/>
      <c r="W114" s="54"/>
      <c r="X114" s="54"/>
      <c r="Y114" s="91"/>
      <c r="Z114" s="92"/>
      <c r="AA114" s="92"/>
      <c r="AB114" s="93"/>
      <c r="AC114" s="60" t="str">
        <f t="shared" si="19"/>
        <v/>
      </c>
      <c r="AD114" s="60"/>
      <c r="AE114" s="60"/>
      <c r="AF114" s="60"/>
      <c r="AG114" s="61">
        <f t="shared" si="20"/>
        <v>0</v>
      </c>
      <c r="AH114" s="61" t="str">
        <f t="shared" si="21"/>
        <v/>
      </c>
      <c r="AI114" s="61">
        <f t="shared" si="22"/>
        <v>0</v>
      </c>
      <c r="AJ114" s="61" t="str">
        <f t="shared" si="23"/>
        <v/>
      </c>
      <c r="AK114" s="61">
        <f t="shared" si="24"/>
        <v>0</v>
      </c>
      <c r="AL114" s="61" t="str">
        <f t="shared" si="25"/>
        <v/>
      </c>
      <c r="AM114" s="61">
        <f t="shared" si="26"/>
        <v>0</v>
      </c>
      <c r="AN114" s="61" t="str">
        <f t="shared" si="27"/>
        <v/>
      </c>
      <c r="AO114" s="61">
        <f t="shared" si="28"/>
        <v>0</v>
      </c>
      <c r="AP114" s="61" t="str">
        <f t="shared" si="29"/>
        <v/>
      </c>
    </row>
    <row r="115" spans="1:43" ht="30" customHeight="1" x14ac:dyDescent="0.35">
      <c r="B115" s="55" t="s">
        <v>89</v>
      </c>
      <c r="C115" s="55"/>
      <c r="D115" s="55"/>
      <c r="E115" s="55"/>
      <c r="F115" s="55"/>
      <c r="G115" s="55"/>
      <c r="H115" s="55"/>
      <c r="I115" s="55"/>
      <c r="J115" s="55"/>
      <c r="K115" s="55"/>
      <c r="L115" s="55"/>
      <c r="M115" s="55"/>
      <c r="N115" s="55"/>
      <c r="O115" s="55"/>
      <c r="P115" s="55"/>
      <c r="Q115" s="55"/>
      <c r="R115" s="55"/>
      <c r="S115" s="55"/>
      <c r="T115" s="55"/>
      <c r="U115" s="55"/>
      <c r="V115" s="55"/>
      <c r="W115" s="55"/>
      <c r="X115" s="55"/>
      <c r="Y115" s="131"/>
      <c r="Z115" s="132"/>
      <c r="AA115" s="132"/>
      <c r="AB115" s="133"/>
      <c r="AC115" s="60" t="str">
        <f t="shared" si="19"/>
        <v/>
      </c>
      <c r="AD115" s="60"/>
      <c r="AE115" s="60"/>
      <c r="AF115" s="60"/>
      <c r="AG115" s="61">
        <f t="shared" si="20"/>
        <v>0</v>
      </c>
      <c r="AH115" s="61" t="str">
        <f t="shared" si="21"/>
        <v/>
      </c>
      <c r="AI115" s="61">
        <f t="shared" si="22"/>
        <v>0</v>
      </c>
      <c r="AJ115" s="61" t="str">
        <f t="shared" si="23"/>
        <v/>
      </c>
      <c r="AK115" s="61">
        <f t="shared" si="24"/>
        <v>0</v>
      </c>
      <c r="AL115" s="61" t="str">
        <f t="shared" si="25"/>
        <v/>
      </c>
      <c r="AM115" s="61">
        <f t="shared" si="26"/>
        <v>0</v>
      </c>
      <c r="AN115" s="61" t="str">
        <f t="shared" si="27"/>
        <v/>
      </c>
      <c r="AO115" s="61">
        <f t="shared" si="28"/>
        <v>0</v>
      </c>
      <c r="AP115" s="61" t="str">
        <f t="shared" si="29"/>
        <v/>
      </c>
    </row>
    <row r="116" spans="1:43" ht="30" customHeight="1" x14ac:dyDescent="0.35">
      <c r="B116" s="52" t="s">
        <v>91</v>
      </c>
      <c r="C116" s="52"/>
      <c r="D116" s="52"/>
      <c r="E116" s="52"/>
      <c r="F116" s="52"/>
      <c r="G116" s="52"/>
      <c r="H116" s="52"/>
      <c r="I116" s="52"/>
      <c r="J116" s="52"/>
      <c r="K116" s="52"/>
      <c r="L116" s="52"/>
      <c r="M116" s="52"/>
      <c r="N116" s="52"/>
      <c r="O116" s="52"/>
      <c r="P116" s="52"/>
      <c r="Q116" s="52"/>
      <c r="R116" s="52"/>
      <c r="S116" s="52"/>
      <c r="T116" s="52"/>
      <c r="U116" s="52"/>
      <c r="V116" s="52"/>
      <c r="W116" s="52"/>
      <c r="X116" s="52"/>
      <c r="Y116" s="88"/>
      <c r="Z116" s="89"/>
      <c r="AA116" s="89"/>
      <c r="AB116" s="90"/>
      <c r="AC116" s="60" t="str">
        <f t="shared" si="19"/>
        <v/>
      </c>
      <c r="AD116" s="60"/>
      <c r="AE116" s="60"/>
      <c r="AF116" s="60"/>
      <c r="AG116" s="61">
        <f t="shared" si="20"/>
        <v>0</v>
      </c>
      <c r="AH116" s="61" t="str">
        <f t="shared" si="21"/>
        <v/>
      </c>
      <c r="AI116" s="61">
        <f t="shared" si="22"/>
        <v>0</v>
      </c>
      <c r="AJ116" s="61" t="str">
        <f t="shared" si="23"/>
        <v/>
      </c>
      <c r="AK116" s="61">
        <f t="shared" si="24"/>
        <v>0</v>
      </c>
      <c r="AL116" s="61" t="str">
        <f t="shared" si="25"/>
        <v/>
      </c>
      <c r="AM116" s="61">
        <f t="shared" si="26"/>
        <v>0</v>
      </c>
      <c r="AN116" s="61" t="str">
        <f t="shared" si="27"/>
        <v/>
      </c>
      <c r="AO116" s="61">
        <f t="shared" si="28"/>
        <v>0</v>
      </c>
      <c r="AP116" s="61" t="str">
        <f t="shared" si="29"/>
        <v/>
      </c>
    </row>
    <row r="117" spans="1:43" ht="30" customHeight="1" x14ac:dyDescent="0.35">
      <c r="A117" s="26" t="str">
        <f>CONCATENATE($B$81,"
",$B$114,"
",$B$115,"
",$B$116)</f>
        <v>PT165 - ESTUDO DE ENGENHARIA DO GALPÃO INDUSTRIAL G2 (Duque de Caxias)
FASE 4 - PROJETO DE ENGENHARIA
GALPÃO NOVO (CENÁRIO 2)
MARCO - PROJETO CONCEITUAL DAS ESTRUTURAS METÁLICAS</v>
      </c>
      <c r="B117" s="53" t="s">
        <v>44</v>
      </c>
      <c r="C117" s="84" t="str">
        <f>IF(AND($B117=[1]ana!$A114,[1]ana!$B114=C$4),"ok","nok")</f>
        <v>nok</v>
      </c>
      <c r="D117" s="84" t="str">
        <f>IF(AND($B117=[1]ana!$A114,[1]ana!$B114=D$4),"ok","nok")</f>
        <v>ok</v>
      </c>
      <c r="E117" s="84" t="str">
        <f>IF(AND($B117=[1]ana!$A114,[1]ana!$B114=E$4),"ok","nok")</f>
        <v>nok</v>
      </c>
      <c r="F117" s="84" t="str">
        <f>IF(AND($B117=[1]ana!$A114,[1]ana!$B114=F$4),"ok","nok")</f>
        <v>nok</v>
      </c>
      <c r="G117" s="84" t="str">
        <f>IF(AND($B117=[1]ana!$A114,[1]ana!$B114=G$4),"ok","nok")</f>
        <v>nok</v>
      </c>
      <c r="H117" s="84" t="str">
        <f>IF(AND($B117=[1]ana!$A114,[1]ana!$B114=H$4),"ok","nok")</f>
        <v>nok</v>
      </c>
      <c r="I117" s="84" t="str">
        <f>IF(AND($B117=[1]ana!$A114,[1]ana!$B114=I$4),"ok","nok")</f>
        <v>nok</v>
      </c>
      <c r="J117" s="84" t="str">
        <f>IF(AND($B117=[1]ana!$A114,[1]ana!$B114=J$4),"ok","nok")</f>
        <v>nok</v>
      </c>
      <c r="K117" s="84" t="str">
        <f>IF(AND($B117=[1]ana!$A114,[1]ana!$B114=K$4),"ok","nok")</f>
        <v>nok</v>
      </c>
      <c r="L117" s="84" t="str">
        <f>IF(AND($B117=[1]ana!$A114,[1]ana!$B114=L$4),"ok","nok")</f>
        <v>nok</v>
      </c>
      <c r="M117" s="84" t="str">
        <f>IF(AND($B117=[1]ana!$A114,[1]ana!$B114=M$4),"ok","nok")</f>
        <v>nok</v>
      </c>
      <c r="N117" s="84" t="str">
        <f>IF(AND($B117=[1]ana!$A114,[1]ana!$B114=N$4),"ok","nok")</f>
        <v>nok</v>
      </c>
      <c r="O117" s="84" t="str">
        <f>IF(AND($B117=[1]ana!$A114,[1]ana!$B114=O$4),"ok","nok")</f>
        <v>nok</v>
      </c>
      <c r="P117" s="84" t="str">
        <f>IF(AND($B117=[1]ana!$A114,[1]ana!$B114=P$4),"ok","nok")</f>
        <v>nok</v>
      </c>
      <c r="Q117" s="84" t="str">
        <f>IF(AND($B117=[1]ana!$A114,[1]ana!$B114=Q$4),"ok","nok")</f>
        <v>nok</v>
      </c>
      <c r="R117" s="84" t="str">
        <f>IF(AND($B117=[1]ana!$A114,[1]ana!$B114=R$4),"ok","nok")</f>
        <v>nok</v>
      </c>
      <c r="S117" s="84" t="str">
        <f>IF(AND($B117=[1]ana!$A114,[1]ana!$B114=S$4),"ok","nok")</f>
        <v>nok</v>
      </c>
      <c r="T117" s="84" t="str">
        <f>IF(AND($B117=[1]ana!$A114,[1]ana!$B114=T$4),"ok","nok")</f>
        <v>nok</v>
      </c>
      <c r="U117" s="84" t="str">
        <f>IF(AND($B117=[1]ana!$A114,[1]ana!$B114=U$4),"ok","nok")</f>
        <v>nok</v>
      </c>
      <c r="V117" s="84" t="str">
        <f>IF(AND($B117=[1]ana!$A114,[1]ana!$B114=V$4),"ok","nok")</f>
        <v>nok</v>
      </c>
      <c r="W117" s="84" t="str">
        <f>IF(AND($B117=[1]ana!$A114,[1]ana!$B114=W$4),"ok","nok")</f>
        <v>nok</v>
      </c>
      <c r="X117" s="84" t="str">
        <f>IF(AND($B117=[1]ana!$A114,[1]ana!$B114=X$4),"ok","nok")</f>
        <v>nok</v>
      </c>
      <c r="Y117" s="85" t="s">
        <v>35</v>
      </c>
      <c r="Z117" s="86"/>
      <c r="AA117" s="86"/>
      <c r="AB117" s="87"/>
      <c r="AC117" s="60" t="str">
        <f t="shared" si="19"/>
        <v/>
      </c>
      <c r="AD117" s="60"/>
      <c r="AE117" s="60"/>
      <c r="AF117" s="60"/>
      <c r="AG117" s="61">
        <f t="shared" si="20"/>
        <v>1</v>
      </c>
      <c r="AH117" s="61" t="str">
        <f t="shared" si="21"/>
        <v>EFPRAZO</v>
      </c>
      <c r="AI117" s="61">
        <f t="shared" si="22"/>
        <v>0</v>
      </c>
      <c r="AJ117" s="61" t="str">
        <f t="shared" si="23"/>
        <v/>
      </c>
      <c r="AK117" s="61">
        <f t="shared" si="24"/>
        <v>0</v>
      </c>
      <c r="AL117" s="61" t="str">
        <f t="shared" si="25"/>
        <v/>
      </c>
      <c r="AM117" s="61">
        <f t="shared" si="26"/>
        <v>0</v>
      </c>
      <c r="AN117" s="61" t="str">
        <f t="shared" si="27"/>
        <v/>
      </c>
      <c r="AO117" s="61">
        <f t="shared" si="28"/>
        <v>0</v>
      </c>
      <c r="AP117" s="61" t="str">
        <f t="shared" si="29"/>
        <v/>
      </c>
    </row>
    <row r="118" spans="1:43" ht="30" customHeight="1" x14ac:dyDescent="0.35">
      <c r="A118" s="26" t="str">
        <f t="shared" ref="A118:A120" si="33">CONCATENATE($B$81,"
",$B$114,"
",$B$115,"
",$B$116)</f>
        <v>PT165 - ESTUDO DE ENGENHARIA DO GALPÃO INDUSTRIAL G2 (Duque de Caxias)
FASE 4 - PROJETO DE ENGENHARIA
GALPÃO NOVO (CENÁRIO 2)
MARCO - PROJETO CONCEITUAL DAS ESTRUTURAS METÁLICAS</v>
      </c>
      <c r="B118" s="53" t="s">
        <v>45</v>
      </c>
      <c r="C118" s="84" t="str">
        <f>IF(AND($B118=[1]ana!$A115,[1]ana!$B115=C$4),"ok","nok")</f>
        <v>nok</v>
      </c>
      <c r="D118" s="84" t="str">
        <f>IF(AND($B118=[1]ana!$A115,[1]ana!$B115=D$4),"ok","nok")</f>
        <v>ok</v>
      </c>
      <c r="E118" s="84" t="str">
        <f>IF(AND($B118=[1]ana!$A115,[1]ana!$B115=E$4),"ok","nok")</f>
        <v>nok</v>
      </c>
      <c r="F118" s="84" t="str">
        <f>IF(AND($B118=[1]ana!$A115,[1]ana!$B115=F$4),"ok","nok")</f>
        <v>nok</v>
      </c>
      <c r="G118" s="84" t="str">
        <f>IF(AND($B118=[1]ana!$A115,[1]ana!$B115=G$4),"ok","nok")</f>
        <v>nok</v>
      </c>
      <c r="H118" s="84" t="str">
        <f>IF(AND($B118=[1]ana!$A115,[1]ana!$B115=H$4),"ok","nok")</f>
        <v>nok</v>
      </c>
      <c r="I118" s="84" t="str">
        <f>IF(AND($B118=[1]ana!$A115,[1]ana!$B115=I$4),"ok","nok")</f>
        <v>nok</v>
      </c>
      <c r="J118" s="84" t="str">
        <f>IF(AND($B118=[1]ana!$A115,[1]ana!$B115=J$4),"ok","nok")</f>
        <v>nok</v>
      </c>
      <c r="K118" s="84" t="str">
        <f>IF(AND($B118=[1]ana!$A115,[1]ana!$B115=K$4),"ok","nok")</f>
        <v>nok</v>
      </c>
      <c r="L118" s="84" t="str">
        <f>IF(AND($B118=[1]ana!$A115,[1]ana!$B115=L$4),"ok","nok")</f>
        <v>nok</v>
      </c>
      <c r="M118" s="84" t="str">
        <f>IF(AND($B118=[1]ana!$A115,[1]ana!$B115=M$4),"ok","nok")</f>
        <v>nok</v>
      </c>
      <c r="N118" s="84" t="str">
        <f>IF(AND($B118=[1]ana!$A115,[1]ana!$B115=N$4),"ok","nok")</f>
        <v>nok</v>
      </c>
      <c r="O118" s="84" t="str">
        <f>IF(AND($B118=[1]ana!$A115,[1]ana!$B115=O$4),"ok","nok")</f>
        <v>nok</v>
      </c>
      <c r="P118" s="84" t="str">
        <f>IF(AND($B118=[1]ana!$A115,[1]ana!$B115=P$4),"ok","nok")</f>
        <v>nok</v>
      </c>
      <c r="Q118" s="84" t="str">
        <f>IF(AND($B118=[1]ana!$A115,[1]ana!$B115=Q$4),"ok","nok")</f>
        <v>nok</v>
      </c>
      <c r="R118" s="84" t="str">
        <f>IF(AND($B118=[1]ana!$A115,[1]ana!$B115=R$4),"ok","nok")</f>
        <v>nok</v>
      </c>
      <c r="S118" s="84" t="str">
        <f>IF(AND($B118=[1]ana!$A115,[1]ana!$B115=S$4),"ok","nok")</f>
        <v>nok</v>
      </c>
      <c r="T118" s="84" t="str">
        <f>IF(AND($B118=[1]ana!$A115,[1]ana!$B115=T$4),"ok","nok")</f>
        <v>nok</v>
      </c>
      <c r="U118" s="84" t="str">
        <f>IF(AND($B118=[1]ana!$A115,[1]ana!$B115=U$4),"ok","nok")</f>
        <v>nok</v>
      </c>
      <c r="V118" s="84" t="str">
        <f>IF(AND($B118=[1]ana!$A115,[1]ana!$B115=V$4),"ok","nok")</f>
        <v>nok</v>
      </c>
      <c r="W118" s="84" t="str">
        <f>IF(AND($B118=[1]ana!$A115,[1]ana!$B115=W$4),"ok","nok")</f>
        <v>nok</v>
      </c>
      <c r="X118" s="84" t="str">
        <f>IF(AND($B118=[1]ana!$A115,[1]ana!$B115=X$4),"ok","nok")</f>
        <v>nok</v>
      </c>
      <c r="Y118" s="85" t="s">
        <v>33</v>
      </c>
      <c r="Z118" s="86"/>
      <c r="AA118" s="86"/>
      <c r="AB118" s="87"/>
      <c r="AC118" s="60" t="str">
        <f t="shared" si="19"/>
        <v>MARCO - Envio do documento Certificado (Rev_0)</v>
      </c>
      <c r="AD118" s="60"/>
      <c r="AE118" s="60"/>
      <c r="AF118" s="60"/>
      <c r="AG118" s="61">
        <f t="shared" si="20"/>
        <v>1</v>
      </c>
      <c r="AH118" s="61" t="str">
        <f t="shared" si="21"/>
        <v/>
      </c>
      <c r="AI118" s="61">
        <f t="shared" si="22"/>
        <v>0</v>
      </c>
      <c r="AJ118" s="61" t="str">
        <f t="shared" si="23"/>
        <v/>
      </c>
      <c r="AK118" s="61">
        <f t="shared" si="24"/>
        <v>0</v>
      </c>
      <c r="AL118" s="61" t="str">
        <f t="shared" si="25"/>
        <v/>
      </c>
      <c r="AM118" s="61">
        <f t="shared" si="26"/>
        <v>0</v>
      </c>
      <c r="AN118" s="61" t="str">
        <f t="shared" si="27"/>
        <v/>
      </c>
      <c r="AO118" s="61">
        <f t="shared" si="28"/>
        <v>0</v>
      </c>
      <c r="AP118" s="61" t="str">
        <f t="shared" si="29"/>
        <v/>
      </c>
    </row>
    <row r="119" spans="1:43" ht="30" customHeight="1" x14ac:dyDescent="0.35">
      <c r="A119" s="26" t="str">
        <f t="shared" si="33"/>
        <v>PT165 - ESTUDO DE ENGENHARIA DO GALPÃO INDUSTRIAL G2 (Duque de Caxias)
FASE 4 - PROJETO DE ENGENHARIA
GALPÃO NOVO (CENÁRIO 2)
MARCO - PROJETO CONCEITUAL DAS ESTRUTURAS METÁLICAS</v>
      </c>
      <c r="B119" s="51" t="s">
        <v>148</v>
      </c>
      <c r="C119" s="84" t="str">
        <f>IF(AND($B119=[1]ana!$A116,[1]ana!$B116=C$4),"ok","nok")</f>
        <v>nok</v>
      </c>
      <c r="D119" s="84" t="str">
        <f>IF(AND($B119=[1]ana!$A116,[1]ana!$B116=D$4),"ok","nok")</f>
        <v>nok</v>
      </c>
      <c r="E119" s="84" t="str">
        <f>IF(AND($B119=[1]ana!$A116,[1]ana!$B116=E$4),"ok","nok")</f>
        <v>ok</v>
      </c>
      <c r="F119" s="84" t="str">
        <f>IF(AND($B119=[1]ana!$A116,[1]ana!$B116=F$4),"ok","nok")</f>
        <v>nok</v>
      </c>
      <c r="G119" s="84" t="str">
        <f>IF(AND($B119=[1]ana!$A116,[1]ana!$B116=G$4),"ok","nok")</f>
        <v>nok</v>
      </c>
      <c r="H119" s="84" t="str">
        <f>IF(AND($B119=[1]ana!$A116,[1]ana!$B116=H$4),"ok","nok")</f>
        <v>nok</v>
      </c>
      <c r="I119" s="84" t="str">
        <f>IF(AND($B119=[1]ana!$A116,[1]ana!$B116=I$4),"ok","nok")</f>
        <v>nok</v>
      </c>
      <c r="J119" s="84" t="str">
        <f>IF(AND($B119=[1]ana!$A116,[1]ana!$B116=J$4),"ok","nok")</f>
        <v>nok</v>
      </c>
      <c r="K119" s="84" t="str">
        <f>IF(AND($B119=[1]ana!$A116,[1]ana!$B116=K$4),"ok","nok")</f>
        <v>nok</v>
      </c>
      <c r="L119" s="84" t="str">
        <f>IF(AND($B119=[1]ana!$A116,[1]ana!$B116=L$4),"ok","nok")</f>
        <v>nok</v>
      </c>
      <c r="M119" s="84" t="str">
        <f>IF(AND($B119=[1]ana!$A116,[1]ana!$B116=M$4),"ok","nok")</f>
        <v>nok</v>
      </c>
      <c r="N119" s="84" t="str">
        <f>IF(AND($B119=[1]ana!$A116,[1]ana!$B116=N$4),"ok","nok")</f>
        <v>nok</v>
      </c>
      <c r="O119" s="84" t="str">
        <f>IF(AND($B119=[1]ana!$A116,[1]ana!$B116=O$4),"ok","nok")</f>
        <v>nok</v>
      </c>
      <c r="P119" s="84" t="str">
        <f>IF(AND($B119=[1]ana!$A116,[1]ana!$B116=P$4),"ok","nok")</f>
        <v>nok</v>
      </c>
      <c r="Q119" s="84" t="str">
        <f>IF(AND($B119=[1]ana!$A116,[1]ana!$B116=Q$4),"ok","nok")</f>
        <v>nok</v>
      </c>
      <c r="R119" s="84" t="str">
        <f>IF(AND($B119=[1]ana!$A116,[1]ana!$B116=R$4),"ok","nok")</f>
        <v>nok</v>
      </c>
      <c r="S119" s="84" t="str">
        <f>IF(AND($B119=[1]ana!$A116,[1]ana!$B116=S$4),"ok","nok")</f>
        <v>nok</v>
      </c>
      <c r="T119" s="84" t="str">
        <f>IF(AND($B119=[1]ana!$A116,[1]ana!$B116=T$4),"ok","nok")</f>
        <v>nok</v>
      </c>
      <c r="U119" s="84" t="str">
        <f>IF(AND($B119=[1]ana!$A116,[1]ana!$B116=U$4),"ok","nok")</f>
        <v>nok</v>
      </c>
      <c r="V119" s="84" t="str">
        <f>IF(AND($B119=[1]ana!$A116,[1]ana!$B116=V$4),"ok","nok")</f>
        <v>nok</v>
      </c>
      <c r="W119" s="84" t="str">
        <f>IF(AND($B119=[1]ana!$A116,[1]ana!$B116=W$4),"ok","nok")</f>
        <v>nok</v>
      </c>
      <c r="X119" s="84" t="str">
        <f>IF(AND($B119=[1]ana!$A116,[1]ana!$B116=X$4),"ok","nok")</f>
        <v>nok</v>
      </c>
      <c r="Y119" s="85" t="s">
        <v>2</v>
      </c>
      <c r="Z119" s="86"/>
      <c r="AA119" s="86"/>
      <c r="AB119" s="87"/>
      <c r="AC119" s="60" t="str">
        <f t="shared" si="19"/>
        <v/>
      </c>
      <c r="AD119" s="60"/>
      <c r="AE119" s="60"/>
      <c r="AF119" s="60"/>
      <c r="AG119" s="61">
        <f t="shared" si="20"/>
        <v>1</v>
      </c>
      <c r="AH119" s="61" t="str">
        <f t="shared" si="21"/>
        <v>ENTREGUE</v>
      </c>
      <c r="AI119" s="61">
        <f t="shared" si="22"/>
        <v>0</v>
      </c>
      <c r="AJ119" s="61" t="str">
        <f t="shared" si="23"/>
        <v/>
      </c>
      <c r="AK119" s="61">
        <f t="shared" si="24"/>
        <v>0</v>
      </c>
      <c r="AL119" s="61" t="str">
        <f t="shared" si="25"/>
        <v/>
      </c>
      <c r="AM119" s="61">
        <f t="shared" si="26"/>
        <v>0</v>
      </c>
      <c r="AN119" s="61" t="str">
        <f t="shared" si="27"/>
        <v/>
      </c>
      <c r="AO119" s="61">
        <f t="shared" si="28"/>
        <v>0</v>
      </c>
      <c r="AP119" s="61" t="str">
        <f t="shared" si="29"/>
        <v/>
      </c>
    </row>
    <row r="120" spans="1:43" ht="30" customHeight="1" x14ac:dyDescent="0.35">
      <c r="A120" s="26" t="str">
        <f t="shared" si="33"/>
        <v>PT165 - ESTUDO DE ENGENHARIA DO GALPÃO INDUSTRIAL G2 (Duque de Caxias)
FASE 4 - PROJETO DE ENGENHARIA
GALPÃO NOVO (CENÁRIO 2)
MARCO - PROJETO CONCEITUAL DAS ESTRUTURAS METÁLICAS</v>
      </c>
      <c r="B120" s="51" t="s">
        <v>90</v>
      </c>
      <c r="C120" s="84" t="str">
        <f>IF(AND($B120=[1]ana!$A117,[1]ana!$B117=C$4),"ok","nok")</f>
        <v>nok</v>
      </c>
      <c r="D120" s="84" t="str">
        <f>IF(AND($B120=[1]ana!$A117,[1]ana!$B117=D$4),"ok","nok")</f>
        <v>nok</v>
      </c>
      <c r="E120" s="84" t="str">
        <f>IF(AND($B120=[1]ana!$A117,[1]ana!$B117=E$4),"ok","nok")</f>
        <v>ok</v>
      </c>
      <c r="F120" s="84" t="str">
        <f>IF(AND($B120=[1]ana!$A117,[1]ana!$B117=F$4),"ok","nok")</f>
        <v>nok</v>
      </c>
      <c r="G120" s="84" t="str">
        <f>IF(AND($B120=[1]ana!$A117,[1]ana!$B117=G$4),"ok","nok")</f>
        <v>nok</v>
      </c>
      <c r="H120" s="84" t="str">
        <f>IF(AND($B120=[1]ana!$A117,[1]ana!$B117=H$4),"ok","nok")</f>
        <v>nok</v>
      </c>
      <c r="I120" s="84" t="str">
        <f>IF(AND($B120=[1]ana!$A117,[1]ana!$B117=I$4),"ok","nok")</f>
        <v>nok</v>
      </c>
      <c r="J120" s="84" t="str">
        <f>IF(AND($B120=[1]ana!$A117,[1]ana!$B117=J$4),"ok","nok")</f>
        <v>nok</v>
      </c>
      <c r="K120" s="84" t="str">
        <f>IF(AND($B120=[1]ana!$A117,[1]ana!$B117=K$4),"ok","nok")</f>
        <v>nok</v>
      </c>
      <c r="L120" s="84" t="str">
        <f>IF(AND($B120=[1]ana!$A117,[1]ana!$B117=L$4),"ok","nok")</f>
        <v>nok</v>
      </c>
      <c r="M120" s="84" t="str">
        <f>IF(AND($B120=[1]ana!$A117,[1]ana!$B117=M$4),"ok","nok")</f>
        <v>nok</v>
      </c>
      <c r="N120" s="84" t="str">
        <f>IF(AND($B120=[1]ana!$A117,[1]ana!$B117=N$4),"ok","nok")</f>
        <v>nok</v>
      </c>
      <c r="O120" s="84" t="str">
        <f>IF(AND($B120=[1]ana!$A117,[1]ana!$B117=O$4),"ok","nok")</f>
        <v>nok</v>
      </c>
      <c r="P120" s="84" t="str">
        <f>IF(AND($B120=[1]ana!$A117,[1]ana!$B117=P$4),"ok","nok")</f>
        <v>nok</v>
      </c>
      <c r="Q120" s="84" t="str">
        <f>IF(AND($B120=[1]ana!$A117,[1]ana!$B117=Q$4),"ok","nok")</f>
        <v>nok</v>
      </c>
      <c r="R120" s="84" t="str">
        <f>IF(AND($B120=[1]ana!$A117,[1]ana!$B117=R$4),"ok","nok")</f>
        <v>nok</v>
      </c>
      <c r="S120" s="84" t="str">
        <f>IF(AND($B120=[1]ana!$A117,[1]ana!$B117=S$4),"ok","nok")</f>
        <v>nok</v>
      </c>
      <c r="T120" s="84" t="str">
        <f>IF(AND($B120=[1]ana!$A117,[1]ana!$B117=T$4),"ok","nok")</f>
        <v>nok</v>
      </c>
      <c r="U120" s="84" t="str">
        <f>IF(AND($B120=[1]ana!$A117,[1]ana!$B117=U$4),"ok","nok")</f>
        <v>nok</v>
      </c>
      <c r="V120" s="84" t="str">
        <f>IF(AND($B120=[1]ana!$A117,[1]ana!$B117=V$4),"ok","nok")</f>
        <v>nok</v>
      </c>
      <c r="W120" s="84" t="str">
        <f>IF(AND($B120=[1]ana!$A117,[1]ana!$B117=W$4),"ok","nok")</f>
        <v>nok</v>
      </c>
      <c r="X120" s="84" t="str">
        <f>IF(AND($B120=[1]ana!$A117,[1]ana!$B117=X$4),"ok","nok")</f>
        <v>nok</v>
      </c>
      <c r="Y120" s="85" t="s">
        <v>2</v>
      </c>
      <c r="Z120" s="86"/>
      <c r="AA120" s="86"/>
      <c r="AB120" s="87"/>
      <c r="AC120" s="60" t="str">
        <f t="shared" si="19"/>
        <v/>
      </c>
      <c r="AD120" s="60"/>
      <c r="AE120" s="60"/>
      <c r="AF120" s="60"/>
      <c r="AG120" s="61">
        <f t="shared" si="20"/>
        <v>1</v>
      </c>
      <c r="AH120" s="61" t="str">
        <f t="shared" si="21"/>
        <v>ENTREGUE</v>
      </c>
      <c r="AI120" s="61">
        <f t="shared" si="22"/>
        <v>0</v>
      </c>
      <c r="AJ120" s="61" t="str">
        <f t="shared" si="23"/>
        <v/>
      </c>
      <c r="AK120" s="61">
        <f t="shared" si="24"/>
        <v>0</v>
      </c>
      <c r="AL120" s="61" t="str">
        <f t="shared" si="25"/>
        <v/>
      </c>
      <c r="AM120" s="61">
        <f t="shared" si="26"/>
        <v>0</v>
      </c>
      <c r="AN120" s="61" t="str">
        <f t="shared" si="27"/>
        <v/>
      </c>
      <c r="AO120" s="61">
        <f t="shared" si="28"/>
        <v>0</v>
      </c>
      <c r="AP120" s="61" t="str">
        <f t="shared" si="29"/>
        <v/>
      </c>
    </row>
    <row r="121" spans="1:43" s="68" customFormat="1" ht="30" customHeight="1" x14ac:dyDescent="0.35">
      <c r="A121" s="26"/>
      <c r="B121" s="52" t="s">
        <v>149</v>
      </c>
      <c r="C121" s="52"/>
      <c r="D121" s="52"/>
      <c r="E121" s="52"/>
      <c r="F121" s="52"/>
      <c r="G121" s="52"/>
      <c r="H121" s="52"/>
      <c r="I121" s="52"/>
      <c r="J121" s="52"/>
      <c r="K121" s="52"/>
      <c r="L121" s="52"/>
      <c r="M121" s="52"/>
      <c r="N121" s="52"/>
      <c r="O121" s="52"/>
      <c r="P121" s="52"/>
      <c r="Q121" s="52"/>
      <c r="R121" s="52"/>
      <c r="S121" s="52"/>
      <c r="T121" s="52"/>
      <c r="U121" s="52"/>
      <c r="V121" s="52"/>
      <c r="W121" s="52"/>
      <c r="X121" s="52"/>
      <c r="Y121" s="88"/>
      <c r="Z121" s="89"/>
      <c r="AA121" s="89"/>
      <c r="AB121" s="90"/>
      <c r="AC121" s="60" t="str">
        <f t="shared" si="19"/>
        <v/>
      </c>
      <c r="AD121" s="60"/>
      <c r="AE121" s="60"/>
      <c r="AF121" s="60"/>
      <c r="AG121" s="61">
        <f t="shared" si="20"/>
        <v>0</v>
      </c>
      <c r="AH121" s="61" t="str">
        <f t="shared" si="21"/>
        <v/>
      </c>
      <c r="AI121" s="61">
        <f t="shared" si="22"/>
        <v>0</v>
      </c>
      <c r="AJ121" s="61" t="str">
        <f t="shared" si="23"/>
        <v/>
      </c>
      <c r="AK121" s="61">
        <f t="shared" si="24"/>
        <v>0</v>
      </c>
      <c r="AL121" s="61" t="str">
        <f t="shared" si="25"/>
        <v/>
      </c>
      <c r="AM121" s="61">
        <f t="shared" si="26"/>
        <v>0</v>
      </c>
      <c r="AN121" s="61" t="str">
        <f t="shared" si="27"/>
        <v/>
      </c>
      <c r="AO121" s="61">
        <f t="shared" si="28"/>
        <v>0</v>
      </c>
      <c r="AP121" s="61" t="str">
        <f t="shared" si="29"/>
        <v/>
      </c>
      <c r="AQ121" s="69"/>
    </row>
    <row r="122" spans="1:43" ht="30" customHeight="1" x14ac:dyDescent="0.35">
      <c r="A122" s="26" t="str">
        <f>CONCATENATE($B$81,"
",$B$114,"
",$B$115,"
",$B$121)</f>
        <v>PT165 - ESTUDO DE ENGENHARIA DO GALPÃO INDUSTRIAL G2 (Duque de Caxias)
FASE 4 - PROJETO DE ENGENHARIA
GALPÃO NOVO (CENÁRIO 2)
MARCO - PROJETO CONCEITUAL DAS FUNDAÇÕES</v>
      </c>
      <c r="B122" s="53" t="s">
        <v>19</v>
      </c>
      <c r="C122" s="84" t="str">
        <f>IF(AND($B122=[1]ana!$A119,[1]ana!$B119=C$4),"ok","nok")</f>
        <v>nok</v>
      </c>
      <c r="D122" s="84" t="str">
        <f>IF(AND($B122=[1]ana!$A119,[1]ana!$B119=D$4),"ok","nok")</f>
        <v>nok</v>
      </c>
      <c r="E122" s="84" t="str">
        <f>IF(AND($B122=[1]ana!$A119,[1]ana!$B119=E$4),"ok","nok")</f>
        <v>ok</v>
      </c>
      <c r="F122" s="84" t="str">
        <f>IF(AND($B122=[1]ana!$A119,[1]ana!$B119=F$4),"ok","nok")</f>
        <v>nok</v>
      </c>
      <c r="G122" s="84" t="str">
        <f>IF(AND($B122=[1]ana!$A119,[1]ana!$B119=G$4),"ok","nok")</f>
        <v>nok</v>
      </c>
      <c r="H122" s="84" t="str">
        <f>IF(AND($B122=[1]ana!$A119,[1]ana!$B119=H$4),"ok","nok")</f>
        <v>nok</v>
      </c>
      <c r="I122" s="84" t="str">
        <f>IF(AND($B122=[1]ana!$A119,[1]ana!$B119=I$4),"ok","nok")</f>
        <v>nok</v>
      </c>
      <c r="J122" s="84" t="str">
        <f>IF(AND($B122=[1]ana!$A119,[1]ana!$B119=J$4),"ok","nok")</f>
        <v>nok</v>
      </c>
      <c r="K122" s="84" t="str">
        <f>IF(AND($B122=[1]ana!$A119,[1]ana!$B119=K$4),"ok","nok")</f>
        <v>nok</v>
      </c>
      <c r="L122" s="84" t="str">
        <f>IF(AND($B122=[1]ana!$A119,[1]ana!$B119=L$4),"ok","nok")</f>
        <v>nok</v>
      </c>
      <c r="M122" s="84" t="str">
        <f>IF(AND($B122=[1]ana!$A119,[1]ana!$B119=M$4),"ok","nok")</f>
        <v>nok</v>
      </c>
      <c r="N122" s="84" t="str">
        <f>IF(AND($B122=[1]ana!$A119,[1]ana!$B119=N$4),"ok","nok")</f>
        <v>nok</v>
      </c>
      <c r="O122" s="84" t="str">
        <f>IF(AND($B122=[1]ana!$A119,[1]ana!$B119=O$4),"ok","nok")</f>
        <v>nok</v>
      </c>
      <c r="P122" s="84" t="str">
        <f>IF(AND($B122=[1]ana!$A119,[1]ana!$B119=P$4),"ok","nok")</f>
        <v>nok</v>
      </c>
      <c r="Q122" s="84" t="str">
        <f>IF(AND($B122=[1]ana!$A119,[1]ana!$B119=Q$4),"ok","nok")</f>
        <v>nok</v>
      </c>
      <c r="R122" s="84" t="str">
        <f>IF(AND($B122=[1]ana!$A119,[1]ana!$B119=R$4),"ok","nok")</f>
        <v>nok</v>
      </c>
      <c r="S122" s="84" t="str">
        <f>IF(AND($B122=[1]ana!$A119,[1]ana!$B119=S$4),"ok","nok")</f>
        <v>nok</v>
      </c>
      <c r="T122" s="84" t="str">
        <f>IF(AND($B122=[1]ana!$A119,[1]ana!$B119=T$4),"ok","nok")</f>
        <v>nok</v>
      </c>
      <c r="U122" s="84" t="str">
        <f>IF(AND($B122=[1]ana!$A119,[1]ana!$B119=U$4),"ok","nok")</f>
        <v>nok</v>
      </c>
      <c r="V122" s="84" t="str">
        <f>IF(AND($B122=[1]ana!$A119,[1]ana!$B119=V$4),"ok","nok")</f>
        <v>nok</v>
      </c>
      <c r="W122" s="84" t="str">
        <f>IF(AND($B122=[1]ana!$A119,[1]ana!$B119=W$4),"ok","nok")</f>
        <v>nok</v>
      </c>
      <c r="X122" s="84" t="str">
        <f>IF(AND($B122=[1]ana!$A119,[1]ana!$B119=X$4),"ok","nok")</f>
        <v>nok</v>
      </c>
      <c r="Y122" s="85" t="s">
        <v>2</v>
      </c>
      <c r="Z122" s="86"/>
      <c r="AA122" s="86"/>
      <c r="AB122" s="87"/>
      <c r="AC122" s="60" t="str">
        <f t="shared" si="19"/>
        <v/>
      </c>
      <c r="AD122" s="60"/>
      <c r="AE122" s="60"/>
      <c r="AF122" s="60"/>
      <c r="AG122" s="61">
        <f t="shared" si="20"/>
        <v>1</v>
      </c>
      <c r="AH122" s="61" t="str">
        <f t="shared" si="21"/>
        <v>ENTREGUE</v>
      </c>
      <c r="AI122" s="61">
        <f t="shared" si="22"/>
        <v>0</v>
      </c>
      <c r="AJ122" s="61" t="str">
        <f t="shared" si="23"/>
        <v/>
      </c>
      <c r="AK122" s="61">
        <f t="shared" si="24"/>
        <v>0</v>
      </c>
      <c r="AL122" s="61" t="str">
        <f t="shared" si="25"/>
        <v/>
      </c>
      <c r="AM122" s="61">
        <f t="shared" si="26"/>
        <v>0</v>
      </c>
      <c r="AN122" s="61" t="str">
        <f t="shared" si="27"/>
        <v/>
      </c>
      <c r="AO122" s="61">
        <f t="shared" si="28"/>
        <v>0</v>
      </c>
      <c r="AP122" s="61" t="str">
        <f t="shared" si="29"/>
        <v/>
      </c>
    </row>
    <row r="123" spans="1:43" s="19" customFormat="1" ht="30" customHeight="1" x14ac:dyDescent="0.35">
      <c r="A123" s="26" t="str">
        <f t="shared" ref="A123:A127" si="34">CONCATENATE($B$81,"
",$B$114,"
",$B$115,"
",$B$121)</f>
        <v>PT165 - ESTUDO DE ENGENHARIA DO GALPÃO INDUSTRIAL G2 (Duque de Caxias)
FASE 4 - PROJETO DE ENGENHARIA
GALPÃO NOVO (CENÁRIO 2)
MARCO - PROJETO CONCEITUAL DAS FUNDAÇÕES</v>
      </c>
      <c r="B123" s="53" t="s">
        <v>43</v>
      </c>
      <c r="C123" s="84" t="str">
        <f>IF(AND($B123=[1]ana!$A120,[1]ana!$B120=C$4),"ok","nok")</f>
        <v>nok</v>
      </c>
      <c r="D123" s="84" t="str">
        <f>IF(AND($B123=[1]ana!$A120,[1]ana!$B120=D$4),"ok","nok")</f>
        <v>nok</v>
      </c>
      <c r="E123" s="84" t="str">
        <f>IF(AND($B123=[1]ana!$A120,[1]ana!$B120=E$4),"ok","nok")</f>
        <v>nok</v>
      </c>
      <c r="F123" s="84" t="str">
        <f>IF(AND($B123=[1]ana!$A120,[1]ana!$B120=F$4),"ok","nok")</f>
        <v>nok</v>
      </c>
      <c r="G123" s="84" t="str">
        <f>IF(AND($B123=[1]ana!$A120,[1]ana!$B120=G$4),"ok","nok")</f>
        <v>nok</v>
      </c>
      <c r="H123" s="84" t="str">
        <f>IF(AND($B123=[1]ana!$A120,[1]ana!$B120=H$4),"ok","nok")</f>
        <v>nok</v>
      </c>
      <c r="I123" s="84" t="str">
        <f>IF(AND($B123=[1]ana!$A120,[1]ana!$B120=I$4),"ok","nok")</f>
        <v>nok</v>
      </c>
      <c r="J123" s="84" t="str">
        <f>IF(AND($B123=[1]ana!$A120,[1]ana!$B120=J$4),"ok","nok")</f>
        <v>ok</v>
      </c>
      <c r="K123" s="84" t="str">
        <f>IF(AND($B123=[1]ana!$A120,[1]ana!$B120=K$4),"ok","nok")</f>
        <v>nok</v>
      </c>
      <c r="L123" s="84" t="str">
        <f>IF(AND($B123=[1]ana!$A120,[1]ana!$B120=L$4),"ok","nok")</f>
        <v>nok</v>
      </c>
      <c r="M123" s="84" t="str">
        <f>IF(AND($B123=[1]ana!$A120,[1]ana!$B120=M$4),"ok","nok")</f>
        <v>nok</v>
      </c>
      <c r="N123" s="84" t="str">
        <f>IF(AND($B123=[1]ana!$A120,[1]ana!$B120=N$4),"ok","nok")</f>
        <v>nok</v>
      </c>
      <c r="O123" s="84" t="str">
        <f>IF(AND($B123=[1]ana!$A120,[1]ana!$B120=O$4),"ok","nok")</f>
        <v>nok</v>
      </c>
      <c r="P123" s="84" t="str">
        <f>IF(AND($B123=[1]ana!$A120,[1]ana!$B120=P$4),"ok","nok")</f>
        <v>nok</v>
      </c>
      <c r="Q123" s="84" t="str">
        <f>IF(AND($B123=[1]ana!$A120,[1]ana!$B120=Q$4),"ok","nok")</f>
        <v>nok</v>
      </c>
      <c r="R123" s="84" t="str">
        <f>IF(AND($B123=[1]ana!$A120,[1]ana!$B120=R$4),"ok","nok")</f>
        <v>nok</v>
      </c>
      <c r="S123" s="84" t="str">
        <f>IF(AND($B123=[1]ana!$A120,[1]ana!$B120=S$4),"ok","nok")</f>
        <v>nok</v>
      </c>
      <c r="T123" s="84" t="str">
        <f>IF(AND($B123=[1]ana!$A120,[1]ana!$B120=T$4),"ok","nok")</f>
        <v>nok</v>
      </c>
      <c r="U123" s="84" t="str">
        <f>IF(AND($B123=[1]ana!$A120,[1]ana!$B120=U$4),"ok","nok")</f>
        <v>nok</v>
      </c>
      <c r="V123" s="84" t="str">
        <f>IF(AND($B123=[1]ana!$A120,[1]ana!$B120=V$4),"ok","nok")</f>
        <v>nok</v>
      </c>
      <c r="W123" s="84" t="str">
        <f>IF(AND($B123=[1]ana!$A120,[1]ana!$B120=W$4),"ok","nok")</f>
        <v>nok</v>
      </c>
      <c r="X123" s="84" t="str">
        <f>IF(AND($B123=[1]ana!$A120,[1]ana!$B120=X$4),"ok","nok")</f>
        <v>nok</v>
      </c>
      <c r="Y123" s="85" t="s">
        <v>33</v>
      </c>
      <c r="Z123" s="86"/>
      <c r="AA123" s="86"/>
      <c r="AB123" s="87"/>
      <c r="AC123" s="60" t="str">
        <f t="shared" si="19"/>
        <v>Aprovação do Cliente</v>
      </c>
      <c r="AD123" s="60"/>
      <c r="AE123" s="60"/>
      <c r="AF123" s="60"/>
      <c r="AG123" s="61">
        <f t="shared" si="20"/>
        <v>0</v>
      </c>
      <c r="AH123" s="61" t="str">
        <f t="shared" si="21"/>
        <v/>
      </c>
      <c r="AI123" s="61">
        <f t="shared" si="22"/>
        <v>1</v>
      </c>
      <c r="AJ123" s="61" t="str">
        <f t="shared" si="23"/>
        <v/>
      </c>
      <c r="AK123" s="61">
        <f t="shared" si="24"/>
        <v>0</v>
      </c>
      <c r="AL123" s="61" t="str">
        <f t="shared" si="25"/>
        <v/>
      </c>
      <c r="AM123" s="61">
        <f t="shared" si="26"/>
        <v>0</v>
      </c>
      <c r="AN123" s="61" t="str">
        <f t="shared" si="27"/>
        <v/>
      </c>
      <c r="AO123" s="61">
        <f t="shared" si="28"/>
        <v>0</v>
      </c>
      <c r="AP123" s="61" t="str">
        <f t="shared" si="29"/>
        <v/>
      </c>
      <c r="AQ123" s="13"/>
    </row>
    <row r="124" spans="1:43" ht="30" customHeight="1" x14ac:dyDescent="0.35">
      <c r="A124" s="26" t="str">
        <f t="shared" si="34"/>
        <v>PT165 - ESTUDO DE ENGENHARIA DO GALPÃO INDUSTRIAL G2 (Duque de Caxias)
FASE 4 - PROJETO DE ENGENHARIA
GALPÃO NOVO (CENÁRIO 2)
MARCO - PROJETO CONCEITUAL DAS FUNDAÇÕES</v>
      </c>
      <c r="B124" s="53" t="s">
        <v>44</v>
      </c>
      <c r="C124" s="84" t="str">
        <f>IF(AND($B124=[1]ana!$A121,[1]ana!$B121=C$4),"ok","nok")</f>
        <v>nok</v>
      </c>
      <c r="D124" s="84" t="str">
        <f>IF(AND($B124=[1]ana!$A121,[1]ana!$B121=D$4),"ok","nok")</f>
        <v>nok</v>
      </c>
      <c r="E124" s="84" t="str">
        <f>IF(AND($B124=[1]ana!$A121,[1]ana!$B121=E$4),"ok","nok")</f>
        <v>nok</v>
      </c>
      <c r="F124" s="84" t="str">
        <f>IF(AND($B124=[1]ana!$A121,[1]ana!$B121=F$4),"ok","nok")</f>
        <v>nok</v>
      </c>
      <c r="G124" s="84" t="str">
        <f>IF(AND($B124=[1]ana!$A121,[1]ana!$B121=G$4),"ok","nok")</f>
        <v>nok</v>
      </c>
      <c r="H124" s="84" t="str">
        <f>IF(AND($B124=[1]ana!$A121,[1]ana!$B121=H$4),"ok","nok")</f>
        <v>nok</v>
      </c>
      <c r="I124" s="84" t="str">
        <f>IF(AND($B124=[1]ana!$A121,[1]ana!$B121=I$4),"ok","nok")</f>
        <v>nok</v>
      </c>
      <c r="J124" s="84" t="str">
        <f>IF(AND($B124=[1]ana!$A121,[1]ana!$B121=J$4),"ok","nok")</f>
        <v>nok</v>
      </c>
      <c r="K124" s="84" t="str">
        <f>IF(AND($B124=[1]ana!$A121,[1]ana!$B121=K$4),"ok","nok")</f>
        <v>nok</v>
      </c>
      <c r="L124" s="84" t="str">
        <f>IF(AND($B124=[1]ana!$A121,[1]ana!$B121=L$4),"ok","nok")</f>
        <v>nok</v>
      </c>
      <c r="M124" s="84" t="str">
        <f>IF(AND($B124=[1]ana!$A121,[1]ana!$B121=M$4),"ok","nok")</f>
        <v>ok</v>
      </c>
      <c r="N124" s="84" t="str">
        <f>IF(AND($B124=[1]ana!$A121,[1]ana!$B121=N$4),"ok","nok")</f>
        <v>nok</v>
      </c>
      <c r="O124" s="84" t="str">
        <f>IF(AND($B124=[1]ana!$A121,[1]ana!$B121=O$4),"ok","nok")</f>
        <v>nok</v>
      </c>
      <c r="P124" s="84" t="str">
        <f>IF(AND($B124=[1]ana!$A121,[1]ana!$B121=P$4),"ok","nok")</f>
        <v>nok</v>
      </c>
      <c r="Q124" s="84" t="str">
        <f>IF(AND($B124=[1]ana!$A121,[1]ana!$B121=Q$4),"ok","nok")</f>
        <v>nok</v>
      </c>
      <c r="R124" s="84" t="str">
        <f>IF(AND($B124=[1]ana!$A121,[1]ana!$B121=R$4),"ok","nok")</f>
        <v>nok</v>
      </c>
      <c r="S124" s="84" t="str">
        <f>IF(AND($B124=[1]ana!$A121,[1]ana!$B121=S$4),"ok","nok")</f>
        <v>nok</v>
      </c>
      <c r="T124" s="84" t="str">
        <f>IF(AND($B124=[1]ana!$A121,[1]ana!$B121=T$4),"ok","nok")</f>
        <v>nok</v>
      </c>
      <c r="U124" s="84" t="str">
        <f>IF(AND($B124=[1]ana!$A121,[1]ana!$B121=U$4),"ok","nok")</f>
        <v>nok</v>
      </c>
      <c r="V124" s="84" t="str">
        <f>IF(AND($B124=[1]ana!$A121,[1]ana!$B121=V$4),"ok","nok")</f>
        <v>nok</v>
      </c>
      <c r="W124" s="84" t="str">
        <f>IF(AND($B124=[1]ana!$A121,[1]ana!$B121=W$4),"ok","nok")</f>
        <v>nok</v>
      </c>
      <c r="X124" s="84" t="str">
        <f>IF(AND($B124=[1]ana!$A121,[1]ana!$B121=X$4),"ok","nok")</f>
        <v>nok</v>
      </c>
      <c r="Y124" s="85" t="s">
        <v>33</v>
      </c>
      <c r="Z124" s="86"/>
      <c r="AA124" s="86"/>
      <c r="AB124" s="87"/>
      <c r="AC124" s="60" t="str">
        <f t="shared" si="19"/>
        <v>Certificação do documento - Vibracon</v>
      </c>
      <c r="AD124" s="60"/>
      <c r="AE124" s="60"/>
      <c r="AF124" s="60"/>
      <c r="AG124" s="61">
        <f t="shared" si="20"/>
        <v>0</v>
      </c>
      <c r="AH124" s="61" t="str">
        <f t="shared" si="21"/>
        <v/>
      </c>
      <c r="AI124" s="61">
        <f t="shared" si="22"/>
        <v>0</v>
      </c>
      <c r="AJ124" s="61" t="str">
        <f t="shared" si="23"/>
        <v/>
      </c>
      <c r="AK124" s="61">
        <f t="shared" si="24"/>
        <v>1</v>
      </c>
      <c r="AL124" s="61" t="str">
        <f t="shared" si="25"/>
        <v/>
      </c>
      <c r="AM124" s="61">
        <f t="shared" si="26"/>
        <v>0</v>
      </c>
      <c r="AN124" s="61" t="str">
        <f t="shared" si="27"/>
        <v/>
      </c>
      <c r="AO124" s="61">
        <f t="shared" si="28"/>
        <v>0</v>
      </c>
      <c r="AP124" s="61" t="str">
        <f t="shared" si="29"/>
        <v/>
      </c>
    </row>
    <row r="125" spans="1:43" ht="30" customHeight="1" x14ac:dyDescent="0.35">
      <c r="A125" s="26" t="str">
        <f t="shared" si="34"/>
        <v>PT165 - ESTUDO DE ENGENHARIA DO GALPÃO INDUSTRIAL G2 (Duque de Caxias)
FASE 4 - PROJETO DE ENGENHARIA
GALPÃO NOVO (CENÁRIO 2)
MARCO - PROJETO CONCEITUAL DAS FUNDAÇÕES</v>
      </c>
      <c r="B125" s="53" t="s">
        <v>45</v>
      </c>
      <c r="C125" s="84" t="str">
        <f>IF(AND($B125=[1]ana!$A122,[1]ana!$B122=C$4),"ok","nok")</f>
        <v>nok</v>
      </c>
      <c r="D125" s="84" t="str">
        <f>IF(AND($B125=[1]ana!$A122,[1]ana!$B122=D$4),"ok","nok")</f>
        <v>nok</v>
      </c>
      <c r="E125" s="84" t="str">
        <f>IF(AND($B125=[1]ana!$A122,[1]ana!$B122=E$4),"ok","nok")</f>
        <v>nok</v>
      </c>
      <c r="F125" s="84" t="str">
        <f>IF(AND($B125=[1]ana!$A122,[1]ana!$B122=F$4),"ok","nok")</f>
        <v>nok</v>
      </c>
      <c r="G125" s="84" t="str">
        <f>IF(AND($B125=[1]ana!$A122,[1]ana!$B122=G$4),"ok","nok")</f>
        <v>nok</v>
      </c>
      <c r="H125" s="84" t="str">
        <f>IF(AND($B125=[1]ana!$A122,[1]ana!$B122=H$4),"ok","nok")</f>
        <v>nok</v>
      </c>
      <c r="I125" s="84" t="str">
        <f>IF(AND($B125=[1]ana!$A122,[1]ana!$B122=I$4),"ok","nok")</f>
        <v>nok</v>
      </c>
      <c r="J125" s="84" t="str">
        <f>IF(AND($B125=[1]ana!$A122,[1]ana!$B122=J$4),"ok","nok")</f>
        <v>nok</v>
      </c>
      <c r="K125" s="84" t="str">
        <f>IF(AND($B125=[1]ana!$A122,[1]ana!$B122=K$4),"ok","nok")</f>
        <v>nok</v>
      </c>
      <c r="L125" s="84" t="str">
        <f>IF(AND($B125=[1]ana!$A122,[1]ana!$B122=L$4),"ok","nok")</f>
        <v>nok</v>
      </c>
      <c r="M125" s="84" t="str">
        <f>IF(AND($B125=[1]ana!$A122,[1]ana!$B122=M$4),"ok","nok")</f>
        <v>ok</v>
      </c>
      <c r="N125" s="84" t="str">
        <f>IF(AND($B125=[1]ana!$A122,[1]ana!$B122=N$4),"ok","nok")</f>
        <v>nok</v>
      </c>
      <c r="O125" s="84" t="str">
        <f>IF(AND($B125=[1]ana!$A122,[1]ana!$B122=O$4),"ok","nok")</f>
        <v>nok</v>
      </c>
      <c r="P125" s="84" t="str">
        <f>IF(AND($B125=[1]ana!$A122,[1]ana!$B122=P$4),"ok","nok")</f>
        <v>nok</v>
      </c>
      <c r="Q125" s="84" t="str">
        <f>IF(AND($B125=[1]ana!$A122,[1]ana!$B122=Q$4),"ok","nok")</f>
        <v>nok</v>
      </c>
      <c r="R125" s="84" t="str">
        <f>IF(AND($B125=[1]ana!$A122,[1]ana!$B122=R$4),"ok","nok")</f>
        <v>nok</v>
      </c>
      <c r="S125" s="84" t="str">
        <f>IF(AND($B125=[1]ana!$A122,[1]ana!$B122=S$4),"ok","nok")</f>
        <v>nok</v>
      </c>
      <c r="T125" s="84" t="str">
        <f>IF(AND($B125=[1]ana!$A122,[1]ana!$B122=T$4),"ok","nok")</f>
        <v>nok</v>
      </c>
      <c r="U125" s="84" t="str">
        <f>IF(AND($B125=[1]ana!$A122,[1]ana!$B122=U$4),"ok","nok")</f>
        <v>nok</v>
      </c>
      <c r="V125" s="84" t="str">
        <f>IF(AND($B125=[1]ana!$A122,[1]ana!$B122=V$4),"ok","nok")</f>
        <v>nok</v>
      </c>
      <c r="W125" s="84" t="str">
        <f>IF(AND($B125=[1]ana!$A122,[1]ana!$B122=W$4),"ok","nok")</f>
        <v>nok</v>
      </c>
      <c r="X125" s="84" t="str">
        <f>IF(AND($B125=[1]ana!$A122,[1]ana!$B122=X$4),"ok","nok")</f>
        <v>nok</v>
      </c>
      <c r="Y125" s="85" t="s">
        <v>33</v>
      </c>
      <c r="Z125" s="86"/>
      <c r="AA125" s="86"/>
      <c r="AB125" s="87"/>
      <c r="AC125" s="60" t="str">
        <f t="shared" si="19"/>
        <v>MARCO - Envio do documento Certificado (Rev_0)</v>
      </c>
      <c r="AD125" s="60"/>
      <c r="AE125" s="60"/>
      <c r="AF125" s="60"/>
      <c r="AG125" s="61">
        <f t="shared" si="20"/>
        <v>0</v>
      </c>
      <c r="AH125" s="61" t="str">
        <f t="shared" si="21"/>
        <v/>
      </c>
      <c r="AI125" s="61">
        <f t="shared" si="22"/>
        <v>0</v>
      </c>
      <c r="AJ125" s="61" t="str">
        <f t="shared" si="23"/>
        <v/>
      </c>
      <c r="AK125" s="61">
        <f t="shared" si="24"/>
        <v>1</v>
      </c>
      <c r="AL125" s="61" t="str">
        <f t="shared" si="25"/>
        <v/>
      </c>
      <c r="AM125" s="61">
        <f t="shared" si="26"/>
        <v>0</v>
      </c>
      <c r="AN125" s="61" t="str">
        <f t="shared" si="27"/>
        <v/>
      </c>
      <c r="AO125" s="61">
        <f t="shared" si="28"/>
        <v>0</v>
      </c>
      <c r="AP125" s="61" t="str">
        <f t="shared" si="29"/>
        <v/>
      </c>
    </row>
    <row r="126" spans="1:43" ht="30" customHeight="1" x14ac:dyDescent="0.35">
      <c r="A126" s="26" t="str">
        <f t="shared" si="34"/>
        <v>PT165 - ESTUDO DE ENGENHARIA DO GALPÃO INDUSTRIAL G2 (Duque de Caxias)
FASE 4 - PROJETO DE ENGENHARIA
GALPÃO NOVO (CENÁRIO 2)
MARCO - PROJETO CONCEITUAL DAS FUNDAÇÕES</v>
      </c>
      <c r="B126" s="51" t="s">
        <v>150</v>
      </c>
      <c r="C126" s="84" t="str">
        <f>IF(AND($B126=[1]ana!$A123,[1]ana!$B123=C$4),"ok","nok")</f>
        <v>nok</v>
      </c>
      <c r="D126" s="84" t="str">
        <f>IF(AND($B126=[1]ana!$A123,[1]ana!$B123=D$4),"ok","nok")</f>
        <v>nok</v>
      </c>
      <c r="E126" s="84" t="str">
        <f>IF(AND($B126=[1]ana!$A123,[1]ana!$B123=E$4),"ok","nok")</f>
        <v>nok</v>
      </c>
      <c r="F126" s="84" t="str">
        <f>IF(AND($B126=[1]ana!$A123,[1]ana!$B123=F$4),"ok","nok")</f>
        <v>nok</v>
      </c>
      <c r="G126" s="84" t="str">
        <f>IF(AND($B126=[1]ana!$A123,[1]ana!$B123=G$4),"ok","nok")</f>
        <v>ok</v>
      </c>
      <c r="H126" s="84" t="str">
        <f>IF(AND($B126=[1]ana!$A123,[1]ana!$B123=H$4),"ok","nok")</f>
        <v>nok</v>
      </c>
      <c r="I126" s="84" t="str">
        <f>IF(AND($B126=[1]ana!$A123,[1]ana!$B123=I$4),"ok","nok")</f>
        <v>nok</v>
      </c>
      <c r="J126" s="84" t="str">
        <f>IF(AND($B126=[1]ana!$A123,[1]ana!$B123=J$4),"ok","nok")</f>
        <v>nok</v>
      </c>
      <c r="K126" s="84" t="str">
        <f>IF(AND($B126=[1]ana!$A123,[1]ana!$B123=K$4),"ok","nok")</f>
        <v>nok</v>
      </c>
      <c r="L126" s="84" t="str">
        <f>IF(AND($B126=[1]ana!$A123,[1]ana!$B123=L$4),"ok","nok")</f>
        <v>nok</v>
      </c>
      <c r="M126" s="84" t="str">
        <f>IF(AND($B126=[1]ana!$A123,[1]ana!$B123=M$4),"ok","nok")</f>
        <v>nok</v>
      </c>
      <c r="N126" s="84" t="str">
        <f>IF(AND($B126=[1]ana!$A123,[1]ana!$B123=N$4),"ok","nok")</f>
        <v>nok</v>
      </c>
      <c r="O126" s="84" t="str">
        <f>IF(AND($B126=[1]ana!$A123,[1]ana!$B123=O$4),"ok","nok")</f>
        <v>nok</v>
      </c>
      <c r="P126" s="84" t="str">
        <f>IF(AND($B126=[1]ana!$A123,[1]ana!$B123=P$4),"ok","nok")</f>
        <v>nok</v>
      </c>
      <c r="Q126" s="84" t="str">
        <f>IF(AND($B126=[1]ana!$A123,[1]ana!$B123=Q$4),"ok","nok")</f>
        <v>nok</v>
      </c>
      <c r="R126" s="84" t="str">
        <f>IF(AND($B126=[1]ana!$A123,[1]ana!$B123=R$4),"ok","nok")</f>
        <v>nok</v>
      </c>
      <c r="S126" s="84" t="str">
        <f>IF(AND($B126=[1]ana!$A123,[1]ana!$B123=S$4),"ok","nok")</f>
        <v>nok</v>
      </c>
      <c r="T126" s="84" t="str">
        <f>IF(AND($B126=[1]ana!$A123,[1]ana!$B123=T$4),"ok","nok")</f>
        <v>nok</v>
      </c>
      <c r="U126" s="84" t="str">
        <f>IF(AND($B126=[1]ana!$A123,[1]ana!$B123=U$4),"ok","nok")</f>
        <v>nok</v>
      </c>
      <c r="V126" s="84" t="str">
        <f>IF(AND($B126=[1]ana!$A123,[1]ana!$B123=V$4),"ok","nok")</f>
        <v>nok</v>
      </c>
      <c r="W126" s="84" t="str">
        <f>IF(AND($B126=[1]ana!$A123,[1]ana!$B123=W$4),"ok","nok")</f>
        <v>nok</v>
      </c>
      <c r="X126" s="84" t="str">
        <f>IF(AND($B126=[1]ana!$A123,[1]ana!$B123=X$4),"ok","nok")</f>
        <v>nok</v>
      </c>
      <c r="Y126" s="85" t="s">
        <v>2</v>
      </c>
      <c r="Z126" s="86"/>
      <c r="AA126" s="86"/>
      <c r="AB126" s="87"/>
      <c r="AC126" s="60" t="str">
        <f t="shared" si="19"/>
        <v/>
      </c>
      <c r="AD126" s="60"/>
      <c r="AE126" s="60"/>
      <c r="AF126" s="60"/>
      <c r="AG126" s="61">
        <f t="shared" si="20"/>
        <v>1</v>
      </c>
      <c r="AH126" s="61" t="str">
        <f t="shared" si="21"/>
        <v>ENTREGUE</v>
      </c>
      <c r="AI126" s="61">
        <f t="shared" si="22"/>
        <v>0</v>
      </c>
      <c r="AJ126" s="61" t="str">
        <f t="shared" si="23"/>
        <v/>
      </c>
      <c r="AK126" s="61">
        <f t="shared" si="24"/>
        <v>0</v>
      </c>
      <c r="AL126" s="61" t="str">
        <f t="shared" si="25"/>
        <v/>
      </c>
      <c r="AM126" s="61">
        <f t="shared" si="26"/>
        <v>0</v>
      </c>
      <c r="AN126" s="61" t="str">
        <f t="shared" si="27"/>
        <v/>
      </c>
      <c r="AO126" s="61">
        <f t="shared" si="28"/>
        <v>0</v>
      </c>
      <c r="AP126" s="61" t="str">
        <f t="shared" si="29"/>
        <v/>
      </c>
    </row>
    <row r="127" spans="1:43" ht="30" customHeight="1" x14ac:dyDescent="0.35">
      <c r="A127" s="26" t="str">
        <f t="shared" si="34"/>
        <v>PT165 - ESTUDO DE ENGENHARIA DO GALPÃO INDUSTRIAL G2 (Duque de Caxias)
FASE 4 - PROJETO DE ENGENHARIA
GALPÃO NOVO (CENÁRIO 2)
MARCO - PROJETO CONCEITUAL DAS FUNDAÇÕES</v>
      </c>
      <c r="B127" s="51" t="s">
        <v>90</v>
      </c>
      <c r="C127" s="84" t="str">
        <f>IF(AND($B127=[1]ana!$A124,[1]ana!$B124=C$4),"ok","nok")</f>
        <v>nok</v>
      </c>
      <c r="D127" s="84" t="str">
        <f>IF(AND($B127=[1]ana!$A124,[1]ana!$B124=D$4),"ok","nok")</f>
        <v>nok</v>
      </c>
      <c r="E127" s="84" t="str">
        <f>IF(AND($B127=[1]ana!$A124,[1]ana!$B124=E$4),"ok","nok")</f>
        <v>nok</v>
      </c>
      <c r="F127" s="84" t="str">
        <f>IF(AND($B127=[1]ana!$A124,[1]ana!$B124=F$4),"ok","nok")</f>
        <v>nok</v>
      </c>
      <c r="G127" s="84" t="str">
        <f>IF(AND($B127=[1]ana!$A124,[1]ana!$B124=G$4),"ok","nok")</f>
        <v>ok</v>
      </c>
      <c r="H127" s="84" t="str">
        <f>IF(AND($B127=[1]ana!$A124,[1]ana!$B124=H$4),"ok","nok")</f>
        <v>nok</v>
      </c>
      <c r="I127" s="84" t="str">
        <f>IF(AND($B127=[1]ana!$A124,[1]ana!$B124=I$4),"ok","nok")</f>
        <v>nok</v>
      </c>
      <c r="J127" s="84" t="str">
        <f>IF(AND($B127=[1]ana!$A124,[1]ana!$B124=J$4),"ok","nok")</f>
        <v>nok</v>
      </c>
      <c r="K127" s="84" t="str">
        <f>IF(AND($B127=[1]ana!$A124,[1]ana!$B124=K$4),"ok","nok")</f>
        <v>nok</v>
      </c>
      <c r="L127" s="84" t="str">
        <f>IF(AND($B127=[1]ana!$A124,[1]ana!$B124=L$4),"ok","nok")</f>
        <v>nok</v>
      </c>
      <c r="M127" s="84" t="str">
        <f>IF(AND($B127=[1]ana!$A124,[1]ana!$B124=M$4),"ok","nok")</f>
        <v>nok</v>
      </c>
      <c r="N127" s="84" t="str">
        <f>IF(AND($B127=[1]ana!$A124,[1]ana!$B124=N$4),"ok","nok")</f>
        <v>nok</v>
      </c>
      <c r="O127" s="84" t="str">
        <f>IF(AND($B127=[1]ana!$A124,[1]ana!$B124=O$4),"ok","nok")</f>
        <v>nok</v>
      </c>
      <c r="P127" s="84" t="str">
        <f>IF(AND($B127=[1]ana!$A124,[1]ana!$B124=P$4),"ok","nok")</f>
        <v>nok</v>
      </c>
      <c r="Q127" s="84" t="str">
        <f>IF(AND($B127=[1]ana!$A124,[1]ana!$B124=Q$4),"ok","nok")</f>
        <v>nok</v>
      </c>
      <c r="R127" s="84" t="str">
        <f>IF(AND($B127=[1]ana!$A124,[1]ana!$B124=R$4),"ok","nok")</f>
        <v>nok</v>
      </c>
      <c r="S127" s="84" t="str">
        <f>IF(AND($B127=[1]ana!$A124,[1]ana!$B124=S$4),"ok","nok")</f>
        <v>nok</v>
      </c>
      <c r="T127" s="84" t="str">
        <f>IF(AND($B127=[1]ana!$A124,[1]ana!$B124=T$4),"ok","nok")</f>
        <v>nok</v>
      </c>
      <c r="U127" s="84" t="str">
        <f>IF(AND($B127=[1]ana!$A124,[1]ana!$B124=U$4),"ok","nok")</f>
        <v>nok</v>
      </c>
      <c r="V127" s="84" t="str">
        <f>IF(AND($B127=[1]ana!$A124,[1]ana!$B124=V$4),"ok","nok")</f>
        <v>nok</v>
      </c>
      <c r="W127" s="84" t="str">
        <f>IF(AND($B127=[1]ana!$A124,[1]ana!$B124=W$4),"ok","nok")</f>
        <v>nok</v>
      </c>
      <c r="X127" s="84" t="str">
        <f>IF(AND($B127=[1]ana!$A124,[1]ana!$B124=X$4),"ok","nok")</f>
        <v>nok</v>
      </c>
      <c r="Y127" s="85" t="s">
        <v>2</v>
      </c>
      <c r="Z127" s="86"/>
      <c r="AA127" s="86"/>
      <c r="AB127" s="87"/>
      <c r="AC127" s="60" t="str">
        <f t="shared" si="19"/>
        <v/>
      </c>
      <c r="AD127" s="60"/>
      <c r="AE127" s="60"/>
      <c r="AF127" s="60"/>
      <c r="AG127" s="61">
        <f t="shared" si="20"/>
        <v>1</v>
      </c>
      <c r="AH127" s="61" t="str">
        <f t="shared" si="21"/>
        <v>ENTREGUE</v>
      </c>
      <c r="AI127" s="61">
        <f t="shared" si="22"/>
        <v>0</v>
      </c>
      <c r="AJ127" s="61" t="str">
        <f t="shared" si="23"/>
        <v/>
      </c>
      <c r="AK127" s="61">
        <f t="shared" si="24"/>
        <v>0</v>
      </c>
      <c r="AL127" s="61" t="str">
        <f t="shared" si="25"/>
        <v/>
      </c>
      <c r="AM127" s="61">
        <f t="shared" si="26"/>
        <v>0</v>
      </c>
      <c r="AN127" s="61" t="str">
        <f t="shared" si="27"/>
        <v/>
      </c>
      <c r="AO127" s="61">
        <f t="shared" si="28"/>
        <v>0</v>
      </c>
      <c r="AP127" s="61" t="str">
        <f t="shared" si="29"/>
        <v/>
      </c>
    </row>
    <row r="128" spans="1:43" ht="30" customHeight="1" x14ac:dyDescent="0.35">
      <c r="B128" s="52" t="s">
        <v>151</v>
      </c>
      <c r="C128" s="52"/>
      <c r="D128" s="52"/>
      <c r="E128" s="52"/>
      <c r="F128" s="52"/>
      <c r="G128" s="52"/>
      <c r="H128" s="52"/>
      <c r="I128" s="52"/>
      <c r="J128" s="52"/>
      <c r="K128" s="52"/>
      <c r="L128" s="52"/>
      <c r="M128" s="52"/>
      <c r="N128" s="52"/>
      <c r="O128" s="52"/>
      <c r="P128" s="52"/>
      <c r="Q128" s="52"/>
      <c r="R128" s="52"/>
      <c r="S128" s="52"/>
      <c r="T128" s="52"/>
      <c r="U128" s="52"/>
      <c r="V128" s="52"/>
      <c r="W128" s="52"/>
      <c r="X128" s="52"/>
      <c r="Y128" s="88"/>
      <c r="Z128" s="89"/>
      <c r="AA128" s="89"/>
      <c r="AB128" s="90"/>
      <c r="AC128" s="60" t="str">
        <f t="shared" si="19"/>
        <v/>
      </c>
      <c r="AD128" s="60"/>
      <c r="AE128" s="60"/>
      <c r="AF128" s="60"/>
      <c r="AG128" s="61">
        <f t="shared" si="20"/>
        <v>0</v>
      </c>
      <c r="AH128" s="61" t="str">
        <f t="shared" si="21"/>
        <v/>
      </c>
      <c r="AI128" s="61">
        <f t="shared" si="22"/>
        <v>0</v>
      </c>
      <c r="AJ128" s="61" t="str">
        <f t="shared" si="23"/>
        <v/>
      </c>
      <c r="AK128" s="61">
        <f t="shared" si="24"/>
        <v>0</v>
      </c>
      <c r="AL128" s="61" t="str">
        <f t="shared" si="25"/>
        <v/>
      </c>
      <c r="AM128" s="61">
        <f t="shared" si="26"/>
        <v>0</v>
      </c>
      <c r="AN128" s="61" t="str">
        <f t="shared" si="27"/>
        <v/>
      </c>
      <c r="AO128" s="61">
        <f t="shared" si="28"/>
        <v>0</v>
      </c>
      <c r="AP128" s="61" t="str">
        <f t="shared" si="29"/>
        <v/>
      </c>
    </row>
    <row r="129" spans="1:42" ht="30" customHeight="1" x14ac:dyDescent="0.35">
      <c r="A129" s="26" t="str">
        <f>CONCATENATE($B$81,"
",$B$114,"
",$B$115,"
",$B$128)</f>
        <v>PT165 - ESTUDO DE ENGENHARIA DO GALPÃO INDUSTRIAL G2 (Duque de Caxias)
FASE 4 - PROJETO DE ENGENHARIA
GALPÃO NOVO (CENÁRIO 2)
MARCO - PROJETO CONCEITUAL (INSTALAÇÕES ELÉTRICAS, UTILIDADES, SPDA, SPCI, PONTE ROLANTE, SALAS ADM.)</v>
      </c>
      <c r="B129" s="53" t="s">
        <v>19</v>
      </c>
      <c r="C129" s="84" t="str">
        <f>IF(AND($B129=[1]ana!$A126,[1]ana!$B126=C$4),"ok","nok")</f>
        <v>nok</v>
      </c>
      <c r="D129" s="84" t="str">
        <f>IF(AND($B129=[1]ana!$A126,[1]ana!$B126=D$4),"ok","nok")</f>
        <v>nok</v>
      </c>
      <c r="E129" s="84" t="str">
        <f>IF(AND($B129=[1]ana!$A126,[1]ana!$B126=E$4),"ok","nok")</f>
        <v>nok</v>
      </c>
      <c r="F129" s="84" t="str">
        <f>IF(AND($B129=[1]ana!$A126,[1]ana!$B126=F$4),"ok","nok")</f>
        <v>nok</v>
      </c>
      <c r="G129" s="84" t="str">
        <f>IF(AND($B129=[1]ana!$A126,[1]ana!$B126=G$4),"ok","nok")</f>
        <v>ok</v>
      </c>
      <c r="H129" s="84" t="str">
        <f>IF(AND($B129=[1]ana!$A126,[1]ana!$B126=H$4),"ok","nok")</f>
        <v>nok</v>
      </c>
      <c r="I129" s="84" t="str">
        <f>IF(AND($B129=[1]ana!$A126,[1]ana!$B126=I$4),"ok","nok")</f>
        <v>nok</v>
      </c>
      <c r="J129" s="84" t="str">
        <f>IF(AND($B129=[1]ana!$A126,[1]ana!$B126=J$4),"ok","nok")</f>
        <v>nok</v>
      </c>
      <c r="K129" s="84" t="str">
        <f>IF(AND($B129=[1]ana!$A126,[1]ana!$B126=K$4),"ok","nok")</f>
        <v>nok</v>
      </c>
      <c r="L129" s="84" t="str">
        <f>IF(AND($B129=[1]ana!$A126,[1]ana!$B126=L$4),"ok","nok")</f>
        <v>nok</v>
      </c>
      <c r="M129" s="84" t="str">
        <f>IF(AND($B129=[1]ana!$A126,[1]ana!$B126=M$4),"ok","nok")</f>
        <v>nok</v>
      </c>
      <c r="N129" s="84" t="str">
        <f>IF(AND($B129=[1]ana!$A126,[1]ana!$B126=N$4),"ok","nok")</f>
        <v>nok</v>
      </c>
      <c r="O129" s="84" t="str">
        <f>IF(AND($B129=[1]ana!$A126,[1]ana!$B126=O$4),"ok","nok")</f>
        <v>nok</v>
      </c>
      <c r="P129" s="84" t="str">
        <f>IF(AND($B129=[1]ana!$A126,[1]ana!$B126=P$4),"ok","nok")</f>
        <v>nok</v>
      </c>
      <c r="Q129" s="84" t="str">
        <f>IF(AND($B129=[1]ana!$A126,[1]ana!$B126=Q$4),"ok","nok")</f>
        <v>nok</v>
      </c>
      <c r="R129" s="84" t="str">
        <f>IF(AND($B129=[1]ana!$A126,[1]ana!$B126=R$4),"ok","nok")</f>
        <v>nok</v>
      </c>
      <c r="S129" s="84" t="str">
        <f>IF(AND($B129=[1]ana!$A126,[1]ana!$B126=S$4),"ok","nok")</f>
        <v>nok</v>
      </c>
      <c r="T129" s="84" t="str">
        <f>IF(AND($B129=[1]ana!$A126,[1]ana!$B126=T$4),"ok","nok")</f>
        <v>nok</v>
      </c>
      <c r="U129" s="84" t="str">
        <f>IF(AND($B129=[1]ana!$A126,[1]ana!$B126=U$4),"ok","nok")</f>
        <v>nok</v>
      </c>
      <c r="V129" s="84" t="str">
        <f>IF(AND($B129=[1]ana!$A126,[1]ana!$B126=V$4),"ok","nok")</f>
        <v>nok</v>
      </c>
      <c r="W129" s="84" t="str">
        <f>IF(AND($B129=[1]ana!$A126,[1]ana!$B126=W$4),"ok","nok")</f>
        <v>nok</v>
      </c>
      <c r="X129" s="84" t="str">
        <f>IF(AND($B129=[1]ana!$A126,[1]ana!$B126=X$4),"ok","nok")</f>
        <v>nok</v>
      </c>
      <c r="Y129" s="85" t="s">
        <v>2</v>
      </c>
      <c r="Z129" s="86"/>
      <c r="AA129" s="86"/>
      <c r="AB129" s="87"/>
      <c r="AC129" s="60" t="str">
        <f t="shared" si="19"/>
        <v/>
      </c>
      <c r="AD129" s="60"/>
      <c r="AE129" s="60"/>
      <c r="AF129" s="60"/>
      <c r="AG129" s="61">
        <f t="shared" si="20"/>
        <v>1</v>
      </c>
      <c r="AH129" s="61" t="str">
        <f t="shared" si="21"/>
        <v>ENTREGUE</v>
      </c>
      <c r="AI129" s="61">
        <f t="shared" si="22"/>
        <v>0</v>
      </c>
      <c r="AJ129" s="61" t="str">
        <f t="shared" si="23"/>
        <v/>
      </c>
      <c r="AK129" s="61">
        <f t="shared" si="24"/>
        <v>0</v>
      </c>
      <c r="AL129" s="61" t="str">
        <f t="shared" si="25"/>
        <v/>
      </c>
      <c r="AM129" s="61">
        <f t="shared" si="26"/>
        <v>0</v>
      </c>
      <c r="AN129" s="61" t="str">
        <f t="shared" si="27"/>
        <v/>
      </c>
      <c r="AO129" s="61">
        <f t="shared" si="28"/>
        <v>0</v>
      </c>
      <c r="AP129" s="61" t="str">
        <f t="shared" si="29"/>
        <v/>
      </c>
    </row>
    <row r="130" spans="1:42" ht="30" customHeight="1" x14ac:dyDescent="0.35">
      <c r="A130" s="26" t="str">
        <f t="shared" ref="A130:A132" si="35">CONCATENATE($B$81,"
",$B$114,"
",$B$115,"
",$B$128)</f>
        <v>PT165 - ESTUDO DE ENGENHARIA DO GALPÃO INDUSTRIAL G2 (Duque de Caxias)
FASE 4 - PROJETO DE ENGENHARIA
GALPÃO NOVO (CENÁRIO 2)
MARCO - PROJETO CONCEITUAL (INSTALAÇÕES ELÉTRICAS, UTILIDADES, SPDA, SPCI, PONTE ROLANTE, SALAS ADM.)</v>
      </c>
      <c r="B130" s="53" t="s">
        <v>43</v>
      </c>
      <c r="C130" s="84" t="str">
        <f>IF(AND($B130=[1]ana!$A127,[1]ana!$B127=C$4),"ok","nok")</f>
        <v>nok</v>
      </c>
      <c r="D130" s="84" t="str">
        <f>IF(AND($B130=[1]ana!$A127,[1]ana!$B127=D$4),"ok","nok")</f>
        <v>nok</v>
      </c>
      <c r="E130" s="84" t="str">
        <f>IF(AND($B130=[1]ana!$A127,[1]ana!$B127=E$4),"ok","nok")</f>
        <v>nok</v>
      </c>
      <c r="F130" s="84" t="str">
        <f>IF(AND($B130=[1]ana!$A127,[1]ana!$B127=F$4),"ok","nok")</f>
        <v>nok</v>
      </c>
      <c r="G130" s="84" t="str">
        <f>IF(AND($B130=[1]ana!$A127,[1]ana!$B127=G$4),"ok","nok")</f>
        <v>nok</v>
      </c>
      <c r="H130" s="84" t="str">
        <f>IF(AND($B130=[1]ana!$A127,[1]ana!$B127=H$4),"ok","nok")</f>
        <v>nok</v>
      </c>
      <c r="I130" s="84" t="str">
        <f>IF(AND($B130=[1]ana!$A127,[1]ana!$B127=I$4),"ok","nok")</f>
        <v>nok</v>
      </c>
      <c r="J130" s="84" t="str">
        <f>IF(AND($B130=[1]ana!$A127,[1]ana!$B127=J$4),"ok","nok")</f>
        <v>nok</v>
      </c>
      <c r="K130" s="84" t="str">
        <f>IF(AND($B130=[1]ana!$A127,[1]ana!$B127=K$4),"ok","nok")</f>
        <v>nok</v>
      </c>
      <c r="L130" s="84" t="str">
        <f>IF(AND($B130=[1]ana!$A127,[1]ana!$B127=L$4),"ok","nok")</f>
        <v>ok</v>
      </c>
      <c r="M130" s="84" t="str">
        <f>IF(AND($B130=[1]ana!$A127,[1]ana!$B127=M$4),"ok","nok")</f>
        <v>nok</v>
      </c>
      <c r="N130" s="84" t="str">
        <f>IF(AND($B130=[1]ana!$A127,[1]ana!$B127=N$4),"ok","nok")</f>
        <v>nok</v>
      </c>
      <c r="O130" s="84" t="str">
        <f>IF(AND($B130=[1]ana!$A127,[1]ana!$B127=O$4),"ok","nok")</f>
        <v>nok</v>
      </c>
      <c r="P130" s="84" t="str">
        <f>IF(AND($B130=[1]ana!$A127,[1]ana!$B127=P$4),"ok","nok")</f>
        <v>nok</v>
      </c>
      <c r="Q130" s="84" t="str">
        <f>IF(AND($B130=[1]ana!$A127,[1]ana!$B127=Q$4),"ok","nok")</f>
        <v>nok</v>
      </c>
      <c r="R130" s="84" t="str">
        <f>IF(AND($B130=[1]ana!$A127,[1]ana!$B127=R$4),"ok","nok")</f>
        <v>nok</v>
      </c>
      <c r="S130" s="84" t="str">
        <f>IF(AND($B130=[1]ana!$A127,[1]ana!$B127=S$4),"ok","nok")</f>
        <v>nok</v>
      </c>
      <c r="T130" s="84" t="str">
        <f>IF(AND($B130=[1]ana!$A127,[1]ana!$B127=T$4),"ok","nok")</f>
        <v>nok</v>
      </c>
      <c r="U130" s="84" t="str">
        <f>IF(AND($B130=[1]ana!$A127,[1]ana!$B127=U$4),"ok","nok")</f>
        <v>nok</v>
      </c>
      <c r="V130" s="84" t="str">
        <f>IF(AND($B130=[1]ana!$A127,[1]ana!$B127=V$4),"ok","nok")</f>
        <v>nok</v>
      </c>
      <c r="W130" s="84" t="str">
        <f>IF(AND($B130=[1]ana!$A127,[1]ana!$B127=W$4),"ok","nok")</f>
        <v>nok</v>
      </c>
      <c r="X130" s="84" t="str">
        <f>IF(AND($B130=[1]ana!$A127,[1]ana!$B127=X$4),"ok","nok")</f>
        <v>nok</v>
      </c>
      <c r="Y130" s="85" t="s">
        <v>2</v>
      </c>
      <c r="Z130" s="86"/>
      <c r="AA130" s="86"/>
      <c r="AB130" s="87"/>
      <c r="AC130" s="60" t="str">
        <f t="shared" si="19"/>
        <v/>
      </c>
      <c r="AD130" s="60"/>
      <c r="AE130" s="60"/>
      <c r="AF130" s="60"/>
      <c r="AG130" s="61">
        <f t="shared" si="20"/>
        <v>0</v>
      </c>
      <c r="AH130" s="61" t="str">
        <f t="shared" si="21"/>
        <v/>
      </c>
      <c r="AI130" s="61">
        <f t="shared" si="22"/>
        <v>1</v>
      </c>
      <c r="AJ130" s="61" t="str">
        <f t="shared" si="23"/>
        <v>ENTREGUE</v>
      </c>
      <c r="AK130" s="61">
        <f t="shared" si="24"/>
        <v>0</v>
      </c>
      <c r="AL130" s="61" t="str">
        <f t="shared" si="25"/>
        <v/>
      </c>
      <c r="AM130" s="61">
        <f t="shared" si="26"/>
        <v>0</v>
      </c>
      <c r="AN130" s="61" t="str">
        <f t="shared" si="27"/>
        <v/>
      </c>
      <c r="AO130" s="61">
        <f t="shared" si="28"/>
        <v>0</v>
      </c>
      <c r="AP130" s="61" t="str">
        <f t="shared" si="29"/>
        <v/>
      </c>
    </row>
    <row r="131" spans="1:42" ht="30" customHeight="1" x14ac:dyDescent="0.35">
      <c r="A131" s="26" t="str">
        <f t="shared" si="35"/>
        <v>PT165 - ESTUDO DE ENGENHARIA DO GALPÃO INDUSTRIAL G2 (Duque de Caxias)
FASE 4 - PROJETO DE ENGENHARIA
GALPÃO NOVO (CENÁRIO 2)
MARCO - PROJETO CONCEITUAL (INSTALAÇÕES ELÉTRICAS, UTILIDADES, SPDA, SPCI, PONTE ROLANTE, SALAS ADM.)</v>
      </c>
      <c r="B131" s="53" t="s">
        <v>44</v>
      </c>
      <c r="C131" s="84" t="str">
        <f>IF(AND($B131=[1]ana!$A128,[1]ana!$B128=C$4),"ok","nok")</f>
        <v>nok</v>
      </c>
      <c r="D131" s="84" t="str">
        <f>IF(AND($B131=[1]ana!$A128,[1]ana!$B128=D$4),"ok","nok")</f>
        <v>nok</v>
      </c>
      <c r="E131" s="84" t="str">
        <f>IF(AND($B131=[1]ana!$A128,[1]ana!$B128=E$4),"ok","nok")</f>
        <v>nok</v>
      </c>
      <c r="F131" s="84" t="str">
        <f>IF(AND($B131=[1]ana!$A128,[1]ana!$B128=F$4),"ok","nok")</f>
        <v>nok</v>
      </c>
      <c r="G131" s="84" t="str">
        <f>IF(AND($B131=[1]ana!$A128,[1]ana!$B128=G$4),"ok","nok")</f>
        <v>nok</v>
      </c>
      <c r="H131" s="84" t="str">
        <f>IF(AND($B131=[1]ana!$A128,[1]ana!$B128=H$4),"ok","nok")</f>
        <v>nok</v>
      </c>
      <c r="I131" s="84" t="str">
        <f>IF(AND($B131=[1]ana!$A128,[1]ana!$B128=I$4),"ok","nok")</f>
        <v>nok</v>
      </c>
      <c r="J131" s="84" t="str">
        <f>IF(AND($B131=[1]ana!$A128,[1]ana!$B128=J$4),"ok","nok")</f>
        <v>nok</v>
      </c>
      <c r="K131" s="84" t="str">
        <f>IF(AND($B131=[1]ana!$A128,[1]ana!$B128=K$4),"ok","nok")</f>
        <v>nok</v>
      </c>
      <c r="L131" s="84" t="str">
        <f>IF(AND($B131=[1]ana!$A128,[1]ana!$B128=L$4),"ok","nok")</f>
        <v>nok</v>
      </c>
      <c r="M131" s="84" t="str">
        <f>IF(AND($B131=[1]ana!$A128,[1]ana!$B128=M$4),"ok","nok")</f>
        <v>nok</v>
      </c>
      <c r="N131" s="84" t="str">
        <f>IF(AND($B131=[1]ana!$A128,[1]ana!$B128=N$4),"ok","nok")</f>
        <v>nok</v>
      </c>
      <c r="O131" s="84" t="str">
        <f>IF(AND($B131=[1]ana!$A128,[1]ana!$B128=O$4),"ok","nok")</f>
        <v>ok</v>
      </c>
      <c r="P131" s="84" t="str">
        <f>IF(AND($B131=[1]ana!$A128,[1]ana!$B128=P$4),"ok","nok")</f>
        <v>nok</v>
      </c>
      <c r="Q131" s="84" t="str">
        <f>IF(AND($B131=[1]ana!$A128,[1]ana!$B128=Q$4),"ok","nok")</f>
        <v>nok</v>
      </c>
      <c r="R131" s="84" t="str">
        <f>IF(AND($B131=[1]ana!$A128,[1]ana!$B128=R$4),"ok","nok")</f>
        <v>nok</v>
      </c>
      <c r="S131" s="84" t="str">
        <f>IF(AND($B131=[1]ana!$A128,[1]ana!$B128=S$4),"ok","nok")</f>
        <v>nok</v>
      </c>
      <c r="T131" s="84" t="str">
        <f>IF(AND($B131=[1]ana!$A128,[1]ana!$B128=T$4),"ok","nok")</f>
        <v>nok</v>
      </c>
      <c r="U131" s="84" t="str">
        <f>IF(AND($B131=[1]ana!$A128,[1]ana!$B128=U$4),"ok","nok")</f>
        <v>nok</v>
      </c>
      <c r="V131" s="84" t="str">
        <f>IF(AND($B131=[1]ana!$A128,[1]ana!$B128=V$4),"ok","nok")</f>
        <v>nok</v>
      </c>
      <c r="W131" s="84" t="str">
        <f>IF(AND($B131=[1]ana!$A128,[1]ana!$B128=W$4),"ok","nok")</f>
        <v>nok</v>
      </c>
      <c r="X131" s="84" t="str">
        <f>IF(AND($B131=[1]ana!$A128,[1]ana!$B128=X$4),"ok","nok")</f>
        <v>nok</v>
      </c>
      <c r="Y131" s="85" t="s">
        <v>33</v>
      </c>
      <c r="Z131" s="86"/>
      <c r="AA131" s="86"/>
      <c r="AB131" s="87"/>
      <c r="AC131" s="60" t="str">
        <f t="shared" si="19"/>
        <v>Certificação do documento - Vibracon</v>
      </c>
      <c r="AD131" s="60"/>
      <c r="AE131" s="60"/>
      <c r="AF131" s="60"/>
      <c r="AG131" s="61">
        <f t="shared" si="20"/>
        <v>0</v>
      </c>
      <c r="AH131" s="61" t="str">
        <f t="shared" si="21"/>
        <v/>
      </c>
      <c r="AI131" s="61">
        <f t="shared" si="22"/>
        <v>0</v>
      </c>
      <c r="AJ131" s="61" t="str">
        <f t="shared" si="23"/>
        <v/>
      </c>
      <c r="AK131" s="61">
        <f t="shared" si="24"/>
        <v>1</v>
      </c>
      <c r="AL131" s="61" t="str">
        <f t="shared" si="25"/>
        <v/>
      </c>
      <c r="AM131" s="61">
        <f t="shared" si="26"/>
        <v>0</v>
      </c>
      <c r="AN131" s="61" t="str">
        <f t="shared" si="27"/>
        <v/>
      </c>
      <c r="AO131" s="61">
        <f t="shared" si="28"/>
        <v>0</v>
      </c>
      <c r="AP131" s="61" t="str">
        <f t="shared" si="29"/>
        <v/>
      </c>
    </row>
    <row r="132" spans="1:42" ht="30" customHeight="1" x14ac:dyDescent="0.35">
      <c r="A132" s="26" t="str">
        <f t="shared" si="35"/>
        <v>PT165 - ESTUDO DE ENGENHARIA DO GALPÃO INDUSTRIAL G2 (Duque de Caxias)
FASE 4 - PROJETO DE ENGENHARIA
GALPÃO NOVO (CENÁRIO 2)
MARCO - PROJETO CONCEITUAL (INSTALAÇÕES ELÉTRICAS, UTILIDADES, SPDA, SPCI, PONTE ROLANTE, SALAS ADM.)</v>
      </c>
      <c r="B132" s="53" t="s">
        <v>45</v>
      </c>
      <c r="C132" s="84" t="str">
        <f>IF(AND($B132=[1]ana!$A129,[1]ana!$B129=C$4),"ok","nok")</f>
        <v>nok</v>
      </c>
      <c r="D132" s="84" t="str">
        <f>IF(AND($B132=[1]ana!$A129,[1]ana!$B129=D$4),"ok","nok")</f>
        <v>nok</v>
      </c>
      <c r="E132" s="84" t="str">
        <f>IF(AND($B132=[1]ana!$A129,[1]ana!$B129=E$4),"ok","nok")</f>
        <v>nok</v>
      </c>
      <c r="F132" s="84" t="str">
        <f>IF(AND($B132=[1]ana!$A129,[1]ana!$B129=F$4),"ok","nok")</f>
        <v>nok</v>
      </c>
      <c r="G132" s="84" t="str">
        <f>IF(AND($B132=[1]ana!$A129,[1]ana!$B129=G$4),"ok","nok")</f>
        <v>nok</v>
      </c>
      <c r="H132" s="84" t="str">
        <f>IF(AND($B132=[1]ana!$A129,[1]ana!$B129=H$4),"ok","nok")</f>
        <v>nok</v>
      </c>
      <c r="I132" s="84" t="str">
        <f>IF(AND($B132=[1]ana!$A129,[1]ana!$B129=I$4),"ok","nok")</f>
        <v>nok</v>
      </c>
      <c r="J132" s="84" t="str">
        <f>IF(AND($B132=[1]ana!$A129,[1]ana!$B129=J$4),"ok","nok")</f>
        <v>nok</v>
      </c>
      <c r="K132" s="84" t="str">
        <f>IF(AND($B132=[1]ana!$A129,[1]ana!$B129=K$4),"ok","nok")</f>
        <v>nok</v>
      </c>
      <c r="L132" s="84" t="str">
        <f>IF(AND($B132=[1]ana!$A129,[1]ana!$B129=L$4),"ok","nok")</f>
        <v>nok</v>
      </c>
      <c r="M132" s="84" t="str">
        <f>IF(AND($B132=[1]ana!$A129,[1]ana!$B129=M$4),"ok","nok")</f>
        <v>nok</v>
      </c>
      <c r="N132" s="84" t="str">
        <f>IF(AND($B132=[1]ana!$A129,[1]ana!$B129=N$4),"ok","nok")</f>
        <v>nok</v>
      </c>
      <c r="O132" s="84" t="str">
        <f>IF(AND($B132=[1]ana!$A129,[1]ana!$B129=O$4),"ok","nok")</f>
        <v>ok</v>
      </c>
      <c r="P132" s="84" t="str">
        <f>IF(AND($B132=[1]ana!$A129,[1]ana!$B129=P$4),"ok","nok")</f>
        <v>nok</v>
      </c>
      <c r="Q132" s="84" t="str">
        <f>IF(AND($B132=[1]ana!$A129,[1]ana!$B129=Q$4),"ok","nok")</f>
        <v>nok</v>
      </c>
      <c r="R132" s="84" t="str">
        <f>IF(AND($B132=[1]ana!$A129,[1]ana!$B129=R$4),"ok","nok")</f>
        <v>nok</v>
      </c>
      <c r="S132" s="84" t="str">
        <f>IF(AND($B132=[1]ana!$A129,[1]ana!$B129=S$4),"ok","nok")</f>
        <v>nok</v>
      </c>
      <c r="T132" s="84" t="str">
        <f>IF(AND($B132=[1]ana!$A129,[1]ana!$B129=T$4),"ok","nok")</f>
        <v>nok</v>
      </c>
      <c r="U132" s="84" t="str">
        <f>IF(AND($B132=[1]ana!$A129,[1]ana!$B129=U$4),"ok","nok")</f>
        <v>nok</v>
      </c>
      <c r="V132" s="84" t="str">
        <f>IF(AND($B132=[1]ana!$A129,[1]ana!$B129=V$4),"ok","nok")</f>
        <v>nok</v>
      </c>
      <c r="W132" s="84" t="str">
        <f>IF(AND($B132=[1]ana!$A129,[1]ana!$B129=W$4),"ok","nok")</f>
        <v>nok</v>
      </c>
      <c r="X132" s="84" t="str">
        <f>IF(AND($B132=[1]ana!$A129,[1]ana!$B129=X$4),"ok","nok")</f>
        <v>nok</v>
      </c>
      <c r="Y132" s="85" t="s">
        <v>33</v>
      </c>
      <c r="Z132" s="86"/>
      <c r="AA132" s="86"/>
      <c r="AB132" s="87"/>
      <c r="AC132" s="60" t="str">
        <f t="shared" si="19"/>
        <v>MARCO - Envio do documento Certificado (Rev_0)</v>
      </c>
      <c r="AD132" s="60"/>
      <c r="AE132" s="60"/>
      <c r="AF132" s="60"/>
      <c r="AG132" s="61">
        <f t="shared" si="20"/>
        <v>0</v>
      </c>
      <c r="AH132" s="61" t="str">
        <f t="shared" si="21"/>
        <v/>
      </c>
      <c r="AI132" s="61">
        <f t="shared" si="22"/>
        <v>0</v>
      </c>
      <c r="AJ132" s="61" t="str">
        <f t="shared" si="23"/>
        <v/>
      </c>
      <c r="AK132" s="61">
        <f t="shared" si="24"/>
        <v>1</v>
      </c>
      <c r="AL132" s="61" t="str">
        <f t="shared" si="25"/>
        <v/>
      </c>
      <c r="AM132" s="61">
        <f t="shared" si="26"/>
        <v>0</v>
      </c>
      <c r="AN132" s="61" t="str">
        <f t="shared" si="27"/>
        <v/>
      </c>
      <c r="AO132" s="61">
        <f t="shared" si="28"/>
        <v>0</v>
      </c>
      <c r="AP132" s="61" t="str">
        <f t="shared" si="29"/>
        <v/>
      </c>
    </row>
    <row r="133" spans="1:42" ht="30" customHeight="1" x14ac:dyDescent="0.35">
      <c r="B133" s="52" t="s">
        <v>152</v>
      </c>
      <c r="C133" s="52"/>
      <c r="D133" s="52"/>
      <c r="E133" s="52"/>
      <c r="F133" s="52"/>
      <c r="G133" s="52"/>
      <c r="H133" s="52"/>
      <c r="I133" s="52"/>
      <c r="J133" s="52"/>
      <c r="K133" s="52"/>
      <c r="L133" s="52"/>
      <c r="M133" s="52"/>
      <c r="N133" s="52"/>
      <c r="O133" s="52"/>
      <c r="P133" s="52"/>
      <c r="Q133" s="52"/>
      <c r="R133" s="52"/>
      <c r="S133" s="52"/>
      <c r="T133" s="52"/>
      <c r="U133" s="52"/>
      <c r="V133" s="52"/>
      <c r="W133" s="52"/>
      <c r="X133" s="52"/>
      <c r="Y133" s="88"/>
      <c r="Z133" s="89"/>
      <c r="AA133" s="89"/>
      <c r="AB133" s="90"/>
      <c r="AC133" s="60" t="str">
        <f t="shared" si="19"/>
        <v/>
      </c>
      <c r="AD133" s="60"/>
      <c r="AE133" s="60"/>
      <c r="AF133" s="60"/>
      <c r="AG133" s="61">
        <f t="shared" si="20"/>
        <v>0</v>
      </c>
      <c r="AH133" s="61" t="str">
        <f t="shared" si="21"/>
        <v/>
      </c>
      <c r="AI133" s="61">
        <f t="shared" si="22"/>
        <v>0</v>
      </c>
      <c r="AJ133" s="61" t="str">
        <f t="shared" si="23"/>
        <v/>
      </c>
      <c r="AK133" s="61">
        <f t="shared" si="24"/>
        <v>0</v>
      </c>
      <c r="AL133" s="61" t="str">
        <f t="shared" si="25"/>
        <v/>
      </c>
      <c r="AM133" s="61">
        <f t="shared" si="26"/>
        <v>0</v>
      </c>
      <c r="AN133" s="61" t="str">
        <f t="shared" si="27"/>
        <v/>
      </c>
      <c r="AO133" s="61">
        <f t="shared" si="28"/>
        <v>0</v>
      </c>
      <c r="AP133" s="61" t="str">
        <f t="shared" si="29"/>
        <v/>
      </c>
    </row>
    <row r="134" spans="1:42" ht="30" customHeight="1" x14ac:dyDescent="0.35">
      <c r="A134" s="26" t="str">
        <f>CONCATENATE($B$81,"
",$B$114,"
",$B$115,"
",$B$133)</f>
        <v>PT165 - ESTUDO DE ENGENHARIA DO GALPÃO INDUSTRIAL G2 (Duque de Caxias)
FASE 4 - PROJETO DE ENGENHARIA
GALPÃO NOVO (CENÁRIO 2)
MARCO - FOLHA DE DADOS</v>
      </c>
      <c r="B134" s="53" t="s">
        <v>44</v>
      </c>
      <c r="C134" s="84" t="str">
        <f>IF(AND($B134=[1]ana!$A131,[1]ana!$B131=C$4),"ok","nok")</f>
        <v>nok</v>
      </c>
      <c r="D134" s="84" t="str">
        <f>IF(AND($B134=[1]ana!$A131,[1]ana!$B131=D$4),"ok","nok")</f>
        <v>nok</v>
      </c>
      <c r="E134" s="84" t="str">
        <f>IF(AND($B134=[1]ana!$A131,[1]ana!$B131=E$4),"ok","nok")</f>
        <v>ok</v>
      </c>
      <c r="F134" s="84" t="str">
        <f>IF(AND($B134=[1]ana!$A131,[1]ana!$B131=F$4),"ok","nok")</f>
        <v>nok</v>
      </c>
      <c r="G134" s="84" t="str">
        <f>IF(AND($B134=[1]ana!$A131,[1]ana!$B131=G$4),"ok","nok")</f>
        <v>nok</v>
      </c>
      <c r="H134" s="84" t="str">
        <f>IF(AND($B134=[1]ana!$A131,[1]ana!$B131=H$4),"ok","nok")</f>
        <v>nok</v>
      </c>
      <c r="I134" s="84" t="str">
        <f>IF(AND($B134=[1]ana!$A131,[1]ana!$B131=I$4),"ok","nok")</f>
        <v>nok</v>
      </c>
      <c r="J134" s="84" t="str">
        <f>IF(AND($B134=[1]ana!$A131,[1]ana!$B131=J$4),"ok","nok")</f>
        <v>nok</v>
      </c>
      <c r="K134" s="84" t="str">
        <f>IF(AND($B134=[1]ana!$A131,[1]ana!$B131=K$4),"ok","nok")</f>
        <v>nok</v>
      </c>
      <c r="L134" s="84" t="str">
        <f>IF(AND($B134=[1]ana!$A131,[1]ana!$B131=L$4),"ok","nok")</f>
        <v>nok</v>
      </c>
      <c r="M134" s="84" t="str">
        <f>IF(AND($B134=[1]ana!$A131,[1]ana!$B131=M$4),"ok","nok")</f>
        <v>nok</v>
      </c>
      <c r="N134" s="84" t="str">
        <f>IF(AND($B134=[1]ana!$A131,[1]ana!$B131=N$4),"ok","nok")</f>
        <v>nok</v>
      </c>
      <c r="O134" s="84" t="str">
        <f>IF(AND($B134=[1]ana!$A131,[1]ana!$B131=O$4),"ok","nok")</f>
        <v>nok</v>
      </c>
      <c r="P134" s="84" t="str">
        <f>IF(AND($B134=[1]ana!$A131,[1]ana!$B131=P$4),"ok","nok")</f>
        <v>nok</v>
      </c>
      <c r="Q134" s="84" t="str">
        <f>IF(AND($B134=[1]ana!$A131,[1]ana!$B131=Q$4),"ok","nok")</f>
        <v>nok</v>
      </c>
      <c r="R134" s="84" t="str">
        <f>IF(AND($B134=[1]ana!$A131,[1]ana!$B131=R$4),"ok","nok")</f>
        <v>nok</v>
      </c>
      <c r="S134" s="84" t="str">
        <f>IF(AND($B134=[1]ana!$A131,[1]ana!$B131=S$4),"ok","nok")</f>
        <v>nok</v>
      </c>
      <c r="T134" s="84" t="str">
        <f>IF(AND($B134=[1]ana!$A131,[1]ana!$B131=T$4),"ok","nok")</f>
        <v>nok</v>
      </c>
      <c r="U134" s="84" t="str">
        <f>IF(AND($B134=[1]ana!$A131,[1]ana!$B131=U$4),"ok","nok")</f>
        <v>nok</v>
      </c>
      <c r="V134" s="84" t="str">
        <f>IF(AND($B134=[1]ana!$A131,[1]ana!$B131=V$4),"ok","nok")</f>
        <v>nok</v>
      </c>
      <c r="W134" s="84" t="str">
        <f>IF(AND($B134=[1]ana!$A131,[1]ana!$B131=W$4),"ok","nok")</f>
        <v>nok</v>
      </c>
      <c r="X134" s="84" t="str">
        <f>IF(AND($B134=[1]ana!$A131,[1]ana!$B131=X$4),"ok","nok")</f>
        <v>nok</v>
      </c>
      <c r="Y134" s="85" t="s">
        <v>35</v>
      </c>
      <c r="Z134" s="86"/>
      <c r="AA134" s="86"/>
      <c r="AB134" s="87"/>
      <c r="AC134" s="60" t="str">
        <f t="shared" si="19"/>
        <v/>
      </c>
      <c r="AD134" s="60"/>
      <c r="AE134" s="60"/>
      <c r="AF134" s="60"/>
      <c r="AG134" s="61">
        <f t="shared" si="20"/>
        <v>1</v>
      </c>
      <c r="AH134" s="61" t="str">
        <f t="shared" si="21"/>
        <v>EFPRAZO</v>
      </c>
      <c r="AI134" s="61">
        <f t="shared" si="22"/>
        <v>0</v>
      </c>
      <c r="AJ134" s="61" t="str">
        <f t="shared" si="23"/>
        <v/>
      </c>
      <c r="AK134" s="61">
        <f t="shared" si="24"/>
        <v>0</v>
      </c>
      <c r="AL134" s="61" t="str">
        <f t="shared" si="25"/>
        <v/>
      </c>
      <c r="AM134" s="61">
        <f t="shared" si="26"/>
        <v>0</v>
      </c>
      <c r="AN134" s="61" t="str">
        <f t="shared" si="27"/>
        <v/>
      </c>
      <c r="AO134" s="61">
        <f t="shared" si="28"/>
        <v>0</v>
      </c>
      <c r="AP134" s="61" t="str">
        <f t="shared" si="29"/>
        <v/>
      </c>
    </row>
    <row r="135" spans="1:42" ht="30" customHeight="1" x14ac:dyDescent="0.35">
      <c r="A135" s="26" t="str">
        <f>CONCATENATE($B$81,"
",$B$114,"
",$B$115,"
",$B$133)</f>
        <v>PT165 - ESTUDO DE ENGENHARIA DO GALPÃO INDUSTRIAL G2 (Duque de Caxias)
FASE 4 - PROJETO DE ENGENHARIA
GALPÃO NOVO (CENÁRIO 2)
MARCO - FOLHA DE DADOS</v>
      </c>
      <c r="B135" s="53" t="s">
        <v>45</v>
      </c>
      <c r="C135" s="84" t="str">
        <f>IF(AND($B135=[1]ana!$A132,[1]ana!$B132=C$4),"ok","nok")</f>
        <v>nok</v>
      </c>
      <c r="D135" s="84" t="str">
        <f>IF(AND($B135=[1]ana!$A132,[1]ana!$B132=D$4),"ok","nok")</f>
        <v>nok</v>
      </c>
      <c r="E135" s="84" t="str">
        <f>IF(AND($B135=[1]ana!$A132,[1]ana!$B132=E$4),"ok","nok")</f>
        <v>ok</v>
      </c>
      <c r="F135" s="84" t="str">
        <f>IF(AND($B135=[1]ana!$A132,[1]ana!$B132=F$4),"ok","nok")</f>
        <v>nok</v>
      </c>
      <c r="G135" s="84" t="str">
        <f>IF(AND($B135=[1]ana!$A132,[1]ana!$B132=G$4),"ok","nok")</f>
        <v>nok</v>
      </c>
      <c r="H135" s="84" t="str">
        <f>IF(AND($B135=[1]ana!$A132,[1]ana!$B132=H$4),"ok","nok")</f>
        <v>nok</v>
      </c>
      <c r="I135" s="84" t="str">
        <f>IF(AND($B135=[1]ana!$A132,[1]ana!$B132=I$4),"ok","nok")</f>
        <v>nok</v>
      </c>
      <c r="J135" s="84" t="str">
        <f>IF(AND($B135=[1]ana!$A132,[1]ana!$B132=J$4),"ok","nok")</f>
        <v>nok</v>
      </c>
      <c r="K135" s="84" t="str">
        <f>IF(AND($B135=[1]ana!$A132,[1]ana!$B132=K$4),"ok","nok")</f>
        <v>nok</v>
      </c>
      <c r="L135" s="84" t="str">
        <f>IF(AND($B135=[1]ana!$A132,[1]ana!$B132=L$4),"ok","nok")</f>
        <v>nok</v>
      </c>
      <c r="M135" s="84" t="str">
        <f>IF(AND($B135=[1]ana!$A132,[1]ana!$B132=M$4),"ok","nok")</f>
        <v>nok</v>
      </c>
      <c r="N135" s="84" t="str">
        <f>IF(AND($B135=[1]ana!$A132,[1]ana!$B132=N$4),"ok","nok")</f>
        <v>nok</v>
      </c>
      <c r="O135" s="84" t="str">
        <f>IF(AND($B135=[1]ana!$A132,[1]ana!$B132=O$4),"ok","nok")</f>
        <v>nok</v>
      </c>
      <c r="P135" s="84" t="str">
        <f>IF(AND($B135=[1]ana!$A132,[1]ana!$B132=P$4),"ok","nok")</f>
        <v>nok</v>
      </c>
      <c r="Q135" s="84" t="str">
        <f>IF(AND($B135=[1]ana!$A132,[1]ana!$B132=Q$4),"ok","nok")</f>
        <v>nok</v>
      </c>
      <c r="R135" s="84" t="str">
        <f>IF(AND($B135=[1]ana!$A132,[1]ana!$B132=R$4),"ok","nok")</f>
        <v>nok</v>
      </c>
      <c r="S135" s="84" t="str">
        <f>IF(AND($B135=[1]ana!$A132,[1]ana!$B132=S$4),"ok","nok")</f>
        <v>nok</v>
      </c>
      <c r="T135" s="84" t="str">
        <f>IF(AND($B135=[1]ana!$A132,[1]ana!$B132=T$4),"ok","nok")</f>
        <v>nok</v>
      </c>
      <c r="U135" s="84" t="str">
        <f>IF(AND($B135=[1]ana!$A132,[1]ana!$B132=U$4),"ok","nok")</f>
        <v>nok</v>
      </c>
      <c r="V135" s="84" t="str">
        <f>IF(AND($B135=[1]ana!$A132,[1]ana!$B132=V$4),"ok","nok")</f>
        <v>nok</v>
      </c>
      <c r="W135" s="84" t="str">
        <f>IF(AND($B135=[1]ana!$A132,[1]ana!$B132=W$4),"ok","nok")</f>
        <v>nok</v>
      </c>
      <c r="X135" s="84" t="str">
        <f>IF(AND($B135=[1]ana!$A132,[1]ana!$B132=X$4),"ok","nok")</f>
        <v>nok</v>
      </c>
      <c r="Y135" s="85" t="s">
        <v>35</v>
      </c>
      <c r="Z135" s="86"/>
      <c r="AA135" s="86"/>
      <c r="AB135" s="87"/>
      <c r="AC135" s="60" t="str">
        <f t="shared" ref="AC135:AC196" si="36">IF(Y135="ATRASADO",B135,"")</f>
        <v/>
      </c>
      <c r="AD135" s="60"/>
      <c r="AE135" s="60"/>
      <c r="AF135" s="60"/>
      <c r="AG135" s="61">
        <f t="shared" ref="AG135:AG196" si="37">COUNTIF(C135:G135,"ok")</f>
        <v>1</v>
      </c>
      <c r="AH135" s="61" t="str">
        <f t="shared" ref="AH135:AH196" si="38">IF(AND(AG135=1,OR($Y135="entregue",$Y135="efprazo")),$Y135,"")</f>
        <v>EFPRAZO</v>
      </c>
      <c r="AI135" s="61">
        <f t="shared" ref="AI135:AI196" si="39">COUNTIF(H135:L135,"ok")</f>
        <v>0</v>
      </c>
      <c r="AJ135" s="61" t="str">
        <f t="shared" ref="AJ135:AJ196" si="40">IF(AND(AI135=1,OR($Y135="entregue",$Y135="efprazo")),$Y135,"")</f>
        <v/>
      </c>
      <c r="AK135" s="61">
        <f t="shared" ref="AK135:AK196" si="41">COUNTIF(M135:Q135,"ok")</f>
        <v>0</v>
      </c>
      <c r="AL135" s="61" t="str">
        <f t="shared" ref="AL135:AL196" si="42">IF(AND(AK135=1,OR($Y135="entregue",$Y135="efprazo")),$Y135,"")</f>
        <v/>
      </c>
      <c r="AM135" s="61">
        <f t="shared" ref="AM135:AM196" si="43">COUNTIF(R135:V135,"ok")</f>
        <v>0</v>
      </c>
      <c r="AN135" s="61" t="str">
        <f t="shared" ref="AN135:AN196" si="44">IF(AND(AM135=1,OR($Y135="entregue",$Y135="efprazo")),$Y135,"")</f>
        <v/>
      </c>
      <c r="AO135" s="61">
        <f t="shared" ref="AO135:AO196" si="45">COUNTIF(W135:X135,"ok")</f>
        <v>0</v>
      </c>
      <c r="AP135" s="61" t="str">
        <f t="shared" ref="AP135:AP196" si="46">IF(AND(AO135=1,OR($Y135="entregue",$Y135="efprazo")),$Y135,"")</f>
        <v/>
      </c>
    </row>
    <row r="136" spans="1:42" ht="30" customHeight="1" x14ac:dyDescent="0.35">
      <c r="B136" s="52" t="s">
        <v>153</v>
      </c>
      <c r="C136" s="52"/>
      <c r="D136" s="52"/>
      <c r="E136" s="52"/>
      <c r="F136" s="52"/>
      <c r="G136" s="52"/>
      <c r="H136" s="52"/>
      <c r="I136" s="52"/>
      <c r="J136" s="52"/>
      <c r="K136" s="52"/>
      <c r="L136" s="52"/>
      <c r="M136" s="52"/>
      <c r="N136" s="52"/>
      <c r="O136" s="52"/>
      <c r="P136" s="52"/>
      <c r="Q136" s="52"/>
      <c r="R136" s="52"/>
      <c r="S136" s="52"/>
      <c r="T136" s="52"/>
      <c r="U136" s="52"/>
      <c r="V136" s="52"/>
      <c r="W136" s="52"/>
      <c r="X136" s="52"/>
      <c r="Y136" s="88"/>
      <c r="Z136" s="89"/>
      <c r="AA136" s="89"/>
      <c r="AB136" s="90"/>
      <c r="AC136" s="60" t="str">
        <f t="shared" si="36"/>
        <v/>
      </c>
      <c r="AD136" s="60"/>
      <c r="AE136" s="60"/>
      <c r="AF136" s="60"/>
      <c r="AG136" s="61">
        <f t="shared" si="37"/>
        <v>0</v>
      </c>
      <c r="AH136" s="61" t="str">
        <f t="shared" si="38"/>
        <v/>
      </c>
      <c r="AI136" s="61">
        <f t="shared" si="39"/>
        <v>0</v>
      </c>
      <c r="AJ136" s="61" t="str">
        <f t="shared" si="40"/>
        <v/>
      </c>
      <c r="AK136" s="61">
        <f t="shared" si="41"/>
        <v>0</v>
      </c>
      <c r="AL136" s="61" t="str">
        <f t="shared" si="42"/>
        <v/>
      </c>
      <c r="AM136" s="61">
        <f t="shared" si="43"/>
        <v>0</v>
      </c>
      <c r="AN136" s="61" t="str">
        <f t="shared" si="44"/>
        <v/>
      </c>
      <c r="AO136" s="61">
        <f t="shared" si="45"/>
        <v>0</v>
      </c>
      <c r="AP136" s="61" t="str">
        <f t="shared" si="46"/>
        <v/>
      </c>
    </row>
    <row r="137" spans="1:42" ht="30" customHeight="1" x14ac:dyDescent="0.35">
      <c r="A137" s="26" t="str">
        <f>CONCATENATE($B$81,"
",$B$114,"
",$B$115,"
",$B$136)</f>
        <v>PT165 - ESTUDO DE ENGENHARIA DO GALPÃO INDUSTRIAL G2 (Duque de Caxias)
FASE 4 - PROJETO DE ENGENHARIA
GALPÃO NOVO (CENÁRIO 2)
MARCO - PLANILHA DE QUANTIDADES</v>
      </c>
      <c r="B137" s="53" t="s">
        <v>19</v>
      </c>
      <c r="C137" s="84" t="str">
        <f>IF(AND($B137=[1]ana!$A134,[1]ana!$B134=C$4),"ok","nok")</f>
        <v>nok</v>
      </c>
      <c r="D137" s="84" t="str">
        <f>IF(AND($B137=[1]ana!$A134,[1]ana!$B134=D$4),"ok","nok")</f>
        <v>ok</v>
      </c>
      <c r="E137" s="84" t="str">
        <f>IF(AND($B137=[1]ana!$A134,[1]ana!$B134=E$4),"ok","nok")</f>
        <v>nok</v>
      </c>
      <c r="F137" s="84" t="str">
        <f>IF(AND($B137=[1]ana!$A134,[1]ana!$B134=F$4),"ok","nok")</f>
        <v>nok</v>
      </c>
      <c r="G137" s="84" t="str">
        <f>IF(AND($B137=[1]ana!$A134,[1]ana!$B134=G$4),"ok","nok")</f>
        <v>nok</v>
      </c>
      <c r="H137" s="84" t="str">
        <f>IF(AND($B137=[1]ana!$A134,[1]ana!$B134=H$4),"ok","nok")</f>
        <v>nok</v>
      </c>
      <c r="I137" s="84" t="str">
        <f>IF(AND($B137=[1]ana!$A134,[1]ana!$B134=I$4),"ok","nok")</f>
        <v>nok</v>
      </c>
      <c r="J137" s="84" t="str">
        <f>IF(AND($B137=[1]ana!$A134,[1]ana!$B134=J$4),"ok","nok")</f>
        <v>nok</v>
      </c>
      <c r="K137" s="84" t="str">
        <f>IF(AND($B137=[1]ana!$A134,[1]ana!$B134=K$4),"ok","nok")</f>
        <v>nok</v>
      </c>
      <c r="L137" s="84" t="str">
        <f>IF(AND($B137=[1]ana!$A134,[1]ana!$B134=L$4),"ok","nok")</f>
        <v>nok</v>
      </c>
      <c r="M137" s="84" t="str">
        <f>IF(AND($B137=[1]ana!$A134,[1]ana!$B134=M$4),"ok","nok")</f>
        <v>nok</v>
      </c>
      <c r="N137" s="84" t="str">
        <f>IF(AND($B137=[1]ana!$A134,[1]ana!$B134=N$4),"ok","nok")</f>
        <v>nok</v>
      </c>
      <c r="O137" s="84" t="str">
        <f>IF(AND($B137=[1]ana!$A134,[1]ana!$B134=O$4),"ok","nok")</f>
        <v>nok</v>
      </c>
      <c r="P137" s="84" t="str">
        <f>IF(AND($B137=[1]ana!$A134,[1]ana!$B134=P$4),"ok","nok")</f>
        <v>nok</v>
      </c>
      <c r="Q137" s="84" t="str">
        <f>IF(AND($B137=[1]ana!$A134,[1]ana!$B134=Q$4),"ok","nok")</f>
        <v>nok</v>
      </c>
      <c r="R137" s="84" t="str">
        <f>IF(AND($B137=[1]ana!$A134,[1]ana!$B134=R$4),"ok","nok")</f>
        <v>nok</v>
      </c>
      <c r="S137" s="84" t="str">
        <f>IF(AND($B137=[1]ana!$A134,[1]ana!$B134=S$4),"ok","nok")</f>
        <v>nok</v>
      </c>
      <c r="T137" s="84" t="str">
        <f>IF(AND($B137=[1]ana!$A134,[1]ana!$B134=T$4),"ok","nok")</f>
        <v>nok</v>
      </c>
      <c r="U137" s="84" t="str">
        <f>IF(AND($B137=[1]ana!$A134,[1]ana!$B134=U$4),"ok","nok")</f>
        <v>nok</v>
      </c>
      <c r="V137" s="84" t="str">
        <f>IF(AND($B137=[1]ana!$A134,[1]ana!$B134=V$4),"ok","nok")</f>
        <v>nok</v>
      </c>
      <c r="W137" s="84" t="str">
        <f>IF(AND($B137=[1]ana!$A134,[1]ana!$B134=W$4),"ok","nok")</f>
        <v>nok</v>
      </c>
      <c r="X137" s="84" t="str">
        <f>IF(AND($B137=[1]ana!$A134,[1]ana!$B134=X$4),"ok","nok")</f>
        <v>nok</v>
      </c>
      <c r="Y137" s="85" t="s">
        <v>2</v>
      </c>
      <c r="Z137" s="86"/>
      <c r="AA137" s="86"/>
      <c r="AB137" s="87"/>
      <c r="AC137" s="60" t="str">
        <f t="shared" si="36"/>
        <v/>
      </c>
      <c r="AD137" s="60"/>
      <c r="AE137" s="60"/>
      <c r="AF137" s="60"/>
      <c r="AG137" s="61">
        <f t="shared" si="37"/>
        <v>1</v>
      </c>
      <c r="AH137" s="61" t="str">
        <f t="shared" si="38"/>
        <v>ENTREGUE</v>
      </c>
      <c r="AI137" s="61">
        <f t="shared" si="39"/>
        <v>0</v>
      </c>
      <c r="AJ137" s="61" t="str">
        <f t="shared" si="40"/>
        <v/>
      </c>
      <c r="AK137" s="61">
        <f t="shared" si="41"/>
        <v>0</v>
      </c>
      <c r="AL137" s="61" t="str">
        <f t="shared" si="42"/>
        <v/>
      </c>
      <c r="AM137" s="61">
        <f t="shared" si="43"/>
        <v>0</v>
      </c>
      <c r="AN137" s="61" t="str">
        <f t="shared" si="44"/>
        <v/>
      </c>
      <c r="AO137" s="61">
        <f t="shared" si="45"/>
        <v>0</v>
      </c>
      <c r="AP137" s="61" t="str">
        <f t="shared" si="46"/>
        <v/>
      </c>
    </row>
    <row r="138" spans="1:42" ht="30" customHeight="1" x14ac:dyDescent="0.35">
      <c r="A138" s="26" t="str">
        <f t="shared" ref="A138:A140" si="47">CONCATENATE($B$81,"
",$B$114,"
",$B$115,"
",$B$136)</f>
        <v>PT165 - ESTUDO DE ENGENHARIA DO GALPÃO INDUSTRIAL G2 (Duque de Caxias)
FASE 4 - PROJETO DE ENGENHARIA
GALPÃO NOVO (CENÁRIO 2)
MARCO - PLANILHA DE QUANTIDADES</v>
      </c>
      <c r="B138" s="53" t="s">
        <v>43</v>
      </c>
      <c r="C138" s="84" t="str">
        <f>IF(AND($B138=[1]ana!$A135,[1]ana!$B135=C$4),"ok","nok")</f>
        <v>nok</v>
      </c>
      <c r="D138" s="84" t="str">
        <f>IF(AND($B138=[1]ana!$A135,[1]ana!$B135=D$4),"ok","nok")</f>
        <v>nok</v>
      </c>
      <c r="E138" s="84" t="str">
        <f>IF(AND($B138=[1]ana!$A135,[1]ana!$B135=E$4),"ok","nok")</f>
        <v>nok</v>
      </c>
      <c r="F138" s="84" t="str">
        <f>IF(AND($B138=[1]ana!$A135,[1]ana!$B135=F$4),"ok","nok")</f>
        <v>nok</v>
      </c>
      <c r="G138" s="84" t="str">
        <f>IF(AND($B138=[1]ana!$A135,[1]ana!$B135=G$4),"ok","nok")</f>
        <v>nok</v>
      </c>
      <c r="H138" s="84" t="str">
        <f>IF(AND($B138=[1]ana!$A135,[1]ana!$B135=H$4),"ok","nok")</f>
        <v>nok</v>
      </c>
      <c r="I138" s="84" t="str">
        <f>IF(AND($B138=[1]ana!$A135,[1]ana!$B135=I$4),"ok","nok")</f>
        <v>ok</v>
      </c>
      <c r="J138" s="84" t="str">
        <f>IF(AND($B138=[1]ana!$A135,[1]ana!$B135=J$4),"ok","nok")</f>
        <v>nok</v>
      </c>
      <c r="K138" s="84" t="str">
        <f>IF(AND($B138=[1]ana!$A135,[1]ana!$B135=K$4),"ok","nok")</f>
        <v>nok</v>
      </c>
      <c r="L138" s="84" t="str">
        <f>IF(AND($B138=[1]ana!$A135,[1]ana!$B135=L$4),"ok","nok")</f>
        <v>nok</v>
      </c>
      <c r="M138" s="84" t="str">
        <f>IF(AND($B138=[1]ana!$A135,[1]ana!$B135=M$4),"ok","nok")</f>
        <v>nok</v>
      </c>
      <c r="N138" s="84" t="str">
        <f>IF(AND($B138=[1]ana!$A135,[1]ana!$B135=N$4),"ok","nok")</f>
        <v>nok</v>
      </c>
      <c r="O138" s="84" t="str">
        <f>IF(AND($B138=[1]ana!$A135,[1]ana!$B135=O$4),"ok","nok")</f>
        <v>nok</v>
      </c>
      <c r="P138" s="84" t="str">
        <f>IF(AND($B138=[1]ana!$A135,[1]ana!$B135=P$4),"ok","nok")</f>
        <v>nok</v>
      </c>
      <c r="Q138" s="84" t="str">
        <f>IF(AND($B138=[1]ana!$A135,[1]ana!$B135=Q$4),"ok","nok")</f>
        <v>nok</v>
      </c>
      <c r="R138" s="84" t="str">
        <f>IF(AND($B138=[1]ana!$A135,[1]ana!$B135=R$4),"ok","nok")</f>
        <v>nok</v>
      </c>
      <c r="S138" s="84" t="str">
        <f>IF(AND($B138=[1]ana!$A135,[1]ana!$B135=S$4),"ok","nok")</f>
        <v>nok</v>
      </c>
      <c r="T138" s="84" t="str">
        <f>IF(AND($B138=[1]ana!$A135,[1]ana!$B135=T$4),"ok","nok")</f>
        <v>nok</v>
      </c>
      <c r="U138" s="84" t="str">
        <f>IF(AND($B138=[1]ana!$A135,[1]ana!$B135=U$4),"ok","nok")</f>
        <v>nok</v>
      </c>
      <c r="V138" s="84" t="str">
        <f>IF(AND($B138=[1]ana!$A135,[1]ana!$B135=V$4),"ok","nok")</f>
        <v>nok</v>
      </c>
      <c r="W138" s="84" t="str">
        <f>IF(AND($B138=[1]ana!$A135,[1]ana!$B135=W$4),"ok","nok")</f>
        <v>nok</v>
      </c>
      <c r="X138" s="84" t="str">
        <f>IF(AND($B138=[1]ana!$A135,[1]ana!$B135=X$4),"ok","nok")</f>
        <v>nok</v>
      </c>
      <c r="Y138" s="85" t="s">
        <v>33</v>
      </c>
      <c r="Z138" s="86"/>
      <c r="AA138" s="86"/>
      <c r="AB138" s="87"/>
      <c r="AC138" s="60" t="str">
        <f t="shared" si="36"/>
        <v>Aprovação do Cliente</v>
      </c>
      <c r="AD138" s="60"/>
      <c r="AE138" s="60"/>
      <c r="AF138" s="60"/>
      <c r="AG138" s="61">
        <f t="shared" si="37"/>
        <v>0</v>
      </c>
      <c r="AH138" s="61" t="str">
        <f t="shared" si="38"/>
        <v/>
      </c>
      <c r="AI138" s="61">
        <f t="shared" si="39"/>
        <v>1</v>
      </c>
      <c r="AJ138" s="61" t="str">
        <f t="shared" si="40"/>
        <v/>
      </c>
      <c r="AK138" s="61">
        <f t="shared" si="41"/>
        <v>0</v>
      </c>
      <c r="AL138" s="61" t="str">
        <f t="shared" si="42"/>
        <v/>
      </c>
      <c r="AM138" s="61">
        <f t="shared" si="43"/>
        <v>0</v>
      </c>
      <c r="AN138" s="61" t="str">
        <f t="shared" si="44"/>
        <v/>
      </c>
      <c r="AO138" s="61">
        <f t="shared" si="45"/>
        <v>0</v>
      </c>
      <c r="AP138" s="61" t="str">
        <f t="shared" si="46"/>
        <v/>
      </c>
    </row>
    <row r="139" spans="1:42" ht="30" customHeight="1" x14ac:dyDescent="0.35">
      <c r="A139" s="26" t="str">
        <f t="shared" si="47"/>
        <v>PT165 - ESTUDO DE ENGENHARIA DO GALPÃO INDUSTRIAL G2 (Duque de Caxias)
FASE 4 - PROJETO DE ENGENHARIA
GALPÃO NOVO (CENÁRIO 2)
MARCO - PLANILHA DE QUANTIDADES</v>
      </c>
      <c r="B139" s="53" t="s">
        <v>44</v>
      </c>
      <c r="C139" s="84" t="str">
        <f>IF(AND($B139=[1]ana!$A136,[1]ana!$B136=C$4),"ok","nok")</f>
        <v>nok</v>
      </c>
      <c r="D139" s="84" t="str">
        <f>IF(AND($B139=[1]ana!$A136,[1]ana!$B136=D$4),"ok","nok")</f>
        <v>nok</v>
      </c>
      <c r="E139" s="84" t="str">
        <f>IF(AND($B139=[1]ana!$A136,[1]ana!$B136=E$4),"ok","nok")</f>
        <v>nok</v>
      </c>
      <c r="F139" s="84" t="str">
        <f>IF(AND($B139=[1]ana!$A136,[1]ana!$B136=F$4),"ok","nok")</f>
        <v>nok</v>
      </c>
      <c r="G139" s="84" t="str">
        <f>IF(AND($B139=[1]ana!$A136,[1]ana!$B136=G$4),"ok","nok")</f>
        <v>nok</v>
      </c>
      <c r="H139" s="84" t="str">
        <f>IF(AND($B139=[1]ana!$A136,[1]ana!$B136=H$4),"ok","nok")</f>
        <v>nok</v>
      </c>
      <c r="I139" s="84" t="str">
        <f>IF(AND($B139=[1]ana!$A136,[1]ana!$B136=I$4),"ok","nok")</f>
        <v>nok</v>
      </c>
      <c r="J139" s="84" t="str">
        <f>IF(AND($B139=[1]ana!$A136,[1]ana!$B136=J$4),"ok","nok")</f>
        <v>ok</v>
      </c>
      <c r="K139" s="84" t="str">
        <f>IF(AND($B139=[1]ana!$A136,[1]ana!$B136=K$4),"ok","nok")</f>
        <v>nok</v>
      </c>
      <c r="L139" s="84" t="str">
        <f>IF(AND($B139=[1]ana!$A136,[1]ana!$B136=L$4),"ok","nok")</f>
        <v>nok</v>
      </c>
      <c r="M139" s="84" t="str">
        <f>IF(AND($B139=[1]ana!$A136,[1]ana!$B136=M$4),"ok","nok")</f>
        <v>nok</v>
      </c>
      <c r="N139" s="84" t="str">
        <f>IF(AND($B139=[1]ana!$A136,[1]ana!$B136=N$4),"ok","nok")</f>
        <v>nok</v>
      </c>
      <c r="O139" s="84" t="str">
        <f>IF(AND($B139=[1]ana!$A136,[1]ana!$B136=O$4),"ok","nok")</f>
        <v>nok</v>
      </c>
      <c r="P139" s="84" t="str">
        <f>IF(AND($B139=[1]ana!$A136,[1]ana!$B136=P$4),"ok","nok")</f>
        <v>nok</v>
      </c>
      <c r="Q139" s="84" t="str">
        <f>IF(AND($B139=[1]ana!$A136,[1]ana!$B136=Q$4),"ok","nok")</f>
        <v>nok</v>
      </c>
      <c r="R139" s="84" t="str">
        <f>IF(AND($B139=[1]ana!$A136,[1]ana!$B136=R$4),"ok","nok")</f>
        <v>nok</v>
      </c>
      <c r="S139" s="84" t="str">
        <f>IF(AND($B139=[1]ana!$A136,[1]ana!$B136=S$4),"ok","nok")</f>
        <v>nok</v>
      </c>
      <c r="T139" s="84" t="str">
        <f>IF(AND($B139=[1]ana!$A136,[1]ana!$B136=T$4),"ok","nok")</f>
        <v>nok</v>
      </c>
      <c r="U139" s="84" t="str">
        <f>IF(AND($B139=[1]ana!$A136,[1]ana!$B136=U$4),"ok","nok")</f>
        <v>nok</v>
      </c>
      <c r="V139" s="84" t="str">
        <f>IF(AND($B139=[1]ana!$A136,[1]ana!$B136=V$4),"ok","nok")</f>
        <v>nok</v>
      </c>
      <c r="W139" s="84" t="str">
        <f>IF(AND($B139=[1]ana!$A136,[1]ana!$B136=W$4),"ok","nok")</f>
        <v>nok</v>
      </c>
      <c r="X139" s="84" t="str">
        <f>IF(AND($B139=[1]ana!$A136,[1]ana!$B136=X$4),"ok","nok")</f>
        <v>nok</v>
      </c>
      <c r="Y139" s="85" t="s">
        <v>33</v>
      </c>
      <c r="Z139" s="86"/>
      <c r="AA139" s="86"/>
      <c r="AB139" s="87"/>
      <c r="AC139" s="60" t="str">
        <f t="shared" si="36"/>
        <v>Certificação do documento - Vibracon</v>
      </c>
      <c r="AD139" s="60"/>
      <c r="AE139" s="60"/>
      <c r="AF139" s="60"/>
      <c r="AG139" s="61">
        <f t="shared" si="37"/>
        <v>0</v>
      </c>
      <c r="AH139" s="61" t="str">
        <f t="shared" si="38"/>
        <v/>
      </c>
      <c r="AI139" s="61">
        <f t="shared" si="39"/>
        <v>1</v>
      </c>
      <c r="AJ139" s="61" t="str">
        <f t="shared" si="40"/>
        <v/>
      </c>
      <c r="AK139" s="61">
        <f t="shared" si="41"/>
        <v>0</v>
      </c>
      <c r="AL139" s="61" t="str">
        <f t="shared" si="42"/>
        <v/>
      </c>
      <c r="AM139" s="61">
        <f t="shared" si="43"/>
        <v>0</v>
      </c>
      <c r="AN139" s="61" t="str">
        <f t="shared" si="44"/>
        <v/>
      </c>
      <c r="AO139" s="61">
        <f t="shared" si="45"/>
        <v>0</v>
      </c>
      <c r="AP139" s="61" t="str">
        <f t="shared" si="46"/>
        <v/>
      </c>
    </row>
    <row r="140" spans="1:42" ht="30" customHeight="1" x14ac:dyDescent="0.35">
      <c r="A140" s="26" t="str">
        <f t="shared" si="47"/>
        <v>PT165 - ESTUDO DE ENGENHARIA DO GALPÃO INDUSTRIAL G2 (Duque de Caxias)
FASE 4 - PROJETO DE ENGENHARIA
GALPÃO NOVO (CENÁRIO 2)
MARCO - PLANILHA DE QUANTIDADES</v>
      </c>
      <c r="B140" s="53" t="s">
        <v>45</v>
      </c>
      <c r="C140" s="84" t="str">
        <f>IF(AND($B140=[1]ana!$A137,[1]ana!$B137=C$4),"ok","nok")</f>
        <v>nok</v>
      </c>
      <c r="D140" s="84" t="str">
        <f>IF(AND($B140=[1]ana!$A137,[1]ana!$B137=D$4),"ok","nok")</f>
        <v>nok</v>
      </c>
      <c r="E140" s="84" t="str">
        <f>IF(AND($B140=[1]ana!$A137,[1]ana!$B137=E$4),"ok","nok")</f>
        <v>nok</v>
      </c>
      <c r="F140" s="84" t="str">
        <f>IF(AND($B140=[1]ana!$A137,[1]ana!$B137=F$4),"ok","nok")</f>
        <v>nok</v>
      </c>
      <c r="G140" s="84" t="str">
        <f>IF(AND($B140=[1]ana!$A137,[1]ana!$B137=G$4),"ok","nok")</f>
        <v>nok</v>
      </c>
      <c r="H140" s="84" t="str">
        <f>IF(AND($B140=[1]ana!$A137,[1]ana!$B137=H$4),"ok","nok")</f>
        <v>nok</v>
      </c>
      <c r="I140" s="84" t="str">
        <f>IF(AND($B140=[1]ana!$A137,[1]ana!$B137=I$4),"ok","nok")</f>
        <v>nok</v>
      </c>
      <c r="J140" s="84" t="str">
        <f>IF(AND($B140=[1]ana!$A137,[1]ana!$B137=J$4),"ok","nok")</f>
        <v>ok</v>
      </c>
      <c r="K140" s="84" t="str">
        <f>IF(AND($B140=[1]ana!$A137,[1]ana!$B137=K$4),"ok","nok")</f>
        <v>nok</v>
      </c>
      <c r="L140" s="84" t="str">
        <f>IF(AND($B140=[1]ana!$A137,[1]ana!$B137=L$4),"ok","nok")</f>
        <v>nok</v>
      </c>
      <c r="M140" s="84" t="str">
        <f>IF(AND($B140=[1]ana!$A137,[1]ana!$B137=M$4),"ok","nok")</f>
        <v>nok</v>
      </c>
      <c r="N140" s="84" t="str">
        <f>IF(AND($B140=[1]ana!$A137,[1]ana!$B137=N$4),"ok","nok")</f>
        <v>nok</v>
      </c>
      <c r="O140" s="84" t="str">
        <f>IF(AND($B140=[1]ana!$A137,[1]ana!$B137=O$4),"ok","nok")</f>
        <v>nok</v>
      </c>
      <c r="P140" s="84" t="str">
        <f>IF(AND($B140=[1]ana!$A137,[1]ana!$B137=P$4),"ok","nok")</f>
        <v>nok</v>
      </c>
      <c r="Q140" s="84" t="str">
        <f>IF(AND($B140=[1]ana!$A137,[1]ana!$B137=Q$4),"ok","nok")</f>
        <v>nok</v>
      </c>
      <c r="R140" s="84" t="str">
        <f>IF(AND($B140=[1]ana!$A137,[1]ana!$B137=R$4),"ok","nok")</f>
        <v>nok</v>
      </c>
      <c r="S140" s="84" t="str">
        <f>IF(AND($B140=[1]ana!$A137,[1]ana!$B137=S$4),"ok","nok")</f>
        <v>nok</v>
      </c>
      <c r="T140" s="84" t="str">
        <f>IF(AND($B140=[1]ana!$A137,[1]ana!$B137=T$4),"ok","nok")</f>
        <v>nok</v>
      </c>
      <c r="U140" s="84" t="str">
        <f>IF(AND($B140=[1]ana!$A137,[1]ana!$B137=U$4),"ok","nok")</f>
        <v>nok</v>
      </c>
      <c r="V140" s="84" t="str">
        <f>IF(AND($B140=[1]ana!$A137,[1]ana!$B137=V$4),"ok","nok")</f>
        <v>nok</v>
      </c>
      <c r="W140" s="84" t="str">
        <f>IF(AND($B140=[1]ana!$A137,[1]ana!$B137=W$4),"ok","nok")</f>
        <v>nok</v>
      </c>
      <c r="X140" s="84" t="str">
        <f>IF(AND($B140=[1]ana!$A137,[1]ana!$B137=X$4),"ok","nok")</f>
        <v>nok</v>
      </c>
      <c r="Y140" s="85" t="s">
        <v>33</v>
      </c>
      <c r="Z140" s="86"/>
      <c r="AA140" s="86"/>
      <c r="AB140" s="87"/>
      <c r="AC140" s="60" t="str">
        <f t="shared" si="36"/>
        <v>MARCO - Envio do documento Certificado (Rev_0)</v>
      </c>
      <c r="AD140" s="60"/>
      <c r="AE140" s="60"/>
      <c r="AF140" s="60"/>
      <c r="AG140" s="61">
        <f t="shared" si="37"/>
        <v>0</v>
      </c>
      <c r="AH140" s="61" t="str">
        <f t="shared" si="38"/>
        <v/>
      </c>
      <c r="AI140" s="61">
        <f t="shared" si="39"/>
        <v>1</v>
      </c>
      <c r="AJ140" s="61" t="str">
        <f t="shared" si="40"/>
        <v/>
      </c>
      <c r="AK140" s="61">
        <f t="shared" si="41"/>
        <v>0</v>
      </c>
      <c r="AL140" s="61" t="str">
        <f t="shared" si="42"/>
        <v/>
      </c>
      <c r="AM140" s="61">
        <f t="shared" si="43"/>
        <v>0</v>
      </c>
      <c r="AN140" s="61" t="str">
        <f t="shared" si="44"/>
        <v/>
      </c>
      <c r="AO140" s="61">
        <f t="shared" si="45"/>
        <v>0</v>
      </c>
      <c r="AP140" s="61" t="str">
        <f t="shared" si="46"/>
        <v/>
      </c>
    </row>
    <row r="141" spans="1:42" ht="30" customHeight="1" x14ac:dyDescent="0.35">
      <c r="B141" s="55" t="s">
        <v>154</v>
      </c>
      <c r="C141" s="55"/>
      <c r="D141" s="55"/>
      <c r="E141" s="55"/>
      <c r="F141" s="55"/>
      <c r="G141" s="55"/>
      <c r="H141" s="55"/>
      <c r="I141" s="55"/>
      <c r="J141" s="55"/>
      <c r="K141" s="55"/>
      <c r="L141" s="55"/>
      <c r="M141" s="55"/>
      <c r="N141" s="55"/>
      <c r="O141" s="55"/>
      <c r="P141" s="55"/>
      <c r="Q141" s="55"/>
      <c r="R141" s="55"/>
      <c r="S141" s="55"/>
      <c r="T141" s="55"/>
      <c r="U141" s="55"/>
      <c r="V141" s="55"/>
      <c r="W141" s="55"/>
      <c r="X141" s="55"/>
      <c r="Y141" s="131"/>
      <c r="Z141" s="132"/>
      <c r="AA141" s="132"/>
      <c r="AB141" s="133"/>
      <c r="AC141" s="60" t="str">
        <f t="shared" si="36"/>
        <v/>
      </c>
      <c r="AD141" s="60"/>
      <c r="AE141" s="60"/>
      <c r="AF141" s="60"/>
      <c r="AG141" s="61">
        <f t="shared" si="37"/>
        <v>0</v>
      </c>
      <c r="AH141" s="61" t="str">
        <f t="shared" si="38"/>
        <v/>
      </c>
      <c r="AI141" s="61">
        <f t="shared" si="39"/>
        <v>0</v>
      </c>
      <c r="AJ141" s="61" t="str">
        <f t="shared" si="40"/>
        <v/>
      </c>
      <c r="AK141" s="61">
        <f t="shared" si="41"/>
        <v>0</v>
      </c>
      <c r="AL141" s="61" t="str">
        <f t="shared" si="42"/>
        <v/>
      </c>
      <c r="AM141" s="61">
        <f t="shared" si="43"/>
        <v>0</v>
      </c>
      <c r="AN141" s="61" t="str">
        <f t="shared" si="44"/>
        <v/>
      </c>
      <c r="AO141" s="61">
        <f t="shared" si="45"/>
        <v>0</v>
      </c>
      <c r="AP141" s="61" t="str">
        <f t="shared" si="46"/>
        <v/>
      </c>
    </row>
    <row r="142" spans="1:42" ht="30" customHeight="1" x14ac:dyDescent="0.35">
      <c r="B142" s="73" t="s">
        <v>89</v>
      </c>
      <c r="C142" s="73"/>
      <c r="D142" s="73"/>
      <c r="E142" s="73"/>
      <c r="F142" s="73"/>
      <c r="G142" s="73"/>
      <c r="H142" s="73"/>
      <c r="I142" s="73"/>
      <c r="J142" s="73"/>
      <c r="K142" s="73"/>
      <c r="L142" s="73"/>
      <c r="M142" s="73"/>
      <c r="N142" s="73"/>
      <c r="O142" s="73"/>
      <c r="P142" s="73"/>
      <c r="Q142" s="73"/>
      <c r="R142" s="73"/>
      <c r="S142" s="73"/>
      <c r="T142" s="73"/>
      <c r="U142" s="73"/>
      <c r="V142" s="73"/>
      <c r="W142" s="73"/>
      <c r="X142" s="73"/>
      <c r="Y142" s="94"/>
      <c r="Z142" s="95"/>
      <c r="AA142" s="95"/>
      <c r="AB142" s="96"/>
      <c r="AC142" s="60" t="str">
        <f t="shared" si="36"/>
        <v/>
      </c>
      <c r="AD142" s="60"/>
      <c r="AE142" s="60"/>
      <c r="AF142" s="60"/>
      <c r="AG142" s="61">
        <f t="shared" si="37"/>
        <v>0</v>
      </c>
      <c r="AH142" s="61" t="str">
        <f t="shared" si="38"/>
        <v/>
      </c>
      <c r="AI142" s="61">
        <f t="shared" si="39"/>
        <v>0</v>
      </c>
      <c r="AJ142" s="61" t="str">
        <f t="shared" si="40"/>
        <v/>
      </c>
      <c r="AK142" s="61">
        <f t="shared" si="41"/>
        <v>0</v>
      </c>
      <c r="AL142" s="61" t="str">
        <f t="shared" si="42"/>
        <v/>
      </c>
      <c r="AM142" s="61">
        <f t="shared" si="43"/>
        <v>0</v>
      </c>
      <c r="AN142" s="61" t="str">
        <f t="shared" si="44"/>
        <v/>
      </c>
      <c r="AO142" s="61">
        <f t="shared" si="45"/>
        <v>0</v>
      </c>
      <c r="AP142" s="61" t="str">
        <f t="shared" si="46"/>
        <v/>
      </c>
    </row>
    <row r="143" spans="1:42" ht="30" customHeight="1" x14ac:dyDescent="0.35">
      <c r="A143" s="26" t="str">
        <f>CONCATENATE($B$81,"
",$B$114,"
",$B$141,"
",$B$142)</f>
        <v>PT165 - ESTUDO DE ENGENHARIA DO GALPÃO INDUSTRIAL G2 (Duque de Caxias)
FASE 4 - PROJETO DE ENGENHARIA
ESPECIFICAÇÃO TÉCNICA DE CONTRATAÇÃO "TURN-KEY"
GALPÃO NOVO (CENÁRIO 2)</v>
      </c>
      <c r="B143" s="51" t="s">
        <v>155</v>
      </c>
      <c r="C143" s="84" t="str">
        <f>IF(AND($B143=[1]ana!$A140,[1]ana!$B140=C$4),"ok","nok")</f>
        <v>nok</v>
      </c>
      <c r="D143" s="84" t="str">
        <f>IF(AND($B143=[1]ana!$A140,[1]ana!$B140=D$4),"ok","nok")</f>
        <v>nok</v>
      </c>
      <c r="E143" s="84" t="str">
        <f>IF(AND($B143=[1]ana!$A140,[1]ana!$B140=E$4),"ok","nok")</f>
        <v>nok</v>
      </c>
      <c r="F143" s="84" t="str">
        <f>IF(AND($B143=[1]ana!$A140,[1]ana!$B140=F$4),"ok","nok")</f>
        <v>nok</v>
      </c>
      <c r="G143" s="84" t="str">
        <f>IF(AND($B143=[1]ana!$A140,[1]ana!$B140=G$4),"ok","nok")</f>
        <v>ok</v>
      </c>
      <c r="H143" s="84" t="str">
        <f>IF(AND($B143=[1]ana!$A140,[1]ana!$B140=H$4),"ok","nok")</f>
        <v>nok</v>
      </c>
      <c r="I143" s="84" t="str">
        <f>IF(AND($B143=[1]ana!$A140,[1]ana!$B140=I$4),"ok","nok")</f>
        <v>nok</v>
      </c>
      <c r="J143" s="84" t="str">
        <f>IF(AND($B143=[1]ana!$A140,[1]ana!$B140=J$4),"ok","nok")</f>
        <v>nok</v>
      </c>
      <c r="K143" s="84" t="str">
        <f>IF(AND($B143=[1]ana!$A140,[1]ana!$B140=K$4),"ok","nok")</f>
        <v>nok</v>
      </c>
      <c r="L143" s="84" t="str">
        <f>IF(AND($B143=[1]ana!$A140,[1]ana!$B140=L$4),"ok","nok")</f>
        <v>nok</v>
      </c>
      <c r="M143" s="84" t="str">
        <f>IF(AND($B143=[1]ana!$A140,[1]ana!$B140=M$4),"ok","nok")</f>
        <v>nok</v>
      </c>
      <c r="N143" s="84" t="str">
        <f>IF(AND($B143=[1]ana!$A140,[1]ana!$B140=N$4),"ok","nok")</f>
        <v>nok</v>
      </c>
      <c r="O143" s="84" t="str">
        <f>IF(AND($B143=[1]ana!$A140,[1]ana!$B140=O$4),"ok","nok")</f>
        <v>nok</v>
      </c>
      <c r="P143" s="84" t="str">
        <f>IF(AND($B143=[1]ana!$A140,[1]ana!$B140=P$4),"ok","nok")</f>
        <v>nok</v>
      </c>
      <c r="Q143" s="84" t="str">
        <f>IF(AND($B143=[1]ana!$A140,[1]ana!$B140=Q$4),"ok","nok")</f>
        <v>nok</v>
      </c>
      <c r="R143" s="84" t="str">
        <f>IF(AND($B143=[1]ana!$A140,[1]ana!$B140=R$4),"ok","nok")</f>
        <v>nok</v>
      </c>
      <c r="S143" s="84" t="str">
        <f>IF(AND($B143=[1]ana!$A140,[1]ana!$B140=S$4),"ok","nok")</f>
        <v>nok</v>
      </c>
      <c r="T143" s="84" t="str">
        <f>IF(AND($B143=[1]ana!$A140,[1]ana!$B140=T$4),"ok","nok")</f>
        <v>nok</v>
      </c>
      <c r="U143" s="84" t="str">
        <f>IF(AND($B143=[1]ana!$A140,[1]ana!$B140=U$4),"ok","nok")</f>
        <v>nok</v>
      </c>
      <c r="V143" s="84" t="str">
        <f>IF(AND($B143=[1]ana!$A140,[1]ana!$B140=V$4),"ok","nok")</f>
        <v>nok</v>
      </c>
      <c r="W143" s="84" t="str">
        <f>IF(AND($B143=[1]ana!$A140,[1]ana!$B140=W$4),"ok","nok")</f>
        <v>nok</v>
      </c>
      <c r="X143" s="84" t="str">
        <f>IF(AND($B143=[1]ana!$A140,[1]ana!$B140=X$4),"ok","nok")</f>
        <v>nok</v>
      </c>
      <c r="Y143" s="85" t="s">
        <v>2</v>
      </c>
      <c r="Z143" s="86"/>
      <c r="AA143" s="86"/>
      <c r="AB143" s="87"/>
      <c r="AC143" s="60" t="str">
        <f t="shared" si="36"/>
        <v/>
      </c>
      <c r="AD143" s="60"/>
      <c r="AE143" s="60"/>
      <c r="AF143" s="60"/>
      <c r="AG143" s="61">
        <f t="shared" si="37"/>
        <v>1</v>
      </c>
      <c r="AH143" s="61" t="str">
        <f t="shared" si="38"/>
        <v>ENTREGUE</v>
      </c>
      <c r="AI143" s="61">
        <f t="shared" si="39"/>
        <v>0</v>
      </c>
      <c r="AJ143" s="61" t="str">
        <f t="shared" si="40"/>
        <v/>
      </c>
      <c r="AK143" s="61">
        <f t="shared" si="41"/>
        <v>0</v>
      </c>
      <c r="AL143" s="61" t="str">
        <f t="shared" si="42"/>
        <v/>
      </c>
      <c r="AM143" s="61">
        <f t="shared" si="43"/>
        <v>0</v>
      </c>
      <c r="AN143" s="61" t="str">
        <f t="shared" si="44"/>
        <v/>
      </c>
      <c r="AO143" s="61">
        <f t="shared" si="45"/>
        <v>0</v>
      </c>
      <c r="AP143" s="61" t="str">
        <f t="shared" si="46"/>
        <v/>
      </c>
    </row>
    <row r="144" spans="1:42" ht="30" customHeight="1" x14ac:dyDescent="0.35">
      <c r="A144" s="26" t="str">
        <f t="shared" ref="A144:A149" si="48">CONCATENATE($B$81,"
",$B$114,"
",$B$141,"
",$B$142)</f>
        <v>PT165 - ESTUDO DE ENGENHARIA DO GALPÃO INDUSTRIAL G2 (Duque de Caxias)
FASE 4 - PROJETO DE ENGENHARIA
ESPECIFICAÇÃO TÉCNICA DE CONTRATAÇÃO "TURN-KEY"
GALPÃO NOVO (CENÁRIO 2)</v>
      </c>
      <c r="B144" s="51" t="s">
        <v>156</v>
      </c>
      <c r="C144" s="84" t="str">
        <f>IF(AND($B144=[1]ana!$A141,[1]ana!$B141=C$4),"ok","nok")</f>
        <v>nok</v>
      </c>
      <c r="D144" s="84" t="str">
        <f>IF(AND($B144=[1]ana!$A141,[1]ana!$B141=D$4),"ok","nok")</f>
        <v>nok</v>
      </c>
      <c r="E144" s="84" t="str">
        <f>IF(AND($B144=[1]ana!$A141,[1]ana!$B141=E$4),"ok","nok")</f>
        <v>nok</v>
      </c>
      <c r="F144" s="84" t="str">
        <f>IF(AND($B144=[1]ana!$A141,[1]ana!$B141=F$4),"ok","nok")</f>
        <v>nok</v>
      </c>
      <c r="G144" s="84" t="str">
        <f>IF(AND($B144=[1]ana!$A141,[1]ana!$B141=G$4),"ok","nok")</f>
        <v>ok</v>
      </c>
      <c r="H144" s="84" t="str">
        <f>IF(AND($B144=[1]ana!$A141,[1]ana!$B141=H$4),"ok","nok")</f>
        <v>nok</v>
      </c>
      <c r="I144" s="84" t="str">
        <f>IF(AND($B144=[1]ana!$A141,[1]ana!$B141=I$4),"ok","nok")</f>
        <v>nok</v>
      </c>
      <c r="J144" s="84" t="str">
        <f>IF(AND($B144=[1]ana!$A141,[1]ana!$B141=J$4),"ok","nok")</f>
        <v>nok</v>
      </c>
      <c r="K144" s="84" t="str">
        <f>IF(AND($B144=[1]ana!$A141,[1]ana!$B141=K$4),"ok","nok")</f>
        <v>nok</v>
      </c>
      <c r="L144" s="84" t="str">
        <f>IF(AND($B144=[1]ana!$A141,[1]ana!$B141=L$4),"ok","nok")</f>
        <v>nok</v>
      </c>
      <c r="M144" s="84" t="str">
        <f>IF(AND($B144=[1]ana!$A141,[1]ana!$B141=M$4),"ok","nok")</f>
        <v>nok</v>
      </c>
      <c r="N144" s="84" t="str">
        <f>IF(AND($B144=[1]ana!$A141,[1]ana!$B141=N$4),"ok","nok")</f>
        <v>nok</v>
      </c>
      <c r="O144" s="84" t="str">
        <f>IF(AND($B144=[1]ana!$A141,[1]ana!$B141=O$4),"ok","nok")</f>
        <v>nok</v>
      </c>
      <c r="P144" s="84" t="str">
        <f>IF(AND($B144=[1]ana!$A141,[1]ana!$B141=P$4),"ok","nok")</f>
        <v>nok</v>
      </c>
      <c r="Q144" s="84" t="str">
        <f>IF(AND($B144=[1]ana!$A141,[1]ana!$B141=Q$4),"ok","nok")</f>
        <v>nok</v>
      </c>
      <c r="R144" s="84" t="str">
        <f>IF(AND($B144=[1]ana!$A141,[1]ana!$B141=R$4),"ok","nok")</f>
        <v>nok</v>
      </c>
      <c r="S144" s="84" t="str">
        <f>IF(AND($B144=[1]ana!$A141,[1]ana!$B141=S$4),"ok","nok")</f>
        <v>nok</v>
      </c>
      <c r="T144" s="84" t="str">
        <f>IF(AND($B144=[1]ana!$A141,[1]ana!$B141=T$4),"ok","nok")</f>
        <v>nok</v>
      </c>
      <c r="U144" s="84" t="str">
        <f>IF(AND($B144=[1]ana!$A141,[1]ana!$B141=U$4),"ok","nok")</f>
        <v>nok</v>
      </c>
      <c r="V144" s="84" t="str">
        <f>IF(AND($B144=[1]ana!$A141,[1]ana!$B141=V$4),"ok","nok")</f>
        <v>nok</v>
      </c>
      <c r="W144" s="84" t="str">
        <f>IF(AND($B144=[1]ana!$A141,[1]ana!$B141=W$4),"ok","nok")</f>
        <v>nok</v>
      </c>
      <c r="X144" s="84" t="str">
        <f>IF(AND($B144=[1]ana!$A141,[1]ana!$B141=X$4),"ok","nok")</f>
        <v>nok</v>
      </c>
      <c r="Y144" s="85" t="s">
        <v>2</v>
      </c>
      <c r="Z144" s="86"/>
      <c r="AA144" s="86"/>
      <c r="AB144" s="87"/>
      <c r="AC144" s="60" t="str">
        <f t="shared" si="36"/>
        <v/>
      </c>
      <c r="AD144" s="60"/>
      <c r="AE144" s="60"/>
      <c r="AF144" s="60"/>
      <c r="AG144" s="61">
        <f t="shared" si="37"/>
        <v>1</v>
      </c>
      <c r="AH144" s="61" t="str">
        <f t="shared" si="38"/>
        <v>ENTREGUE</v>
      </c>
      <c r="AI144" s="61">
        <f t="shared" si="39"/>
        <v>0</v>
      </c>
      <c r="AJ144" s="61" t="str">
        <f t="shared" si="40"/>
        <v/>
      </c>
      <c r="AK144" s="61">
        <f t="shared" si="41"/>
        <v>0</v>
      </c>
      <c r="AL144" s="61" t="str">
        <f t="shared" si="42"/>
        <v/>
      </c>
      <c r="AM144" s="61">
        <f t="shared" si="43"/>
        <v>0</v>
      </c>
      <c r="AN144" s="61" t="str">
        <f t="shared" si="44"/>
        <v/>
      </c>
      <c r="AO144" s="61">
        <f t="shared" si="45"/>
        <v>0</v>
      </c>
      <c r="AP144" s="61" t="str">
        <f t="shared" si="46"/>
        <v/>
      </c>
    </row>
    <row r="145" spans="1:42" ht="30" customHeight="1" x14ac:dyDescent="0.35">
      <c r="B145" s="52" t="s">
        <v>157</v>
      </c>
      <c r="C145" s="52"/>
      <c r="D145" s="52"/>
      <c r="E145" s="52"/>
      <c r="F145" s="52"/>
      <c r="G145" s="52"/>
      <c r="H145" s="52"/>
      <c r="I145" s="52"/>
      <c r="J145" s="52"/>
      <c r="K145" s="52"/>
      <c r="L145" s="52"/>
      <c r="M145" s="52"/>
      <c r="N145" s="52"/>
      <c r="O145" s="52"/>
      <c r="P145" s="52"/>
      <c r="Q145" s="52"/>
      <c r="R145" s="52"/>
      <c r="S145" s="52"/>
      <c r="T145" s="52"/>
      <c r="U145" s="52"/>
      <c r="V145" s="52"/>
      <c r="W145" s="52"/>
      <c r="X145" s="52"/>
      <c r="Y145" s="88"/>
      <c r="Z145" s="89"/>
      <c r="AA145" s="89"/>
      <c r="AB145" s="90"/>
      <c r="AC145" s="60" t="str">
        <f t="shared" si="36"/>
        <v/>
      </c>
      <c r="AD145" s="60"/>
      <c r="AE145" s="60"/>
      <c r="AF145" s="60"/>
      <c r="AG145" s="61">
        <f t="shared" si="37"/>
        <v>0</v>
      </c>
      <c r="AH145" s="61" t="str">
        <f t="shared" si="38"/>
        <v/>
      </c>
      <c r="AI145" s="61">
        <f t="shared" si="39"/>
        <v>0</v>
      </c>
      <c r="AJ145" s="61" t="str">
        <f t="shared" si="40"/>
        <v/>
      </c>
      <c r="AK145" s="61">
        <f t="shared" si="41"/>
        <v>0</v>
      </c>
      <c r="AL145" s="61" t="str">
        <f t="shared" si="42"/>
        <v/>
      </c>
      <c r="AM145" s="61">
        <f t="shared" si="43"/>
        <v>0</v>
      </c>
      <c r="AN145" s="61" t="str">
        <f t="shared" si="44"/>
        <v/>
      </c>
      <c r="AO145" s="61">
        <f t="shared" si="45"/>
        <v>0</v>
      </c>
      <c r="AP145" s="61" t="str">
        <f t="shared" si="46"/>
        <v/>
      </c>
    </row>
    <row r="146" spans="1:42" ht="30" customHeight="1" x14ac:dyDescent="0.35">
      <c r="A146" s="26" t="str">
        <f t="shared" si="48"/>
        <v>PT165 - ESTUDO DE ENGENHARIA DO GALPÃO INDUSTRIAL G2 (Duque de Caxias)
FASE 4 - PROJETO DE ENGENHARIA
ESPECIFICAÇÃO TÉCNICA DE CONTRATAÇÃO "TURN-KEY"
GALPÃO NOVO (CENÁRIO 2)</v>
      </c>
      <c r="B146" s="53" t="s">
        <v>19</v>
      </c>
      <c r="C146" s="84" t="str">
        <f>IF(AND($B146=[1]ana!$A143,[1]ana!$B143=C$4),"ok","nok")</f>
        <v>nok</v>
      </c>
      <c r="D146" s="84" t="str">
        <f>IF(AND($B146=[1]ana!$A143,[1]ana!$B143=D$4),"ok","nok")</f>
        <v>nok</v>
      </c>
      <c r="E146" s="84" t="str">
        <f>IF(AND($B146=[1]ana!$A143,[1]ana!$B143=E$4),"ok","nok")</f>
        <v>nok</v>
      </c>
      <c r="F146" s="84" t="str">
        <f>IF(AND($B146=[1]ana!$A143,[1]ana!$B143=F$4),"ok","nok")</f>
        <v>nok</v>
      </c>
      <c r="G146" s="84" t="str">
        <f>IF(AND($B146=[1]ana!$A143,[1]ana!$B143=G$4),"ok","nok")</f>
        <v>ok</v>
      </c>
      <c r="H146" s="84" t="str">
        <f>IF(AND($B146=[1]ana!$A143,[1]ana!$B143=H$4),"ok","nok")</f>
        <v>nok</v>
      </c>
      <c r="I146" s="84" t="str">
        <f>IF(AND($B146=[1]ana!$A143,[1]ana!$B143=I$4),"ok","nok")</f>
        <v>nok</v>
      </c>
      <c r="J146" s="84" t="str">
        <f>IF(AND($B146=[1]ana!$A143,[1]ana!$B143=J$4),"ok","nok")</f>
        <v>nok</v>
      </c>
      <c r="K146" s="84" t="str">
        <f>IF(AND($B146=[1]ana!$A143,[1]ana!$B143=K$4),"ok","nok")</f>
        <v>nok</v>
      </c>
      <c r="L146" s="84" t="str">
        <f>IF(AND($B146=[1]ana!$A143,[1]ana!$B143=L$4),"ok","nok")</f>
        <v>nok</v>
      </c>
      <c r="M146" s="84" t="str">
        <f>IF(AND($B146=[1]ana!$A143,[1]ana!$B143=M$4),"ok","nok")</f>
        <v>nok</v>
      </c>
      <c r="N146" s="84" t="str">
        <f>IF(AND($B146=[1]ana!$A143,[1]ana!$B143=N$4),"ok","nok")</f>
        <v>nok</v>
      </c>
      <c r="O146" s="84" t="str">
        <f>IF(AND($B146=[1]ana!$A143,[1]ana!$B143=O$4),"ok","nok")</f>
        <v>nok</v>
      </c>
      <c r="P146" s="84" t="str">
        <f>IF(AND($B146=[1]ana!$A143,[1]ana!$B143=P$4),"ok","nok")</f>
        <v>nok</v>
      </c>
      <c r="Q146" s="84" t="str">
        <f>IF(AND($B146=[1]ana!$A143,[1]ana!$B143=Q$4),"ok","nok")</f>
        <v>nok</v>
      </c>
      <c r="R146" s="84" t="str">
        <f>IF(AND($B146=[1]ana!$A143,[1]ana!$B143=R$4),"ok","nok")</f>
        <v>nok</v>
      </c>
      <c r="S146" s="84" t="str">
        <f>IF(AND($B146=[1]ana!$A143,[1]ana!$B143=S$4),"ok","nok")</f>
        <v>nok</v>
      </c>
      <c r="T146" s="84" t="str">
        <f>IF(AND($B146=[1]ana!$A143,[1]ana!$B143=T$4),"ok","nok")</f>
        <v>nok</v>
      </c>
      <c r="U146" s="84" t="str">
        <f>IF(AND($B146=[1]ana!$A143,[1]ana!$B143=U$4),"ok","nok")</f>
        <v>nok</v>
      </c>
      <c r="V146" s="84" t="str">
        <f>IF(AND($B146=[1]ana!$A143,[1]ana!$B143=V$4),"ok","nok")</f>
        <v>nok</v>
      </c>
      <c r="W146" s="84" t="str">
        <f>IF(AND($B146=[1]ana!$A143,[1]ana!$B143=W$4),"ok","nok")</f>
        <v>nok</v>
      </c>
      <c r="X146" s="84" t="str">
        <f>IF(AND($B146=[1]ana!$A143,[1]ana!$B143=X$4),"ok","nok")</f>
        <v>nok</v>
      </c>
      <c r="Y146" s="85" t="s">
        <v>2</v>
      </c>
      <c r="Z146" s="86"/>
      <c r="AA146" s="86"/>
      <c r="AB146" s="87"/>
      <c r="AC146" s="60" t="str">
        <f t="shared" si="36"/>
        <v/>
      </c>
      <c r="AD146" s="60"/>
      <c r="AE146" s="60"/>
      <c r="AF146" s="60"/>
      <c r="AG146" s="61">
        <f t="shared" si="37"/>
        <v>1</v>
      </c>
      <c r="AH146" s="61" t="str">
        <f t="shared" si="38"/>
        <v>ENTREGUE</v>
      </c>
      <c r="AI146" s="61">
        <f t="shared" si="39"/>
        <v>0</v>
      </c>
      <c r="AJ146" s="61" t="str">
        <f t="shared" si="40"/>
        <v/>
      </c>
      <c r="AK146" s="61">
        <f t="shared" si="41"/>
        <v>0</v>
      </c>
      <c r="AL146" s="61" t="str">
        <f t="shared" si="42"/>
        <v/>
      </c>
      <c r="AM146" s="61">
        <f t="shared" si="43"/>
        <v>0</v>
      </c>
      <c r="AN146" s="61" t="str">
        <f t="shared" si="44"/>
        <v/>
      </c>
      <c r="AO146" s="61">
        <f t="shared" si="45"/>
        <v>0</v>
      </c>
      <c r="AP146" s="61" t="str">
        <f t="shared" si="46"/>
        <v/>
      </c>
    </row>
    <row r="147" spans="1:42" ht="30" customHeight="1" x14ac:dyDescent="0.35">
      <c r="A147" s="26" t="str">
        <f t="shared" si="48"/>
        <v>PT165 - ESTUDO DE ENGENHARIA DO GALPÃO INDUSTRIAL G2 (Duque de Caxias)
FASE 4 - PROJETO DE ENGENHARIA
ESPECIFICAÇÃO TÉCNICA DE CONTRATAÇÃO "TURN-KEY"
GALPÃO NOVO (CENÁRIO 2)</v>
      </c>
      <c r="B147" s="53" t="s">
        <v>43</v>
      </c>
      <c r="C147" s="84" t="str">
        <f>IF(AND($B147=[1]ana!$A144,[1]ana!$B144=C$4),"ok","nok")</f>
        <v>nok</v>
      </c>
      <c r="D147" s="84" t="str">
        <f>IF(AND($B147=[1]ana!$A144,[1]ana!$B144=D$4),"ok","nok")</f>
        <v>nok</v>
      </c>
      <c r="E147" s="84" t="str">
        <f>IF(AND($B147=[1]ana!$A144,[1]ana!$B144=E$4),"ok","nok")</f>
        <v>nok</v>
      </c>
      <c r="F147" s="84" t="str">
        <f>IF(AND($B147=[1]ana!$A144,[1]ana!$B144=F$4),"ok","nok")</f>
        <v>nok</v>
      </c>
      <c r="G147" s="84" t="str">
        <f>IF(AND($B147=[1]ana!$A144,[1]ana!$B144=G$4),"ok","nok")</f>
        <v>nok</v>
      </c>
      <c r="H147" s="84" t="str">
        <f>IF(AND($B147=[1]ana!$A144,[1]ana!$B144=H$4),"ok","nok")</f>
        <v>nok</v>
      </c>
      <c r="I147" s="84" t="str">
        <f>IF(AND($B147=[1]ana!$A144,[1]ana!$B144=I$4),"ok","nok")</f>
        <v>nok</v>
      </c>
      <c r="J147" s="84" t="str">
        <f>IF(AND($B147=[1]ana!$A144,[1]ana!$B144=J$4),"ok","nok")</f>
        <v>nok</v>
      </c>
      <c r="K147" s="84" t="str">
        <f>IF(AND($B147=[1]ana!$A144,[1]ana!$B144=K$4),"ok","nok")</f>
        <v>nok</v>
      </c>
      <c r="L147" s="84" t="str">
        <f>IF(AND($B147=[1]ana!$A144,[1]ana!$B144=L$4),"ok","nok")</f>
        <v>ok</v>
      </c>
      <c r="M147" s="84" t="str">
        <f>IF(AND($B147=[1]ana!$A144,[1]ana!$B144=M$4),"ok","nok")</f>
        <v>nok</v>
      </c>
      <c r="N147" s="84" t="str">
        <f>IF(AND($B147=[1]ana!$A144,[1]ana!$B144=N$4),"ok","nok")</f>
        <v>nok</v>
      </c>
      <c r="O147" s="84" t="str">
        <f>IF(AND($B147=[1]ana!$A144,[1]ana!$B144=O$4),"ok","nok")</f>
        <v>nok</v>
      </c>
      <c r="P147" s="84" t="str">
        <f>IF(AND($B147=[1]ana!$A144,[1]ana!$B144=P$4),"ok","nok")</f>
        <v>nok</v>
      </c>
      <c r="Q147" s="84" t="str">
        <f>IF(AND($B147=[1]ana!$A144,[1]ana!$B144=Q$4),"ok","nok")</f>
        <v>nok</v>
      </c>
      <c r="R147" s="84" t="str">
        <f>IF(AND($B147=[1]ana!$A144,[1]ana!$B144=R$4),"ok","nok")</f>
        <v>nok</v>
      </c>
      <c r="S147" s="84" t="str">
        <f>IF(AND($B147=[1]ana!$A144,[1]ana!$B144=S$4),"ok","nok")</f>
        <v>nok</v>
      </c>
      <c r="T147" s="84" t="str">
        <f>IF(AND($B147=[1]ana!$A144,[1]ana!$B144=T$4),"ok","nok")</f>
        <v>nok</v>
      </c>
      <c r="U147" s="84" t="str">
        <f>IF(AND($B147=[1]ana!$A144,[1]ana!$B144=U$4),"ok","nok")</f>
        <v>nok</v>
      </c>
      <c r="V147" s="84" t="str">
        <f>IF(AND($B147=[1]ana!$A144,[1]ana!$B144=V$4),"ok","nok")</f>
        <v>nok</v>
      </c>
      <c r="W147" s="84" t="str">
        <f>IF(AND($B147=[1]ana!$A144,[1]ana!$B144=W$4),"ok","nok")</f>
        <v>nok</v>
      </c>
      <c r="X147" s="84" t="str">
        <f>IF(AND($B147=[1]ana!$A144,[1]ana!$B144=X$4),"ok","nok")</f>
        <v>nok</v>
      </c>
      <c r="Y147" s="85" t="s">
        <v>2</v>
      </c>
      <c r="Z147" s="86"/>
      <c r="AA147" s="86"/>
      <c r="AB147" s="87"/>
      <c r="AC147" s="60" t="str">
        <f t="shared" si="36"/>
        <v/>
      </c>
      <c r="AD147" s="60"/>
      <c r="AE147" s="60"/>
      <c r="AF147" s="60"/>
      <c r="AG147" s="61">
        <f t="shared" si="37"/>
        <v>0</v>
      </c>
      <c r="AH147" s="61" t="str">
        <f t="shared" si="38"/>
        <v/>
      </c>
      <c r="AI147" s="61">
        <f t="shared" si="39"/>
        <v>1</v>
      </c>
      <c r="AJ147" s="61" t="str">
        <f t="shared" si="40"/>
        <v>ENTREGUE</v>
      </c>
      <c r="AK147" s="61">
        <f t="shared" si="41"/>
        <v>0</v>
      </c>
      <c r="AL147" s="61" t="str">
        <f t="shared" si="42"/>
        <v/>
      </c>
      <c r="AM147" s="61">
        <f t="shared" si="43"/>
        <v>0</v>
      </c>
      <c r="AN147" s="61" t="str">
        <f t="shared" si="44"/>
        <v/>
      </c>
      <c r="AO147" s="61">
        <f t="shared" si="45"/>
        <v>0</v>
      </c>
      <c r="AP147" s="61" t="str">
        <f t="shared" si="46"/>
        <v/>
      </c>
    </row>
    <row r="148" spans="1:42" ht="30" customHeight="1" x14ac:dyDescent="0.35">
      <c r="A148" s="26" t="str">
        <f t="shared" si="48"/>
        <v>PT165 - ESTUDO DE ENGENHARIA DO GALPÃO INDUSTRIAL G2 (Duque de Caxias)
FASE 4 - PROJETO DE ENGENHARIA
ESPECIFICAÇÃO TÉCNICA DE CONTRATAÇÃO "TURN-KEY"
GALPÃO NOVO (CENÁRIO 2)</v>
      </c>
      <c r="B148" s="53" t="s">
        <v>44</v>
      </c>
      <c r="C148" s="84" t="str">
        <f>IF(AND($B148=[1]ana!$A145,[1]ana!$B145=C$4),"ok","nok")</f>
        <v>nok</v>
      </c>
      <c r="D148" s="84" t="str">
        <f>IF(AND($B148=[1]ana!$A145,[1]ana!$B145=D$4),"ok","nok")</f>
        <v>nok</v>
      </c>
      <c r="E148" s="84" t="str">
        <f>IF(AND($B148=[1]ana!$A145,[1]ana!$B145=E$4),"ok","nok")</f>
        <v>nok</v>
      </c>
      <c r="F148" s="84" t="str">
        <f>IF(AND($B148=[1]ana!$A145,[1]ana!$B145=F$4),"ok","nok")</f>
        <v>nok</v>
      </c>
      <c r="G148" s="84" t="str">
        <f>IF(AND($B148=[1]ana!$A145,[1]ana!$B145=G$4),"ok","nok")</f>
        <v>nok</v>
      </c>
      <c r="H148" s="84" t="str">
        <f>IF(AND($B148=[1]ana!$A145,[1]ana!$B145=H$4),"ok","nok")</f>
        <v>nok</v>
      </c>
      <c r="I148" s="84" t="str">
        <f>IF(AND($B148=[1]ana!$A145,[1]ana!$B145=I$4),"ok","nok")</f>
        <v>nok</v>
      </c>
      <c r="J148" s="84" t="str">
        <f>IF(AND($B148=[1]ana!$A145,[1]ana!$B145=J$4),"ok","nok")</f>
        <v>nok</v>
      </c>
      <c r="K148" s="84" t="str">
        <f>IF(AND($B148=[1]ana!$A145,[1]ana!$B145=K$4),"ok","nok")</f>
        <v>nok</v>
      </c>
      <c r="L148" s="84" t="str">
        <f>IF(AND($B148=[1]ana!$A145,[1]ana!$B145=L$4),"ok","nok")</f>
        <v>nok</v>
      </c>
      <c r="M148" s="84" t="str">
        <f>IF(AND($B148=[1]ana!$A145,[1]ana!$B145=M$4),"ok","nok")</f>
        <v>ok</v>
      </c>
      <c r="N148" s="84" t="str">
        <f>IF(AND($B148=[1]ana!$A145,[1]ana!$B145=N$4),"ok","nok")</f>
        <v>nok</v>
      </c>
      <c r="O148" s="84" t="str">
        <f>IF(AND($B148=[1]ana!$A145,[1]ana!$B145=O$4),"ok","nok")</f>
        <v>nok</v>
      </c>
      <c r="P148" s="84" t="str">
        <f>IF(AND($B148=[1]ana!$A145,[1]ana!$B145=P$4),"ok","nok")</f>
        <v>nok</v>
      </c>
      <c r="Q148" s="84" t="str">
        <f>IF(AND($B148=[1]ana!$A145,[1]ana!$B145=Q$4),"ok","nok")</f>
        <v>nok</v>
      </c>
      <c r="R148" s="84" t="str">
        <f>IF(AND($B148=[1]ana!$A145,[1]ana!$B145=R$4),"ok","nok")</f>
        <v>nok</v>
      </c>
      <c r="S148" s="84" t="str">
        <f>IF(AND($B148=[1]ana!$A145,[1]ana!$B145=S$4),"ok","nok")</f>
        <v>nok</v>
      </c>
      <c r="T148" s="84" t="str">
        <f>IF(AND($B148=[1]ana!$A145,[1]ana!$B145=T$4),"ok","nok")</f>
        <v>nok</v>
      </c>
      <c r="U148" s="84" t="str">
        <f>IF(AND($B148=[1]ana!$A145,[1]ana!$B145=U$4),"ok","nok")</f>
        <v>nok</v>
      </c>
      <c r="V148" s="84" t="str">
        <f>IF(AND($B148=[1]ana!$A145,[1]ana!$B145=V$4),"ok","nok")</f>
        <v>nok</v>
      </c>
      <c r="W148" s="84" t="str">
        <f>IF(AND($B148=[1]ana!$A145,[1]ana!$B145=W$4),"ok","nok")</f>
        <v>nok</v>
      </c>
      <c r="X148" s="84" t="str">
        <f>IF(AND($B148=[1]ana!$A145,[1]ana!$B145=X$4),"ok","nok")</f>
        <v>nok</v>
      </c>
      <c r="Y148" s="85" t="s">
        <v>33</v>
      </c>
      <c r="Z148" s="86"/>
      <c r="AA148" s="86"/>
      <c r="AB148" s="87"/>
      <c r="AC148" s="60" t="str">
        <f t="shared" si="36"/>
        <v>Certificação do documento - Vibracon</v>
      </c>
      <c r="AD148" s="60"/>
      <c r="AE148" s="60"/>
      <c r="AF148" s="60"/>
      <c r="AG148" s="61">
        <f t="shared" si="37"/>
        <v>0</v>
      </c>
      <c r="AH148" s="61" t="str">
        <f t="shared" si="38"/>
        <v/>
      </c>
      <c r="AI148" s="61">
        <f t="shared" si="39"/>
        <v>0</v>
      </c>
      <c r="AJ148" s="61" t="str">
        <f t="shared" si="40"/>
        <v/>
      </c>
      <c r="AK148" s="61">
        <f t="shared" si="41"/>
        <v>1</v>
      </c>
      <c r="AL148" s="61" t="str">
        <f t="shared" si="42"/>
        <v/>
      </c>
      <c r="AM148" s="61">
        <f t="shared" si="43"/>
        <v>0</v>
      </c>
      <c r="AN148" s="61" t="str">
        <f t="shared" si="44"/>
        <v/>
      </c>
      <c r="AO148" s="61">
        <f t="shared" si="45"/>
        <v>0</v>
      </c>
      <c r="AP148" s="61" t="str">
        <f t="shared" si="46"/>
        <v/>
      </c>
    </row>
    <row r="149" spans="1:42" ht="30" customHeight="1" x14ac:dyDescent="0.35">
      <c r="A149" s="26" t="str">
        <f t="shared" si="48"/>
        <v>PT165 - ESTUDO DE ENGENHARIA DO GALPÃO INDUSTRIAL G2 (Duque de Caxias)
FASE 4 - PROJETO DE ENGENHARIA
ESPECIFICAÇÃO TÉCNICA DE CONTRATAÇÃO "TURN-KEY"
GALPÃO NOVO (CENÁRIO 2)</v>
      </c>
      <c r="B149" s="53" t="s">
        <v>45</v>
      </c>
      <c r="C149" s="84" t="str">
        <f>IF(AND($B149=[1]ana!$A146,[1]ana!$B146=C$4),"ok","nok")</f>
        <v>nok</v>
      </c>
      <c r="D149" s="84" t="str">
        <f>IF(AND($B149=[1]ana!$A146,[1]ana!$B146=D$4),"ok","nok")</f>
        <v>nok</v>
      </c>
      <c r="E149" s="84" t="str">
        <f>IF(AND($B149=[1]ana!$A146,[1]ana!$B146=E$4),"ok","nok")</f>
        <v>nok</v>
      </c>
      <c r="F149" s="84" t="str">
        <f>IF(AND($B149=[1]ana!$A146,[1]ana!$B146=F$4),"ok","nok")</f>
        <v>nok</v>
      </c>
      <c r="G149" s="84" t="str">
        <f>IF(AND($B149=[1]ana!$A146,[1]ana!$B146=G$4),"ok","nok")</f>
        <v>nok</v>
      </c>
      <c r="H149" s="84" t="str">
        <f>IF(AND($B149=[1]ana!$A146,[1]ana!$B146=H$4),"ok","nok")</f>
        <v>nok</v>
      </c>
      <c r="I149" s="84" t="str">
        <f>IF(AND($B149=[1]ana!$A146,[1]ana!$B146=I$4),"ok","nok")</f>
        <v>nok</v>
      </c>
      <c r="J149" s="84" t="str">
        <f>IF(AND($B149=[1]ana!$A146,[1]ana!$B146=J$4),"ok","nok")</f>
        <v>nok</v>
      </c>
      <c r="K149" s="84" t="str">
        <f>IF(AND($B149=[1]ana!$A146,[1]ana!$B146=K$4),"ok","nok")</f>
        <v>nok</v>
      </c>
      <c r="L149" s="84" t="str">
        <f>IF(AND($B149=[1]ana!$A146,[1]ana!$B146=L$4),"ok","nok")</f>
        <v>nok</v>
      </c>
      <c r="M149" s="84" t="str">
        <f>IF(AND($B149=[1]ana!$A146,[1]ana!$B146=M$4),"ok","nok")</f>
        <v>ok</v>
      </c>
      <c r="N149" s="84" t="str">
        <f>IF(AND($B149=[1]ana!$A146,[1]ana!$B146=N$4),"ok","nok")</f>
        <v>nok</v>
      </c>
      <c r="O149" s="84" t="str">
        <f>IF(AND($B149=[1]ana!$A146,[1]ana!$B146=O$4),"ok","nok")</f>
        <v>nok</v>
      </c>
      <c r="P149" s="84" t="str">
        <f>IF(AND($B149=[1]ana!$A146,[1]ana!$B146=P$4),"ok","nok")</f>
        <v>nok</v>
      </c>
      <c r="Q149" s="84" t="str">
        <f>IF(AND($B149=[1]ana!$A146,[1]ana!$B146=Q$4),"ok","nok")</f>
        <v>nok</v>
      </c>
      <c r="R149" s="84" t="str">
        <f>IF(AND($B149=[1]ana!$A146,[1]ana!$B146=R$4),"ok","nok")</f>
        <v>nok</v>
      </c>
      <c r="S149" s="84" t="str">
        <f>IF(AND($B149=[1]ana!$A146,[1]ana!$B146=S$4),"ok","nok")</f>
        <v>nok</v>
      </c>
      <c r="T149" s="84" t="str">
        <f>IF(AND($B149=[1]ana!$A146,[1]ana!$B146=T$4),"ok","nok")</f>
        <v>nok</v>
      </c>
      <c r="U149" s="84" t="str">
        <f>IF(AND($B149=[1]ana!$A146,[1]ana!$B146=U$4),"ok","nok")</f>
        <v>nok</v>
      </c>
      <c r="V149" s="84" t="str">
        <f>IF(AND($B149=[1]ana!$A146,[1]ana!$B146=V$4),"ok","nok")</f>
        <v>nok</v>
      </c>
      <c r="W149" s="84" t="str">
        <f>IF(AND($B149=[1]ana!$A146,[1]ana!$B146=W$4),"ok","nok")</f>
        <v>nok</v>
      </c>
      <c r="X149" s="84" t="str">
        <f>IF(AND($B149=[1]ana!$A146,[1]ana!$B146=X$4),"ok","nok")</f>
        <v>nok</v>
      </c>
      <c r="Y149" s="85" t="s">
        <v>33</v>
      </c>
      <c r="Z149" s="86"/>
      <c r="AA149" s="86"/>
      <c r="AB149" s="87"/>
      <c r="AC149" s="60" t="str">
        <f t="shared" si="36"/>
        <v>MARCO - Envio do documento Certificado (Rev_0)</v>
      </c>
      <c r="AD149" s="60"/>
      <c r="AE149" s="60"/>
      <c r="AF149" s="60"/>
      <c r="AG149" s="61">
        <f t="shared" si="37"/>
        <v>0</v>
      </c>
      <c r="AH149" s="61" t="str">
        <f t="shared" si="38"/>
        <v/>
      </c>
      <c r="AI149" s="61">
        <f t="shared" si="39"/>
        <v>0</v>
      </c>
      <c r="AJ149" s="61" t="str">
        <f t="shared" si="40"/>
        <v/>
      </c>
      <c r="AK149" s="61">
        <f t="shared" si="41"/>
        <v>1</v>
      </c>
      <c r="AL149" s="61" t="str">
        <f t="shared" si="42"/>
        <v/>
      </c>
      <c r="AM149" s="61">
        <f t="shared" si="43"/>
        <v>0</v>
      </c>
      <c r="AN149" s="61" t="str">
        <f t="shared" si="44"/>
        <v/>
      </c>
      <c r="AO149" s="61">
        <f t="shared" si="45"/>
        <v>0</v>
      </c>
      <c r="AP149" s="61" t="str">
        <f t="shared" si="46"/>
        <v/>
      </c>
    </row>
    <row r="150" spans="1:42" ht="30" customHeight="1" x14ac:dyDescent="0.35">
      <c r="A150" s="66"/>
      <c r="B150" s="49" t="s">
        <v>92</v>
      </c>
      <c r="C150" s="49"/>
      <c r="D150" s="49"/>
      <c r="E150" s="49"/>
      <c r="F150" s="49"/>
      <c r="G150" s="49"/>
      <c r="H150" s="49"/>
      <c r="I150" s="49"/>
      <c r="J150" s="49"/>
      <c r="K150" s="49"/>
      <c r="L150" s="49"/>
      <c r="M150" s="49"/>
      <c r="N150" s="49"/>
      <c r="O150" s="49"/>
      <c r="P150" s="49"/>
      <c r="Q150" s="49"/>
      <c r="R150" s="49"/>
      <c r="S150" s="49"/>
      <c r="T150" s="49"/>
      <c r="U150" s="49"/>
      <c r="V150" s="49"/>
      <c r="W150" s="49"/>
      <c r="X150" s="49"/>
      <c r="Y150" s="101"/>
      <c r="Z150" s="102"/>
      <c r="AA150" s="102"/>
      <c r="AB150" s="103"/>
      <c r="AC150" s="60" t="str">
        <f t="shared" si="36"/>
        <v/>
      </c>
      <c r="AD150" s="60"/>
      <c r="AE150" s="60"/>
      <c r="AF150" s="60"/>
      <c r="AG150" s="61">
        <f t="shared" si="37"/>
        <v>0</v>
      </c>
      <c r="AH150" s="61" t="str">
        <f t="shared" si="38"/>
        <v/>
      </c>
      <c r="AI150" s="61">
        <f t="shared" si="39"/>
        <v>0</v>
      </c>
      <c r="AJ150" s="61" t="str">
        <f t="shared" si="40"/>
        <v/>
      </c>
      <c r="AK150" s="61">
        <f t="shared" si="41"/>
        <v>0</v>
      </c>
      <c r="AL150" s="61" t="str">
        <f t="shared" si="42"/>
        <v/>
      </c>
      <c r="AM150" s="61">
        <f t="shared" si="43"/>
        <v>0</v>
      </c>
      <c r="AN150" s="61" t="str">
        <f t="shared" si="44"/>
        <v/>
      </c>
      <c r="AO150" s="61">
        <f t="shared" si="45"/>
        <v>0</v>
      </c>
      <c r="AP150" s="61" t="str">
        <f t="shared" si="46"/>
        <v/>
      </c>
    </row>
    <row r="151" spans="1:42" ht="30" customHeight="1" x14ac:dyDescent="0.35">
      <c r="A151" s="66"/>
      <c r="B151" s="50" t="s">
        <v>59</v>
      </c>
      <c r="C151" s="50"/>
      <c r="D151" s="50"/>
      <c r="E151" s="50"/>
      <c r="F151" s="50"/>
      <c r="G151" s="50"/>
      <c r="H151" s="50"/>
      <c r="I151" s="50"/>
      <c r="J151" s="50"/>
      <c r="K151" s="50"/>
      <c r="L151" s="50"/>
      <c r="M151" s="50"/>
      <c r="N151" s="50"/>
      <c r="O151" s="50"/>
      <c r="P151" s="50"/>
      <c r="Q151" s="50"/>
      <c r="R151" s="50"/>
      <c r="S151" s="50"/>
      <c r="T151" s="50"/>
      <c r="U151" s="50"/>
      <c r="V151" s="50"/>
      <c r="W151" s="50"/>
      <c r="X151" s="50"/>
      <c r="Y151" s="97"/>
      <c r="Z151" s="98"/>
      <c r="AA151" s="98"/>
      <c r="AB151" s="99"/>
      <c r="AC151" s="60" t="str">
        <f t="shared" si="36"/>
        <v/>
      </c>
      <c r="AD151" s="60"/>
      <c r="AE151" s="60"/>
      <c r="AF151" s="60"/>
      <c r="AG151" s="61">
        <f t="shared" si="37"/>
        <v>0</v>
      </c>
      <c r="AH151" s="61" t="str">
        <f t="shared" si="38"/>
        <v/>
      </c>
      <c r="AI151" s="61">
        <f t="shared" si="39"/>
        <v>0</v>
      </c>
      <c r="AJ151" s="61" t="str">
        <f t="shared" si="40"/>
        <v/>
      </c>
      <c r="AK151" s="61">
        <f t="shared" si="41"/>
        <v>0</v>
      </c>
      <c r="AL151" s="61" t="str">
        <f t="shared" si="42"/>
        <v/>
      </c>
      <c r="AM151" s="61">
        <f t="shared" si="43"/>
        <v>0</v>
      </c>
      <c r="AN151" s="61" t="str">
        <f t="shared" si="44"/>
        <v/>
      </c>
      <c r="AO151" s="61">
        <f t="shared" si="45"/>
        <v>0</v>
      </c>
      <c r="AP151" s="61" t="str">
        <f t="shared" si="46"/>
        <v/>
      </c>
    </row>
    <row r="152" spans="1:42" ht="30" customHeight="1" x14ac:dyDescent="0.35">
      <c r="A152" s="66"/>
      <c r="B152" s="54" t="s">
        <v>93</v>
      </c>
      <c r="C152" s="54"/>
      <c r="D152" s="54"/>
      <c r="E152" s="54"/>
      <c r="F152" s="54"/>
      <c r="G152" s="54"/>
      <c r="H152" s="54"/>
      <c r="I152" s="54"/>
      <c r="J152" s="54"/>
      <c r="K152" s="54"/>
      <c r="L152" s="54"/>
      <c r="M152" s="54"/>
      <c r="N152" s="54"/>
      <c r="O152" s="54"/>
      <c r="P152" s="54"/>
      <c r="Q152" s="54"/>
      <c r="R152" s="54"/>
      <c r="S152" s="54"/>
      <c r="T152" s="54"/>
      <c r="U152" s="54"/>
      <c r="V152" s="54"/>
      <c r="W152" s="54"/>
      <c r="X152" s="54"/>
      <c r="Y152" s="91"/>
      <c r="Z152" s="92"/>
      <c r="AA152" s="92"/>
      <c r="AB152" s="93"/>
      <c r="AC152" s="60" t="str">
        <f t="shared" si="36"/>
        <v/>
      </c>
      <c r="AD152" s="60"/>
      <c r="AE152" s="60"/>
      <c r="AF152" s="60"/>
      <c r="AG152" s="61">
        <f t="shared" si="37"/>
        <v>0</v>
      </c>
      <c r="AH152" s="61" t="str">
        <f t="shared" si="38"/>
        <v/>
      </c>
      <c r="AI152" s="61">
        <f t="shared" si="39"/>
        <v>0</v>
      </c>
      <c r="AJ152" s="61" t="str">
        <f t="shared" si="40"/>
        <v/>
      </c>
      <c r="AK152" s="61">
        <f t="shared" si="41"/>
        <v>0</v>
      </c>
      <c r="AL152" s="61" t="str">
        <f t="shared" si="42"/>
        <v/>
      </c>
      <c r="AM152" s="61">
        <f t="shared" si="43"/>
        <v>0</v>
      </c>
      <c r="AN152" s="61" t="str">
        <f t="shared" si="44"/>
        <v/>
      </c>
      <c r="AO152" s="61">
        <f t="shared" si="45"/>
        <v>0</v>
      </c>
      <c r="AP152" s="61" t="str">
        <f t="shared" si="46"/>
        <v/>
      </c>
    </row>
    <row r="153" spans="1:42" ht="30" customHeight="1" x14ac:dyDescent="0.35">
      <c r="A153" s="26" t="str">
        <f>CONCATENATE($B$150,"
",$B$151,"
",$B$152,"")</f>
        <v>PT186 - ESTALEIRO DE SOLDAS_ANÁLISE ESTRUTURAL E PROJETO DETALHADO DA COBERTURA
ETAPA DE ESCRITÓRIO
ESTRUTURA METÁLICA</v>
      </c>
      <c r="B153" s="51" t="s">
        <v>81</v>
      </c>
      <c r="C153" s="84" t="str">
        <f>IF(AND($B153=[1]ana!$A150,[1]ana!$B150=C$4),"ok","nok")</f>
        <v>nok</v>
      </c>
      <c r="D153" s="84" t="str">
        <f>IF(AND($B153=[1]ana!$A150,[1]ana!$B150=D$4),"ok","nok")</f>
        <v>nok</v>
      </c>
      <c r="E153" s="84" t="str">
        <f>IF(AND($B153=[1]ana!$A150,[1]ana!$B150=E$4),"ok","nok")</f>
        <v>nok</v>
      </c>
      <c r="F153" s="84" t="str">
        <f>IF(AND($B153=[1]ana!$A150,[1]ana!$B150=F$4),"ok","nok")</f>
        <v>nok</v>
      </c>
      <c r="G153" s="84" t="str">
        <f>IF(AND($B153=[1]ana!$A150,[1]ana!$B150=G$4),"ok","nok")</f>
        <v>nok</v>
      </c>
      <c r="H153" s="84" t="str">
        <f>IF(AND($B153=[1]ana!$A150,[1]ana!$B150=H$4),"ok","nok")</f>
        <v>nok</v>
      </c>
      <c r="I153" s="84" t="str">
        <f>IF(AND($B153=[1]ana!$A150,[1]ana!$B150=I$4),"ok","nok")</f>
        <v>nok</v>
      </c>
      <c r="J153" s="84" t="str">
        <f>IF(AND($B153=[1]ana!$A150,[1]ana!$B150=J$4),"ok","nok")</f>
        <v>ok</v>
      </c>
      <c r="K153" s="84" t="str">
        <f>IF(AND($B153=[1]ana!$A150,[1]ana!$B150=K$4),"ok","nok")</f>
        <v>nok</v>
      </c>
      <c r="L153" s="84" t="str">
        <f>IF(AND($B153=[1]ana!$A150,[1]ana!$B150=L$4),"ok","nok")</f>
        <v>nok</v>
      </c>
      <c r="M153" s="84" t="str">
        <f>IF(AND($B153=[1]ana!$A150,[1]ana!$B150=M$4),"ok","nok")</f>
        <v>nok</v>
      </c>
      <c r="N153" s="84" t="str">
        <f>IF(AND($B153=[1]ana!$A150,[1]ana!$B150=N$4),"ok","nok")</f>
        <v>nok</v>
      </c>
      <c r="O153" s="84" t="str">
        <f>IF(AND($B153=[1]ana!$A150,[1]ana!$B150=O$4),"ok","nok")</f>
        <v>nok</v>
      </c>
      <c r="P153" s="84" t="str">
        <f>IF(AND($B153=[1]ana!$A150,[1]ana!$B150=P$4),"ok","nok")</f>
        <v>nok</v>
      </c>
      <c r="Q153" s="84" t="str">
        <f>IF(AND($B153=[1]ana!$A150,[1]ana!$B150=Q$4),"ok","nok")</f>
        <v>nok</v>
      </c>
      <c r="R153" s="84" t="str">
        <f>IF(AND($B153=[1]ana!$A150,[1]ana!$B150=R$4),"ok","nok")</f>
        <v>nok</v>
      </c>
      <c r="S153" s="84" t="str">
        <f>IF(AND($B153=[1]ana!$A150,[1]ana!$B150=S$4),"ok","nok")</f>
        <v>nok</v>
      </c>
      <c r="T153" s="84" t="str">
        <f>IF(AND($B153=[1]ana!$A150,[1]ana!$B150=T$4),"ok","nok")</f>
        <v>nok</v>
      </c>
      <c r="U153" s="84" t="str">
        <f>IF(AND($B153=[1]ana!$A150,[1]ana!$B150=U$4),"ok","nok")</f>
        <v>nok</v>
      </c>
      <c r="V153" s="84" t="str">
        <f>IF(AND($B153=[1]ana!$A150,[1]ana!$B150=V$4),"ok","nok")</f>
        <v>nok</v>
      </c>
      <c r="W153" s="84" t="str">
        <f>IF(AND($B153=[1]ana!$A150,[1]ana!$B150=W$4),"ok","nok")</f>
        <v>nok</v>
      </c>
      <c r="X153" s="84" t="str">
        <f>IF(AND($B153=[1]ana!$A150,[1]ana!$B150=X$4),"ok","nok")</f>
        <v>nok</v>
      </c>
      <c r="Y153" s="85" t="s">
        <v>2</v>
      </c>
      <c r="Z153" s="86"/>
      <c r="AA153" s="86"/>
      <c r="AB153" s="87"/>
      <c r="AC153" s="60" t="str">
        <f t="shared" si="36"/>
        <v/>
      </c>
      <c r="AD153" s="60"/>
      <c r="AE153" s="60"/>
      <c r="AF153" s="60"/>
      <c r="AG153" s="61">
        <f t="shared" si="37"/>
        <v>0</v>
      </c>
      <c r="AH153" s="61" t="str">
        <f t="shared" si="38"/>
        <v/>
      </c>
      <c r="AI153" s="61">
        <f t="shared" si="39"/>
        <v>1</v>
      </c>
      <c r="AJ153" s="61" t="str">
        <f t="shared" si="40"/>
        <v>ENTREGUE</v>
      </c>
      <c r="AK153" s="61">
        <f t="shared" si="41"/>
        <v>0</v>
      </c>
      <c r="AL153" s="61" t="str">
        <f t="shared" si="42"/>
        <v/>
      </c>
      <c r="AM153" s="61">
        <f t="shared" si="43"/>
        <v>0</v>
      </c>
      <c r="AN153" s="61" t="str">
        <f t="shared" si="44"/>
        <v/>
      </c>
      <c r="AO153" s="61">
        <f t="shared" si="45"/>
        <v>0</v>
      </c>
      <c r="AP153" s="61" t="str">
        <f t="shared" si="46"/>
        <v/>
      </c>
    </row>
    <row r="154" spans="1:42" ht="30" customHeight="1" x14ac:dyDescent="0.35">
      <c r="A154" s="26" t="str">
        <f t="shared" ref="A154" si="49">CONCATENATE($B$150,"
",$B$151,"
",$B$152,"")</f>
        <v>PT186 - ESTALEIRO DE SOLDAS_ANÁLISE ESTRUTURAL E PROJETO DETALHADO DA COBERTURA
ETAPA DE ESCRITÓRIO
ESTRUTURA METÁLICA</v>
      </c>
      <c r="B154" s="51" t="s">
        <v>82</v>
      </c>
      <c r="C154" s="84" t="str">
        <f>IF(AND($B154=[1]ana!$A151,[1]ana!$B151=C$4),"ok","nok")</f>
        <v>nok</v>
      </c>
      <c r="D154" s="84" t="str">
        <f>IF(AND($B154=[1]ana!$A151,[1]ana!$B151=D$4),"ok","nok")</f>
        <v>nok</v>
      </c>
      <c r="E154" s="84" t="str">
        <f>IF(AND($B154=[1]ana!$A151,[1]ana!$B151=E$4),"ok","nok")</f>
        <v>nok</v>
      </c>
      <c r="F154" s="84" t="str">
        <f>IF(AND($B154=[1]ana!$A151,[1]ana!$B151=F$4),"ok","nok")</f>
        <v>nok</v>
      </c>
      <c r="G154" s="84" t="str">
        <f>IF(AND($B154=[1]ana!$A151,[1]ana!$B151=G$4),"ok","nok")</f>
        <v>nok</v>
      </c>
      <c r="H154" s="84" t="str">
        <f>IF(AND($B154=[1]ana!$A151,[1]ana!$B151=H$4),"ok","nok")</f>
        <v>nok</v>
      </c>
      <c r="I154" s="84" t="str">
        <f>IF(AND($B154=[1]ana!$A151,[1]ana!$B151=I$4),"ok","nok")</f>
        <v>nok</v>
      </c>
      <c r="J154" s="84" t="str">
        <f>IF(AND($B154=[1]ana!$A151,[1]ana!$B151=J$4),"ok","nok")</f>
        <v>nok</v>
      </c>
      <c r="K154" s="84" t="str">
        <f>IF(AND($B154=[1]ana!$A151,[1]ana!$B151=K$4),"ok","nok")</f>
        <v>ok</v>
      </c>
      <c r="L154" s="84" t="str">
        <f>IF(AND($B154=[1]ana!$A151,[1]ana!$B151=L$4),"ok","nok")</f>
        <v>nok</v>
      </c>
      <c r="M154" s="84" t="str">
        <f>IF(AND($B154=[1]ana!$A151,[1]ana!$B151=M$4),"ok","nok")</f>
        <v>nok</v>
      </c>
      <c r="N154" s="84" t="str">
        <f>IF(AND($B154=[1]ana!$A151,[1]ana!$B151=N$4),"ok","nok")</f>
        <v>nok</v>
      </c>
      <c r="O154" s="84" t="str">
        <f>IF(AND($B154=[1]ana!$A151,[1]ana!$B151=O$4),"ok","nok")</f>
        <v>nok</v>
      </c>
      <c r="P154" s="84" t="str">
        <f>IF(AND($B154=[1]ana!$A151,[1]ana!$B151=P$4),"ok","nok")</f>
        <v>nok</v>
      </c>
      <c r="Q154" s="84" t="str">
        <f>IF(AND($B154=[1]ana!$A151,[1]ana!$B151=Q$4),"ok","nok")</f>
        <v>nok</v>
      </c>
      <c r="R154" s="84" t="str">
        <f>IF(AND($B154=[1]ana!$A151,[1]ana!$B151=R$4),"ok","nok")</f>
        <v>nok</v>
      </c>
      <c r="S154" s="84" t="str">
        <f>IF(AND($B154=[1]ana!$A151,[1]ana!$B151=S$4),"ok","nok")</f>
        <v>nok</v>
      </c>
      <c r="T154" s="84" t="str">
        <f>IF(AND($B154=[1]ana!$A151,[1]ana!$B151=T$4),"ok","nok")</f>
        <v>nok</v>
      </c>
      <c r="U154" s="84" t="str">
        <f>IF(AND($B154=[1]ana!$A151,[1]ana!$B151=U$4),"ok","nok")</f>
        <v>nok</v>
      </c>
      <c r="V154" s="84" t="str">
        <f>IF(AND($B154=[1]ana!$A151,[1]ana!$B151=V$4),"ok","nok")</f>
        <v>nok</v>
      </c>
      <c r="W154" s="84" t="str">
        <f>IF(AND($B154=[1]ana!$A151,[1]ana!$B151=W$4),"ok","nok")</f>
        <v>nok</v>
      </c>
      <c r="X154" s="84" t="str">
        <f>IF(AND($B154=[1]ana!$A151,[1]ana!$B151=X$4),"ok","nok")</f>
        <v>nok</v>
      </c>
      <c r="Y154" s="85" t="s">
        <v>2</v>
      </c>
      <c r="Z154" s="86"/>
      <c r="AA154" s="86"/>
      <c r="AB154" s="87"/>
      <c r="AC154" s="60" t="str">
        <f t="shared" si="36"/>
        <v/>
      </c>
      <c r="AD154" s="60"/>
      <c r="AE154" s="60"/>
      <c r="AF154" s="60"/>
      <c r="AG154" s="61">
        <f t="shared" si="37"/>
        <v>0</v>
      </c>
      <c r="AH154" s="61" t="str">
        <f t="shared" si="38"/>
        <v/>
      </c>
      <c r="AI154" s="61">
        <f t="shared" si="39"/>
        <v>1</v>
      </c>
      <c r="AJ154" s="61" t="str">
        <f t="shared" si="40"/>
        <v>ENTREGUE</v>
      </c>
      <c r="AK154" s="61">
        <f t="shared" si="41"/>
        <v>0</v>
      </c>
      <c r="AL154" s="61" t="str">
        <f t="shared" si="42"/>
        <v/>
      </c>
      <c r="AM154" s="61">
        <f t="shared" si="43"/>
        <v>0</v>
      </c>
      <c r="AN154" s="61" t="str">
        <f t="shared" si="44"/>
        <v/>
      </c>
      <c r="AO154" s="61">
        <f t="shared" si="45"/>
        <v>0</v>
      </c>
      <c r="AP154" s="61" t="str">
        <f t="shared" si="46"/>
        <v/>
      </c>
    </row>
    <row r="155" spans="1:42" ht="30" customHeight="1" x14ac:dyDescent="0.35">
      <c r="B155" s="52" t="s">
        <v>94</v>
      </c>
      <c r="C155" s="52"/>
      <c r="D155" s="52"/>
      <c r="E155" s="52"/>
      <c r="F155" s="52"/>
      <c r="G155" s="52"/>
      <c r="H155" s="52"/>
      <c r="I155" s="52"/>
      <c r="J155" s="52"/>
      <c r="K155" s="52"/>
      <c r="L155" s="52"/>
      <c r="M155" s="52"/>
      <c r="N155" s="52"/>
      <c r="O155" s="52"/>
      <c r="P155" s="52"/>
      <c r="Q155" s="52"/>
      <c r="R155" s="52"/>
      <c r="S155" s="52"/>
      <c r="T155" s="52"/>
      <c r="U155" s="52"/>
      <c r="V155" s="52"/>
      <c r="W155" s="52"/>
      <c r="X155" s="52"/>
      <c r="Y155" s="88"/>
      <c r="Z155" s="89"/>
      <c r="AA155" s="89"/>
      <c r="AB155" s="90"/>
      <c r="AC155" s="60" t="str">
        <f t="shared" si="36"/>
        <v/>
      </c>
      <c r="AD155" s="60"/>
      <c r="AE155" s="60"/>
      <c r="AF155" s="60"/>
      <c r="AG155" s="61">
        <f t="shared" si="37"/>
        <v>0</v>
      </c>
      <c r="AH155" s="61" t="str">
        <f t="shared" si="38"/>
        <v/>
      </c>
      <c r="AI155" s="61">
        <f t="shared" si="39"/>
        <v>0</v>
      </c>
      <c r="AJ155" s="61" t="str">
        <f t="shared" si="40"/>
        <v/>
      </c>
      <c r="AK155" s="61">
        <f t="shared" si="41"/>
        <v>0</v>
      </c>
      <c r="AL155" s="61" t="str">
        <f t="shared" si="42"/>
        <v/>
      </c>
      <c r="AM155" s="61">
        <f t="shared" si="43"/>
        <v>0</v>
      </c>
      <c r="AN155" s="61" t="str">
        <f t="shared" si="44"/>
        <v/>
      </c>
      <c r="AO155" s="61">
        <f t="shared" si="45"/>
        <v>0</v>
      </c>
      <c r="AP155" s="61" t="str">
        <f t="shared" si="46"/>
        <v/>
      </c>
    </row>
    <row r="156" spans="1:42" ht="30" customHeight="1" x14ac:dyDescent="0.35">
      <c r="A156" s="26" t="str">
        <f>CONCATENATE($B$150,"
",$B$151,"
",$B$152,"
",$B$155)</f>
        <v>PT186 - ESTALEIRO DE SOLDAS_ANÁLISE ESTRUTURAL E PROJETO DETALHADO DA COBERTURA
ETAPA DE ESCRITÓRIO
ESTRUTURA METÁLICA
MARCO - MEMÓRIA DE CÁLCULO DO GALPÃO</v>
      </c>
      <c r="B156" s="53" t="s">
        <v>19</v>
      </c>
      <c r="C156" s="84" t="str">
        <f>IF(AND($B156=[1]ana!$A153,[1]ana!$B153=C$4),"ok","nok")</f>
        <v>nok</v>
      </c>
      <c r="D156" s="84" t="str">
        <f>IF(AND($B156=[1]ana!$A153,[1]ana!$B153=D$4),"ok","nok")</f>
        <v>nok</v>
      </c>
      <c r="E156" s="84" t="str">
        <f>IF(AND($B156=[1]ana!$A153,[1]ana!$B153=E$4),"ok","nok")</f>
        <v>nok</v>
      </c>
      <c r="F156" s="84" t="str">
        <f>IF(AND($B156=[1]ana!$A153,[1]ana!$B153=F$4),"ok","nok")</f>
        <v>nok</v>
      </c>
      <c r="G156" s="84" t="str">
        <f>IF(AND($B156=[1]ana!$A153,[1]ana!$B153=G$4),"ok","nok")</f>
        <v>nok</v>
      </c>
      <c r="H156" s="84" t="str">
        <f>IF(AND($B156=[1]ana!$A153,[1]ana!$B153=H$4),"ok","nok")</f>
        <v>nok</v>
      </c>
      <c r="I156" s="84" t="str">
        <f>IF(AND($B156=[1]ana!$A153,[1]ana!$B153=I$4),"ok","nok")</f>
        <v>nok</v>
      </c>
      <c r="J156" s="84" t="str">
        <f>IF(AND($B156=[1]ana!$A153,[1]ana!$B153=J$4),"ok","nok")</f>
        <v>nok</v>
      </c>
      <c r="K156" s="84" t="str">
        <f>IF(AND($B156=[1]ana!$A153,[1]ana!$B153=K$4),"ok","nok")</f>
        <v>ok</v>
      </c>
      <c r="L156" s="84" t="str">
        <f>IF(AND($B156=[1]ana!$A153,[1]ana!$B153=L$4),"ok","nok")</f>
        <v>nok</v>
      </c>
      <c r="M156" s="84" t="str">
        <f>IF(AND($B156=[1]ana!$A153,[1]ana!$B153=M$4),"ok","nok")</f>
        <v>nok</v>
      </c>
      <c r="N156" s="84" t="str">
        <f>IF(AND($B156=[1]ana!$A153,[1]ana!$B153=N$4),"ok","nok")</f>
        <v>nok</v>
      </c>
      <c r="O156" s="84" t="str">
        <f>IF(AND($B156=[1]ana!$A153,[1]ana!$B153=O$4),"ok","nok")</f>
        <v>nok</v>
      </c>
      <c r="P156" s="84" t="str">
        <f>IF(AND($B156=[1]ana!$A153,[1]ana!$B153=P$4),"ok","nok")</f>
        <v>nok</v>
      </c>
      <c r="Q156" s="84" t="str">
        <f>IF(AND($B156=[1]ana!$A153,[1]ana!$B153=Q$4),"ok","nok")</f>
        <v>nok</v>
      </c>
      <c r="R156" s="84" t="str">
        <f>IF(AND($B156=[1]ana!$A153,[1]ana!$B153=R$4),"ok","nok")</f>
        <v>nok</v>
      </c>
      <c r="S156" s="84" t="str">
        <f>IF(AND($B156=[1]ana!$A153,[1]ana!$B153=S$4),"ok","nok")</f>
        <v>nok</v>
      </c>
      <c r="T156" s="84" t="str">
        <f>IF(AND($B156=[1]ana!$A153,[1]ana!$B153=T$4),"ok","nok")</f>
        <v>nok</v>
      </c>
      <c r="U156" s="84" t="str">
        <f>IF(AND($B156=[1]ana!$A153,[1]ana!$B153=U$4),"ok","nok")</f>
        <v>nok</v>
      </c>
      <c r="V156" s="84" t="str">
        <f>IF(AND($B156=[1]ana!$A153,[1]ana!$B153=V$4),"ok","nok")</f>
        <v>nok</v>
      </c>
      <c r="W156" s="84" t="str">
        <f>IF(AND($B156=[1]ana!$A153,[1]ana!$B153=W$4),"ok","nok")</f>
        <v>nok</v>
      </c>
      <c r="X156" s="84" t="str">
        <f>IF(AND($B156=[1]ana!$A153,[1]ana!$B153=X$4),"ok","nok")</f>
        <v>nok</v>
      </c>
      <c r="Y156" s="85" t="s">
        <v>2</v>
      </c>
      <c r="Z156" s="86"/>
      <c r="AA156" s="86"/>
      <c r="AB156" s="87"/>
      <c r="AC156" s="60" t="str">
        <f t="shared" si="36"/>
        <v/>
      </c>
      <c r="AD156" s="60"/>
      <c r="AE156" s="60"/>
      <c r="AF156" s="60"/>
      <c r="AG156" s="61">
        <f t="shared" si="37"/>
        <v>0</v>
      </c>
      <c r="AH156" s="61" t="str">
        <f t="shared" si="38"/>
        <v/>
      </c>
      <c r="AI156" s="61">
        <f t="shared" si="39"/>
        <v>1</v>
      </c>
      <c r="AJ156" s="61" t="str">
        <f t="shared" si="40"/>
        <v>ENTREGUE</v>
      </c>
      <c r="AK156" s="61">
        <f t="shared" si="41"/>
        <v>0</v>
      </c>
      <c r="AL156" s="61" t="str">
        <f t="shared" si="42"/>
        <v/>
      </c>
      <c r="AM156" s="61">
        <f t="shared" si="43"/>
        <v>0</v>
      </c>
      <c r="AN156" s="61" t="str">
        <f t="shared" si="44"/>
        <v/>
      </c>
      <c r="AO156" s="61">
        <f t="shared" si="45"/>
        <v>0</v>
      </c>
      <c r="AP156" s="61" t="str">
        <f t="shared" si="46"/>
        <v/>
      </c>
    </row>
    <row r="157" spans="1:42" ht="30" customHeight="1" x14ac:dyDescent="0.35">
      <c r="A157" s="26" t="str">
        <f t="shared" ref="A157:A161" si="50">CONCATENATE($B$150,"
",$B$151,"
",$B$152,"
",$B$155)</f>
        <v>PT186 - ESTALEIRO DE SOLDAS_ANÁLISE ESTRUTURAL E PROJETO DETALHADO DA COBERTURA
ETAPA DE ESCRITÓRIO
ESTRUTURA METÁLICA
MARCO - MEMÓRIA DE CÁLCULO DO GALPÃO</v>
      </c>
      <c r="B157" s="53" t="s">
        <v>43</v>
      </c>
      <c r="C157" s="84" t="str">
        <f>IF(AND($B157=[1]ana!$A154,[1]ana!$B154=C$4),"ok","nok")</f>
        <v>nok</v>
      </c>
      <c r="D157" s="84" t="str">
        <f>IF(AND($B157=[1]ana!$A154,[1]ana!$B154=D$4),"ok","nok")</f>
        <v>nok</v>
      </c>
      <c r="E157" s="84" t="str">
        <f>IF(AND($B157=[1]ana!$A154,[1]ana!$B154=E$4),"ok","nok")</f>
        <v>nok</v>
      </c>
      <c r="F157" s="84" t="str">
        <f>IF(AND($B157=[1]ana!$A154,[1]ana!$B154=F$4),"ok","nok")</f>
        <v>nok</v>
      </c>
      <c r="G157" s="84" t="str">
        <f>IF(AND($B157=[1]ana!$A154,[1]ana!$B154=G$4),"ok","nok")</f>
        <v>nok</v>
      </c>
      <c r="H157" s="84" t="str">
        <f>IF(AND($B157=[1]ana!$A154,[1]ana!$B154=H$4),"ok","nok")</f>
        <v>nok</v>
      </c>
      <c r="I157" s="84" t="str">
        <f>IF(AND($B157=[1]ana!$A154,[1]ana!$B154=I$4),"ok","nok")</f>
        <v>nok</v>
      </c>
      <c r="J157" s="84" t="str">
        <f>IF(AND($B157=[1]ana!$A154,[1]ana!$B154=J$4),"ok","nok")</f>
        <v>nok</v>
      </c>
      <c r="K157" s="84" t="str">
        <f>IF(AND($B157=[1]ana!$A154,[1]ana!$B154=K$4),"ok","nok")</f>
        <v>nok</v>
      </c>
      <c r="L157" s="84" t="str">
        <f>IF(AND($B157=[1]ana!$A154,[1]ana!$B154=L$4),"ok","nok")</f>
        <v>nok</v>
      </c>
      <c r="M157" s="84" t="str">
        <f>IF(AND($B157=[1]ana!$A154,[1]ana!$B154=M$4),"ok","nok")</f>
        <v>nok</v>
      </c>
      <c r="N157" s="84" t="str">
        <f>IF(AND($B157=[1]ana!$A154,[1]ana!$B154=N$4),"ok","nok")</f>
        <v>nok</v>
      </c>
      <c r="O157" s="84" t="str">
        <f>IF(AND($B157=[1]ana!$A154,[1]ana!$B154=O$4),"ok","nok")</f>
        <v>nok</v>
      </c>
      <c r="P157" s="84" t="str">
        <f>IF(AND($B157=[1]ana!$A154,[1]ana!$B154=P$4),"ok","nok")</f>
        <v>nok</v>
      </c>
      <c r="Q157" s="84" t="str">
        <f>IF(AND($B157=[1]ana!$A154,[1]ana!$B154=Q$4),"ok","nok")</f>
        <v>nok</v>
      </c>
      <c r="R157" s="84" t="str">
        <f>IF(AND($B157=[1]ana!$A154,[1]ana!$B154=R$4),"ok","nok")</f>
        <v>ok</v>
      </c>
      <c r="S157" s="84" t="str">
        <f>IF(AND($B157=[1]ana!$A154,[1]ana!$B154=S$4),"ok","nok")</f>
        <v>nok</v>
      </c>
      <c r="T157" s="84" t="str">
        <f>IF(AND($B157=[1]ana!$A154,[1]ana!$B154=T$4),"ok","nok")</f>
        <v>nok</v>
      </c>
      <c r="U157" s="84" t="str">
        <f>IF(AND($B157=[1]ana!$A154,[1]ana!$B154=U$4),"ok","nok")</f>
        <v>nok</v>
      </c>
      <c r="V157" s="84" t="str">
        <f>IF(AND($B157=[1]ana!$A154,[1]ana!$B154=V$4),"ok","nok")</f>
        <v>nok</v>
      </c>
      <c r="W157" s="84" t="str">
        <f>IF(AND($B157=[1]ana!$A154,[1]ana!$B154=W$4),"ok","nok")</f>
        <v>nok</v>
      </c>
      <c r="X157" s="84" t="str">
        <f>IF(AND($B157=[1]ana!$A154,[1]ana!$B154=X$4),"ok","nok")</f>
        <v>nok</v>
      </c>
      <c r="Y157" s="85" t="s">
        <v>15</v>
      </c>
      <c r="Z157" s="86"/>
      <c r="AA157" s="86"/>
      <c r="AB157" s="87"/>
      <c r="AC157" s="60" t="str">
        <f t="shared" si="36"/>
        <v/>
      </c>
      <c r="AD157" s="60"/>
      <c r="AE157" s="60"/>
      <c r="AF157" s="60"/>
      <c r="AG157" s="61">
        <f t="shared" si="37"/>
        <v>0</v>
      </c>
      <c r="AH157" s="61" t="str">
        <f t="shared" si="38"/>
        <v/>
      </c>
      <c r="AI157" s="61">
        <f t="shared" si="39"/>
        <v>0</v>
      </c>
      <c r="AJ157" s="61" t="str">
        <f t="shared" si="40"/>
        <v/>
      </c>
      <c r="AK157" s="61">
        <f t="shared" si="41"/>
        <v>0</v>
      </c>
      <c r="AL157" s="61" t="str">
        <f t="shared" si="42"/>
        <v/>
      </c>
      <c r="AM157" s="61">
        <f t="shared" si="43"/>
        <v>1</v>
      </c>
      <c r="AN157" s="61" t="str">
        <f t="shared" si="44"/>
        <v/>
      </c>
      <c r="AO157" s="61">
        <f t="shared" si="45"/>
        <v>0</v>
      </c>
      <c r="AP157" s="61" t="str">
        <f t="shared" si="46"/>
        <v/>
      </c>
    </row>
    <row r="158" spans="1:42" ht="30" customHeight="1" x14ac:dyDescent="0.35">
      <c r="A158" s="26" t="str">
        <f t="shared" si="50"/>
        <v>PT186 - ESTALEIRO DE SOLDAS_ANÁLISE ESTRUTURAL E PROJETO DETALHADO DA COBERTURA
ETAPA DE ESCRITÓRIO
ESTRUTURA METÁLICA
MARCO - MEMÓRIA DE CÁLCULO DO GALPÃO</v>
      </c>
      <c r="B158" s="53" t="s">
        <v>44</v>
      </c>
      <c r="C158" s="84" t="str">
        <f>IF(AND($B158=[1]ana!$A155,[1]ana!$B155=C$4),"ok","nok")</f>
        <v>nok</v>
      </c>
      <c r="D158" s="84" t="str">
        <f>IF(AND($B158=[1]ana!$A155,[1]ana!$B155=D$4),"ok","nok")</f>
        <v>nok</v>
      </c>
      <c r="E158" s="84" t="str">
        <f>IF(AND($B158=[1]ana!$A155,[1]ana!$B155=E$4),"ok","nok")</f>
        <v>nok</v>
      </c>
      <c r="F158" s="84" t="str">
        <f>IF(AND($B158=[1]ana!$A155,[1]ana!$B155=F$4),"ok","nok")</f>
        <v>nok</v>
      </c>
      <c r="G158" s="84" t="str">
        <f>IF(AND($B158=[1]ana!$A155,[1]ana!$B155=G$4),"ok","nok")</f>
        <v>nok</v>
      </c>
      <c r="H158" s="84" t="str">
        <f>IF(AND($B158=[1]ana!$A155,[1]ana!$B155=H$4),"ok","nok")</f>
        <v>nok</v>
      </c>
      <c r="I158" s="84" t="str">
        <f>IF(AND($B158=[1]ana!$A155,[1]ana!$B155=I$4),"ok","nok")</f>
        <v>nok</v>
      </c>
      <c r="J158" s="84" t="str">
        <f>IF(AND($B158=[1]ana!$A155,[1]ana!$B155=J$4),"ok","nok")</f>
        <v>nok</v>
      </c>
      <c r="K158" s="84" t="str">
        <f>IF(AND($B158=[1]ana!$A155,[1]ana!$B155=K$4),"ok","nok")</f>
        <v>nok</v>
      </c>
      <c r="L158" s="84" t="str">
        <f>IF(AND($B158=[1]ana!$A155,[1]ana!$B155=L$4),"ok","nok")</f>
        <v>nok</v>
      </c>
      <c r="M158" s="84" t="str">
        <f>IF(AND($B158=[1]ana!$A155,[1]ana!$B155=M$4),"ok","nok")</f>
        <v>nok</v>
      </c>
      <c r="N158" s="84" t="str">
        <f>IF(AND($B158=[1]ana!$A155,[1]ana!$B155=N$4),"ok","nok")</f>
        <v>nok</v>
      </c>
      <c r="O158" s="84" t="str">
        <f>IF(AND($B158=[1]ana!$A155,[1]ana!$B155=O$4),"ok","nok")</f>
        <v>nok</v>
      </c>
      <c r="P158" s="84" t="str">
        <f>IF(AND($B158=[1]ana!$A155,[1]ana!$B155=P$4),"ok","nok")</f>
        <v>nok</v>
      </c>
      <c r="Q158" s="84" t="str">
        <f>IF(AND($B158=[1]ana!$A155,[1]ana!$B155=Q$4),"ok","nok")</f>
        <v>nok</v>
      </c>
      <c r="R158" s="84" t="str">
        <f>IF(AND($B158=[1]ana!$A155,[1]ana!$B155=R$4),"ok","nok")</f>
        <v>nok</v>
      </c>
      <c r="S158" s="84" t="str">
        <f>IF(AND($B158=[1]ana!$A155,[1]ana!$B155=S$4),"ok","nok")</f>
        <v>nok</v>
      </c>
      <c r="T158" s="84" t="str">
        <f>IF(AND($B158=[1]ana!$A155,[1]ana!$B155=T$4),"ok","nok")</f>
        <v>nok</v>
      </c>
      <c r="U158" s="84" t="str">
        <f>IF(AND($B158=[1]ana!$A155,[1]ana!$B155=U$4),"ok","nok")</f>
        <v>ok</v>
      </c>
      <c r="V158" s="84" t="str">
        <f>IF(AND($B158=[1]ana!$A155,[1]ana!$B155=V$4),"ok","nok")</f>
        <v>nok</v>
      </c>
      <c r="W158" s="84" t="str">
        <f>IF(AND($B158=[1]ana!$A155,[1]ana!$B155=W$4),"ok","nok")</f>
        <v>nok</v>
      </c>
      <c r="X158" s="84" t="str">
        <f>IF(AND($B158=[1]ana!$A155,[1]ana!$B155=X$4),"ok","nok")</f>
        <v>nok</v>
      </c>
      <c r="Y158" s="85" t="s">
        <v>15</v>
      </c>
      <c r="Z158" s="86"/>
      <c r="AA158" s="86"/>
      <c r="AB158" s="87"/>
      <c r="AC158" s="60" t="str">
        <f t="shared" si="36"/>
        <v/>
      </c>
      <c r="AD158" s="60"/>
      <c r="AE158" s="60"/>
      <c r="AF158" s="60"/>
      <c r="AG158" s="61">
        <f t="shared" si="37"/>
        <v>0</v>
      </c>
      <c r="AH158" s="61" t="str">
        <f t="shared" si="38"/>
        <v/>
      </c>
      <c r="AI158" s="61">
        <f t="shared" si="39"/>
        <v>0</v>
      </c>
      <c r="AJ158" s="61" t="str">
        <f t="shared" si="40"/>
        <v/>
      </c>
      <c r="AK158" s="61">
        <f t="shared" si="41"/>
        <v>0</v>
      </c>
      <c r="AL158" s="61" t="str">
        <f t="shared" si="42"/>
        <v/>
      </c>
      <c r="AM158" s="61">
        <f t="shared" si="43"/>
        <v>1</v>
      </c>
      <c r="AN158" s="61" t="str">
        <f t="shared" si="44"/>
        <v/>
      </c>
      <c r="AO158" s="61">
        <f t="shared" si="45"/>
        <v>0</v>
      </c>
      <c r="AP158" s="61" t="str">
        <f t="shared" si="46"/>
        <v/>
      </c>
    </row>
    <row r="159" spans="1:42" ht="30" customHeight="1" x14ac:dyDescent="0.35">
      <c r="A159" s="26" t="str">
        <f t="shared" si="50"/>
        <v>PT186 - ESTALEIRO DE SOLDAS_ANÁLISE ESTRUTURAL E PROJETO DETALHADO DA COBERTURA
ETAPA DE ESCRITÓRIO
ESTRUTURA METÁLICA
MARCO - MEMÓRIA DE CÁLCULO DO GALPÃO</v>
      </c>
      <c r="B159" s="53" t="s">
        <v>45</v>
      </c>
      <c r="C159" s="84" t="str">
        <f>IF(AND($B159=[1]ana!$A156,[1]ana!$B156=C$4),"ok","nok")</f>
        <v>nok</v>
      </c>
      <c r="D159" s="84" t="str">
        <f>IF(AND($B159=[1]ana!$A156,[1]ana!$B156=D$4),"ok","nok")</f>
        <v>nok</v>
      </c>
      <c r="E159" s="84" t="str">
        <f>IF(AND($B159=[1]ana!$A156,[1]ana!$B156=E$4),"ok","nok")</f>
        <v>nok</v>
      </c>
      <c r="F159" s="84" t="str">
        <f>IF(AND($B159=[1]ana!$A156,[1]ana!$B156=F$4),"ok","nok")</f>
        <v>nok</v>
      </c>
      <c r="G159" s="84" t="str">
        <f>IF(AND($B159=[1]ana!$A156,[1]ana!$B156=G$4),"ok","nok")</f>
        <v>nok</v>
      </c>
      <c r="H159" s="84" t="str">
        <f>IF(AND($B159=[1]ana!$A156,[1]ana!$B156=H$4),"ok","nok")</f>
        <v>nok</v>
      </c>
      <c r="I159" s="84" t="str">
        <f>IF(AND($B159=[1]ana!$A156,[1]ana!$B156=I$4),"ok","nok")</f>
        <v>nok</v>
      </c>
      <c r="J159" s="84" t="str">
        <f>IF(AND($B159=[1]ana!$A156,[1]ana!$B156=J$4),"ok","nok")</f>
        <v>nok</v>
      </c>
      <c r="K159" s="84" t="str">
        <f>IF(AND($B159=[1]ana!$A156,[1]ana!$B156=K$4),"ok","nok")</f>
        <v>nok</v>
      </c>
      <c r="L159" s="84" t="str">
        <f>IF(AND($B159=[1]ana!$A156,[1]ana!$B156=L$4),"ok","nok")</f>
        <v>nok</v>
      </c>
      <c r="M159" s="84" t="str">
        <f>IF(AND($B159=[1]ana!$A156,[1]ana!$B156=M$4),"ok","nok")</f>
        <v>nok</v>
      </c>
      <c r="N159" s="84" t="str">
        <f>IF(AND($B159=[1]ana!$A156,[1]ana!$B156=N$4),"ok","nok")</f>
        <v>nok</v>
      </c>
      <c r="O159" s="84" t="str">
        <f>IF(AND($B159=[1]ana!$A156,[1]ana!$B156=O$4),"ok","nok")</f>
        <v>nok</v>
      </c>
      <c r="P159" s="84" t="str">
        <f>IF(AND($B159=[1]ana!$A156,[1]ana!$B156=P$4),"ok","nok")</f>
        <v>nok</v>
      </c>
      <c r="Q159" s="84" t="str">
        <f>IF(AND($B159=[1]ana!$A156,[1]ana!$B156=Q$4),"ok","nok")</f>
        <v>nok</v>
      </c>
      <c r="R159" s="84" t="str">
        <f>IF(AND($B159=[1]ana!$A156,[1]ana!$B156=R$4),"ok","nok")</f>
        <v>nok</v>
      </c>
      <c r="S159" s="84" t="str">
        <f>IF(AND($B159=[1]ana!$A156,[1]ana!$B156=S$4),"ok","nok")</f>
        <v>nok</v>
      </c>
      <c r="T159" s="84" t="str">
        <f>IF(AND($B159=[1]ana!$A156,[1]ana!$B156=T$4),"ok","nok")</f>
        <v>nok</v>
      </c>
      <c r="U159" s="84" t="str">
        <f>IF(AND($B159=[1]ana!$A156,[1]ana!$B156=U$4),"ok","nok")</f>
        <v>ok</v>
      </c>
      <c r="V159" s="84" t="str">
        <f>IF(AND($B159=[1]ana!$A156,[1]ana!$B156=V$4),"ok","nok")</f>
        <v>nok</v>
      </c>
      <c r="W159" s="84" t="str">
        <f>IF(AND($B159=[1]ana!$A156,[1]ana!$B156=W$4),"ok","nok")</f>
        <v>nok</v>
      </c>
      <c r="X159" s="84" t="str">
        <f>IF(AND($B159=[1]ana!$A156,[1]ana!$B156=X$4),"ok","nok")</f>
        <v>nok</v>
      </c>
      <c r="Y159" s="85" t="s">
        <v>15</v>
      </c>
      <c r="Z159" s="86"/>
      <c r="AA159" s="86"/>
      <c r="AB159" s="87"/>
      <c r="AC159" s="60" t="str">
        <f t="shared" si="36"/>
        <v/>
      </c>
      <c r="AD159" s="60"/>
      <c r="AE159" s="60"/>
      <c r="AF159" s="60"/>
      <c r="AG159" s="61">
        <f t="shared" si="37"/>
        <v>0</v>
      </c>
      <c r="AH159" s="61" t="str">
        <f t="shared" si="38"/>
        <v/>
      </c>
      <c r="AI159" s="61">
        <f t="shared" si="39"/>
        <v>0</v>
      </c>
      <c r="AJ159" s="61" t="str">
        <f t="shared" si="40"/>
        <v/>
      </c>
      <c r="AK159" s="61">
        <f t="shared" si="41"/>
        <v>0</v>
      </c>
      <c r="AL159" s="61" t="str">
        <f t="shared" si="42"/>
        <v/>
      </c>
      <c r="AM159" s="61">
        <f t="shared" si="43"/>
        <v>1</v>
      </c>
      <c r="AN159" s="61" t="str">
        <f t="shared" si="44"/>
        <v/>
      </c>
      <c r="AO159" s="61">
        <f t="shared" si="45"/>
        <v>0</v>
      </c>
      <c r="AP159" s="61" t="str">
        <f t="shared" si="46"/>
        <v/>
      </c>
    </row>
    <row r="160" spans="1:42" ht="30" customHeight="1" x14ac:dyDescent="0.35">
      <c r="A160" s="26" t="str">
        <f t="shared" si="50"/>
        <v>PT186 - ESTALEIRO DE SOLDAS_ANÁLISE ESTRUTURAL E PROJETO DETALHADO DA COBERTURA
ETAPA DE ESCRITÓRIO
ESTRUTURA METÁLICA
MARCO - MEMÓRIA DE CÁLCULO DO GALPÃO</v>
      </c>
      <c r="B160" s="51" t="s">
        <v>158</v>
      </c>
      <c r="C160" s="84" t="str">
        <f>IF(AND($B160=[1]ana!$A157,[1]ana!$B157=C$4),"ok","nok")</f>
        <v>nok</v>
      </c>
      <c r="D160" s="84" t="str">
        <f>IF(AND($B160=[1]ana!$A157,[1]ana!$B157=D$4),"ok","nok")</f>
        <v>nok</v>
      </c>
      <c r="E160" s="84" t="str">
        <f>IF(AND($B160=[1]ana!$A157,[1]ana!$B157=E$4),"ok","nok")</f>
        <v>nok</v>
      </c>
      <c r="F160" s="84" t="str">
        <f>IF(AND($B160=[1]ana!$A157,[1]ana!$B157=F$4),"ok","nok")</f>
        <v>nok</v>
      </c>
      <c r="G160" s="84" t="str">
        <f>IF(AND($B160=[1]ana!$A157,[1]ana!$B157=G$4),"ok","nok")</f>
        <v>nok</v>
      </c>
      <c r="H160" s="84" t="str">
        <f>IF(AND($B160=[1]ana!$A157,[1]ana!$B157=H$4),"ok","nok")</f>
        <v>nok</v>
      </c>
      <c r="I160" s="84" t="str">
        <f>IF(AND($B160=[1]ana!$A157,[1]ana!$B157=I$4),"ok","nok")</f>
        <v>nok</v>
      </c>
      <c r="J160" s="84" t="str">
        <f>IF(AND($B160=[1]ana!$A157,[1]ana!$B157=J$4),"ok","nok")</f>
        <v>nok</v>
      </c>
      <c r="K160" s="84" t="str">
        <f>IF(AND($B160=[1]ana!$A157,[1]ana!$B157=K$4),"ok","nok")</f>
        <v>nok</v>
      </c>
      <c r="L160" s="84" t="str">
        <f>IF(AND($B160=[1]ana!$A157,[1]ana!$B157=L$4),"ok","nok")</f>
        <v>nok</v>
      </c>
      <c r="M160" s="84" t="str">
        <f>IF(AND($B160=[1]ana!$A157,[1]ana!$B157=M$4),"ok","nok")</f>
        <v>nok</v>
      </c>
      <c r="N160" s="84" t="str">
        <f>IF(AND($B160=[1]ana!$A157,[1]ana!$B157=N$4),"ok","nok")</f>
        <v>nok</v>
      </c>
      <c r="O160" s="84" t="str">
        <f>IF(AND($B160=[1]ana!$A157,[1]ana!$B157=O$4),"ok","nok")</f>
        <v>nok</v>
      </c>
      <c r="P160" s="84" t="str">
        <f>IF(AND($B160=[1]ana!$A157,[1]ana!$B157=P$4),"ok","nok")</f>
        <v>nok</v>
      </c>
      <c r="Q160" s="84" t="str">
        <f>IF(AND($B160=[1]ana!$A157,[1]ana!$B157=Q$4),"ok","nok")</f>
        <v>ok</v>
      </c>
      <c r="R160" s="84" t="str">
        <f>IF(AND($B160=[1]ana!$A157,[1]ana!$B157=R$4),"ok","nok")</f>
        <v>nok</v>
      </c>
      <c r="S160" s="84" t="str">
        <f>IF(AND($B160=[1]ana!$A157,[1]ana!$B157=S$4),"ok","nok")</f>
        <v>nok</v>
      </c>
      <c r="T160" s="84" t="str">
        <f>IF(AND($B160=[1]ana!$A157,[1]ana!$B157=T$4),"ok","nok")</f>
        <v>nok</v>
      </c>
      <c r="U160" s="84" t="str">
        <f>IF(AND($B160=[1]ana!$A157,[1]ana!$B157=U$4),"ok","nok")</f>
        <v>nok</v>
      </c>
      <c r="V160" s="84" t="str">
        <f>IF(AND($B160=[1]ana!$A157,[1]ana!$B157=V$4),"ok","nok")</f>
        <v>nok</v>
      </c>
      <c r="W160" s="84" t="str">
        <f>IF(AND($B160=[1]ana!$A157,[1]ana!$B157=W$4),"ok","nok")</f>
        <v>nok</v>
      </c>
      <c r="X160" s="84" t="str">
        <f>IF(AND($B160=[1]ana!$A157,[1]ana!$B157=X$4),"ok","nok")</f>
        <v>nok</v>
      </c>
      <c r="Y160" s="85" t="s">
        <v>15</v>
      </c>
      <c r="Z160" s="86"/>
      <c r="AA160" s="86"/>
      <c r="AB160" s="87"/>
      <c r="AC160" s="60" t="str">
        <f t="shared" si="36"/>
        <v/>
      </c>
      <c r="AD160" s="60"/>
      <c r="AE160" s="60"/>
      <c r="AF160" s="60"/>
      <c r="AG160" s="61">
        <f t="shared" si="37"/>
        <v>0</v>
      </c>
      <c r="AH160" s="61" t="str">
        <f t="shared" si="38"/>
        <v/>
      </c>
      <c r="AI160" s="61">
        <f t="shared" si="39"/>
        <v>0</v>
      </c>
      <c r="AJ160" s="61" t="str">
        <f t="shared" si="40"/>
        <v/>
      </c>
      <c r="AK160" s="61">
        <f t="shared" si="41"/>
        <v>1</v>
      </c>
      <c r="AL160" s="61" t="str">
        <f t="shared" si="42"/>
        <v/>
      </c>
      <c r="AM160" s="61">
        <f t="shared" si="43"/>
        <v>0</v>
      </c>
      <c r="AN160" s="61" t="str">
        <f t="shared" si="44"/>
        <v/>
      </c>
      <c r="AO160" s="61">
        <f t="shared" si="45"/>
        <v>0</v>
      </c>
      <c r="AP160" s="61" t="str">
        <f t="shared" si="46"/>
        <v/>
      </c>
    </row>
    <row r="161" spans="1:42" ht="30" customHeight="1" x14ac:dyDescent="0.35">
      <c r="A161" s="26" t="str">
        <f t="shared" si="50"/>
        <v>PT186 - ESTALEIRO DE SOLDAS_ANÁLISE ESTRUTURAL E PROJETO DETALHADO DA COBERTURA
ETAPA DE ESCRITÓRIO
ESTRUTURA METÁLICA
MARCO - MEMÓRIA DE CÁLCULO DO GALPÃO</v>
      </c>
      <c r="B161" s="51" t="s">
        <v>159</v>
      </c>
      <c r="C161" s="84" t="str">
        <f>IF(AND($B161=[1]ana!$A158,[1]ana!$B158=C$4),"ok","nok")</f>
        <v>nok</v>
      </c>
      <c r="D161" s="84" t="str">
        <f>IF(AND($B161=[1]ana!$A158,[1]ana!$B158=D$4),"ok","nok")</f>
        <v>nok</v>
      </c>
      <c r="E161" s="84" t="str">
        <f>IF(AND($B161=[1]ana!$A158,[1]ana!$B158=E$4),"ok","nok")</f>
        <v>nok</v>
      </c>
      <c r="F161" s="84" t="str">
        <f>IF(AND($B161=[1]ana!$A158,[1]ana!$B158=F$4),"ok","nok")</f>
        <v>nok</v>
      </c>
      <c r="G161" s="84" t="str">
        <f>IF(AND($B161=[1]ana!$A158,[1]ana!$B158=G$4),"ok","nok")</f>
        <v>nok</v>
      </c>
      <c r="H161" s="84" t="str">
        <f>IF(AND($B161=[1]ana!$A158,[1]ana!$B158=H$4),"ok","nok")</f>
        <v>nok</v>
      </c>
      <c r="I161" s="84" t="str">
        <f>IF(AND($B161=[1]ana!$A158,[1]ana!$B158=I$4),"ok","nok")</f>
        <v>nok</v>
      </c>
      <c r="J161" s="84" t="str">
        <f>IF(AND($B161=[1]ana!$A158,[1]ana!$B158=J$4),"ok","nok")</f>
        <v>nok</v>
      </c>
      <c r="K161" s="84" t="str">
        <f>IF(AND($B161=[1]ana!$A158,[1]ana!$B158=K$4),"ok","nok")</f>
        <v>nok</v>
      </c>
      <c r="L161" s="84" t="str">
        <f>IF(AND($B161=[1]ana!$A158,[1]ana!$B158=L$4),"ok","nok")</f>
        <v>nok</v>
      </c>
      <c r="M161" s="84" t="str">
        <f>IF(AND($B161=[1]ana!$A158,[1]ana!$B158=M$4),"ok","nok")</f>
        <v>nok</v>
      </c>
      <c r="N161" s="84" t="str">
        <f>IF(AND($B161=[1]ana!$A158,[1]ana!$B158=N$4),"ok","nok")</f>
        <v>nok</v>
      </c>
      <c r="O161" s="84" t="str">
        <f>IF(AND($B161=[1]ana!$A158,[1]ana!$B158=O$4),"ok","nok")</f>
        <v>nok</v>
      </c>
      <c r="P161" s="84" t="str">
        <f>IF(AND($B161=[1]ana!$A158,[1]ana!$B158=P$4),"ok","nok")</f>
        <v>nok</v>
      </c>
      <c r="Q161" s="84" t="str">
        <f>IF(AND($B161=[1]ana!$A158,[1]ana!$B158=Q$4),"ok","nok")</f>
        <v>nok</v>
      </c>
      <c r="R161" s="84" t="str">
        <f>IF(AND($B161=[1]ana!$A158,[1]ana!$B158=R$4),"ok","nok")</f>
        <v>ok</v>
      </c>
      <c r="S161" s="84" t="str">
        <f>IF(AND($B161=[1]ana!$A158,[1]ana!$B158=S$4),"ok","nok")</f>
        <v>nok</v>
      </c>
      <c r="T161" s="84" t="str">
        <f>IF(AND($B161=[1]ana!$A158,[1]ana!$B158=T$4),"ok","nok")</f>
        <v>nok</v>
      </c>
      <c r="U161" s="84" t="str">
        <f>IF(AND($B161=[1]ana!$A158,[1]ana!$B158=U$4),"ok","nok")</f>
        <v>nok</v>
      </c>
      <c r="V161" s="84" t="str">
        <f>IF(AND($B161=[1]ana!$A158,[1]ana!$B158=V$4),"ok","nok")</f>
        <v>nok</v>
      </c>
      <c r="W161" s="84" t="str">
        <f>IF(AND($B161=[1]ana!$A158,[1]ana!$B158=W$4),"ok","nok")</f>
        <v>nok</v>
      </c>
      <c r="X161" s="84" t="str">
        <f>IF(AND($B161=[1]ana!$A158,[1]ana!$B158=X$4),"ok","nok")</f>
        <v>nok</v>
      </c>
      <c r="Y161" s="85" t="s">
        <v>15</v>
      </c>
      <c r="Z161" s="86"/>
      <c r="AA161" s="86"/>
      <c r="AB161" s="87"/>
      <c r="AC161" s="60" t="str">
        <f t="shared" si="36"/>
        <v/>
      </c>
      <c r="AD161" s="60"/>
      <c r="AE161" s="60"/>
      <c r="AF161" s="60"/>
      <c r="AG161" s="61">
        <f t="shared" si="37"/>
        <v>0</v>
      </c>
      <c r="AH161" s="61" t="str">
        <f t="shared" si="38"/>
        <v/>
      </c>
      <c r="AI161" s="61">
        <f t="shared" si="39"/>
        <v>0</v>
      </c>
      <c r="AJ161" s="61" t="str">
        <f t="shared" si="40"/>
        <v/>
      </c>
      <c r="AK161" s="61">
        <f t="shared" si="41"/>
        <v>0</v>
      </c>
      <c r="AL161" s="61" t="str">
        <f t="shared" si="42"/>
        <v/>
      </c>
      <c r="AM161" s="61">
        <f t="shared" si="43"/>
        <v>1</v>
      </c>
      <c r="AN161" s="61" t="str">
        <f t="shared" si="44"/>
        <v/>
      </c>
      <c r="AO161" s="61">
        <f t="shared" si="45"/>
        <v>0</v>
      </c>
      <c r="AP161" s="61" t="str">
        <f t="shared" si="46"/>
        <v/>
      </c>
    </row>
    <row r="162" spans="1:42" ht="30" customHeight="1" x14ac:dyDescent="0.35">
      <c r="B162" s="52" t="s">
        <v>160</v>
      </c>
      <c r="C162" s="52"/>
      <c r="D162" s="52"/>
      <c r="E162" s="52"/>
      <c r="F162" s="52"/>
      <c r="G162" s="52"/>
      <c r="H162" s="52"/>
      <c r="I162" s="52"/>
      <c r="J162" s="52"/>
      <c r="K162" s="52"/>
      <c r="L162" s="52"/>
      <c r="M162" s="52"/>
      <c r="N162" s="52"/>
      <c r="O162" s="52"/>
      <c r="P162" s="52"/>
      <c r="Q162" s="52"/>
      <c r="R162" s="52"/>
      <c r="S162" s="52"/>
      <c r="T162" s="52"/>
      <c r="U162" s="52"/>
      <c r="V162" s="52"/>
      <c r="W162" s="52"/>
      <c r="X162" s="52"/>
      <c r="Y162" s="88"/>
      <c r="Z162" s="89"/>
      <c r="AA162" s="89"/>
      <c r="AB162" s="90"/>
      <c r="AC162" s="60" t="str">
        <f t="shared" si="36"/>
        <v/>
      </c>
      <c r="AD162" s="60"/>
      <c r="AE162" s="60"/>
      <c r="AF162" s="60"/>
      <c r="AG162" s="61">
        <f t="shared" si="37"/>
        <v>0</v>
      </c>
      <c r="AH162" s="61" t="str">
        <f t="shared" si="38"/>
        <v/>
      </c>
      <c r="AI162" s="61">
        <f t="shared" si="39"/>
        <v>0</v>
      </c>
      <c r="AJ162" s="61" t="str">
        <f t="shared" si="40"/>
        <v/>
      </c>
      <c r="AK162" s="61">
        <f t="shared" si="41"/>
        <v>0</v>
      </c>
      <c r="AL162" s="61" t="str">
        <f t="shared" si="42"/>
        <v/>
      </c>
      <c r="AM162" s="61">
        <f t="shared" si="43"/>
        <v>0</v>
      </c>
      <c r="AN162" s="61" t="str">
        <f t="shared" si="44"/>
        <v/>
      </c>
      <c r="AO162" s="61">
        <f t="shared" si="45"/>
        <v>0</v>
      </c>
      <c r="AP162" s="61" t="str">
        <f t="shared" si="46"/>
        <v/>
      </c>
    </row>
    <row r="163" spans="1:42" ht="30" customHeight="1" x14ac:dyDescent="0.35">
      <c r="A163" s="26" t="str">
        <f>CONCATENATE($B$150,"
",$B$151,"
",$B$152,"
",$B$162)</f>
        <v>PT186 - ESTALEIRO DE SOLDAS_ANÁLISE ESTRUTURAL E PROJETO DETALHADO DA COBERTURA
ETAPA DE ESCRITÓRIO
ESTRUTURA METÁLICA
MARCO - PROJETO DETALHADO/REFORÇO DO GALPÃO</v>
      </c>
      <c r="B163" s="53" t="s">
        <v>19</v>
      </c>
      <c r="C163" s="84" t="str">
        <f>IF(AND($B163=[1]ana!$A160,[1]ana!$B160=C$4),"ok","nok")</f>
        <v>nok</v>
      </c>
      <c r="D163" s="84" t="str">
        <f>IF(AND($B163=[1]ana!$A160,[1]ana!$B160=D$4),"ok","nok")</f>
        <v>nok</v>
      </c>
      <c r="E163" s="84" t="str">
        <f>IF(AND($B163=[1]ana!$A160,[1]ana!$B160=E$4),"ok","nok")</f>
        <v>nok</v>
      </c>
      <c r="F163" s="84" t="str">
        <f>IF(AND($B163=[1]ana!$A160,[1]ana!$B160=F$4),"ok","nok")</f>
        <v>nok</v>
      </c>
      <c r="G163" s="84" t="str">
        <f>IF(AND($B163=[1]ana!$A160,[1]ana!$B160=G$4),"ok","nok")</f>
        <v>nok</v>
      </c>
      <c r="H163" s="84" t="str">
        <f>IF(AND($B163=[1]ana!$A160,[1]ana!$B160=H$4),"ok","nok")</f>
        <v>nok</v>
      </c>
      <c r="I163" s="84" t="str">
        <f>IF(AND($B163=[1]ana!$A160,[1]ana!$B160=I$4),"ok","nok")</f>
        <v>nok</v>
      </c>
      <c r="J163" s="84" t="str">
        <f>IF(AND($B163=[1]ana!$A160,[1]ana!$B160=J$4),"ok","nok")</f>
        <v>nok</v>
      </c>
      <c r="K163" s="84" t="str">
        <f>IF(AND($B163=[1]ana!$A160,[1]ana!$B160=K$4),"ok","nok")</f>
        <v>nok</v>
      </c>
      <c r="L163" s="84" t="str">
        <f>IF(AND($B163=[1]ana!$A160,[1]ana!$B160=L$4),"ok","nok")</f>
        <v>nok</v>
      </c>
      <c r="M163" s="84" t="str">
        <f>IF(AND($B163=[1]ana!$A160,[1]ana!$B160=M$4),"ok","nok")</f>
        <v>nok</v>
      </c>
      <c r="N163" s="84" t="str">
        <f>IF(AND($B163=[1]ana!$A160,[1]ana!$B160=N$4),"ok","nok")</f>
        <v>nok</v>
      </c>
      <c r="O163" s="84" t="str">
        <f>IF(AND($B163=[1]ana!$A160,[1]ana!$B160=O$4),"ok","nok")</f>
        <v>nok</v>
      </c>
      <c r="P163" s="84" t="str">
        <f>IF(AND($B163=[1]ana!$A160,[1]ana!$B160=P$4),"ok","nok")</f>
        <v>nok</v>
      </c>
      <c r="Q163" s="84" t="str">
        <f>IF(AND($B163=[1]ana!$A160,[1]ana!$B160=Q$4),"ok","nok")</f>
        <v>nok</v>
      </c>
      <c r="R163" s="84" t="str">
        <f>IF(AND($B163=[1]ana!$A160,[1]ana!$B160=R$4),"ok","nok")</f>
        <v>ok</v>
      </c>
      <c r="S163" s="84" t="str">
        <f>IF(AND($B163=[1]ana!$A160,[1]ana!$B160=S$4),"ok","nok")</f>
        <v>nok</v>
      </c>
      <c r="T163" s="84" t="str">
        <f>IF(AND($B163=[1]ana!$A160,[1]ana!$B160=T$4),"ok","nok")</f>
        <v>nok</v>
      </c>
      <c r="U163" s="84" t="str">
        <f>IF(AND($B163=[1]ana!$A160,[1]ana!$B160=U$4),"ok","nok")</f>
        <v>nok</v>
      </c>
      <c r="V163" s="84" t="str">
        <f>IF(AND($B163=[1]ana!$A160,[1]ana!$B160=V$4),"ok","nok")</f>
        <v>nok</v>
      </c>
      <c r="W163" s="84" t="str">
        <f>IF(AND($B163=[1]ana!$A160,[1]ana!$B160=W$4),"ok","nok")</f>
        <v>nok</v>
      </c>
      <c r="X163" s="84" t="str">
        <f>IF(AND($B163=[1]ana!$A160,[1]ana!$B160=X$4),"ok","nok")</f>
        <v>nok</v>
      </c>
      <c r="Y163" s="85" t="s">
        <v>15</v>
      </c>
      <c r="Z163" s="86"/>
      <c r="AA163" s="86"/>
      <c r="AB163" s="87"/>
      <c r="AC163" s="60" t="str">
        <f t="shared" si="36"/>
        <v/>
      </c>
      <c r="AD163" s="60"/>
      <c r="AE163" s="60"/>
      <c r="AF163" s="60"/>
      <c r="AG163" s="61">
        <f t="shared" si="37"/>
        <v>0</v>
      </c>
      <c r="AH163" s="61" t="str">
        <f t="shared" si="38"/>
        <v/>
      </c>
      <c r="AI163" s="61">
        <f t="shared" si="39"/>
        <v>0</v>
      </c>
      <c r="AJ163" s="61" t="str">
        <f t="shared" si="40"/>
        <v/>
      </c>
      <c r="AK163" s="61">
        <f t="shared" si="41"/>
        <v>0</v>
      </c>
      <c r="AL163" s="61" t="str">
        <f t="shared" si="42"/>
        <v/>
      </c>
      <c r="AM163" s="61">
        <f t="shared" si="43"/>
        <v>1</v>
      </c>
      <c r="AN163" s="61" t="str">
        <f t="shared" si="44"/>
        <v/>
      </c>
      <c r="AO163" s="61">
        <f t="shared" si="45"/>
        <v>0</v>
      </c>
      <c r="AP163" s="61" t="str">
        <f t="shared" si="46"/>
        <v/>
      </c>
    </row>
    <row r="164" spans="1:42" ht="30" customHeight="1" x14ac:dyDescent="0.35">
      <c r="A164" s="26" t="str">
        <f t="shared" ref="A164:A165" si="51">CONCATENATE($B$150,"
",$B$151,"
",$B$152,"
",$B$162)</f>
        <v>PT186 - ESTALEIRO DE SOLDAS_ANÁLISE ESTRUTURAL E PROJETO DETALHADO DA COBERTURA
ETAPA DE ESCRITÓRIO
ESTRUTURA METÁLICA
MARCO - PROJETO DETALHADO/REFORÇO DO GALPÃO</v>
      </c>
      <c r="B164" s="51" t="s">
        <v>161</v>
      </c>
      <c r="C164" s="84" t="str">
        <f>IF(AND($B164=[1]ana!$A161,[1]ana!$B161=C$4),"ok","nok")</f>
        <v>nok</v>
      </c>
      <c r="D164" s="84" t="str">
        <f>IF(AND($B164=[1]ana!$A161,[1]ana!$B161=D$4),"ok","nok")</f>
        <v>nok</v>
      </c>
      <c r="E164" s="84" t="str">
        <f>IF(AND($B164=[1]ana!$A161,[1]ana!$B161=E$4),"ok","nok")</f>
        <v>nok</v>
      </c>
      <c r="F164" s="84" t="str">
        <f>IF(AND($B164=[1]ana!$A161,[1]ana!$B161=F$4),"ok","nok")</f>
        <v>nok</v>
      </c>
      <c r="G164" s="84" t="str">
        <f>IF(AND($B164=[1]ana!$A161,[1]ana!$B161=G$4),"ok","nok")</f>
        <v>nok</v>
      </c>
      <c r="H164" s="84" t="str">
        <f>IF(AND($B164=[1]ana!$A161,[1]ana!$B161=H$4),"ok","nok")</f>
        <v>nok</v>
      </c>
      <c r="I164" s="84" t="str">
        <f>IF(AND($B164=[1]ana!$A161,[1]ana!$B161=I$4),"ok","nok")</f>
        <v>nok</v>
      </c>
      <c r="J164" s="84" t="str">
        <f>IF(AND($B164=[1]ana!$A161,[1]ana!$B161=J$4),"ok","nok")</f>
        <v>nok</v>
      </c>
      <c r="K164" s="84" t="str">
        <f>IF(AND($B164=[1]ana!$A161,[1]ana!$B161=K$4),"ok","nok")</f>
        <v>nok</v>
      </c>
      <c r="L164" s="84" t="str">
        <f>IF(AND($B164=[1]ana!$A161,[1]ana!$B161=L$4),"ok","nok")</f>
        <v>nok</v>
      </c>
      <c r="M164" s="84" t="str">
        <f>IF(AND($B164=[1]ana!$A161,[1]ana!$B161=M$4),"ok","nok")</f>
        <v>nok</v>
      </c>
      <c r="N164" s="84" t="str">
        <f>IF(AND($B164=[1]ana!$A161,[1]ana!$B161=N$4),"ok","nok")</f>
        <v>nok</v>
      </c>
      <c r="O164" s="84" t="str">
        <f>IF(AND($B164=[1]ana!$A161,[1]ana!$B161=O$4),"ok","nok")</f>
        <v>nok</v>
      </c>
      <c r="P164" s="84" t="str">
        <f>IF(AND($B164=[1]ana!$A161,[1]ana!$B161=P$4),"ok","nok")</f>
        <v>nok</v>
      </c>
      <c r="Q164" s="84" t="str">
        <f>IF(AND($B164=[1]ana!$A161,[1]ana!$B161=Q$4),"ok","nok")</f>
        <v>nok</v>
      </c>
      <c r="R164" s="84" t="str">
        <f>IF(AND($B164=[1]ana!$A161,[1]ana!$B161=R$4),"ok","nok")</f>
        <v>nok</v>
      </c>
      <c r="S164" s="84" t="str">
        <f>IF(AND($B164=[1]ana!$A161,[1]ana!$B161=S$4),"ok","nok")</f>
        <v>nok</v>
      </c>
      <c r="T164" s="84" t="str">
        <f>IF(AND($B164=[1]ana!$A161,[1]ana!$B161=T$4),"ok","nok")</f>
        <v>nok</v>
      </c>
      <c r="U164" s="84" t="str">
        <f>IF(AND($B164=[1]ana!$A161,[1]ana!$B161=U$4),"ok","nok")</f>
        <v>nok</v>
      </c>
      <c r="V164" s="84" t="str">
        <f>IF(AND($B164=[1]ana!$A161,[1]ana!$B161=V$4),"ok","nok")</f>
        <v>ok</v>
      </c>
      <c r="W164" s="84" t="str">
        <f>IF(AND($B164=[1]ana!$A161,[1]ana!$B161=W$4),"ok","nok")</f>
        <v>nok</v>
      </c>
      <c r="X164" s="84" t="str">
        <f>IF(AND($B164=[1]ana!$A161,[1]ana!$B161=X$4),"ok","nok")</f>
        <v>nok</v>
      </c>
      <c r="Y164" s="85" t="s">
        <v>15</v>
      </c>
      <c r="Z164" s="86"/>
      <c r="AA164" s="86"/>
      <c r="AB164" s="87"/>
      <c r="AC164" s="60" t="str">
        <f t="shared" si="36"/>
        <v/>
      </c>
      <c r="AD164" s="60"/>
      <c r="AE164" s="60"/>
      <c r="AF164" s="60"/>
      <c r="AG164" s="61">
        <f t="shared" si="37"/>
        <v>0</v>
      </c>
      <c r="AH164" s="61" t="str">
        <f t="shared" si="38"/>
        <v/>
      </c>
      <c r="AI164" s="61">
        <f t="shared" si="39"/>
        <v>0</v>
      </c>
      <c r="AJ164" s="61" t="str">
        <f t="shared" si="40"/>
        <v/>
      </c>
      <c r="AK164" s="61">
        <f t="shared" si="41"/>
        <v>0</v>
      </c>
      <c r="AL164" s="61" t="str">
        <f t="shared" si="42"/>
        <v/>
      </c>
      <c r="AM164" s="61">
        <f t="shared" si="43"/>
        <v>1</v>
      </c>
      <c r="AN164" s="61" t="str">
        <f t="shared" si="44"/>
        <v/>
      </c>
      <c r="AO164" s="61">
        <f t="shared" si="45"/>
        <v>0</v>
      </c>
      <c r="AP164" s="61" t="str">
        <f t="shared" si="46"/>
        <v/>
      </c>
    </row>
    <row r="165" spans="1:42" ht="30" customHeight="1" x14ac:dyDescent="0.35">
      <c r="A165" s="26" t="str">
        <f t="shared" si="51"/>
        <v>PT186 - ESTALEIRO DE SOLDAS_ANÁLISE ESTRUTURAL E PROJETO DETALHADO DA COBERTURA
ETAPA DE ESCRITÓRIO
ESTRUTURA METÁLICA
MARCO - PROJETO DETALHADO/REFORÇO DO GALPÃO</v>
      </c>
      <c r="B165" s="51" t="s">
        <v>162</v>
      </c>
      <c r="C165" s="84" t="str">
        <f>IF(AND($B165=[1]ana!$A162,[1]ana!$B162=C$4),"ok","nok")</f>
        <v>nok</v>
      </c>
      <c r="D165" s="84" t="str">
        <f>IF(AND($B165=[1]ana!$A162,[1]ana!$B162=D$4),"ok","nok")</f>
        <v>nok</v>
      </c>
      <c r="E165" s="84" t="str">
        <f>IF(AND($B165=[1]ana!$A162,[1]ana!$B162=E$4),"ok","nok")</f>
        <v>nok</v>
      </c>
      <c r="F165" s="84" t="str">
        <f>IF(AND($B165=[1]ana!$A162,[1]ana!$B162=F$4),"ok","nok")</f>
        <v>nok</v>
      </c>
      <c r="G165" s="84" t="str">
        <f>IF(AND($B165=[1]ana!$A162,[1]ana!$B162=G$4),"ok","nok")</f>
        <v>nok</v>
      </c>
      <c r="H165" s="84" t="str">
        <f>IF(AND($B165=[1]ana!$A162,[1]ana!$B162=H$4),"ok","nok")</f>
        <v>nok</v>
      </c>
      <c r="I165" s="84" t="str">
        <f>IF(AND($B165=[1]ana!$A162,[1]ana!$B162=I$4),"ok","nok")</f>
        <v>nok</v>
      </c>
      <c r="J165" s="84" t="str">
        <f>IF(AND($B165=[1]ana!$A162,[1]ana!$B162=J$4),"ok","nok")</f>
        <v>nok</v>
      </c>
      <c r="K165" s="84" t="str">
        <f>IF(AND($B165=[1]ana!$A162,[1]ana!$B162=K$4),"ok","nok")</f>
        <v>nok</v>
      </c>
      <c r="L165" s="84" t="str">
        <f>IF(AND($B165=[1]ana!$A162,[1]ana!$B162=L$4),"ok","nok")</f>
        <v>nok</v>
      </c>
      <c r="M165" s="84" t="str">
        <f>IF(AND($B165=[1]ana!$A162,[1]ana!$B162=M$4),"ok","nok")</f>
        <v>nok</v>
      </c>
      <c r="N165" s="84" t="str">
        <f>IF(AND($B165=[1]ana!$A162,[1]ana!$B162=N$4),"ok","nok")</f>
        <v>nok</v>
      </c>
      <c r="O165" s="84" t="str">
        <f>IF(AND($B165=[1]ana!$A162,[1]ana!$B162=O$4),"ok","nok")</f>
        <v>nok</v>
      </c>
      <c r="P165" s="84" t="str">
        <f>IF(AND($B165=[1]ana!$A162,[1]ana!$B162=P$4),"ok","nok")</f>
        <v>nok</v>
      </c>
      <c r="Q165" s="84" t="str">
        <f>IF(AND($B165=[1]ana!$A162,[1]ana!$B162=Q$4),"ok","nok")</f>
        <v>nok</v>
      </c>
      <c r="R165" s="84" t="str">
        <f>IF(AND($B165=[1]ana!$A162,[1]ana!$B162=R$4),"ok","nok")</f>
        <v>nok</v>
      </c>
      <c r="S165" s="84" t="str">
        <f>IF(AND($B165=[1]ana!$A162,[1]ana!$B162=S$4),"ok","nok")</f>
        <v>nok</v>
      </c>
      <c r="T165" s="84" t="str">
        <f>IF(AND($B165=[1]ana!$A162,[1]ana!$B162=T$4),"ok","nok")</f>
        <v>nok</v>
      </c>
      <c r="U165" s="84" t="str">
        <f>IF(AND($B165=[1]ana!$A162,[1]ana!$B162=U$4),"ok","nok")</f>
        <v>nok</v>
      </c>
      <c r="V165" s="84" t="str">
        <f>IF(AND($B165=[1]ana!$A162,[1]ana!$B162=V$4),"ok","nok")</f>
        <v>nok</v>
      </c>
      <c r="W165" s="84" t="str">
        <f>IF(AND($B165=[1]ana!$A162,[1]ana!$B162=W$4),"ok","nok")</f>
        <v>ok</v>
      </c>
      <c r="X165" s="84" t="str">
        <f>IF(AND($B165=[1]ana!$A162,[1]ana!$B162=X$4),"ok","nok")</f>
        <v>nok</v>
      </c>
      <c r="Y165" s="85" t="s">
        <v>15</v>
      </c>
      <c r="Z165" s="86"/>
      <c r="AA165" s="86"/>
      <c r="AB165" s="87"/>
      <c r="AC165" s="60" t="str">
        <f t="shared" si="36"/>
        <v/>
      </c>
      <c r="AD165" s="60"/>
      <c r="AE165" s="60"/>
      <c r="AF165" s="60"/>
      <c r="AG165" s="61">
        <f t="shared" si="37"/>
        <v>0</v>
      </c>
      <c r="AH165" s="61" t="str">
        <f t="shared" si="38"/>
        <v/>
      </c>
      <c r="AI165" s="61">
        <f t="shared" si="39"/>
        <v>0</v>
      </c>
      <c r="AJ165" s="61" t="str">
        <f t="shared" si="40"/>
        <v/>
      </c>
      <c r="AK165" s="61">
        <f t="shared" si="41"/>
        <v>0</v>
      </c>
      <c r="AL165" s="61" t="str">
        <f t="shared" si="42"/>
        <v/>
      </c>
      <c r="AM165" s="61">
        <f t="shared" si="43"/>
        <v>0</v>
      </c>
      <c r="AN165" s="61" t="str">
        <f t="shared" si="44"/>
        <v/>
      </c>
      <c r="AO165" s="61">
        <f t="shared" si="45"/>
        <v>1</v>
      </c>
      <c r="AP165" s="61" t="str">
        <f t="shared" si="46"/>
        <v/>
      </c>
    </row>
    <row r="166" spans="1:42" ht="30" customHeight="1" x14ac:dyDescent="0.35">
      <c r="B166" s="52" t="s">
        <v>153</v>
      </c>
      <c r="C166" s="52"/>
      <c r="D166" s="52"/>
      <c r="E166" s="52"/>
      <c r="F166" s="52"/>
      <c r="G166" s="52"/>
      <c r="H166" s="52"/>
      <c r="I166" s="52"/>
      <c r="J166" s="52"/>
      <c r="K166" s="52"/>
      <c r="L166" s="52"/>
      <c r="M166" s="52"/>
      <c r="N166" s="52"/>
      <c r="O166" s="52"/>
      <c r="P166" s="52"/>
      <c r="Q166" s="52"/>
      <c r="R166" s="52"/>
      <c r="S166" s="52"/>
      <c r="T166" s="52"/>
      <c r="U166" s="52"/>
      <c r="V166" s="52"/>
      <c r="W166" s="52"/>
      <c r="X166" s="52"/>
      <c r="Y166" s="88"/>
      <c r="Z166" s="89"/>
      <c r="AA166" s="89"/>
      <c r="AB166" s="90"/>
      <c r="AC166" s="60" t="str">
        <f t="shared" si="36"/>
        <v/>
      </c>
      <c r="AD166" s="60"/>
      <c r="AE166" s="60"/>
      <c r="AF166" s="60"/>
      <c r="AG166" s="61">
        <f t="shared" si="37"/>
        <v>0</v>
      </c>
      <c r="AH166" s="61" t="str">
        <f t="shared" si="38"/>
        <v/>
      </c>
      <c r="AI166" s="61">
        <f t="shared" si="39"/>
        <v>0</v>
      </c>
      <c r="AJ166" s="61" t="str">
        <f t="shared" si="40"/>
        <v/>
      </c>
      <c r="AK166" s="61">
        <f t="shared" si="41"/>
        <v>0</v>
      </c>
      <c r="AL166" s="61" t="str">
        <f t="shared" si="42"/>
        <v/>
      </c>
      <c r="AM166" s="61">
        <f t="shared" si="43"/>
        <v>0</v>
      </c>
      <c r="AN166" s="61" t="str">
        <f t="shared" si="44"/>
        <v/>
      </c>
      <c r="AO166" s="61">
        <f t="shared" si="45"/>
        <v>0</v>
      </c>
      <c r="AP166" s="61" t="str">
        <f t="shared" si="46"/>
        <v/>
      </c>
    </row>
    <row r="167" spans="1:42" ht="30" customHeight="1" x14ac:dyDescent="0.35">
      <c r="A167" s="26" t="str">
        <f>CONCATENATE($B$150,"
",$B$151,"
",$B$152,"
",$B$166)</f>
        <v>PT186 - ESTALEIRO DE SOLDAS_ANÁLISE ESTRUTURAL E PROJETO DETALHADO DA COBERTURA
ETAPA DE ESCRITÓRIO
ESTRUTURA METÁLICA
MARCO - PLANILHA DE QUANTIDADES</v>
      </c>
      <c r="B167" s="53" t="s">
        <v>19</v>
      </c>
      <c r="C167" s="84" t="str">
        <f>IF(AND($B167=[1]ana!$A164,[1]ana!$B164=C$4),"ok","nok")</f>
        <v>nok</v>
      </c>
      <c r="D167" s="84" t="str">
        <f>IF(AND($B167=[1]ana!$A164,[1]ana!$B164=D$4),"ok","nok")</f>
        <v>nok</v>
      </c>
      <c r="E167" s="84" t="str">
        <f>IF(AND($B167=[1]ana!$A164,[1]ana!$B164=E$4),"ok","nok")</f>
        <v>nok</v>
      </c>
      <c r="F167" s="84" t="str">
        <f>IF(AND($B167=[1]ana!$A164,[1]ana!$B164=F$4),"ok","nok")</f>
        <v>nok</v>
      </c>
      <c r="G167" s="84" t="str">
        <f>IF(AND($B167=[1]ana!$A164,[1]ana!$B164=G$4),"ok","nok")</f>
        <v>nok</v>
      </c>
      <c r="H167" s="84" t="str">
        <f>IF(AND($B167=[1]ana!$A164,[1]ana!$B164=H$4),"ok","nok")</f>
        <v>nok</v>
      </c>
      <c r="I167" s="84" t="str">
        <f>IF(AND($B167=[1]ana!$A164,[1]ana!$B164=I$4),"ok","nok")</f>
        <v>nok</v>
      </c>
      <c r="J167" s="84" t="str">
        <f>IF(AND($B167=[1]ana!$A164,[1]ana!$B164=J$4),"ok","nok")</f>
        <v>nok</v>
      </c>
      <c r="K167" s="84" t="str">
        <f>IF(AND($B167=[1]ana!$A164,[1]ana!$B164=K$4),"ok","nok")</f>
        <v>nok</v>
      </c>
      <c r="L167" s="84" t="str">
        <f>IF(AND($B167=[1]ana!$A164,[1]ana!$B164=L$4),"ok","nok")</f>
        <v>nok</v>
      </c>
      <c r="M167" s="84" t="str">
        <f>IF(AND($B167=[1]ana!$A164,[1]ana!$B164=M$4),"ok","nok")</f>
        <v>nok</v>
      </c>
      <c r="N167" s="84" t="str">
        <f>IF(AND($B167=[1]ana!$A164,[1]ana!$B164=N$4),"ok","nok")</f>
        <v>nok</v>
      </c>
      <c r="O167" s="84" t="str">
        <f>IF(AND($B167=[1]ana!$A164,[1]ana!$B164=O$4),"ok","nok")</f>
        <v>nok</v>
      </c>
      <c r="P167" s="84" t="str">
        <f>IF(AND($B167=[1]ana!$A164,[1]ana!$B164=P$4),"ok","nok")</f>
        <v>nok</v>
      </c>
      <c r="Q167" s="84" t="str">
        <f>IF(AND($B167=[1]ana!$A164,[1]ana!$B164=Q$4),"ok","nok")</f>
        <v>nok</v>
      </c>
      <c r="R167" s="84" t="str">
        <f>IF(AND($B167=[1]ana!$A164,[1]ana!$B164=R$4),"ok","nok")</f>
        <v>nok</v>
      </c>
      <c r="S167" s="84" t="str">
        <f>IF(AND($B167=[1]ana!$A164,[1]ana!$B164=S$4),"ok","nok")</f>
        <v>nok</v>
      </c>
      <c r="T167" s="84" t="str">
        <f>IF(AND($B167=[1]ana!$A164,[1]ana!$B164=T$4),"ok","nok")</f>
        <v>nok</v>
      </c>
      <c r="U167" s="84" t="str">
        <f>IF(AND($B167=[1]ana!$A164,[1]ana!$B164=U$4),"ok","nok")</f>
        <v>nok</v>
      </c>
      <c r="V167" s="84" t="str">
        <f>IF(AND($B167=[1]ana!$A164,[1]ana!$B164=V$4),"ok","nok")</f>
        <v>nok</v>
      </c>
      <c r="W167" s="84" t="str">
        <f>IF(AND($B167=[1]ana!$A164,[1]ana!$B164=W$4),"ok","nok")</f>
        <v>ok</v>
      </c>
      <c r="X167" s="84" t="str">
        <f>IF(AND($B167=[1]ana!$A164,[1]ana!$B164=X$4),"ok","nok")</f>
        <v>nok</v>
      </c>
      <c r="Y167" s="85" t="s">
        <v>15</v>
      </c>
      <c r="Z167" s="86"/>
      <c r="AA167" s="86"/>
      <c r="AB167" s="87"/>
      <c r="AC167" s="60" t="str">
        <f t="shared" si="36"/>
        <v/>
      </c>
      <c r="AD167" s="60"/>
      <c r="AE167" s="60"/>
      <c r="AF167" s="60"/>
      <c r="AG167" s="61">
        <f t="shared" si="37"/>
        <v>0</v>
      </c>
      <c r="AH167" s="61" t="str">
        <f t="shared" si="38"/>
        <v/>
      </c>
      <c r="AI167" s="61">
        <f t="shared" si="39"/>
        <v>0</v>
      </c>
      <c r="AJ167" s="61" t="str">
        <f t="shared" si="40"/>
        <v/>
      </c>
      <c r="AK167" s="61">
        <f t="shared" si="41"/>
        <v>0</v>
      </c>
      <c r="AL167" s="61" t="str">
        <f t="shared" si="42"/>
        <v/>
      </c>
      <c r="AM167" s="61">
        <f t="shared" si="43"/>
        <v>0</v>
      </c>
      <c r="AN167" s="61" t="str">
        <f t="shared" si="44"/>
        <v/>
      </c>
      <c r="AO167" s="61">
        <f t="shared" si="45"/>
        <v>1</v>
      </c>
      <c r="AP167" s="61" t="str">
        <f t="shared" si="46"/>
        <v/>
      </c>
    </row>
    <row r="168" spans="1:42" ht="30" customHeight="1" x14ac:dyDescent="0.35">
      <c r="A168" s="26" t="str">
        <f t="shared" ref="A168:A172" si="52">CONCATENATE($B$150,"
",$B$151,"
",$B$152,"
",$B$166)</f>
        <v>PT186 - ESTALEIRO DE SOLDAS_ANÁLISE ESTRUTURAL E PROJETO DETALHADO DA COBERTURA
ETAPA DE ESCRITÓRIO
ESTRUTURA METÁLICA
MARCO - PLANILHA DE QUANTIDADES</v>
      </c>
      <c r="B168" s="51" t="s">
        <v>95</v>
      </c>
      <c r="C168" s="84" t="str">
        <f>IF(AND($B168=[1]ana!$A165,[1]ana!$B165=C$4),"ok","nok")</f>
        <v>nok</v>
      </c>
      <c r="D168" s="84" t="str">
        <f>IF(AND($B168=[1]ana!$A165,[1]ana!$B165=D$4),"ok","nok")</f>
        <v>nok</v>
      </c>
      <c r="E168" s="84" t="str">
        <f>IF(AND($B168=[1]ana!$A165,[1]ana!$B165=E$4),"ok","nok")</f>
        <v>nok</v>
      </c>
      <c r="F168" s="84" t="str">
        <f>IF(AND($B168=[1]ana!$A165,[1]ana!$B165=F$4),"ok","nok")</f>
        <v>nok</v>
      </c>
      <c r="G168" s="84" t="str">
        <f>IF(AND($B168=[1]ana!$A165,[1]ana!$B165=G$4),"ok","nok")</f>
        <v>nok</v>
      </c>
      <c r="H168" s="84" t="str">
        <f>IF(AND($B168=[1]ana!$A165,[1]ana!$B165=H$4),"ok","nok")</f>
        <v>nok</v>
      </c>
      <c r="I168" s="84" t="str">
        <f>IF(AND($B168=[1]ana!$A165,[1]ana!$B165=I$4),"ok","nok")</f>
        <v>nok</v>
      </c>
      <c r="J168" s="84" t="str">
        <f>IF(AND($B168=[1]ana!$A165,[1]ana!$B165=J$4),"ok","nok")</f>
        <v>nok</v>
      </c>
      <c r="K168" s="84" t="str">
        <f>IF(AND($B168=[1]ana!$A165,[1]ana!$B165=K$4),"ok","nok")</f>
        <v>nok</v>
      </c>
      <c r="L168" s="84" t="str">
        <f>IF(AND($B168=[1]ana!$A165,[1]ana!$B165=L$4),"ok","nok")</f>
        <v>nok</v>
      </c>
      <c r="M168" s="84" t="str">
        <f>IF(AND($B168=[1]ana!$A165,[1]ana!$B165=M$4),"ok","nok")</f>
        <v>nok</v>
      </c>
      <c r="N168" s="84" t="str">
        <f>IF(AND($B168=[1]ana!$A165,[1]ana!$B165=N$4),"ok","nok")</f>
        <v>nok</v>
      </c>
      <c r="O168" s="84" t="str">
        <f>IF(AND($B168=[1]ana!$A165,[1]ana!$B165=O$4),"ok","nok")</f>
        <v>ok</v>
      </c>
      <c r="P168" s="84" t="str">
        <f>IF(AND($B168=[1]ana!$A165,[1]ana!$B165=P$4),"ok","nok")</f>
        <v>nok</v>
      </c>
      <c r="Q168" s="84" t="str">
        <f>IF(AND($B168=[1]ana!$A165,[1]ana!$B165=Q$4),"ok","nok")</f>
        <v>nok</v>
      </c>
      <c r="R168" s="84" t="str">
        <f>IF(AND($B168=[1]ana!$A165,[1]ana!$B165=R$4),"ok","nok")</f>
        <v>nok</v>
      </c>
      <c r="S168" s="84" t="str">
        <f>IF(AND($B168=[1]ana!$A165,[1]ana!$B165=S$4),"ok","nok")</f>
        <v>nok</v>
      </c>
      <c r="T168" s="84" t="str">
        <f>IF(AND($B168=[1]ana!$A165,[1]ana!$B165=T$4),"ok","nok")</f>
        <v>nok</v>
      </c>
      <c r="U168" s="84" t="str">
        <f>IF(AND($B168=[1]ana!$A165,[1]ana!$B165=U$4),"ok","nok")</f>
        <v>nok</v>
      </c>
      <c r="V168" s="84" t="str">
        <f>IF(AND($B168=[1]ana!$A165,[1]ana!$B165=V$4),"ok","nok")</f>
        <v>nok</v>
      </c>
      <c r="W168" s="84" t="str">
        <f>IF(AND($B168=[1]ana!$A165,[1]ana!$B165=W$4),"ok","nok")</f>
        <v>nok</v>
      </c>
      <c r="X168" s="84" t="str">
        <f>IF(AND($B168=[1]ana!$A165,[1]ana!$B165=X$4),"ok","nok")</f>
        <v>nok</v>
      </c>
      <c r="Y168" s="85" t="s">
        <v>15</v>
      </c>
      <c r="Z168" s="86"/>
      <c r="AA168" s="86"/>
      <c r="AB168" s="87"/>
      <c r="AC168" s="60" t="str">
        <f t="shared" si="36"/>
        <v/>
      </c>
      <c r="AD168" s="60"/>
      <c r="AE168" s="60"/>
      <c r="AF168" s="60"/>
      <c r="AG168" s="61">
        <f t="shared" si="37"/>
        <v>0</v>
      </c>
      <c r="AH168" s="61" t="str">
        <f t="shared" si="38"/>
        <v/>
      </c>
      <c r="AI168" s="61">
        <f t="shared" si="39"/>
        <v>0</v>
      </c>
      <c r="AJ168" s="61" t="str">
        <f t="shared" si="40"/>
        <v/>
      </c>
      <c r="AK168" s="61">
        <f t="shared" si="41"/>
        <v>1</v>
      </c>
      <c r="AL168" s="61" t="str">
        <f t="shared" si="42"/>
        <v/>
      </c>
      <c r="AM168" s="61">
        <f t="shared" si="43"/>
        <v>0</v>
      </c>
      <c r="AN168" s="61" t="str">
        <f t="shared" si="44"/>
        <v/>
      </c>
      <c r="AO168" s="61">
        <f t="shared" si="45"/>
        <v>0</v>
      </c>
      <c r="AP168" s="61" t="str">
        <f t="shared" si="46"/>
        <v/>
      </c>
    </row>
    <row r="169" spans="1:42" ht="30" customHeight="1" x14ac:dyDescent="0.35">
      <c r="A169" s="26" t="str">
        <f t="shared" si="52"/>
        <v>PT186 - ESTALEIRO DE SOLDAS_ANÁLISE ESTRUTURAL E PROJETO DETALHADO DA COBERTURA
ETAPA DE ESCRITÓRIO
ESTRUTURA METÁLICA
MARCO - PLANILHA DE QUANTIDADES</v>
      </c>
      <c r="B169" s="51" t="s">
        <v>96</v>
      </c>
      <c r="C169" s="84" t="str">
        <f>IF(AND($B169=[1]ana!$A166,[1]ana!$B166=C$4),"ok","nok")</f>
        <v>nok</v>
      </c>
      <c r="D169" s="84" t="str">
        <f>IF(AND($B169=[1]ana!$A166,[1]ana!$B166=D$4),"ok","nok")</f>
        <v>nok</v>
      </c>
      <c r="E169" s="84" t="str">
        <f>IF(AND($B169=[1]ana!$A166,[1]ana!$B166=E$4),"ok","nok")</f>
        <v>nok</v>
      </c>
      <c r="F169" s="84" t="str">
        <f>IF(AND($B169=[1]ana!$A166,[1]ana!$B166=F$4),"ok","nok")</f>
        <v>nok</v>
      </c>
      <c r="G169" s="84" t="str">
        <f>IF(AND($B169=[1]ana!$A166,[1]ana!$B166=G$4),"ok","nok")</f>
        <v>nok</v>
      </c>
      <c r="H169" s="84" t="str">
        <f>IF(AND($B169=[1]ana!$A166,[1]ana!$B166=H$4),"ok","nok")</f>
        <v>nok</v>
      </c>
      <c r="I169" s="84" t="str">
        <f>IF(AND($B169=[1]ana!$A166,[1]ana!$B166=I$4),"ok","nok")</f>
        <v>nok</v>
      </c>
      <c r="J169" s="84" t="str">
        <f>IF(AND($B169=[1]ana!$A166,[1]ana!$B166=J$4),"ok","nok")</f>
        <v>nok</v>
      </c>
      <c r="K169" s="84" t="str">
        <f>IF(AND($B169=[1]ana!$A166,[1]ana!$B166=K$4),"ok","nok")</f>
        <v>nok</v>
      </c>
      <c r="L169" s="84" t="str">
        <f>IF(AND($B169=[1]ana!$A166,[1]ana!$B166=L$4),"ok","nok")</f>
        <v>nok</v>
      </c>
      <c r="M169" s="84" t="str">
        <f>IF(AND($B169=[1]ana!$A166,[1]ana!$B166=M$4),"ok","nok")</f>
        <v>nok</v>
      </c>
      <c r="N169" s="84" t="str">
        <f>IF(AND($B169=[1]ana!$A166,[1]ana!$B166=N$4),"ok","nok")</f>
        <v>nok</v>
      </c>
      <c r="O169" s="84" t="str">
        <f>IF(AND($B169=[1]ana!$A166,[1]ana!$B166=O$4),"ok","nok")</f>
        <v>nok</v>
      </c>
      <c r="P169" s="84" t="str">
        <f>IF(AND($B169=[1]ana!$A166,[1]ana!$B166=P$4),"ok","nok")</f>
        <v>ok</v>
      </c>
      <c r="Q169" s="84" t="str">
        <f>IF(AND($B169=[1]ana!$A166,[1]ana!$B166=Q$4),"ok","nok")</f>
        <v>nok</v>
      </c>
      <c r="R169" s="84" t="str">
        <f>IF(AND($B169=[1]ana!$A166,[1]ana!$B166=R$4),"ok","nok")</f>
        <v>nok</v>
      </c>
      <c r="S169" s="84" t="str">
        <f>IF(AND($B169=[1]ana!$A166,[1]ana!$B166=S$4),"ok","nok")</f>
        <v>nok</v>
      </c>
      <c r="T169" s="84" t="str">
        <f>IF(AND($B169=[1]ana!$A166,[1]ana!$B166=T$4),"ok","nok")</f>
        <v>nok</v>
      </c>
      <c r="U169" s="84" t="str">
        <f>IF(AND($B169=[1]ana!$A166,[1]ana!$B166=U$4),"ok","nok")</f>
        <v>nok</v>
      </c>
      <c r="V169" s="84" t="str">
        <f>IF(AND($B169=[1]ana!$A166,[1]ana!$B166=V$4),"ok","nok")</f>
        <v>nok</v>
      </c>
      <c r="W169" s="84" t="str">
        <f>IF(AND($B169=[1]ana!$A166,[1]ana!$B166=W$4),"ok","nok")</f>
        <v>nok</v>
      </c>
      <c r="X169" s="84" t="str">
        <f>IF(AND($B169=[1]ana!$A166,[1]ana!$B166=X$4),"ok","nok")</f>
        <v>nok</v>
      </c>
      <c r="Y169" s="85" t="s">
        <v>15</v>
      </c>
      <c r="Z169" s="86"/>
      <c r="AA169" s="86"/>
      <c r="AB169" s="87"/>
      <c r="AC169" s="60" t="str">
        <f t="shared" si="36"/>
        <v/>
      </c>
      <c r="AD169" s="60"/>
      <c r="AE169" s="60"/>
      <c r="AF169" s="60"/>
      <c r="AG169" s="61">
        <f t="shared" si="37"/>
        <v>0</v>
      </c>
      <c r="AH169" s="61" t="str">
        <f t="shared" si="38"/>
        <v/>
      </c>
      <c r="AI169" s="61">
        <f t="shared" si="39"/>
        <v>0</v>
      </c>
      <c r="AJ169" s="61" t="str">
        <f t="shared" si="40"/>
        <v/>
      </c>
      <c r="AK169" s="61">
        <f t="shared" si="41"/>
        <v>1</v>
      </c>
      <c r="AL169" s="61" t="str">
        <f t="shared" si="42"/>
        <v/>
      </c>
      <c r="AM169" s="61">
        <f t="shared" si="43"/>
        <v>0</v>
      </c>
      <c r="AN169" s="61" t="str">
        <f t="shared" si="44"/>
        <v/>
      </c>
      <c r="AO169" s="61">
        <f t="shared" si="45"/>
        <v>0</v>
      </c>
      <c r="AP169" s="61" t="str">
        <f t="shared" si="46"/>
        <v/>
      </c>
    </row>
    <row r="170" spans="1:42" ht="30" customHeight="1" x14ac:dyDescent="0.35">
      <c r="B170" s="52" t="s">
        <v>97</v>
      </c>
      <c r="C170" s="52"/>
      <c r="D170" s="52"/>
      <c r="E170" s="52"/>
      <c r="F170" s="52"/>
      <c r="G170" s="52"/>
      <c r="H170" s="52"/>
      <c r="I170" s="52"/>
      <c r="J170" s="52"/>
      <c r="K170" s="52"/>
      <c r="L170" s="52"/>
      <c r="M170" s="52"/>
      <c r="N170" s="52"/>
      <c r="O170" s="52"/>
      <c r="P170" s="52"/>
      <c r="Q170" s="52"/>
      <c r="R170" s="52"/>
      <c r="S170" s="52"/>
      <c r="T170" s="52"/>
      <c r="U170" s="52"/>
      <c r="V170" s="52"/>
      <c r="W170" s="52"/>
      <c r="X170" s="52"/>
      <c r="Y170" s="88"/>
      <c r="Z170" s="89"/>
      <c r="AA170" s="89"/>
      <c r="AB170" s="90"/>
      <c r="AC170" s="60" t="str">
        <f t="shared" si="36"/>
        <v/>
      </c>
      <c r="AD170" s="60"/>
      <c r="AE170" s="60"/>
      <c r="AF170" s="60"/>
      <c r="AG170" s="61">
        <f t="shared" si="37"/>
        <v>0</v>
      </c>
      <c r="AH170" s="61" t="str">
        <f t="shared" si="38"/>
        <v/>
      </c>
      <c r="AI170" s="61">
        <f t="shared" si="39"/>
        <v>0</v>
      </c>
      <c r="AJ170" s="61" t="str">
        <f t="shared" si="40"/>
        <v/>
      </c>
      <c r="AK170" s="61">
        <f t="shared" si="41"/>
        <v>0</v>
      </c>
      <c r="AL170" s="61" t="str">
        <f t="shared" si="42"/>
        <v/>
      </c>
      <c r="AM170" s="61">
        <f t="shared" si="43"/>
        <v>0</v>
      </c>
      <c r="AN170" s="61" t="str">
        <f t="shared" si="44"/>
        <v/>
      </c>
      <c r="AO170" s="61">
        <f t="shared" si="45"/>
        <v>0</v>
      </c>
      <c r="AP170" s="61" t="str">
        <f t="shared" si="46"/>
        <v/>
      </c>
    </row>
    <row r="171" spans="1:42" ht="30" customHeight="1" x14ac:dyDescent="0.35">
      <c r="A171" s="26" t="str">
        <f>CONCATENATE($B$150,"
",$B$151,"
",$B$152,"
",$B$170)</f>
        <v>PT186 - ESTALEIRO DE SOLDAS_ANÁLISE ESTRUTURAL E PROJETO DETALHADO DA COBERTURA
ETAPA DE ESCRITÓRIO
ESTRUTURA METÁLICA
MARCO - RELATÓRIO DE DIAGNÓSTICO DE PNR</v>
      </c>
      <c r="B171" s="53" t="s">
        <v>19</v>
      </c>
      <c r="C171" s="84" t="str">
        <f>IF(AND($B171=[1]ana!$A168,[1]ana!$B168=C$4),"ok","nok")</f>
        <v>nok</v>
      </c>
      <c r="D171" s="84" t="str">
        <f>IF(AND($B171=[1]ana!$A168,[1]ana!$B168=D$4),"ok","nok")</f>
        <v>nok</v>
      </c>
      <c r="E171" s="84" t="str">
        <f>IF(AND($B171=[1]ana!$A168,[1]ana!$B168=E$4),"ok","nok")</f>
        <v>nok</v>
      </c>
      <c r="F171" s="84" t="str">
        <f>IF(AND($B171=[1]ana!$A168,[1]ana!$B168=F$4),"ok","nok")</f>
        <v>nok</v>
      </c>
      <c r="G171" s="84" t="str">
        <f>IF(AND($B171=[1]ana!$A168,[1]ana!$B168=G$4),"ok","nok")</f>
        <v>nok</v>
      </c>
      <c r="H171" s="84" t="str">
        <f>IF(AND($B171=[1]ana!$A168,[1]ana!$B168=H$4),"ok","nok")</f>
        <v>nok</v>
      </c>
      <c r="I171" s="84" t="str">
        <f>IF(AND($B171=[1]ana!$A168,[1]ana!$B168=I$4),"ok","nok")</f>
        <v>nok</v>
      </c>
      <c r="J171" s="84" t="str">
        <f>IF(AND($B171=[1]ana!$A168,[1]ana!$B168=J$4),"ok","nok")</f>
        <v>nok</v>
      </c>
      <c r="K171" s="84" t="str">
        <f>IF(AND($B171=[1]ana!$A168,[1]ana!$B168=K$4),"ok","nok")</f>
        <v>nok</v>
      </c>
      <c r="L171" s="84" t="str">
        <f>IF(AND($B171=[1]ana!$A168,[1]ana!$B168=L$4),"ok","nok")</f>
        <v>nok</v>
      </c>
      <c r="M171" s="84" t="str">
        <f>IF(AND($B171=[1]ana!$A168,[1]ana!$B168=M$4),"ok","nok")</f>
        <v>nok</v>
      </c>
      <c r="N171" s="84" t="str">
        <f>IF(AND($B171=[1]ana!$A168,[1]ana!$B168=N$4),"ok","nok")</f>
        <v>nok</v>
      </c>
      <c r="O171" s="84" t="str">
        <f>IF(AND($B171=[1]ana!$A168,[1]ana!$B168=O$4),"ok","nok")</f>
        <v>nok</v>
      </c>
      <c r="P171" s="84" t="str">
        <f>IF(AND($B171=[1]ana!$A168,[1]ana!$B168=P$4),"ok","nok")</f>
        <v>ok</v>
      </c>
      <c r="Q171" s="84" t="str">
        <f>IF(AND($B171=[1]ana!$A168,[1]ana!$B168=Q$4),"ok","nok")</f>
        <v>nok</v>
      </c>
      <c r="R171" s="84" t="str">
        <f>IF(AND($B171=[1]ana!$A168,[1]ana!$B168=R$4),"ok","nok")</f>
        <v>nok</v>
      </c>
      <c r="S171" s="84" t="str">
        <f>IF(AND($B171=[1]ana!$A168,[1]ana!$B168=S$4),"ok","nok")</f>
        <v>nok</v>
      </c>
      <c r="T171" s="84" t="str">
        <f>IF(AND($B171=[1]ana!$A168,[1]ana!$B168=T$4),"ok","nok")</f>
        <v>nok</v>
      </c>
      <c r="U171" s="84" t="str">
        <f>IF(AND($B171=[1]ana!$A168,[1]ana!$B168=U$4),"ok","nok")</f>
        <v>nok</v>
      </c>
      <c r="V171" s="84" t="str">
        <f>IF(AND($B171=[1]ana!$A168,[1]ana!$B168=V$4),"ok","nok")</f>
        <v>nok</v>
      </c>
      <c r="W171" s="84" t="str">
        <f>IF(AND($B171=[1]ana!$A168,[1]ana!$B168=W$4),"ok","nok")</f>
        <v>nok</v>
      </c>
      <c r="X171" s="84" t="str">
        <f>IF(AND($B171=[1]ana!$A168,[1]ana!$B168=X$4),"ok","nok")</f>
        <v>nok</v>
      </c>
      <c r="Y171" s="85" t="s">
        <v>15</v>
      </c>
      <c r="Z171" s="86"/>
      <c r="AA171" s="86"/>
      <c r="AB171" s="87"/>
      <c r="AC171" s="60" t="str">
        <f t="shared" si="36"/>
        <v/>
      </c>
      <c r="AD171" s="60"/>
      <c r="AE171" s="60"/>
      <c r="AF171" s="60"/>
      <c r="AG171" s="61">
        <f t="shared" si="37"/>
        <v>0</v>
      </c>
      <c r="AH171" s="61" t="str">
        <f t="shared" si="38"/>
        <v/>
      </c>
      <c r="AI171" s="61">
        <f t="shared" si="39"/>
        <v>0</v>
      </c>
      <c r="AJ171" s="61" t="str">
        <f t="shared" si="40"/>
        <v/>
      </c>
      <c r="AK171" s="61">
        <f t="shared" si="41"/>
        <v>1</v>
      </c>
      <c r="AL171" s="61" t="str">
        <f t="shared" si="42"/>
        <v/>
      </c>
      <c r="AM171" s="61">
        <f t="shared" si="43"/>
        <v>0</v>
      </c>
      <c r="AN171" s="61" t="str">
        <f t="shared" si="44"/>
        <v/>
      </c>
      <c r="AO171" s="61">
        <f t="shared" si="45"/>
        <v>0</v>
      </c>
      <c r="AP171" s="61" t="str">
        <f t="shared" si="46"/>
        <v/>
      </c>
    </row>
    <row r="172" spans="1:42" ht="30" customHeight="1" x14ac:dyDescent="0.35">
      <c r="A172" s="26" t="str">
        <f t="shared" si="52"/>
        <v>PT186 - ESTALEIRO DE SOLDAS_ANÁLISE ESTRUTURAL E PROJETO DETALHADO DA COBERTURA
ETAPA DE ESCRITÓRIO
ESTRUTURA METÁLICA
MARCO - PLANILHA DE QUANTIDADES</v>
      </c>
      <c r="B172" s="53" t="s">
        <v>43</v>
      </c>
      <c r="C172" s="84" t="str">
        <f>IF(AND($B172=[1]ana!$A169,[1]ana!$B169=C$4),"ok","nok")</f>
        <v>nok</v>
      </c>
      <c r="D172" s="84" t="str">
        <f>IF(AND($B172=[1]ana!$A169,[1]ana!$B169=D$4),"ok","nok")</f>
        <v>nok</v>
      </c>
      <c r="E172" s="84" t="str">
        <f>IF(AND($B172=[1]ana!$A169,[1]ana!$B169=E$4),"ok","nok")</f>
        <v>nok</v>
      </c>
      <c r="F172" s="84" t="str">
        <f>IF(AND($B172=[1]ana!$A169,[1]ana!$B169=F$4),"ok","nok")</f>
        <v>nok</v>
      </c>
      <c r="G172" s="84" t="str">
        <f>IF(AND($B172=[1]ana!$A169,[1]ana!$B169=G$4),"ok","nok")</f>
        <v>nok</v>
      </c>
      <c r="H172" s="84" t="str">
        <f>IF(AND($B172=[1]ana!$A169,[1]ana!$B169=H$4),"ok","nok")</f>
        <v>nok</v>
      </c>
      <c r="I172" s="84" t="str">
        <f>IF(AND($B172=[1]ana!$A169,[1]ana!$B169=I$4),"ok","nok")</f>
        <v>nok</v>
      </c>
      <c r="J172" s="84" t="str">
        <f>IF(AND($B172=[1]ana!$A169,[1]ana!$B169=J$4),"ok","nok")</f>
        <v>nok</v>
      </c>
      <c r="K172" s="84" t="str">
        <f>IF(AND($B172=[1]ana!$A169,[1]ana!$B169=K$4),"ok","nok")</f>
        <v>nok</v>
      </c>
      <c r="L172" s="84" t="str">
        <f>IF(AND($B172=[1]ana!$A169,[1]ana!$B169=L$4),"ok","nok")</f>
        <v>nok</v>
      </c>
      <c r="M172" s="84" t="str">
        <f>IF(AND($B172=[1]ana!$A169,[1]ana!$B169=M$4),"ok","nok")</f>
        <v>nok</v>
      </c>
      <c r="N172" s="84" t="str">
        <f>IF(AND($B172=[1]ana!$A169,[1]ana!$B169=N$4),"ok","nok")</f>
        <v>nok</v>
      </c>
      <c r="O172" s="84" t="str">
        <f>IF(AND($B172=[1]ana!$A169,[1]ana!$B169=O$4),"ok","nok")</f>
        <v>nok</v>
      </c>
      <c r="P172" s="84" t="str">
        <f>IF(AND($B172=[1]ana!$A169,[1]ana!$B169=P$4),"ok","nok")</f>
        <v>nok</v>
      </c>
      <c r="Q172" s="84" t="str">
        <f>IF(AND($B172=[1]ana!$A169,[1]ana!$B169=Q$4),"ok","nok")</f>
        <v>nok</v>
      </c>
      <c r="R172" s="84" t="str">
        <f>IF(AND($B172=[1]ana!$A169,[1]ana!$B169=R$4),"ok","nok")</f>
        <v>nok</v>
      </c>
      <c r="S172" s="84" t="str">
        <f>IF(AND($B172=[1]ana!$A169,[1]ana!$B169=S$4),"ok","nok")</f>
        <v>nok</v>
      </c>
      <c r="T172" s="84" t="str">
        <f>IF(AND($B172=[1]ana!$A169,[1]ana!$B169=T$4),"ok","nok")</f>
        <v>nok</v>
      </c>
      <c r="U172" s="84" t="str">
        <f>IF(AND($B172=[1]ana!$A169,[1]ana!$B169=U$4),"ok","nok")</f>
        <v>nok</v>
      </c>
      <c r="V172" s="84" t="str">
        <f>IF(AND($B172=[1]ana!$A169,[1]ana!$B169=V$4),"ok","nok")</f>
        <v>nok</v>
      </c>
      <c r="W172" s="84" t="str">
        <f>IF(AND($B172=[1]ana!$A169,[1]ana!$B169=W$4),"ok","nok")</f>
        <v>ok</v>
      </c>
      <c r="X172" s="84" t="str">
        <f>IF(AND($B172=[1]ana!$A169,[1]ana!$B169=X$4),"ok","nok")</f>
        <v>nok</v>
      </c>
      <c r="Y172" s="85" t="s">
        <v>15</v>
      </c>
      <c r="Z172" s="86"/>
      <c r="AA172" s="86"/>
      <c r="AB172" s="87"/>
      <c r="AC172" s="60" t="str">
        <f t="shared" si="36"/>
        <v/>
      </c>
      <c r="AD172" s="60"/>
      <c r="AE172" s="60"/>
      <c r="AF172" s="60"/>
      <c r="AG172" s="61">
        <f t="shared" si="37"/>
        <v>0</v>
      </c>
      <c r="AH172" s="61" t="str">
        <f t="shared" si="38"/>
        <v/>
      </c>
      <c r="AI172" s="61">
        <f t="shared" si="39"/>
        <v>0</v>
      </c>
      <c r="AJ172" s="61" t="str">
        <f t="shared" si="40"/>
        <v/>
      </c>
      <c r="AK172" s="61">
        <f t="shared" si="41"/>
        <v>0</v>
      </c>
      <c r="AL172" s="61" t="str">
        <f t="shared" si="42"/>
        <v/>
      </c>
      <c r="AM172" s="61">
        <f t="shared" si="43"/>
        <v>0</v>
      </c>
      <c r="AN172" s="61" t="str">
        <f t="shared" si="44"/>
        <v/>
      </c>
      <c r="AO172" s="61">
        <f t="shared" si="45"/>
        <v>1</v>
      </c>
      <c r="AP172" s="61" t="str">
        <f t="shared" si="46"/>
        <v/>
      </c>
    </row>
    <row r="173" spans="1:42" ht="30" customHeight="1" x14ac:dyDescent="0.35">
      <c r="B173" s="54" t="s">
        <v>98</v>
      </c>
      <c r="C173" s="54"/>
      <c r="D173" s="54"/>
      <c r="E173" s="54"/>
      <c r="F173" s="54"/>
      <c r="G173" s="54"/>
      <c r="H173" s="54"/>
      <c r="I173" s="54"/>
      <c r="J173" s="54"/>
      <c r="K173" s="54"/>
      <c r="L173" s="54"/>
      <c r="M173" s="54"/>
      <c r="N173" s="54"/>
      <c r="O173" s="54"/>
      <c r="P173" s="54"/>
      <c r="Q173" s="54"/>
      <c r="R173" s="54"/>
      <c r="S173" s="54"/>
      <c r="T173" s="54"/>
      <c r="U173" s="54"/>
      <c r="V173" s="54"/>
      <c r="W173" s="54"/>
      <c r="X173" s="54"/>
      <c r="Y173" s="91"/>
      <c r="Z173" s="92"/>
      <c r="AA173" s="92"/>
      <c r="AB173" s="93"/>
      <c r="AC173" s="60" t="str">
        <f t="shared" si="36"/>
        <v/>
      </c>
      <c r="AD173" s="60"/>
      <c r="AE173" s="60"/>
      <c r="AF173" s="60"/>
      <c r="AG173" s="61">
        <f t="shared" si="37"/>
        <v>0</v>
      </c>
      <c r="AH173" s="61" t="str">
        <f t="shared" si="38"/>
        <v/>
      </c>
      <c r="AI173" s="61">
        <f t="shared" si="39"/>
        <v>0</v>
      </c>
      <c r="AJ173" s="61" t="str">
        <f t="shared" si="40"/>
        <v/>
      </c>
      <c r="AK173" s="61">
        <f t="shared" si="41"/>
        <v>0</v>
      </c>
      <c r="AL173" s="61" t="str">
        <f t="shared" si="42"/>
        <v/>
      </c>
      <c r="AM173" s="61">
        <f t="shared" si="43"/>
        <v>0</v>
      </c>
      <c r="AN173" s="61" t="str">
        <f t="shared" si="44"/>
        <v/>
      </c>
      <c r="AO173" s="61">
        <f t="shared" si="45"/>
        <v>0</v>
      </c>
      <c r="AP173" s="61" t="str">
        <f t="shared" si="46"/>
        <v/>
      </c>
    </row>
    <row r="174" spans="1:42" ht="30" customHeight="1" x14ac:dyDescent="0.35">
      <c r="B174" s="52" t="s">
        <v>99</v>
      </c>
      <c r="C174" s="52"/>
      <c r="D174" s="52"/>
      <c r="E174" s="52"/>
      <c r="F174" s="52"/>
      <c r="G174" s="52"/>
      <c r="H174" s="52"/>
      <c r="I174" s="52"/>
      <c r="J174" s="52"/>
      <c r="K174" s="52"/>
      <c r="L174" s="52"/>
      <c r="M174" s="52"/>
      <c r="N174" s="52"/>
      <c r="O174" s="52"/>
      <c r="P174" s="52"/>
      <c r="Q174" s="52"/>
      <c r="R174" s="52"/>
      <c r="S174" s="52"/>
      <c r="T174" s="52"/>
      <c r="U174" s="52"/>
      <c r="V174" s="52"/>
      <c r="W174" s="52"/>
      <c r="X174" s="52"/>
      <c r="Y174" s="88"/>
      <c r="Z174" s="89"/>
      <c r="AA174" s="89"/>
      <c r="AB174" s="90"/>
      <c r="AC174" s="60" t="str">
        <f t="shared" si="36"/>
        <v/>
      </c>
      <c r="AD174" s="60"/>
      <c r="AE174" s="60"/>
      <c r="AF174" s="60"/>
      <c r="AG174" s="61">
        <f t="shared" si="37"/>
        <v>0</v>
      </c>
      <c r="AH174" s="61" t="str">
        <f t="shared" si="38"/>
        <v/>
      </c>
      <c r="AI174" s="61">
        <f t="shared" si="39"/>
        <v>0</v>
      </c>
      <c r="AJ174" s="61" t="str">
        <f t="shared" si="40"/>
        <v/>
      </c>
      <c r="AK174" s="61">
        <f t="shared" si="41"/>
        <v>0</v>
      </c>
      <c r="AL174" s="61" t="str">
        <f t="shared" si="42"/>
        <v/>
      </c>
      <c r="AM174" s="61">
        <f t="shared" si="43"/>
        <v>0</v>
      </c>
      <c r="AN174" s="61" t="str">
        <f t="shared" si="44"/>
        <v/>
      </c>
      <c r="AO174" s="61">
        <f t="shared" si="45"/>
        <v>0</v>
      </c>
      <c r="AP174" s="61" t="str">
        <f t="shared" si="46"/>
        <v/>
      </c>
    </row>
    <row r="175" spans="1:42" ht="30" customHeight="1" x14ac:dyDescent="0.35">
      <c r="A175" s="26" t="str">
        <f>CONCATENATE($B$150,"
",$B$151,"
",$B$173,"
",$B$174)</f>
        <v>PT186 - ESTALEIRO DE SOLDAS_ANÁLISE ESTRUTURAL E PROJETO DETALHADO DA COBERTURA
ETAPA DE ESCRITÓRIO
CIVIL
MARCO - PLANO DE CORPO DE PROVA</v>
      </c>
      <c r="B175" s="53" t="s">
        <v>43</v>
      </c>
      <c r="C175" s="84" t="str">
        <f>IF(AND($B175=[1]ana!$A172,[1]ana!$B172=C$4),"ok","nok")</f>
        <v>nok</v>
      </c>
      <c r="D175" s="84" t="str">
        <f>IF(AND($B175=[1]ana!$A172,[1]ana!$B172=D$4),"ok","nok")</f>
        <v>nok</v>
      </c>
      <c r="E175" s="84" t="str">
        <f>IF(AND($B175=[1]ana!$A172,[1]ana!$B172=E$4),"ok","nok")</f>
        <v>nok</v>
      </c>
      <c r="F175" s="84" t="str">
        <f>IF(AND($B175=[1]ana!$A172,[1]ana!$B172=F$4),"ok","nok")</f>
        <v>nok</v>
      </c>
      <c r="G175" s="84" t="str">
        <f>IF(AND($B175=[1]ana!$A172,[1]ana!$B172=G$4),"ok","nok")</f>
        <v>nok</v>
      </c>
      <c r="H175" s="84" t="str">
        <f>IF(AND($B175=[1]ana!$A172,[1]ana!$B172=H$4),"ok","nok")</f>
        <v>nok</v>
      </c>
      <c r="I175" s="84" t="str">
        <f>IF(AND($B175=[1]ana!$A172,[1]ana!$B172=I$4),"ok","nok")</f>
        <v>ok</v>
      </c>
      <c r="J175" s="84" t="str">
        <f>IF(AND($B175=[1]ana!$A172,[1]ana!$B172=J$4),"ok","nok")</f>
        <v>nok</v>
      </c>
      <c r="K175" s="84" t="str">
        <f>IF(AND($B175=[1]ana!$A172,[1]ana!$B172=K$4),"ok","nok")</f>
        <v>nok</v>
      </c>
      <c r="L175" s="84" t="str">
        <f>IF(AND($B175=[1]ana!$A172,[1]ana!$B172=L$4),"ok","nok")</f>
        <v>nok</v>
      </c>
      <c r="M175" s="84" t="str">
        <f>IF(AND($B175=[1]ana!$A172,[1]ana!$B172=M$4),"ok","nok")</f>
        <v>nok</v>
      </c>
      <c r="N175" s="84" t="str">
        <f>IF(AND($B175=[1]ana!$A172,[1]ana!$B172=N$4),"ok","nok")</f>
        <v>nok</v>
      </c>
      <c r="O175" s="84" t="str">
        <f>IF(AND($B175=[1]ana!$A172,[1]ana!$B172=O$4),"ok","nok")</f>
        <v>nok</v>
      </c>
      <c r="P175" s="84" t="str">
        <f>IF(AND($B175=[1]ana!$A172,[1]ana!$B172=P$4),"ok","nok")</f>
        <v>nok</v>
      </c>
      <c r="Q175" s="84" t="str">
        <f>IF(AND($B175=[1]ana!$A172,[1]ana!$B172=Q$4),"ok","nok")</f>
        <v>nok</v>
      </c>
      <c r="R175" s="84" t="str">
        <f>IF(AND($B175=[1]ana!$A172,[1]ana!$B172=R$4),"ok","nok")</f>
        <v>nok</v>
      </c>
      <c r="S175" s="84" t="str">
        <f>IF(AND($B175=[1]ana!$A172,[1]ana!$B172=S$4),"ok","nok")</f>
        <v>nok</v>
      </c>
      <c r="T175" s="84" t="str">
        <f>IF(AND($B175=[1]ana!$A172,[1]ana!$B172=T$4),"ok","nok")</f>
        <v>nok</v>
      </c>
      <c r="U175" s="84" t="str">
        <f>IF(AND($B175=[1]ana!$A172,[1]ana!$B172=U$4),"ok","nok")</f>
        <v>nok</v>
      </c>
      <c r="V175" s="84" t="str">
        <f>IF(AND($B175=[1]ana!$A172,[1]ana!$B172=V$4),"ok","nok")</f>
        <v>nok</v>
      </c>
      <c r="W175" s="84" t="str">
        <f>IF(AND($B175=[1]ana!$A172,[1]ana!$B172=W$4),"ok","nok")</f>
        <v>nok</v>
      </c>
      <c r="X175" s="84" t="str">
        <f>IF(AND($B175=[1]ana!$A172,[1]ana!$B172=X$4),"ok","nok")</f>
        <v>nok</v>
      </c>
      <c r="Y175" s="85" t="s">
        <v>15</v>
      </c>
      <c r="Z175" s="86"/>
      <c r="AA175" s="86"/>
      <c r="AB175" s="87"/>
      <c r="AC175" s="60" t="str">
        <f t="shared" si="36"/>
        <v/>
      </c>
      <c r="AD175" s="60"/>
      <c r="AE175" s="60"/>
      <c r="AF175" s="60"/>
      <c r="AG175" s="61">
        <f t="shared" si="37"/>
        <v>0</v>
      </c>
      <c r="AH175" s="61" t="str">
        <f t="shared" si="38"/>
        <v/>
      </c>
      <c r="AI175" s="61">
        <f t="shared" si="39"/>
        <v>1</v>
      </c>
      <c r="AJ175" s="61" t="str">
        <f t="shared" si="40"/>
        <v/>
      </c>
      <c r="AK175" s="61">
        <f t="shared" si="41"/>
        <v>0</v>
      </c>
      <c r="AL175" s="61" t="str">
        <f t="shared" si="42"/>
        <v/>
      </c>
      <c r="AM175" s="61">
        <f t="shared" si="43"/>
        <v>0</v>
      </c>
      <c r="AN175" s="61" t="str">
        <f t="shared" si="44"/>
        <v/>
      </c>
      <c r="AO175" s="61">
        <f t="shared" si="45"/>
        <v>0</v>
      </c>
      <c r="AP175" s="61" t="str">
        <f t="shared" si="46"/>
        <v/>
      </c>
    </row>
    <row r="176" spans="1:42" ht="30" customHeight="1" x14ac:dyDescent="0.35">
      <c r="A176" s="26" t="str">
        <f t="shared" ref="A176:A177" si="53">CONCATENATE($B$150,"
",$B$151,"
",$B$173,"
",$B$174)</f>
        <v>PT186 - ESTALEIRO DE SOLDAS_ANÁLISE ESTRUTURAL E PROJETO DETALHADO DA COBERTURA
ETAPA DE ESCRITÓRIO
CIVIL
MARCO - PLANO DE CORPO DE PROVA</v>
      </c>
      <c r="B176" s="53" t="s">
        <v>44</v>
      </c>
      <c r="C176" s="84" t="str">
        <f>IF(AND($B176=[1]ana!$A173,[1]ana!$B173=C$4),"ok","nok")</f>
        <v>nok</v>
      </c>
      <c r="D176" s="84" t="str">
        <f>IF(AND($B176=[1]ana!$A173,[1]ana!$B173=D$4),"ok","nok")</f>
        <v>nok</v>
      </c>
      <c r="E176" s="84" t="str">
        <f>IF(AND($B176=[1]ana!$A173,[1]ana!$B173=E$4),"ok","nok")</f>
        <v>nok</v>
      </c>
      <c r="F176" s="84" t="str">
        <f>IF(AND($B176=[1]ana!$A173,[1]ana!$B173=F$4),"ok","nok")</f>
        <v>nok</v>
      </c>
      <c r="G176" s="84" t="str">
        <f>IF(AND($B176=[1]ana!$A173,[1]ana!$B173=G$4),"ok","nok")</f>
        <v>nok</v>
      </c>
      <c r="H176" s="84" t="str">
        <f>IF(AND($B176=[1]ana!$A173,[1]ana!$B173=H$4),"ok","nok")</f>
        <v>nok</v>
      </c>
      <c r="I176" s="84" t="str">
        <f>IF(AND($B176=[1]ana!$A173,[1]ana!$B173=I$4),"ok","nok")</f>
        <v>nok</v>
      </c>
      <c r="J176" s="84" t="str">
        <f>IF(AND($B176=[1]ana!$A173,[1]ana!$B173=J$4),"ok","nok")</f>
        <v>nok</v>
      </c>
      <c r="K176" s="84" t="str">
        <f>IF(AND($B176=[1]ana!$A173,[1]ana!$B173=K$4),"ok","nok")</f>
        <v>nok</v>
      </c>
      <c r="L176" s="84" t="str">
        <f>IF(AND($B176=[1]ana!$A173,[1]ana!$B173=L$4),"ok","nok")</f>
        <v>ok</v>
      </c>
      <c r="M176" s="84" t="str">
        <f>IF(AND($B176=[1]ana!$A173,[1]ana!$B173=M$4),"ok","nok")</f>
        <v>nok</v>
      </c>
      <c r="N176" s="84" t="str">
        <f>IF(AND($B176=[1]ana!$A173,[1]ana!$B173=N$4),"ok","nok")</f>
        <v>nok</v>
      </c>
      <c r="O176" s="84" t="str">
        <f>IF(AND($B176=[1]ana!$A173,[1]ana!$B173=O$4),"ok","nok")</f>
        <v>nok</v>
      </c>
      <c r="P176" s="84" t="str">
        <f>IF(AND($B176=[1]ana!$A173,[1]ana!$B173=P$4),"ok","nok")</f>
        <v>nok</v>
      </c>
      <c r="Q176" s="84" t="str">
        <f>IF(AND($B176=[1]ana!$A173,[1]ana!$B173=Q$4),"ok","nok")</f>
        <v>nok</v>
      </c>
      <c r="R176" s="84" t="str">
        <f>IF(AND($B176=[1]ana!$A173,[1]ana!$B173=R$4),"ok","nok")</f>
        <v>nok</v>
      </c>
      <c r="S176" s="84" t="str">
        <f>IF(AND($B176=[1]ana!$A173,[1]ana!$B173=S$4),"ok","nok")</f>
        <v>nok</v>
      </c>
      <c r="T176" s="84" t="str">
        <f>IF(AND($B176=[1]ana!$A173,[1]ana!$B173=T$4),"ok","nok")</f>
        <v>nok</v>
      </c>
      <c r="U176" s="84" t="str">
        <f>IF(AND($B176=[1]ana!$A173,[1]ana!$B173=U$4),"ok","nok")</f>
        <v>nok</v>
      </c>
      <c r="V176" s="84" t="str">
        <f>IF(AND($B176=[1]ana!$A173,[1]ana!$B173=V$4),"ok","nok")</f>
        <v>nok</v>
      </c>
      <c r="W176" s="84" t="str">
        <f>IF(AND($B176=[1]ana!$A173,[1]ana!$B173=W$4),"ok","nok")</f>
        <v>nok</v>
      </c>
      <c r="X176" s="84" t="str">
        <f>IF(AND($B176=[1]ana!$A173,[1]ana!$B173=X$4),"ok","nok")</f>
        <v>nok</v>
      </c>
      <c r="Y176" s="85" t="s">
        <v>15</v>
      </c>
      <c r="Z176" s="86"/>
      <c r="AA176" s="86"/>
      <c r="AB176" s="87"/>
      <c r="AC176" s="60" t="str">
        <f t="shared" si="36"/>
        <v/>
      </c>
      <c r="AD176" s="60"/>
      <c r="AE176" s="60"/>
      <c r="AF176" s="60"/>
      <c r="AG176" s="61">
        <f t="shared" si="37"/>
        <v>0</v>
      </c>
      <c r="AH176" s="61" t="str">
        <f t="shared" si="38"/>
        <v/>
      </c>
      <c r="AI176" s="61">
        <f t="shared" si="39"/>
        <v>1</v>
      </c>
      <c r="AJ176" s="61" t="str">
        <f t="shared" si="40"/>
        <v/>
      </c>
      <c r="AK176" s="61">
        <f t="shared" si="41"/>
        <v>0</v>
      </c>
      <c r="AL176" s="61" t="str">
        <f t="shared" si="42"/>
        <v/>
      </c>
      <c r="AM176" s="61">
        <f t="shared" si="43"/>
        <v>0</v>
      </c>
      <c r="AN176" s="61" t="str">
        <f t="shared" si="44"/>
        <v/>
      </c>
      <c r="AO176" s="61">
        <f t="shared" si="45"/>
        <v>0</v>
      </c>
      <c r="AP176" s="61" t="str">
        <f t="shared" si="46"/>
        <v/>
      </c>
    </row>
    <row r="177" spans="1:42" ht="30" customHeight="1" x14ac:dyDescent="0.35">
      <c r="A177" s="26" t="str">
        <f t="shared" si="53"/>
        <v>PT186 - ESTALEIRO DE SOLDAS_ANÁLISE ESTRUTURAL E PROJETO DETALHADO DA COBERTURA
ETAPA DE ESCRITÓRIO
CIVIL
MARCO - PLANO DE CORPO DE PROVA</v>
      </c>
      <c r="B177" s="53" t="s">
        <v>45</v>
      </c>
      <c r="C177" s="84" t="str">
        <f>IF(AND($B177=[1]ana!$A174,[1]ana!$B174=C$4),"ok","nok")</f>
        <v>nok</v>
      </c>
      <c r="D177" s="84" t="str">
        <f>IF(AND($B177=[1]ana!$A174,[1]ana!$B174=D$4),"ok","nok")</f>
        <v>nok</v>
      </c>
      <c r="E177" s="84" t="str">
        <f>IF(AND($B177=[1]ana!$A174,[1]ana!$B174=E$4),"ok","nok")</f>
        <v>nok</v>
      </c>
      <c r="F177" s="84" t="str">
        <f>IF(AND($B177=[1]ana!$A174,[1]ana!$B174=F$4),"ok","nok")</f>
        <v>nok</v>
      </c>
      <c r="G177" s="84" t="str">
        <f>IF(AND($B177=[1]ana!$A174,[1]ana!$B174=G$4),"ok","nok")</f>
        <v>nok</v>
      </c>
      <c r="H177" s="84" t="str">
        <f>IF(AND($B177=[1]ana!$A174,[1]ana!$B174=H$4),"ok","nok")</f>
        <v>nok</v>
      </c>
      <c r="I177" s="84" t="str">
        <f>IF(AND($B177=[1]ana!$A174,[1]ana!$B174=I$4),"ok","nok")</f>
        <v>nok</v>
      </c>
      <c r="J177" s="84" t="str">
        <f>IF(AND($B177=[1]ana!$A174,[1]ana!$B174=J$4),"ok","nok")</f>
        <v>nok</v>
      </c>
      <c r="K177" s="84" t="str">
        <f>IF(AND($B177=[1]ana!$A174,[1]ana!$B174=K$4),"ok","nok")</f>
        <v>nok</v>
      </c>
      <c r="L177" s="84" t="str">
        <f>IF(AND($B177=[1]ana!$A174,[1]ana!$B174=L$4),"ok","nok")</f>
        <v>ok</v>
      </c>
      <c r="M177" s="84" t="str">
        <f>IF(AND($B177=[1]ana!$A174,[1]ana!$B174=M$4),"ok","nok")</f>
        <v>nok</v>
      </c>
      <c r="N177" s="84" t="str">
        <f>IF(AND($B177=[1]ana!$A174,[1]ana!$B174=N$4),"ok","nok")</f>
        <v>nok</v>
      </c>
      <c r="O177" s="84" t="str">
        <f>IF(AND($B177=[1]ana!$A174,[1]ana!$B174=O$4),"ok","nok")</f>
        <v>nok</v>
      </c>
      <c r="P177" s="84" t="str">
        <f>IF(AND($B177=[1]ana!$A174,[1]ana!$B174=P$4),"ok","nok")</f>
        <v>nok</v>
      </c>
      <c r="Q177" s="84" t="str">
        <f>IF(AND($B177=[1]ana!$A174,[1]ana!$B174=Q$4),"ok","nok")</f>
        <v>nok</v>
      </c>
      <c r="R177" s="84" t="str">
        <f>IF(AND($B177=[1]ana!$A174,[1]ana!$B174=R$4),"ok","nok")</f>
        <v>nok</v>
      </c>
      <c r="S177" s="84" t="str">
        <f>IF(AND($B177=[1]ana!$A174,[1]ana!$B174=S$4),"ok","nok")</f>
        <v>nok</v>
      </c>
      <c r="T177" s="84" t="str">
        <f>IF(AND($B177=[1]ana!$A174,[1]ana!$B174=T$4),"ok","nok")</f>
        <v>nok</v>
      </c>
      <c r="U177" s="84" t="str">
        <f>IF(AND($B177=[1]ana!$A174,[1]ana!$B174=U$4),"ok","nok")</f>
        <v>nok</v>
      </c>
      <c r="V177" s="84" t="str">
        <f>IF(AND($B177=[1]ana!$A174,[1]ana!$B174=V$4),"ok","nok")</f>
        <v>nok</v>
      </c>
      <c r="W177" s="84" t="str">
        <f>IF(AND($B177=[1]ana!$A174,[1]ana!$B174=W$4),"ok","nok")</f>
        <v>nok</v>
      </c>
      <c r="X177" s="84" t="str">
        <f>IF(AND($B177=[1]ana!$A174,[1]ana!$B174=X$4),"ok","nok")</f>
        <v>nok</v>
      </c>
      <c r="Y177" s="85" t="s">
        <v>15</v>
      </c>
      <c r="Z177" s="86"/>
      <c r="AA177" s="86"/>
      <c r="AB177" s="87"/>
      <c r="AC177" s="60" t="str">
        <f t="shared" si="36"/>
        <v/>
      </c>
      <c r="AD177" s="60"/>
      <c r="AE177" s="60"/>
      <c r="AF177" s="60"/>
      <c r="AG177" s="61">
        <f t="shared" si="37"/>
        <v>0</v>
      </c>
      <c r="AH177" s="61" t="str">
        <f t="shared" si="38"/>
        <v/>
      </c>
      <c r="AI177" s="61">
        <f t="shared" si="39"/>
        <v>1</v>
      </c>
      <c r="AJ177" s="61" t="str">
        <f t="shared" si="40"/>
        <v/>
      </c>
      <c r="AK177" s="61">
        <f t="shared" si="41"/>
        <v>0</v>
      </c>
      <c r="AL177" s="61" t="str">
        <f t="shared" si="42"/>
        <v/>
      </c>
      <c r="AM177" s="61">
        <f t="shared" si="43"/>
        <v>0</v>
      </c>
      <c r="AN177" s="61" t="str">
        <f t="shared" si="44"/>
        <v/>
      </c>
      <c r="AO177" s="61">
        <f t="shared" si="45"/>
        <v>0</v>
      </c>
      <c r="AP177" s="61" t="str">
        <f t="shared" si="46"/>
        <v/>
      </c>
    </row>
    <row r="178" spans="1:42" ht="30" customHeight="1" x14ac:dyDescent="0.35">
      <c r="B178" s="52" t="s">
        <v>100</v>
      </c>
      <c r="C178" s="52"/>
      <c r="D178" s="52"/>
      <c r="E178" s="52"/>
      <c r="F178" s="52"/>
      <c r="G178" s="52"/>
      <c r="H178" s="52"/>
      <c r="I178" s="52"/>
      <c r="J178" s="52"/>
      <c r="K178" s="52"/>
      <c r="L178" s="52"/>
      <c r="M178" s="52"/>
      <c r="N178" s="52"/>
      <c r="O178" s="52"/>
      <c r="P178" s="52"/>
      <c r="Q178" s="52"/>
      <c r="R178" s="52"/>
      <c r="S178" s="52"/>
      <c r="T178" s="52"/>
      <c r="U178" s="52"/>
      <c r="V178" s="52"/>
      <c r="W178" s="52"/>
      <c r="X178" s="52"/>
      <c r="Y178" s="88"/>
      <c r="Z178" s="89"/>
      <c r="AA178" s="89"/>
      <c r="AB178" s="90"/>
      <c r="AC178" s="60" t="str">
        <f t="shared" si="36"/>
        <v/>
      </c>
      <c r="AD178" s="60"/>
      <c r="AE178" s="60"/>
      <c r="AF178" s="60"/>
      <c r="AG178" s="61">
        <f t="shared" si="37"/>
        <v>0</v>
      </c>
      <c r="AH178" s="61" t="str">
        <f t="shared" si="38"/>
        <v/>
      </c>
      <c r="AI178" s="61">
        <f t="shared" si="39"/>
        <v>0</v>
      </c>
      <c r="AJ178" s="61" t="str">
        <f t="shared" si="40"/>
        <v/>
      </c>
      <c r="AK178" s="61">
        <f t="shared" si="41"/>
        <v>0</v>
      </c>
      <c r="AL178" s="61" t="str">
        <f t="shared" si="42"/>
        <v/>
      </c>
      <c r="AM178" s="61">
        <f t="shared" si="43"/>
        <v>0</v>
      </c>
      <c r="AN178" s="61" t="str">
        <f t="shared" si="44"/>
        <v/>
      </c>
      <c r="AO178" s="61">
        <f t="shared" si="45"/>
        <v>0</v>
      </c>
      <c r="AP178" s="61" t="str">
        <f t="shared" si="46"/>
        <v/>
      </c>
    </row>
    <row r="179" spans="1:42" ht="30" customHeight="1" x14ac:dyDescent="0.35">
      <c r="A179" s="26" t="str">
        <f>CONCATENATE($B$150,"
",$B$151,"
",$B$173,"
",$B$178)</f>
        <v>PT186 - ESTALEIRO DE SOLDAS_ANÁLISE ESTRUTURAL E PROJETO DETALHADO DA COBERTURA
ETAPA DE ESCRITÓRIO
CIVIL
MARCO - PLANO DE SONDAGEM</v>
      </c>
      <c r="B179" s="53" t="s">
        <v>43</v>
      </c>
      <c r="C179" s="84" t="str">
        <f>IF(AND($B179=[1]ana!$A176,[1]ana!$B176=C$4),"ok","nok")</f>
        <v>nok</v>
      </c>
      <c r="D179" s="84" t="str">
        <f>IF(AND($B179=[1]ana!$A176,[1]ana!$B176=D$4),"ok","nok")</f>
        <v>nok</v>
      </c>
      <c r="E179" s="84" t="str">
        <f>IF(AND($B179=[1]ana!$A176,[1]ana!$B176=E$4),"ok","nok")</f>
        <v>nok</v>
      </c>
      <c r="F179" s="84" t="str">
        <f>IF(AND($B179=[1]ana!$A176,[1]ana!$B176=F$4),"ok","nok")</f>
        <v>nok</v>
      </c>
      <c r="G179" s="84" t="str">
        <f>IF(AND($B179=[1]ana!$A176,[1]ana!$B176=G$4),"ok","nok")</f>
        <v>nok</v>
      </c>
      <c r="H179" s="84" t="str">
        <f>IF(AND($B179=[1]ana!$A176,[1]ana!$B176=H$4),"ok","nok")</f>
        <v>nok</v>
      </c>
      <c r="I179" s="84" t="str">
        <f>IF(AND($B179=[1]ana!$A176,[1]ana!$B176=I$4),"ok","nok")</f>
        <v>nok</v>
      </c>
      <c r="J179" s="84" t="str">
        <f>IF(AND($B179=[1]ana!$A176,[1]ana!$B176=J$4),"ok","nok")</f>
        <v>ok</v>
      </c>
      <c r="K179" s="84" t="str">
        <f>IF(AND($B179=[1]ana!$A176,[1]ana!$B176=K$4),"ok","nok")</f>
        <v>nok</v>
      </c>
      <c r="L179" s="84" t="str">
        <f>IF(AND($B179=[1]ana!$A176,[1]ana!$B176=L$4),"ok","nok")</f>
        <v>nok</v>
      </c>
      <c r="M179" s="84" t="str">
        <f>IF(AND($B179=[1]ana!$A176,[1]ana!$B176=M$4),"ok","nok")</f>
        <v>nok</v>
      </c>
      <c r="N179" s="84" t="str">
        <f>IF(AND($B179=[1]ana!$A176,[1]ana!$B176=N$4),"ok","nok")</f>
        <v>nok</v>
      </c>
      <c r="O179" s="84" t="str">
        <f>IF(AND($B179=[1]ana!$A176,[1]ana!$B176=O$4),"ok","nok")</f>
        <v>nok</v>
      </c>
      <c r="P179" s="84" t="str">
        <f>IF(AND($B179=[1]ana!$A176,[1]ana!$B176=P$4),"ok","nok")</f>
        <v>nok</v>
      </c>
      <c r="Q179" s="84" t="str">
        <f>IF(AND($B179=[1]ana!$A176,[1]ana!$B176=Q$4),"ok","nok")</f>
        <v>nok</v>
      </c>
      <c r="R179" s="84" t="str">
        <f>IF(AND($B179=[1]ana!$A176,[1]ana!$B176=R$4),"ok","nok")</f>
        <v>nok</v>
      </c>
      <c r="S179" s="84" t="str">
        <f>IF(AND($B179=[1]ana!$A176,[1]ana!$B176=S$4),"ok","nok")</f>
        <v>nok</v>
      </c>
      <c r="T179" s="84" t="str">
        <f>IF(AND($B179=[1]ana!$A176,[1]ana!$B176=T$4),"ok","nok")</f>
        <v>nok</v>
      </c>
      <c r="U179" s="84" t="str">
        <f>IF(AND($B179=[1]ana!$A176,[1]ana!$B176=U$4),"ok","nok")</f>
        <v>nok</v>
      </c>
      <c r="V179" s="84" t="str">
        <f>IF(AND($B179=[1]ana!$A176,[1]ana!$B176=V$4),"ok","nok")</f>
        <v>nok</v>
      </c>
      <c r="W179" s="84" t="str">
        <f>IF(AND($B179=[1]ana!$A176,[1]ana!$B176=W$4),"ok","nok")</f>
        <v>nok</v>
      </c>
      <c r="X179" s="84" t="str">
        <f>IF(AND($B179=[1]ana!$A176,[1]ana!$B176=X$4),"ok","nok")</f>
        <v>nok</v>
      </c>
      <c r="Y179" s="85" t="s">
        <v>15</v>
      </c>
      <c r="Z179" s="86"/>
      <c r="AA179" s="86"/>
      <c r="AB179" s="87"/>
      <c r="AC179" s="60" t="str">
        <f t="shared" si="36"/>
        <v/>
      </c>
      <c r="AD179" s="60"/>
      <c r="AE179" s="60"/>
      <c r="AF179" s="60"/>
      <c r="AG179" s="61">
        <f t="shared" si="37"/>
        <v>0</v>
      </c>
      <c r="AH179" s="61" t="str">
        <f t="shared" si="38"/>
        <v/>
      </c>
      <c r="AI179" s="61">
        <f t="shared" si="39"/>
        <v>1</v>
      </c>
      <c r="AJ179" s="61" t="str">
        <f t="shared" si="40"/>
        <v/>
      </c>
      <c r="AK179" s="61">
        <f t="shared" si="41"/>
        <v>0</v>
      </c>
      <c r="AL179" s="61" t="str">
        <f t="shared" si="42"/>
        <v/>
      </c>
      <c r="AM179" s="61">
        <f t="shared" si="43"/>
        <v>0</v>
      </c>
      <c r="AN179" s="61" t="str">
        <f t="shared" si="44"/>
        <v/>
      </c>
      <c r="AO179" s="61">
        <f t="shared" si="45"/>
        <v>0</v>
      </c>
      <c r="AP179" s="61" t="str">
        <f t="shared" si="46"/>
        <v/>
      </c>
    </row>
    <row r="180" spans="1:42" ht="30" customHeight="1" x14ac:dyDescent="0.35">
      <c r="A180" s="26" t="str">
        <f t="shared" ref="A180:A181" si="54">CONCATENATE($B$150,"
",$B$151,"
",$B$173,"
",$B$178)</f>
        <v>PT186 - ESTALEIRO DE SOLDAS_ANÁLISE ESTRUTURAL E PROJETO DETALHADO DA COBERTURA
ETAPA DE ESCRITÓRIO
CIVIL
MARCO - PLANO DE SONDAGEM</v>
      </c>
      <c r="B180" s="53" t="s">
        <v>44</v>
      </c>
      <c r="C180" s="84" t="str">
        <f>IF(AND($B180=[1]ana!$A177,[1]ana!$B177=C$4),"ok","nok")</f>
        <v>nok</v>
      </c>
      <c r="D180" s="84" t="str">
        <f>IF(AND($B180=[1]ana!$A177,[1]ana!$B177=D$4),"ok","nok")</f>
        <v>nok</v>
      </c>
      <c r="E180" s="84" t="str">
        <f>IF(AND($B180=[1]ana!$A177,[1]ana!$B177=E$4),"ok","nok")</f>
        <v>nok</v>
      </c>
      <c r="F180" s="84" t="str">
        <f>IF(AND($B180=[1]ana!$A177,[1]ana!$B177=F$4),"ok","nok")</f>
        <v>nok</v>
      </c>
      <c r="G180" s="84" t="str">
        <f>IF(AND($B180=[1]ana!$A177,[1]ana!$B177=G$4),"ok","nok")</f>
        <v>nok</v>
      </c>
      <c r="H180" s="84" t="str">
        <f>IF(AND($B180=[1]ana!$A177,[1]ana!$B177=H$4),"ok","nok")</f>
        <v>nok</v>
      </c>
      <c r="I180" s="84" t="str">
        <f>IF(AND($B180=[1]ana!$A177,[1]ana!$B177=I$4),"ok","nok")</f>
        <v>nok</v>
      </c>
      <c r="J180" s="84" t="str">
        <f>IF(AND($B180=[1]ana!$A177,[1]ana!$B177=J$4),"ok","nok")</f>
        <v>nok</v>
      </c>
      <c r="K180" s="84" t="str">
        <f>IF(AND($B180=[1]ana!$A177,[1]ana!$B177=K$4),"ok","nok")</f>
        <v>nok</v>
      </c>
      <c r="L180" s="84" t="str">
        <f>IF(AND($B180=[1]ana!$A177,[1]ana!$B177=L$4),"ok","nok")</f>
        <v>nok</v>
      </c>
      <c r="M180" s="84" t="str">
        <f>IF(AND($B180=[1]ana!$A177,[1]ana!$B177=M$4),"ok","nok")</f>
        <v>ok</v>
      </c>
      <c r="N180" s="84" t="str">
        <f>IF(AND($B180=[1]ana!$A177,[1]ana!$B177=N$4),"ok","nok")</f>
        <v>nok</v>
      </c>
      <c r="O180" s="84" t="str">
        <f>IF(AND($B180=[1]ana!$A177,[1]ana!$B177=O$4),"ok","nok")</f>
        <v>nok</v>
      </c>
      <c r="P180" s="84" t="str">
        <f>IF(AND($B180=[1]ana!$A177,[1]ana!$B177=P$4),"ok","nok")</f>
        <v>nok</v>
      </c>
      <c r="Q180" s="84" t="str">
        <f>IF(AND($B180=[1]ana!$A177,[1]ana!$B177=Q$4),"ok","nok")</f>
        <v>nok</v>
      </c>
      <c r="R180" s="84" t="str">
        <f>IF(AND($B180=[1]ana!$A177,[1]ana!$B177=R$4),"ok","nok")</f>
        <v>nok</v>
      </c>
      <c r="S180" s="84" t="str">
        <f>IF(AND($B180=[1]ana!$A177,[1]ana!$B177=S$4),"ok","nok")</f>
        <v>nok</v>
      </c>
      <c r="T180" s="84" t="str">
        <f>IF(AND($B180=[1]ana!$A177,[1]ana!$B177=T$4),"ok","nok")</f>
        <v>nok</v>
      </c>
      <c r="U180" s="84" t="str">
        <f>IF(AND($B180=[1]ana!$A177,[1]ana!$B177=U$4),"ok","nok")</f>
        <v>nok</v>
      </c>
      <c r="V180" s="84" t="str">
        <f>IF(AND($B180=[1]ana!$A177,[1]ana!$B177=V$4),"ok","nok")</f>
        <v>nok</v>
      </c>
      <c r="W180" s="84" t="str">
        <f>IF(AND($B180=[1]ana!$A177,[1]ana!$B177=W$4),"ok","nok")</f>
        <v>nok</v>
      </c>
      <c r="X180" s="84" t="str">
        <f>IF(AND($B180=[1]ana!$A177,[1]ana!$B177=X$4),"ok","nok")</f>
        <v>nok</v>
      </c>
      <c r="Y180" s="85" t="s">
        <v>15</v>
      </c>
      <c r="Z180" s="86"/>
      <c r="AA180" s="86"/>
      <c r="AB180" s="87"/>
      <c r="AC180" s="60" t="str">
        <f t="shared" si="36"/>
        <v/>
      </c>
      <c r="AD180" s="60"/>
      <c r="AE180" s="60"/>
      <c r="AF180" s="60"/>
      <c r="AG180" s="61">
        <f t="shared" si="37"/>
        <v>0</v>
      </c>
      <c r="AH180" s="61" t="str">
        <f t="shared" si="38"/>
        <v/>
      </c>
      <c r="AI180" s="61">
        <f t="shared" si="39"/>
        <v>0</v>
      </c>
      <c r="AJ180" s="61" t="str">
        <f t="shared" si="40"/>
        <v/>
      </c>
      <c r="AK180" s="61">
        <f t="shared" si="41"/>
        <v>1</v>
      </c>
      <c r="AL180" s="61" t="str">
        <f t="shared" si="42"/>
        <v/>
      </c>
      <c r="AM180" s="61">
        <f t="shared" si="43"/>
        <v>0</v>
      </c>
      <c r="AN180" s="61" t="str">
        <f t="shared" si="44"/>
        <v/>
      </c>
      <c r="AO180" s="61">
        <f t="shared" si="45"/>
        <v>0</v>
      </c>
      <c r="AP180" s="61" t="str">
        <f t="shared" si="46"/>
        <v/>
      </c>
    </row>
    <row r="181" spans="1:42" ht="30" customHeight="1" x14ac:dyDescent="0.35">
      <c r="A181" s="26" t="str">
        <f t="shared" si="54"/>
        <v>PT186 - ESTALEIRO DE SOLDAS_ANÁLISE ESTRUTURAL E PROJETO DETALHADO DA COBERTURA
ETAPA DE ESCRITÓRIO
CIVIL
MARCO - PLANO DE SONDAGEM</v>
      </c>
      <c r="B181" s="53" t="s">
        <v>45</v>
      </c>
      <c r="C181" s="84" t="str">
        <f>IF(AND($B181=[1]ana!$A178,[1]ana!$B178=C$4),"ok","nok")</f>
        <v>nok</v>
      </c>
      <c r="D181" s="84" t="str">
        <f>IF(AND($B181=[1]ana!$A178,[1]ana!$B178=D$4),"ok","nok")</f>
        <v>nok</v>
      </c>
      <c r="E181" s="84" t="str">
        <f>IF(AND($B181=[1]ana!$A178,[1]ana!$B178=E$4),"ok","nok")</f>
        <v>nok</v>
      </c>
      <c r="F181" s="84" t="str">
        <f>IF(AND($B181=[1]ana!$A178,[1]ana!$B178=F$4),"ok","nok")</f>
        <v>nok</v>
      </c>
      <c r="G181" s="84" t="str">
        <f>IF(AND($B181=[1]ana!$A178,[1]ana!$B178=G$4),"ok","nok")</f>
        <v>nok</v>
      </c>
      <c r="H181" s="84" t="str">
        <f>IF(AND($B181=[1]ana!$A178,[1]ana!$B178=H$4),"ok","nok")</f>
        <v>nok</v>
      </c>
      <c r="I181" s="84" t="str">
        <f>IF(AND($B181=[1]ana!$A178,[1]ana!$B178=I$4),"ok","nok")</f>
        <v>nok</v>
      </c>
      <c r="J181" s="84" t="str">
        <f>IF(AND($B181=[1]ana!$A178,[1]ana!$B178=J$4),"ok","nok")</f>
        <v>nok</v>
      </c>
      <c r="K181" s="84" t="str">
        <f>IF(AND($B181=[1]ana!$A178,[1]ana!$B178=K$4),"ok","nok")</f>
        <v>nok</v>
      </c>
      <c r="L181" s="84" t="str">
        <f>IF(AND($B181=[1]ana!$A178,[1]ana!$B178=L$4),"ok","nok")</f>
        <v>nok</v>
      </c>
      <c r="M181" s="84" t="str">
        <f>IF(AND($B181=[1]ana!$A178,[1]ana!$B178=M$4),"ok","nok")</f>
        <v>ok</v>
      </c>
      <c r="N181" s="84" t="str">
        <f>IF(AND($B181=[1]ana!$A178,[1]ana!$B178=N$4),"ok","nok")</f>
        <v>nok</v>
      </c>
      <c r="O181" s="84" t="str">
        <f>IF(AND($B181=[1]ana!$A178,[1]ana!$B178=O$4),"ok","nok")</f>
        <v>nok</v>
      </c>
      <c r="P181" s="84" t="str">
        <f>IF(AND($B181=[1]ana!$A178,[1]ana!$B178=P$4),"ok","nok")</f>
        <v>nok</v>
      </c>
      <c r="Q181" s="84" t="str">
        <f>IF(AND($B181=[1]ana!$A178,[1]ana!$B178=Q$4),"ok","nok")</f>
        <v>nok</v>
      </c>
      <c r="R181" s="84" t="str">
        <f>IF(AND($B181=[1]ana!$A178,[1]ana!$B178=R$4),"ok","nok")</f>
        <v>nok</v>
      </c>
      <c r="S181" s="84" t="str">
        <f>IF(AND($B181=[1]ana!$A178,[1]ana!$B178=S$4),"ok","nok")</f>
        <v>nok</v>
      </c>
      <c r="T181" s="84" t="str">
        <f>IF(AND($B181=[1]ana!$A178,[1]ana!$B178=T$4),"ok","nok")</f>
        <v>nok</v>
      </c>
      <c r="U181" s="84" t="str">
        <f>IF(AND($B181=[1]ana!$A178,[1]ana!$B178=U$4),"ok","nok")</f>
        <v>nok</v>
      </c>
      <c r="V181" s="84" t="str">
        <f>IF(AND($B181=[1]ana!$A178,[1]ana!$B178=V$4),"ok","nok")</f>
        <v>nok</v>
      </c>
      <c r="W181" s="84" t="str">
        <f>IF(AND($B181=[1]ana!$A178,[1]ana!$B178=W$4),"ok","nok")</f>
        <v>nok</v>
      </c>
      <c r="X181" s="84" t="str">
        <f>IF(AND($B181=[1]ana!$A178,[1]ana!$B178=X$4),"ok","nok")</f>
        <v>nok</v>
      </c>
      <c r="Y181" s="85" t="s">
        <v>15</v>
      </c>
      <c r="Z181" s="86"/>
      <c r="AA181" s="86"/>
      <c r="AB181" s="87"/>
      <c r="AC181" s="60" t="str">
        <f t="shared" si="36"/>
        <v/>
      </c>
      <c r="AD181" s="60"/>
      <c r="AE181" s="60"/>
      <c r="AF181" s="60"/>
      <c r="AG181" s="61">
        <f t="shared" si="37"/>
        <v>0</v>
      </c>
      <c r="AH181" s="61" t="str">
        <f t="shared" si="38"/>
        <v/>
      </c>
      <c r="AI181" s="61">
        <f t="shared" si="39"/>
        <v>0</v>
      </c>
      <c r="AJ181" s="61" t="str">
        <f t="shared" si="40"/>
        <v/>
      </c>
      <c r="AK181" s="61">
        <f t="shared" si="41"/>
        <v>1</v>
      </c>
      <c r="AL181" s="61" t="str">
        <f t="shared" si="42"/>
        <v/>
      </c>
      <c r="AM181" s="61">
        <f t="shared" si="43"/>
        <v>0</v>
      </c>
      <c r="AN181" s="61" t="str">
        <f t="shared" si="44"/>
        <v/>
      </c>
      <c r="AO181" s="61">
        <f t="shared" si="45"/>
        <v>0</v>
      </c>
      <c r="AP181" s="61" t="str">
        <f t="shared" si="46"/>
        <v/>
      </c>
    </row>
    <row r="182" spans="1:42" ht="30" customHeight="1" x14ac:dyDescent="0.35">
      <c r="B182" s="49" t="s">
        <v>101</v>
      </c>
      <c r="C182" s="49"/>
      <c r="D182" s="49"/>
      <c r="E182" s="49"/>
      <c r="F182" s="49"/>
      <c r="G182" s="49"/>
      <c r="H182" s="49"/>
      <c r="I182" s="49"/>
      <c r="J182" s="49"/>
      <c r="K182" s="49"/>
      <c r="L182" s="49"/>
      <c r="M182" s="49"/>
      <c r="N182" s="49"/>
      <c r="O182" s="49"/>
      <c r="P182" s="49"/>
      <c r="Q182" s="49"/>
      <c r="R182" s="49"/>
      <c r="S182" s="49"/>
      <c r="T182" s="49"/>
      <c r="U182" s="49"/>
      <c r="V182" s="49"/>
      <c r="W182" s="49"/>
      <c r="X182" s="49"/>
      <c r="Y182" s="101"/>
      <c r="Z182" s="102"/>
      <c r="AA182" s="102"/>
      <c r="AB182" s="103"/>
      <c r="AC182" s="60" t="str">
        <f t="shared" si="36"/>
        <v/>
      </c>
      <c r="AD182" s="60"/>
      <c r="AE182" s="60"/>
      <c r="AF182" s="60"/>
      <c r="AG182" s="61">
        <f t="shared" si="37"/>
        <v>0</v>
      </c>
      <c r="AH182" s="61" t="str">
        <f t="shared" si="38"/>
        <v/>
      </c>
      <c r="AI182" s="61">
        <f t="shared" si="39"/>
        <v>0</v>
      </c>
      <c r="AJ182" s="61" t="str">
        <f t="shared" si="40"/>
        <v/>
      </c>
      <c r="AK182" s="61">
        <f t="shared" si="41"/>
        <v>0</v>
      </c>
      <c r="AL182" s="61" t="str">
        <f t="shared" si="42"/>
        <v/>
      </c>
      <c r="AM182" s="61">
        <f t="shared" si="43"/>
        <v>0</v>
      </c>
      <c r="AN182" s="61" t="str">
        <f t="shared" si="44"/>
        <v/>
      </c>
      <c r="AO182" s="61">
        <f t="shared" si="45"/>
        <v>0</v>
      </c>
      <c r="AP182" s="61" t="str">
        <f t="shared" si="46"/>
        <v/>
      </c>
    </row>
    <row r="183" spans="1:42" ht="30" customHeight="1" x14ac:dyDescent="0.35">
      <c r="B183" s="50" t="s">
        <v>62</v>
      </c>
      <c r="C183" s="50"/>
      <c r="D183" s="50"/>
      <c r="E183" s="50"/>
      <c r="F183" s="50"/>
      <c r="G183" s="50"/>
      <c r="H183" s="50"/>
      <c r="I183" s="50"/>
      <c r="J183" s="50"/>
      <c r="K183" s="50"/>
      <c r="L183" s="50"/>
      <c r="M183" s="50"/>
      <c r="N183" s="50"/>
      <c r="O183" s="50"/>
      <c r="P183" s="50"/>
      <c r="Q183" s="50"/>
      <c r="R183" s="50"/>
      <c r="S183" s="50"/>
      <c r="T183" s="50"/>
      <c r="U183" s="50"/>
      <c r="V183" s="50"/>
      <c r="W183" s="50"/>
      <c r="X183" s="50"/>
      <c r="Y183" s="97"/>
      <c r="Z183" s="98"/>
      <c r="AA183" s="98"/>
      <c r="AB183" s="99"/>
      <c r="AC183" s="60" t="str">
        <f t="shared" si="36"/>
        <v/>
      </c>
      <c r="AD183" s="60"/>
      <c r="AE183" s="60"/>
      <c r="AF183" s="60"/>
      <c r="AG183" s="61">
        <f t="shared" si="37"/>
        <v>0</v>
      </c>
      <c r="AH183" s="61" t="str">
        <f t="shared" si="38"/>
        <v/>
      </c>
      <c r="AI183" s="61">
        <f t="shared" si="39"/>
        <v>0</v>
      </c>
      <c r="AJ183" s="61" t="str">
        <f t="shared" si="40"/>
        <v/>
      </c>
      <c r="AK183" s="61">
        <f t="shared" si="41"/>
        <v>0</v>
      </c>
      <c r="AL183" s="61" t="str">
        <f t="shared" si="42"/>
        <v/>
      </c>
      <c r="AM183" s="61">
        <f t="shared" si="43"/>
        <v>0</v>
      </c>
      <c r="AN183" s="61" t="str">
        <f t="shared" si="44"/>
        <v/>
      </c>
      <c r="AO183" s="61">
        <f t="shared" si="45"/>
        <v>0</v>
      </c>
      <c r="AP183" s="61" t="str">
        <f t="shared" si="46"/>
        <v/>
      </c>
    </row>
    <row r="184" spans="1:42" ht="30" customHeight="1" x14ac:dyDescent="0.35">
      <c r="A184" s="26" t="str">
        <f>CONCATENATE($B$182,"
",$B$183,""
)</f>
        <v>PT188 - ESTUDO DE ENGENHARIA DO GALPÃO RH75
ETAPA INICIAL</v>
      </c>
      <c r="B184" s="51" t="s">
        <v>163</v>
      </c>
      <c r="C184" s="84" t="str">
        <f>IF(AND($B184=[1]ana!$A181,[1]ana!$B181=C$4),"ok","nok")</f>
        <v>nok</v>
      </c>
      <c r="D184" s="84" t="str">
        <f>IF(AND($B184=[1]ana!$A181,[1]ana!$B181=D$4),"ok","nok")</f>
        <v>nok</v>
      </c>
      <c r="E184" s="84" t="str">
        <f>IF(AND($B184=[1]ana!$A181,[1]ana!$B181=E$4),"ok","nok")</f>
        <v>nok</v>
      </c>
      <c r="F184" s="84" t="str">
        <f>IF(AND($B184=[1]ana!$A181,[1]ana!$B181=F$4),"ok","nok")</f>
        <v>nok</v>
      </c>
      <c r="G184" s="84" t="str">
        <f>IF(AND($B184=[1]ana!$A181,[1]ana!$B181=G$4),"ok","nok")</f>
        <v>nok</v>
      </c>
      <c r="H184" s="84" t="str">
        <f>IF(AND($B184=[1]ana!$A181,[1]ana!$B181=H$4),"ok","nok")</f>
        <v>ok</v>
      </c>
      <c r="I184" s="84" t="str">
        <f>IF(AND($B184=[1]ana!$A181,[1]ana!$B181=I$4),"ok","nok")</f>
        <v>nok</v>
      </c>
      <c r="J184" s="84" t="str">
        <f>IF(AND($B184=[1]ana!$A181,[1]ana!$B181=J$4),"ok","nok")</f>
        <v>nok</v>
      </c>
      <c r="K184" s="84" t="str">
        <f>IF(AND($B184=[1]ana!$A181,[1]ana!$B181=K$4),"ok","nok")</f>
        <v>nok</v>
      </c>
      <c r="L184" s="84" t="str">
        <f>IF(AND($B184=[1]ana!$A181,[1]ana!$B181=L$4),"ok","nok")</f>
        <v>nok</v>
      </c>
      <c r="M184" s="84" t="str">
        <f>IF(AND($B184=[1]ana!$A181,[1]ana!$B181=M$4),"ok","nok")</f>
        <v>nok</v>
      </c>
      <c r="N184" s="84" t="str">
        <f>IF(AND($B184=[1]ana!$A181,[1]ana!$B181=N$4),"ok","nok")</f>
        <v>nok</v>
      </c>
      <c r="O184" s="84" t="str">
        <f>IF(AND($B184=[1]ana!$A181,[1]ana!$B181=O$4),"ok","nok")</f>
        <v>nok</v>
      </c>
      <c r="P184" s="84" t="str">
        <f>IF(AND($B184=[1]ana!$A181,[1]ana!$B181=P$4),"ok","nok")</f>
        <v>nok</v>
      </c>
      <c r="Q184" s="84" t="str">
        <f>IF(AND($B184=[1]ana!$A181,[1]ana!$B181=Q$4),"ok","nok")</f>
        <v>nok</v>
      </c>
      <c r="R184" s="84" t="str">
        <f>IF(AND($B184=[1]ana!$A181,[1]ana!$B181=R$4),"ok","nok")</f>
        <v>nok</v>
      </c>
      <c r="S184" s="84" t="str">
        <f>IF(AND($B184=[1]ana!$A181,[1]ana!$B181=S$4),"ok","nok")</f>
        <v>nok</v>
      </c>
      <c r="T184" s="84" t="str">
        <f>IF(AND($B184=[1]ana!$A181,[1]ana!$B181=T$4),"ok","nok")</f>
        <v>nok</v>
      </c>
      <c r="U184" s="84" t="str">
        <f>IF(AND($B184=[1]ana!$A181,[1]ana!$B181=U$4),"ok","nok")</f>
        <v>nok</v>
      </c>
      <c r="V184" s="84" t="str">
        <f>IF(AND($B184=[1]ana!$A181,[1]ana!$B181=V$4),"ok","nok")</f>
        <v>nok</v>
      </c>
      <c r="W184" s="84" t="str">
        <f>IF(AND($B184=[1]ana!$A181,[1]ana!$B181=W$4),"ok","nok")</f>
        <v>nok</v>
      </c>
      <c r="X184" s="84" t="str">
        <f>IF(AND($B184=[1]ana!$A181,[1]ana!$B181=X$4),"ok","nok")</f>
        <v>nok</v>
      </c>
      <c r="Y184" s="85" t="s">
        <v>33</v>
      </c>
      <c r="Z184" s="86"/>
      <c r="AA184" s="86"/>
      <c r="AB184" s="87"/>
      <c r="AC184" s="60" t="str">
        <f t="shared" si="36"/>
        <v>Elaboração da Lista de Desenhos e Documentos</v>
      </c>
      <c r="AD184" s="60"/>
      <c r="AE184" s="60"/>
      <c r="AF184" s="60"/>
      <c r="AG184" s="61">
        <f t="shared" si="37"/>
        <v>0</v>
      </c>
      <c r="AH184" s="61" t="str">
        <f t="shared" si="38"/>
        <v/>
      </c>
      <c r="AI184" s="61">
        <f t="shared" si="39"/>
        <v>1</v>
      </c>
      <c r="AJ184" s="61" t="str">
        <f t="shared" si="40"/>
        <v/>
      </c>
      <c r="AK184" s="61">
        <f t="shared" si="41"/>
        <v>0</v>
      </c>
      <c r="AL184" s="61" t="str">
        <f t="shared" si="42"/>
        <v/>
      </c>
      <c r="AM184" s="61">
        <f t="shared" si="43"/>
        <v>0</v>
      </c>
      <c r="AN184" s="61" t="str">
        <f t="shared" si="44"/>
        <v/>
      </c>
      <c r="AO184" s="61">
        <f t="shared" si="45"/>
        <v>0</v>
      </c>
      <c r="AP184" s="61" t="str">
        <f t="shared" si="46"/>
        <v/>
      </c>
    </row>
    <row r="185" spans="1:42" ht="30" customHeight="1" x14ac:dyDescent="0.35">
      <c r="B185" s="50" t="s">
        <v>54</v>
      </c>
      <c r="C185" s="50"/>
      <c r="D185" s="50"/>
      <c r="E185" s="50"/>
      <c r="F185" s="50"/>
      <c r="G185" s="50"/>
      <c r="H185" s="50"/>
      <c r="I185" s="50"/>
      <c r="J185" s="50"/>
      <c r="K185" s="50"/>
      <c r="L185" s="50"/>
      <c r="M185" s="50"/>
      <c r="N185" s="50"/>
      <c r="O185" s="50"/>
      <c r="P185" s="50"/>
      <c r="Q185" s="50"/>
      <c r="R185" s="50"/>
      <c r="S185" s="50"/>
      <c r="T185" s="50"/>
      <c r="U185" s="50"/>
      <c r="V185" s="50"/>
      <c r="W185" s="50"/>
      <c r="X185" s="50"/>
      <c r="Y185" s="97"/>
      <c r="Z185" s="98"/>
      <c r="AA185" s="98"/>
      <c r="AB185" s="99"/>
      <c r="AC185" s="60" t="str">
        <f t="shared" si="36"/>
        <v/>
      </c>
      <c r="AD185" s="60"/>
      <c r="AE185" s="60"/>
      <c r="AF185" s="60"/>
      <c r="AG185" s="61">
        <f t="shared" si="37"/>
        <v>0</v>
      </c>
      <c r="AH185" s="61" t="str">
        <f t="shared" si="38"/>
        <v/>
      </c>
      <c r="AI185" s="61">
        <f t="shared" si="39"/>
        <v>0</v>
      </c>
      <c r="AJ185" s="61" t="str">
        <f t="shared" si="40"/>
        <v/>
      </c>
      <c r="AK185" s="61">
        <f t="shared" si="41"/>
        <v>0</v>
      </c>
      <c r="AL185" s="61" t="str">
        <f t="shared" si="42"/>
        <v/>
      </c>
      <c r="AM185" s="61">
        <f t="shared" si="43"/>
        <v>0</v>
      </c>
      <c r="AN185" s="61" t="str">
        <f t="shared" si="44"/>
        <v/>
      </c>
      <c r="AO185" s="61">
        <f t="shared" si="45"/>
        <v>0</v>
      </c>
      <c r="AP185" s="61" t="str">
        <f t="shared" si="46"/>
        <v/>
      </c>
    </row>
    <row r="186" spans="1:42" ht="30" customHeight="1" x14ac:dyDescent="0.35">
      <c r="B186" s="54" t="s">
        <v>102</v>
      </c>
      <c r="C186" s="54"/>
      <c r="D186" s="54"/>
      <c r="E186" s="54"/>
      <c r="F186" s="54"/>
      <c r="G186" s="54"/>
      <c r="H186" s="54"/>
      <c r="I186" s="54"/>
      <c r="J186" s="54"/>
      <c r="K186" s="54"/>
      <c r="L186" s="54"/>
      <c r="M186" s="54"/>
      <c r="N186" s="54"/>
      <c r="O186" s="54"/>
      <c r="P186" s="54"/>
      <c r="Q186" s="54"/>
      <c r="R186" s="54"/>
      <c r="S186" s="54"/>
      <c r="T186" s="54"/>
      <c r="U186" s="54"/>
      <c r="V186" s="54"/>
      <c r="W186" s="54"/>
      <c r="X186" s="54"/>
      <c r="Y186" s="91"/>
      <c r="Z186" s="92"/>
      <c r="AA186" s="92"/>
      <c r="AB186" s="93"/>
      <c r="AC186" s="60" t="str">
        <f t="shared" si="36"/>
        <v/>
      </c>
      <c r="AD186" s="60"/>
      <c r="AE186" s="60"/>
      <c r="AF186" s="60"/>
      <c r="AG186" s="61">
        <f t="shared" si="37"/>
        <v>0</v>
      </c>
      <c r="AH186" s="61" t="str">
        <f t="shared" si="38"/>
        <v/>
      </c>
      <c r="AI186" s="61">
        <f t="shared" si="39"/>
        <v>0</v>
      </c>
      <c r="AJ186" s="61" t="str">
        <f t="shared" si="40"/>
        <v/>
      </c>
      <c r="AK186" s="61">
        <f t="shared" si="41"/>
        <v>0</v>
      </c>
      <c r="AL186" s="61" t="str">
        <f t="shared" si="42"/>
        <v/>
      </c>
      <c r="AM186" s="61">
        <f t="shared" si="43"/>
        <v>0</v>
      </c>
      <c r="AN186" s="61" t="str">
        <f t="shared" si="44"/>
        <v/>
      </c>
      <c r="AO186" s="61">
        <f t="shared" si="45"/>
        <v>0</v>
      </c>
      <c r="AP186" s="61" t="str">
        <f t="shared" si="46"/>
        <v/>
      </c>
    </row>
    <row r="187" spans="1:42" ht="30" customHeight="1" x14ac:dyDescent="0.35">
      <c r="A187" s="26" t="str">
        <f>CONCATENATE($B$182,"
",$B$185,"
",$B$186)</f>
        <v>PT188 - ESTUDO DE ENGENHARIA DO GALPÃO RH75
ETAPA DE CAMPO
FASE 1 - SERVIÇOS DE CAMPO</v>
      </c>
      <c r="B187" s="51" t="s">
        <v>103</v>
      </c>
      <c r="C187" s="84" t="str">
        <f>IF(AND($B187=[1]ana!$A184,[1]ana!$B184=C$4),"ok","nok")</f>
        <v>nok</v>
      </c>
      <c r="D187" s="84" t="str">
        <f>IF(AND($B187=[1]ana!$A184,[1]ana!$B184=D$4),"ok","nok")</f>
        <v>nok</v>
      </c>
      <c r="E187" s="84" t="str">
        <f>IF(AND($B187=[1]ana!$A184,[1]ana!$B184=E$4),"ok","nok")</f>
        <v>nok</v>
      </c>
      <c r="F187" s="84" t="str">
        <f>IF(AND($B187=[1]ana!$A184,[1]ana!$B184=F$4),"ok","nok")</f>
        <v>nok</v>
      </c>
      <c r="G187" s="84" t="str">
        <f>IF(AND($B187=[1]ana!$A184,[1]ana!$B184=G$4),"ok","nok")</f>
        <v>nok</v>
      </c>
      <c r="H187" s="84" t="str">
        <f>IF(AND($B187=[1]ana!$A184,[1]ana!$B184=H$4),"ok","nok")</f>
        <v>nok</v>
      </c>
      <c r="I187" s="84" t="str">
        <f>IF(AND($B187=[1]ana!$A184,[1]ana!$B184=I$4),"ok","nok")</f>
        <v>ok</v>
      </c>
      <c r="J187" s="84" t="str">
        <f>IF(AND($B187=[1]ana!$A184,[1]ana!$B184=J$4),"ok","nok")</f>
        <v>nok</v>
      </c>
      <c r="K187" s="84" t="str">
        <f>IF(AND($B187=[1]ana!$A184,[1]ana!$B184=K$4),"ok","nok")</f>
        <v>nok</v>
      </c>
      <c r="L187" s="84" t="str">
        <f>IF(AND($B187=[1]ana!$A184,[1]ana!$B184=L$4),"ok","nok")</f>
        <v>nok</v>
      </c>
      <c r="M187" s="84" t="str">
        <f>IF(AND($B187=[1]ana!$A184,[1]ana!$B184=M$4),"ok","nok")</f>
        <v>nok</v>
      </c>
      <c r="N187" s="84" t="str">
        <f>IF(AND($B187=[1]ana!$A184,[1]ana!$B184=N$4),"ok","nok")</f>
        <v>nok</v>
      </c>
      <c r="O187" s="84" t="str">
        <f>IF(AND($B187=[1]ana!$A184,[1]ana!$B184=O$4),"ok","nok")</f>
        <v>nok</v>
      </c>
      <c r="P187" s="84" t="str">
        <f>IF(AND($B187=[1]ana!$A184,[1]ana!$B184=P$4),"ok","nok")</f>
        <v>nok</v>
      </c>
      <c r="Q187" s="84" t="str">
        <f>IF(AND($B187=[1]ana!$A184,[1]ana!$B184=Q$4),"ok","nok")</f>
        <v>nok</v>
      </c>
      <c r="R187" s="84" t="str">
        <f>IF(AND($B187=[1]ana!$A184,[1]ana!$B184=R$4),"ok","nok")</f>
        <v>nok</v>
      </c>
      <c r="S187" s="84" t="str">
        <f>IF(AND($B187=[1]ana!$A184,[1]ana!$B184=S$4),"ok","nok")</f>
        <v>nok</v>
      </c>
      <c r="T187" s="84" t="str">
        <f>IF(AND($B187=[1]ana!$A184,[1]ana!$B184=T$4),"ok","nok")</f>
        <v>nok</v>
      </c>
      <c r="U187" s="84" t="str">
        <f>IF(AND($B187=[1]ana!$A184,[1]ana!$B184=U$4),"ok","nok")</f>
        <v>nok</v>
      </c>
      <c r="V187" s="84" t="str">
        <f>IF(AND($B187=[1]ana!$A184,[1]ana!$B184=V$4),"ok","nok")</f>
        <v>nok</v>
      </c>
      <c r="W187" s="84" t="str">
        <f>IF(AND($B187=[1]ana!$A184,[1]ana!$B184=W$4),"ok","nok")</f>
        <v>nok</v>
      </c>
      <c r="X187" s="84" t="str">
        <f>IF(AND($B187=[1]ana!$A184,[1]ana!$B184=X$4),"ok","nok")</f>
        <v>nok</v>
      </c>
      <c r="Y187" s="85" t="s">
        <v>35</v>
      </c>
      <c r="Z187" s="86"/>
      <c r="AA187" s="86"/>
      <c r="AB187" s="87"/>
      <c r="AC187" s="60" t="str">
        <f t="shared" si="36"/>
        <v/>
      </c>
      <c r="AD187" s="60"/>
      <c r="AE187" s="60"/>
      <c r="AF187" s="60"/>
      <c r="AG187" s="61">
        <f t="shared" si="37"/>
        <v>0</v>
      </c>
      <c r="AH187" s="61" t="str">
        <f t="shared" si="38"/>
        <v/>
      </c>
      <c r="AI187" s="61">
        <f t="shared" si="39"/>
        <v>1</v>
      </c>
      <c r="AJ187" s="61" t="str">
        <f t="shared" si="40"/>
        <v>EFPRAZO</v>
      </c>
      <c r="AK187" s="61">
        <f t="shared" si="41"/>
        <v>0</v>
      </c>
      <c r="AL187" s="61" t="str">
        <f t="shared" si="42"/>
        <v/>
      </c>
      <c r="AM187" s="61">
        <f t="shared" si="43"/>
        <v>0</v>
      </c>
      <c r="AN187" s="61" t="str">
        <f t="shared" si="44"/>
        <v/>
      </c>
      <c r="AO187" s="61">
        <f t="shared" si="45"/>
        <v>0</v>
      </c>
      <c r="AP187" s="61" t="str">
        <f t="shared" si="46"/>
        <v/>
      </c>
    </row>
    <row r="188" spans="1:42" ht="30" customHeight="1" x14ac:dyDescent="0.35">
      <c r="A188" s="26" t="str">
        <f t="shared" ref="A188:A189" si="55">CONCATENATE($B$182,"
",$B$185,"
",$B$186)</f>
        <v>PT188 - ESTUDO DE ENGENHARIA DO GALPÃO RH75
ETAPA DE CAMPO
FASE 1 - SERVIÇOS DE CAMPO</v>
      </c>
      <c r="B188" s="51" t="s">
        <v>104</v>
      </c>
      <c r="C188" s="84" t="str">
        <f>IF(AND($B188=[1]ana!$A185,[1]ana!$B185=C$4),"ok","nok")</f>
        <v>nok</v>
      </c>
      <c r="D188" s="84" t="str">
        <f>IF(AND($B188=[1]ana!$A185,[1]ana!$B185=D$4),"ok","nok")</f>
        <v>nok</v>
      </c>
      <c r="E188" s="84" t="str">
        <f>IF(AND($B188=[1]ana!$A185,[1]ana!$B185=E$4),"ok","nok")</f>
        <v>nok</v>
      </c>
      <c r="F188" s="84" t="str">
        <f>IF(AND($B188=[1]ana!$A185,[1]ana!$B185=F$4),"ok","nok")</f>
        <v>nok</v>
      </c>
      <c r="G188" s="84" t="str">
        <f>IF(AND($B188=[1]ana!$A185,[1]ana!$B185=G$4),"ok","nok")</f>
        <v>nok</v>
      </c>
      <c r="H188" s="84" t="str">
        <f>IF(AND($B188=[1]ana!$A185,[1]ana!$B185=H$4),"ok","nok")</f>
        <v>nok</v>
      </c>
      <c r="I188" s="84" t="str">
        <f>IF(AND($B188=[1]ana!$A185,[1]ana!$B185=I$4),"ok","nok")</f>
        <v>nok</v>
      </c>
      <c r="J188" s="84" t="str">
        <f>IF(AND($B188=[1]ana!$A185,[1]ana!$B185=J$4),"ok","nok")</f>
        <v>nok</v>
      </c>
      <c r="K188" s="84" t="str">
        <f>IF(AND($B188=[1]ana!$A185,[1]ana!$B185=K$4),"ok","nok")</f>
        <v>ok</v>
      </c>
      <c r="L188" s="84" t="str">
        <f>IF(AND($B188=[1]ana!$A185,[1]ana!$B185=L$4),"ok","nok")</f>
        <v>nok</v>
      </c>
      <c r="M188" s="84" t="str">
        <f>IF(AND($B188=[1]ana!$A185,[1]ana!$B185=M$4),"ok","nok")</f>
        <v>nok</v>
      </c>
      <c r="N188" s="84" t="str">
        <f>IF(AND($B188=[1]ana!$A185,[1]ana!$B185=N$4),"ok","nok")</f>
        <v>nok</v>
      </c>
      <c r="O188" s="84" t="str">
        <f>IF(AND($B188=[1]ana!$A185,[1]ana!$B185=O$4),"ok","nok")</f>
        <v>nok</v>
      </c>
      <c r="P188" s="84" t="str">
        <f>IF(AND($B188=[1]ana!$A185,[1]ana!$B185=P$4),"ok","nok")</f>
        <v>nok</v>
      </c>
      <c r="Q188" s="84" t="str">
        <f>IF(AND($B188=[1]ana!$A185,[1]ana!$B185=Q$4),"ok","nok")</f>
        <v>nok</v>
      </c>
      <c r="R188" s="84" t="str">
        <f>IF(AND($B188=[1]ana!$A185,[1]ana!$B185=R$4),"ok","nok")</f>
        <v>nok</v>
      </c>
      <c r="S188" s="84" t="str">
        <f>IF(AND($B188=[1]ana!$A185,[1]ana!$B185=S$4),"ok","nok")</f>
        <v>nok</v>
      </c>
      <c r="T188" s="84" t="str">
        <f>IF(AND($B188=[1]ana!$A185,[1]ana!$B185=T$4),"ok","nok")</f>
        <v>nok</v>
      </c>
      <c r="U188" s="84" t="str">
        <f>IF(AND($B188=[1]ana!$A185,[1]ana!$B185=U$4),"ok","nok")</f>
        <v>nok</v>
      </c>
      <c r="V188" s="84" t="str">
        <f>IF(AND($B188=[1]ana!$A185,[1]ana!$B185=V$4),"ok","nok")</f>
        <v>nok</v>
      </c>
      <c r="W188" s="84" t="str">
        <f>IF(AND($B188=[1]ana!$A185,[1]ana!$B185=W$4),"ok","nok")</f>
        <v>nok</v>
      </c>
      <c r="X188" s="84" t="str">
        <f>IF(AND($B188=[1]ana!$A185,[1]ana!$B185=X$4),"ok","nok")</f>
        <v>nok</v>
      </c>
      <c r="Y188" s="85" t="s">
        <v>35</v>
      </c>
      <c r="Z188" s="86"/>
      <c r="AA188" s="86"/>
      <c r="AB188" s="87"/>
      <c r="AC188" s="60" t="str">
        <f t="shared" si="36"/>
        <v/>
      </c>
      <c r="AD188" s="60"/>
      <c r="AE188" s="60"/>
      <c r="AF188" s="60"/>
      <c r="AG188" s="61">
        <f t="shared" si="37"/>
        <v>0</v>
      </c>
      <c r="AH188" s="61" t="str">
        <f t="shared" si="38"/>
        <v/>
      </c>
      <c r="AI188" s="61">
        <f t="shared" si="39"/>
        <v>1</v>
      </c>
      <c r="AJ188" s="61" t="str">
        <f t="shared" si="40"/>
        <v>EFPRAZO</v>
      </c>
      <c r="AK188" s="61">
        <f t="shared" si="41"/>
        <v>0</v>
      </c>
      <c r="AL188" s="61" t="str">
        <f t="shared" si="42"/>
        <v/>
      </c>
      <c r="AM188" s="61">
        <f t="shared" si="43"/>
        <v>0</v>
      </c>
      <c r="AN188" s="61" t="str">
        <f t="shared" si="44"/>
        <v/>
      </c>
      <c r="AO188" s="61">
        <f t="shared" si="45"/>
        <v>0</v>
      </c>
      <c r="AP188" s="61" t="str">
        <f t="shared" si="46"/>
        <v/>
      </c>
    </row>
    <row r="189" spans="1:42" ht="30" customHeight="1" x14ac:dyDescent="0.35">
      <c r="A189" s="26" t="str">
        <f t="shared" si="55"/>
        <v>PT188 - ESTUDO DE ENGENHARIA DO GALPÃO RH75
ETAPA DE CAMPO
FASE 1 - SERVIÇOS DE CAMPO</v>
      </c>
      <c r="B189" s="51" t="s">
        <v>105</v>
      </c>
      <c r="C189" s="84" t="str">
        <f>IF(AND($B189=[1]ana!$A186,[1]ana!$B186=C$4),"ok","nok")</f>
        <v>nok</v>
      </c>
      <c r="D189" s="84" t="str">
        <f>IF(AND($B189=[1]ana!$A186,[1]ana!$B186=D$4),"ok","nok")</f>
        <v>nok</v>
      </c>
      <c r="E189" s="84" t="str">
        <f>IF(AND($B189=[1]ana!$A186,[1]ana!$B186=E$4),"ok","nok")</f>
        <v>nok</v>
      </c>
      <c r="F189" s="84" t="str">
        <f>IF(AND($B189=[1]ana!$A186,[1]ana!$B186=F$4),"ok","nok")</f>
        <v>nok</v>
      </c>
      <c r="G189" s="84" t="str">
        <f>IF(AND($B189=[1]ana!$A186,[1]ana!$B186=G$4),"ok","nok")</f>
        <v>nok</v>
      </c>
      <c r="H189" s="84" t="str">
        <f>IF(AND($B189=[1]ana!$A186,[1]ana!$B186=H$4),"ok","nok")</f>
        <v>nok</v>
      </c>
      <c r="I189" s="84" t="str">
        <f>IF(AND($B189=[1]ana!$A186,[1]ana!$B186=I$4),"ok","nok")</f>
        <v>nok</v>
      </c>
      <c r="J189" s="84" t="str">
        <f>IF(AND($B189=[1]ana!$A186,[1]ana!$B186=J$4),"ok","nok")</f>
        <v>nok</v>
      </c>
      <c r="K189" s="84" t="str">
        <f>IF(AND($B189=[1]ana!$A186,[1]ana!$B186=K$4),"ok","nok")</f>
        <v>nok</v>
      </c>
      <c r="L189" s="84" t="str">
        <f>IF(AND($B189=[1]ana!$A186,[1]ana!$B186=L$4),"ok","nok")</f>
        <v>ok</v>
      </c>
      <c r="M189" s="84" t="str">
        <f>IF(AND($B189=[1]ana!$A186,[1]ana!$B186=M$4),"ok","nok")</f>
        <v>nok</v>
      </c>
      <c r="N189" s="84" t="str">
        <f>IF(AND($B189=[1]ana!$A186,[1]ana!$B186=N$4),"ok","nok")</f>
        <v>nok</v>
      </c>
      <c r="O189" s="84" t="str">
        <f>IF(AND($B189=[1]ana!$A186,[1]ana!$B186=O$4),"ok","nok")</f>
        <v>nok</v>
      </c>
      <c r="P189" s="84" t="str">
        <f>IF(AND($B189=[1]ana!$A186,[1]ana!$B186=P$4),"ok","nok")</f>
        <v>nok</v>
      </c>
      <c r="Q189" s="84" t="str">
        <f>IF(AND($B189=[1]ana!$A186,[1]ana!$B186=Q$4),"ok","nok")</f>
        <v>nok</v>
      </c>
      <c r="R189" s="84" t="str">
        <f>IF(AND($B189=[1]ana!$A186,[1]ana!$B186=R$4),"ok","nok")</f>
        <v>nok</v>
      </c>
      <c r="S189" s="84" t="str">
        <f>IF(AND($B189=[1]ana!$A186,[1]ana!$B186=S$4),"ok","nok")</f>
        <v>nok</v>
      </c>
      <c r="T189" s="84" t="str">
        <f>IF(AND($B189=[1]ana!$A186,[1]ana!$B186=T$4),"ok","nok")</f>
        <v>nok</v>
      </c>
      <c r="U189" s="84" t="str">
        <f>IF(AND($B189=[1]ana!$A186,[1]ana!$B186=U$4),"ok","nok")</f>
        <v>nok</v>
      </c>
      <c r="V189" s="84" t="str">
        <f>IF(AND($B189=[1]ana!$A186,[1]ana!$B186=V$4),"ok","nok")</f>
        <v>nok</v>
      </c>
      <c r="W189" s="84" t="str">
        <f>IF(AND($B189=[1]ana!$A186,[1]ana!$B186=W$4),"ok","nok")</f>
        <v>nok</v>
      </c>
      <c r="X189" s="84" t="str">
        <f>IF(AND($B189=[1]ana!$A186,[1]ana!$B186=X$4),"ok","nok")</f>
        <v>nok</v>
      </c>
      <c r="Y189" s="85" t="s">
        <v>35</v>
      </c>
      <c r="Z189" s="86"/>
      <c r="AA189" s="86"/>
      <c r="AB189" s="87"/>
      <c r="AC189" s="60" t="str">
        <f t="shared" si="36"/>
        <v/>
      </c>
      <c r="AD189" s="60"/>
      <c r="AE189" s="60"/>
      <c r="AF189" s="60"/>
      <c r="AG189" s="61">
        <f t="shared" si="37"/>
        <v>0</v>
      </c>
      <c r="AH189" s="61" t="str">
        <f t="shared" si="38"/>
        <v/>
      </c>
      <c r="AI189" s="61">
        <f t="shared" si="39"/>
        <v>1</v>
      </c>
      <c r="AJ189" s="61" t="str">
        <f t="shared" si="40"/>
        <v>EFPRAZO</v>
      </c>
      <c r="AK189" s="61">
        <f t="shared" si="41"/>
        <v>0</v>
      </c>
      <c r="AL189" s="61" t="str">
        <f t="shared" si="42"/>
        <v/>
      </c>
      <c r="AM189" s="61">
        <f t="shared" si="43"/>
        <v>0</v>
      </c>
      <c r="AN189" s="61" t="str">
        <f t="shared" si="44"/>
        <v/>
      </c>
      <c r="AO189" s="61">
        <f t="shared" si="45"/>
        <v>0</v>
      </c>
      <c r="AP189" s="61" t="str">
        <f t="shared" si="46"/>
        <v/>
      </c>
    </row>
    <row r="190" spans="1:42" ht="30" customHeight="1" x14ac:dyDescent="0.35">
      <c r="B190" s="52" t="s">
        <v>106</v>
      </c>
      <c r="C190" s="52"/>
      <c r="D190" s="52"/>
      <c r="E190" s="52"/>
      <c r="F190" s="52"/>
      <c r="G190" s="52"/>
      <c r="H190" s="52"/>
      <c r="I190" s="52"/>
      <c r="J190" s="52"/>
      <c r="K190" s="52"/>
      <c r="L190" s="52"/>
      <c r="M190" s="52"/>
      <c r="N190" s="52"/>
      <c r="O190" s="52"/>
      <c r="P190" s="52"/>
      <c r="Q190" s="52"/>
      <c r="R190" s="52"/>
      <c r="S190" s="52"/>
      <c r="T190" s="52"/>
      <c r="U190" s="52"/>
      <c r="V190" s="52"/>
      <c r="W190" s="52"/>
      <c r="X190" s="52"/>
      <c r="Y190" s="88"/>
      <c r="Z190" s="89"/>
      <c r="AA190" s="89"/>
      <c r="AB190" s="90"/>
      <c r="AC190" s="60" t="str">
        <f t="shared" si="36"/>
        <v/>
      </c>
      <c r="AD190" s="60"/>
      <c r="AE190" s="60"/>
      <c r="AF190" s="60"/>
      <c r="AG190" s="61">
        <f t="shared" si="37"/>
        <v>0</v>
      </c>
      <c r="AH190" s="61" t="str">
        <f t="shared" si="38"/>
        <v/>
      </c>
      <c r="AI190" s="61">
        <f t="shared" si="39"/>
        <v>0</v>
      </c>
      <c r="AJ190" s="61" t="str">
        <f t="shared" si="40"/>
        <v/>
      </c>
      <c r="AK190" s="61">
        <f t="shared" si="41"/>
        <v>0</v>
      </c>
      <c r="AL190" s="61" t="str">
        <f t="shared" si="42"/>
        <v/>
      </c>
      <c r="AM190" s="61">
        <f t="shared" si="43"/>
        <v>0</v>
      </c>
      <c r="AN190" s="61" t="str">
        <f t="shared" si="44"/>
        <v/>
      </c>
      <c r="AO190" s="61">
        <f t="shared" si="45"/>
        <v>0</v>
      </c>
      <c r="AP190" s="61" t="str">
        <f t="shared" si="46"/>
        <v/>
      </c>
    </row>
    <row r="191" spans="1:42" ht="30" customHeight="1" x14ac:dyDescent="0.35">
      <c r="A191" s="26" t="str">
        <f>CONCATENATE($B$182,"
",$B$185,"
",$B$186,"
",$B$190)</f>
        <v>PT188 - ESTUDO DE ENGENHARIA DO GALPÃO RH75
ETAPA DE CAMPO
FASE 1 - SERVIÇOS DE CAMPO
MARCO - RELATÓRIO DA NUVEM DE PONTOS</v>
      </c>
      <c r="B191" s="53" t="s">
        <v>19</v>
      </c>
      <c r="C191" s="84" t="str">
        <f>IF(AND($B191=[1]ana!$A188,[1]ana!$B188=C$4),"ok","nok")</f>
        <v>nok</v>
      </c>
      <c r="D191" s="84" t="str">
        <f>IF(AND($B191=[1]ana!$A188,[1]ana!$B188=D$4),"ok","nok")</f>
        <v>nok</v>
      </c>
      <c r="E191" s="84" t="str">
        <f>IF(AND($B191=[1]ana!$A188,[1]ana!$B188=E$4),"ok","nok")</f>
        <v>nok</v>
      </c>
      <c r="F191" s="84" t="str">
        <f>IF(AND($B191=[1]ana!$A188,[1]ana!$B188=F$4),"ok","nok")</f>
        <v>nok</v>
      </c>
      <c r="G191" s="84" t="str">
        <f>IF(AND($B191=[1]ana!$A188,[1]ana!$B188=G$4),"ok","nok")</f>
        <v>nok</v>
      </c>
      <c r="H191" s="84" t="str">
        <f>IF(AND($B191=[1]ana!$A188,[1]ana!$B188=H$4),"ok","nok")</f>
        <v>nok</v>
      </c>
      <c r="I191" s="84" t="str">
        <f>IF(AND($B191=[1]ana!$A188,[1]ana!$B188=I$4),"ok","nok")</f>
        <v>nok</v>
      </c>
      <c r="J191" s="84" t="str">
        <f>IF(AND($B191=[1]ana!$A188,[1]ana!$B188=J$4),"ok","nok")</f>
        <v>nok</v>
      </c>
      <c r="K191" s="84" t="str">
        <f>IF(AND($B191=[1]ana!$A188,[1]ana!$B188=K$4),"ok","nok")</f>
        <v>nok</v>
      </c>
      <c r="L191" s="84" t="str">
        <f>IF(AND($B191=[1]ana!$A188,[1]ana!$B188=L$4),"ok","nok")</f>
        <v>ok</v>
      </c>
      <c r="M191" s="84" t="str">
        <f>IF(AND($B191=[1]ana!$A188,[1]ana!$B188=M$4),"ok","nok")</f>
        <v>nok</v>
      </c>
      <c r="N191" s="84" t="str">
        <f>IF(AND($B191=[1]ana!$A188,[1]ana!$B188=N$4),"ok","nok")</f>
        <v>nok</v>
      </c>
      <c r="O191" s="84" t="str">
        <f>IF(AND($B191=[1]ana!$A188,[1]ana!$B188=O$4),"ok","nok")</f>
        <v>nok</v>
      </c>
      <c r="P191" s="84" t="str">
        <f>IF(AND($B191=[1]ana!$A188,[1]ana!$B188=P$4),"ok","nok")</f>
        <v>nok</v>
      </c>
      <c r="Q191" s="84" t="str">
        <f>IF(AND($B191=[1]ana!$A188,[1]ana!$B188=Q$4),"ok","nok")</f>
        <v>nok</v>
      </c>
      <c r="R191" s="84" t="str">
        <f>IF(AND($B191=[1]ana!$A188,[1]ana!$B188=R$4),"ok","nok")</f>
        <v>nok</v>
      </c>
      <c r="S191" s="84" t="str">
        <f>IF(AND($B191=[1]ana!$A188,[1]ana!$B188=S$4),"ok","nok")</f>
        <v>nok</v>
      </c>
      <c r="T191" s="84" t="str">
        <f>IF(AND($B191=[1]ana!$A188,[1]ana!$B188=T$4),"ok","nok")</f>
        <v>nok</v>
      </c>
      <c r="U191" s="84" t="str">
        <f>IF(AND($B191=[1]ana!$A188,[1]ana!$B188=U$4),"ok","nok")</f>
        <v>nok</v>
      </c>
      <c r="V191" s="84" t="str">
        <f>IF(AND($B191=[1]ana!$A188,[1]ana!$B188=V$4),"ok","nok")</f>
        <v>nok</v>
      </c>
      <c r="W191" s="84" t="str">
        <f>IF(AND($B191=[1]ana!$A188,[1]ana!$B188=W$4),"ok","nok")</f>
        <v>nok</v>
      </c>
      <c r="X191" s="84" t="str">
        <f>IF(AND($B191=[1]ana!$A188,[1]ana!$B188=X$4),"ok","nok")</f>
        <v>nok</v>
      </c>
      <c r="Y191" s="85" t="s">
        <v>35</v>
      </c>
      <c r="Z191" s="86"/>
      <c r="AA191" s="86"/>
      <c r="AB191" s="87"/>
      <c r="AC191" s="60" t="str">
        <f t="shared" si="36"/>
        <v/>
      </c>
      <c r="AD191" s="60"/>
      <c r="AE191" s="60"/>
      <c r="AF191" s="60"/>
      <c r="AG191" s="61">
        <f t="shared" si="37"/>
        <v>0</v>
      </c>
      <c r="AH191" s="61" t="str">
        <f t="shared" si="38"/>
        <v/>
      </c>
      <c r="AI191" s="61">
        <f t="shared" si="39"/>
        <v>1</v>
      </c>
      <c r="AJ191" s="61" t="str">
        <f t="shared" si="40"/>
        <v>EFPRAZO</v>
      </c>
      <c r="AK191" s="61">
        <f t="shared" si="41"/>
        <v>0</v>
      </c>
      <c r="AL191" s="61" t="str">
        <f t="shared" si="42"/>
        <v/>
      </c>
      <c r="AM191" s="61">
        <f t="shared" si="43"/>
        <v>0</v>
      </c>
      <c r="AN191" s="61" t="str">
        <f t="shared" si="44"/>
        <v/>
      </c>
      <c r="AO191" s="61">
        <f t="shared" si="45"/>
        <v>0</v>
      </c>
      <c r="AP191" s="61" t="str">
        <f t="shared" si="46"/>
        <v/>
      </c>
    </row>
    <row r="192" spans="1:42" ht="30" customHeight="1" x14ac:dyDescent="0.35">
      <c r="A192" s="26" t="str">
        <f t="shared" ref="A192:A196" si="56">CONCATENATE($B$182,"
",$B$185,"
",$B$186,"
",$B$190)</f>
        <v>PT188 - ESTUDO DE ENGENHARIA DO GALPÃO RH75
ETAPA DE CAMPO
FASE 1 - SERVIÇOS DE CAMPO
MARCO - RELATÓRIO DA NUVEM DE PONTOS</v>
      </c>
      <c r="B192" s="53" t="s">
        <v>43</v>
      </c>
      <c r="C192" s="84" t="str">
        <f>IF(AND($B192=[1]ana!$A189,[1]ana!$B189=C$4),"ok","nok")</f>
        <v>nok</v>
      </c>
      <c r="D192" s="84" t="str">
        <f>IF(AND($B192=[1]ana!$A189,[1]ana!$B189=D$4),"ok","nok")</f>
        <v>nok</v>
      </c>
      <c r="E192" s="84" t="str">
        <f>IF(AND($B192=[1]ana!$A189,[1]ana!$B189=E$4),"ok","nok")</f>
        <v>nok</v>
      </c>
      <c r="F192" s="84" t="str">
        <f>IF(AND($B192=[1]ana!$A189,[1]ana!$B189=F$4),"ok","nok")</f>
        <v>nok</v>
      </c>
      <c r="G192" s="84" t="str">
        <f>IF(AND($B192=[1]ana!$A189,[1]ana!$B189=G$4),"ok","nok")</f>
        <v>nok</v>
      </c>
      <c r="H192" s="84" t="str">
        <f>IF(AND($B192=[1]ana!$A189,[1]ana!$B189=H$4),"ok","nok")</f>
        <v>nok</v>
      </c>
      <c r="I192" s="84" t="str">
        <f>IF(AND($B192=[1]ana!$A189,[1]ana!$B189=I$4),"ok","nok")</f>
        <v>nok</v>
      </c>
      <c r="J192" s="84" t="str">
        <f>IF(AND($B192=[1]ana!$A189,[1]ana!$B189=J$4),"ok","nok")</f>
        <v>nok</v>
      </c>
      <c r="K192" s="84" t="str">
        <f>IF(AND($B192=[1]ana!$A189,[1]ana!$B189=K$4),"ok","nok")</f>
        <v>nok</v>
      </c>
      <c r="L192" s="84" t="str">
        <f>IF(AND($B192=[1]ana!$A189,[1]ana!$B189=L$4),"ok","nok")</f>
        <v>nok</v>
      </c>
      <c r="M192" s="84" t="str">
        <f>IF(AND($B192=[1]ana!$A189,[1]ana!$B189=M$4),"ok","nok")</f>
        <v>nok</v>
      </c>
      <c r="N192" s="84" t="str">
        <f>IF(AND($B192=[1]ana!$A189,[1]ana!$B189=N$4),"ok","nok")</f>
        <v>nok</v>
      </c>
      <c r="O192" s="84" t="str">
        <f>IF(AND($B192=[1]ana!$A189,[1]ana!$B189=O$4),"ok","nok")</f>
        <v>nok</v>
      </c>
      <c r="P192" s="84" t="str">
        <f>IF(AND($B192=[1]ana!$A189,[1]ana!$B189=P$4),"ok","nok")</f>
        <v>nok</v>
      </c>
      <c r="Q192" s="84" t="str">
        <f>IF(AND($B192=[1]ana!$A189,[1]ana!$B189=Q$4),"ok","nok")</f>
        <v>nok</v>
      </c>
      <c r="R192" s="84" t="str">
        <f>IF(AND($B192=[1]ana!$A189,[1]ana!$B189=R$4),"ok","nok")</f>
        <v>nok</v>
      </c>
      <c r="S192" s="84" t="str">
        <f>IF(AND($B192=[1]ana!$A189,[1]ana!$B189=S$4),"ok","nok")</f>
        <v>ok</v>
      </c>
      <c r="T192" s="84" t="str">
        <f>IF(AND($B192=[1]ana!$A189,[1]ana!$B189=T$4),"ok","nok")</f>
        <v>nok</v>
      </c>
      <c r="U192" s="84" t="str">
        <f>IF(AND($B192=[1]ana!$A189,[1]ana!$B189=U$4),"ok","nok")</f>
        <v>nok</v>
      </c>
      <c r="V192" s="84" t="str">
        <f>IF(AND($B192=[1]ana!$A189,[1]ana!$B189=V$4),"ok","nok")</f>
        <v>nok</v>
      </c>
      <c r="W192" s="84" t="str">
        <f>IF(AND($B192=[1]ana!$A189,[1]ana!$B189=W$4),"ok","nok")</f>
        <v>nok</v>
      </c>
      <c r="X192" s="84" t="str">
        <f>IF(AND($B192=[1]ana!$A189,[1]ana!$B189=X$4),"ok","nok")</f>
        <v>nok</v>
      </c>
      <c r="Y192" s="85" t="s">
        <v>15</v>
      </c>
      <c r="Z192" s="86"/>
      <c r="AA192" s="86"/>
      <c r="AB192" s="87"/>
      <c r="AC192" s="60" t="str">
        <f t="shared" si="36"/>
        <v/>
      </c>
      <c r="AD192" s="60"/>
      <c r="AE192" s="60"/>
      <c r="AF192" s="60"/>
      <c r="AG192" s="61">
        <f t="shared" si="37"/>
        <v>0</v>
      </c>
      <c r="AH192" s="61" t="str">
        <f t="shared" si="38"/>
        <v/>
      </c>
      <c r="AI192" s="61">
        <f t="shared" si="39"/>
        <v>0</v>
      </c>
      <c r="AJ192" s="61" t="str">
        <f t="shared" si="40"/>
        <v/>
      </c>
      <c r="AK192" s="61">
        <f t="shared" si="41"/>
        <v>0</v>
      </c>
      <c r="AL192" s="61" t="str">
        <f t="shared" si="42"/>
        <v/>
      </c>
      <c r="AM192" s="61">
        <f t="shared" si="43"/>
        <v>1</v>
      </c>
      <c r="AN192" s="61" t="str">
        <f t="shared" si="44"/>
        <v/>
      </c>
      <c r="AO192" s="61">
        <f t="shared" si="45"/>
        <v>0</v>
      </c>
      <c r="AP192" s="61" t="str">
        <f t="shared" si="46"/>
        <v/>
      </c>
    </row>
    <row r="193" spans="1:42" ht="30" customHeight="1" x14ac:dyDescent="0.35">
      <c r="A193" s="26" t="str">
        <f t="shared" si="56"/>
        <v>PT188 - ESTUDO DE ENGENHARIA DO GALPÃO RH75
ETAPA DE CAMPO
FASE 1 - SERVIÇOS DE CAMPO
MARCO - RELATÓRIO DA NUVEM DE PONTOS</v>
      </c>
      <c r="B193" s="53" t="s">
        <v>44</v>
      </c>
      <c r="C193" s="84" t="str">
        <f>IF(AND($B193=[1]ana!$A190,[1]ana!$B190=C$4),"ok","nok")</f>
        <v>nok</v>
      </c>
      <c r="D193" s="84" t="str">
        <f>IF(AND($B193=[1]ana!$A190,[1]ana!$B190=D$4),"ok","nok")</f>
        <v>nok</v>
      </c>
      <c r="E193" s="84" t="str">
        <f>IF(AND($B193=[1]ana!$A190,[1]ana!$B190=E$4),"ok","nok")</f>
        <v>nok</v>
      </c>
      <c r="F193" s="84" t="str">
        <f>IF(AND($B193=[1]ana!$A190,[1]ana!$B190=F$4),"ok","nok")</f>
        <v>nok</v>
      </c>
      <c r="G193" s="84" t="str">
        <f>IF(AND($B193=[1]ana!$A190,[1]ana!$B190=G$4),"ok","nok")</f>
        <v>nok</v>
      </c>
      <c r="H193" s="84" t="str">
        <f>IF(AND($B193=[1]ana!$A190,[1]ana!$B190=H$4),"ok","nok")</f>
        <v>nok</v>
      </c>
      <c r="I193" s="84" t="str">
        <f>IF(AND($B193=[1]ana!$A190,[1]ana!$B190=I$4),"ok","nok")</f>
        <v>nok</v>
      </c>
      <c r="J193" s="84" t="str">
        <f>IF(AND($B193=[1]ana!$A190,[1]ana!$B190=J$4),"ok","nok")</f>
        <v>nok</v>
      </c>
      <c r="K193" s="84" t="str">
        <f>IF(AND($B193=[1]ana!$A190,[1]ana!$B190=K$4),"ok","nok")</f>
        <v>nok</v>
      </c>
      <c r="L193" s="84" t="str">
        <f>IF(AND($B193=[1]ana!$A190,[1]ana!$B190=L$4),"ok","nok")</f>
        <v>nok</v>
      </c>
      <c r="M193" s="84" t="str">
        <f>IF(AND($B193=[1]ana!$A190,[1]ana!$B190=M$4),"ok","nok")</f>
        <v>nok</v>
      </c>
      <c r="N193" s="84" t="str">
        <f>IF(AND($B193=[1]ana!$A190,[1]ana!$B190=N$4),"ok","nok")</f>
        <v>nok</v>
      </c>
      <c r="O193" s="84" t="str">
        <f>IF(AND($B193=[1]ana!$A190,[1]ana!$B190=O$4),"ok","nok")</f>
        <v>nok</v>
      </c>
      <c r="P193" s="84" t="str">
        <f>IF(AND($B193=[1]ana!$A190,[1]ana!$B190=P$4),"ok","nok")</f>
        <v>nok</v>
      </c>
      <c r="Q193" s="84" t="str">
        <f>IF(AND($B193=[1]ana!$A190,[1]ana!$B190=Q$4),"ok","nok")</f>
        <v>nok</v>
      </c>
      <c r="R193" s="84" t="str">
        <f>IF(AND($B193=[1]ana!$A190,[1]ana!$B190=R$4),"ok","nok")</f>
        <v>nok</v>
      </c>
      <c r="S193" s="84" t="str">
        <f>IF(AND($B193=[1]ana!$A190,[1]ana!$B190=S$4),"ok","nok")</f>
        <v>nok</v>
      </c>
      <c r="T193" s="84" t="str">
        <f>IF(AND($B193=[1]ana!$A190,[1]ana!$B190=T$4),"ok","nok")</f>
        <v>nok</v>
      </c>
      <c r="U193" s="84" t="str">
        <f>IF(AND($B193=[1]ana!$A190,[1]ana!$B190=U$4),"ok","nok")</f>
        <v>nok</v>
      </c>
      <c r="V193" s="84" t="str">
        <f>IF(AND($B193=[1]ana!$A190,[1]ana!$B190=V$4),"ok","nok")</f>
        <v>ok</v>
      </c>
      <c r="W193" s="84" t="str">
        <f>IF(AND($B193=[1]ana!$A190,[1]ana!$B190=W$4),"ok","nok")</f>
        <v>nok</v>
      </c>
      <c r="X193" s="84" t="str">
        <f>IF(AND($B193=[1]ana!$A190,[1]ana!$B190=X$4),"ok","nok")</f>
        <v>nok</v>
      </c>
      <c r="Y193" s="85" t="s">
        <v>15</v>
      </c>
      <c r="Z193" s="86"/>
      <c r="AA193" s="86"/>
      <c r="AB193" s="87"/>
      <c r="AC193" s="60" t="str">
        <f t="shared" si="36"/>
        <v/>
      </c>
      <c r="AD193" s="60"/>
      <c r="AE193" s="60"/>
      <c r="AF193" s="60"/>
      <c r="AG193" s="61">
        <f t="shared" si="37"/>
        <v>0</v>
      </c>
      <c r="AH193" s="61" t="str">
        <f t="shared" si="38"/>
        <v/>
      </c>
      <c r="AI193" s="61">
        <f t="shared" si="39"/>
        <v>0</v>
      </c>
      <c r="AJ193" s="61" t="str">
        <f t="shared" si="40"/>
        <v/>
      </c>
      <c r="AK193" s="61">
        <f t="shared" si="41"/>
        <v>0</v>
      </c>
      <c r="AL193" s="61" t="str">
        <f t="shared" si="42"/>
        <v/>
      </c>
      <c r="AM193" s="61">
        <f t="shared" si="43"/>
        <v>1</v>
      </c>
      <c r="AN193" s="61" t="str">
        <f t="shared" si="44"/>
        <v/>
      </c>
      <c r="AO193" s="61">
        <f t="shared" si="45"/>
        <v>0</v>
      </c>
      <c r="AP193" s="61" t="str">
        <f t="shared" si="46"/>
        <v/>
      </c>
    </row>
    <row r="194" spans="1:42" ht="30" customHeight="1" x14ac:dyDescent="0.35">
      <c r="A194" s="26" t="str">
        <f t="shared" si="56"/>
        <v>PT188 - ESTUDO DE ENGENHARIA DO GALPÃO RH75
ETAPA DE CAMPO
FASE 1 - SERVIÇOS DE CAMPO
MARCO - RELATÓRIO DA NUVEM DE PONTOS</v>
      </c>
      <c r="B194" s="53" t="s">
        <v>45</v>
      </c>
      <c r="C194" s="84" t="str">
        <f>IF(AND($B194=[1]ana!$A191,[1]ana!$B191=C$4),"ok","nok")</f>
        <v>nok</v>
      </c>
      <c r="D194" s="84" t="str">
        <f>IF(AND($B194=[1]ana!$A191,[1]ana!$B191=D$4),"ok","nok")</f>
        <v>nok</v>
      </c>
      <c r="E194" s="84" t="str">
        <f>IF(AND($B194=[1]ana!$A191,[1]ana!$B191=E$4),"ok","nok")</f>
        <v>nok</v>
      </c>
      <c r="F194" s="84" t="str">
        <f>IF(AND($B194=[1]ana!$A191,[1]ana!$B191=F$4),"ok","nok")</f>
        <v>nok</v>
      </c>
      <c r="G194" s="84" t="str">
        <f>IF(AND($B194=[1]ana!$A191,[1]ana!$B191=G$4),"ok","nok")</f>
        <v>nok</v>
      </c>
      <c r="H194" s="84" t="str">
        <f>IF(AND($B194=[1]ana!$A191,[1]ana!$B191=H$4),"ok","nok")</f>
        <v>nok</v>
      </c>
      <c r="I194" s="84" t="str">
        <f>IF(AND($B194=[1]ana!$A191,[1]ana!$B191=I$4),"ok","nok")</f>
        <v>nok</v>
      </c>
      <c r="J194" s="84" t="str">
        <f>IF(AND($B194=[1]ana!$A191,[1]ana!$B191=J$4),"ok","nok")</f>
        <v>nok</v>
      </c>
      <c r="K194" s="84" t="str">
        <f>IF(AND($B194=[1]ana!$A191,[1]ana!$B191=K$4),"ok","nok")</f>
        <v>nok</v>
      </c>
      <c r="L194" s="84" t="str">
        <f>IF(AND($B194=[1]ana!$A191,[1]ana!$B191=L$4),"ok","nok")</f>
        <v>nok</v>
      </c>
      <c r="M194" s="84" t="str">
        <f>IF(AND($B194=[1]ana!$A191,[1]ana!$B191=M$4),"ok","nok")</f>
        <v>nok</v>
      </c>
      <c r="N194" s="84" t="str">
        <f>IF(AND($B194=[1]ana!$A191,[1]ana!$B191=N$4),"ok","nok")</f>
        <v>nok</v>
      </c>
      <c r="O194" s="84" t="str">
        <f>IF(AND($B194=[1]ana!$A191,[1]ana!$B191=O$4),"ok","nok")</f>
        <v>nok</v>
      </c>
      <c r="P194" s="84" t="str">
        <f>IF(AND($B194=[1]ana!$A191,[1]ana!$B191=P$4),"ok","nok")</f>
        <v>nok</v>
      </c>
      <c r="Q194" s="84" t="str">
        <f>IF(AND($B194=[1]ana!$A191,[1]ana!$B191=Q$4),"ok","nok")</f>
        <v>nok</v>
      </c>
      <c r="R194" s="84" t="str">
        <f>IF(AND($B194=[1]ana!$A191,[1]ana!$B191=R$4),"ok","nok")</f>
        <v>nok</v>
      </c>
      <c r="S194" s="84" t="str">
        <f>IF(AND($B194=[1]ana!$A191,[1]ana!$B191=S$4),"ok","nok")</f>
        <v>nok</v>
      </c>
      <c r="T194" s="84" t="str">
        <f>IF(AND($B194=[1]ana!$A191,[1]ana!$B191=T$4),"ok","nok")</f>
        <v>nok</v>
      </c>
      <c r="U194" s="84" t="str">
        <f>IF(AND($B194=[1]ana!$A191,[1]ana!$B191=U$4),"ok","nok")</f>
        <v>nok</v>
      </c>
      <c r="V194" s="84" t="str">
        <f>IF(AND($B194=[1]ana!$A191,[1]ana!$B191=V$4),"ok","nok")</f>
        <v>ok</v>
      </c>
      <c r="W194" s="84" t="str">
        <f>IF(AND($B194=[1]ana!$A191,[1]ana!$B191=W$4),"ok","nok")</f>
        <v>nok</v>
      </c>
      <c r="X194" s="84" t="str">
        <f>IF(AND($B194=[1]ana!$A191,[1]ana!$B191=X$4),"ok","nok")</f>
        <v>nok</v>
      </c>
      <c r="Y194" s="85" t="s">
        <v>15</v>
      </c>
      <c r="Z194" s="86"/>
      <c r="AA194" s="86"/>
      <c r="AB194" s="87"/>
      <c r="AC194" s="60" t="str">
        <f t="shared" si="36"/>
        <v/>
      </c>
      <c r="AD194" s="60"/>
      <c r="AE194" s="60"/>
      <c r="AF194" s="60"/>
      <c r="AG194" s="61">
        <f t="shared" si="37"/>
        <v>0</v>
      </c>
      <c r="AH194" s="61" t="str">
        <f t="shared" si="38"/>
        <v/>
      </c>
      <c r="AI194" s="61">
        <f t="shared" si="39"/>
        <v>0</v>
      </c>
      <c r="AJ194" s="61" t="str">
        <f t="shared" si="40"/>
        <v/>
      </c>
      <c r="AK194" s="61">
        <f t="shared" si="41"/>
        <v>0</v>
      </c>
      <c r="AL194" s="61" t="str">
        <f t="shared" si="42"/>
        <v/>
      </c>
      <c r="AM194" s="61">
        <f t="shared" si="43"/>
        <v>1</v>
      </c>
      <c r="AN194" s="61" t="str">
        <f t="shared" si="44"/>
        <v/>
      </c>
      <c r="AO194" s="61">
        <f t="shared" si="45"/>
        <v>0</v>
      </c>
      <c r="AP194" s="61" t="str">
        <f t="shared" si="46"/>
        <v/>
      </c>
    </row>
    <row r="195" spans="1:42" ht="30" customHeight="1" x14ac:dyDescent="0.35">
      <c r="A195" s="26" t="str">
        <f t="shared" si="56"/>
        <v>PT188 - ESTUDO DE ENGENHARIA DO GALPÃO RH75
ETAPA DE CAMPO
FASE 1 - SERVIÇOS DE CAMPO
MARCO - RELATÓRIO DA NUVEM DE PONTOS</v>
      </c>
      <c r="B195" s="51" t="s">
        <v>107</v>
      </c>
      <c r="C195" s="84" t="str">
        <f>IF(AND($B195=[1]ana!$A192,[1]ana!$B192=C$4),"ok","nok")</f>
        <v>nok</v>
      </c>
      <c r="D195" s="84" t="str">
        <f>IF(AND($B195=[1]ana!$A192,[1]ana!$B192=D$4),"ok","nok")</f>
        <v>nok</v>
      </c>
      <c r="E195" s="84" t="str">
        <f>IF(AND($B195=[1]ana!$A192,[1]ana!$B192=E$4),"ok","nok")</f>
        <v>nok</v>
      </c>
      <c r="F195" s="84" t="str">
        <f>IF(AND($B195=[1]ana!$A192,[1]ana!$B192=F$4),"ok","nok")</f>
        <v>nok</v>
      </c>
      <c r="G195" s="84" t="str">
        <f>IF(AND($B195=[1]ana!$A192,[1]ana!$B192=G$4),"ok","nok")</f>
        <v>nok</v>
      </c>
      <c r="H195" s="84" t="str">
        <f>IF(AND($B195=[1]ana!$A192,[1]ana!$B192=H$4),"ok","nok")</f>
        <v>nok</v>
      </c>
      <c r="I195" s="84" t="str">
        <f>IF(AND($B195=[1]ana!$A192,[1]ana!$B192=I$4),"ok","nok")</f>
        <v>nok</v>
      </c>
      <c r="J195" s="84" t="str">
        <f>IF(AND($B195=[1]ana!$A192,[1]ana!$B192=J$4),"ok","nok")</f>
        <v>nok</v>
      </c>
      <c r="K195" s="84" t="str">
        <f>IF(AND($B195=[1]ana!$A192,[1]ana!$B192=K$4),"ok","nok")</f>
        <v>nok</v>
      </c>
      <c r="L195" s="84" t="str">
        <f>IF(AND($B195=[1]ana!$A192,[1]ana!$B192=L$4),"ok","nok")</f>
        <v>nok</v>
      </c>
      <c r="M195" s="84" t="str">
        <f>IF(AND($B195=[1]ana!$A192,[1]ana!$B192=M$4),"ok","nok")</f>
        <v>ok</v>
      </c>
      <c r="N195" s="84" t="str">
        <f>IF(AND($B195=[1]ana!$A192,[1]ana!$B192=N$4),"ok","nok")</f>
        <v>nok</v>
      </c>
      <c r="O195" s="84" t="str">
        <f>IF(AND($B195=[1]ana!$A192,[1]ana!$B192=O$4),"ok","nok")</f>
        <v>nok</v>
      </c>
      <c r="P195" s="84" t="str">
        <f>IF(AND($B195=[1]ana!$A192,[1]ana!$B192=P$4),"ok","nok")</f>
        <v>nok</v>
      </c>
      <c r="Q195" s="84" t="str">
        <f>IF(AND($B195=[1]ana!$A192,[1]ana!$B192=Q$4),"ok","nok")</f>
        <v>nok</v>
      </c>
      <c r="R195" s="84" t="str">
        <f>IF(AND($B195=[1]ana!$A192,[1]ana!$B192=R$4),"ok","nok")</f>
        <v>nok</v>
      </c>
      <c r="S195" s="84" t="str">
        <f>IF(AND($B195=[1]ana!$A192,[1]ana!$B192=S$4),"ok","nok")</f>
        <v>nok</v>
      </c>
      <c r="T195" s="84" t="str">
        <f>IF(AND($B195=[1]ana!$A192,[1]ana!$B192=T$4),"ok","nok")</f>
        <v>nok</v>
      </c>
      <c r="U195" s="84" t="str">
        <f>IF(AND($B195=[1]ana!$A192,[1]ana!$B192=U$4),"ok","nok")</f>
        <v>nok</v>
      </c>
      <c r="V195" s="84" t="str">
        <f>IF(AND($B195=[1]ana!$A192,[1]ana!$B192=V$4),"ok","nok")</f>
        <v>nok</v>
      </c>
      <c r="W195" s="84" t="str">
        <f>IF(AND($B195=[1]ana!$A192,[1]ana!$B192=W$4),"ok","nok")</f>
        <v>nok</v>
      </c>
      <c r="X195" s="84" t="str">
        <f>IF(AND($B195=[1]ana!$A192,[1]ana!$B192=X$4),"ok","nok")</f>
        <v>nok</v>
      </c>
      <c r="Y195" s="85" t="s">
        <v>15</v>
      </c>
      <c r="Z195" s="86"/>
      <c r="AA195" s="86"/>
      <c r="AB195" s="87"/>
      <c r="AC195" s="60" t="str">
        <f t="shared" si="36"/>
        <v/>
      </c>
      <c r="AD195" s="60"/>
      <c r="AE195" s="60"/>
      <c r="AF195" s="60"/>
      <c r="AG195" s="61">
        <f t="shared" si="37"/>
        <v>0</v>
      </c>
      <c r="AH195" s="61" t="str">
        <f t="shared" si="38"/>
        <v/>
      </c>
      <c r="AI195" s="61">
        <f t="shared" si="39"/>
        <v>0</v>
      </c>
      <c r="AJ195" s="61" t="str">
        <f t="shared" si="40"/>
        <v/>
      </c>
      <c r="AK195" s="61">
        <f t="shared" si="41"/>
        <v>1</v>
      </c>
      <c r="AL195" s="61" t="str">
        <f t="shared" si="42"/>
        <v/>
      </c>
      <c r="AM195" s="61">
        <f t="shared" si="43"/>
        <v>0</v>
      </c>
      <c r="AN195" s="61" t="str">
        <f t="shared" si="44"/>
        <v/>
      </c>
      <c r="AO195" s="61">
        <f t="shared" si="45"/>
        <v>0</v>
      </c>
      <c r="AP195" s="61" t="str">
        <f t="shared" si="46"/>
        <v/>
      </c>
    </row>
    <row r="196" spans="1:42" ht="30" customHeight="1" x14ac:dyDescent="0.35">
      <c r="A196" s="26" t="str">
        <f t="shared" si="56"/>
        <v>PT188 - ESTUDO DE ENGENHARIA DO GALPÃO RH75
ETAPA DE CAMPO
FASE 1 - SERVIÇOS DE CAMPO
MARCO - RELATÓRIO DA NUVEM DE PONTOS</v>
      </c>
      <c r="B196" s="51" t="s">
        <v>108</v>
      </c>
      <c r="C196" s="84" t="str">
        <f>IF(AND($B196=[1]ana!$A193,[1]ana!$B193=C$4),"ok","nok")</f>
        <v>nok</v>
      </c>
      <c r="D196" s="84" t="str">
        <f>IF(AND($B196=[1]ana!$A193,[1]ana!$B193=D$4),"ok","nok")</f>
        <v>nok</v>
      </c>
      <c r="E196" s="84" t="str">
        <f>IF(AND($B196=[1]ana!$A193,[1]ana!$B193=E$4),"ok","nok")</f>
        <v>nok</v>
      </c>
      <c r="F196" s="84" t="str">
        <f>IF(AND($B196=[1]ana!$A193,[1]ana!$B193=F$4),"ok","nok")</f>
        <v>nok</v>
      </c>
      <c r="G196" s="84" t="str">
        <f>IF(AND($B196=[1]ana!$A193,[1]ana!$B193=G$4),"ok","nok")</f>
        <v>nok</v>
      </c>
      <c r="H196" s="84" t="str">
        <f>IF(AND($B196=[1]ana!$A193,[1]ana!$B193=H$4),"ok","nok")</f>
        <v>nok</v>
      </c>
      <c r="I196" s="84" t="str">
        <f>IF(AND($B196=[1]ana!$A193,[1]ana!$B193=I$4),"ok","nok")</f>
        <v>nok</v>
      </c>
      <c r="J196" s="84" t="str">
        <f>IF(AND($B196=[1]ana!$A193,[1]ana!$B193=J$4),"ok","nok")</f>
        <v>ok</v>
      </c>
      <c r="K196" s="84" t="str">
        <f>IF(AND($B196=[1]ana!$A193,[1]ana!$B193=K$4),"ok","nok")</f>
        <v>nok</v>
      </c>
      <c r="L196" s="84" t="str">
        <f>IF(AND($B196=[1]ana!$A193,[1]ana!$B193=L$4),"ok","nok")</f>
        <v>nok</v>
      </c>
      <c r="M196" s="84" t="str">
        <f>IF(AND($B196=[1]ana!$A193,[1]ana!$B193=M$4),"ok","nok")</f>
        <v>nok</v>
      </c>
      <c r="N196" s="84" t="str">
        <f>IF(AND($B196=[1]ana!$A193,[1]ana!$B193=N$4),"ok","nok")</f>
        <v>nok</v>
      </c>
      <c r="O196" s="84" t="str">
        <f>IF(AND($B196=[1]ana!$A193,[1]ana!$B193=O$4),"ok","nok")</f>
        <v>nok</v>
      </c>
      <c r="P196" s="84" t="str">
        <f>IF(AND($B196=[1]ana!$A193,[1]ana!$B193=P$4),"ok","nok")</f>
        <v>nok</v>
      </c>
      <c r="Q196" s="84" t="str">
        <f>IF(AND($B196=[1]ana!$A193,[1]ana!$B193=Q$4),"ok","nok")</f>
        <v>nok</v>
      </c>
      <c r="R196" s="84" t="str">
        <f>IF(AND($B196=[1]ana!$A193,[1]ana!$B193=R$4),"ok","nok")</f>
        <v>nok</v>
      </c>
      <c r="S196" s="84" t="str">
        <f>IF(AND($B196=[1]ana!$A193,[1]ana!$B193=S$4),"ok","nok")</f>
        <v>nok</v>
      </c>
      <c r="T196" s="84" t="str">
        <f>IF(AND($B196=[1]ana!$A193,[1]ana!$B193=T$4),"ok","nok")</f>
        <v>nok</v>
      </c>
      <c r="U196" s="84" t="str">
        <f>IF(AND($B196=[1]ana!$A193,[1]ana!$B193=U$4),"ok","nok")</f>
        <v>nok</v>
      </c>
      <c r="V196" s="84" t="str">
        <f>IF(AND($B196=[1]ana!$A193,[1]ana!$B193=V$4),"ok","nok")</f>
        <v>nok</v>
      </c>
      <c r="W196" s="84" t="str">
        <f>IF(AND($B196=[1]ana!$A193,[1]ana!$B193=W$4),"ok","nok")</f>
        <v>nok</v>
      </c>
      <c r="X196" s="84" t="str">
        <f>IF(AND($B196=[1]ana!$A193,[1]ana!$B193=X$4),"ok","nok")</f>
        <v>nok</v>
      </c>
      <c r="Y196" s="85" t="s">
        <v>15</v>
      </c>
      <c r="Z196" s="86"/>
      <c r="AA196" s="86"/>
      <c r="AB196" s="87"/>
      <c r="AC196" s="60" t="str">
        <f t="shared" si="36"/>
        <v/>
      </c>
      <c r="AD196" s="60"/>
      <c r="AE196" s="60"/>
      <c r="AF196" s="60"/>
      <c r="AG196" s="61">
        <f t="shared" si="37"/>
        <v>0</v>
      </c>
      <c r="AH196" s="61" t="str">
        <f t="shared" si="38"/>
        <v/>
      </c>
      <c r="AI196" s="61">
        <f t="shared" si="39"/>
        <v>1</v>
      </c>
      <c r="AJ196" s="61" t="str">
        <f t="shared" si="40"/>
        <v/>
      </c>
      <c r="AK196" s="61">
        <f t="shared" si="41"/>
        <v>0</v>
      </c>
      <c r="AL196" s="61" t="str">
        <f t="shared" si="42"/>
        <v/>
      </c>
      <c r="AM196" s="61">
        <f t="shared" si="43"/>
        <v>0</v>
      </c>
      <c r="AN196" s="61" t="str">
        <f t="shared" si="44"/>
        <v/>
      </c>
      <c r="AO196" s="61">
        <f t="shared" si="45"/>
        <v>0</v>
      </c>
      <c r="AP196" s="61" t="str">
        <f t="shared" si="46"/>
        <v/>
      </c>
    </row>
    <row r="197" spans="1:42" ht="30" customHeight="1" x14ac:dyDescent="0.35">
      <c r="B197" s="52" t="s">
        <v>109</v>
      </c>
      <c r="C197" s="52"/>
      <c r="D197" s="52"/>
      <c r="E197" s="52"/>
      <c r="F197" s="52"/>
      <c r="G197" s="52"/>
      <c r="H197" s="52"/>
      <c r="I197" s="52"/>
      <c r="J197" s="52"/>
      <c r="K197" s="52"/>
      <c r="L197" s="52"/>
      <c r="M197" s="52"/>
      <c r="N197" s="52"/>
      <c r="O197" s="52"/>
      <c r="P197" s="52"/>
      <c r="Q197" s="52"/>
      <c r="R197" s="52"/>
      <c r="S197" s="52"/>
      <c r="T197" s="52"/>
      <c r="U197" s="52"/>
      <c r="V197" s="52"/>
      <c r="W197" s="52"/>
      <c r="X197" s="52"/>
      <c r="Y197" s="88"/>
      <c r="Z197" s="89"/>
      <c r="AA197" s="89"/>
      <c r="AB197" s="90"/>
    </row>
    <row r="198" spans="1:42" ht="30" customHeight="1" x14ac:dyDescent="0.35">
      <c r="A198" s="26" t="str">
        <f>CONCATENATE($B$182,"
",$B$185,"
",$B$186,"
",$B$197)</f>
        <v>PT188 - ESTUDO DE ENGENHARIA DO GALPÃO RH75
ETAPA DE CAMPO
FASE 1 - SERVIÇOS DE CAMPO
MARCO - RELATÓRIO DE INSPEÇÃO DE CAMPO</v>
      </c>
      <c r="B198" s="53" t="s">
        <v>19</v>
      </c>
      <c r="C198" s="84" t="str">
        <f>IF(AND($B198=[1]ana!$A195,[1]ana!$B195=C$4),"ok","nok")</f>
        <v>nok</v>
      </c>
      <c r="D198" s="84" t="str">
        <f>IF(AND($B198=[1]ana!$A195,[1]ana!$B195=D$4),"ok","nok")</f>
        <v>nok</v>
      </c>
      <c r="E198" s="84" t="str">
        <f>IF(AND($B198=[1]ana!$A195,[1]ana!$B195=E$4),"ok","nok")</f>
        <v>nok</v>
      </c>
      <c r="F198" s="84" t="str">
        <f>IF(AND($B198=[1]ana!$A195,[1]ana!$B195=F$4),"ok","nok")</f>
        <v>nok</v>
      </c>
      <c r="G198" s="84" t="str">
        <f>IF(AND($B198=[1]ana!$A195,[1]ana!$B195=G$4),"ok","nok")</f>
        <v>nok</v>
      </c>
      <c r="H198" s="84" t="str">
        <f>IF(AND($B198=[1]ana!$A195,[1]ana!$B195=H$4),"ok","nok")</f>
        <v>nok</v>
      </c>
      <c r="I198" s="84" t="str">
        <f>IF(AND($B198=[1]ana!$A195,[1]ana!$B195=I$4),"ok","nok")</f>
        <v>nok</v>
      </c>
      <c r="J198" s="84" t="str">
        <f>IF(AND($B198=[1]ana!$A195,[1]ana!$B195=J$4),"ok","nok")</f>
        <v>ok</v>
      </c>
      <c r="K198" s="84" t="str">
        <f>IF(AND($B198=[1]ana!$A195,[1]ana!$B195=K$4),"ok","nok")</f>
        <v>nok</v>
      </c>
      <c r="L198" s="84" t="str">
        <f>IF(AND($B198=[1]ana!$A195,[1]ana!$B195=L$4),"ok","nok")</f>
        <v>nok</v>
      </c>
      <c r="M198" s="84" t="str">
        <f>IF(AND($B198=[1]ana!$A195,[1]ana!$B195=M$4),"ok","nok")</f>
        <v>nok</v>
      </c>
      <c r="N198" s="84" t="str">
        <f>IF(AND($B198=[1]ana!$A195,[1]ana!$B195=N$4),"ok","nok")</f>
        <v>nok</v>
      </c>
      <c r="O198" s="84" t="str">
        <f>IF(AND($B198=[1]ana!$A195,[1]ana!$B195=O$4),"ok","nok")</f>
        <v>nok</v>
      </c>
      <c r="P198" s="84" t="str">
        <f>IF(AND($B198=[1]ana!$A195,[1]ana!$B195=P$4),"ok","nok")</f>
        <v>nok</v>
      </c>
      <c r="Q198" s="84" t="str">
        <f>IF(AND($B198=[1]ana!$A195,[1]ana!$B195=Q$4),"ok","nok")</f>
        <v>nok</v>
      </c>
      <c r="R198" s="84" t="str">
        <f>IF(AND($B198=[1]ana!$A195,[1]ana!$B195=R$4),"ok","nok")</f>
        <v>nok</v>
      </c>
      <c r="S198" s="84" t="str">
        <f>IF(AND($B198=[1]ana!$A195,[1]ana!$B195=S$4),"ok","nok")</f>
        <v>nok</v>
      </c>
      <c r="T198" s="84" t="str">
        <f>IF(AND($B198=[1]ana!$A195,[1]ana!$B195=T$4),"ok","nok")</f>
        <v>nok</v>
      </c>
      <c r="U198" s="84" t="str">
        <f>IF(AND($B198=[1]ana!$A195,[1]ana!$B195=U$4),"ok","nok")</f>
        <v>nok</v>
      </c>
      <c r="V198" s="84" t="str">
        <f>IF(AND($B198=[1]ana!$A195,[1]ana!$B195=V$4),"ok","nok")</f>
        <v>nok</v>
      </c>
      <c r="W198" s="84" t="str">
        <f>IF(AND($B198=[1]ana!$A195,[1]ana!$B195=W$4),"ok","nok")</f>
        <v>nok</v>
      </c>
      <c r="X198" s="84" t="str">
        <f>IF(AND($B198=[1]ana!$A195,[1]ana!$B195=X$4),"ok","nok")</f>
        <v>nok</v>
      </c>
      <c r="Y198" s="85" t="s">
        <v>33</v>
      </c>
      <c r="Z198" s="86"/>
      <c r="AA198" s="86"/>
      <c r="AB198" s="87"/>
    </row>
    <row r="199" spans="1:42" ht="30" customHeight="1" x14ac:dyDescent="0.35">
      <c r="A199" s="26" t="str">
        <f t="shared" ref="A199:A203" si="57">CONCATENATE($B$182,"
",$B$185,"
",$B$186,"
",$B$197)</f>
        <v>PT188 - ESTUDO DE ENGENHARIA DO GALPÃO RH75
ETAPA DE CAMPO
FASE 1 - SERVIÇOS DE CAMPO
MARCO - RELATÓRIO DE INSPEÇÃO DE CAMPO</v>
      </c>
      <c r="B199" s="53" t="s">
        <v>43</v>
      </c>
      <c r="C199" s="84" t="str">
        <f>IF(AND($B199=[1]ana!$A196,[1]ana!$B196=C$4),"ok","nok")</f>
        <v>nok</v>
      </c>
      <c r="D199" s="84" t="str">
        <f>IF(AND($B199=[1]ana!$A196,[1]ana!$B196=D$4),"ok","nok")</f>
        <v>nok</v>
      </c>
      <c r="E199" s="84" t="str">
        <f>IF(AND($B199=[1]ana!$A196,[1]ana!$B196=E$4),"ok","nok")</f>
        <v>nok</v>
      </c>
      <c r="F199" s="84" t="str">
        <f>IF(AND($B199=[1]ana!$A196,[1]ana!$B196=F$4),"ok","nok")</f>
        <v>nok</v>
      </c>
      <c r="G199" s="84" t="str">
        <f>IF(AND($B199=[1]ana!$A196,[1]ana!$B196=G$4),"ok","nok")</f>
        <v>nok</v>
      </c>
      <c r="H199" s="84" t="str">
        <f>IF(AND($B199=[1]ana!$A196,[1]ana!$B196=H$4),"ok","nok")</f>
        <v>nok</v>
      </c>
      <c r="I199" s="84" t="str">
        <f>IF(AND($B199=[1]ana!$A196,[1]ana!$B196=I$4),"ok","nok")</f>
        <v>nok</v>
      </c>
      <c r="J199" s="84" t="str">
        <f>IF(AND($B199=[1]ana!$A196,[1]ana!$B196=J$4),"ok","nok")</f>
        <v>nok</v>
      </c>
      <c r="K199" s="84" t="str">
        <f>IF(AND($B199=[1]ana!$A196,[1]ana!$B196=K$4),"ok","nok")</f>
        <v>nok</v>
      </c>
      <c r="L199" s="84" t="str">
        <f>IF(AND($B199=[1]ana!$A196,[1]ana!$B196=L$4),"ok","nok")</f>
        <v>nok</v>
      </c>
      <c r="M199" s="84" t="str">
        <f>IF(AND($B199=[1]ana!$A196,[1]ana!$B196=M$4),"ok","nok")</f>
        <v>nok</v>
      </c>
      <c r="N199" s="84" t="str">
        <f>IF(AND($B199=[1]ana!$A196,[1]ana!$B196=N$4),"ok","nok")</f>
        <v>nok</v>
      </c>
      <c r="O199" s="84" t="str">
        <f>IF(AND($B199=[1]ana!$A196,[1]ana!$B196=O$4),"ok","nok")</f>
        <v>nok</v>
      </c>
      <c r="P199" s="84" t="str">
        <f>IF(AND($B199=[1]ana!$A196,[1]ana!$B196=P$4),"ok","nok")</f>
        <v>nok</v>
      </c>
      <c r="Q199" s="84" t="str">
        <f>IF(AND($B199=[1]ana!$A196,[1]ana!$B196=Q$4),"ok","nok")</f>
        <v>ok</v>
      </c>
      <c r="R199" s="84" t="str">
        <f>IF(AND($B199=[1]ana!$A196,[1]ana!$B196=R$4),"ok","nok")</f>
        <v>nok</v>
      </c>
      <c r="S199" s="84" t="str">
        <f>IF(AND($B199=[1]ana!$A196,[1]ana!$B196=S$4),"ok","nok")</f>
        <v>nok</v>
      </c>
      <c r="T199" s="84" t="str">
        <f>IF(AND($B199=[1]ana!$A196,[1]ana!$B196=T$4),"ok","nok")</f>
        <v>nok</v>
      </c>
      <c r="U199" s="84" t="str">
        <f>IF(AND($B199=[1]ana!$A196,[1]ana!$B196=U$4),"ok","nok")</f>
        <v>nok</v>
      </c>
      <c r="V199" s="84" t="str">
        <f>IF(AND($B199=[1]ana!$A196,[1]ana!$B196=V$4),"ok","nok")</f>
        <v>nok</v>
      </c>
      <c r="W199" s="84" t="str">
        <f>IF(AND($B199=[1]ana!$A196,[1]ana!$B196=W$4),"ok","nok")</f>
        <v>nok</v>
      </c>
      <c r="X199" s="84" t="str">
        <f>IF(AND($B199=[1]ana!$A196,[1]ana!$B196=X$4),"ok","nok")</f>
        <v>nok</v>
      </c>
      <c r="Y199" s="85" t="s">
        <v>15</v>
      </c>
      <c r="Z199" s="86"/>
      <c r="AA199" s="86"/>
      <c r="AB199" s="87"/>
    </row>
    <row r="200" spans="1:42" ht="30" customHeight="1" x14ac:dyDescent="0.35">
      <c r="A200" s="26" t="str">
        <f t="shared" si="57"/>
        <v>PT188 - ESTUDO DE ENGENHARIA DO GALPÃO RH75
ETAPA DE CAMPO
FASE 1 - SERVIÇOS DE CAMPO
MARCO - RELATÓRIO DE INSPEÇÃO DE CAMPO</v>
      </c>
      <c r="B200" s="53" t="s">
        <v>44</v>
      </c>
      <c r="C200" s="84" t="str">
        <f>IF(AND($B200=[1]ana!$A197,[1]ana!$B197=C$4),"ok","nok")</f>
        <v>nok</v>
      </c>
      <c r="D200" s="84" t="str">
        <f>IF(AND($B200=[1]ana!$A197,[1]ana!$B197=D$4),"ok","nok")</f>
        <v>nok</v>
      </c>
      <c r="E200" s="84" t="str">
        <f>IF(AND($B200=[1]ana!$A197,[1]ana!$B197=E$4),"ok","nok")</f>
        <v>nok</v>
      </c>
      <c r="F200" s="84" t="str">
        <f>IF(AND($B200=[1]ana!$A197,[1]ana!$B197=F$4),"ok","nok")</f>
        <v>nok</v>
      </c>
      <c r="G200" s="84" t="str">
        <f>IF(AND($B200=[1]ana!$A197,[1]ana!$B197=G$4),"ok","nok")</f>
        <v>nok</v>
      </c>
      <c r="H200" s="84" t="str">
        <f>IF(AND($B200=[1]ana!$A197,[1]ana!$B197=H$4),"ok","nok")</f>
        <v>nok</v>
      </c>
      <c r="I200" s="84" t="str">
        <f>IF(AND($B200=[1]ana!$A197,[1]ana!$B197=I$4),"ok","nok")</f>
        <v>nok</v>
      </c>
      <c r="J200" s="84" t="str">
        <f>IF(AND($B200=[1]ana!$A197,[1]ana!$B197=J$4),"ok","nok")</f>
        <v>nok</v>
      </c>
      <c r="K200" s="84" t="str">
        <f>IF(AND($B200=[1]ana!$A197,[1]ana!$B197=K$4),"ok","nok")</f>
        <v>nok</v>
      </c>
      <c r="L200" s="84" t="str">
        <f>IF(AND($B200=[1]ana!$A197,[1]ana!$B197=L$4),"ok","nok")</f>
        <v>nok</v>
      </c>
      <c r="M200" s="84" t="str">
        <f>IF(AND($B200=[1]ana!$A197,[1]ana!$B197=M$4),"ok","nok")</f>
        <v>nok</v>
      </c>
      <c r="N200" s="84" t="str">
        <f>IF(AND($B200=[1]ana!$A197,[1]ana!$B197=N$4),"ok","nok")</f>
        <v>nok</v>
      </c>
      <c r="O200" s="84" t="str">
        <f>IF(AND($B200=[1]ana!$A197,[1]ana!$B197=O$4),"ok","nok")</f>
        <v>nok</v>
      </c>
      <c r="P200" s="84" t="str">
        <f>IF(AND($B200=[1]ana!$A197,[1]ana!$B197=P$4),"ok","nok")</f>
        <v>nok</v>
      </c>
      <c r="Q200" s="84" t="str">
        <f>IF(AND($B200=[1]ana!$A197,[1]ana!$B197=Q$4),"ok","nok")</f>
        <v>nok</v>
      </c>
      <c r="R200" s="84" t="str">
        <f>IF(AND($B200=[1]ana!$A197,[1]ana!$B197=R$4),"ok","nok")</f>
        <v>nok</v>
      </c>
      <c r="S200" s="84" t="str">
        <f>IF(AND($B200=[1]ana!$A197,[1]ana!$B197=S$4),"ok","nok")</f>
        <v>nok</v>
      </c>
      <c r="T200" s="84" t="str">
        <f>IF(AND($B200=[1]ana!$A197,[1]ana!$B197=T$4),"ok","nok")</f>
        <v>ok</v>
      </c>
      <c r="U200" s="84" t="str">
        <f>IF(AND($B200=[1]ana!$A197,[1]ana!$B197=U$4),"ok","nok")</f>
        <v>nok</v>
      </c>
      <c r="V200" s="84" t="str">
        <f>IF(AND($B200=[1]ana!$A197,[1]ana!$B197=V$4),"ok","nok")</f>
        <v>nok</v>
      </c>
      <c r="W200" s="84" t="str">
        <f>IF(AND($B200=[1]ana!$A197,[1]ana!$B197=W$4),"ok","nok")</f>
        <v>nok</v>
      </c>
      <c r="X200" s="84" t="str">
        <f>IF(AND($B200=[1]ana!$A197,[1]ana!$B197=X$4),"ok","nok")</f>
        <v>nok</v>
      </c>
      <c r="Y200" s="85" t="s">
        <v>15</v>
      </c>
      <c r="Z200" s="86"/>
      <c r="AA200" s="86"/>
      <c r="AB200" s="87"/>
    </row>
    <row r="201" spans="1:42" ht="30" customHeight="1" x14ac:dyDescent="0.35">
      <c r="A201" s="26" t="str">
        <f t="shared" si="57"/>
        <v>PT188 - ESTUDO DE ENGENHARIA DO GALPÃO RH75
ETAPA DE CAMPO
FASE 1 - SERVIÇOS DE CAMPO
MARCO - RELATÓRIO DE INSPEÇÃO DE CAMPO</v>
      </c>
      <c r="B201" s="53" t="s">
        <v>45</v>
      </c>
      <c r="C201" s="84" t="str">
        <f>IF(AND($B201=[1]ana!$A198,[1]ana!$B198=C$4),"ok","nok")</f>
        <v>nok</v>
      </c>
      <c r="D201" s="84" t="str">
        <f>IF(AND($B201=[1]ana!$A198,[1]ana!$B198=D$4),"ok","nok")</f>
        <v>nok</v>
      </c>
      <c r="E201" s="84" t="str">
        <f>IF(AND($B201=[1]ana!$A198,[1]ana!$B198=E$4),"ok","nok")</f>
        <v>nok</v>
      </c>
      <c r="F201" s="84" t="str">
        <f>IF(AND($B201=[1]ana!$A198,[1]ana!$B198=F$4),"ok","nok")</f>
        <v>nok</v>
      </c>
      <c r="G201" s="84" t="str">
        <f>IF(AND($B201=[1]ana!$A198,[1]ana!$B198=G$4),"ok","nok")</f>
        <v>nok</v>
      </c>
      <c r="H201" s="84" t="str">
        <f>IF(AND($B201=[1]ana!$A198,[1]ana!$B198=H$4),"ok","nok")</f>
        <v>nok</v>
      </c>
      <c r="I201" s="84" t="str">
        <f>IF(AND($B201=[1]ana!$A198,[1]ana!$B198=I$4),"ok","nok")</f>
        <v>nok</v>
      </c>
      <c r="J201" s="84" t="str">
        <f>IF(AND($B201=[1]ana!$A198,[1]ana!$B198=J$4),"ok","nok")</f>
        <v>nok</v>
      </c>
      <c r="K201" s="84" t="str">
        <f>IF(AND($B201=[1]ana!$A198,[1]ana!$B198=K$4),"ok","nok")</f>
        <v>nok</v>
      </c>
      <c r="L201" s="84" t="str">
        <f>IF(AND($B201=[1]ana!$A198,[1]ana!$B198=L$4),"ok","nok")</f>
        <v>nok</v>
      </c>
      <c r="M201" s="84" t="str">
        <f>IF(AND($B201=[1]ana!$A198,[1]ana!$B198=M$4),"ok","nok")</f>
        <v>nok</v>
      </c>
      <c r="N201" s="84" t="str">
        <f>IF(AND($B201=[1]ana!$A198,[1]ana!$B198=N$4),"ok","nok")</f>
        <v>nok</v>
      </c>
      <c r="O201" s="84" t="str">
        <f>IF(AND($B201=[1]ana!$A198,[1]ana!$B198=O$4),"ok","nok")</f>
        <v>nok</v>
      </c>
      <c r="P201" s="84" t="str">
        <f>IF(AND($B201=[1]ana!$A198,[1]ana!$B198=P$4),"ok","nok")</f>
        <v>nok</v>
      </c>
      <c r="Q201" s="84" t="str">
        <f>IF(AND($B201=[1]ana!$A198,[1]ana!$B198=Q$4),"ok","nok")</f>
        <v>nok</v>
      </c>
      <c r="R201" s="84" t="str">
        <f>IF(AND($B201=[1]ana!$A198,[1]ana!$B198=R$4),"ok","nok")</f>
        <v>nok</v>
      </c>
      <c r="S201" s="84" t="str">
        <f>IF(AND($B201=[1]ana!$A198,[1]ana!$B198=S$4),"ok","nok")</f>
        <v>nok</v>
      </c>
      <c r="T201" s="84" t="str">
        <f>IF(AND($B201=[1]ana!$A198,[1]ana!$B198=T$4),"ok","nok")</f>
        <v>ok</v>
      </c>
      <c r="U201" s="84" t="str">
        <f>IF(AND($B201=[1]ana!$A198,[1]ana!$B198=U$4),"ok","nok")</f>
        <v>nok</v>
      </c>
      <c r="V201" s="84" t="str">
        <f>IF(AND($B201=[1]ana!$A198,[1]ana!$B198=V$4),"ok","nok")</f>
        <v>nok</v>
      </c>
      <c r="W201" s="84" t="str">
        <f>IF(AND($B201=[1]ana!$A198,[1]ana!$B198=W$4),"ok","nok")</f>
        <v>nok</v>
      </c>
      <c r="X201" s="84" t="str">
        <f>IF(AND($B201=[1]ana!$A198,[1]ana!$B198=X$4),"ok","nok")</f>
        <v>nok</v>
      </c>
      <c r="Y201" s="85" t="s">
        <v>15</v>
      </c>
      <c r="Z201" s="86"/>
      <c r="AA201" s="86"/>
      <c r="AB201" s="87"/>
    </row>
    <row r="202" spans="1:42" ht="30" customHeight="1" x14ac:dyDescent="0.35">
      <c r="A202" s="26" t="str">
        <f t="shared" si="57"/>
        <v>PT188 - ESTUDO DE ENGENHARIA DO GALPÃO RH75
ETAPA DE CAMPO
FASE 1 - SERVIÇOS DE CAMPO
MARCO - RELATÓRIO DE INSPEÇÃO DE CAMPO</v>
      </c>
      <c r="B202" s="51" t="s">
        <v>110</v>
      </c>
      <c r="C202" s="84" t="str">
        <f>IF(AND($B202=[1]ana!$A199,[1]ana!$B199=C$4),"ok","nok")</f>
        <v>nok</v>
      </c>
      <c r="D202" s="84" t="str">
        <f>IF(AND($B202=[1]ana!$A199,[1]ana!$B199=D$4),"ok","nok")</f>
        <v>nok</v>
      </c>
      <c r="E202" s="84" t="str">
        <f>IF(AND($B202=[1]ana!$A199,[1]ana!$B199=E$4),"ok","nok")</f>
        <v>nok</v>
      </c>
      <c r="F202" s="84" t="str">
        <f>IF(AND($B202=[1]ana!$A199,[1]ana!$B199=F$4),"ok","nok")</f>
        <v>nok</v>
      </c>
      <c r="G202" s="84" t="str">
        <f>IF(AND($B202=[1]ana!$A199,[1]ana!$B199=G$4),"ok","nok")</f>
        <v>nok</v>
      </c>
      <c r="H202" s="84" t="str">
        <f>IF(AND($B202=[1]ana!$A199,[1]ana!$B199=H$4),"ok","nok")</f>
        <v>nok</v>
      </c>
      <c r="I202" s="84" t="str">
        <f>IF(AND($B202=[1]ana!$A199,[1]ana!$B199=I$4),"ok","nok")</f>
        <v>nok</v>
      </c>
      <c r="J202" s="84" t="str">
        <f>IF(AND($B202=[1]ana!$A199,[1]ana!$B199=J$4),"ok","nok")</f>
        <v>nok</v>
      </c>
      <c r="K202" s="84" t="str">
        <f>IF(AND($B202=[1]ana!$A199,[1]ana!$B199=K$4),"ok","nok")</f>
        <v>nok</v>
      </c>
      <c r="L202" s="84" t="str">
        <f>IF(AND($B202=[1]ana!$A199,[1]ana!$B199=L$4),"ok","nok")</f>
        <v>ok</v>
      </c>
      <c r="M202" s="84" t="str">
        <f>IF(AND($B202=[1]ana!$A199,[1]ana!$B199=M$4),"ok","nok")</f>
        <v>nok</v>
      </c>
      <c r="N202" s="84" t="str">
        <f>IF(AND($B202=[1]ana!$A199,[1]ana!$B199=N$4),"ok","nok")</f>
        <v>nok</v>
      </c>
      <c r="O202" s="84" t="str">
        <f>IF(AND($B202=[1]ana!$A199,[1]ana!$B199=O$4),"ok","nok")</f>
        <v>nok</v>
      </c>
      <c r="P202" s="84" t="str">
        <f>IF(AND($B202=[1]ana!$A199,[1]ana!$B199=P$4),"ok","nok")</f>
        <v>nok</v>
      </c>
      <c r="Q202" s="84" t="str">
        <f>IF(AND($B202=[1]ana!$A199,[1]ana!$B199=Q$4),"ok","nok")</f>
        <v>nok</v>
      </c>
      <c r="R202" s="84" t="str">
        <f>IF(AND($B202=[1]ana!$A199,[1]ana!$B199=R$4),"ok","nok")</f>
        <v>nok</v>
      </c>
      <c r="S202" s="84" t="str">
        <f>IF(AND($B202=[1]ana!$A199,[1]ana!$B199=S$4),"ok","nok")</f>
        <v>nok</v>
      </c>
      <c r="T202" s="84" t="str">
        <f>IF(AND($B202=[1]ana!$A199,[1]ana!$B199=T$4),"ok","nok")</f>
        <v>nok</v>
      </c>
      <c r="U202" s="84" t="str">
        <f>IF(AND($B202=[1]ana!$A199,[1]ana!$B199=U$4),"ok","nok")</f>
        <v>nok</v>
      </c>
      <c r="V202" s="84" t="str">
        <f>IF(AND($B202=[1]ana!$A199,[1]ana!$B199=V$4),"ok","nok")</f>
        <v>nok</v>
      </c>
      <c r="W202" s="84" t="str">
        <f>IF(AND($B202=[1]ana!$A199,[1]ana!$B199=W$4),"ok","nok")</f>
        <v>nok</v>
      </c>
      <c r="X202" s="84" t="str">
        <f>IF(AND($B202=[1]ana!$A199,[1]ana!$B199=X$4),"ok","nok")</f>
        <v>nok</v>
      </c>
      <c r="Y202" s="85" t="s">
        <v>15</v>
      </c>
      <c r="Z202" s="86"/>
      <c r="AA202" s="86"/>
      <c r="AB202" s="87"/>
    </row>
    <row r="203" spans="1:42" ht="30" customHeight="1" x14ac:dyDescent="0.35">
      <c r="A203" s="26" t="str">
        <f t="shared" si="57"/>
        <v>PT188 - ESTUDO DE ENGENHARIA DO GALPÃO RH75
ETAPA DE CAMPO
FASE 1 - SERVIÇOS DE CAMPO
MARCO - RELATÓRIO DE INSPEÇÃO DE CAMPO</v>
      </c>
      <c r="B203" s="51" t="s">
        <v>111</v>
      </c>
      <c r="C203" s="84" t="str">
        <f>IF(AND($B203=[1]ana!$A200,[1]ana!$B200=C$4),"ok","nok")</f>
        <v>nok</v>
      </c>
      <c r="D203" s="84" t="str">
        <f>IF(AND($B203=[1]ana!$A200,[1]ana!$B200=D$4),"ok","nok")</f>
        <v>nok</v>
      </c>
      <c r="E203" s="84" t="str">
        <f>IF(AND($B203=[1]ana!$A200,[1]ana!$B200=E$4),"ok","nok")</f>
        <v>nok</v>
      </c>
      <c r="F203" s="84" t="str">
        <f>IF(AND($B203=[1]ana!$A200,[1]ana!$B200=F$4),"ok","nok")</f>
        <v>nok</v>
      </c>
      <c r="G203" s="84" t="str">
        <f>IF(AND($B203=[1]ana!$A200,[1]ana!$B200=G$4),"ok","nok")</f>
        <v>nok</v>
      </c>
      <c r="H203" s="84" t="str">
        <f>IF(AND($B203=[1]ana!$A200,[1]ana!$B200=H$4),"ok","nok")</f>
        <v>nok</v>
      </c>
      <c r="I203" s="84" t="str">
        <f>IF(AND($B203=[1]ana!$A200,[1]ana!$B200=I$4),"ok","nok")</f>
        <v>nok</v>
      </c>
      <c r="J203" s="84" t="str">
        <f>IF(AND($B203=[1]ana!$A200,[1]ana!$B200=J$4),"ok","nok")</f>
        <v>nok</v>
      </c>
      <c r="K203" s="84" t="str">
        <f>IF(AND($B203=[1]ana!$A200,[1]ana!$B200=K$4),"ok","nok")</f>
        <v>nok</v>
      </c>
      <c r="L203" s="84" t="str">
        <f>IF(AND($B203=[1]ana!$A200,[1]ana!$B200=L$4),"ok","nok")</f>
        <v>ok</v>
      </c>
      <c r="M203" s="84" t="str">
        <f>IF(AND($B203=[1]ana!$A200,[1]ana!$B200=M$4),"ok","nok")</f>
        <v>nok</v>
      </c>
      <c r="N203" s="84" t="str">
        <f>IF(AND($B203=[1]ana!$A200,[1]ana!$B200=N$4),"ok","nok")</f>
        <v>nok</v>
      </c>
      <c r="O203" s="84" t="str">
        <f>IF(AND($B203=[1]ana!$A200,[1]ana!$B200=O$4),"ok","nok")</f>
        <v>nok</v>
      </c>
      <c r="P203" s="84" t="str">
        <f>IF(AND($B203=[1]ana!$A200,[1]ana!$B200=P$4),"ok","nok")</f>
        <v>nok</v>
      </c>
      <c r="Q203" s="84" t="str">
        <f>IF(AND($B203=[1]ana!$A200,[1]ana!$B200=Q$4),"ok","nok")</f>
        <v>nok</v>
      </c>
      <c r="R203" s="84" t="str">
        <f>IF(AND($B203=[1]ana!$A200,[1]ana!$B200=R$4),"ok","nok")</f>
        <v>nok</v>
      </c>
      <c r="S203" s="84" t="str">
        <f>IF(AND($B203=[1]ana!$A200,[1]ana!$B200=S$4),"ok","nok")</f>
        <v>nok</v>
      </c>
      <c r="T203" s="84" t="str">
        <f>IF(AND($B203=[1]ana!$A200,[1]ana!$B200=T$4),"ok","nok")</f>
        <v>nok</v>
      </c>
      <c r="U203" s="84" t="str">
        <f>IF(AND($B203=[1]ana!$A200,[1]ana!$B200=U$4),"ok","nok")</f>
        <v>nok</v>
      </c>
      <c r="V203" s="84" t="str">
        <f>IF(AND($B203=[1]ana!$A200,[1]ana!$B200=V$4),"ok","nok")</f>
        <v>nok</v>
      </c>
      <c r="W203" s="84" t="str">
        <f>IF(AND($B203=[1]ana!$A200,[1]ana!$B200=W$4),"ok","nok")</f>
        <v>nok</v>
      </c>
      <c r="X203" s="84" t="str">
        <f>IF(AND($B203=[1]ana!$A200,[1]ana!$B200=X$4),"ok","nok")</f>
        <v>nok</v>
      </c>
      <c r="Y203" s="85" t="s">
        <v>15</v>
      </c>
      <c r="Z203" s="86"/>
      <c r="AA203" s="86"/>
      <c r="AB203" s="87"/>
    </row>
    <row r="204" spans="1:42" ht="30" customHeight="1" x14ac:dyDescent="0.35">
      <c r="B204" s="52" t="s">
        <v>112</v>
      </c>
      <c r="C204" s="52"/>
      <c r="D204" s="52"/>
      <c r="E204" s="52"/>
      <c r="F204" s="52"/>
      <c r="G204" s="52"/>
      <c r="H204" s="52"/>
      <c r="I204" s="52"/>
      <c r="J204" s="52"/>
      <c r="K204" s="52"/>
      <c r="L204" s="52"/>
      <c r="M204" s="52"/>
      <c r="N204" s="52"/>
      <c r="O204" s="52"/>
      <c r="P204" s="52"/>
      <c r="Q204" s="52"/>
      <c r="R204" s="52"/>
      <c r="S204" s="52"/>
      <c r="T204" s="52"/>
      <c r="U204" s="52"/>
      <c r="V204" s="52"/>
      <c r="W204" s="52"/>
      <c r="X204" s="52"/>
      <c r="Y204" s="88"/>
      <c r="Z204" s="89"/>
      <c r="AA204" s="89"/>
      <c r="AB204" s="90"/>
    </row>
    <row r="205" spans="1:42" ht="30" customHeight="1" x14ac:dyDescent="0.35">
      <c r="A205" s="26" t="str">
        <f>CONCATENATE($B$182,"
",$B$185,"
",$B$186,"
",$B$204)</f>
        <v>PT188 - ESTUDO DE ENGENHARIA DO GALPÃO RH75
ETAPA DE CAMPO
FASE 1 - SERVIÇOS DE CAMPO
MARCO - AS BUILT</v>
      </c>
      <c r="B205" s="53" t="s">
        <v>19</v>
      </c>
      <c r="C205" s="84" t="str">
        <f>IF(AND($B205=[1]ana!$A202,[1]ana!$B202=C$4),"ok","nok")</f>
        <v>nok</v>
      </c>
      <c r="D205" s="84" t="str">
        <f>IF(AND($B205=[1]ana!$A202,[1]ana!$B202=D$4),"ok","nok")</f>
        <v>nok</v>
      </c>
      <c r="E205" s="84" t="str">
        <f>IF(AND($B205=[1]ana!$A202,[1]ana!$B202=E$4),"ok","nok")</f>
        <v>nok</v>
      </c>
      <c r="F205" s="84" t="str">
        <f>IF(AND($B205=[1]ana!$A202,[1]ana!$B202=F$4),"ok","nok")</f>
        <v>nok</v>
      </c>
      <c r="G205" s="84" t="str">
        <f>IF(AND($B205=[1]ana!$A202,[1]ana!$B202=G$4),"ok","nok")</f>
        <v>nok</v>
      </c>
      <c r="H205" s="84" t="str">
        <f>IF(AND($B205=[1]ana!$A202,[1]ana!$B202=H$4),"ok","nok")</f>
        <v>nok</v>
      </c>
      <c r="I205" s="84" t="str">
        <f>IF(AND($B205=[1]ana!$A202,[1]ana!$B202=I$4),"ok","nok")</f>
        <v>nok</v>
      </c>
      <c r="J205" s="84" t="str">
        <f>IF(AND($B205=[1]ana!$A202,[1]ana!$B202=J$4),"ok","nok")</f>
        <v>nok</v>
      </c>
      <c r="K205" s="84" t="str">
        <f>IF(AND($B205=[1]ana!$A202,[1]ana!$B202=K$4),"ok","nok")</f>
        <v>nok</v>
      </c>
      <c r="L205" s="84" t="str">
        <f>IF(AND($B205=[1]ana!$A202,[1]ana!$B202=L$4),"ok","nok")</f>
        <v>ok</v>
      </c>
      <c r="M205" s="84" t="str">
        <f>IF(AND($B205=[1]ana!$A202,[1]ana!$B202=M$4),"ok","nok")</f>
        <v>nok</v>
      </c>
      <c r="N205" s="84" t="str">
        <f>IF(AND($B205=[1]ana!$A202,[1]ana!$B202=N$4),"ok","nok")</f>
        <v>nok</v>
      </c>
      <c r="O205" s="84" t="str">
        <f>IF(AND($B205=[1]ana!$A202,[1]ana!$B202=O$4),"ok","nok")</f>
        <v>nok</v>
      </c>
      <c r="P205" s="84" t="str">
        <f>IF(AND($B205=[1]ana!$A202,[1]ana!$B202=P$4),"ok","nok")</f>
        <v>nok</v>
      </c>
      <c r="Q205" s="84" t="str">
        <f>IF(AND($B205=[1]ana!$A202,[1]ana!$B202=Q$4),"ok","nok")</f>
        <v>nok</v>
      </c>
      <c r="R205" s="84" t="str">
        <f>IF(AND($B205=[1]ana!$A202,[1]ana!$B202=R$4),"ok","nok")</f>
        <v>nok</v>
      </c>
      <c r="S205" s="84" t="str">
        <f>IF(AND($B205=[1]ana!$A202,[1]ana!$B202=S$4),"ok","nok")</f>
        <v>nok</v>
      </c>
      <c r="T205" s="84" t="str">
        <f>IF(AND($B205=[1]ana!$A202,[1]ana!$B202=T$4),"ok","nok")</f>
        <v>nok</v>
      </c>
      <c r="U205" s="84" t="str">
        <f>IF(AND($B205=[1]ana!$A202,[1]ana!$B202=U$4),"ok","nok")</f>
        <v>nok</v>
      </c>
      <c r="V205" s="84" t="str">
        <f>IF(AND($B205=[1]ana!$A202,[1]ana!$B202=V$4),"ok","nok")</f>
        <v>nok</v>
      </c>
      <c r="W205" s="84" t="str">
        <f>IF(AND($B205=[1]ana!$A202,[1]ana!$B202=W$4),"ok","nok")</f>
        <v>nok</v>
      </c>
      <c r="X205" s="84" t="str">
        <f>IF(AND($B205=[1]ana!$A202,[1]ana!$B202=X$4),"ok","nok")</f>
        <v>nok</v>
      </c>
      <c r="Y205" s="85" t="s">
        <v>33</v>
      </c>
      <c r="Z205" s="86"/>
      <c r="AA205" s="86"/>
      <c r="AB205" s="87"/>
    </row>
    <row r="206" spans="1:42" ht="30" customHeight="1" x14ac:dyDescent="0.35">
      <c r="A206" s="26" t="str">
        <f t="shared" ref="A206:A208" si="58">CONCATENATE($B$182,"
",$B$185,"
",$B$186,"
",$B$204)</f>
        <v>PT188 - ESTUDO DE ENGENHARIA DO GALPÃO RH75
ETAPA DE CAMPO
FASE 1 - SERVIÇOS DE CAMPO
MARCO - AS BUILT</v>
      </c>
      <c r="B206" s="53" t="s">
        <v>43</v>
      </c>
      <c r="C206" s="84" t="str">
        <f>IF(AND($B206=[1]ana!$A203,[1]ana!$B203=C$4),"ok","nok")</f>
        <v>nok</v>
      </c>
      <c r="D206" s="84" t="str">
        <f>IF(AND($B206=[1]ana!$A203,[1]ana!$B203=D$4),"ok","nok")</f>
        <v>nok</v>
      </c>
      <c r="E206" s="84" t="str">
        <f>IF(AND($B206=[1]ana!$A203,[1]ana!$B203=E$4),"ok","nok")</f>
        <v>nok</v>
      </c>
      <c r="F206" s="84" t="str">
        <f>IF(AND($B206=[1]ana!$A203,[1]ana!$B203=F$4),"ok","nok")</f>
        <v>nok</v>
      </c>
      <c r="G206" s="84" t="str">
        <f>IF(AND($B206=[1]ana!$A203,[1]ana!$B203=G$4),"ok","nok")</f>
        <v>nok</v>
      </c>
      <c r="H206" s="84" t="str">
        <f>IF(AND($B206=[1]ana!$A203,[1]ana!$B203=H$4),"ok","nok")</f>
        <v>nok</v>
      </c>
      <c r="I206" s="84" t="str">
        <f>IF(AND($B206=[1]ana!$A203,[1]ana!$B203=I$4),"ok","nok")</f>
        <v>nok</v>
      </c>
      <c r="J206" s="84" t="str">
        <f>IF(AND($B206=[1]ana!$A203,[1]ana!$B203=J$4),"ok","nok")</f>
        <v>nok</v>
      </c>
      <c r="K206" s="84" t="str">
        <f>IF(AND($B206=[1]ana!$A203,[1]ana!$B203=K$4),"ok","nok")</f>
        <v>nok</v>
      </c>
      <c r="L206" s="84" t="str">
        <f>IF(AND($B206=[1]ana!$A203,[1]ana!$B203=L$4),"ok","nok")</f>
        <v>nok</v>
      </c>
      <c r="M206" s="84" t="str">
        <f>IF(AND($B206=[1]ana!$A203,[1]ana!$B203=M$4),"ok","nok")</f>
        <v>nok</v>
      </c>
      <c r="N206" s="84" t="str">
        <f>IF(AND($B206=[1]ana!$A203,[1]ana!$B203=N$4),"ok","nok")</f>
        <v>nok</v>
      </c>
      <c r="O206" s="84" t="str">
        <f>IF(AND($B206=[1]ana!$A203,[1]ana!$B203=O$4),"ok","nok")</f>
        <v>nok</v>
      </c>
      <c r="P206" s="84" t="str">
        <f>IF(AND($B206=[1]ana!$A203,[1]ana!$B203=P$4),"ok","nok")</f>
        <v>nok</v>
      </c>
      <c r="Q206" s="84" t="str">
        <f>IF(AND($B206=[1]ana!$A203,[1]ana!$B203=Q$4),"ok","nok")</f>
        <v>nok</v>
      </c>
      <c r="R206" s="84" t="str">
        <f>IF(AND($B206=[1]ana!$A203,[1]ana!$B203=R$4),"ok","nok")</f>
        <v>nok</v>
      </c>
      <c r="S206" s="84" t="str">
        <f>IF(AND($B206=[1]ana!$A203,[1]ana!$B203=S$4),"ok","nok")</f>
        <v>ok</v>
      </c>
      <c r="T206" s="84" t="str">
        <f>IF(AND($B206=[1]ana!$A203,[1]ana!$B203=T$4),"ok","nok")</f>
        <v>nok</v>
      </c>
      <c r="U206" s="84" t="str">
        <f>IF(AND($B206=[1]ana!$A203,[1]ana!$B203=U$4),"ok","nok")</f>
        <v>nok</v>
      </c>
      <c r="V206" s="84" t="str">
        <f>IF(AND($B206=[1]ana!$A203,[1]ana!$B203=V$4),"ok","nok")</f>
        <v>nok</v>
      </c>
      <c r="W206" s="84" t="str">
        <f>IF(AND($B206=[1]ana!$A203,[1]ana!$B203=W$4),"ok","nok")</f>
        <v>nok</v>
      </c>
      <c r="X206" s="84" t="str">
        <f>IF(AND($B206=[1]ana!$A203,[1]ana!$B203=X$4),"ok","nok")</f>
        <v>nok</v>
      </c>
      <c r="Y206" s="85" t="s">
        <v>15</v>
      </c>
      <c r="Z206" s="86"/>
      <c r="AA206" s="86"/>
      <c r="AB206" s="87"/>
    </row>
    <row r="207" spans="1:42" ht="30" customHeight="1" x14ac:dyDescent="0.35">
      <c r="A207" s="26" t="str">
        <f t="shared" si="58"/>
        <v>PT188 - ESTUDO DE ENGENHARIA DO GALPÃO RH75
ETAPA DE CAMPO
FASE 1 - SERVIÇOS DE CAMPO
MARCO - AS BUILT</v>
      </c>
      <c r="B207" s="53" t="s">
        <v>44</v>
      </c>
      <c r="C207" s="84" t="str">
        <f>IF(AND($B207=[1]ana!$A204,[1]ana!$B204=C$4),"ok","nok")</f>
        <v>nok</v>
      </c>
      <c r="D207" s="84" t="str">
        <f>IF(AND($B207=[1]ana!$A204,[1]ana!$B204=D$4),"ok","nok")</f>
        <v>nok</v>
      </c>
      <c r="E207" s="84" t="str">
        <f>IF(AND($B207=[1]ana!$A204,[1]ana!$B204=E$4),"ok","nok")</f>
        <v>nok</v>
      </c>
      <c r="F207" s="84" t="str">
        <f>IF(AND($B207=[1]ana!$A204,[1]ana!$B204=F$4),"ok","nok")</f>
        <v>nok</v>
      </c>
      <c r="G207" s="84" t="str">
        <f>IF(AND($B207=[1]ana!$A204,[1]ana!$B204=G$4),"ok","nok")</f>
        <v>nok</v>
      </c>
      <c r="H207" s="84" t="str">
        <f>IF(AND($B207=[1]ana!$A204,[1]ana!$B204=H$4),"ok","nok")</f>
        <v>nok</v>
      </c>
      <c r="I207" s="84" t="str">
        <f>IF(AND($B207=[1]ana!$A204,[1]ana!$B204=I$4),"ok","nok")</f>
        <v>nok</v>
      </c>
      <c r="J207" s="84" t="str">
        <f>IF(AND($B207=[1]ana!$A204,[1]ana!$B204=J$4),"ok","nok")</f>
        <v>nok</v>
      </c>
      <c r="K207" s="84" t="str">
        <f>IF(AND($B207=[1]ana!$A204,[1]ana!$B204=K$4),"ok","nok")</f>
        <v>nok</v>
      </c>
      <c r="L207" s="84" t="str">
        <f>IF(AND($B207=[1]ana!$A204,[1]ana!$B204=L$4),"ok","nok")</f>
        <v>nok</v>
      </c>
      <c r="M207" s="84" t="str">
        <f>IF(AND($B207=[1]ana!$A204,[1]ana!$B204=M$4),"ok","nok")</f>
        <v>nok</v>
      </c>
      <c r="N207" s="84" t="str">
        <f>IF(AND($B207=[1]ana!$A204,[1]ana!$B204=N$4),"ok","nok")</f>
        <v>nok</v>
      </c>
      <c r="O207" s="84" t="str">
        <f>IF(AND($B207=[1]ana!$A204,[1]ana!$B204=O$4),"ok","nok")</f>
        <v>nok</v>
      </c>
      <c r="P207" s="84" t="str">
        <f>IF(AND($B207=[1]ana!$A204,[1]ana!$B204=P$4),"ok","nok")</f>
        <v>nok</v>
      </c>
      <c r="Q207" s="84" t="str">
        <f>IF(AND($B207=[1]ana!$A204,[1]ana!$B204=Q$4),"ok","nok")</f>
        <v>nok</v>
      </c>
      <c r="R207" s="84" t="str">
        <f>IF(AND($B207=[1]ana!$A204,[1]ana!$B204=R$4),"ok","nok")</f>
        <v>nok</v>
      </c>
      <c r="S207" s="84" t="str">
        <f>IF(AND($B207=[1]ana!$A204,[1]ana!$B204=S$4),"ok","nok")</f>
        <v>nok</v>
      </c>
      <c r="T207" s="84" t="str">
        <f>IF(AND($B207=[1]ana!$A204,[1]ana!$B204=T$4),"ok","nok")</f>
        <v>nok</v>
      </c>
      <c r="U207" s="84" t="str">
        <f>IF(AND($B207=[1]ana!$A204,[1]ana!$B204=U$4),"ok","nok")</f>
        <v>nok</v>
      </c>
      <c r="V207" s="84" t="str">
        <f>IF(AND($B207=[1]ana!$A204,[1]ana!$B204=V$4),"ok","nok")</f>
        <v>ok</v>
      </c>
      <c r="W207" s="84" t="str">
        <f>IF(AND($B207=[1]ana!$A204,[1]ana!$B204=W$4),"ok","nok")</f>
        <v>nok</v>
      </c>
      <c r="X207" s="84" t="str">
        <f>IF(AND($B207=[1]ana!$A204,[1]ana!$B204=X$4),"ok","nok")</f>
        <v>nok</v>
      </c>
      <c r="Y207" s="85" t="s">
        <v>15</v>
      </c>
      <c r="Z207" s="86"/>
      <c r="AA207" s="86"/>
      <c r="AB207" s="87"/>
    </row>
    <row r="208" spans="1:42" ht="30" customHeight="1" x14ac:dyDescent="0.35">
      <c r="A208" s="26" t="str">
        <f t="shared" si="58"/>
        <v>PT188 - ESTUDO DE ENGENHARIA DO GALPÃO RH75
ETAPA DE CAMPO
FASE 1 - SERVIÇOS DE CAMPO
MARCO - AS BUILT</v>
      </c>
      <c r="B208" s="53" t="s">
        <v>45</v>
      </c>
      <c r="C208" s="84" t="str">
        <f>IF(AND($B208=[1]ana!$A205,[1]ana!$B205=C$4),"ok","nok")</f>
        <v>nok</v>
      </c>
      <c r="D208" s="84" t="str">
        <f>IF(AND($B208=[1]ana!$A205,[1]ana!$B205=D$4),"ok","nok")</f>
        <v>nok</v>
      </c>
      <c r="E208" s="84" t="str">
        <f>IF(AND($B208=[1]ana!$A205,[1]ana!$B205=E$4),"ok","nok")</f>
        <v>nok</v>
      </c>
      <c r="F208" s="84" t="str">
        <f>IF(AND($B208=[1]ana!$A205,[1]ana!$B205=F$4),"ok","nok")</f>
        <v>nok</v>
      </c>
      <c r="G208" s="84" t="str">
        <f>IF(AND($B208=[1]ana!$A205,[1]ana!$B205=G$4),"ok","nok")</f>
        <v>nok</v>
      </c>
      <c r="H208" s="84" t="str">
        <f>IF(AND($B208=[1]ana!$A205,[1]ana!$B205=H$4),"ok","nok")</f>
        <v>nok</v>
      </c>
      <c r="I208" s="84" t="str">
        <f>IF(AND($B208=[1]ana!$A205,[1]ana!$B205=I$4),"ok","nok")</f>
        <v>nok</v>
      </c>
      <c r="J208" s="84" t="str">
        <f>IF(AND($B208=[1]ana!$A205,[1]ana!$B205=J$4),"ok","nok")</f>
        <v>nok</v>
      </c>
      <c r="K208" s="84" t="str">
        <f>IF(AND($B208=[1]ana!$A205,[1]ana!$B205=K$4),"ok","nok")</f>
        <v>nok</v>
      </c>
      <c r="L208" s="84" t="str">
        <f>IF(AND($B208=[1]ana!$A205,[1]ana!$B205=L$4),"ok","nok")</f>
        <v>nok</v>
      </c>
      <c r="M208" s="84" t="str">
        <f>IF(AND($B208=[1]ana!$A205,[1]ana!$B205=M$4),"ok","nok")</f>
        <v>nok</v>
      </c>
      <c r="N208" s="84" t="str">
        <f>IF(AND($B208=[1]ana!$A205,[1]ana!$B205=N$4),"ok","nok")</f>
        <v>nok</v>
      </c>
      <c r="O208" s="84" t="str">
        <f>IF(AND($B208=[1]ana!$A205,[1]ana!$B205=O$4),"ok","nok")</f>
        <v>nok</v>
      </c>
      <c r="P208" s="84" t="str">
        <f>IF(AND($B208=[1]ana!$A205,[1]ana!$B205=P$4),"ok","nok")</f>
        <v>nok</v>
      </c>
      <c r="Q208" s="84" t="str">
        <f>IF(AND($B208=[1]ana!$A205,[1]ana!$B205=Q$4),"ok","nok")</f>
        <v>nok</v>
      </c>
      <c r="R208" s="84" t="str">
        <f>IF(AND($B208=[1]ana!$A205,[1]ana!$B205=R$4),"ok","nok")</f>
        <v>nok</v>
      </c>
      <c r="S208" s="84" t="str">
        <f>IF(AND($B208=[1]ana!$A205,[1]ana!$B205=S$4),"ok","nok")</f>
        <v>nok</v>
      </c>
      <c r="T208" s="84" t="str">
        <f>IF(AND($B208=[1]ana!$A205,[1]ana!$B205=T$4),"ok","nok")</f>
        <v>nok</v>
      </c>
      <c r="U208" s="84" t="str">
        <f>IF(AND($B208=[1]ana!$A205,[1]ana!$B205=U$4),"ok","nok")</f>
        <v>nok</v>
      </c>
      <c r="V208" s="84" t="str">
        <f>IF(AND($B208=[1]ana!$A205,[1]ana!$B205=V$4),"ok","nok")</f>
        <v>ok</v>
      </c>
      <c r="W208" s="84" t="str">
        <f>IF(AND($B208=[1]ana!$A205,[1]ana!$B205=W$4),"ok","nok")</f>
        <v>nok</v>
      </c>
      <c r="X208" s="84" t="str">
        <f>IF(AND($B208=[1]ana!$A205,[1]ana!$B205=X$4),"ok","nok")</f>
        <v>nok</v>
      </c>
      <c r="Y208" s="85" t="s">
        <v>15</v>
      </c>
      <c r="Z208" s="86"/>
      <c r="AA208" s="86"/>
      <c r="AB208" s="87"/>
    </row>
    <row r="209" spans="1:28" ht="30" customHeight="1" x14ac:dyDescent="0.35">
      <c r="B209" s="50" t="s">
        <v>59</v>
      </c>
      <c r="C209" s="50"/>
      <c r="D209" s="50"/>
      <c r="E209" s="50"/>
      <c r="F209" s="50"/>
      <c r="G209" s="50"/>
      <c r="H209" s="50"/>
      <c r="I209" s="50"/>
      <c r="J209" s="50"/>
      <c r="K209" s="50"/>
      <c r="L209" s="50"/>
      <c r="M209" s="50"/>
      <c r="N209" s="50"/>
      <c r="O209" s="50"/>
      <c r="P209" s="50"/>
      <c r="Q209" s="50"/>
      <c r="R209" s="50"/>
      <c r="S209" s="50"/>
      <c r="T209" s="50"/>
      <c r="U209" s="50"/>
      <c r="V209" s="50"/>
      <c r="W209" s="50"/>
      <c r="X209" s="50"/>
      <c r="Y209" s="97"/>
      <c r="Z209" s="98"/>
      <c r="AA209" s="98"/>
      <c r="AB209" s="99"/>
    </row>
    <row r="210" spans="1:28" ht="30" customHeight="1" x14ac:dyDescent="0.35">
      <c r="B210" s="54" t="s">
        <v>113</v>
      </c>
      <c r="C210" s="54"/>
      <c r="D210" s="54"/>
      <c r="E210" s="54"/>
      <c r="F210" s="54"/>
      <c r="G210" s="54"/>
      <c r="H210" s="54"/>
      <c r="I210" s="54"/>
      <c r="J210" s="54"/>
      <c r="K210" s="54"/>
      <c r="L210" s="54"/>
      <c r="M210" s="54"/>
      <c r="N210" s="54"/>
      <c r="O210" s="54"/>
      <c r="P210" s="54"/>
      <c r="Q210" s="54"/>
      <c r="R210" s="54"/>
      <c r="S210" s="54"/>
      <c r="T210" s="54"/>
      <c r="U210" s="54"/>
      <c r="V210" s="54"/>
      <c r="W210" s="54"/>
      <c r="X210" s="54"/>
      <c r="Y210" s="91"/>
      <c r="Z210" s="92"/>
      <c r="AA210" s="92"/>
      <c r="AB210" s="93"/>
    </row>
    <row r="211" spans="1:28" ht="30" customHeight="1" x14ac:dyDescent="0.35">
      <c r="A211" s="26" t="str">
        <f>CONCATENATE($B$182,"
",$B$209,"
",$B$210,""
)</f>
        <v>PT188 - ESTUDO DE ENGENHARIA DO GALPÃO RH75
ETAPA DE ESCRITÓRIO
FASE 2 - CÁLCULOS</v>
      </c>
      <c r="B211" s="51" t="s">
        <v>114</v>
      </c>
      <c r="C211" s="84" t="str">
        <f>IF(AND($B211=[1]ana!$A208,[1]ana!$B208=C$4),"ok","nok")</f>
        <v>nok</v>
      </c>
      <c r="D211" s="84" t="str">
        <f>IF(AND($B211=[1]ana!$A208,[1]ana!$B208=D$4),"ok","nok")</f>
        <v>nok</v>
      </c>
      <c r="E211" s="84" t="str">
        <f>IF(AND($B211=[1]ana!$A208,[1]ana!$B208=E$4),"ok","nok")</f>
        <v>nok</v>
      </c>
      <c r="F211" s="84" t="str">
        <f>IF(AND($B211=[1]ana!$A208,[1]ana!$B208=F$4),"ok","nok")</f>
        <v>nok</v>
      </c>
      <c r="G211" s="84" t="str">
        <f>IF(AND($B211=[1]ana!$A208,[1]ana!$B208=G$4),"ok","nok")</f>
        <v>nok</v>
      </c>
      <c r="H211" s="84" t="str">
        <f>IF(AND($B211=[1]ana!$A208,[1]ana!$B208=H$4),"ok","nok")</f>
        <v>nok</v>
      </c>
      <c r="I211" s="84" t="str">
        <f>IF(AND($B211=[1]ana!$A208,[1]ana!$B208=I$4),"ok","nok")</f>
        <v>ok</v>
      </c>
      <c r="J211" s="84" t="str">
        <f>IF(AND($B211=[1]ana!$A208,[1]ana!$B208=J$4),"ok","nok")</f>
        <v>nok</v>
      </c>
      <c r="K211" s="84" t="str">
        <f>IF(AND($B211=[1]ana!$A208,[1]ana!$B208=K$4),"ok","nok")</f>
        <v>nok</v>
      </c>
      <c r="L211" s="84" t="str">
        <f>IF(AND($B211=[1]ana!$A208,[1]ana!$B208=L$4),"ok","nok")</f>
        <v>nok</v>
      </c>
      <c r="M211" s="84" t="str">
        <f>IF(AND($B211=[1]ana!$A208,[1]ana!$B208=M$4),"ok","nok")</f>
        <v>nok</v>
      </c>
      <c r="N211" s="84" t="str">
        <f>IF(AND($B211=[1]ana!$A208,[1]ana!$B208=N$4),"ok","nok")</f>
        <v>nok</v>
      </c>
      <c r="O211" s="84" t="str">
        <f>IF(AND($B211=[1]ana!$A208,[1]ana!$B208=O$4),"ok","nok")</f>
        <v>nok</v>
      </c>
      <c r="P211" s="84" t="str">
        <f>IF(AND($B211=[1]ana!$A208,[1]ana!$B208=P$4),"ok","nok")</f>
        <v>nok</v>
      </c>
      <c r="Q211" s="84" t="str">
        <f>IF(AND($B211=[1]ana!$A208,[1]ana!$B208=Q$4),"ok","nok")</f>
        <v>nok</v>
      </c>
      <c r="R211" s="84" t="str">
        <f>IF(AND($B211=[1]ana!$A208,[1]ana!$B208=R$4),"ok","nok")</f>
        <v>nok</v>
      </c>
      <c r="S211" s="84" t="str">
        <f>IF(AND($B211=[1]ana!$A208,[1]ana!$B208=S$4),"ok","nok")</f>
        <v>nok</v>
      </c>
      <c r="T211" s="84" t="str">
        <f>IF(AND($B211=[1]ana!$A208,[1]ana!$B208=T$4),"ok","nok")</f>
        <v>nok</v>
      </c>
      <c r="U211" s="84" t="str">
        <f>IF(AND($B211=[1]ana!$A208,[1]ana!$B208=U$4),"ok","nok")</f>
        <v>nok</v>
      </c>
      <c r="V211" s="84" t="str">
        <f>IF(AND($B211=[1]ana!$A208,[1]ana!$B208=V$4),"ok","nok")</f>
        <v>nok</v>
      </c>
      <c r="W211" s="84" t="str">
        <f>IF(AND($B211=[1]ana!$A208,[1]ana!$B208=W$4),"ok","nok")</f>
        <v>nok</v>
      </c>
      <c r="X211" s="84" t="str">
        <f>IF(AND($B211=[1]ana!$A208,[1]ana!$B208=X$4),"ok","nok")</f>
        <v>nok</v>
      </c>
      <c r="Y211" s="85" t="s">
        <v>2</v>
      </c>
      <c r="Z211" s="86"/>
      <c r="AA211" s="86"/>
      <c r="AB211" s="87"/>
    </row>
    <row r="212" spans="1:28" ht="30" customHeight="1" x14ac:dyDescent="0.35">
      <c r="A212" s="26" t="str">
        <f t="shared" ref="A212:A216" si="59">CONCATENATE($B$182,"
",$B$209,"
",$B$210,""
)</f>
        <v>PT188 - ESTUDO DE ENGENHARIA DO GALPÃO RH75
ETAPA DE ESCRITÓRIO
FASE 2 - CÁLCULOS</v>
      </c>
      <c r="B212" s="51" t="s">
        <v>115</v>
      </c>
      <c r="C212" s="84" t="str">
        <f>IF(AND($B212=[1]ana!$A209,[1]ana!$B209=C$4),"ok","nok")</f>
        <v>nok</v>
      </c>
      <c r="D212" s="84" t="str">
        <f>IF(AND($B212=[1]ana!$A209,[1]ana!$B209=D$4),"ok","nok")</f>
        <v>nok</v>
      </c>
      <c r="E212" s="84" t="str">
        <f>IF(AND($B212=[1]ana!$A209,[1]ana!$B209=E$4),"ok","nok")</f>
        <v>nok</v>
      </c>
      <c r="F212" s="84" t="str">
        <f>IF(AND($B212=[1]ana!$A209,[1]ana!$B209=F$4),"ok","nok")</f>
        <v>nok</v>
      </c>
      <c r="G212" s="84" t="str">
        <f>IF(AND($B212=[1]ana!$A209,[1]ana!$B209=G$4),"ok","nok")</f>
        <v>nok</v>
      </c>
      <c r="H212" s="84" t="str">
        <f>IF(AND($B212=[1]ana!$A209,[1]ana!$B209=H$4),"ok","nok")</f>
        <v>nok</v>
      </c>
      <c r="I212" s="84" t="str">
        <f>IF(AND($B212=[1]ana!$A209,[1]ana!$B209=I$4),"ok","nok")</f>
        <v>nok</v>
      </c>
      <c r="J212" s="84" t="str">
        <f>IF(AND($B212=[1]ana!$A209,[1]ana!$B209=J$4),"ok","nok")</f>
        <v>nok</v>
      </c>
      <c r="K212" s="84" t="str">
        <f>IF(AND($B212=[1]ana!$A209,[1]ana!$B209=K$4),"ok","nok")</f>
        <v>nok</v>
      </c>
      <c r="L212" s="84" t="str">
        <f>IF(AND($B212=[1]ana!$A209,[1]ana!$B209=L$4),"ok","nok")</f>
        <v>nok</v>
      </c>
      <c r="M212" s="84" t="str">
        <f>IF(AND($B212=[1]ana!$A209,[1]ana!$B209=M$4),"ok","nok")</f>
        <v>nok</v>
      </c>
      <c r="N212" s="84" t="str">
        <f>IF(AND($B212=[1]ana!$A209,[1]ana!$B209=N$4),"ok","nok")</f>
        <v>ok</v>
      </c>
      <c r="O212" s="84" t="str">
        <f>IF(AND($B212=[1]ana!$A209,[1]ana!$B209=O$4),"ok","nok")</f>
        <v>nok</v>
      </c>
      <c r="P212" s="84" t="str">
        <f>IF(AND($B212=[1]ana!$A209,[1]ana!$B209=P$4),"ok","nok")</f>
        <v>nok</v>
      </c>
      <c r="Q212" s="84" t="str">
        <f>IF(AND($B212=[1]ana!$A209,[1]ana!$B209=Q$4),"ok","nok")</f>
        <v>nok</v>
      </c>
      <c r="R212" s="84" t="str">
        <f>IF(AND($B212=[1]ana!$A209,[1]ana!$B209=R$4),"ok","nok")</f>
        <v>nok</v>
      </c>
      <c r="S212" s="84" t="str">
        <f>IF(AND($B212=[1]ana!$A209,[1]ana!$B209=S$4),"ok","nok")</f>
        <v>nok</v>
      </c>
      <c r="T212" s="84" t="str">
        <f>IF(AND($B212=[1]ana!$A209,[1]ana!$B209=T$4),"ok","nok")</f>
        <v>nok</v>
      </c>
      <c r="U212" s="84" t="str">
        <f>IF(AND($B212=[1]ana!$A209,[1]ana!$B209=U$4),"ok","nok")</f>
        <v>nok</v>
      </c>
      <c r="V212" s="84" t="str">
        <f>IF(AND($B212=[1]ana!$A209,[1]ana!$B209=V$4),"ok","nok")</f>
        <v>nok</v>
      </c>
      <c r="W212" s="84" t="str">
        <f>IF(AND($B212=[1]ana!$A209,[1]ana!$B209=W$4),"ok","nok")</f>
        <v>nok</v>
      </c>
      <c r="X212" s="84" t="str">
        <f>IF(AND($B212=[1]ana!$A209,[1]ana!$B209=X$4),"ok","nok")</f>
        <v>nok</v>
      </c>
      <c r="Y212" s="85" t="s">
        <v>34</v>
      </c>
      <c r="Z212" s="86"/>
      <c r="AA212" s="86"/>
      <c r="AB212" s="87"/>
    </row>
    <row r="213" spans="1:28" ht="30" customHeight="1" x14ac:dyDescent="0.35">
      <c r="A213" s="26" t="str">
        <f t="shared" si="59"/>
        <v>PT188 - ESTUDO DE ENGENHARIA DO GALPÃO RH75
ETAPA DE ESCRITÓRIO
FASE 2 - CÁLCULOS</v>
      </c>
      <c r="B213" s="51" t="s">
        <v>79</v>
      </c>
      <c r="C213" s="84" t="str">
        <f>IF(AND($B213=[1]ana!$A210,[1]ana!$B210=C$4),"ok","nok")</f>
        <v>nok</v>
      </c>
      <c r="D213" s="84" t="str">
        <f>IF(AND($B213=[1]ana!$A210,[1]ana!$B210=D$4),"ok","nok")</f>
        <v>nok</v>
      </c>
      <c r="E213" s="84" t="str">
        <f>IF(AND($B213=[1]ana!$A210,[1]ana!$B210=E$4),"ok","nok")</f>
        <v>nok</v>
      </c>
      <c r="F213" s="84" t="str">
        <f>IF(AND($B213=[1]ana!$A210,[1]ana!$B210=F$4),"ok","nok")</f>
        <v>nok</v>
      </c>
      <c r="G213" s="84" t="str">
        <f>IF(AND($B213=[1]ana!$A210,[1]ana!$B210=G$4),"ok","nok")</f>
        <v>nok</v>
      </c>
      <c r="H213" s="84" t="str">
        <f>IF(AND($B213=[1]ana!$A210,[1]ana!$B210=H$4),"ok","nok")</f>
        <v>nok</v>
      </c>
      <c r="I213" s="84" t="str">
        <f>IF(AND($B213=[1]ana!$A210,[1]ana!$B210=I$4),"ok","nok")</f>
        <v>nok</v>
      </c>
      <c r="J213" s="84" t="str">
        <f>IF(AND($B213=[1]ana!$A210,[1]ana!$B210=J$4),"ok","nok")</f>
        <v>nok</v>
      </c>
      <c r="K213" s="84" t="str">
        <f>IF(AND($B213=[1]ana!$A210,[1]ana!$B210=K$4),"ok","nok")</f>
        <v>nok</v>
      </c>
      <c r="L213" s="84" t="str">
        <f>IF(AND($B213=[1]ana!$A210,[1]ana!$B210=L$4),"ok","nok")</f>
        <v>nok</v>
      </c>
      <c r="M213" s="84" t="str">
        <f>IF(AND($B213=[1]ana!$A210,[1]ana!$B210=M$4),"ok","nok")</f>
        <v>nok</v>
      </c>
      <c r="N213" s="84" t="str">
        <f>IF(AND($B213=[1]ana!$A210,[1]ana!$B210=N$4),"ok","nok")</f>
        <v>nok</v>
      </c>
      <c r="O213" s="84" t="str">
        <f>IF(AND($B213=[1]ana!$A210,[1]ana!$B210=O$4),"ok","nok")</f>
        <v>nok</v>
      </c>
      <c r="P213" s="84" t="str">
        <f>IF(AND($B213=[1]ana!$A210,[1]ana!$B210=P$4),"ok","nok")</f>
        <v>ok</v>
      </c>
      <c r="Q213" s="84" t="str">
        <f>IF(AND($B213=[1]ana!$A210,[1]ana!$B210=Q$4),"ok","nok")</f>
        <v>nok</v>
      </c>
      <c r="R213" s="84" t="str">
        <f>IF(AND($B213=[1]ana!$A210,[1]ana!$B210=R$4),"ok","nok")</f>
        <v>nok</v>
      </c>
      <c r="S213" s="84" t="str">
        <f>IF(AND($B213=[1]ana!$A210,[1]ana!$B210=S$4),"ok","nok")</f>
        <v>nok</v>
      </c>
      <c r="T213" s="84" t="str">
        <f>IF(AND($B213=[1]ana!$A210,[1]ana!$B210=T$4),"ok","nok")</f>
        <v>nok</v>
      </c>
      <c r="U213" s="84" t="str">
        <f>IF(AND($B213=[1]ana!$A210,[1]ana!$B210=U$4),"ok","nok")</f>
        <v>nok</v>
      </c>
      <c r="V213" s="84" t="str">
        <f>IF(AND($B213=[1]ana!$A210,[1]ana!$B210=V$4),"ok","nok")</f>
        <v>nok</v>
      </c>
      <c r="W213" s="84" t="str">
        <f>IF(AND($B213=[1]ana!$A210,[1]ana!$B210=W$4),"ok","nok")</f>
        <v>nok</v>
      </c>
      <c r="X213" s="84" t="str">
        <f>IF(AND($B213=[1]ana!$A210,[1]ana!$B210=X$4),"ok","nok")</f>
        <v>nok</v>
      </c>
      <c r="Y213" s="85" t="s">
        <v>15</v>
      </c>
      <c r="Z213" s="86"/>
      <c r="AA213" s="86"/>
      <c r="AB213" s="87"/>
    </row>
    <row r="214" spans="1:28" ht="30" customHeight="1" x14ac:dyDescent="0.35">
      <c r="A214" s="26" t="str">
        <f t="shared" si="59"/>
        <v>PT188 - ESTUDO DE ENGENHARIA DO GALPÃO RH75
ETAPA DE ESCRITÓRIO
FASE 2 - CÁLCULOS</v>
      </c>
      <c r="B214" s="51" t="s">
        <v>80</v>
      </c>
      <c r="C214" s="84" t="str">
        <f>IF(AND($B214=[1]ana!$A211,[1]ana!$B211=C$4),"ok","nok")</f>
        <v>nok</v>
      </c>
      <c r="D214" s="84" t="str">
        <f>IF(AND($B214=[1]ana!$A211,[1]ana!$B211=D$4),"ok","nok")</f>
        <v>nok</v>
      </c>
      <c r="E214" s="84" t="str">
        <f>IF(AND($B214=[1]ana!$A211,[1]ana!$B211=E$4),"ok","nok")</f>
        <v>nok</v>
      </c>
      <c r="F214" s="84" t="str">
        <f>IF(AND($B214=[1]ana!$A211,[1]ana!$B211=F$4),"ok","nok")</f>
        <v>nok</v>
      </c>
      <c r="G214" s="84" t="str">
        <f>IF(AND($B214=[1]ana!$A211,[1]ana!$B211=G$4),"ok","nok")</f>
        <v>nok</v>
      </c>
      <c r="H214" s="84" t="str">
        <f>IF(AND($B214=[1]ana!$A211,[1]ana!$B211=H$4),"ok","nok")</f>
        <v>nok</v>
      </c>
      <c r="I214" s="84" t="str">
        <f>IF(AND($B214=[1]ana!$A211,[1]ana!$B211=I$4),"ok","nok")</f>
        <v>nok</v>
      </c>
      <c r="J214" s="84" t="str">
        <f>IF(AND($B214=[1]ana!$A211,[1]ana!$B211=J$4),"ok","nok")</f>
        <v>nok</v>
      </c>
      <c r="K214" s="84" t="str">
        <f>IF(AND($B214=[1]ana!$A211,[1]ana!$B211=K$4),"ok","nok")</f>
        <v>nok</v>
      </c>
      <c r="L214" s="84" t="str">
        <f>IF(AND($B214=[1]ana!$A211,[1]ana!$B211=L$4),"ok","nok")</f>
        <v>nok</v>
      </c>
      <c r="M214" s="84" t="str">
        <f>IF(AND($B214=[1]ana!$A211,[1]ana!$B211=M$4),"ok","nok")</f>
        <v>nok</v>
      </c>
      <c r="N214" s="84" t="str">
        <f>IF(AND($B214=[1]ana!$A211,[1]ana!$B211=N$4),"ok","nok")</f>
        <v>nok</v>
      </c>
      <c r="O214" s="84" t="str">
        <f>IF(AND($B214=[1]ana!$A211,[1]ana!$B211=O$4),"ok","nok")</f>
        <v>nok</v>
      </c>
      <c r="P214" s="84" t="str">
        <f>IF(AND($B214=[1]ana!$A211,[1]ana!$B211=P$4),"ok","nok")</f>
        <v>nok</v>
      </c>
      <c r="Q214" s="84" t="str">
        <f>IF(AND($B214=[1]ana!$A211,[1]ana!$B211=Q$4),"ok","nok")</f>
        <v>nok</v>
      </c>
      <c r="R214" s="84" t="str">
        <f>IF(AND($B214=[1]ana!$A211,[1]ana!$B211=R$4),"ok","nok")</f>
        <v>nok</v>
      </c>
      <c r="S214" s="84" t="str">
        <f>IF(AND($B214=[1]ana!$A211,[1]ana!$B211=S$4),"ok","nok")</f>
        <v>nok</v>
      </c>
      <c r="T214" s="84" t="str">
        <f>IF(AND($B214=[1]ana!$A211,[1]ana!$B211=T$4),"ok","nok")</f>
        <v>ok</v>
      </c>
      <c r="U214" s="84" t="str">
        <f>IF(AND($B214=[1]ana!$A211,[1]ana!$B211=U$4),"ok","nok")</f>
        <v>nok</v>
      </c>
      <c r="V214" s="84" t="str">
        <f>IF(AND($B214=[1]ana!$A211,[1]ana!$B211=V$4),"ok","nok")</f>
        <v>nok</v>
      </c>
      <c r="W214" s="84" t="str">
        <f>IF(AND($B214=[1]ana!$A211,[1]ana!$B211=W$4),"ok","nok")</f>
        <v>nok</v>
      </c>
      <c r="X214" s="84" t="str">
        <f>IF(AND($B214=[1]ana!$A211,[1]ana!$B211=X$4),"ok","nok")</f>
        <v>nok</v>
      </c>
      <c r="Y214" s="85" t="s">
        <v>15</v>
      </c>
      <c r="Z214" s="86"/>
      <c r="AA214" s="86"/>
      <c r="AB214" s="87"/>
    </row>
    <row r="215" spans="1:28" ht="30" customHeight="1" x14ac:dyDescent="0.35">
      <c r="A215" s="26" t="str">
        <f t="shared" si="59"/>
        <v>PT188 - ESTUDO DE ENGENHARIA DO GALPÃO RH75
ETAPA DE ESCRITÓRIO
FASE 2 - CÁLCULOS</v>
      </c>
      <c r="B215" s="51" t="s">
        <v>81</v>
      </c>
      <c r="C215" s="84" t="str">
        <f>IF(AND($B215=[1]ana!$A212,[1]ana!$B212=C$4),"ok","nok")</f>
        <v>nok</v>
      </c>
      <c r="D215" s="84" t="str">
        <f>IF(AND($B215=[1]ana!$A212,[1]ana!$B212=D$4),"ok","nok")</f>
        <v>nok</v>
      </c>
      <c r="E215" s="84" t="str">
        <f>IF(AND($B215=[1]ana!$A212,[1]ana!$B212=E$4),"ok","nok")</f>
        <v>nok</v>
      </c>
      <c r="F215" s="84" t="str">
        <f>IF(AND($B215=[1]ana!$A212,[1]ana!$B212=F$4),"ok","nok")</f>
        <v>nok</v>
      </c>
      <c r="G215" s="84" t="str">
        <f>IF(AND($B215=[1]ana!$A212,[1]ana!$B212=G$4),"ok","nok")</f>
        <v>nok</v>
      </c>
      <c r="H215" s="84" t="str">
        <f>IF(AND($B215=[1]ana!$A212,[1]ana!$B212=H$4),"ok","nok")</f>
        <v>nok</v>
      </c>
      <c r="I215" s="84" t="str">
        <f>IF(AND($B215=[1]ana!$A212,[1]ana!$B212=I$4),"ok","nok")</f>
        <v>nok</v>
      </c>
      <c r="J215" s="84" t="str">
        <f>IF(AND($B215=[1]ana!$A212,[1]ana!$B212=J$4),"ok","nok")</f>
        <v>nok</v>
      </c>
      <c r="K215" s="84" t="str">
        <f>IF(AND($B215=[1]ana!$A212,[1]ana!$B212=K$4),"ok","nok")</f>
        <v>nok</v>
      </c>
      <c r="L215" s="84" t="str">
        <f>IF(AND($B215=[1]ana!$A212,[1]ana!$B212=L$4),"ok","nok")</f>
        <v>nok</v>
      </c>
      <c r="M215" s="84" t="str">
        <f>IF(AND($B215=[1]ana!$A212,[1]ana!$B212=M$4),"ok","nok")</f>
        <v>nok</v>
      </c>
      <c r="N215" s="84" t="str">
        <f>IF(AND($B215=[1]ana!$A212,[1]ana!$B212=N$4),"ok","nok")</f>
        <v>nok</v>
      </c>
      <c r="O215" s="84" t="str">
        <f>IF(AND($B215=[1]ana!$A212,[1]ana!$B212=O$4),"ok","nok")</f>
        <v>nok</v>
      </c>
      <c r="P215" s="84" t="str">
        <f>IF(AND($B215=[1]ana!$A212,[1]ana!$B212=P$4),"ok","nok")</f>
        <v>nok</v>
      </c>
      <c r="Q215" s="84" t="str">
        <f>IF(AND($B215=[1]ana!$A212,[1]ana!$B212=Q$4),"ok","nok")</f>
        <v>nok</v>
      </c>
      <c r="R215" s="84" t="str">
        <f>IF(AND($B215=[1]ana!$A212,[1]ana!$B212=R$4),"ok","nok")</f>
        <v>nok</v>
      </c>
      <c r="S215" s="84" t="str">
        <f>IF(AND($B215=[1]ana!$A212,[1]ana!$B212=S$4),"ok","nok")</f>
        <v>nok</v>
      </c>
      <c r="T215" s="84" t="str">
        <f>IF(AND($B215=[1]ana!$A212,[1]ana!$B212=T$4),"ok","nok")</f>
        <v>nok</v>
      </c>
      <c r="U215" s="84" t="str">
        <f>IF(AND($B215=[1]ana!$A212,[1]ana!$B212=U$4),"ok","nok")</f>
        <v>nok</v>
      </c>
      <c r="V215" s="84" t="str">
        <f>IF(AND($B215=[1]ana!$A212,[1]ana!$B212=V$4),"ok","nok")</f>
        <v>nok</v>
      </c>
      <c r="W215" s="84" t="str">
        <f>IF(AND($B215=[1]ana!$A212,[1]ana!$B212=W$4),"ok","nok")</f>
        <v>ok</v>
      </c>
      <c r="X215" s="84" t="str">
        <f>IF(AND($B215=[1]ana!$A212,[1]ana!$B212=X$4),"ok","nok")</f>
        <v>nok</v>
      </c>
      <c r="Y215" s="85" t="s">
        <v>15</v>
      </c>
      <c r="Z215" s="86"/>
      <c r="AA215" s="86"/>
      <c r="AB215" s="87"/>
    </row>
    <row r="216" spans="1:28" ht="30" customHeight="1" x14ac:dyDescent="0.35">
      <c r="A216" s="26" t="str">
        <f t="shared" si="59"/>
        <v>PT188 - ESTUDO DE ENGENHARIA DO GALPÃO RH75
ETAPA DE ESCRITÓRIO
FASE 2 - CÁLCULOS</v>
      </c>
      <c r="B216" s="51" t="s">
        <v>82</v>
      </c>
      <c r="C216" s="84" t="str">
        <f>IF(AND($B216=[1]ana!$A213,[1]ana!$B213=C$4),"ok","nok")</f>
        <v>nok</v>
      </c>
      <c r="D216" s="84" t="str">
        <f>IF(AND($B216=[1]ana!$A213,[1]ana!$B213=D$4),"ok","nok")</f>
        <v>nok</v>
      </c>
      <c r="E216" s="84" t="str">
        <f>IF(AND($B216=[1]ana!$A213,[1]ana!$B213=E$4),"ok","nok")</f>
        <v>nok</v>
      </c>
      <c r="F216" s="84" t="str">
        <f>IF(AND($B216=[1]ana!$A213,[1]ana!$B213=F$4),"ok","nok")</f>
        <v>nok</v>
      </c>
      <c r="G216" s="84" t="str">
        <f>IF(AND($B216=[1]ana!$A213,[1]ana!$B213=G$4),"ok","nok")</f>
        <v>nok</v>
      </c>
      <c r="H216" s="84" t="str">
        <f>IF(AND($B216=[1]ana!$A213,[1]ana!$B213=H$4),"ok","nok")</f>
        <v>nok</v>
      </c>
      <c r="I216" s="84" t="str">
        <f>IF(AND($B216=[1]ana!$A213,[1]ana!$B213=I$4),"ok","nok")</f>
        <v>nok</v>
      </c>
      <c r="J216" s="84" t="str">
        <f>IF(AND($B216=[1]ana!$A213,[1]ana!$B213=J$4),"ok","nok")</f>
        <v>nok</v>
      </c>
      <c r="K216" s="84" t="str">
        <f>IF(AND($B216=[1]ana!$A213,[1]ana!$B213=K$4),"ok","nok")</f>
        <v>nok</v>
      </c>
      <c r="L216" s="84" t="str">
        <f>IF(AND($B216=[1]ana!$A213,[1]ana!$B213=L$4),"ok","nok")</f>
        <v>nok</v>
      </c>
      <c r="M216" s="84" t="str">
        <f>IF(AND($B216=[1]ana!$A213,[1]ana!$B213=M$4),"ok","nok")</f>
        <v>nok</v>
      </c>
      <c r="N216" s="84" t="str">
        <f>IF(AND($B216=[1]ana!$A213,[1]ana!$B213=N$4),"ok","nok")</f>
        <v>nok</v>
      </c>
      <c r="O216" s="84" t="str">
        <f>IF(AND($B216=[1]ana!$A213,[1]ana!$B213=O$4),"ok","nok")</f>
        <v>nok</v>
      </c>
      <c r="P216" s="84" t="str">
        <f>IF(AND($B216=[1]ana!$A213,[1]ana!$B213=P$4),"ok","nok")</f>
        <v>nok</v>
      </c>
      <c r="Q216" s="84" t="str">
        <f>IF(AND($B216=[1]ana!$A213,[1]ana!$B213=Q$4),"ok","nok")</f>
        <v>nok</v>
      </c>
      <c r="R216" s="84" t="str">
        <f>IF(AND($B216=[1]ana!$A213,[1]ana!$B213=R$4),"ok","nok")</f>
        <v>nok</v>
      </c>
      <c r="S216" s="84" t="str">
        <f>IF(AND($B216=[1]ana!$A213,[1]ana!$B213=S$4),"ok","nok")</f>
        <v>nok</v>
      </c>
      <c r="T216" s="84" t="str">
        <f>IF(AND($B216=[1]ana!$A213,[1]ana!$B213=T$4),"ok","nok")</f>
        <v>nok</v>
      </c>
      <c r="U216" s="84" t="str">
        <f>IF(AND($B216=[1]ana!$A213,[1]ana!$B213=U$4),"ok","nok")</f>
        <v>nok</v>
      </c>
      <c r="V216" s="84" t="str">
        <f>IF(AND($B216=[1]ana!$A213,[1]ana!$B213=V$4),"ok","nok")</f>
        <v>nok</v>
      </c>
      <c r="W216" s="84" t="str">
        <f>IF(AND($B216=[1]ana!$A213,[1]ana!$B213=W$4),"ok","nok")</f>
        <v>ok</v>
      </c>
      <c r="X216" s="84" t="str">
        <f>IF(AND($B216=[1]ana!$A213,[1]ana!$B213=X$4),"ok","nok")</f>
        <v>nok</v>
      </c>
      <c r="Y216" s="85" t="s">
        <v>15</v>
      </c>
      <c r="Z216" s="86"/>
      <c r="AA216" s="86"/>
      <c r="AB216" s="87"/>
    </row>
    <row r="217" spans="1:28" ht="30" customHeight="1" x14ac:dyDescent="0.35">
      <c r="B217" s="52" t="s">
        <v>42</v>
      </c>
      <c r="C217" s="52"/>
      <c r="D217" s="52"/>
      <c r="E217" s="52"/>
      <c r="F217" s="52"/>
      <c r="G217" s="52"/>
      <c r="H217" s="52"/>
      <c r="I217" s="52"/>
      <c r="J217" s="52"/>
      <c r="K217" s="52"/>
      <c r="L217" s="52"/>
      <c r="M217" s="52"/>
      <c r="N217" s="52"/>
      <c r="O217" s="52"/>
      <c r="P217" s="52"/>
      <c r="Q217" s="52"/>
      <c r="R217" s="52"/>
      <c r="S217" s="52"/>
      <c r="T217" s="52"/>
      <c r="U217" s="52"/>
      <c r="V217" s="52"/>
      <c r="W217" s="52"/>
      <c r="X217" s="52"/>
      <c r="Y217" s="88"/>
      <c r="Z217" s="89"/>
      <c r="AA217" s="89"/>
      <c r="AB217" s="90"/>
    </row>
    <row r="218" spans="1:28" ht="30" customHeight="1" x14ac:dyDescent="0.35">
      <c r="A218" s="26" t="str">
        <f>CONCATENATE($B$182,"
",$B$209,"
",$B$210,"
",$B$217)</f>
        <v>PT188 - ESTUDO DE ENGENHARIA DO GALPÃO RH75
ETAPA DE ESCRITÓRIO
FASE 2 - CÁLCULOS
MARCO - MEMÓRIA DE CÁLCULO</v>
      </c>
      <c r="B218" s="53" t="s">
        <v>19</v>
      </c>
      <c r="C218" s="84" t="str">
        <f>IF(AND($B218=[1]ana!$A215,[1]ana!$B215=C$4),"ok","nok")</f>
        <v>nok</v>
      </c>
      <c r="D218" s="84" t="str">
        <f>IF(AND($B218=[1]ana!$A215,[1]ana!$B215=D$4),"ok","nok")</f>
        <v>nok</v>
      </c>
      <c r="E218" s="84" t="str">
        <f>IF(AND($B218=[1]ana!$A215,[1]ana!$B215=E$4),"ok","nok")</f>
        <v>nok</v>
      </c>
      <c r="F218" s="84" t="str">
        <f>IF(AND($B218=[1]ana!$A215,[1]ana!$B215=F$4),"ok","nok")</f>
        <v>nok</v>
      </c>
      <c r="G218" s="84" t="str">
        <f>IF(AND($B218=[1]ana!$A215,[1]ana!$B215=G$4),"ok","nok")</f>
        <v>nok</v>
      </c>
      <c r="H218" s="84" t="str">
        <f>IF(AND($B218=[1]ana!$A215,[1]ana!$B215=H$4),"ok","nok")</f>
        <v>nok</v>
      </c>
      <c r="I218" s="84" t="str">
        <f>IF(AND($B218=[1]ana!$A215,[1]ana!$B215=I$4),"ok","nok")</f>
        <v>nok</v>
      </c>
      <c r="J218" s="84" t="str">
        <f>IF(AND($B218=[1]ana!$A215,[1]ana!$B215=J$4),"ok","nok")</f>
        <v>nok</v>
      </c>
      <c r="K218" s="84" t="str">
        <f>IF(AND($B218=[1]ana!$A215,[1]ana!$B215=K$4),"ok","nok")</f>
        <v>nok</v>
      </c>
      <c r="L218" s="84" t="str">
        <f>IF(AND($B218=[1]ana!$A215,[1]ana!$B215=L$4),"ok","nok")</f>
        <v>nok</v>
      </c>
      <c r="M218" s="84" t="str">
        <f>IF(AND($B218=[1]ana!$A215,[1]ana!$B215=M$4),"ok","nok")</f>
        <v>nok</v>
      </c>
      <c r="N218" s="84" t="str">
        <f>IF(AND($B218=[1]ana!$A215,[1]ana!$B215=N$4),"ok","nok")</f>
        <v>nok</v>
      </c>
      <c r="O218" s="84" t="str">
        <f>IF(AND($B218=[1]ana!$A215,[1]ana!$B215=O$4),"ok","nok")</f>
        <v>nok</v>
      </c>
      <c r="P218" s="84" t="str">
        <f>IF(AND($B218=[1]ana!$A215,[1]ana!$B215=P$4),"ok","nok")</f>
        <v>nok</v>
      </c>
      <c r="Q218" s="84" t="str">
        <f>IF(AND($B218=[1]ana!$A215,[1]ana!$B215=Q$4),"ok","nok")</f>
        <v>nok</v>
      </c>
      <c r="R218" s="84" t="str">
        <f>IF(AND($B218=[1]ana!$A215,[1]ana!$B215=R$4),"ok","nok")</f>
        <v>nok</v>
      </c>
      <c r="S218" s="84" t="str">
        <f>IF(AND($B218=[1]ana!$A215,[1]ana!$B215=S$4),"ok","nok")</f>
        <v>nok</v>
      </c>
      <c r="T218" s="84" t="str">
        <f>IF(AND($B218=[1]ana!$A215,[1]ana!$B215=T$4),"ok","nok")</f>
        <v>nok</v>
      </c>
      <c r="U218" s="84" t="str">
        <f>IF(AND($B218=[1]ana!$A215,[1]ana!$B215=U$4),"ok","nok")</f>
        <v>nok</v>
      </c>
      <c r="V218" s="84" t="str">
        <f>IF(AND($B218=[1]ana!$A215,[1]ana!$B215=V$4),"ok","nok")</f>
        <v>nok</v>
      </c>
      <c r="W218" s="84" t="str">
        <f>IF(AND($B218=[1]ana!$A215,[1]ana!$B215=W$4),"ok","nok")</f>
        <v>ok</v>
      </c>
      <c r="X218" s="84" t="str">
        <f>IF(AND($B218=[1]ana!$A215,[1]ana!$B215=X$4),"ok","nok")</f>
        <v>nok</v>
      </c>
      <c r="Y218" s="85" t="s">
        <v>15</v>
      </c>
      <c r="Z218" s="86"/>
      <c r="AA218" s="86"/>
      <c r="AB218" s="87"/>
    </row>
  </sheetData>
  <sheetProtection selectLockedCells="1"/>
  <mergeCells count="287">
    <mergeCell ref="Y205:AB205"/>
    <mergeCell ref="Y206:AB206"/>
    <mergeCell ref="Y207:AB207"/>
    <mergeCell ref="Y208:AB208"/>
    <mergeCell ref="Y217:AB217"/>
    <mergeCell ref="Y218:AB218"/>
    <mergeCell ref="Y71:AB71"/>
    <mergeCell ref="Y72:AB72"/>
    <mergeCell ref="Y202:AB202"/>
    <mergeCell ref="Y203:AB203"/>
    <mergeCell ref="Y211:AB211"/>
    <mergeCell ref="Y212:AB212"/>
    <mergeCell ref="Y213:AB213"/>
    <mergeCell ref="Y214:AB214"/>
    <mergeCell ref="Y215:AB215"/>
    <mergeCell ref="Y216:AB216"/>
    <mergeCell ref="Y176:AB176"/>
    <mergeCell ref="Y179:AB179"/>
    <mergeCell ref="Y161:AB161"/>
    <mergeCell ref="Y159:AB159"/>
    <mergeCell ref="Y160:AB160"/>
    <mergeCell ref="Y153:AB153"/>
    <mergeCell ref="Y154:AB154"/>
    <mergeCell ref="Y155:AB155"/>
    <mergeCell ref="Y31:AB31"/>
    <mergeCell ref="Y209:AB209"/>
    <mergeCell ref="Y32:AB32"/>
    <mergeCell ref="Y39:AB39"/>
    <mergeCell ref="Y51:AB51"/>
    <mergeCell ref="Y210:AB210"/>
    <mergeCell ref="Y33:AB33"/>
    <mergeCell ref="Y40:AB40"/>
    <mergeCell ref="Y52:AB52"/>
    <mergeCell ref="Y95:AB95"/>
    <mergeCell ref="Y109:AB109"/>
    <mergeCell ref="Y41:AB41"/>
    <mergeCell ref="Y70:AB70"/>
    <mergeCell ref="Y85:AB85"/>
    <mergeCell ref="Y93:AB93"/>
    <mergeCell ref="Y94:AB94"/>
    <mergeCell ref="Y102:AB102"/>
    <mergeCell ref="Y108:AB108"/>
    <mergeCell ref="Y197:AB197"/>
    <mergeCell ref="Y198:AB198"/>
    <mergeCell ref="Y199:AB199"/>
    <mergeCell ref="Y200:AB200"/>
    <mergeCell ref="Y201:AB201"/>
    <mergeCell ref="Y204:AB204"/>
    <mergeCell ref="AV11:AY11"/>
    <mergeCell ref="BA11:BD11"/>
    <mergeCell ref="BF11:BI11"/>
    <mergeCell ref="BK11:BN11"/>
    <mergeCell ref="AV12:AX12"/>
    <mergeCell ref="BA12:BC12"/>
    <mergeCell ref="BF12:BH12"/>
    <mergeCell ref="BK12:BM12"/>
    <mergeCell ref="BC30:BE30"/>
    <mergeCell ref="BC31:BH31"/>
    <mergeCell ref="BC33:BH33"/>
    <mergeCell ref="BC32:BH32"/>
    <mergeCell ref="Y192:AB192"/>
    <mergeCell ref="Y177:AB177"/>
    <mergeCell ref="Y178:AB178"/>
    <mergeCell ref="Y181:AB181"/>
    <mergeCell ref="Y182:AB182"/>
    <mergeCell ref="Y184:AB184"/>
    <mergeCell ref="Y185:AB185"/>
    <mergeCell ref="Y171:AB171"/>
    <mergeCell ref="Y164:AB164"/>
    <mergeCell ref="Y162:AB162"/>
    <mergeCell ref="Y163:AB163"/>
    <mergeCell ref="Y169:AB169"/>
    <mergeCell ref="Y170:AB170"/>
    <mergeCell ref="Y173:AB173"/>
    <mergeCell ref="Y190:AB190"/>
    <mergeCell ref="Y191:AB191"/>
    <mergeCell ref="Y180:AB180"/>
    <mergeCell ref="Y183:AB183"/>
    <mergeCell ref="Y172:AB172"/>
    <mergeCell ref="Y174:AB174"/>
    <mergeCell ref="Y175:AB175"/>
    <mergeCell ref="Y156:AB156"/>
    <mergeCell ref="Y157:AB157"/>
    <mergeCell ref="Y158:AB158"/>
    <mergeCell ref="Y140:AB140"/>
    <mergeCell ref="Y141:AB141"/>
    <mergeCell ref="Y142:AB142"/>
    <mergeCell ref="Y147:AB147"/>
    <mergeCell ref="Y148:AB148"/>
    <mergeCell ref="Y149:AB149"/>
    <mergeCell ref="Y151:AB151"/>
    <mergeCell ref="Y152:AB152"/>
    <mergeCell ref="Y150:AB150"/>
    <mergeCell ref="Y143:AB143"/>
    <mergeCell ref="Y144:AB144"/>
    <mergeCell ref="Y145:AB145"/>
    <mergeCell ref="Y146:AB146"/>
    <mergeCell ref="Y138:AB138"/>
    <mergeCell ref="Y139:AB139"/>
    <mergeCell ref="Y123:AB123"/>
    <mergeCell ref="Y124:AB124"/>
    <mergeCell ref="Y125:AB125"/>
    <mergeCell ref="Y126:AB126"/>
    <mergeCell ref="Y127:AB127"/>
    <mergeCell ref="Y128:AB128"/>
    <mergeCell ref="Y129:AB129"/>
    <mergeCell ref="Y130:AB130"/>
    <mergeCell ref="Y131:AB131"/>
    <mergeCell ref="Y132:AB132"/>
    <mergeCell ref="Y133:AB133"/>
    <mergeCell ref="Y134:AB134"/>
    <mergeCell ref="Y135:AB135"/>
    <mergeCell ref="Y136:AB136"/>
    <mergeCell ref="Y137:AB137"/>
    <mergeCell ref="Y106:AB106"/>
    <mergeCell ref="Y107:AB107"/>
    <mergeCell ref="Y110:AB110"/>
    <mergeCell ref="Y111:AB111"/>
    <mergeCell ref="Y120:AB120"/>
    <mergeCell ref="Y121:AB121"/>
    <mergeCell ref="Y122:AB122"/>
    <mergeCell ref="Y112:AB112"/>
    <mergeCell ref="Y117:AB117"/>
    <mergeCell ref="Y118:AB118"/>
    <mergeCell ref="Y119:AB119"/>
    <mergeCell ref="Y113:AB113"/>
    <mergeCell ref="Y114:AB114"/>
    <mergeCell ref="Y115:AB115"/>
    <mergeCell ref="Y116:AB116"/>
    <mergeCell ref="Y83:AB83"/>
    <mergeCell ref="Y84:AB84"/>
    <mergeCell ref="Y73:AB73"/>
    <mergeCell ref="Y105:AB105"/>
    <mergeCell ref="Y101:AB101"/>
    <mergeCell ref="Y97:AB97"/>
    <mergeCell ref="Y98:AB98"/>
    <mergeCell ref="Y99:AB99"/>
    <mergeCell ref="Y74:AB74"/>
    <mergeCell ref="Y75:AB75"/>
    <mergeCell ref="Y76:AB76"/>
    <mergeCell ref="Y77:AB77"/>
    <mergeCell ref="Y78:AB78"/>
    <mergeCell ref="Y87:AB87"/>
    <mergeCell ref="Y88:AB88"/>
    <mergeCell ref="Y89:AB89"/>
    <mergeCell ref="Y90:AB90"/>
    <mergeCell ref="Y91:AB91"/>
    <mergeCell ref="Y92:AB92"/>
    <mergeCell ref="Y96:AB96"/>
    <mergeCell ref="Y103:AB103"/>
    <mergeCell ref="Y104:AB104"/>
    <mergeCell ref="Y57:AB57"/>
    <mergeCell ref="Y58:AB58"/>
    <mergeCell ref="Y59:AB59"/>
    <mergeCell ref="Y60:AB60"/>
    <mergeCell ref="Y61:AB61"/>
    <mergeCell ref="Y54:AB54"/>
    <mergeCell ref="Y79:AB79"/>
    <mergeCell ref="Y81:AB81"/>
    <mergeCell ref="Y82:AB82"/>
    <mergeCell ref="AQ6:AT6"/>
    <mergeCell ref="Y12:AB12"/>
    <mergeCell ref="AC4:AC5"/>
    <mergeCell ref="Y9:AB9"/>
    <mergeCell ref="Y11:AB11"/>
    <mergeCell ref="AQ7:AS7"/>
    <mergeCell ref="AD4:AD5"/>
    <mergeCell ref="AS29:AU29"/>
    <mergeCell ref="AQ9:AS9"/>
    <mergeCell ref="AF4:AF5"/>
    <mergeCell ref="Y22:AB22"/>
    <mergeCell ref="Y23:AB23"/>
    <mergeCell ref="Y16:AB16"/>
    <mergeCell ref="Y20:AB20"/>
    <mergeCell ref="Y18:AB18"/>
    <mergeCell ref="Y19:AB19"/>
    <mergeCell ref="Y25:AB25"/>
    <mergeCell ref="Y26:AB26"/>
    <mergeCell ref="Y27:AB27"/>
    <mergeCell ref="AQ8:AS8"/>
    <mergeCell ref="AE4:AE5"/>
    <mergeCell ref="V4:V5"/>
    <mergeCell ref="W4:W5"/>
    <mergeCell ref="Y14:AB14"/>
    <mergeCell ref="Y28:AB28"/>
    <mergeCell ref="Y29:AB29"/>
    <mergeCell ref="Y8:AB8"/>
    <mergeCell ref="Y24:AB24"/>
    <mergeCell ref="Y10:AB10"/>
    <mergeCell ref="Y13:AB13"/>
    <mergeCell ref="Y6:AB6"/>
    <mergeCell ref="Y7:AB7"/>
    <mergeCell ref="Y15:AB15"/>
    <mergeCell ref="AV7:AX7"/>
    <mergeCell ref="AV6:AY6"/>
    <mergeCell ref="B4:B5"/>
    <mergeCell ref="C4:C5"/>
    <mergeCell ref="D4:D5"/>
    <mergeCell ref="E4:E5"/>
    <mergeCell ref="F4:F5"/>
    <mergeCell ref="M4:M5"/>
    <mergeCell ref="N4:N5"/>
    <mergeCell ref="O4:O5"/>
    <mergeCell ref="Y4:AB5"/>
    <mergeCell ref="P4:P5"/>
    <mergeCell ref="Q4:Q5"/>
    <mergeCell ref="G4:G5"/>
    <mergeCell ref="H4:H5"/>
    <mergeCell ref="I4:I5"/>
    <mergeCell ref="J4:J5"/>
    <mergeCell ref="K4:K5"/>
    <mergeCell ref="L4:L5"/>
    <mergeCell ref="X4:X5"/>
    <mergeCell ref="R4:R5"/>
    <mergeCell ref="S4:S5"/>
    <mergeCell ref="T4:T5"/>
    <mergeCell ref="U4:U5"/>
    <mergeCell ref="BS7:BU7"/>
    <mergeCell ref="BF8:BH8"/>
    <mergeCell ref="BF14:BH14"/>
    <mergeCell ref="BF6:BI6"/>
    <mergeCell ref="BA7:BC7"/>
    <mergeCell ref="BF7:BH7"/>
    <mergeCell ref="BF13:BH13"/>
    <mergeCell ref="BF9:BH9"/>
    <mergeCell ref="BA8:BC8"/>
    <mergeCell ref="BS8:BU8"/>
    <mergeCell ref="BS9:BU9"/>
    <mergeCell ref="BS10:BU10"/>
    <mergeCell ref="BS11:BU11"/>
    <mergeCell ref="BA6:BD6"/>
    <mergeCell ref="BK6:BN6"/>
    <mergeCell ref="BK7:BM7"/>
    <mergeCell ref="BK8:BM8"/>
    <mergeCell ref="BK9:BM9"/>
    <mergeCell ref="BK13:BM13"/>
    <mergeCell ref="BK14:BM14"/>
    <mergeCell ref="BA9:BC9"/>
    <mergeCell ref="BA14:BC14"/>
    <mergeCell ref="AV8:AX8"/>
    <mergeCell ref="AV13:AX13"/>
    <mergeCell ref="BA13:BC13"/>
    <mergeCell ref="Y186:AB186"/>
    <mergeCell ref="Y187:AB187"/>
    <mergeCell ref="Y188:AB188"/>
    <mergeCell ref="Y189:AB189"/>
    <mergeCell ref="Y193:AB193"/>
    <mergeCell ref="Y194:AB194"/>
    <mergeCell ref="AV9:AX9"/>
    <mergeCell ref="AV14:AX14"/>
    <mergeCell ref="Y30:AB30"/>
    <mergeCell ref="Y48:AB48"/>
    <mergeCell ref="Y49:AB49"/>
    <mergeCell ref="Y43:AB43"/>
    <mergeCell ref="Y44:AB44"/>
    <mergeCell ref="Y37:AB37"/>
    <mergeCell ref="Y38:AB38"/>
    <mergeCell ref="Y45:AB45"/>
    <mergeCell ref="Y46:AB46"/>
    <mergeCell ref="Y47:AB47"/>
    <mergeCell ref="Y68:AB68"/>
    <mergeCell ref="Y69:AB69"/>
    <mergeCell ref="Y86:AB86"/>
    <mergeCell ref="Y195:AB195"/>
    <mergeCell ref="Y196:AB196"/>
    <mergeCell ref="Y17:AB17"/>
    <mergeCell ref="Y21:AB21"/>
    <mergeCell ref="Y36:AB36"/>
    <mergeCell ref="Y42:AB42"/>
    <mergeCell ref="Y35:AB35"/>
    <mergeCell ref="Y34:AB34"/>
    <mergeCell ref="Y50:AB50"/>
    <mergeCell ref="Y80:AB80"/>
    <mergeCell ref="Y100:AB100"/>
    <mergeCell ref="Y165:AB165"/>
    <mergeCell ref="Y166:AB166"/>
    <mergeCell ref="Y167:AB167"/>
    <mergeCell ref="Y168:AB168"/>
    <mergeCell ref="Y53:AB53"/>
    <mergeCell ref="Y55:AB55"/>
    <mergeCell ref="Y56:AB56"/>
    <mergeCell ref="Y62:AB62"/>
    <mergeCell ref="Y63:AB63"/>
    <mergeCell ref="Y64:AB64"/>
    <mergeCell ref="Y65:AB65"/>
    <mergeCell ref="Y66:AB66"/>
    <mergeCell ref="Y67:AB67"/>
  </mergeCells>
  <phoneticPr fontId="17" type="noConversion"/>
  <conditionalFormatting sqref="B100">
    <cfRule type="expression" dxfId="88" priority="1006">
      <formula>B100="nok"</formula>
    </cfRule>
    <cfRule type="expression" dxfId="87" priority="1007">
      <formula>B100="ok"</formula>
    </cfRule>
  </conditionalFormatting>
  <conditionalFormatting sqref="Y18:AB19 Y69:AB70 Y97:AB97 Y111:AB111 Y156:AB159 Y163:AB163 Y167:AB167 Y171:AB172 Y175:AB177 Y191:AB194 Y198:AB201 Y205:AB208 Y218:AB218 Y113:AB113 Y134:AB135 Y179:AB181 Y23:AB24 Y29:AB30 Y36:AB37 Y85:AB86 Y101:AB103 Y105:AB108 Y122:AB125 Y92:AB94 Y117:AB120 Y11:AB15 Y42:AB46 Y129:AB132 Y137:AB140 Y146:AB149">
    <cfRule type="expression" dxfId="86" priority="676">
      <formula>Y11="risco"</formula>
    </cfRule>
    <cfRule type="expression" dxfId="85" priority="677">
      <formula>Y11="entregue"</formula>
    </cfRule>
    <cfRule type="expression" dxfId="84" priority="678">
      <formula>Y11="atrasado"</formula>
    </cfRule>
    <cfRule type="expression" dxfId="83" priority="679">
      <formula>Y11="efprazo"</formula>
    </cfRule>
    <cfRule type="expression" dxfId="82" priority="680">
      <formula>Y11="vazio"</formula>
    </cfRule>
  </conditionalFormatting>
  <conditionalFormatting sqref="Y49:AB49 Y71:AB80 Y126:AB127 Y153:AB154 Y160:AB161 Y164:AB165 Y168:AB169 Y184:AB184 Y187:AB189 Y195:AB196 Y202:AB203 Y211:AB216 Y143:AB144 Y53:AB67">
    <cfRule type="expression" dxfId="81" priority="631">
      <formula>Y49="risco"</formula>
    </cfRule>
    <cfRule type="expression" dxfId="80" priority="632">
      <formula>Y49="entregue"</formula>
    </cfRule>
    <cfRule type="expression" dxfId="79" priority="633">
      <formula>Y49="atrasado"</formula>
    </cfRule>
    <cfRule type="expression" dxfId="78" priority="634">
      <formula>Y49="efprazo"</formula>
    </cfRule>
    <cfRule type="expression" dxfId="77" priority="635">
      <formula>Y49="vazio"</formula>
    </cfRule>
  </conditionalFormatting>
  <conditionalFormatting sqref="C11:X15">
    <cfRule type="expression" dxfId="76" priority="73">
      <formula>C11="nok"</formula>
    </cfRule>
    <cfRule type="expression" dxfId="75" priority="74">
      <formula>C11="ok"</formula>
    </cfRule>
  </conditionalFormatting>
  <conditionalFormatting sqref="C18:X19">
    <cfRule type="expression" dxfId="74" priority="71">
      <formula>C18="nok"</formula>
    </cfRule>
    <cfRule type="expression" dxfId="73" priority="72">
      <formula>C18="ok"</formula>
    </cfRule>
  </conditionalFormatting>
  <conditionalFormatting sqref="C23:X24">
    <cfRule type="expression" dxfId="72" priority="69">
      <formula>C23="nok"</formula>
    </cfRule>
    <cfRule type="expression" dxfId="71" priority="70">
      <formula>C23="ok"</formula>
    </cfRule>
  </conditionalFormatting>
  <conditionalFormatting sqref="C29:X30">
    <cfRule type="expression" dxfId="70" priority="67">
      <formula>C29="nok"</formula>
    </cfRule>
    <cfRule type="expression" dxfId="69" priority="68">
      <formula>C29="ok"</formula>
    </cfRule>
  </conditionalFormatting>
  <conditionalFormatting sqref="C36:X37">
    <cfRule type="expression" dxfId="68" priority="65">
      <formula>C36="nok"</formula>
    </cfRule>
    <cfRule type="expression" dxfId="67" priority="66">
      <formula>C36="ok"</formula>
    </cfRule>
  </conditionalFormatting>
  <conditionalFormatting sqref="C42:X46">
    <cfRule type="expression" dxfId="66" priority="63">
      <formula>C42="nok"</formula>
    </cfRule>
    <cfRule type="expression" dxfId="65" priority="64">
      <formula>C42="ok"</formula>
    </cfRule>
  </conditionalFormatting>
  <conditionalFormatting sqref="C49:X49">
    <cfRule type="expression" dxfId="64" priority="61">
      <formula>C49="nok"</formula>
    </cfRule>
    <cfRule type="expression" dxfId="63" priority="62">
      <formula>C49="ok"</formula>
    </cfRule>
  </conditionalFormatting>
  <conditionalFormatting sqref="C53:X67">
    <cfRule type="expression" dxfId="62" priority="59">
      <formula>C53="nok"</formula>
    </cfRule>
    <cfRule type="expression" dxfId="61" priority="60">
      <formula>C53="ok"</formula>
    </cfRule>
  </conditionalFormatting>
  <conditionalFormatting sqref="C69:X80">
    <cfRule type="expression" dxfId="60" priority="57">
      <formula>C69="nok"</formula>
    </cfRule>
    <cfRule type="expression" dxfId="59" priority="58">
      <formula>C69="ok"</formula>
    </cfRule>
  </conditionalFormatting>
  <conditionalFormatting sqref="C85:X86">
    <cfRule type="expression" dxfId="58" priority="55">
      <formula>C85="nok"</formula>
    </cfRule>
    <cfRule type="expression" dxfId="57" priority="56">
      <formula>C85="ok"</formula>
    </cfRule>
  </conditionalFormatting>
  <conditionalFormatting sqref="C92:X94">
    <cfRule type="expression" dxfId="56" priority="53">
      <formula>C92="nok"</formula>
    </cfRule>
    <cfRule type="expression" dxfId="55" priority="54">
      <formula>C92="ok"</formula>
    </cfRule>
  </conditionalFormatting>
  <conditionalFormatting sqref="C97:X97">
    <cfRule type="expression" dxfId="54" priority="51">
      <formula>C97="nok"</formula>
    </cfRule>
    <cfRule type="expression" dxfId="53" priority="52">
      <formula>C97="ok"</formula>
    </cfRule>
  </conditionalFormatting>
  <conditionalFormatting sqref="C101:X103">
    <cfRule type="expression" dxfId="52" priority="49">
      <formula>C101="nok"</formula>
    </cfRule>
    <cfRule type="expression" dxfId="51" priority="50">
      <formula>C101="ok"</formula>
    </cfRule>
  </conditionalFormatting>
  <conditionalFormatting sqref="C105:X108">
    <cfRule type="expression" dxfId="50" priority="47">
      <formula>C105="nok"</formula>
    </cfRule>
    <cfRule type="expression" dxfId="49" priority="48">
      <formula>C105="ok"</formula>
    </cfRule>
  </conditionalFormatting>
  <conditionalFormatting sqref="C111:X111">
    <cfRule type="expression" dxfId="48" priority="45">
      <formula>C111="nok"</formula>
    </cfRule>
    <cfRule type="expression" dxfId="47" priority="46">
      <formula>C111="ok"</formula>
    </cfRule>
  </conditionalFormatting>
  <conditionalFormatting sqref="C113:X113">
    <cfRule type="expression" dxfId="46" priority="43">
      <formula>C113="nok"</formula>
    </cfRule>
    <cfRule type="expression" dxfId="45" priority="44">
      <formula>C113="ok"</formula>
    </cfRule>
  </conditionalFormatting>
  <conditionalFormatting sqref="C117:X120">
    <cfRule type="expression" dxfId="44" priority="41">
      <formula>C117="nok"</formula>
    </cfRule>
    <cfRule type="expression" dxfId="43" priority="42">
      <formula>C117="ok"</formula>
    </cfRule>
  </conditionalFormatting>
  <conditionalFormatting sqref="C122:X127">
    <cfRule type="expression" dxfId="42" priority="39">
      <formula>C122="nok"</formula>
    </cfRule>
    <cfRule type="expression" dxfId="41" priority="40">
      <formula>C122="ok"</formula>
    </cfRule>
  </conditionalFormatting>
  <conditionalFormatting sqref="C129:X132">
    <cfRule type="expression" dxfId="40" priority="37">
      <formula>C129="nok"</formula>
    </cfRule>
    <cfRule type="expression" dxfId="39" priority="38">
      <formula>C129="ok"</formula>
    </cfRule>
  </conditionalFormatting>
  <conditionalFormatting sqref="C134:X135">
    <cfRule type="expression" dxfId="38" priority="35">
      <formula>C134="nok"</formula>
    </cfRule>
    <cfRule type="expression" dxfId="37" priority="36">
      <formula>C134="ok"</formula>
    </cfRule>
  </conditionalFormatting>
  <conditionalFormatting sqref="C137:X140">
    <cfRule type="expression" dxfId="36" priority="33">
      <formula>C137="nok"</formula>
    </cfRule>
    <cfRule type="expression" dxfId="35" priority="34">
      <formula>C137="ok"</formula>
    </cfRule>
  </conditionalFormatting>
  <conditionalFormatting sqref="C143:X144">
    <cfRule type="expression" dxfId="34" priority="31">
      <formula>C143="nok"</formula>
    </cfRule>
    <cfRule type="expression" dxfId="33" priority="32">
      <formula>C143="ok"</formula>
    </cfRule>
  </conditionalFormatting>
  <conditionalFormatting sqref="C146:X149">
    <cfRule type="expression" dxfId="32" priority="29">
      <formula>C146="nok"</formula>
    </cfRule>
    <cfRule type="expression" dxfId="31" priority="30">
      <formula>C146="ok"</formula>
    </cfRule>
  </conditionalFormatting>
  <conditionalFormatting sqref="C153:X154">
    <cfRule type="expression" dxfId="30" priority="27">
      <formula>C153="nok"</formula>
    </cfRule>
    <cfRule type="expression" dxfId="29" priority="28">
      <formula>C153="ok"</formula>
    </cfRule>
  </conditionalFormatting>
  <conditionalFormatting sqref="C156:X161">
    <cfRule type="expression" dxfId="28" priority="25">
      <formula>C156="nok"</formula>
    </cfRule>
    <cfRule type="expression" dxfId="27" priority="26">
      <formula>C156="ok"</formula>
    </cfRule>
  </conditionalFormatting>
  <conditionalFormatting sqref="C163:X165">
    <cfRule type="expression" dxfId="26" priority="23">
      <formula>C163="nok"</formula>
    </cfRule>
    <cfRule type="expression" dxfId="25" priority="24">
      <formula>C163="ok"</formula>
    </cfRule>
  </conditionalFormatting>
  <conditionalFormatting sqref="C167:X169">
    <cfRule type="expression" dxfId="24" priority="21">
      <formula>C167="nok"</formula>
    </cfRule>
    <cfRule type="expression" dxfId="23" priority="22">
      <formula>C167="ok"</formula>
    </cfRule>
  </conditionalFormatting>
  <conditionalFormatting sqref="C171:X172">
    <cfRule type="expression" dxfId="22" priority="19">
      <formula>C171="nok"</formula>
    </cfRule>
    <cfRule type="expression" dxfId="21" priority="20">
      <formula>C171="ok"</formula>
    </cfRule>
  </conditionalFormatting>
  <conditionalFormatting sqref="C175:X177">
    <cfRule type="expression" dxfId="20" priority="17">
      <formula>C175="nok"</formula>
    </cfRule>
    <cfRule type="expression" dxfId="19" priority="18">
      <formula>C175="ok"</formula>
    </cfRule>
  </conditionalFormatting>
  <conditionalFormatting sqref="C179:X181">
    <cfRule type="expression" dxfId="18" priority="15">
      <formula>C179="nok"</formula>
    </cfRule>
    <cfRule type="expression" dxfId="17" priority="16">
      <formula>C179="ok"</formula>
    </cfRule>
  </conditionalFormatting>
  <conditionalFormatting sqref="C184:X184">
    <cfRule type="expression" dxfId="16" priority="13">
      <formula>C184="nok"</formula>
    </cfRule>
    <cfRule type="expression" dxfId="15" priority="14">
      <formula>C184="ok"</formula>
    </cfRule>
  </conditionalFormatting>
  <conditionalFormatting sqref="C187:X189">
    <cfRule type="expression" dxfId="14" priority="11">
      <formula>C187="nok"</formula>
    </cfRule>
    <cfRule type="expression" dxfId="13" priority="12">
      <formula>C187="ok"</formula>
    </cfRule>
  </conditionalFormatting>
  <conditionalFormatting sqref="C191:X196">
    <cfRule type="expression" dxfId="12" priority="9">
      <formula>C191="nok"</formula>
    </cfRule>
    <cfRule type="expression" dxfId="11" priority="10">
      <formula>C191="ok"</formula>
    </cfRule>
  </conditionalFormatting>
  <conditionalFormatting sqref="C198:X203">
    <cfRule type="expression" dxfId="10" priority="7">
      <formula>C198="nok"</formula>
    </cfRule>
    <cfRule type="expression" dxfId="9" priority="8">
      <formula>C198="ok"</formula>
    </cfRule>
  </conditionalFormatting>
  <conditionalFormatting sqref="C205:X208">
    <cfRule type="expression" dxfId="8" priority="5">
      <formula>C205="nok"</formula>
    </cfRule>
    <cfRule type="expression" dxfId="7" priority="6">
      <formula>C205="ok"</formula>
    </cfRule>
  </conditionalFormatting>
  <conditionalFormatting sqref="C211:X216">
    <cfRule type="expression" dxfId="6" priority="3">
      <formula>C211="nok"</formula>
    </cfRule>
    <cfRule type="expression" dxfId="5" priority="4">
      <formula>C211="ok"</formula>
    </cfRule>
  </conditionalFormatting>
  <conditionalFormatting sqref="C218:X218">
    <cfRule type="expression" dxfId="4" priority="1">
      <formula>C218="nok"</formula>
    </cfRule>
    <cfRule type="expression" dxfId="3" priority="2">
      <formula>C218="ok"</formula>
    </cfRule>
  </conditionalFormatting>
  <dataValidations count="1">
    <dataValidation type="list" allowBlank="1" showInputMessage="1" showErrorMessage="1" sqref="Y153:AB154 Y97:AB97 Y113:AB113 Y129:AB132 Y49:AB49 Y211:AB216 Y205:AB208 Y187:AB189 Y163:AB165 Y117:AB120 Y175:AB177 Y218:AB218 Y18:AB19 Y137:AB140 Y23:AB24 Y11:AB15 Y69:AB80 Y36:AB37 Y101:AB103 Y167:AB169 Y92:AB94 Y184:AB184 Y171:AB172 Y85:AB86 Y179:AB181 Y198:AB203 Y53:AB67 Y29:AB30 Y122:AB127 Y111:AB111 Y156:AB161 Y105:AB108 Y42:AB46 Y134:AB135 Y143:AB144 Y191:AB196 Y146:AB149" xr:uid="{415C7990-3585-48E9-B78A-D86982091262}">
      <formula1>"ENTREGUE,RISCO,ATRASADO,EFPRAZO,VAZIO"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339AFC-AA22-4149-8E5A-C592A62DD8C0}">
  <sheetPr codeName="Planilha8"/>
  <dimension ref="A1:G190"/>
  <sheetViews>
    <sheetView showGridLines="0" zoomScale="60" zoomScaleNormal="60" workbookViewId="0">
      <pane ySplit="7" topLeftCell="A8" activePane="bottomLeft" state="frozen"/>
      <selection pane="bottomLeft" activeCell="F10" sqref="F10"/>
    </sheetView>
  </sheetViews>
  <sheetFormatPr defaultRowHeight="14.5" x14ac:dyDescent="0.35"/>
  <cols>
    <col min="1" max="1" width="70.7265625" customWidth="1"/>
    <col min="2" max="2" width="75.7265625" style="26" customWidth="1"/>
    <col min="3" max="3" width="37.54296875" style="40" customWidth="1"/>
    <col min="4" max="4" width="26.81640625" customWidth="1"/>
    <col min="5" max="5" width="73.1796875" style="3" customWidth="1"/>
    <col min="6" max="6" width="16.81640625" customWidth="1"/>
    <col min="7" max="7" width="32.1796875" customWidth="1"/>
  </cols>
  <sheetData>
    <row r="1" spans="1:7" ht="6.75" customHeight="1" x14ac:dyDescent="0.35">
      <c r="A1" s="141">
        <v>1</v>
      </c>
      <c r="E1" s="31"/>
    </row>
    <row r="2" spans="1:7" ht="15" customHeight="1" x14ac:dyDescent="0.35">
      <c r="A2" s="141"/>
      <c r="C2" s="41"/>
      <c r="D2" s="2"/>
      <c r="E2" s="32"/>
      <c r="F2" s="23"/>
    </row>
    <row r="3" spans="1:7" ht="36.75" customHeight="1" x14ac:dyDescent="0.35">
      <c r="A3" s="141"/>
      <c r="C3" s="41"/>
      <c r="D3" s="2"/>
      <c r="E3" s="32"/>
      <c r="F3" s="23"/>
    </row>
    <row r="4" spans="1:7" ht="17.25" customHeight="1" x14ac:dyDescent="0.35">
      <c r="A4" s="141"/>
      <c r="B4" s="141"/>
      <c r="C4" s="146"/>
      <c r="D4" s="147"/>
      <c r="E4" s="144"/>
      <c r="F4" s="140"/>
      <c r="G4" s="140"/>
    </row>
    <row r="5" spans="1:7" ht="34.5" customHeight="1" x14ac:dyDescent="0.35">
      <c r="A5" s="39"/>
      <c r="B5" s="141"/>
      <c r="C5" s="146"/>
      <c r="D5" s="141"/>
      <c r="E5" s="145"/>
      <c r="F5" s="142"/>
      <c r="G5" s="140"/>
    </row>
    <row r="6" spans="1:7" ht="8.25" customHeight="1" x14ac:dyDescent="0.35">
      <c r="A6" s="143" t="s">
        <v>18</v>
      </c>
      <c r="B6" s="35"/>
      <c r="C6" s="42"/>
      <c r="D6" s="19"/>
      <c r="E6" s="33"/>
      <c r="F6" s="21"/>
      <c r="G6" s="21"/>
    </row>
    <row r="7" spans="1:7" ht="41.25" customHeight="1" x14ac:dyDescent="0.35">
      <c r="A7" s="143"/>
      <c r="B7" s="20" t="s">
        <v>17</v>
      </c>
      <c r="C7" s="43" t="s">
        <v>0</v>
      </c>
      <c r="D7" s="20" t="s">
        <v>1</v>
      </c>
      <c r="E7" s="28" t="s">
        <v>12</v>
      </c>
      <c r="F7" s="29" t="s">
        <v>9</v>
      </c>
      <c r="G7" s="29" t="s">
        <v>30</v>
      </c>
    </row>
    <row r="8" spans="1:7" ht="80.150000000000006" customHeight="1" x14ac:dyDescent="0.35">
      <c r="A8" s="37" t="str" cm="1">
        <f t="array" ref="A8">_xlfn._xlws.FILTER(ANA!A6:A9758,ANA!AD6:AD9758&lt;&gt;"","")</f>
        <v/>
      </c>
      <c r="B8" s="37" t="str" cm="1">
        <f t="array" ref="B8">_xlfn._xlws.FILTER(ANA!B6:B9758,ANA!AD6:AD9758&lt;&gt;"","")</f>
        <v/>
      </c>
      <c r="C8" s="70" t="str" cm="1">
        <f t="array" ref="C8">_xlfn._xlws.FILTER(ANA!AD6:AD9758,ANA!AD6:AD9758&lt;&gt;"","")</f>
        <v/>
      </c>
      <c r="D8" s="71" t="str" cm="1">
        <f t="array" ref="D8">_xlfn._xlws.FILTER(ANA!AE6:AE9758,ANA!AE6:AE9758&lt;&gt;"","")</f>
        <v/>
      </c>
      <c r="E8" s="37" t="str" cm="1">
        <f t="array" ref="E8">_xlfn._xlws.FILTER(ANA!AF6:AF9758,ANA!AF6:AF9758&lt;&gt;"","")</f>
        <v/>
      </c>
      <c r="F8" s="25" t="s">
        <v>116</v>
      </c>
    </row>
    <row r="9" spans="1:7" ht="80.150000000000006" customHeight="1" x14ac:dyDescent="0.35">
      <c r="A9" s="36"/>
      <c r="B9" s="36"/>
      <c r="C9" s="22"/>
      <c r="D9" s="22"/>
      <c r="E9" s="22"/>
      <c r="F9" s="25" t="s">
        <v>116</v>
      </c>
      <c r="G9" s="72"/>
    </row>
    <row r="10" spans="1:7" ht="80.150000000000006" customHeight="1" x14ac:dyDescent="0.35">
      <c r="A10" s="37"/>
      <c r="B10" s="37"/>
      <c r="C10" s="38"/>
      <c r="D10" s="38"/>
      <c r="E10" s="71"/>
      <c r="F10" s="25" t="s">
        <v>116</v>
      </c>
    </row>
    <row r="11" spans="1:7" ht="80.150000000000006" customHeight="1" x14ac:dyDescent="0.35">
      <c r="A11" s="36"/>
      <c r="B11" s="36"/>
      <c r="C11" s="22"/>
      <c r="D11" s="22"/>
      <c r="E11" s="22"/>
      <c r="F11" s="25" t="s">
        <v>15</v>
      </c>
      <c r="G11" s="72"/>
    </row>
    <row r="12" spans="1:7" ht="80.150000000000006" customHeight="1" x14ac:dyDescent="0.35">
      <c r="A12" s="37"/>
      <c r="B12" s="37"/>
      <c r="C12" s="38"/>
      <c r="D12" s="38"/>
      <c r="E12" s="38"/>
      <c r="F12" s="25" t="s">
        <v>15</v>
      </c>
    </row>
    <row r="13" spans="1:7" ht="80.150000000000006" customHeight="1" x14ac:dyDescent="0.35">
      <c r="A13" s="36"/>
      <c r="B13" s="36"/>
      <c r="C13" s="22"/>
      <c r="D13" s="22"/>
      <c r="E13" s="22"/>
      <c r="F13" s="25" t="s">
        <v>15</v>
      </c>
      <c r="G13" s="72"/>
    </row>
    <row r="14" spans="1:7" ht="80.150000000000006" customHeight="1" x14ac:dyDescent="0.35">
      <c r="A14" s="37"/>
      <c r="B14" s="37"/>
      <c r="C14" s="38"/>
      <c r="D14" s="38"/>
      <c r="E14" s="38"/>
      <c r="F14" s="25" t="s">
        <v>15</v>
      </c>
    </row>
    <row r="15" spans="1:7" ht="80.150000000000006" customHeight="1" x14ac:dyDescent="0.35">
      <c r="A15" s="36"/>
      <c r="B15" s="36"/>
      <c r="C15" s="22"/>
      <c r="D15" s="22"/>
      <c r="E15" s="22"/>
      <c r="F15" s="25" t="s">
        <v>15</v>
      </c>
      <c r="G15" s="72"/>
    </row>
    <row r="16" spans="1:7" ht="80.150000000000006" customHeight="1" x14ac:dyDescent="0.35">
      <c r="A16" s="37"/>
      <c r="B16" s="37"/>
      <c r="C16" s="38"/>
      <c r="D16" s="38"/>
      <c r="E16" s="38"/>
      <c r="F16" s="25"/>
    </row>
    <row r="17" spans="1:7" ht="80.150000000000006" customHeight="1" x14ac:dyDescent="0.35">
      <c r="A17" s="36"/>
      <c r="B17" s="36"/>
      <c r="C17" s="22"/>
      <c r="D17" s="22"/>
      <c r="E17" s="22"/>
      <c r="F17" s="25"/>
      <c r="G17" s="72"/>
    </row>
    <row r="18" spans="1:7" ht="80.150000000000006" customHeight="1" x14ac:dyDescent="0.35">
      <c r="A18" s="37"/>
      <c r="B18" s="37"/>
      <c r="C18" s="38"/>
      <c r="D18" s="38"/>
      <c r="E18" s="38"/>
      <c r="F18" s="25"/>
    </row>
    <row r="19" spans="1:7" ht="65.150000000000006" customHeight="1" x14ac:dyDescent="0.35">
      <c r="A19" s="36"/>
      <c r="B19" s="36"/>
      <c r="C19" s="22"/>
      <c r="D19" s="22"/>
      <c r="E19" s="22"/>
      <c r="F19" s="25"/>
      <c r="G19" s="72"/>
    </row>
    <row r="20" spans="1:7" ht="65.150000000000006" customHeight="1" x14ac:dyDescent="0.35">
      <c r="A20" s="37"/>
      <c r="B20" s="37"/>
      <c r="C20" s="38"/>
      <c r="D20" s="38"/>
      <c r="E20" s="38"/>
      <c r="F20" s="25"/>
    </row>
    <row r="21" spans="1:7" ht="65.150000000000006" customHeight="1" x14ac:dyDescent="0.35">
      <c r="A21" s="36"/>
      <c r="B21" s="36"/>
      <c r="C21" s="22"/>
      <c r="D21" s="22"/>
      <c r="E21" s="22"/>
      <c r="F21" s="25"/>
      <c r="G21" s="72"/>
    </row>
    <row r="22" spans="1:7" ht="65.150000000000006" customHeight="1" x14ac:dyDescent="0.35">
      <c r="A22" s="37"/>
      <c r="B22" s="37"/>
      <c r="C22" s="38"/>
      <c r="D22" s="38"/>
      <c r="E22" s="38"/>
      <c r="F22" s="25"/>
    </row>
    <row r="23" spans="1:7" ht="65.150000000000006" customHeight="1" x14ac:dyDescent="0.35">
      <c r="A23" s="36"/>
      <c r="B23" s="36"/>
      <c r="C23" s="22"/>
      <c r="D23" s="22"/>
      <c r="E23" s="22"/>
      <c r="F23" s="25"/>
      <c r="G23" s="72"/>
    </row>
    <row r="24" spans="1:7" ht="65.150000000000006" customHeight="1" x14ac:dyDescent="0.35">
      <c r="A24" s="37"/>
      <c r="B24" s="37"/>
      <c r="C24" s="38"/>
      <c r="D24" s="38"/>
      <c r="E24" s="38"/>
      <c r="F24" s="25"/>
    </row>
    <row r="25" spans="1:7" ht="65.150000000000006" customHeight="1" x14ac:dyDescent="0.35">
      <c r="A25" s="36"/>
      <c r="B25" s="36"/>
      <c r="C25" s="22"/>
      <c r="D25" s="22"/>
      <c r="E25" s="22"/>
      <c r="F25" s="25"/>
      <c r="G25" s="72"/>
    </row>
    <row r="26" spans="1:7" ht="65.150000000000006" customHeight="1" x14ac:dyDescent="0.35">
      <c r="A26" s="37"/>
      <c r="B26" s="37"/>
      <c r="C26" s="38"/>
      <c r="D26" s="38"/>
      <c r="E26" s="38"/>
      <c r="F26" s="25"/>
    </row>
    <row r="27" spans="1:7" ht="65.150000000000006" customHeight="1" x14ac:dyDescent="0.35">
      <c r="A27" s="36"/>
      <c r="B27" s="36"/>
      <c r="C27" s="22"/>
      <c r="D27" s="22"/>
      <c r="E27" s="22"/>
      <c r="F27" s="25"/>
      <c r="G27" s="72"/>
    </row>
    <row r="28" spans="1:7" ht="65.150000000000006" customHeight="1" x14ac:dyDescent="0.35">
      <c r="A28" s="37"/>
      <c r="B28" s="37"/>
      <c r="C28" s="38"/>
      <c r="D28" s="38"/>
      <c r="E28" s="38"/>
      <c r="F28" s="25"/>
    </row>
    <row r="29" spans="1:7" ht="65.150000000000006" customHeight="1" x14ac:dyDescent="0.35">
      <c r="A29" s="36"/>
      <c r="B29" s="36"/>
      <c r="C29" s="22"/>
      <c r="D29" s="22"/>
      <c r="E29" s="22"/>
      <c r="F29" s="25"/>
      <c r="G29" s="72"/>
    </row>
    <row r="30" spans="1:7" ht="65.150000000000006" customHeight="1" x14ac:dyDescent="0.35">
      <c r="A30" s="37"/>
      <c r="B30" s="37"/>
      <c r="C30" s="38"/>
      <c r="D30" s="38"/>
      <c r="E30" s="38"/>
      <c r="F30" s="25"/>
    </row>
    <row r="31" spans="1:7" ht="65.150000000000006" customHeight="1" x14ac:dyDescent="0.35">
      <c r="A31" s="36"/>
      <c r="B31" s="36"/>
      <c r="C31" s="22"/>
      <c r="D31" s="22"/>
      <c r="E31" s="22"/>
      <c r="F31" s="25" t="s">
        <v>15</v>
      </c>
      <c r="G31" s="72"/>
    </row>
    <row r="32" spans="1:7" ht="65.150000000000006" customHeight="1" x14ac:dyDescent="0.35">
      <c r="A32" s="37"/>
      <c r="B32" s="37"/>
      <c r="C32" s="38"/>
      <c r="D32" s="38"/>
      <c r="E32" s="38"/>
      <c r="F32" s="25" t="s">
        <v>15</v>
      </c>
    </row>
    <row r="33" spans="1:7" ht="65.150000000000006" customHeight="1" x14ac:dyDescent="0.35">
      <c r="A33" s="36"/>
      <c r="B33" s="36"/>
      <c r="C33" s="22"/>
      <c r="D33" s="22"/>
      <c r="E33" s="22"/>
      <c r="F33" s="25" t="s">
        <v>15</v>
      </c>
      <c r="G33" s="72"/>
    </row>
    <row r="34" spans="1:7" ht="65.150000000000006" customHeight="1" x14ac:dyDescent="0.35">
      <c r="A34" s="37"/>
      <c r="B34" s="37"/>
      <c r="C34" s="38"/>
      <c r="D34" s="38"/>
      <c r="E34" s="38"/>
      <c r="F34" s="25" t="s">
        <v>15</v>
      </c>
    </row>
    <row r="35" spans="1:7" ht="65.150000000000006" customHeight="1" x14ac:dyDescent="0.35">
      <c r="A35" s="36"/>
      <c r="B35" s="36"/>
      <c r="C35" s="22"/>
      <c r="D35" s="22"/>
      <c r="E35" s="22"/>
      <c r="F35" s="25" t="s">
        <v>15</v>
      </c>
      <c r="G35" s="72"/>
    </row>
    <row r="36" spans="1:7" ht="65.150000000000006" customHeight="1" x14ac:dyDescent="0.35">
      <c r="A36" s="37"/>
      <c r="B36" s="37"/>
      <c r="C36" s="38"/>
      <c r="D36" s="38"/>
      <c r="E36" s="38"/>
      <c r="F36" s="25" t="s">
        <v>15</v>
      </c>
    </row>
    <row r="37" spans="1:7" ht="65.150000000000006" customHeight="1" x14ac:dyDescent="0.35">
      <c r="A37" s="36"/>
      <c r="B37" s="36"/>
      <c r="C37" s="22"/>
      <c r="D37" s="22"/>
      <c r="E37" s="22"/>
      <c r="F37" s="25" t="s">
        <v>15</v>
      </c>
      <c r="G37" s="72"/>
    </row>
    <row r="38" spans="1:7" ht="65.150000000000006" customHeight="1" x14ac:dyDescent="0.35">
      <c r="A38" s="37"/>
      <c r="B38" s="37"/>
      <c r="C38" s="38"/>
      <c r="D38" s="38"/>
      <c r="E38" s="38"/>
      <c r="F38" s="25" t="s">
        <v>15</v>
      </c>
    </row>
    <row r="39" spans="1:7" ht="65.150000000000006" customHeight="1" x14ac:dyDescent="0.35">
      <c r="A39" s="36"/>
      <c r="B39" s="36"/>
      <c r="C39" s="22"/>
      <c r="D39" s="22"/>
      <c r="E39" s="22"/>
      <c r="F39" s="25" t="s">
        <v>15</v>
      </c>
      <c r="G39" s="72"/>
    </row>
    <row r="40" spans="1:7" ht="65.150000000000006" customHeight="1" x14ac:dyDescent="0.35">
      <c r="A40" s="37"/>
      <c r="B40" s="37"/>
      <c r="C40" s="38"/>
      <c r="D40" s="38"/>
      <c r="E40" s="38"/>
      <c r="F40" s="25" t="s">
        <v>15</v>
      </c>
    </row>
    <row r="41" spans="1:7" ht="65.150000000000006" customHeight="1" x14ac:dyDescent="0.35">
      <c r="A41" s="36"/>
      <c r="B41" s="36"/>
      <c r="C41" s="22"/>
      <c r="D41" s="22"/>
      <c r="E41" s="22"/>
      <c r="F41" s="25" t="s">
        <v>15</v>
      </c>
      <c r="G41" s="72"/>
    </row>
    <row r="42" spans="1:7" ht="65.150000000000006" customHeight="1" x14ac:dyDescent="0.35">
      <c r="A42" s="37"/>
      <c r="B42" s="37"/>
      <c r="C42" s="38"/>
      <c r="D42" s="38"/>
      <c r="E42" s="38"/>
      <c r="F42" s="25" t="s">
        <v>15</v>
      </c>
    </row>
    <row r="43" spans="1:7" ht="65.150000000000006" customHeight="1" x14ac:dyDescent="0.35">
      <c r="A43" s="36"/>
      <c r="B43" s="36"/>
      <c r="C43" s="22"/>
      <c r="D43" s="22"/>
      <c r="E43" s="22"/>
      <c r="F43" s="25" t="s">
        <v>15</v>
      </c>
      <c r="G43" s="72"/>
    </row>
    <row r="44" spans="1:7" ht="65.150000000000006" customHeight="1" x14ac:dyDescent="0.35">
      <c r="A44" s="37"/>
      <c r="B44" s="37"/>
      <c r="C44" s="38"/>
      <c r="D44" s="38"/>
      <c r="E44" s="38"/>
      <c r="F44" s="25" t="s">
        <v>15</v>
      </c>
    </row>
    <row r="45" spans="1:7" ht="65.150000000000006" customHeight="1" x14ac:dyDescent="0.35">
      <c r="A45" s="36"/>
      <c r="B45" s="36"/>
      <c r="C45" s="22"/>
      <c r="D45" s="22"/>
      <c r="E45" s="22"/>
      <c r="F45" s="25" t="s">
        <v>15</v>
      </c>
      <c r="G45" s="72"/>
    </row>
    <row r="46" spans="1:7" ht="65.150000000000006" customHeight="1" x14ac:dyDescent="0.35">
      <c r="A46" s="37"/>
      <c r="B46" s="37"/>
      <c r="C46" s="38"/>
      <c r="D46" s="38"/>
      <c r="E46" s="38"/>
      <c r="F46" s="25" t="s">
        <v>15</v>
      </c>
    </row>
    <row r="47" spans="1:7" ht="65.150000000000006" customHeight="1" x14ac:dyDescent="0.35">
      <c r="A47" s="36"/>
      <c r="B47" s="36"/>
      <c r="C47" s="22"/>
      <c r="D47" s="22"/>
      <c r="E47" s="22"/>
      <c r="F47" s="25" t="s">
        <v>15</v>
      </c>
      <c r="G47" s="72"/>
    </row>
    <row r="48" spans="1:7" ht="65.150000000000006" customHeight="1" x14ac:dyDescent="0.35">
      <c r="A48" s="37"/>
      <c r="B48" s="37"/>
      <c r="C48" s="38"/>
      <c r="D48" s="38"/>
      <c r="E48" s="38"/>
      <c r="F48" s="25" t="s">
        <v>15</v>
      </c>
    </row>
    <row r="49" spans="1:7" ht="65.150000000000006" customHeight="1" x14ac:dyDescent="0.35">
      <c r="A49" s="36"/>
      <c r="B49" s="36"/>
      <c r="C49" s="22"/>
      <c r="D49" s="22"/>
      <c r="E49" s="22"/>
      <c r="F49" s="25" t="s">
        <v>15</v>
      </c>
      <c r="G49" s="72"/>
    </row>
    <row r="50" spans="1:7" ht="65.150000000000006" customHeight="1" x14ac:dyDescent="0.35">
      <c r="A50" s="37"/>
      <c r="B50" s="37"/>
      <c r="C50" s="38"/>
      <c r="D50" s="38"/>
      <c r="E50" s="38"/>
      <c r="F50" s="25" t="s">
        <v>15</v>
      </c>
    </row>
    <row r="51" spans="1:7" ht="65.150000000000006" customHeight="1" x14ac:dyDescent="0.35">
      <c r="A51" s="36"/>
      <c r="B51" s="36"/>
      <c r="C51" s="22"/>
      <c r="D51" s="22"/>
      <c r="E51" s="22"/>
      <c r="F51" s="25" t="s">
        <v>15</v>
      </c>
      <c r="G51" s="72"/>
    </row>
    <row r="52" spans="1:7" ht="65.150000000000006" customHeight="1" x14ac:dyDescent="0.35">
      <c r="A52" s="37"/>
      <c r="B52" s="37"/>
      <c r="C52" s="38"/>
      <c r="D52" s="38"/>
      <c r="E52" s="38"/>
      <c r="F52" s="25" t="s">
        <v>15</v>
      </c>
    </row>
    <row r="53" spans="1:7" ht="65.150000000000006" customHeight="1" x14ac:dyDescent="0.35">
      <c r="A53" s="36"/>
      <c r="B53" s="36"/>
      <c r="C53" s="22"/>
      <c r="D53" s="22"/>
      <c r="E53" s="22"/>
      <c r="F53" s="25" t="s">
        <v>15</v>
      </c>
      <c r="G53" s="72"/>
    </row>
    <row r="54" spans="1:7" ht="65.150000000000006" customHeight="1" x14ac:dyDescent="0.35">
      <c r="A54" s="37"/>
      <c r="B54" s="37"/>
      <c r="C54" s="38"/>
      <c r="D54" s="38"/>
      <c r="E54" s="38"/>
      <c r="F54" s="25" t="s">
        <v>15</v>
      </c>
    </row>
    <row r="55" spans="1:7" ht="65.150000000000006" customHeight="1" x14ac:dyDescent="0.35">
      <c r="A55" s="36"/>
      <c r="B55" s="36"/>
      <c r="C55" s="22"/>
      <c r="D55" s="22"/>
      <c r="E55" s="22"/>
      <c r="F55" s="25" t="s">
        <v>15</v>
      </c>
      <c r="G55" s="72"/>
    </row>
    <row r="56" spans="1:7" ht="65.150000000000006" customHeight="1" x14ac:dyDescent="0.35">
      <c r="A56" s="37"/>
      <c r="B56" s="37"/>
      <c r="C56" s="38"/>
      <c r="D56" s="38"/>
      <c r="E56" s="38"/>
      <c r="F56" s="25" t="s">
        <v>15</v>
      </c>
    </row>
    <row r="57" spans="1:7" ht="65.150000000000006" customHeight="1" x14ac:dyDescent="0.35">
      <c r="A57" s="36"/>
      <c r="B57" s="36"/>
      <c r="C57" s="22"/>
      <c r="D57" s="22"/>
      <c r="E57" s="22"/>
      <c r="F57" s="25" t="s">
        <v>15</v>
      </c>
      <c r="G57" s="72"/>
    </row>
    <row r="58" spans="1:7" ht="65.150000000000006" customHeight="1" x14ac:dyDescent="0.35">
      <c r="A58" s="37"/>
      <c r="B58" s="37"/>
      <c r="C58" s="38"/>
      <c r="D58" s="38"/>
      <c r="E58" s="38"/>
      <c r="F58" s="25" t="s">
        <v>15</v>
      </c>
    </row>
    <row r="59" spans="1:7" ht="65.150000000000006" customHeight="1" x14ac:dyDescent="0.35">
      <c r="A59" s="36"/>
      <c r="B59" s="36"/>
      <c r="C59" s="22"/>
      <c r="D59" s="22"/>
      <c r="E59" s="22"/>
      <c r="F59" s="25" t="s">
        <v>15</v>
      </c>
      <c r="G59" s="72"/>
    </row>
    <row r="60" spans="1:7" ht="65.150000000000006" customHeight="1" x14ac:dyDescent="0.35">
      <c r="A60" s="37"/>
      <c r="B60" s="37"/>
      <c r="C60" s="38"/>
      <c r="D60" s="38"/>
      <c r="E60" s="38"/>
      <c r="F60" s="25" t="s">
        <v>15</v>
      </c>
    </row>
    <row r="61" spans="1:7" ht="65.150000000000006" customHeight="1" x14ac:dyDescent="0.35">
      <c r="A61" s="36"/>
      <c r="B61" s="36"/>
      <c r="C61" s="22"/>
      <c r="D61" s="22"/>
      <c r="E61" s="22"/>
      <c r="F61" s="25" t="s">
        <v>15</v>
      </c>
      <c r="G61" s="72"/>
    </row>
    <row r="62" spans="1:7" ht="65.150000000000006" customHeight="1" x14ac:dyDescent="0.35">
      <c r="A62" s="37"/>
      <c r="B62" s="37"/>
      <c r="C62" s="38"/>
      <c r="D62" s="38"/>
      <c r="E62" s="38"/>
      <c r="F62" s="25" t="s">
        <v>15</v>
      </c>
    </row>
    <row r="63" spans="1:7" ht="65.150000000000006" customHeight="1" x14ac:dyDescent="0.35">
      <c r="A63" s="36"/>
      <c r="B63" s="36"/>
      <c r="C63" s="22"/>
      <c r="D63" s="22"/>
      <c r="E63" s="22"/>
      <c r="F63" s="25" t="s">
        <v>15</v>
      </c>
      <c r="G63" s="72"/>
    </row>
    <row r="64" spans="1:7" ht="65.150000000000006" customHeight="1" x14ac:dyDescent="0.35">
      <c r="A64" s="37"/>
      <c r="B64" s="37"/>
      <c r="C64" s="38"/>
      <c r="D64" s="38"/>
      <c r="E64" s="38"/>
      <c r="F64" s="25" t="s">
        <v>15</v>
      </c>
    </row>
    <row r="65" spans="1:7" ht="65.150000000000006" customHeight="1" x14ac:dyDescent="0.35">
      <c r="A65" s="36"/>
      <c r="B65" s="36"/>
      <c r="C65" s="22"/>
      <c r="D65" s="22"/>
      <c r="E65" s="22"/>
      <c r="F65" s="25" t="s">
        <v>15</v>
      </c>
      <c r="G65" s="72"/>
    </row>
    <row r="66" spans="1:7" ht="65.150000000000006" customHeight="1" x14ac:dyDescent="0.35">
      <c r="A66" s="37"/>
      <c r="B66" s="37"/>
      <c r="C66" s="38"/>
      <c r="D66" s="38"/>
      <c r="E66" s="38"/>
      <c r="F66" s="25" t="s">
        <v>15</v>
      </c>
    </row>
    <row r="67" spans="1:7" ht="65.150000000000006" customHeight="1" x14ac:dyDescent="0.35">
      <c r="A67" s="36"/>
      <c r="B67" s="36"/>
      <c r="C67" s="22"/>
      <c r="D67" s="22"/>
      <c r="E67" s="22"/>
      <c r="F67" s="25" t="s">
        <v>15</v>
      </c>
      <c r="G67" s="72"/>
    </row>
    <row r="68" spans="1:7" ht="30" customHeight="1" x14ac:dyDescent="0.35">
      <c r="A68" s="37"/>
      <c r="B68" s="37"/>
      <c r="C68" s="38"/>
      <c r="D68" s="38"/>
      <c r="E68" s="38"/>
      <c r="F68" s="25" t="s">
        <v>15</v>
      </c>
    </row>
    <row r="69" spans="1:7" ht="30" customHeight="1" x14ac:dyDescent="0.35">
      <c r="A69" s="36"/>
      <c r="B69" s="36"/>
      <c r="C69" s="22"/>
      <c r="D69" s="22"/>
      <c r="E69" s="22"/>
      <c r="F69" s="25" t="s">
        <v>15</v>
      </c>
    </row>
    <row r="70" spans="1:7" ht="30" customHeight="1" x14ac:dyDescent="0.35">
      <c r="A70" s="37"/>
      <c r="B70" s="37"/>
      <c r="C70" s="38"/>
      <c r="D70" s="38"/>
      <c r="E70" s="38"/>
      <c r="F70" s="25" t="s">
        <v>15</v>
      </c>
    </row>
    <row r="71" spans="1:7" ht="30" customHeight="1" x14ac:dyDescent="0.35">
      <c r="A71" s="36"/>
      <c r="B71" s="36"/>
      <c r="C71" s="22"/>
      <c r="D71" s="22"/>
      <c r="E71" s="22"/>
      <c r="F71" s="25" t="s">
        <v>15</v>
      </c>
    </row>
    <row r="72" spans="1:7" ht="30" customHeight="1" x14ac:dyDescent="0.35">
      <c r="A72" s="37"/>
      <c r="B72" s="37"/>
      <c r="C72" s="38"/>
      <c r="D72" s="38"/>
      <c r="E72" s="38"/>
      <c r="F72" s="25" t="s">
        <v>15</v>
      </c>
    </row>
    <row r="73" spans="1:7" ht="30" customHeight="1" x14ac:dyDescent="0.35">
      <c r="A73" s="36"/>
      <c r="B73" s="36"/>
      <c r="C73" s="22"/>
      <c r="D73" s="22"/>
      <c r="E73" s="22"/>
      <c r="F73" s="25" t="s">
        <v>15</v>
      </c>
    </row>
    <row r="74" spans="1:7" ht="30" customHeight="1" x14ac:dyDescent="0.35">
      <c r="A74" s="37"/>
      <c r="B74" s="37"/>
      <c r="C74" s="38"/>
      <c r="D74" s="38"/>
      <c r="E74" s="38"/>
      <c r="F74" s="25" t="s">
        <v>15</v>
      </c>
    </row>
    <row r="75" spans="1:7" ht="30" customHeight="1" x14ac:dyDescent="0.35">
      <c r="A75" s="36"/>
      <c r="B75" s="36"/>
      <c r="C75" s="22"/>
      <c r="D75" s="22"/>
      <c r="E75" s="22"/>
      <c r="F75" s="25" t="s">
        <v>15</v>
      </c>
    </row>
    <row r="76" spans="1:7" ht="30" customHeight="1" x14ac:dyDescent="0.35">
      <c r="A76" s="37"/>
      <c r="B76" s="37"/>
      <c r="C76" s="38"/>
      <c r="D76" s="38"/>
      <c r="E76" s="38"/>
      <c r="F76" s="25" t="s">
        <v>15</v>
      </c>
    </row>
    <row r="77" spans="1:7" ht="30" customHeight="1" x14ac:dyDescent="0.35">
      <c r="B77" s="34"/>
      <c r="C77" s="22"/>
      <c r="D77" s="22"/>
      <c r="E77" s="22"/>
      <c r="F77" s="25" t="s">
        <v>15</v>
      </c>
    </row>
    <row r="78" spans="1:7" ht="30" customHeight="1" x14ac:dyDescent="0.35">
      <c r="B78" s="34"/>
      <c r="C78" s="22"/>
      <c r="D78" s="22"/>
      <c r="E78" s="22"/>
      <c r="F78" s="25" t="s">
        <v>15</v>
      </c>
    </row>
    <row r="79" spans="1:7" ht="30" customHeight="1" x14ac:dyDescent="0.35">
      <c r="B79" s="34"/>
      <c r="C79" s="22"/>
      <c r="D79" s="22"/>
      <c r="E79" s="22"/>
      <c r="F79" s="25" t="s">
        <v>15</v>
      </c>
    </row>
    <row r="80" spans="1:7" ht="30" customHeight="1" x14ac:dyDescent="0.35">
      <c r="B80" s="34"/>
      <c r="C80" s="22"/>
      <c r="D80" s="22"/>
      <c r="E80" s="22"/>
      <c r="F80" s="25" t="s">
        <v>15</v>
      </c>
    </row>
    <row r="81" spans="2:6" ht="30" customHeight="1" x14ac:dyDescent="0.35">
      <c r="B81" s="34"/>
      <c r="C81" s="22"/>
      <c r="D81" s="22"/>
      <c r="E81" s="22"/>
      <c r="F81" s="25" t="s">
        <v>15</v>
      </c>
    </row>
    <row r="82" spans="2:6" ht="30" customHeight="1" x14ac:dyDescent="0.35">
      <c r="B82" s="34"/>
      <c r="C82" s="22"/>
      <c r="D82" s="22"/>
      <c r="E82" s="22"/>
      <c r="F82" s="25" t="s">
        <v>15</v>
      </c>
    </row>
    <row r="83" spans="2:6" ht="30" customHeight="1" x14ac:dyDescent="0.35">
      <c r="B83" s="34"/>
      <c r="C83" s="22"/>
      <c r="D83" s="22"/>
      <c r="E83" s="22"/>
      <c r="F83" s="25" t="s">
        <v>15</v>
      </c>
    </row>
    <row r="84" spans="2:6" ht="30" customHeight="1" x14ac:dyDescent="0.35">
      <c r="B84" s="34"/>
      <c r="C84" s="22"/>
      <c r="D84" s="22"/>
      <c r="E84" s="22"/>
      <c r="F84" s="25" t="s">
        <v>15</v>
      </c>
    </row>
    <row r="85" spans="2:6" ht="30" customHeight="1" x14ac:dyDescent="0.35">
      <c r="B85" s="34"/>
      <c r="C85" s="22"/>
      <c r="D85" s="22"/>
      <c r="E85" s="22"/>
      <c r="F85" s="25" t="s">
        <v>15</v>
      </c>
    </row>
    <row r="86" spans="2:6" ht="30" customHeight="1" x14ac:dyDescent="0.35">
      <c r="B86" s="34"/>
      <c r="C86" s="22"/>
      <c r="D86" s="22"/>
      <c r="E86" s="22"/>
      <c r="F86" s="25" t="s">
        <v>15</v>
      </c>
    </row>
    <row r="87" spans="2:6" ht="30" customHeight="1" x14ac:dyDescent="0.35">
      <c r="B87" s="34"/>
      <c r="C87" s="22"/>
      <c r="D87" s="22"/>
      <c r="E87" s="22"/>
      <c r="F87" s="25" t="s">
        <v>15</v>
      </c>
    </row>
    <row r="88" spans="2:6" ht="30" customHeight="1" x14ac:dyDescent="0.35">
      <c r="B88" s="34"/>
      <c r="C88" s="22"/>
      <c r="D88" s="22"/>
      <c r="E88" s="22"/>
      <c r="F88" s="25" t="s">
        <v>15</v>
      </c>
    </row>
    <row r="89" spans="2:6" ht="30" customHeight="1" x14ac:dyDescent="0.35">
      <c r="B89" s="34"/>
      <c r="C89" s="22"/>
      <c r="D89" s="22"/>
      <c r="E89" s="22"/>
      <c r="F89" s="25" t="s">
        <v>15</v>
      </c>
    </row>
    <row r="90" spans="2:6" ht="30" customHeight="1" x14ac:dyDescent="0.35">
      <c r="B90" s="34"/>
      <c r="C90" s="22"/>
      <c r="D90" s="22"/>
      <c r="E90" s="22"/>
      <c r="F90" s="25" t="s">
        <v>15</v>
      </c>
    </row>
    <row r="91" spans="2:6" ht="30" customHeight="1" x14ac:dyDescent="0.35">
      <c r="B91" s="34"/>
      <c r="C91" s="22"/>
      <c r="D91" s="22"/>
      <c r="E91" s="22"/>
      <c r="F91" s="25" t="s">
        <v>15</v>
      </c>
    </row>
    <row r="92" spans="2:6" ht="30" customHeight="1" x14ac:dyDescent="0.35">
      <c r="B92" s="34"/>
      <c r="C92" s="22"/>
      <c r="D92" s="22"/>
      <c r="E92" s="22"/>
      <c r="F92" s="25" t="s">
        <v>15</v>
      </c>
    </row>
    <row r="93" spans="2:6" ht="30" customHeight="1" x14ac:dyDescent="0.35">
      <c r="B93" s="34"/>
      <c r="C93" s="22"/>
      <c r="D93" s="22"/>
      <c r="E93" s="22"/>
      <c r="F93" s="25" t="s">
        <v>15</v>
      </c>
    </row>
    <row r="94" spans="2:6" ht="30" customHeight="1" x14ac:dyDescent="0.35">
      <c r="B94" s="34"/>
      <c r="C94" s="22"/>
      <c r="D94" s="22"/>
      <c r="E94" s="22"/>
      <c r="F94" s="25" t="s">
        <v>15</v>
      </c>
    </row>
    <row r="95" spans="2:6" ht="30" customHeight="1" x14ac:dyDescent="0.35">
      <c r="B95" s="34"/>
      <c r="C95" s="22"/>
      <c r="D95" s="22"/>
      <c r="E95" s="22"/>
      <c r="F95" s="25" t="s">
        <v>15</v>
      </c>
    </row>
    <row r="96" spans="2:6" ht="30" customHeight="1" x14ac:dyDescent="0.35">
      <c r="B96" s="34"/>
      <c r="C96" s="22"/>
      <c r="D96" s="22"/>
      <c r="E96" s="22"/>
      <c r="F96" s="25" t="s">
        <v>15</v>
      </c>
    </row>
    <row r="97" spans="2:6" ht="30" customHeight="1" x14ac:dyDescent="0.35">
      <c r="B97" s="34"/>
      <c r="C97" s="22"/>
      <c r="D97" s="22"/>
      <c r="E97" s="22"/>
      <c r="F97" s="25" t="s">
        <v>15</v>
      </c>
    </row>
    <row r="98" spans="2:6" ht="30" customHeight="1" x14ac:dyDescent="0.35">
      <c r="B98" s="34"/>
      <c r="C98" s="22"/>
      <c r="D98" s="22"/>
      <c r="E98" s="22"/>
      <c r="F98" s="25" t="s">
        <v>15</v>
      </c>
    </row>
    <row r="99" spans="2:6" ht="30" customHeight="1" x14ac:dyDescent="0.35">
      <c r="B99" s="34"/>
      <c r="C99" s="22"/>
      <c r="D99" s="22"/>
      <c r="E99" s="22"/>
      <c r="F99" s="25" t="s">
        <v>15</v>
      </c>
    </row>
    <row r="100" spans="2:6" ht="30" customHeight="1" x14ac:dyDescent="0.35">
      <c r="B100" s="34"/>
      <c r="C100" s="22"/>
      <c r="D100" s="22"/>
      <c r="E100" s="22"/>
      <c r="F100" s="25" t="s">
        <v>15</v>
      </c>
    </row>
    <row r="101" spans="2:6" ht="30" customHeight="1" x14ac:dyDescent="0.35">
      <c r="B101" s="34"/>
      <c r="C101" s="22"/>
      <c r="D101" s="22"/>
      <c r="E101" s="22"/>
      <c r="F101" s="25" t="s">
        <v>15</v>
      </c>
    </row>
    <row r="102" spans="2:6" ht="30" customHeight="1" x14ac:dyDescent="0.35">
      <c r="B102" s="34"/>
      <c r="C102" s="22"/>
      <c r="D102" s="22"/>
      <c r="E102" s="22"/>
      <c r="F102" s="25" t="s">
        <v>15</v>
      </c>
    </row>
    <row r="103" spans="2:6" ht="30" customHeight="1" x14ac:dyDescent="0.35">
      <c r="B103" s="34"/>
      <c r="C103" s="22"/>
      <c r="D103" s="22"/>
      <c r="E103" s="22"/>
      <c r="F103" s="25" t="s">
        <v>15</v>
      </c>
    </row>
    <row r="104" spans="2:6" ht="30" customHeight="1" x14ac:dyDescent="0.35">
      <c r="B104" s="34"/>
      <c r="C104" s="22"/>
      <c r="D104" s="22"/>
      <c r="E104" s="22"/>
      <c r="F104" s="25" t="s">
        <v>15</v>
      </c>
    </row>
    <row r="105" spans="2:6" ht="30" customHeight="1" x14ac:dyDescent="0.35">
      <c r="B105" s="34"/>
      <c r="C105" s="22"/>
      <c r="D105" s="22"/>
      <c r="E105" s="22"/>
      <c r="F105" s="25" t="s">
        <v>15</v>
      </c>
    </row>
    <row r="106" spans="2:6" ht="30" customHeight="1" x14ac:dyDescent="0.35">
      <c r="B106" s="34"/>
      <c r="C106" s="22"/>
      <c r="D106" s="22"/>
      <c r="E106" s="22"/>
      <c r="F106" s="25" t="s">
        <v>15</v>
      </c>
    </row>
    <row r="107" spans="2:6" ht="30" customHeight="1" x14ac:dyDescent="0.35">
      <c r="B107" s="34"/>
      <c r="C107" s="22"/>
      <c r="D107" s="22"/>
      <c r="E107" s="22"/>
      <c r="F107" s="25" t="s">
        <v>15</v>
      </c>
    </row>
    <row r="108" spans="2:6" ht="30" customHeight="1" x14ac:dyDescent="0.35">
      <c r="B108" s="34"/>
      <c r="C108" s="22"/>
      <c r="D108" s="22"/>
      <c r="E108" s="22"/>
      <c r="F108" s="25" t="s">
        <v>15</v>
      </c>
    </row>
    <row r="109" spans="2:6" ht="30" customHeight="1" x14ac:dyDescent="0.35">
      <c r="B109" s="34"/>
      <c r="C109" s="22"/>
      <c r="D109" s="22"/>
      <c r="E109" s="22"/>
      <c r="F109" s="25" t="s">
        <v>15</v>
      </c>
    </row>
    <row r="110" spans="2:6" ht="30" customHeight="1" x14ac:dyDescent="0.35">
      <c r="B110" s="34"/>
      <c r="C110" s="22"/>
      <c r="D110" s="22"/>
      <c r="E110" s="22"/>
      <c r="F110" s="25" t="s">
        <v>15</v>
      </c>
    </row>
    <row r="111" spans="2:6" ht="30" customHeight="1" x14ac:dyDescent="0.35">
      <c r="B111" s="34"/>
      <c r="C111" s="22"/>
      <c r="D111" s="22"/>
      <c r="E111" s="22"/>
      <c r="F111" s="25" t="s">
        <v>15</v>
      </c>
    </row>
    <row r="112" spans="2:6" ht="30" customHeight="1" x14ac:dyDescent="0.35">
      <c r="B112" s="34"/>
      <c r="C112" s="22"/>
      <c r="D112" s="22"/>
      <c r="E112" s="22"/>
      <c r="F112" s="25" t="s">
        <v>15</v>
      </c>
    </row>
    <row r="113" spans="1:7" ht="30" customHeight="1" x14ac:dyDescent="0.35">
      <c r="B113" s="34"/>
      <c r="C113" s="22"/>
      <c r="D113" s="22"/>
      <c r="E113" s="22"/>
      <c r="F113" s="25" t="s">
        <v>15</v>
      </c>
    </row>
    <row r="114" spans="1:7" ht="30" customHeight="1" x14ac:dyDescent="0.35">
      <c r="B114" s="34"/>
      <c r="C114" s="22"/>
      <c r="D114" s="22"/>
      <c r="E114" s="22"/>
      <c r="F114" s="25" t="s">
        <v>15</v>
      </c>
    </row>
    <row r="115" spans="1:7" ht="30" customHeight="1" x14ac:dyDescent="0.35">
      <c r="B115" s="34"/>
      <c r="C115" s="22"/>
      <c r="D115" s="22"/>
      <c r="E115" s="22"/>
      <c r="F115" s="25" t="s">
        <v>15</v>
      </c>
    </row>
    <row r="116" spans="1:7" s="13" customFormat="1" ht="16.5" customHeight="1" x14ac:dyDescent="0.35">
      <c r="A116" s="19"/>
      <c r="B116" s="27"/>
      <c r="C116" s="42"/>
      <c r="D116" s="19"/>
      <c r="E116" s="30"/>
      <c r="F116" s="19"/>
      <c r="G116"/>
    </row>
    <row r="190" spans="7:7" x14ac:dyDescent="0.35">
      <c r="G190" s="19"/>
    </row>
  </sheetData>
  <sheetProtection selectLockedCells="1"/>
  <mergeCells count="9">
    <mergeCell ref="G4:G5"/>
    <mergeCell ref="A1:A2"/>
    <mergeCell ref="A3:A4"/>
    <mergeCell ref="F4:F5"/>
    <mergeCell ref="A6:A7"/>
    <mergeCell ref="E4:E5"/>
    <mergeCell ref="B4:B5"/>
    <mergeCell ref="C4:C5"/>
    <mergeCell ref="D4:D5"/>
  </mergeCells>
  <conditionalFormatting sqref="F8:F115">
    <cfRule type="expression" dxfId="2" priority="1">
      <formula>F8="VAZIO"</formula>
    </cfRule>
    <cfRule type="expression" dxfId="1" priority="2">
      <formula>F8="X"</formula>
    </cfRule>
    <cfRule type="expression" dxfId="0" priority="3">
      <formula>F8="OK"</formula>
    </cfRule>
  </conditionalFormatting>
  <dataValidations count="1">
    <dataValidation type="list" allowBlank="1" showInputMessage="1" showErrorMessage="1" sqref="F8:F115" xr:uid="{3E5477A9-FB1B-489C-A8F1-288594F00900}">
      <formula1>"OK,X,VAZIO"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6D64D2-15A5-4672-811C-FA1D3F1494E1}">
  <sheetPr codeName="Planilha1"/>
  <dimension ref="A1:BA288"/>
  <sheetViews>
    <sheetView showGridLines="0" zoomScale="70" zoomScaleNormal="70" workbookViewId="0">
      <pane ySplit="5" topLeftCell="A6" activePane="bottomLeft" state="frozen"/>
      <selection pane="bottomLeft"/>
    </sheetView>
  </sheetViews>
  <sheetFormatPr defaultRowHeight="14.5" x14ac:dyDescent="0.35"/>
  <cols>
    <col min="1" max="1" width="9.54296875" customWidth="1"/>
    <col min="2" max="2" width="7.81640625" customWidth="1"/>
    <col min="3" max="3" width="10.26953125" customWidth="1"/>
    <col min="4" max="4" width="8.26953125" customWidth="1"/>
    <col min="5" max="5" width="9.7265625" customWidth="1"/>
    <col min="6" max="6" width="10.1796875" customWidth="1"/>
    <col min="7" max="7" width="15.7265625" customWidth="1"/>
    <col min="8" max="8" width="9.1796875" customWidth="1"/>
    <col min="32" max="32" width="11" customWidth="1"/>
  </cols>
  <sheetData>
    <row r="1" spans="1:41" x14ac:dyDescent="0.35">
      <c r="A1" s="4"/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</row>
    <row r="2" spans="1:41" x14ac:dyDescent="0.35">
      <c r="A2" s="4"/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</row>
    <row r="3" spans="1:41" x14ac:dyDescent="0.35">
      <c r="A3" s="4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</row>
    <row r="4" spans="1:41" x14ac:dyDescent="0.35">
      <c r="A4" s="4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</row>
    <row r="5" spans="1:41" ht="15.75" customHeight="1" x14ac:dyDescent="0.35">
      <c r="A5" s="4"/>
      <c r="B5" s="4"/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24"/>
      <c r="X5" s="2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</row>
    <row r="6" spans="1:41" ht="15.75" customHeight="1" thickBot="1" x14ac:dyDescent="0.4">
      <c r="A6" s="4"/>
      <c r="B6" s="4"/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</row>
    <row r="7" spans="1:41" ht="15" customHeight="1" x14ac:dyDescent="0.35">
      <c r="A7" s="157" t="s">
        <v>13</v>
      </c>
      <c r="B7" s="158"/>
      <c r="C7" s="158"/>
      <c r="D7" s="158"/>
      <c r="E7" s="158"/>
      <c r="F7" s="158"/>
      <c r="G7" s="158"/>
      <c r="H7" s="158"/>
      <c r="I7" s="158"/>
      <c r="J7" s="158"/>
      <c r="K7" s="158"/>
      <c r="L7" s="158"/>
      <c r="M7" s="158"/>
      <c r="N7" s="158"/>
      <c r="O7" s="158"/>
      <c r="P7" s="158"/>
      <c r="Q7" s="158"/>
      <c r="R7" s="158"/>
      <c r="S7" s="158"/>
      <c r="T7" s="158"/>
      <c r="U7" s="158"/>
      <c r="V7" s="159"/>
      <c r="W7" s="166">
        <f>ANA!F4</f>
        <v>45204</v>
      </c>
      <c r="X7" s="167"/>
      <c r="Y7" s="148"/>
      <c r="Z7" s="149"/>
      <c r="AA7" s="149"/>
      <c r="AB7" s="149"/>
      <c r="AC7" s="149"/>
      <c r="AD7" s="149"/>
      <c r="AE7" s="149"/>
      <c r="AF7" s="149"/>
      <c r="AG7" s="149"/>
      <c r="AH7" s="149"/>
      <c r="AI7" s="149"/>
      <c r="AJ7" s="149"/>
      <c r="AK7" s="149"/>
      <c r="AL7" s="149"/>
      <c r="AM7" s="149"/>
      <c r="AN7" s="149"/>
      <c r="AO7" s="150"/>
    </row>
    <row r="8" spans="1:41" ht="15" customHeight="1" x14ac:dyDescent="0.35">
      <c r="A8" s="160"/>
      <c r="B8" s="161"/>
      <c r="C8" s="161"/>
      <c r="D8" s="161"/>
      <c r="E8" s="161"/>
      <c r="F8" s="161"/>
      <c r="G8" s="161"/>
      <c r="H8" s="161"/>
      <c r="I8" s="161"/>
      <c r="J8" s="161"/>
      <c r="K8" s="161"/>
      <c r="L8" s="161"/>
      <c r="M8" s="161"/>
      <c r="N8" s="161"/>
      <c r="O8" s="161"/>
      <c r="P8" s="161"/>
      <c r="Q8" s="161"/>
      <c r="R8" s="161"/>
      <c r="S8" s="161"/>
      <c r="T8" s="161"/>
      <c r="U8" s="161"/>
      <c r="V8" s="162"/>
      <c r="W8" s="168"/>
      <c r="X8" s="167"/>
      <c r="Y8" s="151"/>
      <c r="Z8" s="152"/>
      <c r="AA8" s="152"/>
      <c r="AB8" s="152"/>
      <c r="AC8" s="152"/>
      <c r="AD8" s="152"/>
      <c r="AE8" s="152"/>
      <c r="AF8" s="152"/>
      <c r="AG8" s="152"/>
      <c r="AH8" s="152"/>
      <c r="AI8" s="152"/>
      <c r="AJ8" s="152"/>
      <c r="AK8" s="152"/>
      <c r="AL8" s="152"/>
      <c r="AM8" s="152"/>
      <c r="AN8" s="152"/>
      <c r="AO8" s="153"/>
    </row>
    <row r="9" spans="1:41" ht="15.75" customHeight="1" thickBot="1" x14ac:dyDescent="0.4">
      <c r="A9" s="163"/>
      <c r="B9" s="164"/>
      <c r="C9" s="164"/>
      <c r="D9" s="164"/>
      <c r="E9" s="164"/>
      <c r="F9" s="164"/>
      <c r="G9" s="164"/>
      <c r="H9" s="164"/>
      <c r="I9" s="164"/>
      <c r="J9" s="164"/>
      <c r="K9" s="164"/>
      <c r="L9" s="164"/>
      <c r="M9" s="164"/>
      <c r="N9" s="164"/>
      <c r="O9" s="164"/>
      <c r="P9" s="164"/>
      <c r="Q9" s="164"/>
      <c r="R9" s="164"/>
      <c r="S9" s="164"/>
      <c r="T9" s="164"/>
      <c r="U9" s="164"/>
      <c r="V9" s="165"/>
      <c r="W9" s="168"/>
      <c r="X9" s="167"/>
      <c r="Y9" s="154"/>
      <c r="Z9" s="155"/>
      <c r="AA9" s="155"/>
      <c r="AB9" s="155"/>
      <c r="AC9" s="155"/>
      <c r="AD9" s="155"/>
      <c r="AE9" s="155"/>
      <c r="AF9" s="155"/>
      <c r="AG9" s="155"/>
      <c r="AH9" s="155"/>
      <c r="AI9" s="155"/>
      <c r="AJ9" s="155"/>
      <c r="AK9" s="155"/>
      <c r="AL9" s="155"/>
      <c r="AM9" s="155"/>
      <c r="AN9" s="155"/>
      <c r="AO9" s="156"/>
    </row>
    <row r="10" spans="1:41" ht="19.5" customHeight="1" thickBot="1" x14ac:dyDescent="0.4">
      <c r="A10" s="5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4"/>
      <c r="AI10" s="4"/>
      <c r="AJ10" s="4"/>
      <c r="AK10" s="4"/>
      <c r="AL10" s="4"/>
      <c r="AM10" s="4"/>
      <c r="AN10" s="4"/>
      <c r="AO10" s="4"/>
    </row>
    <row r="11" spans="1:41" ht="30" customHeight="1" thickBot="1" x14ac:dyDescent="0.4">
      <c r="A11" s="5"/>
      <c r="B11" s="169" t="s">
        <v>28</v>
      </c>
      <c r="C11" s="170"/>
      <c r="D11" s="170"/>
      <c r="E11" s="170"/>
      <c r="F11" s="170"/>
      <c r="G11" s="171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4"/>
      <c r="AI11" s="4"/>
      <c r="AJ11" s="4"/>
      <c r="AK11" s="4"/>
      <c r="AL11" s="4"/>
      <c r="AM11" s="4"/>
      <c r="AN11" s="4"/>
      <c r="AO11" s="4"/>
    </row>
    <row r="12" spans="1:41" ht="30" customHeight="1" x14ac:dyDescent="0.35">
      <c r="A12" s="5"/>
      <c r="B12" s="6" t="s">
        <v>5</v>
      </c>
      <c r="C12" s="7" t="s">
        <v>6</v>
      </c>
      <c r="D12" s="7" t="s">
        <v>7</v>
      </c>
      <c r="E12" s="7" t="s">
        <v>11</v>
      </c>
      <c r="F12" s="7" t="s">
        <v>8</v>
      </c>
      <c r="G12" s="8" t="s">
        <v>10</v>
      </c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4"/>
      <c r="AI12" s="4"/>
      <c r="AJ12" s="4"/>
      <c r="AK12" s="4"/>
      <c r="AL12" s="4"/>
      <c r="AM12" s="4"/>
      <c r="AN12" s="4"/>
      <c r="AO12" s="4"/>
    </row>
    <row r="13" spans="1:41" ht="30" customHeight="1" thickBot="1" x14ac:dyDescent="0.4">
      <c r="A13" s="5"/>
      <c r="B13" s="9">
        <f>ANA!AT9</f>
        <v>0.42857142857142855</v>
      </c>
      <c r="C13" s="10"/>
      <c r="D13" s="10"/>
      <c r="E13" s="10"/>
      <c r="F13" s="10"/>
      <c r="G13" s="11">
        <f>(SUM(B13:F13))/100%</f>
        <v>0.42857142857142855</v>
      </c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4"/>
      <c r="AI13" s="4"/>
      <c r="AJ13" s="4"/>
      <c r="AK13" s="4"/>
      <c r="AL13" s="4"/>
      <c r="AM13" s="4"/>
      <c r="AN13" s="4"/>
      <c r="AO13" s="4"/>
    </row>
    <row r="14" spans="1:41" x14ac:dyDescent="0.35">
      <c r="A14" s="5"/>
      <c r="B14" s="12">
        <v>0.8</v>
      </c>
      <c r="C14" s="12">
        <v>0.8</v>
      </c>
      <c r="D14" s="12">
        <v>0.8</v>
      </c>
      <c r="E14" s="12">
        <v>0.8</v>
      </c>
      <c r="F14" s="12">
        <v>0.8</v>
      </c>
      <c r="G14" s="12">
        <v>0.8</v>
      </c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4"/>
      <c r="AI14" s="4"/>
      <c r="AJ14" s="4"/>
      <c r="AK14" s="4"/>
      <c r="AL14" s="4"/>
      <c r="AM14" s="4"/>
      <c r="AN14" s="4"/>
      <c r="AO14" s="4"/>
    </row>
    <row r="15" spans="1:41" x14ac:dyDescent="0.35">
      <c r="A15" s="5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4"/>
      <c r="AI15" s="4"/>
      <c r="AJ15" s="4"/>
      <c r="AK15" s="4"/>
      <c r="AL15" s="4"/>
      <c r="AM15" s="4"/>
      <c r="AN15" s="4"/>
      <c r="AO15" s="4"/>
    </row>
    <row r="16" spans="1:41" x14ac:dyDescent="0.35">
      <c r="A16" s="5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12"/>
      <c r="AC16" s="5"/>
      <c r="AD16" s="5"/>
      <c r="AE16" s="5"/>
      <c r="AF16" s="5"/>
      <c r="AG16" s="5"/>
      <c r="AH16" s="4"/>
      <c r="AI16" s="4"/>
      <c r="AJ16" s="4"/>
      <c r="AK16" s="4"/>
      <c r="AL16" s="4"/>
      <c r="AM16" s="4"/>
      <c r="AN16" s="4"/>
      <c r="AO16" s="4"/>
    </row>
    <row r="17" spans="1:41" x14ac:dyDescent="0.35">
      <c r="A17" s="5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4"/>
      <c r="AI17" s="4"/>
      <c r="AJ17" s="4"/>
      <c r="AK17" s="4"/>
      <c r="AL17" s="4"/>
      <c r="AM17" s="4"/>
      <c r="AN17" s="4"/>
      <c r="AO17" s="4"/>
    </row>
    <row r="18" spans="1:41" x14ac:dyDescent="0.35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4"/>
      <c r="AI18" s="4"/>
      <c r="AJ18" s="4"/>
      <c r="AK18" s="4"/>
      <c r="AL18" s="4"/>
      <c r="AM18" s="4"/>
      <c r="AN18" s="4"/>
      <c r="AO18" s="4"/>
    </row>
    <row r="19" spans="1:41" x14ac:dyDescent="0.35">
      <c r="A19" s="5"/>
      <c r="B19" s="12"/>
      <c r="C19" s="12"/>
      <c r="D19" s="12"/>
      <c r="E19" s="12"/>
      <c r="F19" s="12"/>
      <c r="G19" s="12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4"/>
      <c r="AI19" s="4"/>
      <c r="AJ19" s="4"/>
      <c r="AK19" s="4"/>
      <c r="AL19" s="4"/>
      <c r="AM19" s="4"/>
      <c r="AN19" s="4"/>
      <c r="AO19" s="4"/>
    </row>
    <row r="20" spans="1:41" x14ac:dyDescent="0.35">
      <c r="A20" s="5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4"/>
      <c r="AI20" s="4"/>
      <c r="AJ20" s="4"/>
      <c r="AK20" s="4"/>
      <c r="AL20" s="4"/>
      <c r="AM20" s="4"/>
      <c r="AN20" s="4"/>
      <c r="AO20" s="4"/>
    </row>
    <row r="21" spans="1:41" x14ac:dyDescent="0.35">
      <c r="A21" s="5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4"/>
      <c r="AI21" s="4"/>
      <c r="AJ21" s="4"/>
      <c r="AK21" s="4"/>
      <c r="AL21" s="4"/>
      <c r="AM21" s="4"/>
      <c r="AN21" s="4"/>
      <c r="AO21" s="4"/>
    </row>
    <row r="22" spans="1:41" x14ac:dyDescent="0.35">
      <c r="A22" s="5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4"/>
      <c r="AI22" s="4"/>
      <c r="AJ22" s="4"/>
      <c r="AK22" s="4"/>
      <c r="AL22" s="4"/>
      <c r="AM22" s="4"/>
      <c r="AN22" s="4"/>
      <c r="AO22" s="4"/>
    </row>
    <row r="23" spans="1:41" x14ac:dyDescent="0.35">
      <c r="A23" s="5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4"/>
      <c r="AI23" s="4"/>
      <c r="AJ23" s="4"/>
      <c r="AK23" s="4"/>
      <c r="AL23" s="4"/>
      <c r="AM23" s="4"/>
      <c r="AN23" s="4"/>
      <c r="AO23" s="4"/>
    </row>
    <row r="24" spans="1:41" x14ac:dyDescent="0.35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4"/>
      <c r="AI24" s="4"/>
      <c r="AJ24" s="4"/>
      <c r="AK24" s="4"/>
      <c r="AL24" s="4"/>
      <c r="AM24" s="4"/>
      <c r="AN24" s="4"/>
      <c r="AO24" s="4"/>
    </row>
    <row r="25" spans="1:41" x14ac:dyDescent="0.35">
      <c r="A25" s="5"/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4"/>
      <c r="AI25" s="4"/>
      <c r="AJ25" s="4"/>
      <c r="AK25" s="4"/>
      <c r="AL25" s="4"/>
      <c r="AM25" s="4"/>
      <c r="AN25" s="4"/>
      <c r="AO25" s="4"/>
    </row>
    <row r="26" spans="1:41" x14ac:dyDescent="0.35">
      <c r="A26" s="5"/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4"/>
      <c r="AI26" s="4"/>
      <c r="AJ26" s="4"/>
      <c r="AK26" s="4"/>
      <c r="AL26" s="4"/>
      <c r="AM26" s="4"/>
      <c r="AN26" s="4"/>
      <c r="AO26" s="4"/>
    </row>
    <row r="27" spans="1:41" ht="20.149999999999999" customHeight="1" thickBot="1" x14ac:dyDescent="0.4">
      <c r="A27" s="5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4"/>
      <c r="AI27" s="4"/>
      <c r="AJ27" s="4"/>
      <c r="AK27" s="4"/>
      <c r="AL27" s="4"/>
      <c r="AM27" s="4"/>
      <c r="AN27" s="4"/>
      <c r="AO27" s="4"/>
    </row>
    <row r="28" spans="1:41" ht="15" customHeight="1" x14ac:dyDescent="0.35">
      <c r="A28" s="157" t="s">
        <v>13</v>
      </c>
      <c r="B28" s="158"/>
      <c r="C28" s="158"/>
      <c r="D28" s="158"/>
      <c r="E28" s="158"/>
      <c r="F28" s="158"/>
      <c r="G28" s="158"/>
      <c r="H28" s="158"/>
      <c r="I28" s="158"/>
      <c r="J28" s="158"/>
      <c r="K28" s="158"/>
      <c r="L28" s="158"/>
      <c r="M28" s="158"/>
      <c r="N28" s="158"/>
      <c r="O28" s="158"/>
      <c r="P28" s="158"/>
      <c r="Q28" s="158"/>
      <c r="R28" s="158"/>
      <c r="S28" s="158"/>
      <c r="T28" s="158"/>
      <c r="U28" s="158"/>
      <c r="V28" s="159"/>
      <c r="W28" s="166">
        <f>ANA!I4</f>
        <v>45209</v>
      </c>
      <c r="X28" s="167"/>
      <c r="Y28" s="148" t="s">
        <v>14</v>
      </c>
      <c r="Z28" s="149"/>
      <c r="AA28" s="149"/>
      <c r="AB28" s="149"/>
      <c r="AC28" s="149"/>
      <c r="AD28" s="149"/>
      <c r="AE28" s="149"/>
      <c r="AF28" s="149"/>
      <c r="AG28" s="149"/>
      <c r="AH28" s="149"/>
      <c r="AI28" s="149"/>
      <c r="AJ28" s="149"/>
      <c r="AK28" s="149"/>
      <c r="AL28" s="149"/>
      <c r="AM28" s="149"/>
      <c r="AN28" s="149"/>
      <c r="AO28" s="150"/>
    </row>
    <row r="29" spans="1:41" ht="15" customHeight="1" x14ac:dyDescent="0.35">
      <c r="A29" s="160"/>
      <c r="B29" s="161"/>
      <c r="C29" s="161"/>
      <c r="D29" s="161"/>
      <c r="E29" s="161"/>
      <c r="F29" s="161"/>
      <c r="G29" s="161"/>
      <c r="H29" s="161"/>
      <c r="I29" s="161"/>
      <c r="J29" s="161"/>
      <c r="K29" s="161"/>
      <c r="L29" s="161"/>
      <c r="M29" s="161"/>
      <c r="N29" s="161"/>
      <c r="O29" s="161"/>
      <c r="P29" s="161"/>
      <c r="Q29" s="161"/>
      <c r="R29" s="161"/>
      <c r="S29" s="161"/>
      <c r="T29" s="161"/>
      <c r="U29" s="161"/>
      <c r="V29" s="162"/>
      <c r="W29" s="168"/>
      <c r="X29" s="167"/>
      <c r="Y29" s="151"/>
      <c r="Z29" s="152"/>
      <c r="AA29" s="152"/>
      <c r="AB29" s="152"/>
      <c r="AC29" s="152"/>
      <c r="AD29" s="152"/>
      <c r="AE29" s="152"/>
      <c r="AF29" s="152"/>
      <c r="AG29" s="152"/>
      <c r="AH29" s="152"/>
      <c r="AI29" s="152"/>
      <c r="AJ29" s="152"/>
      <c r="AK29" s="152"/>
      <c r="AL29" s="152"/>
      <c r="AM29" s="152"/>
      <c r="AN29" s="152"/>
      <c r="AO29" s="153"/>
    </row>
    <row r="30" spans="1:41" ht="15.75" customHeight="1" thickBot="1" x14ac:dyDescent="0.4">
      <c r="A30" s="163"/>
      <c r="B30" s="164"/>
      <c r="C30" s="164"/>
      <c r="D30" s="164"/>
      <c r="E30" s="164"/>
      <c r="F30" s="164"/>
      <c r="G30" s="164"/>
      <c r="H30" s="164"/>
      <c r="I30" s="164"/>
      <c r="J30" s="164"/>
      <c r="K30" s="164"/>
      <c r="L30" s="164"/>
      <c r="M30" s="164"/>
      <c r="N30" s="164"/>
      <c r="O30" s="164"/>
      <c r="P30" s="164"/>
      <c r="Q30" s="164"/>
      <c r="R30" s="164"/>
      <c r="S30" s="164"/>
      <c r="T30" s="164"/>
      <c r="U30" s="164"/>
      <c r="V30" s="165"/>
      <c r="W30" s="168"/>
      <c r="X30" s="167"/>
      <c r="Y30" s="154"/>
      <c r="Z30" s="155"/>
      <c r="AA30" s="155"/>
      <c r="AB30" s="155"/>
      <c r="AC30" s="155"/>
      <c r="AD30" s="155"/>
      <c r="AE30" s="155"/>
      <c r="AF30" s="155"/>
      <c r="AG30" s="155"/>
      <c r="AH30" s="155"/>
      <c r="AI30" s="155"/>
      <c r="AJ30" s="155"/>
      <c r="AK30" s="155"/>
      <c r="AL30" s="155"/>
      <c r="AM30" s="155"/>
      <c r="AN30" s="155"/>
      <c r="AO30" s="156"/>
    </row>
    <row r="31" spans="1:41" ht="20.149999999999999" customHeight="1" thickBot="1" x14ac:dyDescent="0.4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4"/>
      <c r="AH31" s="4"/>
      <c r="AI31" s="4"/>
      <c r="AJ31" s="4"/>
      <c r="AK31" s="4"/>
      <c r="AL31" s="4"/>
      <c r="AM31" s="4"/>
      <c r="AN31" s="4"/>
      <c r="AO31" s="4"/>
    </row>
    <row r="32" spans="1:41" ht="30" customHeight="1" thickBot="1" x14ac:dyDescent="0.4">
      <c r="A32" s="5"/>
      <c r="B32" s="169" t="s">
        <v>29</v>
      </c>
      <c r="C32" s="170"/>
      <c r="D32" s="170"/>
      <c r="E32" s="170"/>
      <c r="F32" s="170"/>
      <c r="G32" s="171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4"/>
      <c r="AH32" s="4"/>
      <c r="AI32" s="4"/>
      <c r="AJ32" s="4"/>
      <c r="AK32" s="4"/>
      <c r="AL32" s="4"/>
      <c r="AM32" s="4"/>
      <c r="AN32" s="4"/>
      <c r="AO32" s="4"/>
    </row>
    <row r="33" spans="1:53" ht="30" customHeight="1" x14ac:dyDescent="0.35">
      <c r="A33" s="5"/>
      <c r="B33" s="6" t="s">
        <v>5</v>
      </c>
      <c r="C33" s="7" t="s">
        <v>6</v>
      </c>
      <c r="D33" s="7" t="s">
        <v>7</v>
      </c>
      <c r="E33" s="7" t="s">
        <v>11</v>
      </c>
      <c r="F33" s="7" t="s">
        <v>8</v>
      </c>
      <c r="G33" s="8" t="s">
        <v>10</v>
      </c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4"/>
      <c r="AH33" s="4"/>
      <c r="AI33" s="4"/>
      <c r="AJ33" s="4"/>
      <c r="AK33" s="4"/>
      <c r="AL33" s="4"/>
      <c r="AM33" s="4"/>
      <c r="AN33" s="4"/>
      <c r="AO33" s="4"/>
    </row>
    <row r="34" spans="1:53" ht="30" customHeight="1" thickBot="1" x14ac:dyDescent="0.4">
      <c r="A34" s="5"/>
      <c r="B34" s="9">
        <f>ANA!AY9</f>
        <v>0.48571428571428571</v>
      </c>
      <c r="C34" s="10"/>
      <c r="D34" s="10"/>
      <c r="E34" s="10"/>
      <c r="F34" s="10"/>
      <c r="G34" s="11">
        <f>(SUM(B34:F34))/100%</f>
        <v>0.48571428571428571</v>
      </c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4"/>
      <c r="AH34" s="4"/>
      <c r="AI34" s="4"/>
      <c r="AJ34" s="4"/>
      <c r="AK34" s="4"/>
      <c r="AL34" s="4"/>
      <c r="AM34" s="4"/>
      <c r="AN34" s="4"/>
      <c r="AO34" s="4"/>
    </row>
    <row r="35" spans="1:53" x14ac:dyDescent="0.35">
      <c r="A35" s="5"/>
      <c r="B35" s="12">
        <v>0.8</v>
      </c>
      <c r="C35" s="12">
        <v>0.8</v>
      </c>
      <c r="D35" s="12">
        <v>0.8</v>
      </c>
      <c r="E35" s="12">
        <v>0.8</v>
      </c>
      <c r="F35" s="12">
        <v>0.8</v>
      </c>
      <c r="G35" s="12">
        <v>0.8</v>
      </c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4"/>
      <c r="AH35" s="4"/>
      <c r="AI35" s="4"/>
      <c r="AJ35" s="4"/>
      <c r="AK35" s="4"/>
      <c r="AL35" s="4"/>
      <c r="AM35" s="4"/>
      <c r="AN35" s="4"/>
      <c r="AO35" s="4"/>
    </row>
    <row r="36" spans="1:53" x14ac:dyDescent="0.35">
      <c r="A36" s="5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4"/>
      <c r="AH36" s="4"/>
      <c r="AI36" s="4"/>
      <c r="AJ36" s="4"/>
      <c r="AK36" s="4"/>
      <c r="AL36" s="4"/>
      <c r="AM36" s="4"/>
      <c r="AN36" s="4"/>
      <c r="AO36" s="4"/>
    </row>
    <row r="37" spans="1:53" x14ac:dyDescent="0.35">
      <c r="A37" s="5"/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4"/>
      <c r="AH37" s="4"/>
      <c r="AI37" s="4"/>
      <c r="AJ37" s="4"/>
      <c r="AK37" s="4"/>
      <c r="AL37" s="4"/>
      <c r="AM37" s="4"/>
      <c r="AN37" s="4"/>
      <c r="AO37" s="4"/>
    </row>
    <row r="38" spans="1:53" x14ac:dyDescent="0.35">
      <c r="A38" s="5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</row>
    <row r="39" spans="1:53" x14ac:dyDescent="0.35">
      <c r="A39" s="5"/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4"/>
      <c r="AH39" s="4"/>
      <c r="AI39" s="4"/>
      <c r="AJ39" s="4"/>
      <c r="AK39" s="4"/>
      <c r="AL39" s="4"/>
      <c r="AM39" s="4"/>
      <c r="AN39" s="4"/>
      <c r="AO39" s="4"/>
    </row>
    <row r="40" spans="1:53" x14ac:dyDescent="0.35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4"/>
      <c r="AH40" s="4"/>
      <c r="AI40" s="4"/>
      <c r="AJ40" s="4"/>
      <c r="AK40" s="4"/>
      <c r="AL40" s="4"/>
      <c r="AM40" s="4"/>
      <c r="AN40" s="4"/>
      <c r="AO40" s="4"/>
    </row>
    <row r="41" spans="1:53" x14ac:dyDescent="0.35">
      <c r="A41" s="5"/>
      <c r="B41" s="5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4"/>
      <c r="AH41" s="4"/>
      <c r="AI41" s="4"/>
      <c r="AJ41" s="4"/>
      <c r="AK41" s="4"/>
      <c r="AL41" s="4"/>
      <c r="AM41" s="4"/>
      <c r="AN41" s="4"/>
      <c r="AO41" s="4"/>
    </row>
    <row r="42" spans="1:53" x14ac:dyDescent="0.35">
      <c r="A42" s="5"/>
      <c r="B42" s="5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4"/>
      <c r="AH42" s="4"/>
      <c r="AI42" s="4"/>
      <c r="AJ42" s="4"/>
      <c r="AK42" s="4"/>
      <c r="AL42" s="4"/>
      <c r="AM42" s="4"/>
      <c r="AN42" s="4"/>
      <c r="AO42" s="4"/>
    </row>
    <row r="43" spans="1:53" x14ac:dyDescent="0.35">
      <c r="A43" s="5"/>
      <c r="B43" s="5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4"/>
      <c r="AH43" s="4"/>
      <c r="AI43" s="4"/>
      <c r="AJ43" s="4"/>
      <c r="AK43" s="4"/>
      <c r="AL43" s="4"/>
      <c r="AM43" s="4"/>
      <c r="AN43" s="4"/>
      <c r="AO43" s="4"/>
    </row>
    <row r="44" spans="1:53" x14ac:dyDescent="0.35">
      <c r="A44" s="5"/>
      <c r="B44" s="5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4"/>
      <c r="AH44" s="4"/>
      <c r="AI44" s="4"/>
      <c r="AJ44" s="4"/>
      <c r="AK44" s="4"/>
      <c r="AL44" s="4"/>
      <c r="AM44" s="4"/>
      <c r="AN44" s="4"/>
      <c r="AO44" s="4"/>
    </row>
    <row r="45" spans="1:53" x14ac:dyDescent="0.35">
      <c r="A45" s="5"/>
      <c r="B45" s="5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4"/>
      <c r="AH45" s="4"/>
      <c r="AI45" s="4"/>
      <c r="AJ45" s="4"/>
      <c r="AK45" s="4"/>
      <c r="AL45" s="4"/>
      <c r="AM45" s="4"/>
      <c r="AN45" s="4"/>
      <c r="AO45" s="4"/>
    </row>
    <row r="46" spans="1:53" x14ac:dyDescent="0.35">
      <c r="A46" s="5"/>
      <c r="B46" s="5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4"/>
      <c r="AH46" s="4"/>
      <c r="AI46" s="4"/>
      <c r="AJ46" s="4"/>
      <c r="AK46" s="4"/>
      <c r="AL46" s="4"/>
      <c r="AM46" s="4"/>
      <c r="AN46" s="4"/>
      <c r="AO46" s="4"/>
    </row>
    <row r="47" spans="1:53" ht="15" thickBot="1" x14ac:dyDescent="0.4">
      <c r="A47" s="5"/>
      <c r="B47" s="5"/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4"/>
      <c r="AH47" s="4"/>
      <c r="AI47" s="4"/>
      <c r="AJ47" s="4"/>
      <c r="AK47" s="4"/>
      <c r="AL47" s="4"/>
      <c r="AM47" s="4"/>
      <c r="AN47" s="4"/>
      <c r="AO47" s="4"/>
    </row>
    <row r="48" spans="1:53" ht="30" customHeight="1" thickBot="1" x14ac:dyDescent="0.4">
      <c r="A48" s="5"/>
      <c r="B48" s="169" t="s">
        <v>28</v>
      </c>
      <c r="C48" s="170"/>
      <c r="D48" s="170"/>
      <c r="E48" s="170"/>
      <c r="F48" s="170"/>
      <c r="G48" s="171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4"/>
      <c r="AH48" s="4"/>
      <c r="AI48" s="4"/>
      <c r="AJ48" s="4"/>
      <c r="AK48" s="4"/>
      <c r="AL48" s="4"/>
      <c r="AM48" s="4"/>
      <c r="AN48" s="4"/>
      <c r="AO48" s="4"/>
    </row>
    <row r="49" spans="1:41" ht="30" customHeight="1" x14ac:dyDescent="0.35">
      <c r="A49" s="5"/>
      <c r="B49" s="6" t="s">
        <v>5</v>
      </c>
      <c r="C49" s="7" t="s">
        <v>6</v>
      </c>
      <c r="D49" s="7" t="s">
        <v>7</v>
      </c>
      <c r="E49" s="7" t="s">
        <v>11</v>
      </c>
      <c r="F49" s="7" t="s">
        <v>8</v>
      </c>
      <c r="G49" s="8" t="s">
        <v>10</v>
      </c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4"/>
      <c r="AH49" s="4"/>
      <c r="AI49" s="4"/>
      <c r="AJ49" s="4"/>
      <c r="AK49" s="4"/>
      <c r="AL49" s="4"/>
      <c r="AM49" s="4"/>
      <c r="AN49" s="4"/>
      <c r="AO49" s="4"/>
    </row>
    <row r="50" spans="1:41" ht="30" customHeight="1" thickBot="1" x14ac:dyDescent="0.4">
      <c r="A50" s="5"/>
      <c r="B50" s="9">
        <f>ANA!AY15</f>
        <v>0</v>
      </c>
      <c r="C50" s="10"/>
      <c r="D50" s="10"/>
      <c r="E50" s="10"/>
      <c r="F50" s="10"/>
      <c r="G50" s="11">
        <f>(SUM(B50:F50))/100%</f>
        <v>0</v>
      </c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4"/>
      <c r="AH50" s="4"/>
      <c r="AI50" s="4"/>
      <c r="AJ50" s="4"/>
      <c r="AK50" s="4"/>
      <c r="AL50" s="4"/>
      <c r="AM50" s="4"/>
      <c r="AN50" s="4"/>
      <c r="AO50" s="4"/>
    </row>
    <row r="51" spans="1:41" ht="15" thickBot="1" x14ac:dyDescent="0.4">
      <c r="A51" s="5"/>
      <c r="B51" s="12">
        <v>0.8</v>
      </c>
      <c r="C51" s="12">
        <v>0.8</v>
      </c>
      <c r="D51" s="12">
        <v>0.8</v>
      </c>
      <c r="E51" s="12">
        <v>0.8</v>
      </c>
      <c r="F51" s="12">
        <v>0.8</v>
      </c>
      <c r="G51" s="12">
        <v>0.8</v>
      </c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4"/>
      <c r="AH51" s="4"/>
      <c r="AI51" s="4"/>
      <c r="AJ51" s="4"/>
      <c r="AK51" s="4"/>
      <c r="AL51" s="4"/>
      <c r="AM51" s="4"/>
      <c r="AN51" s="4"/>
      <c r="AO51" s="4"/>
    </row>
    <row r="52" spans="1:41" ht="15" customHeight="1" x14ac:dyDescent="0.35">
      <c r="A52" s="157" t="s">
        <v>13</v>
      </c>
      <c r="B52" s="158"/>
      <c r="C52" s="158"/>
      <c r="D52" s="158"/>
      <c r="E52" s="158"/>
      <c r="F52" s="158"/>
      <c r="G52" s="158"/>
      <c r="H52" s="158"/>
      <c r="I52" s="158"/>
      <c r="J52" s="158"/>
      <c r="K52" s="158"/>
      <c r="L52" s="158"/>
      <c r="M52" s="158"/>
      <c r="N52" s="158"/>
      <c r="O52" s="158"/>
      <c r="P52" s="158"/>
      <c r="Q52" s="158"/>
      <c r="R52" s="158"/>
      <c r="S52" s="158"/>
      <c r="T52" s="158"/>
      <c r="U52" s="158"/>
      <c r="V52" s="159"/>
      <c r="W52" s="166">
        <f>ANA!L4</f>
        <v>45212</v>
      </c>
      <c r="X52" s="167"/>
      <c r="Y52" s="148" t="s">
        <v>14</v>
      </c>
      <c r="Z52" s="149"/>
      <c r="AA52" s="149"/>
      <c r="AB52" s="149"/>
      <c r="AC52" s="149"/>
      <c r="AD52" s="149"/>
      <c r="AE52" s="149"/>
      <c r="AF52" s="149"/>
      <c r="AG52" s="149"/>
      <c r="AH52" s="149"/>
      <c r="AI52" s="149"/>
      <c r="AJ52" s="149"/>
      <c r="AK52" s="149"/>
      <c r="AL52" s="149"/>
      <c r="AM52" s="149"/>
      <c r="AN52" s="149"/>
      <c r="AO52" s="150"/>
    </row>
    <row r="53" spans="1:41" ht="15" customHeight="1" x14ac:dyDescent="0.35">
      <c r="A53" s="160"/>
      <c r="B53" s="161"/>
      <c r="C53" s="161"/>
      <c r="D53" s="161"/>
      <c r="E53" s="161"/>
      <c r="F53" s="161"/>
      <c r="G53" s="161"/>
      <c r="H53" s="161"/>
      <c r="I53" s="161"/>
      <c r="J53" s="161"/>
      <c r="K53" s="161"/>
      <c r="L53" s="161"/>
      <c r="M53" s="161"/>
      <c r="N53" s="161"/>
      <c r="O53" s="161"/>
      <c r="P53" s="161"/>
      <c r="Q53" s="161"/>
      <c r="R53" s="161"/>
      <c r="S53" s="161"/>
      <c r="T53" s="161"/>
      <c r="U53" s="161"/>
      <c r="V53" s="162"/>
      <c r="W53" s="168"/>
      <c r="X53" s="167"/>
      <c r="Y53" s="151"/>
      <c r="Z53" s="152"/>
      <c r="AA53" s="152"/>
      <c r="AB53" s="152"/>
      <c r="AC53" s="152"/>
      <c r="AD53" s="152"/>
      <c r="AE53" s="152"/>
      <c r="AF53" s="152"/>
      <c r="AG53" s="152"/>
      <c r="AH53" s="152"/>
      <c r="AI53" s="152"/>
      <c r="AJ53" s="152"/>
      <c r="AK53" s="152"/>
      <c r="AL53" s="152"/>
      <c r="AM53" s="152"/>
      <c r="AN53" s="152"/>
      <c r="AO53" s="153"/>
    </row>
    <row r="54" spans="1:41" ht="15.75" customHeight="1" thickBot="1" x14ac:dyDescent="0.4">
      <c r="A54" s="163"/>
      <c r="B54" s="164"/>
      <c r="C54" s="164"/>
      <c r="D54" s="164"/>
      <c r="E54" s="164"/>
      <c r="F54" s="164"/>
      <c r="G54" s="164"/>
      <c r="H54" s="164"/>
      <c r="I54" s="164"/>
      <c r="J54" s="164"/>
      <c r="K54" s="164"/>
      <c r="L54" s="164"/>
      <c r="M54" s="164"/>
      <c r="N54" s="164"/>
      <c r="O54" s="164"/>
      <c r="P54" s="164"/>
      <c r="Q54" s="164"/>
      <c r="R54" s="164"/>
      <c r="S54" s="164"/>
      <c r="T54" s="164"/>
      <c r="U54" s="164"/>
      <c r="V54" s="165"/>
      <c r="W54" s="168"/>
      <c r="X54" s="167"/>
      <c r="Y54" s="154"/>
      <c r="Z54" s="155"/>
      <c r="AA54" s="155"/>
      <c r="AB54" s="155"/>
      <c r="AC54" s="155"/>
      <c r="AD54" s="155"/>
      <c r="AE54" s="155"/>
      <c r="AF54" s="155"/>
      <c r="AG54" s="155"/>
      <c r="AH54" s="155"/>
      <c r="AI54" s="155"/>
      <c r="AJ54" s="155"/>
      <c r="AK54" s="155"/>
      <c r="AL54" s="155"/>
      <c r="AM54" s="155"/>
      <c r="AN54" s="155"/>
      <c r="AO54" s="156"/>
    </row>
    <row r="55" spans="1:41" ht="15" thickBot="1" x14ac:dyDescent="0.4">
      <c r="A55" s="5"/>
      <c r="B55" s="5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4"/>
      <c r="AH55" s="4"/>
      <c r="AI55" s="4"/>
      <c r="AJ55" s="4"/>
      <c r="AK55" s="4"/>
      <c r="AL55" s="4"/>
      <c r="AM55" s="4"/>
      <c r="AN55" s="4"/>
      <c r="AO55" s="4"/>
    </row>
    <row r="56" spans="1:41" ht="30" customHeight="1" thickBot="1" x14ac:dyDescent="0.4">
      <c r="A56" s="5"/>
      <c r="B56" s="169" t="s">
        <v>29</v>
      </c>
      <c r="C56" s="170"/>
      <c r="D56" s="170"/>
      <c r="E56" s="170"/>
      <c r="F56" s="170"/>
      <c r="G56" s="171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4"/>
      <c r="AH56" s="4"/>
      <c r="AI56" s="4"/>
      <c r="AJ56" s="4"/>
      <c r="AK56" s="4"/>
      <c r="AL56" s="4"/>
      <c r="AM56" s="4"/>
      <c r="AN56" s="4"/>
      <c r="AO56" s="4"/>
    </row>
    <row r="57" spans="1:41" ht="30" customHeight="1" x14ac:dyDescent="0.35">
      <c r="A57" s="5"/>
      <c r="B57" s="6" t="s">
        <v>5</v>
      </c>
      <c r="C57" s="7" t="s">
        <v>6</v>
      </c>
      <c r="D57" s="7" t="s">
        <v>7</v>
      </c>
      <c r="E57" s="7" t="s">
        <v>11</v>
      </c>
      <c r="F57" s="14" t="s">
        <v>8</v>
      </c>
      <c r="G57" s="15" t="s">
        <v>10</v>
      </c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4"/>
      <c r="AH57" s="4"/>
      <c r="AI57" s="4"/>
      <c r="AJ57" s="4"/>
      <c r="AK57" s="4"/>
      <c r="AL57" s="4"/>
      <c r="AM57" s="4"/>
      <c r="AN57" s="4"/>
      <c r="AO57" s="4"/>
    </row>
    <row r="58" spans="1:41" ht="30" customHeight="1" thickBot="1" x14ac:dyDescent="0.4">
      <c r="A58" s="5"/>
      <c r="B58" s="9">
        <f>ANA!BD9</f>
        <v>0.34615384615384615</v>
      </c>
      <c r="C58" s="10"/>
      <c r="D58" s="10"/>
      <c r="E58" s="10"/>
      <c r="F58" s="16"/>
      <c r="G58" s="11">
        <f>(SUM(B58:F58))/100%</f>
        <v>0.34615384615384615</v>
      </c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4"/>
      <c r="AH58" s="4"/>
      <c r="AI58" s="4"/>
      <c r="AJ58" s="4"/>
      <c r="AK58" s="4"/>
      <c r="AL58" s="4"/>
      <c r="AM58" s="4"/>
      <c r="AN58" s="4"/>
      <c r="AO58" s="4"/>
    </row>
    <row r="59" spans="1:41" x14ac:dyDescent="0.35">
      <c r="A59" s="5"/>
      <c r="B59" s="12">
        <v>0.8</v>
      </c>
      <c r="C59" s="12">
        <v>0.8</v>
      </c>
      <c r="D59" s="12">
        <v>0.8</v>
      </c>
      <c r="E59" s="12">
        <v>0.8</v>
      </c>
      <c r="F59" s="12">
        <v>0.8</v>
      </c>
      <c r="G59" s="12">
        <v>0.8</v>
      </c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4"/>
      <c r="AH59" s="4"/>
      <c r="AI59" s="4"/>
      <c r="AJ59" s="4"/>
      <c r="AK59" s="4"/>
      <c r="AL59" s="4"/>
      <c r="AM59" s="4"/>
      <c r="AN59" s="4"/>
      <c r="AO59" s="4"/>
    </row>
    <row r="60" spans="1:41" x14ac:dyDescent="0.35">
      <c r="A60" s="5"/>
      <c r="B60" s="5"/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4"/>
      <c r="AH60" s="4"/>
      <c r="AI60" s="4"/>
      <c r="AJ60" s="4"/>
      <c r="AK60" s="4"/>
      <c r="AL60" s="4"/>
      <c r="AM60" s="4"/>
      <c r="AN60" s="4"/>
      <c r="AO60" s="4"/>
    </row>
    <row r="61" spans="1:41" x14ac:dyDescent="0.35">
      <c r="A61" s="5"/>
      <c r="B61" s="5"/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4"/>
      <c r="AH61" s="4"/>
      <c r="AI61" s="4"/>
      <c r="AJ61" s="4"/>
      <c r="AK61" s="4"/>
      <c r="AL61" s="4"/>
      <c r="AM61" s="4"/>
      <c r="AN61" s="4"/>
      <c r="AO61" s="4"/>
    </row>
    <row r="62" spans="1:41" x14ac:dyDescent="0.35">
      <c r="A62" s="5"/>
      <c r="B62" s="5"/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4"/>
      <c r="AH62" s="4"/>
      <c r="AI62" s="4"/>
      <c r="AJ62" s="4"/>
      <c r="AK62" s="4"/>
      <c r="AL62" s="4"/>
      <c r="AM62" s="4"/>
      <c r="AN62" s="4"/>
      <c r="AO62" s="4"/>
    </row>
    <row r="63" spans="1:41" x14ac:dyDescent="0.35">
      <c r="A63" s="5"/>
      <c r="B63" s="5"/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4"/>
      <c r="AH63" s="4"/>
      <c r="AI63" s="4"/>
      <c r="AJ63" s="4"/>
      <c r="AK63" s="4"/>
      <c r="AL63" s="4"/>
      <c r="AM63" s="4"/>
      <c r="AN63" s="4"/>
      <c r="AO63" s="4"/>
    </row>
    <row r="64" spans="1:41" x14ac:dyDescent="0.35">
      <c r="A64" s="5"/>
      <c r="B64" s="5"/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4"/>
      <c r="AH64" s="4"/>
      <c r="AI64" s="4"/>
      <c r="AJ64" s="4"/>
      <c r="AK64" s="4"/>
      <c r="AL64" s="4"/>
      <c r="AM64" s="4"/>
      <c r="AN64" s="4"/>
      <c r="AO64" s="4"/>
    </row>
    <row r="65" spans="1:41" x14ac:dyDescent="0.35">
      <c r="A65" s="5"/>
      <c r="B65" s="5"/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4"/>
      <c r="AH65" s="4"/>
      <c r="AI65" s="4"/>
      <c r="AJ65" s="4"/>
      <c r="AK65" s="4"/>
      <c r="AL65" s="4"/>
      <c r="AM65" s="4"/>
      <c r="AN65" s="4"/>
      <c r="AO65" s="4"/>
    </row>
    <row r="66" spans="1:41" x14ac:dyDescent="0.35">
      <c r="A66" s="5"/>
      <c r="B66" s="5"/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4"/>
      <c r="AH66" s="4"/>
      <c r="AI66" s="4"/>
      <c r="AJ66" s="4"/>
      <c r="AK66" s="4"/>
      <c r="AL66" s="4"/>
      <c r="AM66" s="4"/>
      <c r="AN66" s="4"/>
      <c r="AO66" s="4"/>
    </row>
    <row r="67" spans="1:41" x14ac:dyDescent="0.35">
      <c r="A67" s="5"/>
      <c r="B67" s="5"/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4"/>
      <c r="AH67" s="4"/>
      <c r="AI67" s="4"/>
      <c r="AJ67" s="4"/>
      <c r="AK67" s="4"/>
      <c r="AL67" s="4"/>
      <c r="AM67" s="4"/>
      <c r="AN67" s="4"/>
      <c r="AO67" s="4"/>
    </row>
    <row r="68" spans="1:41" x14ac:dyDescent="0.35">
      <c r="A68" s="5"/>
      <c r="B68" s="5"/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4"/>
      <c r="AH68" s="4"/>
      <c r="AI68" s="4"/>
      <c r="AJ68" s="4"/>
      <c r="AK68" s="4"/>
      <c r="AL68" s="4"/>
      <c r="AM68" s="4"/>
      <c r="AN68" s="4"/>
      <c r="AO68" s="4"/>
    </row>
    <row r="69" spans="1:41" x14ac:dyDescent="0.35">
      <c r="A69" s="5"/>
      <c r="B69" s="5"/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4"/>
      <c r="AH69" s="4"/>
      <c r="AI69" s="4"/>
      <c r="AJ69" s="4"/>
      <c r="AK69" s="4"/>
      <c r="AL69" s="4"/>
      <c r="AM69" s="4"/>
      <c r="AN69" s="4"/>
      <c r="AO69" s="4"/>
    </row>
    <row r="70" spans="1:41" x14ac:dyDescent="0.35">
      <c r="A70" s="5"/>
      <c r="B70" s="5"/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4"/>
      <c r="AH70" s="4"/>
      <c r="AI70" s="4"/>
      <c r="AJ70" s="4"/>
      <c r="AK70" s="4"/>
      <c r="AL70" s="4"/>
      <c r="AM70" s="4"/>
      <c r="AN70" s="4"/>
      <c r="AO70" s="4"/>
    </row>
    <row r="71" spans="1:41" ht="15" thickBot="1" x14ac:dyDescent="0.4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4"/>
      <c r="AH71" s="4"/>
      <c r="AI71" s="4"/>
      <c r="AJ71" s="4"/>
      <c r="AK71" s="4"/>
      <c r="AL71" s="4"/>
      <c r="AM71" s="4"/>
      <c r="AN71" s="4"/>
      <c r="AO71" s="4"/>
    </row>
    <row r="72" spans="1:41" ht="30" customHeight="1" thickBot="1" x14ac:dyDescent="0.4">
      <c r="A72" s="5"/>
      <c r="B72" s="169" t="s">
        <v>28</v>
      </c>
      <c r="C72" s="170"/>
      <c r="D72" s="170"/>
      <c r="E72" s="170"/>
      <c r="F72" s="170"/>
      <c r="G72" s="171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4"/>
      <c r="AH72" s="4"/>
      <c r="AI72" s="4"/>
      <c r="AJ72" s="4"/>
      <c r="AK72" s="4"/>
      <c r="AL72" s="4"/>
      <c r="AM72" s="4"/>
      <c r="AN72" s="4"/>
      <c r="AO72" s="4"/>
    </row>
    <row r="73" spans="1:41" ht="30" customHeight="1" x14ac:dyDescent="0.35">
      <c r="A73" s="5"/>
      <c r="B73" s="6" t="s">
        <v>5</v>
      </c>
      <c r="C73" s="7" t="s">
        <v>6</v>
      </c>
      <c r="D73" s="7" t="s">
        <v>7</v>
      </c>
      <c r="E73" s="7" t="s">
        <v>11</v>
      </c>
      <c r="F73" s="7" t="s">
        <v>8</v>
      </c>
      <c r="G73" s="8" t="s">
        <v>10</v>
      </c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4"/>
      <c r="AH73" s="4"/>
      <c r="AI73" s="4"/>
      <c r="AJ73" s="4"/>
      <c r="AK73" s="4"/>
      <c r="AL73" s="4"/>
      <c r="AM73" s="4"/>
      <c r="AN73" s="4"/>
      <c r="AO73" s="4"/>
    </row>
    <row r="74" spans="1:41" ht="30" customHeight="1" thickBot="1" x14ac:dyDescent="0.4">
      <c r="A74" s="5"/>
      <c r="B74" s="9">
        <f>ANA!BD15</f>
        <v>0</v>
      </c>
      <c r="C74" s="10"/>
      <c r="D74" s="10"/>
      <c r="E74" s="10"/>
      <c r="F74" s="10"/>
      <c r="G74" s="11">
        <f>(SUM(B74:F74))/100%</f>
        <v>0</v>
      </c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4"/>
      <c r="AH74" s="4"/>
      <c r="AI74" s="4"/>
      <c r="AJ74" s="4"/>
      <c r="AK74" s="4"/>
      <c r="AL74" s="4"/>
      <c r="AM74" s="4"/>
      <c r="AN74" s="4"/>
      <c r="AO74" s="4"/>
    </row>
    <row r="75" spans="1:41" x14ac:dyDescent="0.35">
      <c r="A75" s="5"/>
      <c r="B75" s="12">
        <v>0.8</v>
      </c>
      <c r="C75" s="12">
        <v>0.8</v>
      </c>
      <c r="D75" s="12">
        <v>0.8</v>
      </c>
      <c r="E75" s="12">
        <v>0.8</v>
      </c>
      <c r="F75" s="12">
        <v>0.8</v>
      </c>
      <c r="G75" s="12">
        <v>0.8</v>
      </c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4"/>
      <c r="AH75" s="4"/>
      <c r="AI75" s="4"/>
      <c r="AJ75" s="4"/>
      <c r="AK75" s="4"/>
      <c r="AL75" s="4"/>
      <c r="AM75" s="4"/>
      <c r="AN75" s="4"/>
      <c r="AO75" s="4"/>
    </row>
    <row r="76" spans="1:41" ht="15" thickBot="1" x14ac:dyDescent="0.4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4"/>
      <c r="AH76" s="4"/>
      <c r="AI76" s="4"/>
      <c r="AJ76" s="4"/>
      <c r="AK76" s="4"/>
      <c r="AL76" s="4"/>
      <c r="AM76" s="4"/>
      <c r="AN76" s="4"/>
      <c r="AO76" s="4"/>
    </row>
    <row r="77" spans="1:41" ht="15" customHeight="1" x14ac:dyDescent="0.35">
      <c r="A77" s="13"/>
      <c r="B77" s="13"/>
      <c r="C77" s="13"/>
      <c r="D77" s="13"/>
      <c r="E77" s="13"/>
      <c r="F77" s="13"/>
      <c r="G77" s="13"/>
      <c r="H77" s="157" t="s">
        <v>13</v>
      </c>
      <c r="I77" s="158"/>
      <c r="J77" s="158"/>
      <c r="K77" s="158"/>
      <c r="L77" s="158"/>
      <c r="M77" s="158"/>
      <c r="N77" s="158"/>
      <c r="O77" s="158"/>
      <c r="P77" s="158"/>
      <c r="Q77" s="158"/>
      <c r="R77" s="158"/>
      <c r="S77" s="158"/>
      <c r="T77" s="158"/>
      <c r="U77" s="158"/>
      <c r="V77" s="159"/>
      <c r="W77" s="166">
        <f>ANA!Q4</f>
        <v>45219</v>
      </c>
      <c r="X77" s="167"/>
      <c r="Y77" s="148" t="s">
        <v>14</v>
      </c>
      <c r="Z77" s="149"/>
      <c r="AA77" s="149"/>
      <c r="AB77" s="149"/>
      <c r="AC77" s="149"/>
      <c r="AD77" s="149"/>
      <c r="AE77" s="149"/>
      <c r="AF77" s="149"/>
      <c r="AG77" s="149"/>
      <c r="AH77" s="149"/>
      <c r="AI77" s="149"/>
      <c r="AJ77" s="149"/>
      <c r="AK77" s="149"/>
      <c r="AL77" s="149"/>
      <c r="AM77" s="149"/>
      <c r="AN77" s="149"/>
      <c r="AO77" s="150"/>
    </row>
    <row r="78" spans="1:41" ht="15" customHeight="1" x14ac:dyDescent="0.35">
      <c r="A78" s="13"/>
      <c r="B78" s="13"/>
      <c r="C78" s="13"/>
      <c r="D78" s="13"/>
      <c r="E78" s="13"/>
      <c r="F78" s="13"/>
      <c r="G78" s="13"/>
      <c r="H78" s="160"/>
      <c r="I78" s="161"/>
      <c r="J78" s="161"/>
      <c r="K78" s="161"/>
      <c r="L78" s="161"/>
      <c r="M78" s="161"/>
      <c r="N78" s="161"/>
      <c r="O78" s="161"/>
      <c r="P78" s="161"/>
      <c r="Q78" s="161"/>
      <c r="R78" s="161"/>
      <c r="S78" s="161"/>
      <c r="T78" s="161"/>
      <c r="U78" s="161"/>
      <c r="V78" s="162"/>
      <c r="W78" s="168"/>
      <c r="X78" s="167"/>
      <c r="Y78" s="151"/>
      <c r="Z78" s="152"/>
      <c r="AA78" s="152"/>
      <c r="AB78" s="152"/>
      <c r="AC78" s="152"/>
      <c r="AD78" s="152"/>
      <c r="AE78" s="152"/>
      <c r="AF78" s="152"/>
      <c r="AG78" s="152"/>
      <c r="AH78" s="152"/>
      <c r="AI78" s="152"/>
      <c r="AJ78" s="152"/>
      <c r="AK78" s="152"/>
      <c r="AL78" s="152"/>
      <c r="AM78" s="152"/>
      <c r="AN78" s="152"/>
      <c r="AO78" s="153"/>
    </row>
    <row r="79" spans="1:41" ht="15.75" customHeight="1" thickBot="1" x14ac:dyDescent="0.4">
      <c r="A79" s="13"/>
      <c r="B79" s="13"/>
      <c r="C79" s="13"/>
      <c r="D79" s="13"/>
      <c r="E79" s="13"/>
      <c r="F79" s="13"/>
      <c r="G79" s="13"/>
      <c r="H79" s="163"/>
      <c r="I79" s="164"/>
      <c r="J79" s="164"/>
      <c r="K79" s="164"/>
      <c r="L79" s="164"/>
      <c r="M79" s="164"/>
      <c r="N79" s="164"/>
      <c r="O79" s="164"/>
      <c r="P79" s="164"/>
      <c r="Q79" s="164"/>
      <c r="R79" s="164"/>
      <c r="S79" s="164"/>
      <c r="T79" s="164"/>
      <c r="U79" s="164"/>
      <c r="V79" s="165"/>
      <c r="W79" s="168"/>
      <c r="X79" s="167"/>
      <c r="Y79" s="154"/>
      <c r="Z79" s="155"/>
      <c r="AA79" s="155"/>
      <c r="AB79" s="155"/>
      <c r="AC79" s="155"/>
      <c r="AD79" s="155"/>
      <c r="AE79" s="155"/>
      <c r="AF79" s="155"/>
      <c r="AG79" s="155"/>
      <c r="AH79" s="155"/>
      <c r="AI79" s="155"/>
      <c r="AJ79" s="155"/>
      <c r="AK79" s="155"/>
      <c r="AL79" s="155"/>
      <c r="AM79" s="155"/>
      <c r="AN79" s="155"/>
      <c r="AO79" s="156"/>
    </row>
    <row r="80" spans="1:41" x14ac:dyDescent="0.3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4"/>
      <c r="AH80" s="4"/>
      <c r="AI80" s="4"/>
      <c r="AJ80" s="4"/>
      <c r="AK80" s="4"/>
      <c r="AL80" s="4"/>
      <c r="AM80" s="4"/>
      <c r="AN80" s="4"/>
      <c r="AO80" s="4"/>
    </row>
    <row r="81" spans="1:41" x14ac:dyDescent="0.3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4"/>
      <c r="AH81" s="4"/>
      <c r="AI81" s="4"/>
      <c r="AJ81" s="4"/>
      <c r="AK81" s="4"/>
      <c r="AL81" s="4"/>
      <c r="AM81" s="4"/>
      <c r="AN81" s="4"/>
      <c r="AO81" s="4"/>
    </row>
    <row r="82" spans="1:41" ht="15" thickBot="1" x14ac:dyDescent="0.4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4"/>
      <c r="AH82" s="4"/>
      <c r="AI82" s="4"/>
      <c r="AJ82" s="4"/>
      <c r="AK82" s="4"/>
      <c r="AL82" s="4"/>
      <c r="AM82" s="4"/>
      <c r="AN82" s="4"/>
      <c r="AO82" s="4"/>
    </row>
    <row r="83" spans="1:41" ht="30" customHeight="1" thickBot="1" x14ac:dyDescent="0.4">
      <c r="A83" s="5"/>
      <c r="B83" s="169" t="s">
        <v>29</v>
      </c>
      <c r="C83" s="170"/>
      <c r="D83" s="170"/>
      <c r="E83" s="170"/>
      <c r="F83" s="170"/>
      <c r="G83" s="171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4"/>
      <c r="AH83" s="4"/>
      <c r="AI83" s="4"/>
      <c r="AJ83" s="4"/>
      <c r="AK83" s="4"/>
      <c r="AL83" s="4"/>
      <c r="AM83" s="4"/>
      <c r="AN83" s="4"/>
      <c r="AO83" s="4"/>
    </row>
    <row r="84" spans="1:41" ht="30" customHeight="1" x14ac:dyDescent="0.35">
      <c r="A84" s="5"/>
      <c r="B84" s="17" t="s">
        <v>5</v>
      </c>
      <c r="C84" s="18" t="s">
        <v>6</v>
      </c>
      <c r="D84" s="18" t="s">
        <v>7</v>
      </c>
      <c r="E84" s="7" t="s">
        <v>11</v>
      </c>
      <c r="F84" s="7" t="s">
        <v>8</v>
      </c>
      <c r="G84" s="8" t="s">
        <v>10</v>
      </c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4"/>
      <c r="AH84" s="4"/>
      <c r="AI84" s="4"/>
      <c r="AJ84" s="4"/>
      <c r="AK84" s="4"/>
      <c r="AL84" s="4"/>
      <c r="AM84" s="4"/>
      <c r="AN84" s="4"/>
      <c r="AO84" s="4"/>
    </row>
    <row r="85" spans="1:41" ht="30" customHeight="1" thickBot="1" x14ac:dyDescent="0.4">
      <c r="A85" s="5"/>
      <c r="B85" s="9">
        <f>ANA!BI9</f>
        <v>0.29032258064516131</v>
      </c>
      <c r="C85" s="10"/>
      <c r="D85" s="10"/>
      <c r="E85" s="10"/>
      <c r="F85" s="10"/>
      <c r="G85" s="11">
        <f>(SUM(B85:F85))/100%</f>
        <v>0.29032258064516131</v>
      </c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4"/>
      <c r="AH85" s="4"/>
      <c r="AI85" s="4"/>
      <c r="AJ85" s="4"/>
      <c r="AK85" s="4"/>
      <c r="AL85" s="4"/>
      <c r="AM85" s="4"/>
      <c r="AN85" s="4"/>
      <c r="AO85" s="4"/>
    </row>
    <row r="86" spans="1:41" x14ac:dyDescent="0.35">
      <c r="A86" s="5"/>
      <c r="B86" s="12">
        <v>0.8</v>
      </c>
      <c r="C86" s="12">
        <v>0.8</v>
      </c>
      <c r="D86" s="12">
        <v>0.8</v>
      </c>
      <c r="E86" s="12">
        <v>0.8</v>
      </c>
      <c r="F86" s="12">
        <v>0.8</v>
      </c>
      <c r="G86" s="12">
        <v>0.8</v>
      </c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4"/>
      <c r="AH86" s="4"/>
      <c r="AI86" s="4"/>
      <c r="AJ86" s="4"/>
      <c r="AK86" s="4"/>
      <c r="AL86" s="4"/>
      <c r="AM86" s="4"/>
      <c r="AN86" s="4"/>
      <c r="AO86" s="4"/>
    </row>
    <row r="87" spans="1:41" x14ac:dyDescent="0.3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4"/>
      <c r="AH87" s="4"/>
      <c r="AI87" s="4"/>
      <c r="AJ87" s="4"/>
      <c r="AK87" s="4"/>
      <c r="AL87" s="4"/>
      <c r="AM87" s="4"/>
      <c r="AN87" s="4"/>
      <c r="AO87" s="4"/>
    </row>
    <row r="88" spans="1:41" x14ac:dyDescent="0.3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4"/>
      <c r="AH88" s="4"/>
      <c r="AI88" s="4"/>
      <c r="AJ88" s="4"/>
      <c r="AK88" s="4"/>
      <c r="AL88" s="4"/>
      <c r="AM88" s="4"/>
      <c r="AN88" s="4"/>
      <c r="AO88" s="4"/>
    </row>
    <row r="89" spans="1:41" x14ac:dyDescent="0.3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4"/>
      <c r="AH89" s="4"/>
      <c r="AI89" s="4"/>
      <c r="AJ89" s="4"/>
      <c r="AK89" s="4"/>
      <c r="AL89" s="4"/>
      <c r="AM89" s="4"/>
      <c r="AN89" s="4"/>
      <c r="AO89" s="4"/>
    </row>
    <row r="90" spans="1:41" x14ac:dyDescent="0.3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4"/>
      <c r="AH90" s="4"/>
      <c r="AI90" s="4"/>
      <c r="AJ90" s="4"/>
      <c r="AK90" s="4"/>
      <c r="AL90" s="4"/>
      <c r="AM90" s="4"/>
      <c r="AN90" s="4"/>
      <c r="AO90" s="4"/>
    </row>
    <row r="91" spans="1:41" x14ac:dyDescent="0.3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4"/>
      <c r="AH91" s="4"/>
      <c r="AI91" s="4"/>
      <c r="AJ91" s="4"/>
      <c r="AK91" s="4"/>
      <c r="AL91" s="4"/>
      <c r="AM91" s="4"/>
      <c r="AN91" s="4"/>
      <c r="AO91" s="4"/>
    </row>
    <row r="92" spans="1:41" x14ac:dyDescent="0.3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4"/>
      <c r="AH92" s="4"/>
      <c r="AI92" s="4"/>
      <c r="AJ92" s="4"/>
      <c r="AK92" s="4"/>
      <c r="AL92" s="4"/>
      <c r="AM92" s="4"/>
      <c r="AN92" s="4"/>
      <c r="AO92" s="4"/>
    </row>
    <row r="93" spans="1:41" x14ac:dyDescent="0.3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4"/>
      <c r="AH93" s="4"/>
      <c r="AI93" s="4"/>
      <c r="AJ93" s="4"/>
      <c r="AK93" s="4"/>
      <c r="AL93" s="4"/>
      <c r="AM93" s="4"/>
      <c r="AN93" s="4"/>
      <c r="AO93" s="4"/>
    </row>
    <row r="94" spans="1:41" x14ac:dyDescent="0.3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4"/>
      <c r="AH94" s="4"/>
      <c r="AI94" s="4"/>
      <c r="AJ94" s="4"/>
      <c r="AK94" s="4"/>
      <c r="AL94" s="4"/>
      <c r="AM94" s="4"/>
      <c r="AN94" s="4"/>
      <c r="AO94" s="4"/>
    </row>
    <row r="95" spans="1:41" x14ac:dyDescent="0.3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4"/>
      <c r="AH95" s="4"/>
      <c r="AI95" s="4"/>
      <c r="AJ95" s="4"/>
      <c r="AK95" s="4"/>
      <c r="AL95" s="4"/>
      <c r="AM95" s="4"/>
      <c r="AN95" s="4"/>
      <c r="AO95" s="4"/>
    </row>
    <row r="96" spans="1:41" x14ac:dyDescent="0.3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4"/>
      <c r="AH96" s="4"/>
      <c r="AI96" s="4"/>
      <c r="AJ96" s="4"/>
      <c r="AK96" s="4"/>
      <c r="AL96" s="4"/>
      <c r="AM96" s="4"/>
      <c r="AN96" s="4"/>
      <c r="AO96" s="4"/>
    </row>
    <row r="97" spans="1:41" ht="15" thickBot="1" x14ac:dyDescent="0.4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4"/>
      <c r="AH97" s="4"/>
      <c r="AI97" s="4"/>
      <c r="AJ97" s="4"/>
      <c r="AK97" s="4"/>
      <c r="AL97" s="4"/>
      <c r="AM97" s="4"/>
      <c r="AN97" s="4"/>
      <c r="AO97" s="4"/>
    </row>
    <row r="98" spans="1:41" ht="16" thickBot="1" x14ac:dyDescent="0.4">
      <c r="A98" s="5"/>
      <c r="B98" s="169" t="s">
        <v>28</v>
      </c>
      <c r="C98" s="170"/>
      <c r="D98" s="170"/>
      <c r="E98" s="170"/>
      <c r="F98" s="170"/>
      <c r="G98" s="171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4"/>
      <c r="AH98" s="4"/>
      <c r="AI98" s="4"/>
      <c r="AJ98" s="4"/>
      <c r="AK98" s="4"/>
      <c r="AL98" s="4"/>
      <c r="AM98" s="4"/>
      <c r="AN98" s="4"/>
      <c r="AO98" s="4"/>
    </row>
    <row r="99" spans="1:41" ht="30" customHeight="1" x14ac:dyDescent="0.35">
      <c r="A99" s="5"/>
      <c r="B99" s="6" t="s">
        <v>5</v>
      </c>
      <c r="C99" s="7" t="s">
        <v>6</v>
      </c>
      <c r="D99" s="7" t="s">
        <v>7</v>
      </c>
      <c r="E99" s="7" t="s">
        <v>11</v>
      </c>
      <c r="F99" s="7" t="s">
        <v>8</v>
      </c>
      <c r="G99" s="8" t="s">
        <v>10</v>
      </c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4"/>
      <c r="AH99" s="4"/>
      <c r="AI99" s="4"/>
      <c r="AJ99" s="4"/>
      <c r="AK99" s="4"/>
      <c r="AL99" s="4"/>
      <c r="AM99" s="4"/>
      <c r="AN99" s="4"/>
      <c r="AO99" s="4"/>
    </row>
    <row r="100" spans="1:41" ht="30" customHeight="1" thickBot="1" x14ac:dyDescent="0.4">
      <c r="A100" s="5"/>
      <c r="B100" s="9">
        <f>ANA!BI15</f>
        <v>0</v>
      </c>
      <c r="C100" s="10"/>
      <c r="D100" s="10"/>
      <c r="E100" s="10"/>
      <c r="F100" s="10"/>
      <c r="G100" s="11">
        <f>(SUM(B100:F100))/100%</f>
        <v>0</v>
      </c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4"/>
      <c r="AH100" s="4"/>
      <c r="AI100" s="4"/>
      <c r="AJ100" s="4"/>
      <c r="AK100" s="4"/>
      <c r="AL100" s="4"/>
      <c r="AM100" s="4"/>
      <c r="AN100" s="4"/>
      <c r="AO100" s="4"/>
    </row>
    <row r="101" spans="1:41" x14ac:dyDescent="0.35">
      <c r="A101" s="5"/>
      <c r="B101" s="12">
        <v>0.8</v>
      </c>
      <c r="C101" s="12">
        <v>0.8</v>
      </c>
      <c r="D101" s="12">
        <v>0.8</v>
      </c>
      <c r="E101" s="12">
        <v>0.8</v>
      </c>
      <c r="F101" s="12">
        <v>0.8</v>
      </c>
      <c r="G101" s="12">
        <v>0.8</v>
      </c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4"/>
      <c r="AH101" s="4"/>
      <c r="AI101" s="4"/>
      <c r="AJ101" s="4"/>
      <c r="AK101" s="4"/>
      <c r="AL101" s="4"/>
      <c r="AM101" s="4"/>
      <c r="AN101" s="4"/>
      <c r="AO101" s="4"/>
    </row>
    <row r="102" spans="1:41" x14ac:dyDescent="0.35">
      <c r="A102" s="5"/>
      <c r="B102" s="5"/>
      <c r="C102" s="5"/>
      <c r="D102" s="5"/>
      <c r="E102" s="5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4"/>
      <c r="AH102" s="4"/>
      <c r="AI102" s="4"/>
      <c r="AJ102" s="4"/>
      <c r="AK102" s="4"/>
      <c r="AL102" s="4"/>
      <c r="AM102" s="4"/>
      <c r="AN102" s="4"/>
      <c r="AO102" s="4"/>
    </row>
    <row r="103" spans="1:41" x14ac:dyDescent="0.35">
      <c r="A103" s="13"/>
      <c r="B103" s="13"/>
      <c r="C103" s="13"/>
      <c r="D103" s="13"/>
      <c r="E103" s="13"/>
      <c r="F103" s="13"/>
      <c r="G103" s="13"/>
      <c r="H103" s="13"/>
      <c r="I103" s="13"/>
      <c r="J103" s="13"/>
      <c r="K103" s="13"/>
      <c r="L103" s="13"/>
      <c r="M103" s="13"/>
      <c r="N103" s="13"/>
      <c r="O103" s="13"/>
      <c r="P103" s="13"/>
      <c r="Q103" s="13"/>
      <c r="R103" s="13"/>
      <c r="S103" s="13"/>
      <c r="T103" s="13"/>
      <c r="U103" s="13"/>
      <c r="V103" s="13"/>
      <c r="W103" s="13"/>
      <c r="X103" s="13"/>
      <c r="Y103" s="13"/>
      <c r="Z103" s="13"/>
      <c r="AA103" s="13"/>
      <c r="AB103" s="13"/>
      <c r="AC103" s="13"/>
      <c r="AD103" s="13"/>
      <c r="AE103" s="13"/>
      <c r="AF103" s="13"/>
      <c r="AG103" s="13"/>
      <c r="AH103" s="13"/>
      <c r="AI103" s="13"/>
      <c r="AJ103" s="13"/>
      <c r="AK103" s="13"/>
      <c r="AL103" s="13"/>
      <c r="AM103" s="13"/>
      <c r="AN103" s="13"/>
      <c r="AO103" s="13"/>
    </row>
    <row r="104" spans="1:41" x14ac:dyDescent="0.35">
      <c r="A104" s="13"/>
      <c r="B104" s="13"/>
      <c r="C104" s="13"/>
      <c r="D104" s="13"/>
      <c r="E104" s="13"/>
      <c r="F104" s="13"/>
      <c r="G104" s="13"/>
      <c r="H104" s="13"/>
      <c r="I104" s="13"/>
      <c r="J104" s="13"/>
      <c r="K104" s="13"/>
      <c r="L104" s="13"/>
      <c r="M104" s="13"/>
      <c r="N104" s="13"/>
      <c r="O104" s="13"/>
      <c r="P104" s="13"/>
      <c r="Q104" s="13"/>
      <c r="R104" s="13"/>
      <c r="S104" s="13"/>
      <c r="T104" s="13"/>
      <c r="U104" s="13"/>
      <c r="V104" s="13"/>
      <c r="W104" s="13"/>
      <c r="X104" s="13"/>
      <c r="Y104" s="13"/>
      <c r="Z104" s="13"/>
      <c r="AA104" s="13"/>
      <c r="AB104" s="13"/>
      <c r="AC104" s="13"/>
      <c r="AD104" s="13"/>
      <c r="AE104" s="13"/>
      <c r="AF104" s="13"/>
      <c r="AG104" s="13"/>
      <c r="AH104" s="13"/>
      <c r="AI104" s="13"/>
      <c r="AJ104" s="13"/>
      <c r="AK104" s="13"/>
      <c r="AL104" s="13"/>
      <c r="AM104" s="13"/>
      <c r="AN104" s="13"/>
      <c r="AO104" s="13"/>
    </row>
    <row r="105" spans="1:41" x14ac:dyDescent="0.35">
      <c r="A105" s="13"/>
      <c r="B105" s="13"/>
      <c r="C105" s="13"/>
      <c r="D105" s="13"/>
      <c r="E105" s="13"/>
      <c r="F105" s="13"/>
      <c r="G105" s="13"/>
      <c r="H105" s="13"/>
      <c r="I105" s="13"/>
      <c r="J105" s="13"/>
      <c r="K105" s="13"/>
      <c r="L105" s="13"/>
      <c r="M105" s="13"/>
      <c r="N105" s="13"/>
      <c r="O105" s="13"/>
      <c r="P105" s="13"/>
      <c r="Q105" s="13"/>
      <c r="R105" s="13"/>
      <c r="S105" s="13"/>
      <c r="T105" s="13"/>
      <c r="U105" s="13"/>
      <c r="V105" s="13"/>
      <c r="W105" s="13"/>
      <c r="X105" s="13"/>
      <c r="Y105" s="13"/>
      <c r="Z105" s="13"/>
      <c r="AA105" s="13"/>
      <c r="AB105" s="13"/>
      <c r="AC105" s="13"/>
      <c r="AD105" s="13"/>
      <c r="AE105" s="13"/>
      <c r="AF105" s="13"/>
      <c r="AG105" s="13"/>
      <c r="AH105" s="13"/>
      <c r="AI105" s="13"/>
      <c r="AJ105" s="13"/>
      <c r="AK105" s="13"/>
      <c r="AL105" s="13"/>
      <c r="AM105" s="13"/>
      <c r="AN105" s="13"/>
      <c r="AO105" s="13"/>
    </row>
    <row r="106" spans="1:41" x14ac:dyDescent="0.35">
      <c r="A106" s="4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  <c r="AA106" s="4"/>
      <c r="AB106" s="4"/>
      <c r="AC106" s="4"/>
      <c r="AD106" s="4"/>
      <c r="AE106" s="4"/>
      <c r="AF106" s="4"/>
      <c r="AG106" s="4"/>
      <c r="AH106" s="4"/>
      <c r="AI106" s="4"/>
      <c r="AJ106" s="4"/>
      <c r="AK106" s="4"/>
      <c r="AL106" s="4"/>
      <c r="AM106" s="4"/>
      <c r="AN106" s="4"/>
      <c r="AO106" s="4"/>
    </row>
    <row r="107" spans="1:41" x14ac:dyDescent="0.35">
      <c r="A107" s="4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  <c r="AA107" s="4"/>
      <c r="AB107" s="4"/>
      <c r="AC107" s="4"/>
      <c r="AD107" s="4"/>
      <c r="AE107" s="4"/>
      <c r="AF107" s="4"/>
      <c r="AG107" s="4"/>
      <c r="AH107" s="4"/>
      <c r="AI107" s="4"/>
      <c r="AJ107" s="4"/>
      <c r="AK107" s="4"/>
      <c r="AL107" s="4"/>
      <c r="AM107" s="4"/>
      <c r="AN107" s="4"/>
      <c r="AO107" s="4"/>
    </row>
    <row r="108" spans="1:41" x14ac:dyDescent="0.3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4"/>
      <c r="Y108" s="4"/>
      <c r="Z108" s="4"/>
      <c r="AA108" s="4"/>
      <c r="AB108" s="4"/>
      <c r="AC108" s="4"/>
      <c r="AD108" s="4"/>
      <c r="AE108" s="4"/>
      <c r="AF108" s="4"/>
      <c r="AG108" s="4"/>
      <c r="AH108" s="4"/>
      <c r="AI108" s="4"/>
      <c r="AJ108" s="4"/>
      <c r="AK108" s="4"/>
      <c r="AL108" s="4"/>
      <c r="AM108" s="4"/>
      <c r="AN108" s="4"/>
      <c r="AO108" s="4"/>
    </row>
    <row r="109" spans="1:41" x14ac:dyDescent="0.35">
      <c r="A109" s="4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  <c r="AA109" s="4"/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4"/>
      <c r="AM109" s="4"/>
      <c r="AN109" s="4"/>
      <c r="AO109" s="4"/>
    </row>
    <row r="110" spans="1:41" x14ac:dyDescent="0.35">
      <c r="A110" s="4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  <c r="Z110" s="4"/>
      <c r="AA110" s="4"/>
      <c r="AB110" s="4"/>
      <c r="AC110" s="4"/>
      <c r="AD110" s="4"/>
      <c r="AE110" s="4"/>
      <c r="AF110" s="4"/>
      <c r="AG110" s="4"/>
      <c r="AH110" s="4"/>
      <c r="AI110" s="4"/>
      <c r="AJ110" s="4"/>
      <c r="AK110" s="4"/>
      <c r="AL110" s="4"/>
      <c r="AM110" s="4"/>
      <c r="AN110" s="4"/>
      <c r="AO110" s="4"/>
    </row>
    <row r="111" spans="1:41" x14ac:dyDescent="0.35">
      <c r="A111" s="4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  <c r="Z111" s="4"/>
      <c r="AA111" s="4"/>
      <c r="AB111" s="4"/>
      <c r="AC111" s="4"/>
      <c r="AD111" s="4"/>
      <c r="AE111" s="4"/>
      <c r="AF111" s="4"/>
      <c r="AG111" s="4"/>
      <c r="AH111" s="4"/>
      <c r="AI111" s="4"/>
      <c r="AJ111" s="4"/>
      <c r="AK111" s="4"/>
      <c r="AL111" s="4"/>
      <c r="AM111" s="4"/>
      <c r="AN111" s="4"/>
      <c r="AO111" s="4"/>
    </row>
    <row r="112" spans="1:41" x14ac:dyDescent="0.35">
      <c r="A112" s="4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  <c r="AA112" s="4"/>
      <c r="AB112" s="4"/>
      <c r="AC112" s="4"/>
      <c r="AD112" s="4"/>
      <c r="AE112" s="4"/>
      <c r="AF112" s="4"/>
      <c r="AG112" s="4"/>
      <c r="AH112" s="4"/>
      <c r="AI112" s="4"/>
      <c r="AJ112" s="4"/>
      <c r="AK112" s="4"/>
      <c r="AL112" s="4"/>
      <c r="AM112" s="4"/>
      <c r="AN112" s="4"/>
      <c r="AO112" s="4"/>
    </row>
    <row r="113" spans="1:41" x14ac:dyDescent="0.35">
      <c r="A113" s="4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  <c r="Z113" s="4"/>
      <c r="AA113" s="4"/>
      <c r="AB113" s="4"/>
      <c r="AC113" s="4"/>
      <c r="AD113" s="4"/>
      <c r="AE113" s="4"/>
      <c r="AF113" s="4"/>
      <c r="AG113" s="4"/>
      <c r="AH113" s="4"/>
      <c r="AI113" s="4"/>
      <c r="AJ113" s="4"/>
      <c r="AK113" s="4"/>
      <c r="AL113" s="4"/>
      <c r="AM113" s="4"/>
      <c r="AN113" s="4"/>
      <c r="AO113" s="4"/>
    </row>
    <row r="114" spans="1:41" x14ac:dyDescent="0.35">
      <c r="A114" s="4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4"/>
      <c r="X114" s="4"/>
      <c r="Y114" s="4"/>
      <c r="Z114" s="4"/>
      <c r="AA114" s="4"/>
      <c r="AB114" s="4"/>
      <c r="AC114" s="4"/>
      <c r="AD114" s="4"/>
      <c r="AE114" s="4"/>
      <c r="AF114" s="4"/>
      <c r="AG114" s="4"/>
      <c r="AH114" s="4"/>
      <c r="AI114" s="4"/>
      <c r="AJ114" s="4"/>
      <c r="AK114" s="4"/>
      <c r="AL114" s="4"/>
      <c r="AM114" s="4"/>
      <c r="AN114" s="4"/>
      <c r="AO114" s="4"/>
    </row>
    <row r="115" spans="1:41" x14ac:dyDescent="0.35">
      <c r="A115" s="4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  <c r="Z115" s="4"/>
      <c r="AA115" s="4"/>
      <c r="AB115" s="4"/>
      <c r="AC115" s="4"/>
      <c r="AD115" s="4"/>
      <c r="AE115" s="4"/>
      <c r="AF115" s="4"/>
      <c r="AG115" s="4"/>
      <c r="AH115" s="4"/>
      <c r="AI115" s="4"/>
      <c r="AJ115" s="4"/>
      <c r="AK115" s="4"/>
      <c r="AL115" s="4"/>
      <c r="AM115" s="4"/>
      <c r="AN115" s="4"/>
      <c r="AO115" s="4"/>
    </row>
    <row r="116" spans="1:41" x14ac:dyDescent="0.35">
      <c r="A116" s="4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  <c r="Z116" s="4"/>
      <c r="AA116" s="4"/>
      <c r="AB116" s="4"/>
      <c r="AC116" s="4"/>
      <c r="AD116" s="4"/>
      <c r="AE116" s="4"/>
      <c r="AF116" s="4"/>
      <c r="AG116" s="4"/>
      <c r="AH116" s="4"/>
      <c r="AI116" s="4"/>
      <c r="AJ116" s="4"/>
      <c r="AK116" s="4"/>
      <c r="AL116" s="4"/>
      <c r="AM116" s="4"/>
      <c r="AN116" s="4"/>
      <c r="AO116" s="4"/>
    </row>
    <row r="117" spans="1:41" x14ac:dyDescent="0.35">
      <c r="A117" s="4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  <c r="AA117" s="4"/>
      <c r="AB117" s="4"/>
      <c r="AC117" s="4"/>
      <c r="AD117" s="4"/>
      <c r="AE117" s="4"/>
      <c r="AF117" s="4"/>
      <c r="AG117" s="4"/>
      <c r="AH117" s="4"/>
      <c r="AI117" s="4"/>
      <c r="AJ117" s="4"/>
      <c r="AK117" s="4"/>
      <c r="AL117" s="4"/>
      <c r="AM117" s="4"/>
      <c r="AN117" s="4"/>
      <c r="AO117" s="4"/>
    </row>
    <row r="118" spans="1:41" x14ac:dyDescent="0.35">
      <c r="A118" s="4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  <c r="AA118" s="4"/>
      <c r="AB118" s="4"/>
      <c r="AC118" s="4"/>
      <c r="AD118" s="4"/>
      <c r="AE118" s="4"/>
      <c r="AF118" s="4"/>
      <c r="AG118" s="4"/>
      <c r="AH118" s="4"/>
      <c r="AI118" s="4"/>
      <c r="AJ118" s="4"/>
      <c r="AK118" s="4"/>
      <c r="AL118" s="4"/>
      <c r="AM118" s="4"/>
      <c r="AN118" s="4"/>
      <c r="AO118" s="4"/>
    </row>
    <row r="119" spans="1:41" x14ac:dyDescent="0.35">
      <c r="A119" s="4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  <c r="Z119" s="4"/>
      <c r="AA119" s="4"/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4"/>
      <c r="AM119" s="4"/>
      <c r="AN119" s="4"/>
      <c r="AO119" s="4"/>
    </row>
    <row r="120" spans="1:41" x14ac:dyDescent="0.35">
      <c r="A120" s="4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4"/>
      <c r="X120" s="4"/>
      <c r="Y120" s="4"/>
      <c r="Z120" s="4"/>
      <c r="AA120" s="4"/>
      <c r="AB120" s="4"/>
      <c r="AC120" s="4"/>
      <c r="AD120" s="4"/>
      <c r="AE120" s="4"/>
      <c r="AF120" s="4"/>
      <c r="AG120" s="4"/>
      <c r="AH120" s="4"/>
      <c r="AI120" s="4"/>
      <c r="AJ120" s="4"/>
      <c r="AK120" s="4"/>
      <c r="AL120" s="4"/>
      <c r="AM120" s="4"/>
      <c r="AN120" s="4"/>
      <c r="AO120" s="4"/>
    </row>
    <row r="121" spans="1:41" x14ac:dyDescent="0.35">
      <c r="A121" s="4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Y121" s="4"/>
      <c r="Z121" s="4"/>
      <c r="AA121" s="4"/>
      <c r="AB121" s="4"/>
      <c r="AC121" s="4"/>
      <c r="AD121" s="4"/>
      <c r="AE121" s="4"/>
      <c r="AF121" s="4"/>
      <c r="AG121" s="4"/>
      <c r="AH121" s="4"/>
      <c r="AI121" s="4"/>
      <c r="AJ121" s="4"/>
      <c r="AK121" s="4"/>
      <c r="AL121" s="4"/>
      <c r="AM121" s="4"/>
      <c r="AN121" s="4"/>
      <c r="AO121" s="4"/>
    </row>
    <row r="122" spans="1:41" x14ac:dyDescent="0.35">
      <c r="A122" s="4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4"/>
      <c r="Y122" s="4"/>
      <c r="Z122" s="4"/>
      <c r="AA122" s="4"/>
      <c r="AB122" s="4"/>
      <c r="AC122" s="4"/>
      <c r="AD122" s="4"/>
      <c r="AE122" s="4"/>
      <c r="AF122" s="4"/>
      <c r="AG122" s="4"/>
      <c r="AH122" s="4"/>
      <c r="AI122" s="4"/>
      <c r="AJ122" s="4"/>
      <c r="AK122" s="4"/>
      <c r="AL122" s="4"/>
      <c r="AM122" s="4"/>
      <c r="AN122" s="4"/>
      <c r="AO122" s="4"/>
    </row>
    <row r="123" spans="1:41" x14ac:dyDescent="0.35">
      <c r="A123" s="4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  <c r="Z123" s="4"/>
      <c r="AA123" s="4"/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4"/>
      <c r="AM123" s="4"/>
      <c r="AN123" s="4"/>
      <c r="AO123" s="4"/>
    </row>
    <row r="124" spans="1:41" x14ac:dyDescent="0.35">
      <c r="A124" s="4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/>
      <c r="AL124" s="4"/>
      <c r="AM124" s="4"/>
      <c r="AN124" s="4"/>
      <c r="AO124" s="4"/>
    </row>
    <row r="125" spans="1:41" x14ac:dyDescent="0.35">
      <c r="A125" s="4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/>
      <c r="AH125" s="4"/>
      <c r="AI125" s="4"/>
      <c r="AJ125" s="4"/>
      <c r="AK125" s="4"/>
      <c r="AL125" s="4"/>
      <c r="AM125" s="4"/>
      <c r="AN125" s="4"/>
      <c r="AO125" s="4"/>
    </row>
    <row r="126" spans="1:41" x14ac:dyDescent="0.35">
      <c r="A126" s="4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4"/>
      <c r="U126" s="4"/>
      <c r="V126" s="4"/>
      <c r="W126" s="4"/>
      <c r="X126" s="4"/>
      <c r="Y126" s="4"/>
      <c r="Z126" s="4"/>
      <c r="AA126" s="4"/>
      <c r="AB126" s="4"/>
      <c r="AC126" s="4"/>
      <c r="AD126" s="4"/>
      <c r="AE126" s="4"/>
      <c r="AF126" s="4"/>
      <c r="AG126" s="4"/>
      <c r="AH126" s="4"/>
      <c r="AI126" s="4"/>
      <c r="AJ126" s="4"/>
      <c r="AK126" s="4"/>
      <c r="AL126" s="4"/>
      <c r="AM126" s="4"/>
      <c r="AN126" s="4"/>
      <c r="AO126" s="4"/>
    </row>
    <row r="127" spans="1:41" x14ac:dyDescent="0.35">
      <c r="A127" s="4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  <c r="AE127" s="4"/>
      <c r="AF127" s="4"/>
      <c r="AG127" s="4"/>
      <c r="AH127" s="4"/>
      <c r="AI127" s="4"/>
      <c r="AJ127" s="4"/>
      <c r="AK127" s="4"/>
      <c r="AL127" s="4"/>
      <c r="AM127" s="4"/>
      <c r="AN127" s="4"/>
      <c r="AO127" s="4"/>
    </row>
    <row r="128" spans="1:41" x14ac:dyDescent="0.35">
      <c r="A128" s="4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  <c r="Z128" s="4"/>
      <c r="AA128" s="4"/>
      <c r="AB128" s="4"/>
      <c r="AC128" s="4"/>
      <c r="AD128" s="4"/>
      <c r="AE128" s="4"/>
      <c r="AF128" s="4"/>
      <c r="AG128" s="4"/>
      <c r="AH128" s="4"/>
      <c r="AI128" s="4"/>
      <c r="AJ128" s="4"/>
      <c r="AK128" s="4"/>
      <c r="AL128" s="4"/>
      <c r="AM128" s="4"/>
      <c r="AN128" s="4"/>
      <c r="AO128" s="4"/>
    </row>
    <row r="129" spans="1:41" x14ac:dyDescent="0.35">
      <c r="A129" s="4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4"/>
      <c r="AM129" s="4"/>
      <c r="AN129" s="4"/>
      <c r="AO129" s="4"/>
    </row>
    <row r="130" spans="1:41" x14ac:dyDescent="0.35">
      <c r="A130" s="4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4"/>
      <c r="AM130" s="4"/>
      <c r="AN130" s="4"/>
      <c r="AO130" s="4"/>
    </row>
    <row r="131" spans="1:41" x14ac:dyDescent="0.35">
      <c r="A131" s="4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/>
      <c r="Z131" s="4"/>
      <c r="AA131" s="4"/>
      <c r="AB131" s="4"/>
      <c r="AC131" s="4"/>
      <c r="AD131" s="4"/>
      <c r="AE131" s="4"/>
      <c r="AF131" s="4"/>
      <c r="AG131" s="4"/>
      <c r="AH131" s="4"/>
      <c r="AI131" s="4"/>
      <c r="AJ131" s="4"/>
      <c r="AK131" s="4"/>
      <c r="AL131" s="4"/>
      <c r="AM131" s="4"/>
      <c r="AN131" s="4"/>
      <c r="AO131" s="4"/>
    </row>
    <row r="132" spans="1:41" x14ac:dyDescent="0.35">
      <c r="A132" s="4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/>
      <c r="Z132" s="4"/>
      <c r="AA132" s="4"/>
      <c r="AB132" s="4"/>
      <c r="AC132" s="4"/>
      <c r="AD132" s="4"/>
      <c r="AE132" s="4"/>
      <c r="AF132" s="4"/>
      <c r="AG132" s="4"/>
      <c r="AH132" s="4"/>
      <c r="AI132" s="4"/>
      <c r="AJ132" s="4"/>
      <c r="AK132" s="4"/>
      <c r="AL132" s="4"/>
      <c r="AM132" s="4"/>
      <c r="AN132" s="4"/>
      <c r="AO132" s="4"/>
    </row>
    <row r="133" spans="1:41" x14ac:dyDescent="0.35">
      <c r="A133" s="4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/>
      <c r="Z133" s="4"/>
      <c r="AA133" s="4"/>
      <c r="AB133" s="4"/>
      <c r="AC133" s="4"/>
      <c r="AD133" s="4"/>
      <c r="AE133" s="4"/>
      <c r="AF133" s="4"/>
      <c r="AG133" s="4"/>
      <c r="AH133" s="4"/>
      <c r="AI133" s="4"/>
      <c r="AJ133" s="4"/>
      <c r="AK133" s="4"/>
      <c r="AL133" s="4"/>
      <c r="AM133" s="4"/>
      <c r="AN133" s="4"/>
      <c r="AO133" s="4"/>
    </row>
    <row r="134" spans="1:41" x14ac:dyDescent="0.35">
      <c r="A134" s="4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4"/>
      <c r="AM134" s="4"/>
      <c r="AN134" s="4"/>
      <c r="AO134" s="4"/>
    </row>
    <row r="135" spans="1:41" x14ac:dyDescent="0.35">
      <c r="A135" s="4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4"/>
      <c r="AM135" s="4"/>
      <c r="AN135" s="4"/>
      <c r="AO135" s="4"/>
    </row>
    <row r="136" spans="1:41" x14ac:dyDescent="0.35">
      <c r="A136" s="4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4"/>
      <c r="Y136" s="4"/>
      <c r="Z136" s="4"/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/>
      <c r="AL136" s="4"/>
      <c r="AM136" s="4"/>
      <c r="AN136" s="4"/>
      <c r="AO136" s="4"/>
    </row>
    <row r="137" spans="1:41" x14ac:dyDescent="0.35">
      <c r="A137" s="4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4"/>
      <c r="U137" s="4"/>
      <c r="V137" s="4"/>
      <c r="W137" s="4"/>
      <c r="X137" s="4"/>
      <c r="Y137" s="4"/>
      <c r="Z137" s="4"/>
      <c r="AA137" s="4"/>
      <c r="AB137" s="4"/>
      <c r="AC137" s="4"/>
      <c r="AD137" s="4"/>
      <c r="AE137" s="4"/>
      <c r="AF137" s="4"/>
      <c r="AG137" s="4"/>
      <c r="AH137" s="4"/>
      <c r="AI137" s="4"/>
      <c r="AJ137" s="4"/>
      <c r="AK137" s="4"/>
      <c r="AL137" s="4"/>
      <c r="AM137" s="4"/>
      <c r="AN137" s="4"/>
      <c r="AO137" s="4"/>
    </row>
    <row r="138" spans="1:41" x14ac:dyDescent="0.35">
      <c r="A138" s="4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4"/>
      <c r="Y138" s="4"/>
      <c r="Z138" s="4"/>
      <c r="AA138" s="4"/>
      <c r="AB138" s="4"/>
      <c r="AC138" s="4"/>
      <c r="AD138" s="4"/>
      <c r="AE138" s="4"/>
      <c r="AF138" s="4"/>
      <c r="AG138" s="4"/>
      <c r="AH138" s="4"/>
      <c r="AI138" s="4"/>
      <c r="AJ138" s="4"/>
      <c r="AK138" s="4"/>
      <c r="AL138" s="4"/>
      <c r="AM138" s="4"/>
      <c r="AN138" s="4"/>
      <c r="AO138" s="4"/>
    </row>
    <row r="139" spans="1:41" x14ac:dyDescent="0.35">
      <c r="A139" s="4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  <c r="Z139" s="4"/>
      <c r="AA139" s="4"/>
      <c r="AB139" s="4"/>
      <c r="AC139" s="4"/>
      <c r="AD139" s="4"/>
      <c r="AE139" s="4"/>
      <c r="AF139" s="4"/>
      <c r="AG139" s="4"/>
      <c r="AH139" s="4"/>
      <c r="AI139" s="4"/>
      <c r="AJ139" s="4"/>
      <c r="AK139" s="4"/>
      <c r="AL139" s="4"/>
      <c r="AM139" s="4"/>
      <c r="AN139" s="4"/>
      <c r="AO139" s="4"/>
    </row>
    <row r="140" spans="1:41" x14ac:dyDescent="0.35">
      <c r="A140" s="4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/>
      <c r="Y140" s="4"/>
      <c r="Z140" s="4"/>
      <c r="AA140" s="4"/>
      <c r="AB140" s="4"/>
      <c r="AC140" s="4"/>
      <c r="AD140" s="4"/>
      <c r="AE140" s="4"/>
      <c r="AF140" s="4"/>
      <c r="AG140" s="4"/>
      <c r="AH140" s="4"/>
      <c r="AI140" s="4"/>
      <c r="AJ140" s="4"/>
      <c r="AK140" s="4"/>
      <c r="AL140" s="4"/>
      <c r="AM140" s="4"/>
      <c r="AN140" s="4"/>
      <c r="AO140" s="4"/>
    </row>
    <row r="141" spans="1:41" x14ac:dyDescent="0.35">
      <c r="A141" s="4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/>
      <c r="Y141" s="4"/>
      <c r="Z141" s="4"/>
      <c r="AA141" s="4"/>
      <c r="AB141" s="4"/>
      <c r="AC141" s="4"/>
      <c r="AD141" s="4"/>
      <c r="AE141" s="4"/>
      <c r="AF141" s="4"/>
      <c r="AG141" s="4"/>
      <c r="AH141" s="4"/>
      <c r="AI141" s="4"/>
      <c r="AJ141" s="4"/>
      <c r="AK141" s="4"/>
      <c r="AL141" s="4"/>
      <c r="AM141" s="4"/>
      <c r="AN141" s="4"/>
      <c r="AO141" s="4"/>
    </row>
    <row r="142" spans="1:41" x14ac:dyDescent="0.35">
      <c r="A142" s="4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  <c r="AA142" s="4"/>
      <c r="AB142" s="4"/>
      <c r="AC142" s="4"/>
      <c r="AD142" s="4"/>
      <c r="AE142" s="4"/>
      <c r="AF142" s="4"/>
      <c r="AG142" s="4"/>
      <c r="AH142" s="4"/>
      <c r="AI142" s="4"/>
      <c r="AJ142" s="4"/>
      <c r="AK142" s="4"/>
      <c r="AL142" s="4"/>
      <c r="AM142" s="4"/>
      <c r="AN142" s="4"/>
      <c r="AO142" s="4"/>
    </row>
    <row r="143" spans="1:41" x14ac:dyDescent="0.35">
      <c r="A143" s="4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/>
      <c r="U143" s="4"/>
      <c r="V143" s="4"/>
      <c r="W143" s="4"/>
      <c r="X143" s="4"/>
      <c r="Y143" s="4"/>
      <c r="Z143" s="4"/>
      <c r="AA143" s="4"/>
      <c r="AB143" s="4"/>
      <c r="AC143" s="4"/>
      <c r="AD143" s="4"/>
      <c r="AE143" s="4"/>
      <c r="AF143" s="4"/>
      <c r="AG143" s="4"/>
      <c r="AH143" s="4"/>
      <c r="AI143" s="4"/>
      <c r="AJ143" s="4"/>
      <c r="AK143" s="4"/>
      <c r="AL143" s="4"/>
      <c r="AM143" s="4"/>
      <c r="AN143" s="4"/>
      <c r="AO143" s="4"/>
    </row>
    <row r="144" spans="1:41" x14ac:dyDescent="0.35">
      <c r="A144" s="4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4"/>
      <c r="Y144" s="4"/>
      <c r="Z144" s="4"/>
      <c r="AA144" s="4"/>
      <c r="AB144" s="4"/>
      <c r="AC144" s="4"/>
      <c r="AD144" s="4"/>
      <c r="AE144" s="4"/>
      <c r="AF144" s="4"/>
      <c r="AG144" s="4"/>
      <c r="AH144" s="4"/>
      <c r="AI144" s="4"/>
      <c r="AJ144" s="4"/>
      <c r="AK144" s="4"/>
      <c r="AL144" s="4"/>
      <c r="AM144" s="4"/>
      <c r="AN144" s="4"/>
      <c r="AO144" s="4"/>
    </row>
    <row r="145" spans="1:41" x14ac:dyDescent="0.35">
      <c r="A145" s="4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4"/>
      <c r="Y145" s="4"/>
      <c r="Z145" s="4"/>
      <c r="AA145" s="4"/>
      <c r="AB145" s="4"/>
      <c r="AC145" s="4"/>
      <c r="AD145" s="4"/>
      <c r="AE145" s="4"/>
      <c r="AF145" s="4"/>
      <c r="AG145" s="4"/>
      <c r="AH145" s="4"/>
      <c r="AI145" s="4"/>
      <c r="AJ145" s="4"/>
      <c r="AK145" s="4"/>
      <c r="AL145" s="4"/>
      <c r="AM145" s="4"/>
      <c r="AN145" s="4"/>
      <c r="AO145" s="4"/>
    </row>
    <row r="146" spans="1:41" x14ac:dyDescent="0.35">
      <c r="A146" s="4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4"/>
      <c r="Y146" s="4"/>
      <c r="Z146" s="4"/>
      <c r="AA146" s="4"/>
      <c r="AB146" s="4"/>
      <c r="AC146" s="4"/>
      <c r="AD146" s="4"/>
      <c r="AE146" s="4"/>
      <c r="AF146" s="4"/>
      <c r="AG146" s="4"/>
      <c r="AH146" s="4"/>
      <c r="AI146" s="4"/>
      <c r="AJ146" s="4"/>
      <c r="AK146" s="4"/>
      <c r="AL146" s="4"/>
      <c r="AM146" s="4"/>
      <c r="AN146" s="4"/>
      <c r="AO146" s="4"/>
    </row>
    <row r="147" spans="1:41" x14ac:dyDescent="0.35">
      <c r="A147" s="4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  <c r="AA147" s="4"/>
      <c r="AB147" s="4"/>
      <c r="AC147" s="4"/>
      <c r="AD147" s="4"/>
      <c r="AE147" s="4"/>
      <c r="AF147" s="4"/>
      <c r="AG147" s="4"/>
      <c r="AH147" s="4"/>
      <c r="AI147" s="4"/>
      <c r="AJ147" s="4"/>
      <c r="AK147" s="4"/>
      <c r="AL147" s="4"/>
      <c r="AM147" s="4"/>
      <c r="AN147" s="4"/>
      <c r="AO147" s="4"/>
    </row>
    <row r="148" spans="1:41" x14ac:dyDescent="0.35">
      <c r="A148" s="4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4"/>
      <c r="Y148" s="4"/>
      <c r="Z148" s="4"/>
      <c r="AA148" s="4"/>
      <c r="AB148" s="4"/>
      <c r="AC148" s="4"/>
      <c r="AD148" s="4"/>
      <c r="AE148" s="4"/>
      <c r="AF148" s="4"/>
      <c r="AG148" s="4"/>
      <c r="AH148" s="4"/>
      <c r="AI148" s="4"/>
      <c r="AJ148" s="4"/>
      <c r="AK148" s="4"/>
      <c r="AL148" s="4"/>
      <c r="AM148" s="4"/>
      <c r="AN148" s="4"/>
      <c r="AO148" s="4"/>
    </row>
    <row r="149" spans="1:41" x14ac:dyDescent="0.35">
      <c r="A149" s="4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4"/>
      <c r="U149" s="4"/>
      <c r="V149" s="4"/>
      <c r="W149" s="4"/>
      <c r="X149" s="4"/>
      <c r="Y149" s="4"/>
      <c r="Z149" s="4"/>
      <c r="AA149" s="4"/>
      <c r="AB149" s="4"/>
      <c r="AC149" s="4"/>
      <c r="AD149" s="4"/>
      <c r="AE149" s="4"/>
      <c r="AF149" s="4"/>
      <c r="AG149" s="4"/>
      <c r="AH149" s="4"/>
      <c r="AI149" s="4"/>
      <c r="AJ149" s="4"/>
      <c r="AK149" s="4"/>
      <c r="AL149" s="4"/>
      <c r="AM149" s="4"/>
      <c r="AN149" s="4"/>
      <c r="AO149" s="4"/>
    </row>
    <row r="150" spans="1:41" x14ac:dyDescent="0.35">
      <c r="A150" s="4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4"/>
      <c r="Y150" s="4"/>
      <c r="Z150" s="4"/>
      <c r="AA150" s="4"/>
      <c r="AB150" s="4"/>
      <c r="AC150" s="4"/>
      <c r="AD150" s="4"/>
      <c r="AE150" s="4"/>
      <c r="AF150" s="4"/>
      <c r="AG150" s="4"/>
      <c r="AH150" s="4"/>
      <c r="AI150" s="4"/>
      <c r="AJ150" s="4"/>
      <c r="AK150" s="4"/>
      <c r="AL150" s="4"/>
      <c r="AM150" s="4"/>
      <c r="AN150" s="4"/>
      <c r="AO150" s="4"/>
    </row>
    <row r="151" spans="1:41" x14ac:dyDescent="0.35">
      <c r="A151" s="4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4"/>
      <c r="Y151" s="4"/>
      <c r="Z151" s="4"/>
      <c r="AA151" s="4"/>
      <c r="AB151" s="4"/>
      <c r="AC151" s="4"/>
      <c r="AD151" s="4"/>
      <c r="AE151" s="4"/>
      <c r="AF151" s="4"/>
      <c r="AG151" s="4"/>
      <c r="AH151" s="4"/>
      <c r="AI151" s="4"/>
      <c r="AJ151" s="4"/>
      <c r="AK151" s="4"/>
      <c r="AL151" s="4"/>
      <c r="AM151" s="4"/>
      <c r="AN151" s="4"/>
      <c r="AO151" s="4"/>
    </row>
    <row r="152" spans="1:41" x14ac:dyDescent="0.35">
      <c r="A152" s="4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4"/>
      <c r="Y152" s="4"/>
      <c r="Z152" s="4"/>
      <c r="AA152" s="4"/>
      <c r="AB152" s="4"/>
      <c r="AC152" s="4"/>
      <c r="AD152" s="4"/>
      <c r="AE152" s="4"/>
      <c r="AF152" s="4"/>
      <c r="AG152" s="4"/>
      <c r="AH152" s="4"/>
      <c r="AI152" s="4"/>
      <c r="AJ152" s="4"/>
      <c r="AK152" s="4"/>
      <c r="AL152" s="4"/>
      <c r="AM152" s="4"/>
      <c r="AN152" s="4"/>
      <c r="AO152" s="4"/>
    </row>
    <row r="153" spans="1:41" x14ac:dyDescent="0.35">
      <c r="A153" s="4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4"/>
      <c r="Y153" s="4"/>
      <c r="Z153" s="4"/>
      <c r="AA153" s="4"/>
      <c r="AB153" s="4"/>
      <c r="AC153" s="4"/>
      <c r="AD153" s="4"/>
      <c r="AE153" s="4"/>
      <c r="AF153" s="4"/>
      <c r="AG153" s="4"/>
      <c r="AH153" s="4"/>
      <c r="AI153" s="4"/>
      <c r="AJ153" s="4"/>
      <c r="AK153" s="4"/>
      <c r="AL153" s="4"/>
      <c r="AM153" s="4"/>
      <c r="AN153" s="4"/>
      <c r="AO153" s="4"/>
    </row>
    <row r="154" spans="1:41" x14ac:dyDescent="0.35">
      <c r="A154" s="4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4"/>
      <c r="Y154" s="4"/>
      <c r="Z154" s="4"/>
      <c r="AA154" s="4"/>
      <c r="AB154" s="4"/>
      <c r="AC154" s="4"/>
      <c r="AD154" s="4"/>
      <c r="AE154" s="4"/>
      <c r="AF154" s="4"/>
      <c r="AG154" s="4"/>
      <c r="AH154" s="4"/>
      <c r="AI154" s="4"/>
      <c r="AJ154" s="4"/>
      <c r="AK154" s="4"/>
      <c r="AL154" s="4"/>
      <c r="AM154" s="4"/>
      <c r="AN154" s="4"/>
      <c r="AO154" s="4"/>
    </row>
    <row r="155" spans="1:41" x14ac:dyDescent="0.35">
      <c r="A155" s="4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4"/>
      <c r="U155" s="4"/>
      <c r="V155" s="4"/>
      <c r="W155" s="4"/>
      <c r="X155" s="4"/>
      <c r="Y155" s="4"/>
      <c r="Z155" s="4"/>
      <c r="AA155" s="4"/>
      <c r="AB155" s="4"/>
      <c r="AC155" s="4"/>
      <c r="AD155" s="4"/>
      <c r="AE155" s="4"/>
      <c r="AF155" s="4"/>
      <c r="AG155" s="4"/>
      <c r="AH155" s="4"/>
      <c r="AI155" s="4"/>
      <c r="AJ155" s="4"/>
      <c r="AK155" s="4"/>
      <c r="AL155" s="4"/>
      <c r="AM155" s="4"/>
      <c r="AN155" s="4"/>
      <c r="AO155" s="4"/>
    </row>
    <row r="156" spans="1:41" x14ac:dyDescent="0.35">
      <c r="A156" s="4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4"/>
      <c r="Y156" s="4"/>
      <c r="Z156" s="4"/>
      <c r="AA156" s="4"/>
      <c r="AB156" s="4"/>
      <c r="AC156" s="4"/>
      <c r="AD156" s="4"/>
      <c r="AE156" s="4"/>
      <c r="AF156" s="4"/>
      <c r="AG156" s="4"/>
      <c r="AH156" s="4"/>
      <c r="AI156" s="4"/>
      <c r="AJ156" s="4"/>
      <c r="AK156" s="4"/>
      <c r="AL156" s="4"/>
      <c r="AM156" s="4"/>
      <c r="AN156" s="4"/>
      <c r="AO156" s="4"/>
    </row>
    <row r="157" spans="1:41" x14ac:dyDescent="0.35">
      <c r="A157" s="4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4"/>
      <c r="Y157" s="4"/>
      <c r="Z157" s="4"/>
      <c r="AA157" s="4"/>
      <c r="AB157" s="4"/>
      <c r="AC157" s="4"/>
      <c r="AD157" s="4"/>
      <c r="AE157" s="4"/>
      <c r="AF157" s="4"/>
      <c r="AG157" s="4"/>
      <c r="AH157" s="4"/>
      <c r="AI157" s="4"/>
      <c r="AJ157" s="4"/>
      <c r="AK157" s="4"/>
      <c r="AL157" s="4"/>
      <c r="AM157" s="4"/>
      <c r="AN157" s="4"/>
      <c r="AO157" s="4"/>
    </row>
    <row r="158" spans="1:41" x14ac:dyDescent="0.35">
      <c r="A158" s="4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4"/>
      <c r="Y158" s="4"/>
      <c r="Z158" s="4"/>
      <c r="AA158" s="4"/>
      <c r="AB158" s="4"/>
      <c r="AC158" s="4"/>
      <c r="AD158" s="4"/>
      <c r="AE158" s="4"/>
      <c r="AF158" s="4"/>
      <c r="AG158" s="4"/>
      <c r="AH158" s="4"/>
      <c r="AI158" s="4"/>
      <c r="AJ158" s="4"/>
      <c r="AK158" s="4"/>
      <c r="AL158" s="4"/>
      <c r="AM158" s="4"/>
      <c r="AN158" s="4"/>
      <c r="AO158" s="4"/>
    </row>
    <row r="159" spans="1:41" x14ac:dyDescent="0.35">
      <c r="A159" s="4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4"/>
      <c r="Y159" s="4"/>
      <c r="Z159" s="4"/>
      <c r="AA159" s="4"/>
      <c r="AB159" s="4"/>
      <c r="AC159" s="4"/>
      <c r="AD159" s="4"/>
      <c r="AE159" s="4"/>
      <c r="AF159" s="4"/>
      <c r="AG159" s="4"/>
      <c r="AH159" s="4"/>
      <c r="AI159" s="4"/>
      <c r="AJ159" s="4"/>
      <c r="AK159" s="4"/>
      <c r="AL159" s="4"/>
      <c r="AM159" s="4"/>
      <c r="AN159" s="4"/>
      <c r="AO159" s="4"/>
    </row>
    <row r="160" spans="1:41" x14ac:dyDescent="0.35">
      <c r="A160" s="4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4"/>
      <c r="Y160" s="4"/>
      <c r="Z160" s="4"/>
      <c r="AA160" s="4"/>
      <c r="AB160" s="4"/>
      <c r="AC160" s="4"/>
      <c r="AD160" s="4"/>
      <c r="AE160" s="4"/>
      <c r="AF160" s="4"/>
      <c r="AG160" s="4"/>
      <c r="AH160" s="4"/>
      <c r="AI160" s="4"/>
      <c r="AJ160" s="4"/>
      <c r="AK160" s="4"/>
      <c r="AL160" s="4"/>
      <c r="AM160" s="4"/>
      <c r="AN160" s="4"/>
      <c r="AO160" s="4"/>
    </row>
    <row r="161" spans="1:41" x14ac:dyDescent="0.35">
      <c r="A161" s="4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4"/>
      <c r="U161" s="4"/>
      <c r="V161" s="4"/>
      <c r="W161" s="4"/>
      <c r="X161" s="4"/>
      <c r="Y161" s="4"/>
      <c r="Z161" s="4"/>
      <c r="AA161" s="4"/>
      <c r="AB161" s="4"/>
      <c r="AC161" s="4"/>
      <c r="AD161" s="4"/>
      <c r="AE161" s="4"/>
      <c r="AF161" s="4"/>
      <c r="AG161" s="4"/>
      <c r="AH161" s="4"/>
      <c r="AI161" s="4"/>
      <c r="AJ161" s="4"/>
      <c r="AK161" s="4"/>
      <c r="AL161" s="4"/>
      <c r="AM161" s="4"/>
      <c r="AN161" s="4"/>
      <c r="AO161" s="4"/>
    </row>
    <row r="162" spans="1:41" x14ac:dyDescent="0.35">
      <c r="A162" s="4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  <c r="AA162" s="4"/>
      <c r="AB162" s="4"/>
      <c r="AC162" s="4"/>
      <c r="AD162" s="4"/>
      <c r="AE162" s="4"/>
      <c r="AF162" s="4"/>
      <c r="AG162" s="4"/>
      <c r="AH162" s="4"/>
      <c r="AI162" s="4"/>
      <c r="AJ162" s="4"/>
      <c r="AK162" s="4"/>
      <c r="AL162" s="4"/>
      <c r="AM162" s="4"/>
      <c r="AN162" s="4"/>
      <c r="AO162" s="4"/>
    </row>
    <row r="163" spans="1:41" x14ac:dyDescent="0.35">
      <c r="A163" s="4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  <c r="AA163" s="4"/>
      <c r="AB163" s="4"/>
      <c r="AC163" s="4"/>
      <c r="AD163" s="4"/>
      <c r="AE163" s="4"/>
      <c r="AF163" s="4"/>
      <c r="AG163" s="4"/>
      <c r="AH163" s="4"/>
      <c r="AI163" s="4"/>
      <c r="AJ163" s="4"/>
      <c r="AK163" s="4"/>
      <c r="AL163" s="4"/>
      <c r="AM163" s="4"/>
      <c r="AN163" s="4"/>
      <c r="AO163" s="4"/>
    </row>
    <row r="164" spans="1:41" x14ac:dyDescent="0.35">
      <c r="A164" s="4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4"/>
      <c r="Y164" s="4"/>
      <c r="Z164" s="4"/>
      <c r="AA164" s="4"/>
      <c r="AB164" s="4"/>
      <c r="AC164" s="4"/>
      <c r="AD164" s="4"/>
      <c r="AE164" s="4"/>
      <c r="AF164" s="4"/>
      <c r="AG164" s="4"/>
      <c r="AH164" s="4"/>
      <c r="AI164" s="4"/>
      <c r="AJ164" s="4"/>
      <c r="AK164" s="4"/>
      <c r="AL164" s="4"/>
      <c r="AM164" s="4"/>
      <c r="AN164" s="4"/>
      <c r="AO164" s="4"/>
    </row>
    <row r="165" spans="1:41" x14ac:dyDescent="0.35">
      <c r="A165" s="4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4"/>
      <c r="Y165" s="4"/>
      <c r="Z165" s="4"/>
      <c r="AA165" s="4"/>
      <c r="AB165" s="4"/>
      <c r="AC165" s="4"/>
      <c r="AD165" s="4"/>
      <c r="AE165" s="4"/>
      <c r="AF165" s="4"/>
      <c r="AG165" s="4"/>
      <c r="AH165" s="4"/>
      <c r="AI165" s="4"/>
      <c r="AJ165" s="4"/>
      <c r="AK165" s="4"/>
      <c r="AL165" s="4"/>
      <c r="AM165" s="4"/>
      <c r="AN165" s="4"/>
      <c r="AO165" s="4"/>
    </row>
    <row r="166" spans="1:41" x14ac:dyDescent="0.35">
      <c r="A166" s="4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4"/>
      <c r="Y166" s="4"/>
      <c r="Z166" s="4"/>
      <c r="AA166" s="4"/>
      <c r="AB166" s="4"/>
      <c r="AC166" s="4"/>
      <c r="AD166" s="4"/>
      <c r="AE166" s="4"/>
      <c r="AF166" s="4"/>
      <c r="AG166" s="4"/>
      <c r="AH166" s="4"/>
      <c r="AI166" s="4"/>
      <c r="AJ166" s="4"/>
      <c r="AK166" s="4"/>
      <c r="AL166" s="4"/>
      <c r="AM166" s="4"/>
      <c r="AN166" s="4"/>
      <c r="AO166" s="4"/>
    </row>
    <row r="167" spans="1:41" x14ac:dyDescent="0.35">
      <c r="A167" s="4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4"/>
      <c r="U167" s="4"/>
      <c r="V167" s="4"/>
      <c r="W167" s="4"/>
      <c r="X167" s="4"/>
      <c r="Y167" s="4"/>
      <c r="Z167" s="4"/>
      <c r="AA167" s="4"/>
      <c r="AB167" s="4"/>
      <c r="AC167" s="4"/>
      <c r="AD167" s="4"/>
      <c r="AE167" s="4"/>
      <c r="AF167" s="4"/>
      <c r="AG167" s="4"/>
      <c r="AH167" s="4"/>
      <c r="AI167" s="4"/>
      <c r="AJ167" s="4"/>
      <c r="AK167" s="4"/>
      <c r="AL167" s="4"/>
      <c r="AM167" s="4"/>
      <c r="AN167" s="4"/>
      <c r="AO167" s="4"/>
    </row>
    <row r="168" spans="1:41" x14ac:dyDescent="0.35">
      <c r="A168" s="4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/>
      <c r="U168" s="4"/>
      <c r="V168" s="4"/>
      <c r="W168" s="4"/>
      <c r="X168" s="4"/>
      <c r="Y168" s="4"/>
      <c r="Z168" s="4"/>
      <c r="AA168" s="4"/>
      <c r="AB168" s="4"/>
      <c r="AC168" s="4"/>
      <c r="AD168" s="4"/>
      <c r="AE168" s="4"/>
      <c r="AF168" s="4"/>
      <c r="AG168" s="4"/>
      <c r="AH168" s="4"/>
      <c r="AI168" s="4"/>
      <c r="AJ168" s="4"/>
      <c r="AK168" s="4"/>
      <c r="AL168" s="4"/>
      <c r="AM168" s="4"/>
      <c r="AN168" s="4"/>
      <c r="AO168" s="4"/>
    </row>
    <row r="169" spans="1:41" x14ac:dyDescent="0.35">
      <c r="A169" s="4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4"/>
      <c r="U169" s="4"/>
      <c r="V169" s="4"/>
      <c r="W169" s="4"/>
      <c r="X169" s="4"/>
      <c r="Y169" s="4"/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4"/>
      <c r="AM169" s="4"/>
      <c r="AN169" s="4"/>
      <c r="AO169" s="4"/>
    </row>
    <row r="170" spans="1:41" x14ac:dyDescent="0.35">
      <c r="A170" s="4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4"/>
      <c r="U170" s="4"/>
      <c r="V170" s="4"/>
      <c r="W170" s="4"/>
      <c r="X170" s="4"/>
      <c r="Y170" s="4"/>
      <c r="Z170" s="4"/>
      <c r="AA170" s="4"/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4"/>
      <c r="AM170" s="4"/>
      <c r="AN170" s="4"/>
      <c r="AO170" s="4"/>
    </row>
    <row r="171" spans="1:41" x14ac:dyDescent="0.35">
      <c r="A171" s="4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4"/>
      <c r="U171" s="4"/>
      <c r="V171" s="4"/>
      <c r="W171" s="4"/>
      <c r="X171" s="4"/>
      <c r="Y171" s="4"/>
      <c r="Z171" s="4"/>
      <c r="AA171" s="4"/>
      <c r="AB171" s="4"/>
      <c r="AC171" s="4"/>
      <c r="AD171" s="4"/>
      <c r="AE171" s="4"/>
      <c r="AF171" s="4"/>
      <c r="AG171" s="4"/>
      <c r="AH171" s="4"/>
      <c r="AI171" s="4"/>
      <c r="AJ171" s="4"/>
      <c r="AK171" s="4"/>
      <c r="AL171" s="4"/>
      <c r="AM171" s="4"/>
      <c r="AN171" s="4"/>
      <c r="AO171" s="4"/>
    </row>
    <row r="172" spans="1:41" x14ac:dyDescent="0.35">
      <c r="A172" s="4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4"/>
      <c r="U172" s="4"/>
      <c r="V172" s="4"/>
      <c r="W172" s="4"/>
      <c r="X172" s="4"/>
      <c r="Y172" s="4"/>
      <c r="Z172" s="4"/>
      <c r="AA172" s="4"/>
      <c r="AB172" s="4"/>
      <c r="AC172" s="4"/>
      <c r="AD172" s="4"/>
      <c r="AE172" s="4"/>
      <c r="AF172" s="4"/>
      <c r="AG172" s="4"/>
      <c r="AH172" s="4"/>
      <c r="AI172" s="4"/>
      <c r="AJ172" s="4"/>
      <c r="AK172" s="4"/>
      <c r="AL172" s="4"/>
      <c r="AM172" s="4"/>
      <c r="AN172" s="4"/>
      <c r="AO172" s="4"/>
    </row>
    <row r="173" spans="1:41" x14ac:dyDescent="0.35">
      <c r="A173" s="4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4"/>
      <c r="U173" s="4"/>
      <c r="V173" s="4"/>
      <c r="W173" s="4"/>
      <c r="X173" s="4"/>
      <c r="Y173" s="4"/>
      <c r="Z173" s="4"/>
      <c r="AA173" s="4"/>
      <c r="AB173" s="4"/>
      <c r="AC173" s="4"/>
      <c r="AD173" s="4"/>
      <c r="AE173" s="4"/>
      <c r="AF173" s="4"/>
      <c r="AG173" s="4"/>
      <c r="AH173" s="4"/>
      <c r="AI173" s="4"/>
      <c r="AJ173" s="4"/>
      <c r="AK173" s="4"/>
      <c r="AL173" s="4"/>
      <c r="AM173" s="4"/>
      <c r="AN173" s="4"/>
      <c r="AO173" s="4"/>
    </row>
    <row r="174" spans="1:41" x14ac:dyDescent="0.35">
      <c r="A174" s="4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4"/>
      <c r="U174" s="4"/>
      <c r="V174" s="4"/>
      <c r="W174" s="4"/>
      <c r="X174" s="4"/>
      <c r="Y174" s="4"/>
      <c r="Z174" s="4"/>
      <c r="AA174" s="4"/>
      <c r="AB174" s="4"/>
      <c r="AC174" s="4"/>
      <c r="AD174" s="4"/>
      <c r="AE174" s="4"/>
      <c r="AF174" s="4"/>
      <c r="AG174" s="4"/>
      <c r="AH174" s="4"/>
      <c r="AI174" s="4"/>
      <c r="AJ174" s="4"/>
      <c r="AK174" s="4"/>
      <c r="AL174" s="4"/>
      <c r="AM174" s="4"/>
      <c r="AN174" s="4"/>
      <c r="AO174" s="4"/>
    </row>
    <row r="175" spans="1:41" x14ac:dyDescent="0.35">
      <c r="A175" s="4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4"/>
      <c r="U175" s="4"/>
      <c r="V175" s="4"/>
      <c r="W175" s="4"/>
      <c r="X175" s="4"/>
      <c r="Y175" s="4"/>
      <c r="Z175" s="4"/>
      <c r="AA175" s="4"/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4"/>
      <c r="AM175" s="4"/>
      <c r="AN175" s="4"/>
      <c r="AO175" s="4"/>
    </row>
    <row r="176" spans="1:41" x14ac:dyDescent="0.35">
      <c r="A176" s="4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4"/>
      <c r="W176" s="4"/>
      <c r="X176" s="4"/>
      <c r="Y176" s="4"/>
      <c r="Z176" s="4"/>
      <c r="AA176" s="4"/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4"/>
      <c r="AM176" s="4"/>
      <c r="AN176" s="4"/>
      <c r="AO176" s="4"/>
    </row>
    <row r="177" spans="1:41" x14ac:dyDescent="0.35">
      <c r="A177" s="4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4"/>
      <c r="U177" s="4"/>
      <c r="V177" s="4"/>
      <c r="W177" s="4"/>
      <c r="X177" s="4"/>
      <c r="Y177" s="4"/>
      <c r="Z177" s="4"/>
      <c r="AA177" s="4"/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4"/>
      <c r="AM177" s="4"/>
      <c r="AN177" s="4"/>
      <c r="AO177" s="4"/>
    </row>
    <row r="178" spans="1:41" x14ac:dyDescent="0.35">
      <c r="A178" s="4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4"/>
      <c r="U178" s="4"/>
      <c r="V178" s="4"/>
      <c r="W178" s="4"/>
      <c r="X178" s="4"/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/>
      <c r="AJ178" s="4"/>
      <c r="AK178" s="4"/>
      <c r="AL178" s="4"/>
      <c r="AM178" s="4"/>
      <c r="AN178" s="4"/>
      <c r="AO178" s="4"/>
    </row>
    <row r="179" spans="1:41" x14ac:dyDescent="0.35">
      <c r="A179" s="4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4"/>
      <c r="U179" s="4"/>
      <c r="V179" s="4"/>
      <c r="W179" s="4"/>
      <c r="X179" s="4"/>
      <c r="Y179" s="4"/>
      <c r="Z179" s="4"/>
      <c r="AA179" s="4"/>
      <c r="AB179" s="4"/>
      <c r="AC179" s="4"/>
      <c r="AD179" s="4"/>
      <c r="AE179" s="4"/>
      <c r="AF179" s="4"/>
      <c r="AG179" s="4"/>
      <c r="AH179" s="4"/>
      <c r="AI179" s="4"/>
      <c r="AJ179" s="4"/>
      <c r="AK179" s="4"/>
      <c r="AL179" s="4"/>
      <c r="AM179" s="4"/>
      <c r="AN179" s="4"/>
      <c r="AO179" s="4"/>
    </row>
    <row r="180" spans="1:41" x14ac:dyDescent="0.35">
      <c r="A180" s="4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4"/>
      <c r="U180" s="4"/>
      <c r="V180" s="4"/>
      <c r="W180" s="4"/>
      <c r="X180" s="4"/>
      <c r="Y180" s="4"/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4"/>
      <c r="AM180" s="4"/>
      <c r="AN180" s="4"/>
      <c r="AO180" s="4"/>
    </row>
    <row r="181" spans="1:41" x14ac:dyDescent="0.35">
      <c r="A181" s="4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4"/>
      <c r="U181" s="4"/>
      <c r="V181" s="4"/>
      <c r="W181" s="4"/>
      <c r="X181" s="4"/>
      <c r="Y181" s="4"/>
      <c r="Z181" s="4"/>
      <c r="AA181" s="4"/>
      <c r="AB181" s="4"/>
      <c r="AC181" s="4"/>
      <c r="AD181" s="4"/>
      <c r="AE181" s="4"/>
      <c r="AF181" s="4"/>
      <c r="AG181" s="4"/>
      <c r="AH181" s="4"/>
      <c r="AI181" s="4"/>
      <c r="AJ181" s="4"/>
      <c r="AK181" s="4"/>
      <c r="AL181" s="4"/>
      <c r="AM181" s="4"/>
      <c r="AN181" s="4"/>
      <c r="AO181" s="4"/>
    </row>
    <row r="182" spans="1:41" x14ac:dyDescent="0.35">
      <c r="A182" s="4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4"/>
      <c r="U182" s="4"/>
      <c r="V182" s="4"/>
      <c r="W182" s="4"/>
      <c r="X182" s="4"/>
      <c r="Y182" s="4"/>
      <c r="Z182" s="4"/>
      <c r="AA182" s="4"/>
      <c r="AB182" s="4"/>
      <c r="AC182" s="4"/>
      <c r="AD182" s="4"/>
      <c r="AE182" s="4"/>
      <c r="AF182" s="4"/>
      <c r="AG182" s="4"/>
      <c r="AH182" s="4"/>
      <c r="AI182" s="4"/>
      <c r="AJ182" s="4"/>
      <c r="AK182" s="4"/>
      <c r="AL182" s="4"/>
      <c r="AM182" s="4"/>
      <c r="AN182" s="4"/>
      <c r="AO182" s="4"/>
    </row>
    <row r="183" spans="1:41" x14ac:dyDescent="0.35">
      <c r="A183" s="4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4"/>
      <c r="X183" s="4"/>
      <c r="Y183" s="4"/>
      <c r="Z183" s="4"/>
      <c r="AA183" s="4"/>
      <c r="AB183" s="4"/>
      <c r="AC183" s="4"/>
      <c r="AD183" s="4"/>
      <c r="AE183" s="4"/>
      <c r="AF183" s="4"/>
      <c r="AG183" s="4"/>
      <c r="AH183" s="4"/>
      <c r="AI183" s="4"/>
      <c r="AJ183" s="4"/>
      <c r="AK183" s="4"/>
      <c r="AL183" s="4"/>
      <c r="AM183" s="4"/>
      <c r="AN183" s="4"/>
      <c r="AO183" s="4"/>
    </row>
    <row r="184" spans="1:41" x14ac:dyDescent="0.35">
      <c r="A184" s="4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  <c r="AA184" s="4"/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4"/>
      <c r="AM184" s="4"/>
      <c r="AN184" s="4"/>
      <c r="AO184" s="4"/>
    </row>
    <row r="185" spans="1:41" x14ac:dyDescent="0.35">
      <c r="A185" s="4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4"/>
      <c r="U185" s="4"/>
      <c r="V185" s="4"/>
      <c r="W185" s="4"/>
      <c r="X185" s="4"/>
      <c r="Y185" s="4"/>
      <c r="Z185" s="4"/>
      <c r="AA185" s="4"/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4"/>
      <c r="AM185" s="4"/>
      <c r="AN185" s="4"/>
      <c r="AO185" s="4"/>
    </row>
    <row r="186" spans="1:41" x14ac:dyDescent="0.35">
      <c r="A186" s="4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4"/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4"/>
      <c r="AM186" s="4"/>
      <c r="AN186" s="4"/>
      <c r="AO186" s="4"/>
    </row>
    <row r="187" spans="1:41" x14ac:dyDescent="0.35">
      <c r="A187" s="4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4"/>
      <c r="Y187" s="4"/>
      <c r="Z187" s="4"/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4"/>
      <c r="AM187" s="4"/>
      <c r="AN187" s="4"/>
      <c r="AO187" s="4"/>
    </row>
    <row r="188" spans="1:41" x14ac:dyDescent="0.35">
      <c r="A188" s="4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4"/>
      <c r="U188" s="4"/>
      <c r="V188" s="4"/>
      <c r="W188" s="4"/>
      <c r="X188" s="4"/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4"/>
      <c r="AM188" s="4"/>
      <c r="AN188" s="4"/>
      <c r="AO188" s="4"/>
    </row>
    <row r="189" spans="1:41" x14ac:dyDescent="0.35">
      <c r="A189" s="4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4"/>
      <c r="U189" s="4"/>
      <c r="V189" s="4"/>
      <c r="W189" s="4"/>
      <c r="X189" s="4"/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4"/>
      <c r="AM189" s="4"/>
      <c r="AN189" s="4"/>
      <c r="AO189" s="4"/>
    </row>
    <row r="190" spans="1:41" x14ac:dyDescent="0.35">
      <c r="A190" s="4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/>
      <c r="AM190" s="4"/>
      <c r="AN190" s="4"/>
      <c r="AO190" s="4"/>
    </row>
    <row r="191" spans="1:41" x14ac:dyDescent="0.35">
      <c r="A191" s="4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4"/>
      <c r="U191" s="4"/>
      <c r="V191" s="4"/>
      <c r="W191" s="4"/>
      <c r="X191" s="4"/>
      <c r="Y191" s="4"/>
      <c r="Z191" s="4"/>
      <c r="AA191" s="4"/>
      <c r="AB191" s="4"/>
      <c r="AC191" s="4"/>
      <c r="AD191" s="4"/>
      <c r="AE191" s="4"/>
      <c r="AF191" s="4"/>
      <c r="AG191" s="4"/>
      <c r="AH191" s="4"/>
      <c r="AI191" s="4"/>
      <c r="AJ191" s="4"/>
      <c r="AK191" s="4"/>
      <c r="AL191" s="4"/>
      <c r="AM191" s="4"/>
      <c r="AN191" s="4"/>
      <c r="AO191" s="4"/>
    </row>
    <row r="192" spans="1:41" x14ac:dyDescent="0.35">
      <c r="A192" s="4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W192" s="4"/>
      <c r="X192" s="4"/>
      <c r="Y192" s="4"/>
      <c r="Z192" s="4"/>
      <c r="AA192" s="4"/>
      <c r="AB192" s="4"/>
      <c r="AC192" s="4"/>
      <c r="AD192" s="4"/>
      <c r="AE192" s="4"/>
      <c r="AF192" s="4"/>
      <c r="AG192" s="4"/>
      <c r="AH192" s="4"/>
      <c r="AI192" s="4"/>
      <c r="AJ192" s="4"/>
      <c r="AK192" s="4"/>
      <c r="AL192" s="4"/>
      <c r="AM192" s="4"/>
      <c r="AN192" s="4"/>
      <c r="AO192" s="4"/>
    </row>
    <row r="193" spans="1:41" x14ac:dyDescent="0.35">
      <c r="A193" s="4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4"/>
      <c r="U193" s="4"/>
      <c r="V193" s="4"/>
      <c r="W193" s="4"/>
      <c r="X193" s="4"/>
      <c r="Y193" s="4"/>
      <c r="Z193" s="4"/>
      <c r="AA193" s="4"/>
      <c r="AB193" s="4"/>
      <c r="AC193" s="4"/>
      <c r="AD193" s="4"/>
      <c r="AE193" s="4"/>
      <c r="AF193" s="4"/>
      <c r="AG193" s="4"/>
      <c r="AH193" s="4"/>
      <c r="AI193" s="4"/>
      <c r="AJ193" s="4"/>
      <c r="AK193" s="4"/>
      <c r="AL193" s="4"/>
      <c r="AM193" s="4"/>
      <c r="AN193" s="4"/>
      <c r="AO193" s="4"/>
    </row>
    <row r="194" spans="1:41" x14ac:dyDescent="0.35">
      <c r="A194" s="4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4"/>
      <c r="AM194" s="4"/>
      <c r="AN194" s="4"/>
      <c r="AO194" s="4"/>
    </row>
    <row r="195" spans="1:41" x14ac:dyDescent="0.35">
      <c r="A195" s="4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4"/>
      <c r="U195" s="4"/>
      <c r="V195" s="4"/>
      <c r="W195" s="4"/>
      <c r="X195" s="4"/>
      <c r="Y195" s="4"/>
      <c r="Z195" s="4"/>
      <c r="AA195" s="4"/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4"/>
      <c r="AM195" s="4"/>
      <c r="AN195" s="4"/>
      <c r="AO195" s="4"/>
    </row>
    <row r="196" spans="1:41" x14ac:dyDescent="0.35">
      <c r="A196" s="4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4"/>
      <c r="U196" s="4"/>
      <c r="V196" s="4"/>
      <c r="W196" s="4"/>
      <c r="X196" s="4"/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4"/>
      <c r="AM196" s="4"/>
      <c r="AN196" s="4"/>
      <c r="AO196" s="4"/>
    </row>
    <row r="197" spans="1:41" x14ac:dyDescent="0.35">
      <c r="A197" s="4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4"/>
      <c r="U197" s="4"/>
      <c r="V197" s="4"/>
      <c r="W197" s="4"/>
      <c r="X197" s="4"/>
      <c r="Y197" s="4"/>
      <c r="Z197" s="4"/>
      <c r="AA197" s="4"/>
      <c r="AB197" s="4"/>
      <c r="AC197" s="4"/>
      <c r="AD197" s="4"/>
      <c r="AE197" s="4"/>
      <c r="AF197" s="4"/>
      <c r="AG197" s="4"/>
      <c r="AH197" s="4"/>
      <c r="AI197" s="4"/>
      <c r="AJ197" s="4"/>
      <c r="AK197" s="4"/>
      <c r="AL197" s="4"/>
      <c r="AM197" s="4"/>
      <c r="AN197" s="4"/>
      <c r="AO197" s="4"/>
    </row>
    <row r="198" spans="1:41" x14ac:dyDescent="0.35">
      <c r="A198" s="4"/>
      <c r="B198" s="4"/>
      <c r="C198" s="4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4"/>
      <c r="U198" s="4"/>
      <c r="V198" s="4"/>
      <c r="W198" s="4"/>
      <c r="X198" s="4"/>
      <c r="Y198" s="4"/>
      <c r="Z198" s="4"/>
      <c r="AA198" s="4"/>
      <c r="AB198" s="4"/>
      <c r="AC198" s="4"/>
      <c r="AD198" s="4"/>
      <c r="AE198" s="4"/>
      <c r="AF198" s="4"/>
      <c r="AG198" s="4"/>
      <c r="AH198" s="4"/>
      <c r="AI198" s="4"/>
      <c r="AJ198" s="4"/>
      <c r="AK198" s="4"/>
      <c r="AL198" s="4"/>
      <c r="AM198" s="4"/>
      <c r="AN198" s="4"/>
      <c r="AO198" s="4"/>
    </row>
    <row r="199" spans="1:41" x14ac:dyDescent="0.35">
      <c r="A199" s="4"/>
      <c r="B199" s="4"/>
      <c r="C199" s="4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4"/>
      <c r="U199" s="4"/>
      <c r="V199" s="4"/>
      <c r="W199" s="4"/>
      <c r="X199" s="4"/>
      <c r="Y199" s="4"/>
      <c r="Z199" s="4"/>
      <c r="AA199" s="4"/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4"/>
      <c r="AM199" s="4"/>
      <c r="AN199" s="4"/>
      <c r="AO199" s="4"/>
    </row>
    <row r="200" spans="1:41" x14ac:dyDescent="0.35">
      <c r="A200" s="4"/>
      <c r="B200" s="4"/>
      <c r="C200" s="4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4"/>
      <c r="U200" s="4"/>
      <c r="V200" s="4"/>
      <c r="W200" s="4"/>
      <c r="X200" s="4"/>
      <c r="Y200" s="4"/>
      <c r="Z200" s="4"/>
      <c r="AA200" s="4"/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4"/>
      <c r="AM200" s="4"/>
      <c r="AN200" s="4"/>
      <c r="AO200" s="4"/>
    </row>
    <row r="201" spans="1:41" x14ac:dyDescent="0.35">
      <c r="A201" s="4"/>
      <c r="B201" s="4"/>
      <c r="C201" s="4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4"/>
      <c r="U201" s="4"/>
      <c r="V201" s="4"/>
      <c r="W201" s="4"/>
      <c r="X201" s="4"/>
      <c r="Y201" s="4"/>
      <c r="Z201" s="4"/>
      <c r="AA201" s="4"/>
      <c r="AB201" s="4"/>
      <c r="AC201" s="4"/>
      <c r="AD201" s="4"/>
      <c r="AE201" s="4"/>
      <c r="AF201" s="4"/>
      <c r="AG201" s="4"/>
      <c r="AH201" s="4"/>
      <c r="AI201" s="4"/>
      <c r="AJ201" s="4"/>
      <c r="AK201" s="4"/>
      <c r="AL201" s="4"/>
      <c r="AM201" s="4"/>
      <c r="AN201" s="4"/>
      <c r="AO201" s="4"/>
    </row>
    <row r="202" spans="1:41" x14ac:dyDescent="0.35">
      <c r="A202" s="4"/>
      <c r="B202" s="4"/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4"/>
      <c r="U202" s="4"/>
      <c r="V202" s="4"/>
      <c r="W202" s="4"/>
      <c r="X202" s="4"/>
      <c r="Y202" s="4"/>
      <c r="Z202" s="4"/>
      <c r="AA202" s="4"/>
      <c r="AB202" s="4"/>
      <c r="AC202" s="4"/>
      <c r="AD202" s="4"/>
      <c r="AE202" s="4"/>
      <c r="AF202" s="4"/>
      <c r="AG202" s="4"/>
      <c r="AH202" s="4"/>
      <c r="AI202" s="4"/>
      <c r="AJ202" s="4"/>
      <c r="AK202" s="4"/>
      <c r="AL202" s="4"/>
      <c r="AM202" s="4"/>
      <c r="AN202" s="4"/>
      <c r="AO202" s="4"/>
    </row>
    <row r="203" spans="1:41" x14ac:dyDescent="0.35">
      <c r="A203" s="4"/>
      <c r="B203" s="4"/>
      <c r="C203" s="4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4"/>
      <c r="Y203" s="4"/>
      <c r="Z203" s="4"/>
      <c r="AA203" s="4"/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4"/>
      <c r="AM203" s="4"/>
      <c r="AN203" s="4"/>
      <c r="AO203" s="4"/>
    </row>
    <row r="204" spans="1:41" x14ac:dyDescent="0.35">
      <c r="A204" s="4"/>
      <c r="B204" s="4"/>
      <c r="C204" s="4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4"/>
      <c r="U204" s="4"/>
      <c r="V204" s="4"/>
      <c r="W204" s="4"/>
      <c r="X204" s="4"/>
      <c r="Y204" s="4"/>
      <c r="Z204" s="4"/>
      <c r="AA204" s="4"/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4"/>
      <c r="AM204" s="4"/>
      <c r="AN204" s="4"/>
      <c r="AO204" s="4"/>
    </row>
    <row r="205" spans="1:41" x14ac:dyDescent="0.35">
      <c r="A205" s="4"/>
      <c r="B205" s="4"/>
      <c r="C205" s="4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4"/>
      <c r="U205" s="4"/>
      <c r="V205" s="4"/>
      <c r="W205" s="4"/>
      <c r="X205" s="4"/>
      <c r="Y205" s="4"/>
      <c r="Z205" s="4"/>
      <c r="AA205" s="4"/>
      <c r="AB205" s="4"/>
      <c r="AC205" s="4"/>
      <c r="AD205" s="4"/>
      <c r="AE205" s="4"/>
      <c r="AF205" s="4"/>
      <c r="AG205" s="4"/>
      <c r="AH205" s="4"/>
      <c r="AI205" s="4"/>
      <c r="AJ205" s="4"/>
      <c r="AK205" s="4"/>
      <c r="AL205" s="4"/>
      <c r="AM205" s="4"/>
      <c r="AN205" s="4"/>
      <c r="AO205" s="4"/>
    </row>
    <row r="206" spans="1:41" x14ac:dyDescent="0.35">
      <c r="A206" s="4"/>
      <c r="B206" s="4"/>
      <c r="C206" s="4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4"/>
      <c r="U206" s="4"/>
      <c r="V206" s="4"/>
      <c r="W206" s="4"/>
      <c r="X206" s="4"/>
      <c r="Y206" s="4"/>
      <c r="Z206" s="4"/>
      <c r="AA206" s="4"/>
      <c r="AB206" s="4"/>
      <c r="AC206" s="4"/>
      <c r="AD206" s="4"/>
      <c r="AE206" s="4"/>
      <c r="AF206" s="4"/>
      <c r="AG206" s="4"/>
      <c r="AH206" s="4"/>
      <c r="AI206" s="4"/>
      <c r="AJ206" s="4"/>
      <c r="AK206" s="4"/>
      <c r="AL206" s="4"/>
      <c r="AM206" s="4"/>
      <c r="AN206" s="4"/>
      <c r="AO206" s="4"/>
    </row>
    <row r="207" spans="1:41" x14ac:dyDescent="0.35">
      <c r="A207" s="4"/>
      <c r="B207" s="4"/>
      <c r="C207" s="4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4"/>
      <c r="U207" s="4"/>
      <c r="V207" s="4"/>
      <c r="W207" s="4"/>
      <c r="X207" s="4"/>
      <c r="Y207" s="4"/>
      <c r="Z207" s="4"/>
      <c r="AA207" s="4"/>
      <c r="AB207" s="4"/>
      <c r="AC207" s="4"/>
      <c r="AD207" s="4"/>
      <c r="AE207" s="4"/>
      <c r="AF207" s="4"/>
      <c r="AG207" s="4"/>
      <c r="AH207" s="4"/>
      <c r="AI207" s="4"/>
      <c r="AJ207" s="4"/>
      <c r="AK207" s="4"/>
      <c r="AL207" s="4"/>
      <c r="AM207" s="4"/>
      <c r="AN207" s="4"/>
      <c r="AO207" s="4"/>
    </row>
    <row r="208" spans="1:41" x14ac:dyDescent="0.35">
      <c r="A208" s="4"/>
      <c r="B208" s="4"/>
      <c r="C208" s="4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4"/>
      <c r="U208" s="4"/>
      <c r="V208" s="4"/>
      <c r="W208" s="4"/>
      <c r="X208" s="4"/>
      <c r="Y208" s="4"/>
      <c r="Z208" s="4"/>
      <c r="AA208" s="4"/>
      <c r="AB208" s="4"/>
      <c r="AC208" s="4"/>
      <c r="AD208" s="4"/>
      <c r="AE208" s="4"/>
      <c r="AF208" s="4"/>
      <c r="AG208" s="4"/>
      <c r="AH208" s="4"/>
      <c r="AI208" s="4"/>
      <c r="AJ208" s="4"/>
      <c r="AK208" s="4"/>
      <c r="AL208" s="4"/>
      <c r="AM208" s="4"/>
      <c r="AN208" s="4"/>
      <c r="AO208" s="4"/>
    </row>
    <row r="209" spans="1:41" x14ac:dyDescent="0.35">
      <c r="A209" s="4"/>
      <c r="B209" s="4"/>
      <c r="C209" s="4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4"/>
      <c r="U209" s="4"/>
      <c r="V209" s="4"/>
      <c r="W209" s="4"/>
      <c r="X209" s="4"/>
      <c r="Y209" s="4"/>
      <c r="Z209" s="4"/>
      <c r="AA209" s="4"/>
      <c r="AB209" s="4"/>
      <c r="AC209" s="4"/>
      <c r="AD209" s="4"/>
      <c r="AE209" s="4"/>
      <c r="AF209" s="4"/>
      <c r="AG209" s="4"/>
      <c r="AH209" s="4"/>
      <c r="AI209" s="4"/>
      <c r="AJ209" s="4"/>
      <c r="AK209" s="4"/>
      <c r="AL209" s="4"/>
      <c r="AM209" s="4"/>
      <c r="AN209" s="4"/>
      <c r="AO209" s="4"/>
    </row>
    <row r="210" spans="1:41" x14ac:dyDescent="0.35">
      <c r="A210" s="4"/>
      <c r="B210" s="4"/>
      <c r="C210" s="4"/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4"/>
      <c r="U210" s="4"/>
      <c r="V210" s="4"/>
      <c r="W210" s="4"/>
      <c r="X210" s="4"/>
      <c r="Y210" s="4"/>
      <c r="Z210" s="4"/>
      <c r="AA210" s="4"/>
      <c r="AB210" s="4"/>
      <c r="AC210" s="4"/>
      <c r="AD210" s="4"/>
      <c r="AE210" s="4"/>
      <c r="AF210" s="4"/>
      <c r="AG210" s="4"/>
      <c r="AH210" s="4"/>
      <c r="AI210" s="4"/>
      <c r="AJ210" s="4"/>
      <c r="AK210" s="4"/>
      <c r="AL210" s="4"/>
      <c r="AM210" s="4"/>
      <c r="AN210" s="4"/>
      <c r="AO210" s="4"/>
    </row>
    <row r="211" spans="1:41" x14ac:dyDescent="0.35">
      <c r="A211" s="4"/>
      <c r="B211" s="4"/>
      <c r="C211" s="4"/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4"/>
      <c r="U211" s="4"/>
      <c r="V211" s="4"/>
      <c r="W211" s="4"/>
      <c r="X211" s="4"/>
      <c r="Y211" s="4"/>
      <c r="Z211" s="4"/>
      <c r="AA211" s="4"/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4"/>
      <c r="AM211" s="4"/>
      <c r="AN211" s="4"/>
      <c r="AO211" s="4"/>
    </row>
    <row r="212" spans="1:41" x14ac:dyDescent="0.35">
      <c r="A212" s="4"/>
      <c r="B212" s="4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4"/>
      <c r="U212" s="4"/>
      <c r="V212" s="4"/>
      <c r="W212" s="4"/>
      <c r="X212" s="4"/>
      <c r="Y212" s="4"/>
      <c r="Z212" s="4"/>
      <c r="AA212" s="4"/>
      <c r="AB212" s="4"/>
      <c r="AC212" s="4"/>
      <c r="AD212" s="4"/>
      <c r="AE212" s="4"/>
      <c r="AF212" s="4"/>
      <c r="AG212" s="4"/>
      <c r="AH212" s="4"/>
      <c r="AI212" s="4"/>
      <c r="AJ212" s="4"/>
      <c r="AK212" s="4"/>
      <c r="AL212" s="4"/>
      <c r="AM212" s="4"/>
      <c r="AN212" s="4"/>
      <c r="AO212" s="4"/>
    </row>
    <row r="213" spans="1:41" x14ac:dyDescent="0.35">
      <c r="A213" s="4"/>
      <c r="B213" s="4"/>
      <c r="C213" s="4"/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4"/>
      <c r="U213" s="4"/>
      <c r="V213" s="4"/>
      <c r="W213" s="4"/>
      <c r="X213" s="4"/>
      <c r="Y213" s="4"/>
      <c r="Z213" s="4"/>
      <c r="AA213" s="4"/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4"/>
      <c r="AM213" s="4"/>
      <c r="AN213" s="4"/>
      <c r="AO213" s="4"/>
    </row>
    <row r="214" spans="1:41" x14ac:dyDescent="0.35">
      <c r="A214" s="4"/>
      <c r="B214" s="4"/>
      <c r="C214" s="4"/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4"/>
      <c r="U214" s="4"/>
      <c r="V214" s="4"/>
      <c r="W214" s="4"/>
      <c r="X214" s="4"/>
      <c r="Y214" s="4"/>
      <c r="Z214" s="4"/>
      <c r="AA214" s="4"/>
      <c r="AB214" s="4"/>
      <c r="AC214" s="4"/>
      <c r="AD214" s="4"/>
      <c r="AE214" s="4"/>
      <c r="AF214" s="4"/>
      <c r="AG214" s="4"/>
      <c r="AH214" s="4"/>
      <c r="AI214" s="4"/>
      <c r="AJ214" s="4"/>
      <c r="AK214" s="4"/>
      <c r="AL214" s="4"/>
      <c r="AM214" s="4"/>
      <c r="AN214" s="4"/>
      <c r="AO214" s="4"/>
    </row>
    <row r="215" spans="1:41" x14ac:dyDescent="0.35">
      <c r="A215" s="4"/>
      <c r="B215" s="4"/>
      <c r="C215" s="4"/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4"/>
      <c r="U215" s="4"/>
      <c r="V215" s="4"/>
      <c r="W215" s="4"/>
      <c r="X215" s="4"/>
      <c r="Y215" s="4"/>
      <c r="Z215" s="4"/>
      <c r="AA215" s="4"/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4"/>
      <c r="AM215" s="4"/>
      <c r="AN215" s="4"/>
      <c r="AO215" s="4"/>
    </row>
    <row r="216" spans="1:41" x14ac:dyDescent="0.35">
      <c r="A216" s="4"/>
      <c r="B216" s="4"/>
      <c r="C216" s="4"/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4"/>
      <c r="U216" s="4"/>
      <c r="V216" s="4"/>
      <c r="W216" s="4"/>
      <c r="X216" s="4"/>
      <c r="Y216" s="4"/>
      <c r="Z216" s="4"/>
      <c r="AA216" s="4"/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4"/>
      <c r="AM216" s="4"/>
      <c r="AN216" s="4"/>
      <c r="AO216" s="4"/>
    </row>
    <row r="217" spans="1:41" x14ac:dyDescent="0.35">
      <c r="A217" s="4"/>
      <c r="B217" s="4"/>
      <c r="C217" s="4"/>
      <c r="D217" s="4"/>
      <c r="E217" s="4"/>
      <c r="F217" s="4"/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4"/>
      <c r="U217" s="4"/>
      <c r="V217" s="4"/>
      <c r="W217" s="4"/>
      <c r="X217" s="4"/>
      <c r="Y217" s="4"/>
      <c r="Z217" s="4"/>
      <c r="AA217" s="4"/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4"/>
      <c r="AM217" s="4"/>
      <c r="AN217" s="4"/>
      <c r="AO217" s="4"/>
    </row>
    <row r="218" spans="1:41" x14ac:dyDescent="0.35">
      <c r="A218" s="4"/>
      <c r="B218" s="4"/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4"/>
      <c r="U218" s="4"/>
      <c r="V218" s="4"/>
      <c r="W218" s="4"/>
      <c r="X218" s="4"/>
      <c r="Y218" s="4"/>
      <c r="Z218" s="4"/>
      <c r="AA218" s="4"/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4"/>
      <c r="AM218" s="4"/>
      <c r="AN218" s="4"/>
      <c r="AO218" s="4"/>
    </row>
    <row r="219" spans="1:41" x14ac:dyDescent="0.35">
      <c r="A219" s="4"/>
      <c r="B219" s="4"/>
      <c r="C219" s="4"/>
      <c r="D219" s="4"/>
      <c r="E219" s="4"/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4"/>
      <c r="U219" s="4"/>
      <c r="V219" s="4"/>
      <c r="W219" s="4"/>
      <c r="X219" s="4"/>
      <c r="Y219" s="4"/>
      <c r="Z219" s="4"/>
      <c r="AA219" s="4"/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4"/>
      <c r="AM219" s="4"/>
      <c r="AN219" s="4"/>
      <c r="AO219" s="4"/>
    </row>
    <row r="220" spans="1:41" x14ac:dyDescent="0.35">
      <c r="A220" s="4"/>
      <c r="B220" s="4"/>
      <c r="C220" s="4"/>
      <c r="D220" s="4"/>
      <c r="E220" s="4"/>
      <c r="F220" s="4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4"/>
      <c r="U220" s="4"/>
      <c r="V220" s="4"/>
      <c r="W220" s="4"/>
      <c r="X220" s="4"/>
      <c r="Y220" s="4"/>
      <c r="Z220" s="4"/>
      <c r="AA220" s="4"/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4"/>
      <c r="AM220" s="4"/>
      <c r="AN220" s="4"/>
      <c r="AO220" s="4"/>
    </row>
    <row r="221" spans="1:41" x14ac:dyDescent="0.35">
      <c r="A221" s="4"/>
      <c r="B221" s="4"/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4"/>
      <c r="U221" s="4"/>
      <c r="V221" s="4"/>
      <c r="W221" s="4"/>
      <c r="X221" s="4"/>
      <c r="Y221" s="4"/>
      <c r="Z221" s="4"/>
      <c r="AA221" s="4"/>
      <c r="AB221" s="4"/>
      <c r="AC221" s="4"/>
      <c r="AD221" s="4"/>
      <c r="AE221" s="4"/>
      <c r="AF221" s="4"/>
      <c r="AG221" s="4"/>
      <c r="AH221" s="4"/>
      <c r="AI221" s="4"/>
      <c r="AJ221" s="4"/>
      <c r="AK221" s="4"/>
      <c r="AL221" s="4"/>
      <c r="AM221" s="4"/>
      <c r="AN221" s="4"/>
      <c r="AO221" s="4"/>
    </row>
    <row r="222" spans="1:41" x14ac:dyDescent="0.35">
      <c r="A222" s="4"/>
      <c r="B222" s="4"/>
      <c r="C222" s="4"/>
      <c r="D222" s="4"/>
      <c r="E222" s="4"/>
      <c r="F222" s="4"/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4"/>
      <c r="U222" s="4"/>
      <c r="V222" s="4"/>
      <c r="W222" s="4"/>
      <c r="X222" s="4"/>
      <c r="Y222" s="4"/>
      <c r="Z222" s="4"/>
      <c r="AA222" s="4"/>
      <c r="AB222" s="4"/>
      <c r="AC222" s="4"/>
      <c r="AD222" s="4"/>
      <c r="AE222" s="4"/>
      <c r="AF222" s="4"/>
      <c r="AG222" s="4"/>
      <c r="AH222" s="4"/>
      <c r="AI222" s="4"/>
      <c r="AJ222" s="4"/>
      <c r="AK222" s="4"/>
      <c r="AL222" s="4"/>
      <c r="AM222" s="4"/>
      <c r="AN222" s="4"/>
      <c r="AO222" s="4"/>
    </row>
    <row r="223" spans="1:41" x14ac:dyDescent="0.35">
      <c r="A223" s="4"/>
      <c r="B223" s="4"/>
      <c r="C223" s="4"/>
      <c r="D223" s="4"/>
      <c r="E223" s="4"/>
      <c r="F223" s="4"/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4"/>
      <c r="U223" s="4"/>
      <c r="V223" s="4"/>
      <c r="W223" s="4"/>
      <c r="X223" s="4"/>
      <c r="Y223" s="4"/>
      <c r="Z223" s="4"/>
      <c r="AA223" s="4"/>
      <c r="AB223" s="4"/>
      <c r="AC223" s="4"/>
      <c r="AD223" s="4"/>
      <c r="AE223" s="4"/>
      <c r="AF223" s="4"/>
      <c r="AG223" s="4"/>
      <c r="AH223" s="4"/>
      <c r="AI223" s="4"/>
      <c r="AJ223" s="4"/>
      <c r="AK223" s="4"/>
      <c r="AL223" s="4"/>
      <c r="AM223" s="4"/>
      <c r="AN223" s="4"/>
      <c r="AO223" s="4"/>
    </row>
    <row r="224" spans="1:41" x14ac:dyDescent="0.35">
      <c r="A224" s="4"/>
      <c r="B224" s="4"/>
      <c r="C224" s="4"/>
      <c r="D224" s="4"/>
      <c r="E224" s="4"/>
      <c r="F224" s="4"/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4"/>
      <c r="U224" s="4"/>
      <c r="V224" s="4"/>
      <c r="W224" s="4"/>
      <c r="X224" s="4"/>
      <c r="Y224" s="4"/>
      <c r="Z224" s="4"/>
      <c r="AA224" s="4"/>
      <c r="AB224" s="4"/>
      <c r="AC224" s="4"/>
      <c r="AD224" s="4"/>
      <c r="AE224" s="4"/>
      <c r="AF224" s="4"/>
      <c r="AG224" s="4"/>
      <c r="AH224" s="4"/>
      <c r="AI224" s="4"/>
      <c r="AJ224" s="4"/>
      <c r="AK224" s="4"/>
      <c r="AL224" s="4"/>
      <c r="AM224" s="4"/>
      <c r="AN224" s="4"/>
      <c r="AO224" s="4"/>
    </row>
    <row r="225" spans="1:41" x14ac:dyDescent="0.35">
      <c r="A225" s="4"/>
      <c r="B225" s="4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4"/>
      <c r="U225" s="4"/>
      <c r="V225" s="4"/>
      <c r="W225" s="4"/>
      <c r="X225" s="4"/>
      <c r="Y225" s="4"/>
      <c r="Z225" s="4"/>
      <c r="AA225" s="4"/>
      <c r="AB225" s="4"/>
      <c r="AC225" s="4"/>
      <c r="AD225" s="4"/>
      <c r="AE225" s="4"/>
      <c r="AF225" s="4"/>
      <c r="AG225" s="4"/>
      <c r="AH225" s="4"/>
      <c r="AI225" s="4"/>
      <c r="AJ225" s="4"/>
      <c r="AK225" s="4"/>
      <c r="AL225" s="4"/>
      <c r="AM225" s="4"/>
      <c r="AN225" s="4"/>
      <c r="AO225" s="4"/>
    </row>
    <row r="226" spans="1:41" x14ac:dyDescent="0.35">
      <c r="A226" s="4"/>
      <c r="B226" s="4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4"/>
      <c r="U226" s="4"/>
      <c r="V226" s="4"/>
      <c r="W226" s="4"/>
      <c r="X226" s="4"/>
      <c r="Y226" s="4"/>
      <c r="Z226" s="4"/>
      <c r="AA226" s="4"/>
      <c r="AB226" s="4"/>
      <c r="AC226" s="4"/>
      <c r="AD226" s="4"/>
      <c r="AE226" s="4"/>
      <c r="AF226" s="4"/>
      <c r="AG226" s="4"/>
      <c r="AH226" s="4"/>
      <c r="AI226" s="4"/>
      <c r="AJ226" s="4"/>
      <c r="AK226" s="4"/>
      <c r="AL226" s="4"/>
      <c r="AM226" s="4"/>
      <c r="AN226" s="4"/>
      <c r="AO226" s="4"/>
    </row>
    <row r="227" spans="1:41" x14ac:dyDescent="0.35">
      <c r="A227" s="4"/>
      <c r="B227" s="4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4"/>
      <c r="Z227" s="4"/>
      <c r="AA227" s="4"/>
      <c r="AB227" s="4"/>
      <c r="AC227" s="4"/>
      <c r="AD227" s="4"/>
      <c r="AE227" s="4"/>
      <c r="AF227" s="4"/>
      <c r="AG227" s="4"/>
      <c r="AH227" s="4"/>
      <c r="AI227" s="4"/>
      <c r="AJ227" s="4"/>
      <c r="AK227" s="4"/>
      <c r="AL227" s="4"/>
      <c r="AM227" s="4"/>
      <c r="AN227" s="4"/>
      <c r="AO227" s="4"/>
    </row>
    <row r="228" spans="1:41" x14ac:dyDescent="0.35">
      <c r="A228" s="4"/>
      <c r="B228" s="4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4"/>
      <c r="U228" s="4"/>
      <c r="V228" s="4"/>
      <c r="W228" s="4"/>
      <c r="X228" s="4"/>
      <c r="Y228" s="4"/>
      <c r="Z228" s="4"/>
      <c r="AA228" s="4"/>
      <c r="AB228" s="4"/>
      <c r="AC228" s="4"/>
      <c r="AD228" s="4"/>
      <c r="AE228" s="4"/>
      <c r="AF228" s="4"/>
      <c r="AG228" s="4"/>
      <c r="AH228" s="4"/>
      <c r="AI228" s="4"/>
      <c r="AJ228" s="4"/>
      <c r="AK228" s="4"/>
      <c r="AL228" s="4"/>
      <c r="AM228" s="4"/>
      <c r="AN228" s="4"/>
      <c r="AO228" s="4"/>
    </row>
    <row r="229" spans="1:41" x14ac:dyDescent="0.35">
      <c r="A229" s="4"/>
      <c r="B229" s="4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4"/>
      <c r="U229" s="4"/>
      <c r="V229" s="4"/>
      <c r="W229" s="4"/>
      <c r="X229" s="4"/>
      <c r="Y229" s="4"/>
      <c r="Z229" s="4"/>
      <c r="AA229" s="4"/>
      <c r="AB229" s="4"/>
      <c r="AC229" s="4"/>
      <c r="AD229" s="4"/>
      <c r="AE229" s="4"/>
      <c r="AF229" s="4"/>
      <c r="AG229" s="4"/>
      <c r="AH229" s="4"/>
      <c r="AI229" s="4"/>
      <c r="AJ229" s="4"/>
      <c r="AK229" s="4"/>
      <c r="AL229" s="4"/>
      <c r="AM229" s="4"/>
      <c r="AN229" s="4"/>
      <c r="AO229" s="4"/>
    </row>
    <row r="230" spans="1:41" x14ac:dyDescent="0.35">
      <c r="A230" s="4"/>
      <c r="B230" s="4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4"/>
      <c r="U230" s="4"/>
      <c r="V230" s="4"/>
      <c r="W230" s="4"/>
      <c r="X230" s="4"/>
      <c r="Y230" s="4"/>
      <c r="Z230" s="4"/>
      <c r="AA230" s="4"/>
      <c r="AB230" s="4"/>
      <c r="AC230" s="4"/>
      <c r="AD230" s="4"/>
      <c r="AE230" s="4"/>
      <c r="AF230" s="4"/>
      <c r="AG230" s="4"/>
      <c r="AH230" s="4"/>
      <c r="AI230" s="4"/>
      <c r="AJ230" s="4"/>
      <c r="AK230" s="4"/>
      <c r="AL230" s="4"/>
      <c r="AM230" s="4"/>
      <c r="AN230" s="4"/>
      <c r="AO230" s="4"/>
    </row>
    <row r="231" spans="1:41" x14ac:dyDescent="0.35">
      <c r="A231" s="4"/>
      <c r="B231" s="4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4"/>
      <c r="U231" s="4"/>
      <c r="V231" s="4"/>
      <c r="W231" s="4"/>
      <c r="X231" s="4"/>
      <c r="Y231" s="4"/>
      <c r="Z231" s="4"/>
      <c r="AA231" s="4"/>
      <c r="AB231" s="4"/>
      <c r="AC231" s="4"/>
      <c r="AD231" s="4"/>
      <c r="AE231" s="4"/>
      <c r="AF231" s="4"/>
      <c r="AG231" s="4"/>
      <c r="AH231" s="4"/>
      <c r="AI231" s="4"/>
      <c r="AJ231" s="4"/>
      <c r="AK231" s="4"/>
      <c r="AL231" s="4"/>
      <c r="AM231" s="4"/>
      <c r="AN231" s="4"/>
      <c r="AO231" s="4"/>
    </row>
    <row r="232" spans="1:41" x14ac:dyDescent="0.35">
      <c r="A232" s="4"/>
      <c r="B232" s="4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4"/>
      <c r="U232" s="4"/>
      <c r="V232" s="4"/>
      <c r="W232" s="4"/>
      <c r="X232" s="4"/>
      <c r="Y232" s="4"/>
      <c r="Z232" s="4"/>
      <c r="AA232" s="4"/>
      <c r="AB232" s="4"/>
      <c r="AC232" s="4"/>
      <c r="AD232" s="4"/>
      <c r="AE232" s="4"/>
      <c r="AF232" s="4"/>
      <c r="AG232" s="4"/>
      <c r="AH232" s="4"/>
      <c r="AI232" s="4"/>
      <c r="AJ232" s="4"/>
      <c r="AK232" s="4"/>
      <c r="AL232" s="4"/>
      <c r="AM232" s="4"/>
      <c r="AN232" s="4"/>
      <c r="AO232" s="4"/>
    </row>
    <row r="233" spans="1:41" x14ac:dyDescent="0.35">
      <c r="A233" s="4"/>
      <c r="B233" s="4"/>
      <c r="C233" s="4"/>
      <c r="D233" s="4"/>
      <c r="E233" s="4"/>
      <c r="F233" s="4"/>
      <c r="G233" s="4"/>
      <c r="H233" s="4"/>
      <c r="I233" s="4"/>
      <c r="J233" s="4"/>
      <c r="K233" s="4"/>
      <c r="L233" s="4"/>
      <c r="M233" s="4"/>
      <c r="N233" s="4"/>
      <c r="O233" s="4"/>
      <c r="P233" s="4"/>
      <c r="Q233" s="4"/>
      <c r="R233" s="4"/>
      <c r="S233" s="4"/>
      <c r="T233" s="4"/>
      <c r="U233" s="4"/>
      <c r="V233" s="4"/>
      <c r="W233" s="4"/>
      <c r="X233" s="4"/>
      <c r="Y233" s="4"/>
      <c r="Z233" s="4"/>
      <c r="AA233" s="4"/>
      <c r="AB233" s="4"/>
      <c r="AC233" s="4"/>
      <c r="AD233" s="4"/>
      <c r="AE233" s="4"/>
      <c r="AF233" s="4"/>
      <c r="AG233" s="4"/>
      <c r="AH233" s="4"/>
      <c r="AI233" s="4"/>
      <c r="AJ233" s="4"/>
      <c r="AK233" s="4"/>
      <c r="AL233" s="4"/>
      <c r="AM233" s="4"/>
      <c r="AN233" s="4"/>
      <c r="AO233" s="4"/>
    </row>
    <row r="234" spans="1:41" x14ac:dyDescent="0.35">
      <c r="A234" s="4"/>
      <c r="B234" s="4"/>
      <c r="C234" s="4"/>
      <c r="D234" s="4"/>
      <c r="E234" s="4"/>
      <c r="F234" s="4"/>
      <c r="G234" s="4"/>
      <c r="H234" s="4"/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4"/>
      <c r="T234" s="4"/>
      <c r="U234" s="4"/>
      <c r="V234" s="4"/>
      <c r="W234" s="4"/>
      <c r="X234" s="4"/>
      <c r="Y234" s="4"/>
      <c r="Z234" s="4"/>
      <c r="AA234" s="4"/>
      <c r="AB234" s="4"/>
      <c r="AC234" s="4"/>
      <c r="AD234" s="4"/>
      <c r="AE234" s="4"/>
      <c r="AF234" s="4"/>
      <c r="AG234" s="4"/>
      <c r="AH234" s="4"/>
      <c r="AI234" s="4"/>
      <c r="AJ234" s="4"/>
      <c r="AK234" s="4"/>
      <c r="AL234" s="4"/>
      <c r="AM234" s="4"/>
      <c r="AN234" s="4"/>
      <c r="AO234" s="4"/>
    </row>
    <row r="235" spans="1:41" x14ac:dyDescent="0.35">
      <c r="A235" s="4"/>
      <c r="B235" s="4"/>
      <c r="C235" s="4"/>
      <c r="D235" s="4"/>
      <c r="E235" s="4"/>
      <c r="F235" s="4"/>
      <c r="G235" s="4"/>
      <c r="H235" s="4"/>
      <c r="I235" s="4"/>
      <c r="J235" s="4"/>
      <c r="K235" s="4"/>
      <c r="L235" s="4"/>
      <c r="M235" s="4"/>
      <c r="N235" s="4"/>
      <c r="O235" s="4"/>
      <c r="P235" s="4"/>
      <c r="Q235" s="4"/>
      <c r="R235" s="4"/>
      <c r="S235" s="4"/>
      <c r="T235" s="4"/>
      <c r="U235" s="4"/>
      <c r="V235" s="4"/>
      <c r="W235" s="4"/>
      <c r="X235" s="4"/>
      <c r="Y235" s="4"/>
      <c r="Z235" s="4"/>
      <c r="AA235" s="4"/>
      <c r="AB235" s="4"/>
      <c r="AC235" s="4"/>
      <c r="AD235" s="4"/>
      <c r="AE235" s="4"/>
      <c r="AF235" s="4"/>
      <c r="AG235" s="4"/>
      <c r="AH235" s="4"/>
      <c r="AI235" s="4"/>
      <c r="AJ235" s="4"/>
      <c r="AK235" s="4"/>
      <c r="AL235" s="4"/>
      <c r="AM235" s="4"/>
      <c r="AN235" s="4"/>
      <c r="AO235" s="4"/>
    </row>
    <row r="236" spans="1:41" x14ac:dyDescent="0.35">
      <c r="A236" s="4"/>
      <c r="B236" s="4"/>
      <c r="C236" s="4"/>
      <c r="D236" s="4"/>
      <c r="E236" s="4"/>
      <c r="F236" s="4"/>
      <c r="G236" s="4"/>
      <c r="H236" s="4"/>
      <c r="I236" s="4"/>
      <c r="J236" s="4"/>
      <c r="K236" s="4"/>
      <c r="L236" s="4"/>
      <c r="M236" s="4"/>
      <c r="N236" s="4"/>
      <c r="O236" s="4"/>
      <c r="P236" s="4"/>
      <c r="Q236" s="4"/>
      <c r="R236" s="4"/>
      <c r="S236" s="4"/>
      <c r="T236" s="4"/>
      <c r="U236" s="4"/>
      <c r="V236" s="4"/>
      <c r="W236" s="4"/>
      <c r="X236" s="4"/>
      <c r="Y236" s="4"/>
      <c r="Z236" s="4"/>
      <c r="AA236" s="4"/>
      <c r="AB236" s="4"/>
      <c r="AC236" s="4"/>
      <c r="AD236" s="4"/>
      <c r="AE236" s="4"/>
      <c r="AF236" s="4"/>
      <c r="AG236" s="4"/>
      <c r="AH236" s="4"/>
      <c r="AI236" s="4"/>
      <c r="AJ236" s="4"/>
      <c r="AK236" s="4"/>
      <c r="AL236" s="4"/>
      <c r="AM236" s="4"/>
      <c r="AN236" s="4"/>
      <c r="AO236" s="4"/>
    </row>
    <row r="237" spans="1:41" x14ac:dyDescent="0.35">
      <c r="A237" s="4"/>
      <c r="B237" s="4"/>
      <c r="C237" s="4"/>
      <c r="D237" s="4"/>
      <c r="E237" s="4"/>
      <c r="F237" s="4"/>
      <c r="G237" s="4"/>
      <c r="H237" s="4"/>
      <c r="I237" s="4"/>
      <c r="J237" s="4"/>
      <c r="K237" s="4"/>
      <c r="L237" s="4"/>
      <c r="M237" s="4"/>
      <c r="N237" s="4"/>
      <c r="O237" s="4"/>
      <c r="P237" s="4"/>
      <c r="Q237" s="4"/>
      <c r="R237" s="4"/>
      <c r="S237" s="4"/>
      <c r="T237" s="4"/>
      <c r="U237" s="4"/>
      <c r="V237" s="4"/>
      <c r="W237" s="4"/>
      <c r="X237" s="4"/>
      <c r="Y237" s="4"/>
      <c r="Z237" s="4"/>
      <c r="AA237" s="4"/>
      <c r="AB237" s="4"/>
      <c r="AC237" s="4"/>
      <c r="AD237" s="4"/>
      <c r="AE237" s="4"/>
      <c r="AF237" s="4"/>
      <c r="AG237" s="4"/>
      <c r="AH237" s="4"/>
      <c r="AI237" s="4"/>
      <c r="AJ237" s="4"/>
      <c r="AK237" s="4"/>
      <c r="AL237" s="4"/>
      <c r="AM237" s="4"/>
      <c r="AN237" s="4"/>
      <c r="AO237" s="4"/>
    </row>
    <row r="238" spans="1:41" x14ac:dyDescent="0.35">
      <c r="A238" s="4"/>
      <c r="B238" s="4"/>
      <c r="C238" s="4"/>
      <c r="D238" s="4"/>
      <c r="E238" s="4"/>
      <c r="F238" s="4"/>
      <c r="G238" s="4"/>
      <c r="H238" s="4"/>
      <c r="I238" s="4"/>
      <c r="J238" s="4"/>
      <c r="K238" s="4"/>
      <c r="L238" s="4"/>
      <c r="M238" s="4"/>
      <c r="N238" s="4"/>
      <c r="O238" s="4"/>
      <c r="P238" s="4"/>
      <c r="Q238" s="4"/>
      <c r="R238" s="4"/>
      <c r="S238" s="4"/>
      <c r="T238" s="4"/>
      <c r="U238" s="4"/>
      <c r="V238" s="4"/>
      <c r="W238" s="4"/>
      <c r="X238" s="4"/>
      <c r="Y238" s="4"/>
      <c r="Z238" s="4"/>
      <c r="AA238" s="4"/>
      <c r="AB238" s="4"/>
      <c r="AC238" s="4"/>
      <c r="AD238" s="4"/>
      <c r="AE238" s="4"/>
      <c r="AF238" s="4"/>
      <c r="AG238" s="4"/>
      <c r="AH238" s="4"/>
      <c r="AI238" s="4"/>
      <c r="AJ238" s="4"/>
      <c r="AK238" s="4"/>
      <c r="AL238" s="4"/>
      <c r="AM238" s="4"/>
      <c r="AN238" s="4"/>
      <c r="AO238" s="4"/>
    </row>
    <row r="239" spans="1:41" x14ac:dyDescent="0.35">
      <c r="A239" s="4"/>
      <c r="B239" s="4"/>
      <c r="C239" s="4"/>
      <c r="D239" s="4"/>
      <c r="E239" s="4"/>
      <c r="F239" s="4"/>
      <c r="G239" s="4"/>
      <c r="H239" s="4"/>
      <c r="I239" s="4"/>
      <c r="J239" s="4"/>
      <c r="K239" s="4"/>
      <c r="L239" s="4"/>
      <c r="M239" s="4"/>
      <c r="N239" s="4"/>
      <c r="O239" s="4"/>
      <c r="P239" s="4"/>
      <c r="Q239" s="4"/>
      <c r="R239" s="4"/>
      <c r="S239" s="4"/>
      <c r="T239" s="4"/>
      <c r="U239" s="4"/>
      <c r="V239" s="4"/>
      <c r="W239" s="4"/>
      <c r="X239" s="4"/>
      <c r="Y239" s="4"/>
      <c r="Z239" s="4"/>
      <c r="AA239" s="4"/>
      <c r="AB239" s="4"/>
      <c r="AC239" s="4"/>
      <c r="AD239" s="4"/>
      <c r="AE239" s="4"/>
      <c r="AF239" s="4"/>
      <c r="AG239" s="4"/>
      <c r="AH239" s="4"/>
      <c r="AI239" s="4"/>
      <c r="AJ239" s="4"/>
      <c r="AK239" s="4"/>
      <c r="AL239" s="4"/>
      <c r="AM239" s="4"/>
      <c r="AN239" s="4"/>
      <c r="AO239" s="4"/>
    </row>
    <row r="240" spans="1:41" x14ac:dyDescent="0.35">
      <c r="A240" s="4"/>
      <c r="B240" s="4"/>
      <c r="C240" s="4"/>
      <c r="D240" s="4"/>
      <c r="E240" s="4"/>
      <c r="F240" s="4"/>
      <c r="G240" s="4"/>
      <c r="H240" s="4"/>
      <c r="I240" s="4"/>
      <c r="J240" s="4"/>
      <c r="K240" s="4"/>
      <c r="L240" s="4"/>
      <c r="M240" s="4"/>
      <c r="N240" s="4"/>
      <c r="O240" s="4"/>
      <c r="P240" s="4"/>
      <c r="Q240" s="4"/>
      <c r="R240" s="4"/>
      <c r="S240" s="4"/>
      <c r="T240" s="4"/>
      <c r="U240" s="4"/>
      <c r="V240" s="4"/>
      <c r="W240" s="4"/>
      <c r="X240" s="4"/>
      <c r="Y240" s="4"/>
      <c r="Z240" s="4"/>
      <c r="AA240" s="4"/>
      <c r="AB240" s="4"/>
      <c r="AC240" s="4"/>
      <c r="AD240" s="4"/>
      <c r="AE240" s="4"/>
      <c r="AF240" s="4"/>
      <c r="AG240" s="4"/>
      <c r="AH240" s="4"/>
      <c r="AI240" s="4"/>
      <c r="AJ240" s="4"/>
      <c r="AK240" s="4"/>
      <c r="AL240" s="4"/>
      <c r="AM240" s="4"/>
      <c r="AN240" s="4"/>
      <c r="AO240" s="4"/>
    </row>
    <row r="241" spans="1:41" x14ac:dyDescent="0.35">
      <c r="A241" s="4"/>
      <c r="B241" s="4"/>
      <c r="C241" s="4"/>
      <c r="D241" s="4"/>
      <c r="E241" s="4"/>
      <c r="F241" s="4"/>
      <c r="G241" s="4"/>
      <c r="H241" s="4"/>
      <c r="I241" s="4"/>
      <c r="J241" s="4"/>
      <c r="K241" s="4"/>
      <c r="L241" s="4"/>
      <c r="M241" s="4"/>
      <c r="N241" s="4"/>
      <c r="O241" s="4"/>
      <c r="P241" s="4"/>
      <c r="Q241" s="4"/>
      <c r="R241" s="4"/>
      <c r="S241" s="4"/>
      <c r="T241" s="4"/>
      <c r="U241" s="4"/>
      <c r="V241" s="4"/>
      <c r="W241" s="4"/>
      <c r="X241" s="4"/>
      <c r="Y241" s="4"/>
      <c r="Z241" s="4"/>
      <c r="AA241" s="4"/>
      <c r="AB241" s="4"/>
      <c r="AC241" s="4"/>
      <c r="AD241" s="4"/>
      <c r="AE241" s="4"/>
      <c r="AF241" s="4"/>
      <c r="AG241" s="4"/>
      <c r="AH241" s="4"/>
      <c r="AI241" s="4"/>
      <c r="AJ241" s="4"/>
      <c r="AK241" s="4"/>
      <c r="AL241" s="4"/>
      <c r="AM241" s="4"/>
      <c r="AN241" s="4"/>
      <c r="AO241" s="4"/>
    </row>
    <row r="242" spans="1:41" x14ac:dyDescent="0.35">
      <c r="A242" s="4"/>
      <c r="B242" s="4"/>
      <c r="C242" s="4"/>
      <c r="D242" s="4"/>
      <c r="E242" s="4"/>
      <c r="F242" s="4"/>
      <c r="G242" s="4"/>
      <c r="H242" s="4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  <c r="AA242" s="4"/>
      <c r="AB242" s="4"/>
      <c r="AC242" s="4"/>
      <c r="AD242" s="4"/>
      <c r="AE242" s="4"/>
      <c r="AF242" s="4"/>
      <c r="AG242" s="4"/>
      <c r="AH242" s="4"/>
      <c r="AI242" s="4"/>
      <c r="AJ242" s="4"/>
      <c r="AK242" s="4"/>
      <c r="AL242" s="4"/>
      <c r="AM242" s="4"/>
      <c r="AN242" s="4"/>
      <c r="AO242" s="4"/>
    </row>
    <row r="243" spans="1:41" x14ac:dyDescent="0.35">
      <c r="A243" s="4"/>
      <c r="B243" s="4"/>
      <c r="C243" s="4"/>
      <c r="D243" s="4"/>
      <c r="E243" s="4"/>
      <c r="F243" s="4"/>
      <c r="G243" s="4"/>
      <c r="H243" s="4"/>
      <c r="I243" s="4"/>
      <c r="J243" s="4"/>
      <c r="K243" s="4"/>
      <c r="L243" s="4"/>
      <c r="M243" s="4"/>
      <c r="N243" s="4"/>
      <c r="O243" s="4"/>
      <c r="P243" s="4"/>
      <c r="Q243" s="4"/>
      <c r="R243" s="4"/>
      <c r="S243" s="4"/>
      <c r="T243" s="4"/>
      <c r="U243" s="4"/>
      <c r="V243" s="4"/>
      <c r="W243" s="4"/>
      <c r="X243" s="4"/>
      <c r="Y243" s="4"/>
      <c r="Z243" s="4"/>
      <c r="AA243" s="4"/>
      <c r="AB243" s="4"/>
      <c r="AC243" s="4"/>
      <c r="AD243" s="4"/>
      <c r="AE243" s="4"/>
      <c r="AF243" s="4"/>
      <c r="AG243" s="4"/>
      <c r="AH243" s="4"/>
      <c r="AI243" s="4"/>
      <c r="AJ243" s="4"/>
      <c r="AK243" s="4"/>
      <c r="AL243" s="4"/>
      <c r="AM243" s="4"/>
      <c r="AN243" s="4"/>
      <c r="AO243" s="4"/>
    </row>
    <row r="244" spans="1:41" x14ac:dyDescent="0.35">
      <c r="A244" s="4"/>
      <c r="B244" s="4"/>
      <c r="C244" s="4"/>
      <c r="D244" s="4"/>
      <c r="E244" s="4"/>
      <c r="F244" s="4"/>
      <c r="G244" s="4"/>
      <c r="H244" s="4"/>
      <c r="I244" s="4"/>
      <c r="J244" s="4"/>
      <c r="K244" s="4"/>
      <c r="L244" s="4"/>
      <c r="M244" s="4"/>
      <c r="N244" s="4"/>
      <c r="O244" s="4"/>
      <c r="P244" s="4"/>
      <c r="Q244" s="4"/>
      <c r="R244" s="4"/>
      <c r="S244" s="4"/>
      <c r="T244" s="4"/>
      <c r="U244" s="4"/>
      <c r="V244" s="4"/>
      <c r="W244" s="4"/>
      <c r="X244" s="4"/>
      <c r="Y244" s="4"/>
      <c r="Z244" s="4"/>
      <c r="AA244" s="4"/>
      <c r="AB244" s="4"/>
      <c r="AC244" s="4"/>
      <c r="AD244" s="4"/>
      <c r="AE244" s="4"/>
      <c r="AF244" s="4"/>
      <c r="AG244" s="4"/>
      <c r="AH244" s="4"/>
      <c r="AI244" s="4"/>
      <c r="AJ244" s="4"/>
      <c r="AK244" s="4"/>
      <c r="AL244" s="4"/>
      <c r="AM244" s="4"/>
      <c r="AN244" s="4"/>
      <c r="AO244" s="4"/>
    </row>
    <row r="245" spans="1:41" x14ac:dyDescent="0.35">
      <c r="A245" s="4"/>
      <c r="B245" s="4"/>
      <c r="C245" s="4"/>
      <c r="D245" s="4"/>
      <c r="E245" s="4"/>
      <c r="F245" s="4"/>
      <c r="G245" s="4"/>
      <c r="H245" s="4"/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4"/>
      <c r="U245" s="4"/>
      <c r="V245" s="4"/>
      <c r="W245" s="4"/>
      <c r="X245" s="4"/>
      <c r="Y245" s="4"/>
      <c r="Z245" s="4"/>
      <c r="AA245" s="4"/>
      <c r="AB245" s="4"/>
      <c r="AC245" s="4"/>
      <c r="AD245" s="4"/>
      <c r="AE245" s="4"/>
      <c r="AF245" s="4"/>
      <c r="AG245" s="4"/>
      <c r="AH245" s="4"/>
      <c r="AI245" s="4"/>
      <c r="AJ245" s="4"/>
      <c r="AK245" s="4"/>
      <c r="AL245" s="4"/>
      <c r="AM245" s="4"/>
      <c r="AN245" s="4"/>
      <c r="AO245" s="4"/>
    </row>
    <row r="246" spans="1:41" x14ac:dyDescent="0.35">
      <c r="A246" s="4"/>
      <c r="B246" s="4"/>
      <c r="C246" s="4"/>
      <c r="D246" s="4"/>
      <c r="E246" s="4"/>
      <c r="F246" s="4"/>
      <c r="G246" s="4"/>
      <c r="H246" s="4"/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4"/>
      <c r="U246" s="4"/>
      <c r="V246" s="4"/>
      <c r="W246" s="4"/>
      <c r="X246" s="4"/>
      <c r="Y246" s="4"/>
      <c r="Z246" s="4"/>
      <c r="AA246" s="4"/>
      <c r="AB246" s="4"/>
      <c r="AC246" s="4"/>
      <c r="AD246" s="4"/>
      <c r="AE246" s="4"/>
      <c r="AF246" s="4"/>
      <c r="AG246" s="4"/>
      <c r="AH246" s="4"/>
      <c r="AI246" s="4"/>
      <c r="AJ246" s="4"/>
      <c r="AK246" s="4"/>
      <c r="AL246" s="4"/>
      <c r="AM246" s="4"/>
      <c r="AN246" s="4"/>
      <c r="AO246" s="4"/>
    </row>
    <row r="247" spans="1:41" x14ac:dyDescent="0.35">
      <c r="A247" s="4"/>
      <c r="B247" s="4"/>
      <c r="C247" s="4"/>
      <c r="D247" s="4"/>
      <c r="E247" s="4"/>
      <c r="F247" s="4"/>
      <c r="G247" s="4"/>
      <c r="H247" s="4"/>
      <c r="I247" s="4"/>
      <c r="J247" s="4"/>
      <c r="K247" s="4"/>
      <c r="L247" s="4"/>
      <c r="M247" s="4"/>
      <c r="N247" s="4"/>
      <c r="O247" s="4"/>
      <c r="P247" s="4"/>
      <c r="Q247" s="4"/>
      <c r="R247" s="4"/>
      <c r="S247" s="4"/>
      <c r="T247" s="4"/>
      <c r="U247" s="4"/>
      <c r="V247" s="4"/>
      <c r="W247" s="4"/>
      <c r="X247" s="4"/>
      <c r="Y247" s="4"/>
      <c r="Z247" s="4"/>
      <c r="AA247" s="4"/>
      <c r="AB247" s="4"/>
      <c r="AC247" s="4"/>
      <c r="AD247" s="4"/>
      <c r="AE247" s="4"/>
      <c r="AF247" s="4"/>
      <c r="AG247" s="4"/>
      <c r="AH247" s="4"/>
      <c r="AI247" s="4"/>
      <c r="AJ247" s="4"/>
      <c r="AK247" s="4"/>
      <c r="AL247" s="4"/>
      <c r="AM247" s="4"/>
      <c r="AN247" s="4"/>
      <c r="AO247" s="4"/>
    </row>
    <row r="248" spans="1:41" x14ac:dyDescent="0.35">
      <c r="A248" s="4"/>
      <c r="B248" s="4"/>
      <c r="C248" s="4"/>
      <c r="D248" s="4"/>
      <c r="E248" s="4"/>
      <c r="F248" s="4"/>
      <c r="G248" s="4"/>
      <c r="H248" s="4"/>
      <c r="I248" s="4"/>
      <c r="J248" s="4"/>
      <c r="K248" s="4"/>
      <c r="L248" s="4"/>
      <c r="M248" s="4"/>
      <c r="N248" s="4"/>
      <c r="O248" s="4"/>
      <c r="P248" s="4"/>
      <c r="Q248" s="4"/>
      <c r="R248" s="4"/>
      <c r="S248" s="4"/>
      <c r="T248" s="4"/>
      <c r="U248" s="4"/>
      <c r="V248" s="4"/>
      <c r="W248" s="4"/>
      <c r="X248" s="4"/>
      <c r="Y248" s="4"/>
      <c r="Z248" s="4"/>
      <c r="AA248" s="4"/>
      <c r="AB248" s="4"/>
      <c r="AC248" s="4"/>
      <c r="AD248" s="4"/>
      <c r="AE248" s="4"/>
      <c r="AF248" s="4"/>
      <c r="AG248" s="4"/>
      <c r="AH248" s="4"/>
      <c r="AI248" s="4"/>
      <c r="AJ248" s="4"/>
      <c r="AK248" s="4"/>
      <c r="AL248" s="4"/>
      <c r="AM248" s="4"/>
      <c r="AN248" s="4"/>
      <c r="AO248" s="4"/>
    </row>
    <row r="249" spans="1:41" x14ac:dyDescent="0.35">
      <c r="A249" s="4"/>
      <c r="B249" s="4"/>
      <c r="C249" s="4"/>
      <c r="D249" s="4"/>
      <c r="E249" s="4"/>
      <c r="F249" s="4"/>
      <c r="G249" s="4"/>
      <c r="H249" s="4"/>
      <c r="I249" s="4"/>
      <c r="J249" s="4"/>
      <c r="K249" s="4"/>
      <c r="L249" s="4"/>
      <c r="M249" s="4"/>
      <c r="N249" s="4"/>
      <c r="O249" s="4"/>
      <c r="P249" s="4"/>
      <c r="Q249" s="4"/>
      <c r="R249" s="4"/>
      <c r="S249" s="4"/>
      <c r="T249" s="4"/>
      <c r="U249" s="4"/>
      <c r="V249" s="4"/>
      <c r="W249" s="4"/>
      <c r="X249" s="4"/>
      <c r="Y249" s="4"/>
      <c r="Z249" s="4"/>
      <c r="AA249" s="4"/>
      <c r="AB249" s="4"/>
      <c r="AC249" s="4"/>
      <c r="AD249" s="4"/>
      <c r="AE249" s="4"/>
      <c r="AF249" s="4"/>
      <c r="AG249" s="4"/>
      <c r="AH249" s="4"/>
      <c r="AI249" s="4"/>
      <c r="AJ249" s="4"/>
      <c r="AK249" s="4"/>
      <c r="AL249" s="4"/>
      <c r="AM249" s="4"/>
      <c r="AN249" s="4"/>
      <c r="AO249" s="4"/>
    </row>
    <row r="250" spans="1:41" x14ac:dyDescent="0.35">
      <c r="A250" s="4"/>
      <c r="B250" s="4"/>
      <c r="C250" s="4"/>
      <c r="D250" s="4"/>
      <c r="E250" s="4"/>
      <c r="F250" s="4"/>
      <c r="G250" s="4"/>
      <c r="H250" s="4"/>
      <c r="I250" s="4"/>
      <c r="J250" s="4"/>
      <c r="K250" s="4"/>
      <c r="L250" s="4"/>
      <c r="M250" s="4"/>
      <c r="N250" s="4"/>
      <c r="O250" s="4"/>
      <c r="P250" s="4"/>
      <c r="Q250" s="4"/>
      <c r="R250" s="4"/>
      <c r="S250" s="4"/>
      <c r="T250" s="4"/>
      <c r="U250" s="4"/>
      <c r="V250" s="4"/>
      <c r="W250" s="4"/>
      <c r="X250" s="4"/>
      <c r="Y250" s="4"/>
      <c r="Z250" s="4"/>
      <c r="AA250" s="4"/>
      <c r="AB250" s="4"/>
      <c r="AC250" s="4"/>
      <c r="AD250" s="4"/>
      <c r="AE250" s="4"/>
      <c r="AF250" s="4"/>
      <c r="AG250" s="4"/>
      <c r="AH250" s="4"/>
      <c r="AI250" s="4"/>
      <c r="AJ250" s="4"/>
      <c r="AK250" s="4"/>
      <c r="AL250" s="4"/>
      <c r="AM250" s="4"/>
      <c r="AN250" s="4"/>
      <c r="AO250" s="4"/>
    </row>
    <row r="251" spans="1:41" x14ac:dyDescent="0.35">
      <c r="A251" s="4"/>
      <c r="B251" s="4"/>
      <c r="C251" s="4"/>
      <c r="D251" s="4"/>
      <c r="E251" s="4"/>
      <c r="F251" s="4"/>
      <c r="G251" s="4"/>
      <c r="H251" s="4"/>
      <c r="I251" s="4"/>
      <c r="J251" s="4"/>
      <c r="K251" s="4"/>
      <c r="L251" s="4"/>
      <c r="M251" s="4"/>
      <c r="N251" s="4"/>
      <c r="O251" s="4"/>
      <c r="P251" s="4"/>
      <c r="Q251" s="4"/>
      <c r="R251" s="4"/>
      <c r="S251" s="4"/>
      <c r="T251" s="4"/>
      <c r="U251" s="4"/>
      <c r="V251" s="4"/>
      <c r="W251" s="4"/>
      <c r="X251" s="4"/>
      <c r="Y251" s="4"/>
      <c r="Z251" s="4"/>
      <c r="AA251" s="4"/>
      <c r="AB251" s="4"/>
      <c r="AC251" s="4"/>
      <c r="AD251" s="4"/>
      <c r="AE251" s="4"/>
      <c r="AF251" s="4"/>
      <c r="AG251" s="4"/>
      <c r="AH251" s="4"/>
      <c r="AI251" s="4"/>
      <c r="AJ251" s="4"/>
      <c r="AK251" s="4"/>
      <c r="AL251" s="4"/>
      <c r="AM251" s="4"/>
      <c r="AN251" s="4"/>
      <c r="AO251" s="4"/>
    </row>
    <row r="252" spans="1:41" x14ac:dyDescent="0.35">
      <c r="A252" s="4"/>
      <c r="B252" s="4"/>
      <c r="C252" s="4"/>
      <c r="D252" s="4"/>
      <c r="E252" s="4"/>
      <c r="F252" s="4"/>
      <c r="G252" s="4"/>
      <c r="H252" s="4"/>
      <c r="I252" s="4"/>
      <c r="J252" s="4"/>
      <c r="K252" s="4"/>
      <c r="L252" s="4"/>
      <c r="M252" s="4"/>
      <c r="N252" s="4"/>
      <c r="O252" s="4"/>
      <c r="P252" s="4"/>
      <c r="Q252" s="4"/>
      <c r="R252" s="4"/>
      <c r="S252" s="4"/>
      <c r="T252" s="4"/>
      <c r="U252" s="4"/>
      <c r="V252" s="4"/>
      <c r="W252" s="4"/>
      <c r="X252" s="4"/>
      <c r="Y252" s="4"/>
      <c r="Z252" s="4"/>
      <c r="AA252" s="4"/>
      <c r="AB252" s="4"/>
      <c r="AC252" s="4"/>
      <c r="AD252" s="4"/>
      <c r="AE252" s="4"/>
      <c r="AF252" s="4"/>
      <c r="AG252" s="4"/>
      <c r="AH252" s="4"/>
      <c r="AI252" s="4"/>
      <c r="AJ252" s="4"/>
      <c r="AK252" s="4"/>
      <c r="AL252" s="4"/>
      <c r="AM252" s="4"/>
      <c r="AN252" s="4"/>
      <c r="AO252" s="4"/>
    </row>
    <row r="253" spans="1:41" x14ac:dyDescent="0.35">
      <c r="A253" s="4"/>
      <c r="B253" s="4"/>
      <c r="C253" s="4"/>
      <c r="D253" s="4"/>
      <c r="E253" s="4"/>
      <c r="F253" s="4"/>
      <c r="G253" s="4"/>
      <c r="H253" s="4"/>
      <c r="I253" s="4"/>
      <c r="J253" s="4"/>
      <c r="K253" s="4"/>
      <c r="L253" s="4"/>
      <c r="M253" s="4"/>
      <c r="N253" s="4"/>
      <c r="O253" s="4"/>
      <c r="P253" s="4"/>
      <c r="Q253" s="4"/>
      <c r="R253" s="4"/>
      <c r="S253" s="4"/>
      <c r="T253" s="4"/>
      <c r="U253" s="4"/>
      <c r="V253" s="4"/>
      <c r="W253" s="4"/>
      <c r="X253" s="4"/>
      <c r="Y253" s="4"/>
      <c r="Z253" s="4"/>
      <c r="AA253" s="4"/>
      <c r="AB253" s="4"/>
      <c r="AC253" s="4"/>
      <c r="AD253" s="4"/>
      <c r="AE253" s="4"/>
      <c r="AF253" s="4"/>
      <c r="AG253" s="4"/>
      <c r="AH253" s="4"/>
      <c r="AI253" s="4"/>
      <c r="AJ253" s="4"/>
      <c r="AK253" s="4"/>
      <c r="AL253" s="4"/>
      <c r="AM253" s="4"/>
      <c r="AN253" s="4"/>
      <c r="AO253" s="4"/>
    </row>
    <row r="254" spans="1:41" x14ac:dyDescent="0.35">
      <c r="A254" s="4"/>
      <c r="B254" s="4"/>
      <c r="C254" s="4"/>
      <c r="D254" s="4"/>
      <c r="E254" s="4"/>
      <c r="F254" s="4"/>
      <c r="G254" s="4"/>
      <c r="H254" s="4"/>
      <c r="I254" s="4"/>
      <c r="J254" s="4"/>
      <c r="K254" s="4"/>
      <c r="L254" s="4"/>
      <c r="M254" s="4"/>
      <c r="N254" s="4"/>
      <c r="O254" s="4"/>
      <c r="P254" s="4"/>
      <c r="Q254" s="4"/>
      <c r="R254" s="4"/>
      <c r="S254" s="4"/>
      <c r="T254" s="4"/>
      <c r="U254" s="4"/>
      <c r="V254" s="4"/>
      <c r="W254" s="4"/>
      <c r="X254" s="4"/>
      <c r="Y254" s="4"/>
      <c r="Z254" s="4"/>
      <c r="AA254" s="4"/>
      <c r="AB254" s="4"/>
      <c r="AC254" s="4"/>
      <c r="AD254" s="4"/>
      <c r="AE254" s="4"/>
      <c r="AF254" s="4"/>
      <c r="AG254" s="4"/>
      <c r="AH254" s="4"/>
      <c r="AI254" s="4"/>
      <c r="AJ254" s="4"/>
      <c r="AK254" s="4"/>
      <c r="AL254" s="4"/>
      <c r="AM254" s="4"/>
      <c r="AN254" s="4"/>
      <c r="AO254" s="4"/>
    </row>
    <row r="255" spans="1:41" x14ac:dyDescent="0.35">
      <c r="A255" s="4"/>
      <c r="B255" s="4"/>
      <c r="C255" s="4"/>
      <c r="D255" s="4"/>
      <c r="E255" s="4"/>
      <c r="F255" s="4"/>
      <c r="G255" s="4"/>
      <c r="H255" s="4"/>
      <c r="I255" s="4"/>
      <c r="J255" s="4"/>
      <c r="K255" s="4"/>
      <c r="L255" s="4"/>
      <c r="M255" s="4"/>
      <c r="N255" s="4"/>
      <c r="O255" s="4"/>
      <c r="P255" s="4"/>
      <c r="Q255" s="4"/>
      <c r="R255" s="4"/>
      <c r="S255" s="4"/>
      <c r="T255" s="4"/>
      <c r="U255" s="4"/>
      <c r="V255" s="4"/>
      <c r="W255" s="4"/>
      <c r="X255" s="4"/>
      <c r="Y255" s="4"/>
      <c r="Z255" s="4"/>
      <c r="AA255" s="4"/>
      <c r="AB255" s="4"/>
      <c r="AC255" s="4"/>
      <c r="AD255" s="4"/>
      <c r="AE255" s="4"/>
      <c r="AF255" s="4"/>
      <c r="AG255" s="4"/>
      <c r="AH255" s="4"/>
      <c r="AI255" s="4"/>
      <c r="AJ255" s="4"/>
      <c r="AK255" s="4"/>
      <c r="AL255" s="4"/>
      <c r="AM255" s="4"/>
      <c r="AN255" s="4"/>
      <c r="AO255" s="4"/>
    </row>
    <row r="256" spans="1:41" x14ac:dyDescent="0.35">
      <c r="A256" s="4"/>
      <c r="B256" s="4"/>
      <c r="C256" s="4"/>
      <c r="D256" s="4"/>
      <c r="E256" s="4"/>
      <c r="F256" s="4"/>
      <c r="G256" s="4"/>
      <c r="H256" s="4"/>
      <c r="I256" s="4"/>
      <c r="J256" s="4"/>
      <c r="K256" s="4"/>
      <c r="L256" s="4"/>
      <c r="M256" s="4"/>
      <c r="N256" s="4"/>
      <c r="O256" s="4"/>
      <c r="P256" s="4"/>
      <c r="Q256" s="4"/>
      <c r="R256" s="4"/>
      <c r="S256" s="4"/>
      <c r="T256" s="4"/>
      <c r="U256" s="4"/>
      <c r="V256" s="4"/>
      <c r="W256" s="4"/>
      <c r="X256" s="4"/>
      <c r="Y256" s="4"/>
      <c r="Z256" s="4"/>
      <c r="AA256" s="4"/>
      <c r="AB256" s="4"/>
      <c r="AC256" s="4"/>
      <c r="AD256" s="4"/>
      <c r="AE256" s="4"/>
      <c r="AF256" s="4"/>
      <c r="AG256" s="4"/>
      <c r="AH256" s="4"/>
      <c r="AI256" s="4"/>
      <c r="AJ256" s="4"/>
      <c r="AK256" s="4"/>
      <c r="AL256" s="4"/>
      <c r="AM256" s="4"/>
      <c r="AN256" s="4"/>
      <c r="AO256" s="4"/>
    </row>
    <row r="257" spans="1:41" x14ac:dyDescent="0.35">
      <c r="A257" s="4"/>
      <c r="B257" s="4"/>
      <c r="C257" s="4"/>
      <c r="D257" s="4"/>
      <c r="E257" s="4"/>
      <c r="F257" s="4"/>
      <c r="G257" s="4"/>
      <c r="H257" s="4"/>
      <c r="I257" s="4"/>
      <c r="J257" s="4"/>
      <c r="K257" s="4"/>
      <c r="L257" s="4"/>
      <c r="M257" s="4"/>
      <c r="N257" s="4"/>
      <c r="O257" s="4"/>
      <c r="P257" s="4"/>
      <c r="Q257" s="4"/>
      <c r="R257" s="4"/>
      <c r="S257" s="4"/>
      <c r="T257" s="4"/>
      <c r="U257" s="4"/>
      <c r="V257" s="4"/>
      <c r="W257" s="4"/>
      <c r="X257" s="4"/>
      <c r="Y257" s="4"/>
      <c r="Z257" s="4"/>
      <c r="AA257" s="4"/>
      <c r="AB257" s="4"/>
      <c r="AC257" s="4"/>
      <c r="AD257" s="4"/>
      <c r="AE257" s="4"/>
      <c r="AF257" s="4"/>
      <c r="AG257" s="4"/>
      <c r="AH257" s="4"/>
      <c r="AI257" s="4"/>
      <c r="AJ257" s="4"/>
      <c r="AK257" s="4"/>
      <c r="AL257" s="4"/>
      <c r="AM257" s="4"/>
      <c r="AN257" s="4"/>
      <c r="AO257" s="4"/>
    </row>
    <row r="258" spans="1:41" x14ac:dyDescent="0.35">
      <c r="A258" s="4"/>
      <c r="B258" s="4"/>
      <c r="C258" s="4"/>
      <c r="D258" s="4"/>
      <c r="E258" s="4"/>
      <c r="F258" s="4"/>
      <c r="G258" s="4"/>
      <c r="H258" s="4"/>
      <c r="I258" s="4"/>
      <c r="J258" s="4"/>
      <c r="K258" s="4"/>
      <c r="L258" s="4"/>
      <c r="M258" s="4"/>
      <c r="N258" s="4"/>
      <c r="O258" s="4"/>
      <c r="P258" s="4"/>
      <c r="Q258" s="4"/>
      <c r="R258" s="4"/>
      <c r="S258" s="4"/>
      <c r="T258" s="4"/>
      <c r="U258" s="4"/>
      <c r="V258" s="4"/>
      <c r="W258" s="4"/>
      <c r="X258" s="4"/>
      <c r="Y258" s="4"/>
      <c r="Z258" s="4"/>
      <c r="AA258" s="4"/>
      <c r="AB258" s="4"/>
      <c r="AC258" s="4"/>
      <c r="AD258" s="4"/>
      <c r="AE258" s="4"/>
      <c r="AF258" s="4"/>
      <c r="AG258" s="4"/>
      <c r="AH258" s="4"/>
      <c r="AI258" s="4"/>
      <c r="AJ258" s="4"/>
      <c r="AK258" s="4"/>
      <c r="AL258" s="4"/>
      <c r="AM258" s="4"/>
      <c r="AN258" s="4"/>
      <c r="AO258" s="4"/>
    </row>
    <row r="259" spans="1:41" x14ac:dyDescent="0.35">
      <c r="A259" s="4"/>
      <c r="B259" s="4"/>
      <c r="C259" s="4"/>
      <c r="D259" s="4"/>
      <c r="E259" s="4"/>
      <c r="F259" s="4"/>
      <c r="G259" s="4"/>
      <c r="H259" s="4"/>
      <c r="I259" s="4"/>
      <c r="J259" s="4"/>
      <c r="K259" s="4"/>
      <c r="L259" s="4"/>
      <c r="M259" s="4"/>
      <c r="N259" s="4"/>
      <c r="O259" s="4"/>
      <c r="P259" s="4"/>
      <c r="Q259" s="4"/>
      <c r="R259" s="4"/>
      <c r="S259" s="4"/>
      <c r="T259" s="4"/>
      <c r="U259" s="4"/>
      <c r="V259" s="4"/>
      <c r="W259" s="4"/>
      <c r="X259" s="4"/>
      <c r="Y259" s="4"/>
      <c r="Z259" s="4"/>
      <c r="AA259" s="4"/>
      <c r="AB259" s="4"/>
      <c r="AC259" s="4"/>
      <c r="AD259" s="4"/>
      <c r="AE259" s="4"/>
      <c r="AF259" s="4"/>
      <c r="AG259" s="4"/>
      <c r="AH259" s="4"/>
      <c r="AI259" s="4"/>
      <c r="AJ259" s="4"/>
      <c r="AK259" s="4"/>
      <c r="AL259" s="4"/>
      <c r="AM259" s="4"/>
      <c r="AN259" s="4"/>
      <c r="AO259" s="4"/>
    </row>
    <row r="260" spans="1:41" x14ac:dyDescent="0.35">
      <c r="A260" s="4"/>
      <c r="B260" s="4"/>
      <c r="C260" s="4"/>
      <c r="D260" s="4"/>
      <c r="E260" s="4"/>
      <c r="F260" s="4"/>
      <c r="G260" s="4"/>
      <c r="H260" s="4"/>
      <c r="I260" s="4"/>
      <c r="J260" s="4"/>
      <c r="K260" s="4"/>
      <c r="L260" s="4"/>
      <c r="M260" s="4"/>
      <c r="N260" s="4"/>
      <c r="O260" s="4"/>
      <c r="P260" s="4"/>
      <c r="Q260" s="4"/>
      <c r="R260" s="4"/>
      <c r="S260" s="4"/>
      <c r="T260" s="4"/>
      <c r="U260" s="4"/>
      <c r="V260" s="4"/>
      <c r="W260" s="4"/>
      <c r="X260" s="4"/>
      <c r="Y260" s="4"/>
      <c r="Z260" s="4"/>
      <c r="AA260" s="4"/>
      <c r="AB260" s="4"/>
      <c r="AC260" s="4"/>
      <c r="AD260" s="4"/>
      <c r="AE260" s="4"/>
      <c r="AF260" s="4"/>
      <c r="AG260" s="4"/>
      <c r="AH260" s="4"/>
      <c r="AI260" s="4"/>
      <c r="AJ260" s="4"/>
      <c r="AK260" s="4"/>
      <c r="AL260" s="4"/>
      <c r="AM260" s="4"/>
      <c r="AN260" s="4"/>
      <c r="AO260" s="4"/>
    </row>
    <row r="261" spans="1:41" x14ac:dyDescent="0.35">
      <c r="A261" s="4"/>
      <c r="B261" s="4"/>
      <c r="C261" s="4"/>
      <c r="D261" s="4"/>
      <c r="E261" s="4"/>
      <c r="F261" s="4"/>
      <c r="G261" s="4"/>
      <c r="H261" s="4"/>
      <c r="I261" s="4"/>
      <c r="J261" s="4"/>
      <c r="K261" s="4"/>
      <c r="L261" s="4"/>
      <c r="M261" s="4"/>
      <c r="N261" s="4"/>
      <c r="O261" s="4"/>
      <c r="P261" s="4"/>
      <c r="Q261" s="4"/>
      <c r="R261" s="4"/>
      <c r="S261" s="4"/>
      <c r="T261" s="4"/>
      <c r="U261" s="4"/>
      <c r="V261" s="4"/>
      <c r="W261" s="4"/>
      <c r="X261" s="4"/>
      <c r="Y261" s="4"/>
      <c r="Z261" s="4"/>
      <c r="AA261" s="4"/>
      <c r="AB261" s="4"/>
      <c r="AC261" s="4"/>
      <c r="AD261" s="4"/>
      <c r="AE261" s="4"/>
      <c r="AF261" s="4"/>
      <c r="AG261" s="4"/>
      <c r="AH261" s="4"/>
      <c r="AI261" s="4"/>
      <c r="AJ261" s="4"/>
      <c r="AK261" s="4"/>
      <c r="AL261" s="4"/>
      <c r="AM261" s="4"/>
      <c r="AN261" s="4"/>
      <c r="AO261" s="4"/>
    </row>
    <row r="262" spans="1:41" x14ac:dyDescent="0.35">
      <c r="A262" s="4"/>
      <c r="B262" s="4"/>
      <c r="C262" s="4"/>
      <c r="D262" s="4"/>
      <c r="E262" s="4"/>
      <c r="F262" s="4"/>
      <c r="G262" s="4"/>
      <c r="H262" s="4"/>
      <c r="I262" s="4"/>
      <c r="J262" s="4"/>
      <c r="K262" s="4"/>
      <c r="L262" s="4"/>
      <c r="M262" s="4"/>
      <c r="N262" s="4"/>
      <c r="O262" s="4"/>
      <c r="P262" s="4"/>
      <c r="Q262" s="4"/>
      <c r="R262" s="4"/>
      <c r="S262" s="4"/>
      <c r="T262" s="4"/>
      <c r="U262" s="4"/>
      <c r="V262" s="4"/>
      <c r="W262" s="4"/>
      <c r="X262" s="4"/>
      <c r="Y262" s="4"/>
      <c r="Z262" s="4"/>
      <c r="AA262" s="4"/>
      <c r="AB262" s="4"/>
      <c r="AC262" s="4"/>
      <c r="AD262" s="4"/>
      <c r="AE262" s="4"/>
      <c r="AF262" s="4"/>
      <c r="AG262" s="4"/>
      <c r="AH262" s="4"/>
      <c r="AI262" s="4"/>
      <c r="AJ262" s="4"/>
      <c r="AK262" s="4"/>
      <c r="AL262" s="4"/>
      <c r="AM262" s="4"/>
      <c r="AN262" s="4"/>
      <c r="AO262" s="4"/>
    </row>
    <row r="263" spans="1:41" x14ac:dyDescent="0.35">
      <c r="A263" s="4"/>
      <c r="B263" s="4"/>
      <c r="C263" s="4"/>
      <c r="D263" s="4"/>
      <c r="E263" s="4"/>
      <c r="F263" s="4"/>
      <c r="G263" s="4"/>
      <c r="H263" s="4"/>
      <c r="I263" s="4"/>
      <c r="J263" s="4"/>
      <c r="K263" s="4"/>
      <c r="L263" s="4"/>
      <c r="M263" s="4"/>
      <c r="N263" s="4"/>
      <c r="O263" s="4"/>
      <c r="P263" s="4"/>
      <c r="Q263" s="4"/>
      <c r="R263" s="4"/>
      <c r="S263" s="4"/>
      <c r="T263" s="4"/>
      <c r="U263" s="4"/>
      <c r="V263" s="4"/>
      <c r="W263" s="4"/>
      <c r="X263" s="4"/>
      <c r="Y263" s="4"/>
      <c r="Z263" s="4"/>
      <c r="AA263" s="4"/>
      <c r="AB263" s="4"/>
      <c r="AC263" s="4"/>
      <c r="AD263" s="4"/>
      <c r="AE263" s="4"/>
      <c r="AF263" s="4"/>
      <c r="AG263" s="4"/>
      <c r="AH263" s="4"/>
      <c r="AI263" s="4"/>
      <c r="AJ263" s="4"/>
      <c r="AK263" s="4"/>
      <c r="AL263" s="4"/>
      <c r="AM263" s="4"/>
      <c r="AN263" s="4"/>
      <c r="AO263" s="4"/>
    </row>
    <row r="264" spans="1:41" x14ac:dyDescent="0.35">
      <c r="A264" s="4"/>
      <c r="B264" s="4"/>
      <c r="C264" s="4"/>
      <c r="D264" s="4"/>
      <c r="E264" s="4"/>
      <c r="F264" s="4"/>
      <c r="G264" s="4"/>
      <c r="H264" s="4"/>
      <c r="I264" s="4"/>
      <c r="J264" s="4"/>
      <c r="K264" s="4"/>
      <c r="L264" s="4"/>
      <c r="M264" s="4"/>
      <c r="N264" s="4"/>
      <c r="O264" s="4"/>
      <c r="P264" s="4"/>
      <c r="Q264" s="4"/>
      <c r="R264" s="4"/>
      <c r="S264" s="4"/>
      <c r="T264" s="4"/>
      <c r="U264" s="4"/>
      <c r="V264" s="4"/>
      <c r="W264" s="4"/>
      <c r="X264" s="4"/>
      <c r="Y264" s="4"/>
      <c r="Z264" s="4"/>
      <c r="AA264" s="4"/>
      <c r="AB264" s="4"/>
      <c r="AC264" s="4"/>
      <c r="AD264" s="4"/>
      <c r="AE264" s="4"/>
      <c r="AF264" s="4"/>
      <c r="AG264" s="4"/>
      <c r="AH264" s="4"/>
      <c r="AI264" s="4"/>
      <c r="AJ264" s="4"/>
      <c r="AK264" s="4"/>
      <c r="AL264" s="4"/>
      <c r="AM264" s="4"/>
      <c r="AN264" s="4"/>
      <c r="AO264" s="4"/>
    </row>
    <row r="265" spans="1:41" x14ac:dyDescent="0.35">
      <c r="A265" s="4"/>
      <c r="B265" s="4"/>
      <c r="C265" s="4"/>
      <c r="D265" s="4"/>
      <c r="E265" s="4"/>
      <c r="F265" s="4"/>
      <c r="G265" s="4"/>
      <c r="H265" s="4"/>
      <c r="I265" s="4"/>
      <c r="J265" s="4"/>
      <c r="K265" s="4"/>
      <c r="L265" s="4"/>
      <c r="M265" s="4"/>
      <c r="N265" s="4"/>
      <c r="O265" s="4"/>
      <c r="P265" s="4"/>
      <c r="Q265" s="4"/>
      <c r="R265" s="4"/>
      <c r="S265" s="4"/>
      <c r="T265" s="4"/>
      <c r="U265" s="4"/>
      <c r="V265" s="4"/>
      <c r="W265" s="4"/>
      <c r="X265" s="4"/>
      <c r="Y265" s="4"/>
      <c r="Z265" s="4"/>
      <c r="AA265" s="4"/>
      <c r="AB265" s="4"/>
      <c r="AC265" s="4"/>
      <c r="AD265" s="4"/>
      <c r="AE265" s="4"/>
      <c r="AF265" s="4"/>
      <c r="AG265" s="4"/>
      <c r="AH265" s="4"/>
      <c r="AI265" s="4"/>
      <c r="AJ265" s="4"/>
      <c r="AK265" s="4"/>
      <c r="AL265" s="4"/>
      <c r="AM265" s="4"/>
      <c r="AN265" s="4"/>
      <c r="AO265" s="4"/>
    </row>
    <row r="266" spans="1:41" x14ac:dyDescent="0.35">
      <c r="A266" s="4"/>
      <c r="B266" s="4"/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  <c r="V266" s="4"/>
      <c r="W266" s="4"/>
      <c r="X266" s="4"/>
      <c r="Y266" s="4"/>
      <c r="Z266" s="4"/>
      <c r="AA266" s="4"/>
      <c r="AB266" s="4"/>
      <c r="AC266" s="4"/>
      <c r="AD266" s="4"/>
      <c r="AE266" s="4"/>
      <c r="AF266" s="4"/>
      <c r="AG266" s="4"/>
      <c r="AH266" s="4"/>
      <c r="AI266" s="4"/>
      <c r="AJ266" s="4"/>
      <c r="AK266" s="4"/>
      <c r="AL266" s="4"/>
      <c r="AM266" s="4"/>
      <c r="AN266" s="4"/>
      <c r="AO266" s="4"/>
    </row>
    <row r="267" spans="1:41" x14ac:dyDescent="0.35">
      <c r="A267" s="4"/>
      <c r="B267" s="4"/>
      <c r="C267" s="4"/>
      <c r="D267" s="4"/>
      <c r="E267" s="4"/>
      <c r="F267" s="4"/>
      <c r="G267" s="4"/>
      <c r="H267" s="4"/>
      <c r="I267" s="4"/>
      <c r="J267" s="4"/>
      <c r="K267" s="4"/>
      <c r="L267" s="4"/>
      <c r="M267" s="4"/>
      <c r="N267" s="4"/>
      <c r="O267" s="4"/>
      <c r="P267" s="4"/>
      <c r="Q267" s="4"/>
      <c r="R267" s="4"/>
      <c r="S267" s="4"/>
      <c r="T267" s="4"/>
      <c r="U267" s="4"/>
      <c r="V267" s="4"/>
      <c r="W267" s="4"/>
      <c r="X267" s="4"/>
      <c r="Y267" s="4"/>
      <c r="Z267" s="4"/>
      <c r="AA267" s="4"/>
      <c r="AB267" s="4"/>
      <c r="AC267" s="4"/>
      <c r="AD267" s="4"/>
      <c r="AE267" s="4"/>
      <c r="AF267" s="4"/>
      <c r="AG267" s="4"/>
      <c r="AH267" s="4"/>
      <c r="AI267" s="4"/>
      <c r="AJ267" s="4"/>
      <c r="AK267" s="4"/>
      <c r="AL267" s="4"/>
      <c r="AM267" s="4"/>
      <c r="AN267" s="4"/>
      <c r="AO267" s="4"/>
    </row>
    <row r="268" spans="1:41" x14ac:dyDescent="0.35">
      <c r="A268" s="4"/>
      <c r="B268" s="4"/>
      <c r="C268" s="4"/>
      <c r="D268" s="4"/>
      <c r="E268" s="4"/>
      <c r="F268" s="4"/>
      <c r="G268" s="4"/>
      <c r="H268" s="4"/>
      <c r="I268" s="4"/>
      <c r="J268" s="4"/>
      <c r="K268" s="4"/>
      <c r="L268" s="4"/>
      <c r="M268" s="4"/>
      <c r="N268" s="4"/>
      <c r="O268" s="4"/>
      <c r="P268" s="4"/>
      <c r="Q268" s="4"/>
      <c r="R268" s="4"/>
      <c r="S268" s="4"/>
      <c r="T268" s="4"/>
      <c r="U268" s="4"/>
      <c r="V268" s="4"/>
      <c r="W268" s="4"/>
      <c r="X268" s="4"/>
      <c r="Y268" s="4"/>
      <c r="Z268" s="4"/>
      <c r="AA268" s="4"/>
      <c r="AB268" s="4"/>
      <c r="AC268" s="4"/>
      <c r="AD268" s="4"/>
      <c r="AE268" s="4"/>
      <c r="AF268" s="4"/>
      <c r="AG268" s="4"/>
      <c r="AH268" s="4"/>
      <c r="AI268" s="4"/>
      <c r="AJ268" s="4"/>
      <c r="AK268" s="4"/>
      <c r="AL268" s="4"/>
      <c r="AM268" s="4"/>
      <c r="AN268" s="4"/>
      <c r="AO268" s="4"/>
    </row>
    <row r="269" spans="1:41" x14ac:dyDescent="0.35">
      <c r="A269" s="4"/>
      <c r="B269" s="4"/>
      <c r="C269" s="4"/>
      <c r="D269" s="4"/>
      <c r="E269" s="4"/>
      <c r="F269" s="4"/>
      <c r="G269" s="4"/>
      <c r="H269" s="4"/>
      <c r="I269" s="4"/>
      <c r="J269" s="4"/>
      <c r="K269" s="4"/>
      <c r="L269" s="4"/>
      <c r="M269" s="4"/>
      <c r="N269" s="4"/>
      <c r="O269" s="4"/>
      <c r="P269" s="4"/>
      <c r="Q269" s="4"/>
      <c r="R269" s="4"/>
      <c r="S269" s="4"/>
      <c r="T269" s="4"/>
      <c r="U269" s="4"/>
      <c r="V269" s="4"/>
      <c r="W269" s="4"/>
      <c r="X269" s="4"/>
      <c r="Y269" s="4"/>
      <c r="Z269" s="4"/>
      <c r="AA269" s="4"/>
      <c r="AB269" s="4"/>
      <c r="AC269" s="4"/>
      <c r="AD269" s="4"/>
      <c r="AE269" s="4"/>
      <c r="AF269" s="4"/>
      <c r="AG269" s="4"/>
      <c r="AH269" s="4"/>
      <c r="AI269" s="4"/>
      <c r="AJ269" s="4"/>
      <c r="AK269" s="4"/>
      <c r="AL269" s="4"/>
      <c r="AM269" s="4"/>
      <c r="AN269" s="4"/>
      <c r="AO269" s="4"/>
    </row>
    <row r="270" spans="1:41" x14ac:dyDescent="0.35">
      <c r="A270" s="4"/>
      <c r="B270" s="4"/>
      <c r="C270" s="4"/>
      <c r="D270" s="4"/>
      <c r="E270" s="4"/>
      <c r="F270" s="4"/>
      <c r="G270" s="4"/>
      <c r="H270" s="4"/>
      <c r="I270" s="4"/>
      <c r="J270" s="4"/>
      <c r="K270" s="4"/>
      <c r="L270" s="4"/>
      <c r="M270" s="4"/>
      <c r="N270" s="4"/>
      <c r="O270" s="4"/>
      <c r="P270" s="4"/>
      <c r="Q270" s="4"/>
      <c r="R270" s="4"/>
      <c r="S270" s="4"/>
      <c r="T270" s="4"/>
      <c r="U270" s="4"/>
      <c r="V270" s="4"/>
      <c r="W270" s="4"/>
      <c r="X270" s="4"/>
      <c r="Y270" s="4"/>
      <c r="Z270" s="4"/>
      <c r="AA270" s="4"/>
      <c r="AB270" s="4"/>
      <c r="AC270" s="4"/>
      <c r="AD270" s="4"/>
      <c r="AE270" s="4"/>
      <c r="AF270" s="4"/>
      <c r="AG270" s="4"/>
      <c r="AH270" s="4"/>
      <c r="AI270" s="4"/>
      <c r="AJ270" s="4"/>
      <c r="AK270" s="4"/>
      <c r="AL270" s="4"/>
      <c r="AM270" s="4"/>
      <c r="AN270" s="4"/>
      <c r="AO270" s="4"/>
    </row>
    <row r="271" spans="1:41" x14ac:dyDescent="0.35">
      <c r="A271" s="4"/>
      <c r="B271" s="4"/>
      <c r="C271" s="4"/>
      <c r="D271" s="4"/>
      <c r="E271" s="4"/>
      <c r="F271" s="4"/>
      <c r="G271" s="4"/>
      <c r="H271" s="4"/>
      <c r="I271" s="4"/>
      <c r="J271" s="4"/>
      <c r="K271" s="4"/>
      <c r="L271" s="4"/>
      <c r="M271" s="4"/>
      <c r="N271" s="4"/>
      <c r="O271" s="4"/>
      <c r="P271" s="4"/>
      <c r="Q271" s="4"/>
      <c r="R271" s="4"/>
      <c r="S271" s="4"/>
      <c r="T271" s="4"/>
      <c r="U271" s="4"/>
      <c r="V271" s="4"/>
      <c r="W271" s="4"/>
      <c r="X271" s="4"/>
      <c r="Y271" s="4"/>
      <c r="Z271" s="4"/>
      <c r="AA271" s="4"/>
      <c r="AB271" s="4"/>
      <c r="AC271" s="4"/>
      <c r="AD271" s="4"/>
      <c r="AE271" s="4"/>
      <c r="AF271" s="4"/>
      <c r="AG271" s="4"/>
      <c r="AH271" s="4"/>
      <c r="AI271" s="4"/>
      <c r="AJ271" s="4"/>
      <c r="AK271" s="4"/>
      <c r="AL271" s="4"/>
      <c r="AM271" s="4"/>
      <c r="AN271" s="4"/>
      <c r="AO271" s="4"/>
    </row>
    <row r="272" spans="1:41" x14ac:dyDescent="0.35">
      <c r="A272" s="4"/>
      <c r="B272" s="4"/>
      <c r="C272" s="4"/>
      <c r="D272" s="4"/>
      <c r="E272" s="4"/>
      <c r="F272" s="4"/>
      <c r="G272" s="4"/>
      <c r="H272" s="4"/>
      <c r="I272" s="4"/>
      <c r="J272" s="4"/>
      <c r="K272" s="4"/>
      <c r="L272" s="4"/>
      <c r="M272" s="4"/>
      <c r="N272" s="4"/>
      <c r="O272" s="4"/>
      <c r="P272" s="4"/>
      <c r="Q272" s="4"/>
      <c r="R272" s="4"/>
      <c r="S272" s="4"/>
      <c r="T272" s="4"/>
      <c r="U272" s="4"/>
      <c r="V272" s="4"/>
      <c r="W272" s="4"/>
      <c r="X272" s="4"/>
      <c r="Y272" s="4"/>
      <c r="Z272" s="4"/>
      <c r="AA272" s="4"/>
      <c r="AB272" s="4"/>
      <c r="AC272" s="4"/>
      <c r="AD272" s="4"/>
      <c r="AE272" s="4"/>
      <c r="AF272" s="4"/>
      <c r="AG272" s="4"/>
      <c r="AH272" s="4"/>
      <c r="AI272" s="4"/>
      <c r="AJ272" s="4"/>
      <c r="AK272" s="4"/>
      <c r="AL272" s="4"/>
      <c r="AM272" s="4"/>
      <c r="AN272" s="4"/>
      <c r="AO272" s="4"/>
    </row>
    <row r="273" spans="1:41" x14ac:dyDescent="0.35">
      <c r="A273" s="4"/>
      <c r="B273" s="4"/>
      <c r="C273" s="4"/>
      <c r="D273" s="4"/>
      <c r="E273" s="4"/>
      <c r="F273" s="4"/>
      <c r="G273" s="4"/>
      <c r="H273" s="4"/>
      <c r="I273" s="4"/>
      <c r="J273" s="4"/>
      <c r="K273" s="4"/>
      <c r="L273" s="4"/>
      <c r="M273" s="4"/>
      <c r="N273" s="4"/>
      <c r="O273" s="4"/>
      <c r="P273" s="4"/>
      <c r="Q273" s="4"/>
      <c r="R273" s="4"/>
      <c r="S273" s="4"/>
      <c r="T273" s="4"/>
      <c r="U273" s="4"/>
      <c r="V273" s="4"/>
      <c r="W273" s="4"/>
      <c r="X273" s="4"/>
      <c r="Y273" s="4"/>
      <c r="Z273" s="4"/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4"/>
      <c r="AM273" s="4"/>
      <c r="AN273" s="4"/>
      <c r="AO273" s="4"/>
    </row>
    <row r="274" spans="1:41" x14ac:dyDescent="0.35">
      <c r="A274" s="4"/>
      <c r="B274" s="4"/>
      <c r="C274" s="4"/>
      <c r="D274" s="4"/>
      <c r="E274" s="4"/>
      <c r="F274" s="4"/>
      <c r="G274" s="4"/>
      <c r="H274" s="4"/>
      <c r="I274" s="4"/>
      <c r="J274" s="4"/>
      <c r="K274" s="4"/>
      <c r="L274" s="4"/>
      <c r="M274" s="4"/>
      <c r="N274" s="4"/>
      <c r="O274" s="4"/>
      <c r="P274" s="4"/>
      <c r="Q274" s="4"/>
      <c r="R274" s="4"/>
      <c r="S274" s="4"/>
      <c r="T274" s="4"/>
      <c r="U274" s="4"/>
      <c r="V274" s="4"/>
      <c r="W274" s="4"/>
      <c r="X274" s="4"/>
      <c r="Y274" s="4"/>
      <c r="Z274" s="4"/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4"/>
      <c r="AM274" s="4"/>
      <c r="AN274" s="4"/>
      <c r="AO274" s="4"/>
    </row>
    <row r="275" spans="1:41" x14ac:dyDescent="0.35">
      <c r="A275" s="4"/>
      <c r="B275" s="4"/>
      <c r="C275" s="4"/>
      <c r="D275" s="4"/>
      <c r="E275" s="4"/>
      <c r="F275" s="4"/>
      <c r="G275" s="4"/>
      <c r="H275" s="4"/>
      <c r="I275" s="4"/>
      <c r="J275" s="4"/>
      <c r="K275" s="4"/>
      <c r="L275" s="4"/>
      <c r="M275" s="4"/>
      <c r="N275" s="4"/>
      <c r="O275" s="4"/>
      <c r="P275" s="4"/>
      <c r="Q275" s="4"/>
      <c r="R275" s="4"/>
      <c r="S275" s="4"/>
      <c r="T275" s="4"/>
      <c r="U275" s="4"/>
      <c r="V275" s="4"/>
      <c r="W275" s="4"/>
      <c r="X275" s="4"/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/>
      <c r="AL275" s="4"/>
      <c r="AM275" s="4"/>
      <c r="AN275" s="4"/>
      <c r="AO275" s="4"/>
    </row>
    <row r="276" spans="1:41" x14ac:dyDescent="0.35">
      <c r="A276" s="4"/>
      <c r="B276" s="4"/>
      <c r="C276" s="4"/>
      <c r="D276" s="4"/>
      <c r="E276" s="4"/>
      <c r="F276" s="4"/>
      <c r="G276" s="4"/>
      <c r="H276" s="4"/>
      <c r="I276" s="4"/>
      <c r="J276" s="4"/>
      <c r="K276" s="4"/>
      <c r="L276" s="4"/>
      <c r="M276" s="4"/>
      <c r="N276" s="4"/>
      <c r="O276" s="4"/>
      <c r="P276" s="4"/>
      <c r="Q276" s="4"/>
      <c r="R276" s="4"/>
      <c r="S276" s="4"/>
      <c r="T276" s="4"/>
      <c r="U276" s="4"/>
      <c r="V276" s="4"/>
      <c r="W276" s="4"/>
      <c r="X276" s="4"/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/>
      <c r="AJ276" s="4"/>
      <c r="AK276" s="4"/>
      <c r="AL276" s="4"/>
      <c r="AM276" s="4"/>
      <c r="AN276" s="4"/>
      <c r="AO276" s="4"/>
    </row>
    <row r="277" spans="1:41" x14ac:dyDescent="0.35">
      <c r="A277" s="4"/>
      <c r="B277" s="4"/>
      <c r="C277" s="4"/>
      <c r="D277" s="4"/>
      <c r="E277" s="4"/>
      <c r="F277" s="4"/>
      <c r="G277" s="4"/>
      <c r="H277" s="4"/>
      <c r="I277" s="4"/>
      <c r="J277" s="4"/>
      <c r="K277" s="4"/>
      <c r="L277" s="4"/>
      <c r="M277" s="4"/>
      <c r="N277" s="4"/>
      <c r="O277" s="4"/>
      <c r="P277" s="4"/>
      <c r="Q277" s="4"/>
      <c r="R277" s="4"/>
      <c r="S277" s="4"/>
      <c r="T277" s="4"/>
      <c r="U277" s="4"/>
      <c r="V277" s="4"/>
      <c r="W277" s="4"/>
      <c r="X277" s="4"/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/>
      <c r="AJ277" s="4"/>
      <c r="AK277" s="4"/>
      <c r="AL277" s="4"/>
      <c r="AM277" s="4"/>
      <c r="AN277" s="4"/>
      <c r="AO277" s="4"/>
    </row>
    <row r="278" spans="1:41" x14ac:dyDescent="0.35">
      <c r="A278" s="4"/>
      <c r="B278" s="4"/>
      <c r="C278" s="4"/>
      <c r="D278" s="4"/>
      <c r="E278" s="4"/>
      <c r="F278" s="4"/>
      <c r="G278" s="4"/>
      <c r="H278" s="4"/>
      <c r="I278" s="4"/>
      <c r="J278" s="4"/>
      <c r="K278" s="4"/>
      <c r="L278" s="4"/>
      <c r="M278" s="4"/>
      <c r="N278" s="4"/>
      <c r="O278" s="4"/>
      <c r="P278" s="4"/>
      <c r="Q278" s="4"/>
      <c r="R278" s="4"/>
      <c r="S278" s="4"/>
      <c r="T278" s="4"/>
      <c r="U278" s="4"/>
      <c r="V278" s="4"/>
      <c r="W278" s="4"/>
      <c r="X278" s="4"/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/>
      <c r="AJ278" s="4"/>
      <c r="AK278" s="4"/>
      <c r="AL278" s="4"/>
      <c r="AM278" s="4"/>
      <c r="AN278" s="4"/>
      <c r="AO278" s="4"/>
    </row>
    <row r="279" spans="1:41" x14ac:dyDescent="0.35">
      <c r="A279" s="4"/>
      <c r="B279" s="4"/>
      <c r="C279" s="4"/>
      <c r="D279" s="4"/>
      <c r="E279" s="4"/>
      <c r="F279" s="4"/>
      <c r="G279" s="4"/>
      <c r="H279" s="4"/>
      <c r="I279" s="4"/>
      <c r="J279" s="4"/>
      <c r="K279" s="4"/>
      <c r="L279" s="4"/>
      <c r="M279" s="4"/>
      <c r="N279" s="4"/>
      <c r="O279" s="4"/>
      <c r="P279" s="4"/>
      <c r="Q279" s="4"/>
      <c r="R279" s="4"/>
      <c r="S279" s="4"/>
      <c r="T279" s="4"/>
      <c r="U279" s="4"/>
      <c r="V279" s="4"/>
      <c r="W279" s="4"/>
      <c r="X279" s="4"/>
      <c r="Y279" s="4"/>
      <c r="Z279" s="4"/>
      <c r="AA279" s="4"/>
      <c r="AB279" s="4"/>
      <c r="AC279" s="4"/>
      <c r="AD279" s="4"/>
      <c r="AE279" s="4"/>
      <c r="AF279" s="4"/>
      <c r="AG279" s="4"/>
      <c r="AH279" s="4"/>
      <c r="AI279" s="4"/>
      <c r="AJ279" s="4"/>
      <c r="AK279" s="4"/>
      <c r="AL279" s="4"/>
      <c r="AM279" s="4"/>
      <c r="AN279" s="4"/>
      <c r="AO279" s="4"/>
    </row>
    <row r="280" spans="1:41" x14ac:dyDescent="0.35">
      <c r="A280" s="4"/>
      <c r="B280" s="4"/>
      <c r="C280" s="4"/>
      <c r="D280" s="4"/>
      <c r="E280" s="4"/>
      <c r="F280" s="4"/>
      <c r="G280" s="4"/>
      <c r="H280" s="4"/>
      <c r="I280" s="4"/>
      <c r="J280" s="4"/>
      <c r="K280" s="4"/>
      <c r="L280" s="4"/>
      <c r="M280" s="4"/>
      <c r="N280" s="4"/>
      <c r="O280" s="4"/>
      <c r="P280" s="4"/>
      <c r="Q280" s="4"/>
      <c r="R280" s="4"/>
      <c r="S280" s="4"/>
      <c r="T280" s="4"/>
      <c r="U280" s="4"/>
      <c r="V280" s="4"/>
      <c r="W280" s="4"/>
      <c r="X280" s="4"/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4"/>
      <c r="AM280" s="4"/>
      <c r="AN280" s="4"/>
      <c r="AO280" s="4"/>
    </row>
    <row r="281" spans="1:41" x14ac:dyDescent="0.35">
      <c r="A281" s="4"/>
      <c r="B281" s="4"/>
      <c r="C281" s="4"/>
      <c r="D281" s="4"/>
      <c r="E281" s="4"/>
      <c r="F281" s="4"/>
      <c r="G281" s="4"/>
      <c r="H281" s="4"/>
      <c r="I281" s="4"/>
      <c r="J281" s="4"/>
      <c r="K281" s="4"/>
      <c r="L281" s="4"/>
      <c r="M281" s="4"/>
      <c r="N281" s="4"/>
      <c r="O281" s="4"/>
      <c r="P281" s="4"/>
      <c r="Q281" s="4"/>
      <c r="R281" s="4"/>
      <c r="S281" s="4"/>
      <c r="T281" s="4"/>
      <c r="U281" s="4"/>
      <c r="V281" s="4"/>
      <c r="W281" s="4"/>
      <c r="X281" s="4"/>
      <c r="Y281" s="4"/>
      <c r="Z281" s="4"/>
      <c r="AA281" s="4"/>
      <c r="AB281" s="4"/>
      <c r="AC281" s="4"/>
      <c r="AD281" s="4"/>
      <c r="AE281" s="4"/>
      <c r="AF281" s="4"/>
      <c r="AG281" s="4"/>
      <c r="AH281" s="4"/>
      <c r="AI281" s="4"/>
      <c r="AJ281" s="4"/>
      <c r="AK281" s="4"/>
      <c r="AL281" s="4"/>
      <c r="AM281" s="4"/>
      <c r="AN281" s="4"/>
      <c r="AO281" s="4"/>
    </row>
    <row r="282" spans="1:41" x14ac:dyDescent="0.35">
      <c r="A282" s="4"/>
      <c r="B282" s="4"/>
      <c r="C282" s="4"/>
      <c r="D282" s="4"/>
      <c r="E282" s="4"/>
      <c r="F282" s="4"/>
      <c r="G282" s="4"/>
      <c r="H282" s="4"/>
      <c r="I282" s="4"/>
      <c r="J282" s="4"/>
      <c r="K282" s="4"/>
      <c r="L282" s="4"/>
      <c r="M282" s="4"/>
      <c r="N282" s="4"/>
      <c r="O282" s="4"/>
      <c r="P282" s="4"/>
      <c r="Q282" s="4"/>
      <c r="R282" s="4"/>
      <c r="S282" s="4"/>
      <c r="T282" s="4"/>
      <c r="U282" s="4"/>
      <c r="V282" s="4"/>
      <c r="W282" s="4"/>
      <c r="X282" s="4"/>
      <c r="Y282" s="4"/>
      <c r="Z282" s="4"/>
      <c r="AA282" s="4"/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4"/>
      <c r="AM282" s="4"/>
      <c r="AN282" s="4"/>
      <c r="AO282" s="4"/>
    </row>
    <row r="283" spans="1:41" x14ac:dyDescent="0.35">
      <c r="A283" s="4"/>
      <c r="B283" s="4"/>
      <c r="C283" s="4"/>
      <c r="D283" s="4"/>
      <c r="E283" s="4"/>
      <c r="F283" s="4"/>
      <c r="G283" s="4"/>
      <c r="H283" s="4"/>
      <c r="I283" s="4"/>
      <c r="J283" s="4"/>
      <c r="K283" s="4"/>
      <c r="L283" s="4"/>
      <c r="M283" s="4"/>
      <c r="N283" s="4"/>
      <c r="O283" s="4"/>
      <c r="P283" s="4"/>
      <c r="Q283" s="4"/>
      <c r="R283" s="4"/>
      <c r="S283" s="4"/>
      <c r="T283" s="4"/>
      <c r="U283" s="4"/>
      <c r="V283" s="4"/>
      <c r="W283" s="4"/>
      <c r="X283" s="4"/>
      <c r="Y283" s="4"/>
      <c r="Z283" s="4"/>
      <c r="AA283" s="4"/>
      <c r="AB283" s="4"/>
      <c r="AC283" s="4"/>
      <c r="AD283" s="4"/>
      <c r="AE283" s="4"/>
      <c r="AF283" s="4"/>
      <c r="AG283" s="4"/>
      <c r="AH283" s="4"/>
      <c r="AI283" s="4"/>
      <c r="AJ283" s="4"/>
      <c r="AK283" s="4"/>
      <c r="AL283" s="4"/>
      <c r="AM283" s="4"/>
      <c r="AN283" s="4"/>
      <c r="AO283" s="4"/>
    </row>
    <row r="284" spans="1:41" x14ac:dyDescent="0.35">
      <c r="A284" s="4"/>
      <c r="B284" s="4"/>
      <c r="C284" s="4"/>
      <c r="D284" s="4"/>
      <c r="E284" s="4"/>
      <c r="F284" s="4"/>
      <c r="G284" s="4"/>
      <c r="H284" s="4"/>
      <c r="I284" s="4"/>
      <c r="J284" s="4"/>
      <c r="K284" s="4"/>
      <c r="L284" s="4"/>
      <c r="M284" s="4"/>
      <c r="N284" s="4"/>
      <c r="O284" s="4"/>
      <c r="P284" s="4"/>
      <c r="Q284" s="4"/>
      <c r="R284" s="4"/>
      <c r="S284" s="4"/>
      <c r="T284" s="4"/>
      <c r="U284" s="4"/>
      <c r="V284" s="4"/>
      <c r="W284" s="4"/>
      <c r="X284" s="4"/>
      <c r="Y284" s="4"/>
      <c r="Z284" s="4"/>
      <c r="AA284" s="4"/>
      <c r="AB284" s="4"/>
      <c r="AC284" s="4"/>
      <c r="AD284" s="4"/>
      <c r="AE284" s="4"/>
      <c r="AF284" s="4"/>
      <c r="AG284" s="4"/>
      <c r="AH284" s="4"/>
      <c r="AI284" s="4"/>
      <c r="AJ284" s="4"/>
      <c r="AK284" s="4"/>
      <c r="AL284" s="4"/>
      <c r="AM284" s="4"/>
      <c r="AN284" s="4"/>
      <c r="AO284" s="4"/>
    </row>
    <row r="285" spans="1:41" x14ac:dyDescent="0.35">
      <c r="A285" s="4"/>
      <c r="B285" s="4"/>
      <c r="C285" s="4"/>
      <c r="D285" s="4"/>
      <c r="E285" s="4"/>
      <c r="F285" s="4"/>
      <c r="G285" s="4"/>
      <c r="H285" s="4"/>
      <c r="I285" s="4"/>
      <c r="J285" s="4"/>
      <c r="K285" s="4"/>
      <c r="L285" s="4"/>
      <c r="M285" s="4"/>
      <c r="N285" s="4"/>
      <c r="O285" s="4"/>
      <c r="P285" s="4"/>
      <c r="Q285" s="4"/>
      <c r="R285" s="4"/>
      <c r="S285" s="4"/>
      <c r="T285" s="4"/>
      <c r="U285" s="4"/>
      <c r="V285" s="4"/>
      <c r="W285" s="4"/>
      <c r="X285" s="4"/>
      <c r="Y285" s="4"/>
      <c r="Z285" s="4"/>
      <c r="AA285" s="4"/>
      <c r="AB285" s="4"/>
      <c r="AC285" s="4"/>
      <c r="AD285" s="4"/>
      <c r="AE285" s="4"/>
      <c r="AF285" s="4"/>
      <c r="AG285" s="4"/>
      <c r="AH285" s="4"/>
      <c r="AI285" s="4"/>
      <c r="AJ285" s="4"/>
      <c r="AK285" s="4"/>
      <c r="AL285" s="4"/>
      <c r="AM285" s="4"/>
      <c r="AN285" s="4"/>
      <c r="AO285" s="4"/>
    </row>
    <row r="286" spans="1:41" x14ac:dyDescent="0.35">
      <c r="A286" s="4"/>
      <c r="B286" s="4"/>
      <c r="C286" s="4"/>
      <c r="D286" s="4"/>
      <c r="E286" s="4"/>
      <c r="F286" s="4"/>
      <c r="G286" s="4"/>
      <c r="H286" s="4"/>
      <c r="I286" s="4"/>
      <c r="J286" s="4"/>
      <c r="K286" s="4"/>
      <c r="L286" s="4"/>
      <c r="M286" s="4"/>
      <c r="N286" s="4"/>
      <c r="O286" s="4"/>
      <c r="P286" s="4"/>
      <c r="Q286" s="4"/>
      <c r="R286" s="4"/>
      <c r="S286" s="4"/>
      <c r="T286" s="4"/>
      <c r="U286" s="4"/>
      <c r="V286" s="4"/>
      <c r="W286" s="4"/>
      <c r="X286" s="4"/>
      <c r="Y286" s="4"/>
      <c r="Z286" s="4"/>
      <c r="AA286" s="4"/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4"/>
      <c r="AM286" s="4"/>
      <c r="AN286" s="4"/>
      <c r="AO286" s="4"/>
    </row>
    <row r="287" spans="1:41" x14ac:dyDescent="0.35">
      <c r="A287" s="4"/>
      <c r="B287" s="4"/>
      <c r="C287" s="4"/>
      <c r="D287" s="4"/>
      <c r="E287" s="4"/>
      <c r="F287" s="4"/>
      <c r="G287" s="4"/>
      <c r="H287" s="4"/>
      <c r="I287" s="4"/>
      <c r="J287" s="4"/>
      <c r="K287" s="4"/>
      <c r="L287" s="4"/>
      <c r="M287" s="4"/>
      <c r="N287" s="4"/>
      <c r="O287" s="4"/>
      <c r="P287" s="4"/>
      <c r="Q287" s="4"/>
      <c r="R287" s="4"/>
      <c r="S287" s="4"/>
      <c r="T287" s="4"/>
      <c r="U287" s="4"/>
      <c r="V287" s="4"/>
      <c r="W287" s="4"/>
      <c r="X287" s="4"/>
      <c r="Y287" s="4"/>
      <c r="Z287" s="4"/>
      <c r="AA287" s="4"/>
      <c r="AB287" s="4"/>
      <c r="AC287" s="4"/>
      <c r="AD287" s="4"/>
      <c r="AE287" s="4"/>
      <c r="AF287" s="4"/>
      <c r="AG287" s="4"/>
      <c r="AH287" s="4"/>
      <c r="AI287" s="4"/>
      <c r="AJ287" s="4"/>
      <c r="AK287" s="4"/>
      <c r="AL287" s="4"/>
      <c r="AM287" s="4"/>
      <c r="AN287" s="4"/>
      <c r="AO287" s="4"/>
    </row>
    <row r="288" spans="1:41" x14ac:dyDescent="0.35">
      <c r="A288" s="4"/>
      <c r="B288" s="4"/>
      <c r="C288" s="4"/>
      <c r="D288" s="4"/>
      <c r="E288" s="4"/>
      <c r="F288" s="4"/>
      <c r="G288" s="4"/>
      <c r="H288" s="4"/>
      <c r="I288" s="4"/>
      <c r="J288" s="4"/>
      <c r="K288" s="4"/>
      <c r="L288" s="4"/>
      <c r="M288" s="4"/>
      <c r="N288" s="4"/>
      <c r="O288" s="4"/>
      <c r="P288" s="4"/>
      <c r="Q288" s="4"/>
      <c r="R288" s="4"/>
      <c r="S288" s="4"/>
      <c r="T288" s="4"/>
      <c r="U288" s="4"/>
      <c r="V288" s="4"/>
      <c r="W288" s="4"/>
      <c r="X288" s="4"/>
      <c r="Y288" s="4"/>
      <c r="Z288" s="4"/>
      <c r="AA288" s="4"/>
      <c r="AB288" s="4"/>
      <c r="AC288" s="4"/>
      <c r="AD288" s="4"/>
      <c r="AE288" s="4"/>
      <c r="AF288" s="4"/>
      <c r="AG288" s="4"/>
      <c r="AH288" s="4"/>
      <c r="AI288" s="4"/>
      <c r="AJ288" s="4"/>
      <c r="AK288" s="4"/>
      <c r="AL288" s="4"/>
      <c r="AM288" s="4"/>
      <c r="AN288" s="4"/>
      <c r="AO288" s="4"/>
    </row>
  </sheetData>
  <sheetProtection selectLockedCells="1" selectUnlockedCells="1"/>
  <mergeCells count="19">
    <mergeCell ref="B83:G83"/>
    <mergeCell ref="A28:V30"/>
    <mergeCell ref="A52:V54"/>
    <mergeCell ref="B98:G98"/>
    <mergeCell ref="A7:V9"/>
    <mergeCell ref="B11:G11"/>
    <mergeCell ref="B48:G48"/>
    <mergeCell ref="B72:G72"/>
    <mergeCell ref="B32:G32"/>
    <mergeCell ref="B56:G56"/>
    <mergeCell ref="Y28:AO30"/>
    <mergeCell ref="Y7:AO9"/>
    <mergeCell ref="H77:V79"/>
    <mergeCell ref="Y77:AO79"/>
    <mergeCell ref="Y52:AO54"/>
    <mergeCell ref="W7:X9"/>
    <mergeCell ref="W28:X30"/>
    <mergeCell ref="W52:X54"/>
    <mergeCell ref="W77:X79"/>
  </mergeCells>
  <pageMargins left="0.511811024" right="0.511811024" top="0.78740157499999996" bottom="0.78740157499999996" header="0.31496062000000002" footer="0.31496062000000002"/>
  <pageSetup paperSize="8" orientation="landscape" r:id="rId1"/>
  <ignoredErrors>
    <ignoredError sqref="A15:V18 A51 A48 C48:V48 A36:V47 A32 C32:V32 A60:V71 A56 C56:V56 A76:V76 A72 C72:V72 A87:V97 A83 C83:V83 A100 A33:D33 F33:V33 A49:D49 F49:V49 A57:D57 F57:V57 A73:D73 F73:V73 A84:D84 F84:V84 A99:D99 F99:V99 A58 H58:V58 A74 H74:V74 A85 H85:V85 H100:V100 A13 A34 A50 A80:V82 A77:G77 A78:G79 A31:V31 A53:V55 B52:V52 H34:V34 H50:V50 H13:V13 A14 H14:V14 A35 H35:V35 H51:V51 A59 H59:V59 A75 H75:V75 A86 H86:V86 A20:V27 A19 I19:V19 W7:X79 A98 H98:V98" unlockedFormula="1"/>
  </ignoredError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2EDF72-0897-4CBE-A515-C5B89E5DF515}">
  <sheetPr codeName="Planilha2"/>
  <dimension ref="A1:X121"/>
  <sheetViews>
    <sheetView showGridLines="0" zoomScale="70" zoomScaleNormal="70" workbookViewId="0">
      <pane ySplit="5" topLeftCell="A6" activePane="bottomLeft" state="frozen"/>
      <selection pane="bottomLeft"/>
    </sheetView>
  </sheetViews>
  <sheetFormatPr defaultRowHeight="14.5" x14ac:dyDescent="0.35"/>
  <cols>
    <col min="1" max="1" width="60" hidden="1" customWidth="1"/>
    <col min="2" max="2" width="8.81640625" hidden="1" customWidth="1"/>
    <col min="3" max="3" width="10.54296875" hidden="1" customWidth="1"/>
    <col min="4" max="4" width="60" bestFit="1" customWidth="1"/>
    <col min="5" max="5" width="25.453125" bestFit="1" customWidth="1"/>
    <col min="6" max="6" width="31.453125" bestFit="1" customWidth="1"/>
    <col min="7" max="7" width="11.7265625" bestFit="1" customWidth="1"/>
    <col min="8" max="8" width="17.7265625" bestFit="1" customWidth="1"/>
    <col min="9" max="9" width="15.7265625" customWidth="1"/>
    <col min="10" max="10" width="9.1796875" customWidth="1"/>
  </cols>
  <sheetData>
    <row r="1" spans="1:24" x14ac:dyDescent="0.35"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</row>
    <row r="2" spans="1:24" x14ac:dyDescent="0.35"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</row>
    <row r="3" spans="1:24" x14ac:dyDescent="0.35"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</row>
    <row r="4" spans="1:24" x14ac:dyDescent="0.35"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</row>
    <row r="5" spans="1:24" ht="15.75" customHeight="1" x14ac:dyDescent="0.35"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</row>
    <row r="6" spans="1:24" ht="15.75" customHeight="1" thickBot="1" x14ac:dyDescent="0.4"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</row>
    <row r="7" spans="1:24" ht="15" customHeight="1" x14ac:dyDescent="0.35">
      <c r="C7" s="157" t="s">
        <v>31</v>
      </c>
      <c r="D7" s="158"/>
      <c r="E7" s="158"/>
      <c r="F7" s="158"/>
      <c r="G7" s="158"/>
      <c r="H7" s="158"/>
      <c r="I7" s="158"/>
      <c r="J7" s="158"/>
      <c r="K7" s="158"/>
      <c r="L7" s="158"/>
      <c r="M7" s="158"/>
      <c r="N7" s="158"/>
      <c r="O7" s="158"/>
      <c r="P7" s="158"/>
      <c r="Q7" s="158"/>
      <c r="R7" s="158"/>
      <c r="S7" s="158"/>
      <c r="T7" s="158"/>
      <c r="U7" s="158"/>
      <c r="V7" s="158"/>
      <c r="W7" s="158"/>
      <c r="X7" s="159"/>
    </row>
    <row r="8" spans="1:24" ht="15" customHeight="1" x14ac:dyDescent="0.35">
      <c r="C8" s="160"/>
      <c r="D8" s="161"/>
      <c r="E8" s="161"/>
      <c r="F8" s="161"/>
      <c r="G8" s="161"/>
      <c r="H8" s="161"/>
      <c r="I8" s="161"/>
      <c r="J8" s="161"/>
      <c r="K8" s="161"/>
      <c r="L8" s="161"/>
      <c r="M8" s="161"/>
      <c r="N8" s="161"/>
      <c r="O8" s="161"/>
      <c r="P8" s="161"/>
      <c r="Q8" s="161"/>
      <c r="R8" s="161"/>
      <c r="S8" s="161"/>
      <c r="T8" s="161"/>
      <c r="U8" s="161"/>
      <c r="V8" s="161"/>
      <c r="W8" s="161"/>
      <c r="X8" s="162"/>
    </row>
    <row r="9" spans="1:24" ht="15.75" customHeight="1" thickBot="1" x14ac:dyDescent="0.4">
      <c r="C9" s="163"/>
      <c r="D9" s="164"/>
      <c r="E9" s="164"/>
      <c r="F9" s="164"/>
      <c r="G9" s="164"/>
      <c r="H9" s="164"/>
      <c r="I9" s="164"/>
      <c r="J9" s="164"/>
      <c r="K9" s="164"/>
      <c r="L9" s="164"/>
      <c r="M9" s="164"/>
      <c r="N9" s="164"/>
      <c r="O9" s="164"/>
      <c r="P9" s="164"/>
      <c r="Q9" s="164"/>
      <c r="R9" s="164"/>
      <c r="S9" s="164"/>
      <c r="T9" s="164"/>
      <c r="U9" s="164"/>
      <c r="V9" s="164"/>
      <c r="W9" s="164"/>
      <c r="X9" s="165"/>
    </row>
    <row r="10" spans="1:24" x14ac:dyDescent="0.35">
      <c r="C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</row>
    <row r="11" spans="1:24" x14ac:dyDescent="0.35"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</row>
    <row r="12" spans="1:24" ht="30" customHeight="1" x14ac:dyDescent="0.35"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</row>
    <row r="13" spans="1:24" ht="30" customHeight="1" x14ac:dyDescent="0.35"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</row>
    <row r="14" spans="1:24" ht="30" customHeight="1" x14ac:dyDescent="0.35"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</row>
    <row r="15" spans="1:24" ht="15" thickBot="1" x14ac:dyDescent="0.4"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</row>
    <row r="16" spans="1:24" ht="15" thickBot="1" x14ac:dyDescent="0.4">
      <c r="A16" s="78" t="s">
        <v>27</v>
      </c>
      <c r="B16" s="6">
        <v>19</v>
      </c>
      <c r="C16" s="65">
        <v>0.15</v>
      </c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</row>
    <row r="17" spans="1:24" ht="15" thickBot="1" x14ac:dyDescent="0.4">
      <c r="A17" s="78">
        <f>ANA!AR19</f>
        <v>0</v>
      </c>
      <c r="B17" s="6">
        <f>ANA!AU19</f>
        <v>0</v>
      </c>
      <c r="C17" s="65">
        <f>ANA!AV19</f>
        <v>0</v>
      </c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</row>
    <row r="18" spans="1:24" ht="15" thickBot="1" x14ac:dyDescent="0.4">
      <c r="A18" s="78">
        <f>ANA!AR20</f>
        <v>0</v>
      </c>
      <c r="B18" s="6">
        <f>ANA!AU20</f>
        <v>0</v>
      </c>
      <c r="C18" s="65">
        <f>ANA!AV20</f>
        <v>0</v>
      </c>
    </row>
    <row r="19" spans="1:24" ht="15" thickBot="1" x14ac:dyDescent="0.4">
      <c r="A19" s="78">
        <f>ANA!AR21</f>
        <v>0</v>
      </c>
      <c r="B19" s="6">
        <f>ANA!AU21</f>
        <v>0</v>
      </c>
      <c r="C19" s="65">
        <f>ANA!AV21</f>
        <v>0</v>
      </c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</row>
    <row r="20" spans="1:24" x14ac:dyDescent="0.35">
      <c r="A20" s="78">
        <f>ANA!AR22</f>
        <v>0</v>
      </c>
      <c r="B20" s="6">
        <f>ANA!AU22</f>
        <v>0</v>
      </c>
      <c r="C20" s="65">
        <f>ANA!AV22</f>
        <v>0</v>
      </c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</row>
    <row r="21" spans="1:24" x14ac:dyDescent="0.35">
      <c r="C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</row>
    <row r="22" spans="1:24" x14ac:dyDescent="0.35">
      <c r="C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</row>
    <row r="23" spans="1:24" x14ac:dyDescent="0.35">
      <c r="C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</row>
    <row r="24" spans="1:24" x14ac:dyDescent="0.35">
      <c r="C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</row>
    <row r="25" spans="1:24" x14ac:dyDescent="0.35">
      <c r="C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</row>
    <row r="26" spans="1:24" ht="30" customHeight="1" x14ac:dyDescent="0.35">
      <c r="C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</row>
    <row r="27" spans="1:24" ht="30" customHeight="1" x14ac:dyDescent="0.35">
      <c r="C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</row>
    <row r="28" spans="1:24" x14ac:dyDescent="0.35"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</row>
    <row r="29" spans="1:24" x14ac:dyDescent="0.35"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</row>
    <row r="30" spans="1:24" x14ac:dyDescent="0.35"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</row>
    <row r="31" spans="1:24" x14ac:dyDescent="0.35"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</row>
    <row r="32" spans="1:24" x14ac:dyDescent="0.35"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</row>
    <row r="33" spans="3:24" x14ac:dyDescent="0.35"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</row>
    <row r="34" spans="3:24" x14ac:dyDescent="0.35"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</row>
    <row r="35" spans="3:24" x14ac:dyDescent="0.35"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</row>
    <row r="36" spans="3:24" x14ac:dyDescent="0.35"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</row>
    <row r="37" spans="3:24" x14ac:dyDescent="0.35"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</row>
    <row r="38" spans="3:24" x14ac:dyDescent="0.35"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</row>
    <row r="39" spans="3:24" x14ac:dyDescent="0.35"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</row>
    <row r="40" spans="3:24" x14ac:dyDescent="0.35"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</row>
    <row r="41" spans="3:24" x14ac:dyDescent="0.35"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</row>
    <row r="42" spans="3:24" x14ac:dyDescent="0.35"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</row>
    <row r="43" spans="3:24" x14ac:dyDescent="0.35"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</row>
    <row r="44" spans="3:24" x14ac:dyDescent="0.35"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</row>
    <row r="45" spans="3:24" x14ac:dyDescent="0.35"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</row>
    <row r="46" spans="3:24" x14ac:dyDescent="0.35"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</row>
    <row r="47" spans="3:24" x14ac:dyDescent="0.35"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</row>
    <row r="48" spans="3:24" x14ac:dyDescent="0.35"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</row>
    <row r="49" spans="3:24" x14ac:dyDescent="0.35"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</row>
    <row r="50" spans="3:24" x14ac:dyDescent="0.35"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</row>
    <row r="51" spans="3:24" x14ac:dyDescent="0.35"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</row>
    <row r="52" spans="3:24" x14ac:dyDescent="0.35"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</row>
    <row r="53" spans="3:24" x14ac:dyDescent="0.35"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</row>
    <row r="54" spans="3:24" x14ac:dyDescent="0.35"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</row>
    <row r="55" spans="3:24" x14ac:dyDescent="0.35"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</row>
    <row r="56" spans="3:24" x14ac:dyDescent="0.35"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</row>
    <row r="57" spans="3:24" x14ac:dyDescent="0.35"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</row>
    <row r="58" spans="3:24" x14ac:dyDescent="0.35"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</row>
    <row r="59" spans="3:24" x14ac:dyDescent="0.35"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</row>
    <row r="60" spans="3:24" x14ac:dyDescent="0.35"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</row>
    <row r="61" spans="3:24" x14ac:dyDescent="0.35"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</row>
    <row r="62" spans="3:24" x14ac:dyDescent="0.35"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</row>
    <row r="63" spans="3:24" x14ac:dyDescent="0.35"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</row>
    <row r="64" spans="3:24" x14ac:dyDescent="0.35"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</row>
    <row r="65" spans="3:24" x14ac:dyDescent="0.35"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</row>
    <row r="66" spans="3:24" x14ac:dyDescent="0.35"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</row>
    <row r="67" spans="3:24" x14ac:dyDescent="0.35"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</row>
    <row r="68" spans="3:24" x14ac:dyDescent="0.35"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</row>
    <row r="69" spans="3:24" x14ac:dyDescent="0.35"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</row>
    <row r="70" spans="3:24" x14ac:dyDescent="0.35"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</row>
    <row r="71" spans="3:24" x14ac:dyDescent="0.35"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</row>
    <row r="72" spans="3:24" x14ac:dyDescent="0.35"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</row>
    <row r="73" spans="3:24" x14ac:dyDescent="0.35"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</row>
    <row r="74" spans="3:24" x14ac:dyDescent="0.35"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</row>
    <row r="75" spans="3:24" x14ac:dyDescent="0.35"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</row>
    <row r="76" spans="3:24" x14ac:dyDescent="0.35"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</row>
    <row r="77" spans="3:24" x14ac:dyDescent="0.35"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</row>
    <row r="78" spans="3:24" x14ac:dyDescent="0.35"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</row>
    <row r="79" spans="3:24" x14ac:dyDescent="0.35"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</row>
    <row r="80" spans="3:24" x14ac:dyDescent="0.35"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</row>
    <row r="81" spans="3:24" x14ac:dyDescent="0.35"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</row>
    <row r="82" spans="3:24" x14ac:dyDescent="0.35"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</row>
    <row r="83" spans="3:24" x14ac:dyDescent="0.35"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</row>
    <row r="84" spans="3:24" x14ac:dyDescent="0.35"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</row>
    <row r="85" spans="3:24" x14ac:dyDescent="0.35"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</row>
    <row r="86" spans="3:24" x14ac:dyDescent="0.35"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</row>
    <row r="87" spans="3:24" x14ac:dyDescent="0.35"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</row>
    <row r="88" spans="3:24" x14ac:dyDescent="0.35"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</row>
    <row r="89" spans="3:24" x14ac:dyDescent="0.35"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</row>
    <row r="90" spans="3:24" x14ac:dyDescent="0.35"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</row>
    <row r="91" spans="3:24" x14ac:dyDescent="0.35"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</row>
    <row r="92" spans="3:24" x14ac:dyDescent="0.35"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</row>
    <row r="93" spans="3:24" x14ac:dyDescent="0.35"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</row>
    <row r="94" spans="3:24" x14ac:dyDescent="0.35"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</row>
    <row r="95" spans="3:24" x14ac:dyDescent="0.35"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</row>
    <row r="96" spans="3:24" x14ac:dyDescent="0.35"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</row>
    <row r="97" spans="3:24" x14ac:dyDescent="0.35"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</row>
    <row r="98" spans="3:24" x14ac:dyDescent="0.35"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</row>
    <row r="99" spans="3:24" x14ac:dyDescent="0.35"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</row>
    <row r="100" spans="3:24" x14ac:dyDescent="0.35"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</row>
    <row r="101" spans="3:24" x14ac:dyDescent="0.35"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</row>
    <row r="102" spans="3:24" x14ac:dyDescent="0.35"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4"/>
    </row>
    <row r="103" spans="3:24" x14ac:dyDescent="0.35"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</row>
    <row r="104" spans="3:24" x14ac:dyDescent="0.35"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</row>
    <row r="105" spans="3:24" x14ac:dyDescent="0.35"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</row>
    <row r="106" spans="3:24" x14ac:dyDescent="0.35"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</row>
    <row r="107" spans="3:24" x14ac:dyDescent="0.35"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</row>
    <row r="108" spans="3:24" x14ac:dyDescent="0.35"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4"/>
    </row>
    <row r="109" spans="3:24" x14ac:dyDescent="0.35"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</row>
    <row r="110" spans="3:24" x14ac:dyDescent="0.35"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</row>
    <row r="111" spans="3:24" x14ac:dyDescent="0.35"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4"/>
    </row>
    <row r="112" spans="3:24" x14ac:dyDescent="0.35"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</row>
    <row r="113" spans="3:24" x14ac:dyDescent="0.35"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</row>
    <row r="114" spans="3:24" x14ac:dyDescent="0.35"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4"/>
      <c r="X114" s="4"/>
    </row>
    <row r="115" spans="3:24" x14ac:dyDescent="0.35"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</row>
    <row r="116" spans="3:24" x14ac:dyDescent="0.35"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</row>
    <row r="117" spans="3:24" x14ac:dyDescent="0.35"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</row>
    <row r="118" spans="3:24" x14ac:dyDescent="0.35"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</row>
    <row r="119" spans="3:24" x14ac:dyDescent="0.35"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</row>
    <row r="120" spans="3:24" x14ac:dyDescent="0.35"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4"/>
      <c r="X120" s="4"/>
    </row>
    <row r="121" spans="3:24" x14ac:dyDescent="0.35"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</row>
  </sheetData>
  <sheetProtection selectLockedCells="1" selectUnlockedCells="1"/>
  <mergeCells count="1">
    <mergeCell ref="C7:X9"/>
  </mergeCells>
  <pageMargins left="0.511811024" right="0.511811024" top="0.78740157499999996" bottom="0.78740157499999996" header="0.31496062000000002" footer="0.31496062000000002"/>
  <pageSetup paperSize="8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ANA</vt:lpstr>
      <vt:lpstr>PA ANA</vt:lpstr>
      <vt:lpstr>ADERÊNCIA</vt:lpstr>
      <vt:lpstr>% DE DESVIO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Gabriel Honorato</dc:creator>
  <cp:lastModifiedBy>Maiza Porto</cp:lastModifiedBy>
  <cp:lastPrinted>2022-09-27T19:29:13Z</cp:lastPrinted>
  <dcterms:created xsi:type="dcterms:W3CDTF">2022-08-31T13:32:23Z</dcterms:created>
  <dcterms:modified xsi:type="dcterms:W3CDTF">2023-10-27T15:55:08Z</dcterms:modified>
</cp:coreProperties>
</file>