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iza.porto\Desktop\Marco - Outubro 2023\"/>
    </mc:Choice>
  </mc:AlternateContent>
  <xr:revisionPtr revIDLastSave="0" documentId="13_ncr:1_{EA67B568-A42D-4222-B2E8-08B305B314A5}" xr6:coauthVersionLast="47" xr6:coauthVersionMax="47" xr10:uidLastSave="{00000000-0000-0000-0000-000000000000}"/>
  <bookViews>
    <workbookView xWindow="28680" yWindow="-120" windowWidth="29040" windowHeight="15840" tabRatio="855" xr2:uid="{FCF3E4BD-C91C-4330-B31E-E3BC2B293FBE}"/>
  </bookViews>
  <sheets>
    <sheet name="ROGERIO" sheetId="8" r:id="rId1"/>
    <sheet name="PA ROGERIO" sheetId="15" r:id="rId2"/>
    <sheet name="ADERÊNCIA" sheetId="11" state="hidden" r:id="rId3"/>
  </sheets>
  <externalReferences>
    <externalReference r:id="rId4"/>
  </externalReferences>
  <definedNames>
    <definedName name="_xlnm._FilterDatabase" localSheetId="0" hidden="1">ROGERIO!$A$4:$AB$992</definedName>
    <definedName name="primeiro" localSheetId="1">'PA ROGERIO'!#REF!</definedName>
    <definedName name="primeiro" localSheetId="0">ROGERIO!#REF!</definedName>
    <definedName name="primeir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50" i="8" l="1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E50" i="8"/>
  <c r="D50" i="8"/>
  <c r="C50" i="8"/>
  <c r="X992" i="8"/>
  <c r="W992" i="8"/>
  <c r="V992" i="8"/>
  <c r="U992" i="8"/>
  <c r="T992" i="8"/>
  <c r="S992" i="8"/>
  <c r="R992" i="8"/>
  <c r="Q992" i="8"/>
  <c r="P992" i="8"/>
  <c r="O992" i="8"/>
  <c r="N992" i="8"/>
  <c r="M992" i="8"/>
  <c r="L992" i="8"/>
  <c r="K992" i="8"/>
  <c r="J992" i="8"/>
  <c r="I992" i="8"/>
  <c r="H992" i="8"/>
  <c r="G992" i="8"/>
  <c r="F992" i="8"/>
  <c r="E992" i="8"/>
  <c r="D992" i="8"/>
  <c r="C992" i="8"/>
  <c r="X991" i="8"/>
  <c r="W991" i="8"/>
  <c r="V991" i="8"/>
  <c r="U991" i="8"/>
  <c r="T991" i="8"/>
  <c r="S991" i="8"/>
  <c r="R991" i="8"/>
  <c r="Q991" i="8"/>
  <c r="P991" i="8"/>
  <c r="O991" i="8"/>
  <c r="N991" i="8"/>
  <c r="M991" i="8"/>
  <c r="L991" i="8"/>
  <c r="K991" i="8"/>
  <c r="J991" i="8"/>
  <c r="I991" i="8"/>
  <c r="H991" i="8"/>
  <c r="G991" i="8"/>
  <c r="F991" i="8"/>
  <c r="E991" i="8"/>
  <c r="D991" i="8"/>
  <c r="C991" i="8"/>
  <c r="X990" i="8"/>
  <c r="W990" i="8"/>
  <c r="AQ990" i="8" s="1"/>
  <c r="AR990" i="8" s="1"/>
  <c r="V990" i="8"/>
  <c r="U990" i="8"/>
  <c r="T990" i="8"/>
  <c r="S990" i="8"/>
  <c r="R990" i="8"/>
  <c r="Q990" i="8"/>
  <c r="P990" i="8"/>
  <c r="O990" i="8"/>
  <c r="N990" i="8"/>
  <c r="M990" i="8"/>
  <c r="L990" i="8"/>
  <c r="K990" i="8"/>
  <c r="J990" i="8"/>
  <c r="I990" i="8"/>
  <c r="H990" i="8"/>
  <c r="G990" i="8"/>
  <c r="F990" i="8"/>
  <c r="E990" i="8"/>
  <c r="D990" i="8"/>
  <c r="C990" i="8"/>
  <c r="X989" i="8"/>
  <c r="W989" i="8"/>
  <c r="V989" i="8"/>
  <c r="U989" i="8"/>
  <c r="T989" i="8"/>
  <c r="S989" i="8"/>
  <c r="R989" i="8"/>
  <c r="Q989" i="8"/>
  <c r="P989" i="8"/>
  <c r="O989" i="8"/>
  <c r="N989" i="8"/>
  <c r="M989" i="8"/>
  <c r="L989" i="8"/>
  <c r="K989" i="8"/>
  <c r="J989" i="8"/>
  <c r="I989" i="8"/>
  <c r="H989" i="8"/>
  <c r="G989" i="8"/>
  <c r="F989" i="8"/>
  <c r="E989" i="8"/>
  <c r="D989" i="8"/>
  <c r="C989" i="8"/>
  <c r="X986" i="8"/>
  <c r="W986" i="8"/>
  <c r="V986" i="8"/>
  <c r="U986" i="8"/>
  <c r="T986" i="8"/>
  <c r="S986" i="8"/>
  <c r="R986" i="8"/>
  <c r="Q986" i="8"/>
  <c r="P986" i="8"/>
  <c r="O986" i="8"/>
  <c r="N986" i="8"/>
  <c r="M986" i="8"/>
  <c r="L986" i="8"/>
  <c r="K986" i="8"/>
  <c r="J986" i="8"/>
  <c r="I986" i="8"/>
  <c r="H986" i="8"/>
  <c r="G986" i="8"/>
  <c r="F986" i="8"/>
  <c r="E986" i="8"/>
  <c r="D986" i="8"/>
  <c r="C986" i="8"/>
  <c r="X984" i="8"/>
  <c r="W984" i="8"/>
  <c r="V984" i="8"/>
  <c r="U984" i="8"/>
  <c r="T984" i="8"/>
  <c r="S984" i="8"/>
  <c r="R984" i="8"/>
  <c r="Q984" i="8"/>
  <c r="P984" i="8"/>
  <c r="O984" i="8"/>
  <c r="N984" i="8"/>
  <c r="M984" i="8"/>
  <c r="L984" i="8"/>
  <c r="K984" i="8"/>
  <c r="J984" i="8"/>
  <c r="I984" i="8"/>
  <c r="H984" i="8"/>
  <c r="G984" i="8"/>
  <c r="F984" i="8"/>
  <c r="E984" i="8"/>
  <c r="D984" i="8"/>
  <c r="C984" i="8"/>
  <c r="X983" i="8"/>
  <c r="W983" i="8"/>
  <c r="V983" i="8"/>
  <c r="U983" i="8"/>
  <c r="T983" i="8"/>
  <c r="S983" i="8"/>
  <c r="R983" i="8"/>
  <c r="Q983" i="8"/>
  <c r="P983" i="8"/>
  <c r="O983" i="8"/>
  <c r="N983" i="8"/>
  <c r="M983" i="8"/>
  <c r="L983" i="8"/>
  <c r="K983" i="8"/>
  <c r="J983" i="8"/>
  <c r="I983" i="8"/>
  <c r="H983" i="8"/>
  <c r="G983" i="8"/>
  <c r="F983" i="8"/>
  <c r="E983" i="8"/>
  <c r="D983" i="8"/>
  <c r="C983" i="8"/>
  <c r="X982" i="8"/>
  <c r="W982" i="8"/>
  <c r="V982" i="8"/>
  <c r="U982" i="8"/>
  <c r="T982" i="8"/>
  <c r="S982" i="8"/>
  <c r="R982" i="8"/>
  <c r="Q982" i="8"/>
  <c r="P982" i="8"/>
  <c r="O982" i="8"/>
  <c r="N982" i="8"/>
  <c r="M982" i="8"/>
  <c r="L982" i="8"/>
  <c r="K982" i="8"/>
  <c r="J982" i="8"/>
  <c r="I982" i="8"/>
  <c r="H982" i="8"/>
  <c r="G982" i="8"/>
  <c r="F982" i="8"/>
  <c r="E982" i="8"/>
  <c r="D982" i="8"/>
  <c r="C982" i="8"/>
  <c r="X980" i="8"/>
  <c r="W980" i="8"/>
  <c r="AQ980" i="8" s="1"/>
  <c r="AR980" i="8" s="1"/>
  <c r="V980" i="8"/>
  <c r="U980" i="8"/>
  <c r="T980" i="8"/>
  <c r="S980" i="8"/>
  <c r="R980" i="8"/>
  <c r="Q980" i="8"/>
  <c r="P980" i="8"/>
  <c r="O980" i="8"/>
  <c r="N980" i="8"/>
  <c r="M980" i="8"/>
  <c r="L980" i="8"/>
  <c r="K980" i="8"/>
  <c r="J980" i="8"/>
  <c r="I980" i="8"/>
  <c r="H980" i="8"/>
  <c r="G980" i="8"/>
  <c r="F980" i="8"/>
  <c r="E980" i="8"/>
  <c r="D980" i="8"/>
  <c r="C980" i="8"/>
  <c r="X979" i="8"/>
  <c r="W979" i="8"/>
  <c r="V979" i="8"/>
  <c r="U979" i="8"/>
  <c r="T979" i="8"/>
  <c r="S979" i="8"/>
  <c r="R979" i="8"/>
  <c r="Q979" i="8"/>
  <c r="P979" i="8"/>
  <c r="O979" i="8"/>
  <c r="N979" i="8"/>
  <c r="M979" i="8"/>
  <c r="L979" i="8"/>
  <c r="K979" i="8"/>
  <c r="J979" i="8"/>
  <c r="I979" i="8"/>
  <c r="H979" i="8"/>
  <c r="G979" i="8"/>
  <c r="F979" i="8"/>
  <c r="E979" i="8"/>
  <c r="D979" i="8"/>
  <c r="C979" i="8"/>
  <c r="X978" i="8"/>
  <c r="W978" i="8"/>
  <c r="AQ978" i="8" s="1"/>
  <c r="AR978" i="8" s="1"/>
  <c r="V978" i="8"/>
  <c r="U978" i="8"/>
  <c r="T978" i="8"/>
  <c r="S978" i="8"/>
  <c r="R978" i="8"/>
  <c r="Q978" i="8"/>
  <c r="P978" i="8"/>
  <c r="O978" i="8"/>
  <c r="N978" i="8"/>
  <c r="M978" i="8"/>
  <c r="L978" i="8"/>
  <c r="K978" i="8"/>
  <c r="J978" i="8"/>
  <c r="I978" i="8"/>
  <c r="H978" i="8"/>
  <c r="G978" i="8"/>
  <c r="F978" i="8"/>
  <c r="E978" i="8"/>
  <c r="D978" i="8"/>
  <c r="C978" i="8"/>
  <c r="X977" i="8"/>
  <c r="W977" i="8"/>
  <c r="V977" i="8"/>
  <c r="U977" i="8"/>
  <c r="T977" i="8"/>
  <c r="S977" i="8"/>
  <c r="R977" i="8"/>
  <c r="Q977" i="8"/>
  <c r="P977" i="8"/>
  <c r="O977" i="8"/>
  <c r="N977" i="8"/>
  <c r="M977" i="8"/>
  <c r="L977" i="8"/>
  <c r="K977" i="8"/>
  <c r="J977" i="8"/>
  <c r="I977" i="8"/>
  <c r="H977" i="8"/>
  <c r="G977" i="8"/>
  <c r="F977" i="8"/>
  <c r="E977" i="8"/>
  <c r="D977" i="8"/>
  <c r="C977" i="8"/>
  <c r="X975" i="8"/>
  <c r="W975" i="8"/>
  <c r="V975" i="8"/>
  <c r="U975" i="8"/>
  <c r="T975" i="8"/>
  <c r="S975" i="8"/>
  <c r="R975" i="8"/>
  <c r="Q975" i="8"/>
  <c r="P975" i="8"/>
  <c r="O975" i="8"/>
  <c r="N975" i="8"/>
  <c r="M975" i="8"/>
  <c r="L975" i="8"/>
  <c r="K975" i="8"/>
  <c r="J975" i="8"/>
  <c r="I975" i="8"/>
  <c r="H975" i="8"/>
  <c r="G975" i="8"/>
  <c r="F975" i="8"/>
  <c r="E975" i="8"/>
  <c r="D975" i="8"/>
  <c r="C975" i="8"/>
  <c r="X974" i="8"/>
  <c r="W974" i="8"/>
  <c r="V974" i="8"/>
  <c r="U974" i="8"/>
  <c r="T974" i="8"/>
  <c r="S974" i="8"/>
  <c r="R974" i="8"/>
  <c r="Q974" i="8"/>
  <c r="P974" i="8"/>
  <c r="O974" i="8"/>
  <c r="N974" i="8"/>
  <c r="M974" i="8"/>
  <c r="L974" i="8"/>
  <c r="K974" i="8"/>
  <c r="J974" i="8"/>
  <c r="I974" i="8"/>
  <c r="H974" i="8"/>
  <c r="G974" i="8"/>
  <c r="F974" i="8"/>
  <c r="E974" i="8"/>
  <c r="D974" i="8"/>
  <c r="C974" i="8"/>
  <c r="X973" i="8"/>
  <c r="W973" i="8"/>
  <c r="AQ973" i="8" s="1"/>
  <c r="AR973" i="8" s="1"/>
  <c r="V973" i="8"/>
  <c r="U973" i="8"/>
  <c r="T973" i="8"/>
  <c r="S973" i="8"/>
  <c r="R973" i="8"/>
  <c r="Q973" i="8"/>
  <c r="P973" i="8"/>
  <c r="O973" i="8"/>
  <c r="N973" i="8"/>
  <c r="M973" i="8"/>
  <c r="L973" i="8"/>
  <c r="K973" i="8"/>
  <c r="J973" i="8"/>
  <c r="I973" i="8"/>
  <c r="H973" i="8"/>
  <c r="G973" i="8"/>
  <c r="F973" i="8"/>
  <c r="E973" i="8"/>
  <c r="D973" i="8"/>
  <c r="C973" i="8"/>
  <c r="X972" i="8"/>
  <c r="W972" i="8"/>
  <c r="V972" i="8"/>
  <c r="U972" i="8"/>
  <c r="T972" i="8"/>
  <c r="S972" i="8"/>
  <c r="R972" i="8"/>
  <c r="Q972" i="8"/>
  <c r="P972" i="8"/>
  <c r="O972" i="8"/>
  <c r="N972" i="8"/>
  <c r="M972" i="8"/>
  <c r="L972" i="8"/>
  <c r="K972" i="8"/>
  <c r="J972" i="8"/>
  <c r="I972" i="8"/>
  <c r="H972" i="8"/>
  <c r="G972" i="8"/>
  <c r="F972" i="8"/>
  <c r="E972" i="8"/>
  <c r="D972" i="8"/>
  <c r="C972" i="8"/>
  <c r="X971" i="8"/>
  <c r="W971" i="8"/>
  <c r="AQ971" i="8" s="1"/>
  <c r="AR971" i="8" s="1"/>
  <c r="V971" i="8"/>
  <c r="U971" i="8"/>
  <c r="T971" i="8"/>
  <c r="S971" i="8"/>
  <c r="R971" i="8"/>
  <c r="Q971" i="8"/>
  <c r="P971" i="8"/>
  <c r="O971" i="8"/>
  <c r="N971" i="8"/>
  <c r="M971" i="8"/>
  <c r="L971" i="8"/>
  <c r="K971" i="8"/>
  <c r="J971" i="8"/>
  <c r="I971" i="8"/>
  <c r="H971" i="8"/>
  <c r="G971" i="8"/>
  <c r="F971" i="8"/>
  <c r="E971" i="8"/>
  <c r="D971" i="8"/>
  <c r="C971" i="8"/>
  <c r="X970" i="8"/>
  <c r="W970" i="8"/>
  <c r="V970" i="8"/>
  <c r="U970" i="8"/>
  <c r="T970" i="8"/>
  <c r="S970" i="8"/>
  <c r="R970" i="8"/>
  <c r="Q970" i="8"/>
  <c r="P970" i="8"/>
  <c r="O970" i="8"/>
  <c r="N970" i="8"/>
  <c r="M970" i="8"/>
  <c r="L970" i="8"/>
  <c r="K970" i="8"/>
  <c r="J970" i="8"/>
  <c r="I970" i="8"/>
  <c r="H970" i="8"/>
  <c r="G970" i="8"/>
  <c r="F970" i="8"/>
  <c r="E970" i="8"/>
  <c r="D970" i="8"/>
  <c r="C970" i="8"/>
  <c r="X968" i="8"/>
  <c r="W968" i="8"/>
  <c r="V968" i="8"/>
  <c r="U968" i="8"/>
  <c r="T968" i="8"/>
  <c r="S968" i="8"/>
  <c r="R968" i="8"/>
  <c r="Q968" i="8"/>
  <c r="P968" i="8"/>
  <c r="O968" i="8"/>
  <c r="N968" i="8"/>
  <c r="M968" i="8"/>
  <c r="L968" i="8"/>
  <c r="K968" i="8"/>
  <c r="J968" i="8"/>
  <c r="I968" i="8"/>
  <c r="H968" i="8"/>
  <c r="G968" i="8"/>
  <c r="F968" i="8"/>
  <c r="E968" i="8"/>
  <c r="D968" i="8"/>
  <c r="C968" i="8"/>
  <c r="X967" i="8"/>
  <c r="W967" i="8"/>
  <c r="V967" i="8"/>
  <c r="U967" i="8"/>
  <c r="T967" i="8"/>
  <c r="S967" i="8"/>
  <c r="R967" i="8"/>
  <c r="Q967" i="8"/>
  <c r="P967" i="8"/>
  <c r="O967" i="8"/>
  <c r="N967" i="8"/>
  <c r="M967" i="8"/>
  <c r="L967" i="8"/>
  <c r="K967" i="8"/>
  <c r="J967" i="8"/>
  <c r="I967" i="8"/>
  <c r="H967" i="8"/>
  <c r="G967" i="8"/>
  <c r="F967" i="8"/>
  <c r="E967" i="8"/>
  <c r="D967" i="8"/>
  <c r="C967" i="8"/>
  <c r="X966" i="8"/>
  <c r="W966" i="8"/>
  <c r="AQ966" i="8" s="1"/>
  <c r="AR966" i="8" s="1"/>
  <c r="V966" i="8"/>
  <c r="U966" i="8"/>
  <c r="T966" i="8"/>
  <c r="S966" i="8"/>
  <c r="R966" i="8"/>
  <c r="Q966" i="8"/>
  <c r="P966" i="8"/>
  <c r="O966" i="8"/>
  <c r="N966" i="8"/>
  <c r="M966" i="8"/>
  <c r="L966" i="8"/>
  <c r="K966" i="8"/>
  <c r="J966" i="8"/>
  <c r="I966" i="8"/>
  <c r="H966" i="8"/>
  <c r="G966" i="8"/>
  <c r="F966" i="8"/>
  <c r="E966" i="8"/>
  <c r="D966" i="8"/>
  <c r="C966" i="8"/>
  <c r="X965" i="8"/>
  <c r="W965" i="8"/>
  <c r="V965" i="8"/>
  <c r="U965" i="8"/>
  <c r="T965" i="8"/>
  <c r="S965" i="8"/>
  <c r="R965" i="8"/>
  <c r="Q965" i="8"/>
  <c r="P965" i="8"/>
  <c r="O965" i="8"/>
  <c r="N965" i="8"/>
  <c r="M965" i="8"/>
  <c r="L965" i="8"/>
  <c r="K965" i="8"/>
  <c r="J965" i="8"/>
  <c r="I965" i="8"/>
  <c r="H965" i="8"/>
  <c r="G965" i="8"/>
  <c r="F965" i="8"/>
  <c r="E965" i="8"/>
  <c r="D965" i="8"/>
  <c r="C965" i="8"/>
  <c r="X964" i="8"/>
  <c r="W964" i="8"/>
  <c r="AQ964" i="8" s="1"/>
  <c r="AR964" i="8" s="1"/>
  <c r="V964" i="8"/>
  <c r="U964" i="8"/>
  <c r="T964" i="8"/>
  <c r="S964" i="8"/>
  <c r="R964" i="8"/>
  <c r="Q964" i="8"/>
  <c r="P964" i="8"/>
  <c r="O964" i="8"/>
  <c r="N964" i="8"/>
  <c r="M964" i="8"/>
  <c r="L964" i="8"/>
  <c r="K964" i="8"/>
  <c r="J964" i="8"/>
  <c r="I964" i="8"/>
  <c r="H964" i="8"/>
  <c r="G964" i="8"/>
  <c r="F964" i="8"/>
  <c r="E964" i="8"/>
  <c r="D964" i="8"/>
  <c r="C964" i="8"/>
  <c r="X963" i="8"/>
  <c r="W963" i="8"/>
  <c r="V963" i="8"/>
  <c r="U963" i="8"/>
  <c r="T963" i="8"/>
  <c r="S963" i="8"/>
  <c r="R963" i="8"/>
  <c r="Q963" i="8"/>
  <c r="P963" i="8"/>
  <c r="O963" i="8"/>
  <c r="N963" i="8"/>
  <c r="M963" i="8"/>
  <c r="L963" i="8"/>
  <c r="K963" i="8"/>
  <c r="J963" i="8"/>
  <c r="I963" i="8"/>
  <c r="H963" i="8"/>
  <c r="G963" i="8"/>
  <c r="F963" i="8"/>
  <c r="E963" i="8"/>
  <c r="D963" i="8"/>
  <c r="C963" i="8"/>
  <c r="X961" i="8"/>
  <c r="W961" i="8"/>
  <c r="AQ961" i="8" s="1"/>
  <c r="AR961" i="8" s="1"/>
  <c r="V961" i="8"/>
  <c r="U961" i="8"/>
  <c r="T961" i="8"/>
  <c r="S961" i="8"/>
  <c r="R961" i="8"/>
  <c r="Q961" i="8"/>
  <c r="P961" i="8"/>
  <c r="O961" i="8"/>
  <c r="N961" i="8"/>
  <c r="M961" i="8"/>
  <c r="L961" i="8"/>
  <c r="K961" i="8"/>
  <c r="J961" i="8"/>
  <c r="I961" i="8"/>
  <c r="H961" i="8"/>
  <c r="G961" i="8"/>
  <c r="F961" i="8"/>
  <c r="E961" i="8"/>
  <c r="D961" i="8"/>
  <c r="C961" i="8"/>
  <c r="X960" i="8"/>
  <c r="W960" i="8"/>
  <c r="V960" i="8"/>
  <c r="U960" i="8"/>
  <c r="T960" i="8"/>
  <c r="S960" i="8"/>
  <c r="R960" i="8"/>
  <c r="Q960" i="8"/>
  <c r="P960" i="8"/>
  <c r="O960" i="8"/>
  <c r="N960" i="8"/>
  <c r="M960" i="8"/>
  <c r="L960" i="8"/>
  <c r="K960" i="8"/>
  <c r="J960" i="8"/>
  <c r="I960" i="8"/>
  <c r="H960" i="8"/>
  <c r="G960" i="8"/>
  <c r="F960" i="8"/>
  <c r="E960" i="8"/>
  <c r="D960" i="8"/>
  <c r="C960" i="8"/>
  <c r="X959" i="8"/>
  <c r="W959" i="8"/>
  <c r="AQ959" i="8" s="1"/>
  <c r="AR959" i="8" s="1"/>
  <c r="V959" i="8"/>
  <c r="U959" i="8"/>
  <c r="T959" i="8"/>
  <c r="S959" i="8"/>
  <c r="R959" i="8"/>
  <c r="Q959" i="8"/>
  <c r="P959" i="8"/>
  <c r="O959" i="8"/>
  <c r="N959" i="8"/>
  <c r="M959" i="8"/>
  <c r="L959" i="8"/>
  <c r="K959" i="8"/>
  <c r="J959" i="8"/>
  <c r="I959" i="8"/>
  <c r="H959" i="8"/>
  <c r="G959" i="8"/>
  <c r="F959" i="8"/>
  <c r="E959" i="8"/>
  <c r="D959" i="8"/>
  <c r="C959" i="8"/>
  <c r="X958" i="8"/>
  <c r="W958" i="8"/>
  <c r="V958" i="8"/>
  <c r="U958" i="8"/>
  <c r="T958" i="8"/>
  <c r="S958" i="8"/>
  <c r="R958" i="8"/>
  <c r="Q958" i="8"/>
  <c r="P958" i="8"/>
  <c r="O958" i="8"/>
  <c r="N958" i="8"/>
  <c r="M958" i="8"/>
  <c r="L958" i="8"/>
  <c r="K958" i="8"/>
  <c r="J958" i="8"/>
  <c r="I958" i="8"/>
  <c r="H958" i="8"/>
  <c r="G958" i="8"/>
  <c r="F958" i="8"/>
  <c r="E958" i="8"/>
  <c r="D958" i="8"/>
  <c r="C958" i="8"/>
  <c r="X957" i="8"/>
  <c r="W957" i="8"/>
  <c r="AQ957" i="8" s="1"/>
  <c r="AR957" i="8" s="1"/>
  <c r="V957" i="8"/>
  <c r="U957" i="8"/>
  <c r="T957" i="8"/>
  <c r="S957" i="8"/>
  <c r="R957" i="8"/>
  <c r="Q957" i="8"/>
  <c r="P957" i="8"/>
  <c r="O957" i="8"/>
  <c r="N957" i="8"/>
  <c r="M957" i="8"/>
  <c r="L957" i="8"/>
  <c r="K957" i="8"/>
  <c r="J957" i="8"/>
  <c r="I957" i="8"/>
  <c r="H957" i="8"/>
  <c r="G957" i="8"/>
  <c r="F957" i="8"/>
  <c r="E957" i="8"/>
  <c r="D957" i="8"/>
  <c r="C957" i="8"/>
  <c r="X956" i="8"/>
  <c r="W956" i="8"/>
  <c r="V956" i="8"/>
  <c r="U956" i="8"/>
  <c r="T956" i="8"/>
  <c r="S956" i="8"/>
  <c r="R956" i="8"/>
  <c r="Q956" i="8"/>
  <c r="P956" i="8"/>
  <c r="O956" i="8"/>
  <c r="N956" i="8"/>
  <c r="M956" i="8"/>
  <c r="L956" i="8"/>
  <c r="K956" i="8"/>
  <c r="J956" i="8"/>
  <c r="I956" i="8"/>
  <c r="H956" i="8"/>
  <c r="G956" i="8"/>
  <c r="F956" i="8"/>
  <c r="E956" i="8"/>
  <c r="D956" i="8"/>
  <c r="C956" i="8"/>
  <c r="X954" i="8"/>
  <c r="W954" i="8"/>
  <c r="AQ954" i="8" s="1"/>
  <c r="AR954" i="8" s="1"/>
  <c r="V954" i="8"/>
  <c r="U954" i="8"/>
  <c r="T954" i="8"/>
  <c r="S954" i="8"/>
  <c r="R954" i="8"/>
  <c r="Q954" i="8"/>
  <c r="P954" i="8"/>
  <c r="O954" i="8"/>
  <c r="N954" i="8"/>
  <c r="M954" i="8"/>
  <c r="L954" i="8"/>
  <c r="K954" i="8"/>
  <c r="J954" i="8"/>
  <c r="I954" i="8"/>
  <c r="H954" i="8"/>
  <c r="G954" i="8"/>
  <c r="F954" i="8"/>
  <c r="E954" i="8"/>
  <c r="D954" i="8"/>
  <c r="C954" i="8"/>
  <c r="X953" i="8"/>
  <c r="W953" i="8"/>
  <c r="V953" i="8"/>
  <c r="U953" i="8"/>
  <c r="T953" i="8"/>
  <c r="S953" i="8"/>
  <c r="R953" i="8"/>
  <c r="Q953" i="8"/>
  <c r="P953" i="8"/>
  <c r="O953" i="8"/>
  <c r="N953" i="8"/>
  <c r="M953" i="8"/>
  <c r="L953" i="8"/>
  <c r="K953" i="8"/>
  <c r="J953" i="8"/>
  <c r="I953" i="8"/>
  <c r="H953" i="8"/>
  <c r="G953" i="8"/>
  <c r="F953" i="8"/>
  <c r="E953" i="8"/>
  <c r="D953" i="8"/>
  <c r="C953" i="8"/>
  <c r="X952" i="8"/>
  <c r="W952" i="8"/>
  <c r="AQ952" i="8" s="1"/>
  <c r="AR952" i="8" s="1"/>
  <c r="V952" i="8"/>
  <c r="U952" i="8"/>
  <c r="T952" i="8"/>
  <c r="S952" i="8"/>
  <c r="R952" i="8"/>
  <c r="Q952" i="8"/>
  <c r="P952" i="8"/>
  <c r="O952" i="8"/>
  <c r="N952" i="8"/>
  <c r="M952" i="8"/>
  <c r="L952" i="8"/>
  <c r="K952" i="8"/>
  <c r="J952" i="8"/>
  <c r="I952" i="8"/>
  <c r="H952" i="8"/>
  <c r="G952" i="8"/>
  <c r="F952" i="8"/>
  <c r="E952" i="8"/>
  <c r="D952" i="8"/>
  <c r="C952" i="8"/>
  <c r="X951" i="8"/>
  <c r="W951" i="8"/>
  <c r="V951" i="8"/>
  <c r="U951" i="8"/>
  <c r="T951" i="8"/>
  <c r="S951" i="8"/>
  <c r="R951" i="8"/>
  <c r="Q951" i="8"/>
  <c r="P951" i="8"/>
  <c r="O951" i="8"/>
  <c r="N951" i="8"/>
  <c r="M951" i="8"/>
  <c r="L951" i="8"/>
  <c r="K951" i="8"/>
  <c r="J951" i="8"/>
  <c r="I951" i="8"/>
  <c r="H951" i="8"/>
  <c r="G951" i="8"/>
  <c r="F951" i="8"/>
  <c r="E951" i="8"/>
  <c r="D951" i="8"/>
  <c r="C951" i="8"/>
  <c r="X950" i="8"/>
  <c r="W950" i="8"/>
  <c r="AQ950" i="8" s="1"/>
  <c r="AR950" i="8" s="1"/>
  <c r="V950" i="8"/>
  <c r="U950" i="8"/>
  <c r="T950" i="8"/>
  <c r="S950" i="8"/>
  <c r="R950" i="8"/>
  <c r="Q950" i="8"/>
  <c r="P950" i="8"/>
  <c r="O950" i="8"/>
  <c r="N950" i="8"/>
  <c r="M950" i="8"/>
  <c r="L950" i="8"/>
  <c r="K950" i="8"/>
  <c r="J950" i="8"/>
  <c r="I950" i="8"/>
  <c r="H950" i="8"/>
  <c r="G950" i="8"/>
  <c r="F950" i="8"/>
  <c r="E950" i="8"/>
  <c r="D950" i="8"/>
  <c r="C950" i="8"/>
  <c r="X948" i="8"/>
  <c r="W948" i="8"/>
  <c r="V948" i="8"/>
  <c r="U948" i="8"/>
  <c r="T948" i="8"/>
  <c r="S948" i="8"/>
  <c r="R948" i="8"/>
  <c r="Q948" i="8"/>
  <c r="P948" i="8"/>
  <c r="O948" i="8"/>
  <c r="N948" i="8"/>
  <c r="M948" i="8"/>
  <c r="L948" i="8"/>
  <c r="K948" i="8"/>
  <c r="J948" i="8"/>
  <c r="I948" i="8"/>
  <c r="H948" i="8"/>
  <c r="G948" i="8"/>
  <c r="F948" i="8"/>
  <c r="E948" i="8"/>
  <c r="D948" i="8"/>
  <c r="C948" i="8"/>
  <c r="X946" i="8"/>
  <c r="W946" i="8"/>
  <c r="V946" i="8"/>
  <c r="U946" i="8"/>
  <c r="T946" i="8"/>
  <c r="S946" i="8"/>
  <c r="R946" i="8"/>
  <c r="Q946" i="8"/>
  <c r="P946" i="8"/>
  <c r="O946" i="8"/>
  <c r="N946" i="8"/>
  <c r="M946" i="8"/>
  <c r="L946" i="8"/>
  <c r="K946" i="8"/>
  <c r="J946" i="8"/>
  <c r="I946" i="8"/>
  <c r="H946" i="8"/>
  <c r="G946" i="8"/>
  <c r="F946" i="8"/>
  <c r="E946" i="8"/>
  <c r="D946" i="8"/>
  <c r="C946" i="8"/>
  <c r="X945" i="8"/>
  <c r="W945" i="8"/>
  <c r="V945" i="8"/>
  <c r="U945" i="8"/>
  <c r="T945" i="8"/>
  <c r="S945" i="8"/>
  <c r="R945" i="8"/>
  <c r="Q945" i="8"/>
  <c r="P945" i="8"/>
  <c r="O945" i="8"/>
  <c r="N945" i="8"/>
  <c r="M945" i="8"/>
  <c r="L945" i="8"/>
  <c r="K945" i="8"/>
  <c r="J945" i="8"/>
  <c r="I945" i="8"/>
  <c r="H945" i="8"/>
  <c r="G945" i="8"/>
  <c r="F945" i="8"/>
  <c r="E945" i="8"/>
  <c r="D945" i="8"/>
  <c r="C945" i="8"/>
  <c r="X943" i="8"/>
  <c r="W943" i="8"/>
  <c r="V943" i="8"/>
  <c r="U943" i="8"/>
  <c r="T943" i="8"/>
  <c r="S943" i="8"/>
  <c r="R943" i="8"/>
  <c r="Q943" i="8"/>
  <c r="P943" i="8"/>
  <c r="O943" i="8"/>
  <c r="N943" i="8"/>
  <c r="M943" i="8"/>
  <c r="L943" i="8"/>
  <c r="K943" i="8"/>
  <c r="J943" i="8"/>
  <c r="I943" i="8"/>
  <c r="H943" i="8"/>
  <c r="G943" i="8"/>
  <c r="F943" i="8"/>
  <c r="E943" i="8"/>
  <c r="D943" i="8"/>
  <c r="C943" i="8"/>
  <c r="X942" i="8"/>
  <c r="W942" i="8"/>
  <c r="V942" i="8"/>
  <c r="U942" i="8"/>
  <c r="T942" i="8"/>
  <c r="S942" i="8"/>
  <c r="R942" i="8"/>
  <c r="Q942" i="8"/>
  <c r="P942" i="8"/>
  <c r="O942" i="8"/>
  <c r="N942" i="8"/>
  <c r="M942" i="8"/>
  <c r="L942" i="8"/>
  <c r="K942" i="8"/>
  <c r="J942" i="8"/>
  <c r="I942" i="8"/>
  <c r="H942" i="8"/>
  <c r="G942" i="8"/>
  <c r="F942" i="8"/>
  <c r="E942" i="8"/>
  <c r="D942" i="8"/>
  <c r="C942" i="8"/>
  <c r="X941" i="8"/>
  <c r="W941" i="8"/>
  <c r="V941" i="8"/>
  <c r="U941" i="8"/>
  <c r="T941" i="8"/>
  <c r="S941" i="8"/>
  <c r="R941" i="8"/>
  <c r="Q941" i="8"/>
  <c r="P941" i="8"/>
  <c r="O941" i="8"/>
  <c r="N941" i="8"/>
  <c r="M941" i="8"/>
  <c r="L941" i="8"/>
  <c r="K941" i="8"/>
  <c r="J941" i="8"/>
  <c r="I941" i="8"/>
  <c r="H941" i="8"/>
  <c r="G941" i="8"/>
  <c r="F941" i="8"/>
  <c r="E941" i="8"/>
  <c r="D941" i="8"/>
  <c r="C941" i="8"/>
  <c r="X940" i="8"/>
  <c r="W940" i="8"/>
  <c r="V940" i="8"/>
  <c r="U940" i="8"/>
  <c r="T940" i="8"/>
  <c r="S940" i="8"/>
  <c r="R940" i="8"/>
  <c r="Q940" i="8"/>
  <c r="P940" i="8"/>
  <c r="O940" i="8"/>
  <c r="N940" i="8"/>
  <c r="M940" i="8"/>
  <c r="L940" i="8"/>
  <c r="K940" i="8"/>
  <c r="J940" i="8"/>
  <c r="I940" i="8"/>
  <c r="H940" i="8"/>
  <c r="G940" i="8"/>
  <c r="F940" i="8"/>
  <c r="E940" i="8"/>
  <c r="D940" i="8"/>
  <c r="C940" i="8"/>
  <c r="X939" i="8"/>
  <c r="W939" i="8"/>
  <c r="V939" i="8"/>
  <c r="U939" i="8"/>
  <c r="T939" i="8"/>
  <c r="S939" i="8"/>
  <c r="R939" i="8"/>
  <c r="Q939" i="8"/>
  <c r="P939" i="8"/>
  <c r="O939" i="8"/>
  <c r="N939" i="8"/>
  <c r="M939" i="8"/>
  <c r="L939" i="8"/>
  <c r="K939" i="8"/>
  <c r="J939" i="8"/>
  <c r="I939" i="8"/>
  <c r="H939" i="8"/>
  <c r="G939" i="8"/>
  <c r="F939" i="8"/>
  <c r="E939" i="8"/>
  <c r="D939" i="8"/>
  <c r="C939" i="8"/>
  <c r="X938" i="8"/>
  <c r="W938" i="8"/>
  <c r="V938" i="8"/>
  <c r="U938" i="8"/>
  <c r="T938" i="8"/>
  <c r="S938" i="8"/>
  <c r="R938" i="8"/>
  <c r="Q938" i="8"/>
  <c r="P938" i="8"/>
  <c r="O938" i="8"/>
  <c r="N938" i="8"/>
  <c r="M938" i="8"/>
  <c r="L938" i="8"/>
  <c r="K938" i="8"/>
  <c r="J938" i="8"/>
  <c r="I938" i="8"/>
  <c r="H938" i="8"/>
  <c r="G938" i="8"/>
  <c r="F938" i="8"/>
  <c r="E938" i="8"/>
  <c r="D938" i="8"/>
  <c r="C938" i="8"/>
  <c r="X936" i="8"/>
  <c r="W936" i="8"/>
  <c r="V936" i="8"/>
  <c r="U936" i="8"/>
  <c r="T936" i="8"/>
  <c r="S936" i="8"/>
  <c r="R936" i="8"/>
  <c r="Q936" i="8"/>
  <c r="P936" i="8"/>
  <c r="O936" i="8"/>
  <c r="N936" i="8"/>
  <c r="M936" i="8"/>
  <c r="L936" i="8"/>
  <c r="K936" i="8"/>
  <c r="J936" i="8"/>
  <c r="I936" i="8"/>
  <c r="H936" i="8"/>
  <c r="G936" i="8"/>
  <c r="F936" i="8"/>
  <c r="E936" i="8"/>
  <c r="D936" i="8"/>
  <c r="C936" i="8"/>
  <c r="X935" i="8"/>
  <c r="W935" i="8"/>
  <c r="V935" i="8"/>
  <c r="U935" i="8"/>
  <c r="T935" i="8"/>
  <c r="S935" i="8"/>
  <c r="R935" i="8"/>
  <c r="Q935" i="8"/>
  <c r="P935" i="8"/>
  <c r="O935" i="8"/>
  <c r="N935" i="8"/>
  <c r="M935" i="8"/>
  <c r="L935" i="8"/>
  <c r="K935" i="8"/>
  <c r="J935" i="8"/>
  <c r="I935" i="8"/>
  <c r="H935" i="8"/>
  <c r="G935" i="8"/>
  <c r="F935" i="8"/>
  <c r="E935" i="8"/>
  <c r="D935" i="8"/>
  <c r="C935" i="8"/>
  <c r="X934" i="8"/>
  <c r="W934" i="8"/>
  <c r="V934" i="8"/>
  <c r="U934" i="8"/>
  <c r="T934" i="8"/>
  <c r="S934" i="8"/>
  <c r="R934" i="8"/>
  <c r="Q934" i="8"/>
  <c r="P934" i="8"/>
  <c r="O934" i="8"/>
  <c r="N934" i="8"/>
  <c r="M934" i="8"/>
  <c r="L934" i="8"/>
  <c r="K934" i="8"/>
  <c r="J934" i="8"/>
  <c r="I934" i="8"/>
  <c r="H934" i="8"/>
  <c r="G934" i="8"/>
  <c r="F934" i="8"/>
  <c r="E934" i="8"/>
  <c r="D934" i="8"/>
  <c r="C934" i="8"/>
  <c r="X933" i="8"/>
  <c r="W933" i="8"/>
  <c r="V933" i="8"/>
  <c r="U933" i="8"/>
  <c r="T933" i="8"/>
  <c r="S933" i="8"/>
  <c r="R933" i="8"/>
  <c r="Q933" i="8"/>
  <c r="P933" i="8"/>
  <c r="O933" i="8"/>
  <c r="N933" i="8"/>
  <c r="M933" i="8"/>
  <c r="L933" i="8"/>
  <c r="K933" i="8"/>
  <c r="J933" i="8"/>
  <c r="I933" i="8"/>
  <c r="H933" i="8"/>
  <c r="G933" i="8"/>
  <c r="F933" i="8"/>
  <c r="E933" i="8"/>
  <c r="D933" i="8"/>
  <c r="C933" i="8"/>
  <c r="X932" i="8"/>
  <c r="W932" i="8"/>
  <c r="V932" i="8"/>
  <c r="U932" i="8"/>
  <c r="T932" i="8"/>
  <c r="S932" i="8"/>
  <c r="R932" i="8"/>
  <c r="Q932" i="8"/>
  <c r="P932" i="8"/>
  <c r="O932" i="8"/>
  <c r="N932" i="8"/>
  <c r="M932" i="8"/>
  <c r="L932" i="8"/>
  <c r="K932" i="8"/>
  <c r="J932" i="8"/>
  <c r="I932" i="8"/>
  <c r="H932" i="8"/>
  <c r="G932" i="8"/>
  <c r="F932" i="8"/>
  <c r="E932" i="8"/>
  <c r="D932" i="8"/>
  <c r="C932" i="8"/>
  <c r="X931" i="8"/>
  <c r="W931" i="8"/>
  <c r="V931" i="8"/>
  <c r="U931" i="8"/>
  <c r="T931" i="8"/>
  <c r="S931" i="8"/>
  <c r="R931" i="8"/>
  <c r="Q931" i="8"/>
  <c r="P931" i="8"/>
  <c r="O931" i="8"/>
  <c r="N931" i="8"/>
  <c r="M931" i="8"/>
  <c r="L931" i="8"/>
  <c r="K931" i="8"/>
  <c r="J931" i="8"/>
  <c r="I931" i="8"/>
  <c r="H931" i="8"/>
  <c r="G931" i="8"/>
  <c r="F931" i="8"/>
  <c r="E931" i="8"/>
  <c r="D931" i="8"/>
  <c r="C931" i="8"/>
  <c r="X929" i="8"/>
  <c r="W929" i="8"/>
  <c r="V929" i="8"/>
  <c r="U929" i="8"/>
  <c r="T929" i="8"/>
  <c r="S929" i="8"/>
  <c r="R929" i="8"/>
  <c r="Q929" i="8"/>
  <c r="P929" i="8"/>
  <c r="O929" i="8"/>
  <c r="N929" i="8"/>
  <c r="M929" i="8"/>
  <c r="L929" i="8"/>
  <c r="K929" i="8"/>
  <c r="J929" i="8"/>
  <c r="I929" i="8"/>
  <c r="H929" i="8"/>
  <c r="G929" i="8"/>
  <c r="F929" i="8"/>
  <c r="E929" i="8"/>
  <c r="D929" i="8"/>
  <c r="C929" i="8"/>
  <c r="X928" i="8"/>
  <c r="W928" i="8"/>
  <c r="V928" i="8"/>
  <c r="U928" i="8"/>
  <c r="T928" i="8"/>
  <c r="S928" i="8"/>
  <c r="R928" i="8"/>
  <c r="Q928" i="8"/>
  <c r="P928" i="8"/>
  <c r="O928" i="8"/>
  <c r="N928" i="8"/>
  <c r="M928" i="8"/>
  <c r="L928" i="8"/>
  <c r="K928" i="8"/>
  <c r="J928" i="8"/>
  <c r="I928" i="8"/>
  <c r="H928" i="8"/>
  <c r="G928" i="8"/>
  <c r="F928" i="8"/>
  <c r="E928" i="8"/>
  <c r="D928" i="8"/>
  <c r="C928" i="8"/>
  <c r="X927" i="8"/>
  <c r="W927" i="8"/>
  <c r="V927" i="8"/>
  <c r="U927" i="8"/>
  <c r="T927" i="8"/>
  <c r="S927" i="8"/>
  <c r="R927" i="8"/>
  <c r="Q927" i="8"/>
  <c r="P927" i="8"/>
  <c r="O927" i="8"/>
  <c r="N927" i="8"/>
  <c r="AM927" i="8" s="1"/>
  <c r="AN927" i="8" s="1"/>
  <c r="M927" i="8"/>
  <c r="L927" i="8"/>
  <c r="K927" i="8"/>
  <c r="J927" i="8"/>
  <c r="I927" i="8"/>
  <c r="H927" i="8"/>
  <c r="G927" i="8"/>
  <c r="F927" i="8"/>
  <c r="E927" i="8"/>
  <c r="D927" i="8"/>
  <c r="C927" i="8"/>
  <c r="X926" i="8"/>
  <c r="W926" i="8"/>
  <c r="V926" i="8"/>
  <c r="U926" i="8"/>
  <c r="T926" i="8"/>
  <c r="S926" i="8"/>
  <c r="R926" i="8"/>
  <c r="Q926" i="8"/>
  <c r="P926" i="8"/>
  <c r="O926" i="8"/>
  <c r="N926" i="8"/>
  <c r="M926" i="8"/>
  <c r="L926" i="8"/>
  <c r="K926" i="8"/>
  <c r="J926" i="8"/>
  <c r="I926" i="8"/>
  <c r="H926" i="8"/>
  <c r="G926" i="8"/>
  <c r="F926" i="8"/>
  <c r="E926" i="8"/>
  <c r="D926" i="8"/>
  <c r="C926" i="8"/>
  <c r="X925" i="8"/>
  <c r="W925" i="8"/>
  <c r="V925" i="8"/>
  <c r="U925" i="8"/>
  <c r="T925" i="8"/>
  <c r="S925" i="8"/>
  <c r="R925" i="8"/>
  <c r="Q925" i="8"/>
  <c r="P925" i="8"/>
  <c r="O925" i="8"/>
  <c r="N925" i="8"/>
  <c r="M925" i="8"/>
  <c r="L925" i="8"/>
  <c r="K925" i="8"/>
  <c r="J925" i="8"/>
  <c r="I925" i="8"/>
  <c r="H925" i="8"/>
  <c r="G925" i="8"/>
  <c r="F925" i="8"/>
  <c r="E925" i="8"/>
  <c r="D925" i="8"/>
  <c r="C925" i="8"/>
  <c r="X924" i="8"/>
  <c r="W924" i="8"/>
  <c r="V924" i="8"/>
  <c r="U924" i="8"/>
  <c r="T924" i="8"/>
  <c r="S924" i="8"/>
  <c r="R924" i="8"/>
  <c r="Q924" i="8"/>
  <c r="P924" i="8"/>
  <c r="O924" i="8"/>
  <c r="N924" i="8"/>
  <c r="M924" i="8"/>
  <c r="L924" i="8"/>
  <c r="K924" i="8"/>
  <c r="J924" i="8"/>
  <c r="I924" i="8"/>
  <c r="H924" i="8"/>
  <c r="G924" i="8"/>
  <c r="F924" i="8"/>
  <c r="E924" i="8"/>
  <c r="D924" i="8"/>
  <c r="C924" i="8"/>
  <c r="X922" i="8"/>
  <c r="W922" i="8"/>
  <c r="V922" i="8"/>
  <c r="U922" i="8"/>
  <c r="T922" i="8"/>
  <c r="S922" i="8"/>
  <c r="R922" i="8"/>
  <c r="Q922" i="8"/>
  <c r="P922" i="8"/>
  <c r="O922" i="8"/>
  <c r="N922" i="8"/>
  <c r="M922" i="8"/>
  <c r="L922" i="8"/>
  <c r="K922" i="8"/>
  <c r="J922" i="8"/>
  <c r="I922" i="8"/>
  <c r="H922" i="8"/>
  <c r="G922" i="8"/>
  <c r="F922" i="8"/>
  <c r="E922" i="8"/>
  <c r="D922" i="8"/>
  <c r="C922" i="8"/>
  <c r="X921" i="8"/>
  <c r="W921" i="8"/>
  <c r="V921" i="8"/>
  <c r="U921" i="8"/>
  <c r="T921" i="8"/>
  <c r="S921" i="8"/>
  <c r="R921" i="8"/>
  <c r="Q921" i="8"/>
  <c r="P921" i="8"/>
  <c r="O921" i="8"/>
  <c r="N921" i="8"/>
  <c r="M921" i="8"/>
  <c r="L921" i="8"/>
  <c r="K921" i="8"/>
  <c r="J921" i="8"/>
  <c r="I921" i="8"/>
  <c r="H921" i="8"/>
  <c r="G921" i="8"/>
  <c r="F921" i="8"/>
  <c r="E921" i="8"/>
  <c r="D921" i="8"/>
  <c r="C921" i="8"/>
  <c r="X920" i="8"/>
  <c r="W920" i="8"/>
  <c r="V920" i="8"/>
  <c r="U920" i="8"/>
  <c r="T920" i="8"/>
  <c r="S920" i="8"/>
  <c r="R920" i="8"/>
  <c r="Q920" i="8"/>
  <c r="P920" i="8"/>
  <c r="O920" i="8"/>
  <c r="N920" i="8"/>
  <c r="M920" i="8"/>
  <c r="L920" i="8"/>
  <c r="K920" i="8"/>
  <c r="J920" i="8"/>
  <c r="I920" i="8"/>
  <c r="H920" i="8"/>
  <c r="G920" i="8"/>
  <c r="F920" i="8"/>
  <c r="E920" i="8"/>
  <c r="D920" i="8"/>
  <c r="C920" i="8"/>
  <c r="X919" i="8"/>
  <c r="W919" i="8"/>
  <c r="V919" i="8"/>
  <c r="U919" i="8"/>
  <c r="T919" i="8"/>
  <c r="S919" i="8"/>
  <c r="R919" i="8"/>
  <c r="Q919" i="8"/>
  <c r="P919" i="8"/>
  <c r="O919" i="8"/>
  <c r="N919" i="8"/>
  <c r="M919" i="8"/>
  <c r="L919" i="8"/>
  <c r="K919" i="8"/>
  <c r="J919" i="8"/>
  <c r="I919" i="8"/>
  <c r="H919" i="8"/>
  <c r="G919" i="8"/>
  <c r="F919" i="8"/>
  <c r="E919" i="8"/>
  <c r="D919" i="8"/>
  <c r="C919" i="8"/>
  <c r="X918" i="8"/>
  <c r="W918" i="8"/>
  <c r="V918" i="8"/>
  <c r="U918" i="8"/>
  <c r="T918" i="8"/>
  <c r="S918" i="8"/>
  <c r="R918" i="8"/>
  <c r="Q918" i="8"/>
  <c r="P918" i="8"/>
  <c r="O918" i="8"/>
  <c r="N918" i="8"/>
  <c r="M918" i="8"/>
  <c r="L918" i="8"/>
  <c r="K918" i="8"/>
  <c r="J918" i="8"/>
  <c r="I918" i="8"/>
  <c r="H918" i="8"/>
  <c r="G918" i="8"/>
  <c r="F918" i="8"/>
  <c r="E918" i="8"/>
  <c r="D918" i="8"/>
  <c r="C918" i="8"/>
  <c r="X916" i="8"/>
  <c r="W916" i="8"/>
  <c r="V916" i="8"/>
  <c r="U916" i="8"/>
  <c r="T916" i="8"/>
  <c r="S916" i="8"/>
  <c r="R916" i="8"/>
  <c r="Q916" i="8"/>
  <c r="P916" i="8"/>
  <c r="O916" i="8"/>
  <c r="N916" i="8"/>
  <c r="M916" i="8"/>
  <c r="L916" i="8"/>
  <c r="K916" i="8"/>
  <c r="J916" i="8"/>
  <c r="I916" i="8"/>
  <c r="H916" i="8"/>
  <c r="G916" i="8"/>
  <c r="F916" i="8"/>
  <c r="E916" i="8"/>
  <c r="D916" i="8"/>
  <c r="AI916" i="8" s="1"/>
  <c r="AJ916" i="8" s="1"/>
  <c r="C916" i="8"/>
  <c r="X915" i="8"/>
  <c r="W915" i="8"/>
  <c r="V915" i="8"/>
  <c r="U915" i="8"/>
  <c r="T915" i="8"/>
  <c r="S915" i="8"/>
  <c r="R915" i="8"/>
  <c r="Q915" i="8"/>
  <c r="P915" i="8"/>
  <c r="O915" i="8"/>
  <c r="N915" i="8"/>
  <c r="M915" i="8"/>
  <c r="L915" i="8"/>
  <c r="K915" i="8"/>
  <c r="J915" i="8"/>
  <c r="I915" i="8"/>
  <c r="H915" i="8"/>
  <c r="G915" i="8"/>
  <c r="F915" i="8"/>
  <c r="E915" i="8"/>
  <c r="D915" i="8"/>
  <c r="C915" i="8"/>
  <c r="X914" i="8"/>
  <c r="W914" i="8"/>
  <c r="V914" i="8"/>
  <c r="U914" i="8"/>
  <c r="T914" i="8"/>
  <c r="S914" i="8"/>
  <c r="R914" i="8"/>
  <c r="Q914" i="8"/>
  <c r="P914" i="8"/>
  <c r="O914" i="8"/>
  <c r="N914" i="8"/>
  <c r="M914" i="8"/>
  <c r="L914" i="8"/>
  <c r="K914" i="8"/>
  <c r="J914" i="8"/>
  <c r="I914" i="8"/>
  <c r="H914" i="8"/>
  <c r="G914" i="8"/>
  <c r="F914" i="8"/>
  <c r="E914" i="8"/>
  <c r="D914" i="8"/>
  <c r="C914" i="8"/>
  <c r="X908" i="8"/>
  <c r="W908" i="8"/>
  <c r="V908" i="8"/>
  <c r="U908" i="8"/>
  <c r="T908" i="8"/>
  <c r="S908" i="8"/>
  <c r="R908" i="8"/>
  <c r="Q908" i="8"/>
  <c r="P908" i="8"/>
  <c r="O908" i="8"/>
  <c r="N908" i="8"/>
  <c r="M908" i="8"/>
  <c r="L908" i="8"/>
  <c r="K908" i="8"/>
  <c r="J908" i="8"/>
  <c r="I908" i="8"/>
  <c r="H908" i="8"/>
  <c r="G908" i="8"/>
  <c r="F908" i="8"/>
  <c r="E908" i="8"/>
  <c r="D908" i="8"/>
  <c r="C908" i="8"/>
  <c r="X907" i="8"/>
  <c r="W907" i="8"/>
  <c r="V907" i="8"/>
  <c r="U907" i="8"/>
  <c r="T907" i="8"/>
  <c r="S907" i="8"/>
  <c r="R907" i="8"/>
  <c r="Q907" i="8"/>
  <c r="P907" i="8"/>
  <c r="O907" i="8"/>
  <c r="N907" i="8"/>
  <c r="M907" i="8"/>
  <c r="L907" i="8"/>
  <c r="K907" i="8"/>
  <c r="J907" i="8"/>
  <c r="I907" i="8"/>
  <c r="H907" i="8"/>
  <c r="G907" i="8"/>
  <c r="F907" i="8"/>
  <c r="E907" i="8"/>
  <c r="D907" i="8"/>
  <c r="C907" i="8"/>
  <c r="X906" i="8"/>
  <c r="W906" i="8"/>
  <c r="AQ906" i="8" s="1"/>
  <c r="AR906" i="8" s="1"/>
  <c r="V906" i="8"/>
  <c r="U906" i="8"/>
  <c r="T906" i="8"/>
  <c r="S906" i="8"/>
  <c r="R906" i="8"/>
  <c r="Q906" i="8"/>
  <c r="P906" i="8"/>
  <c r="O906" i="8"/>
  <c r="N906" i="8"/>
  <c r="M906" i="8"/>
  <c r="L906" i="8"/>
  <c r="K906" i="8"/>
  <c r="J906" i="8"/>
  <c r="I906" i="8"/>
  <c r="H906" i="8"/>
  <c r="G906" i="8"/>
  <c r="F906" i="8"/>
  <c r="E906" i="8"/>
  <c r="D906" i="8"/>
  <c r="C906" i="8"/>
  <c r="X905" i="8"/>
  <c r="W905" i="8"/>
  <c r="V905" i="8"/>
  <c r="U905" i="8"/>
  <c r="T905" i="8"/>
  <c r="S905" i="8"/>
  <c r="R905" i="8"/>
  <c r="Q905" i="8"/>
  <c r="P905" i="8"/>
  <c r="O905" i="8"/>
  <c r="N905" i="8"/>
  <c r="M905" i="8"/>
  <c r="L905" i="8"/>
  <c r="K905" i="8"/>
  <c r="J905" i="8"/>
  <c r="I905" i="8"/>
  <c r="H905" i="8"/>
  <c r="G905" i="8"/>
  <c r="F905" i="8"/>
  <c r="E905" i="8"/>
  <c r="D905" i="8"/>
  <c r="C905" i="8"/>
  <c r="X903" i="8"/>
  <c r="W903" i="8"/>
  <c r="V903" i="8"/>
  <c r="U903" i="8"/>
  <c r="T903" i="8"/>
  <c r="S903" i="8"/>
  <c r="R903" i="8"/>
  <c r="Q903" i="8"/>
  <c r="P903" i="8"/>
  <c r="O903" i="8"/>
  <c r="N903" i="8"/>
  <c r="M903" i="8"/>
  <c r="L903" i="8"/>
  <c r="K903" i="8"/>
  <c r="J903" i="8"/>
  <c r="I903" i="8"/>
  <c r="H903" i="8"/>
  <c r="G903" i="8"/>
  <c r="F903" i="8"/>
  <c r="E903" i="8"/>
  <c r="D903" i="8"/>
  <c r="C903" i="8"/>
  <c r="X902" i="8"/>
  <c r="W902" i="8"/>
  <c r="V902" i="8"/>
  <c r="U902" i="8"/>
  <c r="T902" i="8"/>
  <c r="S902" i="8"/>
  <c r="R902" i="8"/>
  <c r="Q902" i="8"/>
  <c r="P902" i="8"/>
  <c r="O902" i="8"/>
  <c r="N902" i="8"/>
  <c r="M902" i="8"/>
  <c r="L902" i="8"/>
  <c r="K902" i="8"/>
  <c r="J902" i="8"/>
  <c r="I902" i="8"/>
  <c r="H902" i="8"/>
  <c r="G902" i="8"/>
  <c r="F902" i="8"/>
  <c r="E902" i="8"/>
  <c r="D902" i="8"/>
  <c r="C902" i="8"/>
  <c r="X901" i="8"/>
  <c r="W901" i="8"/>
  <c r="V901" i="8"/>
  <c r="U901" i="8"/>
  <c r="T901" i="8"/>
  <c r="S901" i="8"/>
  <c r="R901" i="8"/>
  <c r="Q901" i="8"/>
  <c r="P901" i="8"/>
  <c r="O901" i="8"/>
  <c r="N901" i="8"/>
  <c r="M901" i="8"/>
  <c r="L901" i="8"/>
  <c r="K901" i="8"/>
  <c r="J901" i="8"/>
  <c r="I901" i="8"/>
  <c r="H901" i="8"/>
  <c r="G901" i="8"/>
  <c r="F901" i="8"/>
  <c r="E901" i="8"/>
  <c r="D901" i="8"/>
  <c r="C901" i="8"/>
  <c r="X900" i="8"/>
  <c r="W900" i="8"/>
  <c r="V900" i="8"/>
  <c r="U900" i="8"/>
  <c r="T900" i="8"/>
  <c r="S900" i="8"/>
  <c r="R900" i="8"/>
  <c r="Q900" i="8"/>
  <c r="P900" i="8"/>
  <c r="O900" i="8"/>
  <c r="N900" i="8"/>
  <c r="M900" i="8"/>
  <c r="L900" i="8"/>
  <c r="K900" i="8"/>
  <c r="J900" i="8"/>
  <c r="I900" i="8"/>
  <c r="H900" i="8"/>
  <c r="G900" i="8"/>
  <c r="F900" i="8"/>
  <c r="E900" i="8"/>
  <c r="D900" i="8"/>
  <c r="C900" i="8"/>
  <c r="X899" i="8"/>
  <c r="W899" i="8"/>
  <c r="V899" i="8"/>
  <c r="U899" i="8"/>
  <c r="T899" i="8"/>
  <c r="S899" i="8"/>
  <c r="R899" i="8"/>
  <c r="AO899" i="8" s="1"/>
  <c r="AP899" i="8" s="1"/>
  <c r="Q899" i="8"/>
  <c r="P899" i="8"/>
  <c r="O899" i="8"/>
  <c r="N899" i="8"/>
  <c r="M899" i="8"/>
  <c r="L899" i="8"/>
  <c r="K899" i="8"/>
  <c r="J899" i="8"/>
  <c r="I899" i="8"/>
  <c r="H899" i="8"/>
  <c r="G899" i="8"/>
  <c r="F899" i="8"/>
  <c r="E899" i="8"/>
  <c r="D899" i="8"/>
  <c r="C899" i="8"/>
  <c r="X898" i="8"/>
  <c r="W898" i="8"/>
  <c r="V898" i="8"/>
  <c r="U898" i="8"/>
  <c r="T898" i="8"/>
  <c r="S898" i="8"/>
  <c r="R898" i="8"/>
  <c r="Q898" i="8"/>
  <c r="P898" i="8"/>
  <c r="O898" i="8"/>
  <c r="N898" i="8"/>
  <c r="M898" i="8"/>
  <c r="L898" i="8"/>
  <c r="K898" i="8"/>
  <c r="J898" i="8"/>
  <c r="I898" i="8"/>
  <c r="H898" i="8"/>
  <c r="G898" i="8"/>
  <c r="F898" i="8"/>
  <c r="E898" i="8"/>
  <c r="D898" i="8"/>
  <c r="C898" i="8"/>
  <c r="X896" i="8"/>
  <c r="W896" i="8"/>
  <c r="V896" i="8"/>
  <c r="U896" i="8"/>
  <c r="T896" i="8"/>
  <c r="S896" i="8"/>
  <c r="R896" i="8"/>
  <c r="Q896" i="8"/>
  <c r="P896" i="8"/>
  <c r="O896" i="8"/>
  <c r="N896" i="8"/>
  <c r="M896" i="8"/>
  <c r="L896" i="8"/>
  <c r="K896" i="8"/>
  <c r="J896" i="8"/>
  <c r="AK896" i="8" s="1"/>
  <c r="AL896" i="8" s="1"/>
  <c r="I896" i="8"/>
  <c r="H896" i="8"/>
  <c r="G896" i="8"/>
  <c r="F896" i="8"/>
  <c r="E896" i="8"/>
  <c r="D896" i="8"/>
  <c r="C896" i="8"/>
  <c r="X895" i="8"/>
  <c r="W895" i="8"/>
  <c r="V895" i="8"/>
  <c r="U895" i="8"/>
  <c r="T895" i="8"/>
  <c r="S895" i="8"/>
  <c r="R895" i="8"/>
  <c r="Q895" i="8"/>
  <c r="P895" i="8"/>
  <c r="O895" i="8"/>
  <c r="N895" i="8"/>
  <c r="M895" i="8"/>
  <c r="L895" i="8"/>
  <c r="K895" i="8"/>
  <c r="J895" i="8"/>
  <c r="I895" i="8"/>
  <c r="H895" i="8"/>
  <c r="G895" i="8"/>
  <c r="F895" i="8"/>
  <c r="E895" i="8"/>
  <c r="D895" i="8"/>
  <c r="C895" i="8"/>
  <c r="X894" i="8"/>
  <c r="W894" i="8"/>
  <c r="V894" i="8"/>
  <c r="U894" i="8"/>
  <c r="T894" i="8"/>
  <c r="S894" i="8"/>
  <c r="R894" i="8"/>
  <c r="AO894" i="8" s="1"/>
  <c r="AP894" i="8" s="1"/>
  <c r="Q894" i="8"/>
  <c r="P894" i="8"/>
  <c r="O894" i="8"/>
  <c r="N894" i="8"/>
  <c r="M894" i="8"/>
  <c r="L894" i="8"/>
  <c r="K894" i="8"/>
  <c r="J894" i="8"/>
  <c r="I894" i="8"/>
  <c r="H894" i="8"/>
  <c r="G894" i="8"/>
  <c r="F894" i="8"/>
  <c r="E894" i="8"/>
  <c r="D894" i="8"/>
  <c r="C894" i="8"/>
  <c r="X893" i="8"/>
  <c r="W893" i="8"/>
  <c r="V893" i="8"/>
  <c r="U893" i="8"/>
  <c r="T893" i="8"/>
  <c r="S893" i="8"/>
  <c r="R893" i="8"/>
  <c r="Q893" i="8"/>
  <c r="P893" i="8"/>
  <c r="O893" i="8"/>
  <c r="N893" i="8"/>
  <c r="M893" i="8"/>
  <c r="L893" i="8"/>
  <c r="K893" i="8"/>
  <c r="J893" i="8"/>
  <c r="I893" i="8"/>
  <c r="H893" i="8"/>
  <c r="G893" i="8"/>
  <c r="F893" i="8"/>
  <c r="E893" i="8"/>
  <c r="D893" i="8"/>
  <c r="AI893" i="8" s="1"/>
  <c r="AJ893" i="8" s="1"/>
  <c r="C893" i="8"/>
  <c r="X887" i="8"/>
  <c r="W887" i="8"/>
  <c r="V887" i="8"/>
  <c r="U887" i="8"/>
  <c r="T887" i="8"/>
  <c r="S887" i="8"/>
  <c r="R887" i="8"/>
  <c r="Q887" i="8"/>
  <c r="P887" i="8"/>
  <c r="O887" i="8"/>
  <c r="N887" i="8"/>
  <c r="M887" i="8"/>
  <c r="L887" i="8"/>
  <c r="K887" i="8"/>
  <c r="J887" i="8"/>
  <c r="I887" i="8"/>
  <c r="H887" i="8"/>
  <c r="G887" i="8"/>
  <c r="F887" i="8"/>
  <c r="E887" i="8"/>
  <c r="D887" i="8"/>
  <c r="C887" i="8"/>
  <c r="X886" i="8"/>
  <c r="W886" i="8"/>
  <c r="V886" i="8"/>
  <c r="U886" i="8"/>
  <c r="T886" i="8"/>
  <c r="S886" i="8"/>
  <c r="R886" i="8"/>
  <c r="Q886" i="8"/>
  <c r="P886" i="8"/>
  <c r="O886" i="8"/>
  <c r="N886" i="8"/>
  <c r="M886" i="8"/>
  <c r="L886" i="8"/>
  <c r="K886" i="8"/>
  <c r="J886" i="8"/>
  <c r="I886" i="8"/>
  <c r="H886" i="8"/>
  <c r="AK886" i="8" s="1"/>
  <c r="AL886" i="8" s="1"/>
  <c r="G886" i="8"/>
  <c r="F886" i="8"/>
  <c r="E886" i="8"/>
  <c r="D886" i="8"/>
  <c r="C886" i="8"/>
  <c r="X885" i="8"/>
  <c r="W885" i="8"/>
  <c r="V885" i="8"/>
  <c r="U885" i="8"/>
  <c r="T885" i="8"/>
  <c r="S885" i="8"/>
  <c r="R885" i="8"/>
  <c r="Q885" i="8"/>
  <c r="P885" i="8"/>
  <c r="O885" i="8"/>
  <c r="N885" i="8"/>
  <c r="M885" i="8"/>
  <c r="L885" i="8"/>
  <c r="K885" i="8"/>
  <c r="J885" i="8"/>
  <c r="I885" i="8"/>
  <c r="H885" i="8"/>
  <c r="G885" i="8"/>
  <c r="F885" i="8"/>
  <c r="E885" i="8"/>
  <c r="D885" i="8"/>
  <c r="C885" i="8"/>
  <c r="X882" i="8"/>
  <c r="W882" i="8"/>
  <c r="V882" i="8"/>
  <c r="U882" i="8"/>
  <c r="T882" i="8"/>
  <c r="S882" i="8"/>
  <c r="R882" i="8"/>
  <c r="Q882" i="8"/>
  <c r="P882" i="8"/>
  <c r="O882" i="8"/>
  <c r="N882" i="8"/>
  <c r="M882" i="8"/>
  <c r="L882" i="8"/>
  <c r="K882" i="8"/>
  <c r="J882" i="8"/>
  <c r="I882" i="8"/>
  <c r="H882" i="8"/>
  <c r="G882" i="8"/>
  <c r="F882" i="8"/>
  <c r="E882" i="8"/>
  <c r="D882" i="8"/>
  <c r="C882" i="8"/>
  <c r="X880" i="8"/>
  <c r="W880" i="8"/>
  <c r="AQ880" i="8" s="1"/>
  <c r="AR880" i="8" s="1"/>
  <c r="V880" i="8"/>
  <c r="U880" i="8"/>
  <c r="T880" i="8"/>
  <c r="S880" i="8"/>
  <c r="R880" i="8"/>
  <c r="Q880" i="8"/>
  <c r="P880" i="8"/>
  <c r="O880" i="8"/>
  <c r="N880" i="8"/>
  <c r="M880" i="8"/>
  <c r="L880" i="8"/>
  <c r="K880" i="8"/>
  <c r="J880" i="8"/>
  <c r="I880" i="8"/>
  <c r="H880" i="8"/>
  <c r="G880" i="8"/>
  <c r="F880" i="8"/>
  <c r="E880" i="8"/>
  <c r="D880" i="8"/>
  <c r="C880" i="8"/>
  <c r="X879" i="8"/>
  <c r="W879" i="8"/>
  <c r="V879" i="8"/>
  <c r="U879" i="8"/>
  <c r="T879" i="8"/>
  <c r="S879" i="8"/>
  <c r="R879" i="8"/>
  <c r="Q879" i="8"/>
  <c r="P879" i="8"/>
  <c r="O879" i="8"/>
  <c r="N879" i="8"/>
  <c r="M879" i="8"/>
  <c r="L879" i="8"/>
  <c r="K879" i="8"/>
  <c r="J879" i="8"/>
  <c r="I879" i="8"/>
  <c r="H879" i="8"/>
  <c r="G879" i="8"/>
  <c r="F879" i="8"/>
  <c r="E879" i="8"/>
  <c r="D879" i="8"/>
  <c r="C879" i="8"/>
  <c r="X878" i="8"/>
  <c r="W878" i="8"/>
  <c r="V878" i="8"/>
  <c r="U878" i="8"/>
  <c r="T878" i="8"/>
  <c r="S878" i="8"/>
  <c r="R878" i="8"/>
  <c r="Q878" i="8"/>
  <c r="P878" i="8"/>
  <c r="O878" i="8"/>
  <c r="N878" i="8"/>
  <c r="M878" i="8"/>
  <c r="L878" i="8"/>
  <c r="K878" i="8"/>
  <c r="J878" i="8"/>
  <c r="I878" i="8"/>
  <c r="H878" i="8"/>
  <c r="G878" i="8"/>
  <c r="F878" i="8"/>
  <c r="E878" i="8"/>
  <c r="D878" i="8"/>
  <c r="C878" i="8"/>
  <c r="X877" i="8"/>
  <c r="W877" i="8"/>
  <c r="V877" i="8"/>
  <c r="U877" i="8"/>
  <c r="T877" i="8"/>
  <c r="S877" i="8"/>
  <c r="R877" i="8"/>
  <c r="Q877" i="8"/>
  <c r="P877" i="8"/>
  <c r="O877" i="8"/>
  <c r="N877" i="8"/>
  <c r="M877" i="8"/>
  <c r="L877" i="8"/>
  <c r="K877" i="8"/>
  <c r="J877" i="8"/>
  <c r="I877" i="8"/>
  <c r="H877" i="8"/>
  <c r="G877" i="8"/>
  <c r="F877" i="8"/>
  <c r="E877" i="8"/>
  <c r="D877" i="8"/>
  <c r="C877" i="8"/>
  <c r="X875" i="8"/>
  <c r="W875" i="8"/>
  <c r="V875" i="8"/>
  <c r="U875" i="8"/>
  <c r="T875" i="8"/>
  <c r="S875" i="8"/>
  <c r="R875" i="8"/>
  <c r="Q875" i="8"/>
  <c r="P875" i="8"/>
  <c r="O875" i="8"/>
  <c r="N875" i="8"/>
  <c r="M875" i="8"/>
  <c r="L875" i="8"/>
  <c r="K875" i="8"/>
  <c r="J875" i="8"/>
  <c r="AK875" i="8" s="1"/>
  <c r="AL875" i="8" s="1"/>
  <c r="I875" i="8"/>
  <c r="H875" i="8"/>
  <c r="G875" i="8"/>
  <c r="F875" i="8"/>
  <c r="E875" i="8"/>
  <c r="D875" i="8"/>
  <c r="C875" i="8"/>
  <c r="X874" i="8"/>
  <c r="W874" i="8"/>
  <c r="V874" i="8"/>
  <c r="U874" i="8"/>
  <c r="T874" i="8"/>
  <c r="S874" i="8"/>
  <c r="R874" i="8"/>
  <c r="Q874" i="8"/>
  <c r="P874" i="8"/>
  <c r="O874" i="8"/>
  <c r="N874" i="8"/>
  <c r="M874" i="8"/>
  <c r="L874" i="8"/>
  <c r="K874" i="8"/>
  <c r="J874" i="8"/>
  <c r="I874" i="8"/>
  <c r="H874" i="8"/>
  <c r="G874" i="8"/>
  <c r="F874" i="8"/>
  <c r="E874" i="8"/>
  <c r="D874" i="8"/>
  <c r="C874" i="8"/>
  <c r="X873" i="8"/>
  <c r="W873" i="8"/>
  <c r="V873" i="8"/>
  <c r="U873" i="8"/>
  <c r="T873" i="8"/>
  <c r="S873" i="8"/>
  <c r="R873" i="8"/>
  <c r="Q873" i="8"/>
  <c r="P873" i="8"/>
  <c r="O873" i="8"/>
  <c r="N873" i="8"/>
  <c r="M873" i="8"/>
  <c r="L873" i="8"/>
  <c r="K873" i="8"/>
  <c r="J873" i="8"/>
  <c r="I873" i="8"/>
  <c r="H873" i="8"/>
  <c r="G873" i="8"/>
  <c r="F873" i="8"/>
  <c r="E873" i="8"/>
  <c r="D873" i="8"/>
  <c r="C873" i="8"/>
  <c r="X872" i="8"/>
  <c r="W872" i="8"/>
  <c r="V872" i="8"/>
  <c r="U872" i="8"/>
  <c r="T872" i="8"/>
  <c r="S872" i="8"/>
  <c r="R872" i="8"/>
  <c r="Q872" i="8"/>
  <c r="P872" i="8"/>
  <c r="O872" i="8"/>
  <c r="N872" i="8"/>
  <c r="M872" i="8"/>
  <c r="L872" i="8"/>
  <c r="K872" i="8"/>
  <c r="J872" i="8"/>
  <c r="I872" i="8"/>
  <c r="H872" i="8"/>
  <c r="G872" i="8"/>
  <c r="F872" i="8"/>
  <c r="E872" i="8"/>
  <c r="D872" i="8"/>
  <c r="C872" i="8"/>
  <c r="X871" i="8"/>
  <c r="W871" i="8"/>
  <c r="V871" i="8"/>
  <c r="U871" i="8"/>
  <c r="T871" i="8"/>
  <c r="S871" i="8"/>
  <c r="R871" i="8"/>
  <c r="Q871" i="8"/>
  <c r="P871" i="8"/>
  <c r="O871" i="8"/>
  <c r="N871" i="8"/>
  <c r="AM871" i="8" s="1"/>
  <c r="AN871" i="8" s="1"/>
  <c r="M871" i="8"/>
  <c r="L871" i="8"/>
  <c r="K871" i="8"/>
  <c r="J871" i="8"/>
  <c r="I871" i="8"/>
  <c r="H871" i="8"/>
  <c r="G871" i="8"/>
  <c r="F871" i="8"/>
  <c r="E871" i="8"/>
  <c r="D871" i="8"/>
  <c r="C871" i="8"/>
  <c r="X870" i="8"/>
  <c r="W870" i="8"/>
  <c r="V870" i="8"/>
  <c r="U870" i="8"/>
  <c r="T870" i="8"/>
  <c r="S870" i="8"/>
  <c r="R870" i="8"/>
  <c r="Q870" i="8"/>
  <c r="P870" i="8"/>
  <c r="O870" i="8"/>
  <c r="N870" i="8"/>
  <c r="M870" i="8"/>
  <c r="L870" i="8"/>
  <c r="K870" i="8"/>
  <c r="J870" i="8"/>
  <c r="I870" i="8"/>
  <c r="H870" i="8"/>
  <c r="G870" i="8"/>
  <c r="F870" i="8"/>
  <c r="E870" i="8"/>
  <c r="D870" i="8"/>
  <c r="C870" i="8"/>
  <c r="X868" i="8"/>
  <c r="W868" i="8"/>
  <c r="V868" i="8"/>
  <c r="U868" i="8"/>
  <c r="T868" i="8"/>
  <c r="S868" i="8"/>
  <c r="R868" i="8"/>
  <c r="Q868" i="8"/>
  <c r="P868" i="8"/>
  <c r="O868" i="8"/>
  <c r="N868" i="8"/>
  <c r="M868" i="8"/>
  <c r="L868" i="8"/>
  <c r="K868" i="8"/>
  <c r="J868" i="8"/>
  <c r="AK868" i="8" s="1"/>
  <c r="AL868" i="8" s="1"/>
  <c r="I868" i="8"/>
  <c r="H868" i="8"/>
  <c r="G868" i="8"/>
  <c r="F868" i="8"/>
  <c r="E868" i="8"/>
  <c r="D868" i="8"/>
  <c r="C868" i="8"/>
  <c r="X867" i="8"/>
  <c r="W867" i="8"/>
  <c r="V867" i="8"/>
  <c r="U867" i="8"/>
  <c r="T867" i="8"/>
  <c r="S867" i="8"/>
  <c r="R867" i="8"/>
  <c r="Q867" i="8"/>
  <c r="P867" i="8"/>
  <c r="O867" i="8"/>
  <c r="N867" i="8"/>
  <c r="M867" i="8"/>
  <c r="L867" i="8"/>
  <c r="K867" i="8"/>
  <c r="J867" i="8"/>
  <c r="I867" i="8"/>
  <c r="H867" i="8"/>
  <c r="G867" i="8"/>
  <c r="F867" i="8"/>
  <c r="E867" i="8"/>
  <c r="D867" i="8"/>
  <c r="C867" i="8"/>
  <c r="X866" i="8"/>
  <c r="W866" i="8"/>
  <c r="V866" i="8"/>
  <c r="U866" i="8"/>
  <c r="T866" i="8"/>
  <c r="S866" i="8"/>
  <c r="R866" i="8"/>
  <c r="AO866" i="8" s="1"/>
  <c r="AP866" i="8" s="1"/>
  <c r="Q866" i="8"/>
  <c r="P866" i="8"/>
  <c r="O866" i="8"/>
  <c r="N866" i="8"/>
  <c r="M866" i="8"/>
  <c r="L866" i="8"/>
  <c r="K866" i="8"/>
  <c r="J866" i="8"/>
  <c r="I866" i="8"/>
  <c r="H866" i="8"/>
  <c r="G866" i="8"/>
  <c r="F866" i="8"/>
  <c r="E866" i="8"/>
  <c r="D866" i="8"/>
  <c r="C866" i="8"/>
  <c r="X865" i="8"/>
  <c r="W865" i="8"/>
  <c r="V865" i="8"/>
  <c r="U865" i="8"/>
  <c r="T865" i="8"/>
  <c r="S865" i="8"/>
  <c r="R865" i="8"/>
  <c r="Q865" i="8"/>
  <c r="P865" i="8"/>
  <c r="O865" i="8"/>
  <c r="N865" i="8"/>
  <c r="M865" i="8"/>
  <c r="L865" i="8"/>
  <c r="K865" i="8"/>
  <c r="J865" i="8"/>
  <c r="I865" i="8"/>
  <c r="H865" i="8"/>
  <c r="G865" i="8"/>
  <c r="F865" i="8"/>
  <c r="E865" i="8"/>
  <c r="D865" i="8"/>
  <c r="C865" i="8"/>
  <c r="X864" i="8"/>
  <c r="W864" i="8"/>
  <c r="V864" i="8"/>
  <c r="U864" i="8"/>
  <c r="T864" i="8"/>
  <c r="S864" i="8"/>
  <c r="R864" i="8"/>
  <c r="Q864" i="8"/>
  <c r="P864" i="8"/>
  <c r="O864" i="8"/>
  <c r="N864" i="8"/>
  <c r="M864" i="8"/>
  <c r="L864" i="8"/>
  <c r="K864" i="8"/>
  <c r="J864" i="8"/>
  <c r="I864" i="8"/>
  <c r="H864" i="8"/>
  <c r="G864" i="8"/>
  <c r="F864" i="8"/>
  <c r="E864" i="8"/>
  <c r="D864" i="8"/>
  <c r="C864" i="8"/>
  <c r="X863" i="8"/>
  <c r="W863" i="8"/>
  <c r="V863" i="8"/>
  <c r="U863" i="8"/>
  <c r="T863" i="8"/>
  <c r="S863" i="8"/>
  <c r="R863" i="8"/>
  <c r="Q863" i="8"/>
  <c r="P863" i="8"/>
  <c r="O863" i="8"/>
  <c r="N863" i="8"/>
  <c r="M863" i="8"/>
  <c r="L863" i="8"/>
  <c r="K863" i="8"/>
  <c r="J863" i="8"/>
  <c r="I863" i="8"/>
  <c r="H863" i="8"/>
  <c r="G863" i="8"/>
  <c r="F863" i="8"/>
  <c r="E863" i="8"/>
  <c r="D863" i="8"/>
  <c r="C863" i="8"/>
  <c r="X861" i="8"/>
  <c r="W861" i="8"/>
  <c r="V861" i="8"/>
  <c r="U861" i="8"/>
  <c r="T861" i="8"/>
  <c r="S861" i="8"/>
  <c r="R861" i="8"/>
  <c r="Q861" i="8"/>
  <c r="P861" i="8"/>
  <c r="O861" i="8"/>
  <c r="N861" i="8"/>
  <c r="AM861" i="8" s="1"/>
  <c r="AN861" i="8" s="1"/>
  <c r="M861" i="8"/>
  <c r="L861" i="8"/>
  <c r="K861" i="8"/>
  <c r="J861" i="8"/>
  <c r="I861" i="8"/>
  <c r="H861" i="8"/>
  <c r="G861" i="8"/>
  <c r="F861" i="8"/>
  <c r="E861" i="8"/>
  <c r="D861" i="8"/>
  <c r="C861" i="8"/>
  <c r="X860" i="8"/>
  <c r="W860" i="8"/>
  <c r="V860" i="8"/>
  <c r="U860" i="8"/>
  <c r="T860" i="8"/>
  <c r="S860" i="8"/>
  <c r="R860" i="8"/>
  <c r="Q860" i="8"/>
  <c r="P860" i="8"/>
  <c r="O860" i="8"/>
  <c r="N860" i="8"/>
  <c r="M860" i="8"/>
  <c r="L860" i="8"/>
  <c r="K860" i="8"/>
  <c r="J860" i="8"/>
  <c r="I860" i="8"/>
  <c r="H860" i="8"/>
  <c r="G860" i="8"/>
  <c r="F860" i="8"/>
  <c r="E860" i="8"/>
  <c r="D860" i="8"/>
  <c r="C860" i="8"/>
  <c r="X859" i="8"/>
  <c r="W859" i="8"/>
  <c r="V859" i="8"/>
  <c r="U859" i="8"/>
  <c r="T859" i="8"/>
  <c r="S859" i="8"/>
  <c r="R859" i="8"/>
  <c r="Q859" i="8"/>
  <c r="P859" i="8"/>
  <c r="O859" i="8"/>
  <c r="N859" i="8"/>
  <c r="M859" i="8"/>
  <c r="L859" i="8"/>
  <c r="K859" i="8"/>
  <c r="J859" i="8"/>
  <c r="I859" i="8"/>
  <c r="H859" i="8"/>
  <c r="G859" i="8"/>
  <c r="F859" i="8"/>
  <c r="E859" i="8"/>
  <c r="D859" i="8"/>
  <c r="C859" i="8"/>
  <c r="X858" i="8"/>
  <c r="W858" i="8"/>
  <c r="V858" i="8"/>
  <c r="U858" i="8"/>
  <c r="T858" i="8"/>
  <c r="S858" i="8"/>
  <c r="R858" i="8"/>
  <c r="Q858" i="8"/>
  <c r="P858" i="8"/>
  <c r="O858" i="8"/>
  <c r="N858" i="8"/>
  <c r="M858" i="8"/>
  <c r="L858" i="8"/>
  <c r="K858" i="8"/>
  <c r="J858" i="8"/>
  <c r="I858" i="8"/>
  <c r="H858" i="8"/>
  <c r="G858" i="8"/>
  <c r="F858" i="8"/>
  <c r="E858" i="8"/>
  <c r="D858" i="8"/>
  <c r="C858" i="8"/>
  <c r="X857" i="8"/>
  <c r="W857" i="8"/>
  <c r="V857" i="8"/>
  <c r="U857" i="8"/>
  <c r="T857" i="8"/>
  <c r="S857" i="8"/>
  <c r="R857" i="8"/>
  <c r="Q857" i="8"/>
  <c r="P857" i="8"/>
  <c r="O857" i="8"/>
  <c r="N857" i="8"/>
  <c r="AM857" i="8" s="1"/>
  <c r="AN857" i="8" s="1"/>
  <c r="M857" i="8"/>
  <c r="L857" i="8"/>
  <c r="K857" i="8"/>
  <c r="J857" i="8"/>
  <c r="I857" i="8"/>
  <c r="H857" i="8"/>
  <c r="G857" i="8"/>
  <c r="F857" i="8"/>
  <c r="E857" i="8"/>
  <c r="D857" i="8"/>
  <c r="C857" i="8"/>
  <c r="X856" i="8"/>
  <c r="W856" i="8"/>
  <c r="V856" i="8"/>
  <c r="U856" i="8"/>
  <c r="T856" i="8"/>
  <c r="S856" i="8"/>
  <c r="R856" i="8"/>
  <c r="Q856" i="8"/>
  <c r="P856" i="8"/>
  <c r="O856" i="8"/>
  <c r="N856" i="8"/>
  <c r="M856" i="8"/>
  <c r="L856" i="8"/>
  <c r="K856" i="8"/>
  <c r="J856" i="8"/>
  <c r="I856" i="8"/>
  <c r="H856" i="8"/>
  <c r="G856" i="8"/>
  <c r="F856" i="8"/>
  <c r="E856" i="8"/>
  <c r="D856" i="8"/>
  <c r="C856" i="8"/>
  <c r="X854" i="8"/>
  <c r="W854" i="8"/>
  <c r="V854" i="8"/>
  <c r="U854" i="8"/>
  <c r="T854" i="8"/>
  <c r="S854" i="8"/>
  <c r="R854" i="8"/>
  <c r="AO854" i="8" s="1"/>
  <c r="AP854" i="8" s="1"/>
  <c r="Q854" i="8"/>
  <c r="P854" i="8"/>
  <c r="O854" i="8"/>
  <c r="N854" i="8"/>
  <c r="M854" i="8"/>
  <c r="L854" i="8"/>
  <c r="K854" i="8"/>
  <c r="J854" i="8"/>
  <c r="I854" i="8"/>
  <c r="H854" i="8"/>
  <c r="G854" i="8"/>
  <c r="F854" i="8"/>
  <c r="E854" i="8"/>
  <c r="D854" i="8"/>
  <c r="C854" i="8"/>
  <c r="X853" i="8"/>
  <c r="AQ853" i="8" s="1"/>
  <c r="AR853" i="8" s="1"/>
  <c r="W853" i="8"/>
  <c r="V853" i="8"/>
  <c r="U853" i="8"/>
  <c r="T853" i="8"/>
  <c r="S853" i="8"/>
  <c r="R853" i="8"/>
  <c r="Q853" i="8"/>
  <c r="P853" i="8"/>
  <c r="O853" i="8"/>
  <c r="N853" i="8"/>
  <c r="M853" i="8"/>
  <c r="L853" i="8"/>
  <c r="K853" i="8"/>
  <c r="J853" i="8"/>
  <c r="I853" i="8"/>
  <c r="H853" i="8"/>
  <c r="G853" i="8"/>
  <c r="F853" i="8"/>
  <c r="E853" i="8"/>
  <c r="D853" i="8"/>
  <c r="C853" i="8"/>
  <c r="X852" i="8"/>
  <c r="W852" i="8"/>
  <c r="V852" i="8"/>
  <c r="U852" i="8"/>
  <c r="T852" i="8"/>
  <c r="S852" i="8"/>
  <c r="R852" i="8"/>
  <c r="Q852" i="8"/>
  <c r="P852" i="8"/>
  <c r="O852" i="8"/>
  <c r="N852" i="8"/>
  <c r="M852" i="8"/>
  <c r="L852" i="8"/>
  <c r="K852" i="8"/>
  <c r="J852" i="8"/>
  <c r="I852" i="8"/>
  <c r="H852" i="8"/>
  <c r="G852" i="8"/>
  <c r="F852" i="8"/>
  <c r="E852" i="8"/>
  <c r="D852" i="8"/>
  <c r="C852" i="8"/>
  <c r="X851" i="8"/>
  <c r="W851" i="8"/>
  <c r="V851" i="8"/>
  <c r="U851" i="8"/>
  <c r="T851" i="8"/>
  <c r="S851" i="8"/>
  <c r="R851" i="8"/>
  <c r="Q851" i="8"/>
  <c r="P851" i="8"/>
  <c r="O851" i="8"/>
  <c r="N851" i="8"/>
  <c r="M851" i="8"/>
  <c r="L851" i="8"/>
  <c r="K851" i="8"/>
  <c r="J851" i="8"/>
  <c r="I851" i="8"/>
  <c r="H851" i="8"/>
  <c r="G851" i="8"/>
  <c r="F851" i="8"/>
  <c r="E851" i="8"/>
  <c r="D851" i="8"/>
  <c r="C851" i="8"/>
  <c r="X850" i="8"/>
  <c r="W850" i="8"/>
  <c r="V850" i="8"/>
  <c r="U850" i="8"/>
  <c r="T850" i="8"/>
  <c r="S850" i="8"/>
  <c r="R850" i="8"/>
  <c r="AO850" i="8" s="1"/>
  <c r="AP850" i="8" s="1"/>
  <c r="Q850" i="8"/>
  <c r="P850" i="8"/>
  <c r="O850" i="8"/>
  <c r="N850" i="8"/>
  <c r="M850" i="8"/>
  <c r="L850" i="8"/>
  <c r="K850" i="8"/>
  <c r="J850" i="8"/>
  <c r="I850" i="8"/>
  <c r="H850" i="8"/>
  <c r="G850" i="8"/>
  <c r="F850" i="8"/>
  <c r="E850" i="8"/>
  <c r="D850" i="8"/>
  <c r="C850" i="8"/>
  <c r="X848" i="8"/>
  <c r="AQ848" i="8" s="1"/>
  <c r="AR848" i="8" s="1"/>
  <c r="W848" i="8"/>
  <c r="V848" i="8"/>
  <c r="U848" i="8"/>
  <c r="T848" i="8"/>
  <c r="AO848" i="8" s="1"/>
  <c r="AP848" i="8" s="1"/>
  <c r="S848" i="8"/>
  <c r="R848" i="8"/>
  <c r="Q848" i="8"/>
  <c r="P848" i="8"/>
  <c r="O848" i="8"/>
  <c r="N848" i="8"/>
  <c r="M848" i="8"/>
  <c r="L848" i="8"/>
  <c r="K848" i="8"/>
  <c r="J848" i="8"/>
  <c r="I848" i="8"/>
  <c r="H848" i="8"/>
  <c r="G848" i="8"/>
  <c r="F848" i="8"/>
  <c r="E848" i="8"/>
  <c r="D848" i="8"/>
  <c r="C848" i="8"/>
  <c r="X846" i="8"/>
  <c r="W846" i="8"/>
  <c r="V846" i="8"/>
  <c r="U846" i="8"/>
  <c r="T846" i="8"/>
  <c r="S846" i="8"/>
  <c r="R846" i="8"/>
  <c r="AO846" i="8" s="1"/>
  <c r="AP846" i="8" s="1"/>
  <c r="Q846" i="8"/>
  <c r="P846" i="8"/>
  <c r="O846" i="8"/>
  <c r="N846" i="8"/>
  <c r="M846" i="8"/>
  <c r="L846" i="8"/>
  <c r="K846" i="8"/>
  <c r="J846" i="8"/>
  <c r="I846" i="8"/>
  <c r="H846" i="8"/>
  <c r="G846" i="8"/>
  <c r="F846" i="8"/>
  <c r="E846" i="8"/>
  <c r="D846" i="8"/>
  <c r="C846" i="8"/>
  <c r="X845" i="8"/>
  <c r="W845" i="8"/>
  <c r="V845" i="8"/>
  <c r="U845" i="8"/>
  <c r="T845" i="8"/>
  <c r="S845" i="8"/>
  <c r="R845" i="8"/>
  <c r="Q845" i="8"/>
  <c r="P845" i="8"/>
  <c r="O845" i="8"/>
  <c r="N845" i="8"/>
  <c r="M845" i="8"/>
  <c r="L845" i="8"/>
  <c r="K845" i="8"/>
  <c r="J845" i="8"/>
  <c r="I845" i="8"/>
  <c r="H845" i="8"/>
  <c r="G845" i="8"/>
  <c r="F845" i="8"/>
  <c r="E845" i="8"/>
  <c r="D845" i="8"/>
  <c r="AI845" i="8" s="1"/>
  <c r="AJ845" i="8" s="1"/>
  <c r="C845" i="8"/>
  <c r="X843" i="8"/>
  <c r="W843" i="8"/>
  <c r="V843" i="8"/>
  <c r="U843" i="8"/>
  <c r="T843" i="8"/>
  <c r="S843" i="8"/>
  <c r="R843" i="8"/>
  <c r="AO843" i="8" s="1"/>
  <c r="AP843" i="8" s="1"/>
  <c r="Q843" i="8"/>
  <c r="P843" i="8"/>
  <c r="O843" i="8"/>
  <c r="N843" i="8"/>
  <c r="M843" i="8"/>
  <c r="L843" i="8"/>
  <c r="K843" i="8"/>
  <c r="J843" i="8"/>
  <c r="I843" i="8"/>
  <c r="H843" i="8"/>
  <c r="G843" i="8"/>
  <c r="F843" i="8"/>
  <c r="E843" i="8"/>
  <c r="D843" i="8"/>
  <c r="C843" i="8"/>
  <c r="X842" i="8"/>
  <c r="AQ842" i="8" s="1"/>
  <c r="AR842" i="8" s="1"/>
  <c r="W842" i="8"/>
  <c r="V842" i="8"/>
  <c r="U842" i="8"/>
  <c r="T842" i="8"/>
  <c r="S842" i="8"/>
  <c r="R842" i="8"/>
  <c r="Q842" i="8"/>
  <c r="P842" i="8"/>
  <c r="O842" i="8"/>
  <c r="N842" i="8"/>
  <c r="M842" i="8"/>
  <c r="L842" i="8"/>
  <c r="K842" i="8"/>
  <c r="J842" i="8"/>
  <c r="I842" i="8"/>
  <c r="H842" i="8"/>
  <c r="G842" i="8"/>
  <c r="F842" i="8"/>
  <c r="E842" i="8"/>
  <c r="D842" i="8"/>
  <c r="C842" i="8"/>
  <c r="X841" i="8"/>
  <c r="W841" i="8"/>
  <c r="V841" i="8"/>
  <c r="U841" i="8"/>
  <c r="T841" i="8"/>
  <c r="S841" i="8"/>
  <c r="R841" i="8"/>
  <c r="Q841" i="8"/>
  <c r="P841" i="8"/>
  <c r="O841" i="8"/>
  <c r="N841" i="8"/>
  <c r="M841" i="8"/>
  <c r="L841" i="8"/>
  <c r="K841" i="8"/>
  <c r="J841" i="8"/>
  <c r="I841" i="8"/>
  <c r="H841" i="8"/>
  <c r="G841" i="8"/>
  <c r="F841" i="8"/>
  <c r="E841" i="8"/>
  <c r="D841" i="8"/>
  <c r="C841" i="8"/>
  <c r="X840" i="8"/>
  <c r="W840" i="8"/>
  <c r="V840" i="8"/>
  <c r="U840" i="8"/>
  <c r="T840" i="8"/>
  <c r="S840" i="8"/>
  <c r="R840" i="8"/>
  <c r="Q840" i="8"/>
  <c r="P840" i="8"/>
  <c r="O840" i="8"/>
  <c r="N840" i="8"/>
  <c r="M840" i="8"/>
  <c r="L840" i="8"/>
  <c r="K840" i="8"/>
  <c r="J840" i="8"/>
  <c r="I840" i="8"/>
  <c r="H840" i="8"/>
  <c r="G840" i="8"/>
  <c r="F840" i="8"/>
  <c r="E840" i="8"/>
  <c r="D840" i="8"/>
  <c r="C840" i="8"/>
  <c r="X839" i="8"/>
  <c r="W839" i="8"/>
  <c r="V839" i="8"/>
  <c r="U839" i="8"/>
  <c r="T839" i="8"/>
  <c r="S839" i="8"/>
  <c r="R839" i="8"/>
  <c r="Q839" i="8"/>
  <c r="P839" i="8"/>
  <c r="O839" i="8"/>
  <c r="N839" i="8"/>
  <c r="M839" i="8"/>
  <c r="L839" i="8"/>
  <c r="K839" i="8"/>
  <c r="J839" i="8"/>
  <c r="I839" i="8"/>
  <c r="H839" i="8"/>
  <c r="G839" i="8"/>
  <c r="F839" i="8"/>
  <c r="E839" i="8"/>
  <c r="D839" i="8"/>
  <c r="C839" i="8"/>
  <c r="X838" i="8"/>
  <c r="W838" i="8"/>
  <c r="V838" i="8"/>
  <c r="U838" i="8"/>
  <c r="T838" i="8"/>
  <c r="S838" i="8"/>
  <c r="R838" i="8"/>
  <c r="Q838" i="8"/>
  <c r="P838" i="8"/>
  <c r="O838" i="8"/>
  <c r="N838" i="8"/>
  <c r="M838" i="8"/>
  <c r="L838" i="8"/>
  <c r="K838" i="8"/>
  <c r="J838" i="8"/>
  <c r="I838" i="8"/>
  <c r="H838" i="8"/>
  <c r="G838" i="8"/>
  <c r="F838" i="8"/>
  <c r="E838" i="8"/>
  <c r="D838" i="8"/>
  <c r="C838" i="8"/>
  <c r="X836" i="8"/>
  <c r="W836" i="8"/>
  <c r="V836" i="8"/>
  <c r="U836" i="8"/>
  <c r="T836" i="8"/>
  <c r="S836" i="8"/>
  <c r="R836" i="8"/>
  <c r="Q836" i="8"/>
  <c r="P836" i="8"/>
  <c r="O836" i="8"/>
  <c r="N836" i="8"/>
  <c r="M836" i="8"/>
  <c r="L836" i="8"/>
  <c r="K836" i="8"/>
  <c r="J836" i="8"/>
  <c r="I836" i="8"/>
  <c r="H836" i="8"/>
  <c r="G836" i="8"/>
  <c r="F836" i="8"/>
  <c r="AI836" i="8" s="1"/>
  <c r="AJ836" i="8" s="1"/>
  <c r="E836" i="8"/>
  <c r="D836" i="8"/>
  <c r="C836" i="8"/>
  <c r="X835" i="8"/>
  <c r="W835" i="8"/>
  <c r="V835" i="8"/>
  <c r="U835" i="8"/>
  <c r="T835" i="8"/>
  <c r="S835" i="8"/>
  <c r="R835" i="8"/>
  <c r="Q835" i="8"/>
  <c r="P835" i="8"/>
  <c r="O835" i="8"/>
  <c r="N835" i="8"/>
  <c r="M835" i="8"/>
  <c r="L835" i="8"/>
  <c r="K835" i="8"/>
  <c r="J835" i="8"/>
  <c r="I835" i="8"/>
  <c r="H835" i="8"/>
  <c r="G835" i="8"/>
  <c r="F835" i="8"/>
  <c r="E835" i="8"/>
  <c r="D835" i="8"/>
  <c r="C835" i="8"/>
  <c r="X834" i="8"/>
  <c r="W834" i="8"/>
  <c r="V834" i="8"/>
  <c r="U834" i="8"/>
  <c r="T834" i="8"/>
  <c r="S834" i="8"/>
  <c r="R834" i="8"/>
  <c r="Q834" i="8"/>
  <c r="P834" i="8"/>
  <c r="O834" i="8"/>
  <c r="N834" i="8"/>
  <c r="M834" i="8"/>
  <c r="L834" i="8"/>
  <c r="K834" i="8"/>
  <c r="J834" i="8"/>
  <c r="I834" i="8"/>
  <c r="H834" i="8"/>
  <c r="G834" i="8"/>
  <c r="F834" i="8"/>
  <c r="E834" i="8"/>
  <c r="D834" i="8"/>
  <c r="C834" i="8"/>
  <c r="X833" i="8"/>
  <c r="W833" i="8"/>
  <c r="V833" i="8"/>
  <c r="U833" i="8"/>
  <c r="T833" i="8"/>
  <c r="S833" i="8"/>
  <c r="R833" i="8"/>
  <c r="Q833" i="8"/>
  <c r="P833" i="8"/>
  <c r="O833" i="8"/>
  <c r="N833" i="8"/>
  <c r="M833" i="8"/>
  <c r="L833" i="8"/>
  <c r="K833" i="8"/>
  <c r="J833" i="8"/>
  <c r="I833" i="8"/>
  <c r="H833" i="8"/>
  <c r="G833" i="8"/>
  <c r="F833" i="8"/>
  <c r="E833" i="8"/>
  <c r="D833" i="8"/>
  <c r="C833" i="8"/>
  <c r="X832" i="8"/>
  <c r="W832" i="8"/>
  <c r="V832" i="8"/>
  <c r="U832" i="8"/>
  <c r="T832" i="8"/>
  <c r="S832" i="8"/>
  <c r="R832" i="8"/>
  <c r="Q832" i="8"/>
  <c r="P832" i="8"/>
  <c r="O832" i="8"/>
  <c r="N832" i="8"/>
  <c r="M832" i="8"/>
  <c r="L832" i="8"/>
  <c r="K832" i="8"/>
  <c r="J832" i="8"/>
  <c r="I832" i="8"/>
  <c r="H832" i="8"/>
  <c r="G832" i="8"/>
  <c r="F832" i="8"/>
  <c r="E832" i="8"/>
  <c r="D832" i="8"/>
  <c r="C832" i="8"/>
  <c r="X831" i="8"/>
  <c r="W831" i="8"/>
  <c r="V831" i="8"/>
  <c r="U831" i="8"/>
  <c r="T831" i="8"/>
  <c r="S831" i="8"/>
  <c r="R831" i="8"/>
  <c r="Q831" i="8"/>
  <c r="P831" i="8"/>
  <c r="O831" i="8"/>
  <c r="N831" i="8"/>
  <c r="M831" i="8"/>
  <c r="L831" i="8"/>
  <c r="K831" i="8"/>
  <c r="J831" i="8"/>
  <c r="I831" i="8"/>
  <c r="H831" i="8"/>
  <c r="G831" i="8"/>
  <c r="F831" i="8"/>
  <c r="E831" i="8"/>
  <c r="D831" i="8"/>
  <c r="C831" i="8"/>
  <c r="X829" i="8"/>
  <c r="W829" i="8"/>
  <c r="V829" i="8"/>
  <c r="U829" i="8"/>
  <c r="T829" i="8"/>
  <c r="S829" i="8"/>
  <c r="R829" i="8"/>
  <c r="Q829" i="8"/>
  <c r="P829" i="8"/>
  <c r="O829" i="8"/>
  <c r="N829" i="8"/>
  <c r="M829" i="8"/>
  <c r="L829" i="8"/>
  <c r="K829" i="8"/>
  <c r="J829" i="8"/>
  <c r="I829" i="8"/>
  <c r="H829" i="8"/>
  <c r="G829" i="8"/>
  <c r="F829" i="8"/>
  <c r="E829" i="8"/>
  <c r="D829" i="8"/>
  <c r="C829" i="8"/>
  <c r="X828" i="8"/>
  <c r="AQ828" i="8" s="1"/>
  <c r="AR828" i="8" s="1"/>
  <c r="W828" i="8"/>
  <c r="V828" i="8"/>
  <c r="U828" i="8"/>
  <c r="T828" i="8"/>
  <c r="S828" i="8"/>
  <c r="R828" i="8"/>
  <c r="Q828" i="8"/>
  <c r="P828" i="8"/>
  <c r="O828" i="8"/>
  <c r="N828" i="8"/>
  <c r="M828" i="8"/>
  <c r="L828" i="8"/>
  <c r="K828" i="8"/>
  <c r="J828" i="8"/>
  <c r="I828" i="8"/>
  <c r="H828" i="8"/>
  <c r="G828" i="8"/>
  <c r="F828" i="8"/>
  <c r="E828" i="8"/>
  <c r="D828" i="8"/>
  <c r="C828" i="8"/>
  <c r="X827" i="8"/>
  <c r="W827" i="8"/>
  <c r="V827" i="8"/>
  <c r="U827" i="8"/>
  <c r="T827" i="8"/>
  <c r="S827" i="8"/>
  <c r="R827" i="8"/>
  <c r="Q827" i="8"/>
  <c r="P827" i="8"/>
  <c r="O827" i="8"/>
  <c r="N827" i="8"/>
  <c r="M827" i="8"/>
  <c r="L827" i="8"/>
  <c r="K827" i="8"/>
  <c r="J827" i="8"/>
  <c r="I827" i="8"/>
  <c r="H827" i="8"/>
  <c r="G827" i="8"/>
  <c r="F827" i="8"/>
  <c r="E827" i="8"/>
  <c r="D827" i="8"/>
  <c r="C827" i="8"/>
  <c r="X826" i="8"/>
  <c r="W826" i="8"/>
  <c r="V826" i="8"/>
  <c r="U826" i="8"/>
  <c r="T826" i="8"/>
  <c r="S826" i="8"/>
  <c r="R826" i="8"/>
  <c r="Q826" i="8"/>
  <c r="P826" i="8"/>
  <c r="O826" i="8"/>
  <c r="N826" i="8"/>
  <c r="M826" i="8"/>
  <c r="L826" i="8"/>
  <c r="K826" i="8"/>
  <c r="J826" i="8"/>
  <c r="I826" i="8"/>
  <c r="H826" i="8"/>
  <c r="G826" i="8"/>
  <c r="F826" i="8"/>
  <c r="E826" i="8"/>
  <c r="D826" i="8"/>
  <c r="C826" i="8"/>
  <c r="X825" i="8"/>
  <c r="W825" i="8"/>
  <c r="V825" i="8"/>
  <c r="U825" i="8"/>
  <c r="T825" i="8"/>
  <c r="S825" i="8"/>
  <c r="R825" i="8"/>
  <c r="Q825" i="8"/>
  <c r="P825" i="8"/>
  <c r="O825" i="8"/>
  <c r="N825" i="8"/>
  <c r="M825" i="8"/>
  <c r="L825" i="8"/>
  <c r="K825" i="8"/>
  <c r="J825" i="8"/>
  <c r="I825" i="8"/>
  <c r="H825" i="8"/>
  <c r="G825" i="8"/>
  <c r="F825" i="8"/>
  <c r="E825" i="8"/>
  <c r="D825" i="8"/>
  <c r="C825" i="8"/>
  <c r="X824" i="8"/>
  <c r="W824" i="8"/>
  <c r="V824" i="8"/>
  <c r="U824" i="8"/>
  <c r="T824" i="8"/>
  <c r="S824" i="8"/>
  <c r="R824" i="8"/>
  <c r="Q824" i="8"/>
  <c r="P824" i="8"/>
  <c r="O824" i="8"/>
  <c r="N824" i="8"/>
  <c r="M824" i="8"/>
  <c r="L824" i="8"/>
  <c r="K824" i="8"/>
  <c r="J824" i="8"/>
  <c r="I824" i="8"/>
  <c r="H824" i="8"/>
  <c r="G824" i="8"/>
  <c r="F824" i="8"/>
  <c r="E824" i="8"/>
  <c r="D824" i="8"/>
  <c r="C824" i="8"/>
  <c r="X822" i="8"/>
  <c r="W822" i="8"/>
  <c r="V822" i="8"/>
  <c r="U822" i="8"/>
  <c r="T822" i="8"/>
  <c r="S822" i="8"/>
  <c r="R822" i="8"/>
  <c r="Q822" i="8"/>
  <c r="P822" i="8"/>
  <c r="O822" i="8"/>
  <c r="N822" i="8"/>
  <c r="AM822" i="8" s="1"/>
  <c r="AN822" i="8" s="1"/>
  <c r="M822" i="8"/>
  <c r="L822" i="8"/>
  <c r="K822" i="8"/>
  <c r="J822" i="8"/>
  <c r="I822" i="8"/>
  <c r="H822" i="8"/>
  <c r="G822" i="8"/>
  <c r="F822" i="8"/>
  <c r="E822" i="8"/>
  <c r="D822" i="8"/>
  <c r="C822" i="8"/>
  <c r="X821" i="8"/>
  <c r="W821" i="8"/>
  <c r="V821" i="8"/>
  <c r="U821" i="8"/>
  <c r="T821" i="8"/>
  <c r="S821" i="8"/>
  <c r="R821" i="8"/>
  <c r="Q821" i="8"/>
  <c r="P821" i="8"/>
  <c r="O821" i="8"/>
  <c r="N821" i="8"/>
  <c r="M821" i="8"/>
  <c r="L821" i="8"/>
  <c r="K821" i="8"/>
  <c r="J821" i="8"/>
  <c r="I821" i="8"/>
  <c r="H821" i="8"/>
  <c r="G821" i="8"/>
  <c r="F821" i="8"/>
  <c r="E821" i="8"/>
  <c r="D821" i="8"/>
  <c r="C821" i="8"/>
  <c r="X820" i="8"/>
  <c r="W820" i="8"/>
  <c r="V820" i="8"/>
  <c r="U820" i="8"/>
  <c r="T820" i="8"/>
  <c r="S820" i="8"/>
  <c r="R820" i="8"/>
  <c r="Q820" i="8"/>
  <c r="P820" i="8"/>
  <c r="O820" i="8"/>
  <c r="N820" i="8"/>
  <c r="M820" i="8"/>
  <c r="L820" i="8"/>
  <c r="K820" i="8"/>
  <c r="J820" i="8"/>
  <c r="I820" i="8"/>
  <c r="H820" i="8"/>
  <c r="G820" i="8"/>
  <c r="F820" i="8"/>
  <c r="E820" i="8"/>
  <c r="D820" i="8"/>
  <c r="C820" i="8"/>
  <c r="X819" i="8"/>
  <c r="W819" i="8"/>
  <c r="V819" i="8"/>
  <c r="U819" i="8"/>
  <c r="T819" i="8"/>
  <c r="S819" i="8"/>
  <c r="R819" i="8"/>
  <c r="Q819" i="8"/>
  <c r="P819" i="8"/>
  <c r="O819" i="8"/>
  <c r="N819" i="8"/>
  <c r="M819" i="8"/>
  <c r="L819" i="8"/>
  <c r="K819" i="8"/>
  <c r="J819" i="8"/>
  <c r="I819" i="8"/>
  <c r="H819" i="8"/>
  <c r="G819" i="8"/>
  <c r="F819" i="8"/>
  <c r="E819" i="8"/>
  <c r="D819" i="8"/>
  <c r="C819" i="8"/>
  <c r="X814" i="8"/>
  <c r="W814" i="8"/>
  <c r="V814" i="8"/>
  <c r="U814" i="8"/>
  <c r="T814" i="8"/>
  <c r="S814" i="8"/>
  <c r="R814" i="8"/>
  <c r="Q814" i="8"/>
  <c r="P814" i="8"/>
  <c r="O814" i="8"/>
  <c r="N814" i="8"/>
  <c r="M814" i="8"/>
  <c r="L814" i="8"/>
  <c r="K814" i="8"/>
  <c r="J814" i="8"/>
  <c r="I814" i="8"/>
  <c r="H814" i="8"/>
  <c r="G814" i="8"/>
  <c r="F814" i="8"/>
  <c r="E814" i="8"/>
  <c r="D814" i="8"/>
  <c r="C814" i="8"/>
  <c r="X813" i="8"/>
  <c r="W813" i="8"/>
  <c r="V813" i="8"/>
  <c r="U813" i="8"/>
  <c r="T813" i="8"/>
  <c r="S813" i="8"/>
  <c r="R813" i="8"/>
  <c r="Q813" i="8"/>
  <c r="P813" i="8"/>
  <c r="O813" i="8"/>
  <c r="N813" i="8"/>
  <c r="M813" i="8"/>
  <c r="L813" i="8"/>
  <c r="K813" i="8"/>
  <c r="J813" i="8"/>
  <c r="I813" i="8"/>
  <c r="H813" i="8"/>
  <c r="G813" i="8"/>
  <c r="F813" i="8"/>
  <c r="E813" i="8"/>
  <c r="D813" i="8"/>
  <c r="C813" i="8"/>
  <c r="X812" i="8"/>
  <c r="W812" i="8"/>
  <c r="V812" i="8"/>
  <c r="U812" i="8"/>
  <c r="T812" i="8"/>
  <c r="S812" i="8"/>
  <c r="R812" i="8"/>
  <c r="Q812" i="8"/>
  <c r="P812" i="8"/>
  <c r="O812" i="8"/>
  <c r="N812" i="8"/>
  <c r="M812" i="8"/>
  <c r="L812" i="8"/>
  <c r="K812" i="8"/>
  <c r="J812" i="8"/>
  <c r="I812" i="8"/>
  <c r="H812" i="8"/>
  <c r="G812" i="8"/>
  <c r="F812" i="8"/>
  <c r="E812" i="8"/>
  <c r="D812" i="8"/>
  <c r="C812" i="8"/>
  <c r="X809" i="8"/>
  <c r="W809" i="8"/>
  <c r="V809" i="8"/>
  <c r="U809" i="8"/>
  <c r="T809" i="8"/>
  <c r="S809" i="8"/>
  <c r="R809" i="8"/>
  <c r="Q809" i="8"/>
  <c r="P809" i="8"/>
  <c r="O809" i="8"/>
  <c r="N809" i="8"/>
  <c r="M809" i="8"/>
  <c r="L809" i="8"/>
  <c r="K809" i="8"/>
  <c r="J809" i="8"/>
  <c r="I809" i="8"/>
  <c r="H809" i="8"/>
  <c r="G809" i="8"/>
  <c r="F809" i="8"/>
  <c r="E809" i="8"/>
  <c r="D809" i="8"/>
  <c r="C809" i="8"/>
  <c r="X808" i="8"/>
  <c r="W808" i="8"/>
  <c r="AQ808" i="8" s="1"/>
  <c r="AR808" i="8" s="1"/>
  <c r="V808" i="8"/>
  <c r="U808" i="8"/>
  <c r="T808" i="8"/>
  <c r="S808" i="8"/>
  <c r="R808" i="8"/>
  <c r="Q808" i="8"/>
  <c r="P808" i="8"/>
  <c r="O808" i="8"/>
  <c r="N808" i="8"/>
  <c r="M808" i="8"/>
  <c r="L808" i="8"/>
  <c r="K808" i="8"/>
  <c r="J808" i="8"/>
  <c r="AK808" i="8" s="1"/>
  <c r="AL808" i="8" s="1"/>
  <c r="I808" i="8"/>
  <c r="H808" i="8"/>
  <c r="G808" i="8"/>
  <c r="F808" i="8"/>
  <c r="E808" i="8"/>
  <c r="D808" i="8"/>
  <c r="C808" i="8"/>
  <c r="X807" i="8"/>
  <c r="W807" i="8"/>
  <c r="V807" i="8"/>
  <c r="U807" i="8"/>
  <c r="T807" i="8"/>
  <c r="S807" i="8"/>
  <c r="R807" i="8"/>
  <c r="Q807" i="8"/>
  <c r="P807" i="8"/>
  <c r="O807" i="8"/>
  <c r="N807" i="8"/>
  <c r="M807" i="8"/>
  <c r="L807" i="8"/>
  <c r="K807" i="8"/>
  <c r="J807" i="8"/>
  <c r="I807" i="8"/>
  <c r="H807" i="8"/>
  <c r="G807" i="8"/>
  <c r="F807" i="8"/>
  <c r="E807" i="8"/>
  <c r="D807" i="8"/>
  <c r="C807" i="8"/>
  <c r="X806" i="8"/>
  <c r="W806" i="8"/>
  <c r="V806" i="8"/>
  <c r="U806" i="8"/>
  <c r="T806" i="8"/>
  <c r="S806" i="8"/>
  <c r="R806" i="8"/>
  <c r="Q806" i="8"/>
  <c r="P806" i="8"/>
  <c r="O806" i="8"/>
  <c r="N806" i="8"/>
  <c r="M806" i="8"/>
  <c r="L806" i="8"/>
  <c r="K806" i="8"/>
  <c r="J806" i="8"/>
  <c r="I806" i="8"/>
  <c r="H806" i="8"/>
  <c r="G806" i="8"/>
  <c r="F806" i="8"/>
  <c r="E806" i="8"/>
  <c r="D806" i="8"/>
  <c r="C806" i="8"/>
  <c r="X805" i="8"/>
  <c r="AQ805" i="8" s="1"/>
  <c r="AR805" i="8" s="1"/>
  <c r="W805" i="8"/>
  <c r="V805" i="8"/>
  <c r="U805" i="8"/>
  <c r="T805" i="8"/>
  <c r="S805" i="8"/>
  <c r="R805" i="8"/>
  <c r="Q805" i="8"/>
  <c r="P805" i="8"/>
  <c r="O805" i="8"/>
  <c r="N805" i="8"/>
  <c r="M805" i="8"/>
  <c r="L805" i="8"/>
  <c r="K805" i="8"/>
  <c r="J805" i="8"/>
  <c r="I805" i="8"/>
  <c r="H805" i="8"/>
  <c r="G805" i="8"/>
  <c r="F805" i="8"/>
  <c r="E805" i="8"/>
  <c r="D805" i="8"/>
  <c r="C805" i="8"/>
  <c r="X803" i="8"/>
  <c r="W803" i="8"/>
  <c r="V803" i="8"/>
  <c r="U803" i="8"/>
  <c r="T803" i="8"/>
  <c r="S803" i="8"/>
  <c r="R803" i="8"/>
  <c r="Q803" i="8"/>
  <c r="P803" i="8"/>
  <c r="O803" i="8"/>
  <c r="N803" i="8"/>
  <c r="M803" i="8"/>
  <c r="L803" i="8"/>
  <c r="K803" i="8"/>
  <c r="J803" i="8"/>
  <c r="I803" i="8"/>
  <c r="H803" i="8"/>
  <c r="G803" i="8"/>
  <c r="F803" i="8"/>
  <c r="E803" i="8"/>
  <c r="D803" i="8"/>
  <c r="C803" i="8"/>
  <c r="X802" i="8"/>
  <c r="AQ802" i="8" s="1"/>
  <c r="AR802" i="8" s="1"/>
  <c r="W802" i="8"/>
  <c r="V802" i="8"/>
  <c r="U802" i="8"/>
  <c r="T802" i="8"/>
  <c r="S802" i="8"/>
  <c r="R802" i="8"/>
  <c r="Q802" i="8"/>
  <c r="P802" i="8"/>
  <c r="O802" i="8"/>
  <c r="N802" i="8"/>
  <c r="M802" i="8"/>
  <c r="L802" i="8"/>
  <c r="K802" i="8"/>
  <c r="J802" i="8"/>
  <c r="I802" i="8"/>
  <c r="H802" i="8"/>
  <c r="G802" i="8"/>
  <c r="F802" i="8"/>
  <c r="E802" i="8"/>
  <c r="D802" i="8"/>
  <c r="C802" i="8"/>
  <c r="X801" i="8"/>
  <c r="W801" i="8"/>
  <c r="V801" i="8"/>
  <c r="U801" i="8"/>
  <c r="T801" i="8"/>
  <c r="S801" i="8"/>
  <c r="R801" i="8"/>
  <c r="Q801" i="8"/>
  <c r="P801" i="8"/>
  <c r="O801" i="8"/>
  <c r="N801" i="8"/>
  <c r="M801" i="8"/>
  <c r="L801" i="8"/>
  <c r="K801" i="8"/>
  <c r="J801" i="8"/>
  <c r="I801" i="8"/>
  <c r="H801" i="8"/>
  <c r="G801" i="8"/>
  <c r="F801" i="8"/>
  <c r="E801" i="8"/>
  <c r="D801" i="8"/>
  <c r="C801" i="8"/>
  <c r="X800" i="8"/>
  <c r="W800" i="8"/>
  <c r="V800" i="8"/>
  <c r="U800" i="8"/>
  <c r="T800" i="8"/>
  <c r="S800" i="8"/>
  <c r="R800" i="8"/>
  <c r="Q800" i="8"/>
  <c r="P800" i="8"/>
  <c r="O800" i="8"/>
  <c r="N800" i="8"/>
  <c r="M800" i="8"/>
  <c r="L800" i="8"/>
  <c r="K800" i="8"/>
  <c r="J800" i="8"/>
  <c r="I800" i="8"/>
  <c r="H800" i="8"/>
  <c r="G800" i="8"/>
  <c r="F800" i="8"/>
  <c r="E800" i="8"/>
  <c r="D800" i="8"/>
  <c r="C800" i="8"/>
  <c r="X798" i="8"/>
  <c r="W798" i="8"/>
  <c r="V798" i="8"/>
  <c r="U798" i="8"/>
  <c r="T798" i="8"/>
  <c r="S798" i="8"/>
  <c r="R798" i="8"/>
  <c r="Q798" i="8"/>
  <c r="P798" i="8"/>
  <c r="O798" i="8"/>
  <c r="N798" i="8"/>
  <c r="M798" i="8"/>
  <c r="L798" i="8"/>
  <c r="K798" i="8"/>
  <c r="J798" i="8"/>
  <c r="I798" i="8"/>
  <c r="H798" i="8"/>
  <c r="G798" i="8"/>
  <c r="F798" i="8"/>
  <c r="E798" i="8"/>
  <c r="D798" i="8"/>
  <c r="C798" i="8"/>
  <c r="X797" i="8"/>
  <c r="AQ797" i="8" s="1"/>
  <c r="AR797" i="8" s="1"/>
  <c r="W797" i="8"/>
  <c r="V797" i="8"/>
  <c r="U797" i="8"/>
  <c r="T797" i="8"/>
  <c r="S797" i="8"/>
  <c r="R797" i="8"/>
  <c r="Q797" i="8"/>
  <c r="P797" i="8"/>
  <c r="O797" i="8"/>
  <c r="N797" i="8"/>
  <c r="M797" i="8"/>
  <c r="L797" i="8"/>
  <c r="K797" i="8"/>
  <c r="J797" i="8"/>
  <c r="I797" i="8"/>
  <c r="H797" i="8"/>
  <c r="G797" i="8"/>
  <c r="F797" i="8"/>
  <c r="E797" i="8"/>
  <c r="D797" i="8"/>
  <c r="C797" i="8"/>
  <c r="X796" i="8"/>
  <c r="W796" i="8"/>
  <c r="V796" i="8"/>
  <c r="U796" i="8"/>
  <c r="T796" i="8"/>
  <c r="S796" i="8"/>
  <c r="R796" i="8"/>
  <c r="Q796" i="8"/>
  <c r="P796" i="8"/>
  <c r="O796" i="8"/>
  <c r="N796" i="8"/>
  <c r="M796" i="8"/>
  <c r="L796" i="8"/>
  <c r="K796" i="8"/>
  <c r="J796" i="8"/>
  <c r="I796" i="8"/>
  <c r="H796" i="8"/>
  <c r="G796" i="8"/>
  <c r="F796" i="8"/>
  <c r="E796" i="8"/>
  <c r="D796" i="8"/>
  <c r="C796" i="8"/>
  <c r="X795" i="8"/>
  <c r="W795" i="8"/>
  <c r="V795" i="8"/>
  <c r="U795" i="8"/>
  <c r="T795" i="8"/>
  <c r="S795" i="8"/>
  <c r="R795" i="8"/>
  <c r="Q795" i="8"/>
  <c r="P795" i="8"/>
  <c r="O795" i="8"/>
  <c r="N795" i="8"/>
  <c r="M795" i="8"/>
  <c r="L795" i="8"/>
  <c r="K795" i="8"/>
  <c r="J795" i="8"/>
  <c r="I795" i="8"/>
  <c r="H795" i="8"/>
  <c r="G795" i="8"/>
  <c r="F795" i="8"/>
  <c r="E795" i="8"/>
  <c r="D795" i="8"/>
  <c r="C795" i="8"/>
  <c r="X794" i="8"/>
  <c r="W794" i="8"/>
  <c r="V794" i="8"/>
  <c r="U794" i="8"/>
  <c r="T794" i="8"/>
  <c r="S794" i="8"/>
  <c r="R794" i="8"/>
  <c r="Q794" i="8"/>
  <c r="P794" i="8"/>
  <c r="O794" i="8"/>
  <c r="N794" i="8"/>
  <c r="M794" i="8"/>
  <c r="L794" i="8"/>
  <c r="K794" i="8"/>
  <c r="J794" i="8"/>
  <c r="I794" i="8"/>
  <c r="H794" i="8"/>
  <c r="G794" i="8"/>
  <c r="F794" i="8"/>
  <c r="E794" i="8"/>
  <c r="D794" i="8"/>
  <c r="C794" i="8"/>
  <c r="X793" i="8"/>
  <c r="W793" i="8"/>
  <c r="V793" i="8"/>
  <c r="U793" i="8"/>
  <c r="T793" i="8"/>
  <c r="S793" i="8"/>
  <c r="R793" i="8"/>
  <c r="Q793" i="8"/>
  <c r="P793" i="8"/>
  <c r="O793" i="8"/>
  <c r="N793" i="8"/>
  <c r="M793" i="8"/>
  <c r="L793" i="8"/>
  <c r="K793" i="8"/>
  <c r="J793" i="8"/>
  <c r="I793" i="8"/>
  <c r="H793" i="8"/>
  <c r="G793" i="8"/>
  <c r="F793" i="8"/>
  <c r="E793" i="8"/>
  <c r="D793" i="8"/>
  <c r="C793" i="8"/>
  <c r="X791" i="8"/>
  <c r="W791" i="8"/>
  <c r="V791" i="8"/>
  <c r="U791" i="8"/>
  <c r="T791" i="8"/>
  <c r="S791" i="8"/>
  <c r="R791" i="8"/>
  <c r="Q791" i="8"/>
  <c r="P791" i="8"/>
  <c r="O791" i="8"/>
  <c r="N791" i="8"/>
  <c r="M791" i="8"/>
  <c r="L791" i="8"/>
  <c r="K791" i="8"/>
  <c r="J791" i="8"/>
  <c r="I791" i="8"/>
  <c r="H791" i="8"/>
  <c r="G791" i="8"/>
  <c r="F791" i="8"/>
  <c r="E791" i="8"/>
  <c r="D791" i="8"/>
  <c r="C791" i="8"/>
  <c r="X790" i="8"/>
  <c r="W790" i="8"/>
  <c r="V790" i="8"/>
  <c r="U790" i="8"/>
  <c r="T790" i="8"/>
  <c r="S790" i="8"/>
  <c r="R790" i="8"/>
  <c r="Q790" i="8"/>
  <c r="P790" i="8"/>
  <c r="O790" i="8"/>
  <c r="N790" i="8"/>
  <c r="M790" i="8"/>
  <c r="L790" i="8"/>
  <c r="K790" i="8"/>
  <c r="J790" i="8"/>
  <c r="I790" i="8"/>
  <c r="H790" i="8"/>
  <c r="G790" i="8"/>
  <c r="F790" i="8"/>
  <c r="E790" i="8"/>
  <c r="D790" i="8"/>
  <c r="C790" i="8"/>
  <c r="X789" i="8"/>
  <c r="W789" i="8"/>
  <c r="V789" i="8"/>
  <c r="U789" i="8"/>
  <c r="T789" i="8"/>
  <c r="S789" i="8"/>
  <c r="R789" i="8"/>
  <c r="Q789" i="8"/>
  <c r="P789" i="8"/>
  <c r="O789" i="8"/>
  <c r="N789" i="8"/>
  <c r="M789" i="8"/>
  <c r="L789" i="8"/>
  <c r="K789" i="8"/>
  <c r="J789" i="8"/>
  <c r="I789" i="8"/>
  <c r="H789" i="8"/>
  <c r="G789" i="8"/>
  <c r="F789" i="8"/>
  <c r="E789" i="8"/>
  <c r="D789" i="8"/>
  <c r="C789" i="8"/>
  <c r="X788" i="8"/>
  <c r="W788" i="8"/>
  <c r="V788" i="8"/>
  <c r="U788" i="8"/>
  <c r="T788" i="8"/>
  <c r="S788" i="8"/>
  <c r="R788" i="8"/>
  <c r="Q788" i="8"/>
  <c r="P788" i="8"/>
  <c r="O788" i="8"/>
  <c r="N788" i="8"/>
  <c r="M788" i="8"/>
  <c r="L788" i="8"/>
  <c r="K788" i="8"/>
  <c r="J788" i="8"/>
  <c r="I788" i="8"/>
  <c r="H788" i="8"/>
  <c r="G788" i="8"/>
  <c r="F788" i="8"/>
  <c r="E788" i="8"/>
  <c r="D788" i="8"/>
  <c r="C788" i="8"/>
  <c r="X787" i="8"/>
  <c r="W787" i="8"/>
  <c r="V787" i="8"/>
  <c r="U787" i="8"/>
  <c r="T787" i="8"/>
  <c r="S787" i="8"/>
  <c r="R787" i="8"/>
  <c r="Q787" i="8"/>
  <c r="P787" i="8"/>
  <c r="O787" i="8"/>
  <c r="N787" i="8"/>
  <c r="M787" i="8"/>
  <c r="L787" i="8"/>
  <c r="K787" i="8"/>
  <c r="J787" i="8"/>
  <c r="I787" i="8"/>
  <c r="H787" i="8"/>
  <c r="G787" i="8"/>
  <c r="F787" i="8"/>
  <c r="E787" i="8"/>
  <c r="D787" i="8"/>
  <c r="C787" i="8"/>
  <c r="X786" i="8"/>
  <c r="W786" i="8"/>
  <c r="V786" i="8"/>
  <c r="U786" i="8"/>
  <c r="T786" i="8"/>
  <c r="S786" i="8"/>
  <c r="R786" i="8"/>
  <c r="Q786" i="8"/>
  <c r="P786" i="8"/>
  <c r="O786" i="8"/>
  <c r="N786" i="8"/>
  <c r="M786" i="8"/>
  <c r="L786" i="8"/>
  <c r="K786" i="8"/>
  <c r="J786" i="8"/>
  <c r="I786" i="8"/>
  <c r="H786" i="8"/>
  <c r="G786" i="8"/>
  <c r="F786" i="8"/>
  <c r="E786" i="8"/>
  <c r="D786" i="8"/>
  <c r="C786" i="8"/>
  <c r="X784" i="8"/>
  <c r="W784" i="8"/>
  <c r="V784" i="8"/>
  <c r="U784" i="8"/>
  <c r="T784" i="8"/>
  <c r="S784" i="8"/>
  <c r="R784" i="8"/>
  <c r="Q784" i="8"/>
  <c r="P784" i="8"/>
  <c r="O784" i="8"/>
  <c r="N784" i="8"/>
  <c r="M784" i="8"/>
  <c r="L784" i="8"/>
  <c r="K784" i="8"/>
  <c r="J784" i="8"/>
  <c r="I784" i="8"/>
  <c r="H784" i="8"/>
  <c r="G784" i="8"/>
  <c r="F784" i="8"/>
  <c r="E784" i="8"/>
  <c r="D784" i="8"/>
  <c r="C784" i="8"/>
  <c r="X783" i="8"/>
  <c r="W783" i="8"/>
  <c r="V783" i="8"/>
  <c r="U783" i="8"/>
  <c r="T783" i="8"/>
  <c r="S783" i="8"/>
  <c r="R783" i="8"/>
  <c r="Q783" i="8"/>
  <c r="P783" i="8"/>
  <c r="O783" i="8"/>
  <c r="N783" i="8"/>
  <c r="M783" i="8"/>
  <c r="L783" i="8"/>
  <c r="K783" i="8"/>
  <c r="J783" i="8"/>
  <c r="I783" i="8"/>
  <c r="H783" i="8"/>
  <c r="G783" i="8"/>
  <c r="F783" i="8"/>
  <c r="E783" i="8"/>
  <c r="D783" i="8"/>
  <c r="C783" i="8"/>
  <c r="X782" i="8"/>
  <c r="W782" i="8"/>
  <c r="V782" i="8"/>
  <c r="U782" i="8"/>
  <c r="T782" i="8"/>
  <c r="S782" i="8"/>
  <c r="R782" i="8"/>
  <c r="Q782" i="8"/>
  <c r="P782" i="8"/>
  <c r="O782" i="8"/>
  <c r="N782" i="8"/>
  <c r="M782" i="8"/>
  <c r="L782" i="8"/>
  <c r="K782" i="8"/>
  <c r="J782" i="8"/>
  <c r="I782" i="8"/>
  <c r="H782" i="8"/>
  <c r="G782" i="8"/>
  <c r="F782" i="8"/>
  <c r="E782" i="8"/>
  <c r="D782" i="8"/>
  <c r="C782" i="8"/>
  <c r="X781" i="8"/>
  <c r="AQ781" i="8" s="1"/>
  <c r="AR781" i="8" s="1"/>
  <c r="W781" i="8"/>
  <c r="V781" i="8"/>
  <c r="U781" i="8"/>
  <c r="T781" i="8"/>
  <c r="S781" i="8"/>
  <c r="R781" i="8"/>
  <c r="Q781" i="8"/>
  <c r="P781" i="8"/>
  <c r="O781" i="8"/>
  <c r="N781" i="8"/>
  <c r="M781" i="8"/>
  <c r="L781" i="8"/>
  <c r="K781" i="8"/>
  <c r="J781" i="8"/>
  <c r="I781" i="8"/>
  <c r="H781" i="8"/>
  <c r="G781" i="8"/>
  <c r="F781" i="8"/>
  <c r="E781" i="8"/>
  <c r="D781" i="8"/>
  <c r="C781" i="8"/>
  <c r="X780" i="8"/>
  <c r="W780" i="8"/>
  <c r="V780" i="8"/>
  <c r="U780" i="8"/>
  <c r="T780" i="8"/>
  <c r="S780" i="8"/>
  <c r="R780" i="8"/>
  <c r="Q780" i="8"/>
  <c r="P780" i="8"/>
  <c r="O780" i="8"/>
  <c r="N780" i="8"/>
  <c r="M780" i="8"/>
  <c r="L780" i="8"/>
  <c r="K780" i="8"/>
  <c r="J780" i="8"/>
  <c r="I780" i="8"/>
  <c r="H780" i="8"/>
  <c r="G780" i="8"/>
  <c r="F780" i="8"/>
  <c r="E780" i="8"/>
  <c r="D780" i="8"/>
  <c r="C780" i="8"/>
  <c r="X779" i="8"/>
  <c r="W779" i="8"/>
  <c r="V779" i="8"/>
  <c r="U779" i="8"/>
  <c r="T779" i="8"/>
  <c r="S779" i="8"/>
  <c r="R779" i="8"/>
  <c r="Q779" i="8"/>
  <c r="P779" i="8"/>
  <c r="O779" i="8"/>
  <c r="N779" i="8"/>
  <c r="M779" i="8"/>
  <c r="L779" i="8"/>
  <c r="K779" i="8"/>
  <c r="J779" i="8"/>
  <c r="I779" i="8"/>
  <c r="H779" i="8"/>
  <c r="G779" i="8"/>
  <c r="F779" i="8"/>
  <c r="E779" i="8"/>
  <c r="D779" i="8"/>
  <c r="C779" i="8"/>
  <c r="X777" i="8"/>
  <c r="W777" i="8"/>
  <c r="V777" i="8"/>
  <c r="U777" i="8"/>
  <c r="T777" i="8"/>
  <c r="S777" i="8"/>
  <c r="R777" i="8"/>
  <c r="Q777" i="8"/>
  <c r="P777" i="8"/>
  <c r="O777" i="8"/>
  <c r="N777" i="8"/>
  <c r="M777" i="8"/>
  <c r="L777" i="8"/>
  <c r="K777" i="8"/>
  <c r="J777" i="8"/>
  <c r="I777" i="8"/>
  <c r="H777" i="8"/>
  <c r="G777" i="8"/>
  <c r="F777" i="8"/>
  <c r="E777" i="8"/>
  <c r="D777" i="8"/>
  <c r="C777" i="8"/>
  <c r="X776" i="8"/>
  <c r="W776" i="8"/>
  <c r="V776" i="8"/>
  <c r="U776" i="8"/>
  <c r="T776" i="8"/>
  <c r="S776" i="8"/>
  <c r="R776" i="8"/>
  <c r="Q776" i="8"/>
  <c r="P776" i="8"/>
  <c r="O776" i="8"/>
  <c r="N776" i="8"/>
  <c r="M776" i="8"/>
  <c r="L776" i="8"/>
  <c r="K776" i="8"/>
  <c r="J776" i="8"/>
  <c r="I776" i="8"/>
  <c r="H776" i="8"/>
  <c r="G776" i="8"/>
  <c r="F776" i="8"/>
  <c r="E776" i="8"/>
  <c r="D776" i="8"/>
  <c r="C776" i="8"/>
  <c r="X775" i="8"/>
  <c r="W775" i="8"/>
  <c r="V775" i="8"/>
  <c r="U775" i="8"/>
  <c r="T775" i="8"/>
  <c r="S775" i="8"/>
  <c r="R775" i="8"/>
  <c r="Q775" i="8"/>
  <c r="P775" i="8"/>
  <c r="O775" i="8"/>
  <c r="N775" i="8"/>
  <c r="M775" i="8"/>
  <c r="L775" i="8"/>
  <c r="K775" i="8"/>
  <c r="J775" i="8"/>
  <c r="I775" i="8"/>
  <c r="H775" i="8"/>
  <c r="G775" i="8"/>
  <c r="F775" i="8"/>
  <c r="E775" i="8"/>
  <c r="D775" i="8"/>
  <c r="C775" i="8"/>
  <c r="X774" i="8"/>
  <c r="AQ774" i="8" s="1"/>
  <c r="AR774" i="8" s="1"/>
  <c r="W774" i="8"/>
  <c r="V774" i="8"/>
  <c r="U774" i="8"/>
  <c r="T774" i="8"/>
  <c r="S774" i="8"/>
  <c r="R774" i="8"/>
  <c r="Q774" i="8"/>
  <c r="P774" i="8"/>
  <c r="O774" i="8"/>
  <c r="N774" i="8"/>
  <c r="M774" i="8"/>
  <c r="L774" i="8"/>
  <c r="K774" i="8"/>
  <c r="J774" i="8"/>
  <c r="I774" i="8"/>
  <c r="H774" i="8"/>
  <c r="G774" i="8"/>
  <c r="F774" i="8"/>
  <c r="E774" i="8"/>
  <c r="D774" i="8"/>
  <c r="C774" i="8"/>
  <c r="X771" i="8"/>
  <c r="W771" i="8"/>
  <c r="V771" i="8"/>
  <c r="U771" i="8"/>
  <c r="T771" i="8"/>
  <c r="S771" i="8"/>
  <c r="R771" i="8"/>
  <c r="Q771" i="8"/>
  <c r="P771" i="8"/>
  <c r="O771" i="8"/>
  <c r="N771" i="8"/>
  <c r="M771" i="8"/>
  <c r="L771" i="8"/>
  <c r="K771" i="8"/>
  <c r="J771" i="8"/>
  <c r="I771" i="8"/>
  <c r="H771" i="8"/>
  <c r="G771" i="8"/>
  <c r="F771" i="8"/>
  <c r="E771" i="8"/>
  <c r="D771" i="8"/>
  <c r="C771" i="8"/>
  <c r="X770" i="8"/>
  <c r="W770" i="8"/>
  <c r="V770" i="8"/>
  <c r="U770" i="8"/>
  <c r="T770" i="8"/>
  <c r="S770" i="8"/>
  <c r="R770" i="8"/>
  <c r="Q770" i="8"/>
  <c r="P770" i="8"/>
  <c r="O770" i="8"/>
  <c r="N770" i="8"/>
  <c r="M770" i="8"/>
  <c r="L770" i="8"/>
  <c r="K770" i="8"/>
  <c r="J770" i="8"/>
  <c r="I770" i="8"/>
  <c r="H770" i="8"/>
  <c r="G770" i="8"/>
  <c r="F770" i="8"/>
  <c r="E770" i="8"/>
  <c r="D770" i="8"/>
  <c r="C770" i="8"/>
  <c r="X769" i="8"/>
  <c r="W769" i="8"/>
  <c r="V769" i="8"/>
  <c r="U769" i="8"/>
  <c r="T769" i="8"/>
  <c r="S769" i="8"/>
  <c r="R769" i="8"/>
  <c r="Q769" i="8"/>
  <c r="P769" i="8"/>
  <c r="O769" i="8"/>
  <c r="N769" i="8"/>
  <c r="M769" i="8"/>
  <c r="L769" i="8"/>
  <c r="K769" i="8"/>
  <c r="J769" i="8"/>
  <c r="I769" i="8"/>
  <c r="H769" i="8"/>
  <c r="G769" i="8"/>
  <c r="F769" i="8"/>
  <c r="E769" i="8"/>
  <c r="D769" i="8"/>
  <c r="C769" i="8"/>
  <c r="X768" i="8"/>
  <c r="AQ768" i="8" s="1"/>
  <c r="AR768" i="8" s="1"/>
  <c r="W768" i="8"/>
  <c r="V768" i="8"/>
  <c r="U768" i="8"/>
  <c r="T768" i="8"/>
  <c r="S768" i="8"/>
  <c r="R768" i="8"/>
  <c r="Q768" i="8"/>
  <c r="P768" i="8"/>
  <c r="O768" i="8"/>
  <c r="N768" i="8"/>
  <c r="M768" i="8"/>
  <c r="L768" i="8"/>
  <c r="K768" i="8"/>
  <c r="J768" i="8"/>
  <c r="I768" i="8"/>
  <c r="H768" i="8"/>
  <c r="G768" i="8"/>
  <c r="F768" i="8"/>
  <c r="E768" i="8"/>
  <c r="D768" i="8"/>
  <c r="C768" i="8"/>
  <c r="X766" i="8"/>
  <c r="W766" i="8"/>
  <c r="V766" i="8"/>
  <c r="U766" i="8"/>
  <c r="T766" i="8"/>
  <c r="S766" i="8"/>
  <c r="R766" i="8"/>
  <c r="Q766" i="8"/>
  <c r="P766" i="8"/>
  <c r="O766" i="8"/>
  <c r="N766" i="8"/>
  <c r="M766" i="8"/>
  <c r="L766" i="8"/>
  <c r="K766" i="8"/>
  <c r="J766" i="8"/>
  <c r="I766" i="8"/>
  <c r="H766" i="8"/>
  <c r="G766" i="8"/>
  <c r="F766" i="8"/>
  <c r="E766" i="8"/>
  <c r="D766" i="8"/>
  <c r="C766" i="8"/>
  <c r="X765" i="8"/>
  <c r="W765" i="8"/>
  <c r="V765" i="8"/>
  <c r="U765" i="8"/>
  <c r="T765" i="8"/>
  <c r="S765" i="8"/>
  <c r="R765" i="8"/>
  <c r="Q765" i="8"/>
  <c r="P765" i="8"/>
  <c r="O765" i="8"/>
  <c r="N765" i="8"/>
  <c r="M765" i="8"/>
  <c r="L765" i="8"/>
  <c r="K765" i="8"/>
  <c r="J765" i="8"/>
  <c r="I765" i="8"/>
  <c r="H765" i="8"/>
  <c r="G765" i="8"/>
  <c r="F765" i="8"/>
  <c r="E765" i="8"/>
  <c r="D765" i="8"/>
  <c r="C765" i="8"/>
  <c r="X764" i="8"/>
  <c r="W764" i="8"/>
  <c r="V764" i="8"/>
  <c r="U764" i="8"/>
  <c r="T764" i="8"/>
  <c r="S764" i="8"/>
  <c r="R764" i="8"/>
  <c r="Q764" i="8"/>
  <c r="P764" i="8"/>
  <c r="O764" i="8"/>
  <c r="N764" i="8"/>
  <c r="M764" i="8"/>
  <c r="L764" i="8"/>
  <c r="K764" i="8"/>
  <c r="J764" i="8"/>
  <c r="I764" i="8"/>
  <c r="H764" i="8"/>
  <c r="G764" i="8"/>
  <c r="F764" i="8"/>
  <c r="E764" i="8"/>
  <c r="D764" i="8"/>
  <c r="C764" i="8"/>
  <c r="X763" i="8"/>
  <c r="W763" i="8"/>
  <c r="V763" i="8"/>
  <c r="U763" i="8"/>
  <c r="T763" i="8"/>
  <c r="S763" i="8"/>
  <c r="R763" i="8"/>
  <c r="Q763" i="8"/>
  <c r="P763" i="8"/>
  <c r="O763" i="8"/>
  <c r="N763" i="8"/>
  <c r="M763" i="8"/>
  <c r="L763" i="8"/>
  <c r="K763" i="8"/>
  <c r="J763" i="8"/>
  <c r="I763" i="8"/>
  <c r="H763" i="8"/>
  <c r="G763" i="8"/>
  <c r="F763" i="8"/>
  <c r="E763" i="8"/>
  <c r="D763" i="8"/>
  <c r="C763" i="8"/>
  <c r="X762" i="8"/>
  <c r="W762" i="8"/>
  <c r="V762" i="8"/>
  <c r="U762" i="8"/>
  <c r="T762" i="8"/>
  <c r="S762" i="8"/>
  <c r="R762" i="8"/>
  <c r="Q762" i="8"/>
  <c r="P762" i="8"/>
  <c r="O762" i="8"/>
  <c r="N762" i="8"/>
  <c r="M762" i="8"/>
  <c r="L762" i="8"/>
  <c r="K762" i="8"/>
  <c r="J762" i="8"/>
  <c r="I762" i="8"/>
  <c r="H762" i="8"/>
  <c r="G762" i="8"/>
  <c r="F762" i="8"/>
  <c r="E762" i="8"/>
  <c r="D762" i="8"/>
  <c r="C762" i="8"/>
  <c r="X761" i="8"/>
  <c r="AQ761" i="8" s="1"/>
  <c r="AR761" i="8" s="1"/>
  <c r="W761" i="8"/>
  <c r="V761" i="8"/>
  <c r="U761" i="8"/>
  <c r="T761" i="8"/>
  <c r="S761" i="8"/>
  <c r="R761" i="8"/>
  <c r="Q761" i="8"/>
  <c r="P761" i="8"/>
  <c r="O761" i="8"/>
  <c r="N761" i="8"/>
  <c r="M761" i="8"/>
  <c r="L761" i="8"/>
  <c r="K761" i="8"/>
  <c r="J761" i="8"/>
  <c r="I761" i="8"/>
  <c r="H761" i="8"/>
  <c r="G761" i="8"/>
  <c r="F761" i="8"/>
  <c r="E761" i="8"/>
  <c r="D761" i="8"/>
  <c r="C761" i="8"/>
  <c r="X759" i="8"/>
  <c r="W759" i="8"/>
  <c r="V759" i="8"/>
  <c r="U759" i="8"/>
  <c r="T759" i="8"/>
  <c r="S759" i="8"/>
  <c r="R759" i="8"/>
  <c r="Q759" i="8"/>
  <c r="P759" i="8"/>
  <c r="O759" i="8"/>
  <c r="N759" i="8"/>
  <c r="AM759" i="8" s="1"/>
  <c r="AN759" i="8" s="1"/>
  <c r="M759" i="8"/>
  <c r="L759" i="8"/>
  <c r="K759" i="8"/>
  <c r="J759" i="8"/>
  <c r="I759" i="8"/>
  <c r="H759" i="8"/>
  <c r="G759" i="8"/>
  <c r="F759" i="8"/>
  <c r="E759" i="8"/>
  <c r="D759" i="8"/>
  <c r="C759" i="8"/>
  <c r="X758" i="8"/>
  <c r="W758" i="8"/>
  <c r="V758" i="8"/>
  <c r="U758" i="8"/>
  <c r="T758" i="8"/>
  <c r="S758" i="8"/>
  <c r="R758" i="8"/>
  <c r="Q758" i="8"/>
  <c r="P758" i="8"/>
  <c r="O758" i="8"/>
  <c r="N758" i="8"/>
  <c r="M758" i="8"/>
  <c r="L758" i="8"/>
  <c r="K758" i="8"/>
  <c r="J758" i="8"/>
  <c r="I758" i="8"/>
  <c r="H758" i="8"/>
  <c r="G758" i="8"/>
  <c r="F758" i="8"/>
  <c r="E758" i="8"/>
  <c r="D758" i="8"/>
  <c r="C758" i="8"/>
  <c r="X757" i="8"/>
  <c r="W757" i="8"/>
  <c r="V757" i="8"/>
  <c r="U757" i="8"/>
  <c r="T757" i="8"/>
  <c r="S757" i="8"/>
  <c r="R757" i="8"/>
  <c r="Q757" i="8"/>
  <c r="P757" i="8"/>
  <c r="O757" i="8"/>
  <c r="N757" i="8"/>
  <c r="M757" i="8"/>
  <c r="L757" i="8"/>
  <c r="K757" i="8"/>
  <c r="J757" i="8"/>
  <c r="I757" i="8"/>
  <c r="H757" i="8"/>
  <c r="G757" i="8"/>
  <c r="F757" i="8"/>
  <c r="E757" i="8"/>
  <c r="D757" i="8"/>
  <c r="C757" i="8"/>
  <c r="X756" i="8"/>
  <c r="W756" i="8"/>
  <c r="V756" i="8"/>
  <c r="U756" i="8"/>
  <c r="T756" i="8"/>
  <c r="S756" i="8"/>
  <c r="R756" i="8"/>
  <c r="Q756" i="8"/>
  <c r="P756" i="8"/>
  <c r="O756" i="8"/>
  <c r="N756" i="8"/>
  <c r="M756" i="8"/>
  <c r="L756" i="8"/>
  <c r="K756" i="8"/>
  <c r="J756" i="8"/>
  <c r="I756" i="8"/>
  <c r="H756" i="8"/>
  <c r="G756" i="8"/>
  <c r="F756" i="8"/>
  <c r="E756" i="8"/>
  <c r="D756" i="8"/>
  <c r="C756" i="8"/>
  <c r="X754" i="8"/>
  <c r="W754" i="8"/>
  <c r="V754" i="8"/>
  <c r="U754" i="8"/>
  <c r="T754" i="8"/>
  <c r="S754" i="8"/>
  <c r="R754" i="8"/>
  <c r="Q754" i="8"/>
  <c r="P754" i="8"/>
  <c r="O754" i="8"/>
  <c r="N754" i="8"/>
  <c r="M754" i="8"/>
  <c r="L754" i="8"/>
  <c r="K754" i="8"/>
  <c r="J754" i="8"/>
  <c r="I754" i="8"/>
  <c r="H754" i="8"/>
  <c r="G754" i="8"/>
  <c r="F754" i="8"/>
  <c r="E754" i="8"/>
  <c r="D754" i="8"/>
  <c r="C754" i="8"/>
  <c r="X753" i="8"/>
  <c r="W753" i="8"/>
  <c r="V753" i="8"/>
  <c r="U753" i="8"/>
  <c r="T753" i="8"/>
  <c r="S753" i="8"/>
  <c r="R753" i="8"/>
  <c r="Q753" i="8"/>
  <c r="P753" i="8"/>
  <c r="O753" i="8"/>
  <c r="N753" i="8"/>
  <c r="M753" i="8"/>
  <c r="L753" i="8"/>
  <c r="K753" i="8"/>
  <c r="J753" i="8"/>
  <c r="I753" i="8"/>
  <c r="H753" i="8"/>
  <c r="G753" i="8"/>
  <c r="F753" i="8"/>
  <c r="E753" i="8"/>
  <c r="D753" i="8"/>
  <c r="C753" i="8"/>
  <c r="X752" i="8"/>
  <c r="W752" i="8"/>
  <c r="V752" i="8"/>
  <c r="U752" i="8"/>
  <c r="T752" i="8"/>
  <c r="S752" i="8"/>
  <c r="R752" i="8"/>
  <c r="Q752" i="8"/>
  <c r="P752" i="8"/>
  <c r="O752" i="8"/>
  <c r="N752" i="8"/>
  <c r="M752" i="8"/>
  <c r="L752" i="8"/>
  <c r="K752" i="8"/>
  <c r="J752" i="8"/>
  <c r="I752" i="8"/>
  <c r="H752" i="8"/>
  <c r="G752" i="8"/>
  <c r="F752" i="8"/>
  <c r="E752" i="8"/>
  <c r="D752" i="8"/>
  <c r="C752" i="8"/>
  <c r="X751" i="8"/>
  <c r="W751" i="8"/>
  <c r="V751" i="8"/>
  <c r="U751" i="8"/>
  <c r="T751" i="8"/>
  <c r="S751" i="8"/>
  <c r="R751" i="8"/>
  <c r="Q751" i="8"/>
  <c r="P751" i="8"/>
  <c r="O751" i="8"/>
  <c r="N751" i="8"/>
  <c r="M751" i="8"/>
  <c r="L751" i="8"/>
  <c r="K751" i="8"/>
  <c r="J751" i="8"/>
  <c r="I751" i="8"/>
  <c r="H751" i="8"/>
  <c r="G751" i="8"/>
  <c r="F751" i="8"/>
  <c r="E751" i="8"/>
  <c r="D751" i="8"/>
  <c r="C751" i="8"/>
  <c r="X750" i="8"/>
  <c r="W750" i="8"/>
  <c r="V750" i="8"/>
  <c r="U750" i="8"/>
  <c r="T750" i="8"/>
  <c r="S750" i="8"/>
  <c r="R750" i="8"/>
  <c r="Q750" i="8"/>
  <c r="P750" i="8"/>
  <c r="O750" i="8"/>
  <c r="N750" i="8"/>
  <c r="M750" i="8"/>
  <c r="L750" i="8"/>
  <c r="K750" i="8"/>
  <c r="J750" i="8"/>
  <c r="I750" i="8"/>
  <c r="H750" i="8"/>
  <c r="G750" i="8"/>
  <c r="F750" i="8"/>
  <c r="E750" i="8"/>
  <c r="D750" i="8"/>
  <c r="C750" i="8"/>
  <c r="X749" i="8"/>
  <c r="W749" i="8"/>
  <c r="V749" i="8"/>
  <c r="U749" i="8"/>
  <c r="T749" i="8"/>
  <c r="S749" i="8"/>
  <c r="R749" i="8"/>
  <c r="Q749" i="8"/>
  <c r="P749" i="8"/>
  <c r="O749" i="8"/>
  <c r="N749" i="8"/>
  <c r="M749" i="8"/>
  <c r="L749" i="8"/>
  <c r="K749" i="8"/>
  <c r="J749" i="8"/>
  <c r="I749" i="8"/>
  <c r="H749" i="8"/>
  <c r="G749" i="8"/>
  <c r="F749" i="8"/>
  <c r="E749" i="8"/>
  <c r="D749" i="8"/>
  <c r="C749" i="8"/>
  <c r="X747" i="8"/>
  <c r="W747" i="8"/>
  <c r="V747" i="8"/>
  <c r="U747" i="8"/>
  <c r="T747" i="8"/>
  <c r="S747" i="8"/>
  <c r="R747" i="8"/>
  <c r="Q747" i="8"/>
  <c r="P747" i="8"/>
  <c r="O747" i="8"/>
  <c r="N747" i="8"/>
  <c r="M747" i="8"/>
  <c r="L747" i="8"/>
  <c r="K747" i="8"/>
  <c r="J747" i="8"/>
  <c r="I747" i="8"/>
  <c r="H747" i="8"/>
  <c r="G747" i="8"/>
  <c r="F747" i="8"/>
  <c r="E747" i="8"/>
  <c r="D747" i="8"/>
  <c r="C747" i="8"/>
  <c r="X746" i="8"/>
  <c r="AQ746" i="8" s="1"/>
  <c r="AR746" i="8" s="1"/>
  <c r="W746" i="8"/>
  <c r="V746" i="8"/>
  <c r="U746" i="8"/>
  <c r="T746" i="8"/>
  <c r="S746" i="8"/>
  <c r="R746" i="8"/>
  <c r="Q746" i="8"/>
  <c r="P746" i="8"/>
  <c r="O746" i="8"/>
  <c r="N746" i="8"/>
  <c r="M746" i="8"/>
  <c r="L746" i="8"/>
  <c r="K746" i="8"/>
  <c r="J746" i="8"/>
  <c r="I746" i="8"/>
  <c r="H746" i="8"/>
  <c r="G746" i="8"/>
  <c r="F746" i="8"/>
  <c r="E746" i="8"/>
  <c r="D746" i="8"/>
  <c r="C746" i="8"/>
  <c r="X745" i="8"/>
  <c r="W745" i="8"/>
  <c r="V745" i="8"/>
  <c r="U745" i="8"/>
  <c r="T745" i="8"/>
  <c r="S745" i="8"/>
  <c r="R745" i="8"/>
  <c r="AO745" i="8" s="1"/>
  <c r="AP745" i="8" s="1"/>
  <c r="Q745" i="8"/>
  <c r="P745" i="8"/>
  <c r="O745" i="8"/>
  <c r="N745" i="8"/>
  <c r="M745" i="8"/>
  <c r="L745" i="8"/>
  <c r="K745" i="8"/>
  <c r="J745" i="8"/>
  <c r="I745" i="8"/>
  <c r="H745" i="8"/>
  <c r="G745" i="8"/>
  <c r="F745" i="8"/>
  <c r="E745" i="8"/>
  <c r="D745" i="8"/>
  <c r="C745" i="8"/>
  <c r="X744" i="8"/>
  <c r="W744" i="8"/>
  <c r="V744" i="8"/>
  <c r="U744" i="8"/>
  <c r="T744" i="8"/>
  <c r="S744" i="8"/>
  <c r="R744" i="8"/>
  <c r="Q744" i="8"/>
  <c r="P744" i="8"/>
  <c r="O744" i="8"/>
  <c r="N744" i="8"/>
  <c r="M744" i="8"/>
  <c r="L744" i="8"/>
  <c r="K744" i="8"/>
  <c r="J744" i="8"/>
  <c r="I744" i="8"/>
  <c r="H744" i="8"/>
  <c r="G744" i="8"/>
  <c r="F744" i="8"/>
  <c r="E744" i="8"/>
  <c r="D744" i="8"/>
  <c r="C744" i="8"/>
  <c r="X743" i="8"/>
  <c r="W743" i="8"/>
  <c r="V743" i="8"/>
  <c r="U743" i="8"/>
  <c r="T743" i="8"/>
  <c r="S743" i="8"/>
  <c r="R743" i="8"/>
  <c r="Q743" i="8"/>
  <c r="P743" i="8"/>
  <c r="O743" i="8"/>
  <c r="N743" i="8"/>
  <c r="M743" i="8"/>
  <c r="L743" i="8"/>
  <c r="K743" i="8"/>
  <c r="J743" i="8"/>
  <c r="I743" i="8"/>
  <c r="H743" i="8"/>
  <c r="G743" i="8"/>
  <c r="F743" i="8"/>
  <c r="E743" i="8"/>
  <c r="D743" i="8"/>
  <c r="C743" i="8"/>
  <c r="X742" i="8"/>
  <c r="W742" i="8"/>
  <c r="V742" i="8"/>
  <c r="U742" i="8"/>
  <c r="T742" i="8"/>
  <c r="S742" i="8"/>
  <c r="R742" i="8"/>
  <c r="Q742" i="8"/>
  <c r="P742" i="8"/>
  <c r="O742" i="8"/>
  <c r="N742" i="8"/>
  <c r="M742" i="8"/>
  <c r="L742" i="8"/>
  <c r="K742" i="8"/>
  <c r="J742" i="8"/>
  <c r="I742" i="8"/>
  <c r="H742" i="8"/>
  <c r="G742" i="8"/>
  <c r="F742" i="8"/>
  <c r="E742" i="8"/>
  <c r="D742" i="8"/>
  <c r="C742" i="8"/>
  <c r="X740" i="8"/>
  <c r="W740" i="8"/>
  <c r="V740" i="8"/>
  <c r="U740" i="8"/>
  <c r="T740" i="8"/>
  <c r="S740" i="8"/>
  <c r="R740" i="8"/>
  <c r="Q740" i="8"/>
  <c r="P740" i="8"/>
  <c r="O740" i="8"/>
  <c r="N740" i="8"/>
  <c r="M740" i="8"/>
  <c r="L740" i="8"/>
  <c r="K740" i="8"/>
  <c r="J740" i="8"/>
  <c r="I740" i="8"/>
  <c r="H740" i="8"/>
  <c r="G740" i="8"/>
  <c r="F740" i="8"/>
  <c r="E740" i="8"/>
  <c r="D740" i="8"/>
  <c r="C740" i="8"/>
  <c r="X739" i="8"/>
  <c r="AQ739" i="8" s="1"/>
  <c r="AR739" i="8" s="1"/>
  <c r="W739" i="8"/>
  <c r="V739" i="8"/>
  <c r="U739" i="8"/>
  <c r="T739" i="8"/>
  <c r="S739" i="8"/>
  <c r="R739" i="8"/>
  <c r="Q739" i="8"/>
  <c r="P739" i="8"/>
  <c r="O739" i="8"/>
  <c r="N739" i="8"/>
  <c r="M739" i="8"/>
  <c r="L739" i="8"/>
  <c r="K739" i="8"/>
  <c r="J739" i="8"/>
  <c r="I739" i="8"/>
  <c r="H739" i="8"/>
  <c r="G739" i="8"/>
  <c r="F739" i="8"/>
  <c r="E739" i="8"/>
  <c r="D739" i="8"/>
  <c r="C739" i="8"/>
  <c r="X738" i="8"/>
  <c r="W738" i="8"/>
  <c r="V738" i="8"/>
  <c r="U738" i="8"/>
  <c r="T738" i="8"/>
  <c r="S738" i="8"/>
  <c r="R738" i="8"/>
  <c r="Q738" i="8"/>
  <c r="P738" i="8"/>
  <c r="O738" i="8"/>
  <c r="N738" i="8"/>
  <c r="M738" i="8"/>
  <c r="L738" i="8"/>
  <c r="K738" i="8"/>
  <c r="J738" i="8"/>
  <c r="I738" i="8"/>
  <c r="H738" i="8"/>
  <c r="G738" i="8"/>
  <c r="F738" i="8"/>
  <c r="E738" i="8"/>
  <c r="D738" i="8"/>
  <c r="C738" i="8"/>
  <c r="X737" i="8"/>
  <c r="W737" i="8"/>
  <c r="V737" i="8"/>
  <c r="U737" i="8"/>
  <c r="T737" i="8"/>
  <c r="S737" i="8"/>
  <c r="R737" i="8"/>
  <c r="Q737" i="8"/>
  <c r="P737" i="8"/>
  <c r="O737" i="8"/>
  <c r="N737" i="8"/>
  <c r="M737" i="8"/>
  <c r="L737" i="8"/>
  <c r="K737" i="8"/>
  <c r="J737" i="8"/>
  <c r="I737" i="8"/>
  <c r="H737" i="8"/>
  <c r="G737" i="8"/>
  <c r="F737" i="8"/>
  <c r="E737" i="8"/>
  <c r="D737" i="8"/>
  <c r="C737" i="8"/>
  <c r="X730" i="8"/>
  <c r="W730" i="8"/>
  <c r="V730" i="8"/>
  <c r="U730" i="8"/>
  <c r="T730" i="8"/>
  <c r="S730" i="8"/>
  <c r="R730" i="8"/>
  <c r="Q730" i="8"/>
  <c r="P730" i="8"/>
  <c r="O730" i="8"/>
  <c r="N730" i="8"/>
  <c r="M730" i="8"/>
  <c r="L730" i="8"/>
  <c r="K730" i="8"/>
  <c r="J730" i="8"/>
  <c r="I730" i="8"/>
  <c r="H730" i="8"/>
  <c r="G730" i="8"/>
  <c r="F730" i="8"/>
  <c r="E730" i="8"/>
  <c r="D730" i="8"/>
  <c r="C730" i="8"/>
  <c r="X729" i="8"/>
  <c r="AQ729" i="8" s="1"/>
  <c r="AR729" i="8" s="1"/>
  <c r="W729" i="8"/>
  <c r="V729" i="8"/>
  <c r="U729" i="8"/>
  <c r="T729" i="8"/>
  <c r="S729" i="8"/>
  <c r="R729" i="8"/>
  <c r="Q729" i="8"/>
  <c r="P729" i="8"/>
  <c r="O729" i="8"/>
  <c r="N729" i="8"/>
  <c r="M729" i="8"/>
  <c r="L729" i="8"/>
  <c r="K729" i="8"/>
  <c r="J729" i="8"/>
  <c r="I729" i="8"/>
  <c r="H729" i="8"/>
  <c r="G729" i="8"/>
  <c r="F729" i="8"/>
  <c r="E729" i="8"/>
  <c r="D729" i="8"/>
  <c r="C729" i="8"/>
  <c r="X728" i="8"/>
  <c r="W728" i="8"/>
  <c r="V728" i="8"/>
  <c r="U728" i="8"/>
  <c r="T728" i="8"/>
  <c r="S728" i="8"/>
  <c r="R728" i="8"/>
  <c r="Q728" i="8"/>
  <c r="P728" i="8"/>
  <c r="O728" i="8"/>
  <c r="N728" i="8"/>
  <c r="M728" i="8"/>
  <c r="L728" i="8"/>
  <c r="K728" i="8"/>
  <c r="J728" i="8"/>
  <c r="I728" i="8"/>
  <c r="H728" i="8"/>
  <c r="G728" i="8"/>
  <c r="F728" i="8"/>
  <c r="E728" i="8"/>
  <c r="D728" i="8"/>
  <c r="C728" i="8"/>
  <c r="X727" i="8"/>
  <c r="W727" i="8"/>
  <c r="V727" i="8"/>
  <c r="U727" i="8"/>
  <c r="T727" i="8"/>
  <c r="S727" i="8"/>
  <c r="R727" i="8"/>
  <c r="Q727" i="8"/>
  <c r="P727" i="8"/>
  <c r="O727" i="8"/>
  <c r="N727" i="8"/>
  <c r="M727" i="8"/>
  <c r="L727" i="8"/>
  <c r="K727" i="8"/>
  <c r="J727" i="8"/>
  <c r="I727" i="8"/>
  <c r="H727" i="8"/>
  <c r="G727" i="8"/>
  <c r="F727" i="8"/>
  <c r="E727" i="8"/>
  <c r="D727" i="8"/>
  <c r="C727" i="8"/>
  <c r="X725" i="8"/>
  <c r="W725" i="8"/>
  <c r="V725" i="8"/>
  <c r="U725" i="8"/>
  <c r="T725" i="8"/>
  <c r="S725" i="8"/>
  <c r="R725" i="8"/>
  <c r="Q725" i="8"/>
  <c r="P725" i="8"/>
  <c r="O725" i="8"/>
  <c r="N725" i="8"/>
  <c r="M725" i="8"/>
  <c r="L725" i="8"/>
  <c r="K725" i="8"/>
  <c r="J725" i="8"/>
  <c r="I725" i="8"/>
  <c r="H725" i="8"/>
  <c r="G725" i="8"/>
  <c r="F725" i="8"/>
  <c r="E725" i="8"/>
  <c r="D725" i="8"/>
  <c r="C725" i="8"/>
  <c r="X724" i="8"/>
  <c r="W724" i="8"/>
  <c r="V724" i="8"/>
  <c r="U724" i="8"/>
  <c r="T724" i="8"/>
  <c r="S724" i="8"/>
  <c r="R724" i="8"/>
  <c r="Q724" i="8"/>
  <c r="P724" i="8"/>
  <c r="O724" i="8"/>
  <c r="N724" i="8"/>
  <c r="M724" i="8"/>
  <c r="L724" i="8"/>
  <c r="K724" i="8"/>
  <c r="J724" i="8"/>
  <c r="I724" i="8"/>
  <c r="H724" i="8"/>
  <c r="G724" i="8"/>
  <c r="F724" i="8"/>
  <c r="E724" i="8"/>
  <c r="D724" i="8"/>
  <c r="C724" i="8"/>
  <c r="X723" i="8"/>
  <c r="W723" i="8"/>
  <c r="V723" i="8"/>
  <c r="U723" i="8"/>
  <c r="T723" i="8"/>
  <c r="S723" i="8"/>
  <c r="R723" i="8"/>
  <c r="Q723" i="8"/>
  <c r="P723" i="8"/>
  <c r="O723" i="8"/>
  <c r="N723" i="8"/>
  <c r="M723" i="8"/>
  <c r="L723" i="8"/>
  <c r="K723" i="8"/>
  <c r="J723" i="8"/>
  <c r="I723" i="8"/>
  <c r="H723" i="8"/>
  <c r="G723" i="8"/>
  <c r="F723" i="8"/>
  <c r="E723" i="8"/>
  <c r="D723" i="8"/>
  <c r="C723" i="8"/>
  <c r="X722" i="8"/>
  <c r="W722" i="8"/>
  <c r="V722" i="8"/>
  <c r="U722" i="8"/>
  <c r="T722" i="8"/>
  <c r="S722" i="8"/>
  <c r="R722" i="8"/>
  <c r="Q722" i="8"/>
  <c r="P722" i="8"/>
  <c r="O722" i="8"/>
  <c r="N722" i="8"/>
  <c r="M722" i="8"/>
  <c r="L722" i="8"/>
  <c r="K722" i="8"/>
  <c r="J722" i="8"/>
  <c r="I722" i="8"/>
  <c r="H722" i="8"/>
  <c r="G722" i="8"/>
  <c r="F722" i="8"/>
  <c r="E722" i="8"/>
  <c r="D722" i="8"/>
  <c r="C722" i="8"/>
  <c r="X721" i="8"/>
  <c r="W721" i="8"/>
  <c r="V721" i="8"/>
  <c r="U721" i="8"/>
  <c r="T721" i="8"/>
  <c r="S721" i="8"/>
  <c r="R721" i="8"/>
  <c r="Q721" i="8"/>
  <c r="P721" i="8"/>
  <c r="O721" i="8"/>
  <c r="N721" i="8"/>
  <c r="M721" i="8"/>
  <c r="L721" i="8"/>
  <c r="K721" i="8"/>
  <c r="J721" i="8"/>
  <c r="I721" i="8"/>
  <c r="H721" i="8"/>
  <c r="G721" i="8"/>
  <c r="F721" i="8"/>
  <c r="E721" i="8"/>
  <c r="D721" i="8"/>
  <c r="C721" i="8"/>
  <c r="X720" i="8"/>
  <c r="W720" i="8"/>
  <c r="V720" i="8"/>
  <c r="U720" i="8"/>
  <c r="T720" i="8"/>
  <c r="S720" i="8"/>
  <c r="R720" i="8"/>
  <c r="Q720" i="8"/>
  <c r="P720" i="8"/>
  <c r="O720" i="8"/>
  <c r="N720" i="8"/>
  <c r="M720" i="8"/>
  <c r="L720" i="8"/>
  <c r="K720" i="8"/>
  <c r="J720" i="8"/>
  <c r="I720" i="8"/>
  <c r="H720" i="8"/>
  <c r="G720" i="8"/>
  <c r="F720" i="8"/>
  <c r="E720" i="8"/>
  <c r="D720" i="8"/>
  <c r="C720" i="8"/>
  <c r="X718" i="8"/>
  <c r="W718" i="8"/>
  <c r="V718" i="8"/>
  <c r="U718" i="8"/>
  <c r="T718" i="8"/>
  <c r="S718" i="8"/>
  <c r="R718" i="8"/>
  <c r="Q718" i="8"/>
  <c r="P718" i="8"/>
  <c r="O718" i="8"/>
  <c r="N718" i="8"/>
  <c r="M718" i="8"/>
  <c r="L718" i="8"/>
  <c r="K718" i="8"/>
  <c r="J718" i="8"/>
  <c r="I718" i="8"/>
  <c r="H718" i="8"/>
  <c r="G718" i="8"/>
  <c r="F718" i="8"/>
  <c r="E718" i="8"/>
  <c r="D718" i="8"/>
  <c r="C718" i="8"/>
  <c r="X717" i="8"/>
  <c r="W717" i="8"/>
  <c r="V717" i="8"/>
  <c r="U717" i="8"/>
  <c r="T717" i="8"/>
  <c r="S717" i="8"/>
  <c r="R717" i="8"/>
  <c r="Q717" i="8"/>
  <c r="P717" i="8"/>
  <c r="O717" i="8"/>
  <c r="N717" i="8"/>
  <c r="M717" i="8"/>
  <c r="L717" i="8"/>
  <c r="K717" i="8"/>
  <c r="J717" i="8"/>
  <c r="I717" i="8"/>
  <c r="H717" i="8"/>
  <c r="G717" i="8"/>
  <c r="F717" i="8"/>
  <c r="E717" i="8"/>
  <c r="D717" i="8"/>
  <c r="C717" i="8"/>
  <c r="X716" i="8"/>
  <c r="W716" i="8"/>
  <c r="V716" i="8"/>
  <c r="U716" i="8"/>
  <c r="T716" i="8"/>
  <c r="S716" i="8"/>
  <c r="R716" i="8"/>
  <c r="Q716" i="8"/>
  <c r="P716" i="8"/>
  <c r="O716" i="8"/>
  <c r="N716" i="8"/>
  <c r="M716" i="8"/>
  <c r="L716" i="8"/>
  <c r="K716" i="8"/>
  <c r="J716" i="8"/>
  <c r="I716" i="8"/>
  <c r="H716" i="8"/>
  <c r="G716" i="8"/>
  <c r="F716" i="8"/>
  <c r="E716" i="8"/>
  <c r="D716" i="8"/>
  <c r="C716" i="8"/>
  <c r="X715" i="8"/>
  <c r="W715" i="8"/>
  <c r="V715" i="8"/>
  <c r="U715" i="8"/>
  <c r="T715" i="8"/>
  <c r="S715" i="8"/>
  <c r="R715" i="8"/>
  <c r="Q715" i="8"/>
  <c r="P715" i="8"/>
  <c r="O715" i="8"/>
  <c r="N715" i="8"/>
  <c r="M715" i="8"/>
  <c r="L715" i="8"/>
  <c r="K715" i="8"/>
  <c r="J715" i="8"/>
  <c r="I715" i="8"/>
  <c r="H715" i="8"/>
  <c r="G715" i="8"/>
  <c r="F715" i="8"/>
  <c r="E715" i="8"/>
  <c r="D715" i="8"/>
  <c r="C715" i="8"/>
  <c r="X714" i="8"/>
  <c r="W714" i="8"/>
  <c r="V714" i="8"/>
  <c r="U714" i="8"/>
  <c r="T714" i="8"/>
  <c r="S714" i="8"/>
  <c r="R714" i="8"/>
  <c r="Q714" i="8"/>
  <c r="P714" i="8"/>
  <c r="O714" i="8"/>
  <c r="N714" i="8"/>
  <c r="M714" i="8"/>
  <c r="L714" i="8"/>
  <c r="K714" i="8"/>
  <c r="J714" i="8"/>
  <c r="I714" i="8"/>
  <c r="H714" i="8"/>
  <c r="G714" i="8"/>
  <c r="F714" i="8"/>
  <c r="E714" i="8"/>
  <c r="D714" i="8"/>
  <c r="C714" i="8"/>
  <c r="X713" i="8"/>
  <c r="AQ713" i="8" s="1"/>
  <c r="AR713" i="8" s="1"/>
  <c r="W713" i="8"/>
  <c r="V713" i="8"/>
  <c r="U713" i="8"/>
  <c r="T713" i="8"/>
  <c r="S713" i="8"/>
  <c r="R713" i="8"/>
  <c r="Q713" i="8"/>
  <c r="P713" i="8"/>
  <c r="O713" i="8"/>
  <c r="N713" i="8"/>
  <c r="M713" i="8"/>
  <c r="L713" i="8"/>
  <c r="K713" i="8"/>
  <c r="J713" i="8"/>
  <c r="I713" i="8"/>
  <c r="H713" i="8"/>
  <c r="G713" i="8"/>
  <c r="F713" i="8"/>
  <c r="E713" i="8"/>
  <c r="D713" i="8"/>
  <c r="C713" i="8"/>
  <c r="X708" i="8"/>
  <c r="W708" i="8"/>
  <c r="V708" i="8"/>
  <c r="U708" i="8"/>
  <c r="T708" i="8"/>
  <c r="S708" i="8"/>
  <c r="R708" i="8"/>
  <c r="Q708" i="8"/>
  <c r="P708" i="8"/>
  <c r="O708" i="8"/>
  <c r="N708" i="8"/>
  <c r="M708" i="8"/>
  <c r="L708" i="8"/>
  <c r="K708" i="8"/>
  <c r="J708" i="8"/>
  <c r="I708" i="8"/>
  <c r="H708" i="8"/>
  <c r="G708" i="8"/>
  <c r="F708" i="8"/>
  <c r="E708" i="8"/>
  <c r="D708" i="8"/>
  <c r="C708" i="8"/>
  <c r="X707" i="8"/>
  <c r="W707" i="8"/>
  <c r="V707" i="8"/>
  <c r="U707" i="8"/>
  <c r="T707" i="8"/>
  <c r="S707" i="8"/>
  <c r="R707" i="8"/>
  <c r="Q707" i="8"/>
  <c r="P707" i="8"/>
  <c r="O707" i="8"/>
  <c r="N707" i="8"/>
  <c r="M707" i="8"/>
  <c r="L707" i="8"/>
  <c r="K707" i="8"/>
  <c r="J707" i="8"/>
  <c r="I707" i="8"/>
  <c r="H707" i="8"/>
  <c r="G707" i="8"/>
  <c r="F707" i="8"/>
  <c r="E707" i="8"/>
  <c r="D707" i="8"/>
  <c r="C707" i="8"/>
  <c r="X706" i="8"/>
  <c r="W706" i="8"/>
  <c r="V706" i="8"/>
  <c r="U706" i="8"/>
  <c r="T706" i="8"/>
  <c r="S706" i="8"/>
  <c r="R706" i="8"/>
  <c r="Q706" i="8"/>
  <c r="P706" i="8"/>
  <c r="O706" i="8"/>
  <c r="N706" i="8"/>
  <c r="M706" i="8"/>
  <c r="L706" i="8"/>
  <c r="K706" i="8"/>
  <c r="J706" i="8"/>
  <c r="I706" i="8"/>
  <c r="H706" i="8"/>
  <c r="G706" i="8"/>
  <c r="F706" i="8"/>
  <c r="E706" i="8"/>
  <c r="D706" i="8"/>
  <c r="C706" i="8"/>
  <c r="X705" i="8"/>
  <c r="W705" i="8"/>
  <c r="V705" i="8"/>
  <c r="U705" i="8"/>
  <c r="T705" i="8"/>
  <c r="S705" i="8"/>
  <c r="R705" i="8"/>
  <c r="Q705" i="8"/>
  <c r="P705" i="8"/>
  <c r="O705" i="8"/>
  <c r="N705" i="8"/>
  <c r="M705" i="8"/>
  <c r="L705" i="8"/>
  <c r="K705" i="8"/>
  <c r="J705" i="8"/>
  <c r="I705" i="8"/>
  <c r="H705" i="8"/>
  <c r="G705" i="8"/>
  <c r="F705" i="8"/>
  <c r="E705" i="8"/>
  <c r="D705" i="8"/>
  <c r="C705" i="8"/>
  <c r="X703" i="8"/>
  <c r="W703" i="8"/>
  <c r="V703" i="8"/>
  <c r="U703" i="8"/>
  <c r="T703" i="8"/>
  <c r="S703" i="8"/>
  <c r="R703" i="8"/>
  <c r="Q703" i="8"/>
  <c r="P703" i="8"/>
  <c r="O703" i="8"/>
  <c r="N703" i="8"/>
  <c r="M703" i="8"/>
  <c r="L703" i="8"/>
  <c r="K703" i="8"/>
  <c r="J703" i="8"/>
  <c r="I703" i="8"/>
  <c r="H703" i="8"/>
  <c r="G703" i="8"/>
  <c r="F703" i="8"/>
  <c r="E703" i="8"/>
  <c r="D703" i="8"/>
  <c r="C703" i="8"/>
  <c r="X702" i="8"/>
  <c r="W702" i="8"/>
  <c r="V702" i="8"/>
  <c r="U702" i="8"/>
  <c r="T702" i="8"/>
  <c r="S702" i="8"/>
  <c r="R702" i="8"/>
  <c r="Q702" i="8"/>
  <c r="P702" i="8"/>
  <c r="O702" i="8"/>
  <c r="N702" i="8"/>
  <c r="M702" i="8"/>
  <c r="L702" i="8"/>
  <c r="K702" i="8"/>
  <c r="J702" i="8"/>
  <c r="I702" i="8"/>
  <c r="H702" i="8"/>
  <c r="G702" i="8"/>
  <c r="F702" i="8"/>
  <c r="E702" i="8"/>
  <c r="D702" i="8"/>
  <c r="C702" i="8"/>
  <c r="X701" i="8"/>
  <c r="W701" i="8"/>
  <c r="V701" i="8"/>
  <c r="U701" i="8"/>
  <c r="T701" i="8"/>
  <c r="S701" i="8"/>
  <c r="R701" i="8"/>
  <c r="Q701" i="8"/>
  <c r="P701" i="8"/>
  <c r="O701" i="8"/>
  <c r="N701" i="8"/>
  <c r="M701" i="8"/>
  <c r="L701" i="8"/>
  <c r="K701" i="8"/>
  <c r="J701" i="8"/>
  <c r="I701" i="8"/>
  <c r="H701" i="8"/>
  <c r="G701" i="8"/>
  <c r="F701" i="8"/>
  <c r="E701" i="8"/>
  <c r="D701" i="8"/>
  <c r="C701" i="8"/>
  <c r="X700" i="8"/>
  <c r="W700" i="8"/>
  <c r="V700" i="8"/>
  <c r="U700" i="8"/>
  <c r="T700" i="8"/>
  <c r="S700" i="8"/>
  <c r="R700" i="8"/>
  <c r="Q700" i="8"/>
  <c r="P700" i="8"/>
  <c r="O700" i="8"/>
  <c r="N700" i="8"/>
  <c r="M700" i="8"/>
  <c r="L700" i="8"/>
  <c r="K700" i="8"/>
  <c r="J700" i="8"/>
  <c r="I700" i="8"/>
  <c r="H700" i="8"/>
  <c r="G700" i="8"/>
  <c r="F700" i="8"/>
  <c r="E700" i="8"/>
  <c r="D700" i="8"/>
  <c r="C700" i="8"/>
  <c r="X699" i="8"/>
  <c r="W699" i="8"/>
  <c r="V699" i="8"/>
  <c r="U699" i="8"/>
  <c r="T699" i="8"/>
  <c r="S699" i="8"/>
  <c r="R699" i="8"/>
  <c r="Q699" i="8"/>
  <c r="P699" i="8"/>
  <c r="O699" i="8"/>
  <c r="N699" i="8"/>
  <c r="M699" i="8"/>
  <c r="L699" i="8"/>
  <c r="K699" i="8"/>
  <c r="J699" i="8"/>
  <c r="I699" i="8"/>
  <c r="H699" i="8"/>
  <c r="G699" i="8"/>
  <c r="F699" i="8"/>
  <c r="E699" i="8"/>
  <c r="D699" i="8"/>
  <c r="C699" i="8"/>
  <c r="X698" i="8"/>
  <c r="W698" i="8"/>
  <c r="V698" i="8"/>
  <c r="U698" i="8"/>
  <c r="T698" i="8"/>
  <c r="S698" i="8"/>
  <c r="R698" i="8"/>
  <c r="Q698" i="8"/>
  <c r="P698" i="8"/>
  <c r="O698" i="8"/>
  <c r="N698" i="8"/>
  <c r="M698" i="8"/>
  <c r="L698" i="8"/>
  <c r="K698" i="8"/>
  <c r="J698" i="8"/>
  <c r="I698" i="8"/>
  <c r="H698" i="8"/>
  <c r="G698" i="8"/>
  <c r="F698" i="8"/>
  <c r="E698" i="8"/>
  <c r="D698" i="8"/>
  <c r="C698" i="8"/>
  <c r="X696" i="8"/>
  <c r="W696" i="8"/>
  <c r="V696" i="8"/>
  <c r="U696" i="8"/>
  <c r="T696" i="8"/>
  <c r="S696" i="8"/>
  <c r="R696" i="8"/>
  <c r="Q696" i="8"/>
  <c r="P696" i="8"/>
  <c r="O696" i="8"/>
  <c r="N696" i="8"/>
  <c r="M696" i="8"/>
  <c r="L696" i="8"/>
  <c r="K696" i="8"/>
  <c r="J696" i="8"/>
  <c r="I696" i="8"/>
  <c r="H696" i="8"/>
  <c r="G696" i="8"/>
  <c r="F696" i="8"/>
  <c r="E696" i="8"/>
  <c r="D696" i="8"/>
  <c r="C696" i="8"/>
  <c r="X695" i="8"/>
  <c r="W695" i="8"/>
  <c r="V695" i="8"/>
  <c r="U695" i="8"/>
  <c r="T695" i="8"/>
  <c r="S695" i="8"/>
  <c r="R695" i="8"/>
  <c r="Q695" i="8"/>
  <c r="P695" i="8"/>
  <c r="O695" i="8"/>
  <c r="N695" i="8"/>
  <c r="M695" i="8"/>
  <c r="L695" i="8"/>
  <c r="K695" i="8"/>
  <c r="J695" i="8"/>
  <c r="I695" i="8"/>
  <c r="H695" i="8"/>
  <c r="G695" i="8"/>
  <c r="F695" i="8"/>
  <c r="E695" i="8"/>
  <c r="D695" i="8"/>
  <c r="C695" i="8"/>
  <c r="X694" i="8"/>
  <c r="W694" i="8"/>
  <c r="V694" i="8"/>
  <c r="U694" i="8"/>
  <c r="T694" i="8"/>
  <c r="S694" i="8"/>
  <c r="R694" i="8"/>
  <c r="Q694" i="8"/>
  <c r="P694" i="8"/>
  <c r="O694" i="8"/>
  <c r="N694" i="8"/>
  <c r="M694" i="8"/>
  <c r="L694" i="8"/>
  <c r="K694" i="8"/>
  <c r="J694" i="8"/>
  <c r="I694" i="8"/>
  <c r="H694" i="8"/>
  <c r="G694" i="8"/>
  <c r="F694" i="8"/>
  <c r="E694" i="8"/>
  <c r="D694" i="8"/>
  <c r="C694" i="8"/>
  <c r="X693" i="8"/>
  <c r="W693" i="8"/>
  <c r="V693" i="8"/>
  <c r="U693" i="8"/>
  <c r="T693" i="8"/>
  <c r="S693" i="8"/>
  <c r="R693" i="8"/>
  <c r="Q693" i="8"/>
  <c r="P693" i="8"/>
  <c r="O693" i="8"/>
  <c r="N693" i="8"/>
  <c r="M693" i="8"/>
  <c r="L693" i="8"/>
  <c r="K693" i="8"/>
  <c r="J693" i="8"/>
  <c r="I693" i="8"/>
  <c r="H693" i="8"/>
  <c r="G693" i="8"/>
  <c r="F693" i="8"/>
  <c r="E693" i="8"/>
  <c r="D693" i="8"/>
  <c r="C693" i="8"/>
  <c r="X692" i="8"/>
  <c r="W692" i="8"/>
  <c r="V692" i="8"/>
  <c r="U692" i="8"/>
  <c r="T692" i="8"/>
  <c r="S692" i="8"/>
  <c r="R692" i="8"/>
  <c r="Q692" i="8"/>
  <c r="P692" i="8"/>
  <c r="O692" i="8"/>
  <c r="N692" i="8"/>
  <c r="M692" i="8"/>
  <c r="L692" i="8"/>
  <c r="K692" i="8"/>
  <c r="J692" i="8"/>
  <c r="I692" i="8"/>
  <c r="H692" i="8"/>
  <c r="G692" i="8"/>
  <c r="F692" i="8"/>
  <c r="E692" i="8"/>
  <c r="D692" i="8"/>
  <c r="C692" i="8"/>
  <c r="X691" i="8"/>
  <c r="AQ691" i="8" s="1"/>
  <c r="AR691" i="8" s="1"/>
  <c r="W691" i="8"/>
  <c r="V691" i="8"/>
  <c r="U691" i="8"/>
  <c r="T691" i="8"/>
  <c r="S691" i="8"/>
  <c r="R691" i="8"/>
  <c r="Q691" i="8"/>
  <c r="P691" i="8"/>
  <c r="O691" i="8"/>
  <c r="N691" i="8"/>
  <c r="M691" i="8"/>
  <c r="L691" i="8"/>
  <c r="K691" i="8"/>
  <c r="J691" i="8"/>
  <c r="I691" i="8"/>
  <c r="H691" i="8"/>
  <c r="G691" i="8"/>
  <c r="F691" i="8"/>
  <c r="E691" i="8"/>
  <c r="D691" i="8"/>
  <c r="C691" i="8"/>
  <c r="X690" i="8"/>
  <c r="W690" i="8"/>
  <c r="V690" i="8"/>
  <c r="U690" i="8"/>
  <c r="T690" i="8"/>
  <c r="S690" i="8"/>
  <c r="R690" i="8"/>
  <c r="Q690" i="8"/>
  <c r="P690" i="8"/>
  <c r="O690" i="8"/>
  <c r="N690" i="8"/>
  <c r="M690" i="8"/>
  <c r="L690" i="8"/>
  <c r="K690" i="8"/>
  <c r="J690" i="8"/>
  <c r="I690" i="8"/>
  <c r="H690" i="8"/>
  <c r="G690" i="8"/>
  <c r="F690" i="8"/>
  <c r="E690" i="8"/>
  <c r="D690" i="8"/>
  <c r="C690" i="8"/>
  <c r="X687" i="8"/>
  <c r="W687" i="8"/>
  <c r="V687" i="8"/>
  <c r="U687" i="8"/>
  <c r="T687" i="8"/>
  <c r="S687" i="8"/>
  <c r="R687" i="8"/>
  <c r="Q687" i="8"/>
  <c r="P687" i="8"/>
  <c r="O687" i="8"/>
  <c r="N687" i="8"/>
  <c r="M687" i="8"/>
  <c r="L687" i="8"/>
  <c r="K687" i="8"/>
  <c r="J687" i="8"/>
  <c r="I687" i="8"/>
  <c r="H687" i="8"/>
  <c r="G687" i="8"/>
  <c r="F687" i="8"/>
  <c r="E687" i="8"/>
  <c r="D687" i="8"/>
  <c r="C687" i="8"/>
  <c r="X686" i="8"/>
  <c r="W686" i="8"/>
  <c r="V686" i="8"/>
  <c r="U686" i="8"/>
  <c r="T686" i="8"/>
  <c r="S686" i="8"/>
  <c r="R686" i="8"/>
  <c r="Q686" i="8"/>
  <c r="P686" i="8"/>
  <c r="O686" i="8"/>
  <c r="N686" i="8"/>
  <c r="M686" i="8"/>
  <c r="L686" i="8"/>
  <c r="K686" i="8"/>
  <c r="J686" i="8"/>
  <c r="I686" i="8"/>
  <c r="H686" i="8"/>
  <c r="G686" i="8"/>
  <c r="F686" i="8"/>
  <c r="E686" i="8"/>
  <c r="D686" i="8"/>
  <c r="C686" i="8"/>
  <c r="X685" i="8"/>
  <c r="W685" i="8"/>
  <c r="V685" i="8"/>
  <c r="U685" i="8"/>
  <c r="T685" i="8"/>
  <c r="S685" i="8"/>
  <c r="R685" i="8"/>
  <c r="Q685" i="8"/>
  <c r="P685" i="8"/>
  <c r="O685" i="8"/>
  <c r="N685" i="8"/>
  <c r="M685" i="8"/>
  <c r="L685" i="8"/>
  <c r="K685" i="8"/>
  <c r="J685" i="8"/>
  <c r="I685" i="8"/>
  <c r="H685" i="8"/>
  <c r="G685" i="8"/>
  <c r="F685" i="8"/>
  <c r="E685" i="8"/>
  <c r="D685" i="8"/>
  <c r="C685" i="8"/>
  <c r="X684" i="8"/>
  <c r="W684" i="8"/>
  <c r="V684" i="8"/>
  <c r="U684" i="8"/>
  <c r="T684" i="8"/>
  <c r="S684" i="8"/>
  <c r="R684" i="8"/>
  <c r="Q684" i="8"/>
  <c r="P684" i="8"/>
  <c r="O684" i="8"/>
  <c r="N684" i="8"/>
  <c r="M684" i="8"/>
  <c r="L684" i="8"/>
  <c r="K684" i="8"/>
  <c r="J684" i="8"/>
  <c r="I684" i="8"/>
  <c r="H684" i="8"/>
  <c r="G684" i="8"/>
  <c r="F684" i="8"/>
  <c r="E684" i="8"/>
  <c r="D684" i="8"/>
  <c r="C684" i="8"/>
  <c r="X683" i="8"/>
  <c r="W683" i="8"/>
  <c r="V683" i="8"/>
  <c r="U683" i="8"/>
  <c r="T683" i="8"/>
  <c r="S683" i="8"/>
  <c r="R683" i="8"/>
  <c r="Q683" i="8"/>
  <c r="P683" i="8"/>
  <c r="O683" i="8"/>
  <c r="N683" i="8"/>
  <c r="M683" i="8"/>
  <c r="L683" i="8"/>
  <c r="K683" i="8"/>
  <c r="J683" i="8"/>
  <c r="I683" i="8"/>
  <c r="H683" i="8"/>
  <c r="AK683" i="8" s="1"/>
  <c r="AL683" i="8" s="1"/>
  <c r="G683" i="8"/>
  <c r="F683" i="8"/>
  <c r="E683" i="8"/>
  <c r="D683" i="8"/>
  <c r="C683" i="8"/>
  <c r="X675" i="8"/>
  <c r="W675" i="8"/>
  <c r="V675" i="8"/>
  <c r="U675" i="8"/>
  <c r="T675" i="8"/>
  <c r="S675" i="8"/>
  <c r="R675" i="8"/>
  <c r="Q675" i="8"/>
  <c r="P675" i="8"/>
  <c r="O675" i="8"/>
  <c r="N675" i="8"/>
  <c r="M675" i="8"/>
  <c r="L675" i="8"/>
  <c r="K675" i="8"/>
  <c r="J675" i="8"/>
  <c r="I675" i="8"/>
  <c r="H675" i="8"/>
  <c r="G675" i="8"/>
  <c r="F675" i="8"/>
  <c r="E675" i="8"/>
  <c r="D675" i="8"/>
  <c r="C675" i="8"/>
  <c r="X674" i="8"/>
  <c r="W674" i="8"/>
  <c r="V674" i="8"/>
  <c r="U674" i="8"/>
  <c r="T674" i="8"/>
  <c r="S674" i="8"/>
  <c r="R674" i="8"/>
  <c r="Q674" i="8"/>
  <c r="P674" i="8"/>
  <c r="O674" i="8"/>
  <c r="N674" i="8"/>
  <c r="M674" i="8"/>
  <c r="L674" i="8"/>
  <c r="K674" i="8"/>
  <c r="J674" i="8"/>
  <c r="I674" i="8"/>
  <c r="H674" i="8"/>
  <c r="G674" i="8"/>
  <c r="F674" i="8"/>
  <c r="E674" i="8"/>
  <c r="D674" i="8"/>
  <c r="C674" i="8"/>
  <c r="X673" i="8"/>
  <c r="W673" i="8"/>
  <c r="V673" i="8"/>
  <c r="U673" i="8"/>
  <c r="T673" i="8"/>
  <c r="S673" i="8"/>
  <c r="R673" i="8"/>
  <c r="Q673" i="8"/>
  <c r="P673" i="8"/>
  <c r="O673" i="8"/>
  <c r="N673" i="8"/>
  <c r="M673" i="8"/>
  <c r="L673" i="8"/>
  <c r="K673" i="8"/>
  <c r="J673" i="8"/>
  <c r="I673" i="8"/>
  <c r="H673" i="8"/>
  <c r="G673" i="8"/>
  <c r="F673" i="8"/>
  <c r="E673" i="8"/>
  <c r="D673" i="8"/>
  <c r="C673" i="8"/>
  <c r="X670" i="8"/>
  <c r="AQ670" i="8" s="1"/>
  <c r="AR670" i="8" s="1"/>
  <c r="W670" i="8"/>
  <c r="V670" i="8"/>
  <c r="U670" i="8"/>
  <c r="T670" i="8"/>
  <c r="S670" i="8"/>
  <c r="R670" i="8"/>
  <c r="Q670" i="8"/>
  <c r="P670" i="8"/>
  <c r="O670" i="8"/>
  <c r="N670" i="8"/>
  <c r="M670" i="8"/>
  <c r="L670" i="8"/>
  <c r="K670" i="8"/>
  <c r="J670" i="8"/>
  <c r="I670" i="8"/>
  <c r="H670" i="8"/>
  <c r="G670" i="8"/>
  <c r="F670" i="8"/>
  <c r="E670" i="8"/>
  <c r="D670" i="8"/>
  <c r="C670" i="8"/>
  <c r="X668" i="8"/>
  <c r="W668" i="8"/>
  <c r="V668" i="8"/>
  <c r="U668" i="8"/>
  <c r="T668" i="8"/>
  <c r="S668" i="8"/>
  <c r="R668" i="8"/>
  <c r="Q668" i="8"/>
  <c r="P668" i="8"/>
  <c r="O668" i="8"/>
  <c r="N668" i="8"/>
  <c r="M668" i="8"/>
  <c r="L668" i="8"/>
  <c r="K668" i="8"/>
  <c r="J668" i="8"/>
  <c r="I668" i="8"/>
  <c r="H668" i="8"/>
  <c r="G668" i="8"/>
  <c r="F668" i="8"/>
  <c r="E668" i="8"/>
  <c r="D668" i="8"/>
  <c r="C668" i="8"/>
  <c r="X667" i="8"/>
  <c r="AQ667" i="8" s="1"/>
  <c r="AR667" i="8" s="1"/>
  <c r="W667" i="8"/>
  <c r="V667" i="8"/>
  <c r="U667" i="8"/>
  <c r="T667" i="8"/>
  <c r="S667" i="8"/>
  <c r="R667" i="8"/>
  <c r="Q667" i="8"/>
  <c r="P667" i="8"/>
  <c r="O667" i="8"/>
  <c r="N667" i="8"/>
  <c r="M667" i="8"/>
  <c r="L667" i="8"/>
  <c r="K667" i="8"/>
  <c r="J667" i="8"/>
  <c r="I667" i="8"/>
  <c r="H667" i="8"/>
  <c r="G667" i="8"/>
  <c r="F667" i="8"/>
  <c r="E667" i="8"/>
  <c r="D667" i="8"/>
  <c r="C667" i="8"/>
  <c r="X666" i="8"/>
  <c r="W666" i="8"/>
  <c r="V666" i="8"/>
  <c r="U666" i="8"/>
  <c r="T666" i="8"/>
  <c r="S666" i="8"/>
  <c r="R666" i="8"/>
  <c r="Q666" i="8"/>
  <c r="P666" i="8"/>
  <c r="O666" i="8"/>
  <c r="N666" i="8"/>
  <c r="M666" i="8"/>
  <c r="L666" i="8"/>
  <c r="K666" i="8"/>
  <c r="J666" i="8"/>
  <c r="I666" i="8"/>
  <c r="H666" i="8"/>
  <c r="G666" i="8"/>
  <c r="F666" i="8"/>
  <c r="E666" i="8"/>
  <c r="D666" i="8"/>
  <c r="C666" i="8"/>
  <c r="X665" i="8"/>
  <c r="AQ665" i="8" s="1"/>
  <c r="AR665" i="8" s="1"/>
  <c r="W665" i="8"/>
  <c r="V665" i="8"/>
  <c r="U665" i="8"/>
  <c r="T665" i="8"/>
  <c r="S665" i="8"/>
  <c r="R665" i="8"/>
  <c r="Q665" i="8"/>
  <c r="P665" i="8"/>
  <c r="O665" i="8"/>
  <c r="N665" i="8"/>
  <c r="M665" i="8"/>
  <c r="L665" i="8"/>
  <c r="K665" i="8"/>
  <c r="J665" i="8"/>
  <c r="I665" i="8"/>
  <c r="H665" i="8"/>
  <c r="G665" i="8"/>
  <c r="F665" i="8"/>
  <c r="E665" i="8"/>
  <c r="D665" i="8"/>
  <c r="C665" i="8"/>
  <c r="X663" i="8"/>
  <c r="W663" i="8"/>
  <c r="V663" i="8"/>
  <c r="U663" i="8"/>
  <c r="T663" i="8"/>
  <c r="S663" i="8"/>
  <c r="R663" i="8"/>
  <c r="Q663" i="8"/>
  <c r="P663" i="8"/>
  <c r="O663" i="8"/>
  <c r="N663" i="8"/>
  <c r="M663" i="8"/>
  <c r="L663" i="8"/>
  <c r="K663" i="8"/>
  <c r="J663" i="8"/>
  <c r="I663" i="8"/>
  <c r="H663" i="8"/>
  <c r="G663" i="8"/>
  <c r="F663" i="8"/>
  <c r="E663" i="8"/>
  <c r="D663" i="8"/>
  <c r="C663" i="8"/>
  <c r="X662" i="8"/>
  <c r="AQ662" i="8" s="1"/>
  <c r="AR662" i="8" s="1"/>
  <c r="W662" i="8"/>
  <c r="V662" i="8"/>
  <c r="U662" i="8"/>
  <c r="T662" i="8"/>
  <c r="S662" i="8"/>
  <c r="R662" i="8"/>
  <c r="Q662" i="8"/>
  <c r="P662" i="8"/>
  <c r="O662" i="8"/>
  <c r="N662" i="8"/>
  <c r="M662" i="8"/>
  <c r="L662" i="8"/>
  <c r="K662" i="8"/>
  <c r="J662" i="8"/>
  <c r="I662" i="8"/>
  <c r="H662" i="8"/>
  <c r="G662" i="8"/>
  <c r="F662" i="8"/>
  <c r="E662" i="8"/>
  <c r="D662" i="8"/>
  <c r="C662" i="8"/>
  <c r="X661" i="8"/>
  <c r="W661" i="8"/>
  <c r="V661" i="8"/>
  <c r="U661" i="8"/>
  <c r="T661" i="8"/>
  <c r="S661" i="8"/>
  <c r="R661" i="8"/>
  <c r="Q661" i="8"/>
  <c r="P661" i="8"/>
  <c r="O661" i="8"/>
  <c r="N661" i="8"/>
  <c r="M661" i="8"/>
  <c r="L661" i="8"/>
  <c r="K661" i="8"/>
  <c r="J661" i="8"/>
  <c r="I661" i="8"/>
  <c r="H661" i="8"/>
  <c r="G661" i="8"/>
  <c r="F661" i="8"/>
  <c r="E661" i="8"/>
  <c r="D661" i="8"/>
  <c r="C661" i="8"/>
  <c r="X660" i="8"/>
  <c r="AQ660" i="8" s="1"/>
  <c r="AR660" i="8" s="1"/>
  <c r="W660" i="8"/>
  <c r="V660" i="8"/>
  <c r="U660" i="8"/>
  <c r="T660" i="8"/>
  <c r="S660" i="8"/>
  <c r="R660" i="8"/>
  <c r="Q660" i="8"/>
  <c r="P660" i="8"/>
  <c r="O660" i="8"/>
  <c r="N660" i="8"/>
  <c r="M660" i="8"/>
  <c r="L660" i="8"/>
  <c r="K660" i="8"/>
  <c r="J660" i="8"/>
  <c r="I660" i="8"/>
  <c r="H660" i="8"/>
  <c r="G660" i="8"/>
  <c r="F660" i="8"/>
  <c r="E660" i="8"/>
  <c r="D660" i="8"/>
  <c r="C660" i="8"/>
  <c r="X659" i="8"/>
  <c r="W659" i="8"/>
  <c r="V659" i="8"/>
  <c r="U659" i="8"/>
  <c r="T659" i="8"/>
  <c r="S659" i="8"/>
  <c r="R659" i="8"/>
  <c r="Q659" i="8"/>
  <c r="P659" i="8"/>
  <c r="O659" i="8"/>
  <c r="N659" i="8"/>
  <c r="M659" i="8"/>
  <c r="L659" i="8"/>
  <c r="K659" i="8"/>
  <c r="J659" i="8"/>
  <c r="I659" i="8"/>
  <c r="H659" i="8"/>
  <c r="G659" i="8"/>
  <c r="F659" i="8"/>
  <c r="E659" i="8"/>
  <c r="D659" i="8"/>
  <c r="C659" i="8"/>
  <c r="X658" i="8"/>
  <c r="AQ658" i="8" s="1"/>
  <c r="AR658" i="8" s="1"/>
  <c r="W658" i="8"/>
  <c r="V658" i="8"/>
  <c r="U658" i="8"/>
  <c r="T658" i="8"/>
  <c r="S658" i="8"/>
  <c r="R658" i="8"/>
  <c r="Q658" i="8"/>
  <c r="P658" i="8"/>
  <c r="O658" i="8"/>
  <c r="N658" i="8"/>
  <c r="M658" i="8"/>
  <c r="L658" i="8"/>
  <c r="K658" i="8"/>
  <c r="J658" i="8"/>
  <c r="I658" i="8"/>
  <c r="H658" i="8"/>
  <c r="G658" i="8"/>
  <c r="F658" i="8"/>
  <c r="E658" i="8"/>
  <c r="D658" i="8"/>
  <c r="C658" i="8"/>
  <c r="X656" i="8"/>
  <c r="W656" i="8"/>
  <c r="V656" i="8"/>
  <c r="U656" i="8"/>
  <c r="T656" i="8"/>
  <c r="S656" i="8"/>
  <c r="R656" i="8"/>
  <c r="AO656" i="8" s="1"/>
  <c r="AP656" i="8" s="1"/>
  <c r="Q656" i="8"/>
  <c r="P656" i="8"/>
  <c r="O656" i="8"/>
  <c r="N656" i="8"/>
  <c r="M656" i="8"/>
  <c r="L656" i="8"/>
  <c r="K656" i="8"/>
  <c r="J656" i="8"/>
  <c r="I656" i="8"/>
  <c r="H656" i="8"/>
  <c r="G656" i="8"/>
  <c r="F656" i="8"/>
  <c r="E656" i="8"/>
  <c r="D656" i="8"/>
  <c r="C656" i="8"/>
  <c r="X655" i="8"/>
  <c r="AQ655" i="8" s="1"/>
  <c r="AR655" i="8" s="1"/>
  <c r="W655" i="8"/>
  <c r="V655" i="8"/>
  <c r="U655" i="8"/>
  <c r="T655" i="8"/>
  <c r="S655" i="8"/>
  <c r="R655" i="8"/>
  <c r="Q655" i="8"/>
  <c r="P655" i="8"/>
  <c r="O655" i="8"/>
  <c r="N655" i="8"/>
  <c r="M655" i="8"/>
  <c r="L655" i="8"/>
  <c r="K655" i="8"/>
  <c r="J655" i="8"/>
  <c r="I655" i="8"/>
  <c r="H655" i="8"/>
  <c r="G655" i="8"/>
  <c r="F655" i="8"/>
  <c r="E655" i="8"/>
  <c r="D655" i="8"/>
  <c r="C655" i="8"/>
  <c r="X654" i="8"/>
  <c r="W654" i="8"/>
  <c r="V654" i="8"/>
  <c r="U654" i="8"/>
  <c r="T654" i="8"/>
  <c r="S654" i="8"/>
  <c r="R654" i="8"/>
  <c r="Q654" i="8"/>
  <c r="P654" i="8"/>
  <c r="O654" i="8"/>
  <c r="N654" i="8"/>
  <c r="M654" i="8"/>
  <c r="L654" i="8"/>
  <c r="K654" i="8"/>
  <c r="J654" i="8"/>
  <c r="I654" i="8"/>
  <c r="H654" i="8"/>
  <c r="G654" i="8"/>
  <c r="F654" i="8"/>
  <c r="E654" i="8"/>
  <c r="D654" i="8"/>
  <c r="C654" i="8"/>
  <c r="X653" i="8"/>
  <c r="AQ653" i="8" s="1"/>
  <c r="AR653" i="8" s="1"/>
  <c r="W653" i="8"/>
  <c r="V653" i="8"/>
  <c r="U653" i="8"/>
  <c r="T653" i="8"/>
  <c r="S653" i="8"/>
  <c r="R653" i="8"/>
  <c r="Q653" i="8"/>
  <c r="P653" i="8"/>
  <c r="O653" i="8"/>
  <c r="N653" i="8"/>
  <c r="M653" i="8"/>
  <c r="L653" i="8"/>
  <c r="K653" i="8"/>
  <c r="J653" i="8"/>
  <c r="I653" i="8"/>
  <c r="H653" i="8"/>
  <c r="G653" i="8"/>
  <c r="F653" i="8"/>
  <c r="E653" i="8"/>
  <c r="D653" i="8"/>
  <c r="C653" i="8"/>
  <c r="X652" i="8"/>
  <c r="W652" i="8"/>
  <c r="V652" i="8"/>
  <c r="U652" i="8"/>
  <c r="T652" i="8"/>
  <c r="S652" i="8"/>
  <c r="R652" i="8"/>
  <c r="Q652" i="8"/>
  <c r="P652" i="8"/>
  <c r="O652" i="8"/>
  <c r="N652" i="8"/>
  <c r="M652" i="8"/>
  <c r="L652" i="8"/>
  <c r="K652" i="8"/>
  <c r="J652" i="8"/>
  <c r="I652" i="8"/>
  <c r="H652" i="8"/>
  <c r="G652" i="8"/>
  <c r="F652" i="8"/>
  <c r="E652" i="8"/>
  <c r="D652" i="8"/>
  <c r="C652" i="8"/>
  <c r="X651" i="8"/>
  <c r="AQ651" i="8" s="1"/>
  <c r="AR651" i="8" s="1"/>
  <c r="W651" i="8"/>
  <c r="V651" i="8"/>
  <c r="U651" i="8"/>
  <c r="T651" i="8"/>
  <c r="S651" i="8"/>
  <c r="R651" i="8"/>
  <c r="Q651" i="8"/>
  <c r="P651" i="8"/>
  <c r="O651" i="8"/>
  <c r="N651" i="8"/>
  <c r="M651" i="8"/>
  <c r="L651" i="8"/>
  <c r="K651" i="8"/>
  <c r="J651" i="8"/>
  <c r="I651" i="8"/>
  <c r="H651" i="8"/>
  <c r="G651" i="8"/>
  <c r="F651" i="8"/>
  <c r="E651" i="8"/>
  <c r="D651" i="8"/>
  <c r="C651" i="8"/>
  <c r="X649" i="8"/>
  <c r="W649" i="8"/>
  <c r="V649" i="8"/>
  <c r="U649" i="8"/>
  <c r="T649" i="8"/>
  <c r="S649" i="8"/>
  <c r="R649" i="8"/>
  <c r="Q649" i="8"/>
  <c r="P649" i="8"/>
  <c r="O649" i="8"/>
  <c r="N649" i="8"/>
  <c r="M649" i="8"/>
  <c r="L649" i="8"/>
  <c r="K649" i="8"/>
  <c r="J649" i="8"/>
  <c r="I649" i="8"/>
  <c r="H649" i="8"/>
  <c r="G649" i="8"/>
  <c r="F649" i="8"/>
  <c r="E649" i="8"/>
  <c r="D649" i="8"/>
  <c r="C649" i="8"/>
  <c r="X647" i="8"/>
  <c r="W647" i="8"/>
  <c r="V647" i="8"/>
  <c r="U647" i="8"/>
  <c r="T647" i="8"/>
  <c r="S647" i="8"/>
  <c r="R647" i="8"/>
  <c r="Q647" i="8"/>
  <c r="P647" i="8"/>
  <c r="O647" i="8"/>
  <c r="N647" i="8"/>
  <c r="M647" i="8"/>
  <c r="L647" i="8"/>
  <c r="K647" i="8"/>
  <c r="J647" i="8"/>
  <c r="I647" i="8"/>
  <c r="H647" i="8"/>
  <c r="G647" i="8"/>
  <c r="F647" i="8"/>
  <c r="E647" i="8"/>
  <c r="D647" i="8"/>
  <c r="C647" i="8"/>
  <c r="X646" i="8"/>
  <c r="W646" i="8"/>
  <c r="V646" i="8"/>
  <c r="U646" i="8"/>
  <c r="T646" i="8"/>
  <c r="S646" i="8"/>
  <c r="R646" i="8"/>
  <c r="Q646" i="8"/>
  <c r="P646" i="8"/>
  <c r="O646" i="8"/>
  <c r="N646" i="8"/>
  <c r="M646" i="8"/>
  <c r="L646" i="8"/>
  <c r="K646" i="8"/>
  <c r="J646" i="8"/>
  <c r="I646" i="8"/>
  <c r="H646" i="8"/>
  <c r="G646" i="8"/>
  <c r="F646" i="8"/>
  <c r="E646" i="8"/>
  <c r="D646" i="8"/>
  <c r="C646" i="8"/>
  <c r="X644" i="8"/>
  <c r="AQ644" i="8" s="1"/>
  <c r="AR644" i="8" s="1"/>
  <c r="W644" i="8"/>
  <c r="V644" i="8"/>
  <c r="U644" i="8"/>
  <c r="T644" i="8"/>
  <c r="S644" i="8"/>
  <c r="R644" i="8"/>
  <c r="Q644" i="8"/>
  <c r="P644" i="8"/>
  <c r="O644" i="8"/>
  <c r="N644" i="8"/>
  <c r="M644" i="8"/>
  <c r="L644" i="8"/>
  <c r="K644" i="8"/>
  <c r="J644" i="8"/>
  <c r="I644" i="8"/>
  <c r="H644" i="8"/>
  <c r="G644" i="8"/>
  <c r="F644" i="8"/>
  <c r="E644" i="8"/>
  <c r="D644" i="8"/>
  <c r="C644" i="8"/>
  <c r="X643" i="8"/>
  <c r="W643" i="8"/>
  <c r="V643" i="8"/>
  <c r="U643" i="8"/>
  <c r="T643" i="8"/>
  <c r="S643" i="8"/>
  <c r="R643" i="8"/>
  <c r="Q643" i="8"/>
  <c r="P643" i="8"/>
  <c r="O643" i="8"/>
  <c r="N643" i="8"/>
  <c r="M643" i="8"/>
  <c r="L643" i="8"/>
  <c r="K643" i="8"/>
  <c r="J643" i="8"/>
  <c r="I643" i="8"/>
  <c r="H643" i="8"/>
  <c r="G643" i="8"/>
  <c r="F643" i="8"/>
  <c r="E643" i="8"/>
  <c r="D643" i="8"/>
  <c r="C643" i="8"/>
  <c r="X642" i="8"/>
  <c r="W642" i="8"/>
  <c r="V642" i="8"/>
  <c r="U642" i="8"/>
  <c r="T642" i="8"/>
  <c r="S642" i="8"/>
  <c r="R642" i="8"/>
  <c r="Q642" i="8"/>
  <c r="P642" i="8"/>
  <c r="O642" i="8"/>
  <c r="N642" i="8"/>
  <c r="M642" i="8"/>
  <c r="L642" i="8"/>
  <c r="K642" i="8"/>
  <c r="J642" i="8"/>
  <c r="I642" i="8"/>
  <c r="H642" i="8"/>
  <c r="G642" i="8"/>
  <c r="F642" i="8"/>
  <c r="E642" i="8"/>
  <c r="D642" i="8"/>
  <c r="C642" i="8"/>
  <c r="X641" i="8"/>
  <c r="W641" i="8"/>
  <c r="V641" i="8"/>
  <c r="U641" i="8"/>
  <c r="T641" i="8"/>
  <c r="S641" i="8"/>
  <c r="R641" i="8"/>
  <c r="Q641" i="8"/>
  <c r="P641" i="8"/>
  <c r="O641" i="8"/>
  <c r="N641" i="8"/>
  <c r="AM641" i="8" s="1"/>
  <c r="AN641" i="8" s="1"/>
  <c r="M641" i="8"/>
  <c r="L641" i="8"/>
  <c r="K641" i="8"/>
  <c r="J641" i="8"/>
  <c r="I641" i="8"/>
  <c r="H641" i="8"/>
  <c r="G641" i="8"/>
  <c r="F641" i="8"/>
  <c r="E641" i="8"/>
  <c r="D641" i="8"/>
  <c r="C641" i="8"/>
  <c r="X640" i="8"/>
  <c r="W640" i="8"/>
  <c r="V640" i="8"/>
  <c r="U640" i="8"/>
  <c r="T640" i="8"/>
  <c r="S640" i="8"/>
  <c r="R640" i="8"/>
  <c r="Q640" i="8"/>
  <c r="P640" i="8"/>
  <c r="O640" i="8"/>
  <c r="N640" i="8"/>
  <c r="M640" i="8"/>
  <c r="L640" i="8"/>
  <c r="K640" i="8"/>
  <c r="J640" i="8"/>
  <c r="I640" i="8"/>
  <c r="H640" i="8"/>
  <c r="G640" i="8"/>
  <c r="F640" i="8"/>
  <c r="E640" i="8"/>
  <c r="D640" i="8"/>
  <c r="C640" i="8"/>
  <c r="X639" i="8"/>
  <c r="W639" i="8"/>
  <c r="V639" i="8"/>
  <c r="U639" i="8"/>
  <c r="T639" i="8"/>
  <c r="S639" i="8"/>
  <c r="R639" i="8"/>
  <c r="Q639" i="8"/>
  <c r="P639" i="8"/>
  <c r="O639" i="8"/>
  <c r="N639" i="8"/>
  <c r="M639" i="8"/>
  <c r="L639" i="8"/>
  <c r="K639" i="8"/>
  <c r="J639" i="8"/>
  <c r="I639" i="8"/>
  <c r="H639" i="8"/>
  <c r="G639" i="8"/>
  <c r="F639" i="8"/>
  <c r="E639" i="8"/>
  <c r="D639" i="8"/>
  <c r="C639" i="8"/>
  <c r="X637" i="8"/>
  <c r="AQ637" i="8" s="1"/>
  <c r="AR637" i="8" s="1"/>
  <c r="W637" i="8"/>
  <c r="V637" i="8"/>
  <c r="U637" i="8"/>
  <c r="T637" i="8"/>
  <c r="S637" i="8"/>
  <c r="R637" i="8"/>
  <c r="Q637" i="8"/>
  <c r="P637" i="8"/>
  <c r="O637" i="8"/>
  <c r="N637" i="8"/>
  <c r="M637" i="8"/>
  <c r="L637" i="8"/>
  <c r="K637" i="8"/>
  <c r="J637" i="8"/>
  <c r="I637" i="8"/>
  <c r="H637" i="8"/>
  <c r="G637" i="8"/>
  <c r="F637" i="8"/>
  <c r="E637" i="8"/>
  <c r="D637" i="8"/>
  <c r="C637" i="8"/>
  <c r="X636" i="8"/>
  <c r="W636" i="8"/>
  <c r="V636" i="8"/>
  <c r="U636" i="8"/>
  <c r="T636" i="8"/>
  <c r="S636" i="8"/>
  <c r="R636" i="8"/>
  <c r="Q636" i="8"/>
  <c r="P636" i="8"/>
  <c r="O636" i="8"/>
  <c r="N636" i="8"/>
  <c r="M636" i="8"/>
  <c r="L636" i="8"/>
  <c r="K636" i="8"/>
  <c r="J636" i="8"/>
  <c r="I636" i="8"/>
  <c r="H636" i="8"/>
  <c r="G636" i="8"/>
  <c r="F636" i="8"/>
  <c r="E636" i="8"/>
  <c r="D636" i="8"/>
  <c r="C636" i="8"/>
  <c r="X635" i="8"/>
  <c r="AQ635" i="8" s="1"/>
  <c r="AR635" i="8" s="1"/>
  <c r="W635" i="8"/>
  <c r="V635" i="8"/>
  <c r="U635" i="8"/>
  <c r="T635" i="8"/>
  <c r="S635" i="8"/>
  <c r="R635" i="8"/>
  <c r="Q635" i="8"/>
  <c r="P635" i="8"/>
  <c r="O635" i="8"/>
  <c r="N635" i="8"/>
  <c r="M635" i="8"/>
  <c r="L635" i="8"/>
  <c r="K635" i="8"/>
  <c r="J635" i="8"/>
  <c r="I635" i="8"/>
  <c r="H635" i="8"/>
  <c r="G635" i="8"/>
  <c r="F635" i="8"/>
  <c r="E635" i="8"/>
  <c r="D635" i="8"/>
  <c r="C635" i="8"/>
  <c r="X634" i="8"/>
  <c r="W634" i="8"/>
  <c r="V634" i="8"/>
  <c r="U634" i="8"/>
  <c r="T634" i="8"/>
  <c r="S634" i="8"/>
  <c r="R634" i="8"/>
  <c r="Q634" i="8"/>
  <c r="P634" i="8"/>
  <c r="O634" i="8"/>
  <c r="N634" i="8"/>
  <c r="M634" i="8"/>
  <c r="L634" i="8"/>
  <c r="K634" i="8"/>
  <c r="J634" i="8"/>
  <c r="I634" i="8"/>
  <c r="H634" i="8"/>
  <c r="G634" i="8"/>
  <c r="F634" i="8"/>
  <c r="E634" i="8"/>
  <c r="D634" i="8"/>
  <c r="C634" i="8"/>
  <c r="X633" i="8"/>
  <c r="AQ633" i="8" s="1"/>
  <c r="AR633" i="8" s="1"/>
  <c r="W633" i="8"/>
  <c r="V633" i="8"/>
  <c r="U633" i="8"/>
  <c r="T633" i="8"/>
  <c r="S633" i="8"/>
  <c r="R633" i="8"/>
  <c r="Q633" i="8"/>
  <c r="P633" i="8"/>
  <c r="O633" i="8"/>
  <c r="N633" i="8"/>
  <c r="M633" i="8"/>
  <c r="L633" i="8"/>
  <c r="K633" i="8"/>
  <c r="J633" i="8"/>
  <c r="I633" i="8"/>
  <c r="H633" i="8"/>
  <c r="G633" i="8"/>
  <c r="F633" i="8"/>
  <c r="E633" i="8"/>
  <c r="D633" i="8"/>
  <c r="C633" i="8"/>
  <c r="X632" i="8"/>
  <c r="W632" i="8"/>
  <c r="V632" i="8"/>
  <c r="U632" i="8"/>
  <c r="T632" i="8"/>
  <c r="S632" i="8"/>
  <c r="R632" i="8"/>
  <c r="Q632" i="8"/>
  <c r="P632" i="8"/>
  <c r="O632" i="8"/>
  <c r="N632" i="8"/>
  <c r="M632" i="8"/>
  <c r="L632" i="8"/>
  <c r="K632" i="8"/>
  <c r="J632" i="8"/>
  <c r="I632" i="8"/>
  <c r="H632" i="8"/>
  <c r="G632" i="8"/>
  <c r="F632" i="8"/>
  <c r="E632" i="8"/>
  <c r="D632" i="8"/>
  <c r="C632" i="8"/>
  <c r="X630" i="8"/>
  <c r="AQ630" i="8" s="1"/>
  <c r="AR630" i="8" s="1"/>
  <c r="W630" i="8"/>
  <c r="V630" i="8"/>
  <c r="U630" i="8"/>
  <c r="T630" i="8"/>
  <c r="S630" i="8"/>
  <c r="R630" i="8"/>
  <c r="Q630" i="8"/>
  <c r="P630" i="8"/>
  <c r="O630" i="8"/>
  <c r="N630" i="8"/>
  <c r="M630" i="8"/>
  <c r="L630" i="8"/>
  <c r="K630" i="8"/>
  <c r="J630" i="8"/>
  <c r="I630" i="8"/>
  <c r="H630" i="8"/>
  <c r="G630" i="8"/>
  <c r="F630" i="8"/>
  <c r="E630" i="8"/>
  <c r="D630" i="8"/>
  <c r="C630" i="8"/>
  <c r="X629" i="8"/>
  <c r="W629" i="8"/>
  <c r="V629" i="8"/>
  <c r="U629" i="8"/>
  <c r="T629" i="8"/>
  <c r="S629" i="8"/>
  <c r="R629" i="8"/>
  <c r="Q629" i="8"/>
  <c r="P629" i="8"/>
  <c r="O629" i="8"/>
  <c r="N629" i="8"/>
  <c r="M629" i="8"/>
  <c r="L629" i="8"/>
  <c r="K629" i="8"/>
  <c r="J629" i="8"/>
  <c r="I629" i="8"/>
  <c r="H629" i="8"/>
  <c r="G629" i="8"/>
  <c r="F629" i="8"/>
  <c r="E629" i="8"/>
  <c r="D629" i="8"/>
  <c r="C629" i="8"/>
  <c r="X628" i="8"/>
  <c r="AQ628" i="8" s="1"/>
  <c r="AR628" i="8" s="1"/>
  <c r="W628" i="8"/>
  <c r="V628" i="8"/>
  <c r="U628" i="8"/>
  <c r="T628" i="8"/>
  <c r="S628" i="8"/>
  <c r="R628" i="8"/>
  <c r="Q628" i="8"/>
  <c r="P628" i="8"/>
  <c r="O628" i="8"/>
  <c r="N628" i="8"/>
  <c r="M628" i="8"/>
  <c r="L628" i="8"/>
  <c r="K628" i="8"/>
  <c r="J628" i="8"/>
  <c r="I628" i="8"/>
  <c r="H628" i="8"/>
  <c r="G628" i="8"/>
  <c r="F628" i="8"/>
  <c r="E628" i="8"/>
  <c r="D628" i="8"/>
  <c r="C628" i="8"/>
  <c r="X627" i="8"/>
  <c r="W627" i="8"/>
  <c r="V627" i="8"/>
  <c r="U627" i="8"/>
  <c r="T627" i="8"/>
  <c r="S627" i="8"/>
  <c r="R627" i="8"/>
  <c r="Q627" i="8"/>
  <c r="P627" i="8"/>
  <c r="O627" i="8"/>
  <c r="N627" i="8"/>
  <c r="M627" i="8"/>
  <c r="L627" i="8"/>
  <c r="K627" i="8"/>
  <c r="J627" i="8"/>
  <c r="I627" i="8"/>
  <c r="H627" i="8"/>
  <c r="G627" i="8"/>
  <c r="F627" i="8"/>
  <c r="E627" i="8"/>
  <c r="D627" i="8"/>
  <c r="C627" i="8"/>
  <c r="X626" i="8"/>
  <c r="AQ626" i="8" s="1"/>
  <c r="AR626" i="8" s="1"/>
  <c r="W626" i="8"/>
  <c r="V626" i="8"/>
  <c r="U626" i="8"/>
  <c r="T626" i="8"/>
  <c r="S626" i="8"/>
  <c r="R626" i="8"/>
  <c r="Q626" i="8"/>
  <c r="P626" i="8"/>
  <c r="O626" i="8"/>
  <c r="N626" i="8"/>
  <c r="M626" i="8"/>
  <c r="L626" i="8"/>
  <c r="K626" i="8"/>
  <c r="J626" i="8"/>
  <c r="I626" i="8"/>
  <c r="H626" i="8"/>
  <c r="G626" i="8"/>
  <c r="F626" i="8"/>
  <c r="E626" i="8"/>
  <c r="D626" i="8"/>
  <c r="C626" i="8"/>
  <c r="X621" i="8"/>
  <c r="W621" i="8"/>
  <c r="V621" i="8"/>
  <c r="U621" i="8"/>
  <c r="T621" i="8"/>
  <c r="S621" i="8"/>
  <c r="R621" i="8"/>
  <c r="Q621" i="8"/>
  <c r="P621" i="8"/>
  <c r="O621" i="8"/>
  <c r="N621" i="8"/>
  <c r="M621" i="8"/>
  <c r="L621" i="8"/>
  <c r="K621" i="8"/>
  <c r="J621" i="8"/>
  <c r="I621" i="8"/>
  <c r="H621" i="8"/>
  <c r="G621" i="8"/>
  <c r="F621" i="8"/>
  <c r="E621" i="8"/>
  <c r="D621" i="8"/>
  <c r="C621" i="8"/>
  <c r="X620" i="8"/>
  <c r="AQ620" i="8" s="1"/>
  <c r="AR620" i="8" s="1"/>
  <c r="W620" i="8"/>
  <c r="V620" i="8"/>
  <c r="U620" i="8"/>
  <c r="T620" i="8"/>
  <c r="S620" i="8"/>
  <c r="R620" i="8"/>
  <c r="Q620" i="8"/>
  <c r="P620" i="8"/>
  <c r="O620" i="8"/>
  <c r="N620" i="8"/>
  <c r="M620" i="8"/>
  <c r="L620" i="8"/>
  <c r="K620" i="8"/>
  <c r="J620" i="8"/>
  <c r="I620" i="8"/>
  <c r="H620" i="8"/>
  <c r="G620" i="8"/>
  <c r="F620" i="8"/>
  <c r="E620" i="8"/>
  <c r="D620" i="8"/>
  <c r="C620" i="8"/>
  <c r="X619" i="8"/>
  <c r="W619" i="8"/>
  <c r="V619" i="8"/>
  <c r="U619" i="8"/>
  <c r="T619" i="8"/>
  <c r="S619" i="8"/>
  <c r="R619" i="8"/>
  <c r="Q619" i="8"/>
  <c r="P619" i="8"/>
  <c r="O619" i="8"/>
  <c r="N619" i="8"/>
  <c r="M619" i="8"/>
  <c r="L619" i="8"/>
  <c r="K619" i="8"/>
  <c r="J619" i="8"/>
  <c r="I619" i="8"/>
  <c r="H619" i="8"/>
  <c r="G619" i="8"/>
  <c r="F619" i="8"/>
  <c r="E619" i="8"/>
  <c r="D619" i="8"/>
  <c r="C619" i="8"/>
  <c r="X616" i="8"/>
  <c r="AQ616" i="8" s="1"/>
  <c r="AR616" i="8" s="1"/>
  <c r="W616" i="8"/>
  <c r="V616" i="8"/>
  <c r="U616" i="8"/>
  <c r="T616" i="8"/>
  <c r="S616" i="8"/>
  <c r="R616" i="8"/>
  <c r="Q616" i="8"/>
  <c r="P616" i="8"/>
  <c r="O616" i="8"/>
  <c r="N616" i="8"/>
  <c r="M616" i="8"/>
  <c r="L616" i="8"/>
  <c r="K616" i="8"/>
  <c r="J616" i="8"/>
  <c r="I616" i="8"/>
  <c r="H616" i="8"/>
  <c r="G616" i="8"/>
  <c r="F616" i="8"/>
  <c r="E616" i="8"/>
  <c r="D616" i="8"/>
  <c r="C616" i="8"/>
  <c r="X614" i="8"/>
  <c r="W614" i="8"/>
  <c r="V614" i="8"/>
  <c r="U614" i="8"/>
  <c r="T614" i="8"/>
  <c r="S614" i="8"/>
  <c r="R614" i="8"/>
  <c r="Q614" i="8"/>
  <c r="P614" i="8"/>
  <c r="O614" i="8"/>
  <c r="N614" i="8"/>
  <c r="M614" i="8"/>
  <c r="L614" i="8"/>
  <c r="K614" i="8"/>
  <c r="J614" i="8"/>
  <c r="I614" i="8"/>
  <c r="H614" i="8"/>
  <c r="G614" i="8"/>
  <c r="F614" i="8"/>
  <c r="E614" i="8"/>
  <c r="D614" i="8"/>
  <c r="C614" i="8"/>
  <c r="X613" i="8"/>
  <c r="AQ613" i="8" s="1"/>
  <c r="AR613" i="8" s="1"/>
  <c r="W613" i="8"/>
  <c r="V613" i="8"/>
  <c r="U613" i="8"/>
  <c r="T613" i="8"/>
  <c r="S613" i="8"/>
  <c r="R613" i="8"/>
  <c r="Q613" i="8"/>
  <c r="P613" i="8"/>
  <c r="O613" i="8"/>
  <c r="N613" i="8"/>
  <c r="M613" i="8"/>
  <c r="L613" i="8"/>
  <c r="K613" i="8"/>
  <c r="J613" i="8"/>
  <c r="I613" i="8"/>
  <c r="H613" i="8"/>
  <c r="G613" i="8"/>
  <c r="F613" i="8"/>
  <c r="E613" i="8"/>
  <c r="D613" i="8"/>
  <c r="C613" i="8"/>
  <c r="X612" i="8"/>
  <c r="W612" i="8"/>
  <c r="V612" i="8"/>
  <c r="U612" i="8"/>
  <c r="T612" i="8"/>
  <c r="S612" i="8"/>
  <c r="R612" i="8"/>
  <c r="Q612" i="8"/>
  <c r="P612" i="8"/>
  <c r="O612" i="8"/>
  <c r="N612" i="8"/>
  <c r="M612" i="8"/>
  <c r="L612" i="8"/>
  <c r="K612" i="8"/>
  <c r="J612" i="8"/>
  <c r="I612" i="8"/>
  <c r="H612" i="8"/>
  <c r="G612" i="8"/>
  <c r="F612" i="8"/>
  <c r="E612" i="8"/>
  <c r="D612" i="8"/>
  <c r="C612" i="8"/>
  <c r="X611" i="8"/>
  <c r="AQ611" i="8" s="1"/>
  <c r="AR611" i="8" s="1"/>
  <c r="W611" i="8"/>
  <c r="V611" i="8"/>
  <c r="U611" i="8"/>
  <c r="T611" i="8"/>
  <c r="S611" i="8"/>
  <c r="R611" i="8"/>
  <c r="Q611" i="8"/>
  <c r="P611" i="8"/>
  <c r="O611" i="8"/>
  <c r="N611" i="8"/>
  <c r="M611" i="8"/>
  <c r="L611" i="8"/>
  <c r="K611" i="8"/>
  <c r="J611" i="8"/>
  <c r="I611" i="8"/>
  <c r="H611" i="8"/>
  <c r="G611" i="8"/>
  <c r="F611" i="8"/>
  <c r="E611" i="8"/>
  <c r="D611" i="8"/>
  <c r="C611" i="8"/>
  <c r="X609" i="8"/>
  <c r="W609" i="8"/>
  <c r="V609" i="8"/>
  <c r="U609" i="8"/>
  <c r="T609" i="8"/>
  <c r="S609" i="8"/>
  <c r="R609" i="8"/>
  <c r="Q609" i="8"/>
  <c r="P609" i="8"/>
  <c r="O609" i="8"/>
  <c r="N609" i="8"/>
  <c r="M609" i="8"/>
  <c r="L609" i="8"/>
  <c r="K609" i="8"/>
  <c r="J609" i="8"/>
  <c r="I609" i="8"/>
  <c r="H609" i="8"/>
  <c r="G609" i="8"/>
  <c r="F609" i="8"/>
  <c r="E609" i="8"/>
  <c r="D609" i="8"/>
  <c r="C609" i="8"/>
  <c r="X608" i="8"/>
  <c r="AQ608" i="8" s="1"/>
  <c r="AR608" i="8" s="1"/>
  <c r="W608" i="8"/>
  <c r="V608" i="8"/>
  <c r="U608" i="8"/>
  <c r="T608" i="8"/>
  <c r="S608" i="8"/>
  <c r="R608" i="8"/>
  <c r="Q608" i="8"/>
  <c r="P608" i="8"/>
  <c r="O608" i="8"/>
  <c r="N608" i="8"/>
  <c r="M608" i="8"/>
  <c r="L608" i="8"/>
  <c r="K608" i="8"/>
  <c r="J608" i="8"/>
  <c r="I608" i="8"/>
  <c r="H608" i="8"/>
  <c r="G608" i="8"/>
  <c r="F608" i="8"/>
  <c r="E608" i="8"/>
  <c r="D608" i="8"/>
  <c r="C608" i="8"/>
  <c r="X607" i="8"/>
  <c r="W607" i="8"/>
  <c r="V607" i="8"/>
  <c r="U607" i="8"/>
  <c r="T607" i="8"/>
  <c r="S607" i="8"/>
  <c r="R607" i="8"/>
  <c r="Q607" i="8"/>
  <c r="P607" i="8"/>
  <c r="O607" i="8"/>
  <c r="N607" i="8"/>
  <c r="M607" i="8"/>
  <c r="L607" i="8"/>
  <c r="K607" i="8"/>
  <c r="J607" i="8"/>
  <c r="I607" i="8"/>
  <c r="H607" i="8"/>
  <c r="G607" i="8"/>
  <c r="F607" i="8"/>
  <c r="E607" i="8"/>
  <c r="D607" i="8"/>
  <c r="C607" i="8"/>
  <c r="X606" i="8"/>
  <c r="AQ606" i="8" s="1"/>
  <c r="AR606" i="8" s="1"/>
  <c r="W606" i="8"/>
  <c r="V606" i="8"/>
  <c r="U606" i="8"/>
  <c r="T606" i="8"/>
  <c r="S606" i="8"/>
  <c r="R606" i="8"/>
  <c r="Q606" i="8"/>
  <c r="P606" i="8"/>
  <c r="O606" i="8"/>
  <c r="N606" i="8"/>
  <c r="M606" i="8"/>
  <c r="L606" i="8"/>
  <c r="K606" i="8"/>
  <c r="J606" i="8"/>
  <c r="I606" i="8"/>
  <c r="H606" i="8"/>
  <c r="G606" i="8"/>
  <c r="F606" i="8"/>
  <c r="E606" i="8"/>
  <c r="D606" i="8"/>
  <c r="C606" i="8"/>
  <c r="X604" i="8"/>
  <c r="W604" i="8"/>
  <c r="V604" i="8"/>
  <c r="U604" i="8"/>
  <c r="T604" i="8"/>
  <c r="S604" i="8"/>
  <c r="R604" i="8"/>
  <c r="Q604" i="8"/>
  <c r="P604" i="8"/>
  <c r="O604" i="8"/>
  <c r="N604" i="8"/>
  <c r="M604" i="8"/>
  <c r="L604" i="8"/>
  <c r="K604" i="8"/>
  <c r="J604" i="8"/>
  <c r="I604" i="8"/>
  <c r="H604" i="8"/>
  <c r="G604" i="8"/>
  <c r="F604" i="8"/>
  <c r="E604" i="8"/>
  <c r="D604" i="8"/>
  <c r="C604" i="8"/>
  <c r="X603" i="8"/>
  <c r="W603" i="8"/>
  <c r="V603" i="8"/>
  <c r="U603" i="8"/>
  <c r="T603" i="8"/>
  <c r="S603" i="8"/>
  <c r="R603" i="8"/>
  <c r="Q603" i="8"/>
  <c r="P603" i="8"/>
  <c r="O603" i="8"/>
  <c r="N603" i="8"/>
  <c r="M603" i="8"/>
  <c r="L603" i="8"/>
  <c r="K603" i="8"/>
  <c r="J603" i="8"/>
  <c r="I603" i="8"/>
  <c r="H603" i="8"/>
  <c r="G603" i="8"/>
  <c r="F603" i="8"/>
  <c r="E603" i="8"/>
  <c r="D603" i="8"/>
  <c r="C603" i="8"/>
  <c r="X602" i="8"/>
  <c r="W602" i="8"/>
  <c r="V602" i="8"/>
  <c r="U602" i="8"/>
  <c r="T602" i="8"/>
  <c r="S602" i="8"/>
  <c r="R602" i="8"/>
  <c r="Q602" i="8"/>
  <c r="P602" i="8"/>
  <c r="O602" i="8"/>
  <c r="N602" i="8"/>
  <c r="M602" i="8"/>
  <c r="L602" i="8"/>
  <c r="K602" i="8"/>
  <c r="J602" i="8"/>
  <c r="I602" i="8"/>
  <c r="H602" i="8"/>
  <c r="G602" i="8"/>
  <c r="F602" i="8"/>
  <c r="E602" i="8"/>
  <c r="D602" i="8"/>
  <c r="C602" i="8"/>
  <c r="X601" i="8"/>
  <c r="W601" i="8"/>
  <c r="V601" i="8"/>
  <c r="U601" i="8"/>
  <c r="T601" i="8"/>
  <c r="S601" i="8"/>
  <c r="R601" i="8"/>
  <c r="Q601" i="8"/>
  <c r="P601" i="8"/>
  <c r="O601" i="8"/>
  <c r="N601" i="8"/>
  <c r="M601" i="8"/>
  <c r="L601" i="8"/>
  <c r="K601" i="8"/>
  <c r="J601" i="8"/>
  <c r="I601" i="8"/>
  <c r="H601" i="8"/>
  <c r="G601" i="8"/>
  <c r="F601" i="8"/>
  <c r="E601" i="8"/>
  <c r="D601" i="8"/>
  <c r="C601" i="8"/>
  <c r="X600" i="8"/>
  <c r="W600" i="8"/>
  <c r="V600" i="8"/>
  <c r="U600" i="8"/>
  <c r="T600" i="8"/>
  <c r="S600" i="8"/>
  <c r="R600" i="8"/>
  <c r="Q600" i="8"/>
  <c r="P600" i="8"/>
  <c r="O600" i="8"/>
  <c r="N600" i="8"/>
  <c r="M600" i="8"/>
  <c r="L600" i="8"/>
  <c r="K600" i="8"/>
  <c r="J600" i="8"/>
  <c r="I600" i="8"/>
  <c r="H600" i="8"/>
  <c r="G600" i="8"/>
  <c r="F600" i="8"/>
  <c r="E600" i="8"/>
  <c r="D600" i="8"/>
  <c r="C600" i="8"/>
  <c r="X599" i="8"/>
  <c r="AQ599" i="8" s="1"/>
  <c r="AR599" i="8" s="1"/>
  <c r="W599" i="8"/>
  <c r="V599" i="8"/>
  <c r="U599" i="8"/>
  <c r="T599" i="8"/>
  <c r="S599" i="8"/>
  <c r="R599" i="8"/>
  <c r="Q599" i="8"/>
  <c r="P599" i="8"/>
  <c r="O599" i="8"/>
  <c r="N599" i="8"/>
  <c r="M599" i="8"/>
  <c r="L599" i="8"/>
  <c r="K599" i="8"/>
  <c r="J599" i="8"/>
  <c r="I599" i="8"/>
  <c r="H599" i="8"/>
  <c r="G599" i="8"/>
  <c r="F599" i="8"/>
  <c r="E599" i="8"/>
  <c r="D599" i="8"/>
  <c r="C599" i="8"/>
  <c r="X597" i="8"/>
  <c r="W597" i="8"/>
  <c r="V597" i="8"/>
  <c r="U597" i="8"/>
  <c r="T597" i="8"/>
  <c r="S597" i="8"/>
  <c r="R597" i="8"/>
  <c r="Q597" i="8"/>
  <c r="P597" i="8"/>
  <c r="O597" i="8"/>
  <c r="N597" i="8"/>
  <c r="M597" i="8"/>
  <c r="L597" i="8"/>
  <c r="K597" i="8"/>
  <c r="J597" i="8"/>
  <c r="I597" i="8"/>
  <c r="H597" i="8"/>
  <c r="G597" i="8"/>
  <c r="F597" i="8"/>
  <c r="E597" i="8"/>
  <c r="D597" i="8"/>
  <c r="C597" i="8"/>
  <c r="X596" i="8"/>
  <c r="W596" i="8"/>
  <c r="V596" i="8"/>
  <c r="U596" i="8"/>
  <c r="T596" i="8"/>
  <c r="S596" i="8"/>
  <c r="R596" i="8"/>
  <c r="Q596" i="8"/>
  <c r="P596" i="8"/>
  <c r="O596" i="8"/>
  <c r="N596" i="8"/>
  <c r="M596" i="8"/>
  <c r="L596" i="8"/>
  <c r="K596" i="8"/>
  <c r="J596" i="8"/>
  <c r="I596" i="8"/>
  <c r="H596" i="8"/>
  <c r="G596" i="8"/>
  <c r="F596" i="8"/>
  <c r="E596" i="8"/>
  <c r="D596" i="8"/>
  <c r="C596" i="8"/>
  <c r="X595" i="8"/>
  <c r="W595" i="8"/>
  <c r="V595" i="8"/>
  <c r="U595" i="8"/>
  <c r="T595" i="8"/>
  <c r="S595" i="8"/>
  <c r="R595" i="8"/>
  <c r="Q595" i="8"/>
  <c r="P595" i="8"/>
  <c r="O595" i="8"/>
  <c r="N595" i="8"/>
  <c r="M595" i="8"/>
  <c r="L595" i="8"/>
  <c r="K595" i="8"/>
  <c r="J595" i="8"/>
  <c r="I595" i="8"/>
  <c r="H595" i="8"/>
  <c r="G595" i="8"/>
  <c r="F595" i="8"/>
  <c r="E595" i="8"/>
  <c r="D595" i="8"/>
  <c r="C595" i="8"/>
  <c r="X594" i="8"/>
  <c r="AQ594" i="8" s="1"/>
  <c r="AR594" i="8" s="1"/>
  <c r="W594" i="8"/>
  <c r="V594" i="8"/>
  <c r="U594" i="8"/>
  <c r="T594" i="8"/>
  <c r="S594" i="8"/>
  <c r="R594" i="8"/>
  <c r="Q594" i="8"/>
  <c r="P594" i="8"/>
  <c r="O594" i="8"/>
  <c r="N594" i="8"/>
  <c r="M594" i="8"/>
  <c r="L594" i="8"/>
  <c r="K594" i="8"/>
  <c r="J594" i="8"/>
  <c r="I594" i="8"/>
  <c r="H594" i="8"/>
  <c r="G594" i="8"/>
  <c r="F594" i="8"/>
  <c r="E594" i="8"/>
  <c r="D594" i="8"/>
  <c r="C594" i="8"/>
  <c r="X593" i="8"/>
  <c r="W593" i="8"/>
  <c r="V593" i="8"/>
  <c r="U593" i="8"/>
  <c r="T593" i="8"/>
  <c r="S593" i="8"/>
  <c r="R593" i="8"/>
  <c r="Q593" i="8"/>
  <c r="P593" i="8"/>
  <c r="O593" i="8"/>
  <c r="N593" i="8"/>
  <c r="M593" i="8"/>
  <c r="L593" i="8"/>
  <c r="K593" i="8"/>
  <c r="J593" i="8"/>
  <c r="I593" i="8"/>
  <c r="H593" i="8"/>
  <c r="G593" i="8"/>
  <c r="F593" i="8"/>
  <c r="E593" i="8"/>
  <c r="D593" i="8"/>
  <c r="C593" i="8"/>
  <c r="X592" i="8"/>
  <c r="W592" i="8"/>
  <c r="V592" i="8"/>
  <c r="U592" i="8"/>
  <c r="T592" i="8"/>
  <c r="S592" i="8"/>
  <c r="R592" i="8"/>
  <c r="Q592" i="8"/>
  <c r="P592" i="8"/>
  <c r="O592" i="8"/>
  <c r="N592" i="8"/>
  <c r="M592" i="8"/>
  <c r="L592" i="8"/>
  <c r="K592" i="8"/>
  <c r="J592" i="8"/>
  <c r="I592" i="8"/>
  <c r="H592" i="8"/>
  <c r="G592" i="8"/>
  <c r="F592" i="8"/>
  <c r="E592" i="8"/>
  <c r="D592" i="8"/>
  <c r="C592" i="8"/>
  <c r="X590" i="8"/>
  <c r="W590" i="8"/>
  <c r="V590" i="8"/>
  <c r="U590" i="8"/>
  <c r="T590" i="8"/>
  <c r="S590" i="8"/>
  <c r="R590" i="8"/>
  <c r="Q590" i="8"/>
  <c r="P590" i="8"/>
  <c r="O590" i="8"/>
  <c r="N590" i="8"/>
  <c r="M590" i="8"/>
  <c r="L590" i="8"/>
  <c r="K590" i="8"/>
  <c r="J590" i="8"/>
  <c r="I590" i="8"/>
  <c r="H590" i="8"/>
  <c r="G590" i="8"/>
  <c r="F590" i="8"/>
  <c r="E590" i="8"/>
  <c r="D590" i="8"/>
  <c r="C590" i="8"/>
  <c r="X589" i="8"/>
  <c r="AQ589" i="8" s="1"/>
  <c r="AR589" i="8" s="1"/>
  <c r="W589" i="8"/>
  <c r="V589" i="8"/>
  <c r="U589" i="8"/>
  <c r="T589" i="8"/>
  <c r="S589" i="8"/>
  <c r="R589" i="8"/>
  <c r="Q589" i="8"/>
  <c r="P589" i="8"/>
  <c r="O589" i="8"/>
  <c r="N589" i="8"/>
  <c r="M589" i="8"/>
  <c r="L589" i="8"/>
  <c r="K589" i="8"/>
  <c r="J589" i="8"/>
  <c r="I589" i="8"/>
  <c r="H589" i="8"/>
  <c r="G589" i="8"/>
  <c r="F589" i="8"/>
  <c r="E589" i="8"/>
  <c r="D589" i="8"/>
  <c r="C589" i="8"/>
  <c r="X588" i="8"/>
  <c r="W588" i="8"/>
  <c r="V588" i="8"/>
  <c r="U588" i="8"/>
  <c r="T588" i="8"/>
  <c r="S588" i="8"/>
  <c r="R588" i="8"/>
  <c r="Q588" i="8"/>
  <c r="P588" i="8"/>
  <c r="O588" i="8"/>
  <c r="N588" i="8"/>
  <c r="M588" i="8"/>
  <c r="L588" i="8"/>
  <c r="K588" i="8"/>
  <c r="J588" i="8"/>
  <c r="I588" i="8"/>
  <c r="H588" i="8"/>
  <c r="G588" i="8"/>
  <c r="F588" i="8"/>
  <c r="E588" i="8"/>
  <c r="D588" i="8"/>
  <c r="C588" i="8"/>
  <c r="X587" i="8"/>
  <c r="W587" i="8"/>
  <c r="V587" i="8"/>
  <c r="U587" i="8"/>
  <c r="T587" i="8"/>
  <c r="S587" i="8"/>
  <c r="R587" i="8"/>
  <c r="Q587" i="8"/>
  <c r="P587" i="8"/>
  <c r="O587" i="8"/>
  <c r="N587" i="8"/>
  <c r="M587" i="8"/>
  <c r="L587" i="8"/>
  <c r="K587" i="8"/>
  <c r="J587" i="8"/>
  <c r="I587" i="8"/>
  <c r="H587" i="8"/>
  <c r="G587" i="8"/>
  <c r="F587" i="8"/>
  <c r="E587" i="8"/>
  <c r="D587" i="8"/>
  <c r="C587" i="8"/>
  <c r="X586" i="8"/>
  <c r="W586" i="8"/>
  <c r="V586" i="8"/>
  <c r="U586" i="8"/>
  <c r="T586" i="8"/>
  <c r="S586" i="8"/>
  <c r="R586" i="8"/>
  <c r="Q586" i="8"/>
  <c r="P586" i="8"/>
  <c r="O586" i="8"/>
  <c r="N586" i="8"/>
  <c r="M586" i="8"/>
  <c r="L586" i="8"/>
  <c r="K586" i="8"/>
  <c r="J586" i="8"/>
  <c r="I586" i="8"/>
  <c r="H586" i="8"/>
  <c r="G586" i="8"/>
  <c r="F586" i="8"/>
  <c r="E586" i="8"/>
  <c r="D586" i="8"/>
  <c r="C586" i="8"/>
  <c r="X585" i="8"/>
  <c r="W585" i="8"/>
  <c r="V585" i="8"/>
  <c r="U585" i="8"/>
  <c r="T585" i="8"/>
  <c r="S585" i="8"/>
  <c r="R585" i="8"/>
  <c r="Q585" i="8"/>
  <c r="P585" i="8"/>
  <c r="O585" i="8"/>
  <c r="N585" i="8"/>
  <c r="M585" i="8"/>
  <c r="L585" i="8"/>
  <c r="K585" i="8"/>
  <c r="J585" i="8"/>
  <c r="I585" i="8"/>
  <c r="H585" i="8"/>
  <c r="G585" i="8"/>
  <c r="F585" i="8"/>
  <c r="E585" i="8"/>
  <c r="D585" i="8"/>
  <c r="C585" i="8"/>
  <c r="X583" i="8"/>
  <c r="W583" i="8"/>
  <c r="V583" i="8"/>
  <c r="U583" i="8"/>
  <c r="T583" i="8"/>
  <c r="S583" i="8"/>
  <c r="R583" i="8"/>
  <c r="Q583" i="8"/>
  <c r="P583" i="8"/>
  <c r="O583" i="8"/>
  <c r="N583" i="8"/>
  <c r="M583" i="8"/>
  <c r="L583" i="8"/>
  <c r="K583" i="8"/>
  <c r="J583" i="8"/>
  <c r="I583" i="8"/>
  <c r="H583" i="8"/>
  <c r="G583" i="8"/>
  <c r="F583" i="8"/>
  <c r="E583" i="8"/>
  <c r="D583" i="8"/>
  <c r="C583" i="8"/>
  <c r="X582" i="8"/>
  <c r="W582" i="8"/>
  <c r="V582" i="8"/>
  <c r="U582" i="8"/>
  <c r="T582" i="8"/>
  <c r="S582" i="8"/>
  <c r="R582" i="8"/>
  <c r="Q582" i="8"/>
  <c r="P582" i="8"/>
  <c r="O582" i="8"/>
  <c r="N582" i="8"/>
  <c r="M582" i="8"/>
  <c r="L582" i="8"/>
  <c r="K582" i="8"/>
  <c r="J582" i="8"/>
  <c r="I582" i="8"/>
  <c r="H582" i="8"/>
  <c r="G582" i="8"/>
  <c r="F582" i="8"/>
  <c r="E582" i="8"/>
  <c r="D582" i="8"/>
  <c r="C582" i="8"/>
  <c r="X581" i="8"/>
  <c r="W581" i="8"/>
  <c r="V581" i="8"/>
  <c r="U581" i="8"/>
  <c r="T581" i="8"/>
  <c r="S581" i="8"/>
  <c r="R581" i="8"/>
  <c r="Q581" i="8"/>
  <c r="P581" i="8"/>
  <c r="O581" i="8"/>
  <c r="N581" i="8"/>
  <c r="M581" i="8"/>
  <c r="L581" i="8"/>
  <c r="K581" i="8"/>
  <c r="J581" i="8"/>
  <c r="I581" i="8"/>
  <c r="H581" i="8"/>
  <c r="G581" i="8"/>
  <c r="F581" i="8"/>
  <c r="E581" i="8"/>
  <c r="D581" i="8"/>
  <c r="C581" i="8"/>
  <c r="X580" i="8"/>
  <c r="AQ580" i="8" s="1"/>
  <c r="AR580" i="8" s="1"/>
  <c r="W580" i="8"/>
  <c r="V580" i="8"/>
  <c r="U580" i="8"/>
  <c r="T580" i="8"/>
  <c r="S580" i="8"/>
  <c r="R580" i="8"/>
  <c r="Q580" i="8"/>
  <c r="P580" i="8"/>
  <c r="O580" i="8"/>
  <c r="N580" i="8"/>
  <c r="M580" i="8"/>
  <c r="L580" i="8"/>
  <c r="K580" i="8"/>
  <c r="J580" i="8"/>
  <c r="I580" i="8"/>
  <c r="H580" i="8"/>
  <c r="G580" i="8"/>
  <c r="F580" i="8"/>
  <c r="E580" i="8"/>
  <c r="D580" i="8"/>
  <c r="C580" i="8"/>
  <c r="X579" i="8"/>
  <c r="W579" i="8"/>
  <c r="V579" i="8"/>
  <c r="U579" i="8"/>
  <c r="T579" i="8"/>
  <c r="S579" i="8"/>
  <c r="R579" i="8"/>
  <c r="Q579" i="8"/>
  <c r="P579" i="8"/>
  <c r="O579" i="8"/>
  <c r="N579" i="8"/>
  <c r="M579" i="8"/>
  <c r="L579" i="8"/>
  <c r="K579" i="8"/>
  <c r="J579" i="8"/>
  <c r="I579" i="8"/>
  <c r="H579" i="8"/>
  <c r="G579" i="8"/>
  <c r="F579" i="8"/>
  <c r="E579" i="8"/>
  <c r="D579" i="8"/>
  <c r="C579" i="8"/>
  <c r="X578" i="8"/>
  <c r="W578" i="8"/>
  <c r="V578" i="8"/>
  <c r="U578" i="8"/>
  <c r="T578" i="8"/>
  <c r="S578" i="8"/>
  <c r="R578" i="8"/>
  <c r="Q578" i="8"/>
  <c r="P578" i="8"/>
  <c r="O578" i="8"/>
  <c r="N578" i="8"/>
  <c r="M578" i="8"/>
  <c r="L578" i="8"/>
  <c r="K578" i="8"/>
  <c r="J578" i="8"/>
  <c r="I578" i="8"/>
  <c r="H578" i="8"/>
  <c r="G578" i="8"/>
  <c r="F578" i="8"/>
  <c r="E578" i="8"/>
  <c r="D578" i="8"/>
  <c r="C578" i="8"/>
  <c r="X576" i="8"/>
  <c r="W576" i="8"/>
  <c r="V576" i="8"/>
  <c r="U576" i="8"/>
  <c r="T576" i="8"/>
  <c r="S576" i="8"/>
  <c r="R576" i="8"/>
  <c r="Q576" i="8"/>
  <c r="P576" i="8"/>
  <c r="O576" i="8"/>
  <c r="N576" i="8"/>
  <c r="M576" i="8"/>
  <c r="L576" i="8"/>
  <c r="K576" i="8"/>
  <c r="J576" i="8"/>
  <c r="I576" i="8"/>
  <c r="H576" i="8"/>
  <c r="G576" i="8"/>
  <c r="F576" i="8"/>
  <c r="E576" i="8"/>
  <c r="D576" i="8"/>
  <c r="C576" i="8"/>
  <c r="X574" i="8"/>
  <c r="AQ574" i="8" s="1"/>
  <c r="AR574" i="8" s="1"/>
  <c r="W574" i="8"/>
  <c r="V574" i="8"/>
  <c r="U574" i="8"/>
  <c r="T574" i="8"/>
  <c r="S574" i="8"/>
  <c r="R574" i="8"/>
  <c r="Q574" i="8"/>
  <c r="P574" i="8"/>
  <c r="O574" i="8"/>
  <c r="N574" i="8"/>
  <c r="M574" i="8"/>
  <c r="L574" i="8"/>
  <c r="K574" i="8"/>
  <c r="J574" i="8"/>
  <c r="I574" i="8"/>
  <c r="H574" i="8"/>
  <c r="G574" i="8"/>
  <c r="F574" i="8"/>
  <c r="E574" i="8"/>
  <c r="D574" i="8"/>
  <c r="C574" i="8"/>
  <c r="X573" i="8"/>
  <c r="W573" i="8"/>
  <c r="V573" i="8"/>
  <c r="U573" i="8"/>
  <c r="T573" i="8"/>
  <c r="S573" i="8"/>
  <c r="R573" i="8"/>
  <c r="Q573" i="8"/>
  <c r="P573" i="8"/>
  <c r="O573" i="8"/>
  <c r="N573" i="8"/>
  <c r="M573" i="8"/>
  <c r="L573" i="8"/>
  <c r="K573" i="8"/>
  <c r="J573" i="8"/>
  <c r="I573" i="8"/>
  <c r="H573" i="8"/>
  <c r="G573" i="8"/>
  <c r="F573" i="8"/>
  <c r="E573" i="8"/>
  <c r="D573" i="8"/>
  <c r="C573" i="8"/>
  <c r="X572" i="8"/>
  <c r="W572" i="8"/>
  <c r="V572" i="8"/>
  <c r="U572" i="8"/>
  <c r="T572" i="8"/>
  <c r="S572" i="8"/>
  <c r="R572" i="8"/>
  <c r="Q572" i="8"/>
  <c r="P572" i="8"/>
  <c r="O572" i="8"/>
  <c r="N572" i="8"/>
  <c r="M572" i="8"/>
  <c r="L572" i="8"/>
  <c r="K572" i="8"/>
  <c r="J572" i="8"/>
  <c r="I572" i="8"/>
  <c r="H572" i="8"/>
  <c r="G572" i="8"/>
  <c r="F572" i="8"/>
  <c r="E572" i="8"/>
  <c r="D572" i="8"/>
  <c r="C572" i="8"/>
  <c r="X571" i="8"/>
  <c r="W571" i="8"/>
  <c r="V571" i="8"/>
  <c r="U571" i="8"/>
  <c r="T571" i="8"/>
  <c r="S571" i="8"/>
  <c r="R571" i="8"/>
  <c r="Q571" i="8"/>
  <c r="P571" i="8"/>
  <c r="O571" i="8"/>
  <c r="N571" i="8"/>
  <c r="M571" i="8"/>
  <c r="L571" i="8"/>
  <c r="K571" i="8"/>
  <c r="J571" i="8"/>
  <c r="I571" i="8"/>
  <c r="H571" i="8"/>
  <c r="G571" i="8"/>
  <c r="F571" i="8"/>
  <c r="E571" i="8"/>
  <c r="D571" i="8"/>
  <c r="C571" i="8"/>
  <c r="X569" i="8"/>
  <c r="AQ569" i="8" s="1"/>
  <c r="AR569" i="8" s="1"/>
  <c r="W569" i="8"/>
  <c r="V569" i="8"/>
  <c r="U569" i="8"/>
  <c r="T569" i="8"/>
  <c r="S569" i="8"/>
  <c r="R569" i="8"/>
  <c r="Q569" i="8"/>
  <c r="P569" i="8"/>
  <c r="O569" i="8"/>
  <c r="N569" i="8"/>
  <c r="M569" i="8"/>
  <c r="L569" i="8"/>
  <c r="K569" i="8"/>
  <c r="J569" i="8"/>
  <c r="I569" i="8"/>
  <c r="H569" i="8"/>
  <c r="G569" i="8"/>
  <c r="F569" i="8"/>
  <c r="E569" i="8"/>
  <c r="D569" i="8"/>
  <c r="C569" i="8"/>
  <c r="X568" i="8"/>
  <c r="W568" i="8"/>
  <c r="V568" i="8"/>
  <c r="U568" i="8"/>
  <c r="T568" i="8"/>
  <c r="S568" i="8"/>
  <c r="R568" i="8"/>
  <c r="Q568" i="8"/>
  <c r="P568" i="8"/>
  <c r="O568" i="8"/>
  <c r="N568" i="8"/>
  <c r="M568" i="8"/>
  <c r="L568" i="8"/>
  <c r="K568" i="8"/>
  <c r="J568" i="8"/>
  <c r="I568" i="8"/>
  <c r="H568" i="8"/>
  <c r="G568" i="8"/>
  <c r="F568" i="8"/>
  <c r="E568" i="8"/>
  <c r="D568" i="8"/>
  <c r="C568" i="8"/>
  <c r="X567" i="8"/>
  <c r="AQ567" i="8" s="1"/>
  <c r="AR567" i="8" s="1"/>
  <c r="W567" i="8"/>
  <c r="V567" i="8"/>
  <c r="U567" i="8"/>
  <c r="T567" i="8"/>
  <c r="S567" i="8"/>
  <c r="R567" i="8"/>
  <c r="Q567" i="8"/>
  <c r="P567" i="8"/>
  <c r="O567" i="8"/>
  <c r="N567" i="8"/>
  <c r="M567" i="8"/>
  <c r="L567" i="8"/>
  <c r="K567" i="8"/>
  <c r="J567" i="8"/>
  <c r="I567" i="8"/>
  <c r="H567" i="8"/>
  <c r="G567" i="8"/>
  <c r="F567" i="8"/>
  <c r="E567" i="8"/>
  <c r="D567" i="8"/>
  <c r="C567" i="8"/>
  <c r="X566" i="8"/>
  <c r="W566" i="8"/>
  <c r="V566" i="8"/>
  <c r="U566" i="8"/>
  <c r="T566" i="8"/>
  <c r="S566" i="8"/>
  <c r="R566" i="8"/>
  <c r="Q566" i="8"/>
  <c r="P566" i="8"/>
  <c r="O566" i="8"/>
  <c r="N566" i="8"/>
  <c r="M566" i="8"/>
  <c r="L566" i="8"/>
  <c r="K566" i="8"/>
  <c r="J566" i="8"/>
  <c r="I566" i="8"/>
  <c r="H566" i="8"/>
  <c r="G566" i="8"/>
  <c r="F566" i="8"/>
  <c r="E566" i="8"/>
  <c r="D566" i="8"/>
  <c r="C566" i="8"/>
  <c r="X565" i="8"/>
  <c r="AQ565" i="8" s="1"/>
  <c r="AR565" i="8" s="1"/>
  <c r="W565" i="8"/>
  <c r="V565" i="8"/>
  <c r="U565" i="8"/>
  <c r="T565" i="8"/>
  <c r="S565" i="8"/>
  <c r="R565" i="8"/>
  <c r="Q565" i="8"/>
  <c r="P565" i="8"/>
  <c r="O565" i="8"/>
  <c r="N565" i="8"/>
  <c r="M565" i="8"/>
  <c r="L565" i="8"/>
  <c r="K565" i="8"/>
  <c r="J565" i="8"/>
  <c r="I565" i="8"/>
  <c r="H565" i="8"/>
  <c r="G565" i="8"/>
  <c r="F565" i="8"/>
  <c r="E565" i="8"/>
  <c r="D565" i="8"/>
  <c r="C565" i="8"/>
  <c r="X564" i="8"/>
  <c r="W564" i="8"/>
  <c r="V564" i="8"/>
  <c r="U564" i="8"/>
  <c r="T564" i="8"/>
  <c r="S564" i="8"/>
  <c r="R564" i="8"/>
  <c r="Q564" i="8"/>
  <c r="P564" i="8"/>
  <c r="O564" i="8"/>
  <c r="N564" i="8"/>
  <c r="M564" i="8"/>
  <c r="L564" i="8"/>
  <c r="K564" i="8"/>
  <c r="J564" i="8"/>
  <c r="I564" i="8"/>
  <c r="H564" i="8"/>
  <c r="G564" i="8"/>
  <c r="F564" i="8"/>
  <c r="E564" i="8"/>
  <c r="D564" i="8"/>
  <c r="C564" i="8"/>
  <c r="X562" i="8"/>
  <c r="AQ562" i="8" s="1"/>
  <c r="AR562" i="8" s="1"/>
  <c r="W562" i="8"/>
  <c r="V562" i="8"/>
  <c r="U562" i="8"/>
  <c r="T562" i="8"/>
  <c r="S562" i="8"/>
  <c r="R562" i="8"/>
  <c r="Q562" i="8"/>
  <c r="P562" i="8"/>
  <c r="O562" i="8"/>
  <c r="N562" i="8"/>
  <c r="M562" i="8"/>
  <c r="L562" i="8"/>
  <c r="K562" i="8"/>
  <c r="J562" i="8"/>
  <c r="I562" i="8"/>
  <c r="H562" i="8"/>
  <c r="G562" i="8"/>
  <c r="F562" i="8"/>
  <c r="E562" i="8"/>
  <c r="D562" i="8"/>
  <c r="C562" i="8"/>
  <c r="X561" i="8"/>
  <c r="W561" i="8"/>
  <c r="V561" i="8"/>
  <c r="U561" i="8"/>
  <c r="T561" i="8"/>
  <c r="S561" i="8"/>
  <c r="R561" i="8"/>
  <c r="Q561" i="8"/>
  <c r="P561" i="8"/>
  <c r="O561" i="8"/>
  <c r="N561" i="8"/>
  <c r="M561" i="8"/>
  <c r="L561" i="8"/>
  <c r="K561" i="8"/>
  <c r="J561" i="8"/>
  <c r="I561" i="8"/>
  <c r="H561" i="8"/>
  <c r="G561" i="8"/>
  <c r="F561" i="8"/>
  <c r="E561" i="8"/>
  <c r="D561" i="8"/>
  <c r="C561" i="8"/>
  <c r="X560" i="8"/>
  <c r="AQ560" i="8" s="1"/>
  <c r="AR560" i="8" s="1"/>
  <c r="W560" i="8"/>
  <c r="V560" i="8"/>
  <c r="U560" i="8"/>
  <c r="T560" i="8"/>
  <c r="S560" i="8"/>
  <c r="R560" i="8"/>
  <c r="Q560" i="8"/>
  <c r="P560" i="8"/>
  <c r="O560" i="8"/>
  <c r="N560" i="8"/>
  <c r="M560" i="8"/>
  <c r="L560" i="8"/>
  <c r="K560" i="8"/>
  <c r="J560" i="8"/>
  <c r="I560" i="8"/>
  <c r="H560" i="8"/>
  <c r="G560" i="8"/>
  <c r="F560" i="8"/>
  <c r="E560" i="8"/>
  <c r="D560" i="8"/>
  <c r="C560" i="8"/>
  <c r="X559" i="8"/>
  <c r="W559" i="8"/>
  <c r="V559" i="8"/>
  <c r="U559" i="8"/>
  <c r="T559" i="8"/>
  <c r="S559" i="8"/>
  <c r="R559" i="8"/>
  <c r="Q559" i="8"/>
  <c r="P559" i="8"/>
  <c r="O559" i="8"/>
  <c r="N559" i="8"/>
  <c r="M559" i="8"/>
  <c r="L559" i="8"/>
  <c r="K559" i="8"/>
  <c r="J559" i="8"/>
  <c r="I559" i="8"/>
  <c r="H559" i="8"/>
  <c r="G559" i="8"/>
  <c r="F559" i="8"/>
  <c r="E559" i="8"/>
  <c r="D559" i="8"/>
  <c r="C559" i="8"/>
  <c r="X558" i="8"/>
  <c r="AQ558" i="8" s="1"/>
  <c r="AR558" i="8" s="1"/>
  <c r="W558" i="8"/>
  <c r="V558" i="8"/>
  <c r="U558" i="8"/>
  <c r="T558" i="8"/>
  <c r="S558" i="8"/>
  <c r="R558" i="8"/>
  <c r="Q558" i="8"/>
  <c r="P558" i="8"/>
  <c r="O558" i="8"/>
  <c r="N558" i="8"/>
  <c r="M558" i="8"/>
  <c r="L558" i="8"/>
  <c r="K558" i="8"/>
  <c r="J558" i="8"/>
  <c r="I558" i="8"/>
  <c r="H558" i="8"/>
  <c r="G558" i="8"/>
  <c r="F558" i="8"/>
  <c r="E558" i="8"/>
  <c r="D558" i="8"/>
  <c r="C558" i="8"/>
  <c r="X557" i="8"/>
  <c r="W557" i="8"/>
  <c r="V557" i="8"/>
  <c r="U557" i="8"/>
  <c r="T557" i="8"/>
  <c r="S557" i="8"/>
  <c r="R557" i="8"/>
  <c r="Q557" i="8"/>
  <c r="P557" i="8"/>
  <c r="O557" i="8"/>
  <c r="N557" i="8"/>
  <c r="M557" i="8"/>
  <c r="L557" i="8"/>
  <c r="K557" i="8"/>
  <c r="J557" i="8"/>
  <c r="I557" i="8"/>
  <c r="H557" i="8"/>
  <c r="G557" i="8"/>
  <c r="F557" i="8"/>
  <c r="E557" i="8"/>
  <c r="D557" i="8"/>
  <c r="C557" i="8"/>
  <c r="X555" i="8"/>
  <c r="AQ555" i="8" s="1"/>
  <c r="AR555" i="8" s="1"/>
  <c r="W555" i="8"/>
  <c r="V555" i="8"/>
  <c r="U555" i="8"/>
  <c r="T555" i="8"/>
  <c r="S555" i="8"/>
  <c r="R555" i="8"/>
  <c r="Q555" i="8"/>
  <c r="P555" i="8"/>
  <c r="O555" i="8"/>
  <c r="N555" i="8"/>
  <c r="M555" i="8"/>
  <c r="L555" i="8"/>
  <c r="K555" i="8"/>
  <c r="J555" i="8"/>
  <c r="I555" i="8"/>
  <c r="H555" i="8"/>
  <c r="G555" i="8"/>
  <c r="F555" i="8"/>
  <c r="E555" i="8"/>
  <c r="D555" i="8"/>
  <c r="C555" i="8"/>
  <c r="X554" i="8"/>
  <c r="W554" i="8"/>
  <c r="V554" i="8"/>
  <c r="U554" i="8"/>
  <c r="T554" i="8"/>
  <c r="S554" i="8"/>
  <c r="R554" i="8"/>
  <c r="Q554" i="8"/>
  <c r="P554" i="8"/>
  <c r="O554" i="8"/>
  <c r="N554" i="8"/>
  <c r="M554" i="8"/>
  <c r="L554" i="8"/>
  <c r="K554" i="8"/>
  <c r="J554" i="8"/>
  <c r="I554" i="8"/>
  <c r="H554" i="8"/>
  <c r="G554" i="8"/>
  <c r="F554" i="8"/>
  <c r="E554" i="8"/>
  <c r="D554" i="8"/>
  <c r="C554" i="8"/>
  <c r="X553" i="8"/>
  <c r="AQ553" i="8" s="1"/>
  <c r="AR553" i="8" s="1"/>
  <c r="W553" i="8"/>
  <c r="V553" i="8"/>
  <c r="U553" i="8"/>
  <c r="T553" i="8"/>
  <c r="S553" i="8"/>
  <c r="R553" i="8"/>
  <c r="Q553" i="8"/>
  <c r="P553" i="8"/>
  <c r="O553" i="8"/>
  <c r="N553" i="8"/>
  <c r="M553" i="8"/>
  <c r="L553" i="8"/>
  <c r="K553" i="8"/>
  <c r="J553" i="8"/>
  <c r="I553" i="8"/>
  <c r="H553" i="8"/>
  <c r="G553" i="8"/>
  <c r="F553" i="8"/>
  <c r="E553" i="8"/>
  <c r="D553" i="8"/>
  <c r="C553" i="8"/>
  <c r="X552" i="8"/>
  <c r="W552" i="8"/>
  <c r="V552" i="8"/>
  <c r="U552" i="8"/>
  <c r="T552" i="8"/>
  <c r="S552" i="8"/>
  <c r="R552" i="8"/>
  <c r="Q552" i="8"/>
  <c r="P552" i="8"/>
  <c r="O552" i="8"/>
  <c r="N552" i="8"/>
  <c r="M552" i="8"/>
  <c r="L552" i="8"/>
  <c r="K552" i="8"/>
  <c r="J552" i="8"/>
  <c r="I552" i="8"/>
  <c r="H552" i="8"/>
  <c r="G552" i="8"/>
  <c r="F552" i="8"/>
  <c r="E552" i="8"/>
  <c r="D552" i="8"/>
  <c r="C552" i="8"/>
  <c r="X551" i="8"/>
  <c r="AQ551" i="8" s="1"/>
  <c r="AR551" i="8" s="1"/>
  <c r="W551" i="8"/>
  <c r="V551" i="8"/>
  <c r="U551" i="8"/>
  <c r="T551" i="8"/>
  <c r="S551" i="8"/>
  <c r="R551" i="8"/>
  <c r="Q551" i="8"/>
  <c r="P551" i="8"/>
  <c r="O551" i="8"/>
  <c r="N551" i="8"/>
  <c r="M551" i="8"/>
  <c r="L551" i="8"/>
  <c r="K551" i="8"/>
  <c r="J551" i="8"/>
  <c r="I551" i="8"/>
  <c r="H551" i="8"/>
  <c r="G551" i="8"/>
  <c r="F551" i="8"/>
  <c r="E551" i="8"/>
  <c r="D551" i="8"/>
  <c r="C551" i="8"/>
  <c r="X550" i="8"/>
  <c r="W550" i="8"/>
  <c r="V550" i="8"/>
  <c r="U550" i="8"/>
  <c r="T550" i="8"/>
  <c r="S550" i="8"/>
  <c r="R550" i="8"/>
  <c r="Q550" i="8"/>
  <c r="P550" i="8"/>
  <c r="O550" i="8"/>
  <c r="N550" i="8"/>
  <c r="M550" i="8"/>
  <c r="L550" i="8"/>
  <c r="K550" i="8"/>
  <c r="J550" i="8"/>
  <c r="I550" i="8"/>
  <c r="H550" i="8"/>
  <c r="G550" i="8"/>
  <c r="F550" i="8"/>
  <c r="E550" i="8"/>
  <c r="D550" i="8"/>
  <c r="C550" i="8"/>
  <c r="X548" i="8"/>
  <c r="AQ548" i="8" s="1"/>
  <c r="AR548" i="8" s="1"/>
  <c r="W548" i="8"/>
  <c r="V548" i="8"/>
  <c r="U548" i="8"/>
  <c r="T548" i="8"/>
  <c r="S548" i="8"/>
  <c r="R548" i="8"/>
  <c r="Q548" i="8"/>
  <c r="P548" i="8"/>
  <c r="O548" i="8"/>
  <c r="N548" i="8"/>
  <c r="M548" i="8"/>
  <c r="L548" i="8"/>
  <c r="K548" i="8"/>
  <c r="J548" i="8"/>
  <c r="I548" i="8"/>
  <c r="H548" i="8"/>
  <c r="G548" i="8"/>
  <c r="F548" i="8"/>
  <c r="E548" i="8"/>
  <c r="D548" i="8"/>
  <c r="C548" i="8"/>
  <c r="X547" i="8"/>
  <c r="W547" i="8"/>
  <c r="V547" i="8"/>
  <c r="U547" i="8"/>
  <c r="T547" i="8"/>
  <c r="S547" i="8"/>
  <c r="R547" i="8"/>
  <c r="Q547" i="8"/>
  <c r="P547" i="8"/>
  <c r="O547" i="8"/>
  <c r="N547" i="8"/>
  <c r="M547" i="8"/>
  <c r="L547" i="8"/>
  <c r="K547" i="8"/>
  <c r="J547" i="8"/>
  <c r="I547" i="8"/>
  <c r="H547" i="8"/>
  <c r="G547" i="8"/>
  <c r="F547" i="8"/>
  <c r="E547" i="8"/>
  <c r="D547" i="8"/>
  <c r="C547" i="8"/>
  <c r="X546" i="8"/>
  <c r="AQ546" i="8" s="1"/>
  <c r="AR546" i="8" s="1"/>
  <c r="W546" i="8"/>
  <c r="V546" i="8"/>
  <c r="U546" i="8"/>
  <c r="T546" i="8"/>
  <c r="S546" i="8"/>
  <c r="R546" i="8"/>
  <c r="Q546" i="8"/>
  <c r="P546" i="8"/>
  <c r="O546" i="8"/>
  <c r="N546" i="8"/>
  <c r="M546" i="8"/>
  <c r="L546" i="8"/>
  <c r="K546" i="8"/>
  <c r="J546" i="8"/>
  <c r="I546" i="8"/>
  <c r="H546" i="8"/>
  <c r="G546" i="8"/>
  <c r="F546" i="8"/>
  <c r="E546" i="8"/>
  <c r="D546" i="8"/>
  <c r="C546" i="8"/>
  <c r="X545" i="8"/>
  <c r="W545" i="8"/>
  <c r="V545" i="8"/>
  <c r="U545" i="8"/>
  <c r="T545" i="8"/>
  <c r="S545" i="8"/>
  <c r="R545" i="8"/>
  <c r="Q545" i="8"/>
  <c r="P545" i="8"/>
  <c r="O545" i="8"/>
  <c r="N545" i="8"/>
  <c r="M545" i="8"/>
  <c r="L545" i="8"/>
  <c r="K545" i="8"/>
  <c r="J545" i="8"/>
  <c r="I545" i="8"/>
  <c r="H545" i="8"/>
  <c r="G545" i="8"/>
  <c r="F545" i="8"/>
  <c r="E545" i="8"/>
  <c r="D545" i="8"/>
  <c r="C545" i="8"/>
  <c r="X544" i="8"/>
  <c r="AQ544" i="8" s="1"/>
  <c r="AR544" i="8" s="1"/>
  <c r="W544" i="8"/>
  <c r="V544" i="8"/>
  <c r="U544" i="8"/>
  <c r="T544" i="8"/>
  <c r="S544" i="8"/>
  <c r="R544" i="8"/>
  <c r="Q544" i="8"/>
  <c r="P544" i="8"/>
  <c r="O544" i="8"/>
  <c r="N544" i="8"/>
  <c r="M544" i="8"/>
  <c r="L544" i="8"/>
  <c r="K544" i="8"/>
  <c r="J544" i="8"/>
  <c r="I544" i="8"/>
  <c r="H544" i="8"/>
  <c r="G544" i="8"/>
  <c r="F544" i="8"/>
  <c r="E544" i="8"/>
  <c r="D544" i="8"/>
  <c r="C544" i="8"/>
  <c r="X543" i="8"/>
  <c r="W543" i="8"/>
  <c r="V543" i="8"/>
  <c r="U543" i="8"/>
  <c r="T543" i="8"/>
  <c r="S543" i="8"/>
  <c r="R543" i="8"/>
  <c r="Q543" i="8"/>
  <c r="P543" i="8"/>
  <c r="O543" i="8"/>
  <c r="N543" i="8"/>
  <c r="M543" i="8"/>
  <c r="L543" i="8"/>
  <c r="K543" i="8"/>
  <c r="J543" i="8"/>
  <c r="I543" i="8"/>
  <c r="H543" i="8"/>
  <c r="G543" i="8"/>
  <c r="F543" i="8"/>
  <c r="E543" i="8"/>
  <c r="D543" i="8"/>
  <c r="C543" i="8"/>
  <c r="X541" i="8"/>
  <c r="AQ541" i="8" s="1"/>
  <c r="AR541" i="8" s="1"/>
  <c r="W541" i="8"/>
  <c r="V541" i="8"/>
  <c r="U541" i="8"/>
  <c r="T541" i="8"/>
  <c r="S541" i="8"/>
  <c r="R541" i="8"/>
  <c r="Q541" i="8"/>
  <c r="P541" i="8"/>
  <c r="O541" i="8"/>
  <c r="N541" i="8"/>
  <c r="M541" i="8"/>
  <c r="L541" i="8"/>
  <c r="K541" i="8"/>
  <c r="J541" i="8"/>
  <c r="I541" i="8"/>
  <c r="H541" i="8"/>
  <c r="G541" i="8"/>
  <c r="F541" i="8"/>
  <c r="E541" i="8"/>
  <c r="D541" i="8"/>
  <c r="C541" i="8"/>
  <c r="X540" i="8"/>
  <c r="W540" i="8"/>
  <c r="V540" i="8"/>
  <c r="U540" i="8"/>
  <c r="T540" i="8"/>
  <c r="S540" i="8"/>
  <c r="R540" i="8"/>
  <c r="Q540" i="8"/>
  <c r="P540" i="8"/>
  <c r="O540" i="8"/>
  <c r="N540" i="8"/>
  <c r="M540" i="8"/>
  <c r="L540" i="8"/>
  <c r="K540" i="8"/>
  <c r="J540" i="8"/>
  <c r="I540" i="8"/>
  <c r="H540" i="8"/>
  <c r="G540" i="8"/>
  <c r="F540" i="8"/>
  <c r="E540" i="8"/>
  <c r="D540" i="8"/>
  <c r="C540" i="8"/>
  <c r="X539" i="8"/>
  <c r="AQ539" i="8" s="1"/>
  <c r="AR539" i="8" s="1"/>
  <c r="W539" i="8"/>
  <c r="V539" i="8"/>
  <c r="U539" i="8"/>
  <c r="T539" i="8"/>
  <c r="S539" i="8"/>
  <c r="R539" i="8"/>
  <c r="Q539" i="8"/>
  <c r="P539" i="8"/>
  <c r="O539" i="8"/>
  <c r="N539" i="8"/>
  <c r="M539" i="8"/>
  <c r="L539" i="8"/>
  <c r="K539" i="8"/>
  <c r="J539" i="8"/>
  <c r="I539" i="8"/>
  <c r="H539" i="8"/>
  <c r="G539" i="8"/>
  <c r="F539" i="8"/>
  <c r="E539" i="8"/>
  <c r="D539" i="8"/>
  <c r="C539" i="8"/>
  <c r="X532" i="8"/>
  <c r="W532" i="8"/>
  <c r="V532" i="8"/>
  <c r="U532" i="8"/>
  <c r="T532" i="8"/>
  <c r="S532" i="8"/>
  <c r="R532" i="8"/>
  <c r="Q532" i="8"/>
  <c r="P532" i="8"/>
  <c r="O532" i="8"/>
  <c r="N532" i="8"/>
  <c r="M532" i="8"/>
  <c r="L532" i="8"/>
  <c r="K532" i="8"/>
  <c r="J532" i="8"/>
  <c r="I532" i="8"/>
  <c r="H532" i="8"/>
  <c r="G532" i="8"/>
  <c r="F532" i="8"/>
  <c r="E532" i="8"/>
  <c r="D532" i="8"/>
  <c r="C532" i="8"/>
  <c r="X531" i="8"/>
  <c r="AQ531" i="8" s="1"/>
  <c r="AR531" i="8" s="1"/>
  <c r="W531" i="8"/>
  <c r="V531" i="8"/>
  <c r="U531" i="8"/>
  <c r="T531" i="8"/>
  <c r="S531" i="8"/>
  <c r="R531" i="8"/>
  <c r="Q531" i="8"/>
  <c r="P531" i="8"/>
  <c r="O531" i="8"/>
  <c r="N531" i="8"/>
  <c r="M531" i="8"/>
  <c r="L531" i="8"/>
  <c r="K531" i="8"/>
  <c r="J531" i="8"/>
  <c r="I531" i="8"/>
  <c r="H531" i="8"/>
  <c r="G531" i="8"/>
  <c r="F531" i="8"/>
  <c r="E531" i="8"/>
  <c r="D531" i="8"/>
  <c r="C531" i="8"/>
  <c r="X530" i="8"/>
  <c r="W530" i="8"/>
  <c r="V530" i="8"/>
  <c r="U530" i="8"/>
  <c r="T530" i="8"/>
  <c r="S530" i="8"/>
  <c r="R530" i="8"/>
  <c r="Q530" i="8"/>
  <c r="P530" i="8"/>
  <c r="O530" i="8"/>
  <c r="N530" i="8"/>
  <c r="M530" i="8"/>
  <c r="L530" i="8"/>
  <c r="K530" i="8"/>
  <c r="J530" i="8"/>
  <c r="I530" i="8"/>
  <c r="H530" i="8"/>
  <c r="G530" i="8"/>
  <c r="F530" i="8"/>
  <c r="E530" i="8"/>
  <c r="D530" i="8"/>
  <c r="C530" i="8"/>
  <c r="X529" i="8"/>
  <c r="AQ529" i="8" s="1"/>
  <c r="AR529" i="8" s="1"/>
  <c r="W529" i="8"/>
  <c r="V529" i="8"/>
  <c r="U529" i="8"/>
  <c r="T529" i="8"/>
  <c r="S529" i="8"/>
  <c r="R529" i="8"/>
  <c r="Q529" i="8"/>
  <c r="P529" i="8"/>
  <c r="O529" i="8"/>
  <c r="N529" i="8"/>
  <c r="M529" i="8"/>
  <c r="L529" i="8"/>
  <c r="K529" i="8"/>
  <c r="J529" i="8"/>
  <c r="I529" i="8"/>
  <c r="H529" i="8"/>
  <c r="G529" i="8"/>
  <c r="F529" i="8"/>
  <c r="E529" i="8"/>
  <c r="D529" i="8"/>
  <c r="C529" i="8"/>
  <c r="X527" i="8"/>
  <c r="W527" i="8"/>
  <c r="V527" i="8"/>
  <c r="U527" i="8"/>
  <c r="T527" i="8"/>
  <c r="S527" i="8"/>
  <c r="R527" i="8"/>
  <c r="Q527" i="8"/>
  <c r="P527" i="8"/>
  <c r="O527" i="8"/>
  <c r="N527" i="8"/>
  <c r="M527" i="8"/>
  <c r="L527" i="8"/>
  <c r="K527" i="8"/>
  <c r="J527" i="8"/>
  <c r="I527" i="8"/>
  <c r="H527" i="8"/>
  <c r="G527" i="8"/>
  <c r="F527" i="8"/>
  <c r="E527" i="8"/>
  <c r="D527" i="8"/>
  <c r="C527" i="8"/>
  <c r="X526" i="8"/>
  <c r="AQ526" i="8" s="1"/>
  <c r="AR526" i="8" s="1"/>
  <c r="W526" i="8"/>
  <c r="V526" i="8"/>
  <c r="U526" i="8"/>
  <c r="T526" i="8"/>
  <c r="S526" i="8"/>
  <c r="R526" i="8"/>
  <c r="Q526" i="8"/>
  <c r="P526" i="8"/>
  <c r="O526" i="8"/>
  <c r="N526" i="8"/>
  <c r="M526" i="8"/>
  <c r="L526" i="8"/>
  <c r="K526" i="8"/>
  <c r="J526" i="8"/>
  <c r="I526" i="8"/>
  <c r="H526" i="8"/>
  <c r="G526" i="8"/>
  <c r="F526" i="8"/>
  <c r="E526" i="8"/>
  <c r="D526" i="8"/>
  <c r="C526" i="8"/>
  <c r="X525" i="8"/>
  <c r="W525" i="8"/>
  <c r="V525" i="8"/>
  <c r="U525" i="8"/>
  <c r="T525" i="8"/>
  <c r="S525" i="8"/>
  <c r="R525" i="8"/>
  <c r="Q525" i="8"/>
  <c r="P525" i="8"/>
  <c r="O525" i="8"/>
  <c r="N525" i="8"/>
  <c r="M525" i="8"/>
  <c r="L525" i="8"/>
  <c r="K525" i="8"/>
  <c r="J525" i="8"/>
  <c r="I525" i="8"/>
  <c r="H525" i="8"/>
  <c r="G525" i="8"/>
  <c r="F525" i="8"/>
  <c r="E525" i="8"/>
  <c r="D525" i="8"/>
  <c r="C525" i="8"/>
  <c r="X524" i="8"/>
  <c r="W524" i="8"/>
  <c r="V524" i="8"/>
  <c r="U524" i="8"/>
  <c r="T524" i="8"/>
  <c r="S524" i="8"/>
  <c r="R524" i="8"/>
  <c r="Q524" i="8"/>
  <c r="P524" i="8"/>
  <c r="O524" i="8"/>
  <c r="N524" i="8"/>
  <c r="M524" i="8"/>
  <c r="L524" i="8"/>
  <c r="K524" i="8"/>
  <c r="J524" i="8"/>
  <c r="I524" i="8"/>
  <c r="H524" i="8"/>
  <c r="G524" i="8"/>
  <c r="F524" i="8"/>
  <c r="E524" i="8"/>
  <c r="D524" i="8"/>
  <c r="C524" i="8"/>
  <c r="X523" i="8"/>
  <c r="W523" i="8"/>
  <c r="V523" i="8"/>
  <c r="U523" i="8"/>
  <c r="T523" i="8"/>
  <c r="S523" i="8"/>
  <c r="R523" i="8"/>
  <c r="Q523" i="8"/>
  <c r="P523" i="8"/>
  <c r="O523" i="8"/>
  <c r="N523" i="8"/>
  <c r="M523" i="8"/>
  <c r="L523" i="8"/>
  <c r="K523" i="8"/>
  <c r="J523" i="8"/>
  <c r="I523" i="8"/>
  <c r="H523" i="8"/>
  <c r="G523" i="8"/>
  <c r="F523" i="8"/>
  <c r="E523" i="8"/>
  <c r="D523" i="8"/>
  <c r="C523" i="8"/>
  <c r="X522" i="8"/>
  <c r="W522" i="8"/>
  <c r="V522" i="8"/>
  <c r="U522" i="8"/>
  <c r="T522" i="8"/>
  <c r="S522" i="8"/>
  <c r="R522" i="8"/>
  <c r="Q522" i="8"/>
  <c r="P522" i="8"/>
  <c r="O522" i="8"/>
  <c r="N522" i="8"/>
  <c r="M522" i="8"/>
  <c r="L522" i="8"/>
  <c r="K522" i="8"/>
  <c r="J522" i="8"/>
  <c r="I522" i="8"/>
  <c r="H522" i="8"/>
  <c r="G522" i="8"/>
  <c r="F522" i="8"/>
  <c r="E522" i="8"/>
  <c r="D522" i="8"/>
  <c r="C522" i="8"/>
  <c r="X520" i="8"/>
  <c r="W520" i="8"/>
  <c r="V520" i="8"/>
  <c r="U520" i="8"/>
  <c r="T520" i="8"/>
  <c r="S520" i="8"/>
  <c r="R520" i="8"/>
  <c r="Q520" i="8"/>
  <c r="P520" i="8"/>
  <c r="O520" i="8"/>
  <c r="N520" i="8"/>
  <c r="M520" i="8"/>
  <c r="L520" i="8"/>
  <c r="K520" i="8"/>
  <c r="J520" i="8"/>
  <c r="I520" i="8"/>
  <c r="H520" i="8"/>
  <c r="G520" i="8"/>
  <c r="F520" i="8"/>
  <c r="E520" i="8"/>
  <c r="D520" i="8"/>
  <c r="C520" i="8"/>
  <c r="X519" i="8"/>
  <c r="W519" i="8"/>
  <c r="V519" i="8"/>
  <c r="U519" i="8"/>
  <c r="T519" i="8"/>
  <c r="S519" i="8"/>
  <c r="R519" i="8"/>
  <c r="Q519" i="8"/>
  <c r="P519" i="8"/>
  <c r="O519" i="8"/>
  <c r="N519" i="8"/>
  <c r="M519" i="8"/>
  <c r="L519" i="8"/>
  <c r="K519" i="8"/>
  <c r="J519" i="8"/>
  <c r="I519" i="8"/>
  <c r="H519" i="8"/>
  <c r="G519" i="8"/>
  <c r="F519" i="8"/>
  <c r="E519" i="8"/>
  <c r="D519" i="8"/>
  <c r="C519" i="8"/>
  <c r="X518" i="8"/>
  <c r="W518" i="8"/>
  <c r="V518" i="8"/>
  <c r="U518" i="8"/>
  <c r="T518" i="8"/>
  <c r="S518" i="8"/>
  <c r="R518" i="8"/>
  <c r="Q518" i="8"/>
  <c r="P518" i="8"/>
  <c r="O518" i="8"/>
  <c r="N518" i="8"/>
  <c r="M518" i="8"/>
  <c r="L518" i="8"/>
  <c r="K518" i="8"/>
  <c r="J518" i="8"/>
  <c r="I518" i="8"/>
  <c r="H518" i="8"/>
  <c r="G518" i="8"/>
  <c r="F518" i="8"/>
  <c r="E518" i="8"/>
  <c r="D518" i="8"/>
  <c r="C518" i="8"/>
  <c r="X517" i="8"/>
  <c r="W517" i="8"/>
  <c r="V517" i="8"/>
  <c r="U517" i="8"/>
  <c r="T517" i="8"/>
  <c r="S517" i="8"/>
  <c r="R517" i="8"/>
  <c r="Q517" i="8"/>
  <c r="P517" i="8"/>
  <c r="O517" i="8"/>
  <c r="N517" i="8"/>
  <c r="M517" i="8"/>
  <c r="L517" i="8"/>
  <c r="K517" i="8"/>
  <c r="J517" i="8"/>
  <c r="I517" i="8"/>
  <c r="H517" i="8"/>
  <c r="G517" i="8"/>
  <c r="F517" i="8"/>
  <c r="E517" i="8"/>
  <c r="D517" i="8"/>
  <c r="C517" i="8"/>
  <c r="X516" i="8"/>
  <c r="W516" i="8"/>
  <c r="V516" i="8"/>
  <c r="U516" i="8"/>
  <c r="T516" i="8"/>
  <c r="S516" i="8"/>
  <c r="R516" i="8"/>
  <c r="Q516" i="8"/>
  <c r="P516" i="8"/>
  <c r="O516" i="8"/>
  <c r="N516" i="8"/>
  <c r="M516" i="8"/>
  <c r="L516" i="8"/>
  <c r="K516" i="8"/>
  <c r="J516" i="8"/>
  <c r="I516" i="8"/>
  <c r="H516" i="8"/>
  <c r="G516" i="8"/>
  <c r="F516" i="8"/>
  <c r="E516" i="8"/>
  <c r="D516" i="8"/>
  <c r="C516" i="8"/>
  <c r="X515" i="8"/>
  <c r="W515" i="8"/>
  <c r="V515" i="8"/>
  <c r="U515" i="8"/>
  <c r="T515" i="8"/>
  <c r="S515" i="8"/>
  <c r="R515" i="8"/>
  <c r="Q515" i="8"/>
  <c r="P515" i="8"/>
  <c r="O515" i="8"/>
  <c r="N515" i="8"/>
  <c r="M515" i="8"/>
  <c r="L515" i="8"/>
  <c r="K515" i="8"/>
  <c r="J515" i="8"/>
  <c r="I515" i="8"/>
  <c r="H515" i="8"/>
  <c r="G515" i="8"/>
  <c r="F515" i="8"/>
  <c r="E515" i="8"/>
  <c r="D515" i="8"/>
  <c r="C515" i="8"/>
  <c r="X512" i="8"/>
  <c r="W512" i="8"/>
  <c r="V512" i="8"/>
  <c r="U512" i="8"/>
  <c r="T512" i="8"/>
  <c r="S512" i="8"/>
  <c r="R512" i="8"/>
  <c r="Q512" i="8"/>
  <c r="P512" i="8"/>
  <c r="O512" i="8"/>
  <c r="N512" i="8"/>
  <c r="M512" i="8"/>
  <c r="L512" i="8"/>
  <c r="K512" i="8"/>
  <c r="J512" i="8"/>
  <c r="I512" i="8"/>
  <c r="H512" i="8"/>
  <c r="G512" i="8"/>
  <c r="F512" i="8"/>
  <c r="E512" i="8"/>
  <c r="D512" i="8"/>
  <c r="C512" i="8"/>
  <c r="X511" i="8"/>
  <c r="AQ511" i="8" s="1"/>
  <c r="AR511" i="8" s="1"/>
  <c r="W511" i="8"/>
  <c r="V511" i="8"/>
  <c r="U511" i="8"/>
  <c r="T511" i="8"/>
  <c r="S511" i="8"/>
  <c r="R511" i="8"/>
  <c r="Q511" i="8"/>
  <c r="P511" i="8"/>
  <c r="O511" i="8"/>
  <c r="N511" i="8"/>
  <c r="M511" i="8"/>
  <c r="L511" i="8"/>
  <c r="K511" i="8"/>
  <c r="J511" i="8"/>
  <c r="I511" i="8"/>
  <c r="H511" i="8"/>
  <c r="G511" i="8"/>
  <c r="F511" i="8"/>
  <c r="E511" i="8"/>
  <c r="D511" i="8"/>
  <c r="C511" i="8"/>
  <c r="X509" i="8"/>
  <c r="W509" i="8"/>
  <c r="V509" i="8"/>
  <c r="U509" i="8"/>
  <c r="T509" i="8"/>
  <c r="S509" i="8"/>
  <c r="R509" i="8"/>
  <c r="Q509" i="8"/>
  <c r="P509" i="8"/>
  <c r="O509" i="8"/>
  <c r="N509" i="8"/>
  <c r="M509" i="8"/>
  <c r="L509" i="8"/>
  <c r="K509" i="8"/>
  <c r="J509" i="8"/>
  <c r="I509" i="8"/>
  <c r="H509" i="8"/>
  <c r="G509" i="8"/>
  <c r="F509" i="8"/>
  <c r="E509" i="8"/>
  <c r="D509" i="8"/>
  <c r="C509" i="8"/>
  <c r="X508" i="8"/>
  <c r="W508" i="8"/>
  <c r="V508" i="8"/>
  <c r="U508" i="8"/>
  <c r="T508" i="8"/>
  <c r="S508" i="8"/>
  <c r="R508" i="8"/>
  <c r="Q508" i="8"/>
  <c r="P508" i="8"/>
  <c r="O508" i="8"/>
  <c r="N508" i="8"/>
  <c r="M508" i="8"/>
  <c r="L508" i="8"/>
  <c r="K508" i="8"/>
  <c r="J508" i="8"/>
  <c r="I508" i="8"/>
  <c r="H508" i="8"/>
  <c r="G508" i="8"/>
  <c r="F508" i="8"/>
  <c r="E508" i="8"/>
  <c r="D508" i="8"/>
  <c r="C508" i="8"/>
  <c r="X503" i="8"/>
  <c r="W503" i="8"/>
  <c r="V503" i="8"/>
  <c r="U503" i="8"/>
  <c r="T503" i="8"/>
  <c r="S503" i="8"/>
  <c r="R503" i="8"/>
  <c r="Q503" i="8"/>
  <c r="P503" i="8"/>
  <c r="O503" i="8"/>
  <c r="N503" i="8"/>
  <c r="M503" i="8"/>
  <c r="L503" i="8"/>
  <c r="K503" i="8"/>
  <c r="J503" i="8"/>
  <c r="I503" i="8"/>
  <c r="H503" i="8"/>
  <c r="G503" i="8"/>
  <c r="F503" i="8"/>
  <c r="E503" i="8"/>
  <c r="D503" i="8"/>
  <c r="C503" i="8"/>
  <c r="X502" i="8"/>
  <c r="W502" i="8"/>
  <c r="V502" i="8"/>
  <c r="U502" i="8"/>
  <c r="T502" i="8"/>
  <c r="S502" i="8"/>
  <c r="R502" i="8"/>
  <c r="Q502" i="8"/>
  <c r="P502" i="8"/>
  <c r="O502" i="8"/>
  <c r="N502" i="8"/>
  <c r="M502" i="8"/>
  <c r="L502" i="8"/>
  <c r="K502" i="8"/>
  <c r="J502" i="8"/>
  <c r="I502" i="8"/>
  <c r="H502" i="8"/>
  <c r="G502" i="8"/>
  <c r="F502" i="8"/>
  <c r="E502" i="8"/>
  <c r="D502" i="8"/>
  <c r="C502" i="8"/>
  <c r="X501" i="8"/>
  <c r="W501" i="8"/>
  <c r="V501" i="8"/>
  <c r="U501" i="8"/>
  <c r="T501" i="8"/>
  <c r="S501" i="8"/>
  <c r="R501" i="8"/>
  <c r="Q501" i="8"/>
  <c r="P501" i="8"/>
  <c r="O501" i="8"/>
  <c r="N501" i="8"/>
  <c r="M501" i="8"/>
  <c r="L501" i="8"/>
  <c r="K501" i="8"/>
  <c r="J501" i="8"/>
  <c r="I501" i="8"/>
  <c r="H501" i="8"/>
  <c r="G501" i="8"/>
  <c r="F501" i="8"/>
  <c r="E501" i="8"/>
  <c r="D501" i="8"/>
  <c r="C501" i="8"/>
  <c r="X500" i="8"/>
  <c r="W500" i="8"/>
  <c r="V500" i="8"/>
  <c r="U500" i="8"/>
  <c r="T500" i="8"/>
  <c r="S500" i="8"/>
  <c r="R500" i="8"/>
  <c r="Q500" i="8"/>
  <c r="P500" i="8"/>
  <c r="O500" i="8"/>
  <c r="N500" i="8"/>
  <c r="M500" i="8"/>
  <c r="L500" i="8"/>
  <c r="K500" i="8"/>
  <c r="J500" i="8"/>
  <c r="I500" i="8"/>
  <c r="H500" i="8"/>
  <c r="G500" i="8"/>
  <c r="F500" i="8"/>
  <c r="E500" i="8"/>
  <c r="D500" i="8"/>
  <c r="C500" i="8"/>
  <c r="X498" i="8"/>
  <c r="W498" i="8"/>
  <c r="V498" i="8"/>
  <c r="U498" i="8"/>
  <c r="T498" i="8"/>
  <c r="S498" i="8"/>
  <c r="R498" i="8"/>
  <c r="Q498" i="8"/>
  <c r="P498" i="8"/>
  <c r="O498" i="8"/>
  <c r="N498" i="8"/>
  <c r="M498" i="8"/>
  <c r="L498" i="8"/>
  <c r="K498" i="8"/>
  <c r="J498" i="8"/>
  <c r="I498" i="8"/>
  <c r="H498" i="8"/>
  <c r="G498" i="8"/>
  <c r="F498" i="8"/>
  <c r="E498" i="8"/>
  <c r="D498" i="8"/>
  <c r="C498" i="8"/>
  <c r="X497" i="8"/>
  <c r="W497" i="8"/>
  <c r="V497" i="8"/>
  <c r="U497" i="8"/>
  <c r="T497" i="8"/>
  <c r="S497" i="8"/>
  <c r="R497" i="8"/>
  <c r="Q497" i="8"/>
  <c r="P497" i="8"/>
  <c r="O497" i="8"/>
  <c r="N497" i="8"/>
  <c r="M497" i="8"/>
  <c r="L497" i="8"/>
  <c r="K497" i="8"/>
  <c r="J497" i="8"/>
  <c r="I497" i="8"/>
  <c r="H497" i="8"/>
  <c r="G497" i="8"/>
  <c r="F497" i="8"/>
  <c r="E497" i="8"/>
  <c r="D497" i="8"/>
  <c r="C497" i="8"/>
  <c r="X496" i="8"/>
  <c r="W496" i="8"/>
  <c r="V496" i="8"/>
  <c r="U496" i="8"/>
  <c r="T496" i="8"/>
  <c r="S496" i="8"/>
  <c r="R496" i="8"/>
  <c r="Q496" i="8"/>
  <c r="P496" i="8"/>
  <c r="O496" i="8"/>
  <c r="N496" i="8"/>
  <c r="M496" i="8"/>
  <c r="L496" i="8"/>
  <c r="K496" i="8"/>
  <c r="J496" i="8"/>
  <c r="I496" i="8"/>
  <c r="H496" i="8"/>
  <c r="G496" i="8"/>
  <c r="F496" i="8"/>
  <c r="E496" i="8"/>
  <c r="D496" i="8"/>
  <c r="C496" i="8"/>
  <c r="X495" i="8"/>
  <c r="W495" i="8"/>
  <c r="V495" i="8"/>
  <c r="U495" i="8"/>
  <c r="T495" i="8"/>
  <c r="S495" i="8"/>
  <c r="R495" i="8"/>
  <c r="Q495" i="8"/>
  <c r="P495" i="8"/>
  <c r="O495" i="8"/>
  <c r="N495" i="8"/>
  <c r="M495" i="8"/>
  <c r="L495" i="8"/>
  <c r="K495" i="8"/>
  <c r="J495" i="8"/>
  <c r="I495" i="8"/>
  <c r="H495" i="8"/>
  <c r="G495" i="8"/>
  <c r="F495" i="8"/>
  <c r="E495" i="8"/>
  <c r="D495" i="8"/>
  <c r="C495" i="8"/>
  <c r="X494" i="8"/>
  <c r="W494" i="8"/>
  <c r="V494" i="8"/>
  <c r="U494" i="8"/>
  <c r="T494" i="8"/>
  <c r="S494" i="8"/>
  <c r="R494" i="8"/>
  <c r="Q494" i="8"/>
  <c r="P494" i="8"/>
  <c r="O494" i="8"/>
  <c r="N494" i="8"/>
  <c r="M494" i="8"/>
  <c r="L494" i="8"/>
  <c r="K494" i="8"/>
  <c r="J494" i="8"/>
  <c r="I494" i="8"/>
  <c r="H494" i="8"/>
  <c r="G494" i="8"/>
  <c r="F494" i="8"/>
  <c r="E494" i="8"/>
  <c r="D494" i="8"/>
  <c r="C494" i="8"/>
  <c r="X493" i="8"/>
  <c r="W493" i="8"/>
  <c r="V493" i="8"/>
  <c r="U493" i="8"/>
  <c r="T493" i="8"/>
  <c r="S493" i="8"/>
  <c r="R493" i="8"/>
  <c r="Q493" i="8"/>
  <c r="P493" i="8"/>
  <c r="O493" i="8"/>
  <c r="N493" i="8"/>
  <c r="M493" i="8"/>
  <c r="L493" i="8"/>
  <c r="K493" i="8"/>
  <c r="J493" i="8"/>
  <c r="I493" i="8"/>
  <c r="H493" i="8"/>
  <c r="G493" i="8"/>
  <c r="F493" i="8"/>
  <c r="E493" i="8"/>
  <c r="D493" i="8"/>
  <c r="C493" i="8"/>
  <c r="X491" i="8"/>
  <c r="W491" i="8"/>
  <c r="V491" i="8"/>
  <c r="U491" i="8"/>
  <c r="T491" i="8"/>
  <c r="S491" i="8"/>
  <c r="R491" i="8"/>
  <c r="Q491" i="8"/>
  <c r="P491" i="8"/>
  <c r="O491" i="8"/>
  <c r="N491" i="8"/>
  <c r="M491" i="8"/>
  <c r="L491" i="8"/>
  <c r="K491" i="8"/>
  <c r="J491" i="8"/>
  <c r="I491" i="8"/>
  <c r="H491" i="8"/>
  <c r="G491" i="8"/>
  <c r="F491" i="8"/>
  <c r="E491" i="8"/>
  <c r="D491" i="8"/>
  <c r="C491" i="8"/>
  <c r="X490" i="8"/>
  <c r="W490" i="8"/>
  <c r="V490" i="8"/>
  <c r="U490" i="8"/>
  <c r="T490" i="8"/>
  <c r="S490" i="8"/>
  <c r="R490" i="8"/>
  <c r="Q490" i="8"/>
  <c r="P490" i="8"/>
  <c r="O490" i="8"/>
  <c r="N490" i="8"/>
  <c r="M490" i="8"/>
  <c r="L490" i="8"/>
  <c r="K490" i="8"/>
  <c r="J490" i="8"/>
  <c r="I490" i="8"/>
  <c r="H490" i="8"/>
  <c r="G490" i="8"/>
  <c r="F490" i="8"/>
  <c r="E490" i="8"/>
  <c r="D490" i="8"/>
  <c r="C490" i="8"/>
  <c r="X489" i="8"/>
  <c r="W489" i="8"/>
  <c r="V489" i="8"/>
  <c r="U489" i="8"/>
  <c r="T489" i="8"/>
  <c r="S489" i="8"/>
  <c r="R489" i="8"/>
  <c r="Q489" i="8"/>
  <c r="P489" i="8"/>
  <c r="O489" i="8"/>
  <c r="N489" i="8"/>
  <c r="M489" i="8"/>
  <c r="L489" i="8"/>
  <c r="K489" i="8"/>
  <c r="J489" i="8"/>
  <c r="I489" i="8"/>
  <c r="H489" i="8"/>
  <c r="G489" i="8"/>
  <c r="F489" i="8"/>
  <c r="E489" i="8"/>
  <c r="D489" i="8"/>
  <c r="C489" i="8"/>
  <c r="X488" i="8"/>
  <c r="W488" i="8"/>
  <c r="V488" i="8"/>
  <c r="U488" i="8"/>
  <c r="T488" i="8"/>
  <c r="S488" i="8"/>
  <c r="R488" i="8"/>
  <c r="Q488" i="8"/>
  <c r="P488" i="8"/>
  <c r="O488" i="8"/>
  <c r="N488" i="8"/>
  <c r="M488" i="8"/>
  <c r="L488" i="8"/>
  <c r="K488" i="8"/>
  <c r="J488" i="8"/>
  <c r="I488" i="8"/>
  <c r="H488" i="8"/>
  <c r="G488" i="8"/>
  <c r="F488" i="8"/>
  <c r="E488" i="8"/>
  <c r="D488" i="8"/>
  <c r="C488" i="8"/>
  <c r="X487" i="8"/>
  <c r="W487" i="8"/>
  <c r="V487" i="8"/>
  <c r="U487" i="8"/>
  <c r="T487" i="8"/>
  <c r="S487" i="8"/>
  <c r="R487" i="8"/>
  <c r="Q487" i="8"/>
  <c r="P487" i="8"/>
  <c r="O487" i="8"/>
  <c r="N487" i="8"/>
  <c r="M487" i="8"/>
  <c r="L487" i="8"/>
  <c r="K487" i="8"/>
  <c r="J487" i="8"/>
  <c r="I487" i="8"/>
  <c r="H487" i="8"/>
  <c r="G487" i="8"/>
  <c r="F487" i="8"/>
  <c r="E487" i="8"/>
  <c r="D487" i="8"/>
  <c r="C487" i="8"/>
  <c r="X486" i="8"/>
  <c r="W486" i="8"/>
  <c r="V486" i="8"/>
  <c r="U486" i="8"/>
  <c r="T486" i="8"/>
  <c r="S486" i="8"/>
  <c r="R486" i="8"/>
  <c r="Q486" i="8"/>
  <c r="P486" i="8"/>
  <c r="O486" i="8"/>
  <c r="N486" i="8"/>
  <c r="M486" i="8"/>
  <c r="L486" i="8"/>
  <c r="K486" i="8"/>
  <c r="J486" i="8"/>
  <c r="I486" i="8"/>
  <c r="H486" i="8"/>
  <c r="G486" i="8"/>
  <c r="F486" i="8"/>
  <c r="E486" i="8"/>
  <c r="D486" i="8"/>
  <c r="C486" i="8"/>
  <c r="X483" i="8"/>
  <c r="W483" i="8"/>
  <c r="V483" i="8"/>
  <c r="U483" i="8"/>
  <c r="T483" i="8"/>
  <c r="S483" i="8"/>
  <c r="R483" i="8"/>
  <c r="Q483" i="8"/>
  <c r="P483" i="8"/>
  <c r="O483" i="8"/>
  <c r="N483" i="8"/>
  <c r="M483" i="8"/>
  <c r="L483" i="8"/>
  <c r="K483" i="8"/>
  <c r="J483" i="8"/>
  <c r="I483" i="8"/>
  <c r="H483" i="8"/>
  <c r="G483" i="8"/>
  <c r="F483" i="8"/>
  <c r="E483" i="8"/>
  <c r="D483" i="8"/>
  <c r="C483" i="8"/>
  <c r="X482" i="8"/>
  <c r="W482" i="8"/>
  <c r="V482" i="8"/>
  <c r="U482" i="8"/>
  <c r="T482" i="8"/>
  <c r="S482" i="8"/>
  <c r="R482" i="8"/>
  <c r="Q482" i="8"/>
  <c r="P482" i="8"/>
  <c r="O482" i="8"/>
  <c r="N482" i="8"/>
  <c r="M482" i="8"/>
  <c r="L482" i="8"/>
  <c r="K482" i="8"/>
  <c r="J482" i="8"/>
  <c r="I482" i="8"/>
  <c r="H482" i="8"/>
  <c r="G482" i="8"/>
  <c r="F482" i="8"/>
  <c r="E482" i="8"/>
  <c r="D482" i="8"/>
  <c r="C482" i="8"/>
  <c r="X480" i="8"/>
  <c r="W480" i="8"/>
  <c r="V480" i="8"/>
  <c r="U480" i="8"/>
  <c r="T480" i="8"/>
  <c r="S480" i="8"/>
  <c r="R480" i="8"/>
  <c r="Q480" i="8"/>
  <c r="P480" i="8"/>
  <c r="O480" i="8"/>
  <c r="N480" i="8"/>
  <c r="M480" i="8"/>
  <c r="L480" i="8"/>
  <c r="K480" i="8"/>
  <c r="J480" i="8"/>
  <c r="I480" i="8"/>
  <c r="H480" i="8"/>
  <c r="G480" i="8"/>
  <c r="F480" i="8"/>
  <c r="E480" i="8"/>
  <c r="D480" i="8"/>
  <c r="C480" i="8"/>
  <c r="X479" i="8"/>
  <c r="AQ479" i="8" s="1"/>
  <c r="AR479" i="8" s="1"/>
  <c r="W479" i="8"/>
  <c r="V479" i="8"/>
  <c r="U479" i="8"/>
  <c r="T479" i="8"/>
  <c r="S479" i="8"/>
  <c r="R479" i="8"/>
  <c r="Q479" i="8"/>
  <c r="P479" i="8"/>
  <c r="O479" i="8"/>
  <c r="N479" i="8"/>
  <c r="M479" i="8"/>
  <c r="L479" i="8"/>
  <c r="K479" i="8"/>
  <c r="J479" i="8"/>
  <c r="I479" i="8"/>
  <c r="H479" i="8"/>
  <c r="G479" i="8"/>
  <c r="F479" i="8"/>
  <c r="E479" i="8"/>
  <c r="D479" i="8"/>
  <c r="C479" i="8"/>
  <c r="X477" i="8"/>
  <c r="W477" i="8"/>
  <c r="V477" i="8"/>
  <c r="U477" i="8"/>
  <c r="T477" i="8"/>
  <c r="S477" i="8"/>
  <c r="R477" i="8"/>
  <c r="Q477" i="8"/>
  <c r="P477" i="8"/>
  <c r="O477" i="8"/>
  <c r="N477" i="8"/>
  <c r="M477" i="8"/>
  <c r="L477" i="8"/>
  <c r="K477" i="8"/>
  <c r="J477" i="8"/>
  <c r="I477" i="8"/>
  <c r="H477" i="8"/>
  <c r="G477" i="8"/>
  <c r="F477" i="8"/>
  <c r="E477" i="8"/>
  <c r="D477" i="8"/>
  <c r="C477" i="8"/>
  <c r="X476" i="8"/>
  <c r="W476" i="8"/>
  <c r="V476" i="8"/>
  <c r="U476" i="8"/>
  <c r="T476" i="8"/>
  <c r="S476" i="8"/>
  <c r="R476" i="8"/>
  <c r="Q476" i="8"/>
  <c r="P476" i="8"/>
  <c r="O476" i="8"/>
  <c r="N476" i="8"/>
  <c r="M476" i="8"/>
  <c r="L476" i="8"/>
  <c r="K476" i="8"/>
  <c r="J476" i="8"/>
  <c r="I476" i="8"/>
  <c r="H476" i="8"/>
  <c r="G476" i="8"/>
  <c r="F476" i="8"/>
  <c r="E476" i="8"/>
  <c r="D476" i="8"/>
  <c r="C476" i="8"/>
  <c r="X475" i="8"/>
  <c r="W475" i="8"/>
  <c r="V475" i="8"/>
  <c r="U475" i="8"/>
  <c r="T475" i="8"/>
  <c r="S475" i="8"/>
  <c r="R475" i="8"/>
  <c r="Q475" i="8"/>
  <c r="P475" i="8"/>
  <c r="O475" i="8"/>
  <c r="N475" i="8"/>
  <c r="M475" i="8"/>
  <c r="L475" i="8"/>
  <c r="K475" i="8"/>
  <c r="J475" i="8"/>
  <c r="I475" i="8"/>
  <c r="H475" i="8"/>
  <c r="G475" i="8"/>
  <c r="F475" i="8"/>
  <c r="E475" i="8"/>
  <c r="D475" i="8"/>
  <c r="C475" i="8"/>
  <c r="X468" i="8"/>
  <c r="W468" i="8"/>
  <c r="V468" i="8"/>
  <c r="U468" i="8"/>
  <c r="T468" i="8"/>
  <c r="S468" i="8"/>
  <c r="R468" i="8"/>
  <c r="Q468" i="8"/>
  <c r="P468" i="8"/>
  <c r="O468" i="8"/>
  <c r="N468" i="8"/>
  <c r="M468" i="8"/>
  <c r="L468" i="8"/>
  <c r="K468" i="8"/>
  <c r="J468" i="8"/>
  <c r="I468" i="8"/>
  <c r="H468" i="8"/>
  <c r="G468" i="8"/>
  <c r="F468" i="8"/>
  <c r="E468" i="8"/>
  <c r="D468" i="8"/>
  <c r="C468" i="8"/>
  <c r="X467" i="8"/>
  <c r="W467" i="8"/>
  <c r="V467" i="8"/>
  <c r="U467" i="8"/>
  <c r="T467" i="8"/>
  <c r="S467" i="8"/>
  <c r="R467" i="8"/>
  <c r="Q467" i="8"/>
  <c r="P467" i="8"/>
  <c r="O467" i="8"/>
  <c r="N467" i="8"/>
  <c r="M467" i="8"/>
  <c r="L467" i="8"/>
  <c r="K467" i="8"/>
  <c r="J467" i="8"/>
  <c r="I467" i="8"/>
  <c r="H467" i="8"/>
  <c r="G467" i="8"/>
  <c r="F467" i="8"/>
  <c r="E467" i="8"/>
  <c r="D467" i="8"/>
  <c r="C467" i="8"/>
  <c r="X466" i="8"/>
  <c r="W466" i="8"/>
  <c r="V466" i="8"/>
  <c r="U466" i="8"/>
  <c r="T466" i="8"/>
  <c r="S466" i="8"/>
  <c r="R466" i="8"/>
  <c r="Q466" i="8"/>
  <c r="P466" i="8"/>
  <c r="O466" i="8"/>
  <c r="N466" i="8"/>
  <c r="M466" i="8"/>
  <c r="L466" i="8"/>
  <c r="K466" i="8"/>
  <c r="J466" i="8"/>
  <c r="I466" i="8"/>
  <c r="H466" i="8"/>
  <c r="G466" i="8"/>
  <c r="F466" i="8"/>
  <c r="E466" i="8"/>
  <c r="D466" i="8"/>
  <c r="C466" i="8"/>
  <c r="X463" i="8"/>
  <c r="W463" i="8"/>
  <c r="V463" i="8"/>
  <c r="U463" i="8"/>
  <c r="T463" i="8"/>
  <c r="S463" i="8"/>
  <c r="R463" i="8"/>
  <c r="Q463" i="8"/>
  <c r="P463" i="8"/>
  <c r="O463" i="8"/>
  <c r="N463" i="8"/>
  <c r="M463" i="8"/>
  <c r="L463" i="8"/>
  <c r="K463" i="8"/>
  <c r="J463" i="8"/>
  <c r="I463" i="8"/>
  <c r="H463" i="8"/>
  <c r="G463" i="8"/>
  <c r="F463" i="8"/>
  <c r="E463" i="8"/>
  <c r="D463" i="8"/>
  <c r="C463" i="8"/>
  <c r="X461" i="8"/>
  <c r="W461" i="8"/>
  <c r="V461" i="8"/>
  <c r="U461" i="8"/>
  <c r="T461" i="8"/>
  <c r="S461" i="8"/>
  <c r="R461" i="8"/>
  <c r="Q461" i="8"/>
  <c r="P461" i="8"/>
  <c r="O461" i="8"/>
  <c r="N461" i="8"/>
  <c r="M461" i="8"/>
  <c r="L461" i="8"/>
  <c r="K461" i="8"/>
  <c r="J461" i="8"/>
  <c r="I461" i="8"/>
  <c r="H461" i="8"/>
  <c r="G461" i="8"/>
  <c r="F461" i="8"/>
  <c r="E461" i="8"/>
  <c r="D461" i="8"/>
  <c r="C461" i="8"/>
  <c r="X460" i="8"/>
  <c r="W460" i="8"/>
  <c r="V460" i="8"/>
  <c r="U460" i="8"/>
  <c r="T460" i="8"/>
  <c r="S460" i="8"/>
  <c r="R460" i="8"/>
  <c r="Q460" i="8"/>
  <c r="P460" i="8"/>
  <c r="O460" i="8"/>
  <c r="N460" i="8"/>
  <c r="M460" i="8"/>
  <c r="L460" i="8"/>
  <c r="K460" i="8"/>
  <c r="J460" i="8"/>
  <c r="I460" i="8"/>
  <c r="H460" i="8"/>
  <c r="G460" i="8"/>
  <c r="F460" i="8"/>
  <c r="E460" i="8"/>
  <c r="D460" i="8"/>
  <c r="C460" i="8"/>
  <c r="X459" i="8"/>
  <c r="AQ459" i="8" s="1"/>
  <c r="AR459" i="8" s="1"/>
  <c r="W459" i="8"/>
  <c r="V459" i="8"/>
  <c r="U459" i="8"/>
  <c r="T459" i="8"/>
  <c r="S459" i="8"/>
  <c r="R459" i="8"/>
  <c r="Q459" i="8"/>
  <c r="P459" i="8"/>
  <c r="O459" i="8"/>
  <c r="N459" i="8"/>
  <c r="M459" i="8"/>
  <c r="L459" i="8"/>
  <c r="K459" i="8"/>
  <c r="J459" i="8"/>
  <c r="I459" i="8"/>
  <c r="H459" i="8"/>
  <c r="G459" i="8"/>
  <c r="F459" i="8"/>
  <c r="E459" i="8"/>
  <c r="D459" i="8"/>
  <c r="C459" i="8"/>
  <c r="X458" i="8"/>
  <c r="W458" i="8"/>
  <c r="V458" i="8"/>
  <c r="U458" i="8"/>
  <c r="T458" i="8"/>
  <c r="S458" i="8"/>
  <c r="R458" i="8"/>
  <c r="Q458" i="8"/>
  <c r="P458" i="8"/>
  <c r="O458" i="8"/>
  <c r="N458" i="8"/>
  <c r="M458" i="8"/>
  <c r="L458" i="8"/>
  <c r="K458" i="8"/>
  <c r="J458" i="8"/>
  <c r="I458" i="8"/>
  <c r="H458" i="8"/>
  <c r="G458" i="8"/>
  <c r="F458" i="8"/>
  <c r="E458" i="8"/>
  <c r="D458" i="8"/>
  <c r="C458" i="8"/>
  <c r="X456" i="8"/>
  <c r="W456" i="8"/>
  <c r="V456" i="8"/>
  <c r="U456" i="8"/>
  <c r="T456" i="8"/>
  <c r="S456" i="8"/>
  <c r="R456" i="8"/>
  <c r="Q456" i="8"/>
  <c r="P456" i="8"/>
  <c r="O456" i="8"/>
  <c r="N456" i="8"/>
  <c r="M456" i="8"/>
  <c r="L456" i="8"/>
  <c r="K456" i="8"/>
  <c r="J456" i="8"/>
  <c r="I456" i="8"/>
  <c r="H456" i="8"/>
  <c r="G456" i="8"/>
  <c r="F456" i="8"/>
  <c r="E456" i="8"/>
  <c r="D456" i="8"/>
  <c r="C456" i="8"/>
  <c r="X455" i="8"/>
  <c r="W455" i="8"/>
  <c r="V455" i="8"/>
  <c r="U455" i="8"/>
  <c r="T455" i="8"/>
  <c r="S455" i="8"/>
  <c r="R455" i="8"/>
  <c r="Q455" i="8"/>
  <c r="P455" i="8"/>
  <c r="O455" i="8"/>
  <c r="N455" i="8"/>
  <c r="M455" i="8"/>
  <c r="L455" i="8"/>
  <c r="K455" i="8"/>
  <c r="J455" i="8"/>
  <c r="I455" i="8"/>
  <c r="H455" i="8"/>
  <c r="G455" i="8"/>
  <c r="F455" i="8"/>
  <c r="E455" i="8"/>
  <c r="D455" i="8"/>
  <c r="C455" i="8"/>
  <c r="X454" i="8"/>
  <c r="W454" i="8"/>
  <c r="V454" i="8"/>
  <c r="U454" i="8"/>
  <c r="T454" i="8"/>
  <c r="S454" i="8"/>
  <c r="R454" i="8"/>
  <c r="Q454" i="8"/>
  <c r="P454" i="8"/>
  <c r="O454" i="8"/>
  <c r="N454" i="8"/>
  <c r="M454" i="8"/>
  <c r="L454" i="8"/>
  <c r="K454" i="8"/>
  <c r="J454" i="8"/>
  <c r="I454" i="8"/>
  <c r="H454" i="8"/>
  <c r="G454" i="8"/>
  <c r="F454" i="8"/>
  <c r="E454" i="8"/>
  <c r="D454" i="8"/>
  <c r="C454" i="8"/>
  <c r="X453" i="8"/>
  <c r="W453" i="8"/>
  <c r="V453" i="8"/>
  <c r="U453" i="8"/>
  <c r="T453" i="8"/>
  <c r="S453" i="8"/>
  <c r="R453" i="8"/>
  <c r="Q453" i="8"/>
  <c r="P453" i="8"/>
  <c r="O453" i="8"/>
  <c r="N453" i="8"/>
  <c r="M453" i="8"/>
  <c r="L453" i="8"/>
  <c r="K453" i="8"/>
  <c r="J453" i="8"/>
  <c r="I453" i="8"/>
  <c r="H453" i="8"/>
  <c r="G453" i="8"/>
  <c r="F453" i="8"/>
  <c r="E453" i="8"/>
  <c r="D453" i="8"/>
  <c r="C453" i="8"/>
  <c r="X452" i="8"/>
  <c r="W452" i="8"/>
  <c r="V452" i="8"/>
  <c r="U452" i="8"/>
  <c r="T452" i="8"/>
  <c r="S452" i="8"/>
  <c r="R452" i="8"/>
  <c r="Q452" i="8"/>
  <c r="P452" i="8"/>
  <c r="O452" i="8"/>
  <c r="N452" i="8"/>
  <c r="M452" i="8"/>
  <c r="L452" i="8"/>
  <c r="K452" i="8"/>
  <c r="J452" i="8"/>
  <c r="I452" i="8"/>
  <c r="H452" i="8"/>
  <c r="G452" i="8"/>
  <c r="F452" i="8"/>
  <c r="E452" i="8"/>
  <c r="D452" i="8"/>
  <c r="C452" i="8"/>
  <c r="X451" i="8"/>
  <c r="W451" i="8"/>
  <c r="V451" i="8"/>
  <c r="U451" i="8"/>
  <c r="T451" i="8"/>
  <c r="S451" i="8"/>
  <c r="R451" i="8"/>
  <c r="Q451" i="8"/>
  <c r="P451" i="8"/>
  <c r="O451" i="8"/>
  <c r="N451" i="8"/>
  <c r="M451" i="8"/>
  <c r="L451" i="8"/>
  <c r="K451" i="8"/>
  <c r="J451" i="8"/>
  <c r="I451" i="8"/>
  <c r="H451" i="8"/>
  <c r="G451" i="8"/>
  <c r="F451" i="8"/>
  <c r="E451" i="8"/>
  <c r="D451" i="8"/>
  <c r="C451" i="8"/>
  <c r="X449" i="8"/>
  <c r="W449" i="8"/>
  <c r="V449" i="8"/>
  <c r="U449" i="8"/>
  <c r="T449" i="8"/>
  <c r="S449" i="8"/>
  <c r="R449" i="8"/>
  <c r="Q449" i="8"/>
  <c r="P449" i="8"/>
  <c r="O449" i="8"/>
  <c r="N449" i="8"/>
  <c r="M449" i="8"/>
  <c r="L449" i="8"/>
  <c r="K449" i="8"/>
  <c r="J449" i="8"/>
  <c r="I449" i="8"/>
  <c r="H449" i="8"/>
  <c r="G449" i="8"/>
  <c r="F449" i="8"/>
  <c r="E449" i="8"/>
  <c r="D449" i="8"/>
  <c r="C449" i="8"/>
  <c r="X448" i="8"/>
  <c r="W448" i="8"/>
  <c r="V448" i="8"/>
  <c r="U448" i="8"/>
  <c r="T448" i="8"/>
  <c r="S448" i="8"/>
  <c r="R448" i="8"/>
  <c r="Q448" i="8"/>
  <c r="P448" i="8"/>
  <c r="O448" i="8"/>
  <c r="N448" i="8"/>
  <c r="M448" i="8"/>
  <c r="L448" i="8"/>
  <c r="K448" i="8"/>
  <c r="J448" i="8"/>
  <c r="I448" i="8"/>
  <c r="H448" i="8"/>
  <c r="G448" i="8"/>
  <c r="F448" i="8"/>
  <c r="E448" i="8"/>
  <c r="D448" i="8"/>
  <c r="C448" i="8"/>
  <c r="X447" i="8"/>
  <c r="W447" i="8"/>
  <c r="V447" i="8"/>
  <c r="U447" i="8"/>
  <c r="T447" i="8"/>
  <c r="S447" i="8"/>
  <c r="R447" i="8"/>
  <c r="Q447" i="8"/>
  <c r="P447" i="8"/>
  <c r="O447" i="8"/>
  <c r="N447" i="8"/>
  <c r="M447" i="8"/>
  <c r="L447" i="8"/>
  <c r="K447" i="8"/>
  <c r="J447" i="8"/>
  <c r="I447" i="8"/>
  <c r="H447" i="8"/>
  <c r="G447" i="8"/>
  <c r="F447" i="8"/>
  <c r="E447" i="8"/>
  <c r="D447" i="8"/>
  <c r="C447" i="8"/>
  <c r="X446" i="8"/>
  <c r="W446" i="8"/>
  <c r="V446" i="8"/>
  <c r="U446" i="8"/>
  <c r="T446" i="8"/>
  <c r="S446" i="8"/>
  <c r="R446" i="8"/>
  <c r="Q446" i="8"/>
  <c r="P446" i="8"/>
  <c r="O446" i="8"/>
  <c r="N446" i="8"/>
  <c r="M446" i="8"/>
  <c r="L446" i="8"/>
  <c r="K446" i="8"/>
  <c r="J446" i="8"/>
  <c r="I446" i="8"/>
  <c r="H446" i="8"/>
  <c r="G446" i="8"/>
  <c r="F446" i="8"/>
  <c r="E446" i="8"/>
  <c r="D446" i="8"/>
  <c r="C446" i="8"/>
  <c r="X445" i="8"/>
  <c r="W445" i="8"/>
  <c r="V445" i="8"/>
  <c r="U445" i="8"/>
  <c r="T445" i="8"/>
  <c r="S445" i="8"/>
  <c r="R445" i="8"/>
  <c r="Q445" i="8"/>
  <c r="P445" i="8"/>
  <c r="O445" i="8"/>
  <c r="N445" i="8"/>
  <c r="M445" i="8"/>
  <c r="L445" i="8"/>
  <c r="K445" i="8"/>
  <c r="J445" i="8"/>
  <c r="I445" i="8"/>
  <c r="H445" i="8"/>
  <c r="G445" i="8"/>
  <c r="F445" i="8"/>
  <c r="E445" i="8"/>
  <c r="D445" i="8"/>
  <c r="C445" i="8"/>
  <c r="X444" i="8"/>
  <c r="W444" i="8"/>
  <c r="V444" i="8"/>
  <c r="U444" i="8"/>
  <c r="T444" i="8"/>
  <c r="S444" i="8"/>
  <c r="R444" i="8"/>
  <c r="Q444" i="8"/>
  <c r="P444" i="8"/>
  <c r="O444" i="8"/>
  <c r="N444" i="8"/>
  <c r="M444" i="8"/>
  <c r="L444" i="8"/>
  <c r="K444" i="8"/>
  <c r="J444" i="8"/>
  <c r="I444" i="8"/>
  <c r="H444" i="8"/>
  <c r="G444" i="8"/>
  <c r="F444" i="8"/>
  <c r="E444" i="8"/>
  <c r="D444" i="8"/>
  <c r="C444" i="8"/>
  <c r="X442" i="8"/>
  <c r="W442" i="8"/>
  <c r="V442" i="8"/>
  <c r="U442" i="8"/>
  <c r="T442" i="8"/>
  <c r="S442" i="8"/>
  <c r="R442" i="8"/>
  <c r="Q442" i="8"/>
  <c r="P442" i="8"/>
  <c r="O442" i="8"/>
  <c r="N442" i="8"/>
  <c r="M442" i="8"/>
  <c r="L442" i="8"/>
  <c r="K442" i="8"/>
  <c r="J442" i="8"/>
  <c r="I442" i="8"/>
  <c r="H442" i="8"/>
  <c r="G442" i="8"/>
  <c r="F442" i="8"/>
  <c r="E442" i="8"/>
  <c r="D442" i="8"/>
  <c r="C442" i="8"/>
  <c r="X441" i="8"/>
  <c r="W441" i="8"/>
  <c r="V441" i="8"/>
  <c r="U441" i="8"/>
  <c r="T441" i="8"/>
  <c r="S441" i="8"/>
  <c r="R441" i="8"/>
  <c r="Q441" i="8"/>
  <c r="P441" i="8"/>
  <c r="O441" i="8"/>
  <c r="N441" i="8"/>
  <c r="M441" i="8"/>
  <c r="L441" i="8"/>
  <c r="K441" i="8"/>
  <c r="J441" i="8"/>
  <c r="I441" i="8"/>
  <c r="H441" i="8"/>
  <c r="G441" i="8"/>
  <c r="F441" i="8"/>
  <c r="E441" i="8"/>
  <c r="D441" i="8"/>
  <c r="C441" i="8"/>
  <c r="X440" i="8"/>
  <c r="W440" i="8"/>
  <c r="V440" i="8"/>
  <c r="U440" i="8"/>
  <c r="T440" i="8"/>
  <c r="S440" i="8"/>
  <c r="R440" i="8"/>
  <c r="Q440" i="8"/>
  <c r="P440" i="8"/>
  <c r="O440" i="8"/>
  <c r="N440" i="8"/>
  <c r="M440" i="8"/>
  <c r="L440" i="8"/>
  <c r="K440" i="8"/>
  <c r="J440" i="8"/>
  <c r="I440" i="8"/>
  <c r="H440" i="8"/>
  <c r="G440" i="8"/>
  <c r="F440" i="8"/>
  <c r="E440" i="8"/>
  <c r="D440" i="8"/>
  <c r="C440" i="8"/>
  <c r="X439" i="8"/>
  <c r="W439" i="8"/>
  <c r="V439" i="8"/>
  <c r="U439" i="8"/>
  <c r="T439" i="8"/>
  <c r="S439" i="8"/>
  <c r="R439" i="8"/>
  <c r="Q439" i="8"/>
  <c r="P439" i="8"/>
  <c r="O439" i="8"/>
  <c r="N439" i="8"/>
  <c r="M439" i="8"/>
  <c r="L439" i="8"/>
  <c r="K439" i="8"/>
  <c r="J439" i="8"/>
  <c r="I439" i="8"/>
  <c r="H439" i="8"/>
  <c r="G439" i="8"/>
  <c r="F439" i="8"/>
  <c r="E439" i="8"/>
  <c r="D439" i="8"/>
  <c r="C439" i="8"/>
  <c r="X438" i="8"/>
  <c r="W438" i="8"/>
  <c r="V438" i="8"/>
  <c r="U438" i="8"/>
  <c r="T438" i="8"/>
  <c r="S438" i="8"/>
  <c r="R438" i="8"/>
  <c r="Q438" i="8"/>
  <c r="P438" i="8"/>
  <c r="O438" i="8"/>
  <c r="N438" i="8"/>
  <c r="M438" i="8"/>
  <c r="L438" i="8"/>
  <c r="K438" i="8"/>
  <c r="J438" i="8"/>
  <c r="I438" i="8"/>
  <c r="H438" i="8"/>
  <c r="G438" i="8"/>
  <c r="F438" i="8"/>
  <c r="E438" i="8"/>
  <c r="D438" i="8"/>
  <c r="C438" i="8"/>
  <c r="X437" i="8"/>
  <c r="W437" i="8"/>
  <c r="V437" i="8"/>
  <c r="U437" i="8"/>
  <c r="T437" i="8"/>
  <c r="S437" i="8"/>
  <c r="R437" i="8"/>
  <c r="Q437" i="8"/>
  <c r="P437" i="8"/>
  <c r="O437" i="8"/>
  <c r="N437" i="8"/>
  <c r="M437" i="8"/>
  <c r="L437" i="8"/>
  <c r="K437" i="8"/>
  <c r="J437" i="8"/>
  <c r="I437" i="8"/>
  <c r="H437" i="8"/>
  <c r="G437" i="8"/>
  <c r="F437" i="8"/>
  <c r="E437" i="8"/>
  <c r="D437" i="8"/>
  <c r="C437" i="8"/>
  <c r="X435" i="8"/>
  <c r="W435" i="8"/>
  <c r="V435" i="8"/>
  <c r="U435" i="8"/>
  <c r="T435" i="8"/>
  <c r="S435" i="8"/>
  <c r="R435" i="8"/>
  <c r="Q435" i="8"/>
  <c r="P435" i="8"/>
  <c r="O435" i="8"/>
  <c r="N435" i="8"/>
  <c r="M435" i="8"/>
  <c r="L435" i="8"/>
  <c r="K435" i="8"/>
  <c r="J435" i="8"/>
  <c r="I435" i="8"/>
  <c r="H435" i="8"/>
  <c r="G435" i="8"/>
  <c r="F435" i="8"/>
  <c r="E435" i="8"/>
  <c r="D435" i="8"/>
  <c r="C435" i="8"/>
  <c r="X434" i="8"/>
  <c r="W434" i="8"/>
  <c r="V434" i="8"/>
  <c r="U434" i="8"/>
  <c r="T434" i="8"/>
  <c r="S434" i="8"/>
  <c r="R434" i="8"/>
  <c r="Q434" i="8"/>
  <c r="P434" i="8"/>
  <c r="O434" i="8"/>
  <c r="N434" i="8"/>
  <c r="M434" i="8"/>
  <c r="L434" i="8"/>
  <c r="K434" i="8"/>
  <c r="J434" i="8"/>
  <c r="I434" i="8"/>
  <c r="H434" i="8"/>
  <c r="G434" i="8"/>
  <c r="F434" i="8"/>
  <c r="E434" i="8"/>
  <c r="D434" i="8"/>
  <c r="C434" i="8"/>
  <c r="X433" i="8"/>
  <c r="W433" i="8"/>
  <c r="V433" i="8"/>
  <c r="U433" i="8"/>
  <c r="T433" i="8"/>
  <c r="S433" i="8"/>
  <c r="R433" i="8"/>
  <c r="Q433" i="8"/>
  <c r="P433" i="8"/>
  <c r="O433" i="8"/>
  <c r="N433" i="8"/>
  <c r="M433" i="8"/>
  <c r="L433" i="8"/>
  <c r="K433" i="8"/>
  <c r="J433" i="8"/>
  <c r="I433" i="8"/>
  <c r="H433" i="8"/>
  <c r="G433" i="8"/>
  <c r="F433" i="8"/>
  <c r="E433" i="8"/>
  <c r="D433" i="8"/>
  <c r="C433" i="8"/>
  <c r="X432" i="8"/>
  <c r="W432" i="8"/>
  <c r="V432" i="8"/>
  <c r="U432" i="8"/>
  <c r="T432" i="8"/>
  <c r="S432" i="8"/>
  <c r="R432" i="8"/>
  <c r="Q432" i="8"/>
  <c r="P432" i="8"/>
  <c r="O432" i="8"/>
  <c r="N432" i="8"/>
  <c r="M432" i="8"/>
  <c r="L432" i="8"/>
  <c r="K432" i="8"/>
  <c r="J432" i="8"/>
  <c r="I432" i="8"/>
  <c r="H432" i="8"/>
  <c r="G432" i="8"/>
  <c r="F432" i="8"/>
  <c r="E432" i="8"/>
  <c r="D432" i="8"/>
  <c r="C432" i="8"/>
  <c r="X431" i="8"/>
  <c r="AQ431" i="8" s="1"/>
  <c r="AR431" i="8" s="1"/>
  <c r="W431" i="8"/>
  <c r="V431" i="8"/>
  <c r="U431" i="8"/>
  <c r="T431" i="8"/>
  <c r="S431" i="8"/>
  <c r="R431" i="8"/>
  <c r="Q431" i="8"/>
  <c r="P431" i="8"/>
  <c r="O431" i="8"/>
  <c r="N431" i="8"/>
  <c r="M431" i="8"/>
  <c r="L431" i="8"/>
  <c r="K431" i="8"/>
  <c r="J431" i="8"/>
  <c r="I431" i="8"/>
  <c r="H431" i="8"/>
  <c r="G431" i="8"/>
  <c r="F431" i="8"/>
  <c r="E431" i="8"/>
  <c r="D431" i="8"/>
  <c r="C431" i="8"/>
  <c r="X428" i="8"/>
  <c r="W428" i="8"/>
  <c r="V428" i="8"/>
  <c r="U428" i="8"/>
  <c r="T428" i="8"/>
  <c r="S428" i="8"/>
  <c r="R428" i="8"/>
  <c r="Q428" i="8"/>
  <c r="P428" i="8"/>
  <c r="O428" i="8"/>
  <c r="N428" i="8"/>
  <c r="M428" i="8"/>
  <c r="L428" i="8"/>
  <c r="K428" i="8"/>
  <c r="J428" i="8"/>
  <c r="I428" i="8"/>
  <c r="H428" i="8"/>
  <c r="G428" i="8"/>
  <c r="F428" i="8"/>
  <c r="E428" i="8"/>
  <c r="D428" i="8"/>
  <c r="C428" i="8"/>
  <c r="X426" i="8"/>
  <c r="W426" i="8"/>
  <c r="V426" i="8"/>
  <c r="U426" i="8"/>
  <c r="T426" i="8"/>
  <c r="S426" i="8"/>
  <c r="R426" i="8"/>
  <c r="Q426" i="8"/>
  <c r="P426" i="8"/>
  <c r="O426" i="8"/>
  <c r="N426" i="8"/>
  <c r="M426" i="8"/>
  <c r="L426" i="8"/>
  <c r="K426" i="8"/>
  <c r="J426" i="8"/>
  <c r="I426" i="8"/>
  <c r="H426" i="8"/>
  <c r="G426" i="8"/>
  <c r="F426" i="8"/>
  <c r="E426" i="8"/>
  <c r="D426" i="8"/>
  <c r="C426" i="8"/>
  <c r="X425" i="8"/>
  <c r="W425" i="8"/>
  <c r="V425" i="8"/>
  <c r="U425" i="8"/>
  <c r="T425" i="8"/>
  <c r="S425" i="8"/>
  <c r="R425" i="8"/>
  <c r="Q425" i="8"/>
  <c r="P425" i="8"/>
  <c r="O425" i="8"/>
  <c r="N425" i="8"/>
  <c r="M425" i="8"/>
  <c r="L425" i="8"/>
  <c r="K425" i="8"/>
  <c r="J425" i="8"/>
  <c r="I425" i="8"/>
  <c r="H425" i="8"/>
  <c r="G425" i="8"/>
  <c r="F425" i="8"/>
  <c r="E425" i="8"/>
  <c r="D425" i="8"/>
  <c r="C425" i="8"/>
  <c r="X424" i="8"/>
  <c r="W424" i="8"/>
  <c r="V424" i="8"/>
  <c r="U424" i="8"/>
  <c r="T424" i="8"/>
  <c r="S424" i="8"/>
  <c r="R424" i="8"/>
  <c r="Q424" i="8"/>
  <c r="P424" i="8"/>
  <c r="O424" i="8"/>
  <c r="N424" i="8"/>
  <c r="M424" i="8"/>
  <c r="L424" i="8"/>
  <c r="K424" i="8"/>
  <c r="J424" i="8"/>
  <c r="I424" i="8"/>
  <c r="H424" i="8"/>
  <c r="G424" i="8"/>
  <c r="F424" i="8"/>
  <c r="E424" i="8"/>
  <c r="D424" i="8"/>
  <c r="C424" i="8"/>
  <c r="X423" i="8"/>
  <c r="W423" i="8"/>
  <c r="V423" i="8"/>
  <c r="U423" i="8"/>
  <c r="T423" i="8"/>
  <c r="S423" i="8"/>
  <c r="R423" i="8"/>
  <c r="Q423" i="8"/>
  <c r="P423" i="8"/>
  <c r="O423" i="8"/>
  <c r="N423" i="8"/>
  <c r="M423" i="8"/>
  <c r="L423" i="8"/>
  <c r="K423" i="8"/>
  <c r="J423" i="8"/>
  <c r="I423" i="8"/>
  <c r="H423" i="8"/>
  <c r="G423" i="8"/>
  <c r="F423" i="8"/>
  <c r="E423" i="8"/>
  <c r="D423" i="8"/>
  <c r="C423" i="8"/>
  <c r="X421" i="8"/>
  <c r="W421" i="8"/>
  <c r="V421" i="8"/>
  <c r="U421" i="8"/>
  <c r="T421" i="8"/>
  <c r="S421" i="8"/>
  <c r="R421" i="8"/>
  <c r="Q421" i="8"/>
  <c r="P421" i="8"/>
  <c r="O421" i="8"/>
  <c r="N421" i="8"/>
  <c r="M421" i="8"/>
  <c r="L421" i="8"/>
  <c r="K421" i="8"/>
  <c r="J421" i="8"/>
  <c r="I421" i="8"/>
  <c r="H421" i="8"/>
  <c r="G421" i="8"/>
  <c r="F421" i="8"/>
  <c r="E421" i="8"/>
  <c r="D421" i="8"/>
  <c r="C421" i="8"/>
  <c r="X420" i="8"/>
  <c r="W420" i="8"/>
  <c r="V420" i="8"/>
  <c r="U420" i="8"/>
  <c r="T420" i="8"/>
  <c r="S420" i="8"/>
  <c r="R420" i="8"/>
  <c r="Q420" i="8"/>
  <c r="P420" i="8"/>
  <c r="O420" i="8"/>
  <c r="N420" i="8"/>
  <c r="M420" i="8"/>
  <c r="L420" i="8"/>
  <c r="K420" i="8"/>
  <c r="J420" i="8"/>
  <c r="I420" i="8"/>
  <c r="H420" i="8"/>
  <c r="G420" i="8"/>
  <c r="F420" i="8"/>
  <c r="E420" i="8"/>
  <c r="D420" i="8"/>
  <c r="C420" i="8"/>
  <c r="X419" i="8"/>
  <c r="AQ419" i="8" s="1"/>
  <c r="AR419" i="8" s="1"/>
  <c r="W419" i="8"/>
  <c r="V419" i="8"/>
  <c r="U419" i="8"/>
  <c r="T419" i="8"/>
  <c r="S419" i="8"/>
  <c r="R419" i="8"/>
  <c r="Q419" i="8"/>
  <c r="P419" i="8"/>
  <c r="O419" i="8"/>
  <c r="N419" i="8"/>
  <c r="M419" i="8"/>
  <c r="L419" i="8"/>
  <c r="K419" i="8"/>
  <c r="J419" i="8"/>
  <c r="I419" i="8"/>
  <c r="H419" i="8"/>
  <c r="G419" i="8"/>
  <c r="F419" i="8"/>
  <c r="E419" i="8"/>
  <c r="D419" i="8"/>
  <c r="C419" i="8"/>
  <c r="X418" i="8"/>
  <c r="W418" i="8"/>
  <c r="V418" i="8"/>
  <c r="U418" i="8"/>
  <c r="T418" i="8"/>
  <c r="S418" i="8"/>
  <c r="R418" i="8"/>
  <c r="Q418" i="8"/>
  <c r="P418" i="8"/>
  <c r="O418" i="8"/>
  <c r="N418" i="8"/>
  <c r="M418" i="8"/>
  <c r="L418" i="8"/>
  <c r="K418" i="8"/>
  <c r="J418" i="8"/>
  <c r="I418" i="8"/>
  <c r="H418" i="8"/>
  <c r="G418" i="8"/>
  <c r="F418" i="8"/>
  <c r="E418" i="8"/>
  <c r="D418" i="8"/>
  <c r="C418" i="8"/>
  <c r="AQ433" i="8"/>
  <c r="AR433" i="8" s="1"/>
  <c r="X416" i="8"/>
  <c r="W416" i="8"/>
  <c r="V416" i="8"/>
  <c r="U416" i="8"/>
  <c r="T416" i="8"/>
  <c r="S416" i="8"/>
  <c r="R416" i="8"/>
  <c r="Q416" i="8"/>
  <c r="P416" i="8"/>
  <c r="O416" i="8"/>
  <c r="N416" i="8"/>
  <c r="M416" i="8"/>
  <c r="L416" i="8"/>
  <c r="K416" i="8"/>
  <c r="J416" i="8"/>
  <c r="I416" i="8"/>
  <c r="H416" i="8"/>
  <c r="G416" i="8"/>
  <c r="F416" i="8"/>
  <c r="E416" i="8"/>
  <c r="D416" i="8"/>
  <c r="C416" i="8"/>
  <c r="X415" i="8"/>
  <c r="W415" i="8"/>
  <c r="V415" i="8"/>
  <c r="U415" i="8"/>
  <c r="T415" i="8"/>
  <c r="S415" i="8"/>
  <c r="R415" i="8"/>
  <c r="Q415" i="8"/>
  <c r="P415" i="8"/>
  <c r="O415" i="8"/>
  <c r="N415" i="8"/>
  <c r="M415" i="8"/>
  <c r="L415" i="8"/>
  <c r="K415" i="8"/>
  <c r="J415" i="8"/>
  <c r="I415" i="8"/>
  <c r="H415" i="8"/>
  <c r="G415" i="8"/>
  <c r="F415" i="8"/>
  <c r="E415" i="8"/>
  <c r="D415" i="8"/>
  <c r="C415" i="8"/>
  <c r="X414" i="8"/>
  <c r="W414" i="8"/>
  <c r="V414" i="8"/>
  <c r="U414" i="8"/>
  <c r="T414" i="8"/>
  <c r="S414" i="8"/>
  <c r="R414" i="8"/>
  <c r="Q414" i="8"/>
  <c r="P414" i="8"/>
  <c r="O414" i="8"/>
  <c r="N414" i="8"/>
  <c r="M414" i="8"/>
  <c r="L414" i="8"/>
  <c r="K414" i="8"/>
  <c r="J414" i="8"/>
  <c r="I414" i="8"/>
  <c r="H414" i="8"/>
  <c r="G414" i="8"/>
  <c r="F414" i="8"/>
  <c r="E414" i="8"/>
  <c r="D414" i="8"/>
  <c r="C414" i="8"/>
  <c r="X413" i="8"/>
  <c r="W413" i="8"/>
  <c r="V413" i="8"/>
  <c r="U413" i="8"/>
  <c r="T413" i="8"/>
  <c r="S413" i="8"/>
  <c r="R413" i="8"/>
  <c r="Q413" i="8"/>
  <c r="P413" i="8"/>
  <c r="O413" i="8"/>
  <c r="N413" i="8"/>
  <c r="M413" i="8"/>
  <c r="L413" i="8"/>
  <c r="K413" i="8"/>
  <c r="J413" i="8"/>
  <c r="I413" i="8"/>
  <c r="H413" i="8"/>
  <c r="G413" i="8"/>
  <c r="F413" i="8"/>
  <c r="E413" i="8"/>
  <c r="D413" i="8"/>
  <c r="C413" i="8"/>
  <c r="X412" i="8"/>
  <c r="W412" i="8"/>
  <c r="V412" i="8"/>
  <c r="U412" i="8"/>
  <c r="T412" i="8"/>
  <c r="S412" i="8"/>
  <c r="R412" i="8"/>
  <c r="Q412" i="8"/>
  <c r="P412" i="8"/>
  <c r="O412" i="8"/>
  <c r="N412" i="8"/>
  <c r="M412" i="8"/>
  <c r="L412" i="8"/>
  <c r="K412" i="8"/>
  <c r="J412" i="8"/>
  <c r="I412" i="8"/>
  <c r="H412" i="8"/>
  <c r="G412" i="8"/>
  <c r="F412" i="8"/>
  <c r="E412" i="8"/>
  <c r="D412" i="8"/>
  <c r="C412" i="8"/>
  <c r="X407" i="8"/>
  <c r="W407" i="8"/>
  <c r="V407" i="8"/>
  <c r="U407" i="8"/>
  <c r="T407" i="8"/>
  <c r="S407" i="8"/>
  <c r="R407" i="8"/>
  <c r="Q407" i="8"/>
  <c r="P407" i="8"/>
  <c r="O407" i="8"/>
  <c r="N407" i="8"/>
  <c r="M407" i="8"/>
  <c r="L407" i="8"/>
  <c r="K407" i="8"/>
  <c r="J407" i="8"/>
  <c r="I407" i="8"/>
  <c r="H407" i="8"/>
  <c r="G407" i="8"/>
  <c r="F407" i="8"/>
  <c r="E407" i="8"/>
  <c r="D407" i="8"/>
  <c r="C407" i="8"/>
  <c r="X406" i="8"/>
  <c r="W406" i="8"/>
  <c r="V406" i="8"/>
  <c r="U406" i="8"/>
  <c r="T406" i="8"/>
  <c r="S406" i="8"/>
  <c r="R406" i="8"/>
  <c r="Q406" i="8"/>
  <c r="P406" i="8"/>
  <c r="O406" i="8"/>
  <c r="N406" i="8"/>
  <c r="M406" i="8"/>
  <c r="L406" i="8"/>
  <c r="K406" i="8"/>
  <c r="J406" i="8"/>
  <c r="I406" i="8"/>
  <c r="H406" i="8"/>
  <c r="G406" i="8"/>
  <c r="F406" i="8"/>
  <c r="E406" i="8"/>
  <c r="D406" i="8"/>
  <c r="C406" i="8"/>
  <c r="X405" i="8"/>
  <c r="W405" i="8"/>
  <c r="V405" i="8"/>
  <c r="U405" i="8"/>
  <c r="T405" i="8"/>
  <c r="S405" i="8"/>
  <c r="R405" i="8"/>
  <c r="Q405" i="8"/>
  <c r="P405" i="8"/>
  <c r="O405" i="8"/>
  <c r="N405" i="8"/>
  <c r="M405" i="8"/>
  <c r="L405" i="8"/>
  <c r="K405" i="8"/>
  <c r="J405" i="8"/>
  <c r="I405" i="8"/>
  <c r="H405" i="8"/>
  <c r="G405" i="8"/>
  <c r="F405" i="8"/>
  <c r="E405" i="8"/>
  <c r="D405" i="8"/>
  <c r="C405" i="8"/>
  <c r="X402" i="8"/>
  <c r="W402" i="8"/>
  <c r="V402" i="8"/>
  <c r="U402" i="8"/>
  <c r="T402" i="8"/>
  <c r="S402" i="8"/>
  <c r="R402" i="8"/>
  <c r="Q402" i="8"/>
  <c r="P402" i="8"/>
  <c r="O402" i="8"/>
  <c r="N402" i="8"/>
  <c r="M402" i="8"/>
  <c r="L402" i="8"/>
  <c r="K402" i="8"/>
  <c r="J402" i="8"/>
  <c r="I402" i="8"/>
  <c r="H402" i="8"/>
  <c r="G402" i="8"/>
  <c r="F402" i="8"/>
  <c r="E402" i="8"/>
  <c r="D402" i="8"/>
  <c r="C402" i="8"/>
  <c r="X400" i="8"/>
  <c r="W400" i="8"/>
  <c r="V400" i="8"/>
  <c r="U400" i="8"/>
  <c r="T400" i="8"/>
  <c r="S400" i="8"/>
  <c r="R400" i="8"/>
  <c r="Q400" i="8"/>
  <c r="P400" i="8"/>
  <c r="O400" i="8"/>
  <c r="N400" i="8"/>
  <c r="M400" i="8"/>
  <c r="L400" i="8"/>
  <c r="K400" i="8"/>
  <c r="J400" i="8"/>
  <c r="I400" i="8"/>
  <c r="H400" i="8"/>
  <c r="G400" i="8"/>
  <c r="F400" i="8"/>
  <c r="E400" i="8"/>
  <c r="D400" i="8"/>
  <c r="C400" i="8"/>
  <c r="X399" i="8"/>
  <c r="W399" i="8"/>
  <c r="V399" i="8"/>
  <c r="U399" i="8"/>
  <c r="T399" i="8"/>
  <c r="S399" i="8"/>
  <c r="R399" i="8"/>
  <c r="Q399" i="8"/>
  <c r="P399" i="8"/>
  <c r="O399" i="8"/>
  <c r="N399" i="8"/>
  <c r="M399" i="8"/>
  <c r="L399" i="8"/>
  <c r="K399" i="8"/>
  <c r="J399" i="8"/>
  <c r="I399" i="8"/>
  <c r="H399" i="8"/>
  <c r="G399" i="8"/>
  <c r="F399" i="8"/>
  <c r="E399" i="8"/>
  <c r="D399" i="8"/>
  <c r="C399" i="8"/>
  <c r="X398" i="8"/>
  <c r="W398" i="8"/>
  <c r="V398" i="8"/>
  <c r="U398" i="8"/>
  <c r="T398" i="8"/>
  <c r="S398" i="8"/>
  <c r="R398" i="8"/>
  <c r="Q398" i="8"/>
  <c r="P398" i="8"/>
  <c r="O398" i="8"/>
  <c r="N398" i="8"/>
  <c r="M398" i="8"/>
  <c r="L398" i="8"/>
  <c r="K398" i="8"/>
  <c r="J398" i="8"/>
  <c r="I398" i="8"/>
  <c r="H398" i="8"/>
  <c r="G398" i="8"/>
  <c r="F398" i="8"/>
  <c r="E398" i="8"/>
  <c r="D398" i="8"/>
  <c r="C398" i="8"/>
  <c r="X396" i="8"/>
  <c r="W396" i="8"/>
  <c r="V396" i="8"/>
  <c r="U396" i="8"/>
  <c r="T396" i="8"/>
  <c r="S396" i="8"/>
  <c r="R396" i="8"/>
  <c r="Q396" i="8"/>
  <c r="P396" i="8"/>
  <c r="O396" i="8"/>
  <c r="N396" i="8"/>
  <c r="M396" i="8"/>
  <c r="L396" i="8"/>
  <c r="K396" i="8"/>
  <c r="J396" i="8"/>
  <c r="I396" i="8"/>
  <c r="H396" i="8"/>
  <c r="G396" i="8"/>
  <c r="F396" i="8"/>
  <c r="E396" i="8"/>
  <c r="D396" i="8"/>
  <c r="C396" i="8"/>
  <c r="X395" i="8"/>
  <c r="W395" i="8"/>
  <c r="V395" i="8"/>
  <c r="U395" i="8"/>
  <c r="T395" i="8"/>
  <c r="S395" i="8"/>
  <c r="R395" i="8"/>
  <c r="Q395" i="8"/>
  <c r="P395" i="8"/>
  <c r="O395" i="8"/>
  <c r="N395" i="8"/>
  <c r="M395" i="8"/>
  <c r="L395" i="8"/>
  <c r="K395" i="8"/>
  <c r="J395" i="8"/>
  <c r="I395" i="8"/>
  <c r="H395" i="8"/>
  <c r="G395" i="8"/>
  <c r="F395" i="8"/>
  <c r="E395" i="8"/>
  <c r="D395" i="8"/>
  <c r="C395" i="8"/>
  <c r="X394" i="8"/>
  <c r="W394" i="8"/>
  <c r="V394" i="8"/>
  <c r="U394" i="8"/>
  <c r="T394" i="8"/>
  <c r="S394" i="8"/>
  <c r="R394" i="8"/>
  <c r="Q394" i="8"/>
  <c r="P394" i="8"/>
  <c r="O394" i="8"/>
  <c r="N394" i="8"/>
  <c r="M394" i="8"/>
  <c r="L394" i="8"/>
  <c r="K394" i="8"/>
  <c r="J394" i="8"/>
  <c r="I394" i="8"/>
  <c r="H394" i="8"/>
  <c r="G394" i="8"/>
  <c r="F394" i="8"/>
  <c r="E394" i="8"/>
  <c r="D394" i="8"/>
  <c r="C394" i="8"/>
  <c r="X393" i="8"/>
  <c r="W393" i="8"/>
  <c r="V393" i="8"/>
  <c r="U393" i="8"/>
  <c r="T393" i="8"/>
  <c r="S393" i="8"/>
  <c r="R393" i="8"/>
  <c r="Q393" i="8"/>
  <c r="P393" i="8"/>
  <c r="O393" i="8"/>
  <c r="N393" i="8"/>
  <c r="M393" i="8"/>
  <c r="L393" i="8"/>
  <c r="K393" i="8"/>
  <c r="J393" i="8"/>
  <c r="I393" i="8"/>
  <c r="H393" i="8"/>
  <c r="G393" i="8"/>
  <c r="F393" i="8"/>
  <c r="E393" i="8"/>
  <c r="D393" i="8"/>
  <c r="C393" i="8"/>
  <c r="X391" i="8"/>
  <c r="W391" i="8"/>
  <c r="V391" i="8"/>
  <c r="U391" i="8"/>
  <c r="T391" i="8"/>
  <c r="S391" i="8"/>
  <c r="R391" i="8"/>
  <c r="Q391" i="8"/>
  <c r="P391" i="8"/>
  <c r="O391" i="8"/>
  <c r="N391" i="8"/>
  <c r="M391" i="8"/>
  <c r="L391" i="8"/>
  <c r="K391" i="8"/>
  <c r="J391" i="8"/>
  <c r="I391" i="8"/>
  <c r="H391" i="8"/>
  <c r="G391" i="8"/>
  <c r="F391" i="8"/>
  <c r="E391" i="8"/>
  <c r="D391" i="8"/>
  <c r="C391" i="8"/>
  <c r="X390" i="8"/>
  <c r="W390" i="8"/>
  <c r="V390" i="8"/>
  <c r="U390" i="8"/>
  <c r="T390" i="8"/>
  <c r="S390" i="8"/>
  <c r="R390" i="8"/>
  <c r="Q390" i="8"/>
  <c r="P390" i="8"/>
  <c r="O390" i="8"/>
  <c r="N390" i="8"/>
  <c r="M390" i="8"/>
  <c r="L390" i="8"/>
  <c r="K390" i="8"/>
  <c r="J390" i="8"/>
  <c r="I390" i="8"/>
  <c r="H390" i="8"/>
  <c r="G390" i="8"/>
  <c r="F390" i="8"/>
  <c r="E390" i="8"/>
  <c r="D390" i="8"/>
  <c r="C390" i="8"/>
  <c r="X389" i="8"/>
  <c r="W389" i="8"/>
  <c r="V389" i="8"/>
  <c r="U389" i="8"/>
  <c r="T389" i="8"/>
  <c r="S389" i="8"/>
  <c r="R389" i="8"/>
  <c r="Q389" i="8"/>
  <c r="P389" i="8"/>
  <c r="O389" i="8"/>
  <c r="N389" i="8"/>
  <c r="M389" i="8"/>
  <c r="L389" i="8"/>
  <c r="K389" i="8"/>
  <c r="J389" i="8"/>
  <c r="I389" i="8"/>
  <c r="H389" i="8"/>
  <c r="G389" i="8"/>
  <c r="F389" i="8"/>
  <c r="E389" i="8"/>
  <c r="D389" i="8"/>
  <c r="C389" i="8"/>
  <c r="X388" i="8"/>
  <c r="W388" i="8"/>
  <c r="V388" i="8"/>
  <c r="U388" i="8"/>
  <c r="T388" i="8"/>
  <c r="S388" i="8"/>
  <c r="R388" i="8"/>
  <c r="Q388" i="8"/>
  <c r="P388" i="8"/>
  <c r="O388" i="8"/>
  <c r="N388" i="8"/>
  <c r="M388" i="8"/>
  <c r="L388" i="8"/>
  <c r="K388" i="8"/>
  <c r="J388" i="8"/>
  <c r="I388" i="8"/>
  <c r="H388" i="8"/>
  <c r="G388" i="8"/>
  <c r="F388" i="8"/>
  <c r="E388" i="8"/>
  <c r="D388" i="8"/>
  <c r="C388" i="8"/>
  <c r="X387" i="8"/>
  <c r="W387" i="8"/>
  <c r="V387" i="8"/>
  <c r="U387" i="8"/>
  <c r="T387" i="8"/>
  <c r="S387" i="8"/>
  <c r="R387" i="8"/>
  <c r="Q387" i="8"/>
  <c r="P387" i="8"/>
  <c r="O387" i="8"/>
  <c r="N387" i="8"/>
  <c r="M387" i="8"/>
  <c r="L387" i="8"/>
  <c r="K387" i="8"/>
  <c r="J387" i="8"/>
  <c r="I387" i="8"/>
  <c r="H387" i="8"/>
  <c r="G387" i="8"/>
  <c r="F387" i="8"/>
  <c r="E387" i="8"/>
  <c r="D387" i="8"/>
  <c r="C387" i="8"/>
  <c r="X386" i="8"/>
  <c r="W386" i="8"/>
  <c r="V386" i="8"/>
  <c r="U386" i="8"/>
  <c r="T386" i="8"/>
  <c r="S386" i="8"/>
  <c r="R386" i="8"/>
  <c r="Q386" i="8"/>
  <c r="P386" i="8"/>
  <c r="O386" i="8"/>
  <c r="N386" i="8"/>
  <c r="M386" i="8"/>
  <c r="L386" i="8"/>
  <c r="K386" i="8"/>
  <c r="J386" i="8"/>
  <c r="I386" i="8"/>
  <c r="H386" i="8"/>
  <c r="G386" i="8"/>
  <c r="F386" i="8"/>
  <c r="E386" i="8"/>
  <c r="D386" i="8"/>
  <c r="C386" i="8"/>
  <c r="X384" i="8"/>
  <c r="W384" i="8"/>
  <c r="V384" i="8"/>
  <c r="U384" i="8"/>
  <c r="T384" i="8"/>
  <c r="S384" i="8"/>
  <c r="R384" i="8"/>
  <c r="Q384" i="8"/>
  <c r="P384" i="8"/>
  <c r="O384" i="8"/>
  <c r="N384" i="8"/>
  <c r="M384" i="8"/>
  <c r="L384" i="8"/>
  <c r="K384" i="8"/>
  <c r="J384" i="8"/>
  <c r="I384" i="8"/>
  <c r="H384" i="8"/>
  <c r="G384" i="8"/>
  <c r="F384" i="8"/>
  <c r="E384" i="8"/>
  <c r="D384" i="8"/>
  <c r="C384" i="8"/>
  <c r="X383" i="8"/>
  <c r="W383" i="8"/>
  <c r="V383" i="8"/>
  <c r="U383" i="8"/>
  <c r="T383" i="8"/>
  <c r="S383" i="8"/>
  <c r="R383" i="8"/>
  <c r="Q383" i="8"/>
  <c r="P383" i="8"/>
  <c r="O383" i="8"/>
  <c r="N383" i="8"/>
  <c r="M383" i="8"/>
  <c r="L383" i="8"/>
  <c r="K383" i="8"/>
  <c r="J383" i="8"/>
  <c r="I383" i="8"/>
  <c r="H383" i="8"/>
  <c r="G383" i="8"/>
  <c r="F383" i="8"/>
  <c r="E383" i="8"/>
  <c r="D383" i="8"/>
  <c r="C383" i="8"/>
  <c r="X382" i="8"/>
  <c r="W382" i="8"/>
  <c r="V382" i="8"/>
  <c r="U382" i="8"/>
  <c r="T382" i="8"/>
  <c r="S382" i="8"/>
  <c r="R382" i="8"/>
  <c r="Q382" i="8"/>
  <c r="P382" i="8"/>
  <c r="O382" i="8"/>
  <c r="N382" i="8"/>
  <c r="M382" i="8"/>
  <c r="L382" i="8"/>
  <c r="K382" i="8"/>
  <c r="J382" i="8"/>
  <c r="I382" i="8"/>
  <c r="H382" i="8"/>
  <c r="G382" i="8"/>
  <c r="F382" i="8"/>
  <c r="E382" i="8"/>
  <c r="D382" i="8"/>
  <c r="C382" i="8"/>
  <c r="X381" i="8"/>
  <c r="W381" i="8"/>
  <c r="V381" i="8"/>
  <c r="U381" i="8"/>
  <c r="T381" i="8"/>
  <c r="S381" i="8"/>
  <c r="R381" i="8"/>
  <c r="Q381" i="8"/>
  <c r="P381" i="8"/>
  <c r="O381" i="8"/>
  <c r="N381" i="8"/>
  <c r="M381" i="8"/>
  <c r="L381" i="8"/>
  <c r="K381" i="8"/>
  <c r="J381" i="8"/>
  <c r="I381" i="8"/>
  <c r="H381" i="8"/>
  <c r="G381" i="8"/>
  <c r="F381" i="8"/>
  <c r="E381" i="8"/>
  <c r="D381" i="8"/>
  <c r="C381" i="8"/>
  <c r="X380" i="8"/>
  <c r="W380" i="8"/>
  <c r="V380" i="8"/>
  <c r="U380" i="8"/>
  <c r="T380" i="8"/>
  <c r="S380" i="8"/>
  <c r="R380" i="8"/>
  <c r="Q380" i="8"/>
  <c r="P380" i="8"/>
  <c r="O380" i="8"/>
  <c r="N380" i="8"/>
  <c r="M380" i="8"/>
  <c r="L380" i="8"/>
  <c r="K380" i="8"/>
  <c r="J380" i="8"/>
  <c r="I380" i="8"/>
  <c r="H380" i="8"/>
  <c r="G380" i="8"/>
  <c r="F380" i="8"/>
  <c r="E380" i="8"/>
  <c r="D380" i="8"/>
  <c r="C380" i="8"/>
  <c r="X379" i="8"/>
  <c r="W379" i="8"/>
  <c r="V379" i="8"/>
  <c r="U379" i="8"/>
  <c r="T379" i="8"/>
  <c r="S379" i="8"/>
  <c r="R379" i="8"/>
  <c r="Q379" i="8"/>
  <c r="P379" i="8"/>
  <c r="O379" i="8"/>
  <c r="N379" i="8"/>
  <c r="M379" i="8"/>
  <c r="L379" i="8"/>
  <c r="K379" i="8"/>
  <c r="J379" i="8"/>
  <c r="I379" i="8"/>
  <c r="H379" i="8"/>
  <c r="G379" i="8"/>
  <c r="F379" i="8"/>
  <c r="E379" i="8"/>
  <c r="D379" i="8"/>
  <c r="C379" i="8"/>
  <c r="X377" i="8"/>
  <c r="W377" i="8"/>
  <c r="V377" i="8"/>
  <c r="U377" i="8"/>
  <c r="T377" i="8"/>
  <c r="S377" i="8"/>
  <c r="R377" i="8"/>
  <c r="Q377" i="8"/>
  <c r="P377" i="8"/>
  <c r="O377" i="8"/>
  <c r="N377" i="8"/>
  <c r="M377" i="8"/>
  <c r="L377" i="8"/>
  <c r="K377" i="8"/>
  <c r="J377" i="8"/>
  <c r="I377" i="8"/>
  <c r="H377" i="8"/>
  <c r="G377" i="8"/>
  <c r="F377" i="8"/>
  <c r="E377" i="8"/>
  <c r="D377" i="8"/>
  <c r="C377" i="8"/>
  <c r="X376" i="8"/>
  <c r="W376" i="8"/>
  <c r="V376" i="8"/>
  <c r="U376" i="8"/>
  <c r="T376" i="8"/>
  <c r="S376" i="8"/>
  <c r="R376" i="8"/>
  <c r="Q376" i="8"/>
  <c r="P376" i="8"/>
  <c r="O376" i="8"/>
  <c r="N376" i="8"/>
  <c r="M376" i="8"/>
  <c r="L376" i="8"/>
  <c r="K376" i="8"/>
  <c r="J376" i="8"/>
  <c r="I376" i="8"/>
  <c r="H376" i="8"/>
  <c r="G376" i="8"/>
  <c r="F376" i="8"/>
  <c r="E376" i="8"/>
  <c r="D376" i="8"/>
  <c r="C376" i="8"/>
  <c r="X375" i="8"/>
  <c r="W375" i="8"/>
  <c r="V375" i="8"/>
  <c r="U375" i="8"/>
  <c r="T375" i="8"/>
  <c r="S375" i="8"/>
  <c r="R375" i="8"/>
  <c r="Q375" i="8"/>
  <c r="P375" i="8"/>
  <c r="O375" i="8"/>
  <c r="N375" i="8"/>
  <c r="M375" i="8"/>
  <c r="L375" i="8"/>
  <c r="K375" i="8"/>
  <c r="J375" i="8"/>
  <c r="I375" i="8"/>
  <c r="H375" i="8"/>
  <c r="G375" i="8"/>
  <c r="F375" i="8"/>
  <c r="E375" i="8"/>
  <c r="D375" i="8"/>
  <c r="C375" i="8"/>
  <c r="X374" i="8"/>
  <c r="W374" i="8"/>
  <c r="V374" i="8"/>
  <c r="U374" i="8"/>
  <c r="T374" i="8"/>
  <c r="S374" i="8"/>
  <c r="R374" i="8"/>
  <c r="Q374" i="8"/>
  <c r="P374" i="8"/>
  <c r="O374" i="8"/>
  <c r="N374" i="8"/>
  <c r="M374" i="8"/>
  <c r="L374" i="8"/>
  <c r="K374" i="8"/>
  <c r="J374" i="8"/>
  <c r="I374" i="8"/>
  <c r="H374" i="8"/>
  <c r="G374" i="8"/>
  <c r="F374" i="8"/>
  <c r="E374" i="8"/>
  <c r="D374" i="8"/>
  <c r="C374" i="8"/>
  <c r="X373" i="8"/>
  <c r="W373" i="8"/>
  <c r="V373" i="8"/>
  <c r="U373" i="8"/>
  <c r="T373" i="8"/>
  <c r="S373" i="8"/>
  <c r="R373" i="8"/>
  <c r="Q373" i="8"/>
  <c r="P373" i="8"/>
  <c r="O373" i="8"/>
  <c r="N373" i="8"/>
  <c r="M373" i="8"/>
  <c r="L373" i="8"/>
  <c r="K373" i="8"/>
  <c r="J373" i="8"/>
  <c r="I373" i="8"/>
  <c r="H373" i="8"/>
  <c r="G373" i="8"/>
  <c r="F373" i="8"/>
  <c r="E373" i="8"/>
  <c r="D373" i="8"/>
  <c r="C373" i="8"/>
  <c r="X372" i="8"/>
  <c r="W372" i="8"/>
  <c r="V372" i="8"/>
  <c r="U372" i="8"/>
  <c r="T372" i="8"/>
  <c r="S372" i="8"/>
  <c r="R372" i="8"/>
  <c r="Q372" i="8"/>
  <c r="P372" i="8"/>
  <c r="O372" i="8"/>
  <c r="N372" i="8"/>
  <c r="M372" i="8"/>
  <c r="L372" i="8"/>
  <c r="K372" i="8"/>
  <c r="J372" i="8"/>
  <c r="I372" i="8"/>
  <c r="H372" i="8"/>
  <c r="G372" i="8"/>
  <c r="F372" i="8"/>
  <c r="E372" i="8"/>
  <c r="D372" i="8"/>
  <c r="C372" i="8"/>
  <c r="X370" i="8"/>
  <c r="W370" i="8"/>
  <c r="V370" i="8"/>
  <c r="U370" i="8"/>
  <c r="T370" i="8"/>
  <c r="S370" i="8"/>
  <c r="R370" i="8"/>
  <c r="Q370" i="8"/>
  <c r="P370" i="8"/>
  <c r="O370" i="8"/>
  <c r="N370" i="8"/>
  <c r="M370" i="8"/>
  <c r="L370" i="8"/>
  <c r="K370" i="8"/>
  <c r="J370" i="8"/>
  <c r="I370" i="8"/>
  <c r="H370" i="8"/>
  <c r="G370" i="8"/>
  <c r="F370" i="8"/>
  <c r="E370" i="8"/>
  <c r="D370" i="8"/>
  <c r="C370" i="8"/>
  <c r="X368" i="8"/>
  <c r="W368" i="8"/>
  <c r="V368" i="8"/>
  <c r="U368" i="8"/>
  <c r="T368" i="8"/>
  <c r="S368" i="8"/>
  <c r="R368" i="8"/>
  <c r="Q368" i="8"/>
  <c r="P368" i="8"/>
  <c r="O368" i="8"/>
  <c r="N368" i="8"/>
  <c r="M368" i="8"/>
  <c r="L368" i="8"/>
  <c r="K368" i="8"/>
  <c r="J368" i="8"/>
  <c r="I368" i="8"/>
  <c r="H368" i="8"/>
  <c r="G368" i="8"/>
  <c r="F368" i="8"/>
  <c r="E368" i="8"/>
  <c r="D368" i="8"/>
  <c r="C368" i="8"/>
  <c r="X366" i="8"/>
  <c r="W366" i="8"/>
  <c r="V366" i="8"/>
  <c r="U366" i="8"/>
  <c r="T366" i="8"/>
  <c r="S366" i="8"/>
  <c r="R366" i="8"/>
  <c r="Q366" i="8"/>
  <c r="P366" i="8"/>
  <c r="O366" i="8"/>
  <c r="N366" i="8"/>
  <c r="M366" i="8"/>
  <c r="L366" i="8"/>
  <c r="K366" i="8"/>
  <c r="J366" i="8"/>
  <c r="I366" i="8"/>
  <c r="H366" i="8"/>
  <c r="G366" i="8"/>
  <c r="F366" i="8"/>
  <c r="E366" i="8"/>
  <c r="D366" i="8"/>
  <c r="C366" i="8"/>
  <c r="X365" i="8"/>
  <c r="W365" i="8"/>
  <c r="V365" i="8"/>
  <c r="U365" i="8"/>
  <c r="T365" i="8"/>
  <c r="S365" i="8"/>
  <c r="R365" i="8"/>
  <c r="Q365" i="8"/>
  <c r="P365" i="8"/>
  <c r="O365" i="8"/>
  <c r="N365" i="8"/>
  <c r="M365" i="8"/>
  <c r="L365" i="8"/>
  <c r="K365" i="8"/>
  <c r="J365" i="8"/>
  <c r="I365" i="8"/>
  <c r="H365" i="8"/>
  <c r="G365" i="8"/>
  <c r="F365" i="8"/>
  <c r="E365" i="8"/>
  <c r="D365" i="8"/>
  <c r="C365" i="8"/>
  <c r="X364" i="8"/>
  <c r="W364" i="8"/>
  <c r="V364" i="8"/>
  <c r="U364" i="8"/>
  <c r="T364" i="8"/>
  <c r="S364" i="8"/>
  <c r="R364" i="8"/>
  <c r="Q364" i="8"/>
  <c r="P364" i="8"/>
  <c r="O364" i="8"/>
  <c r="N364" i="8"/>
  <c r="M364" i="8"/>
  <c r="L364" i="8"/>
  <c r="K364" i="8"/>
  <c r="J364" i="8"/>
  <c r="I364" i="8"/>
  <c r="H364" i="8"/>
  <c r="G364" i="8"/>
  <c r="F364" i="8"/>
  <c r="E364" i="8"/>
  <c r="D364" i="8"/>
  <c r="C364" i="8"/>
  <c r="X363" i="8"/>
  <c r="W363" i="8"/>
  <c r="V363" i="8"/>
  <c r="U363" i="8"/>
  <c r="T363" i="8"/>
  <c r="S363" i="8"/>
  <c r="R363" i="8"/>
  <c r="Q363" i="8"/>
  <c r="P363" i="8"/>
  <c r="O363" i="8"/>
  <c r="N363" i="8"/>
  <c r="M363" i="8"/>
  <c r="L363" i="8"/>
  <c r="K363" i="8"/>
  <c r="J363" i="8"/>
  <c r="I363" i="8"/>
  <c r="H363" i="8"/>
  <c r="G363" i="8"/>
  <c r="F363" i="8"/>
  <c r="E363" i="8"/>
  <c r="D363" i="8"/>
  <c r="C363" i="8"/>
  <c r="X362" i="8"/>
  <c r="W362" i="8"/>
  <c r="V362" i="8"/>
  <c r="U362" i="8"/>
  <c r="T362" i="8"/>
  <c r="S362" i="8"/>
  <c r="R362" i="8"/>
  <c r="Q362" i="8"/>
  <c r="P362" i="8"/>
  <c r="O362" i="8"/>
  <c r="N362" i="8"/>
  <c r="M362" i="8"/>
  <c r="L362" i="8"/>
  <c r="K362" i="8"/>
  <c r="J362" i="8"/>
  <c r="I362" i="8"/>
  <c r="H362" i="8"/>
  <c r="G362" i="8"/>
  <c r="F362" i="8"/>
  <c r="E362" i="8"/>
  <c r="D362" i="8"/>
  <c r="C362" i="8"/>
  <c r="X361" i="8"/>
  <c r="W361" i="8"/>
  <c r="V361" i="8"/>
  <c r="U361" i="8"/>
  <c r="T361" i="8"/>
  <c r="S361" i="8"/>
  <c r="R361" i="8"/>
  <c r="Q361" i="8"/>
  <c r="P361" i="8"/>
  <c r="O361" i="8"/>
  <c r="N361" i="8"/>
  <c r="M361" i="8"/>
  <c r="L361" i="8"/>
  <c r="K361" i="8"/>
  <c r="J361" i="8"/>
  <c r="I361" i="8"/>
  <c r="H361" i="8"/>
  <c r="G361" i="8"/>
  <c r="F361" i="8"/>
  <c r="E361" i="8"/>
  <c r="D361" i="8"/>
  <c r="C361" i="8"/>
  <c r="X354" i="8"/>
  <c r="W354" i="8"/>
  <c r="V354" i="8"/>
  <c r="U354" i="8"/>
  <c r="T354" i="8"/>
  <c r="S354" i="8"/>
  <c r="R354" i="8"/>
  <c r="Q354" i="8"/>
  <c r="P354" i="8"/>
  <c r="O354" i="8"/>
  <c r="N354" i="8"/>
  <c r="M354" i="8"/>
  <c r="L354" i="8"/>
  <c r="K354" i="8"/>
  <c r="J354" i="8"/>
  <c r="I354" i="8"/>
  <c r="H354" i="8"/>
  <c r="G354" i="8"/>
  <c r="F354" i="8"/>
  <c r="E354" i="8"/>
  <c r="D354" i="8"/>
  <c r="C354" i="8"/>
  <c r="X353" i="8"/>
  <c r="W353" i="8"/>
  <c r="V353" i="8"/>
  <c r="U353" i="8"/>
  <c r="T353" i="8"/>
  <c r="S353" i="8"/>
  <c r="R353" i="8"/>
  <c r="Q353" i="8"/>
  <c r="P353" i="8"/>
  <c r="O353" i="8"/>
  <c r="N353" i="8"/>
  <c r="M353" i="8"/>
  <c r="L353" i="8"/>
  <c r="K353" i="8"/>
  <c r="J353" i="8"/>
  <c r="I353" i="8"/>
  <c r="H353" i="8"/>
  <c r="G353" i="8"/>
  <c r="F353" i="8"/>
  <c r="E353" i="8"/>
  <c r="D353" i="8"/>
  <c r="C353" i="8"/>
  <c r="X352" i="8"/>
  <c r="W352" i="8"/>
  <c r="V352" i="8"/>
  <c r="U352" i="8"/>
  <c r="T352" i="8"/>
  <c r="S352" i="8"/>
  <c r="R352" i="8"/>
  <c r="Q352" i="8"/>
  <c r="P352" i="8"/>
  <c r="O352" i="8"/>
  <c r="N352" i="8"/>
  <c r="M352" i="8"/>
  <c r="L352" i="8"/>
  <c r="K352" i="8"/>
  <c r="J352" i="8"/>
  <c r="I352" i="8"/>
  <c r="H352" i="8"/>
  <c r="G352" i="8"/>
  <c r="F352" i="8"/>
  <c r="E352" i="8"/>
  <c r="D352" i="8"/>
  <c r="C352" i="8"/>
  <c r="X351" i="8"/>
  <c r="W351" i="8"/>
  <c r="V351" i="8"/>
  <c r="U351" i="8"/>
  <c r="T351" i="8"/>
  <c r="S351" i="8"/>
  <c r="R351" i="8"/>
  <c r="Q351" i="8"/>
  <c r="P351" i="8"/>
  <c r="O351" i="8"/>
  <c r="N351" i="8"/>
  <c r="M351" i="8"/>
  <c r="L351" i="8"/>
  <c r="K351" i="8"/>
  <c r="J351" i="8"/>
  <c r="I351" i="8"/>
  <c r="H351" i="8"/>
  <c r="G351" i="8"/>
  <c r="F351" i="8"/>
  <c r="E351" i="8"/>
  <c r="D351" i="8"/>
  <c r="C351" i="8"/>
  <c r="X349" i="8"/>
  <c r="W349" i="8"/>
  <c r="V349" i="8"/>
  <c r="U349" i="8"/>
  <c r="T349" i="8"/>
  <c r="S349" i="8"/>
  <c r="R349" i="8"/>
  <c r="Q349" i="8"/>
  <c r="P349" i="8"/>
  <c r="O349" i="8"/>
  <c r="N349" i="8"/>
  <c r="M349" i="8"/>
  <c r="L349" i="8"/>
  <c r="K349" i="8"/>
  <c r="J349" i="8"/>
  <c r="I349" i="8"/>
  <c r="H349" i="8"/>
  <c r="G349" i="8"/>
  <c r="F349" i="8"/>
  <c r="E349" i="8"/>
  <c r="D349" i="8"/>
  <c r="C349" i="8"/>
  <c r="X348" i="8"/>
  <c r="W348" i="8"/>
  <c r="V348" i="8"/>
  <c r="U348" i="8"/>
  <c r="T348" i="8"/>
  <c r="S348" i="8"/>
  <c r="R348" i="8"/>
  <c r="Q348" i="8"/>
  <c r="P348" i="8"/>
  <c r="O348" i="8"/>
  <c r="N348" i="8"/>
  <c r="M348" i="8"/>
  <c r="L348" i="8"/>
  <c r="K348" i="8"/>
  <c r="J348" i="8"/>
  <c r="I348" i="8"/>
  <c r="H348" i="8"/>
  <c r="G348" i="8"/>
  <c r="F348" i="8"/>
  <c r="E348" i="8"/>
  <c r="D348" i="8"/>
  <c r="C348" i="8"/>
  <c r="X347" i="8"/>
  <c r="W347" i="8"/>
  <c r="V347" i="8"/>
  <c r="U347" i="8"/>
  <c r="T347" i="8"/>
  <c r="S347" i="8"/>
  <c r="R347" i="8"/>
  <c r="Q347" i="8"/>
  <c r="P347" i="8"/>
  <c r="O347" i="8"/>
  <c r="N347" i="8"/>
  <c r="M347" i="8"/>
  <c r="L347" i="8"/>
  <c r="K347" i="8"/>
  <c r="J347" i="8"/>
  <c r="I347" i="8"/>
  <c r="H347" i="8"/>
  <c r="G347" i="8"/>
  <c r="F347" i="8"/>
  <c r="E347" i="8"/>
  <c r="D347" i="8"/>
  <c r="C347" i="8"/>
  <c r="X346" i="8"/>
  <c r="W346" i="8"/>
  <c r="V346" i="8"/>
  <c r="U346" i="8"/>
  <c r="T346" i="8"/>
  <c r="S346" i="8"/>
  <c r="R346" i="8"/>
  <c r="Q346" i="8"/>
  <c r="P346" i="8"/>
  <c r="O346" i="8"/>
  <c r="N346" i="8"/>
  <c r="M346" i="8"/>
  <c r="L346" i="8"/>
  <c r="K346" i="8"/>
  <c r="J346" i="8"/>
  <c r="I346" i="8"/>
  <c r="H346" i="8"/>
  <c r="G346" i="8"/>
  <c r="F346" i="8"/>
  <c r="E346" i="8"/>
  <c r="D346" i="8"/>
  <c r="C346" i="8"/>
  <c r="X345" i="8"/>
  <c r="W345" i="8"/>
  <c r="V345" i="8"/>
  <c r="U345" i="8"/>
  <c r="T345" i="8"/>
  <c r="S345" i="8"/>
  <c r="R345" i="8"/>
  <c r="Q345" i="8"/>
  <c r="P345" i="8"/>
  <c r="O345" i="8"/>
  <c r="N345" i="8"/>
  <c r="M345" i="8"/>
  <c r="L345" i="8"/>
  <c r="K345" i="8"/>
  <c r="J345" i="8"/>
  <c r="I345" i="8"/>
  <c r="H345" i="8"/>
  <c r="G345" i="8"/>
  <c r="F345" i="8"/>
  <c r="E345" i="8"/>
  <c r="D345" i="8"/>
  <c r="C345" i="8"/>
  <c r="X344" i="8"/>
  <c r="W344" i="8"/>
  <c r="V344" i="8"/>
  <c r="U344" i="8"/>
  <c r="T344" i="8"/>
  <c r="S344" i="8"/>
  <c r="R344" i="8"/>
  <c r="Q344" i="8"/>
  <c r="P344" i="8"/>
  <c r="O344" i="8"/>
  <c r="N344" i="8"/>
  <c r="M344" i="8"/>
  <c r="L344" i="8"/>
  <c r="K344" i="8"/>
  <c r="J344" i="8"/>
  <c r="I344" i="8"/>
  <c r="H344" i="8"/>
  <c r="G344" i="8"/>
  <c r="F344" i="8"/>
  <c r="E344" i="8"/>
  <c r="D344" i="8"/>
  <c r="C344" i="8"/>
  <c r="X342" i="8"/>
  <c r="W342" i="8"/>
  <c r="V342" i="8"/>
  <c r="U342" i="8"/>
  <c r="T342" i="8"/>
  <c r="S342" i="8"/>
  <c r="R342" i="8"/>
  <c r="Q342" i="8"/>
  <c r="P342" i="8"/>
  <c r="O342" i="8"/>
  <c r="N342" i="8"/>
  <c r="M342" i="8"/>
  <c r="L342" i="8"/>
  <c r="K342" i="8"/>
  <c r="J342" i="8"/>
  <c r="I342" i="8"/>
  <c r="H342" i="8"/>
  <c r="G342" i="8"/>
  <c r="F342" i="8"/>
  <c r="E342" i="8"/>
  <c r="D342" i="8"/>
  <c r="C342" i="8"/>
  <c r="X341" i="8"/>
  <c r="W341" i="8"/>
  <c r="V341" i="8"/>
  <c r="U341" i="8"/>
  <c r="T341" i="8"/>
  <c r="S341" i="8"/>
  <c r="R341" i="8"/>
  <c r="Q341" i="8"/>
  <c r="P341" i="8"/>
  <c r="O341" i="8"/>
  <c r="N341" i="8"/>
  <c r="M341" i="8"/>
  <c r="L341" i="8"/>
  <c r="K341" i="8"/>
  <c r="J341" i="8"/>
  <c r="I341" i="8"/>
  <c r="H341" i="8"/>
  <c r="G341" i="8"/>
  <c r="F341" i="8"/>
  <c r="E341" i="8"/>
  <c r="D341" i="8"/>
  <c r="C341" i="8"/>
  <c r="X340" i="8"/>
  <c r="W340" i="8"/>
  <c r="V340" i="8"/>
  <c r="U340" i="8"/>
  <c r="T340" i="8"/>
  <c r="S340" i="8"/>
  <c r="R340" i="8"/>
  <c r="Q340" i="8"/>
  <c r="P340" i="8"/>
  <c r="O340" i="8"/>
  <c r="N340" i="8"/>
  <c r="M340" i="8"/>
  <c r="L340" i="8"/>
  <c r="K340" i="8"/>
  <c r="J340" i="8"/>
  <c r="I340" i="8"/>
  <c r="H340" i="8"/>
  <c r="G340" i="8"/>
  <c r="F340" i="8"/>
  <c r="E340" i="8"/>
  <c r="D340" i="8"/>
  <c r="C340" i="8"/>
  <c r="X339" i="8"/>
  <c r="W339" i="8"/>
  <c r="V339" i="8"/>
  <c r="U339" i="8"/>
  <c r="T339" i="8"/>
  <c r="S339" i="8"/>
  <c r="R339" i="8"/>
  <c r="Q339" i="8"/>
  <c r="P339" i="8"/>
  <c r="O339" i="8"/>
  <c r="N339" i="8"/>
  <c r="M339" i="8"/>
  <c r="L339" i="8"/>
  <c r="K339" i="8"/>
  <c r="J339" i="8"/>
  <c r="I339" i="8"/>
  <c r="H339" i="8"/>
  <c r="G339" i="8"/>
  <c r="F339" i="8"/>
  <c r="E339" i="8"/>
  <c r="D339" i="8"/>
  <c r="C339" i="8"/>
  <c r="X338" i="8"/>
  <c r="W338" i="8"/>
  <c r="V338" i="8"/>
  <c r="U338" i="8"/>
  <c r="T338" i="8"/>
  <c r="S338" i="8"/>
  <c r="R338" i="8"/>
  <c r="Q338" i="8"/>
  <c r="P338" i="8"/>
  <c r="O338" i="8"/>
  <c r="N338" i="8"/>
  <c r="M338" i="8"/>
  <c r="L338" i="8"/>
  <c r="K338" i="8"/>
  <c r="J338" i="8"/>
  <c r="I338" i="8"/>
  <c r="H338" i="8"/>
  <c r="G338" i="8"/>
  <c r="F338" i="8"/>
  <c r="E338" i="8"/>
  <c r="D338" i="8"/>
  <c r="C338" i="8"/>
  <c r="X337" i="8"/>
  <c r="W337" i="8"/>
  <c r="V337" i="8"/>
  <c r="U337" i="8"/>
  <c r="T337" i="8"/>
  <c r="S337" i="8"/>
  <c r="R337" i="8"/>
  <c r="Q337" i="8"/>
  <c r="P337" i="8"/>
  <c r="O337" i="8"/>
  <c r="N337" i="8"/>
  <c r="M337" i="8"/>
  <c r="L337" i="8"/>
  <c r="K337" i="8"/>
  <c r="J337" i="8"/>
  <c r="I337" i="8"/>
  <c r="H337" i="8"/>
  <c r="G337" i="8"/>
  <c r="F337" i="8"/>
  <c r="E337" i="8"/>
  <c r="D337" i="8"/>
  <c r="C337" i="8"/>
  <c r="X336" i="8"/>
  <c r="W336" i="8"/>
  <c r="V336" i="8"/>
  <c r="U336" i="8"/>
  <c r="T336" i="8"/>
  <c r="S336" i="8"/>
  <c r="R336" i="8"/>
  <c r="Q336" i="8"/>
  <c r="P336" i="8"/>
  <c r="O336" i="8"/>
  <c r="N336" i="8"/>
  <c r="M336" i="8"/>
  <c r="L336" i="8"/>
  <c r="K336" i="8"/>
  <c r="J336" i="8"/>
  <c r="I336" i="8"/>
  <c r="H336" i="8"/>
  <c r="G336" i="8"/>
  <c r="F336" i="8"/>
  <c r="E336" i="8"/>
  <c r="D336" i="8"/>
  <c r="C336" i="8"/>
  <c r="X335" i="8"/>
  <c r="W335" i="8"/>
  <c r="V335" i="8"/>
  <c r="U335" i="8"/>
  <c r="T335" i="8"/>
  <c r="S335" i="8"/>
  <c r="R335" i="8"/>
  <c r="Q335" i="8"/>
  <c r="P335" i="8"/>
  <c r="O335" i="8"/>
  <c r="N335" i="8"/>
  <c r="M335" i="8"/>
  <c r="L335" i="8"/>
  <c r="K335" i="8"/>
  <c r="J335" i="8"/>
  <c r="I335" i="8"/>
  <c r="H335" i="8"/>
  <c r="G335" i="8"/>
  <c r="F335" i="8"/>
  <c r="E335" i="8"/>
  <c r="D335" i="8"/>
  <c r="C335" i="8"/>
  <c r="X332" i="8"/>
  <c r="W332" i="8"/>
  <c r="V332" i="8"/>
  <c r="U332" i="8"/>
  <c r="T332" i="8"/>
  <c r="S332" i="8"/>
  <c r="R332" i="8"/>
  <c r="Q332" i="8"/>
  <c r="P332" i="8"/>
  <c r="O332" i="8"/>
  <c r="N332" i="8"/>
  <c r="M332" i="8"/>
  <c r="L332" i="8"/>
  <c r="K332" i="8"/>
  <c r="J332" i="8"/>
  <c r="I332" i="8"/>
  <c r="H332" i="8"/>
  <c r="G332" i="8"/>
  <c r="F332" i="8"/>
  <c r="E332" i="8"/>
  <c r="D332" i="8"/>
  <c r="C332" i="8"/>
  <c r="X331" i="8"/>
  <c r="W331" i="8"/>
  <c r="V331" i="8"/>
  <c r="U331" i="8"/>
  <c r="T331" i="8"/>
  <c r="S331" i="8"/>
  <c r="R331" i="8"/>
  <c r="Q331" i="8"/>
  <c r="P331" i="8"/>
  <c r="O331" i="8"/>
  <c r="N331" i="8"/>
  <c r="M331" i="8"/>
  <c r="L331" i="8"/>
  <c r="K331" i="8"/>
  <c r="J331" i="8"/>
  <c r="I331" i="8"/>
  <c r="H331" i="8"/>
  <c r="G331" i="8"/>
  <c r="F331" i="8"/>
  <c r="E331" i="8"/>
  <c r="D331" i="8"/>
  <c r="C331" i="8"/>
  <c r="X330" i="8"/>
  <c r="W330" i="8"/>
  <c r="V330" i="8"/>
  <c r="U330" i="8"/>
  <c r="T330" i="8"/>
  <c r="S330" i="8"/>
  <c r="R330" i="8"/>
  <c r="Q330" i="8"/>
  <c r="P330" i="8"/>
  <c r="O330" i="8"/>
  <c r="N330" i="8"/>
  <c r="M330" i="8"/>
  <c r="L330" i="8"/>
  <c r="K330" i="8"/>
  <c r="J330" i="8"/>
  <c r="I330" i="8"/>
  <c r="H330" i="8"/>
  <c r="G330" i="8"/>
  <c r="F330" i="8"/>
  <c r="E330" i="8"/>
  <c r="D330" i="8"/>
  <c r="C330" i="8"/>
  <c r="X328" i="8"/>
  <c r="W328" i="8"/>
  <c r="V328" i="8"/>
  <c r="U328" i="8"/>
  <c r="T328" i="8"/>
  <c r="S328" i="8"/>
  <c r="R328" i="8"/>
  <c r="Q328" i="8"/>
  <c r="P328" i="8"/>
  <c r="O328" i="8"/>
  <c r="N328" i="8"/>
  <c r="M328" i="8"/>
  <c r="L328" i="8"/>
  <c r="K328" i="8"/>
  <c r="J328" i="8"/>
  <c r="I328" i="8"/>
  <c r="H328" i="8"/>
  <c r="G328" i="8"/>
  <c r="F328" i="8"/>
  <c r="E328" i="8"/>
  <c r="D328" i="8"/>
  <c r="C328" i="8"/>
  <c r="X327" i="8"/>
  <c r="W327" i="8"/>
  <c r="V327" i="8"/>
  <c r="U327" i="8"/>
  <c r="T327" i="8"/>
  <c r="S327" i="8"/>
  <c r="R327" i="8"/>
  <c r="Q327" i="8"/>
  <c r="P327" i="8"/>
  <c r="O327" i="8"/>
  <c r="N327" i="8"/>
  <c r="M327" i="8"/>
  <c r="L327" i="8"/>
  <c r="K327" i="8"/>
  <c r="J327" i="8"/>
  <c r="I327" i="8"/>
  <c r="H327" i="8"/>
  <c r="G327" i="8"/>
  <c r="F327" i="8"/>
  <c r="E327" i="8"/>
  <c r="D327" i="8"/>
  <c r="C327" i="8"/>
  <c r="X326" i="8"/>
  <c r="W326" i="8"/>
  <c r="V326" i="8"/>
  <c r="U326" i="8"/>
  <c r="T326" i="8"/>
  <c r="S326" i="8"/>
  <c r="R326" i="8"/>
  <c r="Q326" i="8"/>
  <c r="P326" i="8"/>
  <c r="O326" i="8"/>
  <c r="N326" i="8"/>
  <c r="M326" i="8"/>
  <c r="L326" i="8"/>
  <c r="K326" i="8"/>
  <c r="J326" i="8"/>
  <c r="I326" i="8"/>
  <c r="H326" i="8"/>
  <c r="G326" i="8"/>
  <c r="F326" i="8"/>
  <c r="E326" i="8"/>
  <c r="D326" i="8"/>
  <c r="C326" i="8"/>
  <c r="X324" i="8"/>
  <c r="W324" i="8"/>
  <c r="V324" i="8"/>
  <c r="U324" i="8"/>
  <c r="T324" i="8"/>
  <c r="S324" i="8"/>
  <c r="R324" i="8"/>
  <c r="Q324" i="8"/>
  <c r="P324" i="8"/>
  <c r="O324" i="8"/>
  <c r="N324" i="8"/>
  <c r="M324" i="8"/>
  <c r="L324" i="8"/>
  <c r="K324" i="8"/>
  <c r="J324" i="8"/>
  <c r="I324" i="8"/>
  <c r="H324" i="8"/>
  <c r="G324" i="8"/>
  <c r="F324" i="8"/>
  <c r="E324" i="8"/>
  <c r="D324" i="8"/>
  <c r="C324" i="8"/>
  <c r="X323" i="8"/>
  <c r="W323" i="8"/>
  <c r="V323" i="8"/>
  <c r="U323" i="8"/>
  <c r="T323" i="8"/>
  <c r="S323" i="8"/>
  <c r="R323" i="8"/>
  <c r="Q323" i="8"/>
  <c r="P323" i="8"/>
  <c r="O323" i="8"/>
  <c r="N323" i="8"/>
  <c r="M323" i="8"/>
  <c r="L323" i="8"/>
  <c r="K323" i="8"/>
  <c r="J323" i="8"/>
  <c r="I323" i="8"/>
  <c r="H323" i="8"/>
  <c r="G323" i="8"/>
  <c r="F323" i="8"/>
  <c r="E323" i="8"/>
  <c r="D323" i="8"/>
  <c r="C323" i="8"/>
  <c r="X322" i="8"/>
  <c r="W322" i="8"/>
  <c r="V322" i="8"/>
  <c r="U322" i="8"/>
  <c r="T322" i="8"/>
  <c r="S322" i="8"/>
  <c r="R322" i="8"/>
  <c r="Q322" i="8"/>
  <c r="P322" i="8"/>
  <c r="O322" i="8"/>
  <c r="N322" i="8"/>
  <c r="M322" i="8"/>
  <c r="L322" i="8"/>
  <c r="K322" i="8"/>
  <c r="J322" i="8"/>
  <c r="I322" i="8"/>
  <c r="H322" i="8"/>
  <c r="G322" i="8"/>
  <c r="F322" i="8"/>
  <c r="E322" i="8"/>
  <c r="D322" i="8"/>
  <c r="C322" i="8"/>
  <c r="X320" i="8"/>
  <c r="W320" i="8"/>
  <c r="V320" i="8"/>
  <c r="U320" i="8"/>
  <c r="T320" i="8"/>
  <c r="S320" i="8"/>
  <c r="R320" i="8"/>
  <c r="Q320" i="8"/>
  <c r="P320" i="8"/>
  <c r="O320" i="8"/>
  <c r="N320" i="8"/>
  <c r="M320" i="8"/>
  <c r="L320" i="8"/>
  <c r="K320" i="8"/>
  <c r="J320" i="8"/>
  <c r="I320" i="8"/>
  <c r="H320" i="8"/>
  <c r="G320" i="8"/>
  <c r="F320" i="8"/>
  <c r="E320" i="8"/>
  <c r="D320" i="8"/>
  <c r="C320" i="8"/>
  <c r="X319" i="8"/>
  <c r="W319" i="8"/>
  <c r="V319" i="8"/>
  <c r="U319" i="8"/>
  <c r="T319" i="8"/>
  <c r="S319" i="8"/>
  <c r="R319" i="8"/>
  <c r="Q319" i="8"/>
  <c r="P319" i="8"/>
  <c r="O319" i="8"/>
  <c r="N319" i="8"/>
  <c r="M319" i="8"/>
  <c r="L319" i="8"/>
  <c r="K319" i="8"/>
  <c r="J319" i="8"/>
  <c r="I319" i="8"/>
  <c r="H319" i="8"/>
  <c r="G319" i="8"/>
  <c r="F319" i="8"/>
  <c r="E319" i="8"/>
  <c r="D319" i="8"/>
  <c r="C319" i="8"/>
  <c r="X318" i="8"/>
  <c r="W318" i="8"/>
  <c r="V318" i="8"/>
  <c r="U318" i="8"/>
  <c r="T318" i="8"/>
  <c r="S318" i="8"/>
  <c r="R318" i="8"/>
  <c r="Q318" i="8"/>
  <c r="P318" i="8"/>
  <c r="O318" i="8"/>
  <c r="N318" i="8"/>
  <c r="M318" i="8"/>
  <c r="L318" i="8"/>
  <c r="K318" i="8"/>
  <c r="J318" i="8"/>
  <c r="I318" i="8"/>
  <c r="H318" i="8"/>
  <c r="G318" i="8"/>
  <c r="F318" i="8"/>
  <c r="E318" i="8"/>
  <c r="D318" i="8"/>
  <c r="C318" i="8"/>
  <c r="X313" i="8"/>
  <c r="W313" i="8"/>
  <c r="V313" i="8"/>
  <c r="U313" i="8"/>
  <c r="T313" i="8"/>
  <c r="S313" i="8"/>
  <c r="R313" i="8"/>
  <c r="Q313" i="8"/>
  <c r="P313" i="8"/>
  <c r="O313" i="8"/>
  <c r="N313" i="8"/>
  <c r="M313" i="8"/>
  <c r="L313" i="8"/>
  <c r="K313" i="8"/>
  <c r="J313" i="8"/>
  <c r="I313" i="8"/>
  <c r="H313" i="8"/>
  <c r="G313" i="8"/>
  <c r="F313" i="8"/>
  <c r="E313" i="8"/>
  <c r="D313" i="8"/>
  <c r="C313" i="8"/>
  <c r="X312" i="8"/>
  <c r="W312" i="8"/>
  <c r="V312" i="8"/>
  <c r="U312" i="8"/>
  <c r="T312" i="8"/>
  <c r="S312" i="8"/>
  <c r="R312" i="8"/>
  <c r="Q312" i="8"/>
  <c r="P312" i="8"/>
  <c r="O312" i="8"/>
  <c r="N312" i="8"/>
  <c r="M312" i="8"/>
  <c r="L312" i="8"/>
  <c r="K312" i="8"/>
  <c r="J312" i="8"/>
  <c r="I312" i="8"/>
  <c r="H312" i="8"/>
  <c r="G312" i="8"/>
  <c r="F312" i="8"/>
  <c r="E312" i="8"/>
  <c r="D312" i="8"/>
  <c r="C312" i="8"/>
  <c r="X311" i="8"/>
  <c r="W311" i="8"/>
  <c r="V311" i="8"/>
  <c r="U311" i="8"/>
  <c r="T311" i="8"/>
  <c r="S311" i="8"/>
  <c r="R311" i="8"/>
  <c r="Q311" i="8"/>
  <c r="P311" i="8"/>
  <c r="O311" i="8"/>
  <c r="N311" i="8"/>
  <c r="M311" i="8"/>
  <c r="L311" i="8"/>
  <c r="K311" i="8"/>
  <c r="J311" i="8"/>
  <c r="I311" i="8"/>
  <c r="H311" i="8"/>
  <c r="G311" i="8"/>
  <c r="F311" i="8"/>
  <c r="E311" i="8"/>
  <c r="D311" i="8"/>
  <c r="C311" i="8"/>
  <c r="X310" i="8"/>
  <c r="W310" i="8"/>
  <c r="V310" i="8"/>
  <c r="U310" i="8"/>
  <c r="T310" i="8"/>
  <c r="S310" i="8"/>
  <c r="R310" i="8"/>
  <c r="Q310" i="8"/>
  <c r="P310" i="8"/>
  <c r="O310" i="8"/>
  <c r="N310" i="8"/>
  <c r="M310" i="8"/>
  <c r="L310" i="8"/>
  <c r="K310" i="8"/>
  <c r="J310" i="8"/>
  <c r="I310" i="8"/>
  <c r="H310" i="8"/>
  <c r="G310" i="8"/>
  <c r="F310" i="8"/>
  <c r="E310" i="8"/>
  <c r="D310" i="8"/>
  <c r="C310" i="8"/>
  <c r="X308" i="8"/>
  <c r="W308" i="8"/>
  <c r="V308" i="8"/>
  <c r="U308" i="8"/>
  <c r="T308" i="8"/>
  <c r="S308" i="8"/>
  <c r="R308" i="8"/>
  <c r="Q308" i="8"/>
  <c r="P308" i="8"/>
  <c r="O308" i="8"/>
  <c r="N308" i="8"/>
  <c r="M308" i="8"/>
  <c r="L308" i="8"/>
  <c r="K308" i="8"/>
  <c r="J308" i="8"/>
  <c r="I308" i="8"/>
  <c r="H308" i="8"/>
  <c r="G308" i="8"/>
  <c r="F308" i="8"/>
  <c r="E308" i="8"/>
  <c r="D308" i="8"/>
  <c r="C308" i="8"/>
  <c r="X307" i="8"/>
  <c r="W307" i="8"/>
  <c r="V307" i="8"/>
  <c r="U307" i="8"/>
  <c r="T307" i="8"/>
  <c r="S307" i="8"/>
  <c r="R307" i="8"/>
  <c r="Q307" i="8"/>
  <c r="P307" i="8"/>
  <c r="O307" i="8"/>
  <c r="N307" i="8"/>
  <c r="M307" i="8"/>
  <c r="L307" i="8"/>
  <c r="K307" i="8"/>
  <c r="J307" i="8"/>
  <c r="I307" i="8"/>
  <c r="H307" i="8"/>
  <c r="G307" i="8"/>
  <c r="F307" i="8"/>
  <c r="E307" i="8"/>
  <c r="D307" i="8"/>
  <c r="C307" i="8"/>
  <c r="X306" i="8"/>
  <c r="W306" i="8"/>
  <c r="V306" i="8"/>
  <c r="U306" i="8"/>
  <c r="T306" i="8"/>
  <c r="S306" i="8"/>
  <c r="R306" i="8"/>
  <c r="Q306" i="8"/>
  <c r="P306" i="8"/>
  <c r="O306" i="8"/>
  <c r="N306" i="8"/>
  <c r="M306" i="8"/>
  <c r="L306" i="8"/>
  <c r="K306" i="8"/>
  <c r="J306" i="8"/>
  <c r="I306" i="8"/>
  <c r="H306" i="8"/>
  <c r="G306" i="8"/>
  <c r="F306" i="8"/>
  <c r="E306" i="8"/>
  <c r="D306" i="8"/>
  <c r="C306" i="8"/>
  <c r="X305" i="8"/>
  <c r="W305" i="8"/>
  <c r="V305" i="8"/>
  <c r="U305" i="8"/>
  <c r="T305" i="8"/>
  <c r="S305" i="8"/>
  <c r="R305" i="8"/>
  <c r="Q305" i="8"/>
  <c r="P305" i="8"/>
  <c r="O305" i="8"/>
  <c r="N305" i="8"/>
  <c r="M305" i="8"/>
  <c r="L305" i="8"/>
  <c r="K305" i="8"/>
  <c r="J305" i="8"/>
  <c r="I305" i="8"/>
  <c r="H305" i="8"/>
  <c r="G305" i="8"/>
  <c r="F305" i="8"/>
  <c r="E305" i="8"/>
  <c r="D305" i="8"/>
  <c r="C305" i="8"/>
  <c r="X304" i="8"/>
  <c r="W304" i="8"/>
  <c r="V304" i="8"/>
  <c r="U304" i="8"/>
  <c r="T304" i="8"/>
  <c r="S304" i="8"/>
  <c r="R304" i="8"/>
  <c r="Q304" i="8"/>
  <c r="P304" i="8"/>
  <c r="O304" i="8"/>
  <c r="N304" i="8"/>
  <c r="M304" i="8"/>
  <c r="L304" i="8"/>
  <c r="K304" i="8"/>
  <c r="J304" i="8"/>
  <c r="I304" i="8"/>
  <c r="H304" i="8"/>
  <c r="G304" i="8"/>
  <c r="F304" i="8"/>
  <c r="E304" i="8"/>
  <c r="D304" i="8"/>
  <c r="C304" i="8"/>
  <c r="X303" i="8"/>
  <c r="W303" i="8"/>
  <c r="V303" i="8"/>
  <c r="U303" i="8"/>
  <c r="T303" i="8"/>
  <c r="S303" i="8"/>
  <c r="R303" i="8"/>
  <c r="Q303" i="8"/>
  <c r="P303" i="8"/>
  <c r="O303" i="8"/>
  <c r="N303" i="8"/>
  <c r="M303" i="8"/>
  <c r="L303" i="8"/>
  <c r="K303" i="8"/>
  <c r="J303" i="8"/>
  <c r="I303" i="8"/>
  <c r="H303" i="8"/>
  <c r="G303" i="8"/>
  <c r="F303" i="8"/>
  <c r="E303" i="8"/>
  <c r="D303" i="8"/>
  <c r="C303" i="8"/>
  <c r="X301" i="8"/>
  <c r="W301" i="8"/>
  <c r="V301" i="8"/>
  <c r="U301" i="8"/>
  <c r="T301" i="8"/>
  <c r="S301" i="8"/>
  <c r="R301" i="8"/>
  <c r="Q301" i="8"/>
  <c r="P301" i="8"/>
  <c r="O301" i="8"/>
  <c r="N301" i="8"/>
  <c r="M301" i="8"/>
  <c r="L301" i="8"/>
  <c r="K301" i="8"/>
  <c r="J301" i="8"/>
  <c r="I301" i="8"/>
  <c r="H301" i="8"/>
  <c r="G301" i="8"/>
  <c r="F301" i="8"/>
  <c r="E301" i="8"/>
  <c r="D301" i="8"/>
  <c r="C301" i="8"/>
  <c r="X300" i="8"/>
  <c r="W300" i="8"/>
  <c r="V300" i="8"/>
  <c r="U300" i="8"/>
  <c r="T300" i="8"/>
  <c r="S300" i="8"/>
  <c r="R300" i="8"/>
  <c r="Q300" i="8"/>
  <c r="P300" i="8"/>
  <c r="O300" i="8"/>
  <c r="N300" i="8"/>
  <c r="M300" i="8"/>
  <c r="L300" i="8"/>
  <c r="K300" i="8"/>
  <c r="J300" i="8"/>
  <c r="I300" i="8"/>
  <c r="H300" i="8"/>
  <c r="G300" i="8"/>
  <c r="F300" i="8"/>
  <c r="E300" i="8"/>
  <c r="D300" i="8"/>
  <c r="C300" i="8"/>
  <c r="X299" i="8"/>
  <c r="W299" i="8"/>
  <c r="V299" i="8"/>
  <c r="U299" i="8"/>
  <c r="T299" i="8"/>
  <c r="S299" i="8"/>
  <c r="R299" i="8"/>
  <c r="Q299" i="8"/>
  <c r="P299" i="8"/>
  <c r="O299" i="8"/>
  <c r="N299" i="8"/>
  <c r="M299" i="8"/>
  <c r="L299" i="8"/>
  <c r="K299" i="8"/>
  <c r="J299" i="8"/>
  <c r="I299" i="8"/>
  <c r="H299" i="8"/>
  <c r="G299" i="8"/>
  <c r="F299" i="8"/>
  <c r="E299" i="8"/>
  <c r="D299" i="8"/>
  <c r="C299" i="8"/>
  <c r="X298" i="8"/>
  <c r="W298" i="8"/>
  <c r="V298" i="8"/>
  <c r="U298" i="8"/>
  <c r="T298" i="8"/>
  <c r="S298" i="8"/>
  <c r="R298" i="8"/>
  <c r="Q298" i="8"/>
  <c r="P298" i="8"/>
  <c r="O298" i="8"/>
  <c r="N298" i="8"/>
  <c r="M298" i="8"/>
  <c r="L298" i="8"/>
  <c r="K298" i="8"/>
  <c r="J298" i="8"/>
  <c r="I298" i="8"/>
  <c r="H298" i="8"/>
  <c r="G298" i="8"/>
  <c r="F298" i="8"/>
  <c r="E298" i="8"/>
  <c r="D298" i="8"/>
  <c r="C298" i="8"/>
  <c r="X295" i="8"/>
  <c r="W295" i="8"/>
  <c r="V295" i="8"/>
  <c r="U295" i="8"/>
  <c r="T295" i="8"/>
  <c r="S295" i="8"/>
  <c r="R295" i="8"/>
  <c r="Q295" i="8"/>
  <c r="P295" i="8"/>
  <c r="O295" i="8"/>
  <c r="N295" i="8"/>
  <c r="M295" i="8"/>
  <c r="L295" i="8"/>
  <c r="K295" i="8"/>
  <c r="J295" i="8"/>
  <c r="I295" i="8"/>
  <c r="H295" i="8"/>
  <c r="G295" i="8"/>
  <c r="F295" i="8"/>
  <c r="E295" i="8"/>
  <c r="D295" i="8"/>
  <c r="C295" i="8"/>
  <c r="X294" i="8"/>
  <c r="W294" i="8"/>
  <c r="V294" i="8"/>
  <c r="U294" i="8"/>
  <c r="T294" i="8"/>
  <c r="S294" i="8"/>
  <c r="R294" i="8"/>
  <c r="Q294" i="8"/>
  <c r="P294" i="8"/>
  <c r="O294" i="8"/>
  <c r="N294" i="8"/>
  <c r="M294" i="8"/>
  <c r="L294" i="8"/>
  <c r="K294" i="8"/>
  <c r="J294" i="8"/>
  <c r="I294" i="8"/>
  <c r="H294" i="8"/>
  <c r="G294" i="8"/>
  <c r="F294" i="8"/>
  <c r="E294" i="8"/>
  <c r="D294" i="8"/>
  <c r="C294" i="8"/>
  <c r="X293" i="8"/>
  <c r="W293" i="8"/>
  <c r="V293" i="8"/>
  <c r="U293" i="8"/>
  <c r="T293" i="8"/>
  <c r="S293" i="8"/>
  <c r="R293" i="8"/>
  <c r="Q293" i="8"/>
  <c r="P293" i="8"/>
  <c r="O293" i="8"/>
  <c r="N293" i="8"/>
  <c r="M293" i="8"/>
  <c r="L293" i="8"/>
  <c r="K293" i="8"/>
  <c r="J293" i="8"/>
  <c r="I293" i="8"/>
  <c r="H293" i="8"/>
  <c r="G293" i="8"/>
  <c r="F293" i="8"/>
  <c r="E293" i="8"/>
  <c r="D293" i="8"/>
  <c r="C293" i="8"/>
  <c r="X291" i="8"/>
  <c r="W291" i="8"/>
  <c r="V291" i="8"/>
  <c r="U291" i="8"/>
  <c r="T291" i="8"/>
  <c r="S291" i="8"/>
  <c r="R291" i="8"/>
  <c r="Q291" i="8"/>
  <c r="P291" i="8"/>
  <c r="O291" i="8"/>
  <c r="N291" i="8"/>
  <c r="M291" i="8"/>
  <c r="L291" i="8"/>
  <c r="K291" i="8"/>
  <c r="J291" i="8"/>
  <c r="I291" i="8"/>
  <c r="H291" i="8"/>
  <c r="G291" i="8"/>
  <c r="F291" i="8"/>
  <c r="E291" i="8"/>
  <c r="D291" i="8"/>
  <c r="C291" i="8"/>
  <c r="X290" i="8"/>
  <c r="W290" i="8"/>
  <c r="V290" i="8"/>
  <c r="U290" i="8"/>
  <c r="T290" i="8"/>
  <c r="S290" i="8"/>
  <c r="R290" i="8"/>
  <c r="Q290" i="8"/>
  <c r="P290" i="8"/>
  <c r="O290" i="8"/>
  <c r="N290" i="8"/>
  <c r="M290" i="8"/>
  <c r="L290" i="8"/>
  <c r="K290" i="8"/>
  <c r="J290" i="8"/>
  <c r="I290" i="8"/>
  <c r="H290" i="8"/>
  <c r="G290" i="8"/>
  <c r="F290" i="8"/>
  <c r="E290" i="8"/>
  <c r="D290" i="8"/>
  <c r="C290" i="8"/>
  <c r="X289" i="8"/>
  <c r="W289" i="8"/>
  <c r="V289" i="8"/>
  <c r="U289" i="8"/>
  <c r="T289" i="8"/>
  <c r="S289" i="8"/>
  <c r="R289" i="8"/>
  <c r="Q289" i="8"/>
  <c r="P289" i="8"/>
  <c r="O289" i="8"/>
  <c r="N289" i="8"/>
  <c r="M289" i="8"/>
  <c r="L289" i="8"/>
  <c r="K289" i="8"/>
  <c r="J289" i="8"/>
  <c r="I289" i="8"/>
  <c r="H289" i="8"/>
  <c r="G289" i="8"/>
  <c r="F289" i="8"/>
  <c r="E289" i="8"/>
  <c r="D289" i="8"/>
  <c r="C289" i="8"/>
  <c r="X287" i="8"/>
  <c r="W287" i="8"/>
  <c r="V287" i="8"/>
  <c r="U287" i="8"/>
  <c r="T287" i="8"/>
  <c r="S287" i="8"/>
  <c r="R287" i="8"/>
  <c r="Q287" i="8"/>
  <c r="P287" i="8"/>
  <c r="O287" i="8"/>
  <c r="N287" i="8"/>
  <c r="M287" i="8"/>
  <c r="L287" i="8"/>
  <c r="K287" i="8"/>
  <c r="J287" i="8"/>
  <c r="I287" i="8"/>
  <c r="H287" i="8"/>
  <c r="G287" i="8"/>
  <c r="F287" i="8"/>
  <c r="E287" i="8"/>
  <c r="D287" i="8"/>
  <c r="C287" i="8"/>
  <c r="X286" i="8"/>
  <c r="W286" i="8"/>
  <c r="V286" i="8"/>
  <c r="U286" i="8"/>
  <c r="T286" i="8"/>
  <c r="S286" i="8"/>
  <c r="R286" i="8"/>
  <c r="Q286" i="8"/>
  <c r="P286" i="8"/>
  <c r="O286" i="8"/>
  <c r="N286" i="8"/>
  <c r="M286" i="8"/>
  <c r="L286" i="8"/>
  <c r="K286" i="8"/>
  <c r="J286" i="8"/>
  <c r="I286" i="8"/>
  <c r="H286" i="8"/>
  <c r="G286" i="8"/>
  <c r="F286" i="8"/>
  <c r="E286" i="8"/>
  <c r="D286" i="8"/>
  <c r="C286" i="8"/>
  <c r="X285" i="8"/>
  <c r="W285" i="8"/>
  <c r="V285" i="8"/>
  <c r="U285" i="8"/>
  <c r="T285" i="8"/>
  <c r="S285" i="8"/>
  <c r="R285" i="8"/>
  <c r="Q285" i="8"/>
  <c r="P285" i="8"/>
  <c r="O285" i="8"/>
  <c r="N285" i="8"/>
  <c r="M285" i="8"/>
  <c r="L285" i="8"/>
  <c r="K285" i="8"/>
  <c r="J285" i="8"/>
  <c r="I285" i="8"/>
  <c r="H285" i="8"/>
  <c r="G285" i="8"/>
  <c r="F285" i="8"/>
  <c r="E285" i="8"/>
  <c r="D285" i="8"/>
  <c r="C285" i="8"/>
  <c r="X283" i="8"/>
  <c r="W283" i="8"/>
  <c r="V283" i="8"/>
  <c r="U283" i="8"/>
  <c r="T283" i="8"/>
  <c r="S283" i="8"/>
  <c r="R283" i="8"/>
  <c r="Q283" i="8"/>
  <c r="P283" i="8"/>
  <c r="O283" i="8"/>
  <c r="N283" i="8"/>
  <c r="M283" i="8"/>
  <c r="L283" i="8"/>
  <c r="K283" i="8"/>
  <c r="J283" i="8"/>
  <c r="I283" i="8"/>
  <c r="H283" i="8"/>
  <c r="G283" i="8"/>
  <c r="F283" i="8"/>
  <c r="E283" i="8"/>
  <c r="D283" i="8"/>
  <c r="C283" i="8"/>
  <c r="X282" i="8"/>
  <c r="W282" i="8"/>
  <c r="V282" i="8"/>
  <c r="U282" i="8"/>
  <c r="T282" i="8"/>
  <c r="S282" i="8"/>
  <c r="R282" i="8"/>
  <c r="Q282" i="8"/>
  <c r="P282" i="8"/>
  <c r="O282" i="8"/>
  <c r="N282" i="8"/>
  <c r="M282" i="8"/>
  <c r="L282" i="8"/>
  <c r="K282" i="8"/>
  <c r="J282" i="8"/>
  <c r="I282" i="8"/>
  <c r="H282" i="8"/>
  <c r="G282" i="8"/>
  <c r="F282" i="8"/>
  <c r="E282" i="8"/>
  <c r="D282" i="8"/>
  <c r="C282" i="8"/>
  <c r="X281" i="8"/>
  <c r="W281" i="8"/>
  <c r="V281" i="8"/>
  <c r="U281" i="8"/>
  <c r="T281" i="8"/>
  <c r="S281" i="8"/>
  <c r="R281" i="8"/>
  <c r="Q281" i="8"/>
  <c r="P281" i="8"/>
  <c r="O281" i="8"/>
  <c r="N281" i="8"/>
  <c r="M281" i="8"/>
  <c r="L281" i="8"/>
  <c r="K281" i="8"/>
  <c r="J281" i="8"/>
  <c r="I281" i="8"/>
  <c r="H281" i="8"/>
  <c r="G281" i="8"/>
  <c r="F281" i="8"/>
  <c r="E281" i="8"/>
  <c r="D281" i="8"/>
  <c r="C281" i="8"/>
  <c r="X274" i="8"/>
  <c r="W274" i="8"/>
  <c r="V274" i="8"/>
  <c r="U274" i="8"/>
  <c r="T274" i="8"/>
  <c r="S274" i="8"/>
  <c r="R274" i="8"/>
  <c r="Q274" i="8"/>
  <c r="P274" i="8"/>
  <c r="O274" i="8"/>
  <c r="N274" i="8"/>
  <c r="M274" i="8"/>
  <c r="L274" i="8"/>
  <c r="K274" i="8"/>
  <c r="J274" i="8"/>
  <c r="I274" i="8"/>
  <c r="H274" i="8"/>
  <c r="G274" i="8"/>
  <c r="F274" i="8"/>
  <c r="E274" i="8"/>
  <c r="D274" i="8"/>
  <c r="C274" i="8"/>
  <c r="X273" i="8"/>
  <c r="W273" i="8"/>
  <c r="V273" i="8"/>
  <c r="U273" i="8"/>
  <c r="T273" i="8"/>
  <c r="S273" i="8"/>
  <c r="R273" i="8"/>
  <c r="Q273" i="8"/>
  <c r="P273" i="8"/>
  <c r="O273" i="8"/>
  <c r="N273" i="8"/>
  <c r="M273" i="8"/>
  <c r="L273" i="8"/>
  <c r="K273" i="8"/>
  <c r="J273" i="8"/>
  <c r="I273" i="8"/>
  <c r="H273" i="8"/>
  <c r="G273" i="8"/>
  <c r="F273" i="8"/>
  <c r="E273" i="8"/>
  <c r="D273" i="8"/>
  <c r="C273" i="8"/>
  <c r="X272" i="8"/>
  <c r="W272" i="8"/>
  <c r="V272" i="8"/>
  <c r="U272" i="8"/>
  <c r="T272" i="8"/>
  <c r="S272" i="8"/>
  <c r="R272" i="8"/>
  <c r="Q272" i="8"/>
  <c r="P272" i="8"/>
  <c r="O272" i="8"/>
  <c r="N272" i="8"/>
  <c r="M272" i="8"/>
  <c r="L272" i="8"/>
  <c r="K272" i="8"/>
  <c r="J272" i="8"/>
  <c r="I272" i="8"/>
  <c r="H272" i="8"/>
  <c r="G272" i="8"/>
  <c r="F272" i="8"/>
  <c r="E272" i="8"/>
  <c r="D272" i="8"/>
  <c r="C272" i="8"/>
  <c r="X269" i="8"/>
  <c r="W269" i="8"/>
  <c r="V269" i="8"/>
  <c r="U269" i="8"/>
  <c r="T269" i="8"/>
  <c r="S269" i="8"/>
  <c r="R269" i="8"/>
  <c r="Q269" i="8"/>
  <c r="P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X267" i="8"/>
  <c r="W267" i="8"/>
  <c r="V267" i="8"/>
  <c r="U267" i="8"/>
  <c r="T267" i="8"/>
  <c r="S267" i="8"/>
  <c r="R267" i="8"/>
  <c r="Q267" i="8"/>
  <c r="P267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X266" i="8"/>
  <c r="W266" i="8"/>
  <c r="V266" i="8"/>
  <c r="U266" i="8"/>
  <c r="T266" i="8"/>
  <c r="S266" i="8"/>
  <c r="R266" i="8"/>
  <c r="Q266" i="8"/>
  <c r="P266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X265" i="8"/>
  <c r="W265" i="8"/>
  <c r="V265" i="8"/>
  <c r="U265" i="8"/>
  <c r="T265" i="8"/>
  <c r="S265" i="8"/>
  <c r="R265" i="8"/>
  <c r="Q265" i="8"/>
  <c r="P265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X264" i="8"/>
  <c r="W264" i="8"/>
  <c r="V264" i="8"/>
  <c r="U264" i="8"/>
  <c r="T264" i="8"/>
  <c r="S264" i="8"/>
  <c r="R264" i="8"/>
  <c r="Q264" i="8"/>
  <c r="P264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X262" i="8"/>
  <c r="W262" i="8"/>
  <c r="V262" i="8"/>
  <c r="U262" i="8"/>
  <c r="T262" i="8"/>
  <c r="S262" i="8"/>
  <c r="R262" i="8"/>
  <c r="Q262" i="8"/>
  <c r="P262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X261" i="8"/>
  <c r="W261" i="8"/>
  <c r="V261" i="8"/>
  <c r="U261" i="8"/>
  <c r="T261" i="8"/>
  <c r="S261" i="8"/>
  <c r="R261" i="8"/>
  <c r="Q261" i="8"/>
  <c r="P261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X260" i="8"/>
  <c r="W260" i="8"/>
  <c r="V260" i="8"/>
  <c r="U260" i="8"/>
  <c r="T260" i="8"/>
  <c r="S260" i="8"/>
  <c r="R260" i="8"/>
  <c r="Q260" i="8"/>
  <c r="P260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X258" i="8"/>
  <c r="W258" i="8"/>
  <c r="V258" i="8"/>
  <c r="U258" i="8"/>
  <c r="T258" i="8"/>
  <c r="S258" i="8"/>
  <c r="R258" i="8"/>
  <c r="Q258" i="8"/>
  <c r="P258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X257" i="8"/>
  <c r="W257" i="8"/>
  <c r="V257" i="8"/>
  <c r="U257" i="8"/>
  <c r="T257" i="8"/>
  <c r="S257" i="8"/>
  <c r="R257" i="8"/>
  <c r="Q257" i="8"/>
  <c r="P257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X255" i="8"/>
  <c r="W255" i="8"/>
  <c r="V255" i="8"/>
  <c r="U255" i="8"/>
  <c r="T255" i="8"/>
  <c r="S255" i="8"/>
  <c r="R255" i="8"/>
  <c r="Q255" i="8"/>
  <c r="P255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X254" i="8"/>
  <c r="W254" i="8"/>
  <c r="V254" i="8"/>
  <c r="U254" i="8"/>
  <c r="T254" i="8"/>
  <c r="S254" i="8"/>
  <c r="R254" i="8"/>
  <c r="Q254" i="8"/>
  <c r="P254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X253" i="8"/>
  <c r="W253" i="8"/>
  <c r="V253" i="8"/>
  <c r="U253" i="8"/>
  <c r="T253" i="8"/>
  <c r="S253" i="8"/>
  <c r="R253" i="8"/>
  <c r="Q253" i="8"/>
  <c r="P253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X252" i="8"/>
  <c r="W252" i="8"/>
  <c r="V252" i="8"/>
  <c r="U252" i="8"/>
  <c r="T252" i="8"/>
  <c r="S252" i="8"/>
  <c r="R252" i="8"/>
  <c r="Q252" i="8"/>
  <c r="P252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X249" i="8"/>
  <c r="W249" i="8"/>
  <c r="V249" i="8"/>
  <c r="U249" i="8"/>
  <c r="T249" i="8"/>
  <c r="S249" i="8"/>
  <c r="R249" i="8"/>
  <c r="Q249" i="8"/>
  <c r="P249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X248" i="8"/>
  <c r="W248" i="8"/>
  <c r="V248" i="8"/>
  <c r="U248" i="8"/>
  <c r="T248" i="8"/>
  <c r="S248" i="8"/>
  <c r="R248" i="8"/>
  <c r="Q248" i="8"/>
  <c r="P248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X247" i="8"/>
  <c r="W247" i="8"/>
  <c r="V247" i="8"/>
  <c r="U247" i="8"/>
  <c r="T247" i="8"/>
  <c r="S247" i="8"/>
  <c r="R247" i="8"/>
  <c r="Q247" i="8"/>
  <c r="P247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X246" i="8"/>
  <c r="W246" i="8"/>
  <c r="V246" i="8"/>
  <c r="U246" i="8"/>
  <c r="T246" i="8"/>
  <c r="S246" i="8"/>
  <c r="R246" i="8"/>
  <c r="Q246" i="8"/>
  <c r="P246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X241" i="8"/>
  <c r="W241" i="8"/>
  <c r="V241" i="8"/>
  <c r="U241" i="8"/>
  <c r="T241" i="8"/>
  <c r="S241" i="8"/>
  <c r="R241" i="8"/>
  <c r="Q241" i="8"/>
  <c r="P241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X240" i="8"/>
  <c r="W240" i="8"/>
  <c r="V240" i="8"/>
  <c r="U240" i="8"/>
  <c r="T240" i="8"/>
  <c r="S240" i="8"/>
  <c r="R240" i="8"/>
  <c r="Q240" i="8"/>
  <c r="P240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X239" i="8"/>
  <c r="W239" i="8"/>
  <c r="V239" i="8"/>
  <c r="U239" i="8"/>
  <c r="T239" i="8"/>
  <c r="S239" i="8"/>
  <c r="R239" i="8"/>
  <c r="Q239" i="8"/>
  <c r="P239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X236" i="8"/>
  <c r="W236" i="8"/>
  <c r="V236" i="8"/>
  <c r="U236" i="8"/>
  <c r="T236" i="8"/>
  <c r="S236" i="8"/>
  <c r="R236" i="8"/>
  <c r="Q236" i="8"/>
  <c r="P236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X234" i="8"/>
  <c r="W234" i="8"/>
  <c r="V234" i="8"/>
  <c r="U234" i="8"/>
  <c r="T234" i="8"/>
  <c r="S234" i="8"/>
  <c r="R234" i="8"/>
  <c r="Q234" i="8"/>
  <c r="P234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X233" i="8"/>
  <c r="W233" i="8"/>
  <c r="V233" i="8"/>
  <c r="U233" i="8"/>
  <c r="T233" i="8"/>
  <c r="S233" i="8"/>
  <c r="R233" i="8"/>
  <c r="Q233" i="8"/>
  <c r="P233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X232" i="8"/>
  <c r="W232" i="8"/>
  <c r="V232" i="8"/>
  <c r="U232" i="8"/>
  <c r="T232" i="8"/>
  <c r="S232" i="8"/>
  <c r="R232" i="8"/>
  <c r="Q232" i="8"/>
  <c r="P232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X230" i="8"/>
  <c r="W230" i="8"/>
  <c r="V230" i="8"/>
  <c r="U230" i="8"/>
  <c r="T230" i="8"/>
  <c r="S230" i="8"/>
  <c r="R230" i="8"/>
  <c r="Q230" i="8"/>
  <c r="P230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X229" i="8"/>
  <c r="W229" i="8"/>
  <c r="V229" i="8"/>
  <c r="U229" i="8"/>
  <c r="T229" i="8"/>
  <c r="S229" i="8"/>
  <c r="R229" i="8"/>
  <c r="Q229" i="8"/>
  <c r="P229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X228" i="8"/>
  <c r="W228" i="8"/>
  <c r="V228" i="8"/>
  <c r="U228" i="8"/>
  <c r="T228" i="8"/>
  <c r="S228" i="8"/>
  <c r="R228" i="8"/>
  <c r="Q228" i="8"/>
  <c r="P228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X227" i="8"/>
  <c r="W227" i="8"/>
  <c r="V227" i="8"/>
  <c r="U227" i="8"/>
  <c r="T227" i="8"/>
  <c r="S227" i="8"/>
  <c r="R227" i="8"/>
  <c r="Q227" i="8"/>
  <c r="P227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X225" i="8"/>
  <c r="W225" i="8"/>
  <c r="V225" i="8"/>
  <c r="U225" i="8"/>
  <c r="T225" i="8"/>
  <c r="S225" i="8"/>
  <c r="R225" i="8"/>
  <c r="Q225" i="8"/>
  <c r="P225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X224" i="8"/>
  <c r="W224" i="8"/>
  <c r="V224" i="8"/>
  <c r="U224" i="8"/>
  <c r="T224" i="8"/>
  <c r="S224" i="8"/>
  <c r="R224" i="8"/>
  <c r="Q224" i="8"/>
  <c r="P224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X223" i="8"/>
  <c r="W223" i="8"/>
  <c r="V223" i="8"/>
  <c r="U223" i="8"/>
  <c r="T223" i="8"/>
  <c r="S223" i="8"/>
  <c r="R223" i="8"/>
  <c r="Q223" i="8"/>
  <c r="P223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X222" i="8"/>
  <c r="W222" i="8"/>
  <c r="V222" i="8"/>
  <c r="U222" i="8"/>
  <c r="T222" i="8"/>
  <c r="S222" i="8"/>
  <c r="R222" i="8"/>
  <c r="Q222" i="8"/>
  <c r="P222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X221" i="8"/>
  <c r="W221" i="8"/>
  <c r="V221" i="8"/>
  <c r="U221" i="8"/>
  <c r="T221" i="8"/>
  <c r="S221" i="8"/>
  <c r="R221" i="8"/>
  <c r="Q221" i="8"/>
  <c r="P221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X220" i="8"/>
  <c r="W220" i="8"/>
  <c r="V220" i="8"/>
  <c r="U220" i="8"/>
  <c r="T220" i="8"/>
  <c r="S220" i="8"/>
  <c r="R220" i="8"/>
  <c r="Q220" i="8"/>
  <c r="P220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X218" i="8"/>
  <c r="W218" i="8"/>
  <c r="V218" i="8"/>
  <c r="U218" i="8"/>
  <c r="T218" i="8"/>
  <c r="S218" i="8"/>
  <c r="R218" i="8"/>
  <c r="Q218" i="8"/>
  <c r="P218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X217" i="8"/>
  <c r="W217" i="8"/>
  <c r="V217" i="8"/>
  <c r="U217" i="8"/>
  <c r="T217" i="8"/>
  <c r="S217" i="8"/>
  <c r="R217" i="8"/>
  <c r="Q217" i="8"/>
  <c r="P217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X216" i="8"/>
  <c r="W216" i="8"/>
  <c r="V216" i="8"/>
  <c r="U216" i="8"/>
  <c r="T216" i="8"/>
  <c r="S216" i="8"/>
  <c r="R216" i="8"/>
  <c r="Q216" i="8"/>
  <c r="P216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X215" i="8"/>
  <c r="W215" i="8"/>
  <c r="V215" i="8"/>
  <c r="U215" i="8"/>
  <c r="T215" i="8"/>
  <c r="S215" i="8"/>
  <c r="R215" i="8"/>
  <c r="Q215" i="8"/>
  <c r="P215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X214" i="8"/>
  <c r="W214" i="8"/>
  <c r="V214" i="8"/>
  <c r="U214" i="8"/>
  <c r="T214" i="8"/>
  <c r="S214" i="8"/>
  <c r="R214" i="8"/>
  <c r="Q214" i="8"/>
  <c r="P214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X213" i="8"/>
  <c r="W213" i="8"/>
  <c r="V213" i="8"/>
  <c r="U213" i="8"/>
  <c r="T213" i="8"/>
  <c r="S213" i="8"/>
  <c r="R213" i="8"/>
  <c r="Q213" i="8"/>
  <c r="P213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X180" i="8"/>
  <c r="W180" i="8"/>
  <c r="V180" i="8"/>
  <c r="U180" i="8"/>
  <c r="T180" i="8"/>
  <c r="S180" i="8"/>
  <c r="R180" i="8"/>
  <c r="Q180" i="8"/>
  <c r="P180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X178" i="8"/>
  <c r="W178" i="8"/>
  <c r="V178" i="8"/>
  <c r="U178" i="8"/>
  <c r="T178" i="8"/>
  <c r="S178" i="8"/>
  <c r="R178" i="8"/>
  <c r="Q178" i="8"/>
  <c r="P178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X176" i="8"/>
  <c r="W176" i="8"/>
  <c r="V176" i="8"/>
  <c r="U176" i="8"/>
  <c r="T176" i="8"/>
  <c r="S176" i="8"/>
  <c r="R176" i="8"/>
  <c r="Q176" i="8"/>
  <c r="P176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X175" i="8"/>
  <c r="W175" i="8"/>
  <c r="V175" i="8"/>
  <c r="U175" i="8"/>
  <c r="T175" i="8"/>
  <c r="S175" i="8"/>
  <c r="R175" i="8"/>
  <c r="Q175" i="8"/>
  <c r="P175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X174" i="8"/>
  <c r="W174" i="8"/>
  <c r="V174" i="8"/>
  <c r="U174" i="8"/>
  <c r="T174" i="8"/>
  <c r="S174" i="8"/>
  <c r="R174" i="8"/>
  <c r="Q174" i="8"/>
  <c r="P174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X173" i="8"/>
  <c r="W173" i="8"/>
  <c r="V173" i="8"/>
  <c r="U173" i="8"/>
  <c r="T173" i="8"/>
  <c r="S173" i="8"/>
  <c r="R173" i="8"/>
  <c r="Q173" i="8"/>
  <c r="P173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X172" i="8"/>
  <c r="W172" i="8"/>
  <c r="V172" i="8"/>
  <c r="U172" i="8"/>
  <c r="T172" i="8"/>
  <c r="S172" i="8"/>
  <c r="R172" i="8"/>
  <c r="Q172" i="8"/>
  <c r="P172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X169" i="8"/>
  <c r="W169" i="8"/>
  <c r="V169" i="8"/>
  <c r="U169" i="8"/>
  <c r="T169" i="8"/>
  <c r="S169" i="8"/>
  <c r="R169" i="8"/>
  <c r="Q169" i="8"/>
  <c r="P169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X168" i="8"/>
  <c r="W168" i="8"/>
  <c r="V168" i="8"/>
  <c r="U168" i="8"/>
  <c r="T168" i="8"/>
  <c r="S168" i="8"/>
  <c r="R168" i="8"/>
  <c r="Q168" i="8"/>
  <c r="P168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X167" i="8"/>
  <c r="W167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X166" i="8"/>
  <c r="W166" i="8"/>
  <c r="V166" i="8"/>
  <c r="U166" i="8"/>
  <c r="T166" i="8"/>
  <c r="S166" i="8"/>
  <c r="R166" i="8"/>
  <c r="Q166" i="8"/>
  <c r="P166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X165" i="8"/>
  <c r="W165" i="8"/>
  <c r="V165" i="8"/>
  <c r="U165" i="8"/>
  <c r="T165" i="8"/>
  <c r="S165" i="8"/>
  <c r="R165" i="8"/>
  <c r="Q165" i="8"/>
  <c r="P165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X164" i="8"/>
  <c r="W164" i="8"/>
  <c r="V164" i="8"/>
  <c r="U164" i="8"/>
  <c r="T164" i="8"/>
  <c r="S164" i="8"/>
  <c r="R164" i="8"/>
  <c r="Q164" i="8"/>
  <c r="P164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X157" i="8"/>
  <c r="W157" i="8"/>
  <c r="V157" i="8"/>
  <c r="U157" i="8"/>
  <c r="T157" i="8"/>
  <c r="S157" i="8"/>
  <c r="R157" i="8"/>
  <c r="Q157" i="8"/>
  <c r="P157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X156" i="8"/>
  <c r="W156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X154" i="8"/>
  <c r="W154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X152" i="8"/>
  <c r="W152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X151" i="8"/>
  <c r="W151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X150" i="8"/>
  <c r="W150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X149" i="8"/>
  <c r="W149" i="8"/>
  <c r="V149" i="8"/>
  <c r="U149" i="8"/>
  <c r="T149" i="8"/>
  <c r="S149" i="8"/>
  <c r="R149" i="8"/>
  <c r="Q149" i="8"/>
  <c r="P149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X148" i="8"/>
  <c r="W148" i="8"/>
  <c r="V148" i="8"/>
  <c r="U148" i="8"/>
  <c r="T148" i="8"/>
  <c r="S148" i="8"/>
  <c r="R148" i="8"/>
  <c r="Q148" i="8"/>
  <c r="P148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X145" i="8"/>
  <c r="W145" i="8"/>
  <c r="V145" i="8"/>
  <c r="U145" i="8"/>
  <c r="T145" i="8"/>
  <c r="S145" i="8"/>
  <c r="R145" i="8"/>
  <c r="Q145" i="8"/>
  <c r="P145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X144" i="8"/>
  <c r="W144" i="8"/>
  <c r="V144" i="8"/>
  <c r="U144" i="8"/>
  <c r="T144" i="8"/>
  <c r="S144" i="8"/>
  <c r="R144" i="8"/>
  <c r="Q144" i="8"/>
  <c r="P144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X143" i="8"/>
  <c r="W143" i="8"/>
  <c r="V143" i="8"/>
  <c r="U143" i="8"/>
  <c r="T143" i="8"/>
  <c r="S143" i="8"/>
  <c r="R143" i="8"/>
  <c r="Q143" i="8"/>
  <c r="P143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X142" i="8"/>
  <c r="W14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X141" i="8"/>
  <c r="W141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X140" i="8"/>
  <c r="W140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X136" i="8"/>
  <c r="W136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X135" i="8"/>
  <c r="W135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X134" i="8"/>
  <c r="W134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X133" i="8"/>
  <c r="W133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X132" i="8"/>
  <c r="W132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X130" i="8"/>
  <c r="W130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X129" i="8"/>
  <c r="W129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X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X127" i="8"/>
  <c r="W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X125" i="8"/>
  <c r="W125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X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X118" i="8"/>
  <c r="W118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X117" i="8"/>
  <c r="W117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X116" i="8"/>
  <c r="AQ116" i="8" s="1"/>
  <c r="AR116" i="8" s="1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X113" i="8"/>
  <c r="W113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X112" i="8"/>
  <c r="W112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X111" i="8"/>
  <c r="W111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X110" i="8"/>
  <c r="W110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X102" i="8"/>
  <c r="AQ102" i="8" s="1"/>
  <c r="AR102" i="8" s="1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X94" i="8"/>
  <c r="W94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X90" i="8"/>
  <c r="W90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X89" i="8"/>
  <c r="W89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C88" i="8"/>
  <c r="X80" i="8"/>
  <c r="W80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X79" i="8"/>
  <c r="W79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X77" i="8"/>
  <c r="W77" i="8"/>
  <c r="V77" i="8"/>
  <c r="U77" i="8"/>
  <c r="T77" i="8"/>
  <c r="S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X76" i="8"/>
  <c r="W76" i="8"/>
  <c r="V76" i="8"/>
  <c r="U76" i="8"/>
  <c r="T76" i="8"/>
  <c r="S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X75" i="8"/>
  <c r="W75" i="8"/>
  <c r="V75" i="8"/>
  <c r="U75" i="8"/>
  <c r="T75" i="8"/>
  <c r="S75" i="8"/>
  <c r="R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X74" i="8"/>
  <c r="W74" i="8"/>
  <c r="V74" i="8"/>
  <c r="U74" i="8"/>
  <c r="T74" i="8"/>
  <c r="S74" i="8"/>
  <c r="R74" i="8"/>
  <c r="Q74" i="8"/>
  <c r="P74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X66" i="8"/>
  <c r="W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X65" i="8"/>
  <c r="W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X64" i="8"/>
  <c r="W64" i="8"/>
  <c r="V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X61" i="8"/>
  <c r="W61" i="8"/>
  <c r="V61" i="8"/>
  <c r="U61" i="8"/>
  <c r="T61" i="8"/>
  <c r="S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X60" i="8"/>
  <c r="W60" i="8"/>
  <c r="V60" i="8"/>
  <c r="U60" i="8"/>
  <c r="T60" i="8"/>
  <c r="S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X59" i="8"/>
  <c r="W59" i="8"/>
  <c r="V59" i="8"/>
  <c r="U59" i="8"/>
  <c r="T59" i="8"/>
  <c r="S59" i="8"/>
  <c r="R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D49" i="8"/>
  <c r="C49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C48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AO20" i="8"/>
  <c r="AP20" i="8" s="1"/>
  <c r="AM20" i="8"/>
  <c r="AN20" i="8" s="1"/>
  <c r="AI20" i="8"/>
  <c r="AJ20" i="8" s="1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C10" i="8"/>
  <c r="A990" i="8"/>
  <c r="A991" i="8"/>
  <c r="A992" i="8"/>
  <c r="A989" i="8"/>
  <c r="A982" i="8"/>
  <c r="A983" i="8"/>
  <c r="A984" i="8"/>
  <c r="A986" i="8"/>
  <c r="A971" i="8"/>
  <c r="A972" i="8"/>
  <c r="A973" i="8"/>
  <c r="A974" i="8"/>
  <c r="A975" i="8"/>
  <c r="A977" i="8"/>
  <c r="A978" i="8"/>
  <c r="A979" i="8"/>
  <c r="A980" i="8"/>
  <c r="A959" i="8"/>
  <c r="A960" i="8"/>
  <c r="A961" i="8"/>
  <c r="A963" i="8"/>
  <c r="A964" i="8"/>
  <c r="A965" i="8"/>
  <c r="A966" i="8"/>
  <c r="A967" i="8"/>
  <c r="A968" i="8"/>
  <c r="A970" i="8"/>
  <c r="A950" i="8"/>
  <c r="A951" i="8"/>
  <c r="A952" i="8"/>
  <c r="A953" i="8"/>
  <c r="A954" i="8"/>
  <c r="A956" i="8"/>
  <c r="A957" i="8"/>
  <c r="A958" i="8"/>
  <c r="A948" i="8"/>
  <c r="A929" i="8"/>
  <c r="A931" i="8"/>
  <c r="A932" i="8"/>
  <c r="A933" i="8"/>
  <c r="A934" i="8"/>
  <c r="A935" i="8"/>
  <c r="A936" i="8"/>
  <c r="A938" i="8"/>
  <c r="A939" i="8"/>
  <c r="A940" i="8"/>
  <c r="A941" i="8"/>
  <c r="A942" i="8"/>
  <c r="A943" i="8"/>
  <c r="A945" i="8"/>
  <c r="A946" i="8"/>
  <c r="A915" i="8"/>
  <c r="A916" i="8"/>
  <c r="A918" i="8"/>
  <c r="A919" i="8"/>
  <c r="A920" i="8"/>
  <c r="A921" i="8"/>
  <c r="A922" i="8"/>
  <c r="A924" i="8"/>
  <c r="A925" i="8"/>
  <c r="A926" i="8"/>
  <c r="A927" i="8"/>
  <c r="A928" i="8"/>
  <c r="A914" i="8"/>
  <c r="A894" i="8"/>
  <c r="A895" i="8"/>
  <c r="A896" i="8"/>
  <c r="A898" i="8"/>
  <c r="A899" i="8"/>
  <c r="A900" i="8"/>
  <c r="A901" i="8"/>
  <c r="A902" i="8"/>
  <c r="A903" i="8"/>
  <c r="A905" i="8"/>
  <c r="A906" i="8"/>
  <c r="A907" i="8"/>
  <c r="A908" i="8"/>
  <c r="A893" i="8"/>
  <c r="A886" i="8"/>
  <c r="A887" i="8"/>
  <c r="A885" i="8"/>
  <c r="A878" i="8"/>
  <c r="A879" i="8"/>
  <c r="A880" i="8"/>
  <c r="A882" i="8"/>
  <c r="A866" i="8"/>
  <c r="A867" i="8"/>
  <c r="A868" i="8"/>
  <c r="A870" i="8"/>
  <c r="A871" i="8"/>
  <c r="A872" i="8"/>
  <c r="A873" i="8"/>
  <c r="A874" i="8"/>
  <c r="A875" i="8"/>
  <c r="A877" i="8"/>
  <c r="A850" i="8"/>
  <c r="A851" i="8"/>
  <c r="A852" i="8"/>
  <c r="A853" i="8"/>
  <c r="A854" i="8"/>
  <c r="A856" i="8"/>
  <c r="A857" i="8"/>
  <c r="A858" i="8"/>
  <c r="A859" i="8"/>
  <c r="A860" i="8"/>
  <c r="A861" i="8"/>
  <c r="A863" i="8"/>
  <c r="A864" i="8"/>
  <c r="A865" i="8"/>
  <c r="A848" i="8"/>
  <c r="A840" i="8"/>
  <c r="A841" i="8"/>
  <c r="A842" i="8"/>
  <c r="A843" i="8"/>
  <c r="A845" i="8"/>
  <c r="A846" i="8"/>
  <c r="A838" i="8"/>
  <c r="A839" i="8"/>
  <c r="A826" i="8"/>
  <c r="A827" i="8"/>
  <c r="A828" i="8"/>
  <c r="A829" i="8"/>
  <c r="A831" i="8"/>
  <c r="A832" i="8"/>
  <c r="A833" i="8"/>
  <c r="A834" i="8"/>
  <c r="A835" i="8"/>
  <c r="A836" i="8"/>
  <c r="A820" i="8"/>
  <c r="A821" i="8"/>
  <c r="A822" i="8"/>
  <c r="A824" i="8"/>
  <c r="A825" i="8"/>
  <c r="A819" i="8"/>
  <c r="A813" i="8"/>
  <c r="A814" i="8"/>
  <c r="A812" i="8"/>
  <c r="A794" i="8"/>
  <c r="A795" i="8"/>
  <c r="A796" i="8"/>
  <c r="A797" i="8"/>
  <c r="A798" i="8"/>
  <c r="A800" i="8"/>
  <c r="A801" i="8"/>
  <c r="A802" i="8"/>
  <c r="A803" i="8"/>
  <c r="A805" i="8"/>
  <c r="A806" i="8"/>
  <c r="A807" i="8"/>
  <c r="A809" i="8"/>
  <c r="A775" i="8"/>
  <c r="A776" i="8"/>
  <c r="A777" i="8"/>
  <c r="A779" i="8"/>
  <c r="A780" i="8"/>
  <c r="A781" i="8"/>
  <c r="A782" i="8"/>
  <c r="A783" i="8"/>
  <c r="A784" i="8"/>
  <c r="A786" i="8"/>
  <c r="A787" i="8"/>
  <c r="A788" i="8"/>
  <c r="A789" i="8"/>
  <c r="A790" i="8"/>
  <c r="A791" i="8"/>
  <c r="A793" i="8"/>
  <c r="A774" i="8"/>
  <c r="A764" i="8"/>
  <c r="A765" i="8"/>
  <c r="A766" i="8"/>
  <c r="A768" i="8"/>
  <c r="A769" i="8"/>
  <c r="A770" i="8"/>
  <c r="A771" i="8"/>
  <c r="A754" i="8"/>
  <c r="A756" i="8"/>
  <c r="A757" i="8"/>
  <c r="A758" i="8"/>
  <c r="A759" i="8"/>
  <c r="A761" i="8"/>
  <c r="A762" i="8"/>
  <c r="A763" i="8"/>
  <c r="A738" i="8"/>
  <c r="A739" i="8"/>
  <c r="A740" i="8"/>
  <c r="A742" i="8"/>
  <c r="A743" i="8"/>
  <c r="A744" i="8"/>
  <c r="A745" i="8"/>
  <c r="A746" i="8"/>
  <c r="A747" i="8"/>
  <c r="A749" i="8"/>
  <c r="A750" i="8"/>
  <c r="A751" i="8"/>
  <c r="A752" i="8"/>
  <c r="A753" i="8"/>
  <c r="A737" i="8"/>
  <c r="A714" i="8"/>
  <c r="A715" i="8"/>
  <c r="A716" i="8"/>
  <c r="A717" i="8"/>
  <c r="A718" i="8"/>
  <c r="A720" i="8"/>
  <c r="A721" i="8"/>
  <c r="A722" i="8"/>
  <c r="A723" i="8"/>
  <c r="A724" i="8"/>
  <c r="A725" i="8"/>
  <c r="A727" i="8"/>
  <c r="A728" i="8"/>
  <c r="A729" i="8"/>
  <c r="A730" i="8"/>
  <c r="A713" i="8"/>
  <c r="A691" i="8"/>
  <c r="A692" i="8"/>
  <c r="A693" i="8"/>
  <c r="A694" i="8"/>
  <c r="A695" i="8"/>
  <c r="A696" i="8"/>
  <c r="A698" i="8"/>
  <c r="A699" i="8"/>
  <c r="A700" i="8"/>
  <c r="A701" i="8"/>
  <c r="A702" i="8"/>
  <c r="A703" i="8"/>
  <c r="A705" i="8"/>
  <c r="A706" i="8"/>
  <c r="A707" i="8"/>
  <c r="A708" i="8"/>
  <c r="A690" i="8"/>
  <c r="A684" i="8"/>
  <c r="A685" i="8"/>
  <c r="A686" i="8"/>
  <c r="A687" i="8"/>
  <c r="A683" i="8"/>
  <c r="A674" i="8"/>
  <c r="A675" i="8"/>
  <c r="A673" i="8"/>
  <c r="A658" i="8"/>
  <c r="A659" i="8"/>
  <c r="A660" i="8"/>
  <c r="A661" i="8"/>
  <c r="A662" i="8"/>
  <c r="A663" i="8"/>
  <c r="A665" i="8"/>
  <c r="A666" i="8"/>
  <c r="A667" i="8"/>
  <c r="A668" i="8"/>
  <c r="A670" i="8"/>
  <c r="A651" i="8"/>
  <c r="A652" i="8"/>
  <c r="A653" i="8"/>
  <c r="A654" i="8"/>
  <c r="A655" i="8"/>
  <c r="A656" i="8"/>
  <c r="A649" i="8"/>
  <c r="A646" i="8"/>
  <c r="A647" i="8"/>
  <c r="A627" i="8"/>
  <c r="A628" i="8"/>
  <c r="A629" i="8"/>
  <c r="A630" i="8"/>
  <c r="A632" i="8"/>
  <c r="A633" i="8"/>
  <c r="A634" i="8"/>
  <c r="A635" i="8"/>
  <c r="A636" i="8"/>
  <c r="A637" i="8"/>
  <c r="A639" i="8"/>
  <c r="A640" i="8"/>
  <c r="A641" i="8"/>
  <c r="A642" i="8"/>
  <c r="A643" i="8"/>
  <c r="A644" i="8"/>
  <c r="A626" i="8"/>
  <c r="A620" i="8"/>
  <c r="A621" i="8"/>
  <c r="A619" i="8"/>
  <c r="A611" i="8"/>
  <c r="A612" i="8"/>
  <c r="A613" i="8"/>
  <c r="A614" i="8"/>
  <c r="A616" i="8"/>
  <c r="A602" i="8"/>
  <c r="A603" i="8"/>
  <c r="A604" i="8"/>
  <c r="A606" i="8"/>
  <c r="A607" i="8"/>
  <c r="A608" i="8"/>
  <c r="A609" i="8"/>
  <c r="A578" i="8"/>
  <c r="A579" i="8"/>
  <c r="A580" i="8"/>
  <c r="A581" i="8"/>
  <c r="A582" i="8"/>
  <c r="A583" i="8"/>
  <c r="A585" i="8"/>
  <c r="A586" i="8"/>
  <c r="A587" i="8"/>
  <c r="A588" i="8"/>
  <c r="A589" i="8"/>
  <c r="A590" i="8"/>
  <c r="A592" i="8"/>
  <c r="A593" i="8"/>
  <c r="A594" i="8"/>
  <c r="A595" i="8"/>
  <c r="A596" i="8"/>
  <c r="A597" i="8"/>
  <c r="A599" i="8"/>
  <c r="A600" i="8"/>
  <c r="A601" i="8"/>
  <c r="A576" i="8"/>
  <c r="A573" i="8"/>
  <c r="A574" i="8"/>
  <c r="A559" i="8"/>
  <c r="A560" i="8"/>
  <c r="A561" i="8"/>
  <c r="A562" i="8"/>
  <c r="A564" i="8"/>
  <c r="A565" i="8"/>
  <c r="A566" i="8"/>
  <c r="A567" i="8"/>
  <c r="A568" i="8"/>
  <c r="A569" i="8"/>
  <c r="A571" i="8"/>
  <c r="A572" i="8"/>
  <c r="A540" i="8"/>
  <c r="A541" i="8"/>
  <c r="A543" i="8"/>
  <c r="A544" i="8"/>
  <c r="A545" i="8"/>
  <c r="A546" i="8"/>
  <c r="A547" i="8"/>
  <c r="A548" i="8"/>
  <c r="A550" i="8"/>
  <c r="A551" i="8"/>
  <c r="A552" i="8"/>
  <c r="A553" i="8"/>
  <c r="A554" i="8"/>
  <c r="A555" i="8"/>
  <c r="A557" i="8"/>
  <c r="A558" i="8"/>
  <c r="A539" i="8"/>
  <c r="A523" i="8"/>
  <c r="A524" i="8"/>
  <c r="A525" i="8"/>
  <c r="A526" i="8"/>
  <c r="A527" i="8"/>
  <c r="A529" i="8"/>
  <c r="A530" i="8"/>
  <c r="A531" i="8"/>
  <c r="A532" i="8"/>
  <c r="A522" i="8"/>
  <c r="A516" i="8"/>
  <c r="A517" i="8"/>
  <c r="A518" i="8"/>
  <c r="A519" i="8"/>
  <c r="A520" i="8"/>
  <c r="A515" i="8"/>
  <c r="A509" i="8"/>
  <c r="A511" i="8"/>
  <c r="A512" i="8"/>
  <c r="A508" i="8"/>
  <c r="A487" i="8"/>
  <c r="A488" i="8"/>
  <c r="A489" i="8"/>
  <c r="A490" i="8"/>
  <c r="A491" i="8"/>
  <c r="A493" i="8"/>
  <c r="A494" i="8"/>
  <c r="A495" i="8"/>
  <c r="A496" i="8"/>
  <c r="A497" i="8"/>
  <c r="A498" i="8"/>
  <c r="A500" i="8"/>
  <c r="A501" i="8"/>
  <c r="A502" i="8"/>
  <c r="A503" i="8"/>
  <c r="A486" i="8"/>
  <c r="A476" i="8"/>
  <c r="A477" i="8"/>
  <c r="A479" i="8"/>
  <c r="A480" i="8"/>
  <c r="A482" i="8"/>
  <c r="A483" i="8"/>
  <c r="A475" i="8"/>
  <c r="A467" i="8"/>
  <c r="A468" i="8"/>
  <c r="A466" i="8"/>
  <c r="A451" i="8"/>
  <c r="A452" i="8"/>
  <c r="A453" i="8"/>
  <c r="A454" i="8"/>
  <c r="A455" i="8"/>
  <c r="A456" i="8"/>
  <c r="A458" i="8"/>
  <c r="A459" i="8"/>
  <c r="A460" i="8"/>
  <c r="A461" i="8"/>
  <c r="A463" i="8"/>
  <c r="A432" i="8"/>
  <c r="A433" i="8"/>
  <c r="A434" i="8"/>
  <c r="A435" i="8"/>
  <c r="A437" i="8"/>
  <c r="A438" i="8"/>
  <c r="A439" i="8"/>
  <c r="A440" i="8"/>
  <c r="A441" i="8"/>
  <c r="A442" i="8"/>
  <c r="A444" i="8"/>
  <c r="A445" i="8"/>
  <c r="A446" i="8"/>
  <c r="A447" i="8"/>
  <c r="A448" i="8"/>
  <c r="A449" i="8"/>
  <c r="A431" i="8"/>
  <c r="A413" i="8"/>
  <c r="A414" i="8"/>
  <c r="A415" i="8"/>
  <c r="A416" i="8"/>
  <c r="A418" i="8"/>
  <c r="A419" i="8"/>
  <c r="A420" i="8"/>
  <c r="A421" i="8"/>
  <c r="A423" i="8"/>
  <c r="A424" i="8"/>
  <c r="A425" i="8"/>
  <c r="A426" i="8"/>
  <c r="A428" i="8"/>
  <c r="A412" i="8"/>
  <c r="A406" i="8"/>
  <c r="A407" i="8"/>
  <c r="A405" i="8"/>
  <c r="A402" i="8"/>
  <c r="A400" i="8"/>
  <c r="A399" i="8"/>
  <c r="A398" i="8"/>
  <c r="A396" i="8"/>
  <c r="A395" i="8"/>
  <c r="A394" i="8"/>
  <c r="A393" i="8"/>
  <c r="A372" i="8"/>
  <c r="A373" i="8"/>
  <c r="A374" i="8"/>
  <c r="A375" i="8"/>
  <c r="A376" i="8"/>
  <c r="A377" i="8"/>
  <c r="A379" i="8"/>
  <c r="A380" i="8"/>
  <c r="A381" i="8"/>
  <c r="A382" i="8"/>
  <c r="A383" i="8"/>
  <c r="A384" i="8"/>
  <c r="A386" i="8"/>
  <c r="A387" i="8"/>
  <c r="A388" i="8"/>
  <c r="A389" i="8"/>
  <c r="A390" i="8"/>
  <c r="A391" i="8"/>
  <c r="A370" i="8"/>
  <c r="A362" i="8"/>
  <c r="A363" i="8"/>
  <c r="A364" i="8"/>
  <c r="A365" i="8"/>
  <c r="A366" i="8"/>
  <c r="A368" i="8"/>
  <c r="A361" i="8"/>
  <c r="A352" i="8"/>
  <c r="A353" i="8"/>
  <c r="A354" i="8"/>
  <c r="A336" i="8"/>
  <c r="A337" i="8"/>
  <c r="A338" i="8"/>
  <c r="A339" i="8"/>
  <c r="A340" i="8"/>
  <c r="A341" i="8"/>
  <c r="A342" i="8"/>
  <c r="A344" i="8"/>
  <c r="A345" i="8"/>
  <c r="A346" i="8"/>
  <c r="A347" i="8"/>
  <c r="A348" i="8"/>
  <c r="A349" i="8"/>
  <c r="A351" i="8"/>
  <c r="A335" i="8"/>
  <c r="A319" i="8"/>
  <c r="A320" i="8"/>
  <c r="A322" i="8"/>
  <c r="A323" i="8"/>
  <c r="A324" i="8"/>
  <c r="A326" i="8"/>
  <c r="A327" i="8"/>
  <c r="A328" i="8"/>
  <c r="A330" i="8"/>
  <c r="A331" i="8"/>
  <c r="A332" i="8"/>
  <c r="A318" i="8"/>
  <c r="A281" i="8"/>
  <c r="A313" i="8"/>
  <c r="A312" i="8"/>
  <c r="A311" i="8"/>
  <c r="A310" i="8"/>
  <c r="A308" i="8"/>
  <c r="A307" i="8"/>
  <c r="A306" i="8"/>
  <c r="A305" i="8"/>
  <c r="A304" i="8"/>
  <c r="A303" i="8"/>
  <c r="A299" i="8"/>
  <c r="A300" i="8"/>
  <c r="A301" i="8"/>
  <c r="A298" i="8"/>
  <c r="A295" i="8"/>
  <c r="A294" i="8"/>
  <c r="A293" i="8"/>
  <c r="A291" i="8"/>
  <c r="A290" i="8"/>
  <c r="A289" i="8"/>
  <c r="A287" i="8"/>
  <c r="A286" i="8"/>
  <c r="A285" i="8"/>
  <c r="A283" i="8"/>
  <c r="A282" i="8"/>
  <c r="A273" i="8"/>
  <c r="A274" i="8"/>
  <c r="A272" i="8"/>
  <c r="A269" i="8"/>
  <c r="A267" i="8"/>
  <c r="A266" i="8"/>
  <c r="A265" i="8"/>
  <c r="A264" i="8"/>
  <c r="A262" i="8"/>
  <c r="A261" i="8"/>
  <c r="A260" i="8"/>
  <c r="A259" i="8"/>
  <c r="A258" i="8"/>
  <c r="A257" i="8"/>
  <c r="A253" i="8"/>
  <c r="A254" i="8"/>
  <c r="A255" i="8"/>
  <c r="A252" i="8"/>
  <c r="A249" i="8"/>
  <c r="A247" i="8"/>
  <c r="A246" i="8"/>
  <c r="A248" i="8"/>
  <c r="A240" i="8"/>
  <c r="A241" i="8"/>
  <c r="A239" i="8"/>
  <c r="A236" i="8"/>
  <c r="A234" i="8"/>
  <c r="A233" i="8"/>
  <c r="A232" i="8"/>
  <c r="A230" i="8"/>
  <c r="A229" i="8"/>
  <c r="A228" i="8"/>
  <c r="A227" i="8"/>
  <c r="A220" i="8"/>
  <c r="A221" i="8"/>
  <c r="A222" i="8"/>
  <c r="A223" i="8"/>
  <c r="A224" i="8"/>
  <c r="A225" i="8"/>
  <c r="A214" i="8"/>
  <c r="A215" i="8"/>
  <c r="A216" i="8"/>
  <c r="A217" i="8"/>
  <c r="A218" i="8"/>
  <c r="A213" i="8"/>
  <c r="A200" i="8"/>
  <c r="A201" i="8"/>
  <c r="A202" i="8"/>
  <c r="A203" i="8"/>
  <c r="A204" i="8"/>
  <c r="A206" i="8"/>
  <c r="A207" i="8"/>
  <c r="A208" i="8"/>
  <c r="A209" i="8"/>
  <c r="A210" i="8"/>
  <c r="A211" i="8"/>
  <c r="A198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64" i="8"/>
  <c r="A157" i="8"/>
  <c r="A156" i="8"/>
  <c r="A155" i="8"/>
  <c r="A154" i="8"/>
  <c r="A153" i="8"/>
  <c r="A152" i="8"/>
  <c r="A151" i="8"/>
  <c r="A150" i="8"/>
  <c r="A149" i="8"/>
  <c r="A148" i="8"/>
  <c r="A147" i="8"/>
  <c r="A140" i="8"/>
  <c r="A141" i="8"/>
  <c r="A142" i="8"/>
  <c r="A143" i="8"/>
  <c r="A144" i="8"/>
  <c r="A145" i="8"/>
  <c r="A139" i="8"/>
  <c r="A132" i="8"/>
  <c r="A136" i="8"/>
  <c r="A135" i="8"/>
  <c r="A134" i="8"/>
  <c r="A133" i="8"/>
  <c r="A128" i="8"/>
  <c r="A129" i="8"/>
  <c r="A130" i="8"/>
  <c r="A127" i="8"/>
  <c r="A125" i="8"/>
  <c r="A124" i="8"/>
  <c r="A123" i="8"/>
  <c r="A115" i="8"/>
  <c r="A116" i="8"/>
  <c r="A117" i="8"/>
  <c r="A118" i="8"/>
  <c r="A109" i="8"/>
  <c r="A110" i="8"/>
  <c r="A111" i="8"/>
  <c r="A112" i="8"/>
  <c r="A113" i="8"/>
  <c r="A101" i="8"/>
  <c r="A102" i="8"/>
  <c r="A103" i="8"/>
  <c r="A104" i="8"/>
  <c r="A105" i="8"/>
  <c r="A106" i="8"/>
  <c r="A93" i="8"/>
  <c r="A94" i="8"/>
  <c r="A96" i="8"/>
  <c r="A97" i="8"/>
  <c r="A89" i="8"/>
  <c r="A90" i="8"/>
  <c r="A91" i="8"/>
  <c r="A88" i="8"/>
  <c r="A69" i="8"/>
  <c r="A70" i="8"/>
  <c r="A71" i="8"/>
  <c r="A72" i="8"/>
  <c r="A74" i="8"/>
  <c r="A75" i="8"/>
  <c r="A76" i="8"/>
  <c r="A77" i="8"/>
  <c r="A79" i="8"/>
  <c r="A80" i="8"/>
  <c r="A68" i="8"/>
  <c r="A53" i="8"/>
  <c r="A54" i="8"/>
  <c r="A55" i="8"/>
  <c r="A56" i="8"/>
  <c r="A58" i="8"/>
  <c r="A59" i="8"/>
  <c r="A60" i="8"/>
  <c r="A61" i="8"/>
  <c r="A63" i="8"/>
  <c r="A64" i="8"/>
  <c r="A65" i="8"/>
  <c r="A66" i="8"/>
  <c r="A52" i="8"/>
  <c r="A45" i="8"/>
  <c r="A46" i="8"/>
  <c r="A48" i="8"/>
  <c r="A49" i="8"/>
  <c r="A50" i="8"/>
  <c r="A44" i="8"/>
  <c r="A39" i="8"/>
  <c r="A35" i="8"/>
  <c r="A27" i="8"/>
  <c r="A28" i="8"/>
  <c r="A30" i="8"/>
  <c r="A31" i="8"/>
  <c r="A32" i="8"/>
  <c r="A26" i="8"/>
  <c r="A22" i="8"/>
  <c r="A23" i="8"/>
  <c r="A19" i="8"/>
  <c r="BF21" i="8"/>
  <c r="AQ982" i="8"/>
  <c r="AR982" i="8" s="1"/>
  <c r="AO974" i="8"/>
  <c r="AP974" i="8" s="1"/>
  <c r="AM941" i="8"/>
  <c r="AN941" i="8" s="1"/>
  <c r="AO903" i="8"/>
  <c r="AP903" i="8" s="1"/>
  <c r="AM900" i="8"/>
  <c r="AN900" i="8" s="1"/>
  <c r="AQ882" i="8"/>
  <c r="AR882" i="8" s="1"/>
  <c r="AO879" i="8"/>
  <c r="AP879" i="8" s="1"/>
  <c r="AI865" i="8"/>
  <c r="AJ865" i="8" s="1"/>
  <c r="AK852" i="8"/>
  <c r="AL852" i="8" s="1"/>
  <c r="AQ845" i="8"/>
  <c r="AR845" i="8" s="1"/>
  <c r="AI842" i="8"/>
  <c r="AJ842" i="8" s="1"/>
  <c r="AO809" i="8"/>
  <c r="AP809" i="8" s="1"/>
  <c r="AQ798" i="8"/>
  <c r="AR798" i="8" s="1"/>
  <c r="AQ794" i="8"/>
  <c r="AR794" i="8" s="1"/>
  <c r="AQ789" i="8"/>
  <c r="AR789" i="8" s="1"/>
  <c r="AQ782" i="8"/>
  <c r="AR782" i="8" s="1"/>
  <c r="AQ402" i="8"/>
  <c r="AR402" i="8" s="1"/>
  <c r="AQ380" i="8"/>
  <c r="AR380" i="8" s="1"/>
  <c r="AQ370" i="8"/>
  <c r="AR370" i="8" s="1"/>
  <c r="AQ352" i="8"/>
  <c r="AR352" i="8" s="1"/>
  <c r="AQ342" i="8"/>
  <c r="AR342" i="8" s="1"/>
  <c r="AQ324" i="8"/>
  <c r="AR324" i="8" s="1"/>
  <c r="AQ308" i="8"/>
  <c r="AR308" i="8" s="1"/>
  <c r="AQ295" i="8"/>
  <c r="AR295" i="8" s="1"/>
  <c r="AQ267" i="8"/>
  <c r="AR267" i="8" s="1"/>
  <c r="AQ255" i="8"/>
  <c r="AR255" i="8" s="1"/>
  <c r="AQ241" i="8"/>
  <c r="AR241" i="8" s="1"/>
  <c r="AQ220" i="8"/>
  <c r="AR220" i="8" s="1"/>
  <c r="AQ111" i="8"/>
  <c r="AR111" i="8" s="1"/>
  <c r="AQ45" i="8"/>
  <c r="AR45" i="8" s="1"/>
  <c r="AI7" i="8"/>
  <c r="AJ7" i="8" s="1"/>
  <c r="AK7" i="8"/>
  <c r="AL7" i="8" s="1"/>
  <c r="AM7" i="8"/>
  <c r="AN7" i="8" s="1"/>
  <c r="AO7" i="8"/>
  <c r="AP7" i="8" s="1"/>
  <c r="AQ7" i="8"/>
  <c r="AR7" i="8" s="1"/>
  <c r="AI8" i="8"/>
  <c r="AJ8" i="8" s="1"/>
  <c r="AK8" i="8"/>
  <c r="AL8" i="8" s="1"/>
  <c r="AM8" i="8"/>
  <c r="AN8" i="8" s="1"/>
  <c r="AO8" i="8"/>
  <c r="AP8" i="8" s="1"/>
  <c r="AQ8" i="8"/>
  <c r="AR8" i="8" s="1"/>
  <c r="AI9" i="8"/>
  <c r="AJ9" i="8" s="1"/>
  <c r="AK9" i="8"/>
  <c r="AL9" i="8" s="1"/>
  <c r="AM9" i="8"/>
  <c r="AN9" i="8" s="1"/>
  <c r="AO9" i="8"/>
  <c r="AP9" i="8" s="1"/>
  <c r="AQ9" i="8"/>
  <c r="AR9" i="8" s="1"/>
  <c r="AI12" i="8"/>
  <c r="AJ12" i="8"/>
  <c r="AK12" i="8"/>
  <c r="AL12" i="8" s="1"/>
  <c r="AM12" i="8"/>
  <c r="AN12" i="8" s="1"/>
  <c r="AO12" i="8"/>
  <c r="AP12" i="8" s="1"/>
  <c r="AQ12" i="8"/>
  <c r="AR12" i="8" s="1"/>
  <c r="AI15" i="8"/>
  <c r="AJ15" i="8" s="1"/>
  <c r="AK15" i="8"/>
  <c r="AL15" i="8"/>
  <c r="AM15" i="8"/>
  <c r="AN15" i="8" s="1"/>
  <c r="AO15" i="8"/>
  <c r="AP15" i="8" s="1"/>
  <c r="AQ15" i="8"/>
  <c r="AR15" i="8" s="1"/>
  <c r="AI16" i="8"/>
  <c r="AJ16" i="8" s="1"/>
  <c r="AK16" i="8"/>
  <c r="AL16" i="8" s="1"/>
  <c r="AM16" i="8"/>
  <c r="AN16" i="8" s="1"/>
  <c r="AO16" i="8"/>
  <c r="AP16" i="8" s="1"/>
  <c r="AQ16" i="8"/>
  <c r="AR16" i="8" s="1"/>
  <c r="AK20" i="8"/>
  <c r="AL20" i="8" s="1"/>
  <c r="AQ20" i="8"/>
  <c r="AR20" i="8" s="1"/>
  <c r="AI24" i="8"/>
  <c r="AJ24" i="8" s="1"/>
  <c r="AK24" i="8"/>
  <c r="AL24" i="8" s="1"/>
  <c r="AM24" i="8"/>
  <c r="AN24" i="8" s="1"/>
  <c r="AO24" i="8"/>
  <c r="AP24" i="8" s="1"/>
  <c r="AQ24" i="8"/>
  <c r="AR24" i="8" s="1"/>
  <c r="AI25" i="8"/>
  <c r="AJ25" i="8" s="1"/>
  <c r="AK25" i="8"/>
  <c r="AL25" i="8" s="1"/>
  <c r="AM25" i="8"/>
  <c r="AN25" i="8" s="1"/>
  <c r="AO25" i="8"/>
  <c r="AP25" i="8" s="1"/>
  <c r="AQ25" i="8"/>
  <c r="AR25" i="8" s="1"/>
  <c r="AI29" i="8"/>
  <c r="AJ29" i="8" s="1"/>
  <c r="AK29" i="8"/>
  <c r="AL29" i="8"/>
  <c r="AM29" i="8"/>
  <c r="AN29" i="8" s="1"/>
  <c r="AO29" i="8"/>
  <c r="AP29" i="8" s="1"/>
  <c r="AQ29" i="8"/>
  <c r="AR29" i="8" s="1"/>
  <c r="AI33" i="8"/>
  <c r="AJ33" i="8" s="1"/>
  <c r="AK33" i="8"/>
  <c r="AL33" i="8" s="1"/>
  <c r="AM33" i="8"/>
  <c r="AN33" i="8" s="1"/>
  <c r="AO33" i="8"/>
  <c r="AP33" i="8" s="1"/>
  <c r="AQ33" i="8"/>
  <c r="AR33" i="8" s="1"/>
  <c r="AI34" i="8"/>
  <c r="AJ34" i="8" s="1"/>
  <c r="AK34" i="8"/>
  <c r="AL34" i="8" s="1"/>
  <c r="AM34" i="8"/>
  <c r="AN34" i="8" s="1"/>
  <c r="AO34" i="8"/>
  <c r="AP34" i="8" s="1"/>
  <c r="AQ34" i="8"/>
  <c r="AR34" i="8" s="1"/>
  <c r="AI38" i="8"/>
  <c r="AJ38" i="8" s="1"/>
  <c r="AK38" i="8"/>
  <c r="AL38" i="8" s="1"/>
  <c r="AM38" i="8"/>
  <c r="AN38" i="8" s="1"/>
  <c r="AO38" i="8"/>
  <c r="AP38" i="8" s="1"/>
  <c r="AQ38" i="8"/>
  <c r="AR38" i="8" s="1"/>
  <c r="AI42" i="8"/>
  <c r="AJ42" i="8" s="1"/>
  <c r="AK42" i="8"/>
  <c r="AL42" i="8" s="1"/>
  <c r="AM42" i="8"/>
  <c r="AN42" i="8" s="1"/>
  <c r="AO42" i="8"/>
  <c r="AP42" i="8" s="1"/>
  <c r="AQ42" i="8"/>
  <c r="AR42" i="8" s="1"/>
  <c r="AI43" i="8"/>
  <c r="AJ43" i="8" s="1"/>
  <c r="AK43" i="8"/>
  <c r="AL43" i="8" s="1"/>
  <c r="AM43" i="8"/>
  <c r="AN43" i="8" s="1"/>
  <c r="AO43" i="8"/>
  <c r="AP43" i="8" s="1"/>
  <c r="AQ43" i="8"/>
  <c r="AR43" i="8" s="1"/>
  <c r="AI47" i="8"/>
  <c r="AJ47" i="8" s="1"/>
  <c r="AK47" i="8"/>
  <c r="AL47" i="8"/>
  <c r="AM47" i="8"/>
  <c r="AN47" i="8" s="1"/>
  <c r="AO47" i="8"/>
  <c r="AP47" i="8" s="1"/>
  <c r="AQ47" i="8"/>
  <c r="AR47" i="8" s="1"/>
  <c r="AI51" i="8"/>
  <c r="AJ51" i="8" s="1"/>
  <c r="AK51" i="8"/>
  <c r="AL51" i="8" s="1"/>
  <c r="AM51" i="8"/>
  <c r="AN51" i="8" s="1"/>
  <c r="AO51" i="8"/>
  <c r="AP51" i="8"/>
  <c r="AQ51" i="8"/>
  <c r="AR51" i="8" s="1"/>
  <c r="AI57" i="8"/>
  <c r="AJ57" i="8" s="1"/>
  <c r="AK57" i="8"/>
  <c r="AL57" i="8" s="1"/>
  <c r="AM57" i="8"/>
  <c r="AN57" i="8" s="1"/>
  <c r="AO57" i="8"/>
  <c r="AP57" i="8" s="1"/>
  <c r="AQ57" i="8"/>
  <c r="AR57" i="8" s="1"/>
  <c r="AI62" i="8"/>
  <c r="AJ62" i="8" s="1"/>
  <c r="AK62" i="8"/>
  <c r="AL62" i="8" s="1"/>
  <c r="AM62" i="8"/>
  <c r="AN62" i="8" s="1"/>
  <c r="AO62" i="8"/>
  <c r="AP62" i="8" s="1"/>
  <c r="AQ62" i="8"/>
  <c r="AR62" i="8" s="1"/>
  <c r="AI67" i="8"/>
  <c r="AJ67" i="8" s="1"/>
  <c r="AK67" i="8"/>
  <c r="AL67" i="8" s="1"/>
  <c r="AM67" i="8"/>
  <c r="AN67" i="8" s="1"/>
  <c r="AO67" i="8"/>
  <c r="AP67" i="8"/>
  <c r="AQ67" i="8"/>
  <c r="AR67" i="8" s="1"/>
  <c r="AI73" i="8"/>
  <c r="AJ73" i="8"/>
  <c r="AK73" i="8"/>
  <c r="AL73" i="8" s="1"/>
  <c r="AM73" i="8"/>
  <c r="AN73" i="8" s="1"/>
  <c r="AO73" i="8"/>
  <c r="AP73" i="8" s="1"/>
  <c r="AQ73" i="8"/>
  <c r="AR73" i="8" s="1"/>
  <c r="AI78" i="8"/>
  <c r="AJ78" i="8" s="1"/>
  <c r="AK78" i="8"/>
  <c r="AL78" i="8" s="1"/>
  <c r="AM78" i="8"/>
  <c r="AN78" i="8" s="1"/>
  <c r="AO78" i="8"/>
  <c r="AP78" i="8" s="1"/>
  <c r="AQ78" i="8"/>
  <c r="AR78" i="8" s="1"/>
  <c r="AI81" i="8"/>
  <c r="AJ81" i="8" s="1"/>
  <c r="AK81" i="8"/>
  <c r="AL81" i="8" s="1"/>
  <c r="AM81" i="8"/>
  <c r="AN81" i="8" s="1"/>
  <c r="AO81" i="8"/>
  <c r="AP81" i="8" s="1"/>
  <c r="AQ81" i="8"/>
  <c r="AR81" i="8"/>
  <c r="AI82" i="8"/>
  <c r="AJ82" i="8" s="1"/>
  <c r="AK82" i="8"/>
  <c r="AL82" i="8"/>
  <c r="AM82" i="8"/>
  <c r="AN82" i="8" s="1"/>
  <c r="AO82" i="8"/>
  <c r="AP82" i="8" s="1"/>
  <c r="AQ82" i="8"/>
  <c r="AR82" i="8" s="1"/>
  <c r="AI83" i="8"/>
  <c r="AJ83" i="8" s="1"/>
  <c r="AK83" i="8"/>
  <c r="AL83" i="8" s="1"/>
  <c r="AM83" i="8"/>
  <c r="AN83" i="8" s="1"/>
  <c r="AO83" i="8"/>
  <c r="AP83" i="8" s="1"/>
  <c r="AQ83" i="8"/>
  <c r="AR83" i="8" s="1"/>
  <c r="AI84" i="8"/>
  <c r="AJ84" i="8" s="1"/>
  <c r="AK84" i="8"/>
  <c r="AL84" i="8" s="1"/>
  <c r="AM84" i="8"/>
  <c r="AN84" i="8" s="1"/>
  <c r="AO84" i="8"/>
  <c r="AP84" i="8" s="1"/>
  <c r="AQ84" i="8"/>
  <c r="AR84" i="8" s="1"/>
  <c r="AI85" i="8"/>
  <c r="AJ85" i="8"/>
  <c r="AK85" i="8"/>
  <c r="AL85" i="8" s="1"/>
  <c r="AM85" i="8"/>
  <c r="AN85" i="8"/>
  <c r="AO85" i="8"/>
  <c r="AP85" i="8" s="1"/>
  <c r="AQ85" i="8"/>
  <c r="AR85" i="8" s="1"/>
  <c r="AI86" i="8"/>
  <c r="AJ86" i="8" s="1"/>
  <c r="AK86" i="8"/>
  <c r="AL86" i="8" s="1"/>
  <c r="AM86" i="8"/>
  <c r="AN86" i="8" s="1"/>
  <c r="AO86" i="8"/>
  <c r="AP86" i="8" s="1"/>
  <c r="AQ86" i="8"/>
  <c r="AR86" i="8" s="1"/>
  <c r="AI87" i="8"/>
  <c r="AJ87" i="8" s="1"/>
  <c r="AK87" i="8"/>
  <c r="AL87" i="8" s="1"/>
  <c r="AM87" i="8"/>
  <c r="AN87" i="8" s="1"/>
  <c r="AO87" i="8"/>
  <c r="AP87" i="8" s="1"/>
  <c r="AQ87" i="8"/>
  <c r="AR87" i="8" s="1"/>
  <c r="AI92" i="8"/>
  <c r="AJ92" i="8" s="1"/>
  <c r="AK92" i="8"/>
  <c r="AL92" i="8"/>
  <c r="AM92" i="8"/>
  <c r="AN92" i="8" s="1"/>
  <c r="AO92" i="8"/>
  <c r="AP92" i="8"/>
  <c r="AQ92" i="8"/>
  <c r="AR92" i="8" s="1"/>
  <c r="AI95" i="8"/>
  <c r="AJ95" i="8" s="1"/>
  <c r="AK95" i="8"/>
  <c r="AL95" i="8" s="1"/>
  <c r="AM95" i="8"/>
  <c r="AN95" i="8" s="1"/>
  <c r="AO95" i="8"/>
  <c r="AP95" i="8" s="1"/>
  <c r="AQ95" i="8"/>
  <c r="AR95" i="8" s="1"/>
  <c r="AI98" i="8"/>
  <c r="AJ98" i="8" s="1"/>
  <c r="AK98" i="8"/>
  <c r="AL98" i="8" s="1"/>
  <c r="AM98" i="8"/>
  <c r="AN98" i="8" s="1"/>
  <c r="AO98" i="8"/>
  <c r="AP98" i="8" s="1"/>
  <c r="AQ98" i="8"/>
  <c r="AR98" i="8" s="1"/>
  <c r="AI99" i="8"/>
  <c r="AJ99" i="8" s="1"/>
  <c r="AK99" i="8"/>
  <c r="AL99" i="8" s="1"/>
  <c r="AM99" i="8"/>
  <c r="AN99" i="8"/>
  <c r="AO99" i="8"/>
  <c r="AP99" i="8" s="1"/>
  <c r="AQ99" i="8"/>
  <c r="AR99" i="8"/>
  <c r="AI107" i="8"/>
  <c r="AJ107" i="8" s="1"/>
  <c r="AK107" i="8"/>
  <c r="AL107" i="8" s="1"/>
  <c r="AM107" i="8"/>
  <c r="AN107" i="8" s="1"/>
  <c r="AO107" i="8"/>
  <c r="AP107" i="8" s="1"/>
  <c r="AQ107" i="8"/>
  <c r="AR107" i="8" s="1"/>
  <c r="AI114" i="8"/>
  <c r="AJ114" i="8" s="1"/>
  <c r="AK114" i="8"/>
  <c r="AL114" i="8" s="1"/>
  <c r="AM114" i="8"/>
  <c r="AN114" i="8" s="1"/>
  <c r="AO114" i="8"/>
  <c r="AP114" i="8" s="1"/>
  <c r="AQ114" i="8"/>
  <c r="AR114" i="8" s="1"/>
  <c r="AI119" i="8"/>
  <c r="AJ119" i="8" s="1"/>
  <c r="AK119" i="8"/>
  <c r="AL119" i="8" s="1"/>
  <c r="AM119" i="8"/>
  <c r="AN119" i="8" s="1"/>
  <c r="AO119" i="8"/>
  <c r="AP119" i="8" s="1"/>
  <c r="AQ119" i="8"/>
  <c r="AR119" i="8" s="1"/>
  <c r="AI120" i="8"/>
  <c r="AJ120" i="8" s="1"/>
  <c r="AK120" i="8"/>
  <c r="AL120" i="8" s="1"/>
  <c r="AM120" i="8"/>
  <c r="AN120" i="8" s="1"/>
  <c r="AO120" i="8"/>
  <c r="AP120" i="8" s="1"/>
  <c r="AQ120" i="8"/>
  <c r="AR120" i="8" s="1"/>
  <c r="AI121" i="8"/>
  <c r="AJ121" i="8"/>
  <c r="AK121" i="8"/>
  <c r="AL121" i="8" s="1"/>
  <c r="AM121" i="8"/>
  <c r="AN121" i="8" s="1"/>
  <c r="AO121" i="8"/>
  <c r="AP121" i="8" s="1"/>
  <c r="AQ121" i="8"/>
  <c r="AR121" i="8" s="1"/>
  <c r="AI122" i="8"/>
  <c r="AJ122" i="8" s="1"/>
  <c r="AK122" i="8"/>
  <c r="AL122" i="8" s="1"/>
  <c r="AM122" i="8"/>
  <c r="AN122" i="8" s="1"/>
  <c r="AO122" i="8"/>
  <c r="AP122" i="8" s="1"/>
  <c r="AQ122" i="8"/>
  <c r="AR122" i="8" s="1"/>
  <c r="AI126" i="8"/>
  <c r="AJ126" i="8" s="1"/>
  <c r="AK126" i="8"/>
  <c r="AL126" i="8" s="1"/>
  <c r="AM126" i="8"/>
  <c r="AN126" i="8" s="1"/>
  <c r="AO126" i="8"/>
  <c r="AP126" i="8" s="1"/>
  <c r="AQ126" i="8"/>
  <c r="AR126" i="8" s="1"/>
  <c r="AI131" i="8"/>
  <c r="AJ131" i="8" s="1"/>
  <c r="AK131" i="8"/>
  <c r="AL131" i="8" s="1"/>
  <c r="AM131" i="8"/>
  <c r="AN131" i="8"/>
  <c r="AO131" i="8"/>
  <c r="AP131" i="8" s="1"/>
  <c r="AQ131" i="8"/>
  <c r="AR131" i="8" s="1"/>
  <c r="AI137" i="8"/>
  <c r="AJ137" i="8"/>
  <c r="AK137" i="8"/>
  <c r="AL137" i="8" s="1"/>
  <c r="AM137" i="8"/>
  <c r="AN137" i="8" s="1"/>
  <c r="AO137" i="8"/>
  <c r="AP137" i="8" s="1"/>
  <c r="AQ137" i="8"/>
  <c r="AR137" i="8" s="1"/>
  <c r="AI138" i="8"/>
  <c r="AJ138" i="8" s="1"/>
  <c r="AK138" i="8"/>
  <c r="AL138" i="8" s="1"/>
  <c r="AM138" i="8"/>
  <c r="AN138" i="8" s="1"/>
  <c r="AO138" i="8"/>
  <c r="AP138" i="8" s="1"/>
  <c r="AQ138" i="8"/>
  <c r="AR138" i="8" s="1"/>
  <c r="AI146" i="8"/>
  <c r="AJ146" i="8" s="1"/>
  <c r="AK146" i="8"/>
  <c r="AL146" i="8" s="1"/>
  <c r="AM146" i="8"/>
  <c r="AN146" i="8" s="1"/>
  <c r="AO146" i="8"/>
  <c r="AP146" i="8" s="1"/>
  <c r="AQ146" i="8"/>
  <c r="AR146" i="8" s="1"/>
  <c r="AI153" i="8"/>
  <c r="AJ153" i="8" s="1"/>
  <c r="AK153" i="8"/>
  <c r="AL153" i="8" s="1"/>
  <c r="AM153" i="8"/>
  <c r="AN153" i="8" s="1"/>
  <c r="AO153" i="8"/>
  <c r="AP153" i="8" s="1"/>
  <c r="AQ153" i="8"/>
  <c r="AR153" i="8"/>
  <c r="AI158" i="8"/>
  <c r="AJ158" i="8" s="1"/>
  <c r="AK158" i="8"/>
  <c r="AL158" i="8"/>
  <c r="AM158" i="8"/>
  <c r="AN158" i="8" s="1"/>
  <c r="AO158" i="8"/>
  <c r="AP158" i="8" s="1"/>
  <c r="AQ158" i="8"/>
  <c r="AR158" i="8" s="1"/>
  <c r="AI159" i="8"/>
  <c r="AJ159" i="8" s="1"/>
  <c r="AK159" i="8"/>
  <c r="AL159" i="8" s="1"/>
  <c r="AM159" i="8"/>
  <c r="AN159" i="8" s="1"/>
  <c r="AO159" i="8"/>
  <c r="AP159" i="8" s="1"/>
  <c r="AQ159" i="8"/>
  <c r="AR159" i="8" s="1"/>
  <c r="AI160" i="8"/>
  <c r="AJ160" i="8" s="1"/>
  <c r="AK160" i="8"/>
  <c r="AL160" i="8"/>
  <c r="AM160" i="8"/>
  <c r="AN160" i="8" s="1"/>
  <c r="AO160" i="8"/>
  <c r="AP160" i="8" s="1"/>
  <c r="AQ160" i="8"/>
  <c r="AR160" i="8" s="1"/>
  <c r="AI161" i="8"/>
  <c r="AJ161" i="8" s="1"/>
  <c r="AK161" i="8"/>
  <c r="AL161" i="8" s="1"/>
  <c r="AM161" i="8"/>
  <c r="AN161" i="8" s="1"/>
  <c r="AO161" i="8"/>
  <c r="AP161" i="8" s="1"/>
  <c r="AQ161" i="8"/>
  <c r="AR161" i="8" s="1"/>
  <c r="AI162" i="8"/>
  <c r="AJ162" i="8" s="1"/>
  <c r="AK162" i="8"/>
  <c r="AL162" i="8" s="1"/>
  <c r="AM162" i="8"/>
  <c r="AN162" i="8" s="1"/>
  <c r="AO162" i="8"/>
  <c r="AP162" i="8" s="1"/>
  <c r="AQ162" i="8"/>
  <c r="AR162" i="8" s="1"/>
  <c r="AI163" i="8"/>
  <c r="AJ163" i="8" s="1"/>
  <c r="AK163" i="8"/>
  <c r="AL163" i="8" s="1"/>
  <c r="AM163" i="8"/>
  <c r="AN163" i="8" s="1"/>
  <c r="AO163" i="8"/>
  <c r="AP163" i="8" s="1"/>
  <c r="AQ163" i="8"/>
  <c r="AR163" i="8" s="1"/>
  <c r="AI170" i="8"/>
  <c r="AJ170" i="8" s="1"/>
  <c r="AK170" i="8"/>
  <c r="AL170" i="8" s="1"/>
  <c r="AM170" i="8"/>
  <c r="AN170" i="8" s="1"/>
  <c r="AO170" i="8"/>
  <c r="AP170" i="8" s="1"/>
  <c r="AQ170" i="8"/>
  <c r="AR170" i="8" s="1"/>
  <c r="AI177" i="8"/>
  <c r="AJ177" i="8" s="1"/>
  <c r="AK177" i="8"/>
  <c r="AL177" i="8" s="1"/>
  <c r="AM177" i="8"/>
  <c r="AN177" i="8" s="1"/>
  <c r="AO177" i="8"/>
  <c r="AP177" i="8" s="1"/>
  <c r="AQ177" i="8"/>
  <c r="AR177" i="8" s="1"/>
  <c r="AI182" i="8"/>
  <c r="AJ182" i="8" s="1"/>
  <c r="AK182" i="8"/>
  <c r="AL182" i="8" s="1"/>
  <c r="AM182" i="8"/>
  <c r="AN182" i="8" s="1"/>
  <c r="AO182" i="8"/>
  <c r="AP182" i="8"/>
  <c r="AQ182" i="8"/>
  <c r="AR182" i="8" s="1"/>
  <c r="AI186" i="8"/>
  <c r="AJ186" i="8" s="1"/>
  <c r="AK186" i="8"/>
  <c r="AL186" i="8" s="1"/>
  <c r="AM186" i="8"/>
  <c r="AN186" i="8" s="1"/>
  <c r="AO186" i="8"/>
  <c r="AP186" i="8" s="1"/>
  <c r="AQ186" i="8"/>
  <c r="AR186" i="8" s="1"/>
  <c r="AI192" i="8"/>
  <c r="AJ192" i="8" s="1"/>
  <c r="AK192" i="8"/>
  <c r="AL192" i="8" s="1"/>
  <c r="AM192" i="8"/>
  <c r="AN192" i="8" s="1"/>
  <c r="AO192" i="8"/>
  <c r="AP192" i="8" s="1"/>
  <c r="AQ192" i="8"/>
  <c r="AR192" i="8" s="1"/>
  <c r="AI197" i="8"/>
  <c r="AJ197" i="8" s="1"/>
  <c r="AK197" i="8"/>
  <c r="AL197" i="8" s="1"/>
  <c r="AM197" i="8"/>
  <c r="AN197" i="8" s="1"/>
  <c r="AO197" i="8"/>
  <c r="AP197" i="8"/>
  <c r="AQ197" i="8"/>
  <c r="AR197" i="8" s="1"/>
  <c r="AI199" i="8"/>
  <c r="AJ199" i="8" s="1"/>
  <c r="AK199" i="8"/>
  <c r="AL199" i="8"/>
  <c r="AM199" i="8"/>
  <c r="AN199" i="8" s="1"/>
  <c r="AO199" i="8"/>
  <c r="AP199" i="8"/>
  <c r="AQ199" i="8"/>
  <c r="AR199" i="8" s="1"/>
  <c r="AI205" i="8"/>
  <c r="AJ205" i="8" s="1"/>
  <c r="AK205" i="8"/>
  <c r="AL205" i="8" s="1"/>
  <c r="AM205" i="8"/>
  <c r="AN205" i="8" s="1"/>
  <c r="AO205" i="8"/>
  <c r="AP205" i="8" s="1"/>
  <c r="AQ205" i="8"/>
  <c r="AR205" i="8" s="1"/>
  <c r="AI212" i="8"/>
  <c r="AJ212" i="8" s="1"/>
  <c r="AK212" i="8"/>
  <c r="AL212" i="8" s="1"/>
  <c r="AM212" i="8"/>
  <c r="AN212" i="8"/>
  <c r="AO212" i="8"/>
  <c r="AP212" i="8" s="1"/>
  <c r="AQ212" i="8"/>
  <c r="AR212" i="8" s="1"/>
  <c r="AQ215" i="8"/>
  <c r="AR215" i="8" s="1"/>
  <c r="AI219" i="8"/>
  <c r="AJ219" i="8" s="1"/>
  <c r="AK219" i="8"/>
  <c r="AL219" i="8" s="1"/>
  <c r="AM219" i="8"/>
  <c r="AN219" i="8" s="1"/>
  <c r="AO219" i="8"/>
  <c r="AP219" i="8" s="1"/>
  <c r="AQ219" i="8"/>
  <c r="AR219" i="8" s="1"/>
  <c r="AI226" i="8"/>
  <c r="AJ226" i="8" s="1"/>
  <c r="AK226" i="8"/>
  <c r="AL226" i="8" s="1"/>
  <c r="AM226" i="8"/>
  <c r="AN226" i="8"/>
  <c r="AO226" i="8"/>
  <c r="AP226" i="8" s="1"/>
  <c r="AQ226" i="8"/>
  <c r="AR226" i="8"/>
  <c r="AI231" i="8"/>
  <c r="AJ231" i="8" s="1"/>
  <c r="AK231" i="8"/>
  <c r="AL231" i="8" s="1"/>
  <c r="AM231" i="8"/>
  <c r="AN231" i="8" s="1"/>
  <c r="AO231" i="8"/>
  <c r="AP231" i="8"/>
  <c r="AQ231" i="8"/>
  <c r="AR231" i="8" s="1"/>
  <c r="AI235" i="8"/>
  <c r="AJ235" i="8" s="1"/>
  <c r="AK235" i="8"/>
  <c r="AL235" i="8" s="1"/>
  <c r="AM235" i="8"/>
  <c r="AN235" i="8" s="1"/>
  <c r="AO235" i="8"/>
  <c r="AP235" i="8" s="1"/>
  <c r="AQ235" i="8"/>
  <c r="AR235" i="8"/>
  <c r="AI237" i="8"/>
  <c r="AJ237" i="8" s="1"/>
  <c r="AK237" i="8"/>
  <c r="AL237" i="8"/>
  <c r="AM237" i="8"/>
  <c r="AN237" i="8" s="1"/>
  <c r="AO237" i="8"/>
  <c r="AP237" i="8"/>
  <c r="AQ237" i="8"/>
  <c r="AR237" i="8" s="1"/>
  <c r="AI238" i="8"/>
  <c r="AJ238" i="8"/>
  <c r="AK238" i="8"/>
  <c r="AL238" i="8" s="1"/>
  <c r="AM238" i="8"/>
  <c r="AN238" i="8"/>
  <c r="AO238" i="8"/>
  <c r="AP238" i="8" s="1"/>
  <c r="AQ238" i="8"/>
  <c r="AR238" i="8"/>
  <c r="AI242" i="8"/>
  <c r="AJ242" i="8" s="1"/>
  <c r="AK242" i="8"/>
  <c r="AL242" i="8" s="1"/>
  <c r="AM242" i="8"/>
  <c r="AN242" i="8" s="1"/>
  <c r="AO242" i="8"/>
  <c r="AP242" i="8" s="1"/>
  <c r="AQ242" i="8"/>
  <c r="AR242" i="8" s="1"/>
  <c r="AI243" i="8"/>
  <c r="AJ243" i="8" s="1"/>
  <c r="AK243" i="8"/>
  <c r="AL243" i="8" s="1"/>
  <c r="AM243" i="8"/>
  <c r="AN243" i="8" s="1"/>
  <c r="AO243" i="8"/>
  <c r="AP243" i="8" s="1"/>
  <c r="AQ243" i="8"/>
  <c r="AR243" i="8" s="1"/>
  <c r="AI244" i="8"/>
  <c r="AJ244" i="8" s="1"/>
  <c r="AK244" i="8"/>
  <c r="AL244" i="8" s="1"/>
  <c r="AM244" i="8"/>
  <c r="AN244" i="8" s="1"/>
  <c r="AO244" i="8"/>
  <c r="AP244" i="8" s="1"/>
  <c r="AQ244" i="8"/>
  <c r="AR244" i="8" s="1"/>
  <c r="AI245" i="8"/>
  <c r="AJ245" i="8" s="1"/>
  <c r="AK245" i="8"/>
  <c r="AL245" i="8" s="1"/>
  <c r="AM245" i="8"/>
  <c r="AN245" i="8" s="1"/>
  <c r="AO245" i="8"/>
  <c r="AP245" i="8" s="1"/>
  <c r="AQ245" i="8"/>
  <c r="AR245" i="8" s="1"/>
  <c r="AI250" i="8"/>
  <c r="AJ250" i="8" s="1"/>
  <c r="AK250" i="8"/>
  <c r="AL250" i="8" s="1"/>
  <c r="AM250" i="8"/>
  <c r="AN250" i="8" s="1"/>
  <c r="AO250" i="8"/>
  <c r="AP250" i="8" s="1"/>
  <c r="AQ250" i="8"/>
  <c r="AR250" i="8" s="1"/>
  <c r="AI251" i="8"/>
  <c r="AJ251" i="8" s="1"/>
  <c r="AK251" i="8"/>
  <c r="AL251" i="8" s="1"/>
  <c r="AM251" i="8"/>
  <c r="AN251" i="8" s="1"/>
  <c r="AO251" i="8"/>
  <c r="AP251" i="8" s="1"/>
  <c r="AQ251" i="8"/>
  <c r="AR251" i="8" s="1"/>
  <c r="AI256" i="8"/>
  <c r="AJ256" i="8" s="1"/>
  <c r="AK256" i="8"/>
  <c r="AL256" i="8" s="1"/>
  <c r="AM256" i="8"/>
  <c r="AN256" i="8" s="1"/>
  <c r="AO256" i="8"/>
  <c r="AP256" i="8" s="1"/>
  <c r="AQ256" i="8"/>
  <c r="AR256" i="8" s="1"/>
  <c r="AI263" i="8"/>
  <c r="AJ263" i="8" s="1"/>
  <c r="AK263" i="8"/>
  <c r="AL263" i="8" s="1"/>
  <c r="AM263" i="8"/>
  <c r="AN263" i="8" s="1"/>
  <c r="AO263" i="8"/>
  <c r="AP263" i="8"/>
  <c r="AQ263" i="8"/>
  <c r="AR263" i="8" s="1"/>
  <c r="AI268" i="8"/>
  <c r="AJ268" i="8" s="1"/>
  <c r="AK268" i="8"/>
  <c r="AL268" i="8" s="1"/>
  <c r="AM268" i="8"/>
  <c r="AN268" i="8" s="1"/>
  <c r="AO268" i="8"/>
  <c r="AP268" i="8" s="1"/>
  <c r="AQ268" i="8"/>
  <c r="AR268" i="8" s="1"/>
  <c r="AI270" i="8"/>
  <c r="AJ270" i="8" s="1"/>
  <c r="AK270" i="8"/>
  <c r="AL270" i="8" s="1"/>
  <c r="AM270" i="8"/>
  <c r="AN270" i="8" s="1"/>
  <c r="AO270" i="8"/>
  <c r="AP270" i="8" s="1"/>
  <c r="AQ270" i="8"/>
  <c r="AR270" i="8"/>
  <c r="AI271" i="8"/>
  <c r="AJ271" i="8" s="1"/>
  <c r="AK271" i="8"/>
  <c r="AL271" i="8" s="1"/>
  <c r="AM271" i="8"/>
  <c r="AN271" i="8" s="1"/>
  <c r="AO271" i="8"/>
  <c r="AP271" i="8" s="1"/>
  <c r="AQ271" i="8"/>
  <c r="AR271" i="8" s="1"/>
  <c r="AI275" i="8"/>
  <c r="AJ275" i="8" s="1"/>
  <c r="AK275" i="8"/>
  <c r="AL275" i="8" s="1"/>
  <c r="AM275" i="8"/>
  <c r="AN275" i="8" s="1"/>
  <c r="AO275" i="8"/>
  <c r="AP275" i="8" s="1"/>
  <c r="AQ275" i="8"/>
  <c r="AR275" i="8"/>
  <c r="AI276" i="8"/>
  <c r="AJ276" i="8" s="1"/>
  <c r="AK276" i="8"/>
  <c r="AL276" i="8" s="1"/>
  <c r="AM276" i="8"/>
  <c r="AN276" i="8" s="1"/>
  <c r="AO276" i="8"/>
  <c r="AP276" i="8" s="1"/>
  <c r="AQ276" i="8"/>
  <c r="AR276" i="8" s="1"/>
  <c r="AI277" i="8"/>
  <c r="AJ277" i="8"/>
  <c r="AK277" i="8"/>
  <c r="AL277" i="8" s="1"/>
  <c r="AM277" i="8"/>
  <c r="AN277" i="8" s="1"/>
  <c r="AO277" i="8"/>
  <c r="AP277" i="8" s="1"/>
  <c r="AQ277" i="8"/>
  <c r="AR277" i="8" s="1"/>
  <c r="AI278" i="8"/>
  <c r="AJ278" i="8" s="1"/>
  <c r="AK278" i="8"/>
  <c r="AL278" i="8"/>
  <c r="AM278" i="8"/>
  <c r="AN278" i="8" s="1"/>
  <c r="AO278" i="8"/>
  <c r="AP278" i="8" s="1"/>
  <c r="AQ278" i="8"/>
  <c r="AR278" i="8" s="1"/>
  <c r="AI279" i="8"/>
  <c r="AJ279" i="8" s="1"/>
  <c r="AK279" i="8"/>
  <c r="AL279" i="8" s="1"/>
  <c r="AM279" i="8"/>
  <c r="AN279" i="8" s="1"/>
  <c r="AO279" i="8"/>
  <c r="AP279" i="8" s="1"/>
  <c r="AQ279" i="8"/>
  <c r="AR279" i="8" s="1"/>
  <c r="AI280" i="8"/>
  <c r="AJ280" i="8" s="1"/>
  <c r="AK280" i="8"/>
  <c r="AL280" i="8" s="1"/>
  <c r="AM280" i="8"/>
  <c r="AN280" i="8" s="1"/>
  <c r="AO280" i="8"/>
  <c r="AP280" i="8"/>
  <c r="AQ280" i="8"/>
  <c r="AR280" i="8" s="1"/>
  <c r="AI284" i="8"/>
  <c r="AJ284" i="8" s="1"/>
  <c r="AK284" i="8"/>
  <c r="AL284" i="8"/>
  <c r="AM284" i="8"/>
  <c r="AN284" i="8" s="1"/>
  <c r="AO284" i="8"/>
  <c r="AP284" i="8" s="1"/>
  <c r="AQ284" i="8"/>
  <c r="AR284" i="8" s="1"/>
  <c r="AI288" i="8"/>
  <c r="AJ288" i="8" s="1"/>
  <c r="AK288" i="8"/>
  <c r="AL288" i="8" s="1"/>
  <c r="AM288" i="8"/>
  <c r="AN288" i="8" s="1"/>
  <c r="AO288" i="8"/>
  <c r="AP288" i="8" s="1"/>
  <c r="AQ288" i="8"/>
  <c r="AR288" i="8" s="1"/>
  <c r="AI292" i="8"/>
  <c r="AJ292" i="8" s="1"/>
  <c r="AK292" i="8"/>
  <c r="AL292" i="8"/>
  <c r="AM292" i="8"/>
  <c r="AN292" i="8" s="1"/>
  <c r="AO292" i="8"/>
  <c r="AP292" i="8" s="1"/>
  <c r="AQ292" i="8"/>
  <c r="AR292" i="8" s="1"/>
  <c r="AI296" i="8"/>
  <c r="AJ296" i="8" s="1"/>
  <c r="AK296" i="8"/>
  <c r="AL296" i="8" s="1"/>
  <c r="AM296" i="8"/>
  <c r="AN296" i="8" s="1"/>
  <c r="AO296" i="8"/>
  <c r="AP296" i="8" s="1"/>
  <c r="AQ296" i="8"/>
  <c r="AR296" i="8" s="1"/>
  <c r="AI297" i="8"/>
  <c r="AJ297" i="8" s="1"/>
  <c r="AK297" i="8"/>
  <c r="AL297" i="8" s="1"/>
  <c r="AM297" i="8"/>
  <c r="AN297" i="8" s="1"/>
  <c r="AO297" i="8"/>
  <c r="AP297" i="8" s="1"/>
  <c r="AQ297" i="8"/>
  <c r="AR297" i="8" s="1"/>
  <c r="AI302" i="8"/>
  <c r="AJ302" i="8" s="1"/>
  <c r="AK302" i="8"/>
  <c r="AL302" i="8" s="1"/>
  <c r="AM302" i="8"/>
  <c r="AN302" i="8" s="1"/>
  <c r="AO302" i="8"/>
  <c r="AP302" i="8" s="1"/>
  <c r="AQ302" i="8"/>
  <c r="AR302" i="8" s="1"/>
  <c r="AI309" i="8"/>
  <c r="AJ309" i="8" s="1"/>
  <c r="AK309" i="8"/>
  <c r="AL309" i="8" s="1"/>
  <c r="AM309" i="8"/>
  <c r="AN309" i="8" s="1"/>
  <c r="AO309" i="8"/>
  <c r="AP309" i="8" s="1"/>
  <c r="AQ309" i="8"/>
  <c r="AR309" i="8" s="1"/>
  <c r="AI314" i="8"/>
  <c r="AJ314" i="8" s="1"/>
  <c r="AK314" i="8"/>
  <c r="AL314" i="8" s="1"/>
  <c r="AM314" i="8"/>
  <c r="AN314" i="8" s="1"/>
  <c r="AO314" i="8"/>
  <c r="AP314" i="8" s="1"/>
  <c r="AQ314" i="8"/>
  <c r="AR314" i="8" s="1"/>
  <c r="AI315" i="8"/>
  <c r="AJ315" i="8" s="1"/>
  <c r="AK315" i="8"/>
  <c r="AL315" i="8" s="1"/>
  <c r="AM315" i="8"/>
  <c r="AN315" i="8" s="1"/>
  <c r="AO315" i="8"/>
  <c r="AP315" i="8" s="1"/>
  <c r="AQ315" i="8"/>
  <c r="AR315" i="8" s="1"/>
  <c r="AI316" i="8"/>
  <c r="AJ316" i="8" s="1"/>
  <c r="AK316" i="8"/>
  <c r="AL316" i="8"/>
  <c r="AM316" i="8"/>
  <c r="AN316" i="8" s="1"/>
  <c r="AO316" i="8"/>
  <c r="AP316" i="8" s="1"/>
  <c r="AQ316" i="8"/>
  <c r="AR316" i="8" s="1"/>
  <c r="AI317" i="8"/>
  <c r="AJ317" i="8" s="1"/>
  <c r="AK317" i="8"/>
  <c r="AL317" i="8" s="1"/>
  <c r="AM317" i="8"/>
  <c r="AN317" i="8"/>
  <c r="AO317" i="8"/>
  <c r="AP317" i="8" s="1"/>
  <c r="AQ317" i="8"/>
  <c r="AR317" i="8"/>
  <c r="AI321" i="8"/>
  <c r="AJ321" i="8" s="1"/>
  <c r="AK321" i="8"/>
  <c r="AL321" i="8" s="1"/>
  <c r="AM321" i="8"/>
  <c r="AN321" i="8"/>
  <c r="AO321" i="8"/>
  <c r="AP321" i="8" s="1"/>
  <c r="AQ321" i="8"/>
  <c r="AR321" i="8"/>
  <c r="AI325" i="8"/>
  <c r="AJ325" i="8" s="1"/>
  <c r="AK325" i="8"/>
  <c r="AL325" i="8" s="1"/>
  <c r="AM325" i="8"/>
  <c r="AN325" i="8" s="1"/>
  <c r="AO325" i="8"/>
  <c r="AP325" i="8" s="1"/>
  <c r="AQ325" i="8"/>
  <c r="AR325" i="8" s="1"/>
  <c r="AI329" i="8"/>
  <c r="AJ329" i="8" s="1"/>
  <c r="AK329" i="8"/>
  <c r="AL329" i="8" s="1"/>
  <c r="AM329" i="8"/>
  <c r="AN329" i="8" s="1"/>
  <c r="AO329" i="8"/>
  <c r="AP329" i="8" s="1"/>
  <c r="AQ329" i="8"/>
  <c r="AR329" i="8"/>
  <c r="AI333" i="8"/>
  <c r="AJ333" i="8" s="1"/>
  <c r="AK333" i="8"/>
  <c r="AL333" i="8" s="1"/>
  <c r="AM333" i="8"/>
  <c r="AN333" i="8" s="1"/>
  <c r="AO333" i="8"/>
  <c r="AP333" i="8" s="1"/>
  <c r="AQ333" i="8"/>
  <c r="AR333" i="8" s="1"/>
  <c r="AI334" i="8"/>
  <c r="AJ334" i="8" s="1"/>
  <c r="AK334" i="8"/>
  <c r="AL334" i="8" s="1"/>
  <c r="AM334" i="8"/>
  <c r="AN334" i="8" s="1"/>
  <c r="AO334" i="8"/>
  <c r="AP334" i="8" s="1"/>
  <c r="AQ334" i="8"/>
  <c r="AR334" i="8" s="1"/>
  <c r="AQ340" i="8"/>
  <c r="AR340" i="8" s="1"/>
  <c r="AI343" i="8"/>
  <c r="AJ343" i="8" s="1"/>
  <c r="AK343" i="8"/>
  <c r="AL343" i="8" s="1"/>
  <c r="AM343" i="8"/>
  <c r="AN343" i="8" s="1"/>
  <c r="AO343" i="8"/>
  <c r="AP343" i="8" s="1"/>
  <c r="AQ343" i="8"/>
  <c r="AR343" i="8" s="1"/>
  <c r="AI350" i="8"/>
  <c r="AJ350" i="8" s="1"/>
  <c r="AK350" i="8"/>
  <c r="AL350" i="8" s="1"/>
  <c r="AM350" i="8"/>
  <c r="AN350" i="8" s="1"/>
  <c r="AO350" i="8"/>
  <c r="AP350" i="8" s="1"/>
  <c r="AQ350" i="8"/>
  <c r="AR350" i="8" s="1"/>
  <c r="AI355" i="8"/>
  <c r="AJ355" i="8" s="1"/>
  <c r="AK355" i="8"/>
  <c r="AL355" i="8" s="1"/>
  <c r="AM355" i="8"/>
  <c r="AN355" i="8" s="1"/>
  <c r="AO355" i="8"/>
  <c r="AP355" i="8" s="1"/>
  <c r="AQ355" i="8"/>
  <c r="AR355" i="8" s="1"/>
  <c r="AI356" i="8"/>
  <c r="AJ356" i="8" s="1"/>
  <c r="AK356" i="8"/>
  <c r="AL356" i="8" s="1"/>
  <c r="AM356" i="8"/>
  <c r="AN356" i="8" s="1"/>
  <c r="AO356" i="8"/>
  <c r="AP356" i="8" s="1"/>
  <c r="AQ356" i="8"/>
  <c r="AR356" i="8" s="1"/>
  <c r="AI357" i="8"/>
  <c r="AJ357" i="8" s="1"/>
  <c r="AK357" i="8"/>
  <c r="AL357" i="8" s="1"/>
  <c r="AM357" i="8"/>
  <c r="AN357" i="8" s="1"/>
  <c r="AO357" i="8"/>
  <c r="AP357" i="8" s="1"/>
  <c r="AQ357" i="8"/>
  <c r="AR357" i="8"/>
  <c r="AI358" i="8"/>
  <c r="AJ358" i="8" s="1"/>
  <c r="AK358" i="8"/>
  <c r="AL358" i="8" s="1"/>
  <c r="AM358" i="8"/>
  <c r="AN358" i="8" s="1"/>
  <c r="AO358" i="8"/>
  <c r="AP358" i="8" s="1"/>
  <c r="AQ358" i="8"/>
  <c r="AR358" i="8" s="1"/>
  <c r="AI359" i="8"/>
  <c r="AJ359" i="8" s="1"/>
  <c r="AK359" i="8"/>
  <c r="AL359" i="8" s="1"/>
  <c r="AM359" i="8"/>
  <c r="AN359" i="8" s="1"/>
  <c r="AO359" i="8"/>
  <c r="AP359" i="8" s="1"/>
  <c r="AQ359" i="8"/>
  <c r="AR359" i="8" s="1"/>
  <c r="AI360" i="8"/>
  <c r="AJ360" i="8" s="1"/>
  <c r="AK360" i="8"/>
  <c r="AL360" i="8"/>
  <c r="AM360" i="8"/>
  <c r="AN360" i="8" s="1"/>
  <c r="AO360" i="8"/>
  <c r="AP360" i="8" s="1"/>
  <c r="AQ360" i="8"/>
  <c r="AR360" i="8" s="1"/>
  <c r="AI367" i="8"/>
  <c r="AJ367" i="8" s="1"/>
  <c r="AK367" i="8"/>
  <c r="AL367" i="8" s="1"/>
  <c r="AM367" i="8"/>
  <c r="AN367" i="8"/>
  <c r="AO367" i="8"/>
  <c r="AP367" i="8" s="1"/>
  <c r="AQ367" i="8"/>
  <c r="AR367" i="8" s="1"/>
  <c r="AI369" i="8"/>
  <c r="AJ369" i="8"/>
  <c r="AK369" i="8"/>
  <c r="AL369" i="8" s="1"/>
  <c r="AM369" i="8"/>
  <c r="AN369" i="8" s="1"/>
  <c r="AO369" i="8"/>
  <c r="AP369" i="8" s="1"/>
  <c r="AQ369" i="8"/>
  <c r="AR369" i="8" s="1"/>
  <c r="AI371" i="8"/>
  <c r="AJ371" i="8" s="1"/>
  <c r="AK371" i="8"/>
  <c r="AL371" i="8" s="1"/>
  <c r="AM371" i="8"/>
  <c r="AN371" i="8" s="1"/>
  <c r="AO371" i="8"/>
  <c r="AP371" i="8" s="1"/>
  <c r="AQ371" i="8"/>
  <c r="AR371" i="8" s="1"/>
  <c r="AI378" i="8"/>
  <c r="AJ378" i="8" s="1"/>
  <c r="AK378" i="8"/>
  <c r="AL378" i="8" s="1"/>
  <c r="AM378" i="8"/>
  <c r="AN378" i="8" s="1"/>
  <c r="AO378" i="8"/>
  <c r="AP378" i="8"/>
  <c r="AQ378" i="8"/>
  <c r="AR378" i="8" s="1"/>
  <c r="AI385" i="8"/>
  <c r="AJ385" i="8"/>
  <c r="AK385" i="8"/>
  <c r="AL385" i="8" s="1"/>
  <c r="AM385" i="8"/>
  <c r="AN385" i="8" s="1"/>
  <c r="AO385" i="8"/>
  <c r="AP385" i="8" s="1"/>
  <c r="AQ385" i="8"/>
  <c r="AR385" i="8" s="1"/>
  <c r="AI392" i="8"/>
  <c r="AJ392" i="8" s="1"/>
  <c r="AK392" i="8"/>
  <c r="AL392" i="8" s="1"/>
  <c r="AM392" i="8"/>
  <c r="AN392" i="8" s="1"/>
  <c r="AO392" i="8"/>
  <c r="AP392" i="8" s="1"/>
  <c r="AQ392" i="8"/>
  <c r="AR392" i="8" s="1"/>
  <c r="AI397" i="8"/>
  <c r="AJ397" i="8"/>
  <c r="AK397" i="8"/>
  <c r="AL397" i="8" s="1"/>
  <c r="AM397" i="8"/>
  <c r="AN397" i="8" s="1"/>
  <c r="AO397" i="8"/>
  <c r="AP397" i="8" s="1"/>
  <c r="AQ397" i="8"/>
  <c r="AR397" i="8" s="1"/>
  <c r="AI401" i="8"/>
  <c r="AJ401" i="8" s="1"/>
  <c r="AK401" i="8"/>
  <c r="AL401" i="8" s="1"/>
  <c r="AM401" i="8"/>
  <c r="AN401" i="8"/>
  <c r="AO401" i="8"/>
  <c r="AP401" i="8" s="1"/>
  <c r="AQ401" i="8"/>
  <c r="AR401" i="8" s="1"/>
  <c r="AI403" i="8"/>
  <c r="AJ403" i="8" s="1"/>
  <c r="AK403" i="8"/>
  <c r="AL403" i="8" s="1"/>
  <c r="AM403" i="8"/>
  <c r="AN403" i="8" s="1"/>
  <c r="AO403" i="8"/>
  <c r="AP403" i="8" s="1"/>
  <c r="AQ403" i="8"/>
  <c r="AR403" i="8" s="1"/>
  <c r="AI404" i="8"/>
  <c r="AJ404" i="8" s="1"/>
  <c r="AK404" i="8"/>
  <c r="AL404" i="8" s="1"/>
  <c r="AM404" i="8"/>
  <c r="AN404" i="8"/>
  <c r="AO404" i="8"/>
  <c r="AP404" i="8" s="1"/>
  <c r="AQ404" i="8"/>
  <c r="AR404" i="8" s="1"/>
  <c r="AI408" i="8"/>
  <c r="AJ408" i="8" s="1"/>
  <c r="AK408" i="8"/>
  <c r="AL408" i="8" s="1"/>
  <c r="AM408" i="8"/>
  <c r="AN408" i="8" s="1"/>
  <c r="AO408" i="8"/>
  <c r="AP408" i="8" s="1"/>
  <c r="AQ408" i="8"/>
  <c r="AR408" i="8" s="1"/>
  <c r="AI409" i="8"/>
  <c r="AJ409" i="8" s="1"/>
  <c r="AK409" i="8"/>
  <c r="AL409" i="8" s="1"/>
  <c r="AM409" i="8"/>
  <c r="AN409" i="8"/>
  <c r="AO409" i="8"/>
  <c r="AP409" i="8" s="1"/>
  <c r="AQ409" i="8"/>
  <c r="AR409" i="8"/>
  <c r="AI410" i="8"/>
  <c r="AJ410" i="8" s="1"/>
  <c r="AK410" i="8"/>
  <c r="AL410" i="8" s="1"/>
  <c r="AM410" i="8"/>
  <c r="AN410" i="8" s="1"/>
  <c r="AO410" i="8"/>
  <c r="AP410" i="8" s="1"/>
  <c r="AQ410" i="8"/>
  <c r="AR410" i="8" s="1"/>
  <c r="AI411" i="8"/>
  <c r="AJ411" i="8" s="1"/>
  <c r="AK411" i="8"/>
  <c r="AL411" i="8" s="1"/>
  <c r="AM411" i="8"/>
  <c r="AN411" i="8" s="1"/>
  <c r="AO411" i="8"/>
  <c r="AP411" i="8" s="1"/>
  <c r="AQ411" i="8"/>
  <c r="AR411" i="8" s="1"/>
  <c r="AI417" i="8"/>
  <c r="AJ417" i="8" s="1"/>
  <c r="AK417" i="8"/>
  <c r="AL417" i="8" s="1"/>
  <c r="AM417" i="8"/>
  <c r="AN417" i="8"/>
  <c r="AO417" i="8"/>
  <c r="AP417" i="8" s="1"/>
  <c r="AQ417" i="8"/>
  <c r="AR417" i="8"/>
  <c r="AI422" i="8"/>
  <c r="AJ422" i="8" s="1"/>
  <c r="AK422" i="8"/>
  <c r="AL422" i="8" s="1"/>
  <c r="AM422" i="8"/>
  <c r="AN422" i="8" s="1"/>
  <c r="AO422" i="8"/>
  <c r="AP422" i="8" s="1"/>
  <c r="AQ422" i="8"/>
  <c r="AR422" i="8" s="1"/>
  <c r="AI427" i="8"/>
  <c r="AJ427" i="8" s="1"/>
  <c r="AK427" i="8"/>
  <c r="AL427" i="8" s="1"/>
  <c r="AM427" i="8"/>
  <c r="AN427" i="8"/>
  <c r="AO427" i="8"/>
  <c r="AP427" i="8" s="1"/>
  <c r="AQ427" i="8"/>
  <c r="AR427" i="8" s="1"/>
  <c r="AI429" i="8"/>
  <c r="AJ429" i="8"/>
  <c r="AK429" i="8"/>
  <c r="AL429" i="8" s="1"/>
  <c r="AM429" i="8"/>
  <c r="AN429" i="8"/>
  <c r="AO429" i="8"/>
  <c r="AP429" i="8" s="1"/>
  <c r="AQ429" i="8"/>
  <c r="AR429" i="8" s="1"/>
  <c r="AI430" i="8"/>
  <c r="AJ430" i="8" s="1"/>
  <c r="AK430" i="8"/>
  <c r="AL430" i="8" s="1"/>
  <c r="AM430" i="8"/>
  <c r="AN430" i="8" s="1"/>
  <c r="AO430" i="8"/>
  <c r="AP430" i="8" s="1"/>
  <c r="AQ430" i="8"/>
  <c r="AR430" i="8" s="1"/>
  <c r="AI436" i="8"/>
  <c r="AJ436" i="8" s="1"/>
  <c r="AK436" i="8"/>
  <c r="AL436" i="8"/>
  <c r="AM436" i="8"/>
  <c r="AN436" i="8" s="1"/>
  <c r="AO436" i="8"/>
  <c r="AP436" i="8" s="1"/>
  <c r="AQ436" i="8"/>
  <c r="AR436" i="8" s="1"/>
  <c r="AI443" i="8"/>
  <c r="AJ443" i="8"/>
  <c r="AK443" i="8"/>
  <c r="AL443" i="8" s="1"/>
  <c r="AM443" i="8"/>
  <c r="AN443" i="8" s="1"/>
  <c r="AO443" i="8"/>
  <c r="AP443" i="8" s="1"/>
  <c r="AQ443" i="8"/>
  <c r="AR443" i="8" s="1"/>
  <c r="AI450" i="8"/>
  <c r="AJ450" i="8" s="1"/>
  <c r="AK450" i="8"/>
  <c r="AL450" i="8" s="1"/>
  <c r="AM450" i="8"/>
  <c r="AN450" i="8" s="1"/>
  <c r="AO450" i="8"/>
  <c r="AP450" i="8" s="1"/>
  <c r="AQ450" i="8"/>
  <c r="AR450" i="8" s="1"/>
  <c r="AI457" i="8"/>
  <c r="AJ457" i="8" s="1"/>
  <c r="AK457" i="8"/>
  <c r="AL457" i="8" s="1"/>
  <c r="AM457" i="8"/>
  <c r="AN457" i="8" s="1"/>
  <c r="AO457" i="8"/>
  <c r="AP457" i="8" s="1"/>
  <c r="AQ457" i="8"/>
  <c r="AR457" i="8" s="1"/>
  <c r="AI462" i="8"/>
  <c r="AJ462" i="8" s="1"/>
  <c r="AK462" i="8"/>
  <c r="AL462" i="8" s="1"/>
  <c r="AM462" i="8"/>
  <c r="AN462" i="8" s="1"/>
  <c r="AO462" i="8"/>
  <c r="AP462" i="8" s="1"/>
  <c r="AQ462" i="8"/>
  <c r="AR462" i="8" s="1"/>
  <c r="AI464" i="8"/>
  <c r="AJ464" i="8" s="1"/>
  <c r="AK464" i="8"/>
  <c r="AL464" i="8" s="1"/>
  <c r="AM464" i="8"/>
  <c r="AN464" i="8" s="1"/>
  <c r="AO464" i="8"/>
  <c r="AP464" i="8" s="1"/>
  <c r="AQ464" i="8"/>
  <c r="AR464" i="8" s="1"/>
  <c r="AI465" i="8"/>
  <c r="AJ465" i="8" s="1"/>
  <c r="AK465" i="8"/>
  <c r="AL465" i="8" s="1"/>
  <c r="AM465" i="8"/>
  <c r="AN465" i="8" s="1"/>
  <c r="AO465" i="8"/>
  <c r="AP465" i="8" s="1"/>
  <c r="AQ465" i="8"/>
  <c r="AR465" i="8" s="1"/>
  <c r="AI469" i="8"/>
  <c r="AJ469" i="8" s="1"/>
  <c r="AK469" i="8"/>
  <c r="AL469" i="8" s="1"/>
  <c r="AM469" i="8"/>
  <c r="AN469" i="8" s="1"/>
  <c r="AO469" i="8"/>
  <c r="AP469" i="8" s="1"/>
  <c r="AQ469" i="8"/>
  <c r="AR469" i="8"/>
  <c r="AI470" i="8"/>
  <c r="AJ470" i="8" s="1"/>
  <c r="AK470" i="8"/>
  <c r="AL470" i="8" s="1"/>
  <c r="AM470" i="8"/>
  <c r="AN470" i="8" s="1"/>
  <c r="AO470" i="8"/>
  <c r="AP470" i="8" s="1"/>
  <c r="AQ470" i="8"/>
  <c r="AR470" i="8" s="1"/>
  <c r="AI471" i="8"/>
  <c r="AJ471" i="8" s="1"/>
  <c r="AK471" i="8"/>
  <c r="AL471" i="8" s="1"/>
  <c r="AM471" i="8"/>
  <c r="AN471" i="8" s="1"/>
  <c r="AO471" i="8"/>
  <c r="AP471" i="8" s="1"/>
  <c r="AQ471" i="8"/>
  <c r="AR471" i="8" s="1"/>
  <c r="AI472" i="8"/>
  <c r="AJ472" i="8" s="1"/>
  <c r="AK472" i="8"/>
  <c r="AL472" i="8" s="1"/>
  <c r="AM472" i="8"/>
  <c r="AN472" i="8" s="1"/>
  <c r="AO472" i="8"/>
  <c r="AP472" i="8" s="1"/>
  <c r="AQ472" i="8"/>
  <c r="AR472" i="8" s="1"/>
  <c r="AI473" i="8"/>
  <c r="AJ473" i="8" s="1"/>
  <c r="AK473" i="8"/>
  <c r="AL473" i="8" s="1"/>
  <c r="AM473" i="8"/>
  <c r="AN473" i="8" s="1"/>
  <c r="AO473" i="8"/>
  <c r="AP473" i="8" s="1"/>
  <c r="AQ473" i="8"/>
  <c r="AR473" i="8" s="1"/>
  <c r="AI474" i="8"/>
  <c r="AJ474" i="8" s="1"/>
  <c r="AK474" i="8"/>
  <c r="AL474" i="8" s="1"/>
  <c r="AM474" i="8"/>
  <c r="AN474" i="8" s="1"/>
  <c r="AO474" i="8"/>
  <c r="AP474" i="8" s="1"/>
  <c r="AQ474" i="8"/>
  <c r="AR474" i="8" s="1"/>
  <c r="AI478" i="8"/>
  <c r="AJ478" i="8" s="1"/>
  <c r="AK478" i="8"/>
  <c r="AL478" i="8" s="1"/>
  <c r="AM478" i="8"/>
  <c r="AN478" i="8" s="1"/>
  <c r="AO478" i="8"/>
  <c r="AP478" i="8" s="1"/>
  <c r="AQ478" i="8"/>
  <c r="AR478" i="8" s="1"/>
  <c r="AI481" i="8"/>
  <c r="AJ481" i="8"/>
  <c r="AK481" i="8"/>
  <c r="AL481" i="8" s="1"/>
  <c r="AM481" i="8"/>
  <c r="AN481" i="8" s="1"/>
  <c r="AO481" i="8"/>
  <c r="AP481" i="8" s="1"/>
  <c r="AQ481" i="8"/>
  <c r="AR481" i="8" s="1"/>
  <c r="AI484" i="8"/>
  <c r="AJ484" i="8" s="1"/>
  <c r="AK484" i="8"/>
  <c r="AL484" i="8" s="1"/>
  <c r="AM484" i="8"/>
  <c r="AN484" i="8" s="1"/>
  <c r="AO484" i="8"/>
  <c r="AP484" i="8" s="1"/>
  <c r="AQ484" i="8"/>
  <c r="AR484" i="8" s="1"/>
  <c r="AI485" i="8"/>
  <c r="AJ485" i="8" s="1"/>
  <c r="AK485" i="8"/>
  <c r="AL485" i="8" s="1"/>
  <c r="AM485" i="8"/>
  <c r="AN485" i="8" s="1"/>
  <c r="AO485" i="8"/>
  <c r="AP485" i="8" s="1"/>
  <c r="AQ485" i="8"/>
  <c r="AR485" i="8" s="1"/>
  <c r="AI492" i="8"/>
  <c r="AJ492" i="8" s="1"/>
  <c r="AK492" i="8"/>
  <c r="AL492" i="8" s="1"/>
  <c r="AM492" i="8"/>
  <c r="AN492" i="8" s="1"/>
  <c r="AO492" i="8"/>
  <c r="AP492" i="8" s="1"/>
  <c r="AQ492" i="8"/>
  <c r="AR492" i="8" s="1"/>
  <c r="AI499" i="8"/>
  <c r="AJ499" i="8" s="1"/>
  <c r="AK499" i="8"/>
  <c r="AL499" i="8" s="1"/>
  <c r="AM499" i="8"/>
  <c r="AN499" i="8" s="1"/>
  <c r="AO499" i="8"/>
  <c r="AP499" i="8" s="1"/>
  <c r="AQ499" i="8"/>
  <c r="AR499" i="8" s="1"/>
  <c r="AI504" i="8"/>
  <c r="AJ504" i="8" s="1"/>
  <c r="AK504" i="8"/>
  <c r="AL504" i="8" s="1"/>
  <c r="AM504" i="8"/>
  <c r="AN504" i="8" s="1"/>
  <c r="AO504" i="8"/>
  <c r="AP504" i="8" s="1"/>
  <c r="AQ504" i="8"/>
  <c r="AR504" i="8" s="1"/>
  <c r="AI505" i="8"/>
  <c r="AJ505" i="8" s="1"/>
  <c r="AK505" i="8"/>
  <c r="AL505" i="8" s="1"/>
  <c r="AM505" i="8"/>
  <c r="AN505" i="8" s="1"/>
  <c r="AO505" i="8"/>
  <c r="AP505" i="8" s="1"/>
  <c r="AQ505" i="8"/>
  <c r="AR505" i="8" s="1"/>
  <c r="AI506" i="8"/>
  <c r="AJ506" i="8" s="1"/>
  <c r="AK506" i="8"/>
  <c r="AL506" i="8" s="1"/>
  <c r="AM506" i="8"/>
  <c r="AN506" i="8" s="1"/>
  <c r="AO506" i="8"/>
  <c r="AP506" i="8" s="1"/>
  <c r="AQ506" i="8"/>
  <c r="AR506" i="8" s="1"/>
  <c r="AI507" i="8"/>
  <c r="AJ507" i="8" s="1"/>
  <c r="AK507" i="8"/>
  <c r="AL507" i="8" s="1"/>
  <c r="AM507" i="8"/>
  <c r="AN507" i="8" s="1"/>
  <c r="AO507" i="8"/>
  <c r="AP507" i="8" s="1"/>
  <c r="AQ507" i="8"/>
  <c r="AR507" i="8" s="1"/>
  <c r="AI510" i="8"/>
  <c r="AJ510" i="8" s="1"/>
  <c r="AK510" i="8"/>
  <c r="AL510" i="8" s="1"/>
  <c r="AM510" i="8"/>
  <c r="AN510" i="8" s="1"/>
  <c r="AO510" i="8"/>
  <c r="AP510" i="8" s="1"/>
  <c r="AQ510" i="8"/>
  <c r="AR510" i="8" s="1"/>
  <c r="AI513" i="8"/>
  <c r="AJ513" i="8" s="1"/>
  <c r="AK513" i="8"/>
  <c r="AL513" i="8" s="1"/>
  <c r="AM513" i="8"/>
  <c r="AN513" i="8" s="1"/>
  <c r="AO513" i="8"/>
  <c r="AP513" i="8" s="1"/>
  <c r="AQ513" i="8"/>
  <c r="AR513" i="8" s="1"/>
  <c r="AI514" i="8"/>
  <c r="AJ514" i="8" s="1"/>
  <c r="AK514" i="8"/>
  <c r="AL514" i="8" s="1"/>
  <c r="AM514" i="8"/>
  <c r="AN514" i="8" s="1"/>
  <c r="AO514" i="8"/>
  <c r="AP514" i="8" s="1"/>
  <c r="AQ514" i="8"/>
  <c r="AR514" i="8" s="1"/>
  <c r="AI521" i="8"/>
  <c r="AJ521" i="8" s="1"/>
  <c r="AK521" i="8"/>
  <c r="AL521" i="8" s="1"/>
  <c r="AM521" i="8"/>
  <c r="AN521" i="8"/>
  <c r="AO521" i="8"/>
  <c r="AP521" i="8" s="1"/>
  <c r="AQ521" i="8"/>
  <c r="AR521" i="8" s="1"/>
  <c r="AI528" i="8"/>
  <c r="AJ528" i="8" s="1"/>
  <c r="AK528" i="8"/>
  <c r="AL528" i="8" s="1"/>
  <c r="AM528" i="8"/>
  <c r="AN528" i="8" s="1"/>
  <c r="AO528" i="8"/>
  <c r="AP528" i="8" s="1"/>
  <c r="AQ528" i="8"/>
  <c r="AR528" i="8" s="1"/>
  <c r="AI533" i="8"/>
  <c r="AJ533" i="8" s="1"/>
  <c r="AK533" i="8"/>
  <c r="AL533" i="8" s="1"/>
  <c r="AM533" i="8"/>
  <c r="AN533" i="8" s="1"/>
  <c r="AO533" i="8"/>
  <c r="AP533" i="8" s="1"/>
  <c r="AQ533" i="8"/>
  <c r="AR533" i="8" s="1"/>
  <c r="AI534" i="8"/>
  <c r="AJ534" i="8" s="1"/>
  <c r="AK534" i="8"/>
  <c r="AL534" i="8"/>
  <c r="AM534" i="8"/>
  <c r="AN534" i="8" s="1"/>
  <c r="AO534" i="8"/>
  <c r="AP534" i="8" s="1"/>
  <c r="AQ534" i="8"/>
  <c r="AR534" i="8" s="1"/>
  <c r="AI535" i="8"/>
  <c r="AJ535" i="8" s="1"/>
  <c r="AK535" i="8"/>
  <c r="AL535" i="8" s="1"/>
  <c r="AM535" i="8"/>
  <c r="AN535" i="8" s="1"/>
  <c r="AO535" i="8"/>
  <c r="AP535" i="8" s="1"/>
  <c r="AQ535" i="8"/>
  <c r="AR535" i="8" s="1"/>
  <c r="AI536" i="8"/>
  <c r="AJ536" i="8" s="1"/>
  <c r="AK536" i="8"/>
  <c r="AL536" i="8" s="1"/>
  <c r="AM536" i="8"/>
  <c r="AN536" i="8" s="1"/>
  <c r="AO536" i="8"/>
  <c r="AP536" i="8" s="1"/>
  <c r="AQ536" i="8"/>
  <c r="AR536" i="8" s="1"/>
  <c r="AI537" i="8"/>
  <c r="AJ537" i="8" s="1"/>
  <c r="AK537" i="8"/>
  <c r="AL537" i="8" s="1"/>
  <c r="AM537" i="8"/>
  <c r="AN537" i="8" s="1"/>
  <c r="AO537" i="8"/>
  <c r="AP537" i="8" s="1"/>
  <c r="AQ537" i="8"/>
  <c r="AR537" i="8" s="1"/>
  <c r="AI538" i="8"/>
  <c r="AJ538" i="8" s="1"/>
  <c r="AK538" i="8"/>
  <c r="AL538" i="8" s="1"/>
  <c r="AM538" i="8"/>
  <c r="AN538" i="8" s="1"/>
  <c r="AO538" i="8"/>
  <c r="AP538" i="8" s="1"/>
  <c r="AQ538" i="8"/>
  <c r="AR538" i="8" s="1"/>
  <c r="AI542" i="8"/>
  <c r="AJ542" i="8" s="1"/>
  <c r="AK542" i="8"/>
  <c r="AL542" i="8" s="1"/>
  <c r="AM542" i="8"/>
  <c r="AN542" i="8" s="1"/>
  <c r="AO542" i="8"/>
  <c r="AP542" i="8" s="1"/>
  <c r="AQ542" i="8"/>
  <c r="AR542" i="8" s="1"/>
  <c r="AI549" i="8"/>
  <c r="AJ549" i="8" s="1"/>
  <c r="AK549" i="8"/>
  <c r="AL549" i="8" s="1"/>
  <c r="AM549" i="8"/>
  <c r="AN549" i="8" s="1"/>
  <c r="AO549" i="8"/>
  <c r="AP549" i="8" s="1"/>
  <c r="AQ549" i="8"/>
  <c r="AR549" i="8" s="1"/>
  <c r="AI556" i="8"/>
  <c r="AJ556" i="8" s="1"/>
  <c r="AK556" i="8"/>
  <c r="AL556" i="8" s="1"/>
  <c r="AM556" i="8"/>
  <c r="AN556" i="8" s="1"/>
  <c r="AO556" i="8"/>
  <c r="AP556" i="8" s="1"/>
  <c r="AQ556" i="8"/>
  <c r="AR556" i="8" s="1"/>
  <c r="AI563" i="8"/>
  <c r="AJ563" i="8" s="1"/>
  <c r="AK563" i="8"/>
  <c r="AL563" i="8" s="1"/>
  <c r="AM563" i="8"/>
  <c r="AN563" i="8" s="1"/>
  <c r="AO563" i="8"/>
  <c r="AP563" i="8" s="1"/>
  <c r="AQ563" i="8"/>
  <c r="AR563" i="8" s="1"/>
  <c r="AI570" i="8"/>
  <c r="AJ570" i="8" s="1"/>
  <c r="AK570" i="8"/>
  <c r="AL570" i="8" s="1"/>
  <c r="AM570" i="8"/>
  <c r="AN570" i="8" s="1"/>
  <c r="AO570" i="8"/>
  <c r="AP570" i="8" s="1"/>
  <c r="AQ570" i="8"/>
  <c r="AR570" i="8" s="1"/>
  <c r="AI575" i="8"/>
  <c r="AJ575" i="8" s="1"/>
  <c r="AK575" i="8"/>
  <c r="AL575" i="8" s="1"/>
  <c r="AM575" i="8"/>
  <c r="AN575" i="8" s="1"/>
  <c r="AO575" i="8"/>
  <c r="AP575" i="8" s="1"/>
  <c r="AQ575" i="8"/>
  <c r="AR575" i="8" s="1"/>
  <c r="AI577" i="8"/>
  <c r="AJ577" i="8" s="1"/>
  <c r="AK577" i="8"/>
  <c r="AL577" i="8" s="1"/>
  <c r="AM577" i="8"/>
  <c r="AN577" i="8" s="1"/>
  <c r="AO577" i="8"/>
  <c r="AP577" i="8" s="1"/>
  <c r="AQ577" i="8"/>
  <c r="AR577" i="8" s="1"/>
  <c r="AI584" i="8"/>
  <c r="AJ584" i="8" s="1"/>
  <c r="AK584" i="8"/>
  <c r="AL584" i="8" s="1"/>
  <c r="AM584" i="8"/>
  <c r="AN584" i="8" s="1"/>
  <c r="AO584" i="8"/>
  <c r="AP584" i="8" s="1"/>
  <c r="AQ584" i="8"/>
  <c r="AR584" i="8" s="1"/>
  <c r="AI591" i="8"/>
  <c r="AJ591" i="8"/>
  <c r="AK591" i="8"/>
  <c r="AL591" i="8" s="1"/>
  <c r="AM591" i="8"/>
  <c r="AN591" i="8" s="1"/>
  <c r="AO591" i="8"/>
  <c r="AP591" i="8" s="1"/>
  <c r="AQ591" i="8"/>
  <c r="AR591" i="8" s="1"/>
  <c r="AI598" i="8"/>
  <c r="AJ598" i="8" s="1"/>
  <c r="AK598" i="8"/>
  <c r="AL598" i="8" s="1"/>
  <c r="AM598" i="8"/>
  <c r="AN598" i="8" s="1"/>
  <c r="AO598" i="8"/>
  <c r="AP598" i="8"/>
  <c r="AQ598" i="8"/>
  <c r="AR598" i="8" s="1"/>
  <c r="AI605" i="8"/>
  <c r="AJ605" i="8" s="1"/>
  <c r="AK605" i="8"/>
  <c r="AL605" i="8" s="1"/>
  <c r="AM605" i="8"/>
  <c r="AN605" i="8"/>
  <c r="AO605" i="8"/>
  <c r="AP605" i="8" s="1"/>
  <c r="AQ605" i="8"/>
  <c r="AR605" i="8" s="1"/>
  <c r="AI610" i="8"/>
  <c r="AJ610" i="8" s="1"/>
  <c r="AK610" i="8"/>
  <c r="AL610" i="8" s="1"/>
  <c r="AM610" i="8"/>
  <c r="AN610" i="8" s="1"/>
  <c r="AO610" i="8"/>
  <c r="AP610" i="8" s="1"/>
  <c r="AQ610" i="8"/>
  <c r="AR610" i="8" s="1"/>
  <c r="AI615" i="8"/>
  <c r="AJ615" i="8" s="1"/>
  <c r="AK615" i="8"/>
  <c r="AL615" i="8" s="1"/>
  <c r="AM615" i="8"/>
  <c r="AN615" i="8" s="1"/>
  <c r="AO615" i="8"/>
  <c r="AP615" i="8" s="1"/>
  <c r="AQ615" i="8"/>
  <c r="AR615" i="8" s="1"/>
  <c r="AI617" i="8"/>
  <c r="AJ617" i="8" s="1"/>
  <c r="AK617" i="8"/>
  <c r="AL617" i="8" s="1"/>
  <c r="AM617" i="8"/>
  <c r="AN617" i="8" s="1"/>
  <c r="AO617" i="8"/>
  <c r="AP617" i="8" s="1"/>
  <c r="AQ617" i="8"/>
  <c r="AR617" i="8" s="1"/>
  <c r="AI618" i="8"/>
  <c r="AJ618" i="8"/>
  <c r="AK618" i="8"/>
  <c r="AL618" i="8" s="1"/>
  <c r="AM618" i="8"/>
  <c r="AN618" i="8"/>
  <c r="AO618" i="8"/>
  <c r="AP618" i="8" s="1"/>
  <c r="AQ618" i="8"/>
  <c r="AR618" i="8" s="1"/>
  <c r="AI622" i="8"/>
  <c r="AJ622" i="8" s="1"/>
  <c r="AK622" i="8"/>
  <c r="AL622" i="8" s="1"/>
  <c r="AM622" i="8"/>
  <c r="AN622" i="8" s="1"/>
  <c r="AO622" i="8"/>
  <c r="AP622" i="8" s="1"/>
  <c r="AQ622" i="8"/>
  <c r="AR622" i="8" s="1"/>
  <c r="AI623" i="8"/>
  <c r="AJ623" i="8" s="1"/>
  <c r="AK623" i="8"/>
  <c r="AL623" i="8" s="1"/>
  <c r="AM623" i="8"/>
  <c r="AN623" i="8" s="1"/>
  <c r="AO623" i="8"/>
  <c r="AP623" i="8" s="1"/>
  <c r="AQ623" i="8"/>
  <c r="AR623" i="8" s="1"/>
  <c r="AI624" i="8"/>
  <c r="AJ624" i="8"/>
  <c r="AK624" i="8"/>
  <c r="AL624" i="8" s="1"/>
  <c r="AM624" i="8"/>
  <c r="AN624" i="8"/>
  <c r="AO624" i="8"/>
  <c r="AP624" i="8" s="1"/>
  <c r="AQ624" i="8"/>
  <c r="AR624" i="8" s="1"/>
  <c r="AI625" i="8"/>
  <c r="AJ625" i="8" s="1"/>
  <c r="AK625" i="8"/>
  <c r="AL625" i="8" s="1"/>
  <c r="AM625" i="8"/>
  <c r="AN625" i="8" s="1"/>
  <c r="AO625" i="8"/>
  <c r="AP625" i="8" s="1"/>
  <c r="AQ625" i="8"/>
  <c r="AR625" i="8" s="1"/>
  <c r="AI631" i="8"/>
  <c r="AJ631" i="8" s="1"/>
  <c r="AK631" i="8"/>
  <c r="AL631" i="8" s="1"/>
  <c r="AM631" i="8"/>
  <c r="AN631" i="8" s="1"/>
  <c r="AO631" i="8"/>
  <c r="AP631" i="8" s="1"/>
  <c r="AQ631" i="8"/>
  <c r="AR631" i="8" s="1"/>
  <c r="AI638" i="8"/>
  <c r="AJ638" i="8" s="1"/>
  <c r="AK638" i="8"/>
  <c r="AL638" i="8" s="1"/>
  <c r="AM638" i="8"/>
  <c r="AN638" i="8" s="1"/>
  <c r="AO638" i="8"/>
  <c r="AP638" i="8" s="1"/>
  <c r="AQ638" i="8"/>
  <c r="AR638" i="8" s="1"/>
  <c r="AI645" i="8"/>
  <c r="AJ645" i="8" s="1"/>
  <c r="AK645" i="8"/>
  <c r="AL645" i="8" s="1"/>
  <c r="AM645" i="8"/>
  <c r="AN645" i="8" s="1"/>
  <c r="AO645" i="8"/>
  <c r="AP645" i="8"/>
  <c r="AQ645" i="8"/>
  <c r="AR645" i="8" s="1"/>
  <c r="AI648" i="8"/>
  <c r="AJ648" i="8"/>
  <c r="AK648" i="8"/>
  <c r="AL648" i="8" s="1"/>
  <c r="AM648" i="8"/>
  <c r="AN648" i="8" s="1"/>
  <c r="AO648" i="8"/>
  <c r="AP648" i="8" s="1"/>
  <c r="AQ648" i="8"/>
  <c r="AR648" i="8" s="1"/>
  <c r="AI650" i="8"/>
  <c r="AJ650" i="8" s="1"/>
  <c r="AK650" i="8"/>
  <c r="AL650" i="8" s="1"/>
  <c r="AM650" i="8"/>
  <c r="AN650" i="8" s="1"/>
  <c r="AO650" i="8"/>
  <c r="AP650" i="8" s="1"/>
  <c r="AQ650" i="8"/>
  <c r="AR650" i="8" s="1"/>
  <c r="AI657" i="8"/>
  <c r="AJ657" i="8" s="1"/>
  <c r="AK657" i="8"/>
  <c r="AL657" i="8" s="1"/>
  <c r="AM657" i="8"/>
  <c r="AN657" i="8" s="1"/>
  <c r="AO657" i="8"/>
  <c r="AP657" i="8"/>
  <c r="AQ657" i="8"/>
  <c r="AR657" i="8" s="1"/>
  <c r="AI664" i="8"/>
  <c r="AJ664" i="8" s="1"/>
  <c r="AK664" i="8"/>
  <c r="AL664" i="8" s="1"/>
  <c r="AM664" i="8"/>
  <c r="AN664" i="8" s="1"/>
  <c r="AO664" i="8"/>
  <c r="AP664" i="8" s="1"/>
  <c r="AQ664" i="8"/>
  <c r="AR664" i="8" s="1"/>
  <c r="AI669" i="8"/>
  <c r="AJ669" i="8"/>
  <c r="AK669" i="8"/>
  <c r="AL669" i="8" s="1"/>
  <c r="AM669" i="8"/>
  <c r="AN669" i="8"/>
  <c r="AO669" i="8"/>
  <c r="AP669" i="8" s="1"/>
  <c r="AQ669" i="8"/>
  <c r="AR669" i="8" s="1"/>
  <c r="AI671" i="8"/>
  <c r="AJ671" i="8" s="1"/>
  <c r="AK671" i="8"/>
  <c r="AL671" i="8" s="1"/>
  <c r="AM671" i="8"/>
  <c r="AN671" i="8" s="1"/>
  <c r="AO671" i="8"/>
  <c r="AP671" i="8" s="1"/>
  <c r="AQ671" i="8"/>
  <c r="AR671" i="8" s="1"/>
  <c r="AI672" i="8"/>
  <c r="AJ672" i="8"/>
  <c r="AK672" i="8"/>
  <c r="AL672" i="8" s="1"/>
  <c r="AM672" i="8"/>
  <c r="AN672" i="8"/>
  <c r="AO672" i="8"/>
  <c r="AP672" i="8" s="1"/>
  <c r="AQ672" i="8"/>
  <c r="AR672" i="8" s="1"/>
  <c r="AI676" i="8"/>
  <c r="AJ676" i="8" s="1"/>
  <c r="AK676" i="8"/>
  <c r="AL676" i="8" s="1"/>
  <c r="AM676" i="8"/>
  <c r="AN676" i="8"/>
  <c r="AO676" i="8"/>
  <c r="AP676" i="8" s="1"/>
  <c r="AQ676" i="8"/>
  <c r="AR676" i="8"/>
  <c r="AI677" i="8"/>
  <c r="AJ677" i="8" s="1"/>
  <c r="AK677" i="8"/>
  <c r="AL677" i="8" s="1"/>
  <c r="AM677" i="8"/>
  <c r="AN677" i="8" s="1"/>
  <c r="AO677" i="8"/>
  <c r="AP677" i="8" s="1"/>
  <c r="AQ677" i="8"/>
  <c r="AR677" i="8" s="1"/>
  <c r="AI678" i="8"/>
  <c r="AJ678" i="8"/>
  <c r="AK678" i="8"/>
  <c r="AL678" i="8" s="1"/>
  <c r="AM678" i="8"/>
  <c r="AN678" i="8"/>
  <c r="AO678" i="8"/>
  <c r="AP678" i="8" s="1"/>
  <c r="AQ678" i="8"/>
  <c r="AR678" i="8" s="1"/>
  <c r="AI679" i="8"/>
  <c r="AJ679" i="8" s="1"/>
  <c r="AK679" i="8"/>
  <c r="AL679" i="8" s="1"/>
  <c r="AM679" i="8"/>
  <c r="AN679" i="8" s="1"/>
  <c r="AO679" i="8"/>
  <c r="AP679" i="8"/>
  <c r="AQ679" i="8"/>
  <c r="AR679" i="8" s="1"/>
  <c r="AI680" i="8"/>
  <c r="AJ680" i="8"/>
  <c r="AK680" i="8"/>
  <c r="AL680" i="8" s="1"/>
  <c r="AM680" i="8"/>
  <c r="AN680" i="8" s="1"/>
  <c r="AO680" i="8"/>
  <c r="AP680" i="8" s="1"/>
  <c r="AQ680" i="8"/>
  <c r="AR680" i="8" s="1"/>
  <c r="AI681" i="8"/>
  <c r="AJ681" i="8" s="1"/>
  <c r="AK681" i="8"/>
  <c r="AL681" i="8"/>
  <c r="AM681" i="8"/>
  <c r="AN681" i="8" s="1"/>
  <c r="AO681" i="8"/>
  <c r="AP681" i="8"/>
  <c r="AQ681" i="8"/>
  <c r="AR681" i="8" s="1"/>
  <c r="AI682" i="8"/>
  <c r="AJ682" i="8" s="1"/>
  <c r="AK682" i="8"/>
  <c r="AL682" i="8" s="1"/>
  <c r="AM682" i="8"/>
  <c r="AN682" i="8" s="1"/>
  <c r="AO682" i="8"/>
  <c r="AP682" i="8" s="1"/>
  <c r="AQ682" i="8"/>
  <c r="AR682" i="8"/>
  <c r="AI688" i="8"/>
  <c r="AJ688" i="8" s="1"/>
  <c r="AK688" i="8"/>
  <c r="AL688" i="8" s="1"/>
  <c r="AM688" i="8"/>
  <c r="AN688" i="8" s="1"/>
  <c r="AO688" i="8"/>
  <c r="AP688" i="8" s="1"/>
  <c r="AQ688" i="8"/>
  <c r="AR688" i="8" s="1"/>
  <c r="AI689" i="8"/>
  <c r="AJ689" i="8"/>
  <c r="AK689" i="8"/>
  <c r="AL689" i="8" s="1"/>
  <c r="AM689" i="8"/>
  <c r="AN689" i="8"/>
  <c r="AO689" i="8"/>
  <c r="AP689" i="8" s="1"/>
  <c r="AQ689" i="8"/>
  <c r="AR689" i="8" s="1"/>
  <c r="AI697" i="8"/>
  <c r="AJ697" i="8"/>
  <c r="AK697" i="8"/>
  <c r="AL697" i="8" s="1"/>
  <c r="AM697" i="8"/>
  <c r="AN697" i="8" s="1"/>
  <c r="AO697" i="8"/>
  <c r="AP697" i="8" s="1"/>
  <c r="AQ697" i="8"/>
  <c r="AR697" i="8" s="1"/>
  <c r="AI704" i="8"/>
  <c r="AJ704" i="8" s="1"/>
  <c r="AK704" i="8"/>
  <c r="AL704" i="8"/>
  <c r="AM704" i="8"/>
  <c r="AN704" i="8" s="1"/>
  <c r="AO704" i="8"/>
  <c r="AP704" i="8" s="1"/>
  <c r="AQ704" i="8"/>
  <c r="AR704" i="8" s="1"/>
  <c r="AI709" i="8"/>
  <c r="AJ709" i="8" s="1"/>
  <c r="AK709" i="8"/>
  <c r="AL709" i="8"/>
  <c r="AM709" i="8"/>
  <c r="AN709" i="8" s="1"/>
  <c r="AO709" i="8"/>
  <c r="AP709" i="8"/>
  <c r="AQ709" i="8"/>
  <c r="AR709" i="8" s="1"/>
  <c r="AI710" i="8"/>
  <c r="AJ710" i="8" s="1"/>
  <c r="AK710" i="8"/>
  <c r="AL710" i="8" s="1"/>
  <c r="AM710" i="8"/>
  <c r="AN710" i="8" s="1"/>
  <c r="AO710" i="8"/>
  <c r="AP710" i="8" s="1"/>
  <c r="AQ710" i="8"/>
  <c r="AR710" i="8"/>
  <c r="AI711" i="8"/>
  <c r="AJ711" i="8" s="1"/>
  <c r="AK711" i="8"/>
  <c r="AL711" i="8"/>
  <c r="AM711" i="8"/>
  <c r="AN711" i="8" s="1"/>
  <c r="AO711" i="8"/>
  <c r="AP711" i="8" s="1"/>
  <c r="AQ711" i="8"/>
  <c r="AR711" i="8" s="1"/>
  <c r="AI712" i="8"/>
  <c r="AJ712" i="8" s="1"/>
  <c r="AK712" i="8"/>
  <c r="AL712" i="8" s="1"/>
  <c r="AM712" i="8"/>
  <c r="AN712" i="8"/>
  <c r="AO712" i="8"/>
  <c r="AP712" i="8" s="1"/>
  <c r="AQ712" i="8"/>
  <c r="AR712" i="8"/>
  <c r="AI719" i="8"/>
  <c r="AJ719" i="8" s="1"/>
  <c r="AK719" i="8"/>
  <c r="AL719" i="8" s="1"/>
  <c r="AM719" i="8"/>
  <c r="AN719" i="8" s="1"/>
  <c r="AO719" i="8"/>
  <c r="AP719" i="8"/>
  <c r="AQ719" i="8"/>
  <c r="AR719" i="8" s="1"/>
  <c r="AI726" i="8"/>
  <c r="AJ726" i="8" s="1"/>
  <c r="AK726" i="8"/>
  <c r="AL726" i="8" s="1"/>
  <c r="AM726" i="8"/>
  <c r="AN726" i="8" s="1"/>
  <c r="AO726" i="8"/>
  <c r="AP726" i="8" s="1"/>
  <c r="AQ726" i="8"/>
  <c r="AR726" i="8"/>
  <c r="AI731" i="8"/>
  <c r="AJ731" i="8"/>
  <c r="AK731" i="8"/>
  <c r="AL731" i="8" s="1"/>
  <c r="AM731" i="8"/>
  <c r="AN731" i="8"/>
  <c r="AO731" i="8"/>
  <c r="AP731" i="8" s="1"/>
  <c r="AQ731" i="8"/>
  <c r="AR731" i="8" s="1"/>
  <c r="AI732" i="8"/>
  <c r="AJ732" i="8" s="1"/>
  <c r="AK732" i="8"/>
  <c r="AL732" i="8" s="1"/>
  <c r="AM732" i="8"/>
  <c r="AN732" i="8" s="1"/>
  <c r="AO732" i="8"/>
  <c r="AP732" i="8"/>
  <c r="AQ732" i="8"/>
  <c r="AR732" i="8" s="1"/>
  <c r="AI733" i="8"/>
  <c r="AJ733" i="8"/>
  <c r="AK733" i="8"/>
  <c r="AL733" i="8" s="1"/>
  <c r="AM733" i="8"/>
  <c r="AN733" i="8" s="1"/>
  <c r="AO733" i="8"/>
  <c r="AP733" i="8" s="1"/>
  <c r="AQ733" i="8"/>
  <c r="AR733" i="8" s="1"/>
  <c r="AI734" i="8"/>
  <c r="AJ734" i="8" s="1"/>
  <c r="AK734" i="8"/>
  <c r="AL734" i="8"/>
  <c r="AM734" i="8"/>
  <c r="AN734" i="8" s="1"/>
  <c r="AO734" i="8"/>
  <c r="AP734" i="8"/>
  <c r="AQ734" i="8"/>
  <c r="AR734" i="8" s="1"/>
  <c r="AI735" i="8"/>
  <c r="AJ735" i="8" s="1"/>
  <c r="AK735" i="8"/>
  <c r="AL735" i="8" s="1"/>
  <c r="AM735" i="8"/>
  <c r="AN735" i="8" s="1"/>
  <c r="AO735" i="8"/>
  <c r="AP735" i="8" s="1"/>
  <c r="AQ735" i="8"/>
  <c r="AR735" i="8"/>
  <c r="AI736" i="8"/>
  <c r="AJ736" i="8" s="1"/>
  <c r="AK736" i="8"/>
  <c r="AL736" i="8" s="1"/>
  <c r="AM736" i="8"/>
  <c r="AN736" i="8" s="1"/>
  <c r="AO736" i="8"/>
  <c r="AP736" i="8" s="1"/>
  <c r="AQ736" i="8"/>
  <c r="AR736" i="8" s="1"/>
  <c r="AI741" i="8"/>
  <c r="AJ741" i="8" s="1"/>
  <c r="AK741" i="8"/>
  <c r="AL741" i="8" s="1"/>
  <c r="AM741" i="8"/>
  <c r="AN741" i="8" s="1"/>
  <c r="AO741" i="8"/>
  <c r="AP741" i="8" s="1"/>
  <c r="AQ741" i="8"/>
  <c r="AR741" i="8" s="1"/>
  <c r="AI748" i="8"/>
  <c r="AJ748" i="8" s="1"/>
  <c r="AK748" i="8"/>
  <c r="AL748" i="8" s="1"/>
  <c r="AM748" i="8"/>
  <c r="AN748" i="8" s="1"/>
  <c r="AO748" i="8"/>
  <c r="AP748" i="8" s="1"/>
  <c r="AQ748" i="8"/>
  <c r="AR748" i="8" s="1"/>
  <c r="AI755" i="8"/>
  <c r="AJ755" i="8" s="1"/>
  <c r="AK755" i="8"/>
  <c r="AL755" i="8" s="1"/>
  <c r="AM755" i="8"/>
  <c r="AN755" i="8" s="1"/>
  <c r="AO755" i="8"/>
  <c r="AP755" i="8" s="1"/>
  <c r="AQ755" i="8"/>
  <c r="AR755" i="8" s="1"/>
  <c r="AI760" i="8"/>
  <c r="AJ760" i="8" s="1"/>
  <c r="AK760" i="8"/>
  <c r="AL760" i="8" s="1"/>
  <c r="AM760" i="8"/>
  <c r="AN760" i="8" s="1"/>
  <c r="AO760" i="8"/>
  <c r="AP760" i="8" s="1"/>
  <c r="AQ760" i="8"/>
  <c r="AR760" i="8" s="1"/>
  <c r="AI767" i="8"/>
  <c r="AJ767" i="8" s="1"/>
  <c r="AK767" i="8"/>
  <c r="AL767" i="8" s="1"/>
  <c r="AM767" i="8"/>
  <c r="AN767" i="8" s="1"/>
  <c r="AO767" i="8"/>
  <c r="AP767" i="8" s="1"/>
  <c r="AQ767" i="8"/>
  <c r="AR767" i="8" s="1"/>
  <c r="AI772" i="8"/>
  <c r="AJ772" i="8" s="1"/>
  <c r="AK772" i="8"/>
  <c r="AL772" i="8" s="1"/>
  <c r="AM772" i="8"/>
  <c r="AN772" i="8" s="1"/>
  <c r="AO772" i="8"/>
  <c r="AP772" i="8" s="1"/>
  <c r="AQ772" i="8"/>
  <c r="AR772" i="8" s="1"/>
  <c r="AI773" i="8"/>
  <c r="AJ773" i="8" s="1"/>
  <c r="AK773" i="8"/>
  <c r="AL773" i="8" s="1"/>
  <c r="AM773" i="8"/>
  <c r="AN773" i="8" s="1"/>
  <c r="AO773" i="8"/>
  <c r="AP773" i="8" s="1"/>
  <c r="AQ773" i="8"/>
  <c r="AR773" i="8" s="1"/>
  <c r="AI778" i="8"/>
  <c r="AJ778" i="8" s="1"/>
  <c r="AK778" i="8"/>
  <c r="AL778" i="8" s="1"/>
  <c r="AM778" i="8"/>
  <c r="AN778" i="8" s="1"/>
  <c r="AO778" i="8"/>
  <c r="AP778" i="8" s="1"/>
  <c r="AQ778" i="8"/>
  <c r="AR778" i="8" s="1"/>
  <c r="AI785" i="8"/>
  <c r="AJ785" i="8" s="1"/>
  <c r="AK785" i="8"/>
  <c r="AL785" i="8" s="1"/>
  <c r="AM785" i="8"/>
  <c r="AN785" i="8" s="1"/>
  <c r="AO785" i="8"/>
  <c r="AP785" i="8" s="1"/>
  <c r="AQ785" i="8"/>
  <c r="AR785" i="8" s="1"/>
  <c r="AQ790" i="8"/>
  <c r="AR790" i="8" s="1"/>
  <c r="AI792" i="8"/>
  <c r="AJ792" i="8" s="1"/>
  <c r="AK792" i="8"/>
  <c r="AL792" i="8" s="1"/>
  <c r="AM792" i="8"/>
  <c r="AN792" i="8" s="1"/>
  <c r="AO792" i="8"/>
  <c r="AP792" i="8" s="1"/>
  <c r="AQ792" i="8"/>
  <c r="AR792" i="8" s="1"/>
  <c r="AI799" i="8"/>
  <c r="AJ799" i="8" s="1"/>
  <c r="AK799" i="8"/>
  <c r="AL799" i="8" s="1"/>
  <c r="AM799" i="8"/>
  <c r="AN799" i="8" s="1"/>
  <c r="AO799" i="8"/>
  <c r="AP799" i="8" s="1"/>
  <c r="AQ799" i="8"/>
  <c r="AR799" i="8" s="1"/>
  <c r="AQ800" i="8"/>
  <c r="AR800" i="8" s="1"/>
  <c r="AI804" i="8"/>
  <c r="AJ804" i="8" s="1"/>
  <c r="AK804" i="8"/>
  <c r="AL804" i="8" s="1"/>
  <c r="AM804" i="8"/>
  <c r="AN804" i="8" s="1"/>
  <c r="AO804" i="8"/>
  <c r="AP804" i="8" s="1"/>
  <c r="AQ804" i="8"/>
  <c r="AR804" i="8" s="1"/>
  <c r="AQ807" i="8"/>
  <c r="AR807" i="8" s="1"/>
  <c r="AI810" i="8"/>
  <c r="AJ810" i="8" s="1"/>
  <c r="AK810" i="8"/>
  <c r="AL810" i="8" s="1"/>
  <c r="AM810" i="8"/>
  <c r="AN810" i="8" s="1"/>
  <c r="AO810" i="8"/>
  <c r="AP810" i="8" s="1"/>
  <c r="AQ810" i="8"/>
  <c r="AR810" i="8" s="1"/>
  <c r="AI811" i="8"/>
  <c r="AJ811" i="8" s="1"/>
  <c r="AK811" i="8"/>
  <c r="AL811" i="8" s="1"/>
  <c r="AM811" i="8"/>
  <c r="AN811" i="8" s="1"/>
  <c r="AO811" i="8"/>
  <c r="AP811" i="8" s="1"/>
  <c r="AQ811" i="8"/>
  <c r="AR811" i="8" s="1"/>
  <c r="AQ812" i="8"/>
  <c r="AR812" i="8" s="1"/>
  <c r="AQ814" i="8"/>
  <c r="AR814" i="8" s="1"/>
  <c r="AI815" i="8"/>
  <c r="AJ815" i="8" s="1"/>
  <c r="AK815" i="8"/>
  <c r="AL815" i="8" s="1"/>
  <c r="AM815" i="8"/>
  <c r="AN815" i="8" s="1"/>
  <c r="AO815" i="8"/>
  <c r="AP815" i="8" s="1"/>
  <c r="AQ815" i="8"/>
  <c r="AR815" i="8" s="1"/>
  <c r="AI816" i="8"/>
  <c r="AJ816" i="8" s="1"/>
  <c r="AK816" i="8"/>
  <c r="AL816" i="8" s="1"/>
  <c r="AM816" i="8"/>
  <c r="AN816" i="8" s="1"/>
  <c r="AO816" i="8"/>
  <c r="AP816" i="8" s="1"/>
  <c r="AQ816" i="8"/>
  <c r="AR816" i="8" s="1"/>
  <c r="AI817" i="8"/>
  <c r="AJ817" i="8" s="1"/>
  <c r="AK817" i="8"/>
  <c r="AL817" i="8" s="1"/>
  <c r="AM817" i="8"/>
  <c r="AN817" i="8" s="1"/>
  <c r="AO817" i="8"/>
  <c r="AP817" i="8" s="1"/>
  <c r="AQ817" i="8"/>
  <c r="AR817" i="8" s="1"/>
  <c r="AI818" i="8"/>
  <c r="AJ818" i="8" s="1"/>
  <c r="AK818" i="8"/>
  <c r="AL818" i="8" s="1"/>
  <c r="AM818" i="8"/>
  <c r="AN818" i="8" s="1"/>
  <c r="AO818" i="8"/>
  <c r="AP818" i="8" s="1"/>
  <c r="AQ818" i="8"/>
  <c r="AR818" i="8" s="1"/>
  <c r="AQ820" i="8"/>
  <c r="AR820" i="8" s="1"/>
  <c r="AQ822" i="8"/>
  <c r="AR822" i="8" s="1"/>
  <c r="AI823" i="8"/>
  <c r="AJ823" i="8" s="1"/>
  <c r="AK823" i="8"/>
  <c r="AL823" i="8" s="1"/>
  <c r="AM823" i="8"/>
  <c r="AN823" i="8" s="1"/>
  <c r="AO823" i="8"/>
  <c r="AP823" i="8" s="1"/>
  <c r="AQ823" i="8"/>
  <c r="AR823" i="8" s="1"/>
  <c r="AQ825" i="8"/>
  <c r="AR825" i="8" s="1"/>
  <c r="AQ827" i="8"/>
  <c r="AR827" i="8" s="1"/>
  <c r="AQ829" i="8"/>
  <c r="AR829" i="8" s="1"/>
  <c r="AI830" i="8"/>
  <c r="AJ830" i="8" s="1"/>
  <c r="AK830" i="8"/>
  <c r="AL830" i="8" s="1"/>
  <c r="AM830" i="8"/>
  <c r="AN830" i="8" s="1"/>
  <c r="AO830" i="8"/>
  <c r="AP830" i="8" s="1"/>
  <c r="AQ830" i="8"/>
  <c r="AR830" i="8" s="1"/>
  <c r="AQ832" i="8"/>
  <c r="AR832" i="8" s="1"/>
  <c r="AQ834" i="8"/>
  <c r="AR834" i="8" s="1"/>
  <c r="AQ836" i="8"/>
  <c r="AR836" i="8" s="1"/>
  <c r="AI837" i="8"/>
  <c r="AJ837" i="8" s="1"/>
  <c r="AK837" i="8"/>
  <c r="AL837" i="8" s="1"/>
  <c r="AM837" i="8"/>
  <c r="AN837" i="8" s="1"/>
  <c r="AO837" i="8"/>
  <c r="AP837" i="8" s="1"/>
  <c r="AQ837" i="8"/>
  <c r="AR837" i="8" s="1"/>
  <c r="AQ839" i="8"/>
  <c r="AR839" i="8" s="1"/>
  <c r="AQ841" i="8"/>
  <c r="AR841" i="8" s="1"/>
  <c r="AQ843" i="8"/>
  <c r="AR843" i="8" s="1"/>
  <c r="AI844" i="8"/>
  <c r="AJ844" i="8" s="1"/>
  <c r="AK844" i="8"/>
  <c r="AL844" i="8" s="1"/>
  <c r="AM844" i="8"/>
  <c r="AN844" i="8" s="1"/>
  <c r="AO844" i="8"/>
  <c r="AP844" i="8" s="1"/>
  <c r="AQ844" i="8"/>
  <c r="AR844" i="8" s="1"/>
  <c r="AQ846" i="8"/>
  <c r="AR846" i="8" s="1"/>
  <c r="AI847" i="8"/>
  <c r="AJ847" i="8" s="1"/>
  <c r="AK847" i="8"/>
  <c r="AL847" i="8" s="1"/>
  <c r="AM847" i="8"/>
  <c r="AN847" i="8" s="1"/>
  <c r="AO847" i="8"/>
  <c r="AP847" i="8" s="1"/>
  <c r="AQ847" i="8"/>
  <c r="AR847" i="8" s="1"/>
  <c r="AI849" i="8"/>
  <c r="AJ849" i="8" s="1"/>
  <c r="AK849" i="8"/>
  <c r="AL849" i="8" s="1"/>
  <c r="AM849" i="8"/>
  <c r="AN849" i="8" s="1"/>
  <c r="AO849" i="8"/>
  <c r="AP849" i="8" s="1"/>
  <c r="AQ849" i="8"/>
  <c r="AR849" i="8" s="1"/>
  <c r="AQ850" i="8"/>
  <c r="AR850" i="8" s="1"/>
  <c r="AQ852" i="8"/>
  <c r="AR852" i="8" s="1"/>
  <c r="AQ854" i="8"/>
  <c r="AR854" i="8" s="1"/>
  <c r="AI855" i="8"/>
  <c r="AJ855" i="8" s="1"/>
  <c r="AK855" i="8"/>
  <c r="AL855" i="8" s="1"/>
  <c r="AM855" i="8"/>
  <c r="AN855" i="8" s="1"/>
  <c r="AO855" i="8"/>
  <c r="AP855" i="8" s="1"/>
  <c r="AQ855" i="8"/>
  <c r="AR855" i="8" s="1"/>
  <c r="AQ857" i="8"/>
  <c r="AR857" i="8" s="1"/>
  <c r="AQ859" i="8"/>
  <c r="AR859" i="8" s="1"/>
  <c r="AQ861" i="8"/>
  <c r="AR861" i="8" s="1"/>
  <c r="AI862" i="8"/>
  <c r="AJ862" i="8" s="1"/>
  <c r="AK862" i="8"/>
  <c r="AL862" i="8" s="1"/>
  <c r="AM862" i="8"/>
  <c r="AN862" i="8" s="1"/>
  <c r="AO862" i="8"/>
  <c r="AP862" i="8" s="1"/>
  <c r="AQ862" i="8"/>
  <c r="AR862" i="8" s="1"/>
  <c r="AQ864" i="8"/>
  <c r="AR864" i="8" s="1"/>
  <c r="AQ866" i="8"/>
  <c r="AR866" i="8" s="1"/>
  <c r="AQ868" i="8"/>
  <c r="AR868" i="8" s="1"/>
  <c r="AI869" i="8"/>
  <c r="AJ869" i="8" s="1"/>
  <c r="AK869" i="8"/>
  <c r="AL869" i="8" s="1"/>
  <c r="AM869" i="8"/>
  <c r="AN869" i="8" s="1"/>
  <c r="AO869" i="8"/>
  <c r="AP869" i="8" s="1"/>
  <c r="AQ869" i="8"/>
  <c r="AR869" i="8" s="1"/>
  <c r="AQ871" i="8"/>
  <c r="AR871" i="8" s="1"/>
  <c r="AQ873" i="8"/>
  <c r="AR873" i="8" s="1"/>
  <c r="AQ875" i="8"/>
  <c r="AR875" i="8" s="1"/>
  <c r="AI876" i="8"/>
  <c r="AJ876" i="8" s="1"/>
  <c r="AK876" i="8"/>
  <c r="AL876" i="8" s="1"/>
  <c r="AM876" i="8"/>
  <c r="AN876" i="8" s="1"/>
  <c r="AO876" i="8"/>
  <c r="AP876" i="8" s="1"/>
  <c r="AQ876" i="8"/>
  <c r="AR876" i="8" s="1"/>
  <c r="AQ878" i="8"/>
  <c r="AR878" i="8" s="1"/>
  <c r="AI881" i="8"/>
  <c r="AJ881" i="8" s="1"/>
  <c r="AK881" i="8"/>
  <c r="AL881" i="8" s="1"/>
  <c r="AM881" i="8"/>
  <c r="AN881" i="8" s="1"/>
  <c r="AO881" i="8"/>
  <c r="AP881" i="8" s="1"/>
  <c r="AQ881" i="8"/>
  <c r="AR881" i="8" s="1"/>
  <c r="AI883" i="8"/>
  <c r="AJ883" i="8" s="1"/>
  <c r="AK883" i="8"/>
  <c r="AL883" i="8" s="1"/>
  <c r="AM883" i="8"/>
  <c r="AN883" i="8" s="1"/>
  <c r="AO883" i="8"/>
  <c r="AP883" i="8" s="1"/>
  <c r="AQ883" i="8"/>
  <c r="AR883" i="8" s="1"/>
  <c r="AI884" i="8"/>
  <c r="AJ884" i="8" s="1"/>
  <c r="AK884" i="8"/>
  <c r="AL884" i="8" s="1"/>
  <c r="AM884" i="8"/>
  <c r="AN884" i="8" s="1"/>
  <c r="AO884" i="8"/>
  <c r="AP884" i="8" s="1"/>
  <c r="AQ884" i="8"/>
  <c r="AR884" i="8" s="1"/>
  <c r="AQ885" i="8"/>
  <c r="AR885" i="8" s="1"/>
  <c r="AQ887" i="8"/>
  <c r="AR887" i="8" s="1"/>
  <c r="AI888" i="8"/>
  <c r="AJ888" i="8" s="1"/>
  <c r="AK888" i="8"/>
  <c r="AL888" i="8" s="1"/>
  <c r="AM888" i="8"/>
  <c r="AN888" i="8" s="1"/>
  <c r="AO888" i="8"/>
  <c r="AP888" i="8" s="1"/>
  <c r="AQ888" i="8"/>
  <c r="AR888" i="8" s="1"/>
  <c r="AI889" i="8"/>
  <c r="AJ889" i="8" s="1"/>
  <c r="AK889" i="8"/>
  <c r="AL889" i="8" s="1"/>
  <c r="AM889" i="8"/>
  <c r="AN889" i="8" s="1"/>
  <c r="AO889" i="8"/>
  <c r="AP889" i="8" s="1"/>
  <c r="AQ889" i="8"/>
  <c r="AR889" i="8" s="1"/>
  <c r="AI890" i="8"/>
  <c r="AJ890" i="8" s="1"/>
  <c r="AK890" i="8"/>
  <c r="AL890" i="8" s="1"/>
  <c r="AM890" i="8"/>
  <c r="AN890" i="8" s="1"/>
  <c r="AO890" i="8"/>
  <c r="AP890" i="8" s="1"/>
  <c r="AQ890" i="8"/>
  <c r="AR890" i="8" s="1"/>
  <c r="AI891" i="8"/>
  <c r="AJ891" i="8" s="1"/>
  <c r="AK891" i="8"/>
  <c r="AL891" i="8" s="1"/>
  <c r="AM891" i="8"/>
  <c r="AN891" i="8" s="1"/>
  <c r="AO891" i="8"/>
  <c r="AP891" i="8" s="1"/>
  <c r="AQ891" i="8"/>
  <c r="AR891" i="8" s="1"/>
  <c r="AI892" i="8"/>
  <c r="AJ892" i="8" s="1"/>
  <c r="AK892" i="8"/>
  <c r="AL892" i="8" s="1"/>
  <c r="AM892" i="8"/>
  <c r="AN892" i="8" s="1"/>
  <c r="AO892" i="8"/>
  <c r="AP892" i="8" s="1"/>
  <c r="AQ892" i="8"/>
  <c r="AR892" i="8" s="1"/>
  <c r="AQ894" i="8"/>
  <c r="AR894" i="8" s="1"/>
  <c r="AQ896" i="8"/>
  <c r="AR896" i="8" s="1"/>
  <c r="AI897" i="8"/>
  <c r="AJ897" i="8" s="1"/>
  <c r="AK897" i="8"/>
  <c r="AL897" i="8" s="1"/>
  <c r="AM897" i="8"/>
  <c r="AN897" i="8" s="1"/>
  <c r="AO897" i="8"/>
  <c r="AP897" i="8" s="1"/>
  <c r="AQ897" i="8"/>
  <c r="AR897" i="8" s="1"/>
  <c r="AQ899" i="8"/>
  <c r="AR899" i="8" s="1"/>
  <c r="AQ901" i="8"/>
  <c r="AR901" i="8" s="1"/>
  <c r="AQ903" i="8"/>
  <c r="AR903" i="8" s="1"/>
  <c r="AI904" i="8"/>
  <c r="AJ904" i="8" s="1"/>
  <c r="AK904" i="8"/>
  <c r="AL904" i="8" s="1"/>
  <c r="AM904" i="8"/>
  <c r="AN904" i="8" s="1"/>
  <c r="AO904" i="8"/>
  <c r="AP904" i="8" s="1"/>
  <c r="AQ904" i="8"/>
  <c r="AR904" i="8" s="1"/>
  <c r="AQ908" i="8"/>
  <c r="AR908" i="8" s="1"/>
  <c r="AI909" i="8"/>
  <c r="AJ909" i="8" s="1"/>
  <c r="AK909" i="8"/>
  <c r="AL909" i="8" s="1"/>
  <c r="AM909" i="8"/>
  <c r="AN909" i="8" s="1"/>
  <c r="AO909" i="8"/>
  <c r="AP909" i="8" s="1"/>
  <c r="AQ909" i="8"/>
  <c r="AR909" i="8" s="1"/>
  <c r="AI910" i="8"/>
  <c r="AJ910" i="8" s="1"/>
  <c r="AK910" i="8"/>
  <c r="AL910" i="8" s="1"/>
  <c r="AM910" i="8"/>
  <c r="AN910" i="8" s="1"/>
  <c r="AO910" i="8"/>
  <c r="AP910" i="8" s="1"/>
  <c r="AQ910" i="8"/>
  <c r="AR910" i="8" s="1"/>
  <c r="AI911" i="8"/>
  <c r="AJ911" i="8" s="1"/>
  <c r="AK911" i="8"/>
  <c r="AL911" i="8" s="1"/>
  <c r="AM911" i="8"/>
  <c r="AN911" i="8" s="1"/>
  <c r="AO911" i="8"/>
  <c r="AP911" i="8" s="1"/>
  <c r="AQ911" i="8"/>
  <c r="AR911" i="8" s="1"/>
  <c r="AI912" i="8"/>
  <c r="AJ912" i="8" s="1"/>
  <c r="AK912" i="8"/>
  <c r="AL912" i="8" s="1"/>
  <c r="AM912" i="8"/>
  <c r="AN912" i="8" s="1"/>
  <c r="AO912" i="8"/>
  <c r="AP912" i="8" s="1"/>
  <c r="AQ912" i="8"/>
  <c r="AR912" i="8" s="1"/>
  <c r="AI913" i="8"/>
  <c r="AJ913" i="8" s="1"/>
  <c r="AK913" i="8"/>
  <c r="AL913" i="8" s="1"/>
  <c r="AM913" i="8"/>
  <c r="AN913" i="8" s="1"/>
  <c r="AO913" i="8"/>
  <c r="AP913" i="8" s="1"/>
  <c r="AQ913" i="8"/>
  <c r="AR913" i="8" s="1"/>
  <c r="AI917" i="8"/>
  <c r="AJ917" i="8" s="1"/>
  <c r="AK917" i="8"/>
  <c r="AL917" i="8" s="1"/>
  <c r="AM917" i="8"/>
  <c r="AN917" i="8" s="1"/>
  <c r="AO917" i="8"/>
  <c r="AP917" i="8" s="1"/>
  <c r="AQ917" i="8"/>
  <c r="AR917" i="8" s="1"/>
  <c r="AQ918" i="8"/>
  <c r="AR918" i="8" s="1"/>
  <c r="AQ920" i="8"/>
  <c r="AR920" i="8" s="1"/>
  <c r="AQ922" i="8"/>
  <c r="AR922" i="8" s="1"/>
  <c r="AI923" i="8"/>
  <c r="AJ923" i="8" s="1"/>
  <c r="AK923" i="8"/>
  <c r="AL923" i="8" s="1"/>
  <c r="AM923" i="8"/>
  <c r="AN923" i="8" s="1"/>
  <c r="AO923" i="8"/>
  <c r="AP923" i="8" s="1"/>
  <c r="AQ923" i="8"/>
  <c r="AR923" i="8" s="1"/>
  <c r="AQ925" i="8"/>
  <c r="AR925" i="8" s="1"/>
  <c r="AQ927" i="8"/>
  <c r="AR927" i="8" s="1"/>
  <c r="AQ929" i="8"/>
  <c r="AR929" i="8" s="1"/>
  <c r="AI930" i="8"/>
  <c r="AJ930" i="8" s="1"/>
  <c r="AK930" i="8"/>
  <c r="AL930" i="8" s="1"/>
  <c r="AM930" i="8"/>
  <c r="AN930" i="8" s="1"/>
  <c r="AO930" i="8"/>
  <c r="AP930" i="8" s="1"/>
  <c r="AQ930" i="8"/>
  <c r="AR930" i="8" s="1"/>
  <c r="AQ932" i="8"/>
  <c r="AR932" i="8" s="1"/>
  <c r="AQ934" i="8"/>
  <c r="AR934" i="8" s="1"/>
  <c r="AQ936" i="8"/>
  <c r="AR936" i="8" s="1"/>
  <c r="AI937" i="8"/>
  <c r="AJ937" i="8" s="1"/>
  <c r="AK937" i="8"/>
  <c r="AL937" i="8" s="1"/>
  <c r="AM937" i="8"/>
  <c r="AN937" i="8" s="1"/>
  <c r="AO937" i="8"/>
  <c r="AP937" i="8" s="1"/>
  <c r="AQ937" i="8"/>
  <c r="AR937" i="8" s="1"/>
  <c r="AQ939" i="8"/>
  <c r="AR939" i="8" s="1"/>
  <c r="AQ941" i="8"/>
  <c r="AR941" i="8" s="1"/>
  <c r="AQ943" i="8"/>
  <c r="AR943" i="8" s="1"/>
  <c r="AI944" i="8"/>
  <c r="AJ944" i="8" s="1"/>
  <c r="AK944" i="8"/>
  <c r="AL944" i="8" s="1"/>
  <c r="AM944" i="8"/>
  <c r="AN944" i="8" s="1"/>
  <c r="AO944" i="8"/>
  <c r="AP944" i="8" s="1"/>
  <c r="AQ944" i="8"/>
  <c r="AR944" i="8" s="1"/>
  <c r="AQ946" i="8"/>
  <c r="AR946" i="8" s="1"/>
  <c r="AI947" i="8"/>
  <c r="AJ947" i="8" s="1"/>
  <c r="AK947" i="8"/>
  <c r="AL947" i="8" s="1"/>
  <c r="AM947" i="8"/>
  <c r="AN947" i="8" s="1"/>
  <c r="AO947" i="8"/>
  <c r="AP947" i="8" s="1"/>
  <c r="AQ947" i="8"/>
  <c r="AR947" i="8" s="1"/>
  <c r="AI949" i="8"/>
  <c r="AJ949" i="8" s="1"/>
  <c r="AK949" i="8"/>
  <c r="AL949" i="8" s="1"/>
  <c r="AM949" i="8"/>
  <c r="AN949" i="8" s="1"/>
  <c r="AO949" i="8"/>
  <c r="AP949" i="8" s="1"/>
  <c r="AQ949" i="8"/>
  <c r="AR949" i="8" s="1"/>
  <c r="AI955" i="8"/>
  <c r="AJ955" i="8" s="1"/>
  <c r="AK955" i="8"/>
  <c r="AL955" i="8" s="1"/>
  <c r="AM955" i="8"/>
  <c r="AN955" i="8" s="1"/>
  <c r="AO955" i="8"/>
  <c r="AP955" i="8" s="1"/>
  <c r="AQ955" i="8"/>
  <c r="AR955" i="8" s="1"/>
  <c r="AI962" i="8"/>
  <c r="AJ962" i="8" s="1"/>
  <c r="AK962" i="8"/>
  <c r="AL962" i="8" s="1"/>
  <c r="AM962" i="8"/>
  <c r="AN962" i="8" s="1"/>
  <c r="AO962" i="8"/>
  <c r="AP962" i="8" s="1"/>
  <c r="AQ962" i="8"/>
  <c r="AR962" i="8" s="1"/>
  <c r="AQ968" i="8"/>
  <c r="AR968" i="8" s="1"/>
  <c r="AI969" i="8"/>
  <c r="AJ969" i="8" s="1"/>
  <c r="AK969" i="8"/>
  <c r="AL969" i="8" s="1"/>
  <c r="AM969" i="8"/>
  <c r="AN969" i="8" s="1"/>
  <c r="AO969" i="8"/>
  <c r="AP969" i="8" s="1"/>
  <c r="AQ969" i="8"/>
  <c r="AR969" i="8" s="1"/>
  <c r="AQ975" i="8"/>
  <c r="AR975" i="8" s="1"/>
  <c r="AI976" i="8"/>
  <c r="AJ976" i="8" s="1"/>
  <c r="AK976" i="8"/>
  <c r="AL976" i="8" s="1"/>
  <c r="AM976" i="8"/>
  <c r="AN976" i="8" s="1"/>
  <c r="AO976" i="8"/>
  <c r="AP976" i="8" s="1"/>
  <c r="AQ976" i="8"/>
  <c r="AR976" i="8" s="1"/>
  <c r="AI981" i="8"/>
  <c r="AJ981" i="8" s="1"/>
  <c r="AK981" i="8"/>
  <c r="AL981" i="8" s="1"/>
  <c r="AM981" i="8"/>
  <c r="AN981" i="8" s="1"/>
  <c r="AO981" i="8"/>
  <c r="AP981" i="8" s="1"/>
  <c r="AQ981" i="8"/>
  <c r="AR981" i="8" s="1"/>
  <c r="AI985" i="8"/>
  <c r="AJ985" i="8" s="1"/>
  <c r="AK985" i="8"/>
  <c r="AL985" i="8" s="1"/>
  <c r="AM985" i="8"/>
  <c r="AN985" i="8" s="1"/>
  <c r="AO985" i="8"/>
  <c r="AP985" i="8" s="1"/>
  <c r="AQ985" i="8"/>
  <c r="AR985" i="8" s="1"/>
  <c r="AQ986" i="8"/>
  <c r="AR986" i="8" s="1"/>
  <c r="AI987" i="8"/>
  <c r="AJ987" i="8" s="1"/>
  <c r="AK987" i="8"/>
  <c r="AL987" i="8" s="1"/>
  <c r="AM987" i="8"/>
  <c r="AN987" i="8" s="1"/>
  <c r="AO987" i="8"/>
  <c r="AP987" i="8" s="1"/>
  <c r="AQ987" i="8"/>
  <c r="AR987" i="8" s="1"/>
  <c r="AI988" i="8"/>
  <c r="AJ988" i="8" s="1"/>
  <c r="AK988" i="8"/>
  <c r="AL988" i="8" s="1"/>
  <c r="AM988" i="8"/>
  <c r="AN988" i="8" s="1"/>
  <c r="AO988" i="8"/>
  <c r="AP988" i="8" s="1"/>
  <c r="AQ988" i="8"/>
  <c r="AR988" i="8" s="1"/>
  <c r="AQ992" i="8"/>
  <c r="AR992" i="8" s="1"/>
  <c r="AQ6" i="8"/>
  <c r="AO6" i="8"/>
  <c r="AM6" i="8"/>
  <c r="AK6" i="8"/>
  <c r="AI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E501" i="8"/>
  <c r="AE502" i="8"/>
  <c r="AE503" i="8"/>
  <c r="AE504" i="8"/>
  <c r="AE505" i="8"/>
  <c r="AE506" i="8"/>
  <c r="AE507" i="8"/>
  <c r="AE508" i="8"/>
  <c r="AE509" i="8"/>
  <c r="AE510" i="8"/>
  <c r="AE511" i="8"/>
  <c r="AE512" i="8"/>
  <c r="AE513" i="8"/>
  <c r="AE514" i="8"/>
  <c r="AE515" i="8"/>
  <c r="AE516" i="8"/>
  <c r="AE517" i="8"/>
  <c r="AE518" i="8"/>
  <c r="AE519" i="8"/>
  <c r="AE520" i="8"/>
  <c r="AE521" i="8"/>
  <c r="AE522" i="8"/>
  <c r="AE523" i="8"/>
  <c r="AE524" i="8"/>
  <c r="AE525" i="8"/>
  <c r="AE526" i="8"/>
  <c r="AE527" i="8"/>
  <c r="AE528" i="8"/>
  <c r="AE529" i="8"/>
  <c r="AE530" i="8"/>
  <c r="AE531" i="8"/>
  <c r="AE532" i="8"/>
  <c r="AE533" i="8"/>
  <c r="AE534" i="8"/>
  <c r="AE535" i="8"/>
  <c r="AE536" i="8"/>
  <c r="AE537" i="8"/>
  <c r="AE538" i="8"/>
  <c r="AE539" i="8"/>
  <c r="AE540" i="8"/>
  <c r="AE541" i="8"/>
  <c r="AE542" i="8"/>
  <c r="AE543" i="8"/>
  <c r="AE544" i="8"/>
  <c r="AE545" i="8"/>
  <c r="AE546" i="8"/>
  <c r="AE547" i="8"/>
  <c r="AE548" i="8"/>
  <c r="AE549" i="8"/>
  <c r="AE550" i="8"/>
  <c r="AE551" i="8"/>
  <c r="AE552" i="8"/>
  <c r="AE553" i="8"/>
  <c r="AE554" i="8"/>
  <c r="AE555" i="8"/>
  <c r="AE556" i="8"/>
  <c r="AE557" i="8"/>
  <c r="AE558" i="8"/>
  <c r="AE559" i="8"/>
  <c r="AE560" i="8"/>
  <c r="AE561" i="8"/>
  <c r="AE562" i="8"/>
  <c r="AE563" i="8"/>
  <c r="AE564" i="8"/>
  <c r="AE565" i="8"/>
  <c r="AE566" i="8"/>
  <c r="AE567" i="8"/>
  <c r="AE568" i="8"/>
  <c r="AE569" i="8"/>
  <c r="AE570" i="8"/>
  <c r="AE571" i="8"/>
  <c r="AE572" i="8"/>
  <c r="AE573" i="8"/>
  <c r="AE574" i="8"/>
  <c r="AE575" i="8"/>
  <c r="AE576" i="8"/>
  <c r="AE577" i="8"/>
  <c r="AE578" i="8"/>
  <c r="AE579" i="8"/>
  <c r="AE580" i="8"/>
  <c r="AE581" i="8"/>
  <c r="AE582" i="8"/>
  <c r="AE583" i="8"/>
  <c r="AE584" i="8"/>
  <c r="AE585" i="8"/>
  <c r="AE586" i="8"/>
  <c r="AE587" i="8"/>
  <c r="AE588" i="8"/>
  <c r="AE589" i="8"/>
  <c r="AE590" i="8"/>
  <c r="AE591" i="8"/>
  <c r="AE592" i="8"/>
  <c r="AE593" i="8"/>
  <c r="AE594" i="8"/>
  <c r="AE595" i="8"/>
  <c r="AE596" i="8"/>
  <c r="AE597" i="8"/>
  <c r="AE598" i="8"/>
  <c r="AE599" i="8"/>
  <c r="AE600" i="8"/>
  <c r="AE601" i="8"/>
  <c r="AE602" i="8"/>
  <c r="AE603" i="8"/>
  <c r="AE604" i="8"/>
  <c r="AE605" i="8"/>
  <c r="AE606" i="8"/>
  <c r="AE607" i="8"/>
  <c r="AE608" i="8"/>
  <c r="AE609" i="8"/>
  <c r="AE610" i="8"/>
  <c r="AE611" i="8"/>
  <c r="AE612" i="8"/>
  <c r="AE613" i="8"/>
  <c r="AE614" i="8"/>
  <c r="AE615" i="8"/>
  <c r="AE616" i="8"/>
  <c r="AE617" i="8"/>
  <c r="AE618" i="8"/>
  <c r="AE619" i="8"/>
  <c r="AE620" i="8"/>
  <c r="AE621" i="8"/>
  <c r="AE622" i="8"/>
  <c r="AE623" i="8"/>
  <c r="AE624" i="8"/>
  <c r="AE625" i="8"/>
  <c r="AE626" i="8"/>
  <c r="AE627" i="8"/>
  <c r="AE628" i="8"/>
  <c r="AE629" i="8"/>
  <c r="AE630" i="8"/>
  <c r="AE631" i="8"/>
  <c r="AE632" i="8"/>
  <c r="AE633" i="8"/>
  <c r="AE634" i="8"/>
  <c r="AE635" i="8"/>
  <c r="AE636" i="8"/>
  <c r="AE637" i="8"/>
  <c r="AE638" i="8"/>
  <c r="AE639" i="8"/>
  <c r="AE640" i="8"/>
  <c r="AE641" i="8"/>
  <c r="AE642" i="8"/>
  <c r="AE643" i="8"/>
  <c r="AE644" i="8"/>
  <c r="AE645" i="8"/>
  <c r="AE646" i="8"/>
  <c r="AE647" i="8"/>
  <c r="AE648" i="8"/>
  <c r="AE649" i="8"/>
  <c r="AE650" i="8"/>
  <c r="AE651" i="8"/>
  <c r="AE652" i="8"/>
  <c r="AE653" i="8"/>
  <c r="AE654" i="8"/>
  <c r="AE655" i="8"/>
  <c r="AE656" i="8"/>
  <c r="AE657" i="8"/>
  <c r="AE658" i="8"/>
  <c r="AE659" i="8"/>
  <c r="AE660" i="8"/>
  <c r="AE661" i="8"/>
  <c r="AE662" i="8"/>
  <c r="AE663" i="8"/>
  <c r="AE664" i="8"/>
  <c r="AE665" i="8"/>
  <c r="AE666" i="8"/>
  <c r="AE667" i="8"/>
  <c r="AE668" i="8"/>
  <c r="AE669" i="8"/>
  <c r="AE670" i="8"/>
  <c r="AE671" i="8"/>
  <c r="AE672" i="8"/>
  <c r="AE673" i="8"/>
  <c r="AE674" i="8"/>
  <c r="AE675" i="8"/>
  <c r="AE676" i="8"/>
  <c r="AE677" i="8"/>
  <c r="AE678" i="8"/>
  <c r="AE679" i="8"/>
  <c r="AE680" i="8"/>
  <c r="AE681" i="8"/>
  <c r="AE682" i="8"/>
  <c r="AE683" i="8"/>
  <c r="AE684" i="8"/>
  <c r="AE685" i="8"/>
  <c r="AE686" i="8"/>
  <c r="AE687" i="8"/>
  <c r="AE688" i="8"/>
  <c r="AE689" i="8"/>
  <c r="AE690" i="8"/>
  <c r="AE691" i="8"/>
  <c r="AE692" i="8"/>
  <c r="AE693" i="8"/>
  <c r="AE694" i="8"/>
  <c r="AE695" i="8"/>
  <c r="AE696" i="8"/>
  <c r="AE697" i="8"/>
  <c r="AE698" i="8"/>
  <c r="AE699" i="8"/>
  <c r="AE700" i="8"/>
  <c r="AE701" i="8"/>
  <c r="AE702" i="8"/>
  <c r="AE703" i="8"/>
  <c r="AE704" i="8"/>
  <c r="AE705" i="8"/>
  <c r="AE706" i="8"/>
  <c r="AE707" i="8"/>
  <c r="AE708" i="8"/>
  <c r="AE709" i="8"/>
  <c r="AE710" i="8"/>
  <c r="AE711" i="8"/>
  <c r="AE712" i="8"/>
  <c r="AE713" i="8"/>
  <c r="AE714" i="8"/>
  <c r="AE715" i="8"/>
  <c r="AE716" i="8"/>
  <c r="AE717" i="8"/>
  <c r="AE718" i="8"/>
  <c r="AE719" i="8"/>
  <c r="AE720" i="8"/>
  <c r="AE721" i="8"/>
  <c r="AE722" i="8"/>
  <c r="AE723" i="8"/>
  <c r="AE724" i="8"/>
  <c r="AE725" i="8"/>
  <c r="AE726" i="8"/>
  <c r="AE727" i="8"/>
  <c r="AE728" i="8"/>
  <c r="AE729" i="8"/>
  <c r="AE730" i="8"/>
  <c r="AE731" i="8"/>
  <c r="AE732" i="8"/>
  <c r="AE733" i="8"/>
  <c r="AE734" i="8"/>
  <c r="AE735" i="8"/>
  <c r="AE736" i="8"/>
  <c r="AE737" i="8"/>
  <c r="AE738" i="8"/>
  <c r="AE739" i="8"/>
  <c r="AE740" i="8"/>
  <c r="AE741" i="8"/>
  <c r="AE742" i="8"/>
  <c r="AE743" i="8"/>
  <c r="AE744" i="8"/>
  <c r="AE745" i="8"/>
  <c r="AE746" i="8"/>
  <c r="AE747" i="8"/>
  <c r="AE748" i="8"/>
  <c r="AE749" i="8"/>
  <c r="AE750" i="8"/>
  <c r="AE751" i="8"/>
  <c r="AE752" i="8"/>
  <c r="AE753" i="8"/>
  <c r="AE754" i="8"/>
  <c r="AE755" i="8"/>
  <c r="AE756" i="8"/>
  <c r="AE757" i="8"/>
  <c r="AE758" i="8"/>
  <c r="AE759" i="8"/>
  <c r="AE760" i="8"/>
  <c r="AE761" i="8"/>
  <c r="AE762" i="8"/>
  <c r="AE763" i="8"/>
  <c r="AE764" i="8"/>
  <c r="AE765" i="8"/>
  <c r="AE766" i="8"/>
  <c r="AE767" i="8"/>
  <c r="AE768" i="8"/>
  <c r="AE769" i="8"/>
  <c r="AE770" i="8"/>
  <c r="AE771" i="8"/>
  <c r="AE772" i="8"/>
  <c r="AE773" i="8"/>
  <c r="AE774" i="8"/>
  <c r="AE775" i="8"/>
  <c r="AE776" i="8"/>
  <c r="AE777" i="8"/>
  <c r="AE778" i="8"/>
  <c r="AE779" i="8"/>
  <c r="AE780" i="8"/>
  <c r="AE781" i="8"/>
  <c r="AE782" i="8"/>
  <c r="AE783" i="8"/>
  <c r="AE784" i="8"/>
  <c r="AE785" i="8"/>
  <c r="AE786" i="8"/>
  <c r="AE787" i="8"/>
  <c r="AE788" i="8"/>
  <c r="AE789" i="8"/>
  <c r="AE790" i="8"/>
  <c r="AE791" i="8"/>
  <c r="AE792" i="8"/>
  <c r="AE793" i="8"/>
  <c r="AE794" i="8"/>
  <c r="AE795" i="8"/>
  <c r="AE796" i="8"/>
  <c r="AE797" i="8"/>
  <c r="AE798" i="8"/>
  <c r="AE799" i="8"/>
  <c r="AE800" i="8"/>
  <c r="AE801" i="8"/>
  <c r="AE802" i="8"/>
  <c r="AE803" i="8"/>
  <c r="AE804" i="8"/>
  <c r="AE805" i="8"/>
  <c r="AE806" i="8"/>
  <c r="AE807" i="8"/>
  <c r="AE808" i="8"/>
  <c r="AE809" i="8"/>
  <c r="AE810" i="8"/>
  <c r="AE811" i="8"/>
  <c r="AE812" i="8"/>
  <c r="AE813" i="8"/>
  <c r="AE814" i="8"/>
  <c r="AE815" i="8"/>
  <c r="AE816" i="8"/>
  <c r="AE817" i="8"/>
  <c r="AE818" i="8"/>
  <c r="AE819" i="8"/>
  <c r="AE820" i="8"/>
  <c r="AE821" i="8"/>
  <c r="AE822" i="8"/>
  <c r="AE823" i="8"/>
  <c r="AE824" i="8"/>
  <c r="AE825" i="8"/>
  <c r="AE826" i="8"/>
  <c r="AE827" i="8"/>
  <c r="AE828" i="8"/>
  <c r="AE829" i="8"/>
  <c r="AE830" i="8"/>
  <c r="AE831" i="8"/>
  <c r="AE832" i="8"/>
  <c r="AE833" i="8"/>
  <c r="AE834" i="8"/>
  <c r="AE835" i="8"/>
  <c r="AE836" i="8"/>
  <c r="AE837" i="8"/>
  <c r="AE838" i="8"/>
  <c r="AE839" i="8"/>
  <c r="AE840" i="8"/>
  <c r="AE841" i="8"/>
  <c r="AE842" i="8"/>
  <c r="AE843" i="8"/>
  <c r="AE844" i="8"/>
  <c r="AE845" i="8"/>
  <c r="AE846" i="8"/>
  <c r="AE847" i="8"/>
  <c r="AE848" i="8"/>
  <c r="AE849" i="8"/>
  <c r="AE850" i="8"/>
  <c r="AE851" i="8"/>
  <c r="AE852" i="8"/>
  <c r="AE853" i="8"/>
  <c r="AE854" i="8"/>
  <c r="AE855" i="8"/>
  <c r="AE856" i="8"/>
  <c r="AE857" i="8"/>
  <c r="AE858" i="8"/>
  <c r="AE859" i="8"/>
  <c r="AE860" i="8"/>
  <c r="AE861" i="8"/>
  <c r="AE862" i="8"/>
  <c r="AE863" i="8"/>
  <c r="AE864" i="8"/>
  <c r="AE865" i="8"/>
  <c r="AE866" i="8"/>
  <c r="AE867" i="8"/>
  <c r="AE868" i="8"/>
  <c r="AE869" i="8"/>
  <c r="AE870" i="8"/>
  <c r="AE871" i="8"/>
  <c r="AE872" i="8"/>
  <c r="AE873" i="8"/>
  <c r="AE874" i="8"/>
  <c r="AE875" i="8"/>
  <c r="AE876" i="8"/>
  <c r="AE877" i="8"/>
  <c r="AE878" i="8"/>
  <c r="AE879" i="8"/>
  <c r="AE880" i="8"/>
  <c r="AE881" i="8"/>
  <c r="AE882" i="8"/>
  <c r="AE883" i="8"/>
  <c r="AE884" i="8"/>
  <c r="AE885" i="8"/>
  <c r="AE886" i="8"/>
  <c r="AE887" i="8"/>
  <c r="AE888" i="8"/>
  <c r="AE889" i="8"/>
  <c r="AE890" i="8"/>
  <c r="AE891" i="8"/>
  <c r="AE892" i="8"/>
  <c r="AE893" i="8"/>
  <c r="AE894" i="8"/>
  <c r="AE895" i="8"/>
  <c r="AE896" i="8"/>
  <c r="AE897" i="8"/>
  <c r="AE898" i="8"/>
  <c r="AE899" i="8"/>
  <c r="AE900" i="8"/>
  <c r="AE901" i="8"/>
  <c r="AE902" i="8"/>
  <c r="AE903" i="8"/>
  <c r="AE904" i="8"/>
  <c r="AE905" i="8"/>
  <c r="AE906" i="8"/>
  <c r="AE907" i="8"/>
  <c r="AE908" i="8"/>
  <c r="AE909" i="8"/>
  <c r="AE910" i="8"/>
  <c r="AE911" i="8"/>
  <c r="AE912" i="8"/>
  <c r="AE913" i="8"/>
  <c r="AE914" i="8"/>
  <c r="AE915" i="8"/>
  <c r="AE916" i="8"/>
  <c r="AE917" i="8"/>
  <c r="AE918" i="8"/>
  <c r="AE919" i="8"/>
  <c r="AE920" i="8"/>
  <c r="AE921" i="8"/>
  <c r="AE922" i="8"/>
  <c r="AE923" i="8"/>
  <c r="AE924" i="8"/>
  <c r="AE925" i="8"/>
  <c r="AE926" i="8"/>
  <c r="AE927" i="8"/>
  <c r="AE928" i="8"/>
  <c r="AE929" i="8"/>
  <c r="AE930" i="8"/>
  <c r="AE931" i="8"/>
  <c r="AE932" i="8"/>
  <c r="AE933" i="8"/>
  <c r="AE934" i="8"/>
  <c r="AE935" i="8"/>
  <c r="AE936" i="8"/>
  <c r="AE937" i="8"/>
  <c r="AE938" i="8"/>
  <c r="AE939" i="8"/>
  <c r="AE940" i="8"/>
  <c r="AE941" i="8"/>
  <c r="AE942" i="8"/>
  <c r="AE943" i="8"/>
  <c r="AE944" i="8"/>
  <c r="AE945" i="8"/>
  <c r="AE946" i="8"/>
  <c r="AE947" i="8"/>
  <c r="AE948" i="8"/>
  <c r="AE949" i="8"/>
  <c r="AE950" i="8"/>
  <c r="AE951" i="8"/>
  <c r="AE952" i="8"/>
  <c r="AE953" i="8"/>
  <c r="AE954" i="8"/>
  <c r="AE955" i="8"/>
  <c r="AE956" i="8"/>
  <c r="AE957" i="8"/>
  <c r="AE958" i="8"/>
  <c r="AE959" i="8"/>
  <c r="AE960" i="8"/>
  <c r="AE961" i="8"/>
  <c r="AE962" i="8"/>
  <c r="AE963" i="8"/>
  <c r="AE964" i="8"/>
  <c r="AE965" i="8"/>
  <c r="AE966" i="8"/>
  <c r="AE967" i="8"/>
  <c r="AE968" i="8"/>
  <c r="AE969" i="8"/>
  <c r="AE970" i="8"/>
  <c r="AE971" i="8"/>
  <c r="AE972" i="8"/>
  <c r="AE973" i="8"/>
  <c r="AE974" i="8"/>
  <c r="AE975" i="8"/>
  <c r="AE976" i="8"/>
  <c r="AE977" i="8"/>
  <c r="AE978" i="8"/>
  <c r="AE979" i="8"/>
  <c r="AE980" i="8"/>
  <c r="AE981" i="8"/>
  <c r="AE982" i="8"/>
  <c r="AE983" i="8"/>
  <c r="AE984" i="8"/>
  <c r="AE985" i="8"/>
  <c r="AE986" i="8"/>
  <c r="AE987" i="8"/>
  <c r="AE988" i="8"/>
  <c r="AE989" i="8"/>
  <c r="AE990" i="8"/>
  <c r="AE991" i="8"/>
  <c r="AE992" i="8"/>
  <c r="AQ53" i="8" l="1"/>
  <c r="AR53" i="8" s="1"/>
  <c r="AQ183" i="8"/>
  <c r="AR183" i="8" s="1"/>
  <c r="AQ198" i="8"/>
  <c r="AR198" i="8" s="1"/>
  <c r="AQ208" i="8"/>
  <c r="AR208" i="8" s="1"/>
  <c r="AQ232" i="8"/>
  <c r="AR232" i="8" s="1"/>
  <c r="AQ234" i="8"/>
  <c r="AR234" i="8" s="1"/>
  <c r="AQ239" i="8"/>
  <c r="AR239" i="8" s="1"/>
  <c r="AQ247" i="8"/>
  <c r="AR247" i="8" s="1"/>
  <c r="AQ249" i="8"/>
  <c r="AR249" i="8" s="1"/>
  <c r="AQ253" i="8"/>
  <c r="AR253" i="8" s="1"/>
  <c r="AQ258" i="8"/>
  <c r="AR258" i="8" s="1"/>
  <c r="AQ260" i="8"/>
  <c r="AR260" i="8" s="1"/>
  <c r="AQ262" i="8"/>
  <c r="AR262" i="8" s="1"/>
  <c r="AQ265" i="8"/>
  <c r="AR265" i="8" s="1"/>
  <c r="AQ272" i="8"/>
  <c r="AR272" i="8" s="1"/>
  <c r="AQ274" i="8"/>
  <c r="AR274" i="8" s="1"/>
  <c r="AQ285" i="8"/>
  <c r="AR285" i="8" s="1"/>
  <c r="AQ287" i="8"/>
  <c r="AR287" i="8" s="1"/>
  <c r="AQ293" i="8"/>
  <c r="AR293" i="8" s="1"/>
  <c r="AQ299" i="8"/>
  <c r="AR299" i="8" s="1"/>
  <c r="AQ301" i="8"/>
  <c r="AR301" i="8" s="1"/>
  <c r="AQ304" i="8"/>
  <c r="AR304" i="8" s="1"/>
  <c r="AQ306" i="8"/>
  <c r="AR306" i="8" s="1"/>
  <c r="AQ311" i="8"/>
  <c r="AR311" i="8" s="1"/>
  <c r="AQ313" i="8"/>
  <c r="AR313" i="8" s="1"/>
  <c r="AQ322" i="8"/>
  <c r="AR322" i="8" s="1"/>
  <c r="AQ330" i="8"/>
  <c r="AR330" i="8" s="1"/>
  <c r="AQ332" i="8"/>
  <c r="AR332" i="8" s="1"/>
  <c r="AQ336" i="8"/>
  <c r="AR336" i="8" s="1"/>
  <c r="AQ338" i="8"/>
  <c r="AR338" i="8" s="1"/>
  <c r="AQ345" i="8"/>
  <c r="AR345" i="8" s="1"/>
  <c r="AQ347" i="8"/>
  <c r="AR347" i="8" s="1"/>
  <c r="AQ349" i="8"/>
  <c r="AR349" i="8" s="1"/>
  <c r="AQ354" i="8"/>
  <c r="AR354" i="8" s="1"/>
  <c r="AQ362" i="8"/>
  <c r="AR362" i="8" s="1"/>
  <c r="AQ364" i="8"/>
  <c r="AR364" i="8" s="1"/>
  <c r="AQ366" i="8"/>
  <c r="AR366" i="8" s="1"/>
  <c r="AQ373" i="8"/>
  <c r="AR373" i="8" s="1"/>
  <c r="AQ375" i="8"/>
  <c r="AR375" i="8" s="1"/>
  <c r="AQ377" i="8"/>
  <c r="AR377" i="8" s="1"/>
  <c r="AQ382" i="8"/>
  <c r="AR382" i="8" s="1"/>
  <c r="AQ384" i="8"/>
  <c r="AR384" i="8" s="1"/>
  <c r="AQ387" i="8"/>
  <c r="AR387" i="8" s="1"/>
  <c r="AQ389" i="8"/>
  <c r="AR389" i="8" s="1"/>
  <c r="AQ391" i="8"/>
  <c r="AR391" i="8" s="1"/>
  <c r="AQ394" i="8"/>
  <c r="AR394" i="8" s="1"/>
  <c r="AQ396" i="8"/>
  <c r="AR396" i="8" s="1"/>
  <c r="AQ412" i="8"/>
  <c r="AR412" i="8" s="1"/>
  <c r="AQ414" i="8"/>
  <c r="AR414" i="8" s="1"/>
  <c r="AQ416" i="8"/>
  <c r="AR416" i="8" s="1"/>
  <c r="AQ421" i="8"/>
  <c r="AR421" i="8" s="1"/>
  <c r="AQ424" i="8"/>
  <c r="AR424" i="8" s="1"/>
  <c r="AQ426" i="8"/>
  <c r="AR426" i="8" s="1"/>
  <c r="AQ435" i="8"/>
  <c r="AR435" i="8" s="1"/>
  <c r="AQ438" i="8"/>
  <c r="AR438" i="8" s="1"/>
  <c r="AQ440" i="8"/>
  <c r="AR440" i="8" s="1"/>
  <c r="AQ442" i="8"/>
  <c r="AR442" i="8" s="1"/>
  <c r="AQ445" i="8"/>
  <c r="AR445" i="8" s="1"/>
  <c r="AQ447" i="8"/>
  <c r="AR447" i="8" s="1"/>
  <c r="AQ449" i="8"/>
  <c r="AR449" i="8" s="1"/>
  <c r="AQ452" i="8"/>
  <c r="AR452" i="8" s="1"/>
  <c r="AQ454" i="8"/>
  <c r="AR454" i="8" s="1"/>
  <c r="AQ456" i="8"/>
  <c r="AR456" i="8" s="1"/>
  <c r="AQ461" i="8"/>
  <c r="AR461" i="8" s="1"/>
  <c r="AQ466" i="8"/>
  <c r="AR466" i="8" s="1"/>
  <c r="AQ468" i="8"/>
  <c r="AR468" i="8" s="1"/>
  <c r="AQ476" i="8"/>
  <c r="AR476" i="8" s="1"/>
  <c r="AQ482" i="8"/>
  <c r="AR482" i="8" s="1"/>
  <c r="AQ486" i="8"/>
  <c r="AR486" i="8" s="1"/>
  <c r="AQ488" i="8"/>
  <c r="AR488" i="8" s="1"/>
  <c r="AQ490" i="8"/>
  <c r="AR490" i="8" s="1"/>
  <c r="AQ493" i="8"/>
  <c r="AR493" i="8" s="1"/>
  <c r="AQ495" i="8"/>
  <c r="AR495" i="8" s="1"/>
  <c r="AQ497" i="8"/>
  <c r="AR497" i="8" s="1"/>
  <c r="AQ500" i="8"/>
  <c r="AR500" i="8" s="1"/>
  <c r="AQ502" i="8"/>
  <c r="AR502" i="8" s="1"/>
  <c r="AQ88" i="8"/>
  <c r="AR88" i="8" s="1"/>
  <c r="AI540" i="8"/>
  <c r="AJ540" i="8" s="1"/>
  <c r="AM553" i="8"/>
  <c r="AN553" i="8" s="1"/>
  <c r="AM609" i="8"/>
  <c r="AN609" i="8" s="1"/>
  <c r="AQ612" i="8"/>
  <c r="AR612" i="8" s="1"/>
  <c r="AO629" i="8"/>
  <c r="AP629" i="8" s="1"/>
  <c r="AK636" i="8"/>
  <c r="AL636" i="8" s="1"/>
  <c r="AI661" i="8"/>
  <c r="AJ661" i="8" s="1"/>
  <c r="AO431" i="8"/>
  <c r="AP431" i="8" s="1"/>
  <c r="AM486" i="8"/>
  <c r="AN486" i="8" s="1"/>
  <c r="AI491" i="8"/>
  <c r="AJ491" i="8" s="1"/>
  <c r="AK668" i="8"/>
  <c r="AL668" i="8" s="1"/>
  <c r="AK765" i="8"/>
  <c r="AL765" i="8" s="1"/>
  <c r="AQ140" i="8"/>
  <c r="AR140" i="8" s="1"/>
  <c r="AQ156" i="8"/>
  <c r="AR156" i="8" s="1"/>
  <c r="AQ164" i="8"/>
  <c r="AR164" i="8" s="1"/>
  <c r="AQ166" i="8"/>
  <c r="AR166" i="8" s="1"/>
  <c r="AQ171" i="8"/>
  <c r="AR171" i="8" s="1"/>
  <c r="AQ178" i="8"/>
  <c r="AR178" i="8" s="1"/>
  <c r="AQ180" i="8"/>
  <c r="AR180" i="8" s="1"/>
  <c r="AQ190" i="8"/>
  <c r="AR190" i="8" s="1"/>
  <c r="AQ193" i="8"/>
  <c r="AR193" i="8" s="1"/>
  <c r="AQ195" i="8"/>
  <c r="AR195" i="8" s="1"/>
  <c r="AQ201" i="8"/>
  <c r="AR201" i="8" s="1"/>
  <c r="AQ203" i="8"/>
  <c r="AR203" i="8" s="1"/>
  <c r="AQ206" i="8"/>
  <c r="AR206" i="8" s="1"/>
  <c r="AQ210" i="8"/>
  <c r="AR210" i="8" s="1"/>
  <c r="AQ213" i="8"/>
  <c r="AR213" i="8" s="1"/>
  <c r="AQ217" i="8"/>
  <c r="AR217" i="8" s="1"/>
  <c r="AQ222" i="8"/>
  <c r="AR222" i="8" s="1"/>
  <c r="AQ224" i="8"/>
  <c r="AR224" i="8" s="1"/>
  <c r="AQ227" i="8"/>
  <c r="AR227" i="8" s="1"/>
  <c r="AQ229" i="8"/>
  <c r="AR229" i="8" s="1"/>
  <c r="AQ282" i="8"/>
  <c r="AR282" i="8" s="1"/>
  <c r="AQ290" i="8"/>
  <c r="AR290" i="8" s="1"/>
  <c r="AQ319" i="8"/>
  <c r="AR319" i="8" s="1"/>
  <c r="AQ327" i="8"/>
  <c r="AR327" i="8" s="1"/>
  <c r="AQ399" i="8"/>
  <c r="AR399" i="8" s="1"/>
  <c r="AQ406" i="8"/>
  <c r="AR406" i="8" s="1"/>
  <c r="AM508" i="8"/>
  <c r="AN508" i="8" s="1"/>
  <c r="AQ508" i="8"/>
  <c r="AR508" i="8" s="1"/>
  <c r="AQ515" i="8"/>
  <c r="AR515" i="8" s="1"/>
  <c r="AQ517" i="8"/>
  <c r="AR517" i="8" s="1"/>
  <c r="AQ519" i="8"/>
  <c r="AR519" i="8" s="1"/>
  <c r="AQ522" i="8"/>
  <c r="AR522" i="8" s="1"/>
  <c r="AQ524" i="8"/>
  <c r="AR524" i="8" s="1"/>
  <c r="AQ572" i="8"/>
  <c r="AR572" i="8" s="1"/>
  <c r="AQ578" i="8"/>
  <c r="AR578" i="8" s="1"/>
  <c r="AQ582" i="8"/>
  <c r="AR582" i="8" s="1"/>
  <c r="AQ585" i="8"/>
  <c r="AR585" i="8" s="1"/>
  <c r="AQ587" i="8"/>
  <c r="AR587" i="8" s="1"/>
  <c r="AI590" i="8"/>
  <c r="AJ590" i="8" s="1"/>
  <c r="AQ592" i="8"/>
  <c r="AR592" i="8" s="1"/>
  <c r="AQ596" i="8"/>
  <c r="AR596" i="8" s="1"/>
  <c r="AQ601" i="8"/>
  <c r="AR601" i="8" s="1"/>
  <c r="AI602" i="8"/>
  <c r="AJ602" i="8" s="1"/>
  <c r="AQ603" i="8"/>
  <c r="AR603" i="8" s="1"/>
  <c r="AQ640" i="8"/>
  <c r="AR640" i="8" s="1"/>
  <c r="AQ642" i="8"/>
  <c r="AR642" i="8" s="1"/>
  <c r="AM644" i="8"/>
  <c r="AN644" i="8" s="1"/>
  <c r="AK646" i="8"/>
  <c r="AL646" i="8" s="1"/>
  <c r="AQ647" i="8"/>
  <c r="AR647" i="8" s="1"/>
  <c r="AQ674" i="8"/>
  <c r="AR674" i="8" s="1"/>
  <c r="AI675" i="8"/>
  <c r="AJ675" i="8" s="1"/>
  <c r="AQ683" i="8"/>
  <c r="AR683" i="8" s="1"/>
  <c r="AQ685" i="8"/>
  <c r="AR685" i="8" s="1"/>
  <c r="AQ687" i="8"/>
  <c r="AR687" i="8" s="1"/>
  <c r="AI693" i="8"/>
  <c r="AJ693" i="8" s="1"/>
  <c r="AQ693" i="8"/>
  <c r="AR693" i="8" s="1"/>
  <c r="AQ695" i="8"/>
  <c r="AR695" i="8" s="1"/>
  <c r="AQ698" i="8"/>
  <c r="AR698" i="8" s="1"/>
  <c r="AO801" i="8"/>
  <c r="AP801" i="8" s="1"/>
  <c r="AO807" i="8"/>
  <c r="AP807" i="8" s="1"/>
  <c r="AI808" i="8"/>
  <c r="AJ808" i="8" s="1"/>
  <c r="AM808" i="8"/>
  <c r="AN808" i="8" s="1"/>
  <c r="AO808" i="8"/>
  <c r="AP808" i="8" s="1"/>
  <c r="AI848" i="8"/>
  <c r="AJ848" i="8" s="1"/>
  <c r="AK848" i="8"/>
  <c r="AL848" i="8" s="1"/>
  <c r="AM848" i="8"/>
  <c r="AN848" i="8" s="1"/>
  <c r="AK877" i="8"/>
  <c r="AL877" i="8" s="1"/>
  <c r="AI878" i="8"/>
  <c r="AJ878" i="8" s="1"/>
  <c r="AM880" i="8"/>
  <c r="AN880" i="8" s="1"/>
  <c r="AI882" i="8"/>
  <c r="AJ882" i="8" s="1"/>
  <c r="AI905" i="8"/>
  <c r="AJ905" i="8" s="1"/>
  <c r="AM952" i="8"/>
  <c r="AN952" i="8" s="1"/>
  <c r="AO960" i="8"/>
  <c r="AP960" i="8" s="1"/>
  <c r="AK963" i="8"/>
  <c r="AL963" i="8" s="1"/>
  <c r="AM966" i="8"/>
  <c r="AN966" i="8" s="1"/>
  <c r="AK977" i="8"/>
  <c r="AL977" i="8" s="1"/>
  <c r="AM980" i="8"/>
  <c r="AN980" i="8" s="1"/>
  <c r="AQ700" i="8"/>
  <c r="AR700" i="8" s="1"/>
  <c r="AM701" i="8"/>
  <c r="AN701" i="8" s="1"/>
  <c r="AQ702" i="8"/>
  <c r="AR702" i="8" s="1"/>
  <c r="AQ705" i="8"/>
  <c r="AR705" i="8" s="1"/>
  <c r="AO706" i="8"/>
  <c r="AP706" i="8" s="1"/>
  <c r="AQ707" i="8"/>
  <c r="AR707" i="8" s="1"/>
  <c r="AQ715" i="8"/>
  <c r="AR715" i="8" s="1"/>
  <c r="AI716" i="8"/>
  <c r="AJ716" i="8" s="1"/>
  <c r="AQ717" i="8"/>
  <c r="AR717" i="8" s="1"/>
  <c r="AQ720" i="8"/>
  <c r="AR720" i="8" s="1"/>
  <c r="AQ722" i="8"/>
  <c r="AR722" i="8" s="1"/>
  <c r="AK723" i="8"/>
  <c r="AL723" i="8" s="1"/>
  <c r="AQ724" i="8"/>
  <c r="AR724" i="8" s="1"/>
  <c r="AQ727" i="8"/>
  <c r="AR727" i="8" s="1"/>
  <c r="AO737" i="8"/>
  <c r="AP737" i="8" s="1"/>
  <c r="AQ737" i="8"/>
  <c r="AR737" i="8" s="1"/>
  <c r="AQ742" i="8"/>
  <c r="AR742" i="8" s="1"/>
  <c r="AQ744" i="8"/>
  <c r="AR744" i="8" s="1"/>
  <c r="AQ749" i="8"/>
  <c r="AR749" i="8" s="1"/>
  <c r="AO751" i="8"/>
  <c r="AP751" i="8" s="1"/>
  <c r="AQ751" i="8"/>
  <c r="AR751" i="8" s="1"/>
  <c r="AQ753" i="8"/>
  <c r="AR753" i="8" s="1"/>
  <c r="AQ756" i="8"/>
  <c r="AR756" i="8" s="1"/>
  <c r="AQ758" i="8"/>
  <c r="AR758" i="8" s="1"/>
  <c r="AM762" i="8"/>
  <c r="AN762" i="8" s="1"/>
  <c r="AQ763" i="8"/>
  <c r="AR763" i="8" s="1"/>
  <c r="AQ765" i="8"/>
  <c r="AR765" i="8" s="1"/>
  <c r="AI768" i="8"/>
  <c r="AJ768" i="8" s="1"/>
  <c r="AQ770" i="8"/>
  <c r="AR770" i="8" s="1"/>
  <c r="AQ776" i="8"/>
  <c r="AR776" i="8" s="1"/>
  <c r="AQ779" i="8"/>
  <c r="AR779" i="8" s="1"/>
  <c r="AQ783" i="8"/>
  <c r="AR783" i="8" s="1"/>
  <c r="AO786" i="8"/>
  <c r="AP786" i="8" s="1"/>
  <c r="AQ786" i="8"/>
  <c r="AR786" i="8" s="1"/>
  <c r="AQ788" i="8"/>
  <c r="AR788" i="8" s="1"/>
  <c r="AQ793" i="8"/>
  <c r="AR793" i="8" s="1"/>
  <c r="AQ795" i="8"/>
  <c r="AR795" i="8" s="1"/>
  <c r="AQ824" i="8"/>
  <c r="AR824" i="8" s="1"/>
  <c r="AQ826" i="8"/>
  <c r="AR826" i="8" s="1"/>
  <c r="AO831" i="8"/>
  <c r="AP831" i="8" s="1"/>
  <c r="AQ833" i="8"/>
  <c r="AR833" i="8" s="1"/>
  <c r="AI838" i="8"/>
  <c r="AJ838" i="8" s="1"/>
  <c r="AI840" i="8"/>
  <c r="AJ840" i="8" s="1"/>
  <c r="AM841" i="8"/>
  <c r="AN841" i="8" s="1"/>
  <c r="AO841" i="8"/>
  <c r="AP841" i="8" s="1"/>
  <c r="AK842" i="8"/>
  <c r="AL842" i="8" s="1"/>
  <c r="AM842" i="8"/>
  <c r="AN842" i="8" s="1"/>
  <c r="AO842" i="8"/>
  <c r="AP842" i="8" s="1"/>
  <c r="AI843" i="8"/>
  <c r="AJ843" i="8" s="1"/>
  <c r="AK843" i="8"/>
  <c r="AL843" i="8" s="1"/>
  <c r="AM843" i="8"/>
  <c r="AN843" i="8" s="1"/>
  <c r="AK845" i="8"/>
  <c r="AL845" i="8" s="1"/>
  <c r="AM845" i="8"/>
  <c r="AN845" i="8" s="1"/>
  <c r="AO845" i="8"/>
  <c r="AP845" i="8" s="1"/>
  <c r="AI846" i="8"/>
  <c r="AJ846" i="8" s="1"/>
  <c r="AK846" i="8"/>
  <c r="AL846" i="8" s="1"/>
  <c r="AM846" i="8"/>
  <c r="AN846" i="8" s="1"/>
  <c r="AM851" i="8"/>
  <c r="AN851" i="8" s="1"/>
  <c r="AI853" i="8"/>
  <c r="AJ853" i="8" s="1"/>
  <c r="AO856" i="8"/>
  <c r="AP856" i="8" s="1"/>
  <c r="AK857" i="8"/>
  <c r="AL857" i="8" s="1"/>
  <c r="AK858" i="8"/>
  <c r="AL858" i="8" s="1"/>
  <c r="AI859" i="8"/>
  <c r="AJ859" i="8" s="1"/>
  <c r="AO860" i="8"/>
  <c r="AP860" i="8" s="1"/>
  <c r="AM863" i="8"/>
  <c r="AN863" i="8" s="1"/>
  <c r="AK864" i="8"/>
  <c r="AL864" i="8" s="1"/>
  <c r="AQ865" i="8"/>
  <c r="AR865" i="8" s="1"/>
  <c r="AM867" i="8"/>
  <c r="AN867" i="8" s="1"/>
  <c r="AO870" i="8"/>
  <c r="AP870" i="8" s="1"/>
  <c r="AK872" i="8"/>
  <c r="AL872" i="8" s="1"/>
  <c r="AI873" i="8"/>
  <c r="AJ873" i="8" s="1"/>
  <c r="AM874" i="8"/>
  <c r="AN874" i="8" s="1"/>
  <c r="AM885" i="8"/>
  <c r="AN885" i="8" s="1"/>
  <c r="AI887" i="8"/>
  <c r="AJ887" i="8" s="1"/>
  <c r="AQ893" i="8"/>
  <c r="AR893" i="8" s="1"/>
  <c r="AM895" i="8"/>
  <c r="AN895" i="8" s="1"/>
  <c r="AI898" i="8"/>
  <c r="AJ898" i="8" s="1"/>
  <c r="AQ898" i="8"/>
  <c r="AR898" i="8" s="1"/>
  <c r="AK901" i="8"/>
  <c r="AL901" i="8" s="1"/>
  <c r="AI902" i="8"/>
  <c r="AJ902" i="8" s="1"/>
  <c r="AQ902" i="8"/>
  <c r="AR902" i="8" s="1"/>
  <c r="AO921" i="8"/>
  <c r="AP921" i="8" s="1"/>
  <c r="AK924" i="8"/>
  <c r="AL924" i="8" s="1"/>
  <c r="AO935" i="8"/>
  <c r="AP935" i="8" s="1"/>
  <c r="AK938" i="8"/>
  <c r="AL938" i="8" s="1"/>
  <c r="AQ905" i="8"/>
  <c r="AR905" i="8" s="1"/>
  <c r="AO906" i="8"/>
  <c r="AP906" i="8" s="1"/>
  <c r="AM907" i="8"/>
  <c r="AN907" i="8" s="1"/>
  <c r="AK908" i="8"/>
  <c r="AL908" i="8" s="1"/>
  <c r="AM914" i="8"/>
  <c r="AN914" i="8" s="1"/>
  <c r="AQ914" i="8"/>
  <c r="AR914" i="8" s="1"/>
  <c r="AK915" i="8"/>
  <c r="AL915" i="8" s="1"/>
  <c r="AQ916" i="8"/>
  <c r="AR916" i="8" s="1"/>
  <c r="AM918" i="8"/>
  <c r="AN918" i="8" s="1"/>
  <c r="AK919" i="8"/>
  <c r="AL919" i="8" s="1"/>
  <c r="AI920" i="8"/>
  <c r="AJ920" i="8" s="1"/>
  <c r="AM922" i="8"/>
  <c r="AN922" i="8" s="1"/>
  <c r="AI925" i="8"/>
  <c r="AJ925" i="8" s="1"/>
  <c r="AO926" i="8"/>
  <c r="AP926" i="8" s="1"/>
  <c r="AK928" i="8"/>
  <c r="AL928" i="8" s="1"/>
  <c r="AI929" i="8"/>
  <c r="AJ929" i="8" s="1"/>
  <c r="AO931" i="8"/>
  <c r="AP931" i="8" s="1"/>
  <c r="AM932" i="8"/>
  <c r="AN932" i="8" s="1"/>
  <c r="AK933" i="8"/>
  <c r="AL933" i="8" s="1"/>
  <c r="AI934" i="8"/>
  <c r="AJ934" i="8" s="1"/>
  <c r="AM936" i="8"/>
  <c r="AN936" i="8" s="1"/>
  <c r="AI939" i="8"/>
  <c r="AJ939" i="8" s="1"/>
  <c r="AO940" i="8"/>
  <c r="AP940" i="8" s="1"/>
  <c r="AK942" i="8"/>
  <c r="AL942" i="8" s="1"/>
  <c r="AI943" i="8"/>
  <c r="AJ943" i="8" s="1"/>
  <c r="AO945" i="8"/>
  <c r="AP945" i="8" s="1"/>
  <c r="AM946" i="8"/>
  <c r="AN946" i="8" s="1"/>
  <c r="AK948" i="8"/>
  <c r="AL948" i="8" s="1"/>
  <c r="AQ948" i="8"/>
  <c r="AR948" i="8" s="1"/>
  <c r="AI950" i="8"/>
  <c r="AJ950" i="8" s="1"/>
  <c r="AO951" i="8"/>
  <c r="AP951" i="8" s="1"/>
  <c r="AK953" i="8"/>
  <c r="AL953" i="8" s="1"/>
  <c r="AI954" i="8"/>
  <c r="AJ954" i="8" s="1"/>
  <c r="AO956" i="8"/>
  <c r="AP956" i="8" s="1"/>
  <c r="AM957" i="8"/>
  <c r="AN957" i="8" s="1"/>
  <c r="AK958" i="8"/>
  <c r="AL958" i="8" s="1"/>
  <c r="AI959" i="8"/>
  <c r="AJ959" i="8" s="1"/>
  <c r="AM961" i="8"/>
  <c r="AN961" i="8" s="1"/>
  <c r="AI964" i="8"/>
  <c r="AJ964" i="8" s="1"/>
  <c r="AO965" i="8"/>
  <c r="AP965" i="8" s="1"/>
  <c r="AK967" i="8"/>
  <c r="AL967" i="8" s="1"/>
  <c r="AI968" i="8"/>
  <c r="AJ968" i="8" s="1"/>
  <c r="AO970" i="8"/>
  <c r="AP970" i="8" s="1"/>
  <c r="AM971" i="8"/>
  <c r="AN971" i="8" s="1"/>
  <c r="AK972" i="8"/>
  <c r="AL972" i="8" s="1"/>
  <c r="AI973" i="8"/>
  <c r="AJ973" i="8" s="1"/>
  <c r="AM975" i="8"/>
  <c r="AN975" i="8" s="1"/>
  <c r="AI978" i="8"/>
  <c r="AJ978" i="8" s="1"/>
  <c r="AO979" i="8"/>
  <c r="AP979" i="8" s="1"/>
  <c r="AI982" i="8"/>
  <c r="AJ982" i="8" s="1"/>
  <c r="AO983" i="8"/>
  <c r="AP983" i="8" s="1"/>
  <c r="AM984" i="8"/>
  <c r="AN984" i="8" s="1"/>
  <c r="AQ984" i="8"/>
  <c r="AR984" i="8" s="1"/>
  <c r="AI986" i="8"/>
  <c r="AJ986" i="8" s="1"/>
  <c r="AI989" i="8"/>
  <c r="AJ989" i="8" s="1"/>
  <c r="AQ989" i="8"/>
  <c r="AR989" i="8" s="1"/>
  <c r="AO990" i="8"/>
  <c r="AP990" i="8" s="1"/>
  <c r="AM991" i="8"/>
  <c r="AN991" i="8" s="1"/>
  <c r="AK992" i="8"/>
  <c r="AL992" i="8" s="1"/>
  <c r="AQ50" i="8"/>
  <c r="AR50" i="8" s="1"/>
  <c r="AQ11" i="8"/>
  <c r="AR11" i="8" s="1"/>
  <c r="AQ14" i="8"/>
  <c r="AR14" i="8" s="1"/>
  <c r="AQ18" i="8"/>
  <c r="AR18" i="8" s="1"/>
  <c r="AQ23" i="8"/>
  <c r="AR23" i="8" s="1"/>
  <c r="AQ27" i="8"/>
  <c r="AR27" i="8" s="1"/>
  <c r="AQ30" i="8"/>
  <c r="AR30" i="8" s="1"/>
  <c r="AQ32" i="8"/>
  <c r="AR32" i="8" s="1"/>
  <c r="AQ36" i="8"/>
  <c r="AR36" i="8" s="1"/>
  <c r="AQ39" i="8"/>
  <c r="AR39" i="8" s="1"/>
  <c r="AQ41" i="8"/>
  <c r="AR41" i="8" s="1"/>
  <c r="AQ48" i="8"/>
  <c r="AR48" i="8" s="1"/>
  <c r="AQ58" i="8"/>
  <c r="AR58" i="8" s="1"/>
  <c r="AQ10" i="8"/>
  <c r="AR10" i="8" s="1"/>
  <c r="AQ65" i="8"/>
  <c r="AR65" i="8" s="1"/>
  <c r="AQ70" i="8"/>
  <c r="AR70" i="8" s="1"/>
  <c r="AQ72" i="8"/>
  <c r="AR72" i="8" s="1"/>
  <c r="AQ75" i="8"/>
  <c r="AR75" i="8" s="1"/>
  <c r="AK55" i="8"/>
  <c r="AL55" i="8" s="1"/>
  <c r="AM72" i="8"/>
  <c r="AN72" i="8" s="1"/>
  <c r="AK74" i="8"/>
  <c r="AL74" i="8" s="1"/>
  <c r="AI96" i="8"/>
  <c r="AJ96" i="8" s="1"/>
  <c r="AI145" i="8"/>
  <c r="AJ145" i="8" s="1"/>
  <c r="AQ169" i="8"/>
  <c r="AR169" i="8" s="1"/>
  <c r="AI174" i="8"/>
  <c r="AJ174" i="8" s="1"/>
  <c r="AM203" i="8"/>
  <c r="AN203" i="8" s="1"/>
  <c r="AO217" i="8"/>
  <c r="AP217" i="8" s="1"/>
  <c r="AI222" i="8"/>
  <c r="AJ222" i="8" s="1"/>
  <c r="AK241" i="8"/>
  <c r="AL241" i="8" s="1"/>
  <c r="AI254" i="8"/>
  <c r="AJ254" i="8" s="1"/>
  <c r="AQ259" i="8"/>
  <c r="AR259" i="8" s="1"/>
  <c r="AO286" i="8"/>
  <c r="AP286" i="8" s="1"/>
  <c r="AM295" i="8"/>
  <c r="AN295" i="8" s="1"/>
  <c r="AQ303" i="8"/>
  <c r="AR303" i="8" s="1"/>
  <c r="AK307" i="8"/>
  <c r="AL307" i="8" s="1"/>
  <c r="AI310" i="8"/>
  <c r="AJ310" i="8" s="1"/>
  <c r="AM322" i="8"/>
  <c r="AN322" i="8" s="1"/>
  <c r="AO324" i="8"/>
  <c r="AP324" i="8" s="1"/>
  <c r="AI328" i="8"/>
  <c r="AJ328" i="8" s="1"/>
  <c r="AI332" i="8"/>
  <c r="AJ332" i="8" s="1"/>
  <c r="AK335" i="8"/>
  <c r="AL335" i="8" s="1"/>
  <c r="AK337" i="8"/>
  <c r="AL337" i="8" s="1"/>
  <c r="AM339" i="8"/>
  <c r="AN339" i="8" s="1"/>
  <c r="AK342" i="8"/>
  <c r="AL342" i="8" s="1"/>
  <c r="AK344" i="8"/>
  <c r="AL344" i="8" s="1"/>
  <c r="AK346" i="8"/>
  <c r="AL346" i="8" s="1"/>
  <c r="AM362" i="8"/>
  <c r="AN362" i="8" s="1"/>
  <c r="AO364" i="8"/>
  <c r="AP364" i="8" s="1"/>
  <c r="AO366" i="8"/>
  <c r="AP366" i="8" s="1"/>
  <c r="AI368" i="8"/>
  <c r="AJ368" i="8" s="1"/>
  <c r="AO372" i="8"/>
  <c r="AP372" i="8" s="1"/>
  <c r="AQ374" i="8"/>
  <c r="AR374" i="8" s="1"/>
  <c r="AI376" i="8"/>
  <c r="AJ376" i="8" s="1"/>
  <c r="AK377" i="8"/>
  <c r="AL377" i="8" s="1"/>
  <c r="AO381" i="8"/>
  <c r="AP381" i="8" s="1"/>
  <c r="AI383" i="8"/>
  <c r="AJ383" i="8" s="1"/>
  <c r="AQ386" i="8"/>
  <c r="AR386" i="8" s="1"/>
  <c r="AM390" i="8"/>
  <c r="AN390" i="8" s="1"/>
  <c r="AK393" i="8"/>
  <c r="AL393" i="8" s="1"/>
  <c r="AO394" i="8"/>
  <c r="AP394" i="8" s="1"/>
  <c r="AQ395" i="8"/>
  <c r="AR395" i="8" s="1"/>
  <c r="AO398" i="8"/>
  <c r="AP398" i="8" s="1"/>
  <c r="AQ400" i="8"/>
  <c r="AR400" i="8" s="1"/>
  <c r="AK402" i="8"/>
  <c r="AL402" i="8" s="1"/>
  <c r="AO405" i="8"/>
  <c r="AP405" i="8" s="1"/>
  <c r="AK406" i="8"/>
  <c r="AL406" i="8" s="1"/>
  <c r="AK407" i="8"/>
  <c r="AL407" i="8" s="1"/>
  <c r="AQ407" i="8"/>
  <c r="AR407" i="8" s="1"/>
  <c r="AM413" i="8"/>
  <c r="AN413" i="8" s="1"/>
  <c r="AO413" i="8"/>
  <c r="AP413" i="8" s="1"/>
  <c r="AQ413" i="8"/>
  <c r="AR413" i="8" s="1"/>
  <c r="AI414" i="8"/>
  <c r="AJ414" i="8" s="1"/>
  <c r="AK414" i="8"/>
  <c r="AL414" i="8" s="1"/>
  <c r="AM414" i="8"/>
  <c r="AN414" i="8" s="1"/>
  <c r="AO414" i="8"/>
  <c r="AP414" i="8" s="1"/>
  <c r="AI415" i="8"/>
  <c r="AJ415" i="8" s="1"/>
  <c r="AK415" i="8"/>
  <c r="AL415" i="8" s="1"/>
  <c r="AM415" i="8"/>
  <c r="AN415" i="8" s="1"/>
  <c r="AO415" i="8"/>
  <c r="AP415" i="8" s="1"/>
  <c r="AQ415" i="8"/>
  <c r="AR415" i="8" s="1"/>
  <c r="AI416" i="8"/>
  <c r="AJ416" i="8" s="1"/>
  <c r="AK416" i="8"/>
  <c r="AL416" i="8" s="1"/>
  <c r="AM416" i="8"/>
  <c r="AN416" i="8" s="1"/>
  <c r="AO416" i="8"/>
  <c r="AP416" i="8" s="1"/>
  <c r="AI418" i="8"/>
  <c r="AJ418" i="8" s="1"/>
  <c r="AK418" i="8"/>
  <c r="AL418" i="8" s="1"/>
  <c r="AM418" i="8"/>
  <c r="AN418" i="8" s="1"/>
  <c r="AO418" i="8"/>
  <c r="AP418" i="8" s="1"/>
  <c r="AQ418" i="8"/>
  <c r="AR418" i="8" s="1"/>
  <c r="AI419" i="8"/>
  <c r="AJ419" i="8" s="1"/>
  <c r="AK419" i="8"/>
  <c r="AL419" i="8" s="1"/>
  <c r="AM419" i="8"/>
  <c r="AN419" i="8" s="1"/>
  <c r="AO419" i="8"/>
  <c r="AP419" i="8" s="1"/>
  <c r="AI420" i="8"/>
  <c r="AJ420" i="8" s="1"/>
  <c r="AK420" i="8"/>
  <c r="AL420" i="8" s="1"/>
  <c r="AM420" i="8"/>
  <c r="AN420" i="8" s="1"/>
  <c r="AO420" i="8"/>
  <c r="AP420" i="8" s="1"/>
  <c r="AQ420" i="8"/>
  <c r="AR420" i="8" s="1"/>
  <c r="AI421" i="8"/>
  <c r="AJ421" i="8" s="1"/>
  <c r="AK421" i="8"/>
  <c r="AL421" i="8" s="1"/>
  <c r="AM421" i="8"/>
  <c r="AN421" i="8" s="1"/>
  <c r="AO421" i="8"/>
  <c r="AP421" i="8" s="1"/>
  <c r="AI423" i="8"/>
  <c r="AJ423" i="8" s="1"/>
  <c r="AK423" i="8"/>
  <c r="AL423" i="8" s="1"/>
  <c r="AM423" i="8"/>
  <c r="AN423" i="8" s="1"/>
  <c r="AO423" i="8"/>
  <c r="AP423" i="8" s="1"/>
  <c r="AQ423" i="8"/>
  <c r="AR423" i="8" s="1"/>
  <c r="AI424" i="8"/>
  <c r="AJ424" i="8" s="1"/>
  <c r="AK424" i="8"/>
  <c r="AL424" i="8" s="1"/>
  <c r="AM424" i="8"/>
  <c r="AN424" i="8" s="1"/>
  <c r="AO424" i="8"/>
  <c r="AP424" i="8" s="1"/>
  <c r="AI425" i="8"/>
  <c r="AJ425" i="8" s="1"/>
  <c r="AK425" i="8"/>
  <c r="AL425" i="8" s="1"/>
  <c r="AM425" i="8"/>
  <c r="AN425" i="8" s="1"/>
  <c r="AO425" i="8"/>
  <c r="AP425" i="8" s="1"/>
  <c r="AQ425" i="8"/>
  <c r="AR425" i="8" s="1"/>
  <c r="AI426" i="8"/>
  <c r="AJ426" i="8" s="1"/>
  <c r="AK426" i="8"/>
  <c r="AL426" i="8" s="1"/>
  <c r="AM426" i="8"/>
  <c r="AN426" i="8" s="1"/>
  <c r="AO426" i="8"/>
  <c r="AP426" i="8" s="1"/>
  <c r="AI428" i="8"/>
  <c r="AJ428" i="8" s="1"/>
  <c r="AK428" i="8"/>
  <c r="AL428" i="8" s="1"/>
  <c r="AM428" i="8"/>
  <c r="AN428" i="8" s="1"/>
  <c r="AO428" i="8"/>
  <c r="AP428" i="8" s="1"/>
  <c r="AQ428" i="8"/>
  <c r="AR428" i="8" s="1"/>
  <c r="AI431" i="8"/>
  <c r="AJ431" i="8" s="1"/>
  <c r="AK431" i="8"/>
  <c r="AL431" i="8" s="1"/>
  <c r="AM431" i="8"/>
  <c r="AN431" i="8" s="1"/>
  <c r="AI432" i="8"/>
  <c r="AJ432" i="8" s="1"/>
  <c r="AK432" i="8"/>
  <c r="AL432" i="8" s="1"/>
  <c r="AM432" i="8"/>
  <c r="AN432" i="8" s="1"/>
  <c r="AO432" i="8"/>
  <c r="AP432" i="8" s="1"/>
  <c r="AQ432" i="8"/>
  <c r="AR432" i="8" s="1"/>
  <c r="AI433" i="8"/>
  <c r="AJ433" i="8" s="1"/>
  <c r="AK433" i="8"/>
  <c r="AL433" i="8" s="1"/>
  <c r="AM433" i="8"/>
  <c r="AN433" i="8" s="1"/>
  <c r="AO433" i="8"/>
  <c r="AP433" i="8" s="1"/>
  <c r="AI434" i="8"/>
  <c r="AJ434" i="8" s="1"/>
  <c r="AK434" i="8"/>
  <c r="AL434" i="8" s="1"/>
  <c r="AM434" i="8"/>
  <c r="AN434" i="8" s="1"/>
  <c r="AO434" i="8"/>
  <c r="AP434" i="8" s="1"/>
  <c r="AQ434" i="8"/>
  <c r="AR434" i="8" s="1"/>
  <c r="AI435" i="8"/>
  <c r="AJ435" i="8" s="1"/>
  <c r="AK435" i="8"/>
  <c r="AL435" i="8" s="1"/>
  <c r="AM435" i="8"/>
  <c r="AN435" i="8" s="1"/>
  <c r="AO435" i="8"/>
  <c r="AP435" i="8" s="1"/>
  <c r="AI437" i="8"/>
  <c r="AJ437" i="8" s="1"/>
  <c r="AK437" i="8"/>
  <c r="AL437" i="8" s="1"/>
  <c r="AM437" i="8"/>
  <c r="AN437" i="8" s="1"/>
  <c r="AO437" i="8"/>
  <c r="AP437" i="8" s="1"/>
  <c r="AQ437" i="8"/>
  <c r="AR437" i="8" s="1"/>
  <c r="AI438" i="8"/>
  <c r="AJ438" i="8" s="1"/>
  <c r="AK438" i="8"/>
  <c r="AL438" i="8" s="1"/>
  <c r="AM438" i="8"/>
  <c r="AN438" i="8" s="1"/>
  <c r="AO438" i="8"/>
  <c r="AP438" i="8" s="1"/>
  <c r="AI439" i="8"/>
  <c r="AJ439" i="8" s="1"/>
  <c r="AK439" i="8"/>
  <c r="AL439" i="8" s="1"/>
  <c r="AM439" i="8"/>
  <c r="AN439" i="8" s="1"/>
  <c r="AO439" i="8"/>
  <c r="AP439" i="8" s="1"/>
  <c r="AQ439" i="8"/>
  <c r="AR439" i="8" s="1"/>
  <c r="AI440" i="8"/>
  <c r="AJ440" i="8" s="1"/>
  <c r="AK440" i="8"/>
  <c r="AL440" i="8" s="1"/>
  <c r="AM440" i="8"/>
  <c r="AN440" i="8" s="1"/>
  <c r="AO440" i="8"/>
  <c r="AP440" i="8" s="1"/>
  <c r="AI441" i="8"/>
  <c r="AJ441" i="8" s="1"/>
  <c r="AK441" i="8"/>
  <c r="AL441" i="8" s="1"/>
  <c r="AM441" i="8"/>
  <c r="AN441" i="8" s="1"/>
  <c r="AO441" i="8"/>
  <c r="AP441" i="8" s="1"/>
  <c r="AQ441" i="8"/>
  <c r="AR441" i="8" s="1"/>
  <c r="AI442" i="8"/>
  <c r="AJ442" i="8" s="1"/>
  <c r="AK442" i="8"/>
  <c r="AL442" i="8" s="1"/>
  <c r="AM442" i="8"/>
  <c r="AN442" i="8" s="1"/>
  <c r="AO442" i="8"/>
  <c r="AP442" i="8" s="1"/>
  <c r="AI444" i="8"/>
  <c r="AJ444" i="8" s="1"/>
  <c r="AK444" i="8"/>
  <c r="AL444" i="8" s="1"/>
  <c r="AM444" i="8"/>
  <c r="AN444" i="8" s="1"/>
  <c r="AO444" i="8"/>
  <c r="AP444" i="8" s="1"/>
  <c r="AQ444" i="8"/>
  <c r="AR444" i="8" s="1"/>
  <c r="AI445" i="8"/>
  <c r="AJ445" i="8" s="1"/>
  <c r="AK445" i="8"/>
  <c r="AL445" i="8" s="1"/>
  <c r="AM445" i="8"/>
  <c r="AN445" i="8" s="1"/>
  <c r="AO445" i="8"/>
  <c r="AP445" i="8" s="1"/>
  <c r="AI446" i="8"/>
  <c r="AJ446" i="8" s="1"/>
  <c r="AK446" i="8"/>
  <c r="AL446" i="8" s="1"/>
  <c r="AM446" i="8"/>
  <c r="AN446" i="8" s="1"/>
  <c r="AQ21" i="8"/>
  <c r="AR21" i="8" s="1"/>
  <c r="AQ55" i="8"/>
  <c r="AR55" i="8" s="1"/>
  <c r="AQ60" i="8"/>
  <c r="AR60" i="8" s="1"/>
  <c r="AQ63" i="8"/>
  <c r="AR63" i="8" s="1"/>
  <c r="AQ68" i="8"/>
  <c r="AR68" i="8" s="1"/>
  <c r="AQ77" i="8"/>
  <c r="AR77" i="8" s="1"/>
  <c r="AQ80" i="8"/>
  <c r="AR80" i="8" s="1"/>
  <c r="AQ90" i="8"/>
  <c r="AR90" i="8" s="1"/>
  <c r="AQ93" i="8"/>
  <c r="AR93" i="8" s="1"/>
  <c r="AQ96" i="8"/>
  <c r="AR96" i="8" s="1"/>
  <c r="AQ100" i="8"/>
  <c r="AR100" i="8" s="1"/>
  <c r="AQ104" i="8"/>
  <c r="AR104" i="8" s="1"/>
  <c r="AQ106" i="8"/>
  <c r="AR106" i="8" s="1"/>
  <c r="AQ109" i="8"/>
  <c r="AR109" i="8" s="1"/>
  <c r="AQ113" i="8"/>
  <c r="AR113" i="8" s="1"/>
  <c r="AQ118" i="8"/>
  <c r="AR118" i="8" s="1"/>
  <c r="AQ124" i="8"/>
  <c r="AR124" i="8" s="1"/>
  <c r="AQ127" i="8"/>
  <c r="AR127" i="8" s="1"/>
  <c r="AQ129" i="8"/>
  <c r="AR129" i="8" s="1"/>
  <c r="AQ132" i="8"/>
  <c r="AR132" i="8" s="1"/>
  <c r="AQ134" i="8"/>
  <c r="AR134" i="8" s="1"/>
  <c r="AQ136" i="8"/>
  <c r="AR136" i="8" s="1"/>
  <c r="AQ142" i="8"/>
  <c r="AR142" i="8" s="1"/>
  <c r="AQ144" i="8"/>
  <c r="AR144" i="8" s="1"/>
  <c r="AQ147" i="8"/>
  <c r="AR147" i="8" s="1"/>
  <c r="AQ149" i="8"/>
  <c r="AR149" i="8" s="1"/>
  <c r="AQ151" i="8"/>
  <c r="AR151" i="8" s="1"/>
  <c r="AQ154" i="8"/>
  <c r="AR154" i="8" s="1"/>
  <c r="AQ168" i="8"/>
  <c r="AR168" i="8" s="1"/>
  <c r="AQ173" i="8"/>
  <c r="AR173" i="8" s="1"/>
  <c r="AQ175" i="8"/>
  <c r="AR175" i="8" s="1"/>
  <c r="AQ185" i="8"/>
  <c r="AR185" i="8" s="1"/>
  <c r="AQ188" i="8"/>
  <c r="AR188" i="8" s="1"/>
  <c r="AO446" i="8"/>
  <c r="AP446" i="8" s="1"/>
  <c r="AQ446" i="8"/>
  <c r="AR446" i="8" s="1"/>
  <c r="AI447" i="8"/>
  <c r="AJ447" i="8" s="1"/>
  <c r="AK447" i="8"/>
  <c r="AL447" i="8" s="1"/>
  <c r="AM447" i="8"/>
  <c r="AN447" i="8" s="1"/>
  <c r="AO447" i="8"/>
  <c r="AP447" i="8" s="1"/>
  <c r="AI448" i="8"/>
  <c r="AJ448" i="8" s="1"/>
  <c r="AK448" i="8"/>
  <c r="AL448" i="8" s="1"/>
  <c r="AM448" i="8"/>
  <c r="AN448" i="8" s="1"/>
  <c r="AO448" i="8"/>
  <c r="AP448" i="8" s="1"/>
  <c r="AQ448" i="8"/>
  <c r="AR448" i="8" s="1"/>
  <c r="AI449" i="8"/>
  <c r="AJ449" i="8" s="1"/>
  <c r="AK449" i="8"/>
  <c r="AL449" i="8" s="1"/>
  <c r="AM449" i="8"/>
  <c r="AN449" i="8" s="1"/>
  <c r="AO449" i="8"/>
  <c r="AP449" i="8" s="1"/>
  <c r="AI451" i="8"/>
  <c r="AJ451" i="8" s="1"/>
  <c r="AK451" i="8"/>
  <c r="AL451" i="8" s="1"/>
  <c r="AM451" i="8"/>
  <c r="AN451" i="8" s="1"/>
  <c r="AO451" i="8"/>
  <c r="AP451" i="8" s="1"/>
  <c r="AQ451" i="8"/>
  <c r="AR451" i="8" s="1"/>
  <c r="AI452" i="8"/>
  <c r="AJ452" i="8" s="1"/>
  <c r="AK452" i="8"/>
  <c r="AL452" i="8" s="1"/>
  <c r="AM452" i="8"/>
  <c r="AN452" i="8" s="1"/>
  <c r="AO452" i="8"/>
  <c r="AP452" i="8" s="1"/>
  <c r="AI453" i="8"/>
  <c r="AJ453" i="8" s="1"/>
  <c r="AK453" i="8"/>
  <c r="AL453" i="8" s="1"/>
  <c r="AM453" i="8"/>
  <c r="AN453" i="8" s="1"/>
  <c r="AO453" i="8"/>
  <c r="AP453" i="8" s="1"/>
  <c r="AQ453" i="8"/>
  <c r="AR453" i="8" s="1"/>
  <c r="AI454" i="8"/>
  <c r="AJ454" i="8" s="1"/>
  <c r="AK454" i="8"/>
  <c r="AL454" i="8" s="1"/>
  <c r="AM454" i="8"/>
  <c r="AN454" i="8" s="1"/>
  <c r="AO454" i="8"/>
  <c r="AP454" i="8" s="1"/>
  <c r="AI455" i="8"/>
  <c r="AJ455" i="8" s="1"/>
  <c r="AK455" i="8"/>
  <c r="AL455" i="8" s="1"/>
  <c r="AM455" i="8"/>
  <c r="AN455" i="8" s="1"/>
  <c r="AO455" i="8"/>
  <c r="AP455" i="8" s="1"/>
  <c r="AQ455" i="8"/>
  <c r="AR455" i="8" s="1"/>
  <c r="AI456" i="8"/>
  <c r="AJ456" i="8" s="1"/>
  <c r="AK456" i="8"/>
  <c r="AL456" i="8" s="1"/>
  <c r="AM456" i="8"/>
  <c r="AN456" i="8" s="1"/>
  <c r="AO456" i="8"/>
  <c r="AP456" i="8" s="1"/>
  <c r="AI458" i="8"/>
  <c r="AJ458" i="8" s="1"/>
  <c r="AK458" i="8"/>
  <c r="AL458" i="8" s="1"/>
  <c r="AM458" i="8"/>
  <c r="AN458" i="8" s="1"/>
  <c r="AO458" i="8"/>
  <c r="AP458" i="8" s="1"/>
  <c r="AQ458" i="8"/>
  <c r="AR458" i="8" s="1"/>
  <c r="AI459" i="8"/>
  <c r="AJ459" i="8" s="1"/>
  <c r="AK459" i="8"/>
  <c r="AL459" i="8" s="1"/>
  <c r="AM459" i="8"/>
  <c r="AN459" i="8" s="1"/>
  <c r="AO459" i="8"/>
  <c r="AP459" i="8" s="1"/>
  <c r="AI460" i="8"/>
  <c r="AJ460" i="8" s="1"/>
  <c r="AK460" i="8"/>
  <c r="AL460" i="8" s="1"/>
  <c r="AM460" i="8"/>
  <c r="AN460" i="8" s="1"/>
  <c r="AO460" i="8"/>
  <c r="AP460" i="8" s="1"/>
  <c r="AQ460" i="8"/>
  <c r="AR460" i="8" s="1"/>
  <c r="AI461" i="8"/>
  <c r="AJ461" i="8" s="1"/>
  <c r="AK461" i="8"/>
  <c r="AL461" i="8" s="1"/>
  <c r="AM461" i="8"/>
  <c r="AN461" i="8" s="1"/>
  <c r="AO461" i="8"/>
  <c r="AP461" i="8" s="1"/>
  <c r="AI463" i="8"/>
  <c r="AJ463" i="8" s="1"/>
  <c r="AK463" i="8"/>
  <c r="AL463" i="8" s="1"/>
  <c r="AM463" i="8"/>
  <c r="AN463" i="8" s="1"/>
  <c r="AO463" i="8"/>
  <c r="AP463" i="8" s="1"/>
  <c r="AQ463" i="8"/>
  <c r="AR463" i="8" s="1"/>
  <c r="AI466" i="8"/>
  <c r="AJ466" i="8" s="1"/>
  <c r="AK466" i="8"/>
  <c r="AL466" i="8" s="1"/>
  <c r="AM466" i="8"/>
  <c r="AN466" i="8" s="1"/>
  <c r="AO466" i="8"/>
  <c r="AP466" i="8" s="1"/>
  <c r="AI467" i="8"/>
  <c r="AJ467" i="8" s="1"/>
  <c r="AK467" i="8"/>
  <c r="AL467" i="8" s="1"/>
  <c r="AM467" i="8"/>
  <c r="AN467" i="8" s="1"/>
  <c r="AO467" i="8"/>
  <c r="AP467" i="8" s="1"/>
  <c r="AQ467" i="8"/>
  <c r="AR467" i="8" s="1"/>
  <c r="AI468" i="8"/>
  <c r="AJ468" i="8" s="1"/>
  <c r="AK468" i="8"/>
  <c r="AL468" i="8" s="1"/>
  <c r="AM468" i="8"/>
  <c r="AN468" i="8" s="1"/>
  <c r="AO468" i="8"/>
  <c r="AP468" i="8" s="1"/>
  <c r="AI475" i="8"/>
  <c r="AJ475" i="8" s="1"/>
  <c r="AK475" i="8"/>
  <c r="AL475" i="8" s="1"/>
  <c r="AM475" i="8"/>
  <c r="AN475" i="8" s="1"/>
  <c r="AO475" i="8"/>
  <c r="AP475" i="8" s="1"/>
  <c r="AQ475" i="8"/>
  <c r="AR475" i="8" s="1"/>
  <c r="AI476" i="8"/>
  <c r="AJ476" i="8" s="1"/>
  <c r="AK476" i="8"/>
  <c r="AL476" i="8" s="1"/>
  <c r="AM476" i="8"/>
  <c r="AN476" i="8" s="1"/>
  <c r="AO476" i="8"/>
  <c r="AP476" i="8" s="1"/>
  <c r="AI477" i="8"/>
  <c r="AJ477" i="8" s="1"/>
  <c r="AK477" i="8"/>
  <c r="AL477" i="8" s="1"/>
  <c r="AM477" i="8"/>
  <c r="AN477" i="8" s="1"/>
  <c r="AO477" i="8"/>
  <c r="AP477" i="8" s="1"/>
  <c r="AQ477" i="8"/>
  <c r="AR477" i="8" s="1"/>
  <c r="AI479" i="8"/>
  <c r="AJ479" i="8" s="1"/>
  <c r="AK479" i="8"/>
  <c r="AL479" i="8" s="1"/>
  <c r="AM479" i="8"/>
  <c r="AN479" i="8" s="1"/>
  <c r="AO479" i="8"/>
  <c r="AP479" i="8" s="1"/>
  <c r="AI480" i="8"/>
  <c r="AJ480" i="8" s="1"/>
  <c r="AK480" i="8"/>
  <c r="AL480" i="8" s="1"/>
  <c r="AM480" i="8"/>
  <c r="AN480" i="8" s="1"/>
  <c r="AO480" i="8"/>
  <c r="AP480" i="8" s="1"/>
  <c r="AQ480" i="8"/>
  <c r="AR480" i="8" s="1"/>
  <c r="AI482" i="8"/>
  <c r="AJ482" i="8" s="1"/>
  <c r="AK482" i="8"/>
  <c r="AL482" i="8" s="1"/>
  <c r="AM482" i="8"/>
  <c r="AN482" i="8" s="1"/>
  <c r="AO482" i="8"/>
  <c r="AP482" i="8" s="1"/>
  <c r="AI483" i="8"/>
  <c r="AJ483" i="8" s="1"/>
  <c r="AK483" i="8"/>
  <c r="AL483" i="8" s="1"/>
  <c r="AM483" i="8"/>
  <c r="AN483" i="8" s="1"/>
  <c r="AO483" i="8"/>
  <c r="AP483" i="8" s="1"/>
  <c r="AQ483" i="8"/>
  <c r="AR483" i="8" s="1"/>
  <c r="AI486" i="8"/>
  <c r="AJ486" i="8" s="1"/>
  <c r="AK486" i="8"/>
  <c r="AL486" i="8" s="1"/>
  <c r="AO486" i="8"/>
  <c r="AP486" i="8" s="1"/>
  <c r="AI487" i="8"/>
  <c r="AJ487" i="8" s="1"/>
  <c r="AK487" i="8"/>
  <c r="AL487" i="8" s="1"/>
  <c r="AM487" i="8"/>
  <c r="AN487" i="8" s="1"/>
  <c r="AO487" i="8"/>
  <c r="AP487" i="8" s="1"/>
  <c r="AQ487" i="8"/>
  <c r="AR487" i="8" s="1"/>
  <c r="AI488" i="8"/>
  <c r="AJ488" i="8" s="1"/>
  <c r="AK488" i="8"/>
  <c r="AL488" i="8" s="1"/>
  <c r="AM488" i="8"/>
  <c r="AN488" i="8" s="1"/>
  <c r="AO488" i="8"/>
  <c r="AP488" i="8" s="1"/>
  <c r="AI489" i="8"/>
  <c r="AJ489" i="8" s="1"/>
  <c r="AK489" i="8"/>
  <c r="AL489" i="8" s="1"/>
  <c r="AM489" i="8"/>
  <c r="AN489" i="8" s="1"/>
  <c r="AO489" i="8"/>
  <c r="AP489" i="8" s="1"/>
  <c r="AQ489" i="8"/>
  <c r="AR489" i="8" s="1"/>
  <c r="AI490" i="8"/>
  <c r="AJ490" i="8" s="1"/>
  <c r="AK490" i="8"/>
  <c r="AL490" i="8" s="1"/>
  <c r="AM490" i="8"/>
  <c r="AN490" i="8" s="1"/>
  <c r="AO490" i="8"/>
  <c r="AP490" i="8" s="1"/>
  <c r="AK491" i="8"/>
  <c r="AL491" i="8" s="1"/>
  <c r="AM491" i="8"/>
  <c r="AN491" i="8" s="1"/>
  <c r="AO491" i="8"/>
  <c r="AP491" i="8" s="1"/>
  <c r="AQ491" i="8"/>
  <c r="AR491" i="8" s="1"/>
  <c r="AI493" i="8"/>
  <c r="AJ493" i="8" s="1"/>
  <c r="AK493" i="8"/>
  <c r="AL493" i="8" s="1"/>
  <c r="AM493" i="8"/>
  <c r="AN493" i="8" s="1"/>
  <c r="AO493" i="8"/>
  <c r="AP493" i="8" s="1"/>
  <c r="AI494" i="8"/>
  <c r="AJ494" i="8" s="1"/>
  <c r="AK494" i="8"/>
  <c r="AL494" i="8" s="1"/>
  <c r="AM494" i="8"/>
  <c r="AN494" i="8" s="1"/>
  <c r="AO494" i="8"/>
  <c r="AP494" i="8" s="1"/>
  <c r="AQ494" i="8"/>
  <c r="AR494" i="8" s="1"/>
  <c r="AI495" i="8"/>
  <c r="AJ495" i="8" s="1"/>
  <c r="AK495" i="8"/>
  <c r="AL495" i="8" s="1"/>
  <c r="AM495" i="8"/>
  <c r="AN495" i="8" s="1"/>
  <c r="AO495" i="8"/>
  <c r="AP495" i="8" s="1"/>
  <c r="AI496" i="8"/>
  <c r="AJ496" i="8" s="1"/>
  <c r="AK496" i="8"/>
  <c r="AL496" i="8" s="1"/>
  <c r="AM496" i="8"/>
  <c r="AN496" i="8" s="1"/>
  <c r="AO496" i="8"/>
  <c r="AP496" i="8" s="1"/>
  <c r="AQ496" i="8"/>
  <c r="AR496" i="8" s="1"/>
  <c r="AI497" i="8"/>
  <c r="AJ497" i="8" s="1"/>
  <c r="AK497" i="8"/>
  <c r="AL497" i="8" s="1"/>
  <c r="AM497" i="8"/>
  <c r="AN497" i="8" s="1"/>
  <c r="AO497" i="8"/>
  <c r="AP497" i="8" s="1"/>
  <c r="AI498" i="8"/>
  <c r="AJ498" i="8" s="1"/>
  <c r="AK498" i="8"/>
  <c r="AL498" i="8" s="1"/>
  <c r="AM498" i="8"/>
  <c r="AN498" i="8" s="1"/>
  <c r="AO498" i="8"/>
  <c r="AP498" i="8" s="1"/>
  <c r="AQ498" i="8"/>
  <c r="AR498" i="8" s="1"/>
  <c r="AI500" i="8"/>
  <c r="AJ500" i="8" s="1"/>
  <c r="AK500" i="8"/>
  <c r="AL500" i="8" s="1"/>
  <c r="AM500" i="8"/>
  <c r="AN500" i="8" s="1"/>
  <c r="AO500" i="8"/>
  <c r="AP500" i="8" s="1"/>
  <c r="AI501" i="8"/>
  <c r="AJ501" i="8" s="1"/>
  <c r="AK501" i="8"/>
  <c r="AL501" i="8" s="1"/>
  <c r="AM501" i="8"/>
  <c r="AN501" i="8" s="1"/>
  <c r="AO501" i="8"/>
  <c r="AP501" i="8" s="1"/>
  <c r="AQ501" i="8"/>
  <c r="AR501" i="8" s="1"/>
  <c r="AI502" i="8"/>
  <c r="AJ502" i="8" s="1"/>
  <c r="AK502" i="8"/>
  <c r="AL502" i="8" s="1"/>
  <c r="AM502" i="8"/>
  <c r="AN502" i="8" s="1"/>
  <c r="AO502" i="8"/>
  <c r="AP502" i="8" s="1"/>
  <c r="AI503" i="8"/>
  <c r="AJ503" i="8" s="1"/>
  <c r="AK503" i="8"/>
  <c r="AL503" i="8" s="1"/>
  <c r="AM503" i="8"/>
  <c r="AN503" i="8" s="1"/>
  <c r="AO503" i="8"/>
  <c r="AP503" i="8" s="1"/>
  <c r="AQ503" i="8"/>
  <c r="AR503" i="8" s="1"/>
  <c r="AI508" i="8"/>
  <c r="AJ508" i="8" s="1"/>
  <c r="AK508" i="8"/>
  <c r="AL508" i="8" s="1"/>
  <c r="AO508" i="8"/>
  <c r="AP508" i="8" s="1"/>
  <c r="AI509" i="8"/>
  <c r="AJ509" i="8" s="1"/>
  <c r="AK509" i="8"/>
  <c r="AL509" i="8" s="1"/>
  <c r="AM509" i="8"/>
  <c r="AN509" i="8" s="1"/>
  <c r="AO509" i="8"/>
  <c r="AP509" i="8" s="1"/>
  <c r="AQ509" i="8"/>
  <c r="AR509" i="8" s="1"/>
  <c r="AI511" i="8"/>
  <c r="AJ511" i="8" s="1"/>
  <c r="AK511" i="8"/>
  <c r="AL511" i="8" s="1"/>
  <c r="AM511" i="8"/>
  <c r="AN511" i="8" s="1"/>
  <c r="AO511" i="8"/>
  <c r="AP511" i="8" s="1"/>
  <c r="AI512" i="8"/>
  <c r="AJ512" i="8" s="1"/>
  <c r="AK512" i="8"/>
  <c r="AL512" i="8" s="1"/>
  <c r="AM512" i="8"/>
  <c r="AN512" i="8" s="1"/>
  <c r="AO512" i="8"/>
  <c r="AP512" i="8" s="1"/>
  <c r="AQ512" i="8"/>
  <c r="AR512" i="8" s="1"/>
  <c r="AI515" i="8"/>
  <c r="AJ515" i="8" s="1"/>
  <c r="AK515" i="8"/>
  <c r="AL515" i="8" s="1"/>
  <c r="AM515" i="8"/>
  <c r="AN515" i="8" s="1"/>
  <c r="AO515" i="8"/>
  <c r="AP515" i="8" s="1"/>
  <c r="AI516" i="8"/>
  <c r="AJ516" i="8" s="1"/>
  <c r="AK516" i="8"/>
  <c r="AL516" i="8" s="1"/>
  <c r="AM516" i="8"/>
  <c r="AN516" i="8" s="1"/>
  <c r="AO516" i="8"/>
  <c r="AP516" i="8" s="1"/>
  <c r="AQ516" i="8"/>
  <c r="AR516" i="8" s="1"/>
  <c r="AI517" i="8"/>
  <c r="AJ517" i="8" s="1"/>
  <c r="AK517" i="8"/>
  <c r="AL517" i="8" s="1"/>
  <c r="AM517" i="8"/>
  <c r="AN517" i="8" s="1"/>
  <c r="AO517" i="8"/>
  <c r="AP517" i="8" s="1"/>
  <c r="AI518" i="8"/>
  <c r="AJ518" i="8" s="1"/>
  <c r="AK518" i="8"/>
  <c r="AL518" i="8" s="1"/>
  <c r="AM518" i="8"/>
  <c r="AN518" i="8" s="1"/>
  <c r="AO518" i="8"/>
  <c r="AP518" i="8" s="1"/>
  <c r="AQ518" i="8"/>
  <c r="AR518" i="8" s="1"/>
  <c r="AI519" i="8"/>
  <c r="AJ519" i="8" s="1"/>
  <c r="AK519" i="8"/>
  <c r="AL519" i="8" s="1"/>
  <c r="AM519" i="8"/>
  <c r="AN519" i="8" s="1"/>
  <c r="AO519" i="8"/>
  <c r="AP519" i="8" s="1"/>
  <c r="AI520" i="8"/>
  <c r="AJ520" i="8" s="1"/>
  <c r="AK520" i="8"/>
  <c r="AL520" i="8" s="1"/>
  <c r="AM520" i="8"/>
  <c r="AN520" i="8" s="1"/>
  <c r="AO520" i="8"/>
  <c r="AP520" i="8" s="1"/>
  <c r="AQ520" i="8"/>
  <c r="AR520" i="8" s="1"/>
  <c r="AI522" i="8"/>
  <c r="AJ522" i="8" s="1"/>
  <c r="AK522" i="8"/>
  <c r="AL522" i="8" s="1"/>
  <c r="AM522" i="8"/>
  <c r="AN522" i="8" s="1"/>
  <c r="AO522" i="8"/>
  <c r="AP522" i="8" s="1"/>
  <c r="AI523" i="8"/>
  <c r="AJ523" i="8" s="1"/>
  <c r="AK523" i="8"/>
  <c r="AL523" i="8" s="1"/>
  <c r="AM523" i="8"/>
  <c r="AN523" i="8" s="1"/>
  <c r="AO523" i="8"/>
  <c r="AP523" i="8" s="1"/>
  <c r="AQ523" i="8"/>
  <c r="AR523" i="8" s="1"/>
  <c r="AI524" i="8"/>
  <c r="AJ524" i="8" s="1"/>
  <c r="AK524" i="8"/>
  <c r="AL524" i="8" s="1"/>
  <c r="AM524" i="8"/>
  <c r="AN524" i="8" s="1"/>
  <c r="AO524" i="8"/>
  <c r="AP524" i="8" s="1"/>
  <c r="AI525" i="8"/>
  <c r="AJ525" i="8" s="1"/>
  <c r="AK525" i="8"/>
  <c r="AL525" i="8" s="1"/>
  <c r="AM525" i="8"/>
  <c r="AN525" i="8" s="1"/>
  <c r="AO525" i="8"/>
  <c r="AP525" i="8" s="1"/>
  <c r="AQ525" i="8"/>
  <c r="AR525" i="8" s="1"/>
  <c r="AI526" i="8"/>
  <c r="AJ526" i="8" s="1"/>
  <c r="AK526" i="8"/>
  <c r="AL526" i="8" s="1"/>
  <c r="AM526" i="8"/>
  <c r="AN526" i="8" s="1"/>
  <c r="AO526" i="8"/>
  <c r="AP526" i="8" s="1"/>
  <c r="AI527" i="8"/>
  <c r="AJ527" i="8" s="1"/>
  <c r="AK527" i="8"/>
  <c r="AL527" i="8" s="1"/>
  <c r="AM527" i="8"/>
  <c r="AN527" i="8" s="1"/>
  <c r="AO527" i="8"/>
  <c r="AP527" i="8" s="1"/>
  <c r="AQ527" i="8"/>
  <c r="AR527" i="8" s="1"/>
  <c r="AI529" i="8"/>
  <c r="AJ529" i="8" s="1"/>
  <c r="AK529" i="8"/>
  <c r="AL529" i="8" s="1"/>
  <c r="AM529" i="8"/>
  <c r="AN529" i="8" s="1"/>
  <c r="AO529" i="8"/>
  <c r="AP529" i="8" s="1"/>
  <c r="AI530" i="8"/>
  <c r="AJ530" i="8" s="1"/>
  <c r="AK530" i="8"/>
  <c r="AL530" i="8" s="1"/>
  <c r="AM530" i="8"/>
  <c r="AN530" i="8" s="1"/>
  <c r="AO530" i="8"/>
  <c r="AP530" i="8" s="1"/>
  <c r="AQ530" i="8"/>
  <c r="AR530" i="8" s="1"/>
  <c r="AI531" i="8"/>
  <c r="AJ531" i="8" s="1"/>
  <c r="AK531" i="8"/>
  <c r="AL531" i="8" s="1"/>
  <c r="AM531" i="8"/>
  <c r="AN531" i="8" s="1"/>
  <c r="AO531" i="8"/>
  <c r="AP531" i="8" s="1"/>
  <c r="AI532" i="8"/>
  <c r="AJ532" i="8" s="1"/>
  <c r="AK532" i="8"/>
  <c r="AL532" i="8" s="1"/>
  <c r="AM532" i="8"/>
  <c r="AN532" i="8" s="1"/>
  <c r="AO532" i="8"/>
  <c r="AP532" i="8" s="1"/>
  <c r="AQ532" i="8"/>
  <c r="AR532" i="8" s="1"/>
  <c r="AI539" i="8"/>
  <c r="AJ539" i="8" s="1"/>
  <c r="AK539" i="8"/>
  <c r="AL539" i="8" s="1"/>
  <c r="AM539" i="8"/>
  <c r="AN539" i="8" s="1"/>
  <c r="AO539" i="8"/>
  <c r="AP539" i="8" s="1"/>
  <c r="AK540" i="8"/>
  <c r="AL540" i="8" s="1"/>
  <c r="AM540" i="8"/>
  <c r="AN540" i="8" s="1"/>
  <c r="AO540" i="8"/>
  <c r="AP540" i="8" s="1"/>
  <c r="AQ540" i="8"/>
  <c r="AR540" i="8" s="1"/>
  <c r="AI541" i="8"/>
  <c r="AJ541" i="8" s="1"/>
  <c r="AK541" i="8"/>
  <c r="AL541" i="8" s="1"/>
  <c r="AM541" i="8"/>
  <c r="AN541" i="8" s="1"/>
  <c r="AO541" i="8"/>
  <c r="AP541" i="8" s="1"/>
  <c r="AI543" i="8"/>
  <c r="AJ543" i="8" s="1"/>
  <c r="AK543" i="8"/>
  <c r="AL543" i="8" s="1"/>
  <c r="AM543" i="8"/>
  <c r="AN543" i="8" s="1"/>
  <c r="AO543" i="8"/>
  <c r="AP543" i="8" s="1"/>
  <c r="AQ543" i="8"/>
  <c r="AR543" i="8" s="1"/>
  <c r="AI544" i="8"/>
  <c r="AJ544" i="8" s="1"/>
  <c r="AK544" i="8"/>
  <c r="AL544" i="8" s="1"/>
  <c r="AM544" i="8"/>
  <c r="AN544" i="8" s="1"/>
  <c r="AO544" i="8"/>
  <c r="AP544" i="8" s="1"/>
  <c r="AI545" i="8"/>
  <c r="AJ545" i="8" s="1"/>
  <c r="AK545" i="8"/>
  <c r="AL545" i="8" s="1"/>
  <c r="AM545" i="8"/>
  <c r="AN545" i="8" s="1"/>
  <c r="AO545" i="8"/>
  <c r="AP545" i="8" s="1"/>
  <c r="AQ545" i="8"/>
  <c r="AR545" i="8" s="1"/>
  <c r="AI546" i="8"/>
  <c r="AJ546" i="8" s="1"/>
  <c r="AK546" i="8"/>
  <c r="AL546" i="8" s="1"/>
  <c r="AM546" i="8"/>
  <c r="AN546" i="8" s="1"/>
  <c r="AO546" i="8"/>
  <c r="AP546" i="8" s="1"/>
  <c r="AI547" i="8"/>
  <c r="AJ547" i="8" s="1"/>
  <c r="AK547" i="8"/>
  <c r="AL547" i="8" s="1"/>
  <c r="AM547" i="8"/>
  <c r="AN547" i="8" s="1"/>
  <c r="AO547" i="8"/>
  <c r="AP547" i="8" s="1"/>
  <c r="AQ547" i="8"/>
  <c r="AR547" i="8" s="1"/>
  <c r="AI548" i="8"/>
  <c r="AJ548" i="8" s="1"/>
  <c r="AK548" i="8"/>
  <c r="AL548" i="8" s="1"/>
  <c r="AM548" i="8"/>
  <c r="AN548" i="8" s="1"/>
  <c r="AO548" i="8"/>
  <c r="AP548" i="8" s="1"/>
  <c r="AI550" i="8"/>
  <c r="AJ550" i="8" s="1"/>
  <c r="AK550" i="8"/>
  <c r="AL550" i="8" s="1"/>
  <c r="AM550" i="8"/>
  <c r="AN550" i="8" s="1"/>
  <c r="AO550" i="8"/>
  <c r="AP550" i="8" s="1"/>
  <c r="AQ550" i="8"/>
  <c r="AR550" i="8" s="1"/>
  <c r="AI551" i="8"/>
  <c r="AJ551" i="8" s="1"/>
  <c r="AK551" i="8"/>
  <c r="AL551" i="8" s="1"/>
  <c r="AM551" i="8"/>
  <c r="AN551" i="8" s="1"/>
  <c r="AO551" i="8"/>
  <c r="AP551" i="8" s="1"/>
  <c r="AI552" i="8"/>
  <c r="AJ552" i="8" s="1"/>
  <c r="AK552" i="8"/>
  <c r="AL552" i="8" s="1"/>
  <c r="AM552" i="8"/>
  <c r="AN552" i="8" s="1"/>
  <c r="AO552" i="8"/>
  <c r="AP552" i="8" s="1"/>
  <c r="AQ552" i="8"/>
  <c r="AR552" i="8" s="1"/>
  <c r="AI553" i="8"/>
  <c r="AJ553" i="8" s="1"/>
  <c r="AK553" i="8"/>
  <c r="AL553" i="8" s="1"/>
  <c r="AO553" i="8"/>
  <c r="AP553" i="8" s="1"/>
  <c r="AI554" i="8"/>
  <c r="AJ554" i="8" s="1"/>
  <c r="AK554" i="8"/>
  <c r="AL554" i="8" s="1"/>
  <c r="AM554" i="8"/>
  <c r="AN554" i="8" s="1"/>
  <c r="AO554" i="8"/>
  <c r="AP554" i="8" s="1"/>
  <c r="AQ554" i="8"/>
  <c r="AR554" i="8" s="1"/>
  <c r="AI555" i="8"/>
  <c r="AJ555" i="8" s="1"/>
  <c r="AK555" i="8"/>
  <c r="AL555" i="8" s="1"/>
  <c r="AM555" i="8"/>
  <c r="AN555" i="8" s="1"/>
  <c r="AO555" i="8"/>
  <c r="AP555" i="8" s="1"/>
  <c r="AI557" i="8"/>
  <c r="AJ557" i="8" s="1"/>
  <c r="AK557" i="8"/>
  <c r="AL557" i="8" s="1"/>
  <c r="AM557" i="8"/>
  <c r="AN557" i="8" s="1"/>
  <c r="AO557" i="8"/>
  <c r="AP557" i="8" s="1"/>
  <c r="AQ557" i="8"/>
  <c r="AR557" i="8" s="1"/>
  <c r="AI558" i="8"/>
  <c r="AJ558" i="8" s="1"/>
  <c r="AK558" i="8"/>
  <c r="AL558" i="8" s="1"/>
  <c r="AM558" i="8"/>
  <c r="AN558" i="8" s="1"/>
  <c r="AO558" i="8"/>
  <c r="AP558" i="8" s="1"/>
  <c r="AI559" i="8"/>
  <c r="AJ559" i="8" s="1"/>
  <c r="AK559" i="8"/>
  <c r="AL559" i="8" s="1"/>
  <c r="AM559" i="8"/>
  <c r="AN559" i="8" s="1"/>
  <c r="AO559" i="8"/>
  <c r="AP559" i="8" s="1"/>
  <c r="AQ559" i="8"/>
  <c r="AR559" i="8" s="1"/>
  <c r="AI560" i="8"/>
  <c r="AJ560" i="8" s="1"/>
  <c r="AK560" i="8"/>
  <c r="AL560" i="8" s="1"/>
  <c r="AM560" i="8"/>
  <c r="AN560" i="8" s="1"/>
  <c r="AO560" i="8"/>
  <c r="AP560" i="8" s="1"/>
  <c r="AI561" i="8"/>
  <c r="AJ561" i="8" s="1"/>
  <c r="AK561" i="8"/>
  <c r="AL561" i="8" s="1"/>
  <c r="AM561" i="8"/>
  <c r="AN561" i="8" s="1"/>
  <c r="AO561" i="8"/>
  <c r="AP561" i="8" s="1"/>
  <c r="AQ561" i="8"/>
  <c r="AR561" i="8" s="1"/>
  <c r="AI562" i="8"/>
  <c r="AJ562" i="8" s="1"/>
  <c r="AK562" i="8"/>
  <c r="AL562" i="8" s="1"/>
  <c r="AM562" i="8"/>
  <c r="AN562" i="8" s="1"/>
  <c r="AO562" i="8"/>
  <c r="AP562" i="8" s="1"/>
  <c r="AI564" i="8"/>
  <c r="AJ564" i="8" s="1"/>
  <c r="AK564" i="8"/>
  <c r="AL564" i="8" s="1"/>
  <c r="AM564" i="8"/>
  <c r="AN564" i="8" s="1"/>
  <c r="AO564" i="8"/>
  <c r="AP564" i="8" s="1"/>
  <c r="AQ564" i="8"/>
  <c r="AR564" i="8" s="1"/>
  <c r="AI565" i="8"/>
  <c r="AJ565" i="8" s="1"/>
  <c r="AK565" i="8"/>
  <c r="AL565" i="8" s="1"/>
  <c r="AM565" i="8"/>
  <c r="AN565" i="8" s="1"/>
  <c r="AO565" i="8"/>
  <c r="AP565" i="8" s="1"/>
  <c r="AI566" i="8"/>
  <c r="AJ566" i="8" s="1"/>
  <c r="AK566" i="8"/>
  <c r="AL566" i="8" s="1"/>
  <c r="AM566" i="8"/>
  <c r="AN566" i="8" s="1"/>
  <c r="AO566" i="8"/>
  <c r="AP566" i="8" s="1"/>
  <c r="AQ566" i="8"/>
  <c r="AR566" i="8" s="1"/>
  <c r="AI567" i="8"/>
  <c r="AJ567" i="8" s="1"/>
  <c r="AK567" i="8"/>
  <c r="AL567" i="8" s="1"/>
  <c r="AM567" i="8"/>
  <c r="AN567" i="8" s="1"/>
  <c r="AO567" i="8"/>
  <c r="AP567" i="8" s="1"/>
  <c r="AI568" i="8"/>
  <c r="AJ568" i="8" s="1"/>
  <c r="AK568" i="8"/>
  <c r="AL568" i="8" s="1"/>
  <c r="AM568" i="8"/>
  <c r="AN568" i="8" s="1"/>
  <c r="AO568" i="8"/>
  <c r="AP568" i="8" s="1"/>
  <c r="AQ568" i="8"/>
  <c r="AR568" i="8" s="1"/>
  <c r="AI569" i="8"/>
  <c r="AJ569" i="8" s="1"/>
  <c r="AK569" i="8"/>
  <c r="AL569" i="8" s="1"/>
  <c r="AM569" i="8"/>
  <c r="AN569" i="8" s="1"/>
  <c r="AO569" i="8"/>
  <c r="AP569" i="8" s="1"/>
  <c r="AI571" i="8"/>
  <c r="AJ571" i="8" s="1"/>
  <c r="AK571" i="8"/>
  <c r="AL571" i="8" s="1"/>
  <c r="AM571" i="8"/>
  <c r="AN571" i="8" s="1"/>
  <c r="AO571" i="8"/>
  <c r="AP571" i="8" s="1"/>
  <c r="AQ571" i="8"/>
  <c r="AR571" i="8" s="1"/>
  <c r="AI572" i="8"/>
  <c r="AJ572" i="8" s="1"/>
  <c r="AK572" i="8"/>
  <c r="AL572" i="8" s="1"/>
  <c r="AM572" i="8"/>
  <c r="AN572" i="8" s="1"/>
  <c r="AO572" i="8"/>
  <c r="AP572" i="8" s="1"/>
  <c r="AI573" i="8"/>
  <c r="AJ573" i="8" s="1"/>
  <c r="AK573" i="8"/>
  <c r="AL573" i="8" s="1"/>
  <c r="AM573" i="8"/>
  <c r="AN573" i="8" s="1"/>
  <c r="AO573" i="8"/>
  <c r="AP573" i="8" s="1"/>
  <c r="AQ573" i="8"/>
  <c r="AR573" i="8" s="1"/>
  <c r="AI574" i="8"/>
  <c r="AJ574" i="8" s="1"/>
  <c r="AK574" i="8"/>
  <c r="AL574" i="8" s="1"/>
  <c r="AM574" i="8"/>
  <c r="AN574" i="8" s="1"/>
  <c r="AO574" i="8"/>
  <c r="AP574" i="8" s="1"/>
  <c r="AK576" i="8"/>
  <c r="AL576" i="8" s="1"/>
  <c r="AM576" i="8"/>
  <c r="AN576" i="8" s="1"/>
  <c r="AO576" i="8"/>
  <c r="AP576" i="8" s="1"/>
  <c r="AQ576" i="8"/>
  <c r="AR576" i="8" s="1"/>
  <c r="AI578" i="8"/>
  <c r="AJ578" i="8" s="1"/>
  <c r="AK578" i="8"/>
  <c r="AL578" i="8" s="1"/>
  <c r="AM578" i="8"/>
  <c r="AN578" i="8" s="1"/>
  <c r="AO578" i="8"/>
  <c r="AP578" i="8" s="1"/>
  <c r="AI579" i="8"/>
  <c r="AJ579" i="8" s="1"/>
  <c r="AK579" i="8"/>
  <c r="AL579" i="8" s="1"/>
  <c r="AM579" i="8"/>
  <c r="AN579" i="8" s="1"/>
  <c r="AO579" i="8"/>
  <c r="AP579" i="8" s="1"/>
  <c r="AQ579" i="8"/>
  <c r="AR579" i="8" s="1"/>
  <c r="AI580" i="8"/>
  <c r="AJ580" i="8" s="1"/>
  <c r="AK580" i="8"/>
  <c r="AL580" i="8" s="1"/>
  <c r="AM580" i="8"/>
  <c r="AN580" i="8" s="1"/>
  <c r="AO580" i="8"/>
  <c r="AP580" i="8" s="1"/>
  <c r="AI581" i="8"/>
  <c r="AJ581" i="8" s="1"/>
  <c r="AK581" i="8"/>
  <c r="AL581" i="8" s="1"/>
  <c r="AM581" i="8"/>
  <c r="AN581" i="8" s="1"/>
  <c r="AO581" i="8"/>
  <c r="AP581" i="8" s="1"/>
  <c r="AQ581" i="8"/>
  <c r="AR581" i="8" s="1"/>
  <c r="AI582" i="8"/>
  <c r="AJ582" i="8" s="1"/>
  <c r="AK582" i="8"/>
  <c r="AL582" i="8" s="1"/>
  <c r="AO582" i="8"/>
  <c r="AP582" i="8" s="1"/>
  <c r="AI583" i="8"/>
  <c r="AJ583" i="8" s="1"/>
  <c r="AK583" i="8"/>
  <c r="AL583" i="8" s="1"/>
  <c r="AM583" i="8"/>
  <c r="AN583" i="8" s="1"/>
  <c r="AO583" i="8"/>
  <c r="AP583" i="8" s="1"/>
  <c r="AQ583" i="8"/>
  <c r="AR583" i="8" s="1"/>
  <c r="AI585" i="8"/>
  <c r="AJ585" i="8" s="1"/>
  <c r="AK585" i="8"/>
  <c r="AL585" i="8" s="1"/>
  <c r="AM585" i="8"/>
  <c r="AN585" i="8" s="1"/>
  <c r="AO585" i="8"/>
  <c r="AP585" i="8" s="1"/>
  <c r="AI586" i="8"/>
  <c r="AJ586" i="8" s="1"/>
  <c r="AK586" i="8"/>
  <c r="AL586" i="8" s="1"/>
  <c r="AM586" i="8"/>
  <c r="AN586" i="8" s="1"/>
  <c r="AO586" i="8"/>
  <c r="AP586" i="8" s="1"/>
  <c r="AQ586" i="8"/>
  <c r="AR586" i="8" s="1"/>
  <c r="AI587" i="8"/>
  <c r="AJ587" i="8" s="1"/>
  <c r="AK587" i="8"/>
  <c r="AL587" i="8" s="1"/>
  <c r="AM587" i="8"/>
  <c r="AN587" i="8" s="1"/>
  <c r="AO587" i="8"/>
  <c r="AP587" i="8" s="1"/>
  <c r="AI588" i="8"/>
  <c r="AJ588" i="8" s="1"/>
  <c r="AK588" i="8"/>
  <c r="AL588" i="8" s="1"/>
  <c r="AM588" i="8"/>
  <c r="AN588" i="8" s="1"/>
  <c r="AO588" i="8"/>
  <c r="AP588" i="8" s="1"/>
  <c r="AQ588" i="8"/>
  <c r="AR588" i="8" s="1"/>
  <c r="AI589" i="8"/>
  <c r="AJ589" i="8" s="1"/>
  <c r="AK589" i="8"/>
  <c r="AL589" i="8" s="1"/>
  <c r="AM589" i="8"/>
  <c r="AN589" i="8" s="1"/>
  <c r="AO589" i="8"/>
  <c r="AP589" i="8" s="1"/>
  <c r="AK590" i="8"/>
  <c r="AL590" i="8" s="1"/>
  <c r="AM590" i="8"/>
  <c r="AN590" i="8" s="1"/>
  <c r="AO590" i="8"/>
  <c r="AP590" i="8" s="1"/>
  <c r="AQ590" i="8"/>
  <c r="AR590" i="8" s="1"/>
  <c r="AI592" i="8"/>
  <c r="AJ592" i="8" s="1"/>
  <c r="AK592" i="8"/>
  <c r="AL592" i="8" s="1"/>
  <c r="AM592" i="8"/>
  <c r="AN592" i="8" s="1"/>
  <c r="AO592" i="8"/>
  <c r="AP592" i="8" s="1"/>
  <c r="AI593" i="8"/>
  <c r="AJ593" i="8" s="1"/>
  <c r="AK593" i="8"/>
  <c r="AL593" i="8" s="1"/>
  <c r="AM593" i="8"/>
  <c r="AN593" i="8" s="1"/>
  <c r="AO593" i="8"/>
  <c r="AP593" i="8" s="1"/>
  <c r="AQ593" i="8"/>
  <c r="AR593" i="8" s="1"/>
  <c r="AI594" i="8"/>
  <c r="AJ594" i="8" s="1"/>
  <c r="AK594" i="8"/>
  <c r="AL594" i="8" s="1"/>
  <c r="AM594" i="8"/>
  <c r="AN594" i="8" s="1"/>
  <c r="AO594" i="8"/>
  <c r="AP594" i="8" s="1"/>
  <c r="AI595" i="8"/>
  <c r="AJ595" i="8" s="1"/>
  <c r="AK595" i="8"/>
  <c r="AL595" i="8" s="1"/>
  <c r="AM595" i="8"/>
  <c r="AN595" i="8" s="1"/>
  <c r="AO595" i="8"/>
  <c r="AP595" i="8" s="1"/>
  <c r="AQ595" i="8"/>
  <c r="AR595" i="8" s="1"/>
  <c r="AI596" i="8"/>
  <c r="AJ596" i="8" s="1"/>
  <c r="AK596" i="8"/>
  <c r="AL596" i="8" s="1"/>
  <c r="AM596" i="8"/>
  <c r="AN596" i="8" s="1"/>
  <c r="AO596" i="8"/>
  <c r="AP596" i="8" s="1"/>
  <c r="AI597" i="8"/>
  <c r="AJ597" i="8" s="1"/>
  <c r="AK597" i="8"/>
  <c r="AL597" i="8" s="1"/>
  <c r="AM597" i="8"/>
  <c r="AN597" i="8" s="1"/>
  <c r="AO597" i="8"/>
  <c r="AP597" i="8" s="1"/>
  <c r="AQ597" i="8"/>
  <c r="AR597" i="8" s="1"/>
  <c r="AI599" i="8"/>
  <c r="AJ599" i="8" s="1"/>
  <c r="AK599" i="8"/>
  <c r="AL599" i="8" s="1"/>
  <c r="AM599" i="8"/>
  <c r="AN599" i="8" s="1"/>
  <c r="AO599" i="8"/>
  <c r="AP599" i="8" s="1"/>
  <c r="AI600" i="8"/>
  <c r="AJ600" i="8" s="1"/>
  <c r="AK600" i="8"/>
  <c r="AL600" i="8" s="1"/>
  <c r="AM600" i="8"/>
  <c r="AN600" i="8" s="1"/>
  <c r="AO600" i="8"/>
  <c r="AP600" i="8" s="1"/>
  <c r="AQ600" i="8"/>
  <c r="AR600" i="8" s="1"/>
  <c r="AI601" i="8"/>
  <c r="AJ601" i="8" s="1"/>
  <c r="AK601" i="8"/>
  <c r="AL601" i="8" s="1"/>
  <c r="AM601" i="8"/>
  <c r="AN601" i="8" s="1"/>
  <c r="AO601" i="8"/>
  <c r="AP601" i="8" s="1"/>
  <c r="AK602" i="8"/>
  <c r="AL602" i="8" s="1"/>
  <c r="AM602" i="8"/>
  <c r="AN602" i="8" s="1"/>
  <c r="AO602" i="8"/>
  <c r="AP602" i="8" s="1"/>
  <c r="AQ602" i="8"/>
  <c r="AR602" i="8" s="1"/>
  <c r="AI603" i="8"/>
  <c r="AJ603" i="8" s="1"/>
  <c r="AK603" i="8"/>
  <c r="AL603" i="8" s="1"/>
  <c r="AM603" i="8"/>
  <c r="AN603" i="8" s="1"/>
  <c r="AO603" i="8"/>
  <c r="AP603" i="8" s="1"/>
  <c r="AI604" i="8"/>
  <c r="AJ604" i="8" s="1"/>
  <c r="AK604" i="8"/>
  <c r="AL604" i="8" s="1"/>
  <c r="AM604" i="8"/>
  <c r="AN604" i="8" s="1"/>
  <c r="AO604" i="8"/>
  <c r="AP604" i="8" s="1"/>
  <c r="AQ604" i="8"/>
  <c r="AR604" i="8" s="1"/>
  <c r="AI606" i="8"/>
  <c r="AJ606" i="8" s="1"/>
  <c r="AK606" i="8"/>
  <c r="AL606" i="8" s="1"/>
  <c r="AM606" i="8"/>
  <c r="AN606" i="8" s="1"/>
  <c r="AO606" i="8"/>
  <c r="AP606" i="8" s="1"/>
  <c r="AI607" i="8"/>
  <c r="AJ607" i="8" s="1"/>
  <c r="AK607" i="8"/>
  <c r="AL607" i="8" s="1"/>
  <c r="AM607" i="8"/>
  <c r="AN607" i="8" s="1"/>
  <c r="AO607" i="8"/>
  <c r="AP607" i="8" s="1"/>
  <c r="AQ607" i="8"/>
  <c r="AR607" i="8" s="1"/>
  <c r="AI608" i="8"/>
  <c r="AJ608" i="8" s="1"/>
  <c r="AK608" i="8"/>
  <c r="AL608" i="8" s="1"/>
  <c r="AM608" i="8"/>
  <c r="AN608" i="8" s="1"/>
  <c r="AO608" i="8"/>
  <c r="AP608" i="8" s="1"/>
  <c r="AI609" i="8"/>
  <c r="AJ609" i="8" s="1"/>
  <c r="AK609" i="8"/>
  <c r="AL609" i="8" s="1"/>
  <c r="AO609" i="8"/>
  <c r="AP609" i="8" s="1"/>
  <c r="AQ609" i="8"/>
  <c r="AR609" i="8" s="1"/>
  <c r="AI611" i="8"/>
  <c r="AJ611" i="8" s="1"/>
  <c r="AK611" i="8"/>
  <c r="AL611" i="8" s="1"/>
  <c r="AM611" i="8"/>
  <c r="AN611" i="8" s="1"/>
  <c r="AO611" i="8"/>
  <c r="AP611" i="8" s="1"/>
  <c r="AI612" i="8"/>
  <c r="AJ612" i="8" s="1"/>
  <c r="AK612" i="8"/>
  <c r="AL612" i="8" s="1"/>
  <c r="AM612" i="8"/>
  <c r="AN612" i="8" s="1"/>
  <c r="AO612" i="8"/>
  <c r="AP612" i="8" s="1"/>
  <c r="AI613" i="8"/>
  <c r="AJ613" i="8" s="1"/>
  <c r="AK613" i="8"/>
  <c r="AL613" i="8" s="1"/>
  <c r="AM613" i="8"/>
  <c r="AN613" i="8" s="1"/>
  <c r="AO613" i="8"/>
  <c r="AP613" i="8" s="1"/>
  <c r="AI614" i="8"/>
  <c r="AJ614" i="8" s="1"/>
  <c r="AK614" i="8"/>
  <c r="AL614" i="8" s="1"/>
  <c r="AM614" i="8"/>
  <c r="AN614" i="8" s="1"/>
  <c r="AO614" i="8"/>
  <c r="AP614" i="8" s="1"/>
  <c r="AQ614" i="8"/>
  <c r="AR614" i="8" s="1"/>
  <c r="AI616" i="8"/>
  <c r="AJ616" i="8" s="1"/>
  <c r="AK616" i="8"/>
  <c r="AL616" i="8" s="1"/>
  <c r="AM616" i="8"/>
  <c r="AN616" i="8" s="1"/>
  <c r="AO616" i="8"/>
  <c r="AP616" i="8" s="1"/>
  <c r="AI619" i="8"/>
  <c r="AJ619" i="8" s="1"/>
  <c r="AK619" i="8"/>
  <c r="AL619" i="8" s="1"/>
  <c r="AM619" i="8"/>
  <c r="AN619" i="8" s="1"/>
  <c r="AO619" i="8"/>
  <c r="AP619" i="8" s="1"/>
  <c r="AQ619" i="8"/>
  <c r="AR619" i="8" s="1"/>
  <c r="AI620" i="8"/>
  <c r="AJ620" i="8" s="1"/>
  <c r="AK620" i="8"/>
  <c r="AL620" i="8" s="1"/>
  <c r="AM620" i="8"/>
  <c r="AN620" i="8" s="1"/>
  <c r="AO620" i="8"/>
  <c r="AP620" i="8" s="1"/>
  <c r="AI621" i="8"/>
  <c r="AJ621" i="8" s="1"/>
  <c r="AK621" i="8"/>
  <c r="AL621" i="8" s="1"/>
  <c r="AM621" i="8"/>
  <c r="AN621" i="8" s="1"/>
  <c r="AO621" i="8"/>
  <c r="AP621" i="8" s="1"/>
  <c r="AQ621" i="8"/>
  <c r="AR621" i="8" s="1"/>
  <c r="AI626" i="8"/>
  <c r="AJ626" i="8" s="1"/>
  <c r="AK626" i="8"/>
  <c r="AL626" i="8" s="1"/>
  <c r="AM626" i="8"/>
  <c r="AN626" i="8" s="1"/>
  <c r="AO626" i="8"/>
  <c r="AP626" i="8" s="1"/>
  <c r="AI627" i="8"/>
  <c r="AJ627" i="8" s="1"/>
  <c r="AK627" i="8"/>
  <c r="AL627" i="8" s="1"/>
  <c r="AM627" i="8"/>
  <c r="AN627" i="8" s="1"/>
  <c r="AO627" i="8"/>
  <c r="AP627" i="8" s="1"/>
  <c r="AQ627" i="8"/>
  <c r="AR627" i="8" s="1"/>
  <c r="AI628" i="8"/>
  <c r="AJ628" i="8" s="1"/>
  <c r="AK628" i="8"/>
  <c r="AL628" i="8" s="1"/>
  <c r="AM628" i="8"/>
  <c r="AN628" i="8" s="1"/>
  <c r="AO628" i="8"/>
  <c r="AP628" i="8" s="1"/>
  <c r="AI629" i="8"/>
  <c r="AJ629" i="8" s="1"/>
  <c r="AK629" i="8"/>
  <c r="AL629" i="8" s="1"/>
  <c r="AM629" i="8"/>
  <c r="AN629" i="8" s="1"/>
  <c r="AQ629" i="8"/>
  <c r="AR629" i="8" s="1"/>
  <c r="AI630" i="8"/>
  <c r="AJ630" i="8" s="1"/>
  <c r="AK630" i="8"/>
  <c r="AL630" i="8" s="1"/>
  <c r="AM630" i="8"/>
  <c r="AN630" i="8" s="1"/>
  <c r="AO630" i="8"/>
  <c r="AP630" i="8" s="1"/>
  <c r="AI632" i="8"/>
  <c r="AJ632" i="8" s="1"/>
  <c r="AK632" i="8"/>
  <c r="AL632" i="8" s="1"/>
  <c r="AM632" i="8"/>
  <c r="AN632" i="8" s="1"/>
  <c r="AO632" i="8"/>
  <c r="AP632" i="8" s="1"/>
  <c r="AQ632" i="8"/>
  <c r="AR632" i="8" s="1"/>
  <c r="AI633" i="8"/>
  <c r="AJ633" i="8" s="1"/>
  <c r="AK633" i="8"/>
  <c r="AL633" i="8" s="1"/>
  <c r="AM633" i="8"/>
  <c r="AN633" i="8" s="1"/>
  <c r="AO633" i="8"/>
  <c r="AP633" i="8" s="1"/>
  <c r="AI634" i="8"/>
  <c r="AJ634" i="8" s="1"/>
  <c r="AK634" i="8"/>
  <c r="AL634" i="8" s="1"/>
  <c r="AM634" i="8"/>
  <c r="AN634" i="8" s="1"/>
  <c r="AO634" i="8"/>
  <c r="AP634" i="8" s="1"/>
  <c r="AQ634" i="8"/>
  <c r="AR634" i="8" s="1"/>
  <c r="AI635" i="8"/>
  <c r="AJ635" i="8" s="1"/>
  <c r="AK635" i="8"/>
  <c r="AL635" i="8" s="1"/>
  <c r="AM635" i="8"/>
  <c r="AN635" i="8" s="1"/>
  <c r="AO635" i="8"/>
  <c r="AP635" i="8" s="1"/>
  <c r="AI636" i="8"/>
  <c r="AJ636" i="8" s="1"/>
  <c r="AM636" i="8"/>
  <c r="AN636" i="8" s="1"/>
  <c r="AO636" i="8"/>
  <c r="AP636" i="8" s="1"/>
  <c r="AQ636" i="8"/>
  <c r="AR636" i="8" s="1"/>
  <c r="AI637" i="8"/>
  <c r="AJ637" i="8" s="1"/>
  <c r="AK637" i="8"/>
  <c r="AL637" i="8" s="1"/>
  <c r="AM637" i="8"/>
  <c r="AN637" i="8" s="1"/>
  <c r="AO637" i="8"/>
  <c r="AP637" i="8" s="1"/>
  <c r="AI639" i="8"/>
  <c r="AJ639" i="8" s="1"/>
  <c r="AK639" i="8"/>
  <c r="AL639" i="8" s="1"/>
  <c r="AM639" i="8"/>
  <c r="AN639" i="8" s="1"/>
  <c r="AO639" i="8"/>
  <c r="AP639" i="8" s="1"/>
  <c r="AQ639" i="8"/>
  <c r="AR639" i="8" s="1"/>
  <c r="AI640" i="8"/>
  <c r="AJ640" i="8" s="1"/>
  <c r="AK640" i="8"/>
  <c r="AL640" i="8" s="1"/>
  <c r="AM640" i="8"/>
  <c r="AN640" i="8" s="1"/>
  <c r="AO640" i="8"/>
  <c r="AP640" i="8" s="1"/>
  <c r="AI641" i="8"/>
  <c r="AJ641" i="8" s="1"/>
  <c r="AK641" i="8"/>
  <c r="AL641" i="8" s="1"/>
  <c r="AO641" i="8"/>
  <c r="AP641" i="8" s="1"/>
  <c r="AQ641" i="8"/>
  <c r="AR641" i="8" s="1"/>
  <c r="AI642" i="8"/>
  <c r="AJ642" i="8" s="1"/>
  <c r="AK642" i="8"/>
  <c r="AL642" i="8" s="1"/>
  <c r="AM642" i="8"/>
  <c r="AN642" i="8" s="1"/>
  <c r="AO642" i="8"/>
  <c r="AP642" i="8" s="1"/>
  <c r="AI643" i="8"/>
  <c r="AJ643" i="8" s="1"/>
  <c r="AK643" i="8"/>
  <c r="AL643" i="8" s="1"/>
  <c r="AM643" i="8"/>
  <c r="AN643" i="8" s="1"/>
  <c r="AO643" i="8"/>
  <c r="AP643" i="8" s="1"/>
  <c r="AQ643" i="8"/>
  <c r="AR643" i="8" s="1"/>
  <c r="AI644" i="8"/>
  <c r="AJ644" i="8" s="1"/>
  <c r="AK644" i="8"/>
  <c r="AL644" i="8" s="1"/>
  <c r="AO644" i="8"/>
  <c r="AP644" i="8" s="1"/>
  <c r="AI646" i="8"/>
  <c r="AJ646" i="8" s="1"/>
  <c r="AM646" i="8"/>
  <c r="AN646" i="8" s="1"/>
  <c r="AO646" i="8"/>
  <c r="AP646" i="8" s="1"/>
  <c r="AQ646" i="8"/>
  <c r="AR646" i="8" s="1"/>
  <c r="AI647" i="8"/>
  <c r="AJ647" i="8" s="1"/>
  <c r="AK647" i="8"/>
  <c r="AL647" i="8" s="1"/>
  <c r="AM647" i="8"/>
  <c r="AN647" i="8" s="1"/>
  <c r="AO647" i="8"/>
  <c r="AP647" i="8" s="1"/>
  <c r="AI649" i="8"/>
  <c r="AJ649" i="8" s="1"/>
  <c r="AK649" i="8"/>
  <c r="AL649" i="8" s="1"/>
  <c r="AM649" i="8"/>
  <c r="AN649" i="8" s="1"/>
  <c r="AO649" i="8"/>
  <c r="AP649" i="8" s="1"/>
  <c r="AQ649" i="8"/>
  <c r="AR649" i="8" s="1"/>
  <c r="AI651" i="8"/>
  <c r="AJ651" i="8" s="1"/>
  <c r="AK651" i="8"/>
  <c r="AL651" i="8" s="1"/>
  <c r="AM651" i="8"/>
  <c r="AN651" i="8" s="1"/>
  <c r="AO651" i="8"/>
  <c r="AP651" i="8" s="1"/>
  <c r="AI652" i="8"/>
  <c r="AJ652" i="8" s="1"/>
  <c r="AK652" i="8"/>
  <c r="AL652" i="8" s="1"/>
  <c r="AM652" i="8"/>
  <c r="AN652" i="8" s="1"/>
  <c r="AO652" i="8"/>
  <c r="AP652" i="8" s="1"/>
  <c r="AQ652" i="8"/>
  <c r="AR652" i="8" s="1"/>
  <c r="AI653" i="8"/>
  <c r="AJ653" i="8" s="1"/>
  <c r="AK653" i="8"/>
  <c r="AL653" i="8" s="1"/>
  <c r="AM653" i="8"/>
  <c r="AN653" i="8" s="1"/>
  <c r="AO653" i="8"/>
  <c r="AP653" i="8" s="1"/>
  <c r="AI654" i="8"/>
  <c r="AJ654" i="8" s="1"/>
  <c r="AK654" i="8"/>
  <c r="AL654" i="8" s="1"/>
  <c r="AM654" i="8"/>
  <c r="AN654" i="8" s="1"/>
  <c r="AO654" i="8"/>
  <c r="AP654" i="8" s="1"/>
  <c r="AQ654" i="8"/>
  <c r="AR654" i="8" s="1"/>
  <c r="AI655" i="8"/>
  <c r="AJ655" i="8" s="1"/>
  <c r="AK655" i="8"/>
  <c r="AL655" i="8" s="1"/>
  <c r="AM655" i="8"/>
  <c r="AN655" i="8" s="1"/>
  <c r="AO655" i="8"/>
  <c r="AP655" i="8" s="1"/>
  <c r="AI656" i="8"/>
  <c r="AJ656" i="8" s="1"/>
  <c r="AK656" i="8"/>
  <c r="AL656" i="8" s="1"/>
  <c r="AM656" i="8"/>
  <c r="AN656" i="8" s="1"/>
  <c r="AQ656" i="8"/>
  <c r="AR656" i="8" s="1"/>
  <c r="AI658" i="8"/>
  <c r="AJ658" i="8" s="1"/>
  <c r="AK658" i="8"/>
  <c r="AL658" i="8" s="1"/>
  <c r="AM658" i="8"/>
  <c r="AN658" i="8" s="1"/>
  <c r="AO658" i="8"/>
  <c r="AP658" i="8" s="1"/>
  <c r="AI659" i="8"/>
  <c r="AJ659" i="8" s="1"/>
  <c r="AK659" i="8"/>
  <c r="AL659" i="8" s="1"/>
  <c r="AM659" i="8"/>
  <c r="AN659" i="8" s="1"/>
  <c r="AO659" i="8"/>
  <c r="AP659" i="8" s="1"/>
  <c r="AQ659" i="8"/>
  <c r="AR659" i="8" s="1"/>
  <c r="AI660" i="8"/>
  <c r="AJ660" i="8" s="1"/>
  <c r="AK660" i="8"/>
  <c r="AL660" i="8" s="1"/>
  <c r="AM660" i="8"/>
  <c r="AN660" i="8" s="1"/>
  <c r="AO660" i="8"/>
  <c r="AP660" i="8" s="1"/>
  <c r="AK661" i="8"/>
  <c r="AL661" i="8" s="1"/>
  <c r="AM661" i="8"/>
  <c r="AN661" i="8" s="1"/>
  <c r="AO661" i="8"/>
  <c r="AP661" i="8" s="1"/>
  <c r="AQ661" i="8"/>
  <c r="AR661" i="8" s="1"/>
  <c r="AI662" i="8"/>
  <c r="AJ662" i="8" s="1"/>
  <c r="AK662" i="8"/>
  <c r="AL662" i="8" s="1"/>
  <c r="AM662" i="8"/>
  <c r="AN662" i="8" s="1"/>
  <c r="AO662" i="8"/>
  <c r="AP662" i="8" s="1"/>
  <c r="AI663" i="8"/>
  <c r="AJ663" i="8" s="1"/>
  <c r="AK663" i="8"/>
  <c r="AL663" i="8" s="1"/>
  <c r="AM663" i="8"/>
  <c r="AN663" i="8" s="1"/>
  <c r="AO663" i="8"/>
  <c r="AP663" i="8" s="1"/>
  <c r="AQ663" i="8"/>
  <c r="AR663" i="8" s="1"/>
  <c r="AI665" i="8"/>
  <c r="AJ665" i="8" s="1"/>
  <c r="AK665" i="8"/>
  <c r="AL665" i="8" s="1"/>
  <c r="AM665" i="8"/>
  <c r="AN665" i="8" s="1"/>
  <c r="AO665" i="8"/>
  <c r="AP665" i="8" s="1"/>
  <c r="AI666" i="8"/>
  <c r="AJ666" i="8" s="1"/>
  <c r="AK666" i="8"/>
  <c r="AL666" i="8" s="1"/>
  <c r="AM666" i="8"/>
  <c r="AN666" i="8" s="1"/>
  <c r="AO666" i="8"/>
  <c r="AP666" i="8" s="1"/>
  <c r="AQ666" i="8"/>
  <c r="AR666" i="8" s="1"/>
  <c r="AI667" i="8"/>
  <c r="AJ667" i="8" s="1"/>
  <c r="AK667" i="8"/>
  <c r="AL667" i="8" s="1"/>
  <c r="AM667" i="8"/>
  <c r="AN667" i="8" s="1"/>
  <c r="AO667" i="8"/>
  <c r="AP667" i="8" s="1"/>
  <c r="AI668" i="8"/>
  <c r="AJ668" i="8" s="1"/>
  <c r="AM668" i="8"/>
  <c r="AN668" i="8" s="1"/>
  <c r="AO668" i="8"/>
  <c r="AP668" i="8" s="1"/>
  <c r="AQ668" i="8"/>
  <c r="AR668" i="8" s="1"/>
  <c r="AI670" i="8"/>
  <c r="AJ670" i="8" s="1"/>
  <c r="AK670" i="8"/>
  <c r="AL670" i="8" s="1"/>
  <c r="AM670" i="8"/>
  <c r="AN670" i="8" s="1"/>
  <c r="AO670" i="8"/>
  <c r="AP670" i="8" s="1"/>
  <c r="AI673" i="8"/>
  <c r="AJ673" i="8" s="1"/>
  <c r="AK673" i="8"/>
  <c r="AL673" i="8" s="1"/>
  <c r="AM673" i="8"/>
  <c r="AN673" i="8" s="1"/>
  <c r="AO673" i="8"/>
  <c r="AP673" i="8" s="1"/>
  <c r="AQ673" i="8"/>
  <c r="AR673" i="8" s="1"/>
  <c r="AI674" i="8"/>
  <c r="AJ674" i="8" s="1"/>
  <c r="AK674" i="8"/>
  <c r="AL674" i="8" s="1"/>
  <c r="AM674" i="8"/>
  <c r="AN674" i="8" s="1"/>
  <c r="AO674" i="8"/>
  <c r="AP674" i="8" s="1"/>
  <c r="AK675" i="8"/>
  <c r="AL675" i="8" s="1"/>
  <c r="AM675" i="8"/>
  <c r="AN675" i="8" s="1"/>
  <c r="AO675" i="8"/>
  <c r="AP675" i="8" s="1"/>
  <c r="AQ675" i="8"/>
  <c r="AR675" i="8" s="1"/>
  <c r="AI683" i="8"/>
  <c r="AJ683" i="8" s="1"/>
  <c r="AM683" i="8"/>
  <c r="AN683" i="8" s="1"/>
  <c r="AO683" i="8"/>
  <c r="AP683" i="8" s="1"/>
  <c r="AI684" i="8"/>
  <c r="AJ684" i="8" s="1"/>
  <c r="AK684" i="8"/>
  <c r="AL684" i="8" s="1"/>
  <c r="AM684" i="8"/>
  <c r="AN684" i="8" s="1"/>
  <c r="AO684" i="8"/>
  <c r="AP684" i="8" s="1"/>
  <c r="AQ684" i="8"/>
  <c r="AR684" i="8" s="1"/>
  <c r="AI685" i="8"/>
  <c r="AJ685" i="8" s="1"/>
  <c r="AK685" i="8"/>
  <c r="AL685" i="8" s="1"/>
  <c r="AM685" i="8"/>
  <c r="AN685" i="8" s="1"/>
  <c r="AO685" i="8"/>
  <c r="AP685" i="8" s="1"/>
  <c r="AI686" i="8"/>
  <c r="AJ686" i="8" s="1"/>
  <c r="AK686" i="8"/>
  <c r="AL686" i="8" s="1"/>
  <c r="AM686" i="8"/>
  <c r="AN686" i="8" s="1"/>
  <c r="AO686" i="8"/>
  <c r="AP686" i="8" s="1"/>
  <c r="AQ686" i="8"/>
  <c r="AR686" i="8" s="1"/>
  <c r="AI687" i="8"/>
  <c r="AJ687" i="8" s="1"/>
  <c r="AK687" i="8"/>
  <c r="AL687" i="8" s="1"/>
  <c r="AM687" i="8"/>
  <c r="AN687" i="8" s="1"/>
  <c r="AO687" i="8"/>
  <c r="AP687" i="8" s="1"/>
  <c r="AI690" i="8"/>
  <c r="AJ690" i="8" s="1"/>
  <c r="AK690" i="8"/>
  <c r="AL690" i="8" s="1"/>
  <c r="AM690" i="8"/>
  <c r="AN690" i="8" s="1"/>
  <c r="AO690" i="8"/>
  <c r="AP690" i="8" s="1"/>
  <c r="AQ690" i="8"/>
  <c r="AR690" i="8" s="1"/>
  <c r="AI691" i="8"/>
  <c r="AJ691" i="8" s="1"/>
  <c r="AK691" i="8"/>
  <c r="AL691" i="8" s="1"/>
  <c r="AM691" i="8"/>
  <c r="AN691" i="8" s="1"/>
  <c r="AO691" i="8"/>
  <c r="AP691" i="8" s="1"/>
  <c r="AI692" i="8"/>
  <c r="AJ692" i="8" s="1"/>
  <c r="AK692" i="8"/>
  <c r="AL692" i="8" s="1"/>
  <c r="AM692" i="8"/>
  <c r="AN692" i="8" s="1"/>
  <c r="AO692" i="8"/>
  <c r="AP692" i="8" s="1"/>
  <c r="AQ692" i="8"/>
  <c r="AR692" i="8" s="1"/>
  <c r="AK693" i="8"/>
  <c r="AL693" i="8" s="1"/>
  <c r="AM693" i="8"/>
  <c r="AN693" i="8" s="1"/>
  <c r="AO693" i="8"/>
  <c r="AP693" i="8" s="1"/>
  <c r="AI694" i="8"/>
  <c r="AJ694" i="8" s="1"/>
  <c r="AK694" i="8"/>
  <c r="AL694" i="8" s="1"/>
  <c r="AM694" i="8"/>
  <c r="AN694" i="8" s="1"/>
  <c r="AO694" i="8"/>
  <c r="AP694" i="8" s="1"/>
  <c r="AQ694" i="8"/>
  <c r="AR694" i="8" s="1"/>
  <c r="AI695" i="8"/>
  <c r="AJ695" i="8" s="1"/>
  <c r="AK695" i="8"/>
  <c r="AL695" i="8" s="1"/>
  <c r="AM695" i="8"/>
  <c r="AN695" i="8" s="1"/>
  <c r="AO695" i="8"/>
  <c r="AP695" i="8" s="1"/>
  <c r="AI696" i="8"/>
  <c r="AJ696" i="8" s="1"/>
  <c r="AK696" i="8"/>
  <c r="AL696" i="8" s="1"/>
  <c r="AM696" i="8"/>
  <c r="AN696" i="8" s="1"/>
  <c r="AO696" i="8"/>
  <c r="AP696" i="8" s="1"/>
  <c r="AQ696" i="8"/>
  <c r="AR696" i="8" s="1"/>
  <c r="AI698" i="8"/>
  <c r="AJ698" i="8" s="1"/>
  <c r="AK698" i="8"/>
  <c r="AL698" i="8" s="1"/>
  <c r="AM698" i="8"/>
  <c r="AN698" i="8" s="1"/>
  <c r="AO698" i="8"/>
  <c r="AP698" i="8" s="1"/>
  <c r="AI699" i="8"/>
  <c r="AJ699" i="8" s="1"/>
  <c r="AK699" i="8"/>
  <c r="AL699" i="8" s="1"/>
  <c r="AM699" i="8"/>
  <c r="AN699" i="8" s="1"/>
  <c r="AO699" i="8"/>
  <c r="AP699" i="8" s="1"/>
  <c r="AQ699" i="8"/>
  <c r="AR699" i="8" s="1"/>
  <c r="AI700" i="8"/>
  <c r="AJ700" i="8" s="1"/>
  <c r="AK700" i="8"/>
  <c r="AL700" i="8" s="1"/>
  <c r="AM700" i="8"/>
  <c r="AN700" i="8" s="1"/>
  <c r="AO700" i="8"/>
  <c r="AP700" i="8" s="1"/>
  <c r="AI701" i="8"/>
  <c r="AJ701" i="8" s="1"/>
  <c r="AK701" i="8"/>
  <c r="AL701" i="8" s="1"/>
  <c r="AO701" i="8"/>
  <c r="AP701" i="8" s="1"/>
  <c r="AQ701" i="8"/>
  <c r="AR701" i="8" s="1"/>
  <c r="AI702" i="8"/>
  <c r="AJ702" i="8" s="1"/>
  <c r="AK702" i="8"/>
  <c r="AL702" i="8" s="1"/>
  <c r="AM702" i="8"/>
  <c r="AN702" i="8" s="1"/>
  <c r="AO702" i="8"/>
  <c r="AP702" i="8" s="1"/>
  <c r="AI703" i="8"/>
  <c r="AJ703" i="8" s="1"/>
  <c r="AK703" i="8"/>
  <c r="AL703" i="8" s="1"/>
  <c r="AM703" i="8"/>
  <c r="AN703" i="8" s="1"/>
  <c r="AO703" i="8"/>
  <c r="AP703" i="8" s="1"/>
  <c r="AQ703" i="8"/>
  <c r="AR703" i="8" s="1"/>
  <c r="AI705" i="8"/>
  <c r="AJ705" i="8" s="1"/>
  <c r="AK705" i="8"/>
  <c r="AL705" i="8" s="1"/>
  <c r="AM705" i="8"/>
  <c r="AN705" i="8" s="1"/>
  <c r="AO705" i="8"/>
  <c r="AP705" i="8" s="1"/>
  <c r="AI706" i="8"/>
  <c r="AJ706" i="8" s="1"/>
  <c r="AK706" i="8"/>
  <c r="AL706" i="8" s="1"/>
  <c r="AM706" i="8"/>
  <c r="AN706" i="8" s="1"/>
  <c r="AQ706" i="8"/>
  <c r="AR706" i="8" s="1"/>
  <c r="AI707" i="8"/>
  <c r="AJ707" i="8" s="1"/>
  <c r="AK707" i="8"/>
  <c r="AL707" i="8" s="1"/>
  <c r="AM707" i="8"/>
  <c r="AN707" i="8" s="1"/>
  <c r="AO707" i="8"/>
  <c r="AP707" i="8" s="1"/>
  <c r="AI708" i="8"/>
  <c r="AJ708" i="8" s="1"/>
  <c r="AK708" i="8"/>
  <c r="AL708" i="8" s="1"/>
  <c r="AM708" i="8"/>
  <c r="AN708" i="8" s="1"/>
  <c r="AO708" i="8"/>
  <c r="AP708" i="8" s="1"/>
  <c r="AQ708" i="8"/>
  <c r="AR708" i="8" s="1"/>
  <c r="AI713" i="8"/>
  <c r="AJ713" i="8" s="1"/>
  <c r="AK713" i="8"/>
  <c r="AL713" i="8" s="1"/>
  <c r="AM713" i="8"/>
  <c r="AN713" i="8" s="1"/>
  <c r="AO713" i="8"/>
  <c r="AP713" i="8" s="1"/>
  <c r="AI714" i="8"/>
  <c r="AJ714" i="8" s="1"/>
  <c r="AK714" i="8"/>
  <c r="AL714" i="8" s="1"/>
  <c r="AM714" i="8"/>
  <c r="AN714" i="8" s="1"/>
  <c r="AO714" i="8"/>
  <c r="AP714" i="8" s="1"/>
  <c r="AQ714" i="8"/>
  <c r="AR714" i="8" s="1"/>
  <c r="AI715" i="8"/>
  <c r="AJ715" i="8" s="1"/>
  <c r="AK715" i="8"/>
  <c r="AL715" i="8" s="1"/>
  <c r="AM715" i="8"/>
  <c r="AN715" i="8" s="1"/>
  <c r="AO715" i="8"/>
  <c r="AP715" i="8" s="1"/>
  <c r="AK716" i="8"/>
  <c r="AL716" i="8" s="1"/>
  <c r="AM716" i="8"/>
  <c r="AN716" i="8" s="1"/>
  <c r="AO716" i="8"/>
  <c r="AP716" i="8" s="1"/>
  <c r="AQ716" i="8"/>
  <c r="AR716" i="8" s="1"/>
  <c r="AI717" i="8"/>
  <c r="AJ717" i="8" s="1"/>
  <c r="AK717" i="8"/>
  <c r="AL717" i="8" s="1"/>
  <c r="AM717" i="8"/>
  <c r="AN717" i="8" s="1"/>
  <c r="AO717" i="8"/>
  <c r="AP717" i="8" s="1"/>
  <c r="AI718" i="8"/>
  <c r="AJ718" i="8" s="1"/>
  <c r="AK718" i="8"/>
  <c r="AL718" i="8" s="1"/>
  <c r="AM718" i="8"/>
  <c r="AN718" i="8" s="1"/>
  <c r="AO718" i="8"/>
  <c r="AP718" i="8" s="1"/>
  <c r="AQ718" i="8"/>
  <c r="AR718" i="8" s="1"/>
  <c r="AI720" i="8"/>
  <c r="AJ720" i="8" s="1"/>
  <c r="AK720" i="8"/>
  <c r="AL720" i="8" s="1"/>
  <c r="AM720" i="8"/>
  <c r="AN720" i="8" s="1"/>
  <c r="AO720" i="8"/>
  <c r="AP720" i="8" s="1"/>
  <c r="AI721" i="8"/>
  <c r="AJ721" i="8" s="1"/>
  <c r="AK721" i="8"/>
  <c r="AL721" i="8" s="1"/>
  <c r="AM721" i="8"/>
  <c r="AN721" i="8" s="1"/>
  <c r="AO721" i="8"/>
  <c r="AP721" i="8" s="1"/>
  <c r="AQ721" i="8"/>
  <c r="AR721" i="8" s="1"/>
  <c r="AI722" i="8"/>
  <c r="AJ722" i="8" s="1"/>
  <c r="AK722" i="8"/>
  <c r="AL722" i="8" s="1"/>
  <c r="AM722" i="8"/>
  <c r="AN722" i="8" s="1"/>
  <c r="AO722" i="8"/>
  <c r="AP722" i="8" s="1"/>
  <c r="AI723" i="8"/>
  <c r="AJ723" i="8" s="1"/>
  <c r="AM723" i="8"/>
  <c r="AN723" i="8" s="1"/>
  <c r="AO723" i="8"/>
  <c r="AP723" i="8" s="1"/>
  <c r="AQ723" i="8"/>
  <c r="AR723" i="8" s="1"/>
  <c r="AI724" i="8"/>
  <c r="AJ724" i="8" s="1"/>
  <c r="AK724" i="8"/>
  <c r="AL724" i="8" s="1"/>
  <c r="AM724" i="8"/>
  <c r="AN724" i="8" s="1"/>
  <c r="AO724" i="8"/>
  <c r="AP724" i="8" s="1"/>
  <c r="AI725" i="8"/>
  <c r="AJ725" i="8" s="1"/>
  <c r="AK725" i="8"/>
  <c r="AL725" i="8" s="1"/>
  <c r="AM725" i="8"/>
  <c r="AN725" i="8" s="1"/>
  <c r="AO725" i="8"/>
  <c r="AP725" i="8" s="1"/>
  <c r="AQ725" i="8"/>
  <c r="AR725" i="8" s="1"/>
  <c r="AI727" i="8"/>
  <c r="AJ727" i="8" s="1"/>
  <c r="AK727" i="8"/>
  <c r="AL727" i="8" s="1"/>
  <c r="AM727" i="8"/>
  <c r="AN727" i="8" s="1"/>
  <c r="AO727" i="8"/>
  <c r="AP727" i="8" s="1"/>
  <c r="AI728" i="8"/>
  <c r="AJ728" i="8" s="1"/>
  <c r="AK728" i="8"/>
  <c r="AL728" i="8" s="1"/>
  <c r="AM728" i="8"/>
  <c r="AN728" i="8" s="1"/>
  <c r="AO728" i="8"/>
  <c r="AP728" i="8" s="1"/>
  <c r="AQ728" i="8"/>
  <c r="AR728" i="8" s="1"/>
  <c r="AI729" i="8"/>
  <c r="AJ729" i="8" s="1"/>
  <c r="AK729" i="8"/>
  <c r="AL729" i="8" s="1"/>
  <c r="AM729" i="8"/>
  <c r="AN729" i="8" s="1"/>
  <c r="AO729" i="8"/>
  <c r="AP729" i="8" s="1"/>
  <c r="AI730" i="8"/>
  <c r="AJ730" i="8" s="1"/>
  <c r="AK730" i="8"/>
  <c r="AL730" i="8" s="1"/>
  <c r="AM730" i="8"/>
  <c r="AN730" i="8" s="1"/>
  <c r="AO730" i="8"/>
  <c r="AP730" i="8" s="1"/>
  <c r="AQ730" i="8"/>
  <c r="AR730" i="8" s="1"/>
  <c r="AI737" i="8"/>
  <c r="AJ737" i="8" s="1"/>
  <c r="AK737" i="8"/>
  <c r="AL737" i="8" s="1"/>
  <c r="AM737" i="8"/>
  <c r="AN737" i="8" s="1"/>
  <c r="AI738" i="8"/>
  <c r="AJ738" i="8" s="1"/>
  <c r="AK738" i="8"/>
  <c r="AL738" i="8" s="1"/>
  <c r="AM738" i="8"/>
  <c r="AN738" i="8" s="1"/>
  <c r="AO738" i="8"/>
  <c r="AP738" i="8" s="1"/>
  <c r="AQ738" i="8"/>
  <c r="AR738" i="8" s="1"/>
  <c r="AI739" i="8"/>
  <c r="AJ739" i="8" s="1"/>
  <c r="AK739" i="8"/>
  <c r="AL739" i="8" s="1"/>
  <c r="AM739" i="8"/>
  <c r="AN739" i="8" s="1"/>
  <c r="AO739" i="8"/>
  <c r="AP739" i="8" s="1"/>
  <c r="AI740" i="8"/>
  <c r="AJ740" i="8" s="1"/>
  <c r="AK740" i="8"/>
  <c r="AL740" i="8" s="1"/>
  <c r="AM740" i="8"/>
  <c r="AN740" i="8" s="1"/>
  <c r="AO740" i="8"/>
  <c r="AP740" i="8" s="1"/>
  <c r="AQ740" i="8"/>
  <c r="AR740" i="8" s="1"/>
  <c r="AI742" i="8"/>
  <c r="AJ742" i="8" s="1"/>
  <c r="AK742" i="8"/>
  <c r="AL742" i="8" s="1"/>
  <c r="AM742" i="8"/>
  <c r="AN742" i="8" s="1"/>
  <c r="AO742" i="8"/>
  <c r="AP742" i="8" s="1"/>
  <c r="AI743" i="8"/>
  <c r="AJ743" i="8" s="1"/>
  <c r="AK743" i="8"/>
  <c r="AL743" i="8" s="1"/>
  <c r="AM743" i="8"/>
  <c r="AN743" i="8" s="1"/>
  <c r="AO743" i="8"/>
  <c r="AP743" i="8" s="1"/>
  <c r="AQ743" i="8"/>
  <c r="AR743" i="8" s="1"/>
  <c r="AI744" i="8"/>
  <c r="AJ744" i="8" s="1"/>
  <c r="AK744" i="8"/>
  <c r="AL744" i="8" s="1"/>
  <c r="AM744" i="8"/>
  <c r="AN744" i="8" s="1"/>
  <c r="AO744" i="8"/>
  <c r="AP744" i="8" s="1"/>
  <c r="AI745" i="8"/>
  <c r="AJ745" i="8" s="1"/>
  <c r="AK745" i="8"/>
  <c r="AL745" i="8" s="1"/>
  <c r="AM745" i="8"/>
  <c r="AN745" i="8" s="1"/>
  <c r="AQ745" i="8"/>
  <c r="AR745" i="8" s="1"/>
  <c r="AI746" i="8"/>
  <c r="AJ746" i="8" s="1"/>
  <c r="AK746" i="8"/>
  <c r="AL746" i="8" s="1"/>
  <c r="AM746" i="8"/>
  <c r="AN746" i="8" s="1"/>
  <c r="AO746" i="8"/>
  <c r="AP746" i="8" s="1"/>
  <c r="AI747" i="8"/>
  <c r="AJ747" i="8" s="1"/>
  <c r="AK747" i="8"/>
  <c r="AL747" i="8" s="1"/>
  <c r="AM747" i="8"/>
  <c r="AN747" i="8" s="1"/>
  <c r="AO747" i="8"/>
  <c r="AP747" i="8" s="1"/>
  <c r="AQ747" i="8"/>
  <c r="AR747" i="8" s="1"/>
  <c r="AI749" i="8"/>
  <c r="AJ749" i="8" s="1"/>
  <c r="AK749" i="8"/>
  <c r="AL749" i="8" s="1"/>
  <c r="AM749" i="8"/>
  <c r="AN749" i="8" s="1"/>
  <c r="AO749" i="8"/>
  <c r="AP749" i="8" s="1"/>
  <c r="AI750" i="8"/>
  <c r="AJ750" i="8" s="1"/>
  <c r="AK750" i="8"/>
  <c r="AL750" i="8" s="1"/>
  <c r="AM750" i="8"/>
  <c r="AN750" i="8" s="1"/>
  <c r="AO750" i="8"/>
  <c r="AP750" i="8" s="1"/>
  <c r="AQ750" i="8"/>
  <c r="AR750" i="8" s="1"/>
  <c r="AI751" i="8"/>
  <c r="AJ751" i="8" s="1"/>
  <c r="AK751" i="8"/>
  <c r="AL751" i="8" s="1"/>
  <c r="AM751" i="8"/>
  <c r="AN751" i="8" s="1"/>
  <c r="AI752" i="8"/>
  <c r="AJ752" i="8" s="1"/>
  <c r="AK752" i="8"/>
  <c r="AL752" i="8" s="1"/>
  <c r="AM752" i="8"/>
  <c r="AN752" i="8" s="1"/>
  <c r="AO752" i="8"/>
  <c r="AP752" i="8" s="1"/>
  <c r="AQ752" i="8"/>
  <c r="AR752" i="8" s="1"/>
  <c r="AI753" i="8"/>
  <c r="AJ753" i="8" s="1"/>
  <c r="AK753" i="8"/>
  <c r="AL753" i="8" s="1"/>
  <c r="AM753" i="8"/>
  <c r="AN753" i="8" s="1"/>
  <c r="AO753" i="8"/>
  <c r="AP753" i="8" s="1"/>
  <c r="AI754" i="8"/>
  <c r="AJ754" i="8" s="1"/>
  <c r="AK754" i="8"/>
  <c r="AL754" i="8" s="1"/>
  <c r="AM754" i="8"/>
  <c r="AN754" i="8" s="1"/>
  <c r="AO754" i="8"/>
  <c r="AP754" i="8" s="1"/>
  <c r="AQ754" i="8"/>
  <c r="AR754" i="8" s="1"/>
  <c r="AI756" i="8"/>
  <c r="AJ756" i="8" s="1"/>
  <c r="AK756" i="8"/>
  <c r="AL756" i="8" s="1"/>
  <c r="AM756" i="8"/>
  <c r="AN756" i="8" s="1"/>
  <c r="AO756" i="8"/>
  <c r="AP756" i="8" s="1"/>
  <c r="AI757" i="8"/>
  <c r="AJ757" i="8" s="1"/>
  <c r="AK757" i="8"/>
  <c r="AL757" i="8" s="1"/>
  <c r="AM757" i="8"/>
  <c r="AN757" i="8" s="1"/>
  <c r="AO757" i="8"/>
  <c r="AP757" i="8" s="1"/>
  <c r="AQ757" i="8"/>
  <c r="AR757" i="8" s="1"/>
  <c r="AI758" i="8"/>
  <c r="AJ758" i="8" s="1"/>
  <c r="AK758" i="8"/>
  <c r="AL758" i="8" s="1"/>
  <c r="AM758" i="8"/>
  <c r="AN758" i="8" s="1"/>
  <c r="AO758" i="8"/>
  <c r="AP758" i="8" s="1"/>
  <c r="AI759" i="8"/>
  <c r="AJ759" i="8" s="1"/>
  <c r="AK759" i="8"/>
  <c r="AL759" i="8" s="1"/>
  <c r="AO759" i="8"/>
  <c r="AP759" i="8" s="1"/>
  <c r="AQ759" i="8"/>
  <c r="AR759" i="8" s="1"/>
  <c r="AI761" i="8"/>
  <c r="AJ761" i="8" s="1"/>
  <c r="AK761" i="8"/>
  <c r="AL761" i="8" s="1"/>
  <c r="AM761" i="8"/>
  <c r="AN761" i="8" s="1"/>
  <c r="AO761" i="8"/>
  <c r="AP761" i="8" s="1"/>
  <c r="AI762" i="8"/>
  <c r="AJ762" i="8" s="1"/>
  <c r="AK762" i="8"/>
  <c r="AL762" i="8" s="1"/>
  <c r="AO762" i="8"/>
  <c r="AP762" i="8" s="1"/>
  <c r="AQ762" i="8"/>
  <c r="AR762" i="8" s="1"/>
  <c r="AI763" i="8"/>
  <c r="AJ763" i="8" s="1"/>
  <c r="AK763" i="8"/>
  <c r="AL763" i="8" s="1"/>
  <c r="AM763" i="8"/>
  <c r="AN763" i="8" s="1"/>
  <c r="AO763" i="8"/>
  <c r="AP763" i="8" s="1"/>
  <c r="AI764" i="8"/>
  <c r="AJ764" i="8" s="1"/>
  <c r="AK764" i="8"/>
  <c r="AL764" i="8" s="1"/>
  <c r="AM764" i="8"/>
  <c r="AN764" i="8" s="1"/>
  <c r="AO764" i="8"/>
  <c r="AP764" i="8" s="1"/>
  <c r="AQ764" i="8"/>
  <c r="AR764" i="8" s="1"/>
  <c r="AI765" i="8"/>
  <c r="AJ765" i="8" s="1"/>
  <c r="AM765" i="8"/>
  <c r="AN765" i="8" s="1"/>
  <c r="AO765" i="8"/>
  <c r="AP765" i="8" s="1"/>
  <c r="AI766" i="8"/>
  <c r="AJ766" i="8" s="1"/>
  <c r="AK766" i="8"/>
  <c r="AL766" i="8" s="1"/>
  <c r="AM766" i="8"/>
  <c r="AN766" i="8" s="1"/>
  <c r="AO766" i="8"/>
  <c r="AP766" i="8" s="1"/>
  <c r="AQ766" i="8"/>
  <c r="AR766" i="8" s="1"/>
  <c r="AK768" i="8"/>
  <c r="AL768" i="8" s="1"/>
  <c r="AM768" i="8"/>
  <c r="AN768" i="8" s="1"/>
  <c r="AO768" i="8"/>
  <c r="AP768" i="8" s="1"/>
  <c r="AI769" i="8"/>
  <c r="AJ769" i="8" s="1"/>
  <c r="AK769" i="8"/>
  <c r="AL769" i="8" s="1"/>
  <c r="AM769" i="8"/>
  <c r="AN769" i="8" s="1"/>
  <c r="AO769" i="8"/>
  <c r="AP769" i="8" s="1"/>
  <c r="AQ769" i="8"/>
  <c r="AR769" i="8" s="1"/>
  <c r="AI770" i="8"/>
  <c r="AJ770" i="8" s="1"/>
  <c r="AK770" i="8"/>
  <c r="AL770" i="8" s="1"/>
  <c r="AM770" i="8"/>
  <c r="AN770" i="8" s="1"/>
  <c r="AO770" i="8"/>
  <c r="AP770" i="8" s="1"/>
  <c r="AI771" i="8"/>
  <c r="AJ771" i="8" s="1"/>
  <c r="AK771" i="8"/>
  <c r="AL771" i="8" s="1"/>
  <c r="AM771" i="8"/>
  <c r="AN771" i="8" s="1"/>
  <c r="AO771" i="8"/>
  <c r="AP771" i="8" s="1"/>
  <c r="AQ771" i="8"/>
  <c r="AR771" i="8" s="1"/>
  <c r="AI774" i="8"/>
  <c r="AJ774" i="8" s="1"/>
  <c r="AK774" i="8"/>
  <c r="AL774" i="8" s="1"/>
  <c r="AM774" i="8"/>
  <c r="AN774" i="8" s="1"/>
  <c r="AO774" i="8"/>
  <c r="AP774" i="8" s="1"/>
  <c r="AI775" i="8"/>
  <c r="AJ775" i="8" s="1"/>
  <c r="AK775" i="8"/>
  <c r="AL775" i="8" s="1"/>
  <c r="AM775" i="8"/>
  <c r="AN775" i="8" s="1"/>
  <c r="AO775" i="8"/>
  <c r="AP775" i="8" s="1"/>
  <c r="AQ775" i="8"/>
  <c r="AR775" i="8" s="1"/>
  <c r="AI776" i="8"/>
  <c r="AJ776" i="8" s="1"/>
  <c r="AK776" i="8"/>
  <c r="AL776" i="8" s="1"/>
  <c r="AM776" i="8"/>
  <c r="AN776" i="8" s="1"/>
  <c r="AO776" i="8"/>
  <c r="AP776" i="8" s="1"/>
  <c r="AI777" i="8"/>
  <c r="AJ777" i="8" s="1"/>
  <c r="AK777" i="8"/>
  <c r="AL777" i="8" s="1"/>
  <c r="AM777" i="8"/>
  <c r="AN777" i="8" s="1"/>
  <c r="AO777" i="8"/>
  <c r="AP777" i="8" s="1"/>
  <c r="AQ777" i="8"/>
  <c r="AR777" i="8" s="1"/>
  <c r="AI779" i="8"/>
  <c r="AJ779" i="8" s="1"/>
  <c r="AK779" i="8"/>
  <c r="AL779" i="8" s="1"/>
  <c r="AM779" i="8"/>
  <c r="AN779" i="8" s="1"/>
  <c r="AO779" i="8"/>
  <c r="AP779" i="8" s="1"/>
  <c r="AI780" i="8"/>
  <c r="AJ780" i="8" s="1"/>
  <c r="AK780" i="8"/>
  <c r="AL780" i="8" s="1"/>
  <c r="AM780" i="8"/>
  <c r="AN780" i="8" s="1"/>
  <c r="AO780" i="8"/>
  <c r="AP780" i="8" s="1"/>
  <c r="AQ780" i="8"/>
  <c r="AR780" i="8" s="1"/>
  <c r="AI781" i="8"/>
  <c r="AJ781" i="8" s="1"/>
  <c r="AK781" i="8"/>
  <c r="AL781" i="8" s="1"/>
  <c r="AM781" i="8"/>
  <c r="AN781" i="8" s="1"/>
  <c r="AO781" i="8"/>
  <c r="AP781" i="8" s="1"/>
  <c r="AI782" i="8"/>
  <c r="AJ782" i="8" s="1"/>
  <c r="AK782" i="8"/>
  <c r="AL782" i="8" s="1"/>
  <c r="AM782" i="8"/>
  <c r="AN782" i="8" s="1"/>
  <c r="AO782" i="8"/>
  <c r="AP782" i="8" s="1"/>
  <c r="AI783" i="8"/>
  <c r="AJ783" i="8" s="1"/>
  <c r="AK783" i="8"/>
  <c r="AL783" i="8" s="1"/>
  <c r="AM783" i="8"/>
  <c r="AN783" i="8" s="1"/>
  <c r="AO783" i="8"/>
  <c r="AP783" i="8" s="1"/>
  <c r="AI784" i="8"/>
  <c r="AJ784" i="8" s="1"/>
  <c r="AK784" i="8"/>
  <c r="AL784" i="8" s="1"/>
  <c r="AM784" i="8"/>
  <c r="AN784" i="8" s="1"/>
  <c r="AO784" i="8"/>
  <c r="AP784" i="8" s="1"/>
  <c r="AQ784" i="8"/>
  <c r="AR784" i="8" s="1"/>
  <c r="AI786" i="8"/>
  <c r="AJ786" i="8" s="1"/>
  <c r="AK786" i="8"/>
  <c r="AL786" i="8" s="1"/>
  <c r="AM786" i="8"/>
  <c r="AN786" i="8" s="1"/>
  <c r="AI787" i="8"/>
  <c r="AJ787" i="8" s="1"/>
  <c r="AK787" i="8"/>
  <c r="AL787" i="8" s="1"/>
  <c r="AM787" i="8"/>
  <c r="AN787" i="8" s="1"/>
  <c r="AO787" i="8"/>
  <c r="AP787" i="8" s="1"/>
  <c r="AQ787" i="8"/>
  <c r="AR787" i="8" s="1"/>
  <c r="AI788" i="8"/>
  <c r="AJ788" i="8" s="1"/>
  <c r="AK788" i="8"/>
  <c r="AL788" i="8" s="1"/>
  <c r="AM788" i="8"/>
  <c r="AN788" i="8" s="1"/>
  <c r="AO788" i="8"/>
  <c r="AP788" i="8" s="1"/>
  <c r="AI789" i="8"/>
  <c r="AJ789" i="8" s="1"/>
  <c r="AK789" i="8"/>
  <c r="AL789" i="8" s="1"/>
  <c r="AM789" i="8"/>
  <c r="AN789" i="8" s="1"/>
  <c r="AO789" i="8"/>
  <c r="AP789" i="8" s="1"/>
  <c r="AI790" i="8"/>
  <c r="AJ790" i="8" s="1"/>
  <c r="AK790" i="8"/>
  <c r="AL790" i="8" s="1"/>
  <c r="AM790" i="8"/>
  <c r="AN790" i="8" s="1"/>
  <c r="AO790" i="8"/>
  <c r="AP790" i="8" s="1"/>
  <c r="AI791" i="8"/>
  <c r="AJ791" i="8" s="1"/>
  <c r="AK791" i="8"/>
  <c r="AL791" i="8" s="1"/>
  <c r="AM791" i="8"/>
  <c r="AN791" i="8" s="1"/>
  <c r="AO791" i="8"/>
  <c r="AP791" i="8" s="1"/>
  <c r="AQ791" i="8"/>
  <c r="AR791" i="8" s="1"/>
  <c r="AI793" i="8"/>
  <c r="AJ793" i="8" s="1"/>
  <c r="AK793" i="8"/>
  <c r="AL793" i="8" s="1"/>
  <c r="AM793" i="8"/>
  <c r="AN793" i="8" s="1"/>
  <c r="AO793" i="8"/>
  <c r="AP793" i="8" s="1"/>
  <c r="AI794" i="8"/>
  <c r="AJ794" i="8" s="1"/>
  <c r="AK794" i="8"/>
  <c r="AL794" i="8" s="1"/>
  <c r="AM794" i="8"/>
  <c r="AN794" i="8" s="1"/>
  <c r="AO794" i="8"/>
  <c r="AP794" i="8" s="1"/>
  <c r="AI795" i="8"/>
  <c r="AJ795" i="8" s="1"/>
  <c r="AK795" i="8"/>
  <c r="AL795" i="8" s="1"/>
  <c r="AM795" i="8"/>
  <c r="AN795" i="8" s="1"/>
  <c r="AO795" i="8"/>
  <c r="AP795" i="8" s="1"/>
  <c r="AI796" i="8"/>
  <c r="AJ796" i="8" s="1"/>
  <c r="AK796" i="8"/>
  <c r="AL796" i="8" s="1"/>
  <c r="AM796" i="8"/>
  <c r="AN796" i="8" s="1"/>
  <c r="AO796" i="8"/>
  <c r="AP796" i="8" s="1"/>
  <c r="AQ796" i="8"/>
  <c r="AR796" i="8" s="1"/>
  <c r="AI797" i="8"/>
  <c r="AJ797" i="8" s="1"/>
  <c r="AK797" i="8"/>
  <c r="AL797" i="8" s="1"/>
  <c r="AM797" i="8"/>
  <c r="AN797" i="8" s="1"/>
  <c r="AO797" i="8"/>
  <c r="AP797" i="8" s="1"/>
  <c r="AI798" i="8"/>
  <c r="AJ798" i="8" s="1"/>
  <c r="AK798" i="8"/>
  <c r="AL798" i="8" s="1"/>
  <c r="AM798" i="8"/>
  <c r="AN798" i="8" s="1"/>
  <c r="AO798" i="8"/>
  <c r="AP798" i="8" s="1"/>
  <c r="AI800" i="8"/>
  <c r="AJ800" i="8" s="1"/>
  <c r="AK800" i="8"/>
  <c r="AL800" i="8" s="1"/>
  <c r="AM800" i="8"/>
  <c r="AN800" i="8" s="1"/>
  <c r="AO800" i="8"/>
  <c r="AP800" i="8" s="1"/>
  <c r="AI801" i="8"/>
  <c r="AJ801" i="8" s="1"/>
  <c r="AK801" i="8"/>
  <c r="AL801" i="8" s="1"/>
  <c r="AM801" i="8"/>
  <c r="AN801" i="8" s="1"/>
  <c r="AQ801" i="8"/>
  <c r="AR801" i="8" s="1"/>
  <c r="AI802" i="8"/>
  <c r="AJ802" i="8" s="1"/>
  <c r="AK802" i="8"/>
  <c r="AL802" i="8" s="1"/>
  <c r="AM802" i="8"/>
  <c r="AN802" i="8" s="1"/>
  <c r="AO802" i="8"/>
  <c r="AP802" i="8" s="1"/>
  <c r="AI803" i="8"/>
  <c r="AJ803" i="8" s="1"/>
  <c r="AK803" i="8"/>
  <c r="AL803" i="8" s="1"/>
  <c r="AM803" i="8"/>
  <c r="AN803" i="8" s="1"/>
  <c r="AO803" i="8"/>
  <c r="AP803" i="8" s="1"/>
  <c r="AQ803" i="8"/>
  <c r="AR803" i="8" s="1"/>
  <c r="AI805" i="8"/>
  <c r="AJ805" i="8" s="1"/>
  <c r="AK805" i="8"/>
  <c r="AL805" i="8" s="1"/>
  <c r="AM805" i="8"/>
  <c r="AN805" i="8" s="1"/>
  <c r="AO805" i="8"/>
  <c r="AP805" i="8" s="1"/>
  <c r="AI806" i="8"/>
  <c r="AJ806" i="8" s="1"/>
  <c r="AK806" i="8"/>
  <c r="AL806" i="8" s="1"/>
  <c r="AM806" i="8"/>
  <c r="AN806" i="8" s="1"/>
  <c r="AO806" i="8"/>
  <c r="AP806" i="8" s="1"/>
  <c r="AQ806" i="8"/>
  <c r="AR806" i="8" s="1"/>
  <c r="AI807" i="8"/>
  <c r="AJ807" i="8" s="1"/>
  <c r="AK807" i="8"/>
  <c r="AL807" i="8" s="1"/>
  <c r="AM807" i="8"/>
  <c r="AN807" i="8" s="1"/>
  <c r="AI809" i="8"/>
  <c r="AJ809" i="8" s="1"/>
  <c r="AK809" i="8"/>
  <c r="AL809" i="8" s="1"/>
  <c r="AM809" i="8"/>
  <c r="AN809" i="8" s="1"/>
  <c r="AQ809" i="8"/>
  <c r="AR809" i="8" s="1"/>
  <c r="AI812" i="8"/>
  <c r="AJ812" i="8" s="1"/>
  <c r="AK812" i="8"/>
  <c r="AL812" i="8" s="1"/>
  <c r="AM812" i="8"/>
  <c r="AN812" i="8" s="1"/>
  <c r="AO812" i="8"/>
  <c r="AP812" i="8" s="1"/>
  <c r="AI813" i="8"/>
  <c r="AJ813" i="8" s="1"/>
  <c r="AK813" i="8"/>
  <c r="AL813" i="8" s="1"/>
  <c r="AM813" i="8"/>
  <c r="AN813" i="8" s="1"/>
  <c r="AO813" i="8"/>
  <c r="AP813" i="8" s="1"/>
  <c r="AQ813" i="8"/>
  <c r="AR813" i="8" s="1"/>
  <c r="AI814" i="8"/>
  <c r="AJ814" i="8" s="1"/>
  <c r="AK814" i="8"/>
  <c r="AL814" i="8" s="1"/>
  <c r="AM814" i="8"/>
  <c r="AN814" i="8" s="1"/>
  <c r="AO814" i="8"/>
  <c r="AP814" i="8" s="1"/>
  <c r="AI819" i="8"/>
  <c r="AJ819" i="8" s="1"/>
  <c r="AK819" i="8"/>
  <c r="AL819" i="8" s="1"/>
  <c r="AM819" i="8"/>
  <c r="AN819" i="8" s="1"/>
  <c r="AO819" i="8"/>
  <c r="AP819" i="8" s="1"/>
  <c r="AQ819" i="8"/>
  <c r="AR819" i="8" s="1"/>
  <c r="AI820" i="8"/>
  <c r="AJ820" i="8" s="1"/>
  <c r="AK820" i="8"/>
  <c r="AL820" i="8" s="1"/>
  <c r="AM820" i="8"/>
  <c r="AN820" i="8" s="1"/>
  <c r="AO820" i="8"/>
  <c r="AP820" i="8" s="1"/>
  <c r="AI821" i="8"/>
  <c r="AJ821" i="8" s="1"/>
  <c r="AK821" i="8"/>
  <c r="AL821" i="8" s="1"/>
  <c r="AM821" i="8"/>
  <c r="AN821" i="8" s="1"/>
  <c r="AO821" i="8"/>
  <c r="AP821" i="8" s="1"/>
  <c r="AQ821" i="8"/>
  <c r="AR821" i="8" s="1"/>
  <c r="AI822" i="8"/>
  <c r="AJ822" i="8" s="1"/>
  <c r="AK822" i="8"/>
  <c r="AL822" i="8" s="1"/>
  <c r="AO822" i="8"/>
  <c r="AP822" i="8" s="1"/>
  <c r="AI824" i="8"/>
  <c r="AJ824" i="8" s="1"/>
  <c r="AK824" i="8"/>
  <c r="AL824" i="8" s="1"/>
  <c r="AM824" i="8"/>
  <c r="AN824" i="8" s="1"/>
  <c r="AO824" i="8"/>
  <c r="AP824" i="8" s="1"/>
  <c r="AI825" i="8"/>
  <c r="AJ825" i="8" s="1"/>
  <c r="AK825" i="8"/>
  <c r="AL825" i="8" s="1"/>
  <c r="AM825" i="8"/>
  <c r="AN825" i="8" s="1"/>
  <c r="AO825" i="8"/>
  <c r="AP825" i="8" s="1"/>
  <c r="AI826" i="8"/>
  <c r="AJ826" i="8" s="1"/>
  <c r="AK826" i="8"/>
  <c r="AL826" i="8" s="1"/>
  <c r="AM826" i="8"/>
  <c r="AN826" i="8" s="1"/>
  <c r="AO826" i="8"/>
  <c r="AP826" i="8" s="1"/>
  <c r="AI827" i="8"/>
  <c r="AJ827" i="8" s="1"/>
  <c r="AK827" i="8"/>
  <c r="AL827" i="8" s="1"/>
  <c r="AM827" i="8"/>
  <c r="AN827" i="8" s="1"/>
  <c r="AO827" i="8"/>
  <c r="AP827" i="8" s="1"/>
  <c r="AI828" i="8"/>
  <c r="AJ828" i="8" s="1"/>
  <c r="AK828" i="8"/>
  <c r="AL828" i="8" s="1"/>
  <c r="AM828" i="8"/>
  <c r="AN828" i="8" s="1"/>
  <c r="AO828" i="8"/>
  <c r="AP828" i="8" s="1"/>
  <c r="AI829" i="8"/>
  <c r="AJ829" i="8" s="1"/>
  <c r="AK829" i="8"/>
  <c r="AL829" i="8" s="1"/>
  <c r="AM829" i="8"/>
  <c r="AN829" i="8" s="1"/>
  <c r="AO829" i="8"/>
  <c r="AP829" i="8" s="1"/>
  <c r="AI831" i="8"/>
  <c r="AJ831" i="8" s="1"/>
  <c r="AK831" i="8"/>
  <c r="AL831" i="8" s="1"/>
  <c r="AM831" i="8"/>
  <c r="AN831" i="8" s="1"/>
  <c r="AQ831" i="8"/>
  <c r="AR831" i="8" s="1"/>
  <c r="AI832" i="8"/>
  <c r="AJ832" i="8" s="1"/>
  <c r="AK832" i="8"/>
  <c r="AL832" i="8" s="1"/>
  <c r="AM832" i="8"/>
  <c r="AN832" i="8" s="1"/>
  <c r="AO832" i="8"/>
  <c r="AP832" i="8" s="1"/>
  <c r="AI833" i="8"/>
  <c r="AJ833" i="8" s="1"/>
  <c r="AK833" i="8"/>
  <c r="AL833" i="8" s="1"/>
  <c r="AM833" i="8"/>
  <c r="AN833" i="8" s="1"/>
  <c r="AO833" i="8"/>
  <c r="AP833" i="8" s="1"/>
  <c r="AI834" i="8"/>
  <c r="AJ834" i="8" s="1"/>
  <c r="AK834" i="8"/>
  <c r="AL834" i="8" s="1"/>
  <c r="AM834" i="8"/>
  <c r="AN834" i="8" s="1"/>
  <c r="AO834" i="8"/>
  <c r="AP834" i="8" s="1"/>
  <c r="AI835" i="8"/>
  <c r="AJ835" i="8" s="1"/>
  <c r="AK835" i="8"/>
  <c r="AL835" i="8" s="1"/>
  <c r="AM835" i="8"/>
  <c r="AN835" i="8" s="1"/>
  <c r="AO835" i="8"/>
  <c r="AP835" i="8" s="1"/>
  <c r="AQ835" i="8"/>
  <c r="AR835" i="8" s="1"/>
  <c r="AK836" i="8"/>
  <c r="AL836" i="8" s="1"/>
  <c r="AM836" i="8"/>
  <c r="AN836" i="8" s="1"/>
  <c r="AO836" i="8"/>
  <c r="AP836" i="8" s="1"/>
  <c r="AK838" i="8"/>
  <c r="AL838" i="8" s="1"/>
  <c r="AM838" i="8"/>
  <c r="AN838" i="8" s="1"/>
  <c r="AO838" i="8"/>
  <c r="AP838" i="8" s="1"/>
  <c r="AQ838" i="8"/>
  <c r="AR838" i="8" s="1"/>
  <c r="AI839" i="8"/>
  <c r="AJ839" i="8" s="1"/>
  <c r="AK839" i="8"/>
  <c r="AL839" i="8" s="1"/>
  <c r="AM839" i="8"/>
  <c r="AN839" i="8" s="1"/>
  <c r="AO839" i="8"/>
  <c r="AP839" i="8" s="1"/>
  <c r="AK840" i="8"/>
  <c r="AL840" i="8" s="1"/>
  <c r="AM840" i="8"/>
  <c r="AN840" i="8" s="1"/>
  <c r="AO840" i="8"/>
  <c r="AP840" i="8" s="1"/>
  <c r="AQ840" i="8"/>
  <c r="AR840" i="8" s="1"/>
  <c r="AI841" i="8"/>
  <c r="AJ841" i="8" s="1"/>
  <c r="AK841" i="8"/>
  <c r="AL841" i="8" s="1"/>
  <c r="AK850" i="8"/>
  <c r="AL850" i="8" s="1"/>
  <c r="AM850" i="8"/>
  <c r="AN850" i="8" s="1"/>
  <c r="AQ919" i="8"/>
  <c r="AR919" i="8" s="1"/>
  <c r="AQ921" i="8"/>
  <c r="AR921" i="8" s="1"/>
  <c r="AQ924" i="8"/>
  <c r="AR924" i="8" s="1"/>
  <c r="AQ926" i="8"/>
  <c r="AR926" i="8" s="1"/>
  <c r="AQ928" i="8"/>
  <c r="AR928" i="8" s="1"/>
  <c r="AQ931" i="8"/>
  <c r="AR931" i="8" s="1"/>
  <c r="AQ933" i="8"/>
  <c r="AR933" i="8" s="1"/>
  <c r="AQ935" i="8"/>
  <c r="AR935" i="8" s="1"/>
  <c r="AQ938" i="8"/>
  <c r="AR938" i="8" s="1"/>
  <c r="AQ940" i="8"/>
  <c r="AR940" i="8" s="1"/>
  <c r="AQ942" i="8"/>
  <c r="AR942" i="8" s="1"/>
  <c r="AQ945" i="8"/>
  <c r="AR945" i="8" s="1"/>
  <c r="AQ951" i="8"/>
  <c r="AR951" i="8" s="1"/>
  <c r="AQ953" i="8"/>
  <c r="AR953" i="8" s="1"/>
  <c r="AQ956" i="8"/>
  <c r="AR956" i="8" s="1"/>
  <c r="AQ958" i="8"/>
  <c r="AR958" i="8" s="1"/>
  <c r="AQ960" i="8"/>
  <c r="AR960" i="8" s="1"/>
  <c r="AQ963" i="8"/>
  <c r="AR963" i="8" s="1"/>
  <c r="AQ965" i="8"/>
  <c r="AR965" i="8" s="1"/>
  <c r="AQ967" i="8"/>
  <c r="AR967" i="8" s="1"/>
  <c r="AQ970" i="8"/>
  <c r="AR970" i="8" s="1"/>
  <c r="AQ972" i="8"/>
  <c r="AR972" i="8" s="1"/>
  <c r="AQ974" i="8"/>
  <c r="AR974" i="8" s="1"/>
  <c r="AQ977" i="8"/>
  <c r="AR977" i="8" s="1"/>
  <c r="AQ979" i="8"/>
  <c r="AR979" i="8" s="1"/>
  <c r="AQ991" i="8"/>
  <c r="AR991" i="8" s="1"/>
  <c r="AI413" i="8"/>
  <c r="AJ413" i="8" s="1"/>
  <c r="AM582" i="8"/>
  <c r="AN582" i="8" s="1"/>
  <c r="AI576" i="8"/>
  <c r="AJ576" i="8" s="1"/>
  <c r="AK10" i="8"/>
  <c r="AL10" i="8" s="1"/>
  <c r="AM11" i="8"/>
  <c r="AN11" i="8" s="1"/>
  <c r="AK11" i="8"/>
  <c r="AL11" i="8" s="1"/>
  <c r="AI11" i="8"/>
  <c r="AJ11" i="8" s="1"/>
  <c r="AK13" i="8"/>
  <c r="AL13" i="8" s="1"/>
  <c r="AM13" i="8"/>
  <c r="AN13" i="8" s="1"/>
  <c r="AO13" i="8"/>
  <c r="AP13" i="8" s="1"/>
  <c r="AO14" i="8"/>
  <c r="AP14" i="8" s="1"/>
  <c r="AK17" i="8"/>
  <c r="AL17" i="8" s="1"/>
  <c r="AM17" i="8"/>
  <c r="AN17" i="8" s="1"/>
  <c r="AO18" i="8"/>
  <c r="AP18" i="8" s="1"/>
  <c r="AK19" i="8"/>
  <c r="AL19" i="8" s="1"/>
  <c r="AM19" i="8"/>
  <c r="AN19" i="8" s="1"/>
  <c r="AO21" i="8"/>
  <c r="AP21" i="8" s="1"/>
  <c r="AI22" i="8"/>
  <c r="AJ22" i="8" s="1"/>
  <c r="AK22" i="8"/>
  <c r="AL22" i="8" s="1"/>
  <c r="AM23" i="8"/>
  <c r="AN23" i="8" s="1"/>
  <c r="AO23" i="8"/>
  <c r="AP23" i="8" s="1"/>
  <c r="AK26" i="8"/>
  <c r="AL26" i="8" s="1"/>
  <c r="AO27" i="8"/>
  <c r="AP27" i="8" s="1"/>
  <c r="AK28" i="8"/>
  <c r="AL28" i="8" s="1"/>
  <c r="AO30" i="8"/>
  <c r="AP30" i="8" s="1"/>
  <c r="AK31" i="8"/>
  <c r="AL31" i="8" s="1"/>
  <c r="AM31" i="8"/>
  <c r="AN31" i="8" s="1"/>
  <c r="AO32" i="8"/>
  <c r="AP32" i="8" s="1"/>
  <c r="AK35" i="8"/>
  <c r="AL35" i="8" s="1"/>
  <c r="AO35" i="8"/>
  <c r="AP35" i="8" s="1"/>
  <c r="AO36" i="8"/>
  <c r="AP36" i="8" s="1"/>
  <c r="AK37" i="8"/>
  <c r="AL37" i="8" s="1"/>
  <c r="AQ37" i="8"/>
  <c r="AR37" i="8" s="1"/>
  <c r="AK39" i="8"/>
  <c r="AL39" i="8" s="1"/>
  <c r="AO39" i="8"/>
  <c r="AP39" i="8" s="1"/>
  <c r="AM40" i="8"/>
  <c r="AN40" i="8" s="1"/>
  <c r="AO41" i="8"/>
  <c r="AP41" i="8" s="1"/>
  <c r="AI44" i="8"/>
  <c r="AJ44" i="8" s="1"/>
  <c r="AM45" i="8"/>
  <c r="AN45" i="8" s="1"/>
  <c r="AM46" i="8"/>
  <c r="AN46" i="8" s="1"/>
  <c r="AM48" i="8"/>
  <c r="AN48" i="8" s="1"/>
  <c r="AO48" i="8"/>
  <c r="AP48" i="8" s="1"/>
  <c r="AK49" i="8"/>
  <c r="AL49" i="8" s="1"/>
  <c r="AK50" i="8"/>
  <c r="AL50" i="8" s="1"/>
  <c r="AO50" i="8"/>
  <c r="AP50" i="8" s="1"/>
  <c r="AK52" i="8"/>
  <c r="AL52" i="8" s="1"/>
  <c r="AM52" i="8"/>
  <c r="AN52" i="8" s="1"/>
  <c r="AI53" i="8"/>
  <c r="AJ53" i="8" s="1"/>
  <c r="AO53" i="8"/>
  <c r="AP53" i="8" s="1"/>
  <c r="AK54" i="8"/>
  <c r="AL54" i="8" s="1"/>
  <c r="AM54" i="8"/>
  <c r="AN54" i="8" s="1"/>
  <c r="AO55" i="8"/>
  <c r="AP55" i="8" s="1"/>
  <c r="AK56" i="8"/>
  <c r="AL56" i="8" s="1"/>
  <c r="AM56" i="8"/>
  <c r="AN56" i="8" s="1"/>
  <c r="AQ56" i="8"/>
  <c r="AR56" i="8" s="1"/>
  <c r="AK58" i="8"/>
  <c r="AL58" i="8" s="1"/>
  <c r="AM58" i="8"/>
  <c r="AN58" i="8" s="1"/>
  <c r="AO58" i="8"/>
  <c r="AP58" i="8" s="1"/>
  <c r="AK59" i="8"/>
  <c r="AL59" i="8" s="1"/>
  <c r="AO59" i="8"/>
  <c r="AP59" i="8" s="1"/>
  <c r="AO60" i="8"/>
  <c r="AP60" i="8" s="1"/>
  <c r="AK61" i="8"/>
  <c r="AL61" i="8" s="1"/>
  <c r="AM63" i="8"/>
  <c r="AN63" i="8" s="1"/>
  <c r="AO63" i="8"/>
  <c r="AP63" i="8" s="1"/>
  <c r="AK64" i="8"/>
  <c r="AL64" i="8" s="1"/>
  <c r="AO64" i="8"/>
  <c r="AP64" i="8" s="1"/>
  <c r="AQ64" i="8"/>
  <c r="AR64" i="8" s="1"/>
  <c r="AO65" i="8"/>
  <c r="AP65" i="8" s="1"/>
  <c r="AK66" i="8"/>
  <c r="AL66" i="8" s="1"/>
  <c r="AK68" i="8"/>
  <c r="AL68" i="8" s="1"/>
  <c r="AO68" i="8"/>
  <c r="AP68" i="8" s="1"/>
  <c r="AK69" i="8"/>
  <c r="AL69" i="8" s="1"/>
  <c r="AO69" i="8"/>
  <c r="AP69" i="8" s="1"/>
  <c r="AQ69" i="8"/>
  <c r="AR69" i="8" s="1"/>
  <c r="AK70" i="8"/>
  <c r="AL70" i="8" s="1"/>
  <c r="AO70" i="8"/>
  <c r="AP70" i="8" s="1"/>
  <c r="AK71" i="8"/>
  <c r="AL71" i="8" s="1"/>
  <c r="AM71" i="8"/>
  <c r="AN71" i="8" s="1"/>
  <c r="AQ71" i="8"/>
  <c r="AR71" i="8" s="1"/>
  <c r="AO72" i="8"/>
  <c r="AP72" i="8" s="1"/>
  <c r="AQ74" i="8"/>
  <c r="AR74" i="8" s="1"/>
  <c r="AK75" i="8"/>
  <c r="AL75" i="8" s="1"/>
  <c r="AM75" i="8"/>
  <c r="AN75" i="8" s="1"/>
  <c r="AO75" i="8"/>
  <c r="AP75" i="8" s="1"/>
  <c r="AK76" i="8"/>
  <c r="AL76" i="8" s="1"/>
  <c r="AM76" i="8"/>
  <c r="AN76" i="8" s="1"/>
  <c r="AQ76" i="8"/>
  <c r="AR76" i="8" s="1"/>
  <c r="AI77" i="8"/>
  <c r="AJ77" i="8" s="1"/>
  <c r="AM77" i="8"/>
  <c r="AN77" i="8" s="1"/>
  <c r="AO77" i="8"/>
  <c r="AP77" i="8" s="1"/>
  <c r="AK79" i="8"/>
  <c r="AL79" i="8" s="1"/>
  <c r="AM79" i="8"/>
  <c r="AN79" i="8" s="1"/>
  <c r="AQ79" i="8"/>
  <c r="AR79" i="8" s="1"/>
  <c r="AI80" i="8"/>
  <c r="AJ80" i="8" s="1"/>
  <c r="AK80" i="8"/>
  <c r="AL80" i="8" s="1"/>
  <c r="AM80" i="8"/>
  <c r="AN80" i="8" s="1"/>
  <c r="AO80" i="8"/>
  <c r="AP80" i="8" s="1"/>
  <c r="AI88" i="8"/>
  <c r="AJ88" i="8" s="1"/>
  <c r="AK88" i="8"/>
  <c r="AL88" i="8" s="1"/>
  <c r="AO88" i="8"/>
  <c r="AP88" i="8" s="1"/>
  <c r="AI89" i="8"/>
  <c r="AJ89" i="8" s="1"/>
  <c r="AK89" i="8"/>
  <c r="AL89" i="8" s="1"/>
  <c r="AM89" i="8"/>
  <c r="AN89" i="8" s="1"/>
  <c r="AO89" i="8"/>
  <c r="AP89" i="8" s="1"/>
  <c r="AQ89" i="8"/>
  <c r="AR89" i="8" s="1"/>
  <c r="AI90" i="8"/>
  <c r="AJ90" i="8" s="1"/>
  <c r="AM90" i="8"/>
  <c r="AN90" i="8" s="1"/>
  <c r="AO90" i="8"/>
  <c r="AP90" i="8" s="1"/>
  <c r="AI91" i="8"/>
  <c r="AJ91" i="8" s="1"/>
  <c r="AK91" i="8"/>
  <c r="AL91" i="8" s="1"/>
  <c r="AM91" i="8"/>
  <c r="AN91" i="8" s="1"/>
  <c r="AO91" i="8"/>
  <c r="AP91" i="8" s="1"/>
  <c r="AQ91" i="8"/>
  <c r="AR91" i="8" s="1"/>
  <c r="AI93" i="8"/>
  <c r="AJ93" i="8" s="1"/>
  <c r="AK93" i="8"/>
  <c r="AL93" i="8" s="1"/>
  <c r="AM93" i="8"/>
  <c r="AN93" i="8" s="1"/>
  <c r="AO93" i="8"/>
  <c r="AP93" i="8" s="1"/>
  <c r="AI94" i="8"/>
  <c r="AJ94" i="8" s="1"/>
  <c r="AK94" i="8"/>
  <c r="AL94" i="8" s="1"/>
  <c r="AM94" i="8"/>
  <c r="AN94" i="8" s="1"/>
  <c r="AO94" i="8"/>
  <c r="AP94" i="8" s="1"/>
  <c r="AQ94" i="8"/>
  <c r="AR94" i="8" s="1"/>
  <c r="AK96" i="8"/>
  <c r="AL96" i="8" s="1"/>
  <c r="AM96" i="8"/>
  <c r="AN96" i="8" s="1"/>
  <c r="AO96" i="8"/>
  <c r="AP96" i="8" s="1"/>
  <c r="AI97" i="8"/>
  <c r="AJ97" i="8" s="1"/>
  <c r="AK97" i="8"/>
  <c r="AL97" i="8" s="1"/>
  <c r="AM97" i="8"/>
  <c r="AN97" i="8" s="1"/>
  <c r="AO97" i="8"/>
  <c r="AP97" i="8" s="1"/>
  <c r="AQ97" i="8"/>
  <c r="AR97" i="8" s="1"/>
  <c r="AI100" i="8"/>
  <c r="AJ100" i="8" s="1"/>
  <c r="AK100" i="8"/>
  <c r="AL100" i="8" s="1"/>
  <c r="AM100" i="8"/>
  <c r="AN100" i="8" s="1"/>
  <c r="AO100" i="8"/>
  <c r="AP100" i="8" s="1"/>
  <c r="AI101" i="8"/>
  <c r="AJ101" i="8" s="1"/>
  <c r="AK101" i="8"/>
  <c r="AL101" i="8" s="1"/>
  <c r="AM101" i="8"/>
  <c r="AN101" i="8" s="1"/>
  <c r="AO101" i="8"/>
  <c r="AP101" i="8" s="1"/>
  <c r="AQ101" i="8"/>
  <c r="AR101" i="8" s="1"/>
  <c r="AI102" i="8"/>
  <c r="AJ102" i="8" s="1"/>
  <c r="AK102" i="8"/>
  <c r="AL102" i="8" s="1"/>
  <c r="AM102" i="8"/>
  <c r="AN102" i="8" s="1"/>
  <c r="AO102" i="8"/>
  <c r="AP102" i="8" s="1"/>
  <c r="AI103" i="8"/>
  <c r="AJ103" i="8" s="1"/>
  <c r="AK103" i="8"/>
  <c r="AL103" i="8" s="1"/>
  <c r="AM103" i="8"/>
  <c r="AN103" i="8" s="1"/>
  <c r="AO103" i="8"/>
  <c r="AP103" i="8" s="1"/>
  <c r="AQ103" i="8"/>
  <c r="AR103" i="8" s="1"/>
  <c r="AI104" i="8"/>
  <c r="AJ104" i="8" s="1"/>
  <c r="AK104" i="8"/>
  <c r="AL104" i="8" s="1"/>
  <c r="AM104" i="8"/>
  <c r="AN104" i="8" s="1"/>
  <c r="AO104" i="8"/>
  <c r="AP104" i="8" s="1"/>
  <c r="AI105" i="8"/>
  <c r="AJ105" i="8" s="1"/>
  <c r="AK105" i="8"/>
  <c r="AL105" i="8" s="1"/>
  <c r="AM105" i="8"/>
  <c r="AN105" i="8" s="1"/>
  <c r="AO105" i="8"/>
  <c r="AP105" i="8" s="1"/>
  <c r="AQ105" i="8"/>
  <c r="AR105" i="8" s="1"/>
  <c r="AI106" i="8"/>
  <c r="AJ106" i="8" s="1"/>
  <c r="AK106" i="8"/>
  <c r="AL106" i="8" s="1"/>
  <c r="AM106" i="8"/>
  <c r="AN106" i="8" s="1"/>
  <c r="AO106" i="8"/>
  <c r="AP106" i="8" s="1"/>
  <c r="AI108" i="8"/>
  <c r="AJ108" i="8" s="1"/>
  <c r="AK108" i="8"/>
  <c r="AL108" i="8" s="1"/>
  <c r="AM108" i="8"/>
  <c r="AN108" i="8" s="1"/>
  <c r="AO108" i="8"/>
  <c r="AP108" i="8" s="1"/>
  <c r="AQ108" i="8"/>
  <c r="AR108" i="8" s="1"/>
  <c r="AI109" i="8"/>
  <c r="AJ109" i="8" s="1"/>
  <c r="AK109" i="8"/>
  <c r="AL109" i="8" s="1"/>
  <c r="AM109" i="8"/>
  <c r="AN109" i="8" s="1"/>
  <c r="AO109" i="8"/>
  <c r="AP109" i="8" s="1"/>
  <c r="AI110" i="8"/>
  <c r="AJ110" i="8" s="1"/>
  <c r="AK110" i="8"/>
  <c r="AL110" i="8" s="1"/>
  <c r="AM110" i="8"/>
  <c r="AN110" i="8" s="1"/>
  <c r="AO110" i="8"/>
  <c r="AP110" i="8" s="1"/>
  <c r="AQ110" i="8"/>
  <c r="AR110" i="8" s="1"/>
  <c r="AI111" i="8"/>
  <c r="AJ111" i="8" s="1"/>
  <c r="AK111" i="8"/>
  <c r="AL111" i="8" s="1"/>
  <c r="AM111" i="8"/>
  <c r="AN111" i="8" s="1"/>
  <c r="AO111" i="8"/>
  <c r="AP111" i="8" s="1"/>
  <c r="AI112" i="8"/>
  <c r="AJ112" i="8" s="1"/>
  <c r="AK112" i="8"/>
  <c r="AL112" i="8" s="1"/>
  <c r="AM112" i="8"/>
  <c r="AN112" i="8" s="1"/>
  <c r="AO112" i="8"/>
  <c r="AP112" i="8" s="1"/>
  <c r="AQ112" i="8"/>
  <c r="AR112" i="8" s="1"/>
  <c r="AI113" i="8"/>
  <c r="AJ113" i="8" s="1"/>
  <c r="AK113" i="8"/>
  <c r="AL113" i="8" s="1"/>
  <c r="AM113" i="8"/>
  <c r="AN113" i="8" s="1"/>
  <c r="AO113" i="8"/>
  <c r="AP113" i="8" s="1"/>
  <c r="AI115" i="8"/>
  <c r="AJ115" i="8" s="1"/>
  <c r="AK115" i="8"/>
  <c r="AL115" i="8" s="1"/>
  <c r="AM115" i="8"/>
  <c r="AN115" i="8" s="1"/>
  <c r="AO115" i="8"/>
  <c r="AP115" i="8" s="1"/>
  <c r="AQ115" i="8"/>
  <c r="AR115" i="8" s="1"/>
  <c r="AI116" i="8"/>
  <c r="AJ116" i="8" s="1"/>
  <c r="AK116" i="8"/>
  <c r="AL116" i="8" s="1"/>
  <c r="AM116" i="8"/>
  <c r="AN116" i="8" s="1"/>
  <c r="AO116" i="8"/>
  <c r="AP116" i="8" s="1"/>
  <c r="AI117" i="8"/>
  <c r="AJ117" i="8" s="1"/>
  <c r="AK117" i="8"/>
  <c r="AL117" i="8" s="1"/>
  <c r="AM117" i="8"/>
  <c r="AN117" i="8" s="1"/>
  <c r="AO117" i="8"/>
  <c r="AP117" i="8" s="1"/>
  <c r="AQ117" i="8"/>
  <c r="AR117" i="8" s="1"/>
  <c r="AI118" i="8"/>
  <c r="AJ118" i="8" s="1"/>
  <c r="AK118" i="8"/>
  <c r="AL118" i="8" s="1"/>
  <c r="AM118" i="8"/>
  <c r="AN118" i="8" s="1"/>
  <c r="AO118" i="8"/>
  <c r="AP118" i="8" s="1"/>
  <c r="AI123" i="8"/>
  <c r="AJ123" i="8" s="1"/>
  <c r="AK123" i="8"/>
  <c r="AL123" i="8" s="1"/>
  <c r="AM123" i="8"/>
  <c r="AN123" i="8" s="1"/>
  <c r="AO123" i="8"/>
  <c r="AP123" i="8" s="1"/>
  <c r="AQ123" i="8"/>
  <c r="AR123" i="8" s="1"/>
  <c r="AI124" i="8"/>
  <c r="AJ124" i="8" s="1"/>
  <c r="AK124" i="8"/>
  <c r="AL124" i="8" s="1"/>
  <c r="AM124" i="8"/>
  <c r="AN124" i="8" s="1"/>
  <c r="AO124" i="8"/>
  <c r="AP124" i="8" s="1"/>
  <c r="AI125" i="8"/>
  <c r="AJ125" i="8" s="1"/>
  <c r="AK125" i="8"/>
  <c r="AL125" i="8" s="1"/>
  <c r="AM125" i="8"/>
  <c r="AN125" i="8" s="1"/>
  <c r="AO125" i="8"/>
  <c r="AP125" i="8" s="1"/>
  <c r="AQ125" i="8"/>
  <c r="AR125" i="8" s="1"/>
  <c r="AI127" i="8"/>
  <c r="AJ127" i="8" s="1"/>
  <c r="AK127" i="8"/>
  <c r="AL127" i="8" s="1"/>
  <c r="AM127" i="8"/>
  <c r="AN127" i="8" s="1"/>
  <c r="AO127" i="8"/>
  <c r="AP127" i="8" s="1"/>
  <c r="AI128" i="8"/>
  <c r="AJ128" i="8" s="1"/>
  <c r="AK128" i="8"/>
  <c r="AL128" i="8" s="1"/>
  <c r="AM128" i="8"/>
  <c r="AN128" i="8" s="1"/>
  <c r="AO128" i="8"/>
  <c r="AP128" i="8" s="1"/>
  <c r="AQ128" i="8"/>
  <c r="AR128" i="8" s="1"/>
  <c r="AI129" i="8"/>
  <c r="AJ129" i="8" s="1"/>
  <c r="AK129" i="8"/>
  <c r="AL129" i="8" s="1"/>
  <c r="AM129" i="8"/>
  <c r="AN129" i="8" s="1"/>
  <c r="AO129" i="8"/>
  <c r="AP129" i="8" s="1"/>
  <c r="AI130" i="8"/>
  <c r="AJ130" i="8" s="1"/>
  <c r="AK130" i="8"/>
  <c r="AL130" i="8" s="1"/>
  <c r="AM130" i="8"/>
  <c r="AN130" i="8" s="1"/>
  <c r="AO130" i="8"/>
  <c r="AP130" i="8" s="1"/>
  <c r="AQ130" i="8"/>
  <c r="AR130" i="8" s="1"/>
  <c r="AI132" i="8"/>
  <c r="AJ132" i="8" s="1"/>
  <c r="AK132" i="8"/>
  <c r="AL132" i="8" s="1"/>
  <c r="AM132" i="8"/>
  <c r="AN132" i="8" s="1"/>
  <c r="AO132" i="8"/>
  <c r="AP132" i="8" s="1"/>
  <c r="AI133" i="8"/>
  <c r="AJ133" i="8" s="1"/>
  <c r="AK133" i="8"/>
  <c r="AL133" i="8" s="1"/>
  <c r="AM133" i="8"/>
  <c r="AN133" i="8" s="1"/>
  <c r="AO133" i="8"/>
  <c r="AP133" i="8" s="1"/>
  <c r="AQ133" i="8"/>
  <c r="AR133" i="8" s="1"/>
  <c r="AI134" i="8"/>
  <c r="AJ134" i="8" s="1"/>
  <c r="AK134" i="8"/>
  <c r="AL134" i="8" s="1"/>
  <c r="AM134" i="8"/>
  <c r="AN134" i="8" s="1"/>
  <c r="AO134" i="8"/>
  <c r="AP134" i="8" s="1"/>
  <c r="AI135" i="8"/>
  <c r="AJ135" i="8" s="1"/>
  <c r="AK135" i="8"/>
  <c r="AL135" i="8" s="1"/>
  <c r="AM135" i="8"/>
  <c r="AN135" i="8" s="1"/>
  <c r="AO135" i="8"/>
  <c r="AP135" i="8" s="1"/>
  <c r="AQ135" i="8"/>
  <c r="AR135" i="8" s="1"/>
  <c r="AI136" i="8"/>
  <c r="AJ136" i="8" s="1"/>
  <c r="AK136" i="8"/>
  <c r="AL136" i="8" s="1"/>
  <c r="AM136" i="8"/>
  <c r="AN136" i="8" s="1"/>
  <c r="AO136" i="8"/>
  <c r="AP136" i="8" s="1"/>
  <c r="AI139" i="8"/>
  <c r="AJ139" i="8" s="1"/>
  <c r="AK139" i="8"/>
  <c r="AL139" i="8" s="1"/>
  <c r="AM139" i="8"/>
  <c r="AN139" i="8" s="1"/>
  <c r="AO139" i="8"/>
  <c r="AP139" i="8" s="1"/>
  <c r="AQ139" i="8"/>
  <c r="AR139" i="8" s="1"/>
  <c r="AI140" i="8"/>
  <c r="AJ140" i="8" s="1"/>
  <c r="AK140" i="8"/>
  <c r="AL140" i="8" s="1"/>
  <c r="AM140" i="8"/>
  <c r="AN140" i="8" s="1"/>
  <c r="AO140" i="8"/>
  <c r="AP140" i="8" s="1"/>
  <c r="AI141" i="8"/>
  <c r="AJ141" i="8" s="1"/>
  <c r="AK141" i="8"/>
  <c r="AL141" i="8" s="1"/>
  <c r="AM141" i="8"/>
  <c r="AN141" i="8" s="1"/>
  <c r="AO141" i="8"/>
  <c r="AP141" i="8" s="1"/>
  <c r="AQ141" i="8"/>
  <c r="AR141" i="8" s="1"/>
  <c r="AI142" i="8"/>
  <c r="AJ142" i="8" s="1"/>
  <c r="AK142" i="8"/>
  <c r="AL142" i="8" s="1"/>
  <c r="AM142" i="8"/>
  <c r="AN142" i="8" s="1"/>
  <c r="AO142" i="8"/>
  <c r="AP142" i="8" s="1"/>
  <c r="AI143" i="8"/>
  <c r="AJ143" i="8" s="1"/>
  <c r="AK143" i="8"/>
  <c r="AL143" i="8" s="1"/>
  <c r="AM143" i="8"/>
  <c r="AN143" i="8" s="1"/>
  <c r="AO143" i="8"/>
  <c r="AP143" i="8" s="1"/>
  <c r="AQ143" i="8"/>
  <c r="AR143" i="8" s="1"/>
  <c r="AI144" i="8"/>
  <c r="AJ144" i="8" s="1"/>
  <c r="AK144" i="8"/>
  <c r="AL144" i="8" s="1"/>
  <c r="AM144" i="8"/>
  <c r="AN144" i="8" s="1"/>
  <c r="AO144" i="8"/>
  <c r="AP144" i="8" s="1"/>
  <c r="AK145" i="8"/>
  <c r="AL145" i="8" s="1"/>
  <c r="AM145" i="8"/>
  <c r="AN145" i="8" s="1"/>
  <c r="AO145" i="8"/>
  <c r="AP145" i="8" s="1"/>
  <c r="AQ145" i="8"/>
  <c r="AR145" i="8" s="1"/>
  <c r="AI147" i="8"/>
  <c r="AJ147" i="8" s="1"/>
  <c r="AK147" i="8"/>
  <c r="AL147" i="8" s="1"/>
  <c r="AM147" i="8"/>
  <c r="AN147" i="8" s="1"/>
  <c r="AO147" i="8"/>
  <c r="AP147" i="8" s="1"/>
  <c r="AI148" i="8"/>
  <c r="AJ148" i="8" s="1"/>
  <c r="AK148" i="8"/>
  <c r="AL148" i="8" s="1"/>
  <c r="AM148" i="8"/>
  <c r="AN148" i="8" s="1"/>
  <c r="AO148" i="8"/>
  <c r="AP148" i="8" s="1"/>
  <c r="AQ148" i="8"/>
  <c r="AR148" i="8" s="1"/>
  <c r="AI149" i="8"/>
  <c r="AJ149" i="8" s="1"/>
  <c r="AK149" i="8"/>
  <c r="AL149" i="8" s="1"/>
  <c r="AM149" i="8"/>
  <c r="AN149" i="8" s="1"/>
  <c r="AO149" i="8"/>
  <c r="AP149" i="8" s="1"/>
  <c r="AI150" i="8"/>
  <c r="AJ150" i="8" s="1"/>
  <c r="AK150" i="8"/>
  <c r="AL150" i="8" s="1"/>
  <c r="AI39" i="8"/>
  <c r="AJ39" i="8" s="1"/>
  <c r="AK40" i="8"/>
  <c r="AL40" i="8" s="1"/>
  <c r="AK44" i="8"/>
  <c r="AL44" i="8" s="1"/>
  <c r="AO45" i="8"/>
  <c r="AP45" i="8" s="1"/>
  <c r="AK46" i="8"/>
  <c r="AL46" i="8" s="1"/>
  <c r="AK90" i="8"/>
  <c r="AL90" i="8" s="1"/>
  <c r="AM150" i="8"/>
  <c r="AN150" i="8" s="1"/>
  <c r="AO150" i="8"/>
  <c r="AP150" i="8" s="1"/>
  <c r="AQ150" i="8"/>
  <c r="AR150" i="8" s="1"/>
  <c r="AI151" i="8"/>
  <c r="AJ151" i="8" s="1"/>
  <c r="AK151" i="8"/>
  <c r="AL151" i="8" s="1"/>
  <c r="AM151" i="8"/>
  <c r="AN151" i="8" s="1"/>
  <c r="AO151" i="8"/>
  <c r="AP151" i="8" s="1"/>
  <c r="AI152" i="8"/>
  <c r="AJ152" i="8" s="1"/>
  <c r="AK152" i="8"/>
  <c r="AL152" i="8" s="1"/>
  <c r="AM152" i="8"/>
  <c r="AN152" i="8" s="1"/>
  <c r="AO152" i="8"/>
  <c r="AP152" i="8" s="1"/>
  <c r="AQ152" i="8"/>
  <c r="AR152" i="8" s="1"/>
  <c r="AI154" i="8"/>
  <c r="AJ154" i="8" s="1"/>
  <c r="AK154" i="8"/>
  <c r="AL154" i="8" s="1"/>
  <c r="AM154" i="8"/>
  <c r="AN154" i="8" s="1"/>
  <c r="AO154" i="8"/>
  <c r="AP154" i="8" s="1"/>
  <c r="AI155" i="8"/>
  <c r="AJ155" i="8" s="1"/>
  <c r="AK155" i="8"/>
  <c r="AL155" i="8" s="1"/>
  <c r="AM155" i="8"/>
  <c r="AN155" i="8" s="1"/>
  <c r="AQ155" i="8"/>
  <c r="AR155" i="8" s="1"/>
  <c r="AI156" i="8"/>
  <c r="AJ156" i="8" s="1"/>
  <c r="AK156" i="8"/>
  <c r="AL156" i="8" s="1"/>
  <c r="AM156" i="8"/>
  <c r="AN156" i="8" s="1"/>
  <c r="AO156" i="8"/>
  <c r="AP156" i="8" s="1"/>
  <c r="AI157" i="8"/>
  <c r="AJ157" i="8" s="1"/>
  <c r="AK157" i="8"/>
  <c r="AL157" i="8" s="1"/>
  <c r="AM157" i="8"/>
  <c r="AN157" i="8" s="1"/>
  <c r="AO157" i="8"/>
  <c r="AP157" i="8" s="1"/>
  <c r="AQ157" i="8"/>
  <c r="AR157" i="8" s="1"/>
  <c r="AI164" i="8"/>
  <c r="AJ164" i="8" s="1"/>
  <c r="AK164" i="8"/>
  <c r="AL164" i="8" s="1"/>
  <c r="AM164" i="8"/>
  <c r="AN164" i="8" s="1"/>
  <c r="AO164" i="8"/>
  <c r="AP164" i="8" s="1"/>
  <c r="AI165" i="8"/>
  <c r="AJ165" i="8" s="1"/>
  <c r="AK165" i="8"/>
  <c r="AL165" i="8" s="1"/>
  <c r="AM165" i="8"/>
  <c r="AN165" i="8" s="1"/>
  <c r="AO165" i="8"/>
  <c r="AP165" i="8" s="1"/>
  <c r="AQ165" i="8"/>
  <c r="AR165" i="8" s="1"/>
  <c r="AI166" i="8"/>
  <c r="AJ166" i="8" s="1"/>
  <c r="AK166" i="8"/>
  <c r="AL166" i="8" s="1"/>
  <c r="AM166" i="8"/>
  <c r="AN166" i="8" s="1"/>
  <c r="AO166" i="8"/>
  <c r="AP166" i="8" s="1"/>
  <c r="AI167" i="8"/>
  <c r="AJ167" i="8" s="1"/>
  <c r="AK167" i="8"/>
  <c r="AL167" i="8" s="1"/>
  <c r="AM167" i="8"/>
  <c r="AN167" i="8" s="1"/>
  <c r="AO167" i="8"/>
  <c r="AP167" i="8" s="1"/>
  <c r="AQ167" i="8"/>
  <c r="AR167" i="8" s="1"/>
  <c r="AI168" i="8"/>
  <c r="AJ168" i="8" s="1"/>
  <c r="AK168" i="8"/>
  <c r="AL168" i="8" s="1"/>
  <c r="AM168" i="8"/>
  <c r="AN168" i="8" s="1"/>
  <c r="AO168" i="8"/>
  <c r="AP168" i="8" s="1"/>
  <c r="AI169" i="8"/>
  <c r="AJ169" i="8" s="1"/>
  <c r="AK169" i="8"/>
  <c r="AL169" i="8" s="1"/>
  <c r="AM169" i="8"/>
  <c r="AN169" i="8" s="1"/>
  <c r="AO169" i="8"/>
  <c r="AP169" i="8" s="1"/>
  <c r="AI171" i="8"/>
  <c r="AJ171" i="8" s="1"/>
  <c r="AK171" i="8"/>
  <c r="AL171" i="8" s="1"/>
  <c r="AM171" i="8"/>
  <c r="AN171" i="8" s="1"/>
  <c r="AO171" i="8"/>
  <c r="AP171" i="8" s="1"/>
  <c r="AI172" i="8"/>
  <c r="AJ172" i="8" s="1"/>
  <c r="AK172" i="8"/>
  <c r="AL172" i="8" s="1"/>
  <c r="AM172" i="8"/>
  <c r="AN172" i="8" s="1"/>
  <c r="AO172" i="8"/>
  <c r="AP172" i="8" s="1"/>
  <c r="AQ172" i="8"/>
  <c r="AR172" i="8" s="1"/>
  <c r="AI173" i="8"/>
  <c r="AJ173" i="8" s="1"/>
  <c r="AK173" i="8"/>
  <c r="AL173" i="8" s="1"/>
  <c r="AM173" i="8"/>
  <c r="AN173" i="8" s="1"/>
  <c r="AO173" i="8"/>
  <c r="AP173" i="8" s="1"/>
  <c r="AK174" i="8"/>
  <c r="AL174" i="8" s="1"/>
  <c r="AM174" i="8"/>
  <c r="AN174" i="8" s="1"/>
  <c r="AO174" i="8"/>
  <c r="AP174" i="8" s="1"/>
  <c r="AQ174" i="8"/>
  <c r="AR174" i="8" s="1"/>
  <c r="AI175" i="8"/>
  <c r="AJ175" i="8" s="1"/>
  <c r="AK175" i="8"/>
  <c r="AL175" i="8" s="1"/>
  <c r="AM175" i="8"/>
  <c r="AN175" i="8" s="1"/>
  <c r="AO175" i="8"/>
  <c r="AP175" i="8" s="1"/>
  <c r="AI176" i="8"/>
  <c r="AJ176" i="8" s="1"/>
  <c r="AK176" i="8"/>
  <c r="AL176" i="8" s="1"/>
  <c r="AM176" i="8"/>
  <c r="AN176" i="8" s="1"/>
  <c r="AO176" i="8"/>
  <c r="AP176" i="8" s="1"/>
  <c r="AQ176" i="8"/>
  <c r="AR176" i="8" s="1"/>
  <c r="AI178" i="8"/>
  <c r="AJ178" i="8" s="1"/>
  <c r="AK178" i="8"/>
  <c r="AL178" i="8" s="1"/>
  <c r="AM178" i="8"/>
  <c r="AN178" i="8" s="1"/>
  <c r="AO178" i="8"/>
  <c r="AP178" i="8" s="1"/>
  <c r="AI179" i="8"/>
  <c r="AJ179" i="8" s="1"/>
  <c r="AK179" i="8"/>
  <c r="AL179" i="8" s="1"/>
  <c r="AM179" i="8"/>
  <c r="AN179" i="8" s="1"/>
  <c r="AO179" i="8"/>
  <c r="AP179" i="8" s="1"/>
  <c r="AQ179" i="8"/>
  <c r="AR179" i="8" s="1"/>
  <c r="AI180" i="8"/>
  <c r="AJ180" i="8" s="1"/>
  <c r="AK180" i="8"/>
  <c r="AL180" i="8" s="1"/>
  <c r="AM180" i="8"/>
  <c r="AN180" i="8" s="1"/>
  <c r="AO180" i="8"/>
  <c r="AP180" i="8" s="1"/>
  <c r="AI181" i="8"/>
  <c r="AJ181" i="8" s="1"/>
  <c r="AK181" i="8"/>
  <c r="AL181" i="8" s="1"/>
  <c r="AM181" i="8"/>
  <c r="AN181" i="8" s="1"/>
  <c r="AO181" i="8"/>
  <c r="AP181" i="8" s="1"/>
  <c r="AQ181" i="8"/>
  <c r="AR181" i="8" s="1"/>
  <c r="AI183" i="8"/>
  <c r="AJ183" i="8" s="1"/>
  <c r="AK183" i="8"/>
  <c r="AL183" i="8" s="1"/>
  <c r="AM183" i="8"/>
  <c r="AN183" i="8" s="1"/>
  <c r="AO183" i="8"/>
  <c r="AP183" i="8" s="1"/>
  <c r="AI184" i="8"/>
  <c r="AJ184" i="8" s="1"/>
  <c r="AK184" i="8"/>
  <c r="AL184" i="8" s="1"/>
  <c r="AM184" i="8"/>
  <c r="AN184" i="8" s="1"/>
  <c r="AO184" i="8"/>
  <c r="AP184" i="8" s="1"/>
  <c r="AQ184" i="8"/>
  <c r="AR184" i="8" s="1"/>
  <c r="AI185" i="8"/>
  <c r="AJ185" i="8" s="1"/>
  <c r="AK185" i="8"/>
  <c r="AL185" i="8" s="1"/>
  <c r="AM185" i="8"/>
  <c r="AN185" i="8" s="1"/>
  <c r="AO185" i="8"/>
  <c r="AP185" i="8" s="1"/>
  <c r="AI187" i="8"/>
  <c r="AJ187" i="8" s="1"/>
  <c r="AK187" i="8"/>
  <c r="AL187" i="8" s="1"/>
  <c r="AM187" i="8"/>
  <c r="AN187" i="8" s="1"/>
  <c r="AO187" i="8"/>
  <c r="AP187" i="8" s="1"/>
  <c r="AQ187" i="8"/>
  <c r="AR187" i="8" s="1"/>
  <c r="AI188" i="8"/>
  <c r="AJ188" i="8" s="1"/>
  <c r="AK188" i="8"/>
  <c r="AL188" i="8" s="1"/>
  <c r="AO155" i="8"/>
  <c r="AP155" i="8" s="1"/>
  <c r="AM188" i="8"/>
  <c r="AN188" i="8" s="1"/>
  <c r="AO188" i="8"/>
  <c r="AP188" i="8" s="1"/>
  <c r="AI189" i="8"/>
  <c r="AJ189" i="8" s="1"/>
  <c r="AK189" i="8"/>
  <c r="AL189" i="8" s="1"/>
  <c r="AM189" i="8"/>
  <c r="AN189" i="8" s="1"/>
  <c r="AO189" i="8"/>
  <c r="AP189" i="8" s="1"/>
  <c r="AQ189" i="8"/>
  <c r="AR189" i="8" s="1"/>
  <c r="AI190" i="8"/>
  <c r="AJ190" i="8" s="1"/>
  <c r="AK190" i="8"/>
  <c r="AL190" i="8" s="1"/>
  <c r="AM190" i="8"/>
  <c r="AN190" i="8" s="1"/>
  <c r="AO190" i="8"/>
  <c r="AP190" i="8" s="1"/>
  <c r="AI191" i="8"/>
  <c r="AJ191" i="8" s="1"/>
  <c r="AK191" i="8"/>
  <c r="AL191" i="8" s="1"/>
  <c r="AM191" i="8"/>
  <c r="AN191" i="8" s="1"/>
  <c r="AO191" i="8"/>
  <c r="AP191" i="8" s="1"/>
  <c r="AQ191" i="8"/>
  <c r="AR191" i="8" s="1"/>
  <c r="AK193" i="8"/>
  <c r="AL193" i="8" s="1"/>
  <c r="AM193" i="8"/>
  <c r="AN193" i="8" s="1"/>
  <c r="AO193" i="8"/>
  <c r="AP193" i="8" s="1"/>
  <c r="AI194" i="8"/>
  <c r="AJ194" i="8" s="1"/>
  <c r="AK194" i="8"/>
  <c r="AL194" i="8" s="1"/>
  <c r="AM194" i="8"/>
  <c r="AN194" i="8" s="1"/>
  <c r="AO194" i="8"/>
  <c r="AP194" i="8" s="1"/>
  <c r="AQ194" i="8"/>
  <c r="AR194" i="8" s="1"/>
  <c r="AI195" i="8"/>
  <c r="AJ195" i="8" s="1"/>
  <c r="AK195" i="8"/>
  <c r="AL195" i="8" s="1"/>
  <c r="AM195" i="8"/>
  <c r="AN195" i="8" s="1"/>
  <c r="AO195" i="8"/>
  <c r="AP195" i="8" s="1"/>
  <c r="AI196" i="8"/>
  <c r="AJ196" i="8" s="1"/>
  <c r="AK196" i="8"/>
  <c r="AL196" i="8" s="1"/>
  <c r="AM196" i="8"/>
  <c r="AN196" i="8" s="1"/>
  <c r="AO196" i="8"/>
  <c r="AP196" i="8" s="1"/>
  <c r="AQ196" i="8"/>
  <c r="AR196" i="8" s="1"/>
  <c r="AI198" i="8"/>
  <c r="AJ198" i="8" s="1"/>
  <c r="AK198" i="8"/>
  <c r="AL198" i="8" s="1"/>
  <c r="AM198" i="8"/>
  <c r="AN198" i="8" s="1"/>
  <c r="AO198" i="8"/>
  <c r="AP198" i="8" s="1"/>
  <c r="AI200" i="8"/>
  <c r="AJ200" i="8" s="1"/>
  <c r="AK200" i="8"/>
  <c r="AL200" i="8" s="1"/>
  <c r="AM200" i="8"/>
  <c r="AN200" i="8" s="1"/>
  <c r="AO200" i="8"/>
  <c r="AP200" i="8" s="1"/>
  <c r="AQ200" i="8"/>
  <c r="AR200" i="8" s="1"/>
  <c r="AI201" i="8"/>
  <c r="AJ201" i="8" s="1"/>
  <c r="AK201" i="8"/>
  <c r="AL201" i="8" s="1"/>
  <c r="AM201" i="8"/>
  <c r="AN201" i="8" s="1"/>
  <c r="AO201" i="8"/>
  <c r="AP201" i="8" s="1"/>
  <c r="AI202" i="8"/>
  <c r="AJ202" i="8" s="1"/>
  <c r="AK202" i="8"/>
  <c r="AL202" i="8" s="1"/>
  <c r="AM202" i="8"/>
  <c r="AN202" i="8" s="1"/>
  <c r="AO202" i="8"/>
  <c r="AP202" i="8" s="1"/>
  <c r="AQ202" i="8"/>
  <c r="AR202" i="8" s="1"/>
  <c r="AI203" i="8"/>
  <c r="AJ203" i="8" s="1"/>
  <c r="AK203" i="8"/>
  <c r="AL203" i="8" s="1"/>
  <c r="AO203" i="8"/>
  <c r="AP203" i="8" s="1"/>
  <c r="AI204" i="8"/>
  <c r="AJ204" i="8" s="1"/>
  <c r="AK204" i="8"/>
  <c r="AL204" i="8" s="1"/>
  <c r="AM204" i="8"/>
  <c r="AN204" i="8" s="1"/>
  <c r="AO204" i="8"/>
  <c r="AP204" i="8" s="1"/>
  <c r="AQ204" i="8"/>
  <c r="AR204" i="8" s="1"/>
  <c r="AI206" i="8"/>
  <c r="AJ206" i="8" s="1"/>
  <c r="AK206" i="8"/>
  <c r="AL206" i="8" s="1"/>
  <c r="AM206" i="8"/>
  <c r="AN206" i="8" s="1"/>
  <c r="AO206" i="8"/>
  <c r="AP206" i="8" s="1"/>
  <c r="AI207" i="8"/>
  <c r="AJ207" i="8" s="1"/>
  <c r="AK207" i="8"/>
  <c r="AL207" i="8" s="1"/>
  <c r="AM207" i="8"/>
  <c r="AN207" i="8" s="1"/>
  <c r="AO207" i="8"/>
  <c r="AP207" i="8" s="1"/>
  <c r="AQ207" i="8"/>
  <c r="AR207" i="8" s="1"/>
  <c r="AI208" i="8"/>
  <c r="AJ208" i="8" s="1"/>
  <c r="AK208" i="8"/>
  <c r="AL208" i="8" s="1"/>
  <c r="AM208" i="8"/>
  <c r="AN208" i="8" s="1"/>
  <c r="AO208" i="8"/>
  <c r="AP208" i="8" s="1"/>
  <c r="AI209" i="8"/>
  <c r="AJ209" i="8" s="1"/>
  <c r="AK209" i="8"/>
  <c r="AL209" i="8" s="1"/>
  <c r="AM209" i="8"/>
  <c r="AN209" i="8" s="1"/>
  <c r="AO209" i="8"/>
  <c r="AP209" i="8" s="1"/>
  <c r="AQ209" i="8"/>
  <c r="AR209" i="8" s="1"/>
  <c r="AI210" i="8"/>
  <c r="AJ210" i="8" s="1"/>
  <c r="AK210" i="8"/>
  <c r="AL210" i="8" s="1"/>
  <c r="AM210" i="8"/>
  <c r="AN210" i="8" s="1"/>
  <c r="AO210" i="8"/>
  <c r="AP210" i="8" s="1"/>
  <c r="AI211" i="8"/>
  <c r="AJ211" i="8" s="1"/>
  <c r="AK211" i="8"/>
  <c r="AL211" i="8" s="1"/>
  <c r="AM211" i="8"/>
  <c r="AN211" i="8" s="1"/>
  <c r="AO211" i="8"/>
  <c r="AP211" i="8" s="1"/>
  <c r="AQ211" i="8"/>
  <c r="AR211" i="8" s="1"/>
  <c r="AI213" i="8"/>
  <c r="AJ213" i="8" s="1"/>
  <c r="AI193" i="8"/>
  <c r="AJ193" i="8" s="1"/>
  <c r="AK213" i="8"/>
  <c r="AL213" i="8" s="1"/>
  <c r="AM213" i="8"/>
  <c r="AN213" i="8" s="1"/>
  <c r="AO213" i="8"/>
  <c r="AP213" i="8" s="1"/>
  <c r="AI214" i="8"/>
  <c r="AJ214" i="8" s="1"/>
  <c r="AK214" i="8"/>
  <c r="AL214" i="8" s="1"/>
  <c r="AM214" i="8"/>
  <c r="AN214" i="8" s="1"/>
  <c r="AO214" i="8"/>
  <c r="AP214" i="8" s="1"/>
  <c r="AQ214" i="8"/>
  <c r="AR214" i="8" s="1"/>
  <c r="AI215" i="8"/>
  <c r="AJ215" i="8" s="1"/>
  <c r="AK215" i="8"/>
  <c r="AL215" i="8" s="1"/>
  <c r="AM215" i="8"/>
  <c r="AN215" i="8" s="1"/>
  <c r="AO215" i="8"/>
  <c r="AP215" i="8" s="1"/>
  <c r="AI216" i="8"/>
  <c r="AJ216" i="8" s="1"/>
  <c r="AK216" i="8"/>
  <c r="AL216" i="8" s="1"/>
  <c r="AM216" i="8"/>
  <c r="AN216" i="8" s="1"/>
  <c r="AO216" i="8"/>
  <c r="AP216" i="8" s="1"/>
  <c r="AQ216" i="8"/>
  <c r="AR216" i="8" s="1"/>
  <c r="AI217" i="8"/>
  <c r="AJ217" i="8" s="1"/>
  <c r="AK217" i="8"/>
  <c r="AL217" i="8" s="1"/>
  <c r="AM217" i="8"/>
  <c r="AN217" i="8" s="1"/>
  <c r="AI218" i="8"/>
  <c r="AJ218" i="8" s="1"/>
  <c r="AK218" i="8"/>
  <c r="AL218" i="8" s="1"/>
  <c r="AM218" i="8"/>
  <c r="AN218" i="8" s="1"/>
  <c r="AO218" i="8"/>
  <c r="AP218" i="8" s="1"/>
  <c r="AQ218" i="8"/>
  <c r="AR218" i="8" s="1"/>
  <c r="AI220" i="8"/>
  <c r="AJ220" i="8" s="1"/>
  <c r="AK220" i="8"/>
  <c r="AL220" i="8" s="1"/>
  <c r="AM220" i="8"/>
  <c r="AN220" i="8" s="1"/>
  <c r="AO220" i="8"/>
  <c r="AP220" i="8" s="1"/>
  <c r="AI221" i="8"/>
  <c r="AJ221" i="8" s="1"/>
  <c r="AK221" i="8"/>
  <c r="AL221" i="8" s="1"/>
  <c r="AM221" i="8"/>
  <c r="AN221" i="8" s="1"/>
  <c r="AO221" i="8"/>
  <c r="AP221" i="8" s="1"/>
  <c r="AQ221" i="8"/>
  <c r="AR221" i="8" s="1"/>
  <c r="AK222" i="8"/>
  <c r="AL222" i="8" s="1"/>
  <c r="AM222" i="8"/>
  <c r="AN222" i="8" s="1"/>
  <c r="AO222" i="8"/>
  <c r="AP222" i="8" s="1"/>
  <c r="AI223" i="8"/>
  <c r="AJ223" i="8" s="1"/>
  <c r="AK223" i="8"/>
  <c r="AL223" i="8" s="1"/>
  <c r="AM223" i="8"/>
  <c r="AN223" i="8" s="1"/>
  <c r="AO223" i="8"/>
  <c r="AP223" i="8" s="1"/>
  <c r="AQ223" i="8"/>
  <c r="AR223" i="8" s="1"/>
  <c r="AI224" i="8"/>
  <c r="AJ224" i="8" s="1"/>
  <c r="AK224" i="8"/>
  <c r="AL224" i="8" s="1"/>
  <c r="AM224" i="8"/>
  <c r="AN224" i="8" s="1"/>
  <c r="AO224" i="8"/>
  <c r="AP224" i="8" s="1"/>
  <c r="AI225" i="8"/>
  <c r="AJ225" i="8" s="1"/>
  <c r="AK225" i="8"/>
  <c r="AL225" i="8" s="1"/>
  <c r="AM225" i="8"/>
  <c r="AN225" i="8" s="1"/>
  <c r="AO225" i="8"/>
  <c r="AP225" i="8" s="1"/>
  <c r="AQ225" i="8"/>
  <c r="AR225" i="8" s="1"/>
  <c r="AI227" i="8"/>
  <c r="AJ227" i="8" s="1"/>
  <c r="AK227" i="8"/>
  <c r="AL227" i="8" s="1"/>
  <c r="AM227" i="8"/>
  <c r="AN227" i="8" s="1"/>
  <c r="AO227" i="8"/>
  <c r="AP227" i="8" s="1"/>
  <c r="AI228" i="8"/>
  <c r="AJ228" i="8" s="1"/>
  <c r="AK228" i="8"/>
  <c r="AL228" i="8" s="1"/>
  <c r="AM228" i="8"/>
  <c r="AN228" i="8" s="1"/>
  <c r="AO228" i="8"/>
  <c r="AP228" i="8" s="1"/>
  <c r="AQ228" i="8"/>
  <c r="AR228" i="8" s="1"/>
  <c r="AI229" i="8"/>
  <c r="AJ229" i="8" s="1"/>
  <c r="AK229" i="8"/>
  <c r="AL229" i="8" s="1"/>
  <c r="AM229" i="8"/>
  <c r="AN229" i="8" s="1"/>
  <c r="AO229" i="8"/>
  <c r="AP229" i="8" s="1"/>
  <c r="AI230" i="8"/>
  <c r="AJ230" i="8" s="1"/>
  <c r="AK230" i="8"/>
  <c r="AL230" i="8" s="1"/>
  <c r="AM230" i="8"/>
  <c r="AN230" i="8" s="1"/>
  <c r="AO230" i="8"/>
  <c r="AP230" i="8" s="1"/>
  <c r="AQ230" i="8"/>
  <c r="AR230" i="8" s="1"/>
  <c r="AI232" i="8"/>
  <c r="AJ232" i="8" s="1"/>
  <c r="AK232" i="8"/>
  <c r="AL232" i="8" s="1"/>
  <c r="AM232" i="8"/>
  <c r="AN232" i="8" s="1"/>
  <c r="AO232" i="8"/>
  <c r="AP232" i="8" s="1"/>
  <c r="AI233" i="8"/>
  <c r="AJ233" i="8" s="1"/>
  <c r="AK233" i="8"/>
  <c r="AL233" i="8" s="1"/>
  <c r="AM233" i="8"/>
  <c r="AN233" i="8" s="1"/>
  <c r="AO233" i="8"/>
  <c r="AP233" i="8" s="1"/>
  <c r="AQ233" i="8"/>
  <c r="AR233" i="8" s="1"/>
  <c r="AI234" i="8"/>
  <c r="AJ234" i="8" s="1"/>
  <c r="AK234" i="8"/>
  <c r="AL234" i="8" s="1"/>
  <c r="AM234" i="8"/>
  <c r="AN234" i="8" s="1"/>
  <c r="AO234" i="8"/>
  <c r="AP234" i="8" s="1"/>
  <c r="AI236" i="8"/>
  <c r="AJ236" i="8" s="1"/>
  <c r="AK236" i="8"/>
  <c r="AL236" i="8" s="1"/>
  <c r="AM236" i="8"/>
  <c r="AN236" i="8" s="1"/>
  <c r="AO236" i="8"/>
  <c r="AP236" i="8" s="1"/>
  <c r="AQ236" i="8"/>
  <c r="AR236" i="8" s="1"/>
  <c r="AI239" i="8"/>
  <c r="AJ239" i="8" s="1"/>
  <c r="AK239" i="8"/>
  <c r="AL239" i="8" s="1"/>
  <c r="AM239" i="8"/>
  <c r="AN239" i="8" s="1"/>
  <c r="AO239" i="8"/>
  <c r="AP239" i="8" s="1"/>
  <c r="AI240" i="8"/>
  <c r="AJ240" i="8" s="1"/>
  <c r="AK240" i="8"/>
  <c r="AL240" i="8" s="1"/>
  <c r="AM240" i="8"/>
  <c r="AN240" i="8" s="1"/>
  <c r="AO240" i="8"/>
  <c r="AP240" i="8" s="1"/>
  <c r="AQ240" i="8"/>
  <c r="AR240" i="8" s="1"/>
  <c r="AI241" i="8"/>
  <c r="AJ241" i="8" s="1"/>
  <c r="AM241" i="8"/>
  <c r="AN241" i="8" s="1"/>
  <c r="AO241" i="8"/>
  <c r="AP241" i="8" s="1"/>
  <c r="AI246" i="8"/>
  <c r="AJ246" i="8" s="1"/>
  <c r="AK246" i="8"/>
  <c r="AL246" i="8" s="1"/>
  <c r="AM246" i="8"/>
  <c r="AN246" i="8" s="1"/>
  <c r="AO246" i="8"/>
  <c r="AP246" i="8" s="1"/>
  <c r="AQ246" i="8"/>
  <c r="AR246" i="8" s="1"/>
  <c r="AI247" i="8"/>
  <c r="AJ247" i="8" s="1"/>
  <c r="AK247" i="8"/>
  <c r="AL247" i="8" s="1"/>
  <c r="AM247" i="8"/>
  <c r="AN247" i="8" s="1"/>
  <c r="AO247" i="8"/>
  <c r="AP247" i="8" s="1"/>
  <c r="AI248" i="8"/>
  <c r="AJ248" i="8" s="1"/>
  <c r="AK248" i="8"/>
  <c r="AL248" i="8" s="1"/>
  <c r="AM248" i="8"/>
  <c r="AN248" i="8" s="1"/>
  <c r="AO248" i="8"/>
  <c r="AP248" i="8" s="1"/>
  <c r="AQ248" i="8"/>
  <c r="AR248" i="8" s="1"/>
  <c r="AI249" i="8"/>
  <c r="AJ249" i="8" s="1"/>
  <c r="AK249" i="8"/>
  <c r="AL249" i="8" s="1"/>
  <c r="AM249" i="8"/>
  <c r="AN249" i="8" s="1"/>
  <c r="AO249" i="8"/>
  <c r="AP249" i="8" s="1"/>
  <c r="AI252" i="8"/>
  <c r="AJ252" i="8" s="1"/>
  <c r="AK252" i="8"/>
  <c r="AL252" i="8" s="1"/>
  <c r="AM252" i="8"/>
  <c r="AN252" i="8" s="1"/>
  <c r="AO252" i="8"/>
  <c r="AP252" i="8" s="1"/>
  <c r="AQ252" i="8"/>
  <c r="AR252" i="8" s="1"/>
  <c r="AI253" i="8"/>
  <c r="AJ253" i="8" s="1"/>
  <c r="AK253" i="8"/>
  <c r="AL253" i="8" s="1"/>
  <c r="AM253" i="8"/>
  <c r="AN253" i="8" s="1"/>
  <c r="AO253" i="8"/>
  <c r="AP253" i="8" s="1"/>
  <c r="AK254" i="8"/>
  <c r="AL254" i="8" s="1"/>
  <c r="AM254" i="8"/>
  <c r="AN254" i="8" s="1"/>
  <c r="AO254" i="8"/>
  <c r="AP254" i="8" s="1"/>
  <c r="AQ254" i="8"/>
  <c r="AR254" i="8" s="1"/>
  <c r="AI255" i="8"/>
  <c r="AJ255" i="8" s="1"/>
  <c r="AK255" i="8"/>
  <c r="AL255" i="8" s="1"/>
  <c r="AM255" i="8"/>
  <c r="AN255" i="8" s="1"/>
  <c r="AO255" i="8"/>
  <c r="AP255" i="8" s="1"/>
  <c r="AI257" i="8"/>
  <c r="AJ257" i="8" s="1"/>
  <c r="AK257" i="8"/>
  <c r="AL257" i="8" s="1"/>
  <c r="AM257" i="8"/>
  <c r="AN257" i="8" s="1"/>
  <c r="AO257" i="8"/>
  <c r="AP257" i="8" s="1"/>
  <c r="AQ257" i="8"/>
  <c r="AR257" i="8" s="1"/>
  <c r="AI258" i="8"/>
  <c r="AJ258" i="8" s="1"/>
  <c r="AK258" i="8"/>
  <c r="AL258" i="8" s="1"/>
  <c r="AM258" i="8"/>
  <c r="AN258" i="8" s="1"/>
  <c r="AO258" i="8"/>
  <c r="AP258" i="8" s="1"/>
  <c r="AI259" i="8"/>
  <c r="AJ259" i="8" s="1"/>
  <c r="AK259" i="8"/>
  <c r="AL259" i="8" s="1"/>
  <c r="AM259" i="8"/>
  <c r="AN259" i="8" s="1"/>
  <c r="AO259" i="8"/>
  <c r="AP259" i="8" s="1"/>
  <c r="AI260" i="8"/>
  <c r="AJ260" i="8" s="1"/>
  <c r="AK260" i="8"/>
  <c r="AL260" i="8" s="1"/>
  <c r="AM260" i="8"/>
  <c r="AN260" i="8" s="1"/>
  <c r="AO260" i="8"/>
  <c r="AP260" i="8" s="1"/>
  <c r="AI261" i="8"/>
  <c r="AJ261" i="8" s="1"/>
  <c r="AK261" i="8"/>
  <c r="AL261" i="8" s="1"/>
  <c r="AM261" i="8"/>
  <c r="AN261" i="8" s="1"/>
  <c r="AO261" i="8"/>
  <c r="AP261" i="8" s="1"/>
  <c r="AQ261" i="8"/>
  <c r="AR261" i="8" s="1"/>
  <c r="AI262" i="8"/>
  <c r="AJ262" i="8" s="1"/>
  <c r="AK262" i="8"/>
  <c r="AL262" i="8" s="1"/>
  <c r="AM262" i="8"/>
  <c r="AN262" i="8" s="1"/>
  <c r="AO262" i="8"/>
  <c r="AP262" i="8" s="1"/>
  <c r="AI264" i="8"/>
  <c r="AJ264" i="8" s="1"/>
  <c r="AK264" i="8"/>
  <c r="AL264" i="8" s="1"/>
  <c r="AM264" i="8"/>
  <c r="AN264" i="8" s="1"/>
  <c r="AO264" i="8"/>
  <c r="AP264" i="8" s="1"/>
  <c r="AQ264" i="8"/>
  <c r="AR264" i="8" s="1"/>
  <c r="AI265" i="8"/>
  <c r="AJ265" i="8" s="1"/>
  <c r="AK265" i="8"/>
  <c r="AL265" i="8" s="1"/>
  <c r="AM265" i="8"/>
  <c r="AN265" i="8" s="1"/>
  <c r="AO265" i="8"/>
  <c r="AP265" i="8" s="1"/>
  <c r="AI266" i="8"/>
  <c r="AJ266" i="8" s="1"/>
  <c r="AK266" i="8"/>
  <c r="AL266" i="8" s="1"/>
  <c r="AM266" i="8"/>
  <c r="AN266" i="8" s="1"/>
  <c r="AO266" i="8"/>
  <c r="AP266" i="8" s="1"/>
  <c r="AQ266" i="8"/>
  <c r="AR266" i="8" s="1"/>
  <c r="AI267" i="8"/>
  <c r="AJ267" i="8" s="1"/>
  <c r="AK267" i="8"/>
  <c r="AL267" i="8" s="1"/>
  <c r="AM267" i="8"/>
  <c r="AN267" i="8" s="1"/>
  <c r="AO267" i="8"/>
  <c r="AP267" i="8" s="1"/>
  <c r="AI269" i="8"/>
  <c r="AJ269" i="8" s="1"/>
  <c r="AK269" i="8"/>
  <c r="AL269" i="8" s="1"/>
  <c r="AM269" i="8"/>
  <c r="AN269" i="8" s="1"/>
  <c r="AO269" i="8"/>
  <c r="AP269" i="8" s="1"/>
  <c r="AQ269" i="8"/>
  <c r="AR269" i="8" s="1"/>
  <c r="AI272" i="8"/>
  <c r="AJ272" i="8" s="1"/>
  <c r="AK272" i="8"/>
  <c r="AL272" i="8" s="1"/>
  <c r="AM272" i="8"/>
  <c r="AN272" i="8" s="1"/>
  <c r="AO272" i="8"/>
  <c r="AP272" i="8" s="1"/>
  <c r="AI273" i="8"/>
  <c r="AJ273" i="8" s="1"/>
  <c r="AK273" i="8"/>
  <c r="AL273" i="8" s="1"/>
  <c r="AM273" i="8"/>
  <c r="AN273" i="8" s="1"/>
  <c r="AO273" i="8"/>
  <c r="AP273" i="8" s="1"/>
  <c r="AQ273" i="8"/>
  <c r="AR273" i="8" s="1"/>
  <c r="AI274" i="8"/>
  <c r="AJ274" i="8" s="1"/>
  <c r="AK274" i="8"/>
  <c r="AL274" i="8" s="1"/>
  <c r="AM274" i="8"/>
  <c r="AN274" i="8" s="1"/>
  <c r="AO274" i="8"/>
  <c r="AP274" i="8" s="1"/>
  <c r="AI281" i="8"/>
  <c r="AJ281" i="8" s="1"/>
  <c r="AK281" i="8"/>
  <c r="AL281" i="8" s="1"/>
  <c r="AM281" i="8"/>
  <c r="AN281" i="8" s="1"/>
  <c r="AO281" i="8"/>
  <c r="AP281" i="8" s="1"/>
  <c r="AQ281" i="8"/>
  <c r="AR281" i="8" s="1"/>
  <c r="AI282" i="8"/>
  <c r="AJ282" i="8" s="1"/>
  <c r="AK282" i="8"/>
  <c r="AL282" i="8" s="1"/>
  <c r="AM282" i="8"/>
  <c r="AN282" i="8" s="1"/>
  <c r="AO282" i="8"/>
  <c r="AP282" i="8" s="1"/>
  <c r="AI283" i="8"/>
  <c r="AJ283" i="8" s="1"/>
  <c r="AK283" i="8"/>
  <c r="AL283" i="8" s="1"/>
  <c r="AM283" i="8"/>
  <c r="AN283" i="8" s="1"/>
  <c r="AO283" i="8"/>
  <c r="AP283" i="8" s="1"/>
  <c r="AQ283" i="8"/>
  <c r="AR283" i="8" s="1"/>
  <c r="AI285" i="8"/>
  <c r="AJ285" i="8" s="1"/>
  <c r="AK285" i="8"/>
  <c r="AL285" i="8" s="1"/>
  <c r="AM285" i="8"/>
  <c r="AN285" i="8" s="1"/>
  <c r="AO285" i="8"/>
  <c r="AP285" i="8" s="1"/>
  <c r="AI286" i="8"/>
  <c r="AJ286" i="8" s="1"/>
  <c r="AK286" i="8"/>
  <c r="AL286" i="8" s="1"/>
  <c r="AM286" i="8"/>
  <c r="AN286" i="8" s="1"/>
  <c r="AQ286" i="8"/>
  <c r="AR286" i="8" s="1"/>
  <c r="AI287" i="8"/>
  <c r="AJ287" i="8" s="1"/>
  <c r="AK287" i="8"/>
  <c r="AL287" i="8" s="1"/>
  <c r="AM287" i="8"/>
  <c r="AN287" i="8" s="1"/>
  <c r="AO287" i="8"/>
  <c r="AP287" i="8" s="1"/>
  <c r="AI289" i="8"/>
  <c r="AJ289" i="8" s="1"/>
  <c r="AK289" i="8"/>
  <c r="AL289" i="8" s="1"/>
  <c r="AM289" i="8"/>
  <c r="AN289" i="8" s="1"/>
  <c r="AO289" i="8"/>
  <c r="AP289" i="8" s="1"/>
  <c r="AQ289" i="8"/>
  <c r="AR289" i="8" s="1"/>
  <c r="AI290" i="8"/>
  <c r="AJ290" i="8" s="1"/>
  <c r="AK290" i="8"/>
  <c r="AL290" i="8" s="1"/>
  <c r="AM290" i="8"/>
  <c r="AN290" i="8" s="1"/>
  <c r="AO290" i="8"/>
  <c r="AP290" i="8" s="1"/>
  <c r="AI291" i="8"/>
  <c r="AJ291" i="8" s="1"/>
  <c r="AK291" i="8"/>
  <c r="AL291" i="8" s="1"/>
  <c r="AM291" i="8"/>
  <c r="AN291" i="8" s="1"/>
  <c r="AO291" i="8"/>
  <c r="AP291" i="8" s="1"/>
  <c r="AQ291" i="8"/>
  <c r="AR291" i="8" s="1"/>
  <c r="AI293" i="8"/>
  <c r="AJ293" i="8" s="1"/>
  <c r="AK293" i="8"/>
  <c r="AL293" i="8" s="1"/>
  <c r="AM293" i="8"/>
  <c r="AN293" i="8" s="1"/>
  <c r="AO293" i="8"/>
  <c r="AP293" i="8" s="1"/>
  <c r="AI294" i="8"/>
  <c r="AJ294" i="8" s="1"/>
  <c r="AK294" i="8"/>
  <c r="AL294" i="8" s="1"/>
  <c r="AM294" i="8"/>
  <c r="AN294" i="8" s="1"/>
  <c r="AO294" i="8"/>
  <c r="AP294" i="8" s="1"/>
  <c r="AQ294" i="8"/>
  <c r="AR294" i="8" s="1"/>
  <c r="AI295" i="8"/>
  <c r="AJ295" i="8" s="1"/>
  <c r="AK295" i="8"/>
  <c r="AL295" i="8" s="1"/>
  <c r="AO295" i="8"/>
  <c r="AP295" i="8" s="1"/>
  <c r="AI298" i="8"/>
  <c r="AJ298" i="8" s="1"/>
  <c r="AK298" i="8"/>
  <c r="AL298" i="8" s="1"/>
  <c r="AM298" i="8"/>
  <c r="AN298" i="8" s="1"/>
  <c r="AO298" i="8"/>
  <c r="AP298" i="8" s="1"/>
  <c r="AQ298" i="8"/>
  <c r="AR298" i="8" s="1"/>
  <c r="AI299" i="8"/>
  <c r="AJ299" i="8" s="1"/>
  <c r="AK299" i="8"/>
  <c r="AL299" i="8" s="1"/>
  <c r="AM299" i="8"/>
  <c r="AN299" i="8" s="1"/>
  <c r="AO299" i="8"/>
  <c r="AP299" i="8" s="1"/>
  <c r="AI300" i="8"/>
  <c r="AJ300" i="8" s="1"/>
  <c r="AK300" i="8"/>
  <c r="AL300" i="8" s="1"/>
  <c r="AM300" i="8"/>
  <c r="AN300" i="8" s="1"/>
  <c r="AO300" i="8"/>
  <c r="AP300" i="8" s="1"/>
  <c r="AQ300" i="8"/>
  <c r="AR300" i="8" s="1"/>
  <c r="AI301" i="8"/>
  <c r="AJ301" i="8" s="1"/>
  <c r="AK301" i="8"/>
  <c r="AL301" i="8" s="1"/>
  <c r="AM301" i="8"/>
  <c r="AN301" i="8" s="1"/>
  <c r="AO301" i="8"/>
  <c r="AP301" i="8" s="1"/>
  <c r="AI303" i="8"/>
  <c r="AJ303" i="8" s="1"/>
  <c r="AK303" i="8"/>
  <c r="AL303" i="8" s="1"/>
  <c r="AM303" i="8"/>
  <c r="AN303" i="8" s="1"/>
  <c r="AO303" i="8"/>
  <c r="AP303" i="8" s="1"/>
  <c r="AI304" i="8"/>
  <c r="AJ304" i="8" s="1"/>
  <c r="AK304" i="8"/>
  <c r="AL304" i="8" s="1"/>
  <c r="AM304" i="8"/>
  <c r="AN304" i="8" s="1"/>
  <c r="AO304" i="8"/>
  <c r="AP304" i="8" s="1"/>
  <c r="AI305" i="8"/>
  <c r="AJ305" i="8" s="1"/>
  <c r="AK305" i="8"/>
  <c r="AL305" i="8" s="1"/>
  <c r="AM305" i="8"/>
  <c r="AN305" i="8" s="1"/>
  <c r="AO305" i="8"/>
  <c r="AP305" i="8" s="1"/>
  <c r="AQ305" i="8"/>
  <c r="AR305" i="8" s="1"/>
  <c r="AI306" i="8"/>
  <c r="AJ306" i="8" s="1"/>
  <c r="AK306" i="8"/>
  <c r="AL306" i="8" s="1"/>
  <c r="AM306" i="8"/>
  <c r="AN306" i="8" s="1"/>
  <c r="AO306" i="8"/>
  <c r="AP306" i="8" s="1"/>
  <c r="AI307" i="8"/>
  <c r="AJ307" i="8" s="1"/>
  <c r="AM307" i="8"/>
  <c r="AN307" i="8" s="1"/>
  <c r="AO307" i="8"/>
  <c r="AP307" i="8" s="1"/>
  <c r="AQ307" i="8"/>
  <c r="AR307" i="8" s="1"/>
  <c r="AI308" i="8"/>
  <c r="AJ308" i="8" s="1"/>
  <c r="AK308" i="8"/>
  <c r="AL308" i="8" s="1"/>
  <c r="AM308" i="8"/>
  <c r="AN308" i="8" s="1"/>
  <c r="AO308" i="8"/>
  <c r="AP308" i="8" s="1"/>
  <c r="AK310" i="8"/>
  <c r="AL310" i="8" s="1"/>
  <c r="AM310" i="8"/>
  <c r="AN310" i="8" s="1"/>
  <c r="AO310" i="8"/>
  <c r="AP310" i="8" s="1"/>
  <c r="AQ310" i="8"/>
  <c r="AR310" i="8" s="1"/>
  <c r="AI311" i="8"/>
  <c r="AJ311" i="8" s="1"/>
  <c r="AK311" i="8"/>
  <c r="AL311" i="8" s="1"/>
  <c r="AM311" i="8"/>
  <c r="AN311" i="8" s="1"/>
  <c r="AO311" i="8"/>
  <c r="AP311" i="8" s="1"/>
  <c r="AI312" i="8"/>
  <c r="AJ312" i="8" s="1"/>
  <c r="AK312" i="8"/>
  <c r="AL312" i="8" s="1"/>
  <c r="AM312" i="8"/>
  <c r="AN312" i="8" s="1"/>
  <c r="AO312" i="8"/>
  <c r="AP312" i="8" s="1"/>
  <c r="AQ312" i="8"/>
  <c r="AR312" i="8" s="1"/>
  <c r="AI313" i="8"/>
  <c r="AJ313" i="8" s="1"/>
  <c r="AK313" i="8"/>
  <c r="AL313" i="8" s="1"/>
  <c r="AM313" i="8"/>
  <c r="AN313" i="8" s="1"/>
  <c r="AO313" i="8"/>
  <c r="AP313" i="8" s="1"/>
  <c r="AI318" i="8"/>
  <c r="AJ318" i="8" s="1"/>
  <c r="AK318" i="8"/>
  <c r="AL318" i="8" s="1"/>
  <c r="AM318" i="8"/>
  <c r="AN318" i="8" s="1"/>
  <c r="AO318" i="8"/>
  <c r="AP318" i="8" s="1"/>
  <c r="AQ318" i="8"/>
  <c r="AR318" i="8" s="1"/>
  <c r="AI319" i="8"/>
  <c r="AJ319" i="8" s="1"/>
  <c r="AK319" i="8"/>
  <c r="AL319" i="8" s="1"/>
  <c r="AM319" i="8"/>
  <c r="AN319" i="8" s="1"/>
  <c r="AO319" i="8"/>
  <c r="AP319" i="8" s="1"/>
  <c r="AI320" i="8"/>
  <c r="AJ320" i="8" s="1"/>
  <c r="AK320" i="8"/>
  <c r="AL320" i="8" s="1"/>
  <c r="AM320" i="8"/>
  <c r="AN320" i="8" s="1"/>
  <c r="AO320" i="8"/>
  <c r="AP320" i="8" s="1"/>
  <c r="AQ320" i="8"/>
  <c r="AR320" i="8" s="1"/>
  <c r="AI322" i="8"/>
  <c r="AJ322" i="8" s="1"/>
  <c r="AK322" i="8"/>
  <c r="AL322" i="8" s="1"/>
  <c r="AO322" i="8"/>
  <c r="AP322" i="8" s="1"/>
  <c r="AI323" i="8"/>
  <c r="AJ323" i="8" s="1"/>
  <c r="AK323" i="8"/>
  <c r="AL323" i="8" s="1"/>
  <c r="AM323" i="8"/>
  <c r="AN323" i="8" s="1"/>
  <c r="AO323" i="8"/>
  <c r="AP323" i="8" s="1"/>
  <c r="AQ323" i="8"/>
  <c r="AR323" i="8" s="1"/>
  <c r="AI324" i="8"/>
  <c r="AJ324" i="8" s="1"/>
  <c r="AK324" i="8"/>
  <c r="AL324" i="8" s="1"/>
  <c r="AM324" i="8"/>
  <c r="AN324" i="8" s="1"/>
  <c r="AI326" i="8"/>
  <c r="AJ326" i="8" s="1"/>
  <c r="AK326" i="8"/>
  <c r="AL326" i="8" s="1"/>
  <c r="AM326" i="8"/>
  <c r="AN326" i="8" s="1"/>
  <c r="AO326" i="8"/>
  <c r="AP326" i="8" s="1"/>
  <c r="AQ326" i="8"/>
  <c r="AR326" i="8" s="1"/>
  <c r="AI327" i="8"/>
  <c r="AJ327" i="8" s="1"/>
  <c r="AK327" i="8"/>
  <c r="AL327" i="8" s="1"/>
  <c r="AM327" i="8"/>
  <c r="AN327" i="8" s="1"/>
  <c r="AO327" i="8"/>
  <c r="AP327" i="8" s="1"/>
  <c r="AK328" i="8"/>
  <c r="AL328" i="8" s="1"/>
  <c r="AM328" i="8"/>
  <c r="AN328" i="8" s="1"/>
  <c r="AO328" i="8"/>
  <c r="AP328" i="8" s="1"/>
  <c r="AQ328" i="8"/>
  <c r="AR328" i="8" s="1"/>
  <c r="AI330" i="8"/>
  <c r="AJ330" i="8" s="1"/>
  <c r="AK330" i="8"/>
  <c r="AL330" i="8" s="1"/>
  <c r="AM330" i="8"/>
  <c r="AN330" i="8" s="1"/>
  <c r="AO330" i="8"/>
  <c r="AP330" i="8" s="1"/>
  <c r="AI331" i="8"/>
  <c r="AJ331" i="8" s="1"/>
  <c r="AK331" i="8"/>
  <c r="AL331" i="8" s="1"/>
  <c r="AM331" i="8"/>
  <c r="AN331" i="8" s="1"/>
  <c r="AO331" i="8"/>
  <c r="AP331" i="8" s="1"/>
  <c r="AQ331" i="8"/>
  <c r="AR331" i="8" s="1"/>
  <c r="AK332" i="8"/>
  <c r="AL332" i="8" s="1"/>
  <c r="AM332" i="8"/>
  <c r="AN332" i="8" s="1"/>
  <c r="AO332" i="8"/>
  <c r="AP332" i="8" s="1"/>
  <c r="AI335" i="8"/>
  <c r="AJ335" i="8" s="1"/>
  <c r="AM335" i="8"/>
  <c r="AN335" i="8" s="1"/>
  <c r="AO335" i="8"/>
  <c r="AP335" i="8" s="1"/>
  <c r="AQ335" i="8"/>
  <c r="AR335" i="8" s="1"/>
  <c r="AI336" i="8"/>
  <c r="AJ336" i="8" s="1"/>
  <c r="AK336" i="8"/>
  <c r="AL336" i="8" s="1"/>
  <c r="AM336" i="8"/>
  <c r="AN336" i="8" s="1"/>
  <c r="AO336" i="8"/>
  <c r="AP336" i="8" s="1"/>
  <c r="AI337" i="8"/>
  <c r="AJ337" i="8" s="1"/>
  <c r="AM337" i="8"/>
  <c r="AN337" i="8" s="1"/>
  <c r="AO337" i="8"/>
  <c r="AP337" i="8" s="1"/>
  <c r="AQ337" i="8"/>
  <c r="AR337" i="8" s="1"/>
  <c r="AI338" i="8"/>
  <c r="AJ338" i="8" s="1"/>
  <c r="AK338" i="8"/>
  <c r="AL338" i="8" s="1"/>
  <c r="AM338" i="8"/>
  <c r="AN338" i="8" s="1"/>
  <c r="AO338" i="8"/>
  <c r="AP338" i="8" s="1"/>
  <c r="AI339" i="8"/>
  <c r="AJ339" i="8" s="1"/>
  <c r="AK339" i="8"/>
  <c r="AL339" i="8" s="1"/>
  <c r="AO339" i="8"/>
  <c r="AP339" i="8" s="1"/>
  <c r="AQ339" i="8"/>
  <c r="AR339" i="8" s="1"/>
  <c r="AI340" i="8"/>
  <c r="AJ340" i="8" s="1"/>
  <c r="AK340" i="8"/>
  <c r="AL340" i="8" s="1"/>
  <c r="AM340" i="8"/>
  <c r="AN340" i="8" s="1"/>
  <c r="AO340" i="8"/>
  <c r="AP340" i="8" s="1"/>
  <c r="AI341" i="8"/>
  <c r="AJ341" i="8" s="1"/>
  <c r="AK341" i="8"/>
  <c r="AL341" i="8" s="1"/>
  <c r="AM341" i="8"/>
  <c r="AN341" i="8" s="1"/>
  <c r="AO341" i="8"/>
  <c r="AP341" i="8" s="1"/>
  <c r="AQ341" i="8"/>
  <c r="AR341" i="8" s="1"/>
  <c r="AI342" i="8"/>
  <c r="AJ342" i="8" s="1"/>
  <c r="AM342" i="8"/>
  <c r="AN342" i="8" s="1"/>
  <c r="AO342" i="8"/>
  <c r="AP342" i="8" s="1"/>
  <c r="AI344" i="8"/>
  <c r="AJ344" i="8" s="1"/>
  <c r="AM344" i="8"/>
  <c r="AN344" i="8" s="1"/>
  <c r="AO344" i="8"/>
  <c r="AP344" i="8" s="1"/>
  <c r="AQ344" i="8"/>
  <c r="AR344" i="8" s="1"/>
  <c r="AI345" i="8"/>
  <c r="AJ345" i="8" s="1"/>
  <c r="AK345" i="8"/>
  <c r="AL345" i="8" s="1"/>
  <c r="AM345" i="8"/>
  <c r="AN345" i="8" s="1"/>
  <c r="AO345" i="8"/>
  <c r="AP345" i="8" s="1"/>
  <c r="AI346" i="8"/>
  <c r="AJ346" i="8" s="1"/>
  <c r="AM346" i="8"/>
  <c r="AN346" i="8" s="1"/>
  <c r="AO346" i="8"/>
  <c r="AP346" i="8" s="1"/>
  <c r="AQ346" i="8"/>
  <c r="AR346" i="8" s="1"/>
  <c r="AI347" i="8"/>
  <c r="AJ347" i="8" s="1"/>
  <c r="AK347" i="8"/>
  <c r="AL347" i="8" s="1"/>
  <c r="AM347" i="8"/>
  <c r="AN347" i="8" s="1"/>
  <c r="AO347" i="8"/>
  <c r="AP347" i="8" s="1"/>
  <c r="AI348" i="8"/>
  <c r="AJ348" i="8" s="1"/>
  <c r="AK348" i="8"/>
  <c r="AL348" i="8" s="1"/>
  <c r="AM348" i="8"/>
  <c r="AN348" i="8" s="1"/>
  <c r="AO348" i="8"/>
  <c r="AP348" i="8" s="1"/>
  <c r="AQ348" i="8"/>
  <c r="AR348" i="8" s="1"/>
  <c r="AI349" i="8"/>
  <c r="AJ349" i="8" s="1"/>
  <c r="AK349" i="8"/>
  <c r="AL349" i="8" s="1"/>
  <c r="AM349" i="8"/>
  <c r="AN349" i="8" s="1"/>
  <c r="AO349" i="8"/>
  <c r="AP349" i="8" s="1"/>
  <c r="AI351" i="8"/>
  <c r="AJ351" i="8" s="1"/>
  <c r="AK351" i="8"/>
  <c r="AL351" i="8" s="1"/>
  <c r="AM351" i="8"/>
  <c r="AN351" i="8" s="1"/>
  <c r="AO351" i="8"/>
  <c r="AP351" i="8" s="1"/>
  <c r="AQ351" i="8"/>
  <c r="AR351" i="8" s="1"/>
  <c r="AI352" i="8"/>
  <c r="AJ352" i="8" s="1"/>
  <c r="AK352" i="8"/>
  <c r="AL352" i="8" s="1"/>
  <c r="AM352" i="8"/>
  <c r="AN352" i="8" s="1"/>
  <c r="AO352" i="8"/>
  <c r="AP352" i="8" s="1"/>
  <c r="AI353" i="8"/>
  <c r="AJ353" i="8" s="1"/>
  <c r="AK353" i="8"/>
  <c r="AL353" i="8" s="1"/>
  <c r="AM353" i="8"/>
  <c r="AN353" i="8" s="1"/>
  <c r="AO353" i="8"/>
  <c r="AP353" i="8" s="1"/>
  <c r="AQ353" i="8"/>
  <c r="AR353" i="8" s="1"/>
  <c r="AI354" i="8"/>
  <c r="AJ354" i="8" s="1"/>
  <c r="AK354" i="8"/>
  <c r="AL354" i="8" s="1"/>
  <c r="AM354" i="8"/>
  <c r="AN354" i="8" s="1"/>
  <c r="AO354" i="8"/>
  <c r="AP354" i="8" s="1"/>
  <c r="AI361" i="8"/>
  <c r="AJ361" i="8" s="1"/>
  <c r="AK361" i="8"/>
  <c r="AL361" i="8" s="1"/>
  <c r="AM361" i="8"/>
  <c r="AN361" i="8" s="1"/>
  <c r="AO361" i="8"/>
  <c r="AP361" i="8" s="1"/>
  <c r="AQ361" i="8"/>
  <c r="AR361" i="8" s="1"/>
  <c r="AI362" i="8"/>
  <c r="AJ362" i="8" s="1"/>
  <c r="AK362" i="8"/>
  <c r="AL362" i="8" s="1"/>
  <c r="AO362" i="8"/>
  <c r="AP362" i="8" s="1"/>
  <c r="AI363" i="8"/>
  <c r="AJ363" i="8" s="1"/>
  <c r="AK363" i="8"/>
  <c r="AL363" i="8" s="1"/>
  <c r="AM363" i="8"/>
  <c r="AN363" i="8" s="1"/>
  <c r="AO363" i="8"/>
  <c r="AP363" i="8" s="1"/>
  <c r="AQ363" i="8"/>
  <c r="AR363" i="8" s="1"/>
  <c r="AI364" i="8"/>
  <c r="AJ364" i="8" s="1"/>
  <c r="AK364" i="8"/>
  <c r="AL364" i="8" s="1"/>
  <c r="AM364" i="8"/>
  <c r="AN364" i="8" s="1"/>
  <c r="AI365" i="8"/>
  <c r="AJ365" i="8" s="1"/>
  <c r="AK365" i="8"/>
  <c r="AL365" i="8" s="1"/>
  <c r="AM365" i="8"/>
  <c r="AN365" i="8" s="1"/>
  <c r="AO365" i="8"/>
  <c r="AP365" i="8" s="1"/>
  <c r="AQ365" i="8"/>
  <c r="AR365" i="8" s="1"/>
  <c r="AI366" i="8"/>
  <c r="AJ366" i="8" s="1"/>
  <c r="AK366" i="8"/>
  <c r="AL366" i="8" s="1"/>
  <c r="AM366" i="8"/>
  <c r="AN366" i="8" s="1"/>
  <c r="AK368" i="8"/>
  <c r="AL368" i="8" s="1"/>
  <c r="AM368" i="8"/>
  <c r="AN368" i="8" s="1"/>
  <c r="AO368" i="8"/>
  <c r="AP368" i="8" s="1"/>
  <c r="AQ368" i="8"/>
  <c r="AR368" i="8" s="1"/>
  <c r="AI370" i="8"/>
  <c r="AJ370" i="8" s="1"/>
  <c r="AK370" i="8"/>
  <c r="AL370" i="8" s="1"/>
  <c r="AM370" i="8"/>
  <c r="AN370" i="8" s="1"/>
  <c r="AO370" i="8"/>
  <c r="AP370" i="8" s="1"/>
  <c r="AI372" i="8"/>
  <c r="AJ372" i="8" s="1"/>
  <c r="AK372" i="8"/>
  <c r="AL372" i="8" s="1"/>
  <c r="AM372" i="8"/>
  <c r="AN372" i="8" s="1"/>
  <c r="AQ372" i="8"/>
  <c r="AR372" i="8" s="1"/>
  <c r="AI373" i="8"/>
  <c r="AJ373" i="8" s="1"/>
  <c r="AK373" i="8"/>
  <c r="AL373" i="8" s="1"/>
  <c r="AM373" i="8"/>
  <c r="AN373" i="8" s="1"/>
  <c r="AO373" i="8"/>
  <c r="AP373" i="8" s="1"/>
  <c r="AI374" i="8"/>
  <c r="AJ374" i="8" s="1"/>
  <c r="AK374" i="8"/>
  <c r="AL374" i="8" s="1"/>
  <c r="AM374" i="8"/>
  <c r="AN374" i="8" s="1"/>
  <c r="AO374" i="8"/>
  <c r="AP374" i="8" s="1"/>
  <c r="AI375" i="8"/>
  <c r="AJ375" i="8" s="1"/>
  <c r="AK375" i="8"/>
  <c r="AL375" i="8" s="1"/>
  <c r="AM375" i="8"/>
  <c r="AN375" i="8" s="1"/>
  <c r="AO375" i="8"/>
  <c r="AP375" i="8" s="1"/>
  <c r="AK376" i="8"/>
  <c r="AL376" i="8" s="1"/>
  <c r="AM376" i="8"/>
  <c r="AN376" i="8" s="1"/>
  <c r="AO376" i="8"/>
  <c r="AP376" i="8" s="1"/>
  <c r="AQ376" i="8"/>
  <c r="AR376" i="8" s="1"/>
  <c r="AI377" i="8"/>
  <c r="AJ377" i="8" s="1"/>
  <c r="AM377" i="8"/>
  <c r="AN377" i="8" s="1"/>
  <c r="AO377" i="8"/>
  <c r="AP377" i="8" s="1"/>
  <c r="AI379" i="8"/>
  <c r="AJ379" i="8" s="1"/>
  <c r="AK379" i="8"/>
  <c r="AL379" i="8" s="1"/>
  <c r="AM379" i="8"/>
  <c r="AN379" i="8" s="1"/>
  <c r="AO379" i="8"/>
  <c r="AP379" i="8" s="1"/>
  <c r="AQ379" i="8"/>
  <c r="AR379" i="8" s="1"/>
  <c r="AI380" i="8"/>
  <c r="AJ380" i="8" s="1"/>
  <c r="AK380" i="8"/>
  <c r="AL380" i="8" s="1"/>
  <c r="AM380" i="8"/>
  <c r="AN380" i="8" s="1"/>
  <c r="AO380" i="8"/>
  <c r="AP380" i="8" s="1"/>
  <c r="AI381" i="8"/>
  <c r="AJ381" i="8" s="1"/>
  <c r="AK381" i="8"/>
  <c r="AL381" i="8" s="1"/>
  <c r="AM381" i="8"/>
  <c r="AN381" i="8" s="1"/>
  <c r="AQ381" i="8"/>
  <c r="AR381" i="8" s="1"/>
  <c r="AI382" i="8"/>
  <c r="AJ382" i="8" s="1"/>
  <c r="AK382" i="8"/>
  <c r="AL382" i="8" s="1"/>
  <c r="AM382" i="8"/>
  <c r="AN382" i="8" s="1"/>
  <c r="AO382" i="8"/>
  <c r="AP382" i="8" s="1"/>
  <c r="AK383" i="8"/>
  <c r="AL383" i="8" s="1"/>
  <c r="AM383" i="8"/>
  <c r="AN383" i="8" s="1"/>
  <c r="AO383" i="8"/>
  <c r="AP383" i="8" s="1"/>
  <c r="AQ383" i="8"/>
  <c r="AR383" i="8" s="1"/>
  <c r="AI384" i="8"/>
  <c r="AJ384" i="8" s="1"/>
  <c r="AK384" i="8"/>
  <c r="AL384" i="8" s="1"/>
  <c r="AM384" i="8"/>
  <c r="AN384" i="8" s="1"/>
  <c r="AO384" i="8"/>
  <c r="AP384" i="8" s="1"/>
  <c r="AI386" i="8"/>
  <c r="AJ386" i="8" s="1"/>
  <c r="AK386" i="8"/>
  <c r="AL386" i="8" s="1"/>
  <c r="AM386" i="8"/>
  <c r="AN386" i="8" s="1"/>
  <c r="AO386" i="8"/>
  <c r="AP386" i="8" s="1"/>
  <c r="AI387" i="8"/>
  <c r="AJ387" i="8" s="1"/>
  <c r="AK387" i="8"/>
  <c r="AL387" i="8" s="1"/>
  <c r="AM387" i="8"/>
  <c r="AN387" i="8" s="1"/>
  <c r="AO387" i="8"/>
  <c r="AP387" i="8" s="1"/>
  <c r="AI388" i="8"/>
  <c r="AJ388" i="8" s="1"/>
  <c r="AK388" i="8"/>
  <c r="AL388" i="8" s="1"/>
  <c r="AM388" i="8"/>
  <c r="AN388" i="8" s="1"/>
  <c r="AO388" i="8"/>
  <c r="AP388" i="8" s="1"/>
  <c r="AQ388" i="8"/>
  <c r="AR388" i="8" s="1"/>
  <c r="AI389" i="8"/>
  <c r="AJ389" i="8" s="1"/>
  <c r="AK389" i="8"/>
  <c r="AL389" i="8" s="1"/>
  <c r="AM389" i="8"/>
  <c r="AN389" i="8" s="1"/>
  <c r="AO389" i="8"/>
  <c r="AP389" i="8" s="1"/>
  <c r="AI390" i="8"/>
  <c r="AJ390" i="8" s="1"/>
  <c r="AK390" i="8"/>
  <c r="AL390" i="8" s="1"/>
  <c r="AO390" i="8"/>
  <c r="AP390" i="8" s="1"/>
  <c r="AQ390" i="8"/>
  <c r="AR390" i="8" s="1"/>
  <c r="AI391" i="8"/>
  <c r="AJ391" i="8" s="1"/>
  <c r="AK391" i="8"/>
  <c r="AL391" i="8" s="1"/>
  <c r="AM391" i="8"/>
  <c r="AN391" i="8" s="1"/>
  <c r="AO391" i="8"/>
  <c r="AP391" i="8" s="1"/>
  <c r="AI393" i="8"/>
  <c r="AJ393" i="8" s="1"/>
  <c r="AM393" i="8"/>
  <c r="AN393" i="8" s="1"/>
  <c r="AO393" i="8"/>
  <c r="AP393" i="8" s="1"/>
  <c r="AQ393" i="8"/>
  <c r="AR393" i="8" s="1"/>
  <c r="AI394" i="8"/>
  <c r="AJ394" i="8" s="1"/>
  <c r="AK394" i="8"/>
  <c r="AL394" i="8" s="1"/>
  <c r="AM394" i="8"/>
  <c r="AN394" i="8" s="1"/>
  <c r="AI395" i="8"/>
  <c r="AJ395" i="8" s="1"/>
  <c r="AK395" i="8"/>
  <c r="AL395" i="8" s="1"/>
  <c r="AM395" i="8"/>
  <c r="AN395" i="8" s="1"/>
  <c r="AO395" i="8"/>
  <c r="AP395" i="8" s="1"/>
  <c r="AI396" i="8"/>
  <c r="AJ396" i="8" s="1"/>
  <c r="AK396" i="8"/>
  <c r="AL396" i="8" s="1"/>
  <c r="AM396" i="8"/>
  <c r="AN396" i="8" s="1"/>
  <c r="AO396" i="8"/>
  <c r="AP396" i="8" s="1"/>
  <c r="AI398" i="8"/>
  <c r="AJ398" i="8" s="1"/>
  <c r="AK398" i="8"/>
  <c r="AL398" i="8" s="1"/>
  <c r="AM398" i="8"/>
  <c r="AN398" i="8" s="1"/>
  <c r="AQ398" i="8"/>
  <c r="AR398" i="8" s="1"/>
  <c r="AI399" i="8"/>
  <c r="AJ399" i="8" s="1"/>
  <c r="AK399" i="8"/>
  <c r="AL399" i="8" s="1"/>
  <c r="AM399" i="8"/>
  <c r="AN399" i="8" s="1"/>
  <c r="AO399" i="8"/>
  <c r="AP399" i="8" s="1"/>
  <c r="AI400" i="8"/>
  <c r="AJ400" i="8" s="1"/>
  <c r="AK400" i="8"/>
  <c r="AL400" i="8" s="1"/>
  <c r="AM400" i="8"/>
  <c r="AN400" i="8" s="1"/>
  <c r="AO400" i="8"/>
  <c r="AP400" i="8" s="1"/>
  <c r="AI402" i="8"/>
  <c r="AJ402" i="8" s="1"/>
  <c r="AM402" i="8"/>
  <c r="AN402" i="8" s="1"/>
  <c r="AO402" i="8"/>
  <c r="AP402" i="8" s="1"/>
  <c r="AI405" i="8"/>
  <c r="AJ405" i="8" s="1"/>
  <c r="AK405" i="8"/>
  <c r="AL405" i="8" s="1"/>
  <c r="AM405" i="8"/>
  <c r="AN405" i="8" s="1"/>
  <c r="AQ405" i="8"/>
  <c r="AR405" i="8" s="1"/>
  <c r="AI406" i="8"/>
  <c r="AJ406" i="8" s="1"/>
  <c r="AM406" i="8"/>
  <c r="AN406" i="8" s="1"/>
  <c r="AO406" i="8"/>
  <c r="AP406" i="8" s="1"/>
  <c r="AI407" i="8"/>
  <c r="AJ407" i="8" s="1"/>
  <c r="AM407" i="8"/>
  <c r="AN407" i="8" s="1"/>
  <c r="AO407" i="8"/>
  <c r="AP407" i="8" s="1"/>
  <c r="AI412" i="8"/>
  <c r="AJ412" i="8" s="1"/>
  <c r="AK412" i="8"/>
  <c r="AL412" i="8" s="1"/>
  <c r="AM412" i="8"/>
  <c r="AN412" i="8" s="1"/>
  <c r="AO412" i="8"/>
  <c r="AP412" i="8" s="1"/>
  <c r="AK413" i="8"/>
  <c r="AL413" i="8" s="1"/>
  <c r="AO852" i="8"/>
  <c r="AP852" i="8" s="1"/>
  <c r="AK853" i="8"/>
  <c r="AL853" i="8" s="1"/>
  <c r="AK856" i="8"/>
  <c r="AL856" i="8" s="1"/>
  <c r="AO857" i="8"/>
  <c r="AP857" i="8" s="1"/>
  <c r="AK860" i="8"/>
  <c r="AL860" i="8" s="1"/>
  <c r="AO861" i="8"/>
  <c r="AP861" i="8" s="1"/>
  <c r="AO864" i="8"/>
  <c r="AP864" i="8" s="1"/>
  <c r="AK865" i="8"/>
  <c r="AL865" i="8" s="1"/>
  <c r="AO868" i="8"/>
  <c r="AP868" i="8" s="1"/>
  <c r="AO885" i="8"/>
  <c r="AP885" i="8" s="1"/>
  <c r="AK898" i="8"/>
  <c r="AL898" i="8" s="1"/>
  <c r="AO901" i="8"/>
  <c r="AP901" i="8" s="1"/>
  <c r="AK902" i="8"/>
  <c r="AL902" i="8" s="1"/>
  <c r="AK983" i="8"/>
  <c r="AL983" i="8" s="1"/>
  <c r="AO984" i="8"/>
  <c r="AP984" i="8" s="1"/>
  <c r="AI18" i="8"/>
  <c r="AJ18" i="8" s="1"/>
  <c r="AK23" i="8"/>
  <c r="AL23" i="8" s="1"/>
  <c r="AQ26" i="8"/>
  <c r="AR26" i="8" s="1"/>
  <c r="AO28" i="8"/>
  <c r="AP28" i="8" s="1"/>
  <c r="AQ28" i="8"/>
  <c r="AR28" i="8" s="1"/>
  <c r="AI30" i="8"/>
  <c r="AJ30" i="8" s="1"/>
  <c r="AK30" i="8"/>
  <c r="AL30" i="8" s="1"/>
  <c r="AO31" i="8"/>
  <c r="AP31" i="8" s="1"/>
  <c r="AI35" i="8"/>
  <c r="AJ35" i="8" s="1"/>
  <c r="AI10" i="8"/>
  <c r="AJ10" i="8" s="1"/>
  <c r="AM10" i="8"/>
  <c r="AN10" i="8" s="1"/>
  <c r="AO11" i="8"/>
  <c r="AP11" i="8" s="1"/>
  <c r="AI13" i="8"/>
  <c r="AJ13" i="8" s="1"/>
  <c r="AQ13" i="8"/>
  <c r="AR13" i="8" s="1"/>
  <c r="AI14" i="8"/>
  <c r="AJ14" i="8" s="1"/>
  <c r="AK14" i="8"/>
  <c r="AL14" i="8" s="1"/>
  <c r="AM14" i="8"/>
  <c r="AN14" i="8" s="1"/>
  <c r="AI17" i="8"/>
  <c r="AJ17" i="8" s="1"/>
  <c r="AO17" i="8"/>
  <c r="AP17" i="8" s="1"/>
  <c r="AQ17" i="8"/>
  <c r="AR17" i="8" s="1"/>
  <c r="AK18" i="8"/>
  <c r="AL18" i="8" s="1"/>
  <c r="AM18" i="8"/>
  <c r="AN18" i="8" s="1"/>
  <c r="AI19" i="8"/>
  <c r="AJ19" i="8" s="1"/>
  <c r="AO19" i="8"/>
  <c r="AP19" i="8" s="1"/>
  <c r="AQ19" i="8"/>
  <c r="AR19" i="8" s="1"/>
  <c r="AI21" i="8"/>
  <c r="AJ21" i="8" s="1"/>
  <c r="AM21" i="8"/>
  <c r="AN21" i="8" s="1"/>
  <c r="AO22" i="8"/>
  <c r="AP22" i="8" s="1"/>
  <c r="AQ22" i="8"/>
  <c r="AR22" i="8" s="1"/>
  <c r="AI26" i="8"/>
  <c r="AJ26" i="8" s="1"/>
  <c r="AM26" i="8"/>
  <c r="AN26" i="8" s="1"/>
  <c r="AO26" i="8"/>
  <c r="AP26" i="8" s="1"/>
  <c r="AI27" i="8"/>
  <c r="AJ27" i="8" s="1"/>
  <c r="AK27" i="8"/>
  <c r="AL27" i="8" s="1"/>
  <c r="AM27" i="8"/>
  <c r="AN27" i="8" s="1"/>
  <c r="AI28" i="8"/>
  <c r="AJ28" i="8" s="1"/>
  <c r="AM28" i="8"/>
  <c r="AN28" i="8" s="1"/>
  <c r="AM30" i="8"/>
  <c r="AN30" i="8" s="1"/>
  <c r="AI31" i="8"/>
  <c r="AJ31" i="8" s="1"/>
  <c r="AQ31" i="8"/>
  <c r="AR31" i="8" s="1"/>
  <c r="AI32" i="8"/>
  <c r="AJ32" i="8" s="1"/>
  <c r="AK32" i="8"/>
  <c r="AL32" i="8" s="1"/>
  <c r="AM32" i="8"/>
  <c r="AN32" i="8" s="1"/>
  <c r="AM35" i="8"/>
  <c r="AN35" i="8" s="1"/>
  <c r="AQ35" i="8"/>
  <c r="AR35" i="8" s="1"/>
  <c r="AI36" i="8"/>
  <c r="AJ36" i="8" s="1"/>
  <c r="AK36" i="8"/>
  <c r="AL36" i="8" s="1"/>
  <c r="AM36" i="8"/>
  <c r="AN36" i="8" s="1"/>
  <c r="AI37" i="8"/>
  <c r="AJ37" i="8" s="1"/>
  <c r="AI41" i="8"/>
  <c r="AJ41" i="8" s="1"/>
  <c r="AK41" i="8"/>
  <c r="AL41" i="8" s="1"/>
  <c r="AQ44" i="8"/>
  <c r="AR44" i="8" s="1"/>
  <c r="AK48" i="8"/>
  <c r="AL48" i="8" s="1"/>
  <c r="AI49" i="8"/>
  <c r="AJ49" i="8" s="1"/>
  <c r="AO49" i="8"/>
  <c r="AP49" i="8" s="1"/>
  <c r="AM50" i="8"/>
  <c r="AN50" i="8" s="1"/>
  <c r="AK53" i="8"/>
  <c r="AL53" i="8" s="1"/>
  <c r="AO54" i="8"/>
  <c r="AP54" i="8" s="1"/>
  <c r="AI55" i="8"/>
  <c r="AJ55" i="8" s="1"/>
  <c r="AI59" i="8"/>
  <c r="AJ59" i="8" s="1"/>
  <c r="AK60" i="8"/>
  <c r="AL60" i="8" s="1"/>
  <c r="AM61" i="8"/>
  <c r="AN61" i="8" s="1"/>
  <c r="AK63" i="8"/>
  <c r="AL63" i="8" s="1"/>
  <c r="AI64" i="8"/>
  <c r="AJ64" i="8" s="1"/>
  <c r="AM65" i="8"/>
  <c r="AN65" i="8" s="1"/>
  <c r="AM66" i="8"/>
  <c r="AN66" i="8" s="1"/>
  <c r="AQ66" i="8"/>
  <c r="AR66" i="8" s="1"/>
  <c r="AI68" i="8"/>
  <c r="AJ68" i="8" s="1"/>
  <c r="AO10" i="8"/>
  <c r="AP10" i="8" s="1"/>
  <c r="AK21" i="8"/>
  <c r="AL21" i="8" s="1"/>
  <c r="AM22" i="8"/>
  <c r="AN22" i="8" s="1"/>
  <c r="AI23" i="8"/>
  <c r="AJ23" i="8" s="1"/>
  <c r="AM37" i="8"/>
  <c r="AN37" i="8" s="1"/>
  <c r="AO37" i="8"/>
  <c r="AP37" i="8" s="1"/>
  <c r="AM39" i="8"/>
  <c r="AN39" i="8" s="1"/>
  <c r="AI40" i="8"/>
  <c r="AJ40" i="8" s="1"/>
  <c r="AO40" i="8"/>
  <c r="AP40" i="8" s="1"/>
  <c r="AQ40" i="8"/>
  <c r="AR40" i="8" s="1"/>
  <c r="AM41" i="8"/>
  <c r="AN41" i="8" s="1"/>
  <c r="AM44" i="8"/>
  <c r="AN44" i="8" s="1"/>
  <c r="AO44" i="8"/>
  <c r="AP44" i="8" s="1"/>
  <c r="AI45" i="8"/>
  <c r="AJ45" i="8" s="1"/>
  <c r="AK45" i="8"/>
  <c r="AL45" i="8" s="1"/>
  <c r="AI46" i="8"/>
  <c r="AJ46" i="8" s="1"/>
  <c r="AO46" i="8"/>
  <c r="AP46" i="8" s="1"/>
  <c r="AQ46" i="8"/>
  <c r="AR46" i="8" s="1"/>
  <c r="AI48" i="8"/>
  <c r="AJ48" i="8" s="1"/>
  <c r="AM49" i="8"/>
  <c r="AN49" i="8" s="1"/>
  <c r="AQ49" i="8"/>
  <c r="AR49" i="8" s="1"/>
  <c r="AI50" i="8"/>
  <c r="AJ50" i="8" s="1"/>
  <c r="AI52" i="8"/>
  <c r="AJ52" i="8" s="1"/>
  <c r="AO52" i="8"/>
  <c r="AP52" i="8" s="1"/>
  <c r="AQ52" i="8"/>
  <c r="AR52" i="8" s="1"/>
  <c r="AM53" i="8"/>
  <c r="AN53" i="8" s="1"/>
  <c r="AI54" i="8"/>
  <c r="AJ54" i="8" s="1"/>
  <c r="AQ54" i="8"/>
  <c r="AR54" i="8" s="1"/>
  <c r="AM55" i="8"/>
  <c r="AN55" i="8" s="1"/>
  <c r="AI56" i="8"/>
  <c r="AJ56" i="8" s="1"/>
  <c r="AO56" i="8"/>
  <c r="AP56" i="8" s="1"/>
  <c r="AI58" i="8"/>
  <c r="AJ58" i="8" s="1"/>
  <c r="AM59" i="8"/>
  <c r="AN59" i="8" s="1"/>
  <c r="AQ59" i="8"/>
  <c r="AR59" i="8" s="1"/>
  <c r="AI60" i="8"/>
  <c r="AJ60" i="8" s="1"/>
  <c r="AM60" i="8"/>
  <c r="AN60" i="8" s="1"/>
  <c r="AI61" i="8"/>
  <c r="AJ61" i="8" s="1"/>
  <c r="AO61" i="8"/>
  <c r="AP61" i="8" s="1"/>
  <c r="AQ61" i="8"/>
  <c r="AR61" i="8" s="1"/>
  <c r="AI63" i="8"/>
  <c r="AJ63" i="8" s="1"/>
  <c r="AM64" i="8"/>
  <c r="AN64" i="8" s="1"/>
  <c r="AI65" i="8"/>
  <c r="AJ65" i="8" s="1"/>
  <c r="AK65" i="8"/>
  <c r="AL65" i="8" s="1"/>
  <c r="AI66" i="8"/>
  <c r="AJ66" i="8" s="1"/>
  <c r="AO66" i="8"/>
  <c r="AP66" i="8" s="1"/>
  <c r="AM68" i="8"/>
  <c r="AN68" i="8" s="1"/>
  <c r="AI69" i="8"/>
  <c r="AJ69" i="8" s="1"/>
  <c r="AM69" i="8"/>
  <c r="AN69" i="8" s="1"/>
  <c r="AI70" i="8"/>
  <c r="AJ70" i="8" s="1"/>
  <c r="AM70" i="8"/>
  <c r="AN70" i="8" s="1"/>
  <c r="AI71" i="8"/>
  <c r="AJ71" i="8" s="1"/>
  <c r="AO71" i="8"/>
  <c r="AP71" i="8" s="1"/>
  <c r="AI72" i="8"/>
  <c r="AJ72" i="8" s="1"/>
  <c r="AK72" i="8"/>
  <c r="AL72" i="8" s="1"/>
  <c r="AI74" i="8"/>
  <c r="AJ74" i="8" s="1"/>
  <c r="AM74" i="8"/>
  <c r="AN74" i="8" s="1"/>
  <c r="AO74" i="8"/>
  <c r="AP74" i="8" s="1"/>
  <c r="AI75" i="8"/>
  <c r="AJ75" i="8" s="1"/>
  <c r="AI76" i="8"/>
  <c r="AJ76" i="8" s="1"/>
  <c r="AO76" i="8"/>
  <c r="AP76" i="8" s="1"/>
  <c r="AK77" i="8"/>
  <c r="AL77" i="8" s="1"/>
  <c r="AI79" i="8"/>
  <c r="AJ79" i="8" s="1"/>
  <c r="AO79" i="8"/>
  <c r="AP79" i="8" s="1"/>
  <c r="AM88" i="8"/>
  <c r="AN88" i="8" s="1"/>
  <c r="AI851" i="8"/>
  <c r="AJ851" i="8" s="1"/>
  <c r="AK851" i="8"/>
  <c r="AL851" i="8" s="1"/>
  <c r="AO851" i="8"/>
  <c r="AP851" i="8" s="1"/>
  <c r="AQ851" i="8"/>
  <c r="AR851" i="8" s="1"/>
  <c r="AI852" i="8"/>
  <c r="AJ852" i="8" s="1"/>
  <c r="AM852" i="8"/>
  <c r="AN852" i="8" s="1"/>
  <c r="AM853" i="8"/>
  <c r="AN853" i="8" s="1"/>
  <c r="AO853" i="8"/>
  <c r="AP853" i="8" s="1"/>
  <c r="AI854" i="8"/>
  <c r="AJ854" i="8" s="1"/>
  <c r="AK854" i="8"/>
  <c r="AL854" i="8" s="1"/>
  <c r="AM854" i="8"/>
  <c r="AN854" i="8" s="1"/>
  <c r="AI856" i="8"/>
  <c r="AJ856" i="8" s="1"/>
  <c r="AM856" i="8"/>
  <c r="AN856" i="8" s="1"/>
  <c r="AI857" i="8"/>
  <c r="AJ857" i="8" s="1"/>
  <c r="AI858" i="8"/>
  <c r="AJ858" i="8" s="1"/>
  <c r="AM858" i="8"/>
  <c r="AN858" i="8" s="1"/>
  <c r="AO858" i="8"/>
  <c r="AP858" i="8" s="1"/>
  <c r="AQ858" i="8"/>
  <c r="AR858" i="8" s="1"/>
  <c r="AK859" i="8"/>
  <c r="AL859" i="8" s="1"/>
  <c r="AM859" i="8"/>
  <c r="AN859" i="8" s="1"/>
  <c r="AO859" i="8"/>
  <c r="AP859" i="8" s="1"/>
  <c r="AI860" i="8"/>
  <c r="AJ860" i="8" s="1"/>
  <c r="AM860" i="8"/>
  <c r="AN860" i="8" s="1"/>
  <c r="AQ860" i="8"/>
  <c r="AR860" i="8" s="1"/>
  <c r="AI861" i="8"/>
  <c r="AJ861" i="8" s="1"/>
  <c r="AK861" i="8"/>
  <c r="AL861" i="8" s="1"/>
  <c r="AI863" i="8"/>
  <c r="AJ863" i="8" s="1"/>
  <c r="AK863" i="8"/>
  <c r="AL863" i="8" s="1"/>
  <c r="AO863" i="8"/>
  <c r="AP863" i="8" s="1"/>
  <c r="AQ863" i="8"/>
  <c r="AR863" i="8" s="1"/>
  <c r="AI864" i="8"/>
  <c r="AJ864" i="8" s="1"/>
  <c r="AM864" i="8"/>
  <c r="AN864" i="8" s="1"/>
  <c r="AM865" i="8"/>
  <c r="AN865" i="8" s="1"/>
  <c r="AO865" i="8"/>
  <c r="AP865" i="8" s="1"/>
  <c r="AI866" i="8"/>
  <c r="AJ866" i="8" s="1"/>
  <c r="AK866" i="8"/>
  <c r="AL866" i="8" s="1"/>
  <c r="AM866" i="8"/>
  <c r="AN866" i="8" s="1"/>
  <c r="AI867" i="8"/>
  <c r="AJ867" i="8" s="1"/>
  <c r="AK867" i="8"/>
  <c r="AL867" i="8" s="1"/>
  <c r="AO867" i="8"/>
  <c r="AP867" i="8" s="1"/>
  <c r="AQ867" i="8"/>
  <c r="AR867" i="8" s="1"/>
  <c r="AI868" i="8"/>
  <c r="AJ868" i="8" s="1"/>
  <c r="AM868" i="8"/>
  <c r="AN868" i="8" s="1"/>
  <c r="AI870" i="8"/>
  <c r="AJ870" i="8" s="1"/>
  <c r="AK870" i="8"/>
  <c r="AL870" i="8" s="1"/>
  <c r="AM870" i="8"/>
  <c r="AN870" i="8" s="1"/>
  <c r="AQ870" i="8"/>
  <c r="AR870" i="8" s="1"/>
  <c r="AI871" i="8"/>
  <c r="AJ871" i="8" s="1"/>
  <c r="AK871" i="8"/>
  <c r="AL871" i="8" s="1"/>
  <c r="AO871" i="8"/>
  <c r="AP871" i="8" s="1"/>
  <c r="AI872" i="8"/>
  <c r="AJ872" i="8" s="1"/>
  <c r="AM872" i="8"/>
  <c r="AN872" i="8" s="1"/>
  <c r="AO872" i="8"/>
  <c r="AP872" i="8" s="1"/>
  <c r="AQ872" i="8"/>
  <c r="AR872" i="8" s="1"/>
  <c r="AK873" i="8"/>
  <c r="AL873" i="8" s="1"/>
  <c r="AM873" i="8"/>
  <c r="AN873" i="8" s="1"/>
  <c r="AO873" i="8"/>
  <c r="AP873" i="8" s="1"/>
  <c r="AI874" i="8"/>
  <c r="AJ874" i="8" s="1"/>
  <c r="AK874" i="8"/>
  <c r="AL874" i="8" s="1"/>
  <c r="AO874" i="8"/>
  <c r="AP874" i="8" s="1"/>
  <c r="AQ874" i="8"/>
  <c r="AR874" i="8" s="1"/>
  <c r="AI875" i="8"/>
  <c r="AJ875" i="8" s="1"/>
  <c r="AM875" i="8"/>
  <c r="AN875" i="8" s="1"/>
  <c r="AO875" i="8"/>
  <c r="AP875" i="8" s="1"/>
  <c r="AI877" i="8"/>
  <c r="AJ877" i="8" s="1"/>
  <c r="AM877" i="8"/>
  <c r="AN877" i="8" s="1"/>
  <c r="AO877" i="8"/>
  <c r="AP877" i="8" s="1"/>
  <c r="AQ877" i="8"/>
  <c r="AR877" i="8" s="1"/>
  <c r="AK878" i="8"/>
  <c r="AL878" i="8" s="1"/>
  <c r="AM878" i="8"/>
  <c r="AN878" i="8" s="1"/>
  <c r="AO878" i="8"/>
  <c r="AP878" i="8" s="1"/>
  <c r="AI879" i="8"/>
  <c r="AJ879" i="8" s="1"/>
  <c r="AK879" i="8"/>
  <c r="AL879" i="8" s="1"/>
  <c r="AM879" i="8"/>
  <c r="AN879" i="8" s="1"/>
  <c r="AQ879" i="8"/>
  <c r="AR879" i="8" s="1"/>
  <c r="AI880" i="8"/>
  <c r="AJ880" i="8" s="1"/>
  <c r="AK880" i="8"/>
  <c r="AL880" i="8" s="1"/>
  <c r="AO880" i="8"/>
  <c r="AP880" i="8" s="1"/>
  <c r="AI885" i="8"/>
  <c r="AJ885" i="8" s="1"/>
  <c r="AK885" i="8"/>
  <c r="AL885" i="8" s="1"/>
  <c r="AI886" i="8"/>
  <c r="AJ886" i="8" s="1"/>
  <c r="AM886" i="8"/>
  <c r="AN886" i="8" s="1"/>
  <c r="AO886" i="8"/>
  <c r="AP886" i="8" s="1"/>
  <c r="AQ886" i="8"/>
  <c r="AR886" i="8" s="1"/>
  <c r="AK887" i="8"/>
  <c r="AL887" i="8" s="1"/>
  <c r="AM887" i="8"/>
  <c r="AN887" i="8" s="1"/>
  <c r="AO887" i="8"/>
  <c r="AP887" i="8" s="1"/>
  <c r="AK893" i="8"/>
  <c r="AL893" i="8" s="1"/>
  <c r="AM893" i="8"/>
  <c r="AN893" i="8" s="1"/>
  <c r="AO893" i="8"/>
  <c r="AP893" i="8" s="1"/>
  <c r="AI894" i="8"/>
  <c r="AJ894" i="8" s="1"/>
  <c r="AK894" i="8"/>
  <c r="AL894" i="8" s="1"/>
  <c r="AM894" i="8"/>
  <c r="AN894" i="8" s="1"/>
  <c r="AI895" i="8"/>
  <c r="AJ895" i="8" s="1"/>
  <c r="AK895" i="8"/>
  <c r="AL895" i="8" s="1"/>
  <c r="AO895" i="8"/>
  <c r="AP895" i="8" s="1"/>
  <c r="AQ895" i="8"/>
  <c r="AR895" i="8" s="1"/>
  <c r="AI896" i="8"/>
  <c r="AJ896" i="8" s="1"/>
  <c r="AM896" i="8"/>
  <c r="AN896" i="8" s="1"/>
  <c r="AO896" i="8"/>
  <c r="AP896" i="8" s="1"/>
  <c r="AM898" i="8"/>
  <c r="AN898" i="8" s="1"/>
  <c r="AO898" i="8"/>
  <c r="AP898" i="8" s="1"/>
  <c r="AI899" i="8"/>
  <c r="AJ899" i="8" s="1"/>
  <c r="AK899" i="8"/>
  <c r="AL899" i="8" s="1"/>
  <c r="AM899" i="8"/>
  <c r="AN899" i="8" s="1"/>
  <c r="AI900" i="8"/>
  <c r="AJ900" i="8" s="1"/>
  <c r="AK900" i="8"/>
  <c r="AL900" i="8" s="1"/>
  <c r="AO900" i="8"/>
  <c r="AP900" i="8" s="1"/>
  <c r="AQ900" i="8"/>
  <c r="AR900" i="8" s="1"/>
  <c r="AI901" i="8"/>
  <c r="AJ901" i="8" s="1"/>
  <c r="AM901" i="8"/>
  <c r="AN901" i="8" s="1"/>
  <c r="AM902" i="8"/>
  <c r="AN902" i="8" s="1"/>
  <c r="AO902" i="8"/>
  <c r="AP902" i="8" s="1"/>
  <c r="AI903" i="8"/>
  <c r="AJ903" i="8" s="1"/>
  <c r="AK903" i="8"/>
  <c r="AL903" i="8" s="1"/>
  <c r="AM903" i="8"/>
  <c r="AN903" i="8" s="1"/>
  <c r="AK905" i="8"/>
  <c r="AL905" i="8" s="1"/>
  <c r="AM905" i="8"/>
  <c r="AN905" i="8" s="1"/>
  <c r="AO905" i="8"/>
  <c r="AP905" i="8" s="1"/>
  <c r="AI906" i="8"/>
  <c r="AJ906" i="8" s="1"/>
  <c r="AK906" i="8"/>
  <c r="AL906" i="8" s="1"/>
  <c r="AK882" i="8"/>
  <c r="AL882" i="8" s="1"/>
  <c r="AM882" i="8"/>
  <c r="AN882" i="8" s="1"/>
  <c r="AO882" i="8"/>
  <c r="AP882" i="8" s="1"/>
  <c r="AI914" i="8"/>
  <c r="AJ914" i="8" s="1"/>
  <c r="AK914" i="8"/>
  <c r="AL914" i="8" s="1"/>
  <c r="AO914" i="8"/>
  <c r="AP914" i="8" s="1"/>
  <c r="AI915" i="8"/>
  <c r="AJ915" i="8" s="1"/>
  <c r="AM915" i="8"/>
  <c r="AN915" i="8" s="1"/>
  <c r="AO915" i="8"/>
  <c r="AP915" i="8" s="1"/>
  <c r="AQ915" i="8"/>
  <c r="AR915" i="8" s="1"/>
  <c r="AK916" i="8"/>
  <c r="AL916" i="8" s="1"/>
  <c r="AM916" i="8"/>
  <c r="AN916" i="8" s="1"/>
  <c r="AO916" i="8"/>
  <c r="AP916" i="8" s="1"/>
  <c r="AM906" i="8"/>
  <c r="AN906" i="8" s="1"/>
  <c r="AI907" i="8"/>
  <c r="AJ907" i="8" s="1"/>
  <c r="AK907" i="8"/>
  <c r="AL907" i="8" s="1"/>
  <c r="AO907" i="8"/>
  <c r="AP907" i="8" s="1"/>
  <c r="AQ907" i="8"/>
  <c r="AR907" i="8" s="1"/>
  <c r="AI908" i="8"/>
  <c r="AJ908" i="8" s="1"/>
  <c r="AM908" i="8"/>
  <c r="AN908" i="8" s="1"/>
  <c r="AO908" i="8"/>
  <c r="AP908" i="8" s="1"/>
  <c r="AI918" i="8"/>
  <c r="AJ918" i="8" s="1"/>
  <c r="AK918" i="8"/>
  <c r="AL918" i="8" s="1"/>
  <c r="AO918" i="8"/>
  <c r="AP918" i="8" s="1"/>
  <c r="AI919" i="8"/>
  <c r="AJ919" i="8" s="1"/>
  <c r="AM919" i="8"/>
  <c r="AN919" i="8" s="1"/>
  <c r="AO919" i="8"/>
  <c r="AP919" i="8" s="1"/>
  <c r="AK920" i="8"/>
  <c r="AL920" i="8" s="1"/>
  <c r="AM920" i="8"/>
  <c r="AN920" i="8" s="1"/>
  <c r="AO920" i="8"/>
  <c r="AP920" i="8" s="1"/>
  <c r="AI921" i="8"/>
  <c r="AJ921" i="8" s="1"/>
  <c r="AK921" i="8"/>
  <c r="AL921" i="8" s="1"/>
  <c r="AM921" i="8"/>
  <c r="AN921" i="8" s="1"/>
  <c r="AI922" i="8"/>
  <c r="AJ922" i="8" s="1"/>
  <c r="AK922" i="8"/>
  <c r="AL922" i="8" s="1"/>
  <c r="AO922" i="8"/>
  <c r="AP922" i="8" s="1"/>
  <c r="AI924" i="8"/>
  <c r="AJ924" i="8" s="1"/>
  <c r="AM924" i="8"/>
  <c r="AN924" i="8" s="1"/>
  <c r="AO924" i="8"/>
  <c r="AP924" i="8" s="1"/>
  <c r="AK925" i="8"/>
  <c r="AL925" i="8" s="1"/>
  <c r="AM925" i="8"/>
  <c r="AN925" i="8" s="1"/>
  <c r="AO925" i="8"/>
  <c r="AP925" i="8" s="1"/>
  <c r="AI926" i="8"/>
  <c r="AJ926" i="8" s="1"/>
  <c r="AM926" i="8"/>
  <c r="AN926" i="8" s="1"/>
  <c r="AI927" i="8"/>
  <c r="AJ927" i="8" s="1"/>
  <c r="AK927" i="8"/>
  <c r="AL927" i="8" s="1"/>
  <c r="AI928" i="8"/>
  <c r="AJ928" i="8" s="1"/>
  <c r="AM928" i="8"/>
  <c r="AN928" i="8" s="1"/>
  <c r="AO928" i="8"/>
  <c r="AP928" i="8" s="1"/>
  <c r="AK929" i="8"/>
  <c r="AL929" i="8" s="1"/>
  <c r="AM929" i="8"/>
  <c r="AN929" i="8" s="1"/>
  <c r="AO929" i="8"/>
  <c r="AP929" i="8" s="1"/>
  <c r="AI931" i="8"/>
  <c r="AJ931" i="8" s="1"/>
  <c r="AK931" i="8"/>
  <c r="AL931" i="8" s="1"/>
  <c r="AM931" i="8"/>
  <c r="AN931" i="8" s="1"/>
  <c r="AI932" i="8"/>
  <c r="AJ932" i="8" s="1"/>
  <c r="AK932" i="8"/>
  <c r="AL932" i="8" s="1"/>
  <c r="AO932" i="8"/>
  <c r="AP932" i="8" s="1"/>
  <c r="AI933" i="8"/>
  <c r="AJ933" i="8" s="1"/>
  <c r="AM933" i="8"/>
  <c r="AN933" i="8" s="1"/>
  <c r="AO933" i="8"/>
  <c r="AP933" i="8" s="1"/>
  <c r="AK934" i="8"/>
  <c r="AL934" i="8" s="1"/>
  <c r="AM934" i="8"/>
  <c r="AN934" i="8" s="1"/>
  <c r="AO934" i="8"/>
  <c r="AP934" i="8" s="1"/>
  <c r="AI935" i="8"/>
  <c r="AJ935" i="8" s="1"/>
  <c r="AK935" i="8"/>
  <c r="AL935" i="8" s="1"/>
  <c r="AM935" i="8"/>
  <c r="AN935" i="8" s="1"/>
  <c r="AI936" i="8"/>
  <c r="AJ936" i="8" s="1"/>
  <c r="AK936" i="8"/>
  <c r="AL936" i="8" s="1"/>
  <c r="AO936" i="8"/>
  <c r="AP936" i="8" s="1"/>
  <c r="AI938" i="8"/>
  <c r="AJ938" i="8" s="1"/>
  <c r="AM938" i="8"/>
  <c r="AN938" i="8" s="1"/>
  <c r="AO938" i="8"/>
  <c r="AP938" i="8" s="1"/>
  <c r="AK939" i="8"/>
  <c r="AL939" i="8" s="1"/>
  <c r="AM939" i="8"/>
  <c r="AN939" i="8" s="1"/>
  <c r="AO939" i="8"/>
  <c r="AP939" i="8" s="1"/>
  <c r="AI940" i="8"/>
  <c r="AJ940" i="8" s="1"/>
  <c r="AK940" i="8"/>
  <c r="AL940" i="8" s="1"/>
  <c r="AM940" i="8"/>
  <c r="AN940" i="8" s="1"/>
  <c r="AI941" i="8"/>
  <c r="AJ941" i="8" s="1"/>
  <c r="AK941" i="8"/>
  <c r="AL941" i="8" s="1"/>
  <c r="AO941" i="8"/>
  <c r="AP941" i="8" s="1"/>
  <c r="AI942" i="8"/>
  <c r="AJ942" i="8" s="1"/>
  <c r="AM942" i="8"/>
  <c r="AN942" i="8" s="1"/>
  <c r="AO942" i="8"/>
  <c r="AP942" i="8" s="1"/>
  <c r="AK943" i="8"/>
  <c r="AL943" i="8" s="1"/>
  <c r="AM943" i="8"/>
  <c r="AN943" i="8" s="1"/>
  <c r="AO943" i="8"/>
  <c r="AP943" i="8" s="1"/>
  <c r="AI945" i="8"/>
  <c r="AJ945" i="8" s="1"/>
  <c r="AK945" i="8"/>
  <c r="AL945" i="8" s="1"/>
  <c r="AM945" i="8"/>
  <c r="AN945" i="8" s="1"/>
  <c r="AI946" i="8"/>
  <c r="AJ946" i="8" s="1"/>
  <c r="AK946" i="8"/>
  <c r="AL946" i="8" s="1"/>
  <c r="AO946" i="8"/>
  <c r="AP946" i="8" s="1"/>
  <c r="AK950" i="8"/>
  <c r="AL950" i="8" s="1"/>
  <c r="AM950" i="8"/>
  <c r="AN950" i="8" s="1"/>
  <c r="AO950" i="8"/>
  <c r="AP950" i="8" s="1"/>
  <c r="AI951" i="8"/>
  <c r="AJ951" i="8" s="1"/>
  <c r="AK951" i="8"/>
  <c r="AL951" i="8" s="1"/>
  <c r="AM951" i="8"/>
  <c r="AN951" i="8" s="1"/>
  <c r="AI952" i="8"/>
  <c r="AJ952" i="8" s="1"/>
  <c r="AK952" i="8"/>
  <c r="AL952" i="8" s="1"/>
  <c r="AO952" i="8"/>
  <c r="AP952" i="8" s="1"/>
  <c r="AI953" i="8"/>
  <c r="AJ953" i="8" s="1"/>
  <c r="AM953" i="8"/>
  <c r="AN953" i="8" s="1"/>
  <c r="AO953" i="8"/>
  <c r="AP953" i="8" s="1"/>
  <c r="AK954" i="8"/>
  <c r="AL954" i="8" s="1"/>
  <c r="AM954" i="8"/>
  <c r="AN954" i="8" s="1"/>
  <c r="AO954" i="8"/>
  <c r="AP954" i="8" s="1"/>
  <c r="AI956" i="8"/>
  <c r="AJ956" i="8" s="1"/>
  <c r="AM956" i="8"/>
  <c r="AN956" i="8" s="1"/>
  <c r="AI957" i="8"/>
  <c r="AJ957" i="8" s="1"/>
  <c r="AK957" i="8"/>
  <c r="AL957" i="8" s="1"/>
  <c r="AI958" i="8"/>
  <c r="AJ958" i="8" s="1"/>
  <c r="AM958" i="8"/>
  <c r="AN958" i="8" s="1"/>
  <c r="AO958" i="8"/>
  <c r="AP958" i="8" s="1"/>
  <c r="AK959" i="8"/>
  <c r="AL959" i="8" s="1"/>
  <c r="AM959" i="8"/>
  <c r="AN959" i="8" s="1"/>
  <c r="AO959" i="8"/>
  <c r="AP959" i="8" s="1"/>
  <c r="AI960" i="8"/>
  <c r="AJ960" i="8" s="1"/>
  <c r="AM960" i="8"/>
  <c r="AN960" i="8" s="1"/>
  <c r="AI961" i="8"/>
  <c r="AJ961" i="8" s="1"/>
  <c r="AK961" i="8"/>
  <c r="AL961" i="8" s="1"/>
  <c r="AI963" i="8"/>
  <c r="AJ963" i="8" s="1"/>
  <c r="AM963" i="8"/>
  <c r="AN963" i="8" s="1"/>
  <c r="AO963" i="8"/>
  <c r="AP963" i="8" s="1"/>
  <c r="AK964" i="8"/>
  <c r="AL964" i="8" s="1"/>
  <c r="AM964" i="8"/>
  <c r="AN964" i="8" s="1"/>
  <c r="AO964" i="8"/>
  <c r="AP964" i="8" s="1"/>
  <c r="AI965" i="8"/>
  <c r="AJ965" i="8" s="1"/>
  <c r="AM965" i="8"/>
  <c r="AN965" i="8" s="1"/>
  <c r="AI966" i="8"/>
  <c r="AJ966" i="8" s="1"/>
  <c r="AK966" i="8"/>
  <c r="AL966" i="8" s="1"/>
  <c r="AI967" i="8"/>
  <c r="AJ967" i="8" s="1"/>
  <c r="AM967" i="8"/>
  <c r="AN967" i="8" s="1"/>
  <c r="AO967" i="8"/>
  <c r="AP967" i="8" s="1"/>
  <c r="AK968" i="8"/>
  <c r="AL968" i="8" s="1"/>
  <c r="AM968" i="8"/>
  <c r="AN968" i="8" s="1"/>
  <c r="AO968" i="8"/>
  <c r="AP968" i="8" s="1"/>
  <c r="AI970" i="8"/>
  <c r="AJ970" i="8" s="1"/>
  <c r="AK970" i="8"/>
  <c r="AL970" i="8" s="1"/>
  <c r="AM970" i="8"/>
  <c r="AN970" i="8" s="1"/>
  <c r="AI971" i="8"/>
  <c r="AJ971" i="8" s="1"/>
  <c r="AK971" i="8"/>
  <c r="AL971" i="8" s="1"/>
  <c r="AO971" i="8"/>
  <c r="AP971" i="8" s="1"/>
  <c r="AI972" i="8"/>
  <c r="AJ972" i="8" s="1"/>
  <c r="AM972" i="8"/>
  <c r="AN972" i="8" s="1"/>
  <c r="AO972" i="8"/>
  <c r="AP972" i="8" s="1"/>
  <c r="AK973" i="8"/>
  <c r="AL973" i="8" s="1"/>
  <c r="AM973" i="8"/>
  <c r="AN973" i="8" s="1"/>
  <c r="AO973" i="8"/>
  <c r="AP973" i="8" s="1"/>
  <c r="AI974" i="8"/>
  <c r="AJ974" i="8" s="1"/>
  <c r="AK974" i="8"/>
  <c r="AL974" i="8" s="1"/>
  <c r="AM974" i="8"/>
  <c r="AN974" i="8" s="1"/>
  <c r="AI975" i="8"/>
  <c r="AJ975" i="8" s="1"/>
  <c r="AK975" i="8"/>
  <c r="AL975" i="8" s="1"/>
  <c r="AO975" i="8"/>
  <c r="AP975" i="8" s="1"/>
  <c r="AI977" i="8"/>
  <c r="AJ977" i="8" s="1"/>
  <c r="AM977" i="8"/>
  <c r="AN977" i="8" s="1"/>
  <c r="AO977" i="8"/>
  <c r="AP977" i="8" s="1"/>
  <c r="AK978" i="8"/>
  <c r="AL978" i="8" s="1"/>
  <c r="AM978" i="8"/>
  <c r="AN978" i="8" s="1"/>
  <c r="AO978" i="8"/>
  <c r="AP978" i="8" s="1"/>
  <c r="AI979" i="8"/>
  <c r="AJ979" i="8" s="1"/>
  <c r="AM979" i="8"/>
  <c r="AN979" i="8" s="1"/>
  <c r="AI980" i="8"/>
  <c r="AJ980" i="8" s="1"/>
  <c r="AK980" i="8"/>
  <c r="AL980" i="8" s="1"/>
  <c r="AK986" i="8"/>
  <c r="AL986" i="8" s="1"/>
  <c r="AM986" i="8"/>
  <c r="AN986" i="8" s="1"/>
  <c r="AO986" i="8"/>
  <c r="AP986" i="8" s="1"/>
  <c r="AK989" i="8"/>
  <c r="AL989" i="8" s="1"/>
  <c r="AM989" i="8"/>
  <c r="AN989" i="8" s="1"/>
  <c r="AO989" i="8"/>
  <c r="AP989" i="8" s="1"/>
  <c r="AI990" i="8"/>
  <c r="AJ990" i="8" s="1"/>
  <c r="AK990" i="8"/>
  <c r="AL990" i="8" s="1"/>
  <c r="AM990" i="8"/>
  <c r="AN990" i="8" s="1"/>
  <c r="AI991" i="8"/>
  <c r="AJ991" i="8" s="1"/>
  <c r="AK991" i="8"/>
  <c r="AL991" i="8" s="1"/>
  <c r="AO991" i="8"/>
  <c r="AP991" i="8" s="1"/>
  <c r="AI992" i="8"/>
  <c r="AJ992" i="8" s="1"/>
  <c r="AM992" i="8"/>
  <c r="AN992" i="8" s="1"/>
  <c r="AO992" i="8"/>
  <c r="AP992" i="8" s="1"/>
  <c r="AK926" i="8"/>
  <c r="AL926" i="8" s="1"/>
  <c r="AO927" i="8"/>
  <c r="AP927" i="8" s="1"/>
  <c r="AK956" i="8"/>
  <c r="AL956" i="8" s="1"/>
  <c r="AO957" i="8"/>
  <c r="AP957" i="8" s="1"/>
  <c r="AK960" i="8"/>
  <c r="AL960" i="8" s="1"/>
  <c r="AO961" i="8"/>
  <c r="AP961" i="8" s="1"/>
  <c r="AK965" i="8"/>
  <c r="AL965" i="8" s="1"/>
  <c r="AO966" i="8"/>
  <c r="AP966" i="8" s="1"/>
  <c r="AK979" i="8"/>
  <c r="AL979" i="8" s="1"/>
  <c r="AO980" i="8"/>
  <c r="AP980" i="8" s="1"/>
  <c r="AI948" i="8"/>
  <c r="AJ948" i="8" s="1"/>
  <c r="AM948" i="8"/>
  <c r="AN948" i="8" s="1"/>
  <c r="AO948" i="8"/>
  <c r="AP948" i="8" s="1"/>
  <c r="AK982" i="8"/>
  <c r="AL982" i="8" s="1"/>
  <c r="AM982" i="8"/>
  <c r="AN982" i="8" s="1"/>
  <c r="AO982" i="8"/>
  <c r="AP982" i="8" s="1"/>
  <c r="AI983" i="8"/>
  <c r="AJ983" i="8" s="1"/>
  <c r="AM983" i="8"/>
  <c r="AN983" i="8" s="1"/>
  <c r="AQ983" i="8"/>
  <c r="AR983" i="8" s="1"/>
  <c r="AI984" i="8"/>
  <c r="AJ984" i="8" s="1"/>
  <c r="AK984" i="8"/>
  <c r="AL984" i="8" s="1"/>
  <c r="BP13" i="8"/>
  <c r="BK8" i="8"/>
  <c r="BK13" i="8"/>
  <c r="AV8" i="8"/>
  <c r="AQ856" i="8"/>
  <c r="AR856" i="8" s="1"/>
  <c r="BA13" i="8"/>
  <c r="BF13" i="8"/>
  <c r="BF8" i="8"/>
  <c r="BA8" i="8"/>
  <c r="AI850" i="8"/>
  <c r="AJ850" i="8" s="1"/>
  <c r="BA23" i="8" l="1"/>
  <c r="BC20" i="8"/>
  <c r="BD18" i="8"/>
  <c r="BE18" i="8" s="1"/>
  <c r="BA20" i="8"/>
  <c r="BG27" i="8"/>
  <c r="BG28" i="8"/>
  <c r="BF22" i="8" l="1"/>
  <c r="A108" i="8"/>
  <c r="A100" i="8"/>
  <c r="A36" i="8"/>
  <c r="A37" i="8"/>
  <c r="A40" i="8"/>
  <c r="A41" i="8"/>
  <c r="A18" i="8"/>
  <c r="A21" i="8"/>
  <c r="A17" i="8"/>
  <c r="A10" i="8"/>
  <c r="BP8" i="8" l="1"/>
  <c r="BA19" i="8" l="1"/>
  <c r="AZ23" i="8" s="1"/>
  <c r="BA21" i="8"/>
  <c r="BA22" i="8" l="1"/>
  <c r="BG38" i="8"/>
  <c r="BG32" i="8" l="1"/>
  <c r="BG35" i="8"/>
  <c r="BG36" i="8"/>
  <c r="BG33" i="8"/>
  <c r="BG37" i="8"/>
  <c r="BG34" i="8"/>
  <c r="BB294" i="8" l="1"/>
  <c r="BF23" i="8" l="1"/>
  <c r="AE6" i="8"/>
  <c r="AV31" i="8" l="1" a="1"/>
  <c r="AR6" i="8"/>
  <c r="BP12" i="8" s="1"/>
  <c r="G13" i="11"/>
  <c r="BF24" i="8"/>
  <c r="BB51" i="8" l="1"/>
  <c r="BB55" i="8"/>
  <c r="BB49" i="8"/>
  <c r="BB54" i="8"/>
  <c r="BB48" i="8"/>
  <c r="BB52" i="8"/>
  <c r="BB56" i="8"/>
  <c r="BB53" i="8"/>
  <c r="BB50" i="8"/>
  <c r="BB33" i="8"/>
  <c r="BB41" i="8"/>
  <c r="BB42" i="8"/>
  <c r="BB34" i="8"/>
  <c r="BB35" i="8"/>
  <c r="BB36" i="8"/>
  <c r="BB37" i="8"/>
  <c r="BB45" i="8"/>
  <c r="BB46" i="8"/>
  <c r="BB44" i="8"/>
  <c r="BB38" i="8"/>
  <c r="BB39" i="8"/>
  <c r="BB47" i="8"/>
  <c r="BB40" i="8"/>
  <c r="BB43" i="8"/>
  <c r="AV31" i="8"/>
  <c r="BB32" i="8"/>
  <c r="BB295" i="8" l="1"/>
  <c r="BB30" i="8"/>
  <c r="E8" i="15" l="1" a="1"/>
  <c r="E8" i="15" s="1"/>
  <c r="D8" i="15" a="1"/>
  <c r="D8" i="15" s="1"/>
  <c r="C8" i="15" a="1"/>
  <c r="C8" i="15" s="1"/>
  <c r="B8" i="15" a="1"/>
  <c r="B8" i="15" s="1"/>
  <c r="A11" i="8"/>
  <c r="A13" i="8"/>
  <c r="A14" i="8"/>
  <c r="A8" i="15" l="1" a="1"/>
  <c r="A8" i="15" s="1"/>
  <c r="BP14" i="8"/>
  <c r="BG31" i="8" l="1"/>
  <c r="BF25" i="8"/>
  <c r="BJ24" i="8" s="1"/>
  <c r="AZ21" i="8" l="1"/>
  <c r="AZ20" i="8"/>
  <c r="AZ22" i="8"/>
  <c r="BF295" i="8"/>
  <c r="BF294" i="8"/>
  <c r="BF40" i="8"/>
  <c r="BF36" i="8"/>
  <c r="BF38" i="8"/>
  <c r="BF39" i="8"/>
  <c r="BF32" i="8"/>
  <c r="BF33" i="8"/>
  <c r="BF35" i="8"/>
  <c r="BF34" i="8"/>
  <c r="BF37" i="8"/>
  <c r="BJ21" i="8"/>
  <c r="BJ23" i="8"/>
  <c r="BJ22" i="8"/>
  <c r="AZ19" i="8" l="1"/>
  <c r="BF31" i="8"/>
  <c r="BJ25" i="8"/>
  <c r="W77" i="11"/>
  <c r="W52" i="11"/>
  <c r="W28" i="11"/>
  <c r="W7" i="11"/>
  <c r="AJ6" i="8" l="1"/>
  <c r="AL6" i="8"/>
  <c r="AN6" i="8"/>
  <c r="BP7" i="8" l="1" a="1"/>
  <c r="BP7" i="8" s="1"/>
  <c r="BP9" i="8" s="1"/>
  <c r="AP6" i="8"/>
  <c r="C50" i="11" l="1"/>
  <c r="C58" i="11"/>
  <c r="C85" i="11"/>
  <c r="C74" i="11"/>
  <c r="C34" i="11"/>
  <c r="C100" i="11"/>
  <c r="B74" i="11"/>
  <c r="B100" i="11"/>
  <c r="B50" i="11"/>
  <c r="B34" i="11"/>
  <c r="B58" i="11" l="1"/>
  <c r="B85" i="11"/>
  <c r="B13" i="11"/>
  <c r="F74" i="11" l="1"/>
  <c r="F100" i="11"/>
  <c r="D100" i="11"/>
  <c r="D74" i="11"/>
  <c r="D13" i="11"/>
  <c r="D50" i="11"/>
  <c r="F50" i="11"/>
  <c r="BA7" i="8" l="1" a="1"/>
  <c r="BA7" i="8" s="1"/>
  <c r="BA9" i="8" s="1"/>
  <c r="BK7" i="8" a="1"/>
  <c r="BK7" i="8" s="1"/>
  <c r="BK9" i="8" s="1"/>
  <c r="BF7" i="8" a="1"/>
  <c r="BF7" i="8" s="1"/>
  <c r="BF9" i="8" s="1"/>
  <c r="F13" i="11"/>
  <c r="D85" i="11"/>
  <c r="D58" i="11"/>
  <c r="D34" i="11"/>
  <c r="BK12" i="8"/>
  <c r="BK14" i="8" s="1"/>
  <c r="BF12" i="8"/>
  <c r="BF14" i="8" s="1"/>
  <c r="BA12" i="8"/>
  <c r="BA14" i="8" s="1"/>
  <c r="AV7" i="8"/>
  <c r="AV9" i="8" s="1"/>
  <c r="E13" i="11" l="1"/>
  <c r="E50" i="11"/>
  <c r="G50" i="11" s="1"/>
  <c r="F85" i="11"/>
  <c r="E74" i="11"/>
  <c r="G74" i="11" s="1"/>
  <c r="F58" i="11"/>
  <c r="E100" i="11"/>
  <c r="G100" i="11" s="1"/>
  <c r="E58" i="11" l="1"/>
  <c r="G58" i="11"/>
  <c r="E85" i="11"/>
  <c r="G85" i="11" s="1"/>
  <c r="E34" i="11"/>
  <c r="G34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<sst xmlns="http://schemas.openxmlformats.org/spreadsheetml/2006/main" count="1915" uniqueCount="117">
  <si>
    <t>QUEM?</t>
  </si>
  <si>
    <t>QUANDO?</t>
  </si>
  <si>
    <t>ENTREGUE</t>
  </si>
  <si>
    <t>TOTAL</t>
  </si>
  <si>
    <t>ADERENCIA</t>
  </si>
  <si>
    <t>ANA</t>
  </si>
  <si>
    <t>ADRIANO</t>
  </si>
  <si>
    <t>JOÃO</t>
  </si>
  <si>
    <t>MARCOS</t>
  </si>
  <si>
    <t>STATUS</t>
  </si>
  <si>
    <t>ENGENHARIA</t>
  </si>
  <si>
    <t>ROGERIO</t>
  </si>
  <si>
    <t>PLANO DE AÇÃO</t>
  </si>
  <si>
    <t>ADERÊNCIA SEMANAL</t>
  </si>
  <si>
    <t>ADERÊNCIA ACUMULADA</t>
  </si>
  <si>
    <t>VAZIO</t>
  </si>
  <si>
    <t>MARCO | ENTREGA</t>
  </si>
  <si>
    <t>ENTREGA</t>
  </si>
  <si>
    <t>MARCO</t>
  </si>
  <si>
    <t>Aprovação do Cliente</t>
  </si>
  <si>
    <t>ADERÊNCIA ACUMULADA 1</t>
  </si>
  <si>
    <t>ADERÊNCIA SEMANA 1</t>
  </si>
  <si>
    <t>ADERÊNCIA SEMANA 2</t>
  </si>
  <si>
    <t>ADERÊNCIA SEMANA 3</t>
  </si>
  <si>
    <t>ADERÊNCIA SEMANA 4</t>
  </si>
  <si>
    <t>ADERÊNCIA ACUMULADA 3</t>
  </si>
  <si>
    <t>ADERÊNCIA ACUMULADA 2</t>
  </si>
  <si>
    <t>ATRASO MENSAL</t>
  </si>
  <si>
    <t xml:space="preserve">ADERÊNCIA SEMANAL </t>
  </si>
  <si>
    <t xml:space="preserve">ADERÊNCIA ACUMULADA </t>
  </si>
  <si>
    <t>EFPRAZO E ENTREGUE</t>
  </si>
  <si>
    <t>ATRASADO</t>
  </si>
  <si>
    <t>RISCO</t>
  </si>
  <si>
    <t>EFPRAZO</t>
  </si>
  <si>
    <t>ADERÊNCIA ACUMULADA 4</t>
  </si>
  <si>
    <t>ADERÊNCIA SEMANA 5</t>
  </si>
  <si>
    <t>ATRASO MENSAL.</t>
  </si>
  <si>
    <t>OBS</t>
  </si>
  <si>
    <t>outros</t>
  </si>
  <si>
    <t>VALE - CONTRATO 580 - ACG</t>
  </si>
  <si>
    <t>PT072 - ANCORAGEM DE SÃO LUIS</t>
  </si>
  <si>
    <t>MARCO - MEMÓRIA DE CÁLCULO</t>
  </si>
  <si>
    <t>Certificação do documento - Vibracon</t>
  </si>
  <si>
    <t>MARCO - Envio do documento Certificado (Rev_0)</t>
  </si>
  <si>
    <t>MARCOS - PROJETOS</t>
  </si>
  <si>
    <t>TR-325K-08</t>
  </si>
  <si>
    <t>TR-311K-03</t>
  </si>
  <si>
    <t>Dimensionamento / Cálculo</t>
  </si>
  <si>
    <t>Detalhamento</t>
  </si>
  <si>
    <t>MARCO - Emissão Inicial (Rev_A)</t>
  </si>
  <si>
    <t>TR-325K-07</t>
  </si>
  <si>
    <t>TR-311K-04</t>
  </si>
  <si>
    <t>ETAPA DE ESCRITÓRIO</t>
  </si>
  <si>
    <t>MARCO - PROJETO DETALHADO</t>
  </si>
  <si>
    <t>PT177 - PLATAFORMA DE ACESSO - LV</t>
  </si>
  <si>
    <t>PT177 - PLATAFORMA DE ACESSO - FORQUILHA 1 - BÁSICO</t>
  </si>
  <si>
    <t>TORRE B1</t>
  </si>
  <si>
    <t>PROJETO BÁSICO</t>
  </si>
  <si>
    <t>ESTRUTURAS METÁLICAS</t>
  </si>
  <si>
    <t>MARCO - PROJETO BÁSICO</t>
  </si>
  <si>
    <t>Atendimento a Comentários</t>
  </si>
  <si>
    <t>MARCO - Emissão Inicial (Ver_B)</t>
  </si>
  <si>
    <t>MARCO - PLANILHA DE QUANTIDADES</t>
  </si>
  <si>
    <t>MARCO - MEMORIAL DESCRITIVO</t>
  </si>
  <si>
    <t>CIVIL</t>
  </si>
  <si>
    <t>Elaboração do Critério de Projeto</t>
  </si>
  <si>
    <t>Verificação do Critério de Projeto</t>
  </si>
  <si>
    <t>MARCO - CRITÉRIO DE PROJETO</t>
  </si>
  <si>
    <t>TORRE B2</t>
  </si>
  <si>
    <t>PT177 - PLATAFORMA DE ACESSO - FORQUILHA 1 - DETALHADO</t>
  </si>
  <si>
    <t>PROJETO DETALHADO</t>
  </si>
  <si>
    <t>Verificação da Memória de Cálculo</t>
  </si>
  <si>
    <t>Elaboração do Projeto Detalhado</t>
  </si>
  <si>
    <t>Verificação do Projeto Detalhado</t>
  </si>
  <si>
    <t>Elaboração da Planilha de Quantidades</t>
  </si>
  <si>
    <t>Verificação da Planilha de Quantidades</t>
  </si>
  <si>
    <t>Elaboração da Lista de Materiais</t>
  </si>
  <si>
    <t>Verificação da Lista de Materiais</t>
  </si>
  <si>
    <t>MARCO - LISTA DE MATERIAIS</t>
  </si>
  <si>
    <t>Elaboração da Especificação Técnica</t>
  </si>
  <si>
    <t>Verificação da Especificação Técnica</t>
  </si>
  <si>
    <t>MARCO - ESPECIFICAÇÃO TÉCNICA</t>
  </si>
  <si>
    <t>PT177 - PLATAFORMA DE ACESSO - FORQUILHA 2 - BÁSICO</t>
  </si>
  <si>
    <t>TORRE B3</t>
  </si>
  <si>
    <t>TORRE B4</t>
  </si>
  <si>
    <t>PT177 - PLATAFORMA DE ACESSO - FORQUILHA 2 - DETALHADO</t>
  </si>
  <si>
    <t>ELÉTRICA</t>
  </si>
  <si>
    <t>PT177 - PLATAFORMA DE ACESSO - GRUPO - BÁSICO</t>
  </si>
  <si>
    <t>COLUNA 2</t>
  </si>
  <si>
    <t>MARCO - Emissão Inicial (Rev_B)</t>
  </si>
  <si>
    <t>COLUNA 4</t>
  </si>
  <si>
    <t>PT177 - PLATAFORMA DE ACESSO - GRUPO - DETALHADO</t>
  </si>
  <si>
    <t>Elaboração da Requisição Técnica</t>
  </si>
  <si>
    <t>Verificação da Requisição Técnica</t>
  </si>
  <si>
    <t>MARCO - REQUISIÇÃO TÉCNICA</t>
  </si>
  <si>
    <t>MARCO - PROJETO DE ATERRAMENTO</t>
  </si>
  <si>
    <t>PT178 - ESTRUTURA METÁLICA E FUNDAÇÃO - PLATAFORMA DE ACESSO</t>
  </si>
  <si>
    <t>PT178 - PLATAFORMA DE ACESSO - FORQUILHA 3 - BÁSICO</t>
  </si>
  <si>
    <t>TORRE B5</t>
  </si>
  <si>
    <t>TORRE B6</t>
  </si>
  <si>
    <t>PT178 - PLATAFORMA DE ACESSO - FORQUILHA 3 - DETALHADO</t>
  </si>
  <si>
    <t>PT178 - ESTRUTURA METÁLICA E FUNDAÇÃO - PLATAFORMAS DE ACESSO LIFT LINE SPIDER - BÁSICO</t>
  </si>
  <si>
    <t>PT178 - ESTRUTURA METÁLICA E FUNDAÇÃO - PLATAFORMAS DE ACESSO LIFT LINE SPIDER - DETALHADO</t>
  </si>
  <si>
    <t>Prazo</t>
  </si>
  <si>
    <t>Falta de recurso</t>
  </si>
  <si>
    <t>Qualidade de Entrega</t>
  </si>
  <si>
    <t>TR-325K-09</t>
  </si>
  <si>
    <t>TR-315K-09</t>
  </si>
  <si>
    <t>Projeto Conceitual</t>
  </si>
  <si>
    <t>MARCO - Emissão do Conceito</t>
  </si>
  <si>
    <t>Aprovação do Conceitual</t>
  </si>
  <si>
    <t>TR-315K-08</t>
  </si>
  <si>
    <t>Atendimento a comentários</t>
  </si>
  <si>
    <t>Atendimento a Cementários</t>
  </si>
  <si>
    <t>MARCO - Emissão Inicial (Rev_B_)</t>
  </si>
  <si>
    <t>Rogério</t>
  </si>
  <si>
    <t>Programa Júlio para exectação do projeto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</si>
</sst>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2C4594"/>
      <name val="Calibri"/>
      <family val="2"/>
      <scheme val="minor"/>
    </font>
    <font>
      <b/>
      <sz val="16"/>
      <color rgb="FF5D914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6"/>
      <color rgb="FFA5A8A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375623"/>
      <name val="Calibri"/>
      <family val="2"/>
      <scheme val="minor"/>
    </font>
    <font>
      <sz val="11"/>
      <color rgb="FF3756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2C4594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3BC385"/>
      <name val="Calibri"/>
      <family val="2"/>
      <scheme val="minor"/>
    </font>
    <font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4594"/>
        <bgColor indexed="64"/>
      </patternFill>
    </fill>
    <fill>
      <patternFill patternType="solid">
        <fgColor rgb="FF2C94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0326A"/>
        <bgColor indexed="64"/>
      </patternFill>
    </fill>
    <fill>
      <patternFill patternType="solid">
        <fgColor rgb="FF3B5CC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8F2"/>
        <bgColor indexed="64"/>
      </patternFill>
    </fill>
    <fill>
      <patternFill patternType="solid">
        <fgColor rgb="FF5A76CE"/>
        <bgColor indexed="64"/>
      </patternFill>
    </fill>
    <fill>
      <patternFill patternType="solid">
        <fgColor rgb="FF889CD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8C4EA"/>
        <bgColor indexed="64"/>
      </patternFill>
    </fill>
    <fill>
      <patternFill patternType="solid">
        <fgColor rgb="FFCCD5F0"/>
        <bgColor indexed="64"/>
      </patternFill>
    </fill>
    <fill>
      <patternFill patternType="solid">
        <fgColor rgb="FFA5A8A6"/>
        <bgColor indexed="64"/>
      </patternFill>
    </fill>
    <fill>
      <patternFill patternType="solid">
        <fgColor rgb="FFD5E5D1"/>
        <bgColor indexed="64"/>
      </patternFill>
    </fill>
  </fills>
  <borders count="62">
    <border>
      <left/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rgb="FF2C4594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theme="2"/>
      </bottom>
      <diagonal/>
    </border>
    <border>
      <left/>
      <right style="thin">
        <color rgb="FF2C4594"/>
      </right>
      <top/>
      <bottom/>
      <diagonal/>
    </border>
    <border>
      <left style="thin">
        <color theme="2"/>
      </left>
      <right style="thin">
        <color rgb="FF2C4594"/>
      </right>
      <top/>
      <bottom/>
      <diagonal/>
    </border>
    <border>
      <left style="thin">
        <color rgb="FF2C4594"/>
      </left>
      <right style="thin">
        <color rgb="FF2C4594"/>
      </right>
      <top style="thin">
        <color rgb="FF2C4594"/>
      </top>
      <bottom/>
      <diagonal/>
    </border>
    <border>
      <left style="medium">
        <color rgb="FF2C4594"/>
      </left>
      <right/>
      <top style="medium">
        <color rgb="FF2C4594"/>
      </top>
      <bottom/>
      <diagonal/>
    </border>
    <border>
      <left/>
      <right/>
      <top style="medium">
        <color rgb="FF2C4594"/>
      </top>
      <bottom/>
      <diagonal/>
    </border>
    <border>
      <left/>
      <right style="medium">
        <color rgb="FF2C4594"/>
      </right>
      <top style="medium">
        <color rgb="FF2C4594"/>
      </top>
      <bottom/>
      <diagonal/>
    </border>
    <border>
      <left style="medium">
        <color rgb="FF2C4594"/>
      </left>
      <right/>
      <top/>
      <bottom/>
      <diagonal/>
    </border>
    <border>
      <left/>
      <right style="medium">
        <color rgb="FF2C4594"/>
      </right>
      <top/>
      <bottom/>
      <diagonal/>
    </border>
    <border>
      <left style="medium">
        <color rgb="FF2C4594"/>
      </left>
      <right/>
      <top/>
      <bottom style="medium">
        <color rgb="FF2C4594"/>
      </bottom>
      <diagonal/>
    </border>
    <border>
      <left/>
      <right/>
      <top/>
      <bottom style="medium">
        <color rgb="FF2C4594"/>
      </bottom>
      <diagonal/>
    </border>
    <border>
      <left/>
      <right style="medium">
        <color rgb="FF2C4594"/>
      </right>
      <top/>
      <bottom style="medium">
        <color rgb="FF2C4594"/>
      </bottom>
      <diagonal/>
    </border>
    <border>
      <left/>
      <right/>
      <top/>
      <bottom style="thin">
        <color rgb="FF2C4594"/>
      </bottom>
      <diagonal/>
    </border>
    <border>
      <left style="medium">
        <color rgb="FF2C9449"/>
      </left>
      <right/>
      <top style="medium">
        <color rgb="FF2C9449"/>
      </top>
      <bottom/>
      <diagonal/>
    </border>
    <border>
      <left/>
      <right/>
      <top style="medium">
        <color rgb="FF2C9449"/>
      </top>
      <bottom/>
      <diagonal/>
    </border>
    <border>
      <left/>
      <right style="medium">
        <color rgb="FF2C9449"/>
      </right>
      <top style="medium">
        <color rgb="FF2C9449"/>
      </top>
      <bottom/>
      <diagonal/>
    </border>
    <border>
      <left style="medium">
        <color rgb="FF2C9449"/>
      </left>
      <right/>
      <top/>
      <bottom/>
      <diagonal/>
    </border>
    <border>
      <left/>
      <right style="medium">
        <color rgb="FF2C9449"/>
      </right>
      <top/>
      <bottom/>
      <diagonal/>
    </border>
    <border>
      <left style="medium">
        <color rgb="FF2C9449"/>
      </left>
      <right/>
      <top/>
      <bottom style="medium">
        <color rgb="FF2C9449"/>
      </bottom>
      <diagonal/>
    </border>
    <border>
      <left/>
      <right/>
      <top/>
      <bottom style="medium">
        <color rgb="FF2C9449"/>
      </bottom>
      <diagonal/>
    </border>
    <border>
      <left/>
      <right style="medium">
        <color rgb="FF2C9449"/>
      </right>
      <top/>
      <bottom style="medium">
        <color rgb="FF2C9449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rgb="FFB1BBCC"/>
      </bottom>
      <diagonal/>
    </border>
    <border>
      <left/>
      <right/>
      <top/>
      <bottom style="thin">
        <color rgb="FFB1BBCC"/>
      </bottom>
      <diagonal/>
    </border>
    <border>
      <left/>
      <right style="thin">
        <color theme="2"/>
      </right>
      <top/>
      <bottom style="thin">
        <color rgb="FFB1BB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C4594"/>
      </left>
      <right/>
      <top style="thin">
        <color rgb="FF2C4594"/>
      </top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rgb="FFB1BBCC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03">
    <xf numFmtId="0" fontId="0" fillId="0" borderId="0" xfId="0"/>
    <xf numFmtId="0" fontId="0" fillId="2" borderId="0" xfId="0" applyFill="1"/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 applyProtection="1">
      <alignment horizontal="center" vertical="center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9" fontId="1" fillId="4" borderId="12" xfId="0" applyNumberFormat="1" applyFont="1" applyFill="1" applyBorder="1" applyAlignment="1" applyProtection="1">
      <alignment horizontal="center" vertical="center"/>
      <protection locked="0"/>
    </xf>
    <xf numFmtId="9" fontId="1" fillId="4" borderId="13" xfId="0" applyNumberFormat="1" applyFont="1" applyFill="1" applyBorder="1" applyAlignment="1" applyProtection="1">
      <alignment horizontal="center" vertical="center"/>
      <protection locked="0"/>
    </xf>
    <xf numFmtId="9" fontId="1" fillId="4" borderId="16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Protection="1">
      <protection locked="0"/>
    </xf>
    <xf numFmtId="0" fontId="0" fillId="6" borderId="0" xfId="0" applyFill="1" applyProtection="1">
      <protection locked="0"/>
    </xf>
    <xf numFmtId="0" fontId="1" fillId="5" borderId="17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9" fontId="1" fillId="4" borderId="18" xfId="0" applyNumberFormat="1" applyFont="1" applyFill="1" applyBorder="1" applyAlignment="1" applyProtection="1">
      <alignment horizontal="center" vertical="center"/>
      <protection locked="0"/>
    </xf>
    <xf numFmtId="9" fontId="1" fillId="4" borderId="14" xfId="0" applyNumberFormat="1" applyFont="1" applyFill="1" applyBorder="1" applyAlignment="1" applyProtection="1">
      <alignment horizontal="center" vertical="center"/>
      <protection locked="0"/>
    </xf>
    <xf numFmtId="0" fontId="1" fillId="5" borderId="19" xfId="0" applyFont="1" applyFill="1" applyBorder="1" applyAlignment="1" applyProtection="1">
      <alignment horizontal="center" vertical="center"/>
      <protection locked="0"/>
    </xf>
    <xf numFmtId="0" fontId="1" fillId="5" borderId="20" xfId="0" applyFont="1" applyFill="1" applyBorder="1" applyAlignment="1" applyProtection="1">
      <alignment horizontal="center" vertical="center"/>
      <protection locked="0"/>
    </xf>
    <xf numFmtId="0" fontId="0" fillId="6" borderId="0" xfId="0" applyFill="1"/>
    <xf numFmtId="0" fontId="7" fillId="4" borderId="22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4" fontId="3" fillId="0" borderId="21" xfId="0" applyNumberFormat="1" applyFont="1" applyBorder="1" applyAlignment="1">
      <alignment horizontal="center" vertical="center"/>
    </xf>
    <xf numFmtId="0" fontId="0" fillId="0" borderId="35" xfId="0" applyBorder="1" applyProtection="1">
      <protection locked="0"/>
    </xf>
    <xf numFmtId="0" fontId="8" fillId="2" borderId="2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7" fillId="4" borderId="26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14" fontId="3" fillId="8" borderId="21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11" fillId="9" borderId="44" xfId="0" applyFont="1" applyFill="1" applyBorder="1" applyAlignment="1">
      <alignment vertical="center" wrapText="1"/>
    </xf>
    <xf numFmtId="0" fontId="11" fillId="6" borderId="44" xfId="0" applyFont="1" applyFill="1" applyBorder="1" applyAlignment="1">
      <alignment vertical="center" wrapText="1"/>
    </xf>
    <xf numFmtId="0" fontId="11" fillId="10" borderId="44" xfId="0" applyFont="1" applyFill="1" applyBorder="1" applyAlignment="1">
      <alignment vertical="center" wrapText="1"/>
    </xf>
    <xf numFmtId="0" fontId="12" fillId="11" borderId="44" xfId="0" applyFont="1" applyFill="1" applyBorder="1" applyAlignment="1">
      <alignment vertical="center" wrapText="1"/>
    </xf>
    <xf numFmtId="0" fontId="13" fillId="12" borderId="44" xfId="0" applyFont="1" applyFill="1" applyBorder="1" applyAlignment="1">
      <alignment vertical="center" wrapText="1"/>
    </xf>
    <xf numFmtId="0" fontId="14" fillId="11" borderId="44" xfId="0" applyFont="1" applyFill="1" applyBorder="1" applyAlignment="1">
      <alignment vertical="center" wrapText="1"/>
    </xf>
    <xf numFmtId="0" fontId="11" fillId="13" borderId="44" xfId="0" applyFont="1" applyFill="1" applyBorder="1" applyAlignment="1">
      <alignment vertical="center" wrapText="1"/>
    </xf>
    <xf numFmtId="0" fontId="11" fillId="14" borderId="44" xfId="0" applyFont="1" applyFill="1" applyBorder="1" applyAlignment="1">
      <alignment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13" fillId="11" borderId="44" xfId="0" applyFont="1" applyFill="1" applyBorder="1" applyAlignment="1">
      <alignment vertical="center" wrapText="1"/>
    </xf>
    <xf numFmtId="0" fontId="15" fillId="0" borderId="0" xfId="0" applyFont="1"/>
    <xf numFmtId="0" fontId="16" fillId="2" borderId="44" xfId="0" applyFont="1" applyFill="1" applyBorder="1" applyAlignment="1">
      <alignment horizontal="center" vertical="center"/>
    </xf>
    <xf numFmtId="0" fontId="7" fillId="11" borderId="44" xfId="0" applyFont="1" applyFill="1" applyBorder="1" applyAlignment="1">
      <alignment vertical="center" wrapText="1"/>
    </xf>
    <xf numFmtId="0" fontId="15" fillId="0" borderId="52" xfId="0" applyFont="1" applyBorder="1" applyAlignment="1">
      <alignment horizontal="center" vertical="center"/>
    </xf>
    <xf numFmtId="10" fontId="15" fillId="0" borderId="52" xfId="0" applyNumberFormat="1" applyFont="1" applyBorder="1" applyAlignment="1">
      <alignment horizontal="center" vertical="center"/>
    </xf>
    <xf numFmtId="9" fontId="0" fillId="0" borderId="0" xfId="1" applyFont="1"/>
    <xf numFmtId="0" fontId="15" fillId="0" borderId="53" xfId="0" applyFont="1" applyBorder="1" applyAlignment="1">
      <alignment horizontal="left" vertical="center"/>
    </xf>
    <xf numFmtId="0" fontId="15" fillId="0" borderId="54" xfId="0" applyFont="1" applyBorder="1" applyAlignment="1">
      <alignment horizontal="left" vertical="center"/>
    </xf>
    <xf numFmtId="0" fontId="15" fillId="0" borderId="55" xfId="0" applyFont="1" applyBorder="1" applyAlignment="1">
      <alignment horizontal="left" vertical="center"/>
    </xf>
    <xf numFmtId="0" fontId="18" fillId="0" borderId="0" xfId="0" applyFont="1"/>
    <xf numFmtId="0" fontId="22" fillId="0" borderId="0" xfId="0" applyFont="1"/>
    <xf numFmtId="0" fontId="3" fillId="0" borderId="4" xfId="0" applyFont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14" fillId="2" borderId="44" xfId="0" applyFont="1" applyFill="1" applyBorder="1" applyAlignment="1">
      <alignment vertical="center" wrapText="1"/>
    </xf>
    <xf numFmtId="0" fontId="23" fillId="16" borderId="44" xfId="0" applyFont="1" applyFill="1" applyBorder="1" applyAlignment="1">
      <alignment vertical="center" wrapText="1"/>
    </xf>
    <xf numFmtId="0" fontId="23" fillId="17" borderId="44" xfId="0" applyFont="1" applyFill="1" applyBorder="1" applyAlignment="1">
      <alignment vertical="center" wrapText="1"/>
    </xf>
    <xf numFmtId="9" fontId="0" fillId="0" borderId="52" xfId="1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9" fontId="0" fillId="0" borderId="52" xfId="0" applyNumberFormat="1" applyBorder="1" applyAlignment="1">
      <alignment horizontal="center" vertical="center"/>
    </xf>
    <xf numFmtId="16" fontId="0" fillId="5" borderId="0" xfId="0" applyNumberFormat="1" applyFill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25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/>
    </xf>
    <xf numFmtId="0" fontId="2" fillId="6" borderId="23" xfId="0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Alignment="1">
      <alignment horizontal="center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/>
    </xf>
    <xf numFmtId="0" fontId="0" fillId="6" borderId="24" xfId="0" applyFill="1" applyBorder="1" applyAlignment="1">
      <alignment horizontal="center" wrapText="1"/>
    </xf>
    <xf numFmtId="0" fontId="3" fillId="8" borderId="2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wrapText="1"/>
    </xf>
    <xf numFmtId="0" fontId="0" fillId="6" borderId="0" xfId="0" applyFill="1" applyAlignment="1" applyProtection="1">
      <alignment horizontal="center" wrapText="1"/>
      <protection locked="0"/>
    </xf>
    <xf numFmtId="0" fontId="0" fillId="6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ill="1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16" fillId="2" borderId="44" xfId="0" applyFont="1" applyFill="1" applyBorder="1" applyAlignment="1">
      <alignment horizontal="center" vertical="center" wrapText="1"/>
    </xf>
    <xf numFmtId="0" fontId="0" fillId="0" borderId="57" xfId="0" applyBorder="1" applyAlignment="1">
      <alignment wrapText="1"/>
    </xf>
    <xf numFmtId="0" fontId="0" fillId="2" borderId="0" xfId="0" applyFill="1" applyAlignment="1">
      <alignment wrapText="1"/>
    </xf>
    <xf numFmtId="0" fontId="0" fillId="15" borderId="0" xfId="0" applyFill="1" applyAlignment="1">
      <alignment wrapText="1"/>
    </xf>
    <xf numFmtId="0" fontId="0" fillId="15" borderId="57" xfId="0" applyFill="1" applyBorder="1" applyAlignment="1">
      <alignment wrapText="1"/>
    </xf>
    <xf numFmtId="0" fontId="7" fillId="4" borderId="56" xfId="0" applyFont="1" applyFill="1" applyBorder="1" applyAlignment="1">
      <alignment horizontal="center" vertical="center" wrapText="1"/>
    </xf>
    <xf numFmtId="0" fontId="0" fillId="0" borderId="58" xfId="0" applyBorder="1" applyAlignment="1">
      <alignment wrapText="1"/>
    </xf>
    <xf numFmtId="0" fontId="13" fillId="11" borderId="47" xfId="0" applyFont="1" applyFill="1" applyBorder="1" applyAlignment="1">
      <alignment horizontal="center" vertical="center" wrapText="1"/>
    </xf>
    <xf numFmtId="0" fontId="0" fillId="0" borderId="59" xfId="0" applyBorder="1" applyAlignment="1">
      <alignment wrapText="1"/>
    </xf>
    <xf numFmtId="0" fontId="0" fillId="0" borderId="60" xfId="0" applyBorder="1" applyAlignment="1">
      <alignment wrapText="1"/>
    </xf>
    <xf numFmtId="0" fontId="24" fillId="0" borderId="0" xfId="0" applyFont="1"/>
    <xf numFmtId="0" fontId="0" fillId="0" borderId="61" xfId="0" applyBorder="1" applyAlignment="1">
      <alignment horizontal="center" wrapText="1"/>
    </xf>
    <xf numFmtId="0" fontId="18" fillId="0" borderId="0" xfId="0" applyFont="1" applyProtection="1">
      <protection locked="0"/>
    </xf>
    <xf numFmtId="0" fontId="25" fillId="11" borderId="44" xfId="0" applyFont="1" applyFill="1" applyBorder="1" applyAlignment="1">
      <alignment vertical="center" wrapText="1"/>
    </xf>
    <xf numFmtId="16" fontId="16" fillId="2" borderId="44" xfId="0" applyNumberFormat="1" applyFont="1" applyFill="1" applyBorder="1" applyAlignment="1">
      <alignment horizontal="center" vertical="center"/>
    </xf>
    <xf numFmtId="0" fontId="14" fillId="19" borderId="44" xfId="0" applyFont="1" applyFill="1" applyBorder="1" applyAlignment="1">
      <alignment vertical="center" wrapText="1"/>
    </xf>
    <xf numFmtId="0" fontId="13" fillId="11" borderId="45" xfId="0" applyFont="1" applyFill="1" applyBorder="1" applyAlignment="1">
      <alignment horizontal="center" vertical="center" wrapText="1"/>
    </xf>
    <xf numFmtId="0" fontId="13" fillId="11" borderId="46" xfId="0" applyFont="1" applyFill="1" applyBorder="1" applyAlignment="1">
      <alignment horizontal="center" vertical="center" wrapText="1"/>
    </xf>
    <xf numFmtId="0" fontId="13" fillId="11" borderId="47" xfId="0" applyFont="1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0" fillId="12" borderId="47" xfId="0" applyFill="1" applyBorder="1" applyAlignment="1">
      <alignment horizontal="center"/>
    </xf>
    <xf numFmtId="0" fontId="11" fillId="14" borderId="45" xfId="0" applyFont="1" applyFill="1" applyBorder="1" applyAlignment="1">
      <alignment horizontal="center" vertical="center" wrapText="1"/>
    </xf>
    <xf numFmtId="0" fontId="11" fillId="14" borderId="46" xfId="0" applyFont="1" applyFill="1" applyBorder="1" applyAlignment="1">
      <alignment horizontal="center" vertical="center" wrapText="1"/>
    </xf>
    <xf numFmtId="0" fontId="11" fillId="14" borderId="47" xfId="0" applyFont="1" applyFill="1" applyBorder="1" applyAlignment="1">
      <alignment horizontal="center" vertical="center" wrapText="1"/>
    </xf>
    <xf numFmtId="0" fontId="23" fillId="17" borderId="45" xfId="0" applyFont="1" applyFill="1" applyBorder="1" applyAlignment="1">
      <alignment horizontal="center" vertical="center" wrapText="1"/>
    </xf>
    <xf numFmtId="0" fontId="23" fillId="17" borderId="46" xfId="0" applyFont="1" applyFill="1" applyBorder="1" applyAlignment="1">
      <alignment horizontal="center" vertical="center" wrapText="1"/>
    </xf>
    <xf numFmtId="0" fontId="23" fillId="17" borderId="47" xfId="0" applyFont="1" applyFill="1" applyBorder="1" applyAlignment="1">
      <alignment horizontal="center" vertical="center" wrapText="1"/>
    </xf>
    <xf numFmtId="0" fontId="23" fillId="16" borderId="45" xfId="0" applyFont="1" applyFill="1" applyBorder="1" applyAlignment="1">
      <alignment horizontal="center" vertical="center" wrapText="1"/>
    </xf>
    <xf numFmtId="0" fontId="23" fillId="16" borderId="46" xfId="0" applyFont="1" applyFill="1" applyBorder="1" applyAlignment="1">
      <alignment horizontal="center" vertical="center" wrapText="1"/>
    </xf>
    <xf numFmtId="0" fontId="23" fillId="16" borderId="47" xfId="0" applyFont="1" applyFill="1" applyBorder="1" applyAlignment="1">
      <alignment horizontal="center" vertical="center" wrapText="1"/>
    </xf>
    <xf numFmtId="0" fontId="11" fillId="10" borderId="45" xfId="0" applyFont="1" applyFill="1" applyBorder="1" applyAlignment="1">
      <alignment horizontal="center" vertical="center" wrapText="1"/>
    </xf>
    <xf numFmtId="0" fontId="11" fillId="10" borderId="46" xfId="0" applyFont="1" applyFill="1" applyBorder="1" applyAlignment="1">
      <alignment horizontal="center" vertical="center" wrapText="1"/>
    </xf>
    <xf numFmtId="0" fontId="11" fillId="10" borderId="47" xfId="0" applyFont="1" applyFill="1" applyBorder="1" applyAlignment="1">
      <alignment horizontal="center" vertical="center" wrapText="1"/>
    </xf>
    <xf numFmtId="0" fontId="11" fillId="6" borderId="45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11" fillId="6" borderId="47" xfId="0" applyFont="1" applyFill="1" applyBorder="1" applyAlignment="1">
      <alignment horizontal="center" vertical="center" wrapText="1"/>
    </xf>
    <xf numFmtId="0" fontId="23" fillId="12" borderId="45" xfId="0" applyFont="1" applyFill="1" applyBorder="1" applyAlignment="1">
      <alignment horizontal="center" vertical="center" wrapText="1"/>
    </xf>
    <xf numFmtId="0" fontId="23" fillId="12" borderId="46" xfId="0" applyFont="1" applyFill="1" applyBorder="1" applyAlignment="1">
      <alignment horizontal="center" vertical="center" wrapText="1"/>
    </xf>
    <xf numFmtId="0" fontId="23" fillId="12" borderId="47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51" xfId="0" applyFill="1" applyBorder="1" applyAlignment="1">
      <alignment horizontal="center" vertical="center" wrapText="1"/>
    </xf>
    <xf numFmtId="16" fontId="0" fillId="12" borderId="1" xfId="0" applyNumberFormat="1" applyFill="1" applyBorder="1" applyAlignment="1">
      <alignment horizontal="center" vertical="center" wrapText="1"/>
    </xf>
    <xf numFmtId="16" fontId="0" fillId="12" borderId="4" xfId="0" applyNumberFormat="1" applyFill="1" applyBorder="1" applyAlignment="1">
      <alignment horizontal="center"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16" fontId="0" fillId="18" borderId="1" xfId="0" applyNumberFormat="1" applyFill="1" applyBorder="1" applyAlignment="1">
      <alignment horizontal="center" vertical="center" wrapText="1"/>
    </xf>
    <xf numFmtId="16" fontId="0" fillId="18" borderId="4" xfId="0" applyNumberFormat="1" applyFill="1" applyBorder="1" applyAlignment="1">
      <alignment horizontal="center" vertical="center" wrapText="1"/>
    </xf>
    <xf numFmtId="16" fontId="7" fillId="5" borderId="48" xfId="0" applyNumberFormat="1" applyFont="1" applyFill="1" applyBorder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wrapText="1"/>
    </xf>
    <xf numFmtId="16" fontId="7" fillId="5" borderId="2" xfId="0" applyNumberFormat="1" applyFont="1" applyFill="1" applyBorder="1" applyAlignment="1">
      <alignment horizontal="center" vertical="center" wrapText="1"/>
    </xf>
    <xf numFmtId="16" fontId="7" fillId="5" borderId="49" xfId="0" applyNumberFormat="1" applyFont="1" applyFill="1" applyBorder="1" applyAlignment="1">
      <alignment horizontal="center" vertical="center" wrapText="1"/>
    </xf>
    <xf numFmtId="16" fontId="7" fillId="5" borderId="50" xfId="0" applyNumberFormat="1" applyFont="1" applyFill="1" applyBorder="1" applyAlignment="1">
      <alignment horizontal="center" vertical="center" wrapText="1"/>
    </xf>
    <xf numFmtId="16" fontId="7" fillId="5" borderId="51" xfId="0" applyNumberFormat="1" applyFont="1" applyFill="1" applyBorder="1" applyAlignment="1">
      <alignment horizontal="center" vertical="center" wrapText="1"/>
    </xf>
    <xf numFmtId="0" fontId="15" fillId="0" borderId="52" xfId="0" applyFont="1" applyBorder="1" applyAlignment="1">
      <alignment horizontal="center" vertical="center"/>
    </xf>
    <xf numFmtId="0" fontId="15" fillId="0" borderId="52" xfId="0" applyFont="1" applyBorder="1" applyAlignment="1">
      <alignment horizontal="left" vertical="center"/>
    </xf>
    <xf numFmtId="0" fontId="15" fillId="0" borderId="53" xfId="0" applyFont="1" applyBorder="1" applyAlignment="1">
      <alignment horizontal="left" vertical="center"/>
    </xf>
    <xf numFmtId="0" fontId="15" fillId="0" borderId="54" xfId="0" applyFont="1" applyBorder="1" applyAlignment="1">
      <alignment horizontal="left" vertical="center"/>
    </xf>
    <xf numFmtId="0" fontId="15" fillId="0" borderId="55" xfId="0" applyFont="1" applyBorder="1" applyAlignment="1">
      <alignment horizontal="left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6" fontId="2" fillId="7" borderId="3" xfId="0" applyNumberFormat="1" applyFont="1" applyFill="1" applyBorder="1" applyAlignment="1" applyProtection="1">
      <alignment horizontal="center" vertical="center" wrapText="1"/>
      <protection locked="0"/>
    </xf>
    <xf numFmtId="16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16" fontId="2" fillId="6" borderId="5" xfId="0" applyNumberFormat="1" applyFont="1" applyFill="1" applyBorder="1" applyAlignment="1">
      <alignment horizontal="center" vertical="center"/>
    </xf>
    <xf numFmtId="16" fontId="2" fillId="6" borderId="48" xfId="0" applyNumberFormat="1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16" fontId="9" fillId="6" borderId="3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1" fillId="9" borderId="45" xfId="0" applyFont="1" applyFill="1" applyBorder="1" applyAlignment="1">
      <alignment horizontal="center" vertical="center" wrapText="1"/>
    </xf>
    <xf numFmtId="0" fontId="11" fillId="9" borderId="46" xfId="0" applyFont="1" applyFill="1" applyBorder="1" applyAlignment="1">
      <alignment horizontal="center" vertical="center" wrapText="1"/>
    </xf>
    <xf numFmtId="0" fontId="11" fillId="9" borderId="47" xfId="0" applyFont="1" applyFill="1" applyBorder="1" applyAlignment="1">
      <alignment horizontal="center" vertical="center" wrapText="1"/>
    </xf>
    <xf numFmtId="0" fontId="19" fillId="0" borderId="53" xfId="0" applyFont="1" applyBorder="1" applyAlignment="1">
      <alignment horizontal="left" vertical="center"/>
    </xf>
    <xf numFmtId="0" fontId="19" fillId="0" borderId="54" xfId="0" applyFont="1" applyBorder="1" applyAlignment="1">
      <alignment horizontal="left" vertical="center"/>
    </xf>
    <xf numFmtId="0" fontId="19" fillId="0" borderId="55" xfId="0" applyFont="1" applyBorder="1" applyAlignment="1">
      <alignment horizontal="left" vertical="center"/>
    </xf>
    <xf numFmtId="0" fontId="21" fillId="0" borderId="53" xfId="0" applyFont="1" applyBorder="1" applyAlignment="1">
      <alignment horizontal="left" vertical="center"/>
    </xf>
    <xf numFmtId="0" fontId="21" fillId="0" borderId="54" xfId="0" applyFont="1" applyBorder="1" applyAlignment="1">
      <alignment horizontal="left" vertical="center"/>
    </xf>
    <xf numFmtId="0" fontId="21" fillId="0" borderId="55" xfId="0" applyFont="1" applyBorder="1" applyAlignment="1">
      <alignment horizontal="left" vertical="center"/>
    </xf>
    <xf numFmtId="0" fontId="20" fillId="0" borderId="53" xfId="0" applyFont="1" applyBorder="1" applyAlignment="1">
      <alignment horizontal="left" vertical="center"/>
    </xf>
    <xf numFmtId="0" fontId="20" fillId="0" borderId="54" xfId="0" applyFont="1" applyBorder="1" applyAlignment="1">
      <alignment horizontal="left" vertical="center"/>
    </xf>
    <xf numFmtId="0" fontId="20" fillId="0" borderId="55" xfId="0" applyFont="1" applyBorder="1" applyAlignment="1">
      <alignment horizontal="left" vertical="center"/>
    </xf>
    <xf numFmtId="0" fontId="11" fillId="13" borderId="45" xfId="0" applyFont="1" applyFill="1" applyBorder="1" applyAlignment="1">
      <alignment horizontal="center" vertical="center" wrapText="1"/>
    </xf>
    <xf numFmtId="0" fontId="11" fillId="13" borderId="46" xfId="0" applyFont="1" applyFill="1" applyBorder="1" applyAlignment="1">
      <alignment horizontal="center" vertical="center" wrapText="1"/>
    </xf>
    <xf numFmtId="0" fontId="11" fillId="13" borderId="47" xfId="0" applyFont="1" applyFill="1" applyBorder="1" applyAlignment="1">
      <alignment horizontal="center" vertical="center" wrapText="1"/>
    </xf>
    <xf numFmtId="16" fontId="0" fillId="5" borderId="24" xfId="0" applyNumberForma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 wrapText="1"/>
    </xf>
    <xf numFmtId="16" fontId="0" fillId="5" borderId="0" xfId="0" applyNumberFormat="1" applyFill="1" applyAlignment="1">
      <alignment horizontal="center" vertical="center" wrapText="1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0" fontId="6" fillId="6" borderId="2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31" xfId="0" applyFont="1" applyFill="1" applyBorder="1" applyAlignment="1" applyProtection="1">
      <alignment horizontal="center" vertical="center"/>
      <protection locked="0"/>
    </xf>
    <xf numFmtId="0" fontId="6" fillId="6" borderId="32" xfId="0" applyFont="1" applyFill="1" applyBorder="1" applyAlignment="1" applyProtection="1">
      <alignment horizontal="center" vertical="center"/>
      <protection locked="0"/>
    </xf>
    <xf numFmtId="0" fontId="6" fillId="6" borderId="33" xfId="0" applyFont="1" applyFill="1" applyBorder="1" applyAlignment="1" applyProtection="1">
      <alignment horizontal="center" vertical="center"/>
      <protection locked="0"/>
    </xf>
    <xf numFmtId="0" fontId="6" fillId="6" borderId="34" xfId="0" applyFont="1" applyFill="1" applyBorder="1" applyAlignment="1" applyProtection="1">
      <alignment horizontal="center" vertical="center"/>
      <protection locked="0"/>
    </xf>
    <xf numFmtId="0" fontId="6" fillId="7" borderId="36" xfId="0" applyFont="1" applyFill="1" applyBorder="1" applyAlignment="1" applyProtection="1">
      <alignment horizontal="center" vertical="center"/>
      <protection locked="0"/>
    </xf>
    <xf numFmtId="0" fontId="6" fillId="7" borderId="37" xfId="0" applyFont="1" applyFill="1" applyBorder="1" applyAlignment="1" applyProtection="1">
      <alignment horizontal="center" vertical="center"/>
      <protection locked="0"/>
    </xf>
    <xf numFmtId="0" fontId="6" fillId="7" borderId="38" xfId="0" applyFont="1" applyFill="1" applyBorder="1" applyAlignment="1" applyProtection="1">
      <alignment horizontal="center" vertical="center"/>
      <protection locked="0"/>
    </xf>
    <xf numFmtId="0" fontId="6" fillId="7" borderId="39" xfId="0" applyFont="1" applyFill="1" applyBorder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40" xfId="0" applyFont="1" applyFill="1" applyBorder="1" applyAlignment="1" applyProtection="1">
      <alignment horizontal="center" vertical="center"/>
      <protection locked="0"/>
    </xf>
    <xf numFmtId="0" fontId="6" fillId="7" borderId="41" xfId="0" applyFont="1" applyFill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 applyProtection="1">
      <alignment horizontal="center" vertical="center"/>
      <protection locked="0"/>
    </xf>
    <xf numFmtId="0" fontId="6" fillId="7" borderId="43" xfId="0" applyFont="1" applyFill="1" applyBorder="1" applyAlignment="1" applyProtection="1">
      <alignment horizontal="center" vertical="center"/>
      <protection locked="0"/>
    </xf>
    <xf numFmtId="16" fontId="10" fillId="2" borderId="30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3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1338">
    <dxf>
      <font>
        <color rgb="FF5D9145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rgb="FF5D9145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</font>
    </dxf>
    <dxf>
      <font>
        <b val="0"/>
        <i val="0"/>
        <color auto="1"/>
      </font>
    </dxf>
    <dxf>
      <font>
        <b/>
        <i val="0"/>
      </font>
    </dxf>
    <dxf>
      <font>
        <b val="0"/>
        <i val="0"/>
        <color auto="1"/>
      </font>
    </dxf>
  </dxfs>
  <tableStyles count="2" defaultTableStyle="TableStyleMedium2" defaultPivotStyle="PivotStyleLight16">
    <tableStyle name="Estilo de Segmentação de Dados 1" pivot="0" table="0" count="5" xr9:uid="{704B59EC-0DE0-421C-BE23-BCF915879D2C}">
      <tableStyleElement type="wholeTable" dxfId="1337"/>
      <tableStyleElement type="headerRow" dxfId="1336"/>
    </tableStyle>
    <tableStyle name="Estilo de Segmentação de Dados 1 2" pivot="0" table="0" count="5" xr9:uid="{ADA87C23-2F0C-4DF3-895A-21CE9CA9E690}">
      <tableStyleElement type="wholeTable" dxfId="1335"/>
      <tableStyleElement type="headerRow" dxfId="1334"/>
    </tableStyle>
  </tableStyles>
  <colors>
    <mruColors>
      <color rgb="FFF4F8F2"/>
      <color rgb="FFD5E5D1"/>
      <color rgb="FF3BC385"/>
      <color rgb="FF2C4594"/>
      <color rgb="FF211E5D"/>
      <color rgb="FF2C9449"/>
      <color rgb="FFA5A8A6"/>
      <color rgb="FF07485C"/>
      <color rgb="FF5D9145"/>
      <color rgb="FF472F91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7030A0"/>
            </patternFill>
          </fill>
        </dxf>
        <dxf>
          <fill>
            <patternFill>
              <bgColor theme="2"/>
            </patternFill>
          </fill>
        </dxf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2C4594"/>
            </patternFill>
          </fill>
        </dxf>
        <dxf>
          <fill>
            <patternFill>
              <bgColor theme="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C-41F7-8743-D301F03D107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EC-41F7-8743-D301F03D107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75-4765-BED0-61933FE6F8B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C-41F7-8743-D301F03D107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2EC-41F7-8743-D301F03D107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CB6-4A3F-B288-90719D9AB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ADERÊNCIA!$B$13:$G$13</c:f>
              <c:numCache>
                <c:formatCode>0%</c:formatCode>
                <c:ptCount val="6"/>
                <c:pt idx="0">
                  <c:v>0</c:v>
                </c:pt>
                <c:pt idx="1">
                  <c:v>0.37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41F7-8743-D301F03D10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ADERÊNCIA!$B$14:$G$14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B6-4A3F-B288-90719D9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>
          <a:alpha val="97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A1-49FE-991C-289004721C6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A1-49FE-991C-289004721C6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A1-49FE-991C-289004721C6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A1-49FE-991C-289004721C6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94-43A6-BBB4-607AD21EC147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97B-439F-A288-A7906625DAC6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A1-49FE-991C-28900472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ADERÊNCIA!$B$50:$G$50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A1-49FE-991C-289004721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7B-439F-A288-A7906625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DCC-48F3-BF06-79D4F2E64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CC-48F3-BF06-79D4F2E6403C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9-498C-86DE-02180584722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9-498C-86DE-02180584722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DCC-48F3-BF06-79D4F2E6403C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BF8-4E7C-903D-3427DE664F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ADERÊNCIA!$B$74:$G$74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9-498C-86DE-021805847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E7C-903D-3427DE66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23-4A36-8220-BAE534BB9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23-4A36-8220-BAE534BB9CF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36E-4DE0-94F9-7E52BA8D098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523-4A36-8220-BAE534BB9CF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523-4A36-8220-BAE534BB9CFA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AB-468B-A94C-5BC7F4A3FECA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23-4A36-8220-BAE534BB9CFA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23-4A36-8220-BAE534BB9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ADERÊNCIA!$B$34:$G$34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0.2109704641350211</c:v>
                </c:pt>
                <c:pt idx="4">
                  <c:v>0.4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3-4A36-8220-BAE534BB9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AA-4DFE-9752-705AEDCF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49-405C-9A02-C4BD354BAD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49-405C-9A02-C4BD354BADA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AE-4104-898C-0B704422A6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49-405C-9A02-C4BD354BADA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49-405C-9A02-C4BD354BADAE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18A-446A-A392-F56CCA8CE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ADERÊNCIA!$B$58:$G$58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0.16473317865429235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9-405C-9A02-C4BD354BAD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65-458C-B372-5682BEFB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7-468B-997F-0DAE0397A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7-468B-997F-0DAE0397AA62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8C0-489B-9904-1528924EF6C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7-468B-997F-0DAE0397AA62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27-468B-997F-0DAE0397AA62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AFE-44FC-A20D-5335EF534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ADERÊNCIA!$B$85:$G$85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0.12519561815336464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7-468B-997F-0DAE0397AA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07-41C5-88B7-015A432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24-4563-AC29-49A28C2E78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24-4563-AC29-49A28C2E78FB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4F24-4563-AC29-49A28C2E78FB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24-4563-AC29-49A28C2E78FB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24-4563-AC29-49A28C2E78FB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24-4563-AC29-49A28C2E78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ADERÊNCIA!$B$100:$G$100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1.4423076923076924E-2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451E-B59C-B24042280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24-4563-AC29-49A28C2E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ADER&#202;NCIA!A1"/><Relationship Id="rId6" Type="http://schemas.openxmlformats.org/officeDocument/2006/relationships/image" Target="../media/image4.svg"/><Relationship Id="rId11" Type="http://schemas.openxmlformats.org/officeDocument/2006/relationships/hyperlink" Target="#'% DE DESVIO'!A1"/><Relationship Id="rId5" Type="http://schemas.openxmlformats.org/officeDocument/2006/relationships/image" Target="../media/image3.png"/><Relationship Id="rId10" Type="http://schemas.microsoft.com/office/2007/relationships/hdphoto" Target="../media/hdphoto2.wdp"/><Relationship Id="rId4" Type="http://schemas.openxmlformats.org/officeDocument/2006/relationships/hyperlink" Target="#'PA ROGERIO'!A1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image" Target="../media/image4.sv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image" Target="../media/image2.png"/><Relationship Id="rId10" Type="http://schemas.openxmlformats.org/officeDocument/2006/relationships/image" Target="../media/image6.png"/><Relationship Id="rId4" Type="http://schemas.openxmlformats.org/officeDocument/2006/relationships/hyperlink" Target="#ROGERIO!A1"/><Relationship Id="rId9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hyperlink" Target="#ROGERIO!A1"/><Relationship Id="rId17" Type="http://schemas.microsoft.com/office/2007/relationships/hdphoto" Target="../media/hdphoto2.wdp"/><Relationship Id="rId2" Type="http://schemas.openxmlformats.org/officeDocument/2006/relationships/chart" Target="../charts/chart2.xml"/><Relationship Id="rId16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07/relationships/hdphoto" Target="../media/hdphoto3.wdp"/><Relationship Id="rId5" Type="http://schemas.openxmlformats.org/officeDocument/2006/relationships/chart" Target="../charts/chart5.xml"/><Relationship Id="rId15" Type="http://schemas.microsoft.com/office/2007/relationships/hdphoto" Target="../media/hdphoto1.wdp"/><Relationship Id="rId10" Type="http://schemas.openxmlformats.org/officeDocument/2006/relationships/image" Target="../media/image8.png"/><Relationship Id="rId4" Type="http://schemas.openxmlformats.org/officeDocument/2006/relationships/chart" Target="../charts/chart4.xml"/><Relationship Id="rId9" Type="http://schemas.openxmlformats.org/officeDocument/2006/relationships/hyperlink" Target="#ADER&#202;NCIA!A1"/><Relationship Id="rId1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52317</xdr:colOff>
      <xdr:row>3</xdr:row>
      <xdr:rowOff>171450</xdr:rowOff>
    </xdr:from>
    <xdr:to>
      <xdr:col>1</xdr:col>
      <xdr:colOff>4794251</xdr:colOff>
      <xdr:row>4</xdr:row>
      <xdr:rowOff>142875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75C0968-EBAE-477A-8BFA-C51B3637DDD1}"/>
            </a:ext>
          </a:extLst>
        </xdr:cNvPr>
        <xdr:cNvSpPr/>
      </xdr:nvSpPr>
      <xdr:spPr>
        <a:xfrm>
          <a:off x="52317" y="901700"/>
          <a:ext cx="4741934" cy="415925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ROGERIO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30</xdr:col>
      <xdr:colOff>49145</xdr:colOff>
      <xdr:row>3</xdr:row>
      <xdr:rowOff>66912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E7B3725F-39C7-A417-1BF1-818FE98A4DC0}"/>
            </a:ext>
          </a:extLst>
        </xdr:cNvPr>
        <xdr:cNvGrpSpPr/>
      </xdr:nvGrpSpPr>
      <xdr:grpSpPr>
        <a:xfrm>
          <a:off x="0" y="0"/>
          <a:ext cx="20845106" cy="808419"/>
          <a:chOff x="0" y="0"/>
          <a:chExt cx="19813520" cy="809302"/>
        </a:xfrm>
      </xdr:grpSpPr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C5BD0C0D-6E69-F869-9C2B-8C6B75C2F4D3}"/>
              </a:ext>
            </a:extLst>
          </xdr:cNvPr>
          <xdr:cNvGrpSpPr/>
        </xdr:nvGrpSpPr>
        <xdr:grpSpPr>
          <a:xfrm>
            <a:off x="0" y="0"/>
            <a:ext cx="19813520" cy="809302"/>
            <a:chOff x="0" y="0"/>
            <a:chExt cx="19664666" cy="814021"/>
          </a:xfrm>
        </xdr:grpSpPr>
        <xdr:sp macro="[0]!Agrupar43_Clique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858B4431-ABAC-6F94-C57D-D9F3CBB3A7EE}"/>
                </a:ext>
              </a:extLst>
            </xdr:cNvPr>
            <xdr:cNvSpPr/>
          </xdr:nvSpPr>
          <xdr:spPr>
            <a:xfrm>
              <a:off x="0" y="0"/>
              <a:ext cx="19664666" cy="814021"/>
            </a:xfrm>
            <a:prstGeom prst="rect">
              <a:avLst/>
            </a:prstGeom>
            <a:solidFill>
              <a:srgbClr val="2C4594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52" name="Agrupar 51">
              <a:extLst>
                <a:ext uri="{FF2B5EF4-FFF2-40B4-BE49-F238E27FC236}">
                  <a16:creationId xmlns:a16="http://schemas.microsoft.com/office/drawing/2014/main" id="{F21EFA55-76F6-1FD7-C9EF-7F5F029DFDEC}"/>
                </a:ext>
              </a:extLst>
            </xdr:cNvPr>
            <xdr:cNvGrpSpPr/>
          </xdr:nvGrpSpPr>
          <xdr:grpSpPr>
            <a:xfrm>
              <a:off x="14898859" y="264150"/>
              <a:ext cx="774107" cy="306456"/>
              <a:chOff x="16683879" y="257175"/>
              <a:chExt cx="771526" cy="323850"/>
            </a:xfrm>
          </xdr:grpSpPr>
          <xdr:sp macro="[0]!Agrupar43_Clique" textlink="">
            <xdr:nvSpPr>
              <xdr:cNvPr id="61" name="Retângulo: Cantos Arredondados 60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6FE5E2F8-94E1-A5B8-A6FE-C78DFA441F6E}"/>
                  </a:ext>
                </a:extLst>
              </xdr:cNvPr>
              <xdr:cNvSpPr/>
            </xdr:nvSpPr>
            <xdr:spPr>
              <a:xfrm>
                <a:off x="16683879" y="25717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 macro="[0]!Agrupar43_Clique">
            <xdr:nvPicPr>
              <xdr:cNvPr id="62" name="Imagem 61" descr="ícones Do Computador, Gráfico, Gráfico De Barras png transparente grátis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60758FD-2FFB-28C1-9666-57247633F02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>
                <a:clrChange>
                  <a:clrFrom>
                    <a:srgbClr val="EDEDED"/>
                  </a:clrFrom>
                  <a:clrTo>
                    <a:srgbClr val="EDEDED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6826734" y="295277"/>
                <a:ext cx="504825" cy="2762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grpSp>
          <xdr:nvGrpSpPr>
            <xdr:cNvPr id="58" name="Agrupar 57">
              <a:extLst>
                <a:ext uri="{FF2B5EF4-FFF2-40B4-BE49-F238E27FC236}">
                  <a16:creationId xmlns:a16="http://schemas.microsoft.com/office/drawing/2014/main" id="{E0CF7BF1-0AD8-873B-DEF0-C4B88BA1651D}"/>
                </a:ext>
              </a:extLst>
            </xdr:cNvPr>
            <xdr:cNvGrpSpPr/>
          </xdr:nvGrpSpPr>
          <xdr:grpSpPr>
            <a:xfrm>
              <a:off x="13931864" y="263768"/>
              <a:ext cx="805960" cy="307732"/>
              <a:chOff x="13931864" y="293076"/>
              <a:chExt cx="805960" cy="307732"/>
            </a:xfrm>
          </xdr:grpSpPr>
          <xdr:sp macro="[0]!Agrupar43_Clique" textlink="">
            <xdr:nvSpPr>
              <xdr:cNvPr id="59" name="Retângulo: Cantos Arredondados 58">
                <a:extLst>
                  <a:ext uri="{FF2B5EF4-FFF2-40B4-BE49-F238E27FC236}">
                    <a16:creationId xmlns:a16="http://schemas.microsoft.com/office/drawing/2014/main" id="{989FCF6C-2E04-CFF2-B5E0-363DD59E44C0}"/>
                  </a:ext>
                </a:extLst>
              </xdr:cNvPr>
              <xdr:cNvSpPr/>
            </xdr:nvSpPr>
            <xdr:spPr>
              <a:xfrm>
                <a:off x="13931864" y="293076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Agrupar43_Clique">
            <xdr:nvPicPr>
              <xdr:cNvPr id="60" name="Imagem 59" descr="Opção de salvar arquivo - ícones de interface grátis">
                <a:extLst>
                  <a:ext uri="{FF2B5EF4-FFF2-40B4-BE49-F238E27FC236}">
                    <a16:creationId xmlns:a16="http://schemas.microsoft.com/office/drawing/2014/main" id="{BF53FC7E-2413-5ECF-F756-72551CCDFD1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337038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4E06BADF-BFB8-1DAB-FD08-6BEB4E619933}"/>
              </a:ext>
            </a:extLst>
          </xdr:cNvPr>
          <xdr:cNvGrpSpPr/>
        </xdr:nvGrpSpPr>
        <xdr:grpSpPr>
          <a:xfrm>
            <a:off x="15948440" y="262815"/>
            <a:ext cx="780092" cy="305794"/>
            <a:chOff x="15898346" y="266139"/>
            <a:chExt cx="777481" cy="308168"/>
          </a:xfrm>
        </xdr:grpSpPr>
        <xdr:sp macro="[0]!Agrupar43_Clique" textlink="">
          <xdr:nvSpPr>
            <xdr:cNvPr id="49" name="Retângulo: Cantos Arredondados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FD41950C-E7B6-BE85-2BEB-319D6F5B43AF}"/>
                </a:ext>
              </a:extLst>
            </xdr:cNvPr>
            <xdr:cNvSpPr/>
          </xdr:nvSpPr>
          <xdr:spPr>
            <a:xfrm>
              <a:off x="15898346" y="266139"/>
              <a:ext cx="777481" cy="30459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 macro="[0]!Agrupar43_Clique">
          <xdr:nvPicPr>
            <xdr:cNvPr id="50" name="Gráfico 49" descr="Lista de Verificação com preenchimento sólido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F13CD19-FDB5-0164-86E9-5B36853BA04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6122464" y="266146"/>
              <a:ext cx="308161" cy="30816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25</xdr:col>
      <xdr:colOff>314555</xdr:colOff>
      <xdr:row>1</xdr:row>
      <xdr:rowOff>120685</xdr:rowOff>
    </xdr:from>
    <xdr:to>
      <xdr:col>26</xdr:col>
      <xdr:colOff>463163</xdr:colOff>
      <xdr:row>2</xdr:row>
      <xdr:rowOff>331343</xdr:rowOff>
    </xdr:to>
    <xdr:pic macro="[0]!EstaPastaDeTrabalho.telaCheia">
      <xdr:nvPicPr>
        <xdr:cNvPr id="45" name="Imagem 44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F000AB57-D38E-1675-2597-1D7B3773BF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7643" y="204729"/>
          <a:ext cx="694895" cy="406761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494910</xdr:colOff>
      <xdr:row>1</xdr:row>
      <xdr:rowOff>148970</xdr:rowOff>
    </xdr:from>
    <xdr:to>
      <xdr:col>27</xdr:col>
      <xdr:colOff>300108</xdr:colOff>
      <xdr:row>2</xdr:row>
      <xdr:rowOff>336594</xdr:rowOff>
    </xdr:to>
    <xdr:pic macro="[0]!EstaPastaDeTrabalho.telaNormal">
      <xdr:nvPicPr>
        <xdr:cNvPr id="46" name="Imagem 45">
          <a:extLst>
            <a:ext uri="{FF2B5EF4-FFF2-40B4-BE49-F238E27FC236}">
              <a16:creationId xmlns:a16="http://schemas.microsoft.com/office/drawing/2014/main" id="{479AA9B3-C972-6434-433A-FFA8A773B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lum bright="70000" contrast="-70000"/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8354285" y="233014"/>
          <a:ext cx="351485" cy="383727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249025</xdr:colOff>
      <xdr:row>1</xdr:row>
      <xdr:rowOff>28432</xdr:rowOff>
    </xdr:from>
    <xdr:to>
      <xdr:col>12</xdr:col>
      <xdr:colOff>105676</xdr:colOff>
      <xdr:row>3</xdr:row>
      <xdr:rowOff>14216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150B316-5423-B58A-8DD5-B6D9B9604A93}"/>
            </a:ext>
          </a:extLst>
        </xdr:cNvPr>
        <xdr:cNvSpPr/>
      </xdr:nvSpPr>
      <xdr:spPr>
        <a:xfrm>
          <a:off x="7773775" y="107807"/>
          <a:ext cx="3190401" cy="6366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3600" b="1">
              <a:latin typeface="Gill Sans MT" panose="020B0502020104020203" pitchFamily="34" charset="0"/>
            </a:rPr>
            <a:t>VIBRAPLAN</a:t>
          </a:r>
        </a:p>
      </xdr:txBody>
    </xdr:sp>
    <xdr:clientData/>
  </xdr:twoCellAnchor>
  <xdr:twoCellAnchor>
    <xdr:from>
      <xdr:col>22</xdr:col>
      <xdr:colOff>474807</xdr:colOff>
      <xdr:row>1</xdr:row>
      <xdr:rowOff>175846</xdr:rowOff>
    </xdr:from>
    <xdr:to>
      <xdr:col>24</xdr:col>
      <xdr:colOff>173182</xdr:colOff>
      <xdr:row>2</xdr:row>
      <xdr:rowOff>285750</xdr:rowOff>
    </xdr:to>
    <xdr:sp macro="" textlink="">
      <xdr:nvSpPr>
        <xdr:cNvPr id="5" name="Retângulo: Cantos Arredondados 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4D8414B-8957-45CC-89E8-32A583A41C4B}"/>
            </a:ext>
          </a:extLst>
        </xdr:cNvPr>
        <xdr:cNvSpPr/>
      </xdr:nvSpPr>
      <xdr:spPr>
        <a:xfrm>
          <a:off x="17573625" y="256664"/>
          <a:ext cx="852921" cy="306177"/>
        </a:xfrm>
        <a:prstGeom prst="roundRect">
          <a:avLst>
            <a:gd name="adj" fmla="val 20834"/>
          </a:avLst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7</xdr:col>
      <xdr:colOff>0</xdr:colOff>
      <xdr:row>3</xdr:row>
      <xdr:rowOff>207819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951BBF7-DBD6-6C06-C44D-392DD756CE47}"/>
            </a:ext>
          </a:extLst>
        </xdr:cNvPr>
        <xdr:cNvGrpSpPr/>
      </xdr:nvGrpSpPr>
      <xdr:grpSpPr>
        <a:xfrm>
          <a:off x="1" y="1"/>
          <a:ext cx="23875999" cy="946727"/>
          <a:chOff x="0" y="0"/>
          <a:chExt cx="20073351" cy="809065"/>
        </a:xfrm>
      </xdr:grpSpPr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219CD806-8B17-A785-15BF-31637A144F0C}"/>
              </a:ext>
            </a:extLst>
          </xdr:cNvPr>
          <xdr:cNvGrpSpPr/>
        </xdr:nvGrpSpPr>
        <xdr:grpSpPr>
          <a:xfrm>
            <a:off x="0" y="0"/>
            <a:ext cx="20073351" cy="809065"/>
            <a:chOff x="0" y="0"/>
            <a:chExt cx="19986247" cy="814021"/>
          </a:xfrm>
        </xdr:grpSpPr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332B934C-1619-34FA-4C80-72B178F4F3AE}"/>
                </a:ext>
              </a:extLst>
            </xdr:cNvPr>
            <xdr:cNvGrpSpPr/>
          </xdr:nvGrpSpPr>
          <xdr:grpSpPr>
            <a:xfrm>
              <a:off x="0" y="0"/>
              <a:ext cx="19986247" cy="814021"/>
              <a:chOff x="0" y="0"/>
              <a:chExt cx="19846882" cy="809625"/>
            </a:xfrm>
          </xdr:grpSpPr>
          <xdr:sp macro="" textlink="">
            <xdr:nvSpPr>
              <xdr:cNvPr id="21" name="Retângulo 20">
                <a:extLst>
                  <a:ext uri="{FF2B5EF4-FFF2-40B4-BE49-F238E27FC236}">
                    <a16:creationId xmlns:a16="http://schemas.microsoft.com/office/drawing/2014/main" id="{8B97E1E8-67E7-1BB0-0180-E18C8518B61D}"/>
                  </a:ext>
                </a:extLst>
              </xdr:cNvPr>
              <xdr:cNvSpPr/>
            </xdr:nvSpPr>
            <xdr:spPr>
              <a:xfrm>
                <a:off x="0" y="0"/>
                <a:ext cx="19846882" cy="809625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22" name="Imagem 21">
                <a:extLst>
                  <a:ext uri="{FF2B5EF4-FFF2-40B4-BE49-F238E27FC236}">
                    <a16:creationId xmlns:a16="http://schemas.microsoft.com/office/drawing/2014/main" id="{EC85C24D-B6BA-16FF-FB08-25D9E0FCFA3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133351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0806C075-801F-6182-EE6C-634EE3AD8451}"/>
                </a:ext>
              </a:extLst>
            </xdr:cNvPr>
            <xdr:cNvGrpSpPr/>
          </xdr:nvGrpSpPr>
          <xdr:grpSpPr>
            <a:xfrm>
              <a:off x="14898859" y="264150"/>
              <a:ext cx="774107" cy="306456"/>
              <a:chOff x="16683879" y="257175"/>
              <a:chExt cx="771526" cy="323850"/>
            </a:xfrm>
          </xdr:grpSpPr>
          <xdr:sp macro="" textlink="">
            <xdr:nvSpPr>
              <xdr:cNvPr id="19" name="Retângulo: Cantos Arredondados 18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60BEA864-3667-62B4-C5E6-B6CE4C960214}"/>
                  </a:ext>
                </a:extLst>
              </xdr:cNvPr>
              <xdr:cNvSpPr/>
            </xdr:nvSpPr>
            <xdr:spPr>
              <a:xfrm>
                <a:off x="16683879" y="25717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20" name="Imagem 19" descr="ícones Do Computador, Gráfico, Gráfico De Barras png transparente grátis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22423D09-9A50-FDC3-A15C-BB391AB6EC2B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clrChange>
                  <a:clrFrom>
                    <a:srgbClr val="EDEDED"/>
                  </a:clrFrom>
                  <a:clrTo>
                    <a:srgbClr val="EDEDED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6826734" y="295277"/>
                <a:ext cx="504825" cy="2762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14" name="Retângulo: Cantos Arredondados 1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578AD9D2-223E-6E11-CAD4-5E028BD68C46}"/>
                </a:ext>
              </a:extLst>
            </xdr:cNvPr>
            <xdr:cNvSpPr/>
          </xdr:nvSpPr>
          <xdr:spPr>
            <a:xfrm>
              <a:off x="91053" y="210721"/>
              <a:ext cx="1842338" cy="440493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ROGERIO</a:t>
              </a:r>
            </a:p>
          </xdr:txBody>
        </xdr:sp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E4488BBD-B806-DC1C-9157-C5A014F4F7D4}"/>
                </a:ext>
              </a:extLst>
            </xdr:cNvPr>
            <xdr:cNvGrpSpPr/>
          </xdr:nvGrpSpPr>
          <xdr:grpSpPr>
            <a:xfrm>
              <a:off x="13931864" y="263768"/>
              <a:ext cx="805960" cy="307732"/>
              <a:chOff x="13931864" y="293076"/>
              <a:chExt cx="805960" cy="307732"/>
            </a:xfrm>
          </xdr:grpSpPr>
          <xdr:sp macro="[0]!Salvar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0A251D5D-3672-CD39-ADB4-C69DBA9D4654}"/>
                  </a:ext>
                </a:extLst>
              </xdr:cNvPr>
              <xdr:cNvSpPr/>
            </xdr:nvSpPr>
            <xdr:spPr>
              <a:xfrm>
                <a:off x="13931864" y="293076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18" name="Imagem 17" descr="Opção de salvar arquivo - ícones de interface grátis">
                <a:extLst>
                  <a:ext uri="{FF2B5EF4-FFF2-40B4-BE49-F238E27FC236}">
                    <a16:creationId xmlns:a16="http://schemas.microsoft.com/office/drawing/2014/main" id="{9D0F2EA5-B544-CE8E-E9C6-0922DDD075A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337038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EE5E4721-172A-FD0D-847C-28EA633E772E}"/>
              </a:ext>
            </a:extLst>
          </xdr:cNvPr>
          <xdr:cNvSpPr/>
        </xdr:nvSpPr>
        <xdr:spPr>
          <a:xfrm>
            <a:off x="15898346" y="266139"/>
            <a:ext cx="777481" cy="304590"/>
          </a:xfrm>
          <a:prstGeom prst="roundRect">
            <a:avLst/>
          </a:prstGeom>
          <a:solidFill>
            <a:sysClr val="window" lastClr="FFFFFF"/>
          </a:solidFill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</a:t>
            </a:r>
          </a:p>
        </xdr:txBody>
      </xdr:sp>
      <xdr:pic>
        <xdr:nvPicPr>
          <xdr:cNvPr id="8" name="Gráfico 7" descr="Lista de Verificação com preenchimento sólido">
            <a:extLst>
              <a:ext uri="{FF2B5EF4-FFF2-40B4-BE49-F238E27FC236}">
                <a16:creationId xmlns:a16="http://schemas.microsoft.com/office/drawing/2014/main" id="{AAF71EC7-F907-CEA7-E177-2E56D14426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22464" y="266146"/>
            <a:ext cx="308161" cy="308161"/>
          </a:xfrm>
          <a:prstGeom prst="rect">
            <a:avLst/>
          </a:prstGeom>
          <a:effectLst>
            <a:innerShdw blurRad="63500" dist="50800" dir="189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6</xdr:col>
      <xdr:colOff>1410402</xdr:colOff>
      <xdr:row>1</xdr:row>
      <xdr:rowOff>186978</xdr:rowOff>
    </xdr:from>
    <xdr:to>
      <xdr:col>6</xdr:col>
      <xdr:colOff>2127787</xdr:colOff>
      <xdr:row>2</xdr:row>
      <xdr:rowOff>393487</xdr:rowOff>
    </xdr:to>
    <xdr:pic macro="[0]!EstaPastaDeTrabalho.telaCheia">
      <xdr:nvPicPr>
        <xdr:cNvPr id="24" name="Imagem 23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BAEF2B09-A1E4-43CE-9BD3-098453C491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82175" y="273569"/>
          <a:ext cx="717385" cy="397009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2206348</xdr:colOff>
      <xdr:row>2</xdr:row>
      <xdr:rowOff>59510</xdr:rowOff>
    </xdr:from>
    <xdr:to>
      <xdr:col>6</xdr:col>
      <xdr:colOff>2575654</xdr:colOff>
      <xdr:row>2</xdr:row>
      <xdr:rowOff>423871</xdr:rowOff>
    </xdr:to>
    <xdr:pic macro="[0]!EstaPastaDeTrabalho.telaNormal">
      <xdr:nvPicPr>
        <xdr:cNvPr id="25" name="Imagem 24">
          <a:extLst>
            <a:ext uri="{FF2B5EF4-FFF2-40B4-BE49-F238E27FC236}">
              <a16:creationId xmlns:a16="http://schemas.microsoft.com/office/drawing/2014/main" id="{94F8302A-EEDF-48E5-B4D7-AE7241385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lum bright="70000" contrast="-70000"/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278121" y="336601"/>
          <a:ext cx="369306" cy="364361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4940085</xdr:colOff>
      <xdr:row>4</xdr:row>
      <xdr:rowOff>32288</xdr:rowOff>
    </xdr:from>
    <xdr:to>
      <xdr:col>4</xdr:col>
      <xdr:colOff>191490</xdr:colOff>
      <xdr:row>4</xdr:row>
      <xdr:rowOff>384172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D58EE13-3D66-41B9-842F-13043800CA11}"/>
            </a:ext>
          </a:extLst>
        </xdr:cNvPr>
        <xdr:cNvSpPr/>
      </xdr:nvSpPr>
      <xdr:spPr>
        <a:xfrm>
          <a:off x="9654153" y="1000932"/>
          <a:ext cx="4598820" cy="351884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ROGERIO</a:t>
          </a:r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111125</xdr:colOff>
      <xdr:row>25</xdr:row>
      <xdr:rowOff>171450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42DD813-49D0-12DA-08FC-6913870D62B8}"/>
            </a:ext>
          </a:extLst>
        </xdr:cNvPr>
        <xdr:cNvGrpSpPr/>
      </xdr:nvGrpSpPr>
      <xdr:grpSpPr>
        <a:xfrm>
          <a:off x="5268231" y="1895930"/>
          <a:ext cx="8994323" cy="3546020"/>
          <a:chOff x="4524374" y="1158876"/>
          <a:chExt cx="8890001" cy="3425824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F47C543C-B8F0-A6C4-F408-3216BB23A33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40F0787-0693-8B33-F653-C245011B2ECB}"/>
              </a:ext>
            </a:extLst>
          </xdr:cNvPr>
          <xdr:cNvSpPr txBox="1"/>
        </xdr:nvSpPr>
        <xdr:spPr>
          <a:xfrm>
            <a:off x="12858750" y="1460741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5F86C6ED-07AE-2EAC-74A6-32196522D7D1}"/>
              </a:ext>
            </a:extLst>
          </xdr:cNvPr>
          <xdr:cNvCxnSpPr/>
        </xdr:nvCxnSpPr>
        <xdr:spPr>
          <a:xfrm flipH="1">
            <a:off x="12477750" y="1708076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F6DB4C7-E23F-47DA-86A1-754F35E73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688FCA0-FD85-4088-9FD1-F7B57FDC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65B9FD-A6C4-48E1-A51E-C8F6A2A84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9ABD8-DA6A-4626-B946-D179E9CC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BC6442-EE0F-4F40-9A67-955497430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DB6F49-ED7B-4F1C-8146-18D8B271F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31750</xdr:colOff>
      <xdr:row>4</xdr:row>
      <xdr:rowOff>190500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380A68D-07A7-49C8-9D3E-35F132BF2CA0}"/>
            </a:ext>
          </a:extLst>
        </xdr:cNvPr>
        <xdr:cNvGrpSpPr/>
      </xdr:nvGrpSpPr>
      <xdr:grpSpPr>
        <a:xfrm>
          <a:off x="0" y="0"/>
          <a:ext cx="25894393" cy="916214"/>
          <a:chOff x="0" y="0"/>
          <a:chExt cx="20669250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C54AFD20-EAF8-385A-8ABA-5C95822AA780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37" name="Agrupar 36">
              <a:extLst>
                <a:ext uri="{FF2B5EF4-FFF2-40B4-BE49-F238E27FC236}">
                  <a16:creationId xmlns:a16="http://schemas.microsoft.com/office/drawing/2014/main" id="{19C575EC-6600-668C-8AEC-BD350E451149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61" name="Retângulo 60">
                <a:extLst>
                  <a:ext uri="{FF2B5EF4-FFF2-40B4-BE49-F238E27FC236}">
                    <a16:creationId xmlns:a16="http://schemas.microsoft.com/office/drawing/2014/main" id="{319905CE-7E14-0534-B179-E2E4E15BF196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68E0DDE7-A2AC-9AD8-E19C-61A8396FBAB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38" name="Agrupar 37">
              <a:extLst>
                <a:ext uri="{FF2B5EF4-FFF2-40B4-BE49-F238E27FC236}">
                  <a16:creationId xmlns:a16="http://schemas.microsoft.com/office/drawing/2014/main" id="{4AC779E2-392D-3A12-9B5A-2445A5751B4F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48" name="Retângulo: Cantos Arredondados 4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3313AEB0-F94E-6638-0A2D-3B032C9B4D98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60" name="Imagem 59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2D4E1C2E-AEB6-FF16-7C59-0204F2E090B0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42" name="Retângulo: Cantos Arredondados 4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CFA2527B-076B-0749-AB9E-35FC92EABD35}"/>
                </a:ext>
              </a:extLst>
            </xdr:cNvPr>
            <xdr:cNvSpPr/>
          </xdr:nvSpPr>
          <xdr:spPr>
            <a:xfrm>
              <a:off x="147238" y="347534"/>
              <a:ext cx="10287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ROGERIO</a:t>
              </a:r>
            </a:p>
          </xdr:txBody>
        </xdr: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AFD029C7-4D19-FB14-A730-D61E036857BF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C2144C13-F837-27F9-166F-1B31B141235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46" name="Imagem 45" descr="Opção de salvar arquivo - ícones de interface grátis">
                <a:extLst>
                  <a:ext uri="{FF2B5EF4-FFF2-40B4-BE49-F238E27FC236}">
                    <a16:creationId xmlns:a16="http://schemas.microsoft.com/office/drawing/2014/main" id="{352D64F0-2F9C-7B0B-97EE-EE3F061862C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28" name="Imagem 27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151222B-D9AE-5ECB-1285-968B596BB2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9" name="Imagem 28">
            <a:extLst>
              <a:ext uri="{FF2B5EF4-FFF2-40B4-BE49-F238E27FC236}">
                <a16:creationId xmlns:a16="http://schemas.microsoft.com/office/drawing/2014/main" id="{D53C23F9-4D4B-A3CF-7FF9-52EFF01EF0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158750</xdr:colOff>
      <xdr:row>33</xdr:row>
      <xdr:rowOff>47625</xdr:rowOff>
    </xdr:from>
    <xdr:to>
      <xdr:col>22</xdr:col>
      <xdr:colOff>111125</xdr:colOff>
      <xdr:row>33</xdr:row>
      <xdr:rowOff>322650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C2551A-74B7-4906-B016-89C965C65DCB}"/>
            </a:ext>
          </a:extLst>
        </xdr:cNvPr>
        <xdr:cNvSpPr txBox="1"/>
      </xdr:nvSpPr>
      <xdr:spPr>
        <a:xfrm>
          <a:off x="8604250" y="754062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33</xdr:row>
      <xdr:rowOff>312152</xdr:rowOff>
    </xdr:from>
    <xdr:to>
      <xdr:col>21</xdr:col>
      <xdr:colOff>158750</xdr:colOff>
      <xdr:row>35</xdr:row>
      <xdr:rowOff>105777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ABCC65DE-9DCE-4832-9DA1-D160B52453BC}"/>
            </a:ext>
          </a:extLst>
        </xdr:cNvPr>
        <xdr:cNvCxnSpPr/>
      </xdr:nvCxnSpPr>
      <xdr:spPr>
        <a:xfrm flipH="1">
          <a:off x="8223250" y="780515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33</xdr:row>
      <xdr:rowOff>31750</xdr:rowOff>
    </xdr:from>
    <xdr:to>
      <xdr:col>39</xdr:col>
      <xdr:colOff>555625</xdr:colOff>
      <xdr:row>33</xdr:row>
      <xdr:rowOff>306775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C88FEDCD-7355-41C6-99CD-4485EB6CFA16}"/>
            </a:ext>
          </a:extLst>
        </xdr:cNvPr>
        <xdr:cNvSpPr txBox="1"/>
      </xdr:nvSpPr>
      <xdr:spPr>
        <a:xfrm>
          <a:off x="19431000" y="752475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222250</xdr:colOff>
      <xdr:row>33</xdr:row>
      <xdr:rowOff>296277</xdr:rowOff>
    </xdr:from>
    <xdr:to>
      <xdr:col>39</xdr:col>
      <xdr:colOff>0</xdr:colOff>
      <xdr:row>35</xdr:row>
      <xdr:rowOff>89902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50D280F-D77C-4EF2-9DAA-FEB8F104DD03}"/>
            </a:ext>
          </a:extLst>
        </xdr:cNvPr>
        <xdr:cNvCxnSpPr/>
      </xdr:nvCxnSpPr>
      <xdr:spPr>
        <a:xfrm flipH="1">
          <a:off x="19050000" y="778927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158750</xdr:colOff>
      <xdr:row>57</xdr:row>
      <xdr:rowOff>127000</xdr:rowOff>
    </xdr:from>
    <xdr:to>
      <xdr:col>22</xdr:col>
      <xdr:colOff>111125</xdr:colOff>
      <xdr:row>58</xdr:row>
      <xdr:rowOff>21025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F56560EE-CA71-49B3-BC85-941E973E794F}"/>
            </a:ext>
          </a:extLst>
        </xdr:cNvPr>
        <xdr:cNvSpPr txBox="1"/>
      </xdr:nvSpPr>
      <xdr:spPr>
        <a:xfrm>
          <a:off x="8604250" y="1339850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58</xdr:row>
      <xdr:rowOff>10527</xdr:rowOff>
    </xdr:from>
    <xdr:to>
      <xdr:col>21</xdr:col>
      <xdr:colOff>158750</xdr:colOff>
      <xdr:row>59</xdr:row>
      <xdr:rowOff>185152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C502D1E6-3BC5-46AF-A1B0-E469A3BA87D9}"/>
            </a:ext>
          </a:extLst>
        </xdr:cNvPr>
        <xdr:cNvCxnSpPr/>
      </xdr:nvCxnSpPr>
      <xdr:spPr>
        <a:xfrm flipH="1">
          <a:off x="8223250" y="1366302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523875</xdr:colOff>
      <xdr:row>57</xdr:row>
      <xdr:rowOff>15875</xdr:rowOff>
    </xdr:from>
    <xdr:to>
      <xdr:col>39</xdr:col>
      <xdr:colOff>476250</xdr:colOff>
      <xdr:row>57</xdr:row>
      <xdr:rowOff>290900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27FE555-6885-45E0-BBC7-1AB15162CF98}"/>
            </a:ext>
          </a:extLst>
        </xdr:cNvPr>
        <xdr:cNvSpPr txBox="1"/>
      </xdr:nvSpPr>
      <xdr:spPr>
        <a:xfrm>
          <a:off x="19351625" y="13287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142875</xdr:colOff>
      <xdr:row>57</xdr:row>
      <xdr:rowOff>280402</xdr:rowOff>
    </xdr:from>
    <xdr:to>
      <xdr:col>38</xdr:col>
      <xdr:colOff>523875</xdr:colOff>
      <xdr:row>59</xdr:row>
      <xdr:rowOff>74027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B1533886-B0F2-47FB-9279-0FA9B5319FC5}"/>
            </a:ext>
          </a:extLst>
        </xdr:cNvPr>
        <xdr:cNvCxnSpPr/>
      </xdr:nvCxnSpPr>
      <xdr:spPr>
        <a:xfrm flipH="1">
          <a:off x="18970625" y="13551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82</xdr:row>
      <xdr:rowOff>333375</xdr:rowOff>
    </xdr:from>
    <xdr:to>
      <xdr:col>22</xdr:col>
      <xdr:colOff>142875</xdr:colOff>
      <xdr:row>83</xdr:row>
      <xdr:rowOff>227400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7A0AF666-E360-46F1-A969-0286C08E2207}"/>
            </a:ext>
          </a:extLst>
        </xdr:cNvPr>
        <xdr:cNvSpPr txBox="1"/>
      </xdr:nvSpPr>
      <xdr:spPr>
        <a:xfrm>
          <a:off x="8636000" y="191928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412750</xdr:colOff>
      <xdr:row>83</xdr:row>
      <xdr:rowOff>216902</xdr:rowOff>
    </xdr:from>
    <xdr:to>
      <xdr:col>21</xdr:col>
      <xdr:colOff>190500</xdr:colOff>
      <xdr:row>84</xdr:row>
      <xdr:rowOff>201027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B5712F62-14CF-455C-BF9B-EA51EE188FF6}"/>
            </a:ext>
          </a:extLst>
        </xdr:cNvPr>
        <xdr:cNvCxnSpPr/>
      </xdr:nvCxnSpPr>
      <xdr:spPr>
        <a:xfrm flipH="1">
          <a:off x="8255000" y="194574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83</xdr:row>
      <xdr:rowOff>15875</xdr:rowOff>
    </xdr:from>
    <xdr:to>
      <xdr:col>40</xdr:col>
      <xdr:colOff>15875</xdr:colOff>
      <xdr:row>83</xdr:row>
      <xdr:rowOff>290900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48D17AD-3210-499C-8004-513F9C55B6B6}"/>
            </a:ext>
          </a:extLst>
        </xdr:cNvPr>
        <xdr:cNvSpPr txBox="1"/>
      </xdr:nvSpPr>
      <xdr:spPr>
        <a:xfrm>
          <a:off x="19494500" y="19256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83</xdr:row>
      <xdr:rowOff>280402</xdr:rowOff>
    </xdr:from>
    <xdr:to>
      <xdr:col>39</xdr:col>
      <xdr:colOff>63500</xdr:colOff>
      <xdr:row>84</xdr:row>
      <xdr:rowOff>264527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F6DE9E9E-686D-4A89-9F9F-8DC52E72EAB4}"/>
            </a:ext>
          </a:extLst>
        </xdr:cNvPr>
        <xdr:cNvCxnSpPr/>
      </xdr:nvCxnSpPr>
      <xdr:spPr>
        <a:xfrm flipH="1">
          <a:off x="19113500" y="19520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00F5DA5-7876-4D09-BC0F-6011DEBACEC4}"/>
            </a:ext>
          </a:extLst>
        </xdr:cNvPr>
        <xdr:cNvSpPr/>
      </xdr:nvSpPr>
      <xdr:spPr>
        <a:xfrm>
          <a:off x="19558000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237C801-0E4A-4182-B4B1-6811651146B4}"/>
            </a:ext>
          </a:extLst>
        </xdr:cNvPr>
        <xdr:cNvSpPr/>
      </xdr:nvSpPr>
      <xdr:spPr>
        <a:xfrm>
          <a:off x="18367375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382BF6-E15A-4B9E-AB1C-4CC40CA10BFF}"/>
            </a:ext>
          </a:extLst>
        </xdr:cNvPr>
        <xdr:cNvSpPr/>
      </xdr:nvSpPr>
      <xdr:spPr>
        <a:xfrm>
          <a:off x="19558000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91602B-4A51-4DBE-99EC-41D5FCFE7A7E}"/>
            </a:ext>
          </a:extLst>
        </xdr:cNvPr>
        <xdr:cNvSpPr/>
      </xdr:nvSpPr>
      <xdr:spPr>
        <a:xfrm>
          <a:off x="18367375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7F0A5EC-D7BC-4FAE-AA2F-FC9EC6F292C8}"/>
            </a:ext>
          </a:extLst>
        </xdr:cNvPr>
        <xdr:cNvSpPr/>
      </xdr:nvSpPr>
      <xdr:spPr>
        <a:xfrm>
          <a:off x="19542125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067D7E-7C14-43E7-8467-A38E1D26CB96}"/>
            </a:ext>
          </a:extLst>
        </xdr:cNvPr>
        <xdr:cNvSpPr/>
      </xdr:nvSpPr>
      <xdr:spPr>
        <a:xfrm>
          <a:off x="18351500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71B84BB-7ABB-403A-A381-9548D7C8A152}"/>
            </a:ext>
          </a:extLst>
        </xdr:cNvPr>
        <xdr:cNvSpPr/>
      </xdr:nvSpPr>
      <xdr:spPr>
        <a:xfrm>
          <a:off x="19542125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9C11A28-DFC3-4530-BBFF-A7DE3728E2E3}"/>
            </a:ext>
          </a:extLst>
        </xdr:cNvPr>
        <xdr:cNvSpPr/>
      </xdr:nvSpPr>
      <xdr:spPr>
        <a:xfrm>
          <a:off x="18351500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Pasta.Outubro.xlsx" TargetMode="External"/><Relationship Id="rId1" Type="http://schemas.openxmlformats.org/officeDocument/2006/relationships/externalLinkPath" Target="Pasta.Outub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gério"/>
      <sheetName val="mauro"/>
      <sheetName val="marcos"/>
      <sheetName val="ana"/>
      <sheetName val="adriano"/>
      <sheetName val="CGA"/>
    </sheetNames>
    <sheetDataSet>
      <sheetData sheetId="0">
        <row r="7">
          <cell r="A7" t="str">
            <v>Certificação do documento - Vibracon</v>
          </cell>
          <cell r="B7">
            <v>45202</v>
          </cell>
        </row>
        <row r="8">
          <cell r="A8" t="str">
            <v>MARCO - Envio do documento Certificado (Rev_0)</v>
          </cell>
          <cell r="B8">
            <v>45202</v>
          </cell>
        </row>
        <row r="10">
          <cell r="A10" t="str">
            <v>Certificação do documento - Vibracon</v>
          </cell>
          <cell r="B10">
            <v>45202</v>
          </cell>
        </row>
        <row r="11">
          <cell r="A11" t="str">
            <v>MARCO - Envio do documento Certificado (Rev_0)</v>
          </cell>
          <cell r="B11">
            <v>45202</v>
          </cell>
        </row>
        <row r="14">
          <cell r="A14" t="str">
            <v>Aprovação do Cliente</v>
          </cell>
          <cell r="B14">
            <v>45202</v>
          </cell>
        </row>
        <row r="15">
          <cell r="A15" t="str">
            <v>Certificação do documento - Vibracon</v>
          </cell>
          <cell r="B15">
            <v>45203</v>
          </cell>
        </row>
        <row r="16">
          <cell r="A16" t="str">
            <v>MARCO - Envio do documento Certificado (Rev_0)</v>
          </cell>
          <cell r="B16">
            <v>45203</v>
          </cell>
        </row>
        <row r="18">
          <cell r="A18" t="str">
            <v>Aprovação do Cliente</v>
          </cell>
          <cell r="B18">
            <v>45202</v>
          </cell>
        </row>
        <row r="19">
          <cell r="A19" t="str">
            <v>Certificação do documento - Vibracon</v>
          </cell>
          <cell r="B19">
            <v>45203</v>
          </cell>
        </row>
        <row r="20">
          <cell r="A20" t="str">
            <v>MARCO - Envio do documento Certificado (Rev_0)</v>
          </cell>
          <cell r="B20">
            <v>45203</v>
          </cell>
        </row>
        <row r="23">
          <cell r="A23" t="str">
            <v>Aprovação do Cliente</v>
          </cell>
          <cell r="B23">
            <v>45202</v>
          </cell>
        </row>
        <row r="24">
          <cell r="A24" t="str">
            <v>Certificação do documento - Vibracon</v>
          </cell>
          <cell r="B24">
            <v>45203</v>
          </cell>
        </row>
        <row r="25">
          <cell r="A25" t="str">
            <v>MARCO - Envio do documento Certificado (Rev_0)</v>
          </cell>
          <cell r="B25">
            <v>45203</v>
          </cell>
        </row>
        <row r="27">
          <cell r="A27" t="str">
            <v>Aprovação do Cliente</v>
          </cell>
          <cell r="B27">
            <v>45202</v>
          </cell>
        </row>
        <row r="28">
          <cell r="A28" t="str">
            <v>Certificação do documento - Vibracon</v>
          </cell>
          <cell r="B28">
            <v>45203</v>
          </cell>
        </row>
        <row r="29">
          <cell r="A29" t="str">
            <v>MARCO - Envio do documento Certificado (Rev_0)</v>
          </cell>
          <cell r="B29">
            <v>45203</v>
          </cell>
        </row>
        <row r="32">
          <cell r="A32" t="str">
            <v>Aprovação do Cliente</v>
          </cell>
          <cell r="B32">
            <v>45202</v>
          </cell>
        </row>
        <row r="33">
          <cell r="A33" t="str">
            <v>Certificação do documento - Vibracon</v>
          </cell>
          <cell r="B33">
            <v>45203</v>
          </cell>
        </row>
        <row r="34">
          <cell r="A34" t="str">
            <v>MARCO - Envio do documento Certificado (Rev_0)</v>
          </cell>
          <cell r="B34">
            <v>45203</v>
          </cell>
        </row>
        <row r="36">
          <cell r="A36" t="str">
            <v>Aprovação do Cliente</v>
          </cell>
          <cell r="B36">
            <v>45202</v>
          </cell>
        </row>
        <row r="37">
          <cell r="A37" t="str">
            <v>Certificação do documento - Vibracon</v>
          </cell>
          <cell r="B37">
            <v>45203</v>
          </cell>
        </row>
        <row r="38">
          <cell r="A38" t="str">
            <v>MARCO - Envio do documento Certificado (Rev_0)</v>
          </cell>
          <cell r="B38">
            <v>45203</v>
          </cell>
        </row>
        <row r="41">
          <cell r="A41" t="str">
            <v>Aprovação do Cliente</v>
          </cell>
          <cell r="B41">
            <v>45226</v>
          </cell>
        </row>
        <row r="42">
          <cell r="A42" t="str">
            <v>Certificação do documento - Vibracon</v>
          </cell>
          <cell r="B42">
            <v>45226</v>
          </cell>
        </row>
        <row r="43">
          <cell r="A43" t="str">
            <v>MARCO - Envio do documento Certificado (Rev_0)</v>
          </cell>
          <cell r="B43">
            <v>45226</v>
          </cell>
        </row>
        <row r="45">
          <cell r="A45" t="str">
            <v>Aprovação do Cliente</v>
          </cell>
          <cell r="B45">
            <v>45226</v>
          </cell>
        </row>
        <row r="46">
          <cell r="A46" t="str">
            <v>Certificação do documento - Vibracon</v>
          </cell>
          <cell r="B46">
            <v>45226</v>
          </cell>
        </row>
        <row r="47">
          <cell r="A47" t="str">
            <v>MARCO - Envio do documento Certificado (Rev_0)</v>
          </cell>
          <cell r="B47">
            <v>45226</v>
          </cell>
        </row>
        <row r="49">
          <cell r="A49" t="str">
            <v>Projeto Conceitual</v>
          </cell>
          <cell r="B49">
            <v>45204</v>
          </cell>
        </row>
        <row r="50">
          <cell r="A50" t="str">
            <v>MARCO - Emissão do Conceito</v>
          </cell>
          <cell r="B50">
            <v>45205</v>
          </cell>
        </row>
        <row r="51">
          <cell r="A51" t="str">
            <v>Aprovação do Conceitual</v>
          </cell>
          <cell r="B51">
            <v>45212</v>
          </cell>
        </row>
        <row r="52">
          <cell r="A52" t="str">
            <v>Dimensionamento / Cálculo</v>
          </cell>
          <cell r="B52">
            <v>45210</v>
          </cell>
        </row>
        <row r="53">
          <cell r="A53" t="str">
            <v>Detalhamento</v>
          </cell>
          <cell r="B53">
            <v>45216</v>
          </cell>
        </row>
        <row r="55">
          <cell r="A55" t="str">
            <v>MARCO - Emissão Inicial (Rev_A)</v>
          </cell>
          <cell r="B55">
            <v>45210</v>
          </cell>
        </row>
        <row r="56">
          <cell r="A56" t="str">
            <v>Aprovação do Cliente</v>
          </cell>
          <cell r="B56">
            <v>45229</v>
          </cell>
        </row>
        <row r="57">
          <cell r="A57" t="str">
            <v>Certificação do documento - Vibracon</v>
          </cell>
          <cell r="B57">
            <v>45230</v>
          </cell>
        </row>
        <row r="58">
          <cell r="A58" t="str">
            <v>MARCO - Envio do documento Certificado (Rev_0)</v>
          </cell>
          <cell r="B58">
            <v>45230</v>
          </cell>
        </row>
        <row r="60">
          <cell r="A60" t="str">
            <v>MARCO - Emissão Inicial (Rev_A)</v>
          </cell>
          <cell r="B60">
            <v>45216</v>
          </cell>
        </row>
        <row r="61">
          <cell r="A61" t="str">
            <v>Aprovação do Cliente</v>
          </cell>
          <cell r="B61">
            <v>45229</v>
          </cell>
        </row>
        <row r="62">
          <cell r="A62" t="str">
            <v>Certificação do documento - Vibracon</v>
          </cell>
          <cell r="B62">
            <v>45230</v>
          </cell>
        </row>
        <row r="63">
          <cell r="A63" t="str">
            <v>MARCO - Envio do documento Certificado (Rev_0)</v>
          </cell>
          <cell r="B63">
            <v>45230</v>
          </cell>
        </row>
        <row r="65">
          <cell r="A65" t="str">
            <v>Projeto Conceitual</v>
          </cell>
          <cell r="B65">
            <v>45205</v>
          </cell>
        </row>
        <row r="66">
          <cell r="A66" t="str">
            <v>MARCO - Emissão do Conceito</v>
          </cell>
          <cell r="B66">
            <v>45208</v>
          </cell>
        </row>
        <row r="67">
          <cell r="A67" t="str">
            <v>Aprovação do Conceitual</v>
          </cell>
          <cell r="B67">
            <v>45217</v>
          </cell>
        </row>
        <row r="68">
          <cell r="A68" t="str">
            <v>Dimensionamento / Cálculo</v>
          </cell>
          <cell r="B68">
            <v>45210</v>
          </cell>
        </row>
        <row r="69">
          <cell r="A69" t="str">
            <v>Detalhamento</v>
          </cell>
          <cell r="B69">
            <v>45219</v>
          </cell>
        </row>
        <row r="71">
          <cell r="A71" t="str">
            <v>MARCO - Emissão Inicial (Rev_A)</v>
          </cell>
          <cell r="B71">
            <v>45210</v>
          </cell>
        </row>
        <row r="72">
          <cell r="A72" t="str">
            <v>Aprovação do Cliente</v>
          </cell>
          <cell r="B72">
            <v>45229</v>
          </cell>
        </row>
        <row r="73">
          <cell r="A73" t="str">
            <v>Certificação do documento - Vibracon</v>
          </cell>
          <cell r="B73">
            <v>45230</v>
          </cell>
        </row>
        <row r="74">
          <cell r="A74" t="str">
            <v>MARCO - Envio do documento Certificado (Rev_0)</v>
          </cell>
          <cell r="B74">
            <v>45230</v>
          </cell>
        </row>
        <row r="76">
          <cell r="A76" t="str">
            <v>MARCO - Emissão Inicial (Rev_A)</v>
          </cell>
          <cell r="B76">
            <v>45219</v>
          </cell>
        </row>
        <row r="77">
          <cell r="A77" t="str">
            <v>Aprovação do Cliente</v>
          </cell>
          <cell r="B77">
            <v>45230</v>
          </cell>
        </row>
        <row r="89">
          <cell r="A89" t="str">
            <v>MARCO - Emissão Inicial (Ver_B)</v>
          </cell>
          <cell r="B89">
            <v>45210</v>
          </cell>
        </row>
        <row r="90">
          <cell r="A90" t="str">
            <v>Aprovação do Cliente</v>
          </cell>
          <cell r="B90">
            <v>45218</v>
          </cell>
        </row>
        <row r="91">
          <cell r="A91" t="str">
            <v>Certificação do documento - Vibracon</v>
          </cell>
          <cell r="B91">
            <v>45230</v>
          </cell>
        </row>
        <row r="92">
          <cell r="A92" t="str">
            <v>MARCO - Envio do documento Certificado (Rev_0)</v>
          </cell>
          <cell r="B92">
            <v>45230</v>
          </cell>
        </row>
        <row r="94">
          <cell r="A94" t="str">
            <v>Atendimento a Comentários</v>
          </cell>
          <cell r="B94">
            <v>45223</v>
          </cell>
        </row>
        <row r="95">
          <cell r="A95" t="str">
            <v>MARCO - Emissão Inicial (Ver_B)</v>
          </cell>
          <cell r="B95">
            <v>45223</v>
          </cell>
        </row>
        <row r="97">
          <cell r="A97" t="str">
            <v>Atendimento a Comentários</v>
          </cell>
          <cell r="B97">
            <v>45223</v>
          </cell>
        </row>
        <row r="98">
          <cell r="A98" t="str">
            <v>MARCO - Emissão Inicial (Ver_B)</v>
          </cell>
          <cell r="B98">
            <v>45223</v>
          </cell>
        </row>
        <row r="101">
          <cell r="A101" t="str">
            <v>Atendimento a comentários</v>
          </cell>
          <cell r="B101">
            <v>45205</v>
          </cell>
        </row>
        <row r="102">
          <cell r="A102" t="str">
            <v>MARCO - Emissão Inicial (Rev_A)</v>
          </cell>
          <cell r="B102">
            <v>45205</v>
          </cell>
        </row>
        <row r="103">
          <cell r="A103" t="str">
            <v>Aprovação do Cliente</v>
          </cell>
          <cell r="B103">
            <v>45216</v>
          </cell>
        </row>
        <row r="104">
          <cell r="A104" t="str">
            <v>Certificação do documento - Vibracon</v>
          </cell>
          <cell r="B104">
            <v>45219</v>
          </cell>
        </row>
        <row r="105">
          <cell r="A105" t="str">
            <v>MARCO - Envio do documento Certificado (Rev_0)</v>
          </cell>
          <cell r="B105">
            <v>45219</v>
          </cell>
        </row>
        <row r="106">
          <cell r="A106" t="str">
            <v>Elaboração do Critério de Projeto</v>
          </cell>
          <cell r="B106">
            <v>45212</v>
          </cell>
        </row>
        <row r="107">
          <cell r="A107" t="str">
            <v>Verificação do Critério de Projeto</v>
          </cell>
          <cell r="B107">
            <v>45215</v>
          </cell>
        </row>
        <row r="109">
          <cell r="A109" t="str">
            <v>MARCO - Emissão Inicial (Rev_A)</v>
          </cell>
          <cell r="B109">
            <v>45215</v>
          </cell>
        </row>
        <row r="110">
          <cell r="A110" t="str">
            <v>Aprovação do Cliente</v>
          </cell>
          <cell r="B110">
            <v>45229</v>
          </cell>
        </row>
        <row r="111">
          <cell r="A111" t="str">
            <v>Certificação do documento - Vibracon</v>
          </cell>
          <cell r="B111">
            <v>45230</v>
          </cell>
        </row>
        <row r="112">
          <cell r="A112" t="str">
            <v>MARCO - Envio do documento Certificado (Rev_0)</v>
          </cell>
          <cell r="B112">
            <v>45230</v>
          </cell>
        </row>
        <row r="113">
          <cell r="A113" t="str">
            <v>Elaboração da Planilha de Quantidades</v>
          </cell>
          <cell r="B113">
            <v>45216</v>
          </cell>
        </row>
        <row r="114">
          <cell r="A114" t="str">
            <v>Verificação da Planilha de Quantidades</v>
          </cell>
          <cell r="B114">
            <v>45217</v>
          </cell>
        </row>
        <row r="116">
          <cell r="A116" t="str">
            <v>MARCO - Emissão Inicial (Rev_A)</v>
          </cell>
          <cell r="B116">
            <v>45217</v>
          </cell>
        </row>
        <row r="117">
          <cell r="A117" t="str">
            <v>Aprovação do Cliente</v>
          </cell>
          <cell r="B117">
            <v>45229</v>
          </cell>
        </row>
        <row r="118">
          <cell r="A118" t="str">
            <v>Certificação do documento - Vibracon</v>
          </cell>
          <cell r="B118">
            <v>45230</v>
          </cell>
        </row>
        <row r="119">
          <cell r="A119" t="str">
            <v>MARCO - Envio do documento Certificado (Rev_0)</v>
          </cell>
          <cell r="B119">
            <v>45230</v>
          </cell>
        </row>
        <row r="124">
          <cell r="A124" t="str">
            <v>Aprovação do Cliente</v>
          </cell>
          <cell r="B124">
            <v>45211</v>
          </cell>
        </row>
        <row r="125">
          <cell r="A125" t="str">
            <v>Certificação do documento - Vibracon</v>
          </cell>
          <cell r="B125">
            <v>45216</v>
          </cell>
        </row>
        <row r="126">
          <cell r="A126" t="str">
            <v>MARCO - Envio do documento Certificado (Rev_0)</v>
          </cell>
          <cell r="B126">
            <v>45216</v>
          </cell>
        </row>
        <row r="128">
          <cell r="A128" t="str">
            <v>MARCO - Emissão Inicial (Ver_B)</v>
          </cell>
          <cell r="B128">
            <v>45210</v>
          </cell>
        </row>
        <row r="129">
          <cell r="A129" t="str">
            <v>Aprovação do Cliente</v>
          </cell>
          <cell r="B129">
            <v>45218</v>
          </cell>
        </row>
        <row r="130">
          <cell r="A130" t="str">
            <v>Certificação do documento - Vibracon</v>
          </cell>
          <cell r="B130">
            <v>45230</v>
          </cell>
        </row>
        <row r="131">
          <cell r="A131" t="str">
            <v>MARCO - Envio do documento Certificado (Rev_0)</v>
          </cell>
          <cell r="B131">
            <v>45230</v>
          </cell>
        </row>
        <row r="133">
          <cell r="A133" t="str">
            <v>Atendimento a Comentários</v>
          </cell>
          <cell r="B133">
            <v>45210</v>
          </cell>
        </row>
        <row r="134">
          <cell r="A134" t="str">
            <v>MARCO - Emissão Inicial (Ver_B)</v>
          </cell>
          <cell r="B134">
            <v>45210</v>
          </cell>
        </row>
        <row r="135">
          <cell r="A135" t="str">
            <v>Aprovação do Cliente</v>
          </cell>
          <cell r="B135">
            <v>45219</v>
          </cell>
        </row>
        <row r="136">
          <cell r="A136" t="str">
            <v>Certificação do documento - Vibracon</v>
          </cell>
          <cell r="B136">
            <v>45230</v>
          </cell>
        </row>
        <row r="137">
          <cell r="A137" t="str">
            <v>MARCO - Envio do documento Certificado (Rev_0)</v>
          </cell>
          <cell r="B137">
            <v>45230</v>
          </cell>
        </row>
        <row r="140">
          <cell r="A140" t="str">
            <v>Atendimento a Comentários</v>
          </cell>
          <cell r="B140">
            <v>45205</v>
          </cell>
        </row>
        <row r="141">
          <cell r="A141" t="str">
            <v>MARCO - Emissão Inicial (Ver_B)</v>
          </cell>
          <cell r="B141">
            <v>45205</v>
          </cell>
        </row>
        <row r="142">
          <cell r="A142" t="str">
            <v>Aprovação do Cliente</v>
          </cell>
          <cell r="B142">
            <v>45230</v>
          </cell>
        </row>
        <row r="143">
          <cell r="A143" t="str">
            <v>Certificação do documento - Vibracon</v>
          </cell>
          <cell r="B143">
            <v>45230</v>
          </cell>
        </row>
        <row r="144">
          <cell r="A144" t="str">
            <v>MARCO - Envio do documento Certificado (Rev_0)</v>
          </cell>
          <cell r="B144">
            <v>45230</v>
          </cell>
        </row>
        <row r="145">
          <cell r="A145" t="str">
            <v>Elaboração do Critério de Projeto</v>
          </cell>
          <cell r="B145">
            <v>45212</v>
          </cell>
        </row>
        <row r="146">
          <cell r="A146" t="str">
            <v>Verificação do Critério de Projeto</v>
          </cell>
          <cell r="B146">
            <v>45215</v>
          </cell>
        </row>
        <row r="148">
          <cell r="A148" t="str">
            <v>MARCO - Emissão Inicial (Rev_A)</v>
          </cell>
          <cell r="B148">
            <v>45215</v>
          </cell>
        </row>
        <row r="149">
          <cell r="A149" t="str">
            <v>Aprovação do Cliente</v>
          </cell>
          <cell r="B149">
            <v>45230</v>
          </cell>
        </row>
        <row r="150">
          <cell r="A150" t="str">
            <v>Certificação do documento - Vibracon</v>
          </cell>
          <cell r="B150">
            <v>45230</v>
          </cell>
        </row>
        <row r="151">
          <cell r="A151" t="str">
            <v>MARCO - Envio do documento Certificado (Rev_0)</v>
          </cell>
          <cell r="B151">
            <v>45230</v>
          </cell>
        </row>
        <row r="152">
          <cell r="A152" t="str">
            <v>Elaboração da Planilha de Quantidades</v>
          </cell>
          <cell r="B152">
            <v>45212</v>
          </cell>
        </row>
        <row r="153">
          <cell r="A153" t="str">
            <v>Verificação da Planilha de Quantidades</v>
          </cell>
          <cell r="B153">
            <v>45219</v>
          </cell>
        </row>
        <row r="155">
          <cell r="A155" t="str">
            <v>MARCO - Emissão Inicial (Rev_A)</v>
          </cell>
          <cell r="B155">
            <v>45222</v>
          </cell>
        </row>
        <row r="156">
          <cell r="A156" t="str">
            <v>Aprovação do Cliente</v>
          </cell>
          <cell r="B156">
            <v>45222</v>
          </cell>
        </row>
        <row r="157">
          <cell r="A157" t="str">
            <v>Certificação do documento - Vibracon</v>
          </cell>
          <cell r="B157">
            <v>45229</v>
          </cell>
        </row>
        <row r="158">
          <cell r="A158" t="str">
            <v>MARCO - Envio do documento Certificado (Rev_0)</v>
          </cell>
          <cell r="B158">
            <v>45229</v>
          </cell>
        </row>
        <row r="165">
          <cell r="A165" t="str">
            <v>Atendimento a Comentários</v>
          </cell>
          <cell r="B165">
            <v>45210</v>
          </cell>
        </row>
        <row r="166">
          <cell r="A166" t="str">
            <v>MARCO - Emissão Inicial (Rev_B)</v>
          </cell>
          <cell r="B166">
            <v>45210</v>
          </cell>
        </row>
        <row r="167">
          <cell r="A167" t="str">
            <v>Certificação do documento - Vibracon</v>
          </cell>
          <cell r="B167">
            <v>45215</v>
          </cell>
        </row>
        <row r="168">
          <cell r="A168" t="str">
            <v>MARCO - Envio do documento Certificado (Rev_0)</v>
          </cell>
          <cell r="B168">
            <v>45215</v>
          </cell>
        </row>
        <row r="169">
          <cell r="A169" t="str">
            <v>Elaboração do Projeto Detalhado</v>
          </cell>
          <cell r="B169">
            <v>45210</v>
          </cell>
        </row>
        <row r="170">
          <cell r="A170" t="str">
            <v>Verificação do Projeto Detalhado</v>
          </cell>
          <cell r="B170">
            <v>45217</v>
          </cell>
        </row>
        <row r="172">
          <cell r="A172" t="str">
            <v>MARCO - Emissão Inicial (Rev_A)</v>
          </cell>
          <cell r="B172">
            <v>45217</v>
          </cell>
        </row>
        <row r="173">
          <cell r="A173" t="str">
            <v>Aprovação do Cliente</v>
          </cell>
          <cell r="B173">
            <v>45224</v>
          </cell>
        </row>
        <row r="174">
          <cell r="A174" t="str">
            <v>Certificação do documento - Vibracon</v>
          </cell>
          <cell r="B174">
            <v>45229</v>
          </cell>
        </row>
        <row r="175">
          <cell r="A175" t="str">
            <v>MARCO - Envio do documento Certificado (Rev_0)</v>
          </cell>
          <cell r="B175">
            <v>45229</v>
          </cell>
        </row>
        <row r="176">
          <cell r="A176" t="str">
            <v>Elaboração da Planilha de Quantidades</v>
          </cell>
          <cell r="B176">
            <v>45212</v>
          </cell>
        </row>
        <row r="177">
          <cell r="A177" t="str">
            <v>Verificação da Planilha de Quantidades</v>
          </cell>
          <cell r="B177">
            <v>45215</v>
          </cell>
        </row>
        <row r="179">
          <cell r="A179" t="str">
            <v>MARCO - Emissão Inicial (Rev_A)</v>
          </cell>
          <cell r="B179">
            <v>45215</v>
          </cell>
        </row>
        <row r="180">
          <cell r="A180" t="str">
            <v>Aprovação do Cliente</v>
          </cell>
          <cell r="B180">
            <v>45222</v>
          </cell>
        </row>
        <row r="181">
          <cell r="A181" t="str">
            <v>Certificação do documento - Vibracon</v>
          </cell>
          <cell r="B181">
            <v>45225</v>
          </cell>
        </row>
        <row r="182">
          <cell r="A182" t="str">
            <v>MARCO - Envio do documento Certificado (Rev_0)</v>
          </cell>
          <cell r="B182">
            <v>45225</v>
          </cell>
        </row>
        <row r="184">
          <cell r="A184" t="str">
            <v>Aprovação do Cliente</v>
          </cell>
          <cell r="B184">
            <v>45211</v>
          </cell>
        </row>
        <row r="185">
          <cell r="A185" t="str">
            <v>Certificação do documento - Vibracon</v>
          </cell>
          <cell r="B185">
            <v>45216</v>
          </cell>
        </row>
        <row r="186">
          <cell r="A186" t="str">
            <v>MARCO - Envio do documento Certificado (Rev_0)</v>
          </cell>
          <cell r="B186">
            <v>45216</v>
          </cell>
        </row>
        <row r="188">
          <cell r="A188" t="str">
            <v>Aprovação do Cliente</v>
          </cell>
          <cell r="B188">
            <v>45212</v>
          </cell>
        </row>
        <row r="189">
          <cell r="A189" t="str">
            <v>Certificação do documento - Vibracon</v>
          </cell>
          <cell r="B189">
            <v>45217</v>
          </cell>
        </row>
        <row r="190">
          <cell r="A190" t="str">
            <v>MARCO - Envio do documento Certificado (Rev_0)</v>
          </cell>
          <cell r="B190">
            <v>45217</v>
          </cell>
        </row>
        <row r="191">
          <cell r="A191" t="str">
            <v>Elaboração da Requisição Técnica</v>
          </cell>
          <cell r="B191">
            <v>45215</v>
          </cell>
        </row>
        <row r="192">
          <cell r="A192" t="str">
            <v>Verificação da Requisição Técnica</v>
          </cell>
          <cell r="B192">
            <v>45216</v>
          </cell>
        </row>
        <row r="194">
          <cell r="A194" t="str">
            <v>MARCO - Emissão Inicial (Rev_A)</v>
          </cell>
          <cell r="B194">
            <v>45216</v>
          </cell>
        </row>
        <row r="195">
          <cell r="A195" t="str">
            <v>Aprovação do Cliente</v>
          </cell>
          <cell r="B195">
            <v>45223</v>
          </cell>
        </row>
        <row r="196">
          <cell r="A196" t="str">
            <v>Certificação do documento - Vibracon</v>
          </cell>
          <cell r="B196">
            <v>45226</v>
          </cell>
        </row>
        <row r="197">
          <cell r="A197" t="str">
            <v>MARCO - Envio do documento Certificado (Rev_0)</v>
          </cell>
          <cell r="B197">
            <v>45226</v>
          </cell>
        </row>
        <row r="199">
          <cell r="A199" t="str">
            <v>Verificação da Memória de Cálculo</v>
          </cell>
          <cell r="B199">
            <v>45209</v>
          </cell>
        </row>
        <row r="201">
          <cell r="A201" t="str">
            <v>MARCO - Emissão Inicial (Rev_A)</v>
          </cell>
          <cell r="B201">
            <v>45209</v>
          </cell>
        </row>
        <row r="202">
          <cell r="A202" t="str">
            <v>Aprovação do Cliente</v>
          </cell>
          <cell r="B202">
            <v>45216</v>
          </cell>
        </row>
        <row r="203">
          <cell r="A203" t="str">
            <v>Certificação do documento - Vibracon</v>
          </cell>
          <cell r="B203">
            <v>45219</v>
          </cell>
        </row>
        <row r="204">
          <cell r="A204" t="str">
            <v>MARCO - Envio do documento Certificado (Rev_0)</v>
          </cell>
          <cell r="B204">
            <v>45219</v>
          </cell>
        </row>
        <row r="205">
          <cell r="A205" t="str">
            <v>Verificação do Projeto Detalhado</v>
          </cell>
          <cell r="B205">
            <v>45209</v>
          </cell>
        </row>
        <row r="207">
          <cell r="A207" t="str">
            <v>MARCO - Emissão Inicial (Rev_A)</v>
          </cell>
          <cell r="B207">
            <v>45209</v>
          </cell>
        </row>
        <row r="208">
          <cell r="A208" t="str">
            <v>Aprovação do Cliente</v>
          </cell>
          <cell r="B208">
            <v>45216</v>
          </cell>
        </row>
        <row r="209">
          <cell r="A209" t="str">
            <v>Certificação do documento - Vibracon</v>
          </cell>
          <cell r="B209">
            <v>45219</v>
          </cell>
        </row>
        <row r="210">
          <cell r="A210" t="str">
            <v>MARCO - Envio do documento Certificado (Rev_0)</v>
          </cell>
          <cell r="B210">
            <v>45219</v>
          </cell>
        </row>
        <row r="211">
          <cell r="A211" t="str">
            <v>Elaboração da Planilha de Quantidades</v>
          </cell>
          <cell r="B211">
            <v>45212</v>
          </cell>
        </row>
        <row r="212">
          <cell r="A212" t="str">
            <v>Verificação da Planilha de Quantidades</v>
          </cell>
          <cell r="B212">
            <v>45215</v>
          </cell>
        </row>
        <row r="214">
          <cell r="A214" t="str">
            <v>MARCO - Emissão Inicial (Rev_A)</v>
          </cell>
          <cell r="B214">
            <v>45215</v>
          </cell>
        </row>
        <row r="215">
          <cell r="A215" t="str">
            <v>Aprovação do Cliente</v>
          </cell>
          <cell r="B215">
            <v>45222</v>
          </cell>
        </row>
        <row r="216">
          <cell r="A216" t="str">
            <v>Certificação do documento - Vibracon</v>
          </cell>
          <cell r="B216">
            <v>45225</v>
          </cell>
        </row>
        <row r="217">
          <cell r="A217" t="str">
            <v>MARCO - Envio do documento Certificado (Rev_0)</v>
          </cell>
          <cell r="B217">
            <v>45225</v>
          </cell>
        </row>
        <row r="218">
          <cell r="A218" t="str">
            <v>Elaboração da Lista de Materiais</v>
          </cell>
          <cell r="B218">
            <v>45216</v>
          </cell>
        </row>
        <row r="219">
          <cell r="A219" t="str">
            <v>Verificação da Lista de Materiais</v>
          </cell>
          <cell r="B219">
            <v>45217</v>
          </cell>
        </row>
        <row r="221">
          <cell r="A221" t="str">
            <v>MARCO - Emissão Inicial (Rev_A)</v>
          </cell>
          <cell r="B221">
            <v>45217</v>
          </cell>
        </row>
        <row r="222">
          <cell r="A222" t="str">
            <v>Aprovação do Cliente</v>
          </cell>
          <cell r="B222">
            <v>45224</v>
          </cell>
        </row>
        <row r="223">
          <cell r="A223" t="str">
            <v>Certificação do documento - Vibracon</v>
          </cell>
          <cell r="B223">
            <v>45229</v>
          </cell>
        </row>
        <row r="224">
          <cell r="A224" t="str">
            <v>MARCO - Envio do documento Certificado (Rev_0)</v>
          </cell>
          <cell r="B224">
            <v>45229</v>
          </cell>
        </row>
        <row r="225">
          <cell r="A225" t="str">
            <v>Elaboração da Especificação Técnica</v>
          </cell>
          <cell r="B225">
            <v>45219</v>
          </cell>
        </row>
        <row r="226">
          <cell r="A226" t="str">
            <v>Verificação da Especificação Técnica</v>
          </cell>
          <cell r="B226">
            <v>45222</v>
          </cell>
        </row>
        <row r="228">
          <cell r="A228" t="str">
            <v>MARCO - Emissão Inicial (Rev_A)</v>
          </cell>
          <cell r="B228">
            <v>45222</v>
          </cell>
        </row>
        <row r="229">
          <cell r="A229" t="str">
            <v>Aprovação do Cliente</v>
          </cell>
          <cell r="B229">
            <v>45229</v>
          </cell>
        </row>
        <row r="230">
          <cell r="A230" t="str">
            <v>Elaboração do Critério de Projeto</v>
          </cell>
          <cell r="B230">
            <v>45223</v>
          </cell>
        </row>
        <row r="231">
          <cell r="A231" t="str">
            <v>Verificação do Critério de Projeto</v>
          </cell>
          <cell r="B231">
            <v>45224</v>
          </cell>
        </row>
        <row r="233">
          <cell r="A233" t="str">
            <v>MARCO - Emissão Inicial (Rev_A)</v>
          </cell>
          <cell r="B233">
            <v>45224</v>
          </cell>
        </row>
        <row r="234">
          <cell r="A234" t="str">
            <v>Elaboração da Requisição Técnica</v>
          </cell>
          <cell r="B234">
            <v>45225</v>
          </cell>
        </row>
        <row r="235">
          <cell r="A235" t="str">
            <v>Verificação da Requisição Técnica</v>
          </cell>
          <cell r="B235">
            <v>45226</v>
          </cell>
        </row>
        <row r="237">
          <cell r="A237" t="str">
            <v>MARCO - Emissão Inicial (Rev_A)</v>
          </cell>
          <cell r="B237">
            <v>45226</v>
          </cell>
        </row>
        <row r="240">
          <cell r="A240" t="str">
            <v>Aprovação do Cliente</v>
          </cell>
          <cell r="B240">
            <v>45209</v>
          </cell>
        </row>
        <row r="241">
          <cell r="A241" t="str">
            <v>Certificação do documento - Vibracon</v>
          </cell>
          <cell r="B241">
            <v>45212</v>
          </cell>
        </row>
        <row r="242">
          <cell r="A242" t="str">
            <v>MARCO - Envio do documento Certificado (Rev_0)</v>
          </cell>
          <cell r="B242">
            <v>45212</v>
          </cell>
        </row>
        <row r="247">
          <cell r="A247" t="str">
            <v>Aprovação do Cliente</v>
          </cell>
          <cell r="B247">
            <v>45209</v>
          </cell>
        </row>
        <row r="248">
          <cell r="A248" t="str">
            <v>Certificação do documento - Vibracon</v>
          </cell>
          <cell r="B248">
            <v>45212</v>
          </cell>
        </row>
        <row r="249">
          <cell r="A249" t="str">
            <v>MARCO - Envio do documento Certificado (Rev_0)</v>
          </cell>
          <cell r="B249">
            <v>45212</v>
          </cell>
        </row>
        <row r="250">
          <cell r="A250" t="str">
            <v>Elaboração do Projeto Detalhado</v>
          </cell>
          <cell r="B250">
            <v>45225</v>
          </cell>
        </row>
        <row r="253">
          <cell r="A253" t="str">
            <v>Aprovação do Cliente</v>
          </cell>
          <cell r="B253">
            <v>45202</v>
          </cell>
        </row>
        <row r="254">
          <cell r="A254" t="str">
            <v>Certificação do documento - Vibracon</v>
          </cell>
          <cell r="B254">
            <v>45205</v>
          </cell>
        </row>
        <row r="255">
          <cell r="A255" t="str">
            <v>MARCO - Envio do documento Certificado (Rev_0)</v>
          </cell>
          <cell r="B255">
            <v>45205</v>
          </cell>
        </row>
        <row r="256">
          <cell r="A256" t="str">
            <v>Verificação do Projeto Detalhado</v>
          </cell>
          <cell r="B256">
            <v>45209</v>
          </cell>
        </row>
        <row r="258">
          <cell r="A258" t="str">
            <v>MARCO - Emissão Inicial (Rev_A)</v>
          </cell>
          <cell r="B258">
            <v>45209</v>
          </cell>
        </row>
        <row r="259">
          <cell r="A259" t="str">
            <v>Aprovação do Cliente</v>
          </cell>
          <cell r="B259">
            <v>45216</v>
          </cell>
        </row>
        <row r="260">
          <cell r="A260" t="str">
            <v>Certificação do documento - Vibracon</v>
          </cell>
          <cell r="B260">
            <v>45219</v>
          </cell>
        </row>
        <row r="261">
          <cell r="A261" t="str">
            <v>MARCO - Envio do documento Certificado (Rev_0)</v>
          </cell>
          <cell r="B261">
            <v>45219</v>
          </cell>
        </row>
        <row r="262">
          <cell r="A262" t="str">
            <v>Elaboração da Planilha de Quantidades</v>
          </cell>
          <cell r="B262">
            <v>45218</v>
          </cell>
        </row>
        <row r="263">
          <cell r="A263" t="str">
            <v>Verificação da Planilha de Quantidades</v>
          </cell>
          <cell r="B263">
            <v>45219</v>
          </cell>
        </row>
        <row r="265">
          <cell r="A265" t="str">
            <v>MARCO - Emissão Inicial (Rev_A)</v>
          </cell>
          <cell r="B265">
            <v>45219</v>
          </cell>
        </row>
        <row r="266">
          <cell r="A266" t="str">
            <v>Aprovação do Cliente</v>
          </cell>
          <cell r="B266">
            <v>45226</v>
          </cell>
        </row>
        <row r="267">
          <cell r="A267" t="str">
            <v>Elaboração da Lista de Materiais</v>
          </cell>
          <cell r="B267">
            <v>45224</v>
          </cell>
        </row>
        <row r="268">
          <cell r="A268" t="str">
            <v>Verificação da Lista de Materiais</v>
          </cell>
          <cell r="B268">
            <v>45225</v>
          </cell>
        </row>
        <row r="270">
          <cell r="A270" t="str">
            <v>MARCO - Emissão Inicial (Rev_A)</v>
          </cell>
          <cell r="B270">
            <v>45225</v>
          </cell>
        </row>
        <row r="273">
          <cell r="A273" t="str">
            <v>Aprovação do Cliente</v>
          </cell>
          <cell r="B273">
            <v>45209</v>
          </cell>
        </row>
        <row r="274">
          <cell r="A274" t="str">
            <v>Certificação do documento - Vibracon</v>
          </cell>
          <cell r="B274">
            <v>45212</v>
          </cell>
        </row>
        <row r="275">
          <cell r="A275" t="str">
            <v>MARCO - Envio do documento Certificado (Rev_0)</v>
          </cell>
          <cell r="B275">
            <v>45212</v>
          </cell>
        </row>
        <row r="282">
          <cell r="A282" t="str">
            <v>Aprovação do Cliente</v>
          </cell>
          <cell r="B282">
            <v>45209</v>
          </cell>
        </row>
        <row r="283">
          <cell r="A283" t="str">
            <v>Certificação do documento - Vibracon</v>
          </cell>
          <cell r="B283">
            <v>45217</v>
          </cell>
        </row>
        <row r="284">
          <cell r="A284" t="str">
            <v>MARCO - Envio do documento Certificado (Rev_0)</v>
          </cell>
          <cell r="B284">
            <v>45217</v>
          </cell>
        </row>
        <row r="286">
          <cell r="A286" t="str">
            <v>Aprovação do Cliente</v>
          </cell>
          <cell r="B286">
            <v>45209</v>
          </cell>
        </row>
        <row r="287">
          <cell r="A287" t="str">
            <v>Certificação do documento - Vibracon</v>
          </cell>
          <cell r="B287">
            <v>45212</v>
          </cell>
        </row>
        <row r="288">
          <cell r="A288" t="str">
            <v>MARCO - Envio do documento Certificado (Rev_0)</v>
          </cell>
          <cell r="B288">
            <v>45212</v>
          </cell>
        </row>
        <row r="290">
          <cell r="A290" t="str">
            <v>Aprovação do Cliente</v>
          </cell>
          <cell r="B290">
            <v>45209</v>
          </cell>
        </row>
        <row r="291">
          <cell r="A291" t="str">
            <v>Certificação do documento - Vibracon</v>
          </cell>
          <cell r="B291">
            <v>45212</v>
          </cell>
        </row>
        <row r="292">
          <cell r="A292" t="str">
            <v>MARCO - Envio do documento Certificado (Rev_0)</v>
          </cell>
          <cell r="B292">
            <v>45212</v>
          </cell>
        </row>
        <row r="294">
          <cell r="A294" t="str">
            <v>Aprovação do Cliente</v>
          </cell>
          <cell r="B294">
            <v>45209</v>
          </cell>
        </row>
        <row r="295">
          <cell r="A295" t="str">
            <v>Certificação do documento - Vibracon</v>
          </cell>
          <cell r="B295">
            <v>45212</v>
          </cell>
        </row>
        <row r="296">
          <cell r="A296" t="str">
            <v>MARCO - Envio do documento Certificado (Rev_0)</v>
          </cell>
          <cell r="B296">
            <v>45212</v>
          </cell>
        </row>
        <row r="299">
          <cell r="A299" t="str">
            <v>Certificação do documento - Vibracon</v>
          </cell>
          <cell r="B299">
            <v>45209</v>
          </cell>
        </row>
        <row r="300">
          <cell r="A300" t="str">
            <v>MARCO - Envio do documento Certificado (Rev_0)</v>
          </cell>
          <cell r="B300">
            <v>45209</v>
          </cell>
        </row>
        <row r="301">
          <cell r="A301" t="str">
            <v>Elaboração do Critério de Projeto</v>
          </cell>
          <cell r="B301">
            <v>45212</v>
          </cell>
        </row>
        <row r="302">
          <cell r="A302" t="str">
            <v>Verificação do Critério de Projeto</v>
          </cell>
          <cell r="B302">
            <v>45215</v>
          </cell>
        </row>
        <row r="304">
          <cell r="A304" t="str">
            <v>MARCO - Emissão Inicial (Rev_A)</v>
          </cell>
          <cell r="B304">
            <v>45215</v>
          </cell>
        </row>
        <row r="305">
          <cell r="A305" t="str">
            <v>Aprovação do Cliente</v>
          </cell>
          <cell r="B305">
            <v>45222</v>
          </cell>
        </row>
        <row r="306">
          <cell r="A306" t="str">
            <v>Certificação do documento - Vibracon</v>
          </cell>
          <cell r="B306">
            <v>45225</v>
          </cell>
        </row>
        <row r="307">
          <cell r="A307" t="str">
            <v>MARCO - Envio do documento Certificado (Rev_0)</v>
          </cell>
          <cell r="B307">
            <v>45225</v>
          </cell>
        </row>
        <row r="308">
          <cell r="A308" t="str">
            <v>Elaboração da Planilha de Quantidades</v>
          </cell>
          <cell r="B308">
            <v>45212</v>
          </cell>
        </row>
        <row r="309">
          <cell r="A309" t="str">
            <v>Verificação da Planilha de Quantidades</v>
          </cell>
          <cell r="B309">
            <v>45215</v>
          </cell>
        </row>
        <row r="311">
          <cell r="A311" t="str">
            <v>MARCO - Emissão Inicial (Rev_A)</v>
          </cell>
          <cell r="B311">
            <v>45215</v>
          </cell>
        </row>
        <row r="312">
          <cell r="A312" t="str">
            <v>Aprovação do Cliente</v>
          </cell>
          <cell r="B312">
            <v>45222</v>
          </cell>
        </row>
        <row r="313">
          <cell r="A313" t="str">
            <v>Certificação do documento - Vibracon</v>
          </cell>
          <cell r="B313">
            <v>45225</v>
          </cell>
        </row>
        <row r="314">
          <cell r="A314" t="str">
            <v>MARCO - Envio do documento Certificado (Rev_0)</v>
          </cell>
          <cell r="B314">
            <v>45225</v>
          </cell>
        </row>
        <row r="319">
          <cell r="A319" t="str">
            <v>Aprovação do Cliente</v>
          </cell>
          <cell r="B319">
            <v>45209</v>
          </cell>
        </row>
        <row r="320">
          <cell r="A320" t="str">
            <v>Certificação do documento - Vibracon</v>
          </cell>
          <cell r="B320">
            <v>45212</v>
          </cell>
        </row>
        <row r="321">
          <cell r="A321" t="str">
            <v>MARCO - Envio do documento Certificado (Rev_0)</v>
          </cell>
          <cell r="B321">
            <v>45212</v>
          </cell>
        </row>
        <row r="323">
          <cell r="A323" t="str">
            <v>Aprovação do Cliente</v>
          </cell>
          <cell r="B323">
            <v>45209</v>
          </cell>
        </row>
        <row r="324">
          <cell r="A324" t="str">
            <v>Certificação do documento - Vibracon</v>
          </cell>
          <cell r="B324">
            <v>45212</v>
          </cell>
        </row>
        <row r="325">
          <cell r="A325" t="str">
            <v>MARCO - Envio do documento Certificado (Rev_0)</v>
          </cell>
          <cell r="B325">
            <v>45212</v>
          </cell>
        </row>
        <row r="327">
          <cell r="A327" t="str">
            <v>Aprovação do Cliente</v>
          </cell>
          <cell r="B327">
            <v>45212</v>
          </cell>
        </row>
        <row r="328">
          <cell r="A328" t="str">
            <v>Certificação do documento - Vibracon</v>
          </cell>
          <cell r="B328">
            <v>45217</v>
          </cell>
        </row>
        <row r="329">
          <cell r="A329" t="str">
            <v>MARCO - Envio do documento Certificado (Rev_0)</v>
          </cell>
          <cell r="B329">
            <v>45217</v>
          </cell>
        </row>
        <row r="331">
          <cell r="A331" t="str">
            <v>Aprovação do Cliente</v>
          </cell>
          <cell r="B331">
            <v>45209</v>
          </cell>
        </row>
        <row r="332">
          <cell r="A332" t="str">
            <v>Certificação do documento - Vibracon</v>
          </cell>
          <cell r="B332">
            <v>45212</v>
          </cell>
        </row>
        <row r="333">
          <cell r="A333" t="str">
            <v>MARCO - Envio do documento Certificado (Rev_0)</v>
          </cell>
          <cell r="B333">
            <v>45212</v>
          </cell>
        </row>
        <row r="336">
          <cell r="A336" t="str">
            <v>Aprovação do Cliente</v>
          </cell>
          <cell r="B336">
            <v>45209</v>
          </cell>
        </row>
        <row r="337">
          <cell r="A337" t="str">
            <v>Atendimento a Comentários</v>
          </cell>
          <cell r="B337">
            <v>45212</v>
          </cell>
        </row>
        <row r="338">
          <cell r="A338" t="str">
            <v>MARCO - Emissão Inicial (Rev_B)</v>
          </cell>
          <cell r="B338">
            <v>45212</v>
          </cell>
        </row>
        <row r="339">
          <cell r="A339" t="str">
            <v>Aprovação do Cliente</v>
          </cell>
          <cell r="B339">
            <v>45223</v>
          </cell>
        </row>
        <row r="340">
          <cell r="A340" t="str">
            <v>Certificação do documento - Vibracon</v>
          </cell>
          <cell r="B340">
            <v>45226</v>
          </cell>
        </row>
        <row r="341">
          <cell r="A341" t="str">
            <v>MARCO - Envio do documento Certificado (Rev_0)</v>
          </cell>
          <cell r="B341">
            <v>45226</v>
          </cell>
        </row>
        <row r="342">
          <cell r="A342" t="str">
            <v>Elaboração do Critério de Projeto</v>
          </cell>
          <cell r="B342">
            <v>45211</v>
          </cell>
        </row>
        <row r="343">
          <cell r="A343" t="str">
            <v>Verificação do Critério de Projeto</v>
          </cell>
          <cell r="B343">
            <v>45212</v>
          </cell>
        </row>
        <row r="345">
          <cell r="A345" t="str">
            <v>MARCO - Emissão Inicial (Rev_A)</v>
          </cell>
          <cell r="B345">
            <v>45212</v>
          </cell>
        </row>
        <row r="346">
          <cell r="A346" t="str">
            <v>Aprovação do Cliente</v>
          </cell>
          <cell r="B346">
            <v>45219</v>
          </cell>
        </row>
        <row r="347">
          <cell r="A347" t="str">
            <v>Certificação do documento - Vibracon</v>
          </cell>
          <cell r="B347">
            <v>45224</v>
          </cell>
        </row>
        <row r="348">
          <cell r="A348" t="str">
            <v>MARCO - Envio do documento Certificado (Rev_0)</v>
          </cell>
          <cell r="B348">
            <v>45224</v>
          </cell>
        </row>
        <row r="349">
          <cell r="A349" t="str">
            <v>Elaboração da Planilha de Quantidades</v>
          </cell>
          <cell r="B349">
            <v>45212</v>
          </cell>
        </row>
        <row r="350">
          <cell r="A350" t="str">
            <v>Verificação da Planilha de Quantidades</v>
          </cell>
          <cell r="B350">
            <v>45215</v>
          </cell>
        </row>
        <row r="352">
          <cell r="A352" t="str">
            <v>MARCO - Emissão Inicial (Rev_A)</v>
          </cell>
          <cell r="B352">
            <v>45215</v>
          </cell>
        </row>
        <row r="353">
          <cell r="A353" t="str">
            <v>Aprovação do Cliente</v>
          </cell>
          <cell r="B353">
            <v>45222</v>
          </cell>
        </row>
        <row r="354">
          <cell r="A354" t="str">
            <v>Certificação do documento - Vibracon</v>
          </cell>
          <cell r="B354">
            <v>45225</v>
          </cell>
        </row>
        <row r="355">
          <cell r="A355" t="str">
            <v>MARCO - Envio do documento Certificado (Rev_0)</v>
          </cell>
          <cell r="B355">
            <v>45225</v>
          </cell>
        </row>
        <row r="362">
          <cell r="A362" t="str">
            <v>Aprovação do Cliente</v>
          </cell>
          <cell r="B362">
            <v>45209</v>
          </cell>
        </row>
        <row r="363">
          <cell r="A363" t="str">
            <v>Certificação do documento - Vibracon</v>
          </cell>
          <cell r="B363">
            <v>45212</v>
          </cell>
        </row>
        <row r="364">
          <cell r="A364" t="str">
            <v>MARCO - Envio do documento Certificado (Rev_0)</v>
          </cell>
          <cell r="B364">
            <v>45212</v>
          </cell>
        </row>
        <row r="365">
          <cell r="A365" t="str">
            <v>Elaboração do Projeto Detalhado</v>
          </cell>
          <cell r="B365">
            <v>45225</v>
          </cell>
        </row>
        <row r="366">
          <cell r="A366" t="str">
            <v>Elaboração da Planilha de Quantidades</v>
          </cell>
          <cell r="B366">
            <v>45229</v>
          </cell>
        </row>
        <row r="367">
          <cell r="A367" t="str">
            <v>Verificação da Planilha de Quantidades</v>
          </cell>
          <cell r="B367">
            <v>45230</v>
          </cell>
        </row>
        <row r="369">
          <cell r="A369" t="str">
            <v>MARCO - Emissão Inicial (Rev_A)</v>
          </cell>
          <cell r="B369">
            <v>45230</v>
          </cell>
        </row>
        <row r="371">
          <cell r="A371" t="str">
            <v>Verificação da Memória de Cálculo</v>
          </cell>
          <cell r="B371">
            <v>45209</v>
          </cell>
        </row>
        <row r="373">
          <cell r="A373" t="str">
            <v>MARCO - Emissão Inicial (Rev_A)</v>
          </cell>
          <cell r="B373">
            <v>45209</v>
          </cell>
        </row>
        <row r="374">
          <cell r="A374" t="str">
            <v>Aprovação do Cliente</v>
          </cell>
          <cell r="B374">
            <v>45216</v>
          </cell>
        </row>
        <row r="375">
          <cell r="A375" t="str">
            <v>Certificação do documento - Vibracon</v>
          </cell>
          <cell r="B375">
            <v>45219</v>
          </cell>
        </row>
        <row r="376">
          <cell r="A376" t="str">
            <v>MARCO - Envio do documento Certificado (Rev_0)</v>
          </cell>
          <cell r="B376">
            <v>45219</v>
          </cell>
        </row>
        <row r="377">
          <cell r="A377" t="str">
            <v>Elaboração da Planilha de Quantidades</v>
          </cell>
          <cell r="B377">
            <v>45212</v>
          </cell>
        </row>
        <row r="378">
          <cell r="A378" t="str">
            <v>Verificação da Planilha de Quantidades</v>
          </cell>
          <cell r="B378">
            <v>45215</v>
          </cell>
        </row>
        <row r="380">
          <cell r="A380" t="str">
            <v>MARCO - Emissão Inicial (Rev_A)</v>
          </cell>
          <cell r="B380">
            <v>45215</v>
          </cell>
        </row>
        <row r="381">
          <cell r="A381" t="str">
            <v>Aprovação do Cliente</v>
          </cell>
          <cell r="B381">
            <v>45222</v>
          </cell>
        </row>
        <row r="382">
          <cell r="A382" t="str">
            <v>Certificação do documento - Vibracon</v>
          </cell>
          <cell r="B382">
            <v>45225</v>
          </cell>
        </row>
        <row r="383">
          <cell r="A383" t="str">
            <v>MARCO - Envio do documento Certificado (Rev_0)</v>
          </cell>
          <cell r="B383">
            <v>45225</v>
          </cell>
        </row>
        <row r="384">
          <cell r="A384" t="str">
            <v>Elaboração da Lista de Materiais</v>
          </cell>
          <cell r="B384">
            <v>45216</v>
          </cell>
        </row>
        <row r="385">
          <cell r="A385" t="str">
            <v>Verificação da Lista de Materiais</v>
          </cell>
          <cell r="B385">
            <v>45217</v>
          </cell>
        </row>
        <row r="387">
          <cell r="A387" t="str">
            <v>MARCO - Emissão Inicial (Rev_A)</v>
          </cell>
          <cell r="B387">
            <v>45217</v>
          </cell>
        </row>
        <row r="388">
          <cell r="A388" t="str">
            <v>Aprovação do Cliente</v>
          </cell>
          <cell r="B388">
            <v>45224</v>
          </cell>
        </row>
        <row r="389">
          <cell r="A389" t="str">
            <v>Certificação do documento - Vibracon</v>
          </cell>
          <cell r="B389">
            <v>45229</v>
          </cell>
        </row>
        <row r="390">
          <cell r="A390" t="str">
            <v>MARCO - Envio do documento Certificado (Rev_0)</v>
          </cell>
          <cell r="B390">
            <v>45229</v>
          </cell>
        </row>
        <row r="391">
          <cell r="A391" t="str">
            <v>Elaboração da Especificação Técnica</v>
          </cell>
          <cell r="B391">
            <v>45219</v>
          </cell>
        </row>
        <row r="392">
          <cell r="A392" t="str">
            <v>Verificação da Especificação Técnica</v>
          </cell>
          <cell r="B392">
            <v>45222</v>
          </cell>
        </row>
        <row r="394">
          <cell r="A394" t="str">
            <v>MARCO - Emissão Inicial (Rev_A)</v>
          </cell>
          <cell r="B394">
            <v>45222</v>
          </cell>
        </row>
        <row r="395">
          <cell r="A395" t="str">
            <v>Aprovação do Cliente</v>
          </cell>
          <cell r="B395">
            <v>45229</v>
          </cell>
        </row>
        <row r="396">
          <cell r="A396" t="str">
            <v>Elaboração do Critério de Projeto</v>
          </cell>
          <cell r="B396">
            <v>45223</v>
          </cell>
        </row>
        <row r="397">
          <cell r="A397" t="str">
            <v>Verificação do Critério de Projeto</v>
          </cell>
          <cell r="B397">
            <v>45224</v>
          </cell>
        </row>
        <row r="399">
          <cell r="A399" t="str">
            <v>MARCO - Emissão Inicial (Rev_A)</v>
          </cell>
          <cell r="B399">
            <v>45224</v>
          </cell>
        </row>
        <row r="400">
          <cell r="A400" t="str">
            <v>Elaboração da Requisição Técnica</v>
          </cell>
          <cell r="B400">
            <v>45225</v>
          </cell>
        </row>
        <row r="401">
          <cell r="A401" t="str">
            <v>Verificação da Requisição Técnica</v>
          </cell>
          <cell r="B401">
            <v>45226</v>
          </cell>
        </row>
        <row r="403">
          <cell r="A403" t="str">
            <v>MARCO - Emissão Inicial (Rev_A)</v>
          </cell>
          <cell r="B403">
            <v>45226</v>
          </cell>
        </row>
        <row r="406">
          <cell r="A406" t="str">
            <v>Aprovação do Cliente</v>
          </cell>
          <cell r="B406">
            <v>45209</v>
          </cell>
        </row>
        <row r="407">
          <cell r="A407" t="str">
            <v>Certificação do documento - Vibracon</v>
          </cell>
          <cell r="B407">
            <v>45212</v>
          </cell>
        </row>
        <row r="408">
          <cell r="A408" t="str">
            <v>MARCO - Envio do documento Certificado (Rev_0)</v>
          </cell>
          <cell r="B408">
            <v>45212</v>
          </cell>
        </row>
        <row r="413">
          <cell r="A413" t="str">
            <v>Aprovação do Cliente</v>
          </cell>
          <cell r="B413">
            <v>45209</v>
          </cell>
        </row>
        <row r="414">
          <cell r="A414" t="str">
            <v>Certificação do documento - Vibracon</v>
          </cell>
          <cell r="B414">
            <v>45212</v>
          </cell>
        </row>
        <row r="415">
          <cell r="A415" t="str">
            <v>MARCO - Envio do documento Certificado (Rev_0)</v>
          </cell>
          <cell r="B415">
            <v>45212</v>
          </cell>
        </row>
        <row r="416">
          <cell r="A416" t="str">
            <v>Elaboração do Projeto Detalhado</v>
          </cell>
          <cell r="B416">
            <v>45215</v>
          </cell>
        </row>
        <row r="417">
          <cell r="A417" t="str">
            <v>Verificação do Projeto Detalhado</v>
          </cell>
          <cell r="B417">
            <v>45222</v>
          </cell>
        </row>
        <row r="419">
          <cell r="A419" t="str">
            <v>MARCO - Emissão Inicial (Rev_A)</v>
          </cell>
          <cell r="B419">
            <v>45222</v>
          </cell>
        </row>
        <row r="420">
          <cell r="A420" t="str">
            <v>Aprovação do Cliente</v>
          </cell>
          <cell r="B420">
            <v>45229</v>
          </cell>
        </row>
        <row r="421">
          <cell r="A421" t="str">
            <v>Elaboração da Planilha de Quantidades</v>
          </cell>
          <cell r="B421">
            <v>45219</v>
          </cell>
        </row>
        <row r="422">
          <cell r="A422" t="str">
            <v>Verificação da Planilha de Quantidades</v>
          </cell>
          <cell r="B422">
            <v>45223</v>
          </cell>
        </row>
        <row r="424">
          <cell r="A424" t="str">
            <v>MARCO - Emissão Inicial (Rev_A)</v>
          </cell>
          <cell r="B424">
            <v>45223</v>
          </cell>
        </row>
        <row r="425">
          <cell r="A425" t="str">
            <v>Aprovação do Cliente</v>
          </cell>
          <cell r="B425">
            <v>45230</v>
          </cell>
        </row>
        <row r="426">
          <cell r="A426" t="str">
            <v>Elaboração da Especificação Técnica</v>
          </cell>
          <cell r="B426">
            <v>45226</v>
          </cell>
        </row>
        <row r="427">
          <cell r="A427" t="str">
            <v>Verificação da Especificação Técnica</v>
          </cell>
          <cell r="B427">
            <v>45230</v>
          </cell>
        </row>
        <row r="429">
          <cell r="A429" t="str">
            <v>MARCO - Emissão Inicial (Rev_A)</v>
          </cell>
          <cell r="B429">
            <v>45230</v>
          </cell>
        </row>
        <row r="432">
          <cell r="A432" t="str">
            <v>MARCO - Emissão Inicial (Rev_A)</v>
          </cell>
          <cell r="B432">
            <v>45209</v>
          </cell>
        </row>
        <row r="433">
          <cell r="A433" t="str">
            <v>Aprovação do Cliente</v>
          </cell>
          <cell r="B433">
            <v>45215</v>
          </cell>
        </row>
        <row r="434">
          <cell r="A434" t="str">
            <v>Certificação do documento - Vibracon</v>
          </cell>
          <cell r="B434">
            <v>45218</v>
          </cell>
        </row>
        <row r="435">
          <cell r="A435" t="str">
            <v>MARCO - Envio do documento Certificado (Rev_0)</v>
          </cell>
          <cell r="B435">
            <v>45218</v>
          </cell>
        </row>
        <row r="436">
          <cell r="A436" t="str">
            <v>Verificação do Projeto Detalhado</v>
          </cell>
          <cell r="B436">
            <v>45209</v>
          </cell>
        </row>
        <row r="438">
          <cell r="A438" t="str">
            <v>MARCO - Emissão Inicial (Rev_A)</v>
          </cell>
          <cell r="B438">
            <v>45209</v>
          </cell>
        </row>
        <row r="439">
          <cell r="A439" t="str">
            <v>Aprovação do Cliente</v>
          </cell>
          <cell r="B439">
            <v>45216</v>
          </cell>
        </row>
        <row r="440">
          <cell r="A440" t="str">
            <v>Certificação do documento - Vibracon</v>
          </cell>
          <cell r="B440">
            <v>45219</v>
          </cell>
        </row>
        <row r="441">
          <cell r="A441" t="str">
            <v>MARCO - Envio do documento Certificado (Rev_0)</v>
          </cell>
          <cell r="B441">
            <v>45219</v>
          </cell>
        </row>
        <row r="442">
          <cell r="A442" t="str">
            <v>Elaboração da Planilha de Quantidades</v>
          </cell>
          <cell r="B442">
            <v>45209</v>
          </cell>
        </row>
        <row r="443">
          <cell r="A443" t="str">
            <v>Verificação da Planilha de Quantidades</v>
          </cell>
          <cell r="B443">
            <v>45210</v>
          </cell>
        </row>
        <row r="445">
          <cell r="A445" t="str">
            <v>MARCO - Emissão Inicial (Rev_A)</v>
          </cell>
          <cell r="B445">
            <v>45210</v>
          </cell>
        </row>
        <row r="446">
          <cell r="A446" t="str">
            <v>Aprovação do Cliente</v>
          </cell>
          <cell r="B446">
            <v>45217</v>
          </cell>
        </row>
        <row r="447">
          <cell r="A447" t="str">
            <v>Certificação do documento - Vibracon</v>
          </cell>
          <cell r="B447">
            <v>45222</v>
          </cell>
        </row>
        <row r="448">
          <cell r="A448" t="str">
            <v>MARCO - Envio do documento Certificado (Rev_0)</v>
          </cell>
          <cell r="B448">
            <v>45222</v>
          </cell>
        </row>
        <row r="449">
          <cell r="A449" t="str">
            <v>Elaboração da Lista de Materiais</v>
          </cell>
          <cell r="B449">
            <v>45215</v>
          </cell>
        </row>
        <row r="450">
          <cell r="A450" t="str">
            <v>Verificação da Lista de Materiais</v>
          </cell>
          <cell r="B450">
            <v>45216</v>
          </cell>
        </row>
        <row r="452">
          <cell r="A452" t="str">
            <v>MARCO - Emissão Inicial (Rev_A)</v>
          </cell>
          <cell r="B452">
            <v>45216</v>
          </cell>
        </row>
        <row r="453">
          <cell r="A453" t="str">
            <v>Aprovação do Cliente</v>
          </cell>
          <cell r="B453">
            <v>45223</v>
          </cell>
        </row>
        <row r="454">
          <cell r="A454" t="str">
            <v>Certificação do documento - Vibracon</v>
          </cell>
          <cell r="B454">
            <v>45226</v>
          </cell>
        </row>
        <row r="455">
          <cell r="A455" t="str">
            <v>MARCO - Envio do documento Certificado (Rev_0)</v>
          </cell>
          <cell r="B455">
            <v>45226</v>
          </cell>
        </row>
        <row r="456">
          <cell r="A456" t="str">
            <v>Elaboração da Especificação Técnica</v>
          </cell>
          <cell r="B456">
            <v>45222</v>
          </cell>
        </row>
        <row r="457">
          <cell r="A457" t="str">
            <v>Verificação da Especificação Técnica</v>
          </cell>
          <cell r="B457">
            <v>45223</v>
          </cell>
        </row>
        <row r="459">
          <cell r="A459" t="str">
            <v>MARCO - Emissão Inicial (Rev_A)</v>
          </cell>
          <cell r="B459">
            <v>45223</v>
          </cell>
        </row>
        <row r="460">
          <cell r="A460" t="str">
            <v>Aprovação do Cliente</v>
          </cell>
          <cell r="B460">
            <v>45230</v>
          </cell>
        </row>
        <row r="461">
          <cell r="A461" t="str">
            <v>Elaboração do Critério de Projeto</v>
          </cell>
          <cell r="B461">
            <v>45226</v>
          </cell>
        </row>
        <row r="462">
          <cell r="A462" t="str">
            <v>Verificação do Critério de Projeto</v>
          </cell>
          <cell r="B462">
            <v>45229</v>
          </cell>
        </row>
        <row r="464">
          <cell r="A464" t="str">
            <v>MARCO - Emissão Inicial (Rev_A)</v>
          </cell>
          <cell r="B464">
            <v>45229</v>
          </cell>
        </row>
        <row r="467">
          <cell r="A467" t="str">
            <v>Aprovação do Cliente</v>
          </cell>
          <cell r="B467">
            <v>45209</v>
          </cell>
        </row>
        <row r="468">
          <cell r="A468" t="str">
            <v>Certificação do documento - Vibracon</v>
          </cell>
          <cell r="B468">
            <v>45212</v>
          </cell>
        </row>
        <row r="469">
          <cell r="A469" t="str">
            <v>MARCO - Envio do documento Certificado (Rev_0)</v>
          </cell>
          <cell r="B469">
            <v>45212</v>
          </cell>
        </row>
        <row r="476">
          <cell r="A476" t="str">
            <v>Aprovação do Cliente</v>
          </cell>
          <cell r="B476">
            <v>45209</v>
          </cell>
        </row>
        <row r="477">
          <cell r="A477" t="str">
            <v>Certificação do documento - Vibracon</v>
          </cell>
          <cell r="B477">
            <v>45212</v>
          </cell>
        </row>
        <row r="478">
          <cell r="A478" t="str">
            <v>MARCO - Envio do documento Certificado (Rev_0)</v>
          </cell>
          <cell r="B478">
            <v>45212</v>
          </cell>
        </row>
        <row r="480">
          <cell r="A480" t="str">
            <v>Certificação do documento - Vibracon</v>
          </cell>
          <cell r="B480">
            <v>45205</v>
          </cell>
        </row>
        <row r="481">
          <cell r="A481" t="str">
            <v>MARCO - Envio do documento Certificado (Rev_0)</v>
          </cell>
          <cell r="B481">
            <v>45205</v>
          </cell>
        </row>
        <row r="483">
          <cell r="A483" t="str">
            <v>Certificação do documento - Vibracon</v>
          </cell>
          <cell r="B483">
            <v>45205</v>
          </cell>
        </row>
        <row r="484">
          <cell r="A484" t="str">
            <v>MARCO - Envio do documento Certificado (Rev_0)</v>
          </cell>
          <cell r="B484">
            <v>45205</v>
          </cell>
        </row>
        <row r="487">
          <cell r="A487" t="str">
            <v>MARCO - Emissão Inicial (Rev_A)</v>
          </cell>
          <cell r="B487">
            <v>45210</v>
          </cell>
        </row>
        <row r="488">
          <cell r="A488" t="str">
            <v>Aprovação do Cliente</v>
          </cell>
          <cell r="B488">
            <v>45217</v>
          </cell>
        </row>
        <row r="489">
          <cell r="A489" t="str">
            <v>Certificação do documento - Vibracon</v>
          </cell>
          <cell r="B489">
            <v>45222</v>
          </cell>
        </row>
        <row r="490">
          <cell r="A490" t="str">
            <v>MARCO - Envio do documento Certificado (Rev_0)</v>
          </cell>
          <cell r="B490">
            <v>45222</v>
          </cell>
        </row>
        <row r="491">
          <cell r="A491" t="str">
            <v>Elaboração do Critério de Projeto</v>
          </cell>
          <cell r="B491">
            <v>45209</v>
          </cell>
        </row>
        <row r="492">
          <cell r="A492" t="str">
            <v>Verificação do Critério de Projeto</v>
          </cell>
          <cell r="B492">
            <v>45210</v>
          </cell>
        </row>
        <row r="494">
          <cell r="A494" t="str">
            <v>MARCO - Emissão Inicial (Rev_A)</v>
          </cell>
          <cell r="B494">
            <v>45210</v>
          </cell>
        </row>
        <row r="495">
          <cell r="A495" t="str">
            <v>Aprovação do Cliente</v>
          </cell>
          <cell r="B495">
            <v>45217</v>
          </cell>
        </row>
        <row r="496">
          <cell r="A496" t="str">
            <v>Certificação do documento - Vibracon</v>
          </cell>
          <cell r="B496">
            <v>45222</v>
          </cell>
        </row>
        <row r="497">
          <cell r="A497" t="str">
            <v>MARCO - Envio do documento Certificado (Rev_0)</v>
          </cell>
          <cell r="B497">
            <v>45222</v>
          </cell>
        </row>
        <row r="498">
          <cell r="A498" t="str">
            <v>Elaboração da Planilha de Quantidades</v>
          </cell>
          <cell r="B498">
            <v>45209</v>
          </cell>
        </row>
        <row r="499">
          <cell r="A499" t="str">
            <v>Verificação da Planilha de Quantidades</v>
          </cell>
          <cell r="B499">
            <v>45210</v>
          </cell>
        </row>
        <row r="501">
          <cell r="A501" t="str">
            <v>MARCO - Emissão Inicial (Rev_A)</v>
          </cell>
          <cell r="B501">
            <v>45210</v>
          </cell>
        </row>
        <row r="502">
          <cell r="A502" t="str">
            <v>Aprovação do Cliente</v>
          </cell>
          <cell r="B502">
            <v>45217</v>
          </cell>
        </row>
        <row r="503">
          <cell r="A503" t="str">
            <v>Certificação do documento - Vibracon</v>
          </cell>
          <cell r="B503">
            <v>45222</v>
          </cell>
        </row>
        <row r="504">
          <cell r="A504" t="str">
            <v>MARCO - Envio do documento Certificado (Rev_0)</v>
          </cell>
          <cell r="B504">
            <v>45222</v>
          </cell>
        </row>
        <row r="509">
          <cell r="A509" t="str">
            <v>Certificação do documento - Vibracon</v>
          </cell>
          <cell r="B509">
            <v>45205</v>
          </cell>
        </row>
        <row r="510">
          <cell r="A510" t="str">
            <v>MARCO - Envio do documento Certificado (Rev_0)</v>
          </cell>
          <cell r="B510">
            <v>45205</v>
          </cell>
        </row>
        <row r="512">
          <cell r="A512" t="str">
            <v>Certificação do documento - Vibracon</v>
          </cell>
          <cell r="B512">
            <v>45205</v>
          </cell>
        </row>
        <row r="513">
          <cell r="A513" t="str">
            <v>MARCO - Envio do documento Certificado (Rev_0)</v>
          </cell>
          <cell r="B513">
            <v>45205</v>
          </cell>
        </row>
        <row r="516">
          <cell r="A516" t="str">
            <v>Atendimento a Comentários</v>
          </cell>
          <cell r="B516">
            <v>45210</v>
          </cell>
        </row>
        <row r="517">
          <cell r="A517" t="str">
            <v>MARCO - Emissão Inicial (Rev_B)</v>
          </cell>
          <cell r="B517">
            <v>45210</v>
          </cell>
        </row>
        <row r="518">
          <cell r="A518" t="str">
            <v>Certificação do documento - Vibracon</v>
          </cell>
          <cell r="B518">
            <v>45215</v>
          </cell>
        </row>
        <row r="519">
          <cell r="A519" t="str">
            <v>MARCO - Envio do documento Certificado (Rev_0)</v>
          </cell>
          <cell r="B519">
            <v>45215</v>
          </cell>
        </row>
        <row r="520">
          <cell r="A520" t="str">
            <v>Elaboração do Critério de Projeto</v>
          </cell>
          <cell r="B520">
            <v>45212</v>
          </cell>
        </row>
        <row r="521">
          <cell r="A521" t="str">
            <v>Verificação do Critério de Projeto</v>
          </cell>
          <cell r="B521">
            <v>45215</v>
          </cell>
        </row>
        <row r="523">
          <cell r="A523" t="str">
            <v>MARCO - Emissão Inicial (Rev_A)</v>
          </cell>
          <cell r="B523">
            <v>45215</v>
          </cell>
        </row>
        <row r="524">
          <cell r="A524" t="str">
            <v>Aprovação do Cliente</v>
          </cell>
          <cell r="B524">
            <v>45222</v>
          </cell>
        </row>
        <row r="525">
          <cell r="A525" t="str">
            <v>Certificação do documento - Vibracon</v>
          </cell>
          <cell r="B525">
            <v>45225</v>
          </cell>
        </row>
        <row r="526">
          <cell r="A526" t="str">
            <v>MARCO - Envio do documento Certificado (Rev_0)</v>
          </cell>
          <cell r="B526">
            <v>45225</v>
          </cell>
        </row>
        <row r="527">
          <cell r="A527" t="str">
            <v>Elaboração da Planilha de Quantidades</v>
          </cell>
          <cell r="B527">
            <v>45217</v>
          </cell>
        </row>
        <row r="528">
          <cell r="A528" t="str">
            <v>Verificação da Planilha de Quantidades</v>
          </cell>
          <cell r="B528">
            <v>45218</v>
          </cell>
        </row>
        <row r="530">
          <cell r="A530" t="str">
            <v>MARCO - Emissão Inicial (Rev_A)</v>
          </cell>
          <cell r="B530">
            <v>45218</v>
          </cell>
        </row>
        <row r="531">
          <cell r="A531" t="str">
            <v>Aprovação do Cliente</v>
          </cell>
          <cell r="B531">
            <v>45225</v>
          </cell>
        </row>
        <row r="532">
          <cell r="A532" t="str">
            <v>Certificação do documento - Vibracon</v>
          </cell>
          <cell r="B532">
            <v>45230</v>
          </cell>
        </row>
        <row r="533">
          <cell r="A533" t="str">
            <v>MARCO - Envio do documento Certificado (Rev_0)</v>
          </cell>
          <cell r="B533">
            <v>45230</v>
          </cell>
        </row>
        <row r="540">
          <cell r="A540" t="str">
            <v>Certificação do documento - Vibracon</v>
          </cell>
          <cell r="B540">
            <v>45209</v>
          </cell>
        </row>
        <row r="541">
          <cell r="A541" t="str">
            <v>MARCO - Envio do documento Certificado (Rev_0)</v>
          </cell>
          <cell r="B541">
            <v>45209</v>
          </cell>
        </row>
        <row r="542">
          <cell r="A542" t="str">
            <v>Verificação do Projeto Detalhado</v>
          </cell>
          <cell r="B542">
            <v>45205</v>
          </cell>
        </row>
        <row r="544">
          <cell r="A544" t="str">
            <v>MARCO - Emissão Inicial (Rev_A)</v>
          </cell>
          <cell r="B544">
            <v>45208</v>
          </cell>
        </row>
        <row r="545">
          <cell r="A545" t="str">
            <v>Aprovação do Cliente</v>
          </cell>
          <cell r="B545">
            <v>45212</v>
          </cell>
        </row>
        <row r="546">
          <cell r="A546" t="str">
            <v>Certificação do documento - Vibracon</v>
          </cell>
          <cell r="B546">
            <v>45217</v>
          </cell>
        </row>
        <row r="547">
          <cell r="A547" t="str">
            <v>MARCO - Envio do documento Certificado (Rev_0)</v>
          </cell>
          <cell r="B547">
            <v>45217</v>
          </cell>
        </row>
        <row r="548">
          <cell r="A548" t="str">
            <v>Elaboração da Planilha de Quantidades</v>
          </cell>
          <cell r="B548">
            <v>45209</v>
          </cell>
        </row>
        <row r="549">
          <cell r="A549" t="str">
            <v>Verificação da Planilha de Quantidades</v>
          </cell>
          <cell r="B549">
            <v>45210</v>
          </cell>
        </row>
        <row r="551">
          <cell r="A551" t="str">
            <v>MARCO - Emissão Inicial (Rev_A)</v>
          </cell>
          <cell r="B551">
            <v>45210</v>
          </cell>
        </row>
        <row r="552">
          <cell r="A552" t="str">
            <v>Aprovação do Cliente</v>
          </cell>
          <cell r="B552">
            <v>45217</v>
          </cell>
        </row>
        <row r="553">
          <cell r="A553" t="str">
            <v>Certificação do documento - Vibracon</v>
          </cell>
          <cell r="B553">
            <v>45222</v>
          </cell>
        </row>
        <row r="554">
          <cell r="A554" t="str">
            <v>MARCO - Envio do documento Certificado (Rev_0)</v>
          </cell>
          <cell r="B554">
            <v>45222</v>
          </cell>
        </row>
        <row r="555">
          <cell r="A555" t="str">
            <v>Elaboração da Especificação Técnica</v>
          </cell>
          <cell r="B555">
            <v>45211</v>
          </cell>
        </row>
        <row r="556">
          <cell r="A556" t="str">
            <v>Verificação da Especificação Técnica</v>
          </cell>
          <cell r="B556">
            <v>45212</v>
          </cell>
        </row>
        <row r="558">
          <cell r="A558" t="str">
            <v>MARCO - Emissão Inicial (Rev_A)</v>
          </cell>
          <cell r="B558">
            <v>45212</v>
          </cell>
        </row>
        <row r="559">
          <cell r="A559" t="str">
            <v>Aprovação do Cliente</v>
          </cell>
          <cell r="B559">
            <v>45219</v>
          </cell>
        </row>
        <row r="560">
          <cell r="A560" t="str">
            <v>Certificação do documento - Vibracon</v>
          </cell>
          <cell r="B560">
            <v>45224</v>
          </cell>
        </row>
        <row r="561">
          <cell r="A561" t="str">
            <v>MARCO - Envio do documento Certificado (Rev_0)</v>
          </cell>
          <cell r="B561">
            <v>45224</v>
          </cell>
        </row>
        <row r="562">
          <cell r="A562" t="str">
            <v>Elaboração do Critério de Projeto</v>
          </cell>
          <cell r="B562">
            <v>45215</v>
          </cell>
        </row>
        <row r="563">
          <cell r="A563" t="str">
            <v>Verificação do Critério de Projeto</v>
          </cell>
          <cell r="B563">
            <v>45216</v>
          </cell>
        </row>
        <row r="565">
          <cell r="A565" t="str">
            <v>MARCO - Emissão Inicial (Rev_A)</v>
          </cell>
          <cell r="B565">
            <v>45216</v>
          </cell>
        </row>
        <row r="566">
          <cell r="A566" t="str">
            <v>Aprovação do Cliente</v>
          </cell>
          <cell r="B566">
            <v>45223</v>
          </cell>
        </row>
        <row r="567">
          <cell r="A567" t="str">
            <v>Certificação do documento - Vibracon</v>
          </cell>
          <cell r="B567">
            <v>45226</v>
          </cell>
        </row>
        <row r="568">
          <cell r="A568" t="str">
            <v>MARCO - Envio do documento Certificado (Rev_0)</v>
          </cell>
          <cell r="B568">
            <v>45226</v>
          </cell>
        </row>
        <row r="569">
          <cell r="A569" t="str">
            <v>Elaboração da Requisição Técnica</v>
          </cell>
          <cell r="B569">
            <v>45217</v>
          </cell>
        </row>
        <row r="570">
          <cell r="A570" t="str">
            <v>Verificação da Requisição Técnica</v>
          </cell>
          <cell r="B570">
            <v>45218</v>
          </cell>
        </row>
        <row r="572">
          <cell r="A572" t="str">
            <v>MARCO - Emissão Inicial (Rev_A)</v>
          </cell>
          <cell r="B572">
            <v>45218</v>
          </cell>
        </row>
        <row r="573">
          <cell r="A573" t="str">
            <v>Aprovação do Cliente</v>
          </cell>
          <cell r="B573">
            <v>45225</v>
          </cell>
        </row>
        <row r="574">
          <cell r="A574" t="str">
            <v>Certificação do documento - Vibracon</v>
          </cell>
          <cell r="B574">
            <v>45230</v>
          </cell>
        </row>
        <row r="575">
          <cell r="A575" t="str">
            <v>MARCO - Envio do documento Certificado (Rev_0)</v>
          </cell>
          <cell r="B575">
            <v>45230</v>
          </cell>
        </row>
        <row r="577">
          <cell r="A577" t="str">
            <v>Verificação da Memória de Cálculo</v>
          </cell>
          <cell r="B577">
            <v>45210</v>
          </cell>
        </row>
        <row r="579">
          <cell r="A579" t="str">
            <v>MARCO - Emissão Inicial (Rev_A)</v>
          </cell>
          <cell r="B579">
            <v>45210</v>
          </cell>
        </row>
        <row r="580">
          <cell r="A580" t="str">
            <v>Aprovação do Cliente</v>
          </cell>
          <cell r="B580">
            <v>45217</v>
          </cell>
        </row>
        <row r="581">
          <cell r="A581" t="str">
            <v>Certificação do documento - Vibracon</v>
          </cell>
          <cell r="B581">
            <v>45222</v>
          </cell>
        </row>
        <row r="582">
          <cell r="A582" t="str">
            <v>MARCO - Envio do documento Certificado (Rev_0)</v>
          </cell>
          <cell r="B582">
            <v>45222</v>
          </cell>
        </row>
        <row r="583">
          <cell r="A583" t="str">
            <v>Elaboração do Projeto Detalhado</v>
          </cell>
          <cell r="B583">
            <v>45209</v>
          </cell>
        </row>
        <row r="584">
          <cell r="A584" t="str">
            <v>Verificação do Projeto Detalhado</v>
          </cell>
          <cell r="B584">
            <v>45210</v>
          </cell>
        </row>
        <row r="586">
          <cell r="A586" t="str">
            <v>MARCO - Emissão Inicial (Rev_A)</v>
          </cell>
          <cell r="B586">
            <v>45210</v>
          </cell>
        </row>
        <row r="587">
          <cell r="A587" t="str">
            <v>Aprovação do Cliente</v>
          </cell>
          <cell r="B587">
            <v>45217</v>
          </cell>
        </row>
        <row r="588">
          <cell r="A588" t="str">
            <v>Certificação do documento - Vibracon</v>
          </cell>
          <cell r="B588">
            <v>45222</v>
          </cell>
        </row>
        <row r="589">
          <cell r="A589" t="str">
            <v>MARCO - Envio do documento Certificado (Rev_0)</v>
          </cell>
          <cell r="B589">
            <v>45222</v>
          </cell>
        </row>
        <row r="590">
          <cell r="A590" t="str">
            <v>Elaboração da Planilha de Quantidades</v>
          </cell>
          <cell r="B590">
            <v>45211</v>
          </cell>
        </row>
        <row r="591">
          <cell r="A591" t="str">
            <v>Verificação da Planilha de Quantidades</v>
          </cell>
          <cell r="B591">
            <v>45212</v>
          </cell>
        </row>
        <row r="593">
          <cell r="A593" t="str">
            <v>MARCO - Emissão Inicial (Rev_A)</v>
          </cell>
          <cell r="B593">
            <v>45212</v>
          </cell>
        </row>
        <row r="594">
          <cell r="A594" t="str">
            <v>Aprovação do Cliente</v>
          </cell>
          <cell r="B594">
            <v>45219</v>
          </cell>
        </row>
        <row r="595">
          <cell r="A595" t="str">
            <v>Certificação do documento - Vibracon</v>
          </cell>
          <cell r="B595">
            <v>45224</v>
          </cell>
        </row>
        <row r="596">
          <cell r="A596" t="str">
            <v>MARCO - Envio do documento Certificado (Rev_0)</v>
          </cell>
          <cell r="B596">
            <v>45224</v>
          </cell>
        </row>
        <row r="597">
          <cell r="A597" t="str">
            <v>Elaboração da Lista de Materiais</v>
          </cell>
          <cell r="B597">
            <v>45215</v>
          </cell>
        </row>
        <row r="598">
          <cell r="A598" t="str">
            <v>Verificação da Lista de Materiais</v>
          </cell>
          <cell r="B598">
            <v>45216</v>
          </cell>
        </row>
        <row r="600">
          <cell r="A600" t="str">
            <v>MARCO - Emissão Inicial (Rev_A)</v>
          </cell>
          <cell r="B600">
            <v>45216</v>
          </cell>
        </row>
        <row r="601">
          <cell r="A601" t="str">
            <v>Aprovação do Cliente</v>
          </cell>
          <cell r="B601">
            <v>45223</v>
          </cell>
        </row>
        <row r="602">
          <cell r="A602" t="str">
            <v>Certificação do documento - Vibracon</v>
          </cell>
          <cell r="B602">
            <v>45226</v>
          </cell>
        </row>
        <row r="603">
          <cell r="A603" t="str">
            <v>MARCO - Envio do documento Certificado (Rev_0)</v>
          </cell>
          <cell r="B603">
            <v>45226</v>
          </cell>
        </row>
        <row r="604">
          <cell r="A604" t="str">
            <v>Elaboração da Especificação Técnica</v>
          </cell>
          <cell r="B604">
            <v>45218</v>
          </cell>
        </row>
        <row r="605">
          <cell r="A605" t="str">
            <v>Verificação da Especificação Técnica</v>
          </cell>
          <cell r="B605">
            <v>45219</v>
          </cell>
        </row>
        <row r="607">
          <cell r="A607" t="str">
            <v>MARCO - Emissão Inicial (Rev_A)</v>
          </cell>
          <cell r="B607">
            <v>45219</v>
          </cell>
        </row>
        <row r="608">
          <cell r="A608" t="str">
            <v>Aprovação do Cliente</v>
          </cell>
          <cell r="B608">
            <v>45226</v>
          </cell>
        </row>
        <row r="609">
          <cell r="A609" t="str">
            <v>Elaboração do Critério de Projeto</v>
          </cell>
          <cell r="B609">
            <v>45222</v>
          </cell>
        </row>
        <row r="610">
          <cell r="A610" t="str">
            <v>Verificação do Critério de Projeto</v>
          </cell>
          <cell r="B610">
            <v>45223</v>
          </cell>
        </row>
        <row r="612">
          <cell r="A612" t="str">
            <v>MARCO - Emissão Inicial (Rev_A)</v>
          </cell>
          <cell r="B612">
            <v>45223</v>
          </cell>
        </row>
        <row r="613">
          <cell r="A613" t="str">
            <v>Aprovação do Cliente</v>
          </cell>
          <cell r="B613">
            <v>45230</v>
          </cell>
        </row>
        <row r="614">
          <cell r="A614" t="str">
            <v>Elaboração da Requisição Técnica</v>
          </cell>
          <cell r="B614">
            <v>45224</v>
          </cell>
        </row>
        <row r="615">
          <cell r="A615" t="str">
            <v>Verificação da Requisição Técnica</v>
          </cell>
          <cell r="B615">
            <v>45225</v>
          </cell>
        </row>
        <row r="617">
          <cell r="A617" t="str">
            <v>MARCO - Emissão Inicial (Rev_A)</v>
          </cell>
          <cell r="B617">
            <v>45225</v>
          </cell>
        </row>
        <row r="620">
          <cell r="A620" t="str">
            <v>Aprovação do Cliente</v>
          </cell>
          <cell r="B620">
            <v>45209</v>
          </cell>
        </row>
        <row r="621">
          <cell r="A621" t="str">
            <v>Certificação do documento - Vibracon</v>
          </cell>
          <cell r="B621">
            <v>45212</v>
          </cell>
        </row>
        <row r="622">
          <cell r="A622" t="str">
            <v>MARCO - Envio do documento Certificado (Rev_0)</v>
          </cell>
          <cell r="B622">
            <v>45212</v>
          </cell>
        </row>
        <row r="627">
          <cell r="A627" t="str">
            <v>Aprovação do Cliente</v>
          </cell>
          <cell r="B627">
            <v>45208</v>
          </cell>
        </row>
        <row r="628">
          <cell r="A628" t="str">
            <v>Certificação do documento - Vibracon</v>
          </cell>
          <cell r="B628">
            <v>45211</v>
          </cell>
        </row>
        <row r="629">
          <cell r="A629" t="str">
            <v>MARCO - Envio do documento Certificado (Rev_0)</v>
          </cell>
          <cell r="B629">
            <v>45211</v>
          </cell>
        </row>
        <row r="630">
          <cell r="A630" t="str">
            <v>Elaboração do Projeto Detalhado</v>
          </cell>
          <cell r="B630">
            <v>45209</v>
          </cell>
        </row>
        <row r="631">
          <cell r="A631" t="str">
            <v>Verificação do Projeto Detalhado</v>
          </cell>
          <cell r="B631">
            <v>45210</v>
          </cell>
        </row>
        <row r="633">
          <cell r="A633" t="str">
            <v>MARCO - Emissão Inicial (Rev_A)</v>
          </cell>
          <cell r="B633">
            <v>45210</v>
          </cell>
        </row>
        <row r="634">
          <cell r="A634" t="str">
            <v>Aprovação do Cliente</v>
          </cell>
          <cell r="B634">
            <v>45217</v>
          </cell>
        </row>
        <row r="635">
          <cell r="A635" t="str">
            <v>Certificação do documento - Vibracon</v>
          </cell>
          <cell r="B635">
            <v>45222</v>
          </cell>
        </row>
        <row r="636">
          <cell r="A636" t="str">
            <v>MARCO - Envio do documento Certificado (Rev_0)</v>
          </cell>
          <cell r="B636">
            <v>45222</v>
          </cell>
        </row>
        <row r="637">
          <cell r="A637" t="str">
            <v>Elaboração da Planilha de Quantidades</v>
          </cell>
          <cell r="B637">
            <v>45215</v>
          </cell>
        </row>
        <row r="638">
          <cell r="A638" t="str">
            <v>Verificação da Planilha de Quantidades</v>
          </cell>
          <cell r="B638">
            <v>45217</v>
          </cell>
        </row>
        <row r="640">
          <cell r="A640" t="str">
            <v>MARCO - Emissão Inicial (Rev_A)</v>
          </cell>
          <cell r="B640">
            <v>45217</v>
          </cell>
        </row>
        <row r="641">
          <cell r="A641" t="str">
            <v>Aprovação do Cliente</v>
          </cell>
          <cell r="B641">
            <v>45224</v>
          </cell>
        </row>
        <row r="642">
          <cell r="A642" t="str">
            <v>Certificação do documento - Vibracon</v>
          </cell>
          <cell r="B642">
            <v>45229</v>
          </cell>
        </row>
        <row r="643">
          <cell r="A643" t="str">
            <v>MARCO - Envio do documento Certificado (Rev_0)</v>
          </cell>
          <cell r="B643">
            <v>45229</v>
          </cell>
        </row>
        <row r="644">
          <cell r="A644" t="str">
            <v>Elaboração da Especificação Técnica</v>
          </cell>
          <cell r="B644">
            <v>45222</v>
          </cell>
        </row>
        <row r="645">
          <cell r="A645" t="str">
            <v>Verificação da Especificação Técnica</v>
          </cell>
          <cell r="B645">
            <v>45224</v>
          </cell>
        </row>
        <row r="647">
          <cell r="A647" t="str">
            <v>MARCO - Emissão Inicial (Rev_A)</v>
          </cell>
          <cell r="B647">
            <v>45224</v>
          </cell>
        </row>
        <row r="648">
          <cell r="A648" t="str">
            <v>Elaboração do Critério de Projeto</v>
          </cell>
          <cell r="B648">
            <v>45229</v>
          </cell>
        </row>
        <row r="650">
          <cell r="A650" t="str">
            <v>Verificação da Memória de Cálculo</v>
          </cell>
          <cell r="B650">
            <v>45209</v>
          </cell>
        </row>
        <row r="652">
          <cell r="A652" t="str">
            <v>MARCO - Emissão Inicial (Rev_A)</v>
          </cell>
          <cell r="B652">
            <v>45209</v>
          </cell>
        </row>
        <row r="653">
          <cell r="A653" t="str">
            <v>Aprovação do Cliente</v>
          </cell>
          <cell r="B653">
            <v>45216</v>
          </cell>
        </row>
        <row r="654">
          <cell r="A654" t="str">
            <v>Certificação do documento - Vibracon</v>
          </cell>
          <cell r="B654">
            <v>45219</v>
          </cell>
        </row>
        <row r="655">
          <cell r="A655" t="str">
            <v>MARCO - Envio do documento Certificado (Rev_0)</v>
          </cell>
          <cell r="B655">
            <v>45219</v>
          </cell>
        </row>
        <row r="656">
          <cell r="A656" t="str">
            <v>Elaboração do Projeto Detalhado</v>
          </cell>
          <cell r="B656">
            <v>45212</v>
          </cell>
        </row>
        <row r="657">
          <cell r="A657" t="str">
            <v>Verificação do Projeto Detalhado</v>
          </cell>
          <cell r="B657">
            <v>45215</v>
          </cell>
        </row>
        <row r="659">
          <cell r="A659" t="str">
            <v>MARCO - Emissão Inicial (Rev_A)</v>
          </cell>
          <cell r="B659">
            <v>45215</v>
          </cell>
        </row>
        <row r="660">
          <cell r="A660" t="str">
            <v>Aprovação do Cliente</v>
          </cell>
          <cell r="B660">
            <v>45222</v>
          </cell>
        </row>
        <row r="661">
          <cell r="A661" t="str">
            <v>Certificação do documento - Vibracon</v>
          </cell>
          <cell r="B661">
            <v>45225</v>
          </cell>
        </row>
        <row r="662">
          <cell r="A662" t="str">
            <v>MARCO - Envio do documento Certificado (Rev_0)</v>
          </cell>
          <cell r="B662">
            <v>45225</v>
          </cell>
        </row>
        <row r="663">
          <cell r="A663" t="str">
            <v>Elaboração da Planilha de Quantidades</v>
          </cell>
          <cell r="B663">
            <v>45218</v>
          </cell>
        </row>
        <row r="664">
          <cell r="A664" t="str">
            <v>Verificação da Planilha de Quantidades</v>
          </cell>
          <cell r="B664">
            <v>45219</v>
          </cell>
        </row>
        <row r="666">
          <cell r="A666" t="str">
            <v>MARCO - Emissão Inicial (Rev_A)</v>
          </cell>
          <cell r="B666">
            <v>45219</v>
          </cell>
        </row>
        <row r="667">
          <cell r="A667" t="str">
            <v>Aprovação do Cliente</v>
          </cell>
          <cell r="B667">
            <v>45226</v>
          </cell>
        </row>
        <row r="668">
          <cell r="A668" t="str">
            <v>Elaboração da Lista de Materiais</v>
          </cell>
          <cell r="B668">
            <v>45224</v>
          </cell>
        </row>
        <row r="669">
          <cell r="A669" t="str">
            <v>Verificação da Lista de Materiais</v>
          </cell>
          <cell r="B669">
            <v>45225</v>
          </cell>
        </row>
        <row r="671">
          <cell r="A671" t="str">
            <v>MARCO - Emissão Inicial (Rev_A)</v>
          </cell>
          <cell r="B671">
            <v>45225</v>
          </cell>
        </row>
        <row r="674">
          <cell r="A674" t="str">
            <v>Aprovação do Cliente</v>
          </cell>
          <cell r="B674">
            <v>45209</v>
          </cell>
        </row>
        <row r="675">
          <cell r="A675" t="str">
            <v>Certificação do documento - Vibracon</v>
          </cell>
          <cell r="B675">
            <v>45212</v>
          </cell>
        </row>
        <row r="676">
          <cell r="A676" t="str">
            <v>MARCO - Envio do documento Certificado (Rev_0)</v>
          </cell>
          <cell r="B676">
            <v>45212</v>
          </cell>
        </row>
        <row r="684">
          <cell r="A684" t="str">
            <v>Atendimento a Cementários</v>
          </cell>
          <cell r="B684">
            <v>45216</v>
          </cell>
        </row>
        <row r="685">
          <cell r="A685" t="str">
            <v>MARCO - Emissão Inicial (Rev_B)</v>
          </cell>
          <cell r="B685">
            <v>45216</v>
          </cell>
        </row>
        <row r="686">
          <cell r="A686" t="str">
            <v>Aprovação do Cliente</v>
          </cell>
          <cell r="B686">
            <v>45225</v>
          </cell>
        </row>
        <row r="687">
          <cell r="A687" t="str">
            <v>Certificação do documento - Vibracon</v>
          </cell>
          <cell r="B687">
            <v>45230</v>
          </cell>
        </row>
        <row r="688">
          <cell r="A688" t="str">
            <v>MARCO - Envio do documento Certificado (Rev_0)</v>
          </cell>
          <cell r="B688">
            <v>45230</v>
          </cell>
        </row>
        <row r="691">
          <cell r="A691" t="str">
            <v>Atendimento a Comentários</v>
          </cell>
          <cell r="B691">
            <v>45210</v>
          </cell>
        </row>
        <row r="692">
          <cell r="A692" t="str">
            <v>MARCO - Emissão Inicial (Ver_B)</v>
          </cell>
          <cell r="B692">
            <v>45210</v>
          </cell>
        </row>
        <row r="693">
          <cell r="A693" t="str">
            <v>Aprovação do Cliente</v>
          </cell>
          <cell r="B693">
            <v>45219</v>
          </cell>
        </row>
        <row r="694">
          <cell r="A694" t="str">
            <v>Certificação do documento - Vibracon</v>
          </cell>
          <cell r="B694">
            <v>45224</v>
          </cell>
        </row>
        <row r="695">
          <cell r="A695" t="str">
            <v>MARCO - Envio do documento Certificado (Rev_0)</v>
          </cell>
          <cell r="B695">
            <v>45224</v>
          </cell>
        </row>
        <row r="696">
          <cell r="A696" t="str">
            <v>Elaboração do Critério de Projeto</v>
          </cell>
          <cell r="B696">
            <v>45212</v>
          </cell>
        </row>
        <row r="697">
          <cell r="A697" t="str">
            <v>Verificação do Critério de Projeto</v>
          </cell>
          <cell r="B697">
            <v>45215</v>
          </cell>
        </row>
        <row r="699">
          <cell r="A699" t="str">
            <v>MARCO - Emissão Inicial (Rev_A)</v>
          </cell>
          <cell r="B699">
            <v>45215</v>
          </cell>
        </row>
        <row r="700">
          <cell r="A700" t="str">
            <v>Aprovação do Cliente</v>
          </cell>
          <cell r="B700">
            <v>45222</v>
          </cell>
        </row>
        <row r="701">
          <cell r="A701" t="str">
            <v>Certificação do documento - Vibracon</v>
          </cell>
          <cell r="B701">
            <v>45225</v>
          </cell>
        </row>
        <row r="702">
          <cell r="A702" t="str">
            <v>MARCO - Envio do documento Certificado (Rev_0)</v>
          </cell>
          <cell r="B702">
            <v>45225</v>
          </cell>
        </row>
        <row r="703">
          <cell r="A703" t="str">
            <v>Elaboração da Planilha de Quantidades</v>
          </cell>
          <cell r="B703">
            <v>45212</v>
          </cell>
        </row>
        <row r="704">
          <cell r="A704" t="str">
            <v>Verificação da Planilha de Quantidades</v>
          </cell>
          <cell r="B704">
            <v>45215</v>
          </cell>
        </row>
        <row r="706">
          <cell r="A706" t="str">
            <v>MARCO - Emissão Inicial (Rev_A)</v>
          </cell>
          <cell r="B706">
            <v>45215</v>
          </cell>
        </row>
        <row r="707">
          <cell r="A707" t="str">
            <v>Aprovação do Cliente</v>
          </cell>
          <cell r="B707">
            <v>45222</v>
          </cell>
        </row>
        <row r="708">
          <cell r="A708" t="str">
            <v>Certificação do documento - Vibracon</v>
          </cell>
          <cell r="B708">
            <v>45225</v>
          </cell>
        </row>
        <row r="709">
          <cell r="A709" t="str">
            <v>MARCO - Envio do documento Certificado (Rev_0)</v>
          </cell>
          <cell r="B709">
            <v>45225</v>
          </cell>
        </row>
        <row r="714">
          <cell r="A714" t="str">
            <v>MARCO - Emissão Inicial (Ver_B)</v>
          </cell>
          <cell r="B714">
            <v>45210</v>
          </cell>
        </row>
        <row r="715">
          <cell r="A715" t="str">
            <v>Aprovação do Cliente</v>
          </cell>
          <cell r="B715">
            <v>45219</v>
          </cell>
        </row>
        <row r="716">
          <cell r="A716" t="str">
            <v>Certificação do documento - Vibracon</v>
          </cell>
          <cell r="B716">
            <v>45224</v>
          </cell>
        </row>
        <row r="717">
          <cell r="A717" t="str">
            <v>MARCO - Envio do documento Certificado (Rev_0)</v>
          </cell>
          <cell r="B717">
            <v>45224</v>
          </cell>
        </row>
        <row r="718">
          <cell r="A718" t="str">
            <v>Elaboração do Critério de Projeto</v>
          </cell>
          <cell r="B718">
            <v>45212</v>
          </cell>
        </row>
        <row r="719">
          <cell r="A719" t="str">
            <v>Verificação do Critério de Projeto</v>
          </cell>
          <cell r="B719">
            <v>45215</v>
          </cell>
        </row>
        <row r="721">
          <cell r="A721" t="str">
            <v>MARCO - Emissão Inicial (Rev_A)</v>
          </cell>
          <cell r="B721">
            <v>45215</v>
          </cell>
        </row>
        <row r="722">
          <cell r="A722" t="str">
            <v>Aprovação do Cliente</v>
          </cell>
          <cell r="B722">
            <v>45222</v>
          </cell>
        </row>
        <row r="723">
          <cell r="A723" t="str">
            <v>Certificação do documento - Vibracon</v>
          </cell>
          <cell r="B723">
            <v>45225</v>
          </cell>
        </row>
        <row r="724">
          <cell r="A724" t="str">
            <v>MARCO - Envio do documento Certificado (Rev_0)</v>
          </cell>
          <cell r="B724">
            <v>45225</v>
          </cell>
        </row>
        <row r="725">
          <cell r="A725" t="str">
            <v>Elaboração da Planilha de Quantidades</v>
          </cell>
          <cell r="B725">
            <v>45217</v>
          </cell>
        </row>
        <row r="726">
          <cell r="A726" t="str">
            <v>Verificação da Planilha de Quantidades</v>
          </cell>
          <cell r="B726">
            <v>45218</v>
          </cell>
        </row>
        <row r="728">
          <cell r="A728" t="str">
            <v>MARCO - Emissão Inicial (Rev_A)</v>
          </cell>
          <cell r="B728">
            <v>45218</v>
          </cell>
        </row>
        <row r="729">
          <cell r="A729" t="str">
            <v>Aprovação do Cliente</v>
          </cell>
          <cell r="B729">
            <v>45225</v>
          </cell>
        </row>
        <row r="730">
          <cell r="A730" t="str">
            <v>Certificação do documento - Vibracon</v>
          </cell>
          <cell r="B730">
            <v>45230</v>
          </cell>
        </row>
        <row r="731">
          <cell r="A731" t="str">
            <v>MARCO - Envio do documento Certificado (Rev_0)</v>
          </cell>
          <cell r="B731">
            <v>45230</v>
          </cell>
        </row>
        <row r="738">
          <cell r="A738" t="str">
            <v>MARCO - Emissão Inicial (Rev_B)</v>
          </cell>
          <cell r="B738">
            <v>45209</v>
          </cell>
        </row>
        <row r="739">
          <cell r="A739" t="str">
            <v>Aprovação do Cliente</v>
          </cell>
          <cell r="B739">
            <v>45215</v>
          </cell>
        </row>
        <row r="740">
          <cell r="A740" t="str">
            <v>Certificação do documento - Vibracon</v>
          </cell>
          <cell r="B740">
            <v>45218</v>
          </cell>
        </row>
        <row r="741">
          <cell r="A741" t="str">
            <v>MARCO - Envio do documento Certificado (Rev_0)</v>
          </cell>
          <cell r="B741">
            <v>45218</v>
          </cell>
        </row>
        <row r="743">
          <cell r="A743" t="str">
            <v>MARCO - Emissão Inicial (Rev_B)</v>
          </cell>
          <cell r="B743">
            <v>45209</v>
          </cell>
        </row>
        <row r="744">
          <cell r="A744" t="str">
            <v>Aprovação do Cliente</v>
          </cell>
          <cell r="B744">
            <v>45212</v>
          </cell>
        </row>
        <row r="745">
          <cell r="A745" t="str">
            <v>Certificação do documento - Vibracon</v>
          </cell>
          <cell r="B745">
            <v>45211</v>
          </cell>
        </row>
        <row r="746">
          <cell r="A746" t="str">
            <v>MARCO - Envio do documento Certificado (Rev_0)</v>
          </cell>
          <cell r="B746">
            <v>45212</v>
          </cell>
        </row>
        <row r="747">
          <cell r="A747" t="str">
            <v>Elaboração da Planilha de Quantidades</v>
          </cell>
          <cell r="B747">
            <v>45217</v>
          </cell>
        </row>
        <row r="748">
          <cell r="A748" t="str">
            <v>Verificação da Planilha de Quantidades</v>
          </cell>
          <cell r="B748">
            <v>45218</v>
          </cell>
        </row>
        <row r="750">
          <cell r="A750" t="str">
            <v>MARCO - Emissão Inicial (Rev_A)</v>
          </cell>
          <cell r="B750">
            <v>45218</v>
          </cell>
        </row>
        <row r="751">
          <cell r="A751" t="str">
            <v>Aprovação do Cliente</v>
          </cell>
          <cell r="B751">
            <v>45225</v>
          </cell>
        </row>
        <row r="752">
          <cell r="A752" t="str">
            <v>Certificação do documento - Vibracon</v>
          </cell>
          <cell r="B752">
            <v>45230</v>
          </cell>
        </row>
        <row r="753">
          <cell r="A753" t="str">
            <v>MARCO - Envio do documento Certificado (Rev_0)</v>
          </cell>
          <cell r="B753">
            <v>45230</v>
          </cell>
        </row>
        <row r="754">
          <cell r="A754" t="str">
            <v>Elaboração da Especificação Técnica</v>
          </cell>
          <cell r="B754">
            <v>45219</v>
          </cell>
        </row>
        <row r="755">
          <cell r="A755" t="str">
            <v>Verificação da Especificação Técnica</v>
          </cell>
          <cell r="B755">
            <v>45222</v>
          </cell>
        </row>
        <row r="757">
          <cell r="A757" t="str">
            <v>MARCO - Emissão Inicial (Rev_A)</v>
          </cell>
          <cell r="B757">
            <v>45222</v>
          </cell>
        </row>
        <row r="758">
          <cell r="A758" t="str">
            <v>Aprovação do Cliente</v>
          </cell>
          <cell r="B758">
            <v>45229</v>
          </cell>
        </row>
        <row r="759">
          <cell r="A759" t="str">
            <v>Elaboração do Critério de Projeto</v>
          </cell>
          <cell r="B759">
            <v>45210</v>
          </cell>
        </row>
        <row r="760">
          <cell r="A760" t="str">
            <v>Verificação do Critério de Projeto</v>
          </cell>
          <cell r="B760">
            <v>45211</v>
          </cell>
        </row>
        <row r="762">
          <cell r="A762" t="str">
            <v>MARCO - Emissão Inicial (Rev_A)</v>
          </cell>
          <cell r="B762">
            <v>45211</v>
          </cell>
        </row>
        <row r="763">
          <cell r="A763" t="str">
            <v>Aprovação do Cliente</v>
          </cell>
          <cell r="B763">
            <v>45218</v>
          </cell>
        </row>
        <row r="764">
          <cell r="A764" t="str">
            <v>Certificação do documento - Vibracon</v>
          </cell>
          <cell r="B764">
            <v>45223</v>
          </cell>
        </row>
        <row r="765">
          <cell r="A765" t="str">
            <v>MARCO - Envio do documento Certificado (Rev_0)</v>
          </cell>
          <cell r="B765">
            <v>45223</v>
          </cell>
        </row>
        <row r="766">
          <cell r="A766" t="str">
            <v>Elaboração da Requisição Técnica</v>
          </cell>
          <cell r="B766">
            <v>45212</v>
          </cell>
        </row>
        <row r="767">
          <cell r="A767" t="str">
            <v>Verificação da Requisição Técnica</v>
          </cell>
          <cell r="B767">
            <v>45215</v>
          </cell>
        </row>
        <row r="769">
          <cell r="A769" t="str">
            <v>MARCO - Emissão Inicial (Rev_A)</v>
          </cell>
          <cell r="B769">
            <v>45215</v>
          </cell>
        </row>
        <row r="770">
          <cell r="A770" t="str">
            <v>Aprovação do Cliente</v>
          </cell>
          <cell r="B770">
            <v>45222</v>
          </cell>
        </row>
        <row r="771">
          <cell r="A771" t="str">
            <v>Certificação do documento - Vibracon</v>
          </cell>
          <cell r="B771">
            <v>45225</v>
          </cell>
        </row>
        <row r="772">
          <cell r="A772" t="str">
            <v>MARCO - Envio do documento Certificado (Rev_0)</v>
          </cell>
          <cell r="B772">
            <v>45225</v>
          </cell>
        </row>
        <row r="775">
          <cell r="A775" t="str">
            <v>MARCO - Emissão Inicial (Rev_A)</v>
          </cell>
          <cell r="B775">
            <v>45210</v>
          </cell>
        </row>
        <row r="776">
          <cell r="A776" t="str">
            <v>Aprovação do Cliente</v>
          </cell>
          <cell r="B776">
            <v>45217</v>
          </cell>
        </row>
        <row r="777">
          <cell r="A777" t="str">
            <v>Certificação do documento - Vibracon</v>
          </cell>
          <cell r="B777">
            <v>45222</v>
          </cell>
        </row>
        <row r="778">
          <cell r="A778" t="str">
            <v>MARCO - Envio do documento Certificado (Rev_0)</v>
          </cell>
          <cell r="B778">
            <v>45222</v>
          </cell>
        </row>
        <row r="780">
          <cell r="A780" t="str">
            <v>MARCO - Emissão Inicial (Rev_A)</v>
          </cell>
          <cell r="B780">
            <v>45209</v>
          </cell>
        </row>
        <row r="781">
          <cell r="A781" t="str">
            <v>Aprovação do Cliente</v>
          </cell>
          <cell r="B781">
            <v>45215</v>
          </cell>
        </row>
        <row r="782">
          <cell r="A782" t="str">
            <v>Certificação do documento - Vibracon</v>
          </cell>
          <cell r="B782">
            <v>45218</v>
          </cell>
        </row>
        <row r="783">
          <cell r="A783" t="str">
            <v>MARCO - Envio do documento Certificado (Rev_0)</v>
          </cell>
          <cell r="B783">
            <v>45218</v>
          </cell>
        </row>
        <row r="784">
          <cell r="A784" t="str">
            <v>Elaboração da Planilha de Quantidades</v>
          </cell>
          <cell r="B784">
            <v>45212</v>
          </cell>
        </row>
        <row r="785">
          <cell r="A785" t="str">
            <v>Verificação da Planilha de Quantidades</v>
          </cell>
          <cell r="B785">
            <v>45215</v>
          </cell>
        </row>
        <row r="787">
          <cell r="A787" t="str">
            <v>MARCO - Emissão Inicial (Rev_A)</v>
          </cell>
          <cell r="B787">
            <v>45215</v>
          </cell>
        </row>
        <row r="788">
          <cell r="A788" t="str">
            <v>Aprovação do Cliente</v>
          </cell>
          <cell r="B788">
            <v>45222</v>
          </cell>
        </row>
        <row r="789">
          <cell r="A789" t="str">
            <v>Certificação do documento - Vibracon</v>
          </cell>
          <cell r="B789">
            <v>45225</v>
          </cell>
        </row>
        <row r="790">
          <cell r="A790" t="str">
            <v>MARCO - Envio do documento Certificado (Rev_0)</v>
          </cell>
          <cell r="B790">
            <v>45225</v>
          </cell>
        </row>
        <row r="791">
          <cell r="A791" t="str">
            <v>Elaboração da Lista de Materiais</v>
          </cell>
          <cell r="B791">
            <v>45216</v>
          </cell>
        </row>
        <row r="792">
          <cell r="A792" t="str">
            <v>Verificação da Lista de Materiais</v>
          </cell>
          <cell r="B792">
            <v>45217</v>
          </cell>
        </row>
        <row r="794">
          <cell r="A794" t="str">
            <v>MARCO - Emissão Inicial (Rev_A)</v>
          </cell>
          <cell r="B794">
            <v>45217</v>
          </cell>
        </row>
        <row r="795">
          <cell r="A795" t="str">
            <v>Aprovação do Cliente</v>
          </cell>
          <cell r="B795">
            <v>45224</v>
          </cell>
        </row>
        <row r="796">
          <cell r="A796" t="str">
            <v>Certificação do documento - Vibracon</v>
          </cell>
          <cell r="B796">
            <v>45229</v>
          </cell>
        </row>
        <row r="797">
          <cell r="A797" t="str">
            <v>MARCO - Envio do documento Certificado (Rev_0)</v>
          </cell>
          <cell r="B797">
            <v>45229</v>
          </cell>
        </row>
        <row r="798">
          <cell r="A798" t="str">
            <v>Elaboração da Especificação Técnica</v>
          </cell>
          <cell r="B798">
            <v>45219</v>
          </cell>
        </row>
        <row r="799">
          <cell r="A799" t="str">
            <v>Verificação da Especificação Técnica</v>
          </cell>
          <cell r="B799">
            <v>45222</v>
          </cell>
        </row>
        <row r="801">
          <cell r="A801" t="str">
            <v>MARCO - Emissão Inicial (Rev_A)</v>
          </cell>
          <cell r="B801">
            <v>45222</v>
          </cell>
        </row>
        <row r="802">
          <cell r="A802" t="str">
            <v>Aprovação do Cliente</v>
          </cell>
          <cell r="B802">
            <v>45229</v>
          </cell>
        </row>
        <row r="803">
          <cell r="A803" t="str">
            <v>Elaboração do Critério de Projeto</v>
          </cell>
          <cell r="B803">
            <v>45223</v>
          </cell>
        </row>
        <row r="804">
          <cell r="A804" t="str">
            <v>Verificação do Critério de Projeto</v>
          </cell>
          <cell r="B804">
            <v>45224</v>
          </cell>
        </row>
        <row r="806">
          <cell r="A806" t="str">
            <v>MARCO - Emissão Inicial (Rev_A)</v>
          </cell>
          <cell r="B806">
            <v>45224</v>
          </cell>
        </row>
        <row r="807">
          <cell r="A807" t="str">
            <v>Elaboração da Requisição Técnica</v>
          </cell>
          <cell r="B807">
            <v>45225</v>
          </cell>
        </row>
        <row r="808">
          <cell r="A808" t="str">
            <v>Verificação da Requisição Técnica</v>
          </cell>
          <cell r="B808">
            <v>45226</v>
          </cell>
        </row>
        <row r="809">
          <cell r="A809" t="str">
            <v>MARCO - REQUISIÇÃO TÉCNICA</v>
          </cell>
          <cell r="B809">
            <v>45239</v>
          </cell>
        </row>
        <row r="810">
          <cell r="A810" t="str">
            <v>MARCO - Emissão Inicial (Rev_A)</v>
          </cell>
          <cell r="B810">
            <v>45226</v>
          </cell>
        </row>
        <row r="813">
          <cell r="A813" t="str">
            <v>Aprovação do Cliente</v>
          </cell>
          <cell r="B813">
            <v>45209</v>
          </cell>
        </row>
        <row r="814">
          <cell r="A814" t="str">
            <v>Certificação do documento - Vibracon</v>
          </cell>
          <cell r="B814">
            <v>45212</v>
          </cell>
        </row>
        <row r="815">
          <cell r="A815" t="str">
            <v>MARCO - Envio do documento Certificado (Rev_0)</v>
          </cell>
          <cell r="B815">
            <v>45212</v>
          </cell>
        </row>
        <row r="820">
          <cell r="A820" t="str">
            <v>Aprovação do Cliente</v>
          </cell>
          <cell r="B820">
            <v>45208</v>
          </cell>
        </row>
        <row r="821">
          <cell r="A821" t="str">
            <v>Certificação do documento - Vibracon</v>
          </cell>
          <cell r="B821">
            <v>45211</v>
          </cell>
        </row>
        <row r="822">
          <cell r="A822" t="str">
            <v>MARCO - Envio do documento Certificado (Rev_0)</v>
          </cell>
          <cell r="B822">
            <v>45211</v>
          </cell>
        </row>
        <row r="823">
          <cell r="A823" t="str">
            <v>Verificação do Projeto Detalhado</v>
          </cell>
          <cell r="B823">
            <v>45210</v>
          </cell>
        </row>
        <row r="825">
          <cell r="A825" t="str">
            <v>MARCO - Emissão Inicial (Rev_A)</v>
          </cell>
          <cell r="B825">
            <v>45210</v>
          </cell>
        </row>
        <row r="826">
          <cell r="A826" t="str">
            <v>Aprovação do Cliente</v>
          </cell>
          <cell r="B826">
            <v>45217</v>
          </cell>
        </row>
        <row r="827">
          <cell r="A827" t="str">
            <v>Certificação do documento - Vibracon</v>
          </cell>
          <cell r="B827">
            <v>45222</v>
          </cell>
        </row>
        <row r="828">
          <cell r="A828" t="str">
            <v>MARCO - Envio do documento Certificado (Rev_0)</v>
          </cell>
          <cell r="B828">
            <v>45222</v>
          </cell>
        </row>
        <row r="829">
          <cell r="A829" t="str">
            <v>Elaboração da Planilha de Quantidades</v>
          </cell>
          <cell r="B829">
            <v>45208</v>
          </cell>
        </row>
        <row r="830">
          <cell r="A830" t="str">
            <v>Verificação da Planilha de Quantidades</v>
          </cell>
          <cell r="B830">
            <v>45210</v>
          </cell>
        </row>
        <row r="832">
          <cell r="A832" t="str">
            <v>MARCO - Emissão Inicial (Rev_A)</v>
          </cell>
          <cell r="B832">
            <v>45210</v>
          </cell>
        </row>
        <row r="833">
          <cell r="A833" t="str">
            <v>Aprovação do Cliente</v>
          </cell>
          <cell r="B833">
            <v>45217</v>
          </cell>
        </row>
        <row r="834">
          <cell r="A834" t="str">
            <v>Certificação do documento - Vibracon</v>
          </cell>
          <cell r="B834">
            <v>45222</v>
          </cell>
        </row>
        <row r="835">
          <cell r="A835" t="str">
            <v>MARCO - Envio do documento Certificado (Rev_0)</v>
          </cell>
          <cell r="B835">
            <v>45222</v>
          </cell>
        </row>
        <row r="836">
          <cell r="A836" t="str">
            <v>Elaboração da Especificação Técnica</v>
          </cell>
          <cell r="B836">
            <v>45215</v>
          </cell>
        </row>
        <row r="837">
          <cell r="A837" t="str">
            <v>Verificação da Especificação Técnica</v>
          </cell>
          <cell r="B837">
            <v>45217</v>
          </cell>
        </row>
        <row r="839">
          <cell r="A839" t="str">
            <v>MARCO - Emissão Inicial (Rev_A)</v>
          </cell>
          <cell r="B839">
            <v>45217</v>
          </cell>
        </row>
        <row r="840">
          <cell r="A840" t="str">
            <v>Aprovação do Cliente</v>
          </cell>
          <cell r="B840">
            <v>45224</v>
          </cell>
        </row>
        <row r="841">
          <cell r="A841" t="str">
            <v>Certificação do documento - Vibracon</v>
          </cell>
          <cell r="B841">
            <v>45229</v>
          </cell>
        </row>
        <row r="842">
          <cell r="A842" t="str">
            <v>MARCO - Envio do documento Certificado (Rev_0)</v>
          </cell>
          <cell r="B842">
            <v>45229</v>
          </cell>
        </row>
        <row r="843">
          <cell r="A843" t="str">
            <v>Elaboração do Critério de Projeto</v>
          </cell>
          <cell r="B843">
            <v>45222</v>
          </cell>
        </row>
        <row r="844">
          <cell r="A844" t="str">
            <v>Verificação do Critério de Projeto</v>
          </cell>
          <cell r="B844">
            <v>45224</v>
          </cell>
        </row>
        <row r="846">
          <cell r="A846" t="str">
            <v>MARCO - Emissão Inicial (Rev_A)</v>
          </cell>
          <cell r="B846">
            <v>45224</v>
          </cell>
        </row>
        <row r="847">
          <cell r="A847" t="str">
            <v>Elaboração da Requisição Técnica</v>
          </cell>
          <cell r="B847">
            <v>45229</v>
          </cell>
        </row>
        <row r="849">
          <cell r="A849" t="str">
            <v>Verificação da Memória de Cálculo</v>
          </cell>
          <cell r="B849">
            <v>45209</v>
          </cell>
        </row>
        <row r="851">
          <cell r="A851" t="str">
            <v>MARCO - Emissão Inicial (Rev_A)</v>
          </cell>
          <cell r="B851">
            <v>45209</v>
          </cell>
        </row>
        <row r="852">
          <cell r="A852" t="str">
            <v>Aprovação do Cliente</v>
          </cell>
          <cell r="B852">
            <v>45216</v>
          </cell>
        </row>
        <row r="853">
          <cell r="A853" t="str">
            <v>Certificação do documento - Vibracon</v>
          </cell>
          <cell r="B853">
            <v>45219</v>
          </cell>
        </row>
        <row r="854">
          <cell r="A854" t="str">
            <v>MARCO - Envio do documento Certificado (Rev_0)</v>
          </cell>
          <cell r="B854">
            <v>45219</v>
          </cell>
        </row>
        <row r="855">
          <cell r="A855" t="str">
            <v>Verificação do Projeto Detalhado</v>
          </cell>
          <cell r="B855">
            <v>45212</v>
          </cell>
        </row>
        <row r="857">
          <cell r="A857" t="str">
            <v>MARCO - Emissão Inicial (Rev_A)</v>
          </cell>
          <cell r="B857">
            <v>45212</v>
          </cell>
        </row>
        <row r="858">
          <cell r="A858" t="str">
            <v>Aprovação do Cliente</v>
          </cell>
          <cell r="B858">
            <v>45219</v>
          </cell>
        </row>
        <row r="859">
          <cell r="A859" t="str">
            <v>Certificação do documento - Vibracon</v>
          </cell>
          <cell r="B859">
            <v>45224</v>
          </cell>
        </row>
        <row r="860">
          <cell r="A860" t="str">
            <v>MARCO - Envio do documento Certificado (Rev_0)</v>
          </cell>
          <cell r="B860">
            <v>45224</v>
          </cell>
        </row>
        <row r="861">
          <cell r="A861" t="str">
            <v>Elaboração da Planilha de Quantidades</v>
          </cell>
          <cell r="B861">
            <v>45204</v>
          </cell>
        </row>
        <row r="862">
          <cell r="A862" t="str">
            <v>Verificação da Planilha de Quantidades</v>
          </cell>
          <cell r="B862">
            <v>45205</v>
          </cell>
        </row>
        <row r="864">
          <cell r="A864" t="str">
            <v>MARCO - Emissão Inicial (Rev_A)</v>
          </cell>
          <cell r="B864">
            <v>45205</v>
          </cell>
        </row>
        <row r="865">
          <cell r="A865" t="str">
            <v>Aprovação do Cliente</v>
          </cell>
          <cell r="B865">
            <v>45212</v>
          </cell>
        </row>
        <row r="866">
          <cell r="A866" t="str">
            <v>Certificação do documento - Vibracon</v>
          </cell>
          <cell r="B866">
            <v>45217</v>
          </cell>
        </row>
        <row r="867">
          <cell r="A867" t="str">
            <v>MARCO - Envio do documento Certificado (Rev_0)</v>
          </cell>
          <cell r="B867">
            <v>45217</v>
          </cell>
        </row>
        <row r="868">
          <cell r="A868" t="str">
            <v>Elaboração da Lista de Materiais</v>
          </cell>
          <cell r="B868">
            <v>45212</v>
          </cell>
        </row>
        <row r="869">
          <cell r="A869" t="str">
            <v>Verificação da Lista de Materiais</v>
          </cell>
          <cell r="B869">
            <v>45215</v>
          </cell>
        </row>
        <row r="871">
          <cell r="A871" t="str">
            <v>MARCO - Emissão Inicial (Rev_A)</v>
          </cell>
          <cell r="B871">
            <v>45215</v>
          </cell>
        </row>
        <row r="872">
          <cell r="A872" t="str">
            <v>Aprovação do Cliente</v>
          </cell>
          <cell r="B872">
            <v>45222</v>
          </cell>
        </row>
        <row r="873">
          <cell r="A873" t="str">
            <v>Certificação do documento - Vibracon</v>
          </cell>
          <cell r="B873">
            <v>45225</v>
          </cell>
        </row>
        <row r="874">
          <cell r="A874" t="str">
            <v>MARCO - Envio do documento Certificado (Rev_0)</v>
          </cell>
          <cell r="B874">
            <v>45225</v>
          </cell>
        </row>
        <row r="875">
          <cell r="A875" t="str">
            <v>Elaboração da Especificação Técnica</v>
          </cell>
          <cell r="B875">
            <v>45219</v>
          </cell>
        </row>
        <row r="876">
          <cell r="A876" t="str">
            <v>Verificação da Especificação Técnica</v>
          </cell>
          <cell r="B876">
            <v>45222</v>
          </cell>
        </row>
        <row r="878">
          <cell r="A878" t="str">
            <v>MARCO - Emissão Inicial (Rev_A)</v>
          </cell>
          <cell r="B878">
            <v>45222</v>
          </cell>
        </row>
        <row r="879">
          <cell r="A879" t="str">
            <v>Aprovação do Cliente</v>
          </cell>
          <cell r="B879">
            <v>45229</v>
          </cell>
        </row>
        <row r="880">
          <cell r="A880" t="str">
            <v>Elaboração do Critério de Projeto</v>
          </cell>
          <cell r="B880">
            <v>45225</v>
          </cell>
        </row>
        <row r="881">
          <cell r="A881" t="str">
            <v>Verificação do Critério de Projeto</v>
          </cell>
          <cell r="B881">
            <v>45226</v>
          </cell>
        </row>
        <row r="883">
          <cell r="A883" t="str">
            <v>MARCO - Emissão Inicial (Rev_A)</v>
          </cell>
          <cell r="B883">
            <v>45226</v>
          </cell>
        </row>
        <row r="886">
          <cell r="A886" t="str">
            <v>Aprovação do Cliente</v>
          </cell>
          <cell r="B886">
            <v>45209</v>
          </cell>
        </row>
        <row r="887">
          <cell r="A887" t="str">
            <v>Certificação do documento - Vibracon</v>
          </cell>
          <cell r="B887">
            <v>45212</v>
          </cell>
        </row>
        <row r="888">
          <cell r="A888" t="str">
            <v>MARCO - Envio do documento Certificado (Rev_0)</v>
          </cell>
          <cell r="B888">
            <v>45212</v>
          </cell>
        </row>
        <row r="894">
          <cell r="A894" t="str">
            <v>Certificação do documento - Vibracon</v>
          </cell>
          <cell r="B894">
            <v>45209</v>
          </cell>
        </row>
        <row r="895">
          <cell r="A895" t="str">
            <v>MARCO - Envio do documento Certificado (Rev_0)</v>
          </cell>
          <cell r="B895">
            <v>45209</v>
          </cell>
        </row>
        <row r="896">
          <cell r="A896" t="str">
            <v>Elaboração do Critério de Projeto</v>
          </cell>
          <cell r="B896">
            <v>45212</v>
          </cell>
        </row>
        <row r="897">
          <cell r="A897" t="str">
            <v>Verificação do Critério de Projeto</v>
          </cell>
          <cell r="B897">
            <v>45215</v>
          </cell>
        </row>
        <row r="899">
          <cell r="A899" t="str">
            <v>MARCO - Emissão Inicial (Rev_A)</v>
          </cell>
          <cell r="B899">
            <v>45215</v>
          </cell>
        </row>
        <row r="900">
          <cell r="A900" t="str">
            <v>Aprovação do Cliente</v>
          </cell>
          <cell r="B900">
            <v>45222</v>
          </cell>
        </row>
        <row r="901">
          <cell r="A901" t="str">
            <v>Certificação do documento - Vibracon</v>
          </cell>
          <cell r="B901">
            <v>45225</v>
          </cell>
        </row>
        <row r="902">
          <cell r="A902" t="str">
            <v>MARCO - Envio do documento Certificado (Rev_0)</v>
          </cell>
          <cell r="B902">
            <v>45225</v>
          </cell>
        </row>
        <row r="903">
          <cell r="A903" t="str">
            <v>Elaboração da Planilha de Quantidades</v>
          </cell>
          <cell r="B903">
            <v>45215</v>
          </cell>
        </row>
        <row r="904">
          <cell r="A904" t="str">
            <v>Verificação da Planilha de Quantidades</v>
          </cell>
          <cell r="B904">
            <v>45216</v>
          </cell>
        </row>
        <row r="906">
          <cell r="A906" t="str">
            <v>MARCO - Emissão Inicial (Rev_A)</v>
          </cell>
          <cell r="B906">
            <v>45216</v>
          </cell>
        </row>
        <row r="907">
          <cell r="A907" t="str">
            <v>Aprovação do Cliente</v>
          </cell>
          <cell r="B907">
            <v>45223</v>
          </cell>
        </row>
        <row r="908">
          <cell r="A908" t="str">
            <v>Certificação do documento - Vibracon</v>
          </cell>
          <cell r="B908">
            <v>45226</v>
          </cell>
        </row>
        <row r="909">
          <cell r="A909" t="str">
            <v>MARCO - Envio do documento Certificado (Rev_0)</v>
          </cell>
          <cell r="B909">
            <v>45226</v>
          </cell>
        </row>
        <row r="915">
          <cell r="A915" t="str">
            <v>Aprovação do Cliente</v>
          </cell>
          <cell r="B915">
            <v>45209</v>
          </cell>
        </row>
        <row r="916">
          <cell r="A916" t="str">
            <v>Certificação do documento - Vibracon</v>
          </cell>
          <cell r="B916">
            <v>45212</v>
          </cell>
        </row>
        <row r="917">
          <cell r="A917" t="str">
            <v>MARCO - Envio do documento Certificado (Rev_0)</v>
          </cell>
          <cell r="B917">
            <v>45212</v>
          </cell>
        </row>
        <row r="919">
          <cell r="A919" t="str">
            <v>MARCO - Emissão Inicial (Rev_B_)</v>
          </cell>
          <cell r="B919">
            <v>45209</v>
          </cell>
        </row>
        <row r="920">
          <cell r="A920" t="str">
            <v>Certificação do documento - Vibracon</v>
          </cell>
          <cell r="B920">
            <v>45211</v>
          </cell>
        </row>
        <row r="921">
          <cell r="A921" t="str">
            <v>MARCO - Envio do documento Certificado (Rev_0)</v>
          </cell>
          <cell r="B921">
            <v>45211</v>
          </cell>
        </row>
        <row r="922">
          <cell r="A922" t="str">
            <v>Elaboração da Planilha de Quantidades</v>
          </cell>
          <cell r="B922">
            <v>45209</v>
          </cell>
        </row>
        <row r="923">
          <cell r="A923" t="str">
            <v>Verificação da Planilha de Quantidades</v>
          </cell>
          <cell r="B923">
            <v>45210</v>
          </cell>
        </row>
        <row r="925">
          <cell r="A925" t="str">
            <v>MARCO - Emissão Inicial (Rev_A)</v>
          </cell>
          <cell r="B925">
            <v>45210</v>
          </cell>
        </row>
        <row r="926">
          <cell r="A926" t="str">
            <v>Aprovação do Cliente</v>
          </cell>
          <cell r="B926">
            <v>45217</v>
          </cell>
        </row>
        <row r="927">
          <cell r="A927" t="str">
            <v>Certificação do documento - Vibracon</v>
          </cell>
          <cell r="B927">
            <v>45222</v>
          </cell>
        </row>
        <row r="928">
          <cell r="A928" t="str">
            <v>MARCO - Envio do documento Certificado (Rev_0)</v>
          </cell>
          <cell r="B928">
            <v>45222</v>
          </cell>
        </row>
        <row r="929">
          <cell r="A929" t="str">
            <v>Elaboração da Especificação Técnica</v>
          </cell>
          <cell r="B929">
            <v>45212</v>
          </cell>
        </row>
        <row r="930">
          <cell r="A930" t="str">
            <v>Verificação da Especificação Técnica</v>
          </cell>
          <cell r="B930">
            <v>45215</v>
          </cell>
        </row>
        <row r="932">
          <cell r="A932" t="str">
            <v>MARCO - Emissão Inicial (Rev_A)</v>
          </cell>
          <cell r="B932">
            <v>45215</v>
          </cell>
        </row>
        <row r="933">
          <cell r="A933" t="str">
            <v>Aprovação do Cliente</v>
          </cell>
          <cell r="B933">
            <v>45222</v>
          </cell>
        </row>
        <row r="934">
          <cell r="A934" t="str">
            <v>Certificação do documento - Vibracon</v>
          </cell>
          <cell r="B934">
            <v>45225</v>
          </cell>
        </row>
        <row r="935">
          <cell r="A935" t="str">
            <v>MARCO - Envio do documento Certificado (Rev_0)</v>
          </cell>
          <cell r="B935">
            <v>45225</v>
          </cell>
        </row>
        <row r="936">
          <cell r="A936" t="str">
            <v>Elaboração do Critério de Projeto</v>
          </cell>
          <cell r="B936">
            <v>45217</v>
          </cell>
        </row>
        <row r="937">
          <cell r="A937" t="str">
            <v>Verificação do Critério de Projeto</v>
          </cell>
          <cell r="B937">
            <v>45218</v>
          </cell>
        </row>
        <row r="939">
          <cell r="A939" t="str">
            <v>MARCO - Emissão Inicial (Rev_A)</v>
          </cell>
          <cell r="B939">
            <v>45218</v>
          </cell>
        </row>
        <row r="940">
          <cell r="A940" t="str">
            <v>Aprovação do Cliente</v>
          </cell>
          <cell r="B940">
            <v>45225</v>
          </cell>
        </row>
        <row r="941">
          <cell r="A941" t="str">
            <v>Certificação do documento - Vibracon</v>
          </cell>
          <cell r="B941">
            <v>45230</v>
          </cell>
        </row>
        <row r="942">
          <cell r="A942" t="str">
            <v>MARCO - Envio do documento Certificado (Rev_0)</v>
          </cell>
          <cell r="B942">
            <v>45230</v>
          </cell>
        </row>
        <row r="943">
          <cell r="A943" t="str">
            <v>Elaboração da Requisição Técnica</v>
          </cell>
          <cell r="B943">
            <v>45222</v>
          </cell>
        </row>
        <row r="944">
          <cell r="A944" t="str">
            <v>Verificação da Requisição Técnica</v>
          </cell>
          <cell r="B944">
            <v>45223</v>
          </cell>
        </row>
        <row r="946">
          <cell r="A946" t="str">
            <v>MARCO - Emissão Inicial (Rev_A)</v>
          </cell>
          <cell r="B946">
            <v>45223</v>
          </cell>
        </row>
        <row r="947">
          <cell r="A947" t="str">
            <v>Aprovação do Cliente</v>
          </cell>
          <cell r="B947">
            <v>45230</v>
          </cell>
        </row>
        <row r="949">
          <cell r="A949" t="str">
            <v>Verificação da Memória de Cálculo</v>
          </cell>
          <cell r="B949">
            <v>45205</v>
          </cell>
        </row>
        <row r="951">
          <cell r="A951" t="str">
            <v>MARCO - Emissão Inicial (Rev_A)</v>
          </cell>
          <cell r="B951">
            <v>45205</v>
          </cell>
        </row>
        <row r="952">
          <cell r="A952" t="str">
            <v>Aprovação do Cliente</v>
          </cell>
          <cell r="B952">
            <v>45212</v>
          </cell>
        </row>
        <row r="953">
          <cell r="A953" t="str">
            <v>Certificação do documento - Vibracon</v>
          </cell>
          <cell r="B953">
            <v>45217</v>
          </cell>
        </row>
        <row r="954">
          <cell r="A954" t="str">
            <v>MARCO - Envio do documento Certificado (Rev_0)</v>
          </cell>
          <cell r="B954">
            <v>45217</v>
          </cell>
        </row>
        <row r="955">
          <cell r="A955" t="str">
            <v>Verificação do Projeto Detalhado</v>
          </cell>
          <cell r="B955">
            <v>45212</v>
          </cell>
        </row>
        <row r="957">
          <cell r="A957" t="str">
            <v>MARCO - Emissão Inicial (Rev_A)</v>
          </cell>
          <cell r="B957">
            <v>45212</v>
          </cell>
        </row>
        <row r="958">
          <cell r="A958" t="str">
            <v>Aprovação do Cliente</v>
          </cell>
          <cell r="B958">
            <v>45219</v>
          </cell>
        </row>
        <row r="959">
          <cell r="A959" t="str">
            <v>Certificação do documento - Vibracon</v>
          </cell>
          <cell r="B959">
            <v>45224</v>
          </cell>
        </row>
        <row r="960">
          <cell r="A960" t="str">
            <v>MARCO - Envio do documento Certificado (Rev_0)</v>
          </cell>
          <cell r="B960">
            <v>45224</v>
          </cell>
        </row>
        <row r="961">
          <cell r="A961" t="str">
            <v>Elaboração da Planilha de Quantidades</v>
          </cell>
          <cell r="B961">
            <v>45212</v>
          </cell>
        </row>
        <row r="962">
          <cell r="A962" t="str">
            <v>Verificação da Planilha de Quantidades</v>
          </cell>
          <cell r="B962">
            <v>45215</v>
          </cell>
        </row>
        <row r="964">
          <cell r="A964" t="str">
            <v>MARCO - Emissão Inicial (Rev_A)</v>
          </cell>
          <cell r="B964">
            <v>45215</v>
          </cell>
        </row>
        <row r="965">
          <cell r="A965" t="str">
            <v>Aprovação do Cliente</v>
          </cell>
          <cell r="B965">
            <v>45222</v>
          </cell>
        </row>
        <row r="966">
          <cell r="A966" t="str">
            <v>Certificação do documento - Vibracon</v>
          </cell>
          <cell r="B966">
            <v>45225</v>
          </cell>
        </row>
        <row r="967">
          <cell r="A967" t="str">
            <v>MARCO - Envio do documento Certificado (Rev_0)</v>
          </cell>
          <cell r="B967">
            <v>45225</v>
          </cell>
        </row>
        <row r="968">
          <cell r="A968" t="str">
            <v>Elaboração da Lista de Materiais</v>
          </cell>
          <cell r="B968">
            <v>45217</v>
          </cell>
        </row>
        <row r="969">
          <cell r="A969" t="str">
            <v>Verificação da Lista de Materiais</v>
          </cell>
          <cell r="B969">
            <v>45218</v>
          </cell>
        </row>
        <row r="971">
          <cell r="A971" t="str">
            <v>MARCO - Emissão Inicial (Rev_A)</v>
          </cell>
          <cell r="B971">
            <v>45218</v>
          </cell>
        </row>
        <row r="972">
          <cell r="A972" t="str">
            <v>Aprovação do Cliente</v>
          </cell>
          <cell r="B972">
            <v>45225</v>
          </cell>
        </row>
        <row r="973">
          <cell r="A973" t="str">
            <v>Certificação do documento - Vibracon</v>
          </cell>
          <cell r="B973">
            <v>45230</v>
          </cell>
        </row>
        <row r="974">
          <cell r="A974" t="str">
            <v>MARCO - Envio do documento Certificado (Rev_0)</v>
          </cell>
          <cell r="B974">
            <v>45230</v>
          </cell>
        </row>
        <row r="975">
          <cell r="A975" t="str">
            <v>Elaboração da Especificação Técnica</v>
          </cell>
          <cell r="B975">
            <v>45219</v>
          </cell>
        </row>
        <row r="976">
          <cell r="A976" t="str">
            <v>Verificação da Especificação Técnica</v>
          </cell>
          <cell r="B976">
            <v>45222</v>
          </cell>
        </row>
        <row r="978">
          <cell r="A978" t="str">
            <v>MARCO - Emissão Inicial (Rev_A)</v>
          </cell>
          <cell r="B978">
            <v>45222</v>
          </cell>
        </row>
        <row r="979">
          <cell r="A979" t="str">
            <v>Aprovação do Cliente</v>
          </cell>
          <cell r="B979">
            <v>45229</v>
          </cell>
        </row>
        <row r="980">
          <cell r="A980" t="str">
            <v>Elaboração do Critério de Projeto</v>
          </cell>
          <cell r="B980">
            <v>45225</v>
          </cell>
        </row>
        <row r="981">
          <cell r="A981" t="str">
            <v>Verificação do Critério de Projeto</v>
          </cell>
          <cell r="B981">
            <v>45226</v>
          </cell>
        </row>
        <row r="983">
          <cell r="A983" t="str">
            <v>MARCO - Emissão Inicial (Rev_A)</v>
          </cell>
          <cell r="B983">
            <v>45226</v>
          </cell>
        </row>
        <row r="984">
          <cell r="A984" t="str">
            <v>Elaboração da Requisição Técnica</v>
          </cell>
          <cell r="B984">
            <v>45225</v>
          </cell>
        </row>
        <row r="985">
          <cell r="A985" t="str">
            <v>Verificação da Requisição Técnica</v>
          </cell>
          <cell r="B985">
            <v>45226</v>
          </cell>
        </row>
        <row r="987">
          <cell r="A987" t="str">
            <v>MARCO - Emissão Inicial (Rev_A)</v>
          </cell>
          <cell r="B987">
            <v>45226</v>
          </cell>
        </row>
        <row r="990">
          <cell r="A990" t="str">
            <v>MARCO - Emissão Inicial (Rev_A)</v>
          </cell>
          <cell r="B990">
            <v>45205</v>
          </cell>
        </row>
        <row r="991">
          <cell r="A991" t="str">
            <v>Aprovação do Cliente</v>
          </cell>
          <cell r="B991">
            <v>45211</v>
          </cell>
        </row>
        <row r="992">
          <cell r="A992" t="str">
            <v>Certificação do documento - Vibracon</v>
          </cell>
          <cell r="B992">
            <v>45216</v>
          </cell>
        </row>
        <row r="993">
          <cell r="A993" t="str">
            <v>MARCO - Envio do documento Certificado (Rev_0)</v>
          </cell>
          <cell r="B993">
            <v>45216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8B076-A336-4978-9F40-E4372AC7BB26}">
  <sheetPr codeName="Planilha5"/>
  <dimension ref="A1:BP992"/>
  <sheetViews>
    <sheetView showGridLines="0" tabSelected="1" topLeftCell="B1" zoomScale="55" zoomScaleNormal="55" workbookViewId="0">
      <pane ySplit="5" topLeftCell="A6" activePane="bottomLeft" state="frozen"/>
      <selection pane="bottomLeft" activeCell="S159" sqref="S159"/>
    </sheetView>
  </sheetViews>
  <sheetFormatPr defaultRowHeight="14.5" x14ac:dyDescent="0.35"/>
  <cols>
    <col min="1" max="1" width="20.26953125" hidden="1" customWidth="1"/>
    <col min="2" max="2" width="79.453125" style="25" customWidth="1"/>
    <col min="3" max="24" width="8.26953125" style="91" customWidth="1"/>
    <col min="25" max="28" width="8.1796875" style="25" customWidth="1"/>
    <col min="29" max="30" width="8.1796875" style="25" hidden="1" customWidth="1"/>
    <col min="31" max="31" width="72.453125" style="2" customWidth="1"/>
    <col min="32" max="32" width="37.81640625" style="30" customWidth="1"/>
    <col min="33" max="33" width="35.54296875" style="33" customWidth="1"/>
    <col min="34" max="34" width="81.453125" style="86" customWidth="1"/>
    <col min="35" max="44" width="17.54296875" style="25" customWidth="1"/>
    <col min="45" max="45" width="9.1796875" style="3" customWidth="1"/>
    <col min="46" max="47" width="9.1796875" customWidth="1"/>
    <col min="48" max="48" width="17.1796875" customWidth="1"/>
    <col min="49" max="68" width="9.1796875" customWidth="1"/>
  </cols>
  <sheetData>
    <row r="1" spans="1:68" ht="6.75" customHeight="1" x14ac:dyDescent="0.35">
      <c r="C1" s="92"/>
      <c r="D1" s="92"/>
      <c r="E1" s="92"/>
      <c r="F1" s="93"/>
      <c r="G1" s="25"/>
      <c r="H1" s="25"/>
      <c r="I1" s="25"/>
      <c r="J1" s="25"/>
      <c r="K1" s="90"/>
      <c r="L1" s="95"/>
      <c r="M1" s="25"/>
      <c r="N1" s="97"/>
      <c r="O1" s="25"/>
      <c r="P1" s="90"/>
      <c r="Q1" s="95"/>
      <c r="R1" s="98"/>
      <c r="S1" s="25"/>
      <c r="T1" s="25"/>
      <c r="U1" s="90"/>
      <c r="V1" s="25"/>
      <c r="W1" s="25"/>
      <c r="X1" s="25"/>
      <c r="AE1"/>
    </row>
    <row r="2" spans="1:68" ht="15" customHeight="1" x14ac:dyDescent="0.35">
      <c r="C2" s="92"/>
      <c r="D2" s="92"/>
      <c r="E2" s="92"/>
      <c r="F2" s="93"/>
      <c r="G2" s="25"/>
      <c r="H2" s="25"/>
      <c r="I2" s="25"/>
      <c r="J2" s="25"/>
      <c r="K2" s="90"/>
      <c r="L2" s="95"/>
      <c r="M2" s="25"/>
      <c r="N2" s="97"/>
      <c r="O2" s="25"/>
      <c r="P2" s="90"/>
      <c r="Q2" s="95"/>
      <c r="R2" s="98"/>
      <c r="S2" s="25"/>
      <c r="T2" s="25"/>
      <c r="U2" s="90"/>
      <c r="V2" s="25"/>
      <c r="W2" s="25"/>
      <c r="X2" s="25"/>
      <c r="AE2" s="1"/>
      <c r="AF2" s="31"/>
      <c r="AG2" s="34"/>
      <c r="AH2" s="88"/>
    </row>
    <row r="3" spans="1:68" ht="36.75" customHeight="1" x14ac:dyDescent="0.35">
      <c r="C3" s="92"/>
      <c r="D3" s="92"/>
      <c r="E3" s="92"/>
      <c r="F3" s="93"/>
      <c r="G3" s="25"/>
      <c r="H3" s="25"/>
      <c r="I3" s="25"/>
      <c r="J3" s="25"/>
      <c r="K3" s="90"/>
      <c r="L3" s="95"/>
      <c r="M3" s="25"/>
      <c r="N3" s="97"/>
      <c r="O3" s="25"/>
      <c r="P3" s="90"/>
      <c r="Q3" s="95"/>
      <c r="R3" s="98"/>
      <c r="S3" s="25"/>
      <c r="T3" s="25"/>
      <c r="U3" s="90"/>
      <c r="V3" s="25"/>
      <c r="W3" s="25"/>
      <c r="X3" s="25"/>
      <c r="AE3" s="1"/>
      <c r="AF3" s="31"/>
      <c r="AG3" s="34"/>
      <c r="AH3" s="88"/>
    </row>
    <row r="4" spans="1:68" ht="35.25" customHeight="1" x14ac:dyDescent="0.35">
      <c r="B4" s="129"/>
      <c r="C4" s="131">
        <v>45201</v>
      </c>
      <c r="D4" s="131">
        <v>45202</v>
      </c>
      <c r="E4" s="131">
        <v>45203</v>
      </c>
      <c r="F4" s="131">
        <v>45204</v>
      </c>
      <c r="G4" s="131">
        <v>45205</v>
      </c>
      <c r="H4" s="131">
        <v>45208</v>
      </c>
      <c r="I4" s="131">
        <v>45209</v>
      </c>
      <c r="J4" s="131">
        <v>45210</v>
      </c>
      <c r="K4" s="131">
        <v>45211</v>
      </c>
      <c r="L4" s="131">
        <v>45212</v>
      </c>
      <c r="M4" s="131">
        <v>45215</v>
      </c>
      <c r="N4" s="131">
        <v>45216</v>
      </c>
      <c r="O4" s="131">
        <v>45217</v>
      </c>
      <c r="P4" s="131">
        <v>45218</v>
      </c>
      <c r="Q4" s="131">
        <v>45219</v>
      </c>
      <c r="R4" s="131">
        <v>45222</v>
      </c>
      <c r="S4" s="131">
        <v>45223</v>
      </c>
      <c r="T4" s="131">
        <v>45224</v>
      </c>
      <c r="U4" s="131">
        <v>45225</v>
      </c>
      <c r="V4" s="131">
        <v>45226</v>
      </c>
      <c r="W4" s="135">
        <v>45229</v>
      </c>
      <c r="X4" s="135">
        <v>45230</v>
      </c>
      <c r="Y4" s="137" t="s">
        <v>9</v>
      </c>
      <c r="Z4" s="138"/>
      <c r="AA4" s="138"/>
      <c r="AB4" s="139"/>
      <c r="AC4" s="133"/>
      <c r="AD4" s="133"/>
      <c r="AE4" s="157" t="s">
        <v>16</v>
      </c>
      <c r="AF4" s="153" t="s">
        <v>0</v>
      </c>
      <c r="AG4" s="155" t="s">
        <v>1</v>
      </c>
      <c r="AH4" s="151" t="s">
        <v>12</v>
      </c>
      <c r="AI4" s="45"/>
      <c r="AJ4" s="45"/>
      <c r="AK4" s="43"/>
      <c r="AL4" s="43"/>
      <c r="AM4" s="43"/>
      <c r="AN4" s="43"/>
      <c r="AO4" s="43"/>
      <c r="AP4" s="43"/>
      <c r="AQ4" s="66"/>
      <c r="AR4" s="66"/>
    </row>
    <row r="5" spans="1:68" ht="15" customHeight="1" x14ac:dyDescent="0.35">
      <c r="B5" s="130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6"/>
      <c r="X5" s="136"/>
      <c r="Y5" s="140"/>
      <c r="Z5" s="141"/>
      <c r="AA5" s="141"/>
      <c r="AB5" s="142"/>
      <c r="AC5" s="134"/>
      <c r="AD5" s="134"/>
      <c r="AE5" s="158"/>
      <c r="AF5" s="154"/>
      <c r="AG5" s="156"/>
      <c r="AH5" s="152"/>
      <c r="AI5" s="45"/>
      <c r="AJ5" s="45"/>
      <c r="AK5" s="44"/>
      <c r="AL5" s="44"/>
      <c r="AM5" s="44"/>
      <c r="AN5" s="44"/>
      <c r="AO5" s="44"/>
      <c r="AP5" s="44"/>
      <c r="AQ5" s="66"/>
      <c r="AR5" s="66"/>
    </row>
    <row r="6" spans="1:68" ht="30" customHeight="1" x14ac:dyDescent="0.35">
      <c r="B6" s="35" t="s">
        <v>39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159"/>
      <c r="Z6" s="160"/>
      <c r="AA6" s="160"/>
      <c r="AB6" s="161"/>
      <c r="AC6" s="35"/>
      <c r="AD6" s="35"/>
      <c r="AE6" s="48" t="str">
        <f>IF(Y6="ATRASADO",B6,"")</f>
        <v/>
      </c>
      <c r="AF6" s="48"/>
      <c r="AG6" s="48"/>
      <c r="AH6" s="89"/>
      <c r="AI6" s="49">
        <f>COUNTIF(C6:G6,"ok")</f>
        <v>0</v>
      </c>
      <c r="AJ6" s="49" t="str">
        <f t="shared" ref="AJ6" si="0">IF(AND(AI6=1,OR($Y6="entregue",$Y6="efprazo")),$Y6,"")</f>
        <v/>
      </c>
      <c r="AK6" s="49">
        <f>COUNTIF(H6:L6,"ok")</f>
        <v>0</v>
      </c>
      <c r="AL6" s="49" t="str">
        <f t="shared" ref="AL6" si="1">IF(AND(AK6=1,OR($Y6="entregue",$Y6="efprazo")),$Y6,"")</f>
        <v/>
      </c>
      <c r="AM6" s="49">
        <f>COUNTIF(M6:Q6,"ok")</f>
        <v>0</v>
      </c>
      <c r="AN6" s="49" t="str">
        <f t="shared" ref="AN6" si="2">IF(AND(AM6=1,OR($Y6="entregue",$Y6="efprazo")),$Y6,"")</f>
        <v/>
      </c>
      <c r="AO6" s="49">
        <f>COUNTIF(R6:V6,"ok")</f>
        <v>0</v>
      </c>
      <c r="AP6" s="49" t="str">
        <f t="shared" ref="AP6" si="3">IF(AND(AO6=1,OR($Y6="entregue",$Y6="efprazo")),$Y6,"")</f>
        <v/>
      </c>
      <c r="AQ6" s="49">
        <f>COUNTIF(W6:X6,"ok")</f>
        <v>0</v>
      </c>
      <c r="AR6" s="49" t="str">
        <f>IF(AND(AQ6=1,OR($Y6="entregue",$Y6="efprazo")),$Y6,"")</f>
        <v/>
      </c>
      <c r="AS6" s="143" t="s">
        <v>21</v>
      </c>
      <c r="AT6" s="143"/>
      <c r="AU6" s="143"/>
      <c r="AV6" s="143"/>
      <c r="AW6" s="47"/>
      <c r="AX6" s="143" t="s">
        <v>20</v>
      </c>
      <c r="AY6" s="143"/>
      <c r="AZ6" s="143"/>
      <c r="BA6" s="143"/>
      <c r="BB6" s="47"/>
      <c r="BC6" s="143" t="s">
        <v>26</v>
      </c>
      <c r="BD6" s="143"/>
      <c r="BE6" s="143"/>
      <c r="BF6" s="143"/>
      <c r="BG6" s="47"/>
      <c r="BH6" s="143" t="s">
        <v>25</v>
      </c>
      <c r="BI6" s="143"/>
      <c r="BJ6" s="143"/>
      <c r="BK6" s="143"/>
      <c r="BL6" s="47"/>
      <c r="BM6" s="143" t="s">
        <v>34</v>
      </c>
      <c r="BN6" s="143"/>
      <c r="BO6" s="143"/>
      <c r="BP6" s="143"/>
    </row>
    <row r="7" spans="1:68" ht="30" customHeight="1" x14ac:dyDescent="0.35">
      <c r="B7" s="36" t="s">
        <v>40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123"/>
      <c r="Z7" s="124"/>
      <c r="AA7" s="124"/>
      <c r="AB7" s="125"/>
      <c r="AC7" s="36"/>
      <c r="AD7" s="36"/>
      <c r="AE7" s="48" t="str">
        <f t="shared" ref="AE7:AE70" si="4">IF(Y7="ATRASADO",B7,"")</f>
        <v/>
      </c>
      <c r="AF7" s="48"/>
      <c r="AG7" s="48"/>
      <c r="AH7" s="89"/>
      <c r="AI7" s="49">
        <f t="shared" ref="AI7:AI70" si="5">COUNTIF(C7:G7,"ok")</f>
        <v>0</v>
      </c>
      <c r="AJ7" s="49" t="str">
        <f t="shared" ref="AJ7:AJ70" si="6">IF(AND(AI7=1,OR($Y7="entregue",$Y7="efprazo")),$Y7,"")</f>
        <v/>
      </c>
      <c r="AK7" s="49">
        <f t="shared" ref="AK7:AK70" si="7">COUNTIF(H7:L7,"ok")</f>
        <v>0</v>
      </c>
      <c r="AL7" s="49" t="str">
        <f t="shared" ref="AL7:AL70" si="8">IF(AND(AK7=1,OR($Y7="entregue",$Y7="efprazo")),$Y7,"")</f>
        <v/>
      </c>
      <c r="AM7" s="49">
        <f t="shared" ref="AM7:AM70" si="9">COUNTIF(M7:Q7,"ok")</f>
        <v>0</v>
      </c>
      <c r="AN7" s="49" t="str">
        <f t="shared" ref="AN7:AN70" si="10">IF(AND(AM7=1,OR($Y7="entregue",$Y7="efprazo")),$Y7,"")</f>
        <v/>
      </c>
      <c r="AO7" s="49">
        <f t="shared" ref="AO7:AO70" si="11">COUNTIF(R7:V7,"ok")</f>
        <v>0</v>
      </c>
      <c r="AP7" s="49" t="str">
        <f t="shared" ref="AP7:AP70" si="12">IF(AND(AO7=1,OR($Y7="entregue",$Y7="efprazo")),$Y7,"")</f>
        <v/>
      </c>
      <c r="AQ7" s="49">
        <f t="shared" ref="AQ7:AQ70" si="13">COUNTIF(W7:X7,"ok")</f>
        <v>0</v>
      </c>
      <c r="AR7" s="49" t="str">
        <f t="shared" ref="AR7:AR70" si="14">IF(AND(AQ7=1,OR($Y7="entregue",$Y7="efprazo")),$Y7,"")</f>
        <v/>
      </c>
      <c r="AS7" s="144" t="s">
        <v>2</v>
      </c>
      <c r="AT7" s="144"/>
      <c r="AU7" s="144"/>
      <c r="AV7" s="50">
        <f>COUNTIF(AJ:AJ,"ENTREGUE")</f>
        <v>0</v>
      </c>
      <c r="AW7" s="47"/>
      <c r="AX7" s="144" t="s">
        <v>2</v>
      </c>
      <c r="AY7" s="144"/>
      <c r="AZ7" s="144"/>
      <c r="BA7" s="50" cm="1">
        <f t="array" ref="BA7">SUM(COUNTIF(AJ:AL,{"ENTREGUE";"EFPRAZO"}))</f>
        <v>50</v>
      </c>
      <c r="BB7" s="47"/>
      <c r="BC7" s="144" t="s">
        <v>2</v>
      </c>
      <c r="BD7" s="144"/>
      <c r="BE7" s="144"/>
      <c r="BF7" s="50" cm="1">
        <f t="array" ref="BF7">SUM(COUNTIF(AJ:AN,{"ENTREGUE";"EFPRAZO"}))</f>
        <v>71</v>
      </c>
      <c r="BG7" s="47"/>
      <c r="BH7" s="144" t="s">
        <v>2</v>
      </c>
      <c r="BI7" s="144"/>
      <c r="BJ7" s="144"/>
      <c r="BK7" s="50" cm="1">
        <f t="array" ref="BK7">SUM(COUNTIF(AJ:AP,{"ENTREGUE";"EFPRAZO"}))</f>
        <v>80</v>
      </c>
      <c r="BL7" s="47"/>
      <c r="BM7" s="144" t="s">
        <v>2</v>
      </c>
      <c r="BN7" s="144"/>
      <c r="BO7" s="144"/>
      <c r="BP7" s="50" cm="1">
        <f t="array" ref="BP7">SUM(COUNTIF(AJ:AR,{"ENTREGUE";"EFPRAZO"}))</f>
        <v>80</v>
      </c>
    </row>
    <row r="8" spans="1:68" ht="30" customHeight="1" x14ac:dyDescent="0.35">
      <c r="B8" s="37" t="s">
        <v>45</v>
      </c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120"/>
      <c r="Z8" s="121"/>
      <c r="AA8" s="121"/>
      <c r="AB8" s="122"/>
      <c r="AC8" s="37"/>
      <c r="AD8" s="37"/>
      <c r="AE8" s="48" t="str">
        <f t="shared" si="4"/>
        <v/>
      </c>
      <c r="AF8" s="48"/>
      <c r="AG8" s="48"/>
      <c r="AH8" s="89"/>
      <c r="AI8" s="49">
        <f t="shared" si="5"/>
        <v>0</v>
      </c>
      <c r="AJ8" s="49" t="str">
        <f t="shared" si="6"/>
        <v/>
      </c>
      <c r="AK8" s="49">
        <f t="shared" si="7"/>
        <v>0</v>
      </c>
      <c r="AL8" s="49" t="str">
        <f t="shared" si="8"/>
        <v/>
      </c>
      <c r="AM8" s="49">
        <f t="shared" si="9"/>
        <v>0</v>
      </c>
      <c r="AN8" s="49" t="str">
        <f t="shared" si="10"/>
        <v/>
      </c>
      <c r="AO8" s="49">
        <f t="shared" si="11"/>
        <v>0</v>
      </c>
      <c r="AP8" s="49" t="str">
        <f t="shared" si="12"/>
        <v/>
      </c>
      <c r="AQ8" s="49">
        <f t="shared" si="13"/>
        <v>0</v>
      </c>
      <c r="AR8" s="49" t="str">
        <f t="shared" si="14"/>
        <v/>
      </c>
      <c r="AS8" s="144" t="s">
        <v>3</v>
      </c>
      <c r="AT8" s="144"/>
      <c r="AU8" s="144"/>
      <c r="AV8" s="50">
        <f>SUM(COUNTIF(C:G,"OK"))</f>
        <v>47</v>
      </c>
      <c r="AW8" s="47"/>
      <c r="AX8" s="144" t="s">
        <v>3</v>
      </c>
      <c r="AY8" s="144"/>
      <c r="AZ8" s="144"/>
      <c r="BA8" s="50">
        <f>SUM(COUNTIF(C:L,"OK"))</f>
        <v>237</v>
      </c>
      <c r="BB8" s="47"/>
      <c r="BC8" s="144" t="s">
        <v>3</v>
      </c>
      <c r="BD8" s="144"/>
      <c r="BE8" s="144"/>
      <c r="BF8" s="50">
        <f>SUM(COUNTIF(C:Q,"OK"))</f>
        <v>431</v>
      </c>
      <c r="BG8" s="47"/>
      <c r="BH8" s="144" t="s">
        <v>3</v>
      </c>
      <c r="BI8" s="144"/>
      <c r="BJ8" s="144"/>
      <c r="BK8" s="50">
        <f>SUM(COUNTIF(C:V,"OK"))</f>
        <v>639</v>
      </c>
      <c r="BL8" s="47"/>
      <c r="BM8" s="144" t="s">
        <v>3</v>
      </c>
      <c r="BN8" s="144"/>
      <c r="BO8" s="144"/>
      <c r="BP8" s="50">
        <f>SUM(COUNTIF(C:X,"OK"))</f>
        <v>715</v>
      </c>
    </row>
    <row r="9" spans="1:68" ht="30" customHeight="1" x14ac:dyDescent="0.35">
      <c r="B9" s="39" t="s">
        <v>41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108"/>
      <c r="Z9" s="109"/>
      <c r="AA9" s="109"/>
      <c r="AB9" s="110"/>
      <c r="AC9" s="46"/>
      <c r="AD9" s="46"/>
      <c r="AE9" s="48" t="str">
        <f t="shared" si="4"/>
        <v/>
      </c>
      <c r="AF9" s="48"/>
      <c r="AG9" s="48"/>
      <c r="AH9" s="89"/>
      <c r="AI9" s="49">
        <f t="shared" si="5"/>
        <v>0</v>
      </c>
      <c r="AJ9" s="49" t="str">
        <f t="shared" si="6"/>
        <v/>
      </c>
      <c r="AK9" s="49">
        <f t="shared" si="7"/>
        <v>0</v>
      </c>
      <c r="AL9" s="49" t="str">
        <f t="shared" si="8"/>
        <v/>
      </c>
      <c r="AM9" s="49">
        <f t="shared" si="9"/>
        <v>0</v>
      </c>
      <c r="AN9" s="49" t="str">
        <f t="shared" si="10"/>
        <v/>
      </c>
      <c r="AO9" s="49">
        <f t="shared" si="11"/>
        <v>0</v>
      </c>
      <c r="AP9" s="49" t="str">
        <f t="shared" si="12"/>
        <v/>
      </c>
      <c r="AQ9" s="49">
        <f t="shared" si="13"/>
        <v>0</v>
      </c>
      <c r="AR9" s="49" t="str">
        <f t="shared" si="14"/>
        <v/>
      </c>
      <c r="AS9" s="144" t="s">
        <v>4</v>
      </c>
      <c r="AT9" s="144"/>
      <c r="AU9" s="144"/>
      <c r="AV9" s="51">
        <f>IF(AV8=0,0,AV7/AV8)</f>
        <v>0</v>
      </c>
      <c r="AW9" s="47"/>
      <c r="AX9" s="144" t="s">
        <v>4</v>
      </c>
      <c r="AY9" s="144"/>
      <c r="AZ9" s="144"/>
      <c r="BA9" s="51">
        <f>BA7/BA8</f>
        <v>0.2109704641350211</v>
      </c>
      <c r="BB9" s="47"/>
      <c r="BC9" s="144" t="s">
        <v>4</v>
      </c>
      <c r="BD9" s="144"/>
      <c r="BE9" s="144"/>
      <c r="BF9" s="51">
        <f>BF7/BF8</f>
        <v>0.16473317865429235</v>
      </c>
      <c r="BG9" s="47"/>
      <c r="BH9" s="144" t="s">
        <v>4</v>
      </c>
      <c r="BI9" s="144"/>
      <c r="BJ9" s="144"/>
      <c r="BK9" s="51">
        <f>BK7/BK8</f>
        <v>0.12519561815336464</v>
      </c>
      <c r="BL9" s="47"/>
      <c r="BM9" s="144" t="s">
        <v>4</v>
      </c>
      <c r="BN9" s="144"/>
      <c r="BO9" s="144"/>
      <c r="BP9" s="51">
        <f>BP7/BP8</f>
        <v>0.11188811188811189</v>
      </c>
    </row>
    <row r="10" spans="1:68" ht="30" customHeight="1" x14ac:dyDescent="0.35">
      <c r="A10" s="25" t="str">
        <f>CONCATENATE($B$7,"
",$B$8)</f>
        <v>PT072 - ANCORAGEM DE SÃO LUIS
TR-325K-08</v>
      </c>
      <c r="B10" s="40" t="s">
        <v>42</v>
      </c>
      <c r="C10" s="60" t="str">
        <f>IF(AND($B10=[1]rogério!$A7,[1]rogério!$B7=C$4),"ok","nok")</f>
        <v>nok</v>
      </c>
      <c r="D10" s="60" t="str">
        <f>IF(AND($B10=[1]rogério!$A7,[1]rogério!$B7=D$4),"ok","nok")</f>
        <v>ok</v>
      </c>
      <c r="E10" s="60" t="str">
        <f>IF(AND($B10=[1]rogério!$A7,[1]rogério!$B7=E$4),"ok","nok")</f>
        <v>nok</v>
      </c>
      <c r="F10" s="60" t="str">
        <f>IF(AND($B10=[1]rogério!$A7,[1]rogério!$B7=F$4),"ok","nok")</f>
        <v>nok</v>
      </c>
      <c r="G10" s="60" t="str">
        <f>IF(AND($B10=[1]rogério!$A7,[1]rogério!$B7=G$4),"ok","nok")</f>
        <v>nok</v>
      </c>
      <c r="H10" s="60" t="str">
        <f>IF(AND($B10=[1]rogério!$A7,[1]rogério!$B7=H$4),"ok","nok")</f>
        <v>nok</v>
      </c>
      <c r="I10" s="60" t="str">
        <f>IF(AND($B10=[1]rogério!$A7,[1]rogério!$B7=I$4),"ok","nok")</f>
        <v>nok</v>
      </c>
      <c r="J10" s="60" t="str">
        <f>IF(AND($B10=[1]rogério!$A7,[1]rogério!$B7=J$4),"ok","nok")</f>
        <v>nok</v>
      </c>
      <c r="K10" s="60" t="str">
        <f>IF(AND($B10=[1]rogério!$A7,[1]rogério!$B7=K$4),"ok","nok")</f>
        <v>nok</v>
      </c>
      <c r="L10" s="60" t="str">
        <f>IF(AND($B10=[1]rogério!$A7,[1]rogério!$B7=L$4),"ok","nok")</f>
        <v>nok</v>
      </c>
      <c r="M10" s="60" t="str">
        <f>IF(AND($B10=[1]rogério!$A7,[1]rogério!$B7=M$4),"ok","nok")</f>
        <v>nok</v>
      </c>
      <c r="N10" s="60" t="str">
        <f>IF(AND($B10=[1]rogério!$A7,[1]rogério!$B7=N$4),"ok","nok")</f>
        <v>nok</v>
      </c>
      <c r="O10" s="60" t="str">
        <f>IF(AND($B10=[1]rogério!$A7,[1]rogério!$B7=O$4),"ok","nok")</f>
        <v>nok</v>
      </c>
      <c r="P10" s="60" t="str">
        <f>IF(AND($B10=[1]rogério!$A7,[1]rogério!$B7=P$4),"ok","nok")</f>
        <v>nok</v>
      </c>
      <c r="Q10" s="60" t="str">
        <f>IF(AND($B10=[1]rogério!$A7,[1]rogério!$B7=Q$4),"ok","nok")</f>
        <v>nok</v>
      </c>
      <c r="R10" s="60" t="str">
        <f>IF(AND($B10=[1]rogério!$A7,[1]rogério!$B7=R$4),"ok","nok")</f>
        <v>nok</v>
      </c>
      <c r="S10" s="60" t="str">
        <f>IF(AND($B10=[1]rogério!$A7,[1]rogério!$B7=S$4),"ok","nok")</f>
        <v>nok</v>
      </c>
      <c r="T10" s="60" t="str">
        <f>IF(AND($B10=[1]rogério!$A7,[1]rogério!$B7=T$4),"ok","nok")</f>
        <v>nok</v>
      </c>
      <c r="U10" s="60" t="str">
        <f>IF(AND($B10=[1]rogério!$A7,[1]rogério!$B7=U$4),"ok","nok")</f>
        <v>nok</v>
      </c>
      <c r="V10" s="60" t="str">
        <f>IF(AND($B10=[1]rogério!$A7,[1]rogério!$B7=V$4),"ok","nok")</f>
        <v>nok</v>
      </c>
      <c r="W10" s="60" t="str">
        <f>IF(AND($B10=[1]rogério!$A7,[1]rogério!$B7=W$4),"ok","nok")</f>
        <v>nok</v>
      </c>
      <c r="X10" s="60" t="str">
        <f>IF(AND($B10=[1]rogério!$A7,[1]rogério!$B7=X$4),"ok","nok")</f>
        <v>nok</v>
      </c>
      <c r="Y10" s="105" t="s">
        <v>33</v>
      </c>
      <c r="Z10" s="106"/>
      <c r="AA10" s="106"/>
      <c r="AB10" s="107"/>
      <c r="AC10" s="40"/>
      <c r="AD10" s="40"/>
      <c r="AE10" s="48" t="str">
        <f t="shared" si="4"/>
        <v/>
      </c>
      <c r="AF10" s="48"/>
      <c r="AG10" s="48"/>
      <c r="AH10" s="89"/>
      <c r="AI10" s="49">
        <f t="shared" si="5"/>
        <v>1</v>
      </c>
      <c r="AJ10" s="49" t="str">
        <f t="shared" si="6"/>
        <v>EFPRAZO</v>
      </c>
      <c r="AK10" s="49">
        <f t="shared" si="7"/>
        <v>0</v>
      </c>
      <c r="AL10" s="49" t="str">
        <f t="shared" si="8"/>
        <v/>
      </c>
      <c r="AM10" s="49">
        <f t="shared" si="9"/>
        <v>0</v>
      </c>
      <c r="AN10" s="49" t="str">
        <f t="shared" si="10"/>
        <v/>
      </c>
      <c r="AO10" s="49">
        <f t="shared" si="11"/>
        <v>0</v>
      </c>
      <c r="AP10" s="49" t="str">
        <f t="shared" si="12"/>
        <v/>
      </c>
      <c r="AQ10" s="49">
        <f t="shared" si="13"/>
        <v>0</v>
      </c>
      <c r="AR10" s="49" t="str">
        <f t="shared" si="14"/>
        <v/>
      </c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</row>
    <row r="11" spans="1:68" ht="30" customHeight="1" x14ac:dyDescent="0.35">
      <c r="A11" s="25" t="str">
        <f t="shared" ref="A11:A14" si="15">CONCATENATE($B$7,"
",$B$8)</f>
        <v>PT072 - ANCORAGEM DE SÃO LUIS
TR-325K-08</v>
      </c>
      <c r="B11" s="40" t="s">
        <v>43</v>
      </c>
      <c r="C11" s="60" t="str">
        <f>IF(AND($B11=[1]rogério!$A8,[1]rogério!$B8=C$4),"ok","nok")</f>
        <v>nok</v>
      </c>
      <c r="D11" s="60" t="str">
        <f>IF(AND($B11=[1]rogério!$A8,[1]rogério!$B8=D$4),"ok","nok")</f>
        <v>ok</v>
      </c>
      <c r="E11" s="60" t="str">
        <f>IF(AND($B11=[1]rogério!$A8,[1]rogério!$B8=E$4),"ok","nok")</f>
        <v>nok</v>
      </c>
      <c r="F11" s="60" t="str">
        <f>IF(AND($B11=[1]rogério!$A8,[1]rogério!$B8=F$4),"ok","nok")</f>
        <v>nok</v>
      </c>
      <c r="G11" s="60" t="str">
        <f>IF(AND($B11=[1]rogério!$A8,[1]rogério!$B8=G$4),"ok","nok")</f>
        <v>nok</v>
      </c>
      <c r="H11" s="60" t="str">
        <f>IF(AND($B11=[1]rogério!$A8,[1]rogério!$B8=H$4),"ok","nok")</f>
        <v>nok</v>
      </c>
      <c r="I11" s="60" t="str">
        <f>IF(AND($B11=[1]rogério!$A8,[1]rogério!$B8=I$4),"ok","nok")</f>
        <v>nok</v>
      </c>
      <c r="J11" s="60" t="str">
        <f>IF(AND($B11=[1]rogério!$A8,[1]rogério!$B8=J$4),"ok","nok")</f>
        <v>nok</v>
      </c>
      <c r="K11" s="60" t="str">
        <f>IF(AND($B11=[1]rogério!$A8,[1]rogério!$B8=K$4),"ok","nok")</f>
        <v>nok</v>
      </c>
      <c r="L11" s="60" t="str">
        <f>IF(AND($B11=[1]rogério!$A8,[1]rogério!$B8=L$4),"ok","nok")</f>
        <v>nok</v>
      </c>
      <c r="M11" s="60" t="str">
        <f>IF(AND($B11=[1]rogério!$A8,[1]rogério!$B8=M$4),"ok","nok")</f>
        <v>nok</v>
      </c>
      <c r="N11" s="60" t="str">
        <f>IF(AND($B11=[1]rogério!$A8,[1]rogério!$B8=N$4),"ok","nok")</f>
        <v>nok</v>
      </c>
      <c r="O11" s="60" t="str">
        <f>IF(AND($B11=[1]rogério!$A8,[1]rogério!$B8=O$4),"ok","nok")</f>
        <v>nok</v>
      </c>
      <c r="P11" s="60" t="str">
        <f>IF(AND($B11=[1]rogério!$A8,[1]rogério!$B8=P$4),"ok","nok")</f>
        <v>nok</v>
      </c>
      <c r="Q11" s="60" t="str">
        <f>IF(AND($B11=[1]rogério!$A8,[1]rogério!$B8=Q$4),"ok","nok")</f>
        <v>nok</v>
      </c>
      <c r="R11" s="60" t="str">
        <f>IF(AND($B11=[1]rogério!$A8,[1]rogério!$B8=R$4),"ok","nok")</f>
        <v>nok</v>
      </c>
      <c r="S11" s="60" t="str">
        <f>IF(AND($B11=[1]rogério!$A8,[1]rogério!$B8=S$4),"ok","nok")</f>
        <v>nok</v>
      </c>
      <c r="T11" s="60" t="str">
        <f>IF(AND($B11=[1]rogério!$A8,[1]rogério!$B8=T$4),"ok","nok")</f>
        <v>nok</v>
      </c>
      <c r="U11" s="60" t="str">
        <f>IF(AND($B11=[1]rogério!$A8,[1]rogério!$B8=U$4),"ok","nok")</f>
        <v>nok</v>
      </c>
      <c r="V11" s="60" t="str">
        <f>IF(AND($B11=[1]rogério!$A8,[1]rogério!$B8=V$4),"ok","nok")</f>
        <v>nok</v>
      </c>
      <c r="W11" s="60" t="str">
        <f>IF(AND($B11=[1]rogério!$A8,[1]rogério!$B8=W$4),"ok","nok")</f>
        <v>nok</v>
      </c>
      <c r="X11" s="60" t="str">
        <f>IF(AND($B11=[1]rogério!$A8,[1]rogério!$B8=X$4),"ok","nok")</f>
        <v>nok</v>
      </c>
      <c r="Y11" s="105" t="s">
        <v>33</v>
      </c>
      <c r="Z11" s="106"/>
      <c r="AA11" s="106"/>
      <c r="AB11" s="107"/>
      <c r="AC11" s="40"/>
      <c r="AD11" s="40"/>
      <c r="AE11" s="48" t="str">
        <f t="shared" si="4"/>
        <v/>
      </c>
      <c r="AF11" s="48"/>
      <c r="AG11" s="48"/>
      <c r="AH11" s="89"/>
      <c r="AI11" s="49">
        <f t="shared" si="5"/>
        <v>1</v>
      </c>
      <c r="AJ11" s="49" t="str">
        <f t="shared" si="6"/>
        <v>EFPRAZO</v>
      </c>
      <c r="AK11" s="49">
        <f t="shared" si="7"/>
        <v>0</v>
      </c>
      <c r="AL11" s="49" t="str">
        <f t="shared" si="8"/>
        <v/>
      </c>
      <c r="AM11" s="49">
        <f t="shared" si="9"/>
        <v>0</v>
      </c>
      <c r="AN11" s="49" t="str">
        <f t="shared" si="10"/>
        <v/>
      </c>
      <c r="AO11" s="49">
        <f t="shared" si="11"/>
        <v>0</v>
      </c>
      <c r="AP11" s="49" t="str">
        <f t="shared" si="12"/>
        <v/>
      </c>
      <c r="AQ11" s="49">
        <f t="shared" si="13"/>
        <v>0</v>
      </c>
      <c r="AR11" s="49" t="str">
        <f t="shared" si="14"/>
        <v/>
      </c>
      <c r="AS11" s="47"/>
      <c r="AT11" s="47"/>
      <c r="AU11" s="47"/>
      <c r="AV11" s="47"/>
      <c r="AW11" s="47"/>
      <c r="AX11" s="143" t="s">
        <v>22</v>
      </c>
      <c r="AY11" s="143"/>
      <c r="AZ11" s="143"/>
      <c r="BA11" s="143"/>
      <c r="BB11" s="47"/>
      <c r="BC11" s="143" t="s">
        <v>23</v>
      </c>
      <c r="BD11" s="143"/>
      <c r="BE11" s="143"/>
      <c r="BF11" s="143"/>
      <c r="BG11" s="47"/>
      <c r="BH11" s="143" t="s">
        <v>24</v>
      </c>
      <c r="BI11" s="143"/>
      <c r="BJ11" s="143"/>
      <c r="BK11" s="143"/>
      <c r="BL11" s="47"/>
      <c r="BM11" s="143" t="s">
        <v>35</v>
      </c>
      <c r="BN11" s="143"/>
      <c r="BO11" s="143"/>
      <c r="BP11" s="143"/>
    </row>
    <row r="12" spans="1:68" ht="30" customHeight="1" x14ac:dyDescent="0.35">
      <c r="B12" s="39" t="s">
        <v>44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108"/>
      <c r="Z12" s="109"/>
      <c r="AA12" s="109"/>
      <c r="AB12" s="110"/>
      <c r="AC12" s="40"/>
      <c r="AD12" s="40"/>
      <c r="AE12" s="48" t="str">
        <f t="shared" si="4"/>
        <v/>
      </c>
      <c r="AF12" s="48"/>
      <c r="AG12" s="48"/>
      <c r="AH12" s="89"/>
      <c r="AI12" s="49">
        <f t="shared" si="5"/>
        <v>0</v>
      </c>
      <c r="AJ12" s="49" t="str">
        <f t="shared" si="6"/>
        <v/>
      </c>
      <c r="AK12" s="49">
        <f t="shared" si="7"/>
        <v>0</v>
      </c>
      <c r="AL12" s="49" t="str">
        <f t="shared" si="8"/>
        <v/>
      </c>
      <c r="AM12" s="49">
        <f t="shared" si="9"/>
        <v>0</v>
      </c>
      <c r="AN12" s="49" t="str">
        <f t="shared" si="10"/>
        <v/>
      </c>
      <c r="AO12" s="49">
        <f t="shared" si="11"/>
        <v>0</v>
      </c>
      <c r="AP12" s="49" t="str">
        <f t="shared" si="12"/>
        <v/>
      </c>
      <c r="AQ12" s="49">
        <f t="shared" si="13"/>
        <v>0</v>
      </c>
      <c r="AR12" s="49" t="str">
        <f t="shared" si="14"/>
        <v/>
      </c>
      <c r="AS12" s="47"/>
      <c r="AT12" s="47"/>
      <c r="AU12" s="47"/>
      <c r="AV12" s="47"/>
      <c r="AW12" s="47"/>
      <c r="AX12" s="144" t="s">
        <v>2</v>
      </c>
      <c r="AY12" s="144"/>
      <c r="AZ12" s="144"/>
      <c r="BA12" s="50">
        <f>SUM(COUNTIF(AL:AL,"ENTREGUE"))</f>
        <v>0</v>
      </c>
      <c r="BB12" s="47"/>
      <c r="BC12" s="144" t="s">
        <v>2</v>
      </c>
      <c r="BD12" s="144"/>
      <c r="BE12" s="144"/>
      <c r="BF12" s="50">
        <f>SUM(COUNTIF(AN:AN,"ENTREGUE"))</f>
        <v>0</v>
      </c>
      <c r="BG12" s="47"/>
      <c r="BH12" s="144" t="s">
        <v>2</v>
      </c>
      <c r="BI12" s="144"/>
      <c r="BJ12" s="144"/>
      <c r="BK12" s="50">
        <f>SUM(COUNTIF(AP:AP,"ENTREGUE"))</f>
        <v>3</v>
      </c>
      <c r="BL12" s="47"/>
      <c r="BM12" s="144" t="s">
        <v>2</v>
      </c>
      <c r="BN12" s="144"/>
      <c r="BO12" s="144"/>
      <c r="BP12" s="50">
        <f>SUM(COUNTIF(AR:AR,"ENTREGUE"))</f>
        <v>0</v>
      </c>
    </row>
    <row r="13" spans="1:68" ht="30" customHeight="1" x14ac:dyDescent="0.35">
      <c r="A13" s="25" t="str">
        <f t="shared" si="15"/>
        <v>PT072 - ANCORAGEM DE SÃO LUIS
TR-325K-08</v>
      </c>
      <c r="B13" s="40" t="s">
        <v>42</v>
      </c>
      <c r="C13" s="60" t="str">
        <f>IF(AND($B13=[1]rogério!$A10,[1]rogério!$B10=C$4),"ok","nok")</f>
        <v>nok</v>
      </c>
      <c r="D13" s="60" t="str">
        <f>IF(AND($B13=[1]rogério!$A10,[1]rogério!$B10=D$4),"ok","nok")</f>
        <v>ok</v>
      </c>
      <c r="E13" s="60" t="str">
        <f>IF(AND($B13=[1]rogério!$A10,[1]rogério!$B10=E$4),"ok","nok")</f>
        <v>nok</v>
      </c>
      <c r="F13" s="60" t="str">
        <f>IF(AND($B13=[1]rogério!$A10,[1]rogério!$B10=F$4),"ok","nok")</f>
        <v>nok</v>
      </c>
      <c r="G13" s="60" t="str">
        <f>IF(AND($B13=[1]rogério!$A10,[1]rogério!$B10=G$4),"ok","nok")</f>
        <v>nok</v>
      </c>
      <c r="H13" s="60" t="str">
        <f>IF(AND($B13=[1]rogério!$A10,[1]rogério!$B10=H$4),"ok","nok")</f>
        <v>nok</v>
      </c>
      <c r="I13" s="60" t="str">
        <f>IF(AND($B13=[1]rogério!$A10,[1]rogério!$B10=I$4),"ok","nok")</f>
        <v>nok</v>
      </c>
      <c r="J13" s="60" t="str">
        <f>IF(AND($B13=[1]rogério!$A10,[1]rogério!$B10=J$4),"ok","nok")</f>
        <v>nok</v>
      </c>
      <c r="K13" s="60" t="str">
        <f>IF(AND($B13=[1]rogério!$A10,[1]rogério!$B10=K$4),"ok","nok")</f>
        <v>nok</v>
      </c>
      <c r="L13" s="60" t="str">
        <f>IF(AND($B13=[1]rogério!$A10,[1]rogério!$B10=L$4),"ok","nok")</f>
        <v>nok</v>
      </c>
      <c r="M13" s="60" t="str">
        <f>IF(AND($B13=[1]rogério!$A10,[1]rogério!$B10=M$4),"ok","nok")</f>
        <v>nok</v>
      </c>
      <c r="N13" s="60" t="str">
        <f>IF(AND($B13=[1]rogério!$A10,[1]rogério!$B10=N$4),"ok","nok")</f>
        <v>nok</v>
      </c>
      <c r="O13" s="60" t="str">
        <f>IF(AND($B13=[1]rogério!$A10,[1]rogério!$B10=O$4),"ok","nok")</f>
        <v>nok</v>
      </c>
      <c r="P13" s="60" t="str">
        <f>IF(AND($B13=[1]rogério!$A10,[1]rogério!$B10=P$4),"ok","nok")</f>
        <v>nok</v>
      </c>
      <c r="Q13" s="60" t="str">
        <f>IF(AND($B13=[1]rogério!$A10,[1]rogério!$B10=Q$4),"ok","nok")</f>
        <v>nok</v>
      </c>
      <c r="R13" s="60" t="str">
        <f>IF(AND($B13=[1]rogério!$A10,[1]rogério!$B10=R$4),"ok","nok")</f>
        <v>nok</v>
      </c>
      <c r="S13" s="60" t="str">
        <f>IF(AND($B13=[1]rogério!$A10,[1]rogério!$B10=S$4),"ok","nok")</f>
        <v>nok</v>
      </c>
      <c r="T13" s="60" t="str">
        <f>IF(AND($B13=[1]rogério!$A10,[1]rogério!$B10=T$4),"ok","nok")</f>
        <v>nok</v>
      </c>
      <c r="U13" s="60" t="str">
        <f>IF(AND($B13=[1]rogério!$A10,[1]rogério!$B10=U$4),"ok","nok")</f>
        <v>nok</v>
      </c>
      <c r="V13" s="60" t="str">
        <f>IF(AND($B13=[1]rogério!$A10,[1]rogério!$B10=V$4),"ok","nok")</f>
        <v>nok</v>
      </c>
      <c r="W13" s="60" t="str">
        <f>IF(AND($B13=[1]rogério!$A10,[1]rogério!$B10=W$4),"ok","nok")</f>
        <v>nok</v>
      </c>
      <c r="X13" s="60" t="str">
        <f>IF(AND($B13=[1]rogério!$A10,[1]rogério!$B10=X$4),"ok","nok")</f>
        <v>nok</v>
      </c>
      <c r="Y13" s="105" t="s">
        <v>33</v>
      </c>
      <c r="Z13" s="106"/>
      <c r="AA13" s="106"/>
      <c r="AB13" s="107"/>
      <c r="AC13" s="46"/>
      <c r="AD13" s="46"/>
      <c r="AE13" s="48" t="str">
        <f t="shared" si="4"/>
        <v/>
      </c>
      <c r="AF13" s="48"/>
      <c r="AG13" s="48"/>
      <c r="AH13" s="89"/>
      <c r="AI13" s="49">
        <f t="shared" si="5"/>
        <v>1</v>
      </c>
      <c r="AJ13" s="49" t="str">
        <f t="shared" si="6"/>
        <v>EFPRAZO</v>
      </c>
      <c r="AK13" s="49">
        <f t="shared" si="7"/>
        <v>0</v>
      </c>
      <c r="AL13" s="49" t="str">
        <f t="shared" si="8"/>
        <v/>
      </c>
      <c r="AM13" s="49">
        <f t="shared" si="9"/>
        <v>0</v>
      </c>
      <c r="AN13" s="49" t="str">
        <f t="shared" si="10"/>
        <v/>
      </c>
      <c r="AO13" s="49">
        <f t="shared" si="11"/>
        <v>0</v>
      </c>
      <c r="AP13" s="49" t="str">
        <f t="shared" si="12"/>
        <v/>
      </c>
      <c r="AQ13" s="49">
        <f t="shared" si="13"/>
        <v>0</v>
      </c>
      <c r="AR13" s="49" t="str">
        <f t="shared" si="14"/>
        <v/>
      </c>
      <c r="AS13" s="47"/>
      <c r="AT13" s="47"/>
      <c r="AU13" s="47"/>
      <c r="AV13" s="47"/>
      <c r="AW13" s="47"/>
      <c r="AX13" s="144" t="s">
        <v>3</v>
      </c>
      <c r="AY13" s="144"/>
      <c r="AZ13" s="144"/>
      <c r="BA13" s="50">
        <f>SUM(COUNTIF(H:L,"OK"))</f>
        <v>190</v>
      </c>
      <c r="BB13" s="47"/>
      <c r="BC13" s="144" t="s">
        <v>3</v>
      </c>
      <c r="BD13" s="144"/>
      <c r="BE13" s="144"/>
      <c r="BF13" s="50">
        <f>SUM(COUNTIF(M:Q,"OK"))</f>
        <v>194</v>
      </c>
      <c r="BG13" s="47"/>
      <c r="BH13" s="144" t="s">
        <v>3</v>
      </c>
      <c r="BI13" s="144"/>
      <c r="BJ13" s="144"/>
      <c r="BK13" s="50">
        <f>SUM(COUNTIF(R:V,"OK"))</f>
        <v>208</v>
      </c>
      <c r="BL13" s="47"/>
      <c r="BM13" s="144" t="s">
        <v>3</v>
      </c>
      <c r="BN13" s="144"/>
      <c r="BO13" s="144"/>
      <c r="BP13" s="50">
        <f>SUM(COUNTIF(W:X,"OK"))</f>
        <v>76</v>
      </c>
    </row>
    <row r="14" spans="1:68" ht="30" customHeight="1" x14ac:dyDescent="0.35">
      <c r="A14" s="25" t="str">
        <f t="shared" si="15"/>
        <v>PT072 - ANCORAGEM DE SÃO LUIS
TR-325K-08</v>
      </c>
      <c r="B14" s="40" t="s">
        <v>43</v>
      </c>
      <c r="C14" s="60" t="str">
        <f>IF(AND($B14=[1]rogério!$A11,[1]rogério!$B11=C$4),"ok","nok")</f>
        <v>nok</v>
      </c>
      <c r="D14" s="60" t="str">
        <f>IF(AND($B14=[1]rogério!$A11,[1]rogério!$B11=D$4),"ok","nok")</f>
        <v>ok</v>
      </c>
      <c r="E14" s="60" t="str">
        <f>IF(AND($B14=[1]rogério!$A11,[1]rogério!$B11=E$4),"ok","nok")</f>
        <v>nok</v>
      </c>
      <c r="F14" s="60" t="str">
        <f>IF(AND($B14=[1]rogério!$A11,[1]rogério!$B11=F$4),"ok","nok")</f>
        <v>nok</v>
      </c>
      <c r="G14" s="60" t="str">
        <f>IF(AND($B14=[1]rogério!$A11,[1]rogério!$B11=G$4),"ok","nok")</f>
        <v>nok</v>
      </c>
      <c r="H14" s="60" t="str">
        <f>IF(AND($B14=[1]rogério!$A11,[1]rogério!$B11=H$4),"ok","nok")</f>
        <v>nok</v>
      </c>
      <c r="I14" s="60" t="str">
        <f>IF(AND($B14=[1]rogério!$A11,[1]rogério!$B11=I$4),"ok","nok")</f>
        <v>nok</v>
      </c>
      <c r="J14" s="60" t="str">
        <f>IF(AND($B14=[1]rogério!$A11,[1]rogério!$B11=J$4),"ok","nok")</f>
        <v>nok</v>
      </c>
      <c r="K14" s="60" t="str">
        <f>IF(AND($B14=[1]rogério!$A11,[1]rogério!$B11=K$4),"ok","nok")</f>
        <v>nok</v>
      </c>
      <c r="L14" s="60" t="str">
        <f>IF(AND($B14=[1]rogério!$A11,[1]rogério!$B11=L$4),"ok","nok")</f>
        <v>nok</v>
      </c>
      <c r="M14" s="60" t="str">
        <f>IF(AND($B14=[1]rogério!$A11,[1]rogério!$B11=M$4),"ok","nok")</f>
        <v>nok</v>
      </c>
      <c r="N14" s="60" t="str">
        <f>IF(AND($B14=[1]rogério!$A11,[1]rogério!$B11=N$4),"ok","nok")</f>
        <v>nok</v>
      </c>
      <c r="O14" s="60" t="str">
        <f>IF(AND($B14=[1]rogério!$A11,[1]rogério!$B11=O$4),"ok","nok")</f>
        <v>nok</v>
      </c>
      <c r="P14" s="60" t="str">
        <f>IF(AND($B14=[1]rogério!$A11,[1]rogério!$B11=P$4),"ok","nok")</f>
        <v>nok</v>
      </c>
      <c r="Q14" s="60" t="str">
        <f>IF(AND($B14=[1]rogério!$A11,[1]rogério!$B11=Q$4),"ok","nok")</f>
        <v>nok</v>
      </c>
      <c r="R14" s="60" t="str">
        <f>IF(AND($B14=[1]rogério!$A11,[1]rogério!$B11=R$4),"ok","nok")</f>
        <v>nok</v>
      </c>
      <c r="S14" s="60" t="str">
        <f>IF(AND($B14=[1]rogério!$A11,[1]rogério!$B11=S$4),"ok","nok")</f>
        <v>nok</v>
      </c>
      <c r="T14" s="60" t="str">
        <f>IF(AND($B14=[1]rogério!$A11,[1]rogério!$B11=T$4),"ok","nok")</f>
        <v>nok</v>
      </c>
      <c r="U14" s="60" t="str">
        <f>IF(AND($B14=[1]rogério!$A11,[1]rogério!$B11=U$4),"ok","nok")</f>
        <v>nok</v>
      </c>
      <c r="V14" s="60" t="str">
        <f>IF(AND($B14=[1]rogério!$A11,[1]rogério!$B11=V$4),"ok","nok")</f>
        <v>nok</v>
      </c>
      <c r="W14" s="60" t="str">
        <f>IF(AND($B14=[1]rogério!$A11,[1]rogério!$B11=W$4),"ok","nok")</f>
        <v>nok</v>
      </c>
      <c r="X14" s="60" t="str">
        <f>IF(AND($B14=[1]rogério!$A11,[1]rogério!$B11=X$4),"ok","nok")</f>
        <v>nok</v>
      </c>
      <c r="Y14" s="105" t="s">
        <v>33</v>
      </c>
      <c r="Z14" s="106"/>
      <c r="AA14" s="106"/>
      <c r="AB14" s="107"/>
      <c r="AC14" s="40"/>
      <c r="AD14" s="40"/>
      <c r="AE14" s="48" t="str">
        <f t="shared" si="4"/>
        <v/>
      </c>
      <c r="AF14" s="48"/>
      <c r="AG14" s="48"/>
      <c r="AH14" s="89"/>
      <c r="AI14" s="49">
        <f t="shared" si="5"/>
        <v>1</v>
      </c>
      <c r="AJ14" s="49" t="str">
        <f t="shared" si="6"/>
        <v>EFPRAZO</v>
      </c>
      <c r="AK14" s="49">
        <f t="shared" si="7"/>
        <v>0</v>
      </c>
      <c r="AL14" s="49" t="str">
        <f t="shared" si="8"/>
        <v/>
      </c>
      <c r="AM14" s="49">
        <f t="shared" si="9"/>
        <v>0</v>
      </c>
      <c r="AN14" s="49" t="str">
        <f t="shared" si="10"/>
        <v/>
      </c>
      <c r="AO14" s="49">
        <f t="shared" si="11"/>
        <v>0</v>
      </c>
      <c r="AP14" s="49" t="str">
        <f t="shared" si="12"/>
        <v/>
      </c>
      <c r="AQ14" s="49">
        <f t="shared" si="13"/>
        <v>0</v>
      </c>
      <c r="AR14" s="49" t="str">
        <f t="shared" si="14"/>
        <v/>
      </c>
      <c r="AS14" s="47"/>
      <c r="AT14" s="47"/>
      <c r="AU14" s="47"/>
      <c r="AV14" s="47"/>
      <c r="AW14" s="47"/>
      <c r="AX14" s="144" t="s">
        <v>4</v>
      </c>
      <c r="AY14" s="144"/>
      <c r="AZ14" s="144"/>
      <c r="BA14" s="51">
        <f>BA12/BA13</f>
        <v>0</v>
      </c>
      <c r="BB14" s="47"/>
      <c r="BC14" s="144" t="s">
        <v>4</v>
      </c>
      <c r="BD14" s="144"/>
      <c r="BE14" s="144"/>
      <c r="BF14" s="51">
        <f>BF12/BF13</f>
        <v>0</v>
      </c>
      <c r="BG14" s="47"/>
      <c r="BH14" s="144" t="s">
        <v>4</v>
      </c>
      <c r="BI14" s="144"/>
      <c r="BJ14" s="144"/>
      <c r="BK14" s="51">
        <f>IF(BK13=0,0,BK12/BK13)</f>
        <v>1.4423076923076924E-2</v>
      </c>
      <c r="BL14" s="47"/>
      <c r="BM14" s="144" t="s">
        <v>4</v>
      </c>
      <c r="BN14" s="144"/>
      <c r="BO14" s="144"/>
      <c r="BP14" s="51">
        <f>IF(BP13=0,0,BP12/BP13)</f>
        <v>0</v>
      </c>
    </row>
    <row r="15" spans="1:68" ht="30" customHeight="1" x14ac:dyDescent="0.35">
      <c r="A15" s="25"/>
      <c r="B15" s="37" t="s">
        <v>46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120"/>
      <c r="Z15" s="121"/>
      <c r="AA15" s="121"/>
      <c r="AB15" s="122"/>
      <c r="AC15" s="40"/>
      <c r="AD15" s="40"/>
      <c r="AE15" s="48" t="str">
        <f t="shared" si="4"/>
        <v/>
      </c>
      <c r="AF15" s="48"/>
      <c r="AG15" s="48"/>
      <c r="AH15" s="89"/>
      <c r="AI15" s="49">
        <f t="shared" si="5"/>
        <v>0</v>
      </c>
      <c r="AJ15" s="49" t="str">
        <f t="shared" si="6"/>
        <v/>
      </c>
      <c r="AK15" s="49">
        <f t="shared" si="7"/>
        <v>0</v>
      </c>
      <c r="AL15" s="49" t="str">
        <f t="shared" si="8"/>
        <v/>
      </c>
      <c r="AM15" s="49">
        <f t="shared" si="9"/>
        <v>0</v>
      </c>
      <c r="AN15" s="49" t="str">
        <f t="shared" si="10"/>
        <v/>
      </c>
      <c r="AO15" s="49">
        <f t="shared" si="11"/>
        <v>0</v>
      </c>
      <c r="AP15" s="49" t="str">
        <f t="shared" si="12"/>
        <v/>
      </c>
      <c r="AQ15" s="49">
        <f t="shared" si="13"/>
        <v>0</v>
      </c>
      <c r="AR15" s="49" t="str">
        <f t="shared" si="14"/>
        <v/>
      </c>
    </row>
    <row r="16" spans="1:68" ht="30" customHeight="1" x14ac:dyDescent="0.35">
      <c r="A16" s="25"/>
      <c r="B16" s="39" t="s">
        <v>41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108"/>
      <c r="Z16" s="109"/>
      <c r="AA16" s="109"/>
      <c r="AB16" s="110"/>
      <c r="AC16" s="40"/>
      <c r="AD16" s="40"/>
      <c r="AE16" s="48" t="str">
        <f t="shared" si="4"/>
        <v/>
      </c>
      <c r="AF16" s="48"/>
      <c r="AG16" s="48"/>
      <c r="AH16" s="89"/>
      <c r="AI16" s="49">
        <f t="shared" si="5"/>
        <v>0</v>
      </c>
      <c r="AJ16" s="49" t="str">
        <f t="shared" si="6"/>
        <v/>
      </c>
      <c r="AK16" s="49">
        <f t="shared" si="7"/>
        <v>0</v>
      </c>
      <c r="AL16" s="49" t="str">
        <f t="shared" si="8"/>
        <v/>
      </c>
      <c r="AM16" s="49">
        <f t="shared" si="9"/>
        <v>0</v>
      </c>
      <c r="AN16" s="49" t="str">
        <f t="shared" si="10"/>
        <v/>
      </c>
      <c r="AO16" s="49">
        <f t="shared" si="11"/>
        <v>0</v>
      </c>
      <c r="AP16" s="49" t="str">
        <f t="shared" si="12"/>
        <v/>
      </c>
      <c r="AQ16" s="49">
        <f t="shared" si="13"/>
        <v>0</v>
      </c>
      <c r="AR16" s="49" t="str">
        <f t="shared" si="14"/>
        <v/>
      </c>
    </row>
    <row r="17" spans="1:62" ht="30" customHeight="1" x14ac:dyDescent="0.35">
      <c r="A17" s="25" t="str">
        <f>CONCATENATE($B$7,"
",$B$15)</f>
        <v>PT072 - ANCORAGEM DE SÃO LUIS
TR-311K-03</v>
      </c>
      <c r="B17" s="40" t="s">
        <v>19</v>
      </c>
      <c r="C17" s="60" t="str">
        <f>IF(AND($B17=[1]rogério!$A14,[1]rogério!$B14=C$4),"ok","nok")</f>
        <v>nok</v>
      </c>
      <c r="D17" s="60" t="str">
        <f>IF(AND($B17=[1]rogério!$A14,[1]rogério!$B14=D$4),"ok","nok")</f>
        <v>ok</v>
      </c>
      <c r="E17" s="60" t="str">
        <f>IF(AND($B17=[1]rogério!$A14,[1]rogério!$B14=E$4),"ok","nok")</f>
        <v>nok</v>
      </c>
      <c r="F17" s="60" t="str">
        <f>IF(AND($B17=[1]rogério!$A14,[1]rogério!$B14=F$4),"ok","nok")</f>
        <v>nok</v>
      </c>
      <c r="G17" s="60" t="str">
        <f>IF(AND($B17=[1]rogério!$A14,[1]rogério!$B14=G$4),"ok","nok")</f>
        <v>nok</v>
      </c>
      <c r="H17" s="60" t="str">
        <f>IF(AND($B17=[1]rogério!$A14,[1]rogério!$B14=H$4),"ok","nok")</f>
        <v>nok</v>
      </c>
      <c r="I17" s="60" t="str">
        <f>IF(AND($B17=[1]rogério!$A14,[1]rogério!$B14=I$4),"ok","nok")</f>
        <v>nok</v>
      </c>
      <c r="J17" s="60" t="str">
        <f>IF(AND($B17=[1]rogério!$A14,[1]rogério!$B14=J$4),"ok","nok")</f>
        <v>nok</v>
      </c>
      <c r="K17" s="60" t="str">
        <f>IF(AND($B17=[1]rogério!$A14,[1]rogério!$B14=K$4),"ok","nok")</f>
        <v>nok</v>
      </c>
      <c r="L17" s="60" t="str">
        <f>IF(AND($B17=[1]rogério!$A14,[1]rogério!$B14=L$4),"ok","nok")</f>
        <v>nok</v>
      </c>
      <c r="M17" s="60" t="str">
        <f>IF(AND($B17=[1]rogério!$A14,[1]rogério!$B14=M$4),"ok","nok")</f>
        <v>nok</v>
      </c>
      <c r="N17" s="60" t="str">
        <f>IF(AND($B17=[1]rogério!$A14,[1]rogério!$B14=N$4),"ok","nok")</f>
        <v>nok</v>
      </c>
      <c r="O17" s="60" t="str">
        <f>IF(AND($B17=[1]rogério!$A14,[1]rogério!$B14=O$4),"ok","nok")</f>
        <v>nok</v>
      </c>
      <c r="P17" s="60" t="str">
        <f>IF(AND($B17=[1]rogério!$A14,[1]rogério!$B14=P$4),"ok","nok")</f>
        <v>nok</v>
      </c>
      <c r="Q17" s="60" t="str">
        <f>IF(AND($B17=[1]rogério!$A14,[1]rogério!$B14=Q$4),"ok","nok")</f>
        <v>nok</v>
      </c>
      <c r="R17" s="60" t="str">
        <f>IF(AND($B17=[1]rogério!$A14,[1]rogério!$B14=R$4),"ok","nok")</f>
        <v>nok</v>
      </c>
      <c r="S17" s="60" t="str">
        <f>IF(AND($B17=[1]rogério!$A14,[1]rogério!$B14=S$4),"ok","nok")</f>
        <v>nok</v>
      </c>
      <c r="T17" s="60" t="str">
        <f>IF(AND($B17=[1]rogério!$A14,[1]rogério!$B14=T$4),"ok","nok")</f>
        <v>nok</v>
      </c>
      <c r="U17" s="60" t="str">
        <f>IF(AND($B17=[1]rogério!$A14,[1]rogério!$B14=U$4),"ok","nok")</f>
        <v>nok</v>
      </c>
      <c r="V17" s="60" t="str">
        <f>IF(AND($B17=[1]rogério!$A14,[1]rogério!$B14=V$4),"ok","nok")</f>
        <v>nok</v>
      </c>
      <c r="W17" s="60" t="str">
        <f>IF(AND($B17=[1]rogério!$A14,[1]rogério!$B14=W$4),"ok","nok")</f>
        <v>nok</v>
      </c>
      <c r="X17" s="60" t="str">
        <f>IF(AND($B17=[1]rogério!$A14,[1]rogério!$B14=X$4),"ok","nok")</f>
        <v>nok</v>
      </c>
      <c r="Y17" s="105" t="s">
        <v>33</v>
      </c>
      <c r="Z17" s="106"/>
      <c r="AA17" s="106"/>
      <c r="AB17" s="107"/>
      <c r="AC17" s="37"/>
      <c r="AD17" s="37"/>
      <c r="AE17" s="48" t="str">
        <f t="shared" si="4"/>
        <v/>
      </c>
      <c r="AF17" s="48"/>
      <c r="AG17" s="48"/>
      <c r="AH17" s="89"/>
      <c r="AI17" s="49">
        <f t="shared" si="5"/>
        <v>1</v>
      </c>
      <c r="AJ17" s="49" t="str">
        <f t="shared" si="6"/>
        <v>EFPRAZO</v>
      </c>
      <c r="AK17" s="49">
        <f t="shared" si="7"/>
        <v>0</v>
      </c>
      <c r="AL17" s="49" t="str">
        <f t="shared" si="8"/>
        <v/>
      </c>
      <c r="AM17" s="49">
        <f t="shared" si="9"/>
        <v>0</v>
      </c>
      <c r="AN17" s="49" t="str">
        <f t="shared" si="10"/>
        <v/>
      </c>
      <c r="AO17" s="49">
        <f t="shared" si="11"/>
        <v>0</v>
      </c>
      <c r="AP17" s="49" t="str">
        <f t="shared" si="12"/>
        <v/>
      </c>
      <c r="AQ17" s="49">
        <f t="shared" si="13"/>
        <v>0</v>
      </c>
      <c r="AR17" s="49" t="str">
        <f t="shared" si="14"/>
        <v/>
      </c>
    </row>
    <row r="18" spans="1:62" ht="30" customHeight="1" x14ac:dyDescent="0.35">
      <c r="A18" s="25" t="str">
        <f t="shared" ref="A18:A23" si="16">CONCATENATE($B$7,"
",$B$15)</f>
        <v>PT072 - ANCORAGEM DE SÃO LUIS
TR-311K-03</v>
      </c>
      <c r="B18" s="40" t="s">
        <v>42</v>
      </c>
      <c r="C18" s="60" t="str">
        <f>IF(AND($B18=[1]rogério!$A15,[1]rogério!$B15=C$4),"ok","nok")</f>
        <v>nok</v>
      </c>
      <c r="D18" s="60" t="str">
        <f>IF(AND($B18=[1]rogério!$A15,[1]rogério!$B15=D$4),"ok","nok")</f>
        <v>nok</v>
      </c>
      <c r="E18" s="60" t="str">
        <f>IF(AND($B18=[1]rogério!$A15,[1]rogério!$B15=E$4),"ok","nok")</f>
        <v>ok</v>
      </c>
      <c r="F18" s="60" t="str">
        <f>IF(AND($B18=[1]rogério!$A15,[1]rogério!$B15=F$4),"ok","nok")</f>
        <v>nok</v>
      </c>
      <c r="G18" s="60" t="str">
        <f>IF(AND($B18=[1]rogério!$A15,[1]rogério!$B15=G$4),"ok","nok")</f>
        <v>nok</v>
      </c>
      <c r="H18" s="60" t="str">
        <f>IF(AND($B18=[1]rogério!$A15,[1]rogério!$B15=H$4),"ok","nok")</f>
        <v>nok</v>
      </c>
      <c r="I18" s="60" t="str">
        <f>IF(AND($B18=[1]rogério!$A15,[1]rogério!$B15=I$4),"ok","nok")</f>
        <v>nok</v>
      </c>
      <c r="J18" s="60" t="str">
        <f>IF(AND($B18=[1]rogério!$A15,[1]rogério!$B15=J$4),"ok","nok")</f>
        <v>nok</v>
      </c>
      <c r="K18" s="60" t="str">
        <f>IF(AND($B18=[1]rogério!$A15,[1]rogério!$B15=K$4),"ok","nok")</f>
        <v>nok</v>
      </c>
      <c r="L18" s="60" t="str">
        <f>IF(AND($B18=[1]rogério!$A15,[1]rogério!$B15=L$4),"ok","nok")</f>
        <v>nok</v>
      </c>
      <c r="M18" s="60" t="str">
        <f>IF(AND($B18=[1]rogério!$A15,[1]rogério!$B15=M$4),"ok","nok")</f>
        <v>nok</v>
      </c>
      <c r="N18" s="60" t="str">
        <f>IF(AND($B18=[1]rogério!$A15,[1]rogério!$B15=N$4),"ok","nok")</f>
        <v>nok</v>
      </c>
      <c r="O18" s="60" t="str">
        <f>IF(AND($B18=[1]rogério!$A15,[1]rogério!$B15=O$4),"ok","nok")</f>
        <v>nok</v>
      </c>
      <c r="P18" s="60" t="str">
        <f>IF(AND($B18=[1]rogério!$A15,[1]rogério!$B15=P$4),"ok","nok")</f>
        <v>nok</v>
      </c>
      <c r="Q18" s="60" t="str">
        <f>IF(AND($B18=[1]rogério!$A15,[1]rogério!$B15=Q$4),"ok","nok")</f>
        <v>nok</v>
      </c>
      <c r="R18" s="60" t="str">
        <f>IF(AND($B18=[1]rogério!$A15,[1]rogério!$B15=R$4),"ok","nok")</f>
        <v>nok</v>
      </c>
      <c r="S18" s="60" t="str">
        <f>IF(AND($B18=[1]rogério!$A15,[1]rogério!$B15=S$4),"ok","nok")</f>
        <v>nok</v>
      </c>
      <c r="T18" s="60" t="str">
        <f>IF(AND($B18=[1]rogério!$A15,[1]rogério!$B15=T$4),"ok","nok")</f>
        <v>nok</v>
      </c>
      <c r="U18" s="60" t="str">
        <f>IF(AND($B18=[1]rogério!$A15,[1]rogério!$B15=U$4),"ok","nok")</f>
        <v>nok</v>
      </c>
      <c r="V18" s="60" t="str">
        <f>IF(AND($B18=[1]rogério!$A15,[1]rogério!$B15=V$4),"ok","nok")</f>
        <v>nok</v>
      </c>
      <c r="W18" s="60" t="str">
        <f>IF(AND($B18=[1]rogério!$A15,[1]rogério!$B15=W$4),"ok","nok")</f>
        <v>nok</v>
      </c>
      <c r="X18" s="60" t="str">
        <f>IF(AND($B18=[1]rogério!$A15,[1]rogério!$B15=X$4),"ok","nok")</f>
        <v>nok</v>
      </c>
      <c r="Y18" s="105" t="s">
        <v>33</v>
      </c>
      <c r="Z18" s="106"/>
      <c r="AA18" s="106"/>
      <c r="AB18" s="107"/>
      <c r="AC18" s="46"/>
      <c r="AD18" s="46"/>
      <c r="AE18" s="48" t="str">
        <f t="shared" si="4"/>
        <v/>
      </c>
      <c r="AF18" s="48"/>
      <c r="AG18" s="48"/>
      <c r="AH18" s="89"/>
      <c r="AI18" s="49">
        <f t="shared" si="5"/>
        <v>1</v>
      </c>
      <c r="AJ18" s="49" t="str">
        <f t="shared" si="6"/>
        <v>EFPRAZO</v>
      </c>
      <c r="AK18" s="49">
        <f t="shared" si="7"/>
        <v>0</v>
      </c>
      <c r="AL18" s="49" t="str">
        <f t="shared" si="8"/>
        <v/>
      </c>
      <c r="AM18" s="49">
        <f t="shared" si="9"/>
        <v>0</v>
      </c>
      <c r="AN18" s="49" t="str">
        <f t="shared" si="10"/>
        <v/>
      </c>
      <c r="AO18" s="49">
        <f t="shared" si="11"/>
        <v>0</v>
      </c>
      <c r="AP18" s="49" t="str">
        <f t="shared" si="12"/>
        <v/>
      </c>
      <c r="AQ18" s="49">
        <f t="shared" si="13"/>
        <v>0</v>
      </c>
      <c r="AR18" s="49" t="str">
        <f t="shared" si="14"/>
        <v/>
      </c>
      <c r="AV18" s="143" t="s">
        <v>27</v>
      </c>
      <c r="AW18" s="143"/>
      <c r="AX18" s="143"/>
      <c r="AY18" s="143"/>
      <c r="BD18">
        <f>470-198</f>
        <v>272</v>
      </c>
      <c r="BE18">
        <f>BD18-320</f>
        <v>-48</v>
      </c>
    </row>
    <row r="19" spans="1:62" ht="30" customHeight="1" x14ac:dyDescent="0.35">
      <c r="A19" s="25" t="str">
        <f t="shared" si="16"/>
        <v>PT072 - ANCORAGEM DE SÃO LUIS
TR-311K-03</v>
      </c>
      <c r="B19" s="40" t="s">
        <v>43</v>
      </c>
      <c r="C19" s="60" t="str">
        <f>IF(AND($B19=[1]rogério!$A16,[1]rogério!$B16=C$4),"ok","nok")</f>
        <v>nok</v>
      </c>
      <c r="D19" s="60" t="str">
        <f>IF(AND($B19=[1]rogério!$A16,[1]rogério!$B16=D$4),"ok","nok")</f>
        <v>nok</v>
      </c>
      <c r="E19" s="60" t="str">
        <f>IF(AND($B19=[1]rogério!$A16,[1]rogério!$B16=E$4),"ok","nok")</f>
        <v>ok</v>
      </c>
      <c r="F19" s="60" t="str">
        <f>IF(AND($B19=[1]rogério!$A16,[1]rogério!$B16=F$4),"ok","nok")</f>
        <v>nok</v>
      </c>
      <c r="G19" s="60" t="str">
        <f>IF(AND($B19=[1]rogério!$A16,[1]rogério!$B16=G$4),"ok","nok")</f>
        <v>nok</v>
      </c>
      <c r="H19" s="60" t="str">
        <f>IF(AND($B19=[1]rogério!$A16,[1]rogério!$B16=H$4),"ok","nok")</f>
        <v>nok</v>
      </c>
      <c r="I19" s="60" t="str">
        <f>IF(AND($B19=[1]rogério!$A16,[1]rogério!$B16=I$4),"ok","nok")</f>
        <v>nok</v>
      </c>
      <c r="J19" s="60" t="str">
        <f>IF(AND($B19=[1]rogério!$A16,[1]rogério!$B16=J$4),"ok","nok")</f>
        <v>nok</v>
      </c>
      <c r="K19" s="60" t="str">
        <f>IF(AND($B19=[1]rogério!$A16,[1]rogério!$B16=K$4),"ok","nok")</f>
        <v>nok</v>
      </c>
      <c r="L19" s="60" t="str">
        <f>IF(AND($B19=[1]rogério!$A16,[1]rogério!$B16=L$4),"ok","nok")</f>
        <v>nok</v>
      </c>
      <c r="M19" s="60" t="str">
        <f>IF(AND($B19=[1]rogério!$A16,[1]rogério!$B16=M$4),"ok","nok")</f>
        <v>nok</v>
      </c>
      <c r="N19" s="60" t="str">
        <f>IF(AND($B19=[1]rogério!$A16,[1]rogério!$B16=N$4),"ok","nok")</f>
        <v>nok</v>
      </c>
      <c r="O19" s="60" t="str">
        <f>IF(AND($B19=[1]rogério!$A16,[1]rogério!$B16=O$4),"ok","nok")</f>
        <v>nok</v>
      </c>
      <c r="P19" s="60" t="str">
        <f>IF(AND($B19=[1]rogério!$A16,[1]rogério!$B16=P$4),"ok","nok")</f>
        <v>nok</v>
      </c>
      <c r="Q19" s="60" t="str">
        <f>IF(AND($B19=[1]rogério!$A16,[1]rogério!$B16=Q$4),"ok","nok")</f>
        <v>nok</v>
      </c>
      <c r="R19" s="60" t="str">
        <f>IF(AND($B19=[1]rogério!$A16,[1]rogério!$B16=R$4),"ok","nok")</f>
        <v>nok</v>
      </c>
      <c r="S19" s="60" t="str">
        <f>IF(AND($B19=[1]rogério!$A16,[1]rogério!$B16=S$4),"ok","nok")</f>
        <v>nok</v>
      </c>
      <c r="T19" s="60" t="str">
        <f>IF(AND($B19=[1]rogério!$A16,[1]rogério!$B16=T$4),"ok","nok")</f>
        <v>nok</v>
      </c>
      <c r="U19" s="60" t="str">
        <f>IF(AND($B19=[1]rogério!$A16,[1]rogério!$B16=U$4),"ok","nok")</f>
        <v>nok</v>
      </c>
      <c r="V19" s="60" t="str">
        <f>IF(AND($B19=[1]rogério!$A16,[1]rogério!$B16=V$4),"ok","nok")</f>
        <v>nok</v>
      </c>
      <c r="W19" s="60" t="str">
        <f>IF(AND($B19=[1]rogério!$A16,[1]rogério!$B16=W$4),"ok","nok")</f>
        <v>nok</v>
      </c>
      <c r="X19" s="60" t="str">
        <f>IF(AND($B19=[1]rogério!$A16,[1]rogério!$B16=X$4),"ok","nok")</f>
        <v>nok</v>
      </c>
      <c r="Y19" s="105" t="s">
        <v>33</v>
      </c>
      <c r="Z19" s="106"/>
      <c r="AA19" s="106"/>
      <c r="AB19" s="107"/>
      <c r="AC19" s="40"/>
      <c r="AD19" s="40"/>
      <c r="AE19" s="48" t="str">
        <f t="shared" si="4"/>
        <v/>
      </c>
      <c r="AF19" s="48"/>
      <c r="AG19" s="48"/>
      <c r="AH19" s="89"/>
      <c r="AI19" s="49">
        <f t="shared" si="5"/>
        <v>1</v>
      </c>
      <c r="AJ19" s="49" t="str">
        <f t="shared" si="6"/>
        <v>EFPRAZO</v>
      </c>
      <c r="AK19" s="49">
        <f t="shared" si="7"/>
        <v>0</v>
      </c>
      <c r="AL19" s="49" t="str">
        <f t="shared" si="8"/>
        <v/>
      </c>
      <c r="AM19" s="49">
        <f t="shared" si="9"/>
        <v>0</v>
      </c>
      <c r="AN19" s="49" t="str">
        <f t="shared" si="10"/>
        <v/>
      </c>
      <c r="AO19" s="49">
        <f t="shared" si="11"/>
        <v>0</v>
      </c>
      <c r="AP19" s="49" t="str">
        <f t="shared" si="12"/>
        <v/>
      </c>
      <c r="AQ19" s="49">
        <f t="shared" si="13"/>
        <v>0</v>
      </c>
      <c r="AR19" s="49" t="str">
        <f t="shared" si="14"/>
        <v/>
      </c>
      <c r="AV19" s="145" t="s">
        <v>36</v>
      </c>
      <c r="AW19" s="146"/>
      <c r="AX19" s="147"/>
      <c r="AY19" s="50">
        <v>320</v>
      </c>
      <c r="AZ19" s="52">
        <f>SUM(AZ20:AZ28)</f>
        <v>0.44615384615384618</v>
      </c>
      <c r="BA19" s="52">
        <f>AY19/$BP$8</f>
        <v>0.44755244755244755</v>
      </c>
    </row>
    <row r="20" spans="1:62" ht="30" customHeight="1" x14ac:dyDescent="0.35">
      <c r="A20" s="25"/>
      <c r="B20" s="39" t="s">
        <v>44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108"/>
      <c r="Z20" s="109"/>
      <c r="AA20" s="109"/>
      <c r="AB20" s="110"/>
      <c r="AC20" s="40"/>
      <c r="AD20" s="40"/>
      <c r="AE20" s="48" t="str">
        <f t="shared" si="4"/>
        <v/>
      </c>
      <c r="AF20" s="48"/>
      <c r="AG20" s="48"/>
      <c r="AH20" s="89"/>
      <c r="AI20" s="49">
        <f t="shared" si="5"/>
        <v>0</v>
      </c>
      <c r="AJ20" s="49" t="str">
        <f t="shared" si="6"/>
        <v/>
      </c>
      <c r="AK20" s="49">
        <f t="shared" si="7"/>
        <v>0</v>
      </c>
      <c r="AL20" s="49" t="str">
        <f t="shared" si="8"/>
        <v/>
      </c>
      <c r="AM20" s="49">
        <f t="shared" si="9"/>
        <v>0</v>
      </c>
      <c r="AN20" s="49" t="str">
        <f t="shared" si="10"/>
        <v/>
      </c>
      <c r="AO20" s="49">
        <f t="shared" si="11"/>
        <v>0</v>
      </c>
      <c r="AP20" s="49" t="str">
        <f t="shared" si="12"/>
        <v/>
      </c>
      <c r="AQ20" s="49">
        <f t="shared" si="13"/>
        <v>0</v>
      </c>
      <c r="AR20" s="49" t="str">
        <f t="shared" si="14"/>
        <v/>
      </c>
      <c r="AV20" s="53" t="s">
        <v>19</v>
      </c>
      <c r="AW20" s="54"/>
      <c r="AX20" s="55"/>
      <c r="AY20" s="50">
        <v>117</v>
      </c>
      <c r="AZ20" s="52">
        <f>($BA$19*AY20)/$AY$19</f>
        <v>0.16363636363636364</v>
      </c>
      <c r="BA20" s="52">
        <f>AY20/$AY$19</f>
        <v>0.36562499999999998</v>
      </c>
      <c r="BC20">
        <f>284-272</f>
        <v>12</v>
      </c>
    </row>
    <row r="21" spans="1:62" ht="30" customHeight="1" x14ac:dyDescent="0.35">
      <c r="A21" s="25" t="str">
        <f t="shared" si="16"/>
        <v>PT072 - ANCORAGEM DE SÃO LUIS
TR-311K-03</v>
      </c>
      <c r="B21" s="40" t="s">
        <v>19</v>
      </c>
      <c r="C21" s="60" t="str">
        <f>IF(AND($B21=[1]rogério!$A18,[1]rogério!$B18=C$4),"ok","nok")</f>
        <v>nok</v>
      </c>
      <c r="D21" s="60" t="str">
        <f>IF(AND($B21=[1]rogério!$A18,[1]rogério!$B18=D$4),"ok","nok")</f>
        <v>ok</v>
      </c>
      <c r="E21" s="60" t="str">
        <f>IF(AND($B21=[1]rogério!$A18,[1]rogério!$B18=E$4),"ok","nok")</f>
        <v>nok</v>
      </c>
      <c r="F21" s="60" t="str">
        <f>IF(AND($B21=[1]rogério!$A18,[1]rogério!$B18=F$4),"ok","nok")</f>
        <v>nok</v>
      </c>
      <c r="G21" s="60" t="str">
        <f>IF(AND($B21=[1]rogério!$A18,[1]rogério!$B18=G$4),"ok","nok")</f>
        <v>nok</v>
      </c>
      <c r="H21" s="60" t="str">
        <f>IF(AND($B21=[1]rogério!$A18,[1]rogério!$B18=H$4),"ok","nok")</f>
        <v>nok</v>
      </c>
      <c r="I21" s="60" t="str">
        <f>IF(AND($B21=[1]rogério!$A18,[1]rogério!$B18=I$4),"ok","nok")</f>
        <v>nok</v>
      </c>
      <c r="J21" s="60" t="str">
        <f>IF(AND($B21=[1]rogério!$A18,[1]rogério!$B18=J$4),"ok","nok")</f>
        <v>nok</v>
      </c>
      <c r="K21" s="60" t="str">
        <f>IF(AND($B21=[1]rogério!$A18,[1]rogério!$B18=K$4),"ok","nok")</f>
        <v>nok</v>
      </c>
      <c r="L21" s="60" t="str">
        <f>IF(AND($B21=[1]rogério!$A18,[1]rogério!$B18=L$4),"ok","nok")</f>
        <v>nok</v>
      </c>
      <c r="M21" s="60" t="str">
        <f>IF(AND($B21=[1]rogério!$A18,[1]rogério!$B18=M$4),"ok","nok")</f>
        <v>nok</v>
      </c>
      <c r="N21" s="60" t="str">
        <f>IF(AND($B21=[1]rogério!$A18,[1]rogério!$B18=N$4),"ok","nok")</f>
        <v>nok</v>
      </c>
      <c r="O21" s="60" t="str">
        <f>IF(AND($B21=[1]rogério!$A18,[1]rogério!$B18=O$4),"ok","nok")</f>
        <v>nok</v>
      </c>
      <c r="P21" s="60" t="str">
        <f>IF(AND($B21=[1]rogério!$A18,[1]rogério!$B18=P$4),"ok","nok")</f>
        <v>nok</v>
      </c>
      <c r="Q21" s="60" t="str">
        <f>IF(AND($B21=[1]rogério!$A18,[1]rogério!$B18=Q$4),"ok","nok")</f>
        <v>nok</v>
      </c>
      <c r="R21" s="60" t="str">
        <f>IF(AND($B21=[1]rogério!$A18,[1]rogério!$B18=R$4),"ok","nok")</f>
        <v>nok</v>
      </c>
      <c r="S21" s="60" t="str">
        <f>IF(AND($B21=[1]rogério!$A18,[1]rogério!$B18=S$4),"ok","nok")</f>
        <v>nok</v>
      </c>
      <c r="T21" s="60" t="str">
        <f>IF(AND($B21=[1]rogério!$A18,[1]rogério!$B18=T$4),"ok","nok")</f>
        <v>nok</v>
      </c>
      <c r="U21" s="60" t="str">
        <f>IF(AND($B21=[1]rogério!$A18,[1]rogério!$B18=U$4),"ok","nok")</f>
        <v>nok</v>
      </c>
      <c r="V21" s="60" t="str">
        <f>IF(AND($B21=[1]rogério!$A18,[1]rogério!$B18=V$4),"ok","nok")</f>
        <v>nok</v>
      </c>
      <c r="W21" s="60" t="str">
        <f>IF(AND($B21=[1]rogério!$A18,[1]rogério!$B18=W$4),"ok","nok")</f>
        <v>nok</v>
      </c>
      <c r="X21" s="60" t="str">
        <f>IF(AND($B21=[1]rogério!$A18,[1]rogério!$B18=X$4),"ok","nok")</f>
        <v>nok</v>
      </c>
      <c r="Y21" s="105" t="s">
        <v>33</v>
      </c>
      <c r="Z21" s="106"/>
      <c r="AA21" s="106"/>
      <c r="AB21" s="107"/>
      <c r="AC21" s="40"/>
      <c r="AD21" s="40"/>
      <c r="AE21" s="48" t="str">
        <f t="shared" si="4"/>
        <v/>
      </c>
      <c r="AF21" s="48"/>
      <c r="AG21" s="48"/>
      <c r="AH21" s="89"/>
      <c r="AI21" s="49">
        <f t="shared" si="5"/>
        <v>1</v>
      </c>
      <c r="AJ21" s="49" t="str">
        <f t="shared" si="6"/>
        <v>EFPRAZO</v>
      </c>
      <c r="AK21" s="49">
        <f t="shared" si="7"/>
        <v>0</v>
      </c>
      <c r="AL21" s="49" t="str">
        <f t="shared" si="8"/>
        <v/>
      </c>
      <c r="AM21" s="49">
        <f t="shared" si="9"/>
        <v>0</v>
      </c>
      <c r="AN21" s="49" t="str">
        <f t="shared" si="10"/>
        <v/>
      </c>
      <c r="AO21" s="49">
        <f t="shared" si="11"/>
        <v>0</v>
      </c>
      <c r="AP21" s="49" t="str">
        <f t="shared" si="12"/>
        <v/>
      </c>
      <c r="AQ21" s="49">
        <f t="shared" si="13"/>
        <v>0</v>
      </c>
      <c r="AR21" s="49" t="str">
        <f t="shared" si="14"/>
        <v/>
      </c>
      <c r="AV21" s="53" t="s">
        <v>103</v>
      </c>
      <c r="AW21" s="54"/>
      <c r="AX21" s="55"/>
      <c r="AY21" s="50">
        <v>80</v>
      </c>
      <c r="AZ21" s="52">
        <f>($BA$19*AY21)/$AY$19</f>
        <v>0.1118881118881119</v>
      </c>
      <c r="BA21" s="52">
        <f>AY21/$AY$19</f>
        <v>0.25</v>
      </c>
      <c r="BF21" s="50">
        <f>SUM(COUNTIF(Y:AB,"VAZIO"))</f>
        <v>581</v>
      </c>
      <c r="BG21" s="148" t="s">
        <v>15</v>
      </c>
      <c r="BH21" s="149"/>
      <c r="BI21" s="150"/>
      <c r="BJ21" s="63">
        <f>BF21/BF25</f>
        <v>0.90639625585023398</v>
      </c>
    </row>
    <row r="22" spans="1:62" ht="30" customHeight="1" x14ac:dyDescent="0.35">
      <c r="A22" s="25" t="str">
        <f t="shared" si="16"/>
        <v>PT072 - ANCORAGEM DE SÃO LUIS
TR-311K-03</v>
      </c>
      <c r="B22" s="40" t="s">
        <v>42</v>
      </c>
      <c r="C22" s="60" t="str">
        <f>IF(AND($B22=[1]rogério!$A19,[1]rogério!$B19=C$4),"ok","nok")</f>
        <v>nok</v>
      </c>
      <c r="D22" s="60" t="str">
        <f>IF(AND($B22=[1]rogério!$A19,[1]rogério!$B19=D$4),"ok","nok")</f>
        <v>nok</v>
      </c>
      <c r="E22" s="60" t="str">
        <f>IF(AND($B22=[1]rogério!$A19,[1]rogério!$B19=E$4),"ok","nok")</f>
        <v>ok</v>
      </c>
      <c r="F22" s="60" t="str">
        <f>IF(AND($B22=[1]rogério!$A19,[1]rogério!$B19=F$4),"ok","nok")</f>
        <v>nok</v>
      </c>
      <c r="G22" s="60" t="str">
        <f>IF(AND($B22=[1]rogério!$A19,[1]rogério!$B19=G$4),"ok","nok")</f>
        <v>nok</v>
      </c>
      <c r="H22" s="60" t="str">
        <f>IF(AND($B22=[1]rogério!$A19,[1]rogério!$B19=H$4),"ok","nok")</f>
        <v>nok</v>
      </c>
      <c r="I22" s="60" t="str">
        <f>IF(AND($B22=[1]rogério!$A19,[1]rogério!$B19=I$4),"ok","nok")</f>
        <v>nok</v>
      </c>
      <c r="J22" s="60" t="str">
        <f>IF(AND($B22=[1]rogério!$A19,[1]rogério!$B19=J$4),"ok","nok")</f>
        <v>nok</v>
      </c>
      <c r="K22" s="60" t="str">
        <f>IF(AND($B22=[1]rogério!$A19,[1]rogério!$B19=K$4),"ok","nok")</f>
        <v>nok</v>
      </c>
      <c r="L22" s="60" t="str">
        <f>IF(AND($B22=[1]rogério!$A19,[1]rogério!$B19=L$4),"ok","nok")</f>
        <v>nok</v>
      </c>
      <c r="M22" s="60" t="str">
        <f>IF(AND($B22=[1]rogério!$A19,[1]rogério!$B19=M$4),"ok","nok")</f>
        <v>nok</v>
      </c>
      <c r="N22" s="60" t="str">
        <f>IF(AND($B22=[1]rogério!$A19,[1]rogério!$B19=N$4),"ok","nok")</f>
        <v>nok</v>
      </c>
      <c r="O22" s="60" t="str">
        <f>IF(AND($B22=[1]rogério!$A19,[1]rogério!$B19=O$4),"ok","nok")</f>
        <v>nok</v>
      </c>
      <c r="P22" s="60" t="str">
        <f>IF(AND($B22=[1]rogério!$A19,[1]rogério!$B19=P$4),"ok","nok")</f>
        <v>nok</v>
      </c>
      <c r="Q22" s="60" t="str">
        <f>IF(AND($B22=[1]rogério!$A19,[1]rogério!$B19=Q$4),"ok","nok")</f>
        <v>nok</v>
      </c>
      <c r="R22" s="60" t="str">
        <f>IF(AND($B22=[1]rogério!$A19,[1]rogério!$B19=R$4),"ok","nok")</f>
        <v>nok</v>
      </c>
      <c r="S22" s="60" t="str">
        <f>IF(AND($B22=[1]rogério!$A19,[1]rogério!$B19=S$4),"ok","nok")</f>
        <v>nok</v>
      </c>
      <c r="T22" s="60" t="str">
        <f>IF(AND($B22=[1]rogério!$A19,[1]rogério!$B19=T$4),"ok","nok")</f>
        <v>nok</v>
      </c>
      <c r="U22" s="60" t="str">
        <f>IF(AND($B22=[1]rogério!$A19,[1]rogério!$B19=U$4),"ok","nok")</f>
        <v>nok</v>
      </c>
      <c r="V22" s="60" t="str">
        <f>IF(AND($B22=[1]rogério!$A19,[1]rogério!$B19=V$4),"ok","nok")</f>
        <v>nok</v>
      </c>
      <c r="W22" s="60" t="str">
        <f>IF(AND($B22=[1]rogério!$A19,[1]rogério!$B19=W$4),"ok","nok")</f>
        <v>nok</v>
      </c>
      <c r="X22" s="60" t="str">
        <f>IF(AND($B22=[1]rogério!$A19,[1]rogério!$B19=X$4),"ok","nok")</f>
        <v>nok</v>
      </c>
      <c r="Y22" s="105" t="s">
        <v>33</v>
      </c>
      <c r="Z22" s="106"/>
      <c r="AA22" s="106"/>
      <c r="AB22" s="107"/>
      <c r="AC22" s="46"/>
      <c r="AD22" s="46"/>
      <c r="AE22" s="48" t="str">
        <f t="shared" si="4"/>
        <v/>
      </c>
      <c r="AF22" s="48"/>
      <c r="AG22" s="48"/>
      <c r="AH22" s="89"/>
      <c r="AI22" s="49">
        <f t="shared" si="5"/>
        <v>1</v>
      </c>
      <c r="AJ22" s="49" t="str">
        <f t="shared" si="6"/>
        <v>EFPRAZO</v>
      </c>
      <c r="AK22" s="49">
        <f t="shared" si="7"/>
        <v>0</v>
      </c>
      <c r="AL22" s="49" t="str">
        <f t="shared" si="8"/>
        <v/>
      </c>
      <c r="AM22" s="49">
        <f t="shared" si="9"/>
        <v>0</v>
      </c>
      <c r="AN22" s="49" t="str">
        <f t="shared" si="10"/>
        <v/>
      </c>
      <c r="AO22" s="49">
        <f t="shared" si="11"/>
        <v>0</v>
      </c>
      <c r="AP22" s="49" t="str">
        <f t="shared" si="12"/>
        <v/>
      </c>
      <c r="AQ22" s="49">
        <f t="shared" si="13"/>
        <v>0</v>
      </c>
      <c r="AR22" s="49" t="str">
        <f t="shared" si="14"/>
        <v/>
      </c>
      <c r="AV22" s="144" t="s">
        <v>104</v>
      </c>
      <c r="AW22" s="144"/>
      <c r="AX22" s="144"/>
      <c r="AY22" s="50">
        <v>75</v>
      </c>
      <c r="AZ22" s="52">
        <f t="shared" ref="AZ22" si="17">($BA$19*AY22)/$AY$19</f>
        <v>0.1048951048951049</v>
      </c>
      <c r="BA22" s="52">
        <f t="shared" ref="BA22" si="18">AY22/$AY$19</f>
        <v>0.234375</v>
      </c>
      <c r="BF22" s="50">
        <f>SUM(BG27:BG28)</f>
        <v>6</v>
      </c>
      <c r="BG22" s="148" t="s">
        <v>30</v>
      </c>
      <c r="BH22" s="149"/>
      <c r="BI22" s="150"/>
      <c r="BJ22" s="63">
        <f>BF22/BF25</f>
        <v>9.3603744149765994E-3</v>
      </c>
    </row>
    <row r="23" spans="1:62" ht="30" customHeight="1" x14ac:dyDescent="0.35">
      <c r="A23" s="25" t="str">
        <f t="shared" si="16"/>
        <v>PT072 - ANCORAGEM DE SÃO LUIS
TR-311K-03</v>
      </c>
      <c r="B23" s="40" t="s">
        <v>43</v>
      </c>
      <c r="C23" s="60" t="str">
        <f>IF(AND($B23=[1]rogério!$A20,[1]rogério!$B20=C$4),"ok","nok")</f>
        <v>nok</v>
      </c>
      <c r="D23" s="60" t="str">
        <f>IF(AND($B23=[1]rogério!$A20,[1]rogério!$B20=D$4),"ok","nok")</f>
        <v>nok</v>
      </c>
      <c r="E23" s="60" t="str">
        <f>IF(AND($B23=[1]rogério!$A20,[1]rogério!$B20=E$4),"ok","nok")</f>
        <v>ok</v>
      </c>
      <c r="F23" s="60" t="str">
        <f>IF(AND($B23=[1]rogério!$A20,[1]rogério!$B20=F$4),"ok","nok")</f>
        <v>nok</v>
      </c>
      <c r="G23" s="60" t="str">
        <f>IF(AND($B23=[1]rogério!$A20,[1]rogério!$B20=G$4),"ok","nok")</f>
        <v>nok</v>
      </c>
      <c r="H23" s="60" t="str">
        <f>IF(AND($B23=[1]rogério!$A20,[1]rogério!$B20=H$4),"ok","nok")</f>
        <v>nok</v>
      </c>
      <c r="I23" s="60" t="str">
        <f>IF(AND($B23=[1]rogério!$A20,[1]rogério!$B20=I$4),"ok","nok")</f>
        <v>nok</v>
      </c>
      <c r="J23" s="60" t="str">
        <f>IF(AND($B23=[1]rogério!$A20,[1]rogério!$B20=J$4),"ok","nok")</f>
        <v>nok</v>
      </c>
      <c r="K23" s="60" t="str">
        <f>IF(AND($B23=[1]rogério!$A20,[1]rogério!$B20=K$4),"ok","nok")</f>
        <v>nok</v>
      </c>
      <c r="L23" s="60" t="str">
        <f>IF(AND($B23=[1]rogério!$A20,[1]rogério!$B20=L$4),"ok","nok")</f>
        <v>nok</v>
      </c>
      <c r="M23" s="60" t="str">
        <f>IF(AND($B23=[1]rogério!$A20,[1]rogério!$B20=M$4),"ok","nok")</f>
        <v>nok</v>
      </c>
      <c r="N23" s="60" t="str">
        <f>IF(AND($B23=[1]rogério!$A20,[1]rogério!$B20=N$4),"ok","nok")</f>
        <v>nok</v>
      </c>
      <c r="O23" s="60" t="str">
        <f>IF(AND($B23=[1]rogério!$A20,[1]rogério!$B20=O$4),"ok","nok")</f>
        <v>nok</v>
      </c>
      <c r="P23" s="60" t="str">
        <f>IF(AND($B23=[1]rogério!$A20,[1]rogério!$B20=P$4),"ok","nok")</f>
        <v>nok</v>
      </c>
      <c r="Q23" s="60" t="str">
        <f>IF(AND($B23=[1]rogério!$A20,[1]rogério!$B20=Q$4),"ok","nok")</f>
        <v>nok</v>
      </c>
      <c r="R23" s="60" t="str">
        <f>IF(AND($B23=[1]rogério!$A20,[1]rogério!$B20=R$4),"ok","nok")</f>
        <v>nok</v>
      </c>
      <c r="S23" s="60" t="str">
        <f>IF(AND($B23=[1]rogério!$A20,[1]rogério!$B20=S$4),"ok","nok")</f>
        <v>nok</v>
      </c>
      <c r="T23" s="60" t="str">
        <f>IF(AND($B23=[1]rogério!$A20,[1]rogério!$B20=T$4),"ok","nok")</f>
        <v>nok</v>
      </c>
      <c r="U23" s="60" t="str">
        <f>IF(AND($B23=[1]rogério!$A20,[1]rogério!$B20=U$4),"ok","nok")</f>
        <v>nok</v>
      </c>
      <c r="V23" s="60" t="str">
        <f>IF(AND($B23=[1]rogério!$A20,[1]rogério!$B20=V$4),"ok","nok")</f>
        <v>nok</v>
      </c>
      <c r="W23" s="60" t="str">
        <f>IF(AND($B23=[1]rogério!$A20,[1]rogério!$B20=W$4),"ok","nok")</f>
        <v>nok</v>
      </c>
      <c r="X23" s="60" t="str">
        <f>IF(AND($B23=[1]rogério!$A20,[1]rogério!$B20=X$4),"ok","nok")</f>
        <v>nok</v>
      </c>
      <c r="Y23" s="105" t="s">
        <v>33</v>
      </c>
      <c r="Z23" s="106"/>
      <c r="AA23" s="106"/>
      <c r="AB23" s="107"/>
      <c r="AC23" s="40"/>
      <c r="AD23" s="40"/>
      <c r="AE23" s="48" t="str">
        <f t="shared" si="4"/>
        <v/>
      </c>
      <c r="AF23" s="48"/>
      <c r="AG23" s="48"/>
      <c r="AH23" s="89"/>
      <c r="AI23" s="49">
        <f t="shared" si="5"/>
        <v>1</v>
      </c>
      <c r="AJ23" s="49" t="str">
        <f t="shared" si="6"/>
        <v>EFPRAZO</v>
      </c>
      <c r="AK23" s="49">
        <f t="shared" si="7"/>
        <v>0</v>
      </c>
      <c r="AL23" s="49" t="str">
        <f t="shared" si="8"/>
        <v/>
      </c>
      <c r="AM23" s="49">
        <f t="shared" si="9"/>
        <v>0</v>
      </c>
      <c r="AN23" s="49" t="str">
        <f t="shared" si="10"/>
        <v/>
      </c>
      <c r="AO23" s="49">
        <f t="shared" si="11"/>
        <v>0</v>
      </c>
      <c r="AP23" s="49" t="str">
        <f t="shared" si="12"/>
        <v/>
      </c>
      <c r="AQ23" s="49">
        <f t="shared" si="13"/>
        <v>0</v>
      </c>
      <c r="AR23" s="49" t="str">
        <f t="shared" si="14"/>
        <v/>
      </c>
      <c r="AV23" s="144" t="s">
        <v>105</v>
      </c>
      <c r="AW23" s="144"/>
      <c r="AX23" s="144"/>
      <c r="AY23" s="50">
        <v>47</v>
      </c>
      <c r="AZ23" s="52">
        <f t="shared" ref="AZ23" si="19">($BA$19*AY23)/$AY$19</f>
        <v>6.5734265734265732E-2</v>
      </c>
      <c r="BA23" s="52">
        <f t="shared" ref="BA23" si="20">AY23/$AY$19</f>
        <v>0.14687500000000001</v>
      </c>
      <c r="BF23" s="50">
        <f>SUM(COUNTIF(Y:AB,"ATRASADO"))</f>
        <v>43</v>
      </c>
      <c r="BG23" s="148" t="s">
        <v>31</v>
      </c>
      <c r="BH23" s="149"/>
      <c r="BI23" s="150"/>
      <c r="BJ23" s="63">
        <f>BF23/BF25</f>
        <v>6.7082683307332289E-2</v>
      </c>
    </row>
    <row r="24" spans="1:62" ht="30" customHeight="1" x14ac:dyDescent="0.35">
      <c r="A24" s="25"/>
      <c r="B24" s="37" t="s">
        <v>50</v>
      </c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120"/>
      <c r="Z24" s="121"/>
      <c r="AA24" s="121"/>
      <c r="AB24" s="122"/>
      <c r="AC24" s="40"/>
      <c r="AD24" s="40"/>
      <c r="AE24" s="48" t="str">
        <f t="shared" si="4"/>
        <v/>
      </c>
      <c r="AF24" s="48"/>
      <c r="AG24" s="48"/>
      <c r="AH24" s="89"/>
      <c r="AI24" s="49">
        <f t="shared" si="5"/>
        <v>0</v>
      </c>
      <c r="AJ24" s="49" t="str">
        <f t="shared" si="6"/>
        <v/>
      </c>
      <c r="AK24" s="49">
        <f t="shared" si="7"/>
        <v>0</v>
      </c>
      <c r="AL24" s="49" t="str">
        <f t="shared" si="8"/>
        <v/>
      </c>
      <c r="AM24" s="49">
        <f t="shared" si="9"/>
        <v>0</v>
      </c>
      <c r="AN24" s="49" t="str">
        <f t="shared" si="10"/>
        <v/>
      </c>
      <c r="AO24" s="49">
        <f t="shared" si="11"/>
        <v>0</v>
      </c>
      <c r="AP24" s="49" t="str">
        <f t="shared" si="12"/>
        <v/>
      </c>
      <c r="AQ24" s="49">
        <f t="shared" si="13"/>
        <v>0</v>
      </c>
      <c r="AR24" s="49" t="str">
        <f t="shared" si="14"/>
        <v/>
      </c>
      <c r="AV24" s="144"/>
      <c r="AW24" s="144"/>
      <c r="AX24" s="144"/>
      <c r="AY24" s="50"/>
      <c r="AZ24" s="52"/>
      <c r="BA24" s="52"/>
      <c r="BF24" s="50">
        <f>SUM(COUNTIF(Y:AB,"RISCO"))</f>
        <v>11</v>
      </c>
      <c r="BG24" s="148" t="s">
        <v>32</v>
      </c>
      <c r="BH24" s="149"/>
      <c r="BI24" s="150"/>
      <c r="BJ24" s="63">
        <f>BF24/BF25</f>
        <v>1.7160686427457099E-2</v>
      </c>
    </row>
    <row r="25" spans="1:62" ht="30" customHeight="1" x14ac:dyDescent="0.35">
      <c r="A25" s="25"/>
      <c r="B25" s="39" t="s">
        <v>41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108"/>
      <c r="Z25" s="109"/>
      <c r="AA25" s="109"/>
      <c r="AB25" s="110"/>
      <c r="AC25" s="40"/>
      <c r="AD25" s="40"/>
      <c r="AE25" s="48" t="str">
        <f t="shared" si="4"/>
        <v/>
      </c>
      <c r="AF25" s="48"/>
      <c r="AG25" s="48"/>
      <c r="AH25" s="89"/>
      <c r="AI25" s="49">
        <f t="shared" si="5"/>
        <v>0</v>
      </c>
      <c r="AJ25" s="49" t="str">
        <f t="shared" si="6"/>
        <v/>
      </c>
      <c r="AK25" s="49">
        <f t="shared" si="7"/>
        <v>0</v>
      </c>
      <c r="AL25" s="49" t="str">
        <f t="shared" si="8"/>
        <v/>
      </c>
      <c r="AM25" s="49">
        <f t="shared" si="9"/>
        <v>0</v>
      </c>
      <c r="AN25" s="49" t="str">
        <f t="shared" si="10"/>
        <v/>
      </c>
      <c r="AO25" s="49">
        <f t="shared" si="11"/>
        <v>0</v>
      </c>
      <c r="AP25" s="49" t="str">
        <f t="shared" si="12"/>
        <v/>
      </c>
      <c r="AQ25" s="49">
        <f t="shared" si="13"/>
        <v>0</v>
      </c>
      <c r="AR25" s="49" t="str">
        <f t="shared" si="14"/>
        <v/>
      </c>
      <c r="AV25" s="162"/>
      <c r="AW25" s="163"/>
      <c r="AX25" s="164"/>
      <c r="AY25" s="50"/>
      <c r="AZ25" s="52"/>
      <c r="BA25" s="52"/>
      <c r="BF25" s="64">
        <f>SUM(BF21:BF24)</f>
        <v>641</v>
      </c>
      <c r="BG25" s="148" t="s">
        <v>3</v>
      </c>
      <c r="BH25" s="149"/>
      <c r="BI25" s="150"/>
      <c r="BJ25" s="65">
        <f>SUM(BJ21:BJ24)</f>
        <v>0.99999999999999989</v>
      </c>
    </row>
    <row r="26" spans="1:62" ht="30" customHeight="1" x14ac:dyDescent="0.35">
      <c r="A26" s="25" t="str">
        <f>CONCATENATE($B$7,"
",$B$24)</f>
        <v>PT072 - ANCORAGEM DE SÃO LUIS
TR-325K-07</v>
      </c>
      <c r="B26" s="40" t="s">
        <v>19</v>
      </c>
      <c r="C26" s="60" t="str">
        <f>IF(AND($B26=[1]rogério!$A23,[1]rogério!$B23=C$4),"ok","nok")</f>
        <v>nok</v>
      </c>
      <c r="D26" s="60" t="str">
        <f>IF(AND($B26=[1]rogério!$A23,[1]rogério!$B23=D$4),"ok","nok")</f>
        <v>ok</v>
      </c>
      <c r="E26" s="60" t="str">
        <f>IF(AND($B26=[1]rogério!$A23,[1]rogério!$B23=E$4),"ok","nok")</f>
        <v>nok</v>
      </c>
      <c r="F26" s="60" t="str">
        <f>IF(AND($B26=[1]rogério!$A23,[1]rogério!$B23=F$4),"ok","nok")</f>
        <v>nok</v>
      </c>
      <c r="G26" s="60" t="str">
        <f>IF(AND($B26=[1]rogério!$A23,[1]rogério!$B23=G$4),"ok","nok")</f>
        <v>nok</v>
      </c>
      <c r="H26" s="60" t="str">
        <f>IF(AND($B26=[1]rogério!$A23,[1]rogério!$B23=H$4),"ok","nok")</f>
        <v>nok</v>
      </c>
      <c r="I26" s="60" t="str">
        <f>IF(AND($B26=[1]rogério!$A23,[1]rogério!$B23=I$4),"ok","nok")</f>
        <v>nok</v>
      </c>
      <c r="J26" s="60" t="str">
        <f>IF(AND($B26=[1]rogério!$A23,[1]rogério!$B23=J$4),"ok","nok")</f>
        <v>nok</v>
      </c>
      <c r="K26" s="60" t="str">
        <f>IF(AND($B26=[1]rogério!$A23,[1]rogério!$B23=K$4),"ok","nok")</f>
        <v>nok</v>
      </c>
      <c r="L26" s="60" t="str">
        <f>IF(AND($B26=[1]rogério!$A23,[1]rogério!$B23=L$4),"ok","nok")</f>
        <v>nok</v>
      </c>
      <c r="M26" s="60" t="str">
        <f>IF(AND($B26=[1]rogério!$A23,[1]rogério!$B23=M$4),"ok","nok")</f>
        <v>nok</v>
      </c>
      <c r="N26" s="60" t="str">
        <f>IF(AND($B26=[1]rogério!$A23,[1]rogério!$B23=N$4),"ok","nok")</f>
        <v>nok</v>
      </c>
      <c r="O26" s="60" t="str">
        <f>IF(AND($B26=[1]rogério!$A23,[1]rogério!$B23=O$4),"ok","nok")</f>
        <v>nok</v>
      </c>
      <c r="P26" s="60" t="str">
        <f>IF(AND($B26=[1]rogério!$A23,[1]rogério!$B23=P$4),"ok","nok")</f>
        <v>nok</v>
      </c>
      <c r="Q26" s="60" t="str">
        <f>IF(AND($B26=[1]rogério!$A23,[1]rogério!$B23=Q$4),"ok","nok")</f>
        <v>nok</v>
      </c>
      <c r="R26" s="60" t="str">
        <f>IF(AND($B26=[1]rogério!$A23,[1]rogério!$B23=R$4),"ok","nok")</f>
        <v>nok</v>
      </c>
      <c r="S26" s="60" t="str">
        <f>IF(AND($B26=[1]rogério!$A23,[1]rogério!$B23=S$4),"ok","nok")</f>
        <v>nok</v>
      </c>
      <c r="T26" s="60" t="str">
        <f>IF(AND($B26=[1]rogério!$A23,[1]rogério!$B23=T$4),"ok","nok")</f>
        <v>nok</v>
      </c>
      <c r="U26" s="60" t="str">
        <f>IF(AND($B26=[1]rogério!$A23,[1]rogério!$B23=U$4),"ok","nok")</f>
        <v>nok</v>
      </c>
      <c r="V26" s="60" t="str">
        <f>IF(AND($B26=[1]rogério!$A23,[1]rogério!$B23=V$4),"ok","nok")</f>
        <v>nok</v>
      </c>
      <c r="W26" s="60" t="str">
        <f>IF(AND($B26=[1]rogério!$A23,[1]rogério!$B23=W$4),"ok","nok")</f>
        <v>nok</v>
      </c>
      <c r="X26" s="60" t="str">
        <f>IF(AND($B26=[1]rogério!$A23,[1]rogério!$B23=X$4),"ok","nok")</f>
        <v>nok</v>
      </c>
      <c r="Y26" s="105" t="s">
        <v>33</v>
      </c>
      <c r="Z26" s="106"/>
      <c r="AA26" s="106"/>
      <c r="AB26" s="107"/>
      <c r="AC26" s="37"/>
      <c r="AD26" s="37"/>
      <c r="AE26" s="48" t="str">
        <f t="shared" si="4"/>
        <v/>
      </c>
      <c r="AF26" s="48"/>
      <c r="AG26" s="48"/>
      <c r="AH26" s="89"/>
      <c r="AI26" s="49">
        <f t="shared" si="5"/>
        <v>1</v>
      </c>
      <c r="AJ26" s="49" t="str">
        <f t="shared" si="6"/>
        <v>EFPRAZO</v>
      </c>
      <c r="AK26" s="49">
        <f t="shared" si="7"/>
        <v>0</v>
      </c>
      <c r="AL26" s="49" t="str">
        <f t="shared" si="8"/>
        <v/>
      </c>
      <c r="AM26" s="49">
        <f t="shared" si="9"/>
        <v>0</v>
      </c>
      <c r="AN26" s="49" t="str">
        <f t="shared" si="10"/>
        <v/>
      </c>
      <c r="AO26" s="49">
        <f t="shared" si="11"/>
        <v>0</v>
      </c>
      <c r="AP26" s="49" t="str">
        <f t="shared" si="12"/>
        <v/>
      </c>
      <c r="AQ26" s="49">
        <f t="shared" si="13"/>
        <v>0</v>
      </c>
      <c r="AR26" s="49" t="str">
        <f t="shared" si="14"/>
        <v/>
      </c>
      <c r="AV26" s="168"/>
      <c r="AW26" s="169"/>
      <c r="AX26" s="170"/>
      <c r="AY26" s="50"/>
      <c r="AZ26" s="52"/>
      <c r="BA26" s="52"/>
    </row>
    <row r="27" spans="1:62" ht="30" customHeight="1" x14ac:dyDescent="0.35">
      <c r="A27" s="25" t="str">
        <f t="shared" ref="A27:A32" si="21">CONCATENATE($B$7,"
",$B$24)</f>
        <v>PT072 - ANCORAGEM DE SÃO LUIS
TR-325K-07</v>
      </c>
      <c r="B27" s="40" t="s">
        <v>42</v>
      </c>
      <c r="C27" s="60" t="str">
        <f>IF(AND($B27=[1]rogério!$A24,[1]rogério!$B24=C$4),"ok","nok")</f>
        <v>nok</v>
      </c>
      <c r="D27" s="60" t="str">
        <f>IF(AND($B27=[1]rogério!$A24,[1]rogério!$B24=D$4),"ok","nok")</f>
        <v>nok</v>
      </c>
      <c r="E27" s="60" t="str">
        <f>IF(AND($B27=[1]rogério!$A24,[1]rogério!$B24=E$4),"ok","nok")</f>
        <v>ok</v>
      </c>
      <c r="F27" s="60" t="str">
        <f>IF(AND($B27=[1]rogério!$A24,[1]rogério!$B24=F$4),"ok","nok")</f>
        <v>nok</v>
      </c>
      <c r="G27" s="60" t="str">
        <f>IF(AND($B27=[1]rogério!$A24,[1]rogério!$B24=G$4),"ok","nok")</f>
        <v>nok</v>
      </c>
      <c r="H27" s="60" t="str">
        <f>IF(AND($B27=[1]rogério!$A24,[1]rogério!$B24=H$4),"ok","nok")</f>
        <v>nok</v>
      </c>
      <c r="I27" s="60" t="str">
        <f>IF(AND($B27=[1]rogério!$A24,[1]rogério!$B24=I$4),"ok","nok")</f>
        <v>nok</v>
      </c>
      <c r="J27" s="60" t="str">
        <f>IF(AND($B27=[1]rogério!$A24,[1]rogério!$B24=J$4),"ok","nok")</f>
        <v>nok</v>
      </c>
      <c r="K27" s="60" t="str">
        <f>IF(AND($B27=[1]rogério!$A24,[1]rogério!$B24=K$4),"ok","nok")</f>
        <v>nok</v>
      </c>
      <c r="L27" s="60" t="str">
        <f>IF(AND($B27=[1]rogério!$A24,[1]rogério!$B24=L$4),"ok","nok")</f>
        <v>nok</v>
      </c>
      <c r="M27" s="60" t="str">
        <f>IF(AND($B27=[1]rogério!$A24,[1]rogério!$B24=M$4),"ok","nok")</f>
        <v>nok</v>
      </c>
      <c r="N27" s="60" t="str">
        <f>IF(AND($B27=[1]rogério!$A24,[1]rogério!$B24=N$4),"ok","nok")</f>
        <v>nok</v>
      </c>
      <c r="O27" s="60" t="str">
        <f>IF(AND($B27=[1]rogério!$A24,[1]rogério!$B24=O$4),"ok","nok")</f>
        <v>nok</v>
      </c>
      <c r="P27" s="60" t="str">
        <f>IF(AND($B27=[1]rogério!$A24,[1]rogério!$B24=P$4),"ok","nok")</f>
        <v>nok</v>
      </c>
      <c r="Q27" s="60" t="str">
        <f>IF(AND($B27=[1]rogério!$A24,[1]rogério!$B24=Q$4),"ok","nok")</f>
        <v>nok</v>
      </c>
      <c r="R27" s="60" t="str">
        <f>IF(AND($B27=[1]rogério!$A24,[1]rogério!$B24=R$4),"ok","nok")</f>
        <v>nok</v>
      </c>
      <c r="S27" s="60" t="str">
        <f>IF(AND($B27=[1]rogério!$A24,[1]rogério!$B24=S$4),"ok","nok")</f>
        <v>nok</v>
      </c>
      <c r="T27" s="60" t="str">
        <f>IF(AND($B27=[1]rogério!$A24,[1]rogério!$B24=T$4),"ok","nok")</f>
        <v>nok</v>
      </c>
      <c r="U27" s="60" t="str">
        <f>IF(AND($B27=[1]rogério!$A24,[1]rogério!$B24=U$4),"ok","nok")</f>
        <v>nok</v>
      </c>
      <c r="V27" s="60" t="str">
        <f>IF(AND($B27=[1]rogério!$A24,[1]rogério!$B24=V$4),"ok","nok")</f>
        <v>nok</v>
      </c>
      <c r="W27" s="60" t="str">
        <f>IF(AND($B27=[1]rogério!$A24,[1]rogério!$B24=W$4),"ok","nok")</f>
        <v>nok</v>
      </c>
      <c r="X27" s="60" t="str">
        <f>IF(AND($B27=[1]rogério!$A24,[1]rogério!$B24=X$4),"ok","nok")</f>
        <v>nok</v>
      </c>
      <c r="Y27" s="105" t="s">
        <v>33</v>
      </c>
      <c r="Z27" s="106"/>
      <c r="AA27" s="106"/>
      <c r="AB27" s="107"/>
      <c r="AC27" s="46"/>
      <c r="AD27" s="46"/>
      <c r="AE27" s="48" t="str">
        <f t="shared" si="4"/>
        <v/>
      </c>
      <c r="AF27" s="48"/>
      <c r="AG27" s="48"/>
      <c r="AH27" s="89"/>
      <c r="AI27" s="49">
        <f t="shared" si="5"/>
        <v>1</v>
      </c>
      <c r="AJ27" s="49" t="str">
        <f t="shared" si="6"/>
        <v>EFPRAZO</v>
      </c>
      <c r="AK27" s="49">
        <f t="shared" si="7"/>
        <v>0</v>
      </c>
      <c r="AL27" s="49" t="str">
        <f t="shared" si="8"/>
        <v/>
      </c>
      <c r="AM27" s="49">
        <f t="shared" si="9"/>
        <v>0</v>
      </c>
      <c r="AN27" s="49" t="str">
        <f t="shared" si="10"/>
        <v/>
      </c>
      <c r="AO27" s="49">
        <f t="shared" si="11"/>
        <v>0</v>
      </c>
      <c r="AP27" s="49" t="str">
        <f t="shared" si="12"/>
        <v/>
      </c>
      <c r="AQ27" s="49">
        <f t="shared" si="13"/>
        <v>0</v>
      </c>
      <c r="AR27" s="49" t="str">
        <f t="shared" si="14"/>
        <v/>
      </c>
      <c r="AV27" s="165"/>
      <c r="AW27" s="166"/>
      <c r="AX27" s="167"/>
      <c r="AY27" s="50"/>
      <c r="AZ27" s="52"/>
      <c r="BA27" s="52"/>
      <c r="BG27">
        <f>SUM(COUNTIF(Y:AB,"ENTREGUE"))</f>
        <v>3</v>
      </c>
      <c r="BH27" t="s">
        <v>2</v>
      </c>
    </row>
    <row r="28" spans="1:62" ht="30" customHeight="1" x14ac:dyDescent="0.35">
      <c r="A28" s="25" t="str">
        <f t="shared" si="21"/>
        <v>PT072 - ANCORAGEM DE SÃO LUIS
TR-325K-07</v>
      </c>
      <c r="B28" s="40" t="s">
        <v>43</v>
      </c>
      <c r="C28" s="60" t="str">
        <f>IF(AND($B28=[1]rogério!$A25,[1]rogério!$B25=C$4),"ok","nok")</f>
        <v>nok</v>
      </c>
      <c r="D28" s="60" t="str">
        <f>IF(AND($B28=[1]rogério!$A25,[1]rogério!$B25=D$4),"ok","nok")</f>
        <v>nok</v>
      </c>
      <c r="E28" s="60" t="str">
        <f>IF(AND($B28=[1]rogério!$A25,[1]rogério!$B25=E$4),"ok","nok")</f>
        <v>ok</v>
      </c>
      <c r="F28" s="60" t="str">
        <f>IF(AND($B28=[1]rogério!$A25,[1]rogério!$B25=F$4),"ok","nok")</f>
        <v>nok</v>
      </c>
      <c r="G28" s="60" t="str">
        <f>IF(AND($B28=[1]rogério!$A25,[1]rogério!$B25=G$4),"ok","nok")</f>
        <v>nok</v>
      </c>
      <c r="H28" s="60" t="str">
        <f>IF(AND($B28=[1]rogério!$A25,[1]rogério!$B25=H$4),"ok","nok")</f>
        <v>nok</v>
      </c>
      <c r="I28" s="60" t="str">
        <f>IF(AND($B28=[1]rogério!$A25,[1]rogério!$B25=I$4),"ok","nok")</f>
        <v>nok</v>
      </c>
      <c r="J28" s="60" t="str">
        <f>IF(AND($B28=[1]rogério!$A25,[1]rogério!$B25=J$4),"ok","nok")</f>
        <v>nok</v>
      </c>
      <c r="K28" s="60" t="str">
        <f>IF(AND($B28=[1]rogério!$A25,[1]rogério!$B25=K$4),"ok","nok")</f>
        <v>nok</v>
      </c>
      <c r="L28" s="60" t="str">
        <f>IF(AND($B28=[1]rogério!$A25,[1]rogério!$B25=L$4),"ok","nok")</f>
        <v>nok</v>
      </c>
      <c r="M28" s="60" t="str">
        <f>IF(AND($B28=[1]rogério!$A25,[1]rogério!$B25=M$4),"ok","nok")</f>
        <v>nok</v>
      </c>
      <c r="N28" s="60" t="str">
        <f>IF(AND($B28=[1]rogério!$A25,[1]rogério!$B25=N$4),"ok","nok")</f>
        <v>nok</v>
      </c>
      <c r="O28" s="60" t="str">
        <f>IF(AND($B28=[1]rogério!$A25,[1]rogério!$B25=O$4),"ok","nok")</f>
        <v>nok</v>
      </c>
      <c r="P28" s="60" t="str">
        <f>IF(AND($B28=[1]rogério!$A25,[1]rogério!$B25=P$4),"ok","nok")</f>
        <v>nok</v>
      </c>
      <c r="Q28" s="60" t="str">
        <f>IF(AND($B28=[1]rogério!$A25,[1]rogério!$B25=Q$4),"ok","nok")</f>
        <v>nok</v>
      </c>
      <c r="R28" s="60" t="str">
        <f>IF(AND($B28=[1]rogério!$A25,[1]rogério!$B25=R$4),"ok","nok")</f>
        <v>nok</v>
      </c>
      <c r="S28" s="60" t="str">
        <f>IF(AND($B28=[1]rogério!$A25,[1]rogério!$B25=S$4),"ok","nok")</f>
        <v>nok</v>
      </c>
      <c r="T28" s="60" t="str">
        <f>IF(AND($B28=[1]rogério!$A25,[1]rogério!$B25=T$4),"ok","nok")</f>
        <v>nok</v>
      </c>
      <c r="U28" s="60" t="str">
        <f>IF(AND($B28=[1]rogério!$A25,[1]rogério!$B25=U$4),"ok","nok")</f>
        <v>nok</v>
      </c>
      <c r="V28" s="60" t="str">
        <f>IF(AND($B28=[1]rogério!$A25,[1]rogério!$B25=V$4),"ok","nok")</f>
        <v>nok</v>
      </c>
      <c r="W28" s="60" t="str">
        <f>IF(AND($B28=[1]rogério!$A25,[1]rogério!$B25=W$4),"ok","nok")</f>
        <v>nok</v>
      </c>
      <c r="X28" s="60" t="str">
        <f>IF(AND($B28=[1]rogério!$A25,[1]rogério!$B25=X$4),"ok","nok")</f>
        <v>nok</v>
      </c>
      <c r="Y28" s="105" t="s">
        <v>33</v>
      </c>
      <c r="Z28" s="106"/>
      <c r="AA28" s="106"/>
      <c r="AB28" s="107"/>
      <c r="AC28" s="40"/>
      <c r="AD28" s="40"/>
      <c r="AE28" s="48" t="str">
        <f t="shared" si="4"/>
        <v/>
      </c>
      <c r="AF28" s="48"/>
      <c r="AG28" s="48"/>
      <c r="AH28" s="89"/>
      <c r="AI28" s="49">
        <f t="shared" si="5"/>
        <v>1</v>
      </c>
      <c r="AJ28" s="49" t="str">
        <f t="shared" si="6"/>
        <v>EFPRAZO</v>
      </c>
      <c r="AK28" s="49">
        <f t="shared" si="7"/>
        <v>0</v>
      </c>
      <c r="AL28" s="49" t="str">
        <f t="shared" si="8"/>
        <v/>
      </c>
      <c r="AM28" s="49">
        <f t="shared" si="9"/>
        <v>0</v>
      </c>
      <c r="AN28" s="49" t="str">
        <f t="shared" si="10"/>
        <v/>
      </c>
      <c r="AO28" s="49">
        <f t="shared" si="11"/>
        <v>0</v>
      </c>
      <c r="AP28" s="49" t="str">
        <f t="shared" si="12"/>
        <v/>
      </c>
      <c r="AQ28" s="49">
        <f t="shared" si="13"/>
        <v>0</v>
      </c>
      <c r="AR28" s="49" t="str">
        <f t="shared" si="14"/>
        <v/>
      </c>
      <c r="AV28" s="144"/>
      <c r="AW28" s="144"/>
      <c r="AX28" s="144"/>
      <c r="AY28" s="50"/>
      <c r="BA28" s="52"/>
      <c r="BG28">
        <f>SUM(COUNTIF(Y:AB,"ENTREGUE"))</f>
        <v>3</v>
      </c>
      <c r="BH28" t="s">
        <v>33</v>
      </c>
    </row>
    <row r="29" spans="1:62" ht="30" customHeight="1" x14ac:dyDescent="0.35">
      <c r="A29" s="25"/>
      <c r="B29" s="39" t="s">
        <v>44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108"/>
      <c r="Z29" s="109"/>
      <c r="AA29" s="109"/>
      <c r="AB29" s="110"/>
      <c r="AC29" s="40"/>
      <c r="AD29" s="40"/>
      <c r="AE29" s="48" t="str">
        <f t="shared" si="4"/>
        <v/>
      </c>
      <c r="AF29" s="48"/>
      <c r="AG29" s="48"/>
      <c r="AH29" s="89"/>
      <c r="AI29" s="49">
        <f t="shared" si="5"/>
        <v>0</v>
      </c>
      <c r="AJ29" s="49" t="str">
        <f t="shared" si="6"/>
        <v/>
      </c>
      <c r="AK29" s="49">
        <f t="shared" si="7"/>
        <v>0</v>
      </c>
      <c r="AL29" s="49" t="str">
        <f t="shared" si="8"/>
        <v/>
      </c>
      <c r="AM29" s="49">
        <f t="shared" si="9"/>
        <v>0</v>
      </c>
      <c r="AN29" s="49" t="str">
        <f t="shared" si="10"/>
        <v/>
      </c>
      <c r="AO29" s="49">
        <f t="shared" si="11"/>
        <v>0</v>
      </c>
      <c r="AP29" s="49" t="str">
        <f t="shared" si="12"/>
        <v/>
      </c>
      <c r="AQ29" s="49">
        <f t="shared" si="13"/>
        <v>0</v>
      </c>
      <c r="AR29" s="49" t="str">
        <f t="shared" si="14"/>
        <v/>
      </c>
    </row>
    <row r="30" spans="1:62" ht="30" customHeight="1" x14ac:dyDescent="0.35">
      <c r="A30" s="25" t="str">
        <f t="shared" si="21"/>
        <v>PT072 - ANCORAGEM DE SÃO LUIS
TR-325K-07</v>
      </c>
      <c r="B30" s="40" t="s">
        <v>19</v>
      </c>
      <c r="C30" s="60" t="str">
        <f>IF(AND($B30=[1]rogério!$A27,[1]rogério!$B27=C$4),"ok","nok")</f>
        <v>nok</v>
      </c>
      <c r="D30" s="60" t="str">
        <f>IF(AND($B30=[1]rogério!$A27,[1]rogério!$B27=D$4),"ok","nok")</f>
        <v>ok</v>
      </c>
      <c r="E30" s="60" t="str">
        <f>IF(AND($B30=[1]rogério!$A27,[1]rogério!$B27=E$4),"ok","nok")</f>
        <v>nok</v>
      </c>
      <c r="F30" s="60" t="str">
        <f>IF(AND($B30=[1]rogério!$A27,[1]rogério!$B27=F$4),"ok","nok")</f>
        <v>nok</v>
      </c>
      <c r="G30" s="60" t="str">
        <f>IF(AND($B30=[1]rogério!$A27,[1]rogério!$B27=G$4),"ok","nok")</f>
        <v>nok</v>
      </c>
      <c r="H30" s="60" t="str">
        <f>IF(AND($B30=[1]rogério!$A27,[1]rogério!$B27=H$4),"ok","nok")</f>
        <v>nok</v>
      </c>
      <c r="I30" s="60" t="str">
        <f>IF(AND($B30=[1]rogério!$A27,[1]rogério!$B27=I$4),"ok","nok")</f>
        <v>nok</v>
      </c>
      <c r="J30" s="60" t="str">
        <f>IF(AND($B30=[1]rogério!$A27,[1]rogério!$B27=J$4),"ok","nok")</f>
        <v>nok</v>
      </c>
      <c r="K30" s="60" t="str">
        <f>IF(AND($B30=[1]rogério!$A27,[1]rogério!$B27=K$4),"ok","nok")</f>
        <v>nok</v>
      </c>
      <c r="L30" s="60" t="str">
        <f>IF(AND($B30=[1]rogério!$A27,[1]rogério!$B27=L$4),"ok","nok")</f>
        <v>nok</v>
      </c>
      <c r="M30" s="60" t="str">
        <f>IF(AND($B30=[1]rogério!$A27,[1]rogério!$B27=M$4),"ok","nok")</f>
        <v>nok</v>
      </c>
      <c r="N30" s="60" t="str">
        <f>IF(AND($B30=[1]rogério!$A27,[1]rogério!$B27=N$4),"ok","nok")</f>
        <v>nok</v>
      </c>
      <c r="O30" s="60" t="str">
        <f>IF(AND($B30=[1]rogério!$A27,[1]rogério!$B27=O$4),"ok","nok")</f>
        <v>nok</v>
      </c>
      <c r="P30" s="60" t="str">
        <f>IF(AND($B30=[1]rogério!$A27,[1]rogério!$B27=P$4),"ok","nok")</f>
        <v>nok</v>
      </c>
      <c r="Q30" s="60" t="str">
        <f>IF(AND($B30=[1]rogério!$A27,[1]rogério!$B27=Q$4),"ok","nok")</f>
        <v>nok</v>
      </c>
      <c r="R30" s="60" t="str">
        <f>IF(AND($B30=[1]rogério!$A27,[1]rogério!$B27=R$4),"ok","nok")</f>
        <v>nok</v>
      </c>
      <c r="S30" s="60" t="str">
        <f>IF(AND($B30=[1]rogério!$A27,[1]rogério!$B27=S$4),"ok","nok")</f>
        <v>nok</v>
      </c>
      <c r="T30" s="60" t="str">
        <f>IF(AND($B30=[1]rogério!$A27,[1]rogério!$B27=T$4),"ok","nok")</f>
        <v>nok</v>
      </c>
      <c r="U30" s="60" t="str">
        <f>IF(AND($B30=[1]rogério!$A27,[1]rogério!$B27=U$4),"ok","nok")</f>
        <v>nok</v>
      </c>
      <c r="V30" s="60" t="str">
        <f>IF(AND($B30=[1]rogério!$A27,[1]rogério!$B27=V$4),"ok","nok")</f>
        <v>nok</v>
      </c>
      <c r="W30" s="60" t="str">
        <f>IF(AND($B30=[1]rogério!$A27,[1]rogério!$B27=W$4),"ok","nok")</f>
        <v>nok</v>
      </c>
      <c r="X30" s="60" t="str">
        <f>IF(AND($B30=[1]rogério!$A27,[1]rogério!$B27=X$4),"ok","nok")</f>
        <v>nok</v>
      </c>
      <c r="Y30" s="105" t="s">
        <v>33</v>
      </c>
      <c r="Z30" s="106"/>
      <c r="AA30" s="106"/>
      <c r="AB30" s="107"/>
      <c r="AC30" s="40"/>
      <c r="AD30" s="40"/>
      <c r="AE30" s="48" t="str">
        <f t="shared" si="4"/>
        <v/>
      </c>
      <c r="AF30" s="48"/>
      <c r="AG30" s="48"/>
      <c r="AH30" s="89"/>
      <c r="AI30" s="49">
        <f t="shared" si="5"/>
        <v>1</v>
      </c>
      <c r="AJ30" s="49" t="str">
        <f t="shared" si="6"/>
        <v>EFPRAZO</v>
      </c>
      <c r="AK30" s="49">
        <f t="shared" si="7"/>
        <v>0</v>
      </c>
      <c r="AL30" s="49" t="str">
        <f t="shared" si="8"/>
        <v/>
      </c>
      <c r="AM30" s="49">
        <f t="shared" si="9"/>
        <v>0</v>
      </c>
      <c r="AN30" s="49" t="str">
        <f t="shared" si="10"/>
        <v/>
      </c>
      <c r="AO30" s="49">
        <f t="shared" si="11"/>
        <v>0</v>
      </c>
      <c r="AP30" s="49" t="str">
        <f t="shared" si="12"/>
        <v/>
      </c>
      <c r="AQ30" s="49">
        <f t="shared" si="13"/>
        <v>0</v>
      </c>
      <c r="AR30" s="49" t="str">
        <f t="shared" si="14"/>
        <v/>
      </c>
      <c r="AY30" s="145" t="s">
        <v>36</v>
      </c>
      <c r="AZ30" s="146"/>
      <c r="BA30" s="147"/>
      <c r="BB30">
        <f>SUM(BB32:BB294)</f>
        <v>43</v>
      </c>
    </row>
    <row r="31" spans="1:62" ht="30" customHeight="1" x14ac:dyDescent="0.35">
      <c r="A31" s="25" t="str">
        <f t="shared" si="21"/>
        <v>PT072 - ANCORAGEM DE SÃO LUIS
TR-325K-07</v>
      </c>
      <c r="B31" s="40" t="s">
        <v>42</v>
      </c>
      <c r="C31" s="60" t="str">
        <f>IF(AND($B31=[1]rogério!$A28,[1]rogério!$B28=C$4),"ok","nok")</f>
        <v>nok</v>
      </c>
      <c r="D31" s="60" t="str">
        <f>IF(AND($B31=[1]rogério!$A28,[1]rogério!$B28=D$4),"ok","nok")</f>
        <v>nok</v>
      </c>
      <c r="E31" s="60" t="str">
        <f>IF(AND($B31=[1]rogério!$A28,[1]rogério!$B28=E$4),"ok","nok")</f>
        <v>ok</v>
      </c>
      <c r="F31" s="60" t="str">
        <f>IF(AND($B31=[1]rogério!$A28,[1]rogério!$B28=F$4),"ok","nok")</f>
        <v>nok</v>
      </c>
      <c r="G31" s="60" t="str">
        <f>IF(AND($B31=[1]rogério!$A28,[1]rogério!$B28=G$4),"ok","nok")</f>
        <v>nok</v>
      </c>
      <c r="H31" s="60" t="str">
        <f>IF(AND($B31=[1]rogério!$A28,[1]rogério!$B28=H$4),"ok","nok")</f>
        <v>nok</v>
      </c>
      <c r="I31" s="60" t="str">
        <f>IF(AND($B31=[1]rogério!$A28,[1]rogério!$B28=I$4),"ok","nok")</f>
        <v>nok</v>
      </c>
      <c r="J31" s="60" t="str">
        <f>IF(AND($B31=[1]rogério!$A28,[1]rogério!$B28=J$4),"ok","nok")</f>
        <v>nok</v>
      </c>
      <c r="K31" s="60" t="str">
        <f>IF(AND($B31=[1]rogério!$A28,[1]rogério!$B28=K$4),"ok","nok")</f>
        <v>nok</v>
      </c>
      <c r="L31" s="60" t="str">
        <f>IF(AND($B31=[1]rogério!$A28,[1]rogério!$B28=L$4),"ok","nok")</f>
        <v>nok</v>
      </c>
      <c r="M31" s="60" t="str">
        <f>IF(AND($B31=[1]rogério!$A28,[1]rogério!$B28=M$4),"ok","nok")</f>
        <v>nok</v>
      </c>
      <c r="N31" s="60" t="str">
        <f>IF(AND($B31=[1]rogério!$A28,[1]rogério!$B28=N$4),"ok","nok")</f>
        <v>nok</v>
      </c>
      <c r="O31" s="60" t="str">
        <f>IF(AND($B31=[1]rogério!$A28,[1]rogério!$B28=O$4),"ok","nok")</f>
        <v>nok</v>
      </c>
      <c r="P31" s="60" t="str">
        <f>IF(AND($B31=[1]rogério!$A28,[1]rogério!$B28=P$4),"ok","nok")</f>
        <v>nok</v>
      </c>
      <c r="Q31" s="60" t="str">
        <f>IF(AND($B31=[1]rogério!$A28,[1]rogério!$B28=Q$4),"ok","nok")</f>
        <v>nok</v>
      </c>
      <c r="R31" s="60" t="str">
        <f>IF(AND($B31=[1]rogério!$A28,[1]rogério!$B28=R$4),"ok","nok")</f>
        <v>nok</v>
      </c>
      <c r="S31" s="60" t="str">
        <f>IF(AND($B31=[1]rogério!$A28,[1]rogério!$B28=S$4),"ok","nok")</f>
        <v>nok</v>
      </c>
      <c r="T31" s="60" t="str">
        <f>IF(AND($B31=[1]rogério!$A28,[1]rogério!$B28=T$4),"ok","nok")</f>
        <v>nok</v>
      </c>
      <c r="U31" s="60" t="str">
        <f>IF(AND($B31=[1]rogério!$A28,[1]rogério!$B28=U$4),"ok","nok")</f>
        <v>nok</v>
      </c>
      <c r="V31" s="60" t="str">
        <f>IF(AND($B31=[1]rogério!$A28,[1]rogério!$B28=V$4),"ok","nok")</f>
        <v>nok</v>
      </c>
      <c r="W31" s="60" t="str">
        <f>IF(AND($B31=[1]rogério!$A28,[1]rogério!$B28=W$4),"ok","nok")</f>
        <v>nok</v>
      </c>
      <c r="X31" s="60" t="str">
        <f>IF(AND($B31=[1]rogério!$A28,[1]rogério!$B28=X$4),"ok","nok")</f>
        <v>nok</v>
      </c>
      <c r="Y31" s="105" t="s">
        <v>33</v>
      </c>
      <c r="Z31" s="106"/>
      <c r="AA31" s="106"/>
      <c r="AB31" s="107"/>
      <c r="AC31" s="40"/>
      <c r="AD31" s="40"/>
      <c r="AE31" s="48" t="str">
        <f t="shared" si="4"/>
        <v/>
      </c>
      <c r="AF31" s="48"/>
      <c r="AG31" s="48"/>
      <c r="AH31" s="89"/>
      <c r="AI31" s="49">
        <f t="shared" si="5"/>
        <v>1</v>
      </c>
      <c r="AJ31" s="49" t="str">
        <f t="shared" si="6"/>
        <v>EFPRAZO</v>
      </c>
      <c r="AK31" s="49">
        <f t="shared" si="7"/>
        <v>0</v>
      </c>
      <c r="AL31" s="49" t="str">
        <f t="shared" si="8"/>
        <v/>
      </c>
      <c r="AM31" s="49">
        <f t="shared" si="9"/>
        <v>0</v>
      </c>
      <c r="AN31" s="49" t="str">
        <f t="shared" si="10"/>
        <v/>
      </c>
      <c r="AO31" s="49">
        <f t="shared" si="11"/>
        <v>0</v>
      </c>
      <c r="AP31" s="49" t="str">
        <f t="shared" si="12"/>
        <v/>
      </c>
      <c r="AQ31" s="49">
        <f t="shared" si="13"/>
        <v>0</v>
      </c>
      <c r="AR31" s="49" t="str">
        <f t="shared" si="14"/>
        <v/>
      </c>
      <c r="AV31" t="str" cm="1">
        <f t="array" ref="AV31:AV40">_xlfn.UNIQUE((AE6:AE716))</f>
        <v/>
      </c>
      <c r="BF31" s="52">
        <f>SUM(BF32:BF40)</f>
        <v>6.0139860139860148E-2</v>
      </c>
      <c r="BG31" s="52">
        <f>BB30/$BP$8</f>
        <v>6.0139860139860141E-2</v>
      </c>
    </row>
    <row r="32" spans="1:62" ht="30" customHeight="1" x14ac:dyDescent="0.35">
      <c r="A32" s="25" t="str">
        <f t="shared" si="21"/>
        <v>PT072 - ANCORAGEM DE SÃO LUIS
TR-325K-07</v>
      </c>
      <c r="B32" s="40" t="s">
        <v>43</v>
      </c>
      <c r="C32" s="60" t="str">
        <f>IF(AND($B32=[1]rogério!$A29,[1]rogério!$B29=C$4),"ok","nok")</f>
        <v>nok</v>
      </c>
      <c r="D32" s="60" t="str">
        <f>IF(AND($B32=[1]rogério!$A29,[1]rogério!$B29=D$4),"ok","nok")</f>
        <v>nok</v>
      </c>
      <c r="E32" s="60" t="str">
        <f>IF(AND($B32=[1]rogério!$A29,[1]rogério!$B29=E$4),"ok","nok")</f>
        <v>ok</v>
      </c>
      <c r="F32" s="60" t="str">
        <f>IF(AND($B32=[1]rogério!$A29,[1]rogério!$B29=F$4),"ok","nok")</f>
        <v>nok</v>
      </c>
      <c r="G32" s="60" t="str">
        <f>IF(AND($B32=[1]rogério!$A29,[1]rogério!$B29=G$4),"ok","nok")</f>
        <v>nok</v>
      </c>
      <c r="H32" s="60" t="str">
        <f>IF(AND($B32=[1]rogério!$A29,[1]rogério!$B29=H$4),"ok","nok")</f>
        <v>nok</v>
      </c>
      <c r="I32" s="60" t="str">
        <f>IF(AND($B32=[1]rogério!$A29,[1]rogério!$B29=I$4),"ok","nok")</f>
        <v>nok</v>
      </c>
      <c r="J32" s="60" t="str">
        <f>IF(AND($B32=[1]rogério!$A29,[1]rogério!$B29=J$4),"ok","nok")</f>
        <v>nok</v>
      </c>
      <c r="K32" s="60" t="str">
        <f>IF(AND($B32=[1]rogério!$A29,[1]rogério!$B29=K$4),"ok","nok")</f>
        <v>nok</v>
      </c>
      <c r="L32" s="60" t="str">
        <f>IF(AND($B32=[1]rogério!$A29,[1]rogério!$B29=L$4),"ok","nok")</f>
        <v>nok</v>
      </c>
      <c r="M32" s="60" t="str">
        <f>IF(AND($B32=[1]rogério!$A29,[1]rogério!$B29=M$4),"ok","nok")</f>
        <v>nok</v>
      </c>
      <c r="N32" s="60" t="str">
        <f>IF(AND($B32=[1]rogério!$A29,[1]rogério!$B29=N$4),"ok","nok")</f>
        <v>nok</v>
      </c>
      <c r="O32" s="60" t="str">
        <f>IF(AND($B32=[1]rogério!$A29,[1]rogério!$B29=O$4),"ok","nok")</f>
        <v>nok</v>
      </c>
      <c r="P32" s="60" t="str">
        <f>IF(AND($B32=[1]rogério!$A29,[1]rogério!$B29=P$4),"ok","nok")</f>
        <v>nok</v>
      </c>
      <c r="Q32" s="60" t="str">
        <f>IF(AND($B32=[1]rogério!$A29,[1]rogério!$B29=Q$4),"ok","nok")</f>
        <v>nok</v>
      </c>
      <c r="R32" s="60" t="str">
        <f>IF(AND($B32=[1]rogério!$A29,[1]rogério!$B29=R$4),"ok","nok")</f>
        <v>nok</v>
      </c>
      <c r="S32" s="60" t="str">
        <f>IF(AND($B32=[1]rogério!$A29,[1]rogério!$B29=S$4),"ok","nok")</f>
        <v>nok</v>
      </c>
      <c r="T32" s="60" t="str">
        <f>IF(AND($B32=[1]rogério!$A29,[1]rogério!$B29=T$4),"ok","nok")</f>
        <v>nok</v>
      </c>
      <c r="U32" s="60" t="str">
        <f>IF(AND($B32=[1]rogério!$A29,[1]rogério!$B29=U$4),"ok","nok")</f>
        <v>nok</v>
      </c>
      <c r="V32" s="60" t="str">
        <f>IF(AND($B32=[1]rogério!$A29,[1]rogério!$B29=V$4),"ok","nok")</f>
        <v>nok</v>
      </c>
      <c r="W32" s="60" t="str">
        <f>IF(AND($B32=[1]rogério!$A29,[1]rogério!$B29=W$4),"ok","nok")</f>
        <v>nok</v>
      </c>
      <c r="X32" s="60" t="str">
        <f>IF(AND($B32=[1]rogério!$A29,[1]rogério!$B29=X$4),"ok","nok")</f>
        <v>nok</v>
      </c>
      <c r="Y32" s="105" t="s">
        <v>33</v>
      </c>
      <c r="Z32" s="106"/>
      <c r="AA32" s="106"/>
      <c r="AB32" s="107"/>
      <c r="AC32" s="37"/>
      <c r="AD32" s="37"/>
      <c r="AE32" s="48" t="str">
        <f t="shared" si="4"/>
        <v/>
      </c>
      <c r="AF32" s="48"/>
      <c r="AG32" s="48"/>
      <c r="AH32" s="89"/>
      <c r="AI32" s="49">
        <f t="shared" si="5"/>
        <v>1</v>
      </c>
      <c r="AJ32" s="49" t="str">
        <f t="shared" si="6"/>
        <v>EFPRAZO</v>
      </c>
      <c r="AK32" s="49">
        <f t="shared" si="7"/>
        <v>0</v>
      </c>
      <c r="AL32" s="49" t="str">
        <f t="shared" si="8"/>
        <v/>
      </c>
      <c r="AM32" s="49">
        <f t="shared" si="9"/>
        <v>0</v>
      </c>
      <c r="AN32" s="49" t="str">
        <f t="shared" si="10"/>
        <v/>
      </c>
      <c r="AO32" s="49">
        <f t="shared" si="11"/>
        <v>0</v>
      </c>
      <c r="AP32" s="49" t="str">
        <f t="shared" si="12"/>
        <v/>
      </c>
      <c r="AQ32" s="49">
        <f t="shared" si="13"/>
        <v>0</v>
      </c>
      <c r="AR32" s="49" t="str">
        <f t="shared" si="14"/>
        <v/>
      </c>
      <c r="AV32" t="str">
        <v>Aprovação do Cliente</v>
      </c>
      <c r="BB32">
        <f t="shared" ref="BB32:BB56" si="22">COUNTIF(AE6:AE716,AV32)</f>
        <v>11</v>
      </c>
      <c r="BF32" s="52">
        <f t="shared" ref="BF32:BF295" si="23">($BG$31*BB32)/$BB$30</f>
        <v>1.5384615384615384E-2</v>
      </c>
      <c r="BG32" s="52">
        <f t="shared" ref="BG32:BG38" si="24">BE34/$AY$19</f>
        <v>0</v>
      </c>
    </row>
    <row r="33" spans="1:59" ht="30" customHeight="1" x14ac:dyDescent="0.35">
      <c r="A33" s="25"/>
      <c r="B33" s="37" t="s">
        <v>51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120"/>
      <c r="Z33" s="121"/>
      <c r="AA33" s="121"/>
      <c r="AB33" s="122"/>
      <c r="AC33" s="38"/>
      <c r="AD33" s="38"/>
      <c r="AE33" s="48" t="str">
        <f t="shared" si="4"/>
        <v/>
      </c>
      <c r="AF33" s="48"/>
      <c r="AG33" s="48"/>
      <c r="AH33" s="89"/>
      <c r="AI33" s="49">
        <f t="shared" si="5"/>
        <v>0</v>
      </c>
      <c r="AJ33" s="49" t="str">
        <f t="shared" si="6"/>
        <v/>
      </c>
      <c r="AK33" s="49">
        <f t="shared" si="7"/>
        <v>0</v>
      </c>
      <c r="AL33" s="49" t="str">
        <f t="shared" si="8"/>
        <v/>
      </c>
      <c r="AM33" s="49">
        <f t="shared" si="9"/>
        <v>0</v>
      </c>
      <c r="AN33" s="49" t="str">
        <f t="shared" si="10"/>
        <v/>
      </c>
      <c r="AO33" s="49">
        <f t="shared" si="11"/>
        <v>0</v>
      </c>
      <c r="AP33" s="49" t="str">
        <f t="shared" si="12"/>
        <v/>
      </c>
      <c r="AQ33" s="49">
        <f t="shared" si="13"/>
        <v>0</v>
      </c>
      <c r="AR33" s="49" t="str">
        <f t="shared" si="14"/>
        <v/>
      </c>
      <c r="AV33" s="99" t="str">
        <v>Certificação do documento - Vibracon</v>
      </c>
      <c r="BB33">
        <f t="shared" si="22"/>
        <v>12</v>
      </c>
      <c r="BF33" s="52">
        <f t="shared" si="23"/>
        <v>1.6783216783216783E-2</v>
      </c>
      <c r="BG33" s="52">
        <f t="shared" si="24"/>
        <v>0</v>
      </c>
    </row>
    <row r="34" spans="1:59" ht="30" customHeight="1" x14ac:dyDescent="0.35">
      <c r="A34" s="25"/>
      <c r="B34" s="39" t="s">
        <v>41</v>
      </c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108"/>
      <c r="Z34" s="109"/>
      <c r="AA34" s="109"/>
      <c r="AB34" s="110"/>
      <c r="AC34" s="38"/>
      <c r="AD34" s="38"/>
      <c r="AE34" s="48" t="str">
        <f t="shared" si="4"/>
        <v/>
      </c>
      <c r="AF34" s="48"/>
      <c r="AG34" s="48"/>
      <c r="AH34" s="89"/>
      <c r="AI34" s="49">
        <f t="shared" si="5"/>
        <v>0</v>
      </c>
      <c r="AJ34" s="49" t="str">
        <f t="shared" si="6"/>
        <v/>
      </c>
      <c r="AK34" s="49">
        <f t="shared" si="7"/>
        <v>0</v>
      </c>
      <c r="AL34" s="49" t="str">
        <f t="shared" si="8"/>
        <v/>
      </c>
      <c r="AM34" s="49">
        <f t="shared" si="9"/>
        <v>0</v>
      </c>
      <c r="AN34" s="49" t="str">
        <f t="shared" si="10"/>
        <v/>
      </c>
      <c r="AO34" s="49">
        <f t="shared" si="11"/>
        <v>0</v>
      </c>
      <c r="AP34" s="49" t="str">
        <f t="shared" si="12"/>
        <v/>
      </c>
      <c r="AQ34" s="49">
        <f t="shared" si="13"/>
        <v>0</v>
      </c>
      <c r="AR34" s="49" t="str">
        <f t="shared" si="14"/>
        <v/>
      </c>
      <c r="AV34" s="99" t="str">
        <v>MARCO - Envio do documento Certificado (Rev_0)</v>
      </c>
      <c r="BB34">
        <f t="shared" si="22"/>
        <v>12</v>
      </c>
      <c r="BF34" s="52">
        <f t="shared" si="23"/>
        <v>1.6783216783216783E-2</v>
      </c>
      <c r="BG34" s="52">
        <f t="shared" si="24"/>
        <v>0</v>
      </c>
    </row>
    <row r="35" spans="1:59" ht="30" customHeight="1" x14ac:dyDescent="0.35">
      <c r="A35" s="25" t="str">
        <f>CONCATENATE($B$7,"
",$B$33)</f>
        <v>PT072 - ANCORAGEM DE SÃO LUIS
TR-311K-04</v>
      </c>
      <c r="B35" s="40" t="s">
        <v>19</v>
      </c>
      <c r="C35" s="60" t="str">
        <f>IF(AND($B35=[1]rogério!$A32,[1]rogério!$B32=C$4),"ok","nok")</f>
        <v>nok</v>
      </c>
      <c r="D35" s="60" t="str">
        <f>IF(AND($B35=[1]rogério!$A32,[1]rogério!$B32=D$4),"ok","nok")</f>
        <v>ok</v>
      </c>
      <c r="E35" s="60" t="str">
        <f>IF(AND($B35=[1]rogério!$A32,[1]rogério!$B32=E$4),"ok","nok")</f>
        <v>nok</v>
      </c>
      <c r="F35" s="60" t="str">
        <f>IF(AND($B35=[1]rogério!$A32,[1]rogério!$B32=F$4),"ok","nok")</f>
        <v>nok</v>
      </c>
      <c r="G35" s="60" t="str">
        <f>IF(AND($B35=[1]rogério!$A32,[1]rogério!$B32=G$4),"ok","nok")</f>
        <v>nok</v>
      </c>
      <c r="H35" s="60" t="str">
        <f>IF(AND($B35=[1]rogério!$A32,[1]rogério!$B32=H$4),"ok","nok")</f>
        <v>nok</v>
      </c>
      <c r="I35" s="60" t="str">
        <f>IF(AND($B35=[1]rogério!$A32,[1]rogério!$B32=I$4),"ok","nok")</f>
        <v>nok</v>
      </c>
      <c r="J35" s="60" t="str">
        <f>IF(AND($B35=[1]rogério!$A32,[1]rogério!$B32=J$4),"ok","nok")</f>
        <v>nok</v>
      </c>
      <c r="K35" s="60" t="str">
        <f>IF(AND($B35=[1]rogério!$A32,[1]rogério!$B32=K$4),"ok","nok")</f>
        <v>nok</v>
      </c>
      <c r="L35" s="60" t="str">
        <f>IF(AND($B35=[1]rogério!$A32,[1]rogério!$B32=L$4),"ok","nok")</f>
        <v>nok</v>
      </c>
      <c r="M35" s="60" t="str">
        <f>IF(AND($B35=[1]rogério!$A32,[1]rogério!$B32=M$4),"ok","nok")</f>
        <v>nok</v>
      </c>
      <c r="N35" s="60" t="str">
        <f>IF(AND($B35=[1]rogério!$A32,[1]rogério!$B32=N$4),"ok","nok")</f>
        <v>nok</v>
      </c>
      <c r="O35" s="60" t="str">
        <f>IF(AND($B35=[1]rogério!$A32,[1]rogério!$B32=O$4),"ok","nok")</f>
        <v>nok</v>
      </c>
      <c r="P35" s="60" t="str">
        <f>IF(AND($B35=[1]rogério!$A32,[1]rogério!$B32=P$4),"ok","nok")</f>
        <v>nok</v>
      </c>
      <c r="Q35" s="60" t="str">
        <f>IF(AND($B35=[1]rogério!$A32,[1]rogério!$B32=Q$4),"ok","nok")</f>
        <v>nok</v>
      </c>
      <c r="R35" s="60" t="str">
        <f>IF(AND($B35=[1]rogério!$A32,[1]rogério!$B32=R$4),"ok","nok")</f>
        <v>nok</v>
      </c>
      <c r="S35" s="60" t="str">
        <f>IF(AND($B35=[1]rogério!$A32,[1]rogério!$B32=S$4),"ok","nok")</f>
        <v>nok</v>
      </c>
      <c r="T35" s="60" t="str">
        <f>IF(AND($B35=[1]rogério!$A32,[1]rogério!$B32=T$4),"ok","nok")</f>
        <v>nok</v>
      </c>
      <c r="U35" s="60" t="str">
        <f>IF(AND($B35=[1]rogério!$A32,[1]rogério!$B32=U$4),"ok","nok")</f>
        <v>nok</v>
      </c>
      <c r="V35" s="60" t="str">
        <f>IF(AND($B35=[1]rogério!$A32,[1]rogério!$B32=V$4),"ok","nok")</f>
        <v>nok</v>
      </c>
      <c r="W35" s="60" t="str">
        <f>IF(AND($B35=[1]rogério!$A32,[1]rogério!$B32=W$4),"ok","nok")</f>
        <v>nok</v>
      </c>
      <c r="X35" s="60" t="str">
        <f>IF(AND($B35=[1]rogério!$A32,[1]rogério!$B32=X$4),"ok","nok")</f>
        <v>nok</v>
      </c>
      <c r="Y35" s="105" t="s">
        <v>33</v>
      </c>
      <c r="Z35" s="106"/>
      <c r="AA35" s="106"/>
      <c r="AB35" s="107"/>
      <c r="AC35" s="46"/>
      <c r="AD35" s="46"/>
      <c r="AE35" s="48" t="str">
        <f t="shared" si="4"/>
        <v/>
      </c>
      <c r="AF35" s="48"/>
      <c r="AG35" s="48"/>
      <c r="AH35" s="89"/>
      <c r="AI35" s="49">
        <f t="shared" si="5"/>
        <v>1</v>
      </c>
      <c r="AJ35" s="49" t="str">
        <f t="shared" si="6"/>
        <v>EFPRAZO</v>
      </c>
      <c r="AK35" s="49">
        <f t="shared" si="7"/>
        <v>0</v>
      </c>
      <c r="AL35" s="49" t="str">
        <f t="shared" si="8"/>
        <v/>
      </c>
      <c r="AM35" s="49">
        <f t="shared" si="9"/>
        <v>0</v>
      </c>
      <c r="AN35" s="49" t="str">
        <f t="shared" si="10"/>
        <v/>
      </c>
      <c r="AO35" s="49">
        <f t="shared" si="11"/>
        <v>0</v>
      </c>
      <c r="AP35" s="49" t="str">
        <f t="shared" si="12"/>
        <v/>
      </c>
      <c r="AQ35" s="49">
        <f t="shared" si="13"/>
        <v>0</v>
      </c>
      <c r="AR35" s="49" t="str">
        <f t="shared" si="14"/>
        <v/>
      </c>
      <c r="AV35" s="99" t="str">
        <v>Elaboração do Projeto Detalhado</v>
      </c>
      <c r="BB35">
        <f t="shared" si="22"/>
        <v>1</v>
      </c>
      <c r="BF35" s="52">
        <f t="shared" si="23"/>
        <v>1.3986013986013986E-3</v>
      </c>
      <c r="BG35" s="52">
        <f t="shared" si="24"/>
        <v>0</v>
      </c>
    </row>
    <row r="36" spans="1:59" ht="30" customHeight="1" x14ac:dyDescent="0.35">
      <c r="A36" s="25" t="str">
        <f t="shared" ref="A36:A41" si="25">CONCATENATE($B$7,"
",$B$33)</f>
        <v>PT072 - ANCORAGEM DE SÃO LUIS
TR-311K-04</v>
      </c>
      <c r="B36" s="40" t="s">
        <v>42</v>
      </c>
      <c r="C36" s="60" t="str">
        <f>IF(AND($B36=[1]rogério!$A33,[1]rogério!$B33=C$4),"ok","nok")</f>
        <v>nok</v>
      </c>
      <c r="D36" s="60" t="str">
        <f>IF(AND($B36=[1]rogério!$A33,[1]rogério!$B33=D$4),"ok","nok")</f>
        <v>nok</v>
      </c>
      <c r="E36" s="60" t="str">
        <f>IF(AND($B36=[1]rogério!$A33,[1]rogério!$B33=E$4),"ok","nok")</f>
        <v>ok</v>
      </c>
      <c r="F36" s="60" t="str">
        <f>IF(AND($B36=[1]rogério!$A33,[1]rogério!$B33=F$4),"ok","nok")</f>
        <v>nok</v>
      </c>
      <c r="G36" s="60" t="str">
        <f>IF(AND($B36=[1]rogério!$A33,[1]rogério!$B33=G$4),"ok","nok")</f>
        <v>nok</v>
      </c>
      <c r="H36" s="60" t="str">
        <f>IF(AND($B36=[1]rogério!$A33,[1]rogério!$B33=H$4),"ok","nok")</f>
        <v>nok</v>
      </c>
      <c r="I36" s="60" t="str">
        <f>IF(AND($B36=[1]rogério!$A33,[1]rogério!$B33=I$4),"ok","nok")</f>
        <v>nok</v>
      </c>
      <c r="J36" s="60" t="str">
        <f>IF(AND($B36=[1]rogério!$A33,[1]rogério!$B33=J$4),"ok","nok")</f>
        <v>nok</v>
      </c>
      <c r="K36" s="60" t="str">
        <f>IF(AND($B36=[1]rogério!$A33,[1]rogério!$B33=K$4),"ok","nok")</f>
        <v>nok</v>
      </c>
      <c r="L36" s="60" t="str">
        <f>IF(AND($B36=[1]rogério!$A33,[1]rogério!$B33=L$4),"ok","nok")</f>
        <v>nok</v>
      </c>
      <c r="M36" s="60" t="str">
        <f>IF(AND($B36=[1]rogério!$A33,[1]rogério!$B33=M$4),"ok","nok")</f>
        <v>nok</v>
      </c>
      <c r="N36" s="60" t="str">
        <f>IF(AND($B36=[1]rogério!$A33,[1]rogério!$B33=N$4),"ok","nok")</f>
        <v>nok</v>
      </c>
      <c r="O36" s="60" t="str">
        <f>IF(AND($B36=[1]rogério!$A33,[1]rogério!$B33=O$4),"ok","nok")</f>
        <v>nok</v>
      </c>
      <c r="P36" s="60" t="str">
        <f>IF(AND($B36=[1]rogério!$A33,[1]rogério!$B33=P$4),"ok","nok")</f>
        <v>nok</v>
      </c>
      <c r="Q36" s="60" t="str">
        <f>IF(AND($B36=[1]rogério!$A33,[1]rogério!$B33=Q$4),"ok","nok")</f>
        <v>nok</v>
      </c>
      <c r="R36" s="60" t="str">
        <f>IF(AND($B36=[1]rogério!$A33,[1]rogério!$B33=R$4),"ok","nok")</f>
        <v>nok</v>
      </c>
      <c r="S36" s="60" t="str">
        <f>IF(AND($B36=[1]rogério!$A33,[1]rogério!$B33=S$4),"ok","nok")</f>
        <v>nok</v>
      </c>
      <c r="T36" s="60" t="str">
        <f>IF(AND($B36=[1]rogério!$A33,[1]rogério!$B33=T$4),"ok","nok")</f>
        <v>nok</v>
      </c>
      <c r="U36" s="60" t="str">
        <f>IF(AND($B36=[1]rogério!$A33,[1]rogério!$B33=U$4),"ok","nok")</f>
        <v>nok</v>
      </c>
      <c r="V36" s="60" t="str">
        <f>IF(AND($B36=[1]rogério!$A33,[1]rogério!$B33=V$4),"ok","nok")</f>
        <v>nok</v>
      </c>
      <c r="W36" s="60" t="str">
        <f>IF(AND($B36=[1]rogério!$A33,[1]rogério!$B33=W$4),"ok","nok")</f>
        <v>nok</v>
      </c>
      <c r="X36" s="60" t="str">
        <f>IF(AND($B36=[1]rogério!$A33,[1]rogério!$B33=X$4),"ok","nok")</f>
        <v>nok</v>
      </c>
      <c r="Y36" s="105" t="s">
        <v>33</v>
      </c>
      <c r="Z36" s="106"/>
      <c r="AA36" s="106"/>
      <c r="AB36" s="107"/>
      <c r="AC36" s="40"/>
      <c r="AD36" s="40"/>
      <c r="AE36" s="48" t="str">
        <f t="shared" si="4"/>
        <v/>
      </c>
      <c r="AF36" s="48"/>
      <c r="AG36" s="48"/>
      <c r="AH36" s="89"/>
      <c r="AI36" s="49">
        <f t="shared" si="5"/>
        <v>1</v>
      </c>
      <c r="AJ36" s="49" t="str">
        <f t="shared" si="6"/>
        <v>EFPRAZO</v>
      </c>
      <c r="AK36" s="49">
        <f t="shared" si="7"/>
        <v>0</v>
      </c>
      <c r="AL36" s="49" t="str">
        <f t="shared" si="8"/>
        <v/>
      </c>
      <c r="AM36" s="49">
        <f t="shared" si="9"/>
        <v>0</v>
      </c>
      <c r="AN36" s="49" t="str">
        <f t="shared" si="10"/>
        <v/>
      </c>
      <c r="AO36" s="49">
        <f t="shared" si="11"/>
        <v>0</v>
      </c>
      <c r="AP36" s="49" t="str">
        <f t="shared" si="12"/>
        <v/>
      </c>
      <c r="AQ36" s="49">
        <f t="shared" si="13"/>
        <v>0</v>
      </c>
      <c r="AR36" s="49" t="str">
        <f t="shared" si="14"/>
        <v/>
      </c>
      <c r="AV36" s="99" t="str">
        <v>Verificação do Projeto Detalhado</v>
      </c>
      <c r="BB36">
        <f t="shared" si="22"/>
        <v>1</v>
      </c>
      <c r="BF36" s="52">
        <f t="shared" si="23"/>
        <v>1.3986013986013986E-3</v>
      </c>
      <c r="BG36" s="52">
        <f t="shared" si="24"/>
        <v>0</v>
      </c>
    </row>
    <row r="37" spans="1:59" ht="30" customHeight="1" x14ac:dyDescent="0.35">
      <c r="A37" s="25" t="str">
        <f t="shared" si="25"/>
        <v>PT072 - ANCORAGEM DE SÃO LUIS
TR-311K-04</v>
      </c>
      <c r="B37" s="40" t="s">
        <v>43</v>
      </c>
      <c r="C37" s="60" t="str">
        <f>IF(AND($B37=[1]rogério!$A34,[1]rogério!$B34=C$4),"ok","nok")</f>
        <v>nok</v>
      </c>
      <c r="D37" s="60" t="str">
        <f>IF(AND($B37=[1]rogério!$A34,[1]rogério!$B34=D$4),"ok","nok")</f>
        <v>nok</v>
      </c>
      <c r="E37" s="60" t="str">
        <f>IF(AND($B37=[1]rogério!$A34,[1]rogério!$B34=E$4),"ok","nok")</f>
        <v>ok</v>
      </c>
      <c r="F37" s="60" t="str">
        <f>IF(AND($B37=[1]rogério!$A34,[1]rogério!$B34=F$4),"ok","nok")</f>
        <v>nok</v>
      </c>
      <c r="G37" s="60" t="str">
        <f>IF(AND($B37=[1]rogério!$A34,[1]rogério!$B34=G$4),"ok","nok")</f>
        <v>nok</v>
      </c>
      <c r="H37" s="60" t="str">
        <f>IF(AND($B37=[1]rogério!$A34,[1]rogério!$B34=H$4),"ok","nok")</f>
        <v>nok</v>
      </c>
      <c r="I37" s="60" t="str">
        <f>IF(AND($B37=[1]rogério!$A34,[1]rogério!$B34=I$4),"ok","nok")</f>
        <v>nok</v>
      </c>
      <c r="J37" s="60" t="str">
        <f>IF(AND($B37=[1]rogério!$A34,[1]rogério!$B34=J$4),"ok","nok")</f>
        <v>nok</v>
      </c>
      <c r="K37" s="60" t="str">
        <f>IF(AND($B37=[1]rogério!$A34,[1]rogério!$B34=K$4),"ok","nok")</f>
        <v>nok</v>
      </c>
      <c r="L37" s="60" t="str">
        <f>IF(AND($B37=[1]rogério!$A34,[1]rogério!$B34=L$4),"ok","nok")</f>
        <v>nok</v>
      </c>
      <c r="M37" s="60" t="str">
        <f>IF(AND($B37=[1]rogério!$A34,[1]rogério!$B34=M$4),"ok","nok")</f>
        <v>nok</v>
      </c>
      <c r="N37" s="60" t="str">
        <f>IF(AND($B37=[1]rogério!$A34,[1]rogério!$B34=N$4),"ok","nok")</f>
        <v>nok</v>
      </c>
      <c r="O37" s="60" t="str">
        <f>IF(AND($B37=[1]rogério!$A34,[1]rogério!$B34=O$4),"ok","nok")</f>
        <v>nok</v>
      </c>
      <c r="P37" s="60" t="str">
        <f>IF(AND($B37=[1]rogério!$A34,[1]rogério!$B34=P$4),"ok","nok")</f>
        <v>nok</v>
      </c>
      <c r="Q37" s="60" t="str">
        <f>IF(AND($B37=[1]rogério!$A34,[1]rogério!$B34=Q$4),"ok","nok")</f>
        <v>nok</v>
      </c>
      <c r="R37" s="60" t="str">
        <f>IF(AND($B37=[1]rogério!$A34,[1]rogério!$B34=R$4),"ok","nok")</f>
        <v>nok</v>
      </c>
      <c r="S37" s="60" t="str">
        <f>IF(AND($B37=[1]rogério!$A34,[1]rogério!$B34=S$4),"ok","nok")</f>
        <v>nok</v>
      </c>
      <c r="T37" s="60" t="str">
        <f>IF(AND($B37=[1]rogério!$A34,[1]rogério!$B34=T$4),"ok","nok")</f>
        <v>nok</v>
      </c>
      <c r="U37" s="60" t="str">
        <f>IF(AND($B37=[1]rogério!$A34,[1]rogério!$B34=U$4),"ok","nok")</f>
        <v>nok</v>
      </c>
      <c r="V37" s="60" t="str">
        <f>IF(AND($B37=[1]rogério!$A34,[1]rogério!$B34=V$4),"ok","nok")</f>
        <v>nok</v>
      </c>
      <c r="W37" s="60" t="str">
        <f>IF(AND($B37=[1]rogério!$A34,[1]rogério!$B34=W$4),"ok","nok")</f>
        <v>nok</v>
      </c>
      <c r="X37" s="60" t="str">
        <f>IF(AND($B37=[1]rogério!$A34,[1]rogério!$B34=X$4),"ok","nok")</f>
        <v>nok</v>
      </c>
      <c r="Y37" s="105" t="s">
        <v>33</v>
      </c>
      <c r="Z37" s="106"/>
      <c r="AA37" s="106"/>
      <c r="AB37" s="107"/>
      <c r="AC37" s="40"/>
      <c r="AD37" s="40"/>
      <c r="AE37" s="48" t="str">
        <f t="shared" si="4"/>
        <v/>
      </c>
      <c r="AF37" s="48"/>
      <c r="AG37" s="48"/>
      <c r="AH37" s="89"/>
      <c r="AI37" s="49">
        <f t="shared" si="5"/>
        <v>1</v>
      </c>
      <c r="AJ37" s="49" t="str">
        <f t="shared" si="6"/>
        <v>EFPRAZO</v>
      </c>
      <c r="AK37" s="49">
        <f t="shared" si="7"/>
        <v>0</v>
      </c>
      <c r="AL37" s="49" t="str">
        <f t="shared" si="8"/>
        <v/>
      </c>
      <c r="AM37" s="49">
        <f t="shared" si="9"/>
        <v>0</v>
      </c>
      <c r="AN37" s="49" t="str">
        <f t="shared" si="10"/>
        <v/>
      </c>
      <c r="AO37" s="49">
        <f t="shared" si="11"/>
        <v>0</v>
      </c>
      <c r="AP37" s="49" t="str">
        <f t="shared" si="12"/>
        <v/>
      </c>
      <c r="AQ37" s="49">
        <f t="shared" si="13"/>
        <v>0</v>
      </c>
      <c r="AR37" s="49" t="str">
        <f t="shared" si="14"/>
        <v/>
      </c>
      <c r="AV37" s="99" t="str">
        <v>MARCO - Emissão Inicial (Rev_A)</v>
      </c>
      <c r="BB37">
        <f t="shared" si="22"/>
        <v>3</v>
      </c>
      <c r="BF37" s="52">
        <f t="shared" si="23"/>
        <v>4.1958041958041958E-3</v>
      </c>
      <c r="BG37" s="52">
        <f t="shared" si="24"/>
        <v>0</v>
      </c>
    </row>
    <row r="38" spans="1:59" ht="30" customHeight="1" x14ac:dyDescent="0.35">
      <c r="A38" s="25"/>
      <c r="B38" s="39" t="s">
        <v>44</v>
      </c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108"/>
      <c r="Z38" s="109"/>
      <c r="AA38" s="109"/>
      <c r="AB38" s="110"/>
      <c r="AC38" s="40"/>
      <c r="AD38" s="40"/>
      <c r="AE38" s="48" t="str">
        <f t="shared" si="4"/>
        <v/>
      </c>
      <c r="AF38" s="48"/>
      <c r="AG38" s="48"/>
      <c r="AH38" s="89"/>
      <c r="AI38" s="49">
        <f t="shared" si="5"/>
        <v>0</v>
      </c>
      <c r="AJ38" s="49" t="str">
        <f t="shared" si="6"/>
        <v/>
      </c>
      <c r="AK38" s="49">
        <f t="shared" si="7"/>
        <v>0</v>
      </c>
      <c r="AL38" s="49" t="str">
        <f t="shared" si="8"/>
        <v/>
      </c>
      <c r="AM38" s="49">
        <f t="shared" si="9"/>
        <v>0</v>
      </c>
      <c r="AN38" s="49" t="str">
        <f t="shared" si="10"/>
        <v/>
      </c>
      <c r="AO38" s="49">
        <f t="shared" si="11"/>
        <v>0</v>
      </c>
      <c r="AP38" s="49" t="str">
        <f t="shared" si="12"/>
        <v/>
      </c>
      <c r="AQ38" s="49">
        <f t="shared" si="13"/>
        <v>0</v>
      </c>
      <c r="AR38" s="49" t="str">
        <f t="shared" si="14"/>
        <v/>
      </c>
      <c r="AV38" s="99" t="str">
        <v>Elaboração da Planilha de Quantidades</v>
      </c>
      <c r="BB38">
        <f t="shared" si="22"/>
        <v>1</v>
      </c>
      <c r="BF38" s="52">
        <f t="shared" si="23"/>
        <v>1.3986013986013986E-3</v>
      </c>
      <c r="BG38" s="52">
        <f t="shared" si="24"/>
        <v>0</v>
      </c>
    </row>
    <row r="39" spans="1:59" ht="30" customHeight="1" x14ac:dyDescent="0.35">
      <c r="A39" s="25" t="str">
        <f t="shared" si="25"/>
        <v>PT072 - ANCORAGEM DE SÃO LUIS
TR-311K-04</v>
      </c>
      <c r="B39" s="40" t="s">
        <v>19</v>
      </c>
      <c r="C39" s="60" t="str">
        <f>IF(AND($B39=[1]rogério!$A36,[1]rogério!$B36=C$4),"ok","nok")</f>
        <v>nok</v>
      </c>
      <c r="D39" s="60" t="str">
        <f>IF(AND($B39=[1]rogério!$A36,[1]rogério!$B36=D$4),"ok","nok")</f>
        <v>ok</v>
      </c>
      <c r="E39" s="60" t="str">
        <f>IF(AND($B39=[1]rogério!$A36,[1]rogério!$B36=E$4),"ok","nok")</f>
        <v>nok</v>
      </c>
      <c r="F39" s="60" t="str">
        <f>IF(AND($B39=[1]rogério!$A36,[1]rogério!$B36=F$4),"ok","nok")</f>
        <v>nok</v>
      </c>
      <c r="G39" s="60" t="str">
        <f>IF(AND($B39=[1]rogério!$A36,[1]rogério!$B36=G$4),"ok","nok")</f>
        <v>nok</v>
      </c>
      <c r="H39" s="60" t="str">
        <f>IF(AND($B39=[1]rogério!$A36,[1]rogério!$B36=H$4),"ok","nok")</f>
        <v>nok</v>
      </c>
      <c r="I39" s="60" t="str">
        <f>IF(AND($B39=[1]rogério!$A36,[1]rogério!$B36=I$4),"ok","nok")</f>
        <v>nok</v>
      </c>
      <c r="J39" s="60" t="str">
        <f>IF(AND($B39=[1]rogério!$A36,[1]rogério!$B36=J$4),"ok","nok")</f>
        <v>nok</v>
      </c>
      <c r="K39" s="60" t="str">
        <f>IF(AND($B39=[1]rogério!$A36,[1]rogério!$B36=K$4),"ok","nok")</f>
        <v>nok</v>
      </c>
      <c r="L39" s="60" t="str">
        <f>IF(AND($B39=[1]rogério!$A36,[1]rogério!$B36=L$4),"ok","nok")</f>
        <v>nok</v>
      </c>
      <c r="M39" s="60" t="str">
        <f>IF(AND($B39=[1]rogério!$A36,[1]rogério!$B36=M$4),"ok","nok")</f>
        <v>nok</v>
      </c>
      <c r="N39" s="60" t="str">
        <f>IF(AND($B39=[1]rogério!$A36,[1]rogério!$B36=N$4),"ok","nok")</f>
        <v>nok</v>
      </c>
      <c r="O39" s="60" t="str">
        <f>IF(AND($B39=[1]rogério!$A36,[1]rogério!$B36=O$4),"ok","nok")</f>
        <v>nok</v>
      </c>
      <c r="P39" s="60" t="str">
        <f>IF(AND($B39=[1]rogério!$A36,[1]rogério!$B36=P$4),"ok","nok")</f>
        <v>nok</v>
      </c>
      <c r="Q39" s="60" t="str">
        <f>IF(AND($B39=[1]rogério!$A36,[1]rogério!$B36=Q$4),"ok","nok")</f>
        <v>nok</v>
      </c>
      <c r="R39" s="60" t="str">
        <f>IF(AND($B39=[1]rogério!$A36,[1]rogério!$B36=R$4),"ok","nok")</f>
        <v>nok</v>
      </c>
      <c r="S39" s="60" t="str">
        <f>IF(AND($B39=[1]rogério!$A36,[1]rogério!$B36=S$4),"ok","nok")</f>
        <v>nok</v>
      </c>
      <c r="T39" s="60" t="str">
        <f>IF(AND($B39=[1]rogério!$A36,[1]rogério!$B36=T$4),"ok","nok")</f>
        <v>nok</v>
      </c>
      <c r="U39" s="60" t="str">
        <f>IF(AND($B39=[1]rogério!$A36,[1]rogério!$B36=U$4),"ok","nok")</f>
        <v>nok</v>
      </c>
      <c r="V39" s="60" t="str">
        <f>IF(AND($B39=[1]rogério!$A36,[1]rogério!$B36=V$4),"ok","nok")</f>
        <v>nok</v>
      </c>
      <c r="W39" s="60" t="str">
        <f>IF(AND($B39=[1]rogério!$A36,[1]rogério!$B36=W$4),"ok","nok")</f>
        <v>nok</v>
      </c>
      <c r="X39" s="60" t="str">
        <f>IF(AND($B39=[1]rogério!$A36,[1]rogério!$B36=X$4),"ok","nok")</f>
        <v>nok</v>
      </c>
      <c r="Y39" s="105" t="s">
        <v>33</v>
      </c>
      <c r="Z39" s="106"/>
      <c r="AA39" s="106"/>
      <c r="AB39" s="107"/>
      <c r="AC39" s="40"/>
      <c r="AD39" s="40"/>
      <c r="AE39" s="48" t="str">
        <f t="shared" si="4"/>
        <v/>
      </c>
      <c r="AF39" s="48"/>
      <c r="AG39" s="48"/>
      <c r="AH39" s="89"/>
      <c r="AI39" s="49">
        <f t="shared" si="5"/>
        <v>1</v>
      </c>
      <c r="AJ39" s="49" t="str">
        <f t="shared" si="6"/>
        <v>EFPRAZO</v>
      </c>
      <c r="AK39" s="49">
        <f t="shared" si="7"/>
        <v>0</v>
      </c>
      <c r="AL39" s="49" t="str">
        <f t="shared" si="8"/>
        <v/>
      </c>
      <c r="AM39" s="49">
        <f t="shared" si="9"/>
        <v>0</v>
      </c>
      <c r="AN39" s="49" t="str">
        <f t="shared" si="10"/>
        <v/>
      </c>
      <c r="AO39" s="49">
        <f t="shared" si="11"/>
        <v>0</v>
      </c>
      <c r="AP39" s="49" t="str">
        <f t="shared" si="12"/>
        <v/>
      </c>
      <c r="AQ39" s="49">
        <f t="shared" si="13"/>
        <v>0</v>
      </c>
      <c r="AR39" s="49" t="str">
        <f t="shared" si="14"/>
        <v/>
      </c>
      <c r="AV39" s="99" t="str">
        <v>Verificação da Planilha de Quantidades</v>
      </c>
      <c r="BB39">
        <f t="shared" si="22"/>
        <v>1</v>
      </c>
      <c r="BF39" s="52">
        <f t="shared" si="23"/>
        <v>1.3986013986013986E-3</v>
      </c>
    </row>
    <row r="40" spans="1:59" ht="30" customHeight="1" x14ac:dyDescent="0.35">
      <c r="A40" s="25" t="str">
        <f t="shared" si="25"/>
        <v>PT072 - ANCORAGEM DE SÃO LUIS
TR-311K-04</v>
      </c>
      <c r="B40" s="40" t="s">
        <v>42</v>
      </c>
      <c r="C40" s="60" t="str">
        <f>IF(AND($B40=[1]rogério!$A37,[1]rogério!$B37=C$4),"ok","nok")</f>
        <v>nok</v>
      </c>
      <c r="D40" s="60" t="str">
        <f>IF(AND($B40=[1]rogério!$A37,[1]rogério!$B37=D$4),"ok","nok")</f>
        <v>nok</v>
      </c>
      <c r="E40" s="60" t="str">
        <f>IF(AND($B40=[1]rogério!$A37,[1]rogério!$B37=E$4),"ok","nok")</f>
        <v>ok</v>
      </c>
      <c r="F40" s="60" t="str">
        <f>IF(AND($B40=[1]rogério!$A37,[1]rogério!$B37=F$4),"ok","nok")</f>
        <v>nok</v>
      </c>
      <c r="G40" s="60" t="str">
        <f>IF(AND($B40=[1]rogério!$A37,[1]rogério!$B37=G$4),"ok","nok")</f>
        <v>nok</v>
      </c>
      <c r="H40" s="60" t="str">
        <f>IF(AND($B40=[1]rogério!$A37,[1]rogério!$B37=H$4),"ok","nok")</f>
        <v>nok</v>
      </c>
      <c r="I40" s="60" t="str">
        <f>IF(AND($B40=[1]rogério!$A37,[1]rogério!$B37=I$4),"ok","nok")</f>
        <v>nok</v>
      </c>
      <c r="J40" s="60" t="str">
        <f>IF(AND($B40=[1]rogério!$A37,[1]rogério!$B37=J$4),"ok","nok")</f>
        <v>nok</v>
      </c>
      <c r="K40" s="60" t="str">
        <f>IF(AND($B40=[1]rogério!$A37,[1]rogério!$B37=K$4),"ok","nok")</f>
        <v>nok</v>
      </c>
      <c r="L40" s="60" t="str">
        <f>IF(AND($B40=[1]rogério!$A37,[1]rogério!$B37=L$4),"ok","nok")</f>
        <v>nok</v>
      </c>
      <c r="M40" s="60" t="str">
        <f>IF(AND($B40=[1]rogério!$A37,[1]rogério!$B37=M$4),"ok","nok")</f>
        <v>nok</v>
      </c>
      <c r="N40" s="60" t="str">
        <f>IF(AND($B40=[1]rogério!$A37,[1]rogério!$B37=N$4),"ok","nok")</f>
        <v>nok</v>
      </c>
      <c r="O40" s="60" t="str">
        <f>IF(AND($B40=[1]rogério!$A37,[1]rogério!$B37=O$4),"ok","nok")</f>
        <v>nok</v>
      </c>
      <c r="P40" s="60" t="str">
        <f>IF(AND($B40=[1]rogério!$A37,[1]rogério!$B37=P$4),"ok","nok")</f>
        <v>nok</v>
      </c>
      <c r="Q40" s="60" t="str">
        <f>IF(AND($B40=[1]rogério!$A37,[1]rogério!$B37=Q$4),"ok","nok")</f>
        <v>nok</v>
      </c>
      <c r="R40" s="60" t="str">
        <f>IF(AND($B40=[1]rogério!$A37,[1]rogério!$B37=R$4),"ok","nok")</f>
        <v>nok</v>
      </c>
      <c r="S40" s="60" t="str">
        <f>IF(AND($B40=[1]rogério!$A37,[1]rogério!$B37=S$4),"ok","nok")</f>
        <v>nok</v>
      </c>
      <c r="T40" s="60" t="str">
        <f>IF(AND($B40=[1]rogério!$A37,[1]rogério!$B37=T$4),"ok","nok")</f>
        <v>nok</v>
      </c>
      <c r="U40" s="60" t="str">
        <f>IF(AND($B40=[1]rogério!$A37,[1]rogério!$B37=U$4),"ok","nok")</f>
        <v>nok</v>
      </c>
      <c r="V40" s="60" t="str">
        <f>IF(AND($B40=[1]rogério!$A37,[1]rogério!$B37=V$4),"ok","nok")</f>
        <v>nok</v>
      </c>
      <c r="W40" s="60" t="str">
        <f>IF(AND($B40=[1]rogério!$A37,[1]rogério!$B37=W$4),"ok","nok")</f>
        <v>nok</v>
      </c>
      <c r="X40" s="60" t="str">
        <f>IF(AND($B40=[1]rogério!$A37,[1]rogério!$B37=X$4),"ok","nok")</f>
        <v>nok</v>
      </c>
      <c r="Y40" s="105" t="s">
        <v>33</v>
      </c>
      <c r="Z40" s="106"/>
      <c r="AA40" s="106"/>
      <c r="AB40" s="107"/>
      <c r="AC40" s="40"/>
      <c r="AD40" s="40"/>
      <c r="AE40" s="48" t="str">
        <f t="shared" si="4"/>
        <v/>
      </c>
      <c r="AF40" s="48"/>
      <c r="AG40" s="48"/>
      <c r="AH40" s="89"/>
      <c r="AI40" s="49">
        <f t="shared" si="5"/>
        <v>1</v>
      </c>
      <c r="AJ40" s="49" t="str">
        <f t="shared" si="6"/>
        <v>EFPRAZO</v>
      </c>
      <c r="AK40" s="49">
        <f t="shared" si="7"/>
        <v>0</v>
      </c>
      <c r="AL40" s="49" t="str">
        <f t="shared" si="8"/>
        <v/>
      </c>
      <c r="AM40" s="49">
        <f t="shared" si="9"/>
        <v>0</v>
      </c>
      <c r="AN40" s="49" t="str">
        <f t="shared" si="10"/>
        <v/>
      </c>
      <c r="AO40" s="49">
        <f t="shared" si="11"/>
        <v>0</v>
      </c>
      <c r="AP40" s="49" t="str">
        <f t="shared" si="12"/>
        <v/>
      </c>
      <c r="AQ40" s="49">
        <f t="shared" si="13"/>
        <v>0</v>
      </c>
      <c r="AR40" s="49" t="str">
        <f t="shared" si="14"/>
        <v/>
      </c>
      <c r="AV40" s="99" t="str">
        <v>Verificação da Requisição Técnica</v>
      </c>
      <c r="BB40">
        <f t="shared" si="22"/>
        <v>1</v>
      </c>
      <c r="BF40" s="52">
        <f t="shared" si="23"/>
        <v>1.3986013986013986E-3</v>
      </c>
    </row>
    <row r="41" spans="1:59" ht="30" customHeight="1" x14ac:dyDescent="0.35">
      <c r="A41" s="25" t="str">
        <f t="shared" si="25"/>
        <v>PT072 - ANCORAGEM DE SÃO LUIS
TR-311K-04</v>
      </c>
      <c r="B41" s="40" t="s">
        <v>43</v>
      </c>
      <c r="C41" s="60" t="str">
        <f>IF(AND($B41=[1]rogério!$A38,[1]rogério!$B38=C$4),"ok","nok")</f>
        <v>nok</v>
      </c>
      <c r="D41" s="60" t="str">
        <f>IF(AND($B41=[1]rogério!$A38,[1]rogério!$B38=D$4),"ok","nok")</f>
        <v>nok</v>
      </c>
      <c r="E41" s="60" t="str">
        <f>IF(AND($B41=[1]rogério!$A38,[1]rogério!$B38=E$4),"ok","nok")</f>
        <v>ok</v>
      </c>
      <c r="F41" s="60" t="str">
        <f>IF(AND($B41=[1]rogério!$A38,[1]rogério!$B38=F$4),"ok","nok")</f>
        <v>nok</v>
      </c>
      <c r="G41" s="60" t="str">
        <f>IF(AND($B41=[1]rogério!$A38,[1]rogério!$B38=G$4),"ok","nok")</f>
        <v>nok</v>
      </c>
      <c r="H41" s="60" t="str">
        <f>IF(AND($B41=[1]rogério!$A38,[1]rogério!$B38=H$4),"ok","nok")</f>
        <v>nok</v>
      </c>
      <c r="I41" s="60" t="str">
        <f>IF(AND($B41=[1]rogério!$A38,[1]rogério!$B38=I$4),"ok","nok")</f>
        <v>nok</v>
      </c>
      <c r="J41" s="60" t="str">
        <f>IF(AND($B41=[1]rogério!$A38,[1]rogério!$B38=J$4),"ok","nok")</f>
        <v>nok</v>
      </c>
      <c r="K41" s="60" t="str">
        <f>IF(AND($B41=[1]rogério!$A38,[1]rogério!$B38=K$4),"ok","nok")</f>
        <v>nok</v>
      </c>
      <c r="L41" s="60" t="str">
        <f>IF(AND($B41=[1]rogério!$A38,[1]rogério!$B38=L$4),"ok","nok")</f>
        <v>nok</v>
      </c>
      <c r="M41" s="60" t="str">
        <f>IF(AND($B41=[1]rogério!$A38,[1]rogério!$B38=M$4),"ok","nok")</f>
        <v>nok</v>
      </c>
      <c r="N41" s="60" t="str">
        <f>IF(AND($B41=[1]rogério!$A38,[1]rogério!$B38=N$4),"ok","nok")</f>
        <v>nok</v>
      </c>
      <c r="O41" s="60" t="str">
        <f>IF(AND($B41=[1]rogério!$A38,[1]rogério!$B38=O$4),"ok","nok")</f>
        <v>nok</v>
      </c>
      <c r="P41" s="60" t="str">
        <f>IF(AND($B41=[1]rogério!$A38,[1]rogério!$B38=P$4),"ok","nok")</f>
        <v>nok</v>
      </c>
      <c r="Q41" s="60" t="str">
        <f>IF(AND($B41=[1]rogério!$A38,[1]rogério!$B38=Q$4),"ok","nok")</f>
        <v>nok</v>
      </c>
      <c r="R41" s="60" t="str">
        <f>IF(AND($B41=[1]rogério!$A38,[1]rogério!$B38=R$4),"ok","nok")</f>
        <v>nok</v>
      </c>
      <c r="S41" s="60" t="str">
        <f>IF(AND($B41=[1]rogério!$A38,[1]rogério!$B38=S$4),"ok","nok")</f>
        <v>nok</v>
      </c>
      <c r="T41" s="60" t="str">
        <f>IF(AND($B41=[1]rogério!$A38,[1]rogério!$B38=T$4),"ok","nok")</f>
        <v>nok</v>
      </c>
      <c r="U41" s="60" t="str">
        <f>IF(AND($B41=[1]rogério!$A38,[1]rogério!$B38=U$4),"ok","nok")</f>
        <v>nok</v>
      </c>
      <c r="V41" s="60" t="str">
        <f>IF(AND($B41=[1]rogério!$A38,[1]rogério!$B38=V$4),"ok","nok")</f>
        <v>nok</v>
      </c>
      <c r="W41" s="60" t="str">
        <f>IF(AND($B41=[1]rogério!$A38,[1]rogério!$B38=W$4),"ok","nok")</f>
        <v>nok</v>
      </c>
      <c r="X41" s="60" t="str">
        <f>IF(AND($B41=[1]rogério!$A38,[1]rogério!$B38=X$4),"ok","nok")</f>
        <v>nok</v>
      </c>
      <c r="Y41" s="105" t="s">
        <v>33</v>
      </c>
      <c r="Z41" s="106"/>
      <c r="AA41" s="106"/>
      <c r="AB41" s="107"/>
      <c r="AC41" s="40"/>
      <c r="AD41" s="40"/>
      <c r="AE41" s="48" t="str">
        <f t="shared" si="4"/>
        <v/>
      </c>
      <c r="AF41" s="48"/>
      <c r="AG41" s="48"/>
      <c r="AH41" s="89"/>
      <c r="AI41" s="49">
        <f t="shared" si="5"/>
        <v>1</v>
      </c>
      <c r="AJ41" s="49" t="str">
        <f t="shared" si="6"/>
        <v>EFPRAZO</v>
      </c>
      <c r="AK41" s="49">
        <f t="shared" si="7"/>
        <v>0</v>
      </c>
      <c r="AL41" s="49" t="str">
        <f t="shared" si="8"/>
        <v/>
      </c>
      <c r="AM41" s="49">
        <f t="shared" si="9"/>
        <v>0</v>
      </c>
      <c r="AN41" s="49" t="str">
        <f t="shared" si="10"/>
        <v/>
      </c>
      <c r="AO41" s="49">
        <f t="shared" si="11"/>
        <v>0</v>
      </c>
      <c r="AP41" s="49" t="str">
        <f t="shared" si="12"/>
        <v/>
      </c>
      <c r="AQ41" s="49">
        <f t="shared" si="13"/>
        <v>0</v>
      </c>
      <c r="AR41" s="49" t="str">
        <f t="shared" si="14"/>
        <v/>
      </c>
      <c r="AV41" s="99"/>
      <c r="BB41">
        <f t="shared" si="22"/>
        <v>0</v>
      </c>
      <c r="BF41" s="52"/>
    </row>
    <row r="42" spans="1:59" ht="30" customHeight="1" x14ac:dyDescent="0.35">
      <c r="A42" s="25"/>
      <c r="B42" s="37" t="s">
        <v>106</v>
      </c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120"/>
      <c r="Z42" s="121"/>
      <c r="AA42" s="121"/>
      <c r="AB42" s="122"/>
      <c r="AC42" s="40"/>
      <c r="AD42" s="40"/>
      <c r="AE42" s="48" t="str">
        <f t="shared" si="4"/>
        <v/>
      </c>
      <c r="AF42" s="48"/>
      <c r="AG42" s="48"/>
      <c r="AH42" s="89"/>
      <c r="AI42" s="49">
        <f t="shared" si="5"/>
        <v>0</v>
      </c>
      <c r="AJ42" s="49" t="str">
        <f t="shared" si="6"/>
        <v/>
      </c>
      <c r="AK42" s="49">
        <f t="shared" si="7"/>
        <v>0</v>
      </c>
      <c r="AL42" s="49" t="str">
        <f t="shared" si="8"/>
        <v/>
      </c>
      <c r="AM42" s="49">
        <f t="shared" si="9"/>
        <v>0</v>
      </c>
      <c r="AN42" s="49" t="str">
        <f t="shared" si="10"/>
        <v/>
      </c>
      <c r="AO42" s="49">
        <f t="shared" si="11"/>
        <v>0</v>
      </c>
      <c r="AP42" s="49" t="str">
        <f t="shared" si="12"/>
        <v/>
      </c>
      <c r="AQ42" s="49">
        <f t="shared" si="13"/>
        <v>0</v>
      </c>
      <c r="AR42" s="49" t="str">
        <f t="shared" si="14"/>
        <v/>
      </c>
      <c r="AV42" s="99"/>
      <c r="BB42">
        <f t="shared" si="22"/>
        <v>0</v>
      </c>
      <c r="BF42" s="52"/>
    </row>
    <row r="43" spans="1:59" ht="30" customHeight="1" x14ac:dyDescent="0.35">
      <c r="A43" s="25"/>
      <c r="B43" s="39" t="s">
        <v>41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108"/>
      <c r="Z43" s="109"/>
      <c r="AA43" s="109"/>
      <c r="AB43" s="110"/>
      <c r="AC43" s="40"/>
      <c r="AD43" s="40"/>
      <c r="AE43" s="48" t="str">
        <f t="shared" si="4"/>
        <v/>
      </c>
      <c r="AF43" s="48"/>
      <c r="AG43" s="48"/>
      <c r="AH43" s="89"/>
      <c r="AI43" s="49">
        <f t="shared" si="5"/>
        <v>0</v>
      </c>
      <c r="AJ43" s="49" t="str">
        <f t="shared" si="6"/>
        <v/>
      </c>
      <c r="AK43" s="49">
        <f t="shared" si="7"/>
        <v>0</v>
      </c>
      <c r="AL43" s="49" t="str">
        <f t="shared" si="8"/>
        <v/>
      </c>
      <c r="AM43" s="49">
        <f t="shared" si="9"/>
        <v>0</v>
      </c>
      <c r="AN43" s="49" t="str">
        <f t="shared" si="10"/>
        <v/>
      </c>
      <c r="AO43" s="49">
        <f t="shared" si="11"/>
        <v>0</v>
      </c>
      <c r="AP43" s="49" t="str">
        <f t="shared" si="12"/>
        <v/>
      </c>
      <c r="AQ43" s="49">
        <f t="shared" si="13"/>
        <v>0</v>
      </c>
      <c r="AR43" s="49" t="str">
        <f t="shared" si="14"/>
        <v/>
      </c>
      <c r="AV43" s="99"/>
      <c r="BB43">
        <f t="shared" si="22"/>
        <v>0</v>
      </c>
      <c r="BF43" s="52"/>
    </row>
    <row r="44" spans="1:59" ht="30" customHeight="1" x14ac:dyDescent="0.35">
      <c r="A44" s="25" t="str">
        <f>CONCATENATE($B$7,"
",$B$42)</f>
        <v>PT072 - ANCORAGEM DE SÃO LUIS
TR-325K-09</v>
      </c>
      <c r="B44" s="40" t="s">
        <v>19</v>
      </c>
      <c r="C44" s="60" t="str">
        <f>IF(AND($B44=[1]rogério!$A41,[1]rogério!$B41=C$4),"ok","nok")</f>
        <v>nok</v>
      </c>
      <c r="D44" s="60" t="str">
        <f>IF(AND($B44=[1]rogério!$A41,[1]rogério!$B41=D$4),"ok","nok")</f>
        <v>nok</v>
      </c>
      <c r="E44" s="60" t="str">
        <f>IF(AND($B44=[1]rogério!$A41,[1]rogério!$B41=E$4),"ok","nok")</f>
        <v>nok</v>
      </c>
      <c r="F44" s="60" t="str">
        <f>IF(AND($B44=[1]rogério!$A41,[1]rogério!$B41=F$4),"ok","nok")</f>
        <v>nok</v>
      </c>
      <c r="G44" s="60" t="str">
        <f>IF(AND($B44=[1]rogério!$A41,[1]rogério!$B41=G$4),"ok","nok")</f>
        <v>nok</v>
      </c>
      <c r="H44" s="60" t="str">
        <f>IF(AND($B44=[1]rogério!$A41,[1]rogério!$B41=H$4),"ok","nok")</f>
        <v>nok</v>
      </c>
      <c r="I44" s="60" t="str">
        <f>IF(AND($B44=[1]rogério!$A41,[1]rogério!$B41=I$4),"ok","nok")</f>
        <v>nok</v>
      </c>
      <c r="J44" s="60" t="str">
        <f>IF(AND($B44=[1]rogério!$A41,[1]rogério!$B41=J$4),"ok","nok")</f>
        <v>nok</v>
      </c>
      <c r="K44" s="60" t="str">
        <f>IF(AND($B44=[1]rogério!$A41,[1]rogério!$B41=K$4),"ok","nok")</f>
        <v>nok</v>
      </c>
      <c r="L44" s="60" t="str">
        <f>IF(AND($B44=[1]rogério!$A41,[1]rogério!$B41=L$4),"ok","nok")</f>
        <v>nok</v>
      </c>
      <c r="M44" s="60" t="str">
        <f>IF(AND($B44=[1]rogério!$A41,[1]rogério!$B41=M$4),"ok","nok")</f>
        <v>nok</v>
      </c>
      <c r="N44" s="60" t="str">
        <f>IF(AND($B44=[1]rogério!$A41,[1]rogério!$B41=N$4),"ok","nok")</f>
        <v>nok</v>
      </c>
      <c r="O44" s="60" t="str">
        <f>IF(AND($B44=[1]rogério!$A41,[1]rogério!$B41=O$4),"ok","nok")</f>
        <v>nok</v>
      </c>
      <c r="P44" s="60" t="str">
        <f>IF(AND($B44=[1]rogério!$A41,[1]rogério!$B41=P$4),"ok","nok")</f>
        <v>nok</v>
      </c>
      <c r="Q44" s="60" t="str">
        <f>IF(AND($B44=[1]rogério!$A41,[1]rogério!$B41=Q$4),"ok","nok")</f>
        <v>nok</v>
      </c>
      <c r="R44" s="60" t="str">
        <f>IF(AND($B44=[1]rogério!$A41,[1]rogério!$B41=R$4),"ok","nok")</f>
        <v>nok</v>
      </c>
      <c r="S44" s="60" t="str">
        <f>IF(AND($B44=[1]rogério!$A41,[1]rogério!$B41=S$4),"ok","nok")</f>
        <v>nok</v>
      </c>
      <c r="T44" s="60" t="str">
        <f>IF(AND($B44=[1]rogério!$A41,[1]rogério!$B41=T$4),"ok","nok")</f>
        <v>nok</v>
      </c>
      <c r="U44" s="60" t="str">
        <f>IF(AND($B44=[1]rogério!$A41,[1]rogério!$B41=U$4),"ok","nok")</f>
        <v>nok</v>
      </c>
      <c r="V44" s="60" t="str">
        <f>IF(AND($B44=[1]rogério!$A41,[1]rogério!$B41=V$4),"ok","nok")</f>
        <v>ok</v>
      </c>
      <c r="W44" s="60" t="str">
        <f>IF(AND($B44=[1]rogério!$A41,[1]rogério!$B41=W$4),"ok","nok")</f>
        <v>nok</v>
      </c>
      <c r="X44" s="60" t="str">
        <f>IF(AND($B44=[1]rogério!$A41,[1]rogério!$B41=X$4),"ok","nok")</f>
        <v>nok</v>
      </c>
      <c r="Y44" s="105" t="s">
        <v>2</v>
      </c>
      <c r="Z44" s="106"/>
      <c r="AA44" s="106"/>
      <c r="AB44" s="107"/>
      <c r="AC44" s="40"/>
      <c r="AD44" s="40"/>
      <c r="AE44" s="48" t="str">
        <f t="shared" si="4"/>
        <v/>
      </c>
      <c r="AF44" s="48"/>
      <c r="AG44" s="48"/>
      <c r="AH44" s="89"/>
      <c r="AI44" s="49">
        <f t="shared" si="5"/>
        <v>0</v>
      </c>
      <c r="AJ44" s="49" t="str">
        <f t="shared" si="6"/>
        <v/>
      </c>
      <c r="AK44" s="49">
        <f t="shared" si="7"/>
        <v>0</v>
      </c>
      <c r="AL44" s="49" t="str">
        <f t="shared" si="8"/>
        <v/>
      </c>
      <c r="AM44" s="49">
        <f t="shared" si="9"/>
        <v>0</v>
      </c>
      <c r="AN44" s="49" t="str">
        <f t="shared" si="10"/>
        <v/>
      </c>
      <c r="AO44" s="49">
        <f t="shared" si="11"/>
        <v>1</v>
      </c>
      <c r="AP44" s="49" t="str">
        <f t="shared" si="12"/>
        <v>ENTREGUE</v>
      </c>
      <c r="AQ44" s="49">
        <f t="shared" si="13"/>
        <v>0</v>
      </c>
      <c r="AR44" s="49" t="str">
        <f t="shared" si="14"/>
        <v/>
      </c>
      <c r="AV44" s="99"/>
      <c r="BB44">
        <f t="shared" si="22"/>
        <v>0</v>
      </c>
      <c r="BF44" s="52"/>
    </row>
    <row r="45" spans="1:59" ht="30" customHeight="1" x14ac:dyDescent="0.35">
      <c r="A45" s="25" t="str">
        <f t="shared" ref="A45:A50" si="26">CONCATENATE($B$7,"
",$B$42)</f>
        <v>PT072 - ANCORAGEM DE SÃO LUIS
TR-325K-09</v>
      </c>
      <c r="B45" s="40" t="s">
        <v>42</v>
      </c>
      <c r="C45" s="60" t="str">
        <f>IF(AND($B45=[1]rogério!$A42,[1]rogério!$B42=C$4),"ok","nok")</f>
        <v>nok</v>
      </c>
      <c r="D45" s="60" t="str">
        <f>IF(AND($B45=[1]rogério!$A42,[1]rogério!$B42=D$4),"ok","nok")</f>
        <v>nok</v>
      </c>
      <c r="E45" s="60" t="str">
        <f>IF(AND($B45=[1]rogério!$A42,[1]rogério!$B42=E$4),"ok","nok")</f>
        <v>nok</v>
      </c>
      <c r="F45" s="60" t="str">
        <f>IF(AND($B45=[1]rogério!$A42,[1]rogério!$B42=F$4),"ok","nok")</f>
        <v>nok</v>
      </c>
      <c r="G45" s="60" t="str">
        <f>IF(AND($B45=[1]rogério!$A42,[1]rogério!$B42=G$4),"ok","nok")</f>
        <v>nok</v>
      </c>
      <c r="H45" s="60" t="str">
        <f>IF(AND($B45=[1]rogério!$A42,[1]rogério!$B42=H$4),"ok","nok")</f>
        <v>nok</v>
      </c>
      <c r="I45" s="60" t="str">
        <f>IF(AND($B45=[1]rogério!$A42,[1]rogério!$B42=I$4),"ok","nok")</f>
        <v>nok</v>
      </c>
      <c r="J45" s="60" t="str">
        <f>IF(AND($B45=[1]rogério!$A42,[1]rogério!$B42=J$4),"ok","nok")</f>
        <v>nok</v>
      </c>
      <c r="K45" s="60" t="str">
        <f>IF(AND($B45=[1]rogério!$A42,[1]rogério!$B42=K$4),"ok","nok")</f>
        <v>nok</v>
      </c>
      <c r="L45" s="60" t="str">
        <f>IF(AND($B45=[1]rogério!$A42,[1]rogério!$B42=L$4),"ok","nok")</f>
        <v>nok</v>
      </c>
      <c r="M45" s="60" t="str">
        <f>IF(AND($B45=[1]rogério!$A42,[1]rogério!$B42=M$4),"ok","nok")</f>
        <v>nok</v>
      </c>
      <c r="N45" s="60" t="str">
        <f>IF(AND($B45=[1]rogério!$A42,[1]rogério!$B42=N$4),"ok","nok")</f>
        <v>nok</v>
      </c>
      <c r="O45" s="60" t="str">
        <f>IF(AND($B45=[1]rogério!$A42,[1]rogério!$B42=O$4),"ok","nok")</f>
        <v>nok</v>
      </c>
      <c r="P45" s="60" t="str">
        <f>IF(AND($B45=[1]rogério!$A42,[1]rogério!$B42=P$4),"ok","nok")</f>
        <v>nok</v>
      </c>
      <c r="Q45" s="60" t="str">
        <f>IF(AND($B45=[1]rogério!$A42,[1]rogério!$B42=Q$4),"ok","nok")</f>
        <v>nok</v>
      </c>
      <c r="R45" s="60" t="str">
        <f>IF(AND($B45=[1]rogério!$A42,[1]rogério!$B42=R$4),"ok","nok")</f>
        <v>nok</v>
      </c>
      <c r="S45" s="60" t="str">
        <f>IF(AND($B45=[1]rogério!$A42,[1]rogério!$B42=S$4),"ok","nok")</f>
        <v>nok</v>
      </c>
      <c r="T45" s="60" t="str">
        <f>IF(AND($B45=[1]rogério!$A42,[1]rogério!$B42=T$4),"ok","nok")</f>
        <v>nok</v>
      </c>
      <c r="U45" s="60" t="str">
        <f>IF(AND($B45=[1]rogério!$A42,[1]rogério!$B42=U$4),"ok","nok")</f>
        <v>nok</v>
      </c>
      <c r="V45" s="60" t="str">
        <f>IF(AND($B45=[1]rogério!$A42,[1]rogério!$B42=V$4),"ok","nok")</f>
        <v>ok</v>
      </c>
      <c r="W45" s="60" t="str">
        <f>IF(AND($B45=[1]rogério!$A42,[1]rogério!$B42=W$4),"ok","nok")</f>
        <v>nok</v>
      </c>
      <c r="X45" s="60" t="str">
        <f>IF(AND($B45=[1]rogério!$A42,[1]rogério!$B42=X$4),"ok","nok")</f>
        <v>nok</v>
      </c>
      <c r="Y45" s="105" t="s">
        <v>2</v>
      </c>
      <c r="Z45" s="106"/>
      <c r="AA45" s="106"/>
      <c r="AB45" s="107"/>
      <c r="AC45" s="40"/>
      <c r="AD45" s="40"/>
      <c r="AE45" s="48" t="str">
        <f t="shared" si="4"/>
        <v/>
      </c>
      <c r="AF45" s="48"/>
      <c r="AG45" s="48"/>
      <c r="AH45" s="89"/>
      <c r="AI45" s="49">
        <f t="shared" si="5"/>
        <v>0</v>
      </c>
      <c r="AJ45" s="49" t="str">
        <f t="shared" si="6"/>
        <v/>
      </c>
      <c r="AK45" s="49">
        <f t="shared" si="7"/>
        <v>0</v>
      </c>
      <c r="AL45" s="49" t="str">
        <f t="shared" si="8"/>
        <v/>
      </c>
      <c r="AM45" s="49">
        <f t="shared" si="9"/>
        <v>0</v>
      </c>
      <c r="AN45" s="49" t="str">
        <f t="shared" si="10"/>
        <v/>
      </c>
      <c r="AO45" s="49">
        <f t="shared" si="11"/>
        <v>1</v>
      </c>
      <c r="AP45" s="49" t="str">
        <f t="shared" si="12"/>
        <v>ENTREGUE</v>
      </c>
      <c r="AQ45" s="49">
        <f t="shared" si="13"/>
        <v>0</v>
      </c>
      <c r="AR45" s="49" t="str">
        <f t="shared" si="14"/>
        <v/>
      </c>
      <c r="AV45" s="99"/>
      <c r="BB45">
        <f t="shared" si="22"/>
        <v>0</v>
      </c>
      <c r="BF45" s="52"/>
    </row>
    <row r="46" spans="1:59" ht="30" customHeight="1" x14ac:dyDescent="0.35">
      <c r="A46" s="25" t="str">
        <f t="shared" si="26"/>
        <v>PT072 - ANCORAGEM DE SÃO LUIS
TR-325K-09</v>
      </c>
      <c r="B46" s="40" t="s">
        <v>43</v>
      </c>
      <c r="C46" s="60" t="str">
        <f>IF(AND($B46=[1]rogério!$A43,[1]rogério!$B43=C$4),"ok","nok")</f>
        <v>nok</v>
      </c>
      <c r="D46" s="60" t="str">
        <f>IF(AND($B46=[1]rogério!$A43,[1]rogério!$B43=D$4),"ok","nok")</f>
        <v>nok</v>
      </c>
      <c r="E46" s="60" t="str">
        <f>IF(AND($B46=[1]rogério!$A43,[1]rogério!$B43=E$4),"ok","nok")</f>
        <v>nok</v>
      </c>
      <c r="F46" s="60" t="str">
        <f>IF(AND($B46=[1]rogério!$A43,[1]rogério!$B43=F$4),"ok","nok")</f>
        <v>nok</v>
      </c>
      <c r="G46" s="60" t="str">
        <f>IF(AND($B46=[1]rogério!$A43,[1]rogério!$B43=G$4),"ok","nok")</f>
        <v>nok</v>
      </c>
      <c r="H46" s="60" t="str">
        <f>IF(AND($B46=[1]rogério!$A43,[1]rogério!$B43=H$4),"ok","nok")</f>
        <v>nok</v>
      </c>
      <c r="I46" s="60" t="str">
        <f>IF(AND($B46=[1]rogério!$A43,[1]rogério!$B43=I$4),"ok","nok")</f>
        <v>nok</v>
      </c>
      <c r="J46" s="60" t="str">
        <f>IF(AND($B46=[1]rogério!$A43,[1]rogério!$B43=J$4),"ok","nok")</f>
        <v>nok</v>
      </c>
      <c r="K46" s="60" t="str">
        <f>IF(AND($B46=[1]rogério!$A43,[1]rogério!$B43=K$4),"ok","nok")</f>
        <v>nok</v>
      </c>
      <c r="L46" s="60" t="str">
        <f>IF(AND($B46=[1]rogério!$A43,[1]rogério!$B43=L$4),"ok","nok")</f>
        <v>nok</v>
      </c>
      <c r="M46" s="60" t="str">
        <f>IF(AND($B46=[1]rogério!$A43,[1]rogério!$B43=M$4),"ok","nok")</f>
        <v>nok</v>
      </c>
      <c r="N46" s="60" t="str">
        <f>IF(AND($B46=[1]rogério!$A43,[1]rogério!$B43=N$4),"ok","nok")</f>
        <v>nok</v>
      </c>
      <c r="O46" s="60" t="str">
        <f>IF(AND($B46=[1]rogério!$A43,[1]rogério!$B43=O$4),"ok","nok")</f>
        <v>nok</v>
      </c>
      <c r="P46" s="60" t="str">
        <f>IF(AND($B46=[1]rogério!$A43,[1]rogério!$B43=P$4),"ok","nok")</f>
        <v>nok</v>
      </c>
      <c r="Q46" s="60" t="str">
        <f>IF(AND($B46=[1]rogério!$A43,[1]rogério!$B43=Q$4),"ok","nok")</f>
        <v>nok</v>
      </c>
      <c r="R46" s="60" t="str">
        <f>IF(AND($B46=[1]rogério!$A43,[1]rogério!$B43=R$4),"ok","nok")</f>
        <v>nok</v>
      </c>
      <c r="S46" s="60" t="str">
        <f>IF(AND($B46=[1]rogério!$A43,[1]rogério!$B43=S$4),"ok","nok")</f>
        <v>nok</v>
      </c>
      <c r="T46" s="60" t="str">
        <f>IF(AND($B46=[1]rogério!$A43,[1]rogério!$B43=T$4),"ok","nok")</f>
        <v>nok</v>
      </c>
      <c r="U46" s="60" t="str">
        <f>IF(AND($B46=[1]rogério!$A43,[1]rogério!$B43=U$4),"ok","nok")</f>
        <v>nok</v>
      </c>
      <c r="V46" s="60" t="str">
        <f>IF(AND($B46=[1]rogério!$A43,[1]rogério!$B43=V$4),"ok","nok")</f>
        <v>ok</v>
      </c>
      <c r="W46" s="60" t="str">
        <f>IF(AND($B46=[1]rogério!$A43,[1]rogério!$B43=W$4),"ok","nok")</f>
        <v>nok</v>
      </c>
      <c r="X46" s="60" t="str">
        <f>IF(AND($B46=[1]rogério!$A43,[1]rogério!$B43=X$4),"ok","nok")</f>
        <v>nok</v>
      </c>
      <c r="Y46" s="105" t="s">
        <v>2</v>
      </c>
      <c r="Z46" s="106"/>
      <c r="AA46" s="106"/>
      <c r="AB46" s="107"/>
      <c r="AC46" s="40"/>
      <c r="AD46" s="40"/>
      <c r="AE46" s="48" t="str">
        <f t="shared" si="4"/>
        <v/>
      </c>
      <c r="AF46" s="48"/>
      <c r="AG46" s="48"/>
      <c r="AH46" s="89"/>
      <c r="AI46" s="49">
        <f t="shared" si="5"/>
        <v>0</v>
      </c>
      <c r="AJ46" s="49" t="str">
        <f t="shared" si="6"/>
        <v/>
      </c>
      <c r="AK46" s="49">
        <f t="shared" si="7"/>
        <v>0</v>
      </c>
      <c r="AL46" s="49" t="str">
        <f t="shared" si="8"/>
        <v/>
      </c>
      <c r="AM46" s="49">
        <f t="shared" si="9"/>
        <v>0</v>
      </c>
      <c r="AN46" s="49" t="str">
        <f t="shared" si="10"/>
        <v/>
      </c>
      <c r="AO46" s="49">
        <f t="shared" si="11"/>
        <v>1</v>
      </c>
      <c r="AP46" s="49" t="str">
        <f t="shared" si="12"/>
        <v>ENTREGUE</v>
      </c>
      <c r="AQ46" s="49">
        <f t="shared" si="13"/>
        <v>0</v>
      </c>
      <c r="AR46" s="49" t="str">
        <f t="shared" si="14"/>
        <v/>
      </c>
      <c r="AV46" s="99"/>
      <c r="BB46">
        <f t="shared" si="22"/>
        <v>0</v>
      </c>
      <c r="BF46" s="52"/>
    </row>
    <row r="47" spans="1:59" ht="30" customHeight="1" x14ac:dyDescent="0.35">
      <c r="A47" s="25"/>
      <c r="B47" s="39" t="s">
        <v>44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108"/>
      <c r="Z47" s="109"/>
      <c r="AA47" s="109"/>
      <c r="AB47" s="110"/>
      <c r="AC47" s="40"/>
      <c r="AD47" s="40"/>
      <c r="AE47" s="48" t="str">
        <f t="shared" si="4"/>
        <v/>
      </c>
      <c r="AF47" s="48"/>
      <c r="AG47" s="48"/>
      <c r="AH47" s="89"/>
      <c r="AI47" s="49">
        <f t="shared" si="5"/>
        <v>0</v>
      </c>
      <c r="AJ47" s="49" t="str">
        <f t="shared" si="6"/>
        <v/>
      </c>
      <c r="AK47" s="49">
        <f t="shared" si="7"/>
        <v>0</v>
      </c>
      <c r="AL47" s="49" t="str">
        <f t="shared" si="8"/>
        <v/>
      </c>
      <c r="AM47" s="49">
        <f t="shared" si="9"/>
        <v>0</v>
      </c>
      <c r="AN47" s="49" t="str">
        <f t="shared" si="10"/>
        <v/>
      </c>
      <c r="AO47" s="49">
        <f t="shared" si="11"/>
        <v>0</v>
      </c>
      <c r="AP47" s="49" t="str">
        <f t="shared" si="12"/>
        <v/>
      </c>
      <c r="AQ47" s="49">
        <f t="shared" si="13"/>
        <v>0</v>
      </c>
      <c r="AR47" s="49" t="str">
        <f t="shared" si="14"/>
        <v/>
      </c>
      <c r="AV47" s="99"/>
      <c r="BB47">
        <f t="shared" si="22"/>
        <v>0</v>
      </c>
      <c r="BF47" s="52"/>
    </row>
    <row r="48" spans="1:59" ht="30" customHeight="1" x14ac:dyDescent="0.35">
      <c r="A48" s="25" t="str">
        <f t="shared" si="26"/>
        <v>PT072 - ANCORAGEM DE SÃO LUIS
TR-325K-09</v>
      </c>
      <c r="B48" s="40" t="s">
        <v>19</v>
      </c>
      <c r="C48" s="60" t="str">
        <f>IF(AND($B48=[1]rogério!$A45,[1]rogério!$B45=C$4),"ok","nok")</f>
        <v>nok</v>
      </c>
      <c r="D48" s="104"/>
      <c r="E48" s="60" t="str">
        <f>IF(AND($B48=[1]rogério!$A45,[1]rogério!$B45=E$4),"ok","nok")</f>
        <v>nok</v>
      </c>
      <c r="F48" s="60" t="str">
        <f>IF(AND($B48=[1]rogério!$A45,[1]rogério!$B45=F$4),"ok","nok")</f>
        <v>nok</v>
      </c>
      <c r="G48" s="60" t="str">
        <f>IF(AND($B48=[1]rogério!$A45,[1]rogério!$B45=G$4),"ok","nok")</f>
        <v>nok</v>
      </c>
      <c r="H48" s="60" t="str">
        <f>IF(AND($B48=[1]rogério!$A45,[1]rogério!$B45=H$4),"ok","nok")</f>
        <v>nok</v>
      </c>
      <c r="I48" s="60" t="str">
        <f>IF(AND($B48=[1]rogério!$A45,[1]rogério!$B45=I$4),"ok","nok")</f>
        <v>nok</v>
      </c>
      <c r="J48" s="60" t="str">
        <f>IF(AND($B48=[1]rogério!$A45,[1]rogério!$B45=J$4),"ok","nok")</f>
        <v>nok</v>
      </c>
      <c r="K48" s="60" t="str">
        <f>IF(AND($B48=[1]rogério!$A45,[1]rogério!$B45=K$4),"ok","nok")</f>
        <v>nok</v>
      </c>
      <c r="L48" s="60" t="str">
        <f>IF(AND($B48=[1]rogério!$A45,[1]rogério!$B45=L$4),"ok","nok")</f>
        <v>nok</v>
      </c>
      <c r="M48" s="60" t="str">
        <f>IF(AND($B48=[1]rogério!$A45,[1]rogério!$B45=M$4),"ok","nok")</f>
        <v>nok</v>
      </c>
      <c r="N48" s="60" t="str">
        <f>IF(AND($B48=[1]rogério!$A45,[1]rogério!$B45=N$4),"ok","nok")</f>
        <v>nok</v>
      </c>
      <c r="O48" s="60" t="str">
        <f>IF(AND($B48=[1]rogério!$A45,[1]rogério!$B45=O$4),"ok","nok")</f>
        <v>nok</v>
      </c>
      <c r="P48" s="60" t="str">
        <f>IF(AND($B48=[1]rogério!$A45,[1]rogério!$B45=P$4),"ok","nok")</f>
        <v>nok</v>
      </c>
      <c r="Q48" s="60" t="str">
        <f>IF(AND($B48=[1]rogério!$A45,[1]rogério!$B45=Q$4),"ok","nok")</f>
        <v>nok</v>
      </c>
      <c r="R48" s="60" t="str">
        <f>IF(AND($B48=[1]rogério!$A45,[1]rogério!$B45=R$4),"ok","nok")</f>
        <v>nok</v>
      </c>
      <c r="S48" s="60" t="str">
        <f>IF(AND($B48=[1]rogério!$A45,[1]rogério!$B45=S$4),"ok","nok")</f>
        <v>nok</v>
      </c>
      <c r="T48" s="60" t="str">
        <f>IF(AND($B48=[1]rogério!$A45,[1]rogério!$B45=T$4),"ok","nok")</f>
        <v>nok</v>
      </c>
      <c r="U48" s="60" t="str">
        <f>IF(AND($B48=[1]rogério!$A45,[1]rogério!$B45=U$4),"ok","nok")</f>
        <v>nok</v>
      </c>
      <c r="V48" s="60" t="str">
        <f>IF(AND($B48=[1]rogério!$A45,[1]rogério!$B45=V$4),"ok","nok")</f>
        <v>ok</v>
      </c>
      <c r="W48" s="60" t="str">
        <f>IF(AND($B48=[1]rogério!$A45,[1]rogério!$B45=W$4),"ok","nok")</f>
        <v>nok</v>
      </c>
      <c r="X48" s="60" t="str">
        <f>IF(AND($B48=[1]rogério!$A45,[1]rogério!$B45=X$4),"ok","nok")</f>
        <v>nok</v>
      </c>
      <c r="Y48" s="105" t="s">
        <v>31</v>
      </c>
      <c r="Z48" s="106"/>
      <c r="AA48" s="106"/>
      <c r="AB48" s="107"/>
      <c r="AC48" s="40"/>
      <c r="AD48" s="40"/>
      <c r="AE48" s="48" t="str">
        <f t="shared" si="4"/>
        <v>Aprovação do Cliente</v>
      </c>
      <c r="AF48" s="48"/>
      <c r="AG48" s="48"/>
      <c r="AH48" s="89"/>
      <c r="AI48" s="49">
        <f t="shared" si="5"/>
        <v>0</v>
      </c>
      <c r="AJ48" s="49" t="str">
        <f t="shared" si="6"/>
        <v/>
      </c>
      <c r="AK48" s="49">
        <f t="shared" si="7"/>
        <v>0</v>
      </c>
      <c r="AL48" s="49" t="str">
        <f t="shared" si="8"/>
        <v/>
      </c>
      <c r="AM48" s="49">
        <f t="shared" si="9"/>
        <v>0</v>
      </c>
      <c r="AN48" s="49" t="str">
        <f t="shared" si="10"/>
        <v/>
      </c>
      <c r="AO48" s="49">
        <f t="shared" si="11"/>
        <v>1</v>
      </c>
      <c r="AP48" s="49" t="str">
        <f t="shared" si="12"/>
        <v/>
      </c>
      <c r="AQ48" s="49">
        <f t="shared" si="13"/>
        <v>0</v>
      </c>
      <c r="AR48" s="49" t="str">
        <f t="shared" si="14"/>
        <v/>
      </c>
      <c r="AV48" s="99"/>
      <c r="BB48">
        <f t="shared" si="22"/>
        <v>0</v>
      </c>
      <c r="BF48" s="52"/>
    </row>
    <row r="49" spans="1:58" ht="30" customHeight="1" x14ac:dyDescent="0.35">
      <c r="A49" s="25" t="str">
        <f t="shared" si="26"/>
        <v>PT072 - ANCORAGEM DE SÃO LUIS
TR-325K-09</v>
      </c>
      <c r="B49" s="40" t="s">
        <v>42</v>
      </c>
      <c r="C49" s="60" t="str">
        <f>IF(AND($B49=[1]rogério!$A46,[1]rogério!$B46=C$4),"ok","nok")</f>
        <v>nok</v>
      </c>
      <c r="D49" s="60" t="str">
        <f>IF(AND($B49=[1]rogério!$A46,[1]rogério!$B46=D$4),"ok","nok")</f>
        <v>nok</v>
      </c>
      <c r="E49" s="104"/>
      <c r="F49" s="60" t="str">
        <f>IF(AND($B49=[1]rogério!$A46,[1]rogério!$B46=F$4),"ok","nok")</f>
        <v>nok</v>
      </c>
      <c r="G49" s="60" t="str">
        <f>IF(AND($B49=[1]rogério!$A46,[1]rogério!$B46=G$4),"ok","nok")</f>
        <v>nok</v>
      </c>
      <c r="H49" s="60" t="str">
        <f>IF(AND($B49=[1]rogério!$A46,[1]rogério!$B46=H$4),"ok","nok")</f>
        <v>nok</v>
      </c>
      <c r="I49" s="60" t="str">
        <f>IF(AND($B49=[1]rogério!$A46,[1]rogério!$B46=I$4),"ok","nok")</f>
        <v>nok</v>
      </c>
      <c r="J49" s="60" t="str">
        <f>IF(AND($B49=[1]rogério!$A46,[1]rogério!$B46=J$4),"ok","nok")</f>
        <v>nok</v>
      </c>
      <c r="K49" s="60" t="str">
        <f>IF(AND($B49=[1]rogério!$A46,[1]rogério!$B46=K$4),"ok","nok")</f>
        <v>nok</v>
      </c>
      <c r="L49" s="60" t="str">
        <f>IF(AND($B49=[1]rogério!$A46,[1]rogério!$B46=L$4),"ok","nok")</f>
        <v>nok</v>
      </c>
      <c r="M49" s="60" t="str">
        <f>IF(AND($B49=[1]rogério!$A46,[1]rogério!$B46=M$4),"ok","nok")</f>
        <v>nok</v>
      </c>
      <c r="N49" s="60" t="str">
        <f>IF(AND($B49=[1]rogério!$A46,[1]rogério!$B46=N$4),"ok","nok")</f>
        <v>nok</v>
      </c>
      <c r="O49" s="60" t="str">
        <f>IF(AND($B49=[1]rogério!$A46,[1]rogério!$B46=O$4),"ok","nok")</f>
        <v>nok</v>
      </c>
      <c r="P49" s="60" t="str">
        <f>IF(AND($B49=[1]rogério!$A46,[1]rogério!$B46=P$4),"ok","nok")</f>
        <v>nok</v>
      </c>
      <c r="Q49" s="60" t="str">
        <f>IF(AND($B49=[1]rogério!$A46,[1]rogério!$B46=Q$4),"ok","nok")</f>
        <v>nok</v>
      </c>
      <c r="R49" s="60" t="str">
        <f>IF(AND($B49=[1]rogério!$A46,[1]rogério!$B46=R$4),"ok","nok")</f>
        <v>nok</v>
      </c>
      <c r="S49" s="60" t="str">
        <f>IF(AND($B49=[1]rogério!$A46,[1]rogério!$B46=S$4),"ok","nok")</f>
        <v>nok</v>
      </c>
      <c r="T49" s="60" t="str">
        <f>IF(AND($B49=[1]rogério!$A46,[1]rogério!$B46=T$4),"ok","nok")</f>
        <v>nok</v>
      </c>
      <c r="U49" s="60" t="str">
        <f>IF(AND($B49=[1]rogério!$A46,[1]rogério!$B46=U$4),"ok","nok")</f>
        <v>nok</v>
      </c>
      <c r="V49" s="60" t="str">
        <f>IF(AND($B49=[1]rogério!$A46,[1]rogério!$B46=V$4),"ok","nok")</f>
        <v>ok</v>
      </c>
      <c r="W49" s="60" t="str">
        <f>IF(AND($B49=[1]rogério!$A46,[1]rogério!$B46=W$4),"ok","nok")</f>
        <v>nok</v>
      </c>
      <c r="X49" s="60" t="str">
        <f>IF(AND($B49=[1]rogério!$A46,[1]rogério!$B46=X$4),"ok","nok")</f>
        <v>nok</v>
      </c>
      <c r="Y49" s="105" t="s">
        <v>31</v>
      </c>
      <c r="Z49" s="106"/>
      <c r="AA49" s="106"/>
      <c r="AB49" s="107"/>
      <c r="AC49" s="40"/>
      <c r="AD49" s="40"/>
      <c r="AE49" s="48" t="str">
        <f t="shared" si="4"/>
        <v>Certificação do documento - Vibracon</v>
      </c>
      <c r="AF49" s="48"/>
      <c r="AG49" s="48"/>
      <c r="AH49" s="89"/>
      <c r="AI49" s="49">
        <f t="shared" si="5"/>
        <v>0</v>
      </c>
      <c r="AJ49" s="49" t="str">
        <f t="shared" si="6"/>
        <v/>
      </c>
      <c r="AK49" s="49">
        <f t="shared" si="7"/>
        <v>0</v>
      </c>
      <c r="AL49" s="49" t="str">
        <f t="shared" si="8"/>
        <v/>
      </c>
      <c r="AM49" s="49">
        <f t="shared" si="9"/>
        <v>0</v>
      </c>
      <c r="AN49" s="49" t="str">
        <f t="shared" si="10"/>
        <v/>
      </c>
      <c r="AO49" s="49">
        <f t="shared" si="11"/>
        <v>1</v>
      </c>
      <c r="AP49" s="49" t="str">
        <f t="shared" si="12"/>
        <v/>
      </c>
      <c r="AQ49" s="49">
        <f t="shared" si="13"/>
        <v>0</v>
      </c>
      <c r="AR49" s="49" t="str">
        <f t="shared" si="14"/>
        <v/>
      </c>
      <c r="AV49" s="99"/>
      <c r="BB49">
        <f t="shared" si="22"/>
        <v>0</v>
      </c>
      <c r="BF49" s="52"/>
    </row>
    <row r="50" spans="1:58" ht="30" customHeight="1" x14ac:dyDescent="0.35">
      <c r="A50" s="25" t="str">
        <f t="shared" si="26"/>
        <v>PT072 - ANCORAGEM DE SÃO LUIS
TR-325K-09</v>
      </c>
      <c r="B50" s="40" t="s">
        <v>43</v>
      </c>
      <c r="C50" s="60" t="str">
        <f>IF(AND($B50=[1]rogério!$A47,[1]rogério!$B47=C$4),"ok","nok")</f>
        <v>nok</v>
      </c>
      <c r="D50" s="60" t="str">
        <f>IF(AND($B50=[1]rogério!$A47,[1]rogério!$B47=D$4),"ok","nok")</f>
        <v>nok</v>
      </c>
      <c r="E50" s="60" t="str">
        <f>IF(AND($B50=[1]rogério!$A47,[1]rogério!$B47=E$4),"ok","nok")</f>
        <v>nok</v>
      </c>
      <c r="F50" s="104"/>
      <c r="G50" s="60" t="str">
        <f>IF(AND($B50=[1]rogério!$A47,[1]rogério!$B47=G$4),"ok","nok")</f>
        <v>nok</v>
      </c>
      <c r="H50" s="60" t="str">
        <f>IF(AND($B50=[1]rogério!$A47,[1]rogério!$B47=H$4),"ok","nok")</f>
        <v>nok</v>
      </c>
      <c r="I50" s="60" t="str">
        <f>IF(AND($B50=[1]rogério!$A47,[1]rogério!$B47=I$4),"ok","nok")</f>
        <v>nok</v>
      </c>
      <c r="J50" s="60" t="str">
        <f>IF(AND($B50=[1]rogério!$A47,[1]rogério!$B47=J$4),"ok","nok")</f>
        <v>nok</v>
      </c>
      <c r="K50" s="60" t="str">
        <f>IF(AND($B50=[1]rogério!$A47,[1]rogério!$B47=K$4),"ok","nok")</f>
        <v>nok</v>
      </c>
      <c r="L50" s="60" t="str">
        <f>IF(AND($B50=[1]rogério!$A47,[1]rogério!$B47=L$4),"ok","nok")</f>
        <v>nok</v>
      </c>
      <c r="M50" s="60" t="str">
        <f>IF(AND($B50=[1]rogério!$A47,[1]rogério!$B47=M$4),"ok","nok")</f>
        <v>nok</v>
      </c>
      <c r="N50" s="60" t="str">
        <f>IF(AND($B50=[1]rogério!$A47,[1]rogério!$B47=N$4),"ok","nok")</f>
        <v>nok</v>
      </c>
      <c r="O50" s="60" t="str">
        <f>IF(AND($B50=[1]rogério!$A47,[1]rogério!$B47=O$4),"ok","nok")</f>
        <v>nok</v>
      </c>
      <c r="P50" s="60" t="str">
        <f>IF(AND($B50=[1]rogério!$A47,[1]rogério!$B47=P$4),"ok","nok")</f>
        <v>nok</v>
      </c>
      <c r="Q50" s="60" t="str">
        <f>IF(AND($B50=[1]rogério!$A47,[1]rogério!$B47=Q$4),"ok","nok")</f>
        <v>nok</v>
      </c>
      <c r="R50" s="60" t="str">
        <f>IF(AND($B50=[1]rogério!$A47,[1]rogério!$B47=R$4),"ok","nok")</f>
        <v>nok</v>
      </c>
      <c r="S50" s="60" t="str">
        <f>IF(AND($B50=[1]rogério!$A47,[1]rogério!$B47=S$4),"ok","nok")</f>
        <v>nok</v>
      </c>
      <c r="T50" s="60" t="str">
        <f>IF(AND($B50=[1]rogério!$A47,[1]rogério!$B47=T$4),"ok","nok")</f>
        <v>nok</v>
      </c>
      <c r="U50" s="60" t="str">
        <f>IF(AND($B50=[1]rogério!$A47,[1]rogério!$B47=U$4),"ok","nok")</f>
        <v>nok</v>
      </c>
      <c r="V50" s="60" t="str">
        <f>IF(AND($B50=[1]rogério!$A47,[1]rogério!$B47=V$4),"ok","nok")</f>
        <v>ok</v>
      </c>
      <c r="W50" s="60" t="str">
        <f>IF(AND($B50=[1]rogério!$A47,[1]rogério!$B47=W$4),"ok","nok")</f>
        <v>nok</v>
      </c>
      <c r="X50" s="60" t="str">
        <f>IF(AND($B50=[1]rogério!$A47,[1]rogério!$B47=X$4),"ok","nok")</f>
        <v>nok</v>
      </c>
      <c r="Y50" s="105" t="s">
        <v>31</v>
      </c>
      <c r="Z50" s="106"/>
      <c r="AA50" s="106"/>
      <c r="AB50" s="107"/>
      <c r="AC50" s="40"/>
      <c r="AD50" s="40"/>
      <c r="AE50" s="48" t="str">
        <f t="shared" si="4"/>
        <v>MARCO - Envio do documento Certificado (Rev_0)</v>
      </c>
      <c r="AF50" s="48"/>
      <c r="AG50" s="48"/>
      <c r="AH50" s="89"/>
      <c r="AI50" s="49">
        <f t="shared" si="5"/>
        <v>0</v>
      </c>
      <c r="AJ50" s="49" t="str">
        <f t="shared" si="6"/>
        <v/>
      </c>
      <c r="AK50" s="49">
        <f t="shared" si="7"/>
        <v>0</v>
      </c>
      <c r="AL50" s="49" t="str">
        <f t="shared" si="8"/>
        <v/>
      </c>
      <c r="AM50" s="49">
        <f t="shared" si="9"/>
        <v>0</v>
      </c>
      <c r="AN50" s="49" t="str">
        <f t="shared" si="10"/>
        <v/>
      </c>
      <c r="AO50" s="49">
        <f t="shared" si="11"/>
        <v>1</v>
      </c>
      <c r="AP50" s="49" t="str">
        <f t="shared" si="12"/>
        <v/>
      </c>
      <c r="AQ50" s="49">
        <f t="shared" si="13"/>
        <v>0</v>
      </c>
      <c r="AR50" s="49" t="str">
        <f t="shared" si="14"/>
        <v/>
      </c>
      <c r="AV50" s="99"/>
      <c r="BB50">
        <f t="shared" si="22"/>
        <v>0</v>
      </c>
      <c r="BF50" s="52"/>
    </row>
    <row r="51" spans="1:58" ht="30" customHeight="1" x14ac:dyDescent="0.35">
      <c r="A51" s="25"/>
      <c r="B51" s="37" t="s">
        <v>107</v>
      </c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120"/>
      <c r="Z51" s="121"/>
      <c r="AA51" s="121"/>
      <c r="AB51" s="122"/>
      <c r="AC51" s="40"/>
      <c r="AD51" s="40"/>
      <c r="AE51" s="48" t="str">
        <f t="shared" si="4"/>
        <v/>
      </c>
      <c r="AF51" s="48"/>
      <c r="AG51" s="48"/>
      <c r="AH51" s="89"/>
      <c r="AI51" s="49">
        <f t="shared" si="5"/>
        <v>0</v>
      </c>
      <c r="AJ51" s="49" t="str">
        <f t="shared" si="6"/>
        <v/>
      </c>
      <c r="AK51" s="49">
        <f t="shared" si="7"/>
        <v>0</v>
      </c>
      <c r="AL51" s="49" t="str">
        <f t="shared" si="8"/>
        <v/>
      </c>
      <c r="AM51" s="49">
        <f t="shared" si="9"/>
        <v>0</v>
      </c>
      <c r="AN51" s="49" t="str">
        <f t="shared" si="10"/>
        <v/>
      </c>
      <c r="AO51" s="49">
        <f t="shared" si="11"/>
        <v>0</v>
      </c>
      <c r="AP51" s="49" t="str">
        <f t="shared" si="12"/>
        <v/>
      </c>
      <c r="AQ51" s="49">
        <f t="shared" si="13"/>
        <v>0</v>
      </c>
      <c r="AR51" s="49" t="str">
        <f t="shared" si="14"/>
        <v/>
      </c>
      <c r="AV51" s="99"/>
      <c r="BB51">
        <f t="shared" si="22"/>
        <v>0</v>
      </c>
      <c r="BF51" s="52"/>
    </row>
    <row r="52" spans="1:58" ht="30" customHeight="1" x14ac:dyDescent="0.35">
      <c r="A52" s="25" t="str">
        <f>CONCATENATE($B$7,"
",$B$51)</f>
        <v>PT072 - ANCORAGEM DE SÃO LUIS
TR-315K-09</v>
      </c>
      <c r="B52" s="38" t="s">
        <v>108</v>
      </c>
      <c r="C52" s="60" t="str">
        <f>IF(AND($B52=[1]rogério!$A49,[1]rogério!$B49=C$4),"ok","nok")</f>
        <v>nok</v>
      </c>
      <c r="D52" s="60" t="str">
        <f>IF(AND($B52=[1]rogério!$A49,[1]rogério!$B49=D$4),"ok","nok")</f>
        <v>nok</v>
      </c>
      <c r="E52" s="60" t="str">
        <f>IF(AND($B52=[1]rogério!$A49,[1]rogério!$B49=E$4),"ok","nok")</f>
        <v>nok</v>
      </c>
      <c r="F52" s="60" t="str">
        <f>IF(AND($B52=[1]rogério!$A49,[1]rogério!$B49=F$4),"ok","nok")</f>
        <v>ok</v>
      </c>
      <c r="G52" s="60" t="str">
        <f>IF(AND($B52=[1]rogério!$A49,[1]rogério!$B49=G$4),"ok","nok")</f>
        <v>nok</v>
      </c>
      <c r="H52" s="60" t="str">
        <f>IF(AND($B52=[1]rogério!$A49,[1]rogério!$B49=H$4),"ok","nok")</f>
        <v>nok</v>
      </c>
      <c r="I52" s="60" t="str">
        <f>IF(AND($B52=[1]rogério!$A49,[1]rogério!$B49=I$4),"ok","nok")</f>
        <v>nok</v>
      </c>
      <c r="J52" s="60" t="str">
        <f>IF(AND($B52=[1]rogério!$A49,[1]rogério!$B49=J$4),"ok","nok")</f>
        <v>nok</v>
      </c>
      <c r="K52" s="60" t="str">
        <f>IF(AND($B52=[1]rogério!$A49,[1]rogério!$B49=K$4),"ok","nok")</f>
        <v>nok</v>
      </c>
      <c r="L52" s="60" t="str">
        <f>IF(AND($B52=[1]rogério!$A49,[1]rogério!$B49=L$4),"ok","nok")</f>
        <v>nok</v>
      </c>
      <c r="M52" s="60" t="str">
        <f>IF(AND($B52=[1]rogério!$A49,[1]rogério!$B49=M$4),"ok","nok")</f>
        <v>nok</v>
      </c>
      <c r="N52" s="60" t="str">
        <f>IF(AND($B52=[1]rogério!$A49,[1]rogério!$B49=N$4),"ok","nok")</f>
        <v>nok</v>
      </c>
      <c r="O52" s="60" t="str">
        <f>IF(AND($B52=[1]rogério!$A49,[1]rogério!$B49=O$4),"ok","nok")</f>
        <v>nok</v>
      </c>
      <c r="P52" s="60" t="str">
        <f>IF(AND($B52=[1]rogério!$A49,[1]rogério!$B49=P$4),"ok","nok")</f>
        <v>nok</v>
      </c>
      <c r="Q52" s="60" t="str">
        <f>IF(AND($B52=[1]rogério!$A49,[1]rogério!$B49=Q$4),"ok","nok")</f>
        <v>nok</v>
      </c>
      <c r="R52" s="60" t="str">
        <f>IF(AND($B52=[1]rogério!$A49,[1]rogério!$B49=R$4),"ok","nok")</f>
        <v>nok</v>
      </c>
      <c r="S52" s="60" t="str">
        <f>IF(AND($B52=[1]rogério!$A49,[1]rogério!$B49=S$4),"ok","nok")</f>
        <v>nok</v>
      </c>
      <c r="T52" s="60" t="str">
        <f>IF(AND($B52=[1]rogério!$A49,[1]rogério!$B49=T$4),"ok","nok")</f>
        <v>nok</v>
      </c>
      <c r="U52" s="60" t="str">
        <f>IF(AND($B52=[1]rogério!$A49,[1]rogério!$B49=U$4),"ok","nok")</f>
        <v>nok</v>
      </c>
      <c r="V52" s="60" t="str">
        <f>IF(AND($B52=[1]rogério!$A49,[1]rogério!$B49=V$4),"ok","nok")</f>
        <v>nok</v>
      </c>
      <c r="W52" s="60" t="str">
        <f>IF(AND($B52=[1]rogério!$A49,[1]rogério!$B49=W$4),"ok","nok")</f>
        <v>nok</v>
      </c>
      <c r="X52" s="60" t="str">
        <f>IF(AND($B52=[1]rogério!$A49,[1]rogério!$B49=X$4),"ok","nok")</f>
        <v>nok</v>
      </c>
      <c r="Y52" s="105" t="s">
        <v>33</v>
      </c>
      <c r="Z52" s="106"/>
      <c r="AA52" s="106"/>
      <c r="AB52" s="107"/>
      <c r="AC52" s="40"/>
      <c r="AD52" s="40"/>
      <c r="AE52" s="48" t="str">
        <f t="shared" si="4"/>
        <v/>
      </c>
      <c r="AF52" s="48"/>
      <c r="AG52" s="48"/>
      <c r="AH52" s="89"/>
      <c r="AI52" s="49">
        <f t="shared" si="5"/>
        <v>1</v>
      </c>
      <c r="AJ52" s="49" t="str">
        <f t="shared" si="6"/>
        <v>EFPRAZO</v>
      </c>
      <c r="AK52" s="49">
        <f t="shared" si="7"/>
        <v>0</v>
      </c>
      <c r="AL52" s="49" t="str">
        <f t="shared" si="8"/>
        <v/>
      </c>
      <c r="AM52" s="49">
        <f t="shared" si="9"/>
        <v>0</v>
      </c>
      <c r="AN52" s="49" t="str">
        <f t="shared" si="10"/>
        <v/>
      </c>
      <c r="AO52" s="49">
        <f t="shared" si="11"/>
        <v>0</v>
      </c>
      <c r="AP52" s="49" t="str">
        <f t="shared" si="12"/>
        <v/>
      </c>
      <c r="AQ52" s="49">
        <f t="shared" si="13"/>
        <v>0</v>
      </c>
      <c r="AR52" s="49" t="str">
        <f t="shared" si="14"/>
        <v/>
      </c>
      <c r="AV52" s="99"/>
      <c r="BB52">
        <f t="shared" si="22"/>
        <v>0</v>
      </c>
      <c r="BF52" s="52"/>
    </row>
    <row r="53" spans="1:58" ht="30" customHeight="1" x14ac:dyDescent="0.35">
      <c r="A53" s="25" t="str">
        <f t="shared" ref="A53:A66" si="27">CONCATENATE($B$7,"
",$B$51)</f>
        <v>PT072 - ANCORAGEM DE SÃO LUIS
TR-315K-09</v>
      </c>
      <c r="B53" s="38" t="s">
        <v>109</v>
      </c>
      <c r="C53" s="60" t="str">
        <f>IF(AND($B53=[1]rogério!$A50,[1]rogério!$B50=C$4),"ok","nok")</f>
        <v>nok</v>
      </c>
      <c r="D53" s="60" t="str">
        <f>IF(AND($B53=[1]rogério!$A50,[1]rogério!$B50=D$4),"ok","nok")</f>
        <v>nok</v>
      </c>
      <c r="E53" s="60" t="str">
        <f>IF(AND($B53=[1]rogério!$A50,[1]rogério!$B50=E$4),"ok","nok")</f>
        <v>nok</v>
      </c>
      <c r="F53" s="60" t="str">
        <f>IF(AND($B53=[1]rogério!$A50,[1]rogério!$B50=F$4),"ok","nok")</f>
        <v>nok</v>
      </c>
      <c r="G53" s="60" t="str">
        <f>IF(AND($B53=[1]rogério!$A50,[1]rogério!$B50=G$4),"ok","nok")</f>
        <v>ok</v>
      </c>
      <c r="H53" s="60" t="str">
        <f>IF(AND($B53=[1]rogério!$A50,[1]rogério!$B50=H$4),"ok","nok")</f>
        <v>nok</v>
      </c>
      <c r="I53" s="60" t="str">
        <f>IF(AND($B53=[1]rogério!$A50,[1]rogério!$B50=I$4),"ok","nok")</f>
        <v>nok</v>
      </c>
      <c r="J53" s="60" t="str">
        <f>IF(AND($B53=[1]rogério!$A50,[1]rogério!$B50=J$4),"ok","nok")</f>
        <v>nok</v>
      </c>
      <c r="K53" s="60" t="str">
        <f>IF(AND($B53=[1]rogério!$A50,[1]rogério!$B50=K$4),"ok","nok")</f>
        <v>nok</v>
      </c>
      <c r="L53" s="60" t="str">
        <f>IF(AND($B53=[1]rogério!$A50,[1]rogério!$B50=L$4),"ok","nok")</f>
        <v>nok</v>
      </c>
      <c r="M53" s="60" t="str">
        <f>IF(AND($B53=[1]rogério!$A50,[1]rogério!$B50=M$4),"ok","nok")</f>
        <v>nok</v>
      </c>
      <c r="N53" s="60" t="str">
        <f>IF(AND($B53=[1]rogério!$A50,[1]rogério!$B50=N$4),"ok","nok")</f>
        <v>nok</v>
      </c>
      <c r="O53" s="60" t="str">
        <f>IF(AND($B53=[1]rogério!$A50,[1]rogério!$B50=O$4),"ok","nok")</f>
        <v>nok</v>
      </c>
      <c r="P53" s="60" t="str">
        <f>IF(AND($B53=[1]rogério!$A50,[1]rogério!$B50=P$4),"ok","nok")</f>
        <v>nok</v>
      </c>
      <c r="Q53" s="60" t="str">
        <f>IF(AND($B53=[1]rogério!$A50,[1]rogério!$B50=Q$4),"ok","nok")</f>
        <v>nok</v>
      </c>
      <c r="R53" s="60" t="str">
        <f>IF(AND($B53=[1]rogério!$A50,[1]rogério!$B50=R$4),"ok","nok")</f>
        <v>nok</v>
      </c>
      <c r="S53" s="60" t="str">
        <f>IF(AND($B53=[1]rogério!$A50,[1]rogério!$B50=S$4),"ok","nok")</f>
        <v>nok</v>
      </c>
      <c r="T53" s="60" t="str">
        <f>IF(AND($B53=[1]rogério!$A50,[1]rogério!$B50=T$4),"ok","nok")</f>
        <v>nok</v>
      </c>
      <c r="U53" s="60" t="str">
        <f>IF(AND($B53=[1]rogério!$A50,[1]rogério!$B50=U$4),"ok","nok")</f>
        <v>nok</v>
      </c>
      <c r="V53" s="60" t="str">
        <f>IF(AND($B53=[1]rogério!$A50,[1]rogério!$B50=V$4),"ok","nok")</f>
        <v>nok</v>
      </c>
      <c r="W53" s="60" t="str">
        <f>IF(AND($B53=[1]rogério!$A50,[1]rogério!$B50=W$4),"ok","nok")</f>
        <v>nok</v>
      </c>
      <c r="X53" s="60" t="str">
        <f>IF(AND($B53=[1]rogério!$A50,[1]rogério!$B50=X$4),"ok","nok")</f>
        <v>nok</v>
      </c>
      <c r="Y53" s="105" t="s">
        <v>33</v>
      </c>
      <c r="Z53" s="106"/>
      <c r="AA53" s="106"/>
      <c r="AB53" s="107"/>
      <c r="AC53" s="40"/>
      <c r="AD53" s="40"/>
      <c r="AE53" s="48" t="str">
        <f t="shared" si="4"/>
        <v/>
      </c>
      <c r="AF53" s="48"/>
      <c r="AG53" s="48"/>
      <c r="AH53" s="89"/>
      <c r="AI53" s="49">
        <f t="shared" si="5"/>
        <v>1</v>
      </c>
      <c r="AJ53" s="49" t="str">
        <f t="shared" si="6"/>
        <v>EFPRAZO</v>
      </c>
      <c r="AK53" s="49">
        <f t="shared" si="7"/>
        <v>0</v>
      </c>
      <c r="AL53" s="49" t="str">
        <f t="shared" si="8"/>
        <v/>
      </c>
      <c r="AM53" s="49">
        <f t="shared" si="9"/>
        <v>0</v>
      </c>
      <c r="AN53" s="49" t="str">
        <f t="shared" si="10"/>
        <v/>
      </c>
      <c r="AO53" s="49">
        <f t="shared" si="11"/>
        <v>0</v>
      </c>
      <c r="AP53" s="49" t="str">
        <f t="shared" si="12"/>
        <v/>
      </c>
      <c r="AQ53" s="49">
        <f t="shared" si="13"/>
        <v>0</v>
      </c>
      <c r="AR53" s="49" t="str">
        <f t="shared" si="14"/>
        <v/>
      </c>
      <c r="AV53" s="99"/>
      <c r="BB53">
        <f t="shared" si="22"/>
        <v>0</v>
      </c>
      <c r="BF53" s="52"/>
    </row>
    <row r="54" spans="1:58" ht="30" customHeight="1" x14ac:dyDescent="0.35">
      <c r="A54" s="25" t="str">
        <f t="shared" si="27"/>
        <v>PT072 - ANCORAGEM DE SÃO LUIS
TR-315K-09</v>
      </c>
      <c r="B54" s="38" t="s">
        <v>110</v>
      </c>
      <c r="C54" s="60" t="str">
        <f>IF(AND($B54=[1]rogério!$A51,[1]rogério!$B51=C$4),"ok","nok")</f>
        <v>nok</v>
      </c>
      <c r="D54" s="60" t="str">
        <f>IF(AND($B54=[1]rogério!$A51,[1]rogério!$B51=D$4),"ok","nok")</f>
        <v>nok</v>
      </c>
      <c r="E54" s="60" t="str">
        <f>IF(AND($B54=[1]rogério!$A51,[1]rogério!$B51=E$4),"ok","nok")</f>
        <v>nok</v>
      </c>
      <c r="F54" s="60" t="str">
        <f>IF(AND($B54=[1]rogério!$A51,[1]rogério!$B51=F$4),"ok","nok")</f>
        <v>nok</v>
      </c>
      <c r="G54" s="60" t="str">
        <f>IF(AND($B54=[1]rogério!$A51,[1]rogério!$B51=G$4),"ok","nok")</f>
        <v>nok</v>
      </c>
      <c r="H54" s="60" t="str">
        <f>IF(AND($B54=[1]rogério!$A51,[1]rogério!$B51=H$4),"ok","nok")</f>
        <v>nok</v>
      </c>
      <c r="I54" s="60" t="str">
        <f>IF(AND($B54=[1]rogério!$A51,[1]rogério!$B51=I$4),"ok","nok")</f>
        <v>nok</v>
      </c>
      <c r="J54" s="60" t="str">
        <f>IF(AND($B54=[1]rogério!$A51,[1]rogério!$B51=J$4),"ok","nok")</f>
        <v>nok</v>
      </c>
      <c r="K54" s="60" t="str">
        <f>IF(AND($B54=[1]rogério!$A51,[1]rogério!$B51=K$4),"ok","nok")</f>
        <v>nok</v>
      </c>
      <c r="L54" s="60" t="str">
        <f>IF(AND($B54=[1]rogério!$A51,[1]rogério!$B51=L$4),"ok","nok")</f>
        <v>ok</v>
      </c>
      <c r="M54" s="60" t="str">
        <f>IF(AND($B54=[1]rogério!$A51,[1]rogério!$B51=M$4),"ok","nok")</f>
        <v>nok</v>
      </c>
      <c r="N54" s="60" t="str">
        <f>IF(AND($B54=[1]rogério!$A51,[1]rogério!$B51=N$4),"ok","nok")</f>
        <v>nok</v>
      </c>
      <c r="O54" s="60" t="str">
        <f>IF(AND($B54=[1]rogério!$A51,[1]rogério!$B51=O$4),"ok","nok")</f>
        <v>nok</v>
      </c>
      <c r="P54" s="60" t="str">
        <f>IF(AND($B54=[1]rogério!$A51,[1]rogério!$B51=P$4),"ok","nok")</f>
        <v>nok</v>
      </c>
      <c r="Q54" s="60" t="str">
        <f>IF(AND($B54=[1]rogério!$A51,[1]rogério!$B51=Q$4),"ok","nok")</f>
        <v>nok</v>
      </c>
      <c r="R54" s="60" t="str">
        <f>IF(AND($B54=[1]rogério!$A51,[1]rogério!$B51=R$4),"ok","nok")</f>
        <v>nok</v>
      </c>
      <c r="S54" s="60" t="str">
        <f>IF(AND($B54=[1]rogério!$A51,[1]rogério!$B51=S$4),"ok","nok")</f>
        <v>nok</v>
      </c>
      <c r="T54" s="60" t="str">
        <f>IF(AND($B54=[1]rogério!$A51,[1]rogério!$B51=T$4),"ok","nok")</f>
        <v>nok</v>
      </c>
      <c r="U54" s="60" t="str">
        <f>IF(AND($B54=[1]rogério!$A51,[1]rogério!$B51=U$4),"ok","nok")</f>
        <v>nok</v>
      </c>
      <c r="V54" s="60" t="str">
        <f>IF(AND($B54=[1]rogério!$A51,[1]rogério!$B51=V$4),"ok","nok")</f>
        <v>nok</v>
      </c>
      <c r="W54" s="60" t="str">
        <f>IF(AND($B54=[1]rogério!$A51,[1]rogério!$B51=W$4),"ok","nok")</f>
        <v>nok</v>
      </c>
      <c r="X54" s="60" t="str">
        <f>IF(AND($B54=[1]rogério!$A51,[1]rogério!$B51=X$4),"ok","nok")</f>
        <v>nok</v>
      </c>
      <c r="Y54" s="105" t="s">
        <v>33</v>
      </c>
      <c r="Z54" s="106"/>
      <c r="AA54" s="106"/>
      <c r="AB54" s="107"/>
      <c r="AC54" s="40"/>
      <c r="AD54" s="40"/>
      <c r="AE54" s="48" t="str">
        <f t="shared" si="4"/>
        <v/>
      </c>
      <c r="AF54" s="48"/>
      <c r="AG54" s="48"/>
      <c r="AH54" s="89"/>
      <c r="AI54" s="49">
        <f t="shared" si="5"/>
        <v>0</v>
      </c>
      <c r="AJ54" s="49" t="str">
        <f t="shared" si="6"/>
        <v/>
      </c>
      <c r="AK54" s="49">
        <f t="shared" si="7"/>
        <v>1</v>
      </c>
      <c r="AL54" s="49" t="str">
        <f t="shared" si="8"/>
        <v>EFPRAZO</v>
      </c>
      <c r="AM54" s="49">
        <f t="shared" si="9"/>
        <v>0</v>
      </c>
      <c r="AN54" s="49" t="str">
        <f t="shared" si="10"/>
        <v/>
      </c>
      <c r="AO54" s="49">
        <f t="shared" si="11"/>
        <v>0</v>
      </c>
      <c r="AP54" s="49" t="str">
        <f t="shared" si="12"/>
        <v/>
      </c>
      <c r="AQ54" s="49">
        <f t="shared" si="13"/>
        <v>0</v>
      </c>
      <c r="AR54" s="49" t="str">
        <f t="shared" si="14"/>
        <v/>
      </c>
      <c r="AV54" s="99"/>
      <c r="BB54">
        <f t="shared" si="22"/>
        <v>0</v>
      </c>
      <c r="BF54" s="52"/>
    </row>
    <row r="55" spans="1:58" ht="30" customHeight="1" x14ac:dyDescent="0.35">
      <c r="A55" s="25" t="str">
        <f t="shared" si="27"/>
        <v>PT072 - ANCORAGEM DE SÃO LUIS
TR-315K-09</v>
      </c>
      <c r="B55" s="38" t="s">
        <v>47</v>
      </c>
      <c r="C55" s="60" t="str">
        <f>IF(AND($B55=[1]rogério!$A52,[1]rogério!$B52=C$4),"ok","nok")</f>
        <v>nok</v>
      </c>
      <c r="D55" s="60" t="str">
        <f>IF(AND($B55=[1]rogério!$A52,[1]rogério!$B52=D$4),"ok","nok")</f>
        <v>nok</v>
      </c>
      <c r="E55" s="60" t="str">
        <f>IF(AND($B55=[1]rogério!$A52,[1]rogério!$B52=E$4),"ok","nok")</f>
        <v>nok</v>
      </c>
      <c r="F55" s="60" t="str">
        <f>IF(AND($B55=[1]rogério!$A52,[1]rogério!$B52=F$4),"ok","nok")</f>
        <v>nok</v>
      </c>
      <c r="G55" s="60" t="str">
        <f>IF(AND($B55=[1]rogério!$A52,[1]rogério!$B52=G$4),"ok","nok")</f>
        <v>nok</v>
      </c>
      <c r="H55" s="60" t="str">
        <f>IF(AND($B55=[1]rogério!$A52,[1]rogério!$B52=H$4),"ok","nok")</f>
        <v>nok</v>
      </c>
      <c r="I55" s="60" t="str">
        <f>IF(AND($B55=[1]rogério!$A52,[1]rogério!$B52=I$4),"ok","nok")</f>
        <v>nok</v>
      </c>
      <c r="J55" s="60" t="str">
        <f>IF(AND($B55=[1]rogério!$A52,[1]rogério!$B52=J$4),"ok","nok")</f>
        <v>ok</v>
      </c>
      <c r="K55" s="60" t="str">
        <f>IF(AND($B55=[1]rogério!$A52,[1]rogério!$B52=K$4),"ok","nok")</f>
        <v>nok</v>
      </c>
      <c r="L55" s="60" t="str">
        <f>IF(AND($B55=[1]rogério!$A52,[1]rogério!$B52=L$4),"ok","nok")</f>
        <v>nok</v>
      </c>
      <c r="M55" s="60" t="str">
        <f>IF(AND($B55=[1]rogério!$A52,[1]rogério!$B52=M$4),"ok","nok")</f>
        <v>nok</v>
      </c>
      <c r="N55" s="60" t="str">
        <f>IF(AND($B55=[1]rogério!$A52,[1]rogério!$B52=N$4),"ok","nok")</f>
        <v>nok</v>
      </c>
      <c r="O55" s="60" t="str">
        <f>IF(AND($B55=[1]rogério!$A52,[1]rogério!$B52=O$4),"ok","nok")</f>
        <v>nok</v>
      </c>
      <c r="P55" s="60" t="str">
        <f>IF(AND($B55=[1]rogério!$A52,[1]rogério!$B52=P$4),"ok","nok")</f>
        <v>nok</v>
      </c>
      <c r="Q55" s="60" t="str">
        <f>IF(AND($B55=[1]rogério!$A52,[1]rogério!$B52=Q$4),"ok","nok")</f>
        <v>nok</v>
      </c>
      <c r="R55" s="60" t="str">
        <f>IF(AND($B55=[1]rogério!$A52,[1]rogério!$B52=R$4),"ok","nok")</f>
        <v>nok</v>
      </c>
      <c r="S55" s="60" t="str">
        <f>IF(AND($B55=[1]rogério!$A52,[1]rogério!$B52=S$4),"ok","nok")</f>
        <v>nok</v>
      </c>
      <c r="T55" s="60" t="str">
        <f>IF(AND($B55=[1]rogério!$A52,[1]rogério!$B52=T$4),"ok","nok")</f>
        <v>nok</v>
      </c>
      <c r="U55" s="60" t="str">
        <f>IF(AND($B55=[1]rogério!$A52,[1]rogério!$B52=U$4),"ok","nok")</f>
        <v>nok</v>
      </c>
      <c r="V55" s="60" t="str">
        <f>IF(AND($B55=[1]rogério!$A52,[1]rogério!$B52=V$4),"ok","nok")</f>
        <v>nok</v>
      </c>
      <c r="W55" s="60" t="str">
        <f>IF(AND($B55=[1]rogério!$A52,[1]rogério!$B52=W$4),"ok","nok")</f>
        <v>nok</v>
      </c>
      <c r="X55" s="60" t="str">
        <f>IF(AND($B55=[1]rogério!$A52,[1]rogério!$B52=X$4),"ok","nok")</f>
        <v>nok</v>
      </c>
      <c r="Y55" s="105" t="s">
        <v>33</v>
      </c>
      <c r="Z55" s="106"/>
      <c r="AA55" s="106"/>
      <c r="AB55" s="107"/>
      <c r="AC55" s="40"/>
      <c r="AD55" s="40"/>
      <c r="AE55" s="48" t="str">
        <f t="shared" si="4"/>
        <v/>
      </c>
      <c r="AF55" s="48"/>
      <c r="AG55" s="48"/>
      <c r="AH55" s="89"/>
      <c r="AI55" s="49">
        <f t="shared" si="5"/>
        <v>0</v>
      </c>
      <c r="AJ55" s="49" t="str">
        <f t="shared" si="6"/>
        <v/>
      </c>
      <c r="AK55" s="49">
        <f t="shared" si="7"/>
        <v>1</v>
      </c>
      <c r="AL55" s="49" t="str">
        <f t="shared" si="8"/>
        <v>EFPRAZO</v>
      </c>
      <c r="AM55" s="49">
        <f t="shared" si="9"/>
        <v>0</v>
      </c>
      <c r="AN55" s="49" t="str">
        <f t="shared" si="10"/>
        <v/>
      </c>
      <c r="AO55" s="49">
        <f t="shared" si="11"/>
        <v>0</v>
      </c>
      <c r="AP55" s="49" t="str">
        <f t="shared" si="12"/>
        <v/>
      </c>
      <c r="AQ55" s="49">
        <f t="shared" si="13"/>
        <v>0</v>
      </c>
      <c r="AR55" s="49" t="str">
        <f t="shared" si="14"/>
        <v/>
      </c>
      <c r="AV55" s="99"/>
      <c r="BB55">
        <f t="shared" si="22"/>
        <v>0</v>
      </c>
      <c r="BF55" s="52"/>
    </row>
    <row r="56" spans="1:58" ht="30" customHeight="1" x14ac:dyDescent="0.35">
      <c r="A56" s="25" t="str">
        <f t="shared" si="27"/>
        <v>PT072 - ANCORAGEM DE SÃO LUIS
TR-315K-09</v>
      </c>
      <c r="B56" s="38" t="s">
        <v>48</v>
      </c>
      <c r="C56" s="60" t="str">
        <f>IF(AND($B56=[1]rogério!$A53,[1]rogério!$B53=C$4),"ok","nok")</f>
        <v>nok</v>
      </c>
      <c r="D56" s="60" t="str">
        <f>IF(AND($B56=[1]rogério!$A53,[1]rogério!$B53=D$4),"ok","nok")</f>
        <v>nok</v>
      </c>
      <c r="E56" s="60" t="str">
        <f>IF(AND($B56=[1]rogério!$A53,[1]rogério!$B53=E$4),"ok","nok")</f>
        <v>nok</v>
      </c>
      <c r="F56" s="60" t="str">
        <f>IF(AND($B56=[1]rogério!$A53,[1]rogério!$B53=F$4),"ok","nok")</f>
        <v>nok</v>
      </c>
      <c r="G56" s="60" t="str">
        <f>IF(AND($B56=[1]rogério!$A53,[1]rogério!$B53=G$4),"ok","nok")</f>
        <v>nok</v>
      </c>
      <c r="H56" s="60" t="str">
        <f>IF(AND($B56=[1]rogério!$A53,[1]rogério!$B53=H$4),"ok","nok")</f>
        <v>nok</v>
      </c>
      <c r="I56" s="60" t="str">
        <f>IF(AND($B56=[1]rogério!$A53,[1]rogério!$B53=I$4),"ok","nok")</f>
        <v>nok</v>
      </c>
      <c r="J56" s="60" t="str">
        <f>IF(AND($B56=[1]rogério!$A53,[1]rogério!$B53=J$4),"ok","nok")</f>
        <v>nok</v>
      </c>
      <c r="K56" s="60" t="str">
        <f>IF(AND($B56=[1]rogério!$A53,[1]rogério!$B53=K$4),"ok","nok")</f>
        <v>nok</v>
      </c>
      <c r="L56" s="60" t="str">
        <f>IF(AND($B56=[1]rogério!$A53,[1]rogério!$B53=L$4),"ok","nok")</f>
        <v>nok</v>
      </c>
      <c r="M56" s="60" t="str">
        <f>IF(AND($B56=[1]rogério!$A53,[1]rogério!$B53=M$4),"ok","nok")</f>
        <v>nok</v>
      </c>
      <c r="N56" s="60" t="str">
        <f>IF(AND($B56=[1]rogério!$A53,[1]rogério!$B53=N$4),"ok","nok")</f>
        <v>ok</v>
      </c>
      <c r="O56" s="60" t="str">
        <f>IF(AND($B56=[1]rogério!$A53,[1]rogério!$B53=O$4),"ok","nok")</f>
        <v>nok</v>
      </c>
      <c r="P56" s="60" t="str">
        <f>IF(AND($B56=[1]rogério!$A53,[1]rogério!$B53=P$4),"ok","nok")</f>
        <v>nok</v>
      </c>
      <c r="Q56" s="60" t="str">
        <f>IF(AND($B56=[1]rogério!$A53,[1]rogério!$B53=Q$4),"ok","nok")</f>
        <v>nok</v>
      </c>
      <c r="R56" s="60" t="str">
        <f>IF(AND($B56=[1]rogério!$A53,[1]rogério!$B53=R$4),"ok","nok")</f>
        <v>nok</v>
      </c>
      <c r="S56" s="60" t="str">
        <f>IF(AND($B56=[1]rogério!$A53,[1]rogério!$B53=S$4),"ok","nok")</f>
        <v>nok</v>
      </c>
      <c r="T56" s="60" t="str">
        <f>IF(AND($B56=[1]rogério!$A53,[1]rogério!$B53=T$4),"ok","nok")</f>
        <v>nok</v>
      </c>
      <c r="U56" s="60" t="str">
        <f>IF(AND($B56=[1]rogério!$A53,[1]rogério!$B53=U$4),"ok","nok")</f>
        <v>nok</v>
      </c>
      <c r="V56" s="60" t="str">
        <f>IF(AND($B56=[1]rogério!$A53,[1]rogério!$B53=V$4),"ok","nok")</f>
        <v>nok</v>
      </c>
      <c r="W56" s="60" t="str">
        <f>IF(AND($B56=[1]rogério!$A53,[1]rogério!$B53=W$4),"ok","nok")</f>
        <v>nok</v>
      </c>
      <c r="X56" s="60" t="str">
        <f>IF(AND($B56=[1]rogério!$A53,[1]rogério!$B53=X$4),"ok","nok")</f>
        <v>nok</v>
      </c>
      <c r="Y56" s="105" t="s">
        <v>33</v>
      </c>
      <c r="Z56" s="106"/>
      <c r="AA56" s="106"/>
      <c r="AB56" s="107"/>
      <c r="AC56" s="40"/>
      <c r="AD56" s="40"/>
      <c r="AE56" s="48" t="str">
        <f t="shared" si="4"/>
        <v/>
      </c>
      <c r="AF56" s="48"/>
      <c r="AG56" s="48"/>
      <c r="AH56" s="89"/>
      <c r="AI56" s="49">
        <f t="shared" si="5"/>
        <v>0</v>
      </c>
      <c r="AJ56" s="49" t="str">
        <f t="shared" si="6"/>
        <v/>
      </c>
      <c r="AK56" s="49">
        <f t="shared" si="7"/>
        <v>0</v>
      </c>
      <c r="AL56" s="49" t="str">
        <f t="shared" si="8"/>
        <v/>
      </c>
      <c r="AM56" s="49">
        <f t="shared" si="9"/>
        <v>1</v>
      </c>
      <c r="AN56" s="49" t="str">
        <f t="shared" si="10"/>
        <v>EFPRAZO</v>
      </c>
      <c r="AO56" s="49">
        <f t="shared" si="11"/>
        <v>0</v>
      </c>
      <c r="AP56" s="49" t="str">
        <f t="shared" si="12"/>
        <v/>
      </c>
      <c r="AQ56" s="49">
        <f t="shared" si="13"/>
        <v>0</v>
      </c>
      <c r="AR56" s="49" t="str">
        <f t="shared" si="14"/>
        <v/>
      </c>
      <c r="AV56" s="99"/>
      <c r="BB56">
        <f t="shared" si="22"/>
        <v>0</v>
      </c>
      <c r="BF56" s="52"/>
    </row>
    <row r="57" spans="1:58" ht="30" customHeight="1" x14ac:dyDescent="0.35">
      <c r="A57" s="25"/>
      <c r="B57" s="39" t="s">
        <v>41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108"/>
      <c r="Z57" s="109"/>
      <c r="AA57" s="109"/>
      <c r="AB57" s="110"/>
      <c r="AC57" s="40"/>
      <c r="AD57" s="40"/>
      <c r="AE57" s="48" t="str">
        <f t="shared" si="4"/>
        <v/>
      </c>
      <c r="AF57" s="48"/>
      <c r="AG57" s="48"/>
      <c r="AH57" s="89"/>
      <c r="AI57" s="49">
        <f t="shared" si="5"/>
        <v>0</v>
      </c>
      <c r="AJ57" s="49" t="str">
        <f t="shared" si="6"/>
        <v/>
      </c>
      <c r="AK57" s="49">
        <f t="shared" si="7"/>
        <v>0</v>
      </c>
      <c r="AL57" s="49" t="str">
        <f t="shared" si="8"/>
        <v/>
      </c>
      <c r="AM57" s="49">
        <f t="shared" si="9"/>
        <v>0</v>
      </c>
      <c r="AN57" s="49" t="str">
        <f t="shared" si="10"/>
        <v/>
      </c>
      <c r="AO57" s="49">
        <f t="shared" si="11"/>
        <v>0</v>
      </c>
      <c r="AP57" s="49" t="str">
        <f t="shared" si="12"/>
        <v/>
      </c>
      <c r="AQ57" s="49">
        <f t="shared" si="13"/>
        <v>0</v>
      </c>
      <c r="AR57" s="49" t="str">
        <f t="shared" si="14"/>
        <v/>
      </c>
      <c r="AV57" s="57"/>
      <c r="BF57" s="52"/>
    </row>
    <row r="58" spans="1:58" ht="30" customHeight="1" x14ac:dyDescent="0.35">
      <c r="A58" s="25" t="str">
        <f t="shared" si="27"/>
        <v>PT072 - ANCORAGEM DE SÃO LUIS
TR-315K-09</v>
      </c>
      <c r="B58" s="40" t="s">
        <v>49</v>
      </c>
      <c r="C58" s="60" t="str">
        <f>IF(AND($B58=[1]rogério!$A55,[1]rogério!$B55=C$4),"ok","nok")</f>
        <v>nok</v>
      </c>
      <c r="D58" s="60" t="str">
        <f>IF(AND($B58=[1]rogério!$A55,[1]rogério!$B55=D$4),"ok","nok")</f>
        <v>nok</v>
      </c>
      <c r="E58" s="60" t="str">
        <f>IF(AND($B58=[1]rogério!$A55,[1]rogério!$B55=E$4),"ok","nok")</f>
        <v>nok</v>
      </c>
      <c r="F58" s="60" t="str">
        <f>IF(AND($B58=[1]rogério!$A55,[1]rogério!$B55=F$4),"ok","nok")</f>
        <v>nok</v>
      </c>
      <c r="G58" s="60" t="str">
        <f>IF(AND($B58=[1]rogério!$A55,[1]rogério!$B55=G$4),"ok","nok")</f>
        <v>nok</v>
      </c>
      <c r="H58" s="60" t="str">
        <f>IF(AND($B58=[1]rogério!$A55,[1]rogério!$B55=H$4),"ok","nok")</f>
        <v>nok</v>
      </c>
      <c r="I58" s="60" t="str">
        <f>IF(AND($B58=[1]rogério!$A55,[1]rogério!$B55=I$4),"ok","nok")</f>
        <v>nok</v>
      </c>
      <c r="J58" s="60" t="str">
        <f>IF(AND($B58=[1]rogério!$A55,[1]rogério!$B55=J$4),"ok","nok")</f>
        <v>ok</v>
      </c>
      <c r="K58" s="60" t="str">
        <f>IF(AND($B58=[1]rogério!$A55,[1]rogério!$B55=K$4),"ok","nok")</f>
        <v>nok</v>
      </c>
      <c r="L58" s="60" t="str">
        <f>IF(AND($B58=[1]rogério!$A55,[1]rogério!$B55=L$4),"ok","nok")</f>
        <v>nok</v>
      </c>
      <c r="M58" s="60" t="str">
        <f>IF(AND($B58=[1]rogério!$A55,[1]rogério!$B55=M$4),"ok","nok")</f>
        <v>nok</v>
      </c>
      <c r="N58" s="60" t="str">
        <f>IF(AND($B58=[1]rogério!$A55,[1]rogério!$B55=N$4),"ok","nok")</f>
        <v>nok</v>
      </c>
      <c r="O58" s="60" t="str">
        <f>IF(AND($B58=[1]rogério!$A55,[1]rogério!$B55=O$4),"ok","nok")</f>
        <v>nok</v>
      </c>
      <c r="P58" s="60" t="str">
        <f>IF(AND($B58=[1]rogério!$A55,[1]rogério!$B55=P$4),"ok","nok")</f>
        <v>nok</v>
      </c>
      <c r="Q58" s="60" t="str">
        <f>IF(AND($B58=[1]rogério!$A55,[1]rogério!$B55=Q$4),"ok","nok")</f>
        <v>nok</v>
      </c>
      <c r="R58" s="60" t="str">
        <f>IF(AND($B58=[1]rogério!$A55,[1]rogério!$B55=R$4),"ok","nok")</f>
        <v>nok</v>
      </c>
      <c r="S58" s="60" t="str">
        <f>IF(AND($B58=[1]rogério!$A55,[1]rogério!$B55=S$4),"ok","nok")</f>
        <v>nok</v>
      </c>
      <c r="T58" s="60" t="str">
        <f>IF(AND($B58=[1]rogério!$A55,[1]rogério!$B55=T$4),"ok","nok")</f>
        <v>nok</v>
      </c>
      <c r="U58" s="60" t="str">
        <f>IF(AND($B58=[1]rogério!$A55,[1]rogério!$B55=U$4),"ok","nok")</f>
        <v>nok</v>
      </c>
      <c r="V58" s="60" t="str">
        <f>IF(AND($B58=[1]rogério!$A55,[1]rogério!$B55=V$4),"ok","nok")</f>
        <v>nok</v>
      </c>
      <c r="W58" s="60" t="str">
        <f>IF(AND($B58=[1]rogério!$A55,[1]rogério!$B55=W$4),"ok","nok")</f>
        <v>nok</v>
      </c>
      <c r="X58" s="60" t="str">
        <f>IF(AND($B58=[1]rogério!$A55,[1]rogério!$B55=X$4),"ok","nok")</f>
        <v>nok</v>
      </c>
      <c r="Y58" s="105" t="s">
        <v>33</v>
      </c>
      <c r="Z58" s="106"/>
      <c r="AA58" s="106"/>
      <c r="AB58" s="107"/>
      <c r="AC58" s="40"/>
      <c r="AD58" s="40"/>
      <c r="AE58" s="48" t="str">
        <f t="shared" si="4"/>
        <v/>
      </c>
      <c r="AF58" s="48"/>
      <c r="AG58" s="48"/>
      <c r="AH58" s="89"/>
      <c r="AI58" s="49">
        <f t="shared" si="5"/>
        <v>0</v>
      </c>
      <c r="AJ58" s="49" t="str">
        <f t="shared" si="6"/>
        <v/>
      </c>
      <c r="AK58" s="49">
        <f t="shared" si="7"/>
        <v>1</v>
      </c>
      <c r="AL58" s="49" t="str">
        <f t="shared" si="8"/>
        <v>EFPRAZO</v>
      </c>
      <c r="AM58" s="49">
        <f t="shared" si="9"/>
        <v>0</v>
      </c>
      <c r="AN58" s="49" t="str">
        <f t="shared" si="10"/>
        <v/>
      </c>
      <c r="AO58" s="49">
        <f t="shared" si="11"/>
        <v>0</v>
      </c>
      <c r="AP58" s="49" t="str">
        <f t="shared" si="12"/>
        <v/>
      </c>
      <c r="AQ58" s="49">
        <f t="shared" si="13"/>
        <v>0</v>
      </c>
      <c r="AR58" s="49" t="str">
        <f t="shared" si="14"/>
        <v/>
      </c>
      <c r="AV58" s="57"/>
      <c r="BF58" s="52"/>
    </row>
    <row r="59" spans="1:58" ht="30" customHeight="1" x14ac:dyDescent="0.35">
      <c r="A59" s="25" t="str">
        <f t="shared" si="27"/>
        <v>PT072 - ANCORAGEM DE SÃO LUIS
TR-315K-09</v>
      </c>
      <c r="B59" s="40" t="s">
        <v>19</v>
      </c>
      <c r="C59" s="60" t="str">
        <f>IF(AND($B59=[1]rogério!$A56,[1]rogério!$B56=C$4),"ok","nok")</f>
        <v>nok</v>
      </c>
      <c r="D59" s="60" t="str">
        <f>IF(AND($B59=[1]rogério!$A56,[1]rogério!$B56=D$4),"ok","nok")</f>
        <v>nok</v>
      </c>
      <c r="E59" s="60" t="str">
        <f>IF(AND($B59=[1]rogério!$A56,[1]rogério!$B56=E$4),"ok","nok")</f>
        <v>nok</v>
      </c>
      <c r="F59" s="60" t="str">
        <f>IF(AND($B59=[1]rogério!$A56,[1]rogério!$B56=F$4),"ok","nok")</f>
        <v>nok</v>
      </c>
      <c r="G59" s="60" t="str">
        <f>IF(AND($B59=[1]rogério!$A56,[1]rogério!$B56=G$4),"ok","nok")</f>
        <v>nok</v>
      </c>
      <c r="H59" s="60" t="str">
        <f>IF(AND($B59=[1]rogério!$A56,[1]rogério!$B56=H$4),"ok","nok")</f>
        <v>nok</v>
      </c>
      <c r="I59" s="60" t="str">
        <f>IF(AND($B59=[1]rogério!$A56,[1]rogério!$B56=I$4),"ok","nok")</f>
        <v>nok</v>
      </c>
      <c r="J59" s="60" t="str">
        <f>IF(AND($B59=[1]rogério!$A56,[1]rogério!$B56=J$4),"ok","nok")</f>
        <v>nok</v>
      </c>
      <c r="K59" s="60" t="str">
        <f>IF(AND($B59=[1]rogério!$A56,[1]rogério!$B56=K$4),"ok","nok")</f>
        <v>nok</v>
      </c>
      <c r="L59" s="60" t="str">
        <f>IF(AND($B59=[1]rogério!$A56,[1]rogério!$B56=L$4),"ok","nok")</f>
        <v>nok</v>
      </c>
      <c r="M59" s="60" t="str">
        <f>IF(AND($B59=[1]rogério!$A56,[1]rogério!$B56=M$4),"ok","nok")</f>
        <v>nok</v>
      </c>
      <c r="N59" s="60" t="str">
        <f>IF(AND($B59=[1]rogério!$A56,[1]rogério!$B56=N$4),"ok","nok")</f>
        <v>nok</v>
      </c>
      <c r="O59" s="60" t="str">
        <f>IF(AND($B59=[1]rogério!$A56,[1]rogério!$B56=O$4),"ok","nok")</f>
        <v>nok</v>
      </c>
      <c r="P59" s="60" t="str">
        <f>IF(AND($B59=[1]rogério!$A56,[1]rogério!$B56=P$4),"ok","nok")</f>
        <v>nok</v>
      </c>
      <c r="Q59" s="104"/>
      <c r="R59" s="60" t="str">
        <f>IF(AND($B59=[1]rogério!$A56,[1]rogério!$B56=R$4),"ok","nok")</f>
        <v>nok</v>
      </c>
      <c r="S59" s="60" t="str">
        <f>IF(AND($B59=[1]rogério!$A56,[1]rogério!$B56=S$4),"ok","nok")</f>
        <v>nok</v>
      </c>
      <c r="T59" s="60" t="str">
        <f>IF(AND($B59=[1]rogério!$A56,[1]rogério!$B56=T$4),"ok","nok")</f>
        <v>nok</v>
      </c>
      <c r="U59" s="60" t="str">
        <f>IF(AND($B59=[1]rogério!$A56,[1]rogério!$B56=U$4),"ok","nok")</f>
        <v>nok</v>
      </c>
      <c r="V59" s="60" t="str">
        <f>IF(AND($B59=[1]rogério!$A56,[1]rogério!$B56=V$4),"ok","nok")</f>
        <v>nok</v>
      </c>
      <c r="W59" s="60" t="str">
        <f>IF(AND($B59=[1]rogério!$A56,[1]rogério!$B56=W$4),"ok","nok")</f>
        <v>ok</v>
      </c>
      <c r="X59" s="60" t="str">
        <f>IF(AND($B59=[1]rogério!$A56,[1]rogério!$B56=X$4),"ok","nok")</f>
        <v>nok</v>
      </c>
      <c r="Y59" s="105" t="s">
        <v>32</v>
      </c>
      <c r="Z59" s="106"/>
      <c r="AA59" s="106"/>
      <c r="AB59" s="107"/>
      <c r="AC59" s="40"/>
      <c r="AD59" s="40"/>
      <c r="AE59" s="48" t="str">
        <f t="shared" si="4"/>
        <v/>
      </c>
      <c r="AF59" s="48"/>
      <c r="AG59" s="48"/>
      <c r="AH59" s="89"/>
      <c r="AI59" s="49">
        <f t="shared" si="5"/>
        <v>0</v>
      </c>
      <c r="AJ59" s="49" t="str">
        <f t="shared" si="6"/>
        <v/>
      </c>
      <c r="AK59" s="49">
        <f t="shared" si="7"/>
        <v>0</v>
      </c>
      <c r="AL59" s="49" t="str">
        <f t="shared" si="8"/>
        <v/>
      </c>
      <c r="AM59" s="49">
        <f t="shared" si="9"/>
        <v>0</v>
      </c>
      <c r="AN59" s="49" t="str">
        <f t="shared" si="10"/>
        <v/>
      </c>
      <c r="AO59" s="49">
        <f t="shared" si="11"/>
        <v>0</v>
      </c>
      <c r="AP59" s="49" t="str">
        <f t="shared" si="12"/>
        <v/>
      </c>
      <c r="AQ59" s="49">
        <f t="shared" si="13"/>
        <v>1</v>
      </c>
      <c r="AR59" s="49" t="str">
        <f t="shared" si="14"/>
        <v/>
      </c>
      <c r="AV59" s="57"/>
      <c r="BF59" s="52"/>
    </row>
    <row r="60" spans="1:58" ht="30" customHeight="1" x14ac:dyDescent="0.35">
      <c r="A60" s="25" t="str">
        <f t="shared" si="27"/>
        <v>PT072 - ANCORAGEM DE SÃO LUIS
TR-315K-09</v>
      </c>
      <c r="B60" s="40" t="s">
        <v>42</v>
      </c>
      <c r="C60" s="60" t="str">
        <f>IF(AND($B60=[1]rogério!$A57,[1]rogério!$B57=C$4),"ok","nok")</f>
        <v>nok</v>
      </c>
      <c r="D60" s="60" t="str">
        <f>IF(AND($B60=[1]rogério!$A57,[1]rogério!$B57=D$4),"ok","nok")</f>
        <v>nok</v>
      </c>
      <c r="E60" s="60" t="str">
        <f>IF(AND($B60=[1]rogério!$A57,[1]rogério!$B57=E$4),"ok","nok")</f>
        <v>nok</v>
      </c>
      <c r="F60" s="60" t="str">
        <f>IF(AND($B60=[1]rogério!$A57,[1]rogério!$B57=F$4),"ok","nok")</f>
        <v>nok</v>
      </c>
      <c r="G60" s="60" t="str">
        <f>IF(AND($B60=[1]rogério!$A57,[1]rogério!$B57=G$4),"ok","nok")</f>
        <v>nok</v>
      </c>
      <c r="H60" s="60" t="str">
        <f>IF(AND($B60=[1]rogério!$A57,[1]rogério!$B57=H$4),"ok","nok")</f>
        <v>nok</v>
      </c>
      <c r="I60" s="60" t="str">
        <f>IF(AND($B60=[1]rogério!$A57,[1]rogério!$B57=I$4),"ok","nok")</f>
        <v>nok</v>
      </c>
      <c r="J60" s="60" t="str">
        <f>IF(AND($B60=[1]rogério!$A57,[1]rogério!$B57=J$4),"ok","nok")</f>
        <v>nok</v>
      </c>
      <c r="K60" s="60" t="str">
        <f>IF(AND($B60=[1]rogério!$A57,[1]rogério!$B57=K$4),"ok","nok")</f>
        <v>nok</v>
      </c>
      <c r="L60" s="60" t="str">
        <f>IF(AND($B60=[1]rogério!$A57,[1]rogério!$B57=L$4),"ok","nok")</f>
        <v>nok</v>
      </c>
      <c r="M60" s="60" t="str">
        <f>IF(AND($B60=[1]rogério!$A57,[1]rogério!$B57=M$4),"ok","nok")</f>
        <v>nok</v>
      </c>
      <c r="N60" s="60" t="str">
        <f>IF(AND($B60=[1]rogério!$A57,[1]rogério!$B57=N$4),"ok","nok")</f>
        <v>nok</v>
      </c>
      <c r="O60" s="60" t="str">
        <f>IF(AND($B60=[1]rogério!$A57,[1]rogério!$B57=O$4),"ok","nok")</f>
        <v>nok</v>
      </c>
      <c r="P60" s="60" t="str">
        <f>IF(AND($B60=[1]rogério!$A57,[1]rogério!$B57=P$4),"ok","nok")</f>
        <v>nok</v>
      </c>
      <c r="Q60" s="60" t="str">
        <f>IF(AND($B60=[1]rogério!$A57,[1]rogério!$B57=Q$4),"ok","nok")</f>
        <v>nok</v>
      </c>
      <c r="R60" s="104"/>
      <c r="S60" s="60" t="str">
        <f>IF(AND($B60=[1]rogério!$A57,[1]rogério!$B57=S$4),"ok","nok")</f>
        <v>nok</v>
      </c>
      <c r="T60" s="60" t="str">
        <f>IF(AND($B60=[1]rogério!$A57,[1]rogério!$B57=T$4),"ok","nok")</f>
        <v>nok</v>
      </c>
      <c r="U60" s="60" t="str">
        <f>IF(AND($B60=[1]rogério!$A57,[1]rogério!$B57=U$4),"ok","nok")</f>
        <v>nok</v>
      </c>
      <c r="V60" s="60" t="str">
        <f>IF(AND($B60=[1]rogério!$A57,[1]rogério!$B57=V$4),"ok","nok")</f>
        <v>nok</v>
      </c>
      <c r="W60" s="60" t="str">
        <f>IF(AND($B60=[1]rogério!$A57,[1]rogério!$B57=W$4),"ok","nok")</f>
        <v>nok</v>
      </c>
      <c r="X60" s="60" t="str">
        <f>IF(AND($B60=[1]rogério!$A57,[1]rogério!$B57=X$4),"ok","nok")</f>
        <v>ok</v>
      </c>
      <c r="Y60" s="105" t="s">
        <v>32</v>
      </c>
      <c r="Z60" s="106"/>
      <c r="AA60" s="106"/>
      <c r="AB60" s="107"/>
      <c r="AC60" s="40"/>
      <c r="AD60" s="40"/>
      <c r="AE60" s="48" t="str">
        <f t="shared" si="4"/>
        <v/>
      </c>
      <c r="AF60" s="48"/>
      <c r="AG60" s="48"/>
      <c r="AH60" s="89"/>
      <c r="AI60" s="49">
        <f t="shared" si="5"/>
        <v>0</v>
      </c>
      <c r="AJ60" s="49" t="str">
        <f t="shared" si="6"/>
        <v/>
      </c>
      <c r="AK60" s="49">
        <f t="shared" si="7"/>
        <v>0</v>
      </c>
      <c r="AL60" s="49" t="str">
        <f t="shared" si="8"/>
        <v/>
      </c>
      <c r="AM60" s="49">
        <f t="shared" si="9"/>
        <v>0</v>
      </c>
      <c r="AN60" s="49" t="str">
        <f t="shared" si="10"/>
        <v/>
      </c>
      <c r="AO60" s="49">
        <f t="shared" si="11"/>
        <v>0</v>
      </c>
      <c r="AP60" s="49" t="str">
        <f t="shared" si="12"/>
        <v/>
      </c>
      <c r="AQ60" s="49">
        <f t="shared" si="13"/>
        <v>1</v>
      </c>
      <c r="AR60" s="49" t="str">
        <f t="shared" si="14"/>
        <v/>
      </c>
      <c r="AV60" s="57"/>
      <c r="BF60" s="52"/>
    </row>
    <row r="61" spans="1:58" ht="30" customHeight="1" x14ac:dyDescent="0.35">
      <c r="A61" s="25" t="str">
        <f t="shared" si="27"/>
        <v>PT072 - ANCORAGEM DE SÃO LUIS
TR-315K-09</v>
      </c>
      <c r="B61" s="40" t="s">
        <v>43</v>
      </c>
      <c r="C61" s="60" t="str">
        <f>IF(AND($B61=[1]rogério!$A58,[1]rogério!$B58=C$4),"ok","nok")</f>
        <v>nok</v>
      </c>
      <c r="D61" s="60" t="str">
        <f>IF(AND($B61=[1]rogério!$A58,[1]rogério!$B58=D$4),"ok","nok")</f>
        <v>nok</v>
      </c>
      <c r="E61" s="60" t="str">
        <f>IF(AND($B61=[1]rogério!$A58,[1]rogério!$B58=E$4),"ok","nok")</f>
        <v>nok</v>
      </c>
      <c r="F61" s="60" t="str">
        <f>IF(AND($B61=[1]rogério!$A58,[1]rogério!$B58=F$4),"ok","nok")</f>
        <v>nok</v>
      </c>
      <c r="G61" s="60" t="str">
        <f>IF(AND($B61=[1]rogério!$A58,[1]rogério!$B58=G$4),"ok","nok")</f>
        <v>nok</v>
      </c>
      <c r="H61" s="60" t="str">
        <f>IF(AND($B61=[1]rogério!$A58,[1]rogério!$B58=H$4),"ok","nok")</f>
        <v>nok</v>
      </c>
      <c r="I61" s="60" t="str">
        <f>IF(AND($B61=[1]rogério!$A58,[1]rogério!$B58=I$4),"ok","nok")</f>
        <v>nok</v>
      </c>
      <c r="J61" s="60" t="str">
        <f>IF(AND($B61=[1]rogério!$A58,[1]rogério!$B58=J$4),"ok","nok")</f>
        <v>nok</v>
      </c>
      <c r="K61" s="60" t="str">
        <f>IF(AND($B61=[1]rogério!$A58,[1]rogério!$B58=K$4),"ok","nok")</f>
        <v>nok</v>
      </c>
      <c r="L61" s="60" t="str">
        <f>IF(AND($B61=[1]rogério!$A58,[1]rogério!$B58=L$4),"ok","nok")</f>
        <v>nok</v>
      </c>
      <c r="M61" s="60" t="str">
        <f>IF(AND($B61=[1]rogério!$A58,[1]rogério!$B58=M$4),"ok","nok")</f>
        <v>nok</v>
      </c>
      <c r="N61" s="60" t="str">
        <f>IF(AND($B61=[1]rogério!$A58,[1]rogério!$B58=N$4),"ok","nok")</f>
        <v>nok</v>
      </c>
      <c r="O61" s="60" t="str">
        <f>IF(AND($B61=[1]rogério!$A58,[1]rogério!$B58=O$4),"ok","nok")</f>
        <v>nok</v>
      </c>
      <c r="P61" s="60" t="str">
        <f>IF(AND($B61=[1]rogério!$A58,[1]rogério!$B58=P$4),"ok","nok")</f>
        <v>nok</v>
      </c>
      <c r="Q61" s="60" t="str">
        <f>IF(AND($B61=[1]rogério!$A58,[1]rogério!$B58=Q$4),"ok","nok")</f>
        <v>nok</v>
      </c>
      <c r="R61" s="104"/>
      <c r="S61" s="60" t="str">
        <f>IF(AND($B61=[1]rogério!$A58,[1]rogério!$B58=S$4),"ok","nok")</f>
        <v>nok</v>
      </c>
      <c r="T61" s="60" t="str">
        <f>IF(AND($B61=[1]rogério!$A58,[1]rogério!$B58=T$4),"ok","nok")</f>
        <v>nok</v>
      </c>
      <c r="U61" s="60" t="str">
        <f>IF(AND($B61=[1]rogério!$A58,[1]rogério!$B58=U$4),"ok","nok")</f>
        <v>nok</v>
      </c>
      <c r="V61" s="60" t="str">
        <f>IF(AND($B61=[1]rogério!$A58,[1]rogério!$B58=V$4),"ok","nok")</f>
        <v>nok</v>
      </c>
      <c r="W61" s="60" t="str">
        <f>IF(AND($B61=[1]rogério!$A58,[1]rogério!$B58=W$4),"ok","nok")</f>
        <v>nok</v>
      </c>
      <c r="X61" s="60" t="str">
        <f>IF(AND($B61=[1]rogério!$A58,[1]rogério!$B58=X$4),"ok","nok")</f>
        <v>ok</v>
      </c>
      <c r="Y61" s="105" t="s">
        <v>32</v>
      </c>
      <c r="Z61" s="106"/>
      <c r="AA61" s="106"/>
      <c r="AB61" s="107"/>
      <c r="AC61" s="40"/>
      <c r="AD61" s="40"/>
      <c r="AE61" s="48" t="str">
        <f t="shared" si="4"/>
        <v/>
      </c>
      <c r="AF61" s="48"/>
      <c r="AG61" s="48"/>
      <c r="AH61" s="89"/>
      <c r="AI61" s="49">
        <f t="shared" si="5"/>
        <v>0</v>
      </c>
      <c r="AJ61" s="49" t="str">
        <f t="shared" si="6"/>
        <v/>
      </c>
      <c r="AK61" s="49">
        <f t="shared" si="7"/>
        <v>0</v>
      </c>
      <c r="AL61" s="49" t="str">
        <f t="shared" si="8"/>
        <v/>
      </c>
      <c r="AM61" s="49">
        <f t="shared" si="9"/>
        <v>0</v>
      </c>
      <c r="AN61" s="49" t="str">
        <f t="shared" si="10"/>
        <v/>
      </c>
      <c r="AO61" s="49">
        <f t="shared" si="11"/>
        <v>0</v>
      </c>
      <c r="AP61" s="49" t="str">
        <f t="shared" si="12"/>
        <v/>
      </c>
      <c r="AQ61" s="49">
        <f t="shared" si="13"/>
        <v>1</v>
      </c>
      <c r="AR61" s="49" t="str">
        <f t="shared" si="14"/>
        <v/>
      </c>
      <c r="AV61" s="57"/>
      <c r="BF61" s="52"/>
    </row>
    <row r="62" spans="1:58" ht="30" customHeight="1" x14ac:dyDescent="0.35">
      <c r="A62" s="25"/>
      <c r="B62" s="39" t="s">
        <v>44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108"/>
      <c r="Z62" s="109"/>
      <c r="AA62" s="109"/>
      <c r="AB62" s="110"/>
      <c r="AC62" s="40"/>
      <c r="AD62" s="40"/>
      <c r="AE62" s="48" t="str">
        <f t="shared" si="4"/>
        <v/>
      </c>
      <c r="AF62" s="48"/>
      <c r="AG62" s="48"/>
      <c r="AH62" s="89"/>
      <c r="AI62" s="49">
        <f t="shared" si="5"/>
        <v>0</v>
      </c>
      <c r="AJ62" s="49" t="str">
        <f t="shared" si="6"/>
        <v/>
      </c>
      <c r="AK62" s="49">
        <f t="shared" si="7"/>
        <v>0</v>
      </c>
      <c r="AL62" s="49" t="str">
        <f t="shared" si="8"/>
        <v/>
      </c>
      <c r="AM62" s="49">
        <f t="shared" si="9"/>
        <v>0</v>
      </c>
      <c r="AN62" s="49" t="str">
        <f t="shared" si="10"/>
        <v/>
      </c>
      <c r="AO62" s="49">
        <f t="shared" si="11"/>
        <v>0</v>
      </c>
      <c r="AP62" s="49" t="str">
        <f t="shared" si="12"/>
        <v/>
      </c>
      <c r="AQ62" s="49">
        <f t="shared" si="13"/>
        <v>0</v>
      </c>
      <c r="AR62" s="49" t="str">
        <f t="shared" si="14"/>
        <v/>
      </c>
      <c r="AV62" s="57"/>
      <c r="BF62" s="52"/>
    </row>
    <row r="63" spans="1:58" ht="30" customHeight="1" x14ac:dyDescent="0.35">
      <c r="A63" s="25" t="str">
        <f t="shared" si="27"/>
        <v>PT072 - ANCORAGEM DE SÃO LUIS
TR-315K-09</v>
      </c>
      <c r="B63" s="40" t="s">
        <v>49</v>
      </c>
      <c r="C63" s="60" t="str">
        <f>IF(AND($B63=[1]rogério!$A60,[1]rogério!$B60=C$4),"ok","nok")</f>
        <v>nok</v>
      </c>
      <c r="D63" s="60" t="str">
        <f>IF(AND($B63=[1]rogério!$A60,[1]rogério!$B60=D$4),"ok","nok")</f>
        <v>nok</v>
      </c>
      <c r="E63" s="60" t="str">
        <f>IF(AND($B63=[1]rogério!$A60,[1]rogério!$B60=E$4),"ok","nok")</f>
        <v>nok</v>
      </c>
      <c r="F63" s="60" t="str">
        <f>IF(AND($B63=[1]rogério!$A60,[1]rogério!$B60=F$4),"ok","nok")</f>
        <v>nok</v>
      </c>
      <c r="G63" s="60" t="str">
        <f>IF(AND($B63=[1]rogério!$A60,[1]rogério!$B60=G$4),"ok","nok")</f>
        <v>nok</v>
      </c>
      <c r="H63" s="60" t="str">
        <f>IF(AND($B63=[1]rogério!$A60,[1]rogério!$B60=H$4),"ok","nok")</f>
        <v>nok</v>
      </c>
      <c r="I63" s="60" t="str">
        <f>IF(AND($B63=[1]rogério!$A60,[1]rogério!$B60=I$4),"ok","nok")</f>
        <v>nok</v>
      </c>
      <c r="J63" s="60" t="str">
        <f>IF(AND($B63=[1]rogério!$A60,[1]rogério!$B60=J$4),"ok","nok")</f>
        <v>nok</v>
      </c>
      <c r="K63" s="60" t="str">
        <f>IF(AND($B63=[1]rogério!$A60,[1]rogério!$B60=K$4),"ok","nok")</f>
        <v>nok</v>
      </c>
      <c r="L63" s="60" t="str">
        <f>IF(AND($B63=[1]rogério!$A60,[1]rogério!$B60=L$4),"ok","nok")</f>
        <v>nok</v>
      </c>
      <c r="M63" s="60" t="str">
        <f>IF(AND($B63=[1]rogério!$A60,[1]rogério!$B60=M$4),"ok","nok")</f>
        <v>nok</v>
      </c>
      <c r="N63" s="60" t="str">
        <f>IF(AND($B63=[1]rogério!$A60,[1]rogério!$B60=N$4),"ok","nok")</f>
        <v>ok</v>
      </c>
      <c r="O63" s="60" t="str">
        <f>IF(AND($B63=[1]rogério!$A60,[1]rogério!$B60=O$4),"ok","nok")</f>
        <v>nok</v>
      </c>
      <c r="P63" s="60" t="str">
        <f>IF(AND($B63=[1]rogério!$A60,[1]rogério!$B60=P$4),"ok","nok")</f>
        <v>nok</v>
      </c>
      <c r="Q63" s="60" t="str">
        <f>IF(AND($B63=[1]rogério!$A60,[1]rogério!$B60=Q$4),"ok","nok")</f>
        <v>nok</v>
      </c>
      <c r="R63" s="60" t="str">
        <f>IF(AND($B63=[1]rogério!$A60,[1]rogério!$B60=R$4),"ok","nok")</f>
        <v>nok</v>
      </c>
      <c r="S63" s="60" t="str">
        <f>IF(AND($B63=[1]rogério!$A60,[1]rogério!$B60=S$4),"ok","nok")</f>
        <v>nok</v>
      </c>
      <c r="T63" s="60" t="str">
        <f>IF(AND($B63=[1]rogério!$A60,[1]rogério!$B60=T$4),"ok","nok")</f>
        <v>nok</v>
      </c>
      <c r="U63" s="60" t="str">
        <f>IF(AND($B63=[1]rogério!$A60,[1]rogério!$B60=U$4),"ok","nok")</f>
        <v>nok</v>
      </c>
      <c r="V63" s="60" t="str">
        <f>IF(AND($B63=[1]rogério!$A60,[1]rogério!$B60=V$4),"ok","nok")</f>
        <v>nok</v>
      </c>
      <c r="W63" s="60" t="str">
        <f>IF(AND($B63=[1]rogério!$A60,[1]rogério!$B60=W$4),"ok","nok")</f>
        <v>nok</v>
      </c>
      <c r="X63" s="60" t="str">
        <f>IF(AND($B63=[1]rogério!$A60,[1]rogério!$B60=X$4),"ok","nok")</f>
        <v>nok</v>
      </c>
      <c r="Y63" s="105" t="s">
        <v>33</v>
      </c>
      <c r="Z63" s="106"/>
      <c r="AA63" s="106"/>
      <c r="AB63" s="107"/>
      <c r="AC63" s="40"/>
      <c r="AD63" s="40"/>
      <c r="AE63" s="48" t="str">
        <f t="shared" si="4"/>
        <v/>
      </c>
      <c r="AF63" s="48"/>
      <c r="AG63" s="48"/>
      <c r="AH63" s="89"/>
      <c r="AI63" s="49">
        <f t="shared" si="5"/>
        <v>0</v>
      </c>
      <c r="AJ63" s="49" t="str">
        <f t="shared" si="6"/>
        <v/>
      </c>
      <c r="AK63" s="49">
        <f t="shared" si="7"/>
        <v>0</v>
      </c>
      <c r="AL63" s="49" t="str">
        <f t="shared" si="8"/>
        <v/>
      </c>
      <c r="AM63" s="49">
        <f t="shared" si="9"/>
        <v>1</v>
      </c>
      <c r="AN63" s="49" t="str">
        <f t="shared" si="10"/>
        <v>EFPRAZO</v>
      </c>
      <c r="AO63" s="49">
        <f t="shared" si="11"/>
        <v>0</v>
      </c>
      <c r="AP63" s="49" t="str">
        <f t="shared" si="12"/>
        <v/>
      </c>
      <c r="AQ63" s="49">
        <f t="shared" si="13"/>
        <v>0</v>
      </c>
      <c r="AR63" s="49" t="str">
        <f t="shared" si="14"/>
        <v/>
      </c>
      <c r="AV63" s="57"/>
      <c r="BF63" s="52"/>
    </row>
    <row r="64" spans="1:58" ht="30" customHeight="1" x14ac:dyDescent="0.35">
      <c r="A64" s="25" t="str">
        <f t="shared" si="27"/>
        <v>PT072 - ANCORAGEM DE SÃO LUIS
TR-315K-09</v>
      </c>
      <c r="B64" s="40" t="s">
        <v>19</v>
      </c>
      <c r="C64" s="60" t="str">
        <f>IF(AND($B64=[1]rogério!$A61,[1]rogério!$B61=C$4),"ok","nok")</f>
        <v>nok</v>
      </c>
      <c r="D64" s="60" t="str">
        <f>IF(AND($B64=[1]rogério!$A61,[1]rogério!$B61=D$4),"ok","nok")</f>
        <v>nok</v>
      </c>
      <c r="E64" s="60" t="str">
        <f>IF(AND($B64=[1]rogério!$A61,[1]rogério!$B61=E$4),"ok","nok")</f>
        <v>nok</v>
      </c>
      <c r="F64" s="60" t="str">
        <f>IF(AND($B64=[1]rogério!$A61,[1]rogério!$B61=F$4),"ok","nok")</f>
        <v>nok</v>
      </c>
      <c r="G64" s="60" t="str">
        <f>IF(AND($B64=[1]rogério!$A61,[1]rogério!$B61=G$4),"ok","nok")</f>
        <v>nok</v>
      </c>
      <c r="H64" s="60" t="str">
        <f>IF(AND($B64=[1]rogério!$A61,[1]rogério!$B61=H$4),"ok","nok")</f>
        <v>nok</v>
      </c>
      <c r="I64" s="60" t="str">
        <f>IF(AND($B64=[1]rogério!$A61,[1]rogério!$B61=I$4),"ok","nok")</f>
        <v>nok</v>
      </c>
      <c r="J64" s="60" t="str">
        <f>IF(AND($B64=[1]rogério!$A61,[1]rogério!$B61=J$4),"ok","nok")</f>
        <v>nok</v>
      </c>
      <c r="K64" s="60" t="str">
        <f>IF(AND($B64=[1]rogério!$A61,[1]rogério!$B61=K$4),"ok","nok")</f>
        <v>nok</v>
      </c>
      <c r="L64" s="60" t="str">
        <f>IF(AND($B64=[1]rogério!$A61,[1]rogério!$B61=L$4),"ok","nok")</f>
        <v>nok</v>
      </c>
      <c r="M64" s="60" t="str">
        <f>IF(AND($B64=[1]rogério!$A61,[1]rogério!$B61=M$4),"ok","nok")</f>
        <v>nok</v>
      </c>
      <c r="N64" s="60" t="str">
        <f>IF(AND($B64=[1]rogério!$A61,[1]rogério!$B61=N$4),"ok","nok")</f>
        <v>nok</v>
      </c>
      <c r="O64" s="60" t="str">
        <f>IF(AND($B64=[1]rogério!$A61,[1]rogério!$B61=O$4),"ok","nok")</f>
        <v>nok</v>
      </c>
      <c r="P64" s="60" t="str">
        <f>IF(AND($B64=[1]rogério!$A61,[1]rogério!$B61=P$4),"ok","nok")</f>
        <v>nok</v>
      </c>
      <c r="Q64" s="60" t="str">
        <f>IF(AND($B64=[1]rogério!$A61,[1]rogério!$B61=Q$4),"ok","nok")</f>
        <v>nok</v>
      </c>
      <c r="R64" s="60" t="str">
        <f>IF(AND($B64=[1]rogério!$A61,[1]rogério!$B61=R$4),"ok","nok")</f>
        <v>nok</v>
      </c>
      <c r="S64" s="60" t="str">
        <f>IF(AND($B64=[1]rogério!$A61,[1]rogério!$B61=S$4),"ok","nok")</f>
        <v>nok</v>
      </c>
      <c r="T64" s="60" t="str">
        <f>IF(AND($B64=[1]rogério!$A61,[1]rogério!$B61=T$4),"ok","nok")</f>
        <v>nok</v>
      </c>
      <c r="U64" s="104"/>
      <c r="V64" s="60" t="str">
        <f>IF(AND($B64=[1]rogério!$A61,[1]rogério!$B61=V$4),"ok","nok")</f>
        <v>nok</v>
      </c>
      <c r="W64" s="60" t="str">
        <f>IF(AND($B64=[1]rogério!$A61,[1]rogério!$B61=W$4),"ok","nok")</f>
        <v>ok</v>
      </c>
      <c r="X64" s="60" t="str">
        <f>IF(AND($B64=[1]rogério!$A61,[1]rogério!$B61=X$4),"ok","nok")</f>
        <v>nok</v>
      </c>
      <c r="Y64" s="105" t="s">
        <v>32</v>
      </c>
      <c r="Z64" s="106"/>
      <c r="AA64" s="106"/>
      <c r="AB64" s="107"/>
      <c r="AC64" s="40"/>
      <c r="AD64" s="40"/>
      <c r="AE64" s="48" t="str">
        <f t="shared" si="4"/>
        <v/>
      </c>
      <c r="AF64" s="48"/>
      <c r="AG64" s="48"/>
      <c r="AH64" s="89"/>
      <c r="AI64" s="49">
        <f t="shared" si="5"/>
        <v>0</v>
      </c>
      <c r="AJ64" s="49" t="str">
        <f t="shared" si="6"/>
        <v/>
      </c>
      <c r="AK64" s="49">
        <f t="shared" si="7"/>
        <v>0</v>
      </c>
      <c r="AL64" s="49" t="str">
        <f t="shared" si="8"/>
        <v/>
      </c>
      <c r="AM64" s="49">
        <f t="shared" si="9"/>
        <v>0</v>
      </c>
      <c r="AN64" s="49" t="str">
        <f t="shared" si="10"/>
        <v/>
      </c>
      <c r="AO64" s="49">
        <f t="shared" si="11"/>
        <v>0</v>
      </c>
      <c r="AP64" s="49" t="str">
        <f t="shared" si="12"/>
        <v/>
      </c>
      <c r="AQ64" s="49">
        <f t="shared" si="13"/>
        <v>1</v>
      </c>
      <c r="AR64" s="49" t="str">
        <f t="shared" si="14"/>
        <v/>
      </c>
      <c r="AV64" s="57"/>
      <c r="BF64" s="52"/>
    </row>
    <row r="65" spans="1:58" ht="30" customHeight="1" x14ac:dyDescent="0.35">
      <c r="A65" s="25" t="str">
        <f t="shared" si="27"/>
        <v>PT072 - ANCORAGEM DE SÃO LUIS
TR-315K-09</v>
      </c>
      <c r="B65" s="40" t="s">
        <v>42</v>
      </c>
      <c r="C65" s="60" t="str">
        <f>IF(AND($B65=[1]rogério!$A62,[1]rogério!$B62=C$4),"ok","nok")</f>
        <v>nok</v>
      </c>
      <c r="D65" s="60" t="str">
        <f>IF(AND($B65=[1]rogério!$A62,[1]rogério!$B62=D$4),"ok","nok")</f>
        <v>nok</v>
      </c>
      <c r="E65" s="60" t="str">
        <f>IF(AND($B65=[1]rogério!$A62,[1]rogério!$B62=E$4),"ok","nok")</f>
        <v>nok</v>
      </c>
      <c r="F65" s="60" t="str">
        <f>IF(AND($B65=[1]rogério!$A62,[1]rogério!$B62=F$4),"ok","nok")</f>
        <v>nok</v>
      </c>
      <c r="G65" s="60" t="str">
        <f>IF(AND($B65=[1]rogério!$A62,[1]rogério!$B62=G$4),"ok","nok")</f>
        <v>nok</v>
      </c>
      <c r="H65" s="60" t="str">
        <f>IF(AND($B65=[1]rogério!$A62,[1]rogério!$B62=H$4),"ok","nok")</f>
        <v>nok</v>
      </c>
      <c r="I65" s="60" t="str">
        <f>IF(AND($B65=[1]rogério!$A62,[1]rogério!$B62=I$4),"ok","nok")</f>
        <v>nok</v>
      </c>
      <c r="J65" s="60" t="str">
        <f>IF(AND($B65=[1]rogério!$A62,[1]rogério!$B62=J$4),"ok","nok")</f>
        <v>nok</v>
      </c>
      <c r="K65" s="60" t="str">
        <f>IF(AND($B65=[1]rogério!$A62,[1]rogério!$B62=K$4),"ok","nok")</f>
        <v>nok</v>
      </c>
      <c r="L65" s="60" t="str">
        <f>IF(AND($B65=[1]rogério!$A62,[1]rogério!$B62=L$4),"ok","nok")</f>
        <v>nok</v>
      </c>
      <c r="M65" s="60" t="str">
        <f>IF(AND($B65=[1]rogério!$A62,[1]rogério!$B62=M$4),"ok","nok")</f>
        <v>nok</v>
      </c>
      <c r="N65" s="60" t="str">
        <f>IF(AND($B65=[1]rogério!$A62,[1]rogério!$B62=N$4),"ok","nok")</f>
        <v>nok</v>
      </c>
      <c r="O65" s="60" t="str">
        <f>IF(AND($B65=[1]rogério!$A62,[1]rogério!$B62=O$4),"ok","nok")</f>
        <v>nok</v>
      </c>
      <c r="P65" s="60" t="str">
        <f>IF(AND($B65=[1]rogério!$A62,[1]rogério!$B62=P$4),"ok","nok")</f>
        <v>nok</v>
      </c>
      <c r="Q65" s="60" t="str">
        <f>IF(AND($B65=[1]rogério!$A62,[1]rogério!$B62=Q$4),"ok","nok")</f>
        <v>nok</v>
      </c>
      <c r="R65" s="60" t="str">
        <f>IF(AND($B65=[1]rogério!$A62,[1]rogério!$B62=R$4),"ok","nok")</f>
        <v>nok</v>
      </c>
      <c r="S65" s="60" t="str">
        <f>IF(AND($B65=[1]rogério!$A62,[1]rogério!$B62=S$4),"ok","nok")</f>
        <v>nok</v>
      </c>
      <c r="T65" s="60" t="str">
        <f>IF(AND($B65=[1]rogério!$A62,[1]rogério!$B62=T$4),"ok","nok")</f>
        <v>nok</v>
      </c>
      <c r="U65" s="60" t="str">
        <f>IF(AND($B65=[1]rogério!$A62,[1]rogério!$B62=U$4),"ok","nok")</f>
        <v>nok</v>
      </c>
      <c r="V65" s="104"/>
      <c r="W65" s="60" t="str">
        <f>IF(AND($B65=[1]rogério!$A62,[1]rogério!$B62=W$4),"ok","nok")</f>
        <v>nok</v>
      </c>
      <c r="X65" s="60" t="str">
        <f>IF(AND($B65=[1]rogério!$A62,[1]rogério!$B62=X$4),"ok","nok")</f>
        <v>ok</v>
      </c>
      <c r="Y65" s="105" t="s">
        <v>32</v>
      </c>
      <c r="Z65" s="106"/>
      <c r="AA65" s="106"/>
      <c r="AB65" s="107"/>
      <c r="AC65" s="40"/>
      <c r="AD65" s="40"/>
      <c r="AE65" s="48" t="str">
        <f t="shared" si="4"/>
        <v/>
      </c>
      <c r="AF65" s="48"/>
      <c r="AG65" s="48"/>
      <c r="AH65" s="89"/>
      <c r="AI65" s="49">
        <f t="shared" si="5"/>
        <v>0</v>
      </c>
      <c r="AJ65" s="49" t="str">
        <f t="shared" si="6"/>
        <v/>
      </c>
      <c r="AK65" s="49">
        <f t="shared" si="7"/>
        <v>0</v>
      </c>
      <c r="AL65" s="49" t="str">
        <f t="shared" si="8"/>
        <v/>
      </c>
      <c r="AM65" s="49">
        <f t="shared" si="9"/>
        <v>0</v>
      </c>
      <c r="AN65" s="49" t="str">
        <f t="shared" si="10"/>
        <v/>
      </c>
      <c r="AO65" s="49">
        <f t="shared" si="11"/>
        <v>0</v>
      </c>
      <c r="AP65" s="49" t="str">
        <f t="shared" si="12"/>
        <v/>
      </c>
      <c r="AQ65" s="49">
        <f t="shared" si="13"/>
        <v>1</v>
      </c>
      <c r="AR65" s="49" t="str">
        <f t="shared" si="14"/>
        <v/>
      </c>
      <c r="AV65" s="57"/>
      <c r="BF65" s="52"/>
    </row>
    <row r="66" spans="1:58" ht="30" customHeight="1" x14ac:dyDescent="0.35">
      <c r="A66" s="25" t="str">
        <f t="shared" si="27"/>
        <v>PT072 - ANCORAGEM DE SÃO LUIS
TR-315K-09</v>
      </c>
      <c r="B66" s="40" t="s">
        <v>43</v>
      </c>
      <c r="C66" s="60" t="str">
        <f>IF(AND($B66=[1]rogério!$A63,[1]rogério!$B63=C$4),"ok","nok")</f>
        <v>nok</v>
      </c>
      <c r="D66" s="60" t="str">
        <f>IF(AND($B66=[1]rogério!$A63,[1]rogério!$B63=D$4),"ok","nok")</f>
        <v>nok</v>
      </c>
      <c r="E66" s="60" t="str">
        <f>IF(AND($B66=[1]rogério!$A63,[1]rogério!$B63=E$4),"ok","nok")</f>
        <v>nok</v>
      </c>
      <c r="F66" s="60" t="str">
        <f>IF(AND($B66=[1]rogério!$A63,[1]rogério!$B63=F$4),"ok","nok")</f>
        <v>nok</v>
      </c>
      <c r="G66" s="60" t="str">
        <f>IF(AND($B66=[1]rogério!$A63,[1]rogério!$B63=G$4),"ok","nok")</f>
        <v>nok</v>
      </c>
      <c r="H66" s="60" t="str">
        <f>IF(AND($B66=[1]rogério!$A63,[1]rogério!$B63=H$4),"ok","nok")</f>
        <v>nok</v>
      </c>
      <c r="I66" s="60" t="str">
        <f>IF(AND($B66=[1]rogério!$A63,[1]rogério!$B63=I$4),"ok","nok")</f>
        <v>nok</v>
      </c>
      <c r="J66" s="60" t="str">
        <f>IF(AND($B66=[1]rogério!$A63,[1]rogério!$B63=J$4),"ok","nok")</f>
        <v>nok</v>
      </c>
      <c r="K66" s="60" t="str">
        <f>IF(AND($B66=[1]rogério!$A63,[1]rogério!$B63=K$4),"ok","nok")</f>
        <v>nok</v>
      </c>
      <c r="L66" s="60" t="str">
        <f>IF(AND($B66=[1]rogério!$A63,[1]rogério!$B63=L$4),"ok","nok")</f>
        <v>nok</v>
      </c>
      <c r="M66" s="60" t="str">
        <f>IF(AND($B66=[1]rogério!$A63,[1]rogério!$B63=M$4),"ok","nok")</f>
        <v>nok</v>
      </c>
      <c r="N66" s="60" t="str">
        <f>IF(AND($B66=[1]rogério!$A63,[1]rogério!$B63=N$4),"ok","nok")</f>
        <v>nok</v>
      </c>
      <c r="O66" s="60" t="str">
        <f>IF(AND($B66=[1]rogério!$A63,[1]rogério!$B63=O$4),"ok","nok")</f>
        <v>nok</v>
      </c>
      <c r="P66" s="60" t="str">
        <f>IF(AND($B66=[1]rogério!$A63,[1]rogério!$B63=P$4),"ok","nok")</f>
        <v>nok</v>
      </c>
      <c r="Q66" s="60" t="str">
        <f>IF(AND($B66=[1]rogério!$A63,[1]rogério!$B63=Q$4),"ok","nok")</f>
        <v>nok</v>
      </c>
      <c r="R66" s="60" t="str">
        <f>IF(AND($B66=[1]rogério!$A63,[1]rogério!$B63=R$4),"ok","nok")</f>
        <v>nok</v>
      </c>
      <c r="S66" s="60" t="str">
        <f>IF(AND($B66=[1]rogério!$A63,[1]rogério!$B63=S$4),"ok","nok")</f>
        <v>nok</v>
      </c>
      <c r="T66" s="60" t="str">
        <f>IF(AND($B66=[1]rogério!$A63,[1]rogério!$B63=T$4),"ok","nok")</f>
        <v>nok</v>
      </c>
      <c r="U66" s="60" t="str">
        <f>IF(AND($B66=[1]rogério!$A63,[1]rogério!$B63=U$4),"ok","nok")</f>
        <v>nok</v>
      </c>
      <c r="V66" s="104"/>
      <c r="W66" s="60" t="str">
        <f>IF(AND($B66=[1]rogério!$A63,[1]rogério!$B63=W$4),"ok","nok")</f>
        <v>nok</v>
      </c>
      <c r="X66" s="60" t="str">
        <f>IF(AND($B66=[1]rogério!$A63,[1]rogério!$B63=X$4),"ok","nok")</f>
        <v>ok</v>
      </c>
      <c r="Y66" s="105" t="s">
        <v>32</v>
      </c>
      <c r="Z66" s="106"/>
      <c r="AA66" s="106"/>
      <c r="AB66" s="107"/>
      <c r="AC66" s="40"/>
      <c r="AD66" s="40"/>
      <c r="AE66" s="48" t="str">
        <f t="shared" si="4"/>
        <v/>
      </c>
      <c r="AF66" s="48"/>
      <c r="AG66" s="48"/>
      <c r="AH66" s="89"/>
      <c r="AI66" s="49">
        <f t="shared" si="5"/>
        <v>0</v>
      </c>
      <c r="AJ66" s="49" t="str">
        <f t="shared" si="6"/>
        <v/>
      </c>
      <c r="AK66" s="49">
        <f t="shared" si="7"/>
        <v>0</v>
      </c>
      <c r="AL66" s="49" t="str">
        <f t="shared" si="8"/>
        <v/>
      </c>
      <c r="AM66" s="49">
        <f t="shared" si="9"/>
        <v>0</v>
      </c>
      <c r="AN66" s="49" t="str">
        <f t="shared" si="10"/>
        <v/>
      </c>
      <c r="AO66" s="49">
        <f t="shared" si="11"/>
        <v>0</v>
      </c>
      <c r="AP66" s="49" t="str">
        <f t="shared" si="12"/>
        <v/>
      </c>
      <c r="AQ66" s="49">
        <f t="shared" si="13"/>
        <v>1</v>
      </c>
      <c r="AR66" s="49" t="str">
        <f t="shared" si="14"/>
        <v/>
      </c>
      <c r="AV66" s="57"/>
      <c r="BF66" s="52"/>
    </row>
    <row r="67" spans="1:58" ht="30" customHeight="1" x14ac:dyDescent="0.35">
      <c r="A67" s="25"/>
      <c r="B67" s="37" t="s">
        <v>111</v>
      </c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120"/>
      <c r="Z67" s="121"/>
      <c r="AA67" s="121"/>
      <c r="AB67" s="122"/>
      <c r="AC67" s="40"/>
      <c r="AD67" s="40"/>
      <c r="AE67" s="48" t="str">
        <f t="shared" si="4"/>
        <v/>
      </c>
      <c r="AF67" s="48"/>
      <c r="AG67" s="48"/>
      <c r="AH67" s="89"/>
      <c r="AI67" s="49">
        <f t="shared" si="5"/>
        <v>0</v>
      </c>
      <c r="AJ67" s="49" t="str">
        <f t="shared" si="6"/>
        <v/>
      </c>
      <c r="AK67" s="49">
        <f t="shared" si="7"/>
        <v>0</v>
      </c>
      <c r="AL67" s="49" t="str">
        <f t="shared" si="8"/>
        <v/>
      </c>
      <c r="AM67" s="49">
        <f t="shared" si="9"/>
        <v>0</v>
      </c>
      <c r="AN67" s="49" t="str">
        <f t="shared" si="10"/>
        <v/>
      </c>
      <c r="AO67" s="49">
        <f t="shared" si="11"/>
        <v>0</v>
      </c>
      <c r="AP67" s="49" t="str">
        <f t="shared" si="12"/>
        <v/>
      </c>
      <c r="AQ67" s="49">
        <f t="shared" si="13"/>
        <v>0</v>
      </c>
      <c r="AR67" s="49" t="str">
        <f t="shared" si="14"/>
        <v/>
      </c>
      <c r="AV67" s="57"/>
      <c r="BF67" s="52"/>
    </row>
    <row r="68" spans="1:58" ht="30" customHeight="1" x14ac:dyDescent="0.35">
      <c r="A68" s="25" t="str">
        <f>CONCATENATE($B$7,"
",$B$67)</f>
        <v>PT072 - ANCORAGEM DE SÃO LUIS
TR-315K-08</v>
      </c>
      <c r="B68" s="38" t="s">
        <v>108</v>
      </c>
      <c r="C68" s="60" t="str">
        <f>IF(AND($B68=[1]rogério!$A65,[1]rogério!$B65=C$4),"ok","nok")</f>
        <v>nok</v>
      </c>
      <c r="D68" s="60" t="str">
        <f>IF(AND($B68=[1]rogério!$A65,[1]rogério!$B65=D$4),"ok","nok")</f>
        <v>nok</v>
      </c>
      <c r="E68" s="60" t="str">
        <f>IF(AND($B68=[1]rogério!$A65,[1]rogério!$B65=E$4),"ok","nok")</f>
        <v>nok</v>
      </c>
      <c r="F68" s="60" t="str">
        <f>IF(AND($B68=[1]rogério!$A65,[1]rogério!$B65=F$4),"ok","nok")</f>
        <v>nok</v>
      </c>
      <c r="G68" s="60" t="str">
        <f>IF(AND($B68=[1]rogério!$A65,[1]rogério!$B65=G$4),"ok","nok")</f>
        <v>ok</v>
      </c>
      <c r="H68" s="60" t="str">
        <f>IF(AND($B68=[1]rogério!$A65,[1]rogério!$B65=H$4),"ok","nok")</f>
        <v>nok</v>
      </c>
      <c r="I68" s="60" t="str">
        <f>IF(AND($B68=[1]rogério!$A65,[1]rogério!$B65=I$4),"ok","nok")</f>
        <v>nok</v>
      </c>
      <c r="J68" s="60" t="str">
        <f>IF(AND($B68=[1]rogério!$A65,[1]rogério!$B65=J$4),"ok","nok")</f>
        <v>nok</v>
      </c>
      <c r="K68" s="60" t="str">
        <f>IF(AND($B68=[1]rogério!$A65,[1]rogério!$B65=K$4),"ok","nok")</f>
        <v>nok</v>
      </c>
      <c r="L68" s="60" t="str">
        <f>IF(AND($B68=[1]rogério!$A65,[1]rogério!$B65=L$4),"ok","nok")</f>
        <v>nok</v>
      </c>
      <c r="M68" s="60" t="str">
        <f>IF(AND($B68=[1]rogério!$A65,[1]rogério!$B65=M$4),"ok","nok")</f>
        <v>nok</v>
      </c>
      <c r="N68" s="60" t="str">
        <f>IF(AND($B68=[1]rogério!$A65,[1]rogério!$B65=N$4),"ok","nok")</f>
        <v>nok</v>
      </c>
      <c r="O68" s="60" t="str">
        <f>IF(AND($B68=[1]rogério!$A65,[1]rogério!$B65=O$4),"ok","nok")</f>
        <v>nok</v>
      </c>
      <c r="P68" s="60" t="str">
        <f>IF(AND($B68=[1]rogério!$A65,[1]rogério!$B65=P$4),"ok","nok")</f>
        <v>nok</v>
      </c>
      <c r="Q68" s="60" t="str">
        <f>IF(AND($B68=[1]rogério!$A65,[1]rogério!$B65=Q$4),"ok","nok")</f>
        <v>nok</v>
      </c>
      <c r="R68" s="60" t="str">
        <f>IF(AND($B68=[1]rogério!$A65,[1]rogério!$B65=R$4),"ok","nok")</f>
        <v>nok</v>
      </c>
      <c r="S68" s="60" t="str">
        <f>IF(AND($B68=[1]rogério!$A65,[1]rogério!$B65=S$4),"ok","nok")</f>
        <v>nok</v>
      </c>
      <c r="T68" s="60" t="str">
        <f>IF(AND($B68=[1]rogério!$A65,[1]rogério!$B65=T$4),"ok","nok")</f>
        <v>nok</v>
      </c>
      <c r="U68" s="60" t="str">
        <f>IF(AND($B68=[1]rogério!$A65,[1]rogério!$B65=U$4),"ok","nok")</f>
        <v>nok</v>
      </c>
      <c r="V68" s="60" t="str">
        <f>IF(AND($B68=[1]rogério!$A65,[1]rogério!$B65=V$4),"ok","nok")</f>
        <v>nok</v>
      </c>
      <c r="W68" s="60" t="str">
        <f>IF(AND($B68=[1]rogério!$A65,[1]rogério!$B65=W$4),"ok","nok")</f>
        <v>nok</v>
      </c>
      <c r="X68" s="60" t="str">
        <f>IF(AND($B68=[1]rogério!$A65,[1]rogério!$B65=X$4),"ok","nok")</f>
        <v>nok</v>
      </c>
      <c r="Y68" s="105" t="s">
        <v>33</v>
      </c>
      <c r="Z68" s="106"/>
      <c r="AA68" s="106"/>
      <c r="AB68" s="107"/>
      <c r="AC68" s="40"/>
      <c r="AD68" s="40"/>
      <c r="AE68" s="48" t="str">
        <f t="shared" si="4"/>
        <v/>
      </c>
      <c r="AF68" s="48"/>
      <c r="AG68" s="48"/>
      <c r="AH68" s="89"/>
      <c r="AI68" s="49">
        <f t="shared" si="5"/>
        <v>1</v>
      </c>
      <c r="AJ68" s="49" t="str">
        <f t="shared" si="6"/>
        <v>EFPRAZO</v>
      </c>
      <c r="AK68" s="49">
        <f t="shared" si="7"/>
        <v>0</v>
      </c>
      <c r="AL68" s="49" t="str">
        <f t="shared" si="8"/>
        <v/>
      </c>
      <c r="AM68" s="49">
        <f t="shared" si="9"/>
        <v>0</v>
      </c>
      <c r="AN68" s="49" t="str">
        <f t="shared" si="10"/>
        <v/>
      </c>
      <c r="AO68" s="49">
        <f t="shared" si="11"/>
        <v>0</v>
      </c>
      <c r="AP68" s="49" t="str">
        <f t="shared" si="12"/>
        <v/>
      </c>
      <c r="AQ68" s="49">
        <f t="shared" si="13"/>
        <v>0</v>
      </c>
      <c r="AR68" s="49" t="str">
        <f t="shared" si="14"/>
        <v/>
      </c>
      <c r="AV68" s="57"/>
      <c r="BF68" s="52"/>
    </row>
    <row r="69" spans="1:58" ht="30" customHeight="1" x14ac:dyDescent="0.35">
      <c r="A69" s="25" t="str">
        <f t="shared" ref="A69:A80" si="28">CONCATENATE($B$7,"
",$B$67)</f>
        <v>PT072 - ANCORAGEM DE SÃO LUIS
TR-315K-08</v>
      </c>
      <c r="B69" s="38" t="s">
        <v>109</v>
      </c>
      <c r="C69" s="60" t="str">
        <f>IF(AND($B69=[1]rogério!$A66,[1]rogério!$B66=C$4),"ok","nok")</f>
        <v>nok</v>
      </c>
      <c r="D69" s="60" t="str">
        <f>IF(AND($B69=[1]rogério!$A66,[1]rogério!$B66=D$4),"ok","nok")</f>
        <v>nok</v>
      </c>
      <c r="E69" s="60" t="str">
        <f>IF(AND($B69=[1]rogério!$A66,[1]rogério!$B66=E$4),"ok","nok")</f>
        <v>nok</v>
      </c>
      <c r="F69" s="60" t="str">
        <f>IF(AND($B69=[1]rogério!$A66,[1]rogério!$B66=F$4),"ok","nok")</f>
        <v>nok</v>
      </c>
      <c r="G69" s="60" t="str">
        <f>IF(AND($B69=[1]rogério!$A66,[1]rogério!$B66=G$4),"ok","nok")</f>
        <v>nok</v>
      </c>
      <c r="H69" s="60" t="str">
        <f>IF(AND($B69=[1]rogério!$A66,[1]rogério!$B66=H$4),"ok","nok")</f>
        <v>ok</v>
      </c>
      <c r="I69" s="60" t="str">
        <f>IF(AND($B69=[1]rogério!$A66,[1]rogério!$B66=I$4),"ok","nok")</f>
        <v>nok</v>
      </c>
      <c r="J69" s="60" t="str">
        <f>IF(AND($B69=[1]rogério!$A66,[1]rogério!$B66=J$4),"ok","nok")</f>
        <v>nok</v>
      </c>
      <c r="K69" s="60" t="str">
        <f>IF(AND($B69=[1]rogério!$A66,[1]rogério!$B66=K$4),"ok","nok")</f>
        <v>nok</v>
      </c>
      <c r="L69" s="60" t="str">
        <f>IF(AND($B69=[1]rogério!$A66,[1]rogério!$B66=L$4),"ok","nok")</f>
        <v>nok</v>
      </c>
      <c r="M69" s="60" t="str">
        <f>IF(AND($B69=[1]rogério!$A66,[1]rogério!$B66=M$4),"ok","nok")</f>
        <v>nok</v>
      </c>
      <c r="N69" s="60" t="str">
        <f>IF(AND($B69=[1]rogério!$A66,[1]rogério!$B66=N$4),"ok","nok")</f>
        <v>nok</v>
      </c>
      <c r="O69" s="60" t="str">
        <f>IF(AND($B69=[1]rogério!$A66,[1]rogério!$B66=O$4),"ok","nok")</f>
        <v>nok</v>
      </c>
      <c r="P69" s="60" t="str">
        <f>IF(AND($B69=[1]rogério!$A66,[1]rogério!$B66=P$4),"ok","nok")</f>
        <v>nok</v>
      </c>
      <c r="Q69" s="60" t="str">
        <f>IF(AND($B69=[1]rogério!$A66,[1]rogério!$B66=Q$4),"ok","nok")</f>
        <v>nok</v>
      </c>
      <c r="R69" s="60" t="str">
        <f>IF(AND($B69=[1]rogério!$A66,[1]rogério!$B66=R$4),"ok","nok")</f>
        <v>nok</v>
      </c>
      <c r="S69" s="60" t="str">
        <f>IF(AND($B69=[1]rogério!$A66,[1]rogério!$B66=S$4),"ok","nok")</f>
        <v>nok</v>
      </c>
      <c r="T69" s="60" t="str">
        <f>IF(AND($B69=[1]rogério!$A66,[1]rogério!$B66=T$4),"ok","nok")</f>
        <v>nok</v>
      </c>
      <c r="U69" s="60" t="str">
        <f>IF(AND($B69=[1]rogério!$A66,[1]rogério!$B66=U$4),"ok","nok")</f>
        <v>nok</v>
      </c>
      <c r="V69" s="60" t="str">
        <f>IF(AND($B69=[1]rogério!$A66,[1]rogério!$B66=V$4),"ok","nok")</f>
        <v>nok</v>
      </c>
      <c r="W69" s="60" t="str">
        <f>IF(AND($B69=[1]rogério!$A66,[1]rogério!$B66=W$4),"ok","nok")</f>
        <v>nok</v>
      </c>
      <c r="X69" s="60" t="str">
        <f>IF(AND($B69=[1]rogério!$A66,[1]rogério!$B66=X$4),"ok","nok")</f>
        <v>nok</v>
      </c>
      <c r="Y69" s="105" t="s">
        <v>33</v>
      </c>
      <c r="Z69" s="106"/>
      <c r="AA69" s="106"/>
      <c r="AB69" s="107"/>
      <c r="AC69" s="40"/>
      <c r="AD69" s="40"/>
      <c r="AE69" s="48" t="str">
        <f t="shared" si="4"/>
        <v/>
      </c>
      <c r="AF69" s="48"/>
      <c r="AG69" s="48"/>
      <c r="AH69" s="89"/>
      <c r="AI69" s="49">
        <f t="shared" si="5"/>
        <v>0</v>
      </c>
      <c r="AJ69" s="49" t="str">
        <f t="shared" si="6"/>
        <v/>
      </c>
      <c r="AK69" s="49">
        <f t="shared" si="7"/>
        <v>1</v>
      </c>
      <c r="AL69" s="49" t="str">
        <f t="shared" si="8"/>
        <v>EFPRAZO</v>
      </c>
      <c r="AM69" s="49">
        <f t="shared" si="9"/>
        <v>0</v>
      </c>
      <c r="AN69" s="49" t="str">
        <f t="shared" si="10"/>
        <v/>
      </c>
      <c r="AO69" s="49">
        <f t="shared" si="11"/>
        <v>0</v>
      </c>
      <c r="AP69" s="49" t="str">
        <f t="shared" si="12"/>
        <v/>
      </c>
      <c r="AQ69" s="49">
        <f t="shared" si="13"/>
        <v>0</v>
      </c>
      <c r="AR69" s="49" t="str">
        <f t="shared" si="14"/>
        <v/>
      </c>
      <c r="AV69" s="57"/>
      <c r="BF69" s="52"/>
    </row>
    <row r="70" spans="1:58" ht="30" customHeight="1" x14ac:dyDescent="0.35">
      <c r="A70" s="25" t="str">
        <f t="shared" si="28"/>
        <v>PT072 - ANCORAGEM DE SÃO LUIS
TR-315K-08</v>
      </c>
      <c r="B70" s="38" t="s">
        <v>110</v>
      </c>
      <c r="C70" s="60" t="str">
        <f>IF(AND($B70=[1]rogério!$A67,[1]rogério!$B67=C$4),"ok","nok")</f>
        <v>nok</v>
      </c>
      <c r="D70" s="60" t="str">
        <f>IF(AND($B70=[1]rogério!$A67,[1]rogério!$B67=D$4),"ok","nok")</f>
        <v>nok</v>
      </c>
      <c r="E70" s="60" t="str">
        <f>IF(AND($B70=[1]rogério!$A67,[1]rogério!$B67=E$4),"ok","nok")</f>
        <v>nok</v>
      </c>
      <c r="F70" s="60" t="str">
        <f>IF(AND($B70=[1]rogério!$A67,[1]rogério!$B67=F$4),"ok","nok")</f>
        <v>nok</v>
      </c>
      <c r="G70" s="60" t="str">
        <f>IF(AND($B70=[1]rogério!$A67,[1]rogério!$B67=G$4),"ok","nok")</f>
        <v>nok</v>
      </c>
      <c r="H70" s="60" t="str">
        <f>IF(AND($B70=[1]rogério!$A67,[1]rogério!$B67=H$4),"ok","nok")</f>
        <v>nok</v>
      </c>
      <c r="I70" s="60" t="str">
        <f>IF(AND($B70=[1]rogério!$A67,[1]rogério!$B67=I$4),"ok","nok")</f>
        <v>nok</v>
      </c>
      <c r="J70" s="60" t="str">
        <f>IF(AND($B70=[1]rogério!$A67,[1]rogério!$B67=J$4),"ok","nok")</f>
        <v>nok</v>
      </c>
      <c r="K70" s="60" t="str">
        <f>IF(AND($B70=[1]rogério!$A67,[1]rogério!$B67=K$4),"ok","nok")</f>
        <v>nok</v>
      </c>
      <c r="L70" s="60" t="str">
        <f>IF(AND($B70=[1]rogério!$A67,[1]rogério!$B67=L$4),"ok","nok")</f>
        <v>nok</v>
      </c>
      <c r="M70" s="60" t="str">
        <f>IF(AND($B70=[1]rogério!$A67,[1]rogério!$B67=M$4),"ok","nok")</f>
        <v>nok</v>
      </c>
      <c r="N70" s="60" t="str">
        <f>IF(AND($B70=[1]rogério!$A67,[1]rogério!$B67=N$4),"ok","nok")</f>
        <v>nok</v>
      </c>
      <c r="O70" s="60" t="str">
        <f>IF(AND($B70=[1]rogério!$A67,[1]rogério!$B67=O$4),"ok","nok")</f>
        <v>ok</v>
      </c>
      <c r="P70" s="60" t="str">
        <f>IF(AND($B70=[1]rogério!$A67,[1]rogério!$B67=P$4),"ok","nok")</f>
        <v>nok</v>
      </c>
      <c r="Q70" s="60" t="str">
        <f>IF(AND($B70=[1]rogério!$A67,[1]rogério!$B67=Q$4),"ok","nok")</f>
        <v>nok</v>
      </c>
      <c r="R70" s="60" t="str">
        <f>IF(AND($B70=[1]rogério!$A67,[1]rogério!$B67=R$4),"ok","nok")</f>
        <v>nok</v>
      </c>
      <c r="S70" s="60" t="str">
        <f>IF(AND($B70=[1]rogério!$A67,[1]rogério!$B67=S$4),"ok","nok")</f>
        <v>nok</v>
      </c>
      <c r="T70" s="60" t="str">
        <f>IF(AND($B70=[1]rogério!$A67,[1]rogério!$B67=T$4),"ok","nok")</f>
        <v>nok</v>
      </c>
      <c r="U70" s="60" t="str">
        <f>IF(AND($B70=[1]rogério!$A67,[1]rogério!$B67=U$4),"ok","nok")</f>
        <v>nok</v>
      </c>
      <c r="V70" s="60" t="str">
        <f>IF(AND($B70=[1]rogério!$A67,[1]rogério!$B67=V$4),"ok","nok")</f>
        <v>nok</v>
      </c>
      <c r="W70" s="60" t="str">
        <f>IF(AND($B70=[1]rogério!$A67,[1]rogério!$B67=W$4),"ok","nok")</f>
        <v>nok</v>
      </c>
      <c r="X70" s="60" t="str">
        <f>IF(AND($B70=[1]rogério!$A67,[1]rogério!$B67=X$4),"ok","nok")</f>
        <v>nok</v>
      </c>
      <c r="Y70" s="105" t="s">
        <v>33</v>
      </c>
      <c r="Z70" s="106"/>
      <c r="AA70" s="106"/>
      <c r="AB70" s="107"/>
      <c r="AC70" s="40"/>
      <c r="AD70" s="40"/>
      <c r="AE70" s="48" t="str">
        <f t="shared" si="4"/>
        <v/>
      </c>
      <c r="AF70" s="48"/>
      <c r="AG70" s="48"/>
      <c r="AH70" s="89"/>
      <c r="AI70" s="49">
        <f t="shared" si="5"/>
        <v>0</v>
      </c>
      <c r="AJ70" s="49" t="str">
        <f t="shared" si="6"/>
        <v/>
      </c>
      <c r="AK70" s="49">
        <f t="shared" si="7"/>
        <v>0</v>
      </c>
      <c r="AL70" s="49" t="str">
        <f t="shared" si="8"/>
        <v/>
      </c>
      <c r="AM70" s="49">
        <f t="shared" si="9"/>
        <v>1</v>
      </c>
      <c r="AN70" s="49" t="str">
        <f t="shared" si="10"/>
        <v>EFPRAZO</v>
      </c>
      <c r="AO70" s="49">
        <f t="shared" si="11"/>
        <v>0</v>
      </c>
      <c r="AP70" s="49" t="str">
        <f t="shared" si="12"/>
        <v/>
      </c>
      <c r="AQ70" s="49">
        <f t="shared" si="13"/>
        <v>0</v>
      </c>
      <c r="AR70" s="49" t="str">
        <f t="shared" si="14"/>
        <v/>
      </c>
      <c r="AV70" s="57"/>
      <c r="BF70" s="52"/>
    </row>
    <row r="71" spans="1:58" ht="30" customHeight="1" x14ac:dyDescent="0.35">
      <c r="A71" s="25" t="str">
        <f t="shared" si="28"/>
        <v>PT072 - ANCORAGEM DE SÃO LUIS
TR-315K-08</v>
      </c>
      <c r="B71" s="38" t="s">
        <v>47</v>
      </c>
      <c r="C71" s="60" t="str">
        <f>IF(AND($B71=[1]rogério!$A68,[1]rogério!$B68=C$4),"ok","nok")</f>
        <v>nok</v>
      </c>
      <c r="D71" s="60" t="str">
        <f>IF(AND($B71=[1]rogério!$A68,[1]rogério!$B68=D$4),"ok","nok")</f>
        <v>nok</v>
      </c>
      <c r="E71" s="60" t="str">
        <f>IF(AND($B71=[1]rogério!$A68,[1]rogério!$B68=E$4),"ok","nok")</f>
        <v>nok</v>
      </c>
      <c r="F71" s="60" t="str">
        <f>IF(AND($B71=[1]rogério!$A68,[1]rogério!$B68=F$4),"ok","nok")</f>
        <v>nok</v>
      </c>
      <c r="G71" s="60" t="str">
        <f>IF(AND($B71=[1]rogério!$A68,[1]rogério!$B68=G$4),"ok","nok")</f>
        <v>nok</v>
      </c>
      <c r="H71" s="60" t="str">
        <f>IF(AND($B71=[1]rogério!$A68,[1]rogério!$B68=H$4),"ok","nok")</f>
        <v>nok</v>
      </c>
      <c r="I71" s="60" t="str">
        <f>IF(AND($B71=[1]rogério!$A68,[1]rogério!$B68=I$4),"ok","nok")</f>
        <v>nok</v>
      </c>
      <c r="J71" s="60" t="str">
        <f>IF(AND($B71=[1]rogério!$A68,[1]rogério!$B68=J$4),"ok","nok")</f>
        <v>ok</v>
      </c>
      <c r="K71" s="60" t="str">
        <f>IF(AND($B71=[1]rogério!$A68,[1]rogério!$B68=K$4),"ok","nok")</f>
        <v>nok</v>
      </c>
      <c r="L71" s="60" t="str">
        <f>IF(AND($B71=[1]rogério!$A68,[1]rogério!$B68=L$4),"ok","nok")</f>
        <v>nok</v>
      </c>
      <c r="M71" s="60" t="str">
        <f>IF(AND($B71=[1]rogério!$A68,[1]rogério!$B68=M$4),"ok","nok")</f>
        <v>nok</v>
      </c>
      <c r="N71" s="60" t="str">
        <f>IF(AND($B71=[1]rogério!$A68,[1]rogério!$B68=N$4),"ok","nok")</f>
        <v>nok</v>
      </c>
      <c r="O71" s="60" t="str">
        <f>IF(AND($B71=[1]rogério!$A68,[1]rogério!$B68=O$4),"ok","nok")</f>
        <v>nok</v>
      </c>
      <c r="P71" s="60" t="str">
        <f>IF(AND($B71=[1]rogério!$A68,[1]rogério!$B68=P$4),"ok","nok")</f>
        <v>nok</v>
      </c>
      <c r="Q71" s="60" t="str">
        <f>IF(AND($B71=[1]rogério!$A68,[1]rogério!$B68=Q$4),"ok","nok")</f>
        <v>nok</v>
      </c>
      <c r="R71" s="60" t="str">
        <f>IF(AND($B71=[1]rogério!$A68,[1]rogério!$B68=R$4),"ok","nok")</f>
        <v>nok</v>
      </c>
      <c r="S71" s="60" t="str">
        <f>IF(AND($B71=[1]rogério!$A68,[1]rogério!$B68=S$4),"ok","nok")</f>
        <v>nok</v>
      </c>
      <c r="T71" s="60" t="str">
        <f>IF(AND($B71=[1]rogério!$A68,[1]rogério!$B68=T$4),"ok","nok")</f>
        <v>nok</v>
      </c>
      <c r="U71" s="60" t="str">
        <f>IF(AND($B71=[1]rogério!$A68,[1]rogério!$B68=U$4),"ok","nok")</f>
        <v>nok</v>
      </c>
      <c r="V71" s="60" t="str">
        <f>IF(AND($B71=[1]rogério!$A68,[1]rogério!$B68=V$4),"ok","nok")</f>
        <v>nok</v>
      </c>
      <c r="W71" s="60" t="str">
        <f>IF(AND($B71=[1]rogério!$A68,[1]rogério!$B68=W$4),"ok","nok")</f>
        <v>nok</v>
      </c>
      <c r="X71" s="60" t="str">
        <f>IF(AND($B71=[1]rogério!$A68,[1]rogério!$B68=X$4),"ok","nok")</f>
        <v>nok</v>
      </c>
      <c r="Y71" s="105" t="s">
        <v>33</v>
      </c>
      <c r="Z71" s="106"/>
      <c r="AA71" s="106"/>
      <c r="AB71" s="107"/>
      <c r="AC71" s="40"/>
      <c r="AD71" s="40"/>
      <c r="AE71" s="48" t="str">
        <f t="shared" ref="AE71:AE130" si="29">IF(Y71="ATRASADO",B71,"")</f>
        <v/>
      </c>
      <c r="AF71" s="48"/>
      <c r="AG71" s="48"/>
      <c r="AH71" s="89"/>
      <c r="AI71" s="49">
        <f t="shared" ref="AI71:AI130" si="30">COUNTIF(C71:G71,"ok")</f>
        <v>0</v>
      </c>
      <c r="AJ71" s="49" t="str">
        <f t="shared" ref="AJ71:AJ130" si="31">IF(AND(AI71=1,OR($Y71="entregue",$Y71="efprazo")),$Y71,"")</f>
        <v/>
      </c>
      <c r="AK71" s="49">
        <f t="shared" ref="AK71:AK130" si="32">COUNTIF(H71:L71,"ok")</f>
        <v>1</v>
      </c>
      <c r="AL71" s="49" t="str">
        <f t="shared" ref="AL71:AL130" si="33">IF(AND(AK71=1,OR($Y71="entregue",$Y71="efprazo")),$Y71,"")</f>
        <v>EFPRAZO</v>
      </c>
      <c r="AM71" s="49">
        <f t="shared" ref="AM71:AM130" si="34">COUNTIF(M71:Q71,"ok")</f>
        <v>0</v>
      </c>
      <c r="AN71" s="49" t="str">
        <f t="shared" ref="AN71:AN130" si="35">IF(AND(AM71=1,OR($Y71="entregue",$Y71="efprazo")),$Y71,"")</f>
        <v/>
      </c>
      <c r="AO71" s="49">
        <f t="shared" ref="AO71:AO130" si="36">COUNTIF(R71:V71,"ok")</f>
        <v>0</v>
      </c>
      <c r="AP71" s="49" t="str">
        <f t="shared" ref="AP71:AP130" si="37">IF(AND(AO71=1,OR($Y71="entregue",$Y71="efprazo")),$Y71,"")</f>
        <v/>
      </c>
      <c r="AQ71" s="49">
        <f t="shared" ref="AQ71:AQ130" si="38">COUNTIF(W71:X71,"ok")</f>
        <v>0</v>
      </c>
      <c r="AR71" s="49" t="str">
        <f t="shared" ref="AR71:AR130" si="39">IF(AND(AQ71=1,OR($Y71="entregue",$Y71="efprazo")),$Y71,"")</f>
        <v/>
      </c>
      <c r="AV71" s="57"/>
      <c r="BF71" s="52"/>
    </row>
    <row r="72" spans="1:58" ht="30" customHeight="1" x14ac:dyDescent="0.35">
      <c r="A72" s="25" t="str">
        <f t="shared" si="28"/>
        <v>PT072 - ANCORAGEM DE SÃO LUIS
TR-315K-08</v>
      </c>
      <c r="B72" s="38" t="s">
        <v>48</v>
      </c>
      <c r="C72" s="60" t="str">
        <f>IF(AND($B72=[1]rogério!$A69,[1]rogério!$B69=C$4),"ok","nok")</f>
        <v>nok</v>
      </c>
      <c r="D72" s="60" t="str">
        <f>IF(AND($B72=[1]rogério!$A69,[1]rogério!$B69=D$4),"ok","nok")</f>
        <v>nok</v>
      </c>
      <c r="E72" s="60" t="str">
        <f>IF(AND($B72=[1]rogério!$A69,[1]rogério!$B69=E$4),"ok","nok")</f>
        <v>nok</v>
      </c>
      <c r="F72" s="60" t="str">
        <f>IF(AND($B72=[1]rogério!$A69,[1]rogério!$B69=F$4),"ok","nok")</f>
        <v>nok</v>
      </c>
      <c r="G72" s="60" t="str">
        <f>IF(AND($B72=[1]rogério!$A69,[1]rogério!$B69=G$4),"ok","nok")</f>
        <v>nok</v>
      </c>
      <c r="H72" s="60" t="str">
        <f>IF(AND($B72=[1]rogério!$A69,[1]rogério!$B69=H$4),"ok","nok")</f>
        <v>nok</v>
      </c>
      <c r="I72" s="60" t="str">
        <f>IF(AND($B72=[1]rogério!$A69,[1]rogério!$B69=I$4),"ok","nok")</f>
        <v>nok</v>
      </c>
      <c r="J72" s="60" t="str">
        <f>IF(AND($B72=[1]rogério!$A69,[1]rogério!$B69=J$4),"ok","nok")</f>
        <v>nok</v>
      </c>
      <c r="K72" s="60" t="str">
        <f>IF(AND($B72=[1]rogério!$A69,[1]rogério!$B69=K$4),"ok","nok")</f>
        <v>nok</v>
      </c>
      <c r="L72" s="60" t="str">
        <f>IF(AND($B72=[1]rogério!$A69,[1]rogério!$B69=L$4),"ok","nok")</f>
        <v>nok</v>
      </c>
      <c r="M72" s="60" t="str">
        <f>IF(AND($B72=[1]rogério!$A69,[1]rogério!$B69=M$4),"ok","nok")</f>
        <v>nok</v>
      </c>
      <c r="N72" s="60" t="str">
        <f>IF(AND($B72=[1]rogério!$A69,[1]rogério!$B69=N$4),"ok","nok")</f>
        <v>nok</v>
      </c>
      <c r="O72" s="60" t="str">
        <f>IF(AND($B72=[1]rogério!$A69,[1]rogério!$B69=O$4),"ok","nok")</f>
        <v>nok</v>
      </c>
      <c r="P72" s="60" t="str">
        <f>IF(AND($B72=[1]rogério!$A69,[1]rogério!$B69=P$4),"ok","nok")</f>
        <v>nok</v>
      </c>
      <c r="Q72" s="60" t="str">
        <f>IF(AND($B72=[1]rogério!$A69,[1]rogério!$B69=Q$4),"ok","nok")</f>
        <v>ok</v>
      </c>
      <c r="R72" s="60" t="str">
        <f>IF(AND($B72=[1]rogério!$A69,[1]rogério!$B69=R$4),"ok","nok")</f>
        <v>nok</v>
      </c>
      <c r="S72" s="60" t="str">
        <f>IF(AND($B72=[1]rogério!$A69,[1]rogério!$B69=S$4),"ok","nok")</f>
        <v>nok</v>
      </c>
      <c r="T72" s="60" t="str">
        <f>IF(AND($B72=[1]rogério!$A69,[1]rogério!$B69=T$4),"ok","nok")</f>
        <v>nok</v>
      </c>
      <c r="U72" s="60" t="str">
        <f>IF(AND($B72=[1]rogério!$A69,[1]rogério!$B69=U$4),"ok","nok")</f>
        <v>nok</v>
      </c>
      <c r="V72" s="60" t="str">
        <f>IF(AND($B72=[1]rogério!$A69,[1]rogério!$B69=V$4),"ok","nok")</f>
        <v>nok</v>
      </c>
      <c r="W72" s="60" t="str">
        <f>IF(AND($B72=[1]rogério!$A69,[1]rogério!$B69=W$4),"ok","nok")</f>
        <v>nok</v>
      </c>
      <c r="X72" s="60" t="str">
        <f>IF(AND($B72=[1]rogério!$A69,[1]rogério!$B69=X$4),"ok","nok")</f>
        <v>nok</v>
      </c>
      <c r="Y72" s="105" t="s">
        <v>33</v>
      </c>
      <c r="Z72" s="106"/>
      <c r="AA72" s="106"/>
      <c r="AB72" s="107"/>
      <c r="AC72" s="40"/>
      <c r="AD72" s="40"/>
      <c r="AE72" s="48" t="str">
        <f t="shared" si="29"/>
        <v/>
      </c>
      <c r="AF72" s="48"/>
      <c r="AG72" s="48"/>
      <c r="AH72" s="89"/>
      <c r="AI72" s="49">
        <f t="shared" si="30"/>
        <v>0</v>
      </c>
      <c r="AJ72" s="49" t="str">
        <f t="shared" si="31"/>
        <v/>
      </c>
      <c r="AK72" s="49">
        <f t="shared" si="32"/>
        <v>0</v>
      </c>
      <c r="AL72" s="49" t="str">
        <f t="shared" si="33"/>
        <v/>
      </c>
      <c r="AM72" s="49">
        <f t="shared" si="34"/>
        <v>1</v>
      </c>
      <c r="AN72" s="49" t="str">
        <f t="shared" si="35"/>
        <v>EFPRAZO</v>
      </c>
      <c r="AO72" s="49">
        <f t="shared" si="36"/>
        <v>0</v>
      </c>
      <c r="AP72" s="49" t="str">
        <f t="shared" si="37"/>
        <v/>
      </c>
      <c r="AQ72" s="49">
        <f t="shared" si="38"/>
        <v>0</v>
      </c>
      <c r="AR72" s="49" t="str">
        <f t="shared" si="39"/>
        <v/>
      </c>
      <c r="AV72" s="57"/>
      <c r="BF72" s="52"/>
    </row>
    <row r="73" spans="1:58" ht="30" customHeight="1" x14ac:dyDescent="0.35">
      <c r="A73" s="25"/>
      <c r="B73" s="39" t="s">
        <v>41</v>
      </c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108"/>
      <c r="Z73" s="109"/>
      <c r="AA73" s="109"/>
      <c r="AB73" s="110"/>
      <c r="AC73" s="40"/>
      <c r="AD73" s="40"/>
      <c r="AE73" s="48" t="str">
        <f t="shared" si="29"/>
        <v/>
      </c>
      <c r="AF73" s="48"/>
      <c r="AG73" s="48"/>
      <c r="AH73" s="89"/>
      <c r="AI73" s="49">
        <f t="shared" si="30"/>
        <v>0</v>
      </c>
      <c r="AJ73" s="49" t="str">
        <f t="shared" si="31"/>
        <v/>
      </c>
      <c r="AK73" s="49">
        <f t="shared" si="32"/>
        <v>0</v>
      </c>
      <c r="AL73" s="49" t="str">
        <f t="shared" si="33"/>
        <v/>
      </c>
      <c r="AM73" s="49">
        <f t="shared" si="34"/>
        <v>0</v>
      </c>
      <c r="AN73" s="49" t="str">
        <f t="shared" si="35"/>
        <v/>
      </c>
      <c r="AO73" s="49">
        <f t="shared" si="36"/>
        <v>0</v>
      </c>
      <c r="AP73" s="49" t="str">
        <f t="shared" si="37"/>
        <v/>
      </c>
      <c r="AQ73" s="49">
        <f t="shared" si="38"/>
        <v>0</v>
      </c>
      <c r="AR73" s="49" t="str">
        <f t="shared" si="39"/>
        <v/>
      </c>
      <c r="AV73" s="57"/>
      <c r="BF73" s="52"/>
    </row>
    <row r="74" spans="1:58" ht="30" customHeight="1" x14ac:dyDescent="0.35">
      <c r="A74" s="25" t="str">
        <f t="shared" si="28"/>
        <v>PT072 - ANCORAGEM DE SÃO LUIS
TR-315K-08</v>
      </c>
      <c r="B74" s="40" t="s">
        <v>49</v>
      </c>
      <c r="C74" s="60" t="str">
        <f>IF(AND($B74=[1]rogério!$A71,[1]rogério!$B71=C$4),"ok","nok")</f>
        <v>nok</v>
      </c>
      <c r="D74" s="60" t="str">
        <f>IF(AND($B74=[1]rogério!$A71,[1]rogério!$B71=D$4),"ok","nok")</f>
        <v>nok</v>
      </c>
      <c r="E74" s="60" t="str">
        <f>IF(AND($B74=[1]rogério!$A71,[1]rogério!$B71=E$4),"ok","nok")</f>
        <v>nok</v>
      </c>
      <c r="F74" s="60" t="str">
        <f>IF(AND($B74=[1]rogério!$A71,[1]rogério!$B71=F$4),"ok","nok")</f>
        <v>nok</v>
      </c>
      <c r="G74" s="60" t="str">
        <f>IF(AND($B74=[1]rogério!$A71,[1]rogério!$B71=G$4),"ok","nok")</f>
        <v>nok</v>
      </c>
      <c r="H74" s="60" t="str">
        <f>IF(AND($B74=[1]rogério!$A71,[1]rogério!$B71=H$4),"ok","nok")</f>
        <v>nok</v>
      </c>
      <c r="I74" s="60" t="str">
        <f>IF(AND($B74=[1]rogério!$A71,[1]rogério!$B71=I$4),"ok","nok")</f>
        <v>nok</v>
      </c>
      <c r="J74" s="60" t="str">
        <f>IF(AND($B74=[1]rogério!$A71,[1]rogério!$B71=J$4),"ok","nok")</f>
        <v>ok</v>
      </c>
      <c r="K74" s="60" t="str">
        <f>IF(AND($B74=[1]rogério!$A71,[1]rogério!$B71=K$4),"ok","nok")</f>
        <v>nok</v>
      </c>
      <c r="L74" s="60" t="str">
        <f>IF(AND($B74=[1]rogério!$A71,[1]rogério!$B71=L$4),"ok","nok")</f>
        <v>nok</v>
      </c>
      <c r="M74" s="60" t="str">
        <f>IF(AND($B74=[1]rogério!$A71,[1]rogério!$B71=M$4),"ok","nok")</f>
        <v>nok</v>
      </c>
      <c r="N74" s="60" t="str">
        <f>IF(AND($B74=[1]rogério!$A71,[1]rogério!$B71=N$4),"ok","nok")</f>
        <v>nok</v>
      </c>
      <c r="O74" s="60" t="str">
        <f>IF(AND($B74=[1]rogério!$A71,[1]rogério!$B71=O$4),"ok","nok")</f>
        <v>nok</v>
      </c>
      <c r="P74" s="60" t="str">
        <f>IF(AND($B74=[1]rogério!$A71,[1]rogério!$B71=P$4),"ok","nok")</f>
        <v>nok</v>
      </c>
      <c r="Q74" s="60" t="str">
        <f>IF(AND($B74=[1]rogério!$A71,[1]rogério!$B71=Q$4),"ok","nok")</f>
        <v>nok</v>
      </c>
      <c r="R74" s="60" t="str">
        <f>IF(AND($B74=[1]rogério!$A71,[1]rogério!$B71=R$4),"ok","nok")</f>
        <v>nok</v>
      </c>
      <c r="S74" s="60" t="str">
        <f>IF(AND($B74=[1]rogério!$A71,[1]rogério!$B71=S$4),"ok","nok")</f>
        <v>nok</v>
      </c>
      <c r="T74" s="60" t="str">
        <f>IF(AND($B74=[1]rogério!$A71,[1]rogério!$B71=T$4),"ok","nok")</f>
        <v>nok</v>
      </c>
      <c r="U74" s="60" t="str">
        <f>IF(AND($B74=[1]rogério!$A71,[1]rogério!$B71=U$4),"ok","nok")</f>
        <v>nok</v>
      </c>
      <c r="V74" s="60" t="str">
        <f>IF(AND($B74=[1]rogério!$A71,[1]rogério!$B71=V$4),"ok","nok")</f>
        <v>nok</v>
      </c>
      <c r="W74" s="60" t="str">
        <f>IF(AND($B74=[1]rogério!$A71,[1]rogério!$B71=W$4),"ok","nok")</f>
        <v>nok</v>
      </c>
      <c r="X74" s="60" t="str">
        <f>IF(AND($B74=[1]rogério!$A71,[1]rogério!$B71=X$4),"ok","nok")</f>
        <v>nok</v>
      </c>
      <c r="Y74" s="105" t="s">
        <v>33</v>
      </c>
      <c r="Z74" s="106"/>
      <c r="AA74" s="106"/>
      <c r="AB74" s="107"/>
      <c r="AC74" s="40"/>
      <c r="AD74" s="40"/>
      <c r="AE74" s="48" t="str">
        <f t="shared" si="29"/>
        <v/>
      </c>
      <c r="AF74" s="48"/>
      <c r="AG74" s="48"/>
      <c r="AH74" s="89"/>
      <c r="AI74" s="49">
        <f t="shared" si="30"/>
        <v>0</v>
      </c>
      <c r="AJ74" s="49" t="str">
        <f t="shared" si="31"/>
        <v/>
      </c>
      <c r="AK74" s="49">
        <f t="shared" si="32"/>
        <v>1</v>
      </c>
      <c r="AL74" s="49" t="str">
        <f t="shared" si="33"/>
        <v>EFPRAZO</v>
      </c>
      <c r="AM74" s="49">
        <f t="shared" si="34"/>
        <v>0</v>
      </c>
      <c r="AN74" s="49" t="str">
        <f t="shared" si="35"/>
        <v/>
      </c>
      <c r="AO74" s="49">
        <f t="shared" si="36"/>
        <v>0</v>
      </c>
      <c r="AP74" s="49" t="str">
        <f t="shared" si="37"/>
        <v/>
      </c>
      <c r="AQ74" s="49">
        <f t="shared" si="38"/>
        <v>0</v>
      </c>
      <c r="AR74" s="49" t="str">
        <f t="shared" si="39"/>
        <v/>
      </c>
      <c r="AV74" s="57"/>
      <c r="BF74" s="52"/>
    </row>
    <row r="75" spans="1:58" ht="30" customHeight="1" x14ac:dyDescent="0.35">
      <c r="A75" s="25" t="str">
        <f t="shared" si="28"/>
        <v>PT072 - ANCORAGEM DE SÃO LUIS
TR-315K-08</v>
      </c>
      <c r="B75" s="40" t="s">
        <v>19</v>
      </c>
      <c r="C75" s="60" t="str">
        <f>IF(AND($B75=[1]rogério!$A72,[1]rogério!$B72=C$4),"ok","nok")</f>
        <v>nok</v>
      </c>
      <c r="D75" s="60" t="str">
        <f>IF(AND($B75=[1]rogério!$A72,[1]rogério!$B72=D$4),"ok","nok")</f>
        <v>nok</v>
      </c>
      <c r="E75" s="60" t="str">
        <f>IF(AND($B75=[1]rogério!$A72,[1]rogério!$B72=E$4),"ok","nok")</f>
        <v>nok</v>
      </c>
      <c r="F75" s="60" t="str">
        <f>IF(AND($B75=[1]rogério!$A72,[1]rogério!$B72=F$4),"ok","nok")</f>
        <v>nok</v>
      </c>
      <c r="G75" s="60" t="str">
        <f>IF(AND($B75=[1]rogério!$A72,[1]rogério!$B72=G$4),"ok","nok")</f>
        <v>nok</v>
      </c>
      <c r="H75" s="60" t="str">
        <f>IF(AND($B75=[1]rogério!$A72,[1]rogério!$B72=H$4),"ok","nok")</f>
        <v>nok</v>
      </c>
      <c r="I75" s="60" t="str">
        <f>IF(AND($B75=[1]rogério!$A72,[1]rogério!$B72=I$4),"ok","nok")</f>
        <v>nok</v>
      </c>
      <c r="J75" s="60" t="str">
        <f>IF(AND($B75=[1]rogério!$A72,[1]rogério!$B72=J$4),"ok","nok")</f>
        <v>nok</v>
      </c>
      <c r="K75" s="60" t="str">
        <f>IF(AND($B75=[1]rogério!$A72,[1]rogério!$B72=K$4),"ok","nok")</f>
        <v>nok</v>
      </c>
      <c r="L75" s="60" t="str">
        <f>IF(AND($B75=[1]rogério!$A72,[1]rogério!$B72=L$4),"ok","nok")</f>
        <v>nok</v>
      </c>
      <c r="M75" s="60" t="str">
        <f>IF(AND($B75=[1]rogério!$A72,[1]rogério!$B72=M$4),"ok","nok")</f>
        <v>nok</v>
      </c>
      <c r="N75" s="60" t="str">
        <f>IF(AND($B75=[1]rogério!$A72,[1]rogério!$B72=N$4),"ok","nok")</f>
        <v>nok</v>
      </c>
      <c r="O75" s="60" t="str">
        <f>IF(AND($B75=[1]rogério!$A72,[1]rogério!$B72=O$4),"ok","nok")</f>
        <v>nok</v>
      </c>
      <c r="P75" s="60" t="str">
        <f>IF(AND($B75=[1]rogério!$A72,[1]rogério!$B72=P$4),"ok","nok")</f>
        <v>nok</v>
      </c>
      <c r="Q75" s="104"/>
      <c r="R75" s="60" t="str">
        <f>IF(AND($B75=[1]rogério!$A72,[1]rogério!$B72=R$4),"ok","nok")</f>
        <v>nok</v>
      </c>
      <c r="S75" s="60" t="str">
        <f>IF(AND($B75=[1]rogério!$A72,[1]rogério!$B72=S$4),"ok","nok")</f>
        <v>nok</v>
      </c>
      <c r="T75" s="60" t="str">
        <f>IF(AND($B75=[1]rogério!$A72,[1]rogério!$B72=T$4),"ok","nok")</f>
        <v>nok</v>
      </c>
      <c r="U75" s="60" t="str">
        <f>IF(AND($B75=[1]rogério!$A72,[1]rogério!$B72=U$4),"ok","nok")</f>
        <v>nok</v>
      </c>
      <c r="V75" s="60" t="str">
        <f>IF(AND($B75=[1]rogério!$A72,[1]rogério!$B72=V$4),"ok","nok")</f>
        <v>nok</v>
      </c>
      <c r="W75" s="60" t="str">
        <f>IF(AND($B75=[1]rogério!$A72,[1]rogério!$B72=W$4),"ok","nok")</f>
        <v>ok</v>
      </c>
      <c r="X75" s="60" t="str">
        <f>IF(AND($B75=[1]rogério!$A72,[1]rogério!$B72=X$4),"ok","nok")</f>
        <v>nok</v>
      </c>
      <c r="Y75" s="105" t="s">
        <v>32</v>
      </c>
      <c r="Z75" s="106"/>
      <c r="AA75" s="106"/>
      <c r="AB75" s="107"/>
      <c r="AC75" s="40"/>
      <c r="AD75" s="40"/>
      <c r="AE75" s="48" t="str">
        <f t="shared" si="29"/>
        <v/>
      </c>
      <c r="AF75" s="48"/>
      <c r="AG75" s="48"/>
      <c r="AH75" s="89"/>
      <c r="AI75" s="49">
        <f t="shared" si="30"/>
        <v>0</v>
      </c>
      <c r="AJ75" s="49" t="str">
        <f t="shared" si="31"/>
        <v/>
      </c>
      <c r="AK75" s="49">
        <f t="shared" si="32"/>
        <v>0</v>
      </c>
      <c r="AL75" s="49" t="str">
        <f t="shared" si="33"/>
        <v/>
      </c>
      <c r="AM75" s="49">
        <f t="shared" si="34"/>
        <v>0</v>
      </c>
      <c r="AN75" s="49" t="str">
        <f t="shared" si="35"/>
        <v/>
      </c>
      <c r="AO75" s="49">
        <f t="shared" si="36"/>
        <v>0</v>
      </c>
      <c r="AP75" s="49" t="str">
        <f t="shared" si="37"/>
        <v/>
      </c>
      <c r="AQ75" s="49">
        <f t="shared" si="38"/>
        <v>1</v>
      </c>
      <c r="AR75" s="49" t="str">
        <f t="shared" si="39"/>
        <v/>
      </c>
      <c r="AV75" s="57"/>
      <c r="BF75" s="52"/>
    </row>
    <row r="76" spans="1:58" ht="30" customHeight="1" x14ac:dyDescent="0.35">
      <c r="A76" s="25" t="str">
        <f t="shared" si="28"/>
        <v>PT072 - ANCORAGEM DE SÃO LUIS
TR-315K-08</v>
      </c>
      <c r="B76" s="40" t="s">
        <v>42</v>
      </c>
      <c r="C76" s="60" t="str">
        <f>IF(AND($B76=[1]rogério!$A73,[1]rogério!$B73=C$4),"ok","nok")</f>
        <v>nok</v>
      </c>
      <c r="D76" s="60" t="str">
        <f>IF(AND($B76=[1]rogério!$A73,[1]rogério!$B73=D$4),"ok","nok")</f>
        <v>nok</v>
      </c>
      <c r="E76" s="60" t="str">
        <f>IF(AND($B76=[1]rogério!$A73,[1]rogério!$B73=E$4),"ok","nok")</f>
        <v>nok</v>
      </c>
      <c r="F76" s="60" t="str">
        <f>IF(AND($B76=[1]rogério!$A73,[1]rogério!$B73=F$4),"ok","nok")</f>
        <v>nok</v>
      </c>
      <c r="G76" s="60" t="str">
        <f>IF(AND($B76=[1]rogério!$A73,[1]rogério!$B73=G$4),"ok","nok")</f>
        <v>nok</v>
      </c>
      <c r="H76" s="60" t="str">
        <f>IF(AND($B76=[1]rogério!$A73,[1]rogério!$B73=H$4),"ok","nok")</f>
        <v>nok</v>
      </c>
      <c r="I76" s="60" t="str">
        <f>IF(AND($B76=[1]rogério!$A73,[1]rogério!$B73=I$4),"ok","nok")</f>
        <v>nok</v>
      </c>
      <c r="J76" s="60" t="str">
        <f>IF(AND($B76=[1]rogério!$A73,[1]rogério!$B73=J$4),"ok","nok")</f>
        <v>nok</v>
      </c>
      <c r="K76" s="60" t="str">
        <f>IF(AND($B76=[1]rogério!$A73,[1]rogério!$B73=K$4),"ok","nok")</f>
        <v>nok</v>
      </c>
      <c r="L76" s="60" t="str">
        <f>IF(AND($B76=[1]rogério!$A73,[1]rogério!$B73=L$4),"ok","nok")</f>
        <v>nok</v>
      </c>
      <c r="M76" s="60" t="str">
        <f>IF(AND($B76=[1]rogério!$A73,[1]rogério!$B73=M$4),"ok","nok")</f>
        <v>nok</v>
      </c>
      <c r="N76" s="60" t="str">
        <f>IF(AND($B76=[1]rogério!$A73,[1]rogério!$B73=N$4),"ok","nok")</f>
        <v>nok</v>
      </c>
      <c r="O76" s="60" t="str">
        <f>IF(AND($B76=[1]rogério!$A73,[1]rogério!$B73=O$4),"ok","nok")</f>
        <v>nok</v>
      </c>
      <c r="P76" s="60" t="str">
        <f>IF(AND($B76=[1]rogério!$A73,[1]rogério!$B73=P$4),"ok","nok")</f>
        <v>nok</v>
      </c>
      <c r="Q76" s="60" t="str">
        <f>IF(AND($B76=[1]rogério!$A73,[1]rogério!$B73=Q$4),"ok","nok")</f>
        <v>nok</v>
      </c>
      <c r="R76" s="104"/>
      <c r="S76" s="60" t="str">
        <f>IF(AND($B76=[1]rogério!$A73,[1]rogério!$B73=S$4),"ok","nok")</f>
        <v>nok</v>
      </c>
      <c r="T76" s="60" t="str">
        <f>IF(AND($B76=[1]rogério!$A73,[1]rogério!$B73=T$4),"ok","nok")</f>
        <v>nok</v>
      </c>
      <c r="U76" s="60" t="str">
        <f>IF(AND($B76=[1]rogério!$A73,[1]rogério!$B73=U$4),"ok","nok")</f>
        <v>nok</v>
      </c>
      <c r="V76" s="60" t="str">
        <f>IF(AND($B76=[1]rogério!$A73,[1]rogério!$B73=V$4),"ok","nok")</f>
        <v>nok</v>
      </c>
      <c r="W76" s="60" t="str">
        <f>IF(AND($B76=[1]rogério!$A73,[1]rogério!$B73=W$4),"ok","nok")</f>
        <v>nok</v>
      </c>
      <c r="X76" s="60" t="str">
        <f>IF(AND($B76=[1]rogério!$A73,[1]rogério!$B73=X$4),"ok","nok")</f>
        <v>ok</v>
      </c>
      <c r="Y76" s="105" t="s">
        <v>32</v>
      </c>
      <c r="Z76" s="106"/>
      <c r="AA76" s="106"/>
      <c r="AB76" s="107"/>
      <c r="AC76" s="40"/>
      <c r="AD76" s="40"/>
      <c r="AE76" s="48" t="str">
        <f t="shared" si="29"/>
        <v/>
      </c>
      <c r="AF76" s="48"/>
      <c r="AG76" s="48"/>
      <c r="AH76" s="89"/>
      <c r="AI76" s="49">
        <f t="shared" si="30"/>
        <v>0</v>
      </c>
      <c r="AJ76" s="49" t="str">
        <f t="shared" si="31"/>
        <v/>
      </c>
      <c r="AK76" s="49">
        <f t="shared" si="32"/>
        <v>0</v>
      </c>
      <c r="AL76" s="49" t="str">
        <f t="shared" si="33"/>
        <v/>
      </c>
      <c r="AM76" s="49">
        <f t="shared" si="34"/>
        <v>0</v>
      </c>
      <c r="AN76" s="49" t="str">
        <f t="shared" si="35"/>
        <v/>
      </c>
      <c r="AO76" s="49">
        <f t="shared" si="36"/>
        <v>0</v>
      </c>
      <c r="AP76" s="49" t="str">
        <f t="shared" si="37"/>
        <v/>
      </c>
      <c r="AQ76" s="49">
        <f t="shared" si="38"/>
        <v>1</v>
      </c>
      <c r="AR76" s="49" t="str">
        <f t="shared" si="39"/>
        <v/>
      </c>
      <c r="AV76" s="57"/>
      <c r="BF76" s="52"/>
    </row>
    <row r="77" spans="1:58" ht="30" customHeight="1" x14ac:dyDescent="0.35">
      <c r="A77" s="25" t="str">
        <f t="shared" si="28"/>
        <v>PT072 - ANCORAGEM DE SÃO LUIS
TR-315K-08</v>
      </c>
      <c r="B77" s="40" t="s">
        <v>43</v>
      </c>
      <c r="C77" s="60" t="str">
        <f>IF(AND($B77=[1]rogério!$A74,[1]rogério!$B74=C$4),"ok","nok")</f>
        <v>nok</v>
      </c>
      <c r="D77" s="60" t="str">
        <f>IF(AND($B77=[1]rogério!$A74,[1]rogério!$B74=D$4),"ok","nok")</f>
        <v>nok</v>
      </c>
      <c r="E77" s="60" t="str">
        <f>IF(AND($B77=[1]rogério!$A74,[1]rogério!$B74=E$4),"ok","nok")</f>
        <v>nok</v>
      </c>
      <c r="F77" s="60" t="str">
        <f>IF(AND($B77=[1]rogério!$A74,[1]rogério!$B74=F$4),"ok","nok")</f>
        <v>nok</v>
      </c>
      <c r="G77" s="60" t="str">
        <f>IF(AND($B77=[1]rogério!$A74,[1]rogério!$B74=G$4),"ok","nok")</f>
        <v>nok</v>
      </c>
      <c r="H77" s="60" t="str">
        <f>IF(AND($B77=[1]rogério!$A74,[1]rogério!$B74=H$4),"ok","nok")</f>
        <v>nok</v>
      </c>
      <c r="I77" s="60" t="str">
        <f>IF(AND($B77=[1]rogério!$A74,[1]rogério!$B74=I$4),"ok","nok")</f>
        <v>nok</v>
      </c>
      <c r="J77" s="60" t="str">
        <f>IF(AND($B77=[1]rogério!$A74,[1]rogério!$B74=J$4),"ok","nok")</f>
        <v>nok</v>
      </c>
      <c r="K77" s="60" t="str">
        <f>IF(AND($B77=[1]rogério!$A74,[1]rogério!$B74=K$4),"ok","nok")</f>
        <v>nok</v>
      </c>
      <c r="L77" s="60" t="str">
        <f>IF(AND($B77=[1]rogério!$A74,[1]rogério!$B74=L$4),"ok","nok")</f>
        <v>nok</v>
      </c>
      <c r="M77" s="60" t="str">
        <f>IF(AND($B77=[1]rogério!$A74,[1]rogério!$B74=M$4),"ok","nok")</f>
        <v>nok</v>
      </c>
      <c r="N77" s="60" t="str">
        <f>IF(AND($B77=[1]rogério!$A74,[1]rogério!$B74=N$4),"ok","nok")</f>
        <v>nok</v>
      </c>
      <c r="O77" s="60" t="str">
        <f>IF(AND($B77=[1]rogério!$A74,[1]rogério!$B74=O$4),"ok","nok")</f>
        <v>nok</v>
      </c>
      <c r="P77" s="60" t="str">
        <f>IF(AND($B77=[1]rogério!$A74,[1]rogério!$B74=P$4),"ok","nok")</f>
        <v>nok</v>
      </c>
      <c r="Q77" s="60" t="str">
        <f>IF(AND($B77=[1]rogério!$A74,[1]rogério!$B74=Q$4),"ok","nok")</f>
        <v>nok</v>
      </c>
      <c r="R77" s="104"/>
      <c r="S77" s="60" t="str">
        <f>IF(AND($B77=[1]rogério!$A74,[1]rogério!$B74=S$4),"ok","nok")</f>
        <v>nok</v>
      </c>
      <c r="T77" s="60" t="str">
        <f>IF(AND($B77=[1]rogério!$A74,[1]rogério!$B74=T$4),"ok","nok")</f>
        <v>nok</v>
      </c>
      <c r="U77" s="60" t="str">
        <f>IF(AND($B77=[1]rogério!$A74,[1]rogério!$B74=U$4),"ok","nok")</f>
        <v>nok</v>
      </c>
      <c r="V77" s="60" t="str">
        <f>IF(AND($B77=[1]rogério!$A74,[1]rogério!$B74=V$4),"ok","nok")</f>
        <v>nok</v>
      </c>
      <c r="W77" s="60" t="str">
        <f>IF(AND($B77=[1]rogério!$A74,[1]rogério!$B74=W$4),"ok","nok")</f>
        <v>nok</v>
      </c>
      <c r="X77" s="60" t="str">
        <f>IF(AND($B77=[1]rogério!$A74,[1]rogério!$B74=X$4),"ok","nok")</f>
        <v>ok</v>
      </c>
      <c r="Y77" s="105" t="s">
        <v>32</v>
      </c>
      <c r="Z77" s="106"/>
      <c r="AA77" s="106"/>
      <c r="AB77" s="107"/>
      <c r="AC77" s="40"/>
      <c r="AD77" s="40"/>
      <c r="AE77" s="48" t="str">
        <f t="shared" si="29"/>
        <v/>
      </c>
      <c r="AF77" s="48"/>
      <c r="AG77" s="48"/>
      <c r="AH77" s="89"/>
      <c r="AI77" s="49">
        <f t="shared" si="30"/>
        <v>0</v>
      </c>
      <c r="AJ77" s="49" t="str">
        <f t="shared" si="31"/>
        <v/>
      </c>
      <c r="AK77" s="49">
        <f t="shared" si="32"/>
        <v>0</v>
      </c>
      <c r="AL77" s="49" t="str">
        <f t="shared" si="33"/>
        <v/>
      </c>
      <c r="AM77" s="49">
        <f t="shared" si="34"/>
        <v>0</v>
      </c>
      <c r="AN77" s="49" t="str">
        <f t="shared" si="35"/>
        <v/>
      </c>
      <c r="AO77" s="49">
        <f t="shared" si="36"/>
        <v>0</v>
      </c>
      <c r="AP77" s="49" t="str">
        <f t="shared" si="37"/>
        <v/>
      </c>
      <c r="AQ77" s="49">
        <f t="shared" si="38"/>
        <v>1</v>
      </c>
      <c r="AR77" s="49" t="str">
        <f t="shared" si="39"/>
        <v/>
      </c>
      <c r="AV77" s="57"/>
      <c r="BF77" s="52"/>
    </row>
    <row r="78" spans="1:58" ht="30" customHeight="1" x14ac:dyDescent="0.35">
      <c r="A78" s="25"/>
      <c r="B78" s="39" t="s">
        <v>44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108"/>
      <c r="Z78" s="109"/>
      <c r="AA78" s="109"/>
      <c r="AB78" s="110"/>
      <c r="AC78" s="40"/>
      <c r="AD78" s="40"/>
      <c r="AE78" s="48" t="str">
        <f t="shared" si="29"/>
        <v/>
      </c>
      <c r="AF78" s="48"/>
      <c r="AG78" s="48"/>
      <c r="AH78" s="89"/>
      <c r="AI78" s="49">
        <f t="shared" si="30"/>
        <v>0</v>
      </c>
      <c r="AJ78" s="49" t="str">
        <f t="shared" si="31"/>
        <v/>
      </c>
      <c r="AK78" s="49">
        <f t="shared" si="32"/>
        <v>0</v>
      </c>
      <c r="AL78" s="49" t="str">
        <f t="shared" si="33"/>
        <v/>
      </c>
      <c r="AM78" s="49">
        <f t="shared" si="34"/>
        <v>0</v>
      </c>
      <c r="AN78" s="49" t="str">
        <f t="shared" si="35"/>
        <v/>
      </c>
      <c r="AO78" s="49">
        <f t="shared" si="36"/>
        <v>0</v>
      </c>
      <c r="AP78" s="49" t="str">
        <f t="shared" si="37"/>
        <v/>
      </c>
      <c r="AQ78" s="49">
        <f t="shared" si="38"/>
        <v>0</v>
      </c>
      <c r="AR78" s="49" t="str">
        <f t="shared" si="39"/>
        <v/>
      </c>
      <c r="AV78" s="57"/>
      <c r="BF78" s="52"/>
    </row>
    <row r="79" spans="1:58" ht="30" customHeight="1" x14ac:dyDescent="0.35">
      <c r="A79" s="25" t="str">
        <f t="shared" si="28"/>
        <v>PT072 - ANCORAGEM DE SÃO LUIS
TR-315K-08</v>
      </c>
      <c r="B79" s="40" t="s">
        <v>49</v>
      </c>
      <c r="C79" s="60" t="str">
        <f>IF(AND($B79=[1]rogério!$A76,[1]rogério!$B76=C$4),"ok","nok")</f>
        <v>nok</v>
      </c>
      <c r="D79" s="60" t="str">
        <f>IF(AND($B79=[1]rogério!$A76,[1]rogério!$B76=D$4),"ok","nok")</f>
        <v>nok</v>
      </c>
      <c r="E79" s="60" t="str">
        <f>IF(AND($B79=[1]rogério!$A76,[1]rogério!$B76=E$4),"ok","nok")</f>
        <v>nok</v>
      </c>
      <c r="F79" s="60" t="str">
        <f>IF(AND($B79=[1]rogério!$A76,[1]rogério!$B76=F$4),"ok","nok")</f>
        <v>nok</v>
      </c>
      <c r="G79" s="60" t="str">
        <f>IF(AND($B79=[1]rogério!$A76,[1]rogério!$B76=G$4),"ok","nok")</f>
        <v>nok</v>
      </c>
      <c r="H79" s="60" t="str">
        <f>IF(AND($B79=[1]rogério!$A76,[1]rogério!$B76=H$4),"ok","nok")</f>
        <v>nok</v>
      </c>
      <c r="I79" s="60" t="str">
        <f>IF(AND($B79=[1]rogério!$A76,[1]rogério!$B76=I$4),"ok","nok")</f>
        <v>nok</v>
      </c>
      <c r="J79" s="60" t="str">
        <f>IF(AND($B79=[1]rogério!$A76,[1]rogério!$B76=J$4),"ok","nok")</f>
        <v>nok</v>
      </c>
      <c r="K79" s="60" t="str">
        <f>IF(AND($B79=[1]rogério!$A76,[1]rogério!$B76=K$4),"ok","nok")</f>
        <v>nok</v>
      </c>
      <c r="L79" s="60" t="str">
        <f>IF(AND($B79=[1]rogério!$A76,[1]rogério!$B76=L$4),"ok","nok")</f>
        <v>nok</v>
      </c>
      <c r="M79" s="60" t="str">
        <f>IF(AND($B79=[1]rogério!$A76,[1]rogério!$B76=M$4),"ok","nok")</f>
        <v>nok</v>
      </c>
      <c r="N79" s="60" t="str">
        <f>IF(AND($B79=[1]rogério!$A76,[1]rogério!$B76=N$4),"ok","nok")</f>
        <v>nok</v>
      </c>
      <c r="O79" s="60" t="str">
        <f>IF(AND($B79=[1]rogério!$A76,[1]rogério!$B76=O$4),"ok","nok")</f>
        <v>nok</v>
      </c>
      <c r="P79" s="60" t="str">
        <f>IF(AND($B79=[1]rogério!$A76,[1]rogério!$B76=P$4),"ok","nok")</f>
        <v>nok</v>
      </c>
      <c r="Q79" s="60" t="str">
        <f>IF(AND($B79=[1]rogério!$A76,[1]rogério!$B76=Q$4),"ok","nok")</f>
        <v>ok</v>
      </c>
      <c r="R79" s="60" t="str">
        <f>IF(AND($B79=[1]rogério!$A76,[1]rogério!$B76=R$4),"ok","nok")</f>
        <v>nok</v>
      </c>
      <c r="S79" s="60" t="str">
        <f>IF(AND($B79=[1]rogério!$A76,[1]rogério!$B76=S$4),"ok","nok")</f>
        <v>nok</v>
      </c>
      <c r="T79" s="60" t="str">
        <f>IF(AND($B79=[1]rogério!$A76,[1]rogério!$B76=T$4),"ok","nok")</f>
        <v>nok</v>
      </c>
      <c r="U79" s="60" t="str">
        <f>IF(AND($B79=[1]rogério!$A76,[1]rogério!$B76=U$4),"ok","nok")</f>
        <v>nok</v>
      </c>
      <c r="V79" s="60" t="str">
        <f>IF(AND($B79=[1]rogério!$A76,[1]rogério!$B76=V$4),"ok","nok")</f>
        <v>nok</v>
      </c>
      <c r="W79" s="60" t="str">
        <f>IF(AND($B79=[1]rogério!$A76,[1]rogério!$B76=W$4),"ok","nok")</f>
        <v>nok</v>
      </c>
      <c r="X79" s="60" t="str">
        <f>IF(AND($B79=[1]rogério!$A76,[1]rogério!$B76=X$4),"ok","nok")</f>
        <v>nok</v>
      </c>
      <c r="Y79" s="105" t="s">
        <v>33</v>
      </c>
      <c r="Z79" s="106"/>
      <c r="AA79" s="106"/>
      <c r="AB79" s="107"/>
      <c r="AC79" s="40"/>
      <c r="AD79" s="40"/>
      <c r="AE79" s="48" t="str">
        <f t="shared" si="29"/>
        <v/>
      </c>
      <c r="AF79" s="48"/>
      <c r="AG79" s="48"/>
      <c r="AH79" s="89"/>
      <c r="AI79" s="49">
        <f t="shared" si="30"/>
        <v>0</v>
      </c>
      <c r="AJ79" s="49" t="str">
        <f t="shared" si="31"/>
        <v/>
      </c>
      <c r="AK79" s="49">
        <f t="shared" si="32"/>
        <v>0</v>
      </c>
      <c r="AL79" s="49" t="str">
        <f t="shared" si="33"/>
        <v/>
      </c>
      <c r="AM79" s="49">
        <f t="shared" si="34"/>
        <v>1</v>
      </c>
      <c r="AN79" s="49" t="str">
        <f t="shared" si="35"/>
        <v>EFPRAZO</v>
      </c>
      <c r="AO79" s="49">
        <f t="shared" si="36"/>
        <v>0</v>
      </c>
      <c r="AP79" s="49" t="str">
        <f t="shared" si="37"/>
        <v/>
      </c>
      <c r="AQ79" s="49">
        <f t="shared" si="38"/>
        <v>0</v>
      </c>
      <c r="AR79" s="49" t="str">
        <f t="shared" si="39"/>
        <v/>
      </c>
      <c r="AV79" s="57"/>
      <c r="BF79" s="52"/>
    </row>
    <row r="80" spans="1:58" ht="30" customHeight="1" x14ac:dyDescent="0.35">
      <c r="A80" s="25" t="str">
        <f t="shared" si="28"/>
        <v>PT072 - ANCORAGEM DE SÃO LUIS
TR-315K-08</v>
      </c>
      <c r="B80" s="40" t="s">
        <v>19</v>
      </c>
      <c r="C80" s="60" t="str">
        <f>IF(AND($B80=[1]rogério!$A77,[1]rogério!$B77=C$4),"ok","nok")</f>
        <v>nok</v>
      </c>
      <c r="D80" s="60" t="str">
        <f>IF(AND($B80=[1]rogério!$A77,[1]rogério!$B77=D$4),"ok","nok")</f>
        <v>nok</v>
      </c>
      <c r="E80" s="60" t="str">
        <f>IF(AND($B80=[1]rogério!$A77,[1]rogério!$B77=E$4),"ok","nok")</f>
        <v>nok</v>
      </c>
      <c r="F80" s="60" t="str">
        <f>IF(AND($B80=[1]rogério!$A77,[1]rogério!$B77=F$4),"ok","nok")</f>
        <v>nok</v>
      </c>
      <c r="G80" s="60" t="str">
        <f>IF(AND($B80=[1]rogério!$A77,[1]rogério!$B77=G$4),"ok","nok")</f>
        <v>nok</v>
      </c>
      <c r="H80" s="60" t="str">
        <f>IF(AND($B80=[1]rogério!$A77,[1]rogério!$B77=H$4),"ok","nok")</f>
        <v>nok</v>
      </c>
      <c r="I80" s="60" t="str">
        <f>IF(AND($B80=[1]rogério!$A77,[1]rogério!$B77=I$4),"ok","nok")</f>
        <v>nok</v>
      </c>
      <c r="J80" s="60" t="str">
        <f>IF(AND($B80=[1]rogério!$A77,[1]rogério!$B77=J$4),"ok","nok")</f>
        <v>nok</v>
      </c>
      <c r="K80" s="60" t="str">
        <f>IF(AND($B80=[1]rogério!$A77,[1]rogério!$B77=K$4),"ok","nok")</f>
        <v>nok</v>
      </c>
      <c r="L80" s="60" t="str">
        <f>IF(AND($B80=[1]rogério!$A77,[1]rogério!$B77=L$4),"ok","nok")</f>
        <v>nok</v>
      </c>
      <c r="M80" s="60" t="str">
        <f>IF(AND($B80=[1]rogério!$A77,[1]rogério!$B77=M$4),"ok","nok")</f>
        <v>nok</v>
      </c>
      <c r="N80" s="60" t="str">
        <f>IF(AND($B80=[1]rogério!$A77,[1]rogério!$B77=N$4),"ok","nok")</f>
        <v>nok</v>
      </c>
      <c r="O80" s="60" t="str">
        <f>IF(AND($B80=[1]rogério!$A77,[1]rogério!$B77=O$4),"ok","nok")</f>
        <v>nok</v>
      </c>
      <c r="P80" s="60" t="str">
        <f>IF(AND($B80=[1]rogério!$A77,[1]rogério!$B77=P$4),"ok","nok")</f>
        <v>nok</v>
      </c>
      <c r="Q80" s="60" t="str">
        <f>IF(AND($B80=[1]rogério!$A77,[1]rogério!$B77=Q$4),"ok","nok")</f>
        <v>nok</v>
      </c>
      <c r="R80" s="60" t="str">
        <f>IF(AND($B80=[1]rogério!$A77,[1]rogério!$B77=R$4),"ok","nok")</f>
        <v>nok</v>
      </c>
      <c r="S80" s="60" t="str">
        <f>IF(AND($B80=[1]rogério!$A77,[1]rogério!$B77=S$4),"ok","nok")</f>
        <v>nok</v>
      </c>
      <c r="T80" s="60" t="str">
        <f>IF(AND($B80=[1]rogério!$A77,[1]rogério!$B77=T$4),"ok","nok")</f>
        <v>nok</v>
      </c>
      <c r="U80" s="60" t="str">
        <f>IF(AND($B80=[1]rogério!$A77,[1]rogério!$B77=U$4),"ok","nok")</f>
        <v>nok</v>
      </c>
      <c r="V80" s="60" t="str">
        <f>IF(AND($B80=[1]rogério!$A77,[1]rogério!$B77=V$4),"ok","nok")</f>
        <v>nok</v>
      </c>
      <c r="W80" s="60" t="str">
        <f>IF(AND($B80=[1]rogério!$A77,[1]rogério!$B77=W$4),"ok","nok")</f>
        <v>nok</v>
      </c>
      <c r="X80" s="60" t="str">
        <f>IF(AND($B80=[1]rogério!$A77,[1]rogério!$B77=X$4),"ok","nok")</f>
        <v>ok</v>
      </c>
      <c r="Y80" s="105" t="s">
        <v>15</v>
      </c>
      <c r="Z80" s="106"/>
      <c r="AA80" s="106"/>
      <c r="AB80" s="107"/>
      <c r="AC80" s="40"/>
      <c r="AD80" s="40"/>
      <c r="AE80" s="48" t="str">
        <f t="shared" si="29"/>
        <v/>
      </c>
      <c r="AF80" s="48"/>
      <c r="AG80" s="48"/>
      <c r="AH80" s="89"/>
      <c r="AI80" s="49">
        <f t="shared" si="30"/>
        <v>0</v>
      </c>
      <c r="AJ80" s="49" t="str">
        <f t="shared" si="31"/>
        <v/>
      </c>
      <c r="AK80" s="49">
        <f t="shared" si="32"/>
        <v>0</v>
      </c>
      <c r="AL80" s="49" t="str">
        <f t="shared" si="33"/>
        <v/>
      </c>
      <c r="AM80" s="49">
        <f t="shared" si="34"/>
        <v>0</v>
      </c>
      <c r="AN80" s="49" t="str">
        <f t="shared" si="35"/>
        <v/>
      </c>
      <c r="AO80" s="49">
        <f t="shared" si="36"/>
        <v>0</v>
      </c>
      <c r="AP80" s="49" t="str">
        <f t="shared" si="37"/>
        <v/>
      </c>
      <c r="AQ80" s="49">
        <f t="shared" si="38"/>
        <v>1</v>
      </c>
      <c r="AR80" s="49" t="str">
        <f t="shared" si="39"/>
        <v/>
      </c>
      <c r="AV80" s="57"/>
      <c r="BF80" s="52"/>
    </row>
    <row r="81" spans="1:58" ht="30" customHeight="1" x14ac:dyDescent="0.35">
      <c r="A81" s="25"/>
      <c r="B81" s="36" t="s">
        <v>54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123"/>
      <c r="Z81" s="124"/>
      <c r="AA81" s="124"/>
      <c r="AB81" s="125"/>
      <c r="AC81" s="40"/>
      <c r="AD81" s="40"/>
      <c r="AE81" s="48" t="str">
        <f t="shared" si="29"/>
        <v/>
      </c>
      <c r="AF81" s="48"/>
      <c r="AG81" s="48"/>
      <c r="AH81" s="89"/>
      <c r="AI81" s="49">
        <f t="shared" si="30"/>
        <v>0</v>
      </c>
      <c r="AJ81" s="49" t="str">
        <f t="shared" si="31"/>
        <v/>
      </c>
      <c r="AK81" s="49">
        <f t="shared" si="32"/>
        <v>0</v>
      </c>
      <c r="AL81" s="49" t="str">
        <f t="shared" si="33"/>
        <v/>
      </c>
      <c r="AM81" s="49">
        <f t="shared" si="34"/>
        <v>0</v>
      </c>
      <c r="AN81" s="49" t="str">
        <f t="shared" si="35"/>
        <v/>
      </c>
      <c r="AO81" s="49">
        <f t="shared" si="36"/>
        <v>0</v>
      </c>
      <c r="AP81" s="49" t="str">
        <f t="shared" si="37"/>
        <v/>
      </c>
      <c r="AQ81" s="49">
        <f t="shared" si="38"/>
        <v>0</v>
      </c>
      <c r="AR81" s="49" t="str">
        <f t="shared" si="39"/>
        <v/>
      </c>
      <c r="AV81" s="57"/>
      <c r="BF81" s="52"/>
    </row>
    <row r="82" spans="1:58" ht="30" customHeight="1" x14ac:dyDescent="0.35">
      <c r="A82" s="25"/>
      <c r="B82" s="36" t="s">
        <v>55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123"/>
      <c r="Z82" s="124"/>
      <c r="AA82" s="124"/>
      <c r="AB82" s="125"/>
      <c r="AC82" s="40"/>
      <c r="AD82" s="40"/>
      <c r="AE82" s="48" t="str">
        <f t="shared" si="29"/>
        <v/>
      </c>
      <c r="AF82" s="48"/>
      <c r="AG82" s="48"/>
      <c r="AH82" s="89"/>
      <c r="AI82" s="49">
        <f t="shared" si="30"/>
        <v>0</v>
      </c>
      <c r="AJ82" s="49" t="str">
        <f t="shared" si="31"/>
        <v/>
      </c>
      <c r="AK82" s="49">
        <f t="shared" si="32"/>
        <v>0</v>
      </c>
      <c r="AL82" s="49" t="str">
        <f t="shared" si="33"/>
        <v/>
      </c>
      <c r="AM82" s="49">
        <f t="shared" si="34"/>
        <v>0</v>
      </c>
      <c r="AN82" s="49" t="str">
        <f t="shared" si="35"/>
        <v/>
      </c>
      <c r="AO82" s="49">
        <f t="shared" si="36"/>
        <v>0</v>
      </c>
      <c r="AP82" s="49" t="str">
        <f t="shared" si="37"/>
        <v/>
      </c>
      <c r="AQ82" s="49">
        <f t="shared" si="38"/>
        <v>0</v>
      </c>
      <c r="AR82" s="49" t="str">
        <f t="shared" si="39"/>
        <v/>
      </c>
      <c r="AV82" s="57"/>
      <c r="BF82" s="52"/>
    </row>
    <row r="83" spans="1:58" ht="30" customHeight="1" x14ac:dyDescent="0.35">
      <c r="A83" s="25"/>
      <c r="B83" s="37" t="s">
        <v>52</v>
      </c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120"/>
      <c r="Z83" s="121"/>
      <c r="AA83" s="121"/>
      <c r="AB83" s="122"/>
      <c r="AC83" s="40"/>
      <c r="AD83" s="40"/>
      <c r="AE83" s="48" t="str">
        <f t="shared" si="29"/>
        <v/>
      </c>
      <c r="AF83" s="48"/>
      <c r="AG83" s="48"/>
      <c r="AH83" s="89"/>
      <c r="AI83" s="49">
        <f t="shared" si="30"/>
        <v>0</v>
      </c>
      <c r="AJ83" s="49" t="str">
        <f t="shared" si="31"/>
        <v/>
      </c>
      <c r="AK83" s="49">
        <f t="shared" si="32"/>
        <v>0</v>
      </c>
      <c r="AL83" s="49" t="str">
        <f t="shared" si="33"/>
        <v/>
      </c>
      <c r="AM83" s="49">
        <f t="shared" si="34"/>
        <v>0</v>
      </c>
      <c r="AN83" s="49" t="str">
        <f t="shared" si="35"/>
        <v/>
      </c>
      <c r="AO83" s="49">
        <f t="shared" si="36"/>
        <v>0</v>
      </c>
      <c r="AP83" s="49" t="str">
        <f t="shared" si="37"/>
        <v/>
      </c>
      <c r="AQ83" s="49">
        <f t="shared" si="38"/>
        <v>0</v>
      </c>
      <c r="AR83" s="49" t="str">
        <f t="shared" si="39"/>
        <v/>
      </c>
      <c r="AV83" s="57"/>
      <c r="BF83" s="52"/>
    </row>
    <row r="84" spans="1:58" ht="30" customHeight="1" x14ac:dyDescent="0.35">
      <c r="A84" s="25"/>
      <c r="B84" s="42" t="s">
        <v>56</v>
      </c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111"/>
      <c r="Z84" s="112"/>
      <c r="AA84" s="112"/>
      <c r="AB84" s="113"/>
      <c r="AC84" s="40"/>
      <c r="AD84" s="40"/>
      <c r="AE84" s="48" t="str">
        <f t="shared" si="29"/>
        <v/>
      </c>
      <c r="AF84" s="48"/>
      <c r="AG84" s="48"/>
      <c r="AH84" s="89"/>
      <c r="AI84" s="49">
        <f t="shared" si="30"/>
        <v>0</v>
      </c>
      <c r="AJ84" s="49" t="str">
        <f t="shared" si="31"/>
        <v/>
      </c>
      <c r="AK84" s="49">
        <f t="shared" si="32"/>
        <v>0</v>
      </c>
      <c r="AL84" s="49" t="str">
        <f t="shared" si="33"/>
        <v/>
      </c>
      <c r="AM84" s="49">
        <f t="shared" si="34"/>
        <v>0</v>
      </c>
      <c r="AN84" s="49" t="str">
        <f t="shared" si="35"/>
        <v/>
      </c>
      <c r="AO84" s="49">
        <f t="shared" si="36"/>
        <v>0</v>
      </c>
      <c r="AP84" s="49" t="str">
        <f t="shared" si="37"/>
        <v/>
      </c>
      <c r="AQ84" s="49">
        <f t="shared" si="38"/>
        <v>0</v>
      </c>
      <c r="AR84" s="49" t="str">
        <f t="shared" si="39"/>
        <v/>
      </c>
      <c r="AV84" s="57"/>
      <c r="BF84" s="52"/>
    </row>
    <row r="85" spans="1:58" ht="30" customHeight="1" x14ac:dyDescent="0.35">
      <c r="A85" s="25"/>
      <c r="B85" s="61" t="s">
        <v>57</v>
      </c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17"/>
      <c r="Z85" s="118"/>
      <c r="AA85" s="118"/>
      <c r="AB85" s="119"/>
      <c r="AC85" s="40"/>
      <c r="AD85" s="40"/>
      <c r="AE85" s="48" t="str">
        <f t="shared" si="29"/>
        <v/>
      </c>
      <c r="AF85" s="48"/>
      <c r="AG85" s="48"/>
      <c r="AH85" s="89"/>
      <c r="AI85" s="49">
        <f t="shared" si="30"/>
        <v>0</v>
      </c>
      <c r="AJ85" s="49" t="str">
        <f t="shared" si="31"/>
        <v/>
      </c>
      <c r="AK85" s="49">
        <f t="shared" si="32"/>
        <v>0</v>
      </c>
      <c r="AL85" s="49" t="str">
        <f t="shared" si="33"/>
        <v/>
      </c>
      <c r="AM85" s="49">
        <f t="shared" si="34"/>
        <v>0</v>
      </c>
      <c r="AN85" s="49" t="str">
        <f t="shared" si="35"/>
        <v/>
      </c>
      <c r="AO85" s="49">
        <f t="shared" si="36"/>
        <v>0</v>
      </c>
      <c r="AP85" s="49" t="str">
        <f t="shared" si="37"/>
        <v/>
      </c>
      <c r="AQ85" s="49">
        <f t="shared" si="38"/>
        <v>0</v>
      </c>
      <c r="AR85" s="49" t="str">
        <f t="shared" si="39"/>
        <v/>
      </c>
      <c r="AV85" s="57"/>
      <c r="BF85" s="52"/>
    </row>
    <row r="86" spans="1:58" ht="30" customHeight="1" x14ac:dyDescent="0.35">
      <c r="A86" s="25"/>
      <c r="B86" s="62" t="s">
        <v>58</v>
      </c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114"/>
      <c r="Z86" s="115"/>
      <c r="AA86" s="115"/>
      <c r="AB86" s="116"/>
      <c r="AC86" s="40"/>
      <c r="AD86" s="40"/>
      <c r="AE86" s="48" t="str">
        <f t="shared" si="29"/>
        <v/>
      </c>
      <c r="AF86" s="48"/>
      <c r="AG86" s="48"/>
      <c r="AH86" s="89"/>
      <c r="AI86" s="49">
        <f t="shared" si="30"/>
        <v>0</v>
      </c>
      <c r="AJ86" s="49" t="str">
        <f t="shared" si="31"/>
        <v/>
      </c>
      <c r="AK86" s="49">
        <f t="shared" si="32"/>
        <v>0</v>
      </c>
      <c r="AL86" s="49" t="str">
        <f t="shared" si="33"/>
        <v/>
      </c>
      <c r="AM86" s="49">
        <f t="shared" si="34"/>
        <v>0</v>
      </c>
      <c r="AN86" s="49" t="str">
        <f t="shared" si="35"/>
        <v/>
      </c>
      <c r="AO86" s="49">
        <f t="shared" si="36"/>
        <v>0</v>
      </c>
      <c r="AP86" s="49" t="str">
        <f t="shared" si="37"/>
        <v/>
      </c>
      <c r="AQ86" s="49">
        <f t="shared" si="38"/>
        <v>0</v>
      </c>
      <c r="AR86" s="49" t="str">
        <f t="shared" si="39"/>
        <v/>
      </c>
      <c r="AV86" s="57"/>
      <c r="BF86" s="52"/>
    </row>
    <row r="87" spans="1:58" ht="30" customHeight="1" x14ac:dyDescent="0.35">
      <c r="A87" s="25"/>
      <c r="B87" s="39" t="s">
        <v>59</v>
      </c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108"/>
      <c r="Z87" s="109"/>
      <c r="AA87" s="109"/>
      <c r="AB87" s="110"/>
      <c r="AC87" s="40"/>
      <c r="AD87" s="40"/>
      <c r="AE87" s="48" t="str">
        <f t="shared" si="29"/>
        <v/>
      </c>
      <c r="AF87" s="48"/>
      <c r="AG87" s="48"/>
      <c r="AH87" s="89"/>
      <c r="AI87" s="49">
        <f t="shared" si="30"/>
        <v>0</v>
      </c>
      <c r="AJ87" s="49" t="str">
        <f t="shared" si="31"/>
        <v/>
      </c>
      <c r="AK87" s="49">
        <f t="shared" si="32"/>
        <v>0</v>
      </c>
      <c r="AL87" s="49" t="str">
        <f t="shared" si="33"/>
        <v/>
      </c>
      <c r="AM87" s="49">
        <f t="shared" si="34"/>
        <v>0</v>
      </c>
      <c r="AN87" s="49" t="str">
        <f t="shared" si="35"/>
        <v/>
      </c>
      <c r="AO87" s="49">
        <f t="shared" si="36"/>
        <v>0</v>
      </c>
      <c r="AP87" s="49" t="str">
        <f t="shared" si="37"/>
        <v/>
      </c>
      <c r="AQ87" s="49">
        <f t="shared" si="38"/>
        <v>0</v>
      </c>
      <c r="AR87" s="49" t="str">
        <f t="shared" si="39"/>
        <v/>
      </c>
      <c r="AV87" s="57"/>
      <c r="BF87" s="52"/>
    </row>
    <row r="88" spans="1:58" ht="30" customHeight="1" x14ac:dyDescent="0.35">
      <c r="A88" s="25" t="str">
        <f>CONCATENATE($B$82,"
",$B$84,"
",$B$86)</f>
        <v>PT177 - PLATAFORMA DE ACESSO - FORQUILHA 1 - BÁSICO
TORRE B1
ESTRUTURAS METÁLICAS</v>
      </c>
      <c r="B88" s="40" t="s">
        <v>61</v>
      </c>
      <c r="C88" s="60" t="str">
        <f>IF(AND($B88=[1]rogério!$A89,[1]rogério!$B89=C$4),"ok","nok")</f>
        <v>nok</v>
      </c>
      <c r="D88" s="60" t="str">
        <f>IF(AND($B88=[1]rogério!$A89,[1]rogério!$B89=D$4),"ok","nok")</f>
        <v>nok</v>
      </c>
      <c r="E88" s="60" t="str">
        <f>IF(AND($B88=[1]rogério!$A89,[1]rogério!$B89=E$4),"ok","nok")</f>
        <v>nok</v>
      </c>
      <c r="F88" s="60" t="str">
        <f>IF(AND($B88=[1]rogério!$A89,[1]rogério!$B89=F$4),"ok","nok")</f>
        <v>nok</v>
      </c>
      <c r="G88" s="60" t="str">
        <f>IF(AND($B88=[1]rogério!$A89,[1]rogério!$B89=G$4),"ok","nok")</f>
        <v>nok</v>
      </c>
      <c r="H88" s="60" t="str">
        <f>IF(AND($B88=[1]rogério!$A89,[1]rogério!$B89=H$4),"ok","nok")</f>
        <v>nok</v>
      </c>
      <c r="I88" s="60" t="str">
        <f>IF(AND($B88=[1]rogério!$A89,[1]rogério!$B89=I$4),"ok","nok")</f>
        <v>nok</v>
      </c>
      <c r="J88" s="60" t="str">
        <f>IF(AND($B88=[1]rogério!$A89,[1]rogério!$B89=J$4),"ok","nok")</f>
        <v>ok</v>
      </c>
      <c r="K88" s="60" t="str">
        <f>IF(AND($B88=[1]rogério!$A89,[1]rogério!$B89=K$4),"ok","nok")</f>
        <v>nok</v>
      </c>
      <c r="L88" s="60" t="str">
        <f>IF(AND($B88=[1]rogério!$A89,[1]rogério!$B89=L$4),"ok","nok")</f>
        <v>nok</v>
      </c>
      <c r="M88" s="60" t="str">
        <f>IF(AND($B88=[1]rogério!$A89,[1]rogério!$B89=M$4),"ok","nok")</f>
        <v>nok</v>
      </c>
      <c r="N88" s="60" t="str">
        <f>IF(AND($B88=[1]rogério!$A89,[1]rogério!$B89=N$4),"ok","nok")</f>
        <v>nok</v>
      </c>
      <c r="O88" s="60" t="str">
        <f>IF(AND($B88=[1]rogério!$A89,[1]rogério!$B89=O$4),"ok","nok")</f>
        <v>nok</v>
      </c>
      <c r="P88" s="60" t="str">
        <f>IF(AND($B88=[1]rogério!$A89,[1]rogério!$B89=P$4),"ok","nok")</f>
        <v>nok</v>
      </c>
      <c r="Q88" s="60" t="str">
        <f>IF(AND($B88=[1]rogério!$A89,[1]rogério!$B89=Q$4),"ok","nok")</f>
        <v>nok</v>
      </c>
      <c r="R88" s="60" t="str">
        <f>IF(AND($B88=[1]rogério!$A89,[1]rogério!$B89=R$4),"ok","nok")</f>
        <v>nok</v>
      </c>
      <c r="S88" s="60" t="str">
        <f>IF(AND($B88=[1]rogério!$A89,[1]rogério!$B89=S$4),"ok","nok")</f>
        <v>nok</v>
      </c>
      <c r="T88" s="60" t="str">
        <f>IF(AND($B88=[1]rogério!$A89,[1]rogério!$B89=T$4),"ok","nok")</f>
        <v>nok</v>
      </c>
      <c r="U88" s="60" t="str">
        <f>IF(AND($B88=[1]rogério!$A89,[1]rogério!$B89=U$4),"ok","nok")</f>
        <v>nok</v>
      </c>
      <c r="V88" s="60" t="str">
        <f>IF(AND($B88=[1]rogério!$A89,[1]rogério!$B89=V$4),"ok","nok")</f>
        <v>nok</v>
      </c>
      <c r="W88" s="60" t="str">
        <f>IF(AND($B88=[1]rogério!$A89,[1]rogério!$B89=W$4),"ok","nok")</f>
        <v>nok</v>
      </c>
      <c r="X88" s="60" t="str">
        <f>IF(AND($B88=[1]rogério!$A89,[1]rogério!$B89=X$4),"ok","nok")</f>
        <v>nok</v>
      </c>
      <c r="Y88" s="105" t="s">
        <v>33</v>
      </c>
      <c r="Z88" s="106"/>
      <c r="AA88" s="106"/>
      <c r="AB88" s="107"/>
      <c r="AC88" s="40"/>
      <c r="AD88" s="40"/>
      <c r="AE88" s="48" t="str">
        <f t="shared" si="29"/>
        <v/>
      </c>
      <c r="AF88" s="48"/>
      <c r="AG88" s="48"/>
      <c r="AH88" s="89"/>
      <c r="AI88" s="49">
        <f t="shared" si="30"/>
        <v>0</v>
      </c>
      <c r="AJ88" s="49" t="str">
        <f t="shared" si="31"/>
        <v/>
      </c>
      <c r="AK88" s="49">
        <f t="shared" si="32"/>
        <v>1</v>
      </c>
      <c r="AL88" s="49" t="str">
        <f t="shared" si="33"/>
        <v>EFPRAZO</v>
      </c>
      <c r="AM88" s="49">
        <f t="shared" si="34"/>
        <v>0</v>
      </c>
      <c r="AN88" s="49" t="str">
        <f t="shared" si="35"/>
        <v/>
      </c>
      <c r="AO88" s="49">
        <f t="shared" si="36"/>
        <v>0</v>
      </c>
      <c r="AP88" s="49" t="str">
        <f t="shared" si="37"/>
        <v/>
      </c>
      <c r="AQ88" s="49">
        <f t="shared" si="38"/>
        <v>0</v>
      </c>
      <c r="AR88" s="49" t="str">
        <f t="shared" si="39"/>
        <v/>
      </c>
      <c r="AV88" s="57"/>
      <c r="BF88" s="52"/>
    </row>
    <row r="89" spans="1:58" ht="30" customHeight="1" x14ac:dyDescent="0.35">
      <c r="A89" s="25" t="str">
        <f t="shared" ref="A89:A97" si="40">CONCATENATE($B$82,"
",$B$84,"
",$B$86)</f>
        <v>PT177 - PLATAFORMA DE ACESSO - FORQUILHA 1 - BÁSICO
TORRE B1
ESTRUTURAS METÁLICAS</v>
      </c>
      <c r="B89" s="40" t="s">
        <v>19</v>
      </c>
      <c r="C89" s="60" t="str">
        <f>IF(AND($B89=[1]rogério!$A90,[1]rogério!$B90=C$4),"ok","nok")</f>
        <v>nok</v>
      </c>
      <c r="D89" s="60" t="str">
        <f>IF(AND($B89=[1]rogério!$A90,[1]rogério!$B90=D$4),"ok","nok")</f>
        <v>nok</v>
      </c>
      <c r="E89" s="60" t="str">
        <f>IF(AND($B89=[1]rogério!$A90,[1]rogério!$B90=E$4),"ok","nok")</f>
        <v>nok</v>
      </c>
      <c r="F89" s="60" t="str">
        <f>IF(AND($B89=[1]rogério!$A90,[1]rogério!$B90=F$4),"ok","nok")</f>
        <v>nok</v>
      </c>
      <c r="G89" s="60" t="str">
        <f>IF(AND($B89=[1]rogério!$A90,[1]rogério!$B90=G$4),"ok","nok")</f>
        <v>nok</v>
      </c>
      <c r="H89" s="60" t="str">
        <f>IF(AND($B89=[1]rogério!$A90,[1]rogério!$B90=H$4),"ok","nok")</f>
        <v>nok</v>
      </c>
      <c r="I89" s="60" t="str">
        <f>IF(AND($B89=[1]rogério!$A90,[1]rogério!$B90=I$4),"ok","nok")</f>
        <v>nok</v>
      </c>
      <c r="J89" s="60" t="str">
        <f>IF(AND($B89=[1]rogério!$A90,[1]rogério!$B90=J$4),"ok","nok")</f>
        <v>nok</v>
      </c>
      <c r="K89" s="60" t="str">
        <f>IF(AND($B89=[1]rogério!$A90,[1]rogério!$B90=K$4),"ok","nok")</f>
        <v>nok</v>
      </c>
      <c r="L89" s="60" t="str">
        <f>IF(AND($B89=[1]rogério!$A90,[1]rogério!$B90=L$4),"ok","nok")</f>
        <v>nok</v>
      </c>
      <c r="M89" s="60" t="str">
        <f>IF(AND($B89=[1]rogério!$A90,[1]rogério!$B90=M$4),"ok","nok")</f>
        <v>nok</v>
      </c>
      <c r="N89" s="60" t="str">
        <f>IF(AND($B89=[1]rogério!$A90,[1]rogério!$B90=N$4),"ok","nok")</f>
        <v>nok</v>
      </c>
      <c r="O89" s="60" t="str">
        <f>IF(AND($B89=[1]rogério!$A90,[1]rogério!$B90=O$4),"ok","nok")</f>
        <v>nok</v>
      </c>
      <c r="P89" s="60" t="str">
        <f>IF(AND($B89=[1]rogério!$A90,[1]rogério!$B90=P$4),"ok","nok")</f>
        <v>ok</v>
      </c>
      <c r="Q89" s="60" t="str">
        <f>IF(AND($B89=[1]rogério!$A90,[1]rogério!$B90=Q$4),"ok","nok")</f>
        <v>nok</v>
      </c>
      <c r="R89" s="60" t="str">
        <f>IF(AND($B89=[1]rogério!$A90,[1]rogério!$B90=R$4),"ok","nok")</f>
        <v>nok</v>
      </c>
      <c r="S89" s="60" t="str">
        <f>IF(AND($B89=[1]rogério!$A90,[1]rogério!$B90=S$4),"ok","nok")</f>
        <v>nok</v>
      </c>
      <c r="T89" s="60" t="str">
        <f>IF(AND($B89=[1]rogério!$A90,[1]rogério!$B90=T$4),"ok","nok")</f>
        <v>nok</v>
      </c>
      <c r="U89" s="60" t="str">
        <f>IF(AND($B89=[1]rogério!$A90,[1]rogério!$B90=U$4),"ok","nok")</f>
        <v>nok</v>
      </c>
      <c r="V89" s="60" t="str">
        <f>IF(AND($B89=[1]rogério!$A90,[1]rogério!$B90=V$4),"ok","nok")</f>
        <v>nok</v>
      </c>
      <c r="W89" s="60" t="str">
        <f>IF(AND($B89=[1]rogério!$A90,[1]rogério!$B90=W$4),"ok","nok")</f>
        <v>nok</v>
      </c>
      <c r="X89" s="60" t="str">
        <f>IF(AND($B89=[1]rogério!$A90,[1]rogério!$B90=X$4),"ok","nok")</f>
        <v>nok</v>
      </c>
      <c r="Y89" s="105" t="s">
        <v>31</v>
      </c>
      <c r="Z89" s="106"/>
      <c r="AA89" s="106"/>
      <c r="AB89" s="107"/>
      <c r="AC89" s="40"/>
      <c r="AD89" s="40"/>
      <c r="AE89" s="48" t="str">
        <f t="shared" si="29"/>
        <v>Aprovação do Cliente</v>
      </c>
      <c r="AF89" s="48"/>
      <c r="AG89" s="48"/>
      <c r="AH89" s="89"/>
      <c r="AI89" s="49">
        <f t="shared" si="30"/>
        <v>0</v>
      </c>
      <c r="AJ89" s="49" t="str">
        <f t="shared" si="31"/>
        <v/>
      </c>
      <c r="AK89" s="49">
        <f t="shared" si="32"/>
        <v>0</v>
      </c>
      <c r="AL89" s="49" t="str">
        <f t="shared" si="33"/>
        <v/>
      </c>
      <c r="AM89" s="49">
        <f t="shared" si="34"/>
        <v>1</v>
      </c>
      <c r="AN89" s="49" t="str">
        <f t="shared" si="35"/>
        <v/>
      </c>
      <c r="AO89" s="49">
        <f t="shared" si="36"/>
        <v>0</v>
      </c>
      <c r="AP89" s="49" t="str">
        <f t="shared" si="37"/>
        <v/>
      </c>
      <c r="AQ89" s="49">
        <f t="shared" si="38"/>
        <v>0</v>
      </c>
      <c r="AR89" s="49" t="str">
        <f t="shared" si="39"/>
        <v/>
      </c>
      <c r="AV89" s="57"/>
      <c r="BF89" s="52"/>
    </row>
    <row r="90" spans="1:58" ht="30" customHeight="1" x14ac:dyDescent="0.35">
      <c r="A90" s="25" t="str">
        <f t="shared" si="40"/>
        <v>PT177 - PLATAFORMA DE ACESSO - FORQUILHA 1 - BÁSICO
TORRE B1
ESTRUTURAS METÁLICAS</v>
      </c>
      <c r="B90" s="40" t="s">
        <v>42</v>
      </c>
      <c r="C90" s="60" t="str">
        <f>IF(AND($B90=[1]rogério!$A91,[1]rogério!$B91=C$4),"ok","nok")</f>
        <v>nok</v>
      </c>
      <c r="D90" s="60" t="str">
        <f>IF(AND($B90=[1]rogério!$A91,[1]rogério!$B91=D$4),"ok","nok")</f>
        <v>nok</v>
      </c>
      <c r="E90" s="60" t="str">
        <f>IF(AND($B90=[1]rogério!$A91,[1]rogério!$B91=E$4),"ok","nok")</f>
        <v>nok</v>
      </c>
      <c r="F90" s="60" t="str">
        <f>IF(AND($B90=[1]rogério!$A91,[1]rogério!$B91=F$4),"ok","nok")</f>
        <v>nok</v>
      </c>
      <c r="G90" s="60" t="str">
        <f>IF(AND($B90=[1]rogério!$A91,[1]rogério!$B91=G$4),"ok","nok")</f>
        <v>nok</v>
      </c>
      <c r="H90" s="60" t="str">
        <f>IF(AND($B90=[1]rogério!$A91,[1]rogério!$B91=H$4),"ok","nok")</f>
        <v>nok</v>
      </c>
      <c r="I90" s="60" t="str">
        <f>IF(AND($B90=[1]rogério!$A91,[1]rogério!$B91=I$4),"ok","nok")</f>
        <v>nok</v>
      </c>
      <c r="J90" s="60" t="str">
        <f>IF(AND($B90=[1]rogério!$A91,[1]rogério!$B91=J$4),"ok","nok")</f>
        <v>nok</v>
      </c>
      <c r="K90" s="60" t="str">
        <f>IF(AND($B90=[1]rogério!$A91,[1]rogério!$B91=K$4),"ok","nok")</f>
        <v>nok</v>
      </c>
      <c r="L90" s="60" t="str">
        <f>IF(AND($B90=[1]rogério!$A91,[1]rogério!$B91=L$4),"ok","nok")</f>
        <v>nok</v>
      </c>
      <c r="M90" s="60" t="str">
        <f>IF(AND($B90=[1]rogério!$A91,[1]rogério!$B91=M$4),"ok","nok")</f>
        <v>nok</v>
      </c>
      <c r="N90" s="60" t="str">
        <f>IF(AND($B90=[1]rogério!$A91,[1]rogério!$B91=N$4),"ok","nok")</f>
        <v>nok</v>
      </c>
      <c r="O90" s="60" t="str">
        <f>IF(AND($B90=[1]rogério!$A91,[1]rogério!$B91=O$4),"ok","nok")</f>
        <v>nok</v>
      </c>
      <c r="P90" s="60" t="str">
        <f>IF(AND($B90=[1]rogério!$A91,[1]rogério!$B91=P$4),"ok","nok")</f>
        <v>nok</v>
      </c>
      <c r="Q90" s="60" t="str">
        <f>IF(AND($B90=[1]rogério!$A91,[1]rogério!$B91=Q$4),"ok","nok")</f>
        <v>nok</v>
      </c>
      <c r="R90" s="60" t="str">
        <f>IF(AND($B90=[1]rogério!$A91,[1]rogério!$B91=R$4),"ok","nok")</f>
        <v>nok</v>
      </c>
      <c r="S90" s="60" t="str">
        <f>IF(AND($B90=[1]rogério!$A91,[1]rogério!$B91=S$4),"ok","nok")</f>
        <v>nok</v>
      </c>
      <c r="T90" s="60" t="str">
        <f>IF(AND($B90=[1]rogério!$A91,[1]rogério!$B91=T$4),"ok","nok")</f>
        <v>nok</v>
      </c>
      <c r="U90" s="60" t="str">
        <f>IF(AND($B90=[1]rogério!$A91,[1]rogério!$B91=U$4),"ok","nok")</f>
        <v>nok</v>
      </c>
      <c r="V90" s="60" t="str">
        <f>IF(AND($B90=[1]rogério!$A91,[1]rogério!$B91=V$4),"ok","nok")</f>
        <v>nok</v>
      </c>
      <c r="W90" s="60" t="str">
        <f>IF(AND($B90=[1]rogério!$A91,[1]rogério!$B91=W$4),"ok","nok")</f>
        <v>nok</v>
      </c>
      <c r="X90" s="60" t="str">
        <f>IF(AND($B90=[1]rogério!$A91,[1]rogério!$B91=X$4),"ok","nok")</f>
        <v>ok</v>
      </c>
      <c r="Y90" s="105" t="s">
        <v>32</v>
      </c>
      <c r="Z90" s="106"/>
      <c r="AA90" s="106"/>
      <c r="AB90" s="107"/>
      <c r="AC90" s="40"/>
      <c r="AD90" s="40"/>
      <c r="AE90" s="48" t="str">
        <f t="shared" si="29"/>
        <v/>
      </c>
      <c r="AF90" s="48"/>
      <c r="AG90" s="48"/>
      <c r="AH90" s="89"/>
      <c r="AI90" s="49">
        <f t="shared" si="30"/>
        <v>0</v>
      </c>
      <c r="AJ90" s="49" t="str">
        <f t="shared" si="31"/>
        <v/>
      </c>
      <c r="AK90" s="49">
        <f t="shared" si="32"/>
        <v>0</v>
      </c>
      <c r="AL90" s="49" t="str">
        <f t="shared" si="33"/>
        <v/>
      </c>
      <c r="AM90" s="49">
        <f t="shared" si="34"/>
        <v>0</v>
      </c>
      <c r="AN90" s="49" t="str">
        <f t="shared" si="35"/>
        <v/>
      </c>
      <c r="AO90" s="49">
        <f t="shared" si="36"/>
        <v>0</v>
      </c>
      <c r="AP90" s="49" t="str">
        <f t="shared" si="37"/>
        <v/>
      </c>
      <c r="AQ90" s="49">
        <f t="shared" si="38"/>
        <v>1</v>
      </c>
      <c r="AR90" s="49" t="str">
        <f t="shared" si="39"/>
        <v/>
      </c>
      <c r="AV90" s="57"/>
      <c r="BF90" s="52"/>
    </row>
    <row r="91" spans="1:58" ht="30" customHeight="1" x14ac:dyDescent="0.35">
      <c r="A91" s="25" t="str">
        <f t="shared" si="40"/>
        <v>PT177 - PLATAFORMA DE ACESSO - FORQUILHA 1 - BÁSICO
TORRE B1
ESTRUTURAS METÁLICAS</v>
      </c>
      <c r="B91" s="40" t="s">
        <v>43</v>
      </c>
      <c r="C91" s="60" t="str">
        <f>IF(AND($B91=[1]rogério!$A92,[1]rogério!$B92=C$4),"ok","nok")</f>
        <v>nok</v>
      </c>
      <c r="D91" s="60" t="str">
        <f>IF(AND($B91=[1]rogério!$A92,[1]rogério!$B92=D$4),"ok","nok")</f>
        <v>nok</v>
      </c>
      <c r="E91" s="60" t="str">
        <f>IF(AND($B91=[1]rogério!$A92,[1]rogério!$B92=E$4),"ok","nok")</f>
        <v>nok</v>
      </c>
      <c r="F91" s="60" t="str">
        <f>IF(AND($B91=[1]rogério!$A92,[1]rogério!$B92=F$4),"ok","nok")</f>
        <v>nok</v>
      </c>
      <c r="G91" s="60" t="str">
        <f>IF(AND($B91=[1]rogério!$A92,[1]rogério!$B92=G$4),"ok","nok")</f>
        <v>nok</v>
      </c>
      <c r="H91" s="60" t="str">
        <f>IF(AND($B91=[1]rogério!$A92,[1]rogério!$B92=H$4),"ok","nok")</f>
        <v>nok</v>
      </c>
      <c r="I91" s="60" t="str">
        <f>IF(AND($B91=[1]rogério!$A92,[1]rogério!$B92=I$4),"ok","nok")</f>
        <v>nok</v>
      </c>
      <c r="J91" s="60" t="str">
        <f>IF(AND($B91=[1]rogério!$A92,[1]rogério!$B92=J$4),"ok","nok")</f>
        <v>nok</v>
      </c>
      <c r="K91" s="60" t="str">
        <f>IF(AND($B91=[1]rogério!$A92,[1]rogério!$B92=K$4),"ok","nok")</f>
        <v>nok</v>
      </c>
      <c r="L91" s="60" t="str">
        <f>IF(AND($B91=[1]rogério!$A92,[1]rogério!$B92=L$4),"ok","nok")</f>
        <v>nok</v>
      </c>
      <c r="M91" s="60" t="str">
        <f>IF(AND($B91=[1]rogério!$A92,[1]rogério!$B92=M$4),"ok","nok")</f>
        <v>nok</v>
      </c>
      <c r="N91" s="60" t="str">
        <f>IF(AND($B91=[1]rogério!$A92,[1]rogério!$B92=N$4),"ok","nok")</f>
        <v>nok</v>
      </c>
      <c r="O91" s="60" t="str">
        <f>IF(AND($B91=[1]rogério!$A92,[1]rogério!$B92=O$4),"ok","nok")</f>
        <v>nok</v>
      </c>
      <c r="P91" s="60" t="str">
        <f>IF(AND($B91=[1]rogério!$A92,[1]rogério!$B92=P$4),"ok","nok")</f>
        <v>nok</v>
      </c>
      <c r="Q91" s="60" t="str">
        <f>IF(AND($B91=[1]rogério!$A92,[1]rogério!$B92=Q$4),"ok","nok")</f>
        <v>nok</v>
      </c>
      <c r="R91" s="60" t="str">
        <f>IF(AND($B91=[1]rogério!$A92,[1]rogério!$B92=R$4),"ok","nok")</f>
        <v>nok</v>
      </c>
      <c r="S91" s="60" t="str">
        <f>IF(AND($B91=[1]rogério!$A92,[1]rogério!$B92=S$4),"ok","nok")</f>
        <v>nok</v>
      </c>
      <c r="T91" s="60" t="str">
        <f>IF(AND($B91=[1]rogério!$A92,[1]rogério!$B92=T$4),"ok","nok")</f>
        <v>nok</v>
      </c>
      <c r="U91" s="60" t="str">
        <f>IF(AND($B91=[1]rogério!$A92,[1]rogério!$B92=U$4),"ok","nok")</f>
        <v>nok</v>
      </c>
      <c r="V91" s="60" t="str">
        <f>IF(AND($B91=[1]rogério!$A92,[1]rogério!$B92=V$4),"ok","nok")</f>
        <v>nok</v>
      </c>
      <c r="W91" s="60" t="str">
        <f>IF(AND($B91=[1]rogério!$A92,[1]rogério!$B92=W$4),"ok","nok")</f>
        <v>nok</v>
      </c>
      <c r="X91" s="60" t="str">
        <f>IF(AND($B91=[1]rogério!$A92,[1]rogério!$B92=X$4),"ok","nok")</f>
        <v>ok</v>
      </c>
      <c r="Y91" s="105" t="s">
        <v>32</v>
      </c>
      <c r="Z91" s="106"/>
      <c r="AA91" s="106"/>
      <c r="AB91" s="107"/>
      <c r="AC91" s="40"/>
      <c r="AD91" s="40"/>
      <c r="AE91" s="48" t="str">
        <f t="shared" si="29"/>
        <v/>
      </c>
      <c r="AF91" s="48"/>
      <c r="AG91" s="48"/>
      <c r="AH91" s="89"/>
      <c r="AI91" s="49">
        <f t="shared" si="30"/>
        <v>0</v>
      </c>
      <c r="AJ91" s="49" t="str">
        <f t="shared" si="31"/>
        <v/>
      </c>
      <c r="AK91" s="49">
        <f t="shared" si="32"/>
        <v>0</v>
      </c>
      <c r="AL91" s="49" t="str">
        <f t="shared" si="33"/>
        <v/>
      </c>
      <c r="AM91" s="49">
        <f t="shared" si="34"/>
        <v>0</v>
      </c>
      <c r="AN91" s="49" t="str">
        <f t="shared" si="35"/>
        <v/>
      </c>
      <c r="AO91" s="49">
        <f t="shared" si="36"/>
        <v>0</v>
      </c>
      <c r="AP91" s="49" t="str">
        <f t="shared" si="37"/>
        <v/>
      </c>
      <c r="AQ91" s="49">
        <f t="shared" si="38"/>
        <v>1</v>
      </c>
      <c r="AR91" s="49" t="str">
        <f t="shared" si="39"/>
        <v/>
      </c>
      <c r="AV91" s="57"/>
      <c r="BF91" s="52"/>
    </row>
    <row r="92" spans="1:58" ht="30" customHeight="1" x14ac:dyDescent="0.35">
      <c r="A92" s="25"/>
      <c r="B92" s="39" t="s">
        <v>62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108"/>
      <c r="Z92" s="109"/>
      <c r="AA92" s="109"/>
      <c r="AB92" s="110"/>
      <c r="AC92" s="40"/>
      <c r="AD92" s="40"/>
      <c r="AE92" s="48" t="str">
        <f t="shared" si="29"/>
        <v/>
      </c>
      <c r="AF92" s="48"/>
      <c r="AG92" s="48"/>
      <c r="AH92" s="89"/>
      <c r="AI92" s="49">
        <f t="shared" si="30"/>
        <v>0</v>
      </c>
      <c r="AJ92" s="49" t="str">
        <f t="shared" si="31"/>
        <v/>
      </c>
      <c r="AK92" s="49">
        <f t="shared" si="32"/>
        <v>0</v>
      </c>
      <c r="AL92" s="49" t="str">
        <f t="shared" si="33"/>
        <v/>
      </c>
      <c r="AM92" s="49">
        <f t="shared" si="34"/>
        <v>0</v>
      </c>
      <c r="AN92" s="49" t="str">
        <f t="shared" si="35"/>
        <v/>
      </c>
      <c r="AO92" s="49">
        <f t="shared" si="36"/>
        <v>0</v>
      </c>
      <c r="AP92" s="49" t="str">
        <f t="shared" si="37"/>
        <v/>
      </c>
      <c r="AQ92" s="49">
        <f t="shared" si="38"/>
        <v>0</v>
      </c>
      <c r="AR92" s="49" t="str">
        <f t="shared" si="39"/>
        <v/>
      </c>
      <c r="AV92" s="57"/>
      <c r="BF92" s="52"/>
    </row>
    <row r="93" spans="1:58" ht="30" customHeight="1" x14ac:dyDescent="0.35">
      <c r="A93" s="25" t="str">
        <f t="shared" si="40"/>
        <v>PT177 - PLATAFORMA DE ACESSO - FORQUILHA 1 - BÁSICO
TORRE B1
ESTRUTURAS METÁLICAS</v>
      </c>
      <c r="B93" s="40" t="s">
        <v>60</v>
      </c>
      <c r="C93" s="60" t="str">
        <f>IF(AND($B93=[1]rogério!$A94,[1]rogério!$B94=C$4),"ok","nok")</f>
        <v>nok</v>
      </c>
      <c r="D93" s="60" t="str">
        <f>IF(AND($B93=[1]rogério!$A94,[1]rogério!$B94=D$4),"ok","nok")</f>
        <v>nok</v>
      </c>
      <c r="E93" s="60" t="str">
        <f>IF(AND($B93=[1]rogério!$A94,[1]rogério!$B94=E$4),"ok","nok")</f>
        <v>nok</v>
      </c>
      <c r="F93" s="60" t="str">
        <f>IF(AND($B93=[1]rogério!$A94,[1]rogério!$B94=F$4),"ok","nok")</f>
        <v>nok</v>
      </c>
      <c r="G93" s="60" t="str">
        <f>IF(AND($B93=[1]rogério!$A94,[1]rogério!$B94=G$4),"ok","nok")</f>
        <v>nok</v>
      </c>
      <c r="H93" s="60" t="str">
        <f>IF(AND($B93=[1]rogério!$A94,[1]rogério!$B94=H$4),"ok","nok")</f>
        <v>nok</v>
      </c>
      <c r="I93" s="60" t="str">
        <f>IF(AND($B93=[1]rogério!$A94,[1]rogério!$B94=I$4),"ok","nok")</f>
        <v>nok</v>
      </c>
      <c r="J93" s="60" t="str">
        <f>IF(AND($B93=[1]rogério!$A94,[1]rogério!$B94=J$4),"ok","nok")</f>
        <v>nok</v>
      </c>
      <c r="K93" s="60" t="str">
        <f>IF(AND($B93=[1]rogério!$A94,[1]rogério!$B94=K$4),"ok","nok")</f>
        <v>nok</v>
      </c>
      <c r="L93" s="60" t="str">
        <f>IF(AND($B93=[1]rogério!$A94,[1]rogério!$B94=L$4),"ok","nok")</f>
        <v>nok</v>
      </c>
      <c r="M93" s="60" t="str">
        <f>IF(AND($B93=[1]rogério!$A94,[1]rogério!$B94=M$4),"ok","nok")</f>
        <v>nok</v>
      </c>
      <c r="N93" s="60" t="str">
        <f>IF(AND($B93=[1]rogério!$A94,[1]rogério!$B94=N$4),"ok","nok")</f>
        <v>nok</v>
      </c>
      <c r="O93" s="60" t="str">
        <f>IF(AND($B93=[1]rogério!$A94,[1]rogério!$B94=O$4),"ok","nok")</f>
        <v>nok</v>
      </c>
      <c r="P93" s="60" t="str">
        <f>IF(AND($B93=[1]rogério!$A94,[1]rogério!$B94=P$4),"ok","nok")</f>
        <v>nok</v>
      </c>
      <c r="Q93" s="60" t="str">
        <f>IF(AND($B93=[1]rogério!$A94,[1]rogério!$B94=Q$4),"ok","nok")</f>
        <v>nok</v>
      </c>
      <c r="R93" s="60" t="str">
        <f>IF(AND($B93=[1]rogério!$A94,[1]rogério!$B94=R$4),"ok","nok")</f>
        <v>nok</v>
      </c>
      <c r="S93" s="60" t="str">
        <f>IF(AND($B93=[1]rogério!$A94,[1]rogério!$B94=S$4),"ok","nok")</f>
        <v>ok</v>
      </c>
      <c r="T93" s="60" t="str">
        <f>IF(AND($B93=[1]rogério!$A94,[1]rogério!$B94=T$4),"ok","nok")</f>
        <v>nok</v>
      </c>
      <c r="U93" s="60" t="str">
        <f>IF(AND($B93=[1]rogério!$A94,[1]rogério!$B94=U$4),"ok","nok")</f>
        <v>nok</v>
      </c>
      <c r="V93" s="60" t="str">
        <f>IF(AND($B93=[1]rogério!$A94,[1]rogério!$B94=V$4),"ok","nok")</f>
        <v>nok</v>
      </c>
      <c r="W93" s="60" t="str">
        <f>IF(AND($B93=[1]rogério!$A94,[1]rogério!$B94=W$4),"ok","nok")</f>
        <v>nok</v>
      </c>
      <c r="X93" s="60" t="str">
        <f>IF(AND($B93=[1]rogério!$A94,[1]rogério!$B94=X$4),"ok","nok")</f>
        <v>nok</v>
      </c>
      <c r="Y93" s="105" t="s">
        <v>33</v>
      </c>
      <c r="Z93" s="106"/>
      <c r="AA93" s="106"/>
      <c r="AB93" s="107"/>
      <c r="AC93" s="40"/>
      <c r="AD93" s="40"/>
      <c r="AE93" s="48" t="str">
        <f t="shared" si="29"/>
        <v/>
      </c>
      <c r="AF93" s="48"/>
      <c r="AG93" s="48"/>
      <c r="AH93" s="89"/>
      <c r="AI93" s="49">
        <f t="shared" si="30"/>
        <v>0</v>
      </c>
      <c r="AJ93" s="49" t="str">
        <f t="shared" si="31"/>
        <v/>
      </c>
      <c r="AK93" s="49">
        <f t="shared" si="32"/>
        <v>0</v>
      </c>
      <c r="AL93" s="49" t="str">
        <f t="shared" si="33"/>
        <v/>
      </c>
      <c r="AM93" s="49">
        <f t="shared" si="34"/>
        <v>0</v>
      </c>
      <c r="AN93" s="49" t="str">
        <f t="shared" si="35"/>
        <v/>
      </c>
      <c r="AO93" s="49">
        <f t="shared" si="36"/>
        <v>1</v>
      </c>
      <c r="AP93" s="49" t="str">
        <f t="shared" si="37"/>
        <v>EFPRAZO</v>
      </c>
      <c r="AQ93" s="49">
        <f t="shared" si="38"/>
        <v>0</v>
      </c>
      <c r="AR93" s="49" t="str">
        <f t="shared" si="39"/>
        <v/>
      </c>
      <c r="AV93" s="57"/>
      <c r="BF93" s="52"/>
    </row>
    <row r="94" spans="1:58" ht="30" customHeight="1" x14ac:dyDescent="0.35">
      <c r="A94" s="25" t="str">
        <f t="shared" si="40"/>
        <v>PT177 - PLATAFORMA DE ACESSO - FORQUILHA 1 - BÁSICO
TORRE B1
ESTRUTURAS METÁLICAS</v>
      </c>
      <c r="B94" s="40" t="s">
        <v>61</v>
      </c>
      <c r="C94" s="60" t="str">
        <f>IF(AND($B94=[1]rogério!$A95,[1]rogério!$B95=C$4),"ok","nok")</f>
        <v>nok</v>
      </c>
      <c r="D94" s="60" t="str">
        <f>IF(AND($B94=[1]rogério!$A95,[1]rogério!$B95=D$4),"ok","nok")</f>
        <v>nok</v>
      </c>
      <c r="E94" s="60" t="str">
        <f>IF(AND($B94=[1]rogério!$A95,[1]rogério!$B95=E$4),"ok","nok")</f>
        <v>nok</v>
      </c>
      <c r="F94" s="60" t="str">
        <f>IF(AND($B94=[1]rogério!$A95,[1]rogério!$B95=F$4),"ok","nok")</f>
        <v>nok</v>
      </c>
      <c r="G94" s="60" t="str">
        <f>IF(AND($B94=[1]rogério!$A95,[1]rogério!$B95=G$4),"ok","nok")</f>
        <v>nok</v>
      </c>
      <c r="H94" s="60" t="str">
        <f>IF(AND($B94=[1]rogério!$A95,[1]rogério!$B95=H$4),"ok","nok")</f>
        <v>nok</v>
      </c>
      <c r="I94" s="60" t="str">
        <f>IF(AND($B94=[1]rogério!$A95,[1]rogério!$B95=I$4),"ok","nok")</f>
        <v>nok</v>
      </c>
      <c r="J94" s="60" t="str">
        <f>IF(AND($B94=[1]rogério!$A95,[1]rogério!$B95=J$4),"ok","nok")</f>
        <v>nok</v>
      </c>
      <c r="K94" s="60" t="str">
        <f>IF(AND($B94=[1]rogério!$A95,[1]rogério!$B95=K$4),"ok","nok")</f>
        <v>nok</v>
      </c>
      <c r="L94" s="60" t="str">
        <f>IF(AND($B94=[1]rogério!$A95,[1]rogério!$B95=L$4),"ok","nok")</f>
        <v>nok</v>
      </c>
      <c r="M94" s="60" t="str">
        <f>IF(AND($B94=[1]rogério!$A95,[1]rogério!$B95=M$4),"ok","nok")</f>
        <v>nok</v>
      </c>
      <c r="N94" s="60" t="str">
        <f>IF(AND($B94=[1]rogério!$A95,[1]rogério!$B95=N$4),"ok","nok")</f>
        <v>nok</v>
      </c>
      <c r="O94" s="60" t="str">
        <f>IF(AND($B94=[1]rogério!$A95,[1]rogério!$B95=O$4),"ok","nok")</f>
        <v>nok</v>
      </c>
      <c r="P94" s="60" t="str">
        <f>IF(AND($B94=[1]rogério!$A95,[1]rogério!$B95=P$4),"ok","nok")</f>
        <v>nok</v>
      </c>
      <c r="Q94" s="60" t="str">
        <f>IF(AND($B94=[1]rogério!$A95,[1]rogério!$B95=Q$4),"ok","nok")</f>
        <v>nok</v>
      </c>
      <c r="R94" s="60" t="str">
        <f>IF(AND($B94=[1]rogério!$A95,[1]rogério!$B95=R$4),"ok","nok")</f>
        <v>nok</v>
      </c>
      <c r="S94" s="60" t="str">
        <f>IF(AND($B94=[1]rogério!$A95,[1]rogério!$B95=S$4),"ok","nok")</f>
        <v>ok</v>
      </c>
      <c r="T94" s="60" t="str">
        <f>IF(AND($B94=[1]rogério!$A95,[1]rogério!$B95=T$4),"ok","nok")</f>
        <v>nok</v>
      </c>
      <c r="U94" s="60" t="str">
        <f>IF(AND($B94=[1]rogério!$A95,[1]rogério!$B95=U$4),"ok","nok")</f>
        <v>nok</v>
      </c>
      <c r="V94" s="60" t="str">
        <f>IF(AND($B94=[1]rogério!$A95,[1]rogério!$B95=V$4),"ok","nok")</f>
        <v>nok</v>
      </c>
      <c r="W94" s="60" t="str">
        <f>IF(AND($B94=[1]rogério!$A95,[1]rogério!$B95=W$4),"ok","nok")</f>
        <v>nok</v>
      </c>
      <c r="X94" s="60" t="str">
        <f>IF(AND($B94=[1]rogério!$A95,[1]rogério!$B95=X$4),"ok","nok")</f>
        <v>nok</v>
      </c>
      <c r="Y94" s="105" t="s">
        <v>33</v>
      </c>
      <c r="Z94" s="106"/>
      <c r="AA94" s="106"/>
      <c r="AB94" s="107"/>
      <c r="AC94" s="40"/>
      <c r="AD94" s="40"/>
      <c r="AE94" s="48" t="str">
        <f t="shared" si="29"/>
        <v/>
      </c>
      <c r="AF94" s="48"/>
      <c r="AG94" s="48"/>
      <c r="AH94" s="89"/>
      <c r="AI94" s="49">
        <f t="shared" si="30"/>
        <v>0</v>
      </c>
      <c r="AJ94" s="49" t="str">
        <f t="shared" si="31"/>
        <v/>
      </c>
      <c r="AK94" s="49">
        <f t="shared" si="32"/>
        <v>0</v>
      </c>
      <c r="AL94" s="49" t="str">
        <f t="shared" si="33"/>
        <v/>
      </c>
      <c r="AM94" s="49">
        <f t="shared" si="34"/>
        <v>0</v>
      </c>
      <c r="AN94" s="49" t="str">
        <f t="shared" si="35"/>
        <v/>
      </c>
      <c r="AO94" s="49">
        <f t="shared" si="36"/>
        <v>1</v>
      </c>
      <c r="AP94" s="49" t="str">
        <f t="shared" si="37"/>
        <v>EFPRAZO</v>
      </c>
      <c r="AQ94" s="49">
        <f t="shared" si="38"/>
        <v>0</v>
      </c>
      <c r="AR94" s="49" t="str">
        <f t="shared" si="39"/>
        <v/>
      </c>
      <c r="AV94" s="57"/>
      <c r="BF94" s="52"/>
    </row>
    <row r="95" spans="1:58" ht="30" customHeight="1" x14ac:dyDescent="0.35">
      <c r="A95" s="25"/>
      <c r="B95" s="39" t="s">
        <v>63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108"/>
      <c r="Z95" s="109"/>
      <c r="AA95" s="109"/>
      <c r="AB95" s="110"/>
      <c r="AC95" s="40"/>
      <c r="AD95" s="40"/>
      <c r="AE95" s="48" t="str">
        <f t="shared" si="29"/>
        <v/>
      </c>
      <c r="AF95" s="48"/>
      <c r="AG95" s="48"/>
      <c r="AH95" s="89"/>
      <c r="AI95" s="49">
        <f t="shared" si="30"/>
        <v>0</v>
      </c>
      <c r="AJ95" s="49" t="str">
        <f t="shared" si="31"/>
        <v/>
      </c>
      <c r="AK95" s="49">
        <f t="shared" si="32"/>
        <v>0</v>
      </c>
      <c r="AL95" s="49" t="str">
        <f t="shared" si="33"/>
        <v/>
      </c>
      <c r="AM95" s="49">
        <f t="shared" si="34"/>
        <v>0</v>
      </c>
      <c r="AN95" s="49" t="str">
        <f t="shared" si="35"/>
        <v/>
      </c>
      <c r="AO95" s="49">
        <f t="shared" si="36"/>
        <v>0</v>
      </c>
      <c r="AP95" s="49" t="str">
        <f t="shared" si="37"/>
        <v/>
      </c>
      <c r="AQ95" s="49">
        <f t="shared" si="38"/>
        <v>0</v>
      </c>
      <c r="AR95" s="49" t="str">
        <f t="shared" si="39"/>
        <v/>
      </c>
      <c r="AV95" s="57"/>
      <c r="BF95" s="52"/>
    </row>
    <row r="96" spans="1:58" ht="30" customHeight="1" x14ac:dyDescent="0.35">
      <c r="A96" s="25" t="str">
        <f t="shared" si="40"/>
        <v>PT177 - PLATAFORMA DE ACESSO - FORQUILHA 1 - BÁSICO
TORRE B1
ESTRUTURAS METÁLICAS</v>
      </c>
      <c r="B96" s="40" t="s">
        <v>60</v>
      </c>
      <c r="C96" s="60" t="str">
        <f>IF(AND($B96=[1]rogério!$A97,[1]rogério!$B97=C$4),"ok","nok")</f>
        <v>nok</v>
      </c>
      <c r="D96" s="60" t="str">
        <f>IF(AND($B96=[1]rogério!$A97,[1]rogério!$B97=D$4),"ok","nok")</f>
        <v>nok</v>
      </c>
      <c r="E96" s="60" t="str">
        <f>IF(AND($B96=[1]rogério!$A97,[1]rogério!$B97=E$4),"ok","nok")</f>
        <v>nok</v>
      </c>
      <c r="F96" s="60" t="str">
        <f>IF(AND($B96=[1]rogério!$A97,[1]rogério!$B97=F$4),"ok","nok")</f>
        <v>nok</v>
      </c>
      <c r="G96" s="60" t="str">
        <f>IF(AND($B96=[1]rogério!$A97,[1]rogério!$B97=G$4),"ok","nok")</f>
        <v>nok</v>
      </c>
      <c r="H96" s="60" t="str">
        <f>IF(AND($B96=[1]rogério!$A97,[1]rogério!$B97=H$4),"ok","nok")</f>
        <v>nok</v>
      </c>
      <c r="I96" s="60" t="str">
        <f>IF(AND($B96=[1]rogério!$A97,[1]rogério!$B97=I$4),"ok","nok")</f>
        <v>nok</v>
      </c>
      <c r="J96" s="60" t="str">
        <f>IF(AND($B96=[1]rogério!$A97,[1]rogério!$B97=J$4),"ok","nok")</f>
        <v>nok</v>
      </c>
      <c r="K96" s="60" t="str">
        <f>IF(AND($B96=[1]rogério!$A97,[1]rogério!$B97=K$4),"ok","nok")</f>
        <v>nok</v>
      </c>
      <c r="L96" s="60" t="str">
        <f>IF(AND($B96=[1]rogério!$A97,[1]rogério!$B97=L$4),"ok","nok")</f>
        <v>nok</v>
      </c>
      <c r="M96" s="60" t="str">
        <f>IF(AND($B96=[1]rogério!$A97,[1]rogério!$B97=M$4),"ok","nok")</f>
        <v>nok</v>
      </c>
      <c r="N96" s="60" t="str">
        <f>IF(AND($B96=[1]rogério!$A97,[1]rogério!$B97=N$4),"ok","nok")</f>
        <v>nok</v>
      </c>
      <c r="O96" s="60" t="str">
        <f>IF(AND($B96=[1]rogério!$A97,[1]rogério!$B97=O$4),"ok","nok")</f>
        <v>nok</v>
      </c>
      <c r="P96" s="60" t="str">
        <f>IF(AND($B96=[1]rogério!$A97,[1]rogério!$B97=P$4),"ok","nok")</f>
        <v>nok</v>
      </c>
      <c r="Q96" s="60" t="str">
        <f>IF(AND($B96=[1]rogério!$A97,[1]rogério!$B97=Q$4),"ok","nok")</f>
        <v>nok</v>
      </c>
      <c r="R96" s="60" t="str">
        <f>IF(AND($B96=[1]rogério!$A97,[1]rogério!$B97=R$4),"ok","nok")</f>
        <v>nok</v>
      </c>
      <c r="S96" s="60" t="str">
        <f>IF(AND($B96=[1]rogério!$A97,[1]rogério!$B97=S$4),"ok","nok")</f>
        <v>ok</v>
      </c>
      <c r="T96" s="60" t="str">
        <f>IF(AND($B96=[1]rogério!$A97,[1]rogério!$B97=T$4),"ok","nok")</f>
        <v>nok</v>
      </c>
      <c r="U96" s="60" t="str">
        <f>IF(AND($B96=[1]rogério!$A97,[1]rogério!$B97=U$4),"ok","nok")</f>
        <v>nok</v>
      </c>
      <c r="V96" s="60" t="str">
        <f>IF(AND($B96=[1]rogério!$A97,[1]rogério!$B97=V$4),"ok","nok")</f>
        <v>nok</v>
      </c>
      <c r="W96" s="60" t="str">
        <f>IF(AND($B96=[1]rogério!$A97,[1]rogério!$B97=W$4),"ok","nok")</f>
        <v>nok</v>
      </c>
      <c r="X96" s="60" t="str">
        <f>IF(AND($B96=[1]rogério!$A97,[1]rogério!$B97=X$4),"ok","nok")</f>
        <v>nok</v>
      </c>
      <c r="Y96" s="105" t="s">
        <v>33</v>
      </c>
      <c r="Z96" s="106"/>
      <c r="AA96" s="106"/>
      <c r="AB96" s="107"/>
      <c r="AC96" s="40"/>
      <c r="AD96" s="40"/>
      <c r="AE96" s="48" t="str">
        <f t="shared" si="29"/>
        <v/>
      </c>
      <c r="AF96" s="48"/>
      <c r="AG96" s="48"/>
      <c r="AH96" s="89"/>
      <c r="AI96" s="49">
        <f t="shared" si="30"/>
        <v>0</v>
      </c>
      <c r="AJ96" s="49" t="str">
        <f t="shared" si="31"/>
        <v/>
      </c>
      <c r="AK96" s="49">
        <f t="shared" si="32"/>
        <v>0</v>
      </c>
      <c r="AL96" s="49" t="str">
        <f t="shared" si="33"/>
        <v/>
      </c>
      <c r="AM96" s="49">
        <f t="shared" si="34"/>
        <v>0</v>
      </c>
      <c r="AN96" s="49" t="str">
        <f t="shared" si="35"/>
        <v/>
      </c>
      <c r="AO96" s="49">
        <f t="shared" si="36"/>
        <v>1</v>
      </c>
      <c r="AP96" s="49" t="str">
        <f t="shared" si="37"/>
        <v>EFPRAZO</v>
      </c>
      <c r="AQ96" s="49">
        <f t="shared" si="38"/>
        <v>0</v>
      </c>
      <c r="AR96" s="49" t="str">
        <f t="shared" si="39"/>
        <v/>
      </c>
      <c r="AV96" s="57"/>
      <c r="BF96" s="52"/>
    </row>
    <row r="97" spans="1:58" ht="30" customHeight="1" x14ac:dyDescent="0.35">
      <c r="A97" s="25" t="str">
        <f t="shared" si="40"/>
        <v>PT177 - PLATAFORMA DE ACESSO - FORQUILHA 1 - BÁSICO
TORRE B1
ESTRUTURAS METÁLICAS</v>
      </c>
      <c r="B97" s="40" t="s">
        <v>61</v>
      </c>
      <c r="C97" s="60" t="str">
        <f>IF(AND($B97=[1]rogério!$A98,[1]rogério!$B98=C$4),"ok","nok")</f>
        <v>nok</v>
      </c>
      <c r="D97" s="60" t="str">
        <f>IF(AND($B97=[1]rogério!$A98,[1]rogério!$B98=D$4),"ok","nok")</f>
        <v>nok</v>
      </c>
      <c r="E97" s="60" t="str">
        <f>IF(AND($B97=[1]rogério!$A98,[1]rogério!$B98=E$4),"ok","nok")</f>
        <v>nok</v>
      </c>
      <c r="F97" s="60" t="str">
        <f>IF(AND($B97=[1]rogério!$A98,[1]rogério!$B98=F$4),"ok","nok")</f>
        <v>nok</v>
      </c>
      <c r="G97" s="60" t="str">
        <f>IF(AND($B97=[1]rogério!$A98,[1]rogério!$B98=G$4),"ok","nok")</f>
        <v>nok</v>
      </c>
      <c r="H97" s="60" t="str">
        <f>IF(AND($B97=[1]rogério!$A98,[1]rogério!$B98=H$4),"ok","nok")</f>
        <v>nok</v>
      </c>
      <c r="I97" s="60" t="str">
        <f>IF(AND($B97=[1]rogério!$A98,[1]rogério!$B98=I$4),"ok","nok")</f>
        <v>nok</v>
      </c>
      <c r="J97" s="60" t="str">
        <f>IF(AND($B97=[1]rogério!$A98,[1]rogério!$B98=J$4),"ok","nok")</f>
        <v>nok</v>
      </c>
      <c r="K97" s="60" t="str">
        <f>IF(AND($B97=[1]rogério!$A98,[1]rogério!$B98=K$4),"ok","nok")</f>
        <v>nok</v>
      </c>
      <c r="L97" s="60" t="str">
        <f>IF(AND($B97=[1]rogério!$A98,[1]rogério!$B98=L$4),"ok","nok")</f>
        <v>nok</v>
      </c>
      <c r="M97" s="60" t="str">
        <f>IF(AND($B97=[1]rogério!$A98,[1]rogério!$B98=M$4),"ok","nok")</f>
        <v>nok</v>
      </c>
      <c r="N97" s="60" t="str">
        <f>IF(AND($B97=[1]rogério!$A98,[1]rogério!$B98=N$4),"ok","nok")</f>
        <v>nok</v>
      </c>
      <c r="O97" s="60" t="str">
        <f>IF(AND($B97=[1]rogério!$A98,[1]rogério!$B98=O$4),"ok","nok")</f>
        <v>nok</v>
      </c>
      <c r="P97" s="60" t="str">
        <f>IF(AND($B97=[1]rogério!$A98,[1]rogério!$B98=P$4),"ok","nok")</f>
        <v>nok</v>
      </c>
      <c r="Q97" s="60" t="str">
        <f>IF(AND($B97=[1]rogério!$A98,[1]rogério!$B98=Q$4),"ok","nok")</f>
        <v>nok</v>
      </c>
      <c r="R97" s="60" t="str">
        <f>IF(AND($B97=[1]rogério!$A98,[1]rogério!$B98=R$4),"ok","nok")</f>
        <v>nok</v>
      </c>
      <c r="S97" s="60" t="str">
        <f>IF(AND($B97=[1]rogério!$A98,[1]rogério!$B98=S$4),"ok","nok")</f>
        <v>ok</v>
      </c>
      <c r="T97" s="60" t="str">
        <f>IF(AND($B97=[1]rogério!$A98,[1]rogério!$B98=T$4),"ok","nok")</f>
        <v>nok</v>
      </c>
      <c r="U97" s="60" t="str">
        <f>IF(AND($B97=[1]rogério!$A98,[1]rogério!$B98=U$4),"ok","nok")</f>
        <v>nok</v>
      </c>
      <c r="V97" s="60" t="str">
        <f>IF(AND($B97=[1]rogério!$A98,[1]rogério!$B98=V$4),"ok","nok")</f>
        <v>nok</v>
      </c>
      <c r="W97" s="60" t="str">
        <f>IF(AND($B97=[1]rogério!$A98,[1]rogério!$B98=W$4),"ok","nok")</f>
        <v>nok</v>
      </c>
      <c r="X97" s="60" t="str">
        <f>IF(AND($B97=[1]rogério!$A98,[1]rogério!$B98=X$4),"ok","nok")</f>
        <v>nok</v>
      </c>
      <c r="Y97" s="105" t="s">
        <v>33</v>
      </c>
      <c r="Z97" s="106"/>
      <c r="AA97" s="106"/>
      <c r="AB97" s="107"/>
      <c r="AC97" s="40"/>
      <c r="AD97" s="40"/>
      <c r="AE97" s="48" t="str">
        <f t="shared" si="29"/>
        <v/>
      </c>
      <c r="AF97" s="48"/>
      <c r="AG97" s="48"/>
      <c r="AH97" s="89"/>
      <c r="AI97" s="49">
        <f t="shared" si="30"/>
        <v>0</v>
      </c>
      <c r="AJ97" s="49" t="str">
        <f t="shared" si="31"/>
        <v/>
      </c>
      <c r="AK97" s="49">
        <f t="shared" si="32"/>
        <v>0</v>
      </c>
      <c r="AL97" s="49" t="str">
        <f t="shared" si="33"/>
        <v/>
      </c>
      <c r="AM97" s="49">
        <f t="shared" si="34"/>
        <v>0</v>
      </c>
      <c r="AN97" s="49" t="str">
        <f t="shared" si="35"/>
        <v/>
      </c>
      <c r="AO97" s="49">
        <f t="shared" si="36"/>
        <v>1</v>
      </c>
      <c r="AP97" s="49" t="str">
        <f t="shared" si="37"/>
        <v>EFPRAZO</v>
      </c>
      <c r="AQ97" s="49">
        <f t="shared" si="38"/>
        <v>0</v>
      </c>
      <c r="AR97" s="49" t="str">
        <f t="shared" si="39"/>
        <v/>
      </c>
      <c r="AV97" s="57"/>
      <c r="BF97" s="52"/>
    </row>
    <row r="98" spans="1:58" ht="30" customHeight="1" x14ac:dyDescent="0.35">
      <c r="A98" s="25"/>
      <c r="B98" s="62" t="s">
        <v>64</v>
      </c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114"/>
      <c r="Z98" s="115"/>
      <c r="AA98" s="115"/>
      <c r="AB98" s="116"/>
      <c r="AC98" s="40"/>
      <c r="AD98" s="40"/>
      <c r="AE98" s="48" t="str">
        <f t="shared" si="29"/>
        <v/>
      </c>
      <c r="AF98" s="48"/>
      <c r="AG98" s="48"/>
      <c r="AH98" s="89"/>
      <c r="AI98" s="49">
        <f t="shared" si="30"/>
        <v>0</v>
      </c>
      <c r="AJ98" s="49" t="str">
        <f t="shared" si="31"/>
        <v/>
      </c>
      <c r="AK98" s="49">
        <f t="shared" si="32"/>
        <v>0</v>
      </c>
      <c r="AL98" s="49" t="str">
        <f t="shared" si="33"/>
        <v/>
      </c>
      <c r="AM98" s="49">
        <f t="shared" si="34"/>
        <v>0</v>
      </c>
      <c r="AN98" s="49" t="str">
        <f t="shared" si="35"/>
        <v/>
      </c>
      <c r="AO98" s="49">
        <f t="shared" si="36"/>
        <v>0</v>
      </c>
      <c r="AP98" s="49" t="str">
        <f t="shared" si="37"/>
        <v/>
      </c>
      <c r="AQ98" s="49">
        <f t="shared" si="38"/>
        <v>0</v>
      </c>
      <c r="AR98" s="49" t="str">
        <f t="shared" si="39"/>
        <v/>
      </c>
      <c r="AV98" s="57"/>
      <c r="BF98" s="52"/>
    </row>
    <row r="99" spans="1:58" ht="30" customHeight="1" x14ac:dyDescent="0.35">
      <c r="A99" s="25"/>
      <c r="B99" s="39" t="s">
        <v>59</v>
      </c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108"/>
      <c r="Z99" s="109"/>
      <c r="AA99" s="109"/>
      <c r="AB99" s="110"/>
      <c r="AC99" s="40"/>
      <c r="AD99" s="40"/>
      <c r="AE99" s="48" t="str">
        <f t="shared" si="29"/>
        <v/>
      </c>
      <c r="AF99" s="48"/>
      <c r="AG99" s="48"/>
      <c r="AH99" s="89"/>
      <c r="AI99" s="49">
        <f t="shared" si="30"/>
        <v>0</v>
      </c>
      <c r="AJ99" s="49" t="str">
        <f t="shared" si="31"/>
        <v/>
      </c>
      <c r="AK99" s="49">
        <f t="shared" si="32"/>
        <v>0</v>
      </c>
      <c r="AL99" s="49" t="str">
        <f t="shared" si="33"/>
        <v/>
      </c>
      <c r="AM99" s="49">
        <f t="shared" si="34"/>
        <v>0</v>
      </c>
      <c r="AN99" s="49" t="str">
        <f t="shared" si="35"/>
        <v/>
      </c>
      <c r="AO99" s="49">
        <f t="shared" si="36"/>
        <v>0</v>
      </c>
      <c r="AP99" s="49" t="str">
        <f t="shared" si="37"/>
        <v/>
      </c>
      <c r="AQ99" s="49">
        <f t="shared" si="38"/>
        <v>0</v>
      </c>
      <c r="AR99" s="49" t="str">
        <f t="shared" si="39"/>
        <v/>
      </c>
      <c r="AV99" s="57"/>
      <c r="BF99" s="52"/>
    </row>
    <row r="100" spans="1:58" ht="30" customHeight="1" x14ac:dyDescent="0.35">
      <c r="A100" s="25" t="str">
        <f>CONCATENATE($B$82,"
",$B$84,"
",$B$98)</f>
        <v>PT177 - PLATAFORMA DE ACESSO - FORQUILHA 1 - BÁSICO
TORRE B1
CIVIL</v>
      </c>
      <c r="B100" s="40" t="s">
        <v>112</v>
      </c>
      <c r="C100" s="60" t="str">
        <f>IF(AND($B100=[1]rogério!$A101,[1]rogério!$B101=C$4),"ok","nok")</f>
        <v>nok</v>
      </c>
      <c r="D100" s="60" t="str">
        <f>IF(AND($B100=[1]rogério!$A101,[1]rogério!$B101=D$4),"ok","nok")</f>
        <v>nok</v>
      </c>
      <c r="E100" s="60" t="str">
        <f>IF(AND($B100=[1]rogério!$A101,[1]rogério!$B101=E$4),"ok","nok")</f>
        <v>nok</v>
      </c>
      <c r="F100" s="60" t="str">
        <f>IF(AND($B100=[1]rogério!$A101,[1]rogério!$B101=F$4),"ok","nok")</f>
        <v>nok</v>
      </c>
      <c r="G100" s="60" t="str">
        <f>IF(AND($B100=[1]rogério!$A101,[1]rogério!$B101=G$4),"ok","nok")</f>
        <v>ok</v>
      </c>
      <c r="H100" s="60" t="str">
        <f>IF(AND($B100=[1]rogério!$A101,[1]rogério!$B101=H$4),"ok","nok")</f>
        <v>nok</v>
      </c>
      <c r="I100" s="60" t="str">
        <f>IF(AND($B100=[1]rogério!$A101,[1]rogério!$B101=I$4),"ok","nok")</f>
        <v>nok</v>
      </c>
      <c r="J100" s="60" t="str">
        <f>IF(AND($B100=[1]rogério!$A101,[1]rogério!$B101=J$4),"ok","nok")</f>
        <v>nok</v>
      </c>
      <c r="K100" s="60" t="str">
        <f>IF(AND($B100=[1]rogério!$A101,[1]rogério!$B101=K$4),"ok","nok")</f>
        <v>nok</v>
      </c>
      <c r="L100" s="60" t="str">
        <f>IF(AND($B100=[1]rogério!$A101,[1]rogério!$B101=L$4),"ok","nok")</f>
        <v>nok</v>
      </c>
      <c r="M100" s="60" t="str">
        <f>IF(AND($B100=[1]rogério!$A101,[1]rogério!$B101=M$4),"ok","nok")</f>
        <v>nok</v>
      </c>
      <c r="N100" s="60" t="str">
        <f>IF(AND($B100=[1]rogério!$A101,[1]rogério!$B101=N$4),"ok","nok")</f>
        <v>nok</v>
      </c>
      <c r="O100" s="60" t="str">
        <f>IF(AND($B100=[1]rogério!$A101,[1]rogério!$B101=O$4),"ok","nok")</f>
        <v>nok</v>
      </c>
      <c r="P100" s="60" t="str">
        <f>IF(AND($B100=[1]rogério!$A101,[1]rogério!$B101=P$4),"ok","nok")</f>
        <v>nok</v>
      </c>
      <c r="Q100" s="60" t="str">
        <f>IF(AND($B100=[1]rogério!$A101,[1]rogério!$B101=Q$4),"ok","nok")</f>
        <v>nok</v>
      </c>
      <c r="R100" s="60" t="str">
        <f>IF(AND($B100=[1]rogério!$A101,[1]rogério!$B101=R$4),"ok","nok")</f>
        <v>nok</v>
      </c>
      <c r="S100" s="60" t="str">
        <f>IF(AND($B100=[1]rogério!$A101,[1]rogério!$B101=S$4),"ok","nok")</f>
        <v>nok</v>
      </c>
      <c r="T100" s="60" t="str">
        <f>IF(AND($B100=[1]rogério!$A101,[1]rogério!$B101=T$4),"ok","nok")</f>
        <v>nok</v>
      </c>
      <c r="U100" s="60" t="str">
        <f>IF(AND($B100=[1]rogério!$A101,[1]rogério!$B101=U$4),"ok","nok")</f>
        <v>nok</v>
      </c>
      <c r="V100" s="60" t="str">
        <f>IF(AND($B100=[1]rogério!$A101,[1]rogério!$B101=V$4),"ok","nok")</f>
        <v>nok</v>
      </c>
      <c r="W100" s="60" t="str">
        <f>IF(AND($B100=[1]rogério!$A101,[1]rogério!$B101=W$4),"ok","nok")</f>
        <v>nok</v>
      </c>
      <c r="X100" s="60" t="str">
        <f>IF(AND($B100=[1]rogério!$A101,[1]rogério!$B101=X$4),"ok","nok")</f>
        <v>nok</v>
      </c>
      <c r="Y100" s="105" t="s">
        <v>33</v>
      </c>
      <c r="Z100" s="106"/>
      <c r="AA100" s="106"/>
      <c r="AB100" s="107"/>
      <c r="AC100" s="40"/>
      <c r="AD100" s="40"/>
      <c r="AE100" s="48" t="str">
        <f t="shared" si="29"/>
        <v/>
      </c>
      <c r="AF100" s="48"/>
      <c r="AG100" s="48"/>
      <c r="AH100" s="89"/>
      <c r="AI100" s="49">
        <f t="shared" si="30"/>
        <v>1</v>
      </c>
      <c r="AJ100" s="49" t="str">
        <f t="shared" si="31"/>
        <v>EFPRAZO</v>
      </c>
      <c r="AK100" s="49">
        <f t="shared" si="32"/>
        <v>0</v>
      </c>
      <c r="AL100" s="49" t="str">
        <f t="shared" si="33"/>
        <v/>
      </c>
      <c r="AM100" s="49">
        <f t="shared" si="34"/>
        <v>0</v>
      </c>
      <c r="AN100" s="49" t="str">
        <f t="shared" si="35"/>
        <v/>
      </c>
      <c r="AO100" s="49">
        <f t="shared" si="36"/>
        <v>0</v>
      </c>
      <c r="AP100" s="49" t="str">
        <f t="shared" si="37"/>
        <v/>
      </c>
      <c r="AQ100" s="49">
        <f t="shared" si="38"/>
        <v>0</v>
      </c>
      <c r="AR100" s="49" t="str">
        <f t="shared" si="39"/>
        <v/>
      </c>
      <c r="AV100" s="57"/>
      <c r="BF100" s="52"/>
    </row>
    <row r="101" spans="1:58" ht="30" customHeight="1" x14ac:dyDescent="0.35">
      <c r="A101" s="25" t="str">
        <f t="shared" ref="A101:A106" si="41">CONCATENATE($B$82,"
",$B$84,"
",$B$98)</f>
        <v>PT177 - PLATAFORMA DE ACESSO - FORQUILHA 1 - BÁSICO
TORRE B1
CIVIL</v>
      </c>
      <c r="B101" s="40" t="s">
        <v>49</v>
      </c>
      <c r="C101" s="60" t="str">
        <f>IF(AND($B101=[1]rogério!$A102,[1]rogério!$B102=C$4),"ok","nok")</f>
        <v>nok</v>
      </c>
      <c r="D101" s="60" t="str">
        <f>IF(AND($B101=[1]rogério!$A102,[1]rogério!$B102=D$4),"ok","nok")</f>
        <v>nok</v>
      </c>
      <c r="E101" s="60" t="str">
        <f>IF(AND($B101=[1]rogério!$A102,[1]rogério!$B102=E$4),"ok","nok")</f>
        <v>nok</v>
      </c>
      <c r="F101" s="60" t="str">
        <f>IF(AND($B101=[1]rogério!$A102,[1]rogério!$B102=F$4),"ok","nok")</f>
        <v>nok</v>
      </c>
      <c r="G101" s="60" t="str">
        <f>IF(AND($B101=[1]rogério!$A102,[1]rogério!$B102=G$4),"ok","nok")</f>
        <v>ok</v>
      </c>
      <c r="H101" s="60" t="str">
        <f>IF(AND($B101=[1]rogério!$A102,[1]rogério!$B102=H$4),"ok","nok")</f>
        <v>nok</v>
      </c>
      <c r="I101" s="60" t="str">
        <f>IF(AND($B101=[1]rogério!$A102,[1]rogério!$B102=I$4),"ok","nok")</f>
        <v>nok</v>
      </c>
      <c r="J101" s="60" t="str">
        <f>IF(AND($B101=[1]rogério!$A102,[1]rogério!$B102=J$4),"ok","nok")</f>
        <v>nok</v>
      </c>
      <c r="K101" s="60" t="str">
        <f>IF(AND($B101=[1]rogério!$A102,[1]rogério!$B102=K$4),"ok","nok")</f>
        <v>nok</v>
      </c>
      <c r="L101" s="60" t="str">
        <f>IF(AND($B101=[1]rogério!$A102,[1]rogério!$B102=L$4),"ok","nok")</f>
        <v>nok</v>
      </c>
      <c r="M101" s="60" t="str">
        <f>IF(AND($B101=[1]rogério!$A102,[1]rogério!$B102=M$4),"ok","nok")</f>
        <v>nok</v>
      </c>
      <c r="N101" s="60" t="str">
        <f>IF(AND($B101=[1]rogério!$A102,[1]rogério!$B102=N$4),"ok","nok")</f>
        <v>nok</v>
      </c>
      <c r="O101" s="60" t="str">
        <f>IF(AND($B101=[1]rogério!$A102,[1]rogério!$B102=O$4),"ok","nok")</f>
        <v>nok</v>
      </c>
      <c r="P101" s="60" t="str">
        <f>IF(AND($B101=[1]rogério!$A102,[1]rogério!$B102=P$4),"ok","nok")</f>
        <v>nok</v>
      </c>
      <c r="Q101" s="60" t="str">
        <f>IF(AND($B101=[1]rogério!$A102,[1]rogério!$B102=Q$4),"ok","nok")</f>
        <v>nok</v>
      </c>
      <c r="R101" s="60" t="str">
        <f>IF(AND($B101=[1]rogério!$A102,[1]rogério!$B102=R$4),"ok","nok")</f>
        <v>nok</v>
      </c>
      <c r="S101" s="60" t="str">
        <f>IF(AND($B101=[1]rogério!$A102,[1]rogério!$B102=S$4),"ok","nok")</f>
        <v>nok</v>
      </c>
      <c r="T101" s="60" t="str">
        <f>IF(AND($B101=[1]rogério!$A102,[1]rogério!$B102=T$4),"ok","nok")</f>
        <v>nok</v>
      </c>
      <c r="U101" s="60" t="str">
        <f>IF(AND($B101=[1]rogério!$A102,[1]rogério!$B102=U$4),"ok","nok")</f>
        <v>nok</v>
      </c>
      <c r="V101" s="60" t="str">
        <f>IF(AND($B101=[1]rogério!$A102,[1]rogério!$B102=V$4),"ok","nok")</f>
        <v>nok</v>
      </c>
      <c r="W101" s="60" t="str">
        <f>IF(AND($B101=[1]rogério!$A102,[1]rogério!$B102=W$4),"ok","nok")</f>
        <v>nok</v>
      </c>
      <c r="X101" s="60" t="str">
        <f>IF(AND($B101=[1]rogério!$A102,[1]rogério!$B102=X$4),"ok","nok")</f>
        <v>nok</v>
      </c>
      <c r="Y101" s="105" t="s">
        <v>33</v>
      </c>
      <c r="Z101" s="106"/>
      <c r="AA101" s="106"/>
      <c r="AB101" s="107"/>
      <c r="AC101" s="40"/>
      <c r="AD101" s="40"/>
      <c r="AE101" s="48" t="str">
        <f t="shared" si="29"/>
        <v/>
      </c>
      <c r="AF101" s="48"/>
      <c r="AG101" s="48"/>
      <c r="AH101" s="89"/>
      <c r="AI101" s="49">
        <f t="shared" si="30"/>
        <v>1</v>
      </c>
      <c r="AJ101" s="49" t="str">
        <f t="shared" si="31"/>
        <v>EFPRAZO</v>
      </c>
      <c r="AK101" s="49">
        <f t="shared" si="32"/>
        <v>0</v>
      </c>
      <c r="AL101" s="49" t="str">
        <f t="shared" si="33"/>
        <v/>
      </c>
      <c r="AM101" s="49">
        <f t="shared" si="34"/>
        <v>0</v>
      </c>
      <c r="AN101" s="49" t="str">
        <f t="shared" si="35"/>
        <v/>
      </c>
      <c r="AO101" s="49">
        <f t="shared" si="36"/>
        <v>0</v>
      </c>
      <c r="AP101" s="49" t="str">
        <f t="shared" si="37"/>
        <v/>
      </c>
      <c r="AQ101" s="49">
        <f t="shared" si="38"/>
        <v>0</v>
      </c>
      <c r="AR101" s="49" t="str">
        <f t="shared" si="39"/>
        <v/>
      </c>
      <c r="AV101" s="57"/>
      <c r="BF101" s="52"/>
    </row>
    <row r="102" spans="1:58" ht="30" customHeight="1" x14ac:dyDescent="0.35">
      <c r="A102" s="25" t="str">
        <f t="shared" si="41"/>
        <v>PT177 - PLATAFORMA DE ACESSO - FORQUILHA 1 - BÁSICO
TORRE B1
CIVIL</v>
      </c>
      <c r="B102" s="40" t="s">
        <v>19</v>
      </c>
      <c r="C102" s="60" t="str">
        <f>IF(AND($B102=[1]rogério!$A103,[1]rogério!$B103=C$4),"ok","nok")</f>
        <v>nok</v>
      </c>
      <c r="D102" s="60" t="str">
        <f>IF(AND($B102=[1]rogério!$A103,[1]rogério!$B103=D$4),"ok","nok")</f>
        <v>nok</v>
      </c>
      <c r="E102" s="60" t="str">
        <f>IF(AND($B102=[1]rogério!$A103,[1]rogério!$B103=E$4),"ok","nok")</f>
        <v>nok</v>
      </c>
      <c r="F102" s="60" t="str">
        <f>IF(AND($B102=[1]rogério!$A103,[1]rogério!$B103=F$4),"ok","nok")</f>
        <v>nok</v>
      </c>
      <c r="G102" s="60" t="str">
        <f>IF(AND($B102=[1]rogério!$A103,[1]rogério!$B103=G$4),"ok","nok")</f>
        <v>nok</v>
      </c>
      <c r="H102" s="60" t="str">
        <f>IF(AND($B102=[1]rogério!$A103,[1]rogério!$B103=H$4),"ok","nok")</f>
        <v>nok</v>
      </c>
      <c r="I102" s="60" t="str">
        <f>IF(AND($B102=[1]rogério!$A103,[1]rogério!$B103=I$4),"ok","nok")</f>
        <v>nok</v>
      </c>
      <c r="J102" s="60" t="str">
        <f>IF(AND($B102=[1]rogério!$A103,[1]rogério!$B103=J$4),"ok","nok")</f>
        <v>nok</v>
      </c>
      <c r="K102" s="60" t="str">
        <f>IF(AND($B102=[1]rogério!$A103,[1]rogério!$B103=K$4),"ok","nok")</f>
        <v>nok</v>
      </c>
      <c r="L102" s="60" t="str">
        <f>IF(AND($B102=[1]rogério!$A103,[1]rogério!$B103=L$4),"ok","nok")</f>
        <v>nok</v>
      </c>
      <c r="M102" s="60" t="str">
        <f>IF(AND($B102=[1]rogério!$A103,[1]rogério!$B103=M$4),"ok","nok")</f>
        <v>nok</v>
      </c>
      <c r="N102" s="60" t="str">
        <f>IF(AND($B102=[1]rogério!$A103,[1]rogério!$B103=N$4),"ok","nok")</f>
        <v>ok</v>
      </c>
      <c r="O102" s="60" t="str">
        <f>IF(AND($B102=[1]rogério!$A103,[1]rogério!$B103=O$4),"ok","nok")</f>
        <v>nok</v>
      </c>
      <c r="P102" s="60" t="str">
        <f>IF(AND($B102=[1]rogério!$A103,[1]rogério!$B103=P$4),"ok","nok")</f>
        <v>nok</v>
      </c>
      <c r="Q102" s="60" t="str">
        <f>IF(AND($B102=[1]rogério!$A103,[1]rogério!$B103=Q$4),"ok","nok")</f>
        <v>nok</v>
      </c>
      <c r="R102" s="60" t="str">
        <f>IF(AND($B102=[1]rogério!$A103,[1]rogério!$B103=R$4),"ok","nok")</f>
        <v>nok</v>
      </c>
      <c r="S102" s="60" t="str">
        <f>IF(AND($B102=[1]rogério!$A103,[1]rogério!$B103=S$4),"ok","nok")</f>
        <v>nok</v>
      </c>
      <c r="T102" s="60" t="str">
        <f>IF(AND($B102=[1]rogério!$A103,[1]rogério!$B103=T$4),"ok","nok")</f>
        <v>nok</v>
      </c>
      <c r="U102" s="60" t="str">
        <f>IF(AND($B102=[1]rogério!$A103,[1]rogério!$B103=U$4),"ok","nok")</f>
        <v>nok</v>
      </c>
      <c r="V102" s="60" t="str">
        <f>IF(AND($B102=[1]rogério!$A103,[1]rogério!$B103=V$4),"ok","nok")</f>
        <v>nok</v>
      </c>
      <c r="W102" s="60" t="str">
        <f>IF(AND($B102=[1]rogério!$A103,[1]rogério!$B103=W$4),"ok","nok")</f>
        <v>nok</v>
      </c>
      <c r="X102" s="60" t="str">
        <f>IF(AND($B102=[1]rogério!$A103,[1]rogério!$B103=X$4),"ok","nok")</f>
        <v>nok</v>
      </c>
      <c r="Y102" s="105" t="s">
        <v>31</v>
      </c>
      <c r="Z102" s="106"/>
      <c r="AA102" s="106"/>
      <c r="AB102" s="107"/>
      <c r="AC102" s="40"/>
      <c r="AD102" s="40"/>
      <c r="AE102" s="48" t="str">
        <f t="shared" si="29"/>
        <v>Aprovação do Cliente</v>
      </c>
      <c r="AF102" s="48"/>
      <c r="AG102" s="48"/>
      <c r="AH102" s="89"/>
      <c r="AI102" s="49">
        <f t="shared" si="30"/>
        <v>0</v>
      </c>
      <c r="AJ102" s="49" t="str">
        <f t="shared" si="31"/>
        <v/>
      </c>
      <c r="AK102" s="49">
        <f t="shared" si="32"/>
        <v>0</v>
      </c>
      <c r="AL102" s="49" t="str">
        <f t="shared" si="33"/>
        <v/>
      </c>
      <c r="AM102" s="49">
        <f t="shared" si="34"/>
        <v>1</v>
      </c>
      <c r="AN102" s="49" t="str">
        <f t="shared" si="35"/>
        <v/>
      </c>
      <c r="AO102" s="49">
        <f t="shared" si="36"/>
        <v>0</v>
      </c>
      <c r="AP102" s="49" t="str">
        <f t="shared" si="37"/>
        <v/>
      </c>
      <c r="AQ102" s="49">
        <f t="shared" si="38"/>
        <v>0</v>
      </c>
      <c r="AR102" s="49" t="str">
        <f t="shared" si="39"/>
        <v/>
      </c>
      <c r="AV102" s="57"/>
      <c r="BF102" s="52"/>
    </row>
    <row r="103" spans="1:58" ht="30" customHeight="1" x14ac:dyDescent="0.35">
      <c r="A103" s="25" t="str">
        <f t="shared" si="41"/>
        <v>PT177 - PLATAFORMA DE ACESSO - FORQUILHA 1 - BÁSICO
TORRE B1
CIVIL</v>
      </c>
      <c r="B103" s="40" t="s">
        <v>42</v>
      </c>
      <c r="C103" s="60" t="str">
        <f>IF(AND($B103=[1]rogério!$A104,[1]rogério!$B104=C$4),"ok","nok")</f>
        <v>nok</v>
      </c>
      <c r="D103" s="60" t="str">
        <f>IF(AND($B103=[1]rogério!$A104,[1]rogério!$B104=D$4),"ok","nok")</f>
        <v>nok</v>
      </c>
      <c r="E103" s="60" t="str">
        <f>IF(AND($B103=[1]rogério!$A104,[1]rogério!$B104=E$4),"ok","nok")</f>
        <v>nok</v>
      </c>
      <c r="F103" s="60" t="str">
        <f>IF(AND($B103=[1]rogério!$A104,[1]rogério!$B104=F$4),"ok","nok")</f>
        <v>nok</v>
      </c>
      <c r="G103" s="60" t="str">
        <f>IF(AND($B103=[1]rogério!$A104,[1]rogério!$B104=G$4),"ok","nok")</f>
        <v>nok</v>
      </c>
      <c r="H103" s="60" t="str">
        <f>IF(AND($B103=[1]rogério!$A104,[1]rogério!$B104=H$4),"ok","nok")</f>
        <v>nok</v>
      </c>
      <c r="I103" s="60" t="str">
        <f>IF(AND($B103=[1]rogério!$A104,[1]rogério!$B104=I$4),"ok","nok")</f>
        <v>nok</v>
      </c>
      <c r="J103" s="60" t="str">
        <f>IF(AND($B103=[1]rogério!$A104,[1]rogério!$B104=J$4),"ok","nok")</f>
        <v>nok</v>
      </c>
      <c r="K103" s="60" t="str">
        <f>IF(AND($B103=[1]rogério!$A104,[1]rogério!$B104=K$4),"ok","nok")</f>
        <v>nok</v>
      </c>
      <c r="L103" s="60" t="str">
        <f>IF(AND($B103=[1]rogério!$A104,[1]rogério!$B104=L$4),"ok","nok")</f>
        <v>nok</v>
      </c>
      <c r="M103" s="60" t="str">
        <f>IF(AND($B103=[1]rogério!$A104,[1]rogério!$B104=M$4),"ok","nok")</f>
        <v>nok</v>
      </c>
      <c r="N103" s="60" t="str">
        <f>IF(AND($B103=[1]rogério!$A104,[1]rogério!$B104=N$4),"ok","nok")</f>
        <v>nok</v>
      </c>
      <c r="O103" s="60" t="str">
        <f>IF(AND($B103=[1]rogério!$A104,[1]rogério!$B104=O$4),"ok","nok")</f>
        <v>nok</v>
      </c>
      <c r="P103" s="60" t="str">
        <f>IF(AND($B103=[1]rogério!$A104,[1]rogério!$B104=P$4),"ok","nok")</f>
        <v>nok</v>
      </c>
      <c r="Q103" s="60" t="str">
        <f>IF(AND($B103=[1]rogério!$A104,[1]rogério!$B104=Q$4),"ok","nok")</f>
        <v>ok</v>
      </c>
      <c r="R103" s="60" t="str">
        <f>IF(AND($B103=[1]rogério!$A104,[1]rogério!$B104=R$4),"ok","nok")</f>
        <v>nok</v>
      </c>
      <c r="S103" s="60" t="str">
        <f>IF(AND($B103=[1]rogério!$A104,[1]rogério!$B104=S$4),"ok","nok")</f>
        <v>nok</v>
      </c>
      <c r="T103" s="60" t="str">
        <f>IF(AND($B103=[1]rogério!$A104,[1]rogério!$B104=T$4),"ok","nok")</f>
        <v>nok</v>
      </c>
      <c r="U103" s="60" t="str">
        <f>IF(AND($B103=[1]rogério!$A104,[1]rogério!$B104=U$4),"ok","nok")</f>
        <v>nok</v>
      </c>
      <c r="V103" s="60" t="str">
        <f>IF(AND($B103=[1]rogério!$A104,[1]rogério!$B104=V$4),"ok","nok")</f>
        <v>nok</v>
      </c>
      <c r="W103" s="60" t="str">
        <f>IF(AND($B103=[1]rogério!$A104,[1]rogério!$B104=W$4),"ok","nok")</f>
        <v>nok</v>
      </c>
      <c r="X103" s="60" t="str">
        <f>IF(AND($B103=[1]rogério!$A104,[1]rogério!$B104=X$4),"ok","nok")</f>
        <v>nok</v>
      </c>
      <c r="Y103" s="105" t="s">
        <v>31</v>
      </c>
      <c r="Z103" s="106"/>
      <c r="AA103" s="106"/>
      <c r="AB103" s="107"/>
      <c r="AC103" s="40"/>
      <c r="AD103" s="40"/>
      <c r="AE103" s="48" t="str">
        <f t="shared" si="29"/>
        <v>Certificação do documento - Vibracon</v>
      </c>
      <c r="AF103" s="48"/>
      <c r="AG103" s="48"/>
      <c r="AH103" s="89"/>
      <c r="AI103" s="49">
        <f t="shared" si="30"/>
        <v>0</v>
      </c>
      <c r="AJ103" s="49" t="str">
        <f t="shared" si="31"/>
        <v/>
      </c>
      <c r="AK103" s="49">
        <f t="shared" si="32"/>
        <v>0</v>
      </c>
      <c r="AL103" s="49" t="str">
        <f t="shared" si="33"/>
        <v/>
      </c>
      <c r="AM103" s="49">
        <f t="shared" si="34"/>
        <v>1</v>
      </c>
      <c r="AN103" s="49" t="str">
        <f t="shared" si="35"/>
        <v/>
      </c>
      <c r="AO103" s="49">
        <f t="shared" si="36"/>
        <v>0</v>
      </c>
      <c r="AP103" s="49" t="str">
        <f t="shared" si="37"/>
        <v/>
      </c>
      <c r="AQ103" s="49">
        <f t="shared" si="38"/>
        <v>0</v>
      </c>
      <c r="AR103" s="49" t="str">
        <f t="shared" si="39"/>
        <v/>
      </c>
      <c r="AV103" s="57"/>
      <c r="BF103" s="52"/>
    </row>
    <row r="104" spans="1:58" ht="30" customHeight="1" x14ac:dyDescent="0.35">
      <c r="A104" s="25" t="str">
        <f t="shared" si="41"/>
        <v>PT177 - PLATAFORMA DE ACESSO - FORQUILHA 1 - BÁSICO
TORRE B1
CIVIL</v>
      </c>
      <c r="B104" s="40" t="s">
        <v>43</v>
      </c>
      <c r="C104" s="60" t="str">
        <f>IF(AND($B104=[1]rogério!$A105,[1]rogério!$B105=C$4),"ok","nok")</f>
        <v>nok</v>
      </c>
      <c r="D104" s="60" t="str">
        <f>IF(AND($B104=[1]rogério!$A105,[1]rogério!$B105=D$4),"ok","nok")</f>
        <v>nok</v>
      </c>
      <c r="E104" s="60" t="str">
        <f>IF(AND($B104=[1]rogério!$A105,[1]rogério!$B105=E$4),"ok","nok")</f>
        <v>nok</v>
      </c>
      <c r="F104" s="60" t="str">
        <f>IF(AND($B104=[1]rogério!$A105,[1]rogério!$B105=F$4),"ok","nok")</f>
        <v>nok</v>
      </c>
      <c r="G104" s="60" t="str">
        <f>IF(AND($B104=[1]rogério!$A105,[1]rogério!$B105=G$4),"ok","nok")</f>
        <v>nok</v>
      </c>
      <c r="H104" s="60" t="str">
        <f>IF(AND($B104=[1]rogério!$A105,[1]rogério!$B105=H$4),"ok","nok")</f>
        <v>nok</v>
      </c>
      <c r="I104" s="60" t="str">
        <f>IF(AND($B104=[1]rogério!$A105,[1]rogério!$B105=I$4),"ok","nok")</f>
        <v>nok</v>
      </c>
      <c r="J104" s="60" t="str">
        <f>IF(AND($B104=[1]rogério!$A105,[1]rogério!$B105=J$4),"ok","nok")</f>
        <v>nok</v>
      </c>
      <c r="K104" s="60" t="str">
        <f>IF(AND($B104=[1]rogério!$A105,[1]rogério!$B105=K$4),"ok","nok")</f>
        <v>nok</v>
      </c>
      <c r="L104" s="60" t="str">
        <f>IF(AND($B104=[1]rogério!$A105,[1]rogério!$B105=L$4),"ok","nok")</f>
        <v>nok</v>
      </c>
      <c r="M104" s="60" t="str">
        <f>IF(AND($B104=[1]rogério!$A105,[1]rogério!$B105=M$4),"ok","nok")</f>
        <v>nok</v>
      </c>
      <c r="N104" s="60" t="str">
        <f>IF(AND($B104=[1]rogério!$A105,[1]rogério!$B105=N$4),"ok","nok")</f>
        <v>nok</v>
      </c>
      <c r="O104" s="60" t="str">
        <f>IF(AND($B104=[1]rogério!$A105,[1]rogério!$B105=O$4),"ok","nok")</f>
        <v>nok</v>
      </c>
      <c r="P104" s="60" t="str">
        <f>IF(AND($B104=[1]rogério!$A105,[1]rogério!$B105=P$4),"ok","nok")</f>
        <v>nok</v>
      </c>
      <c r="Q104" s="60" t="str">
        <f>IF(AND($B104=[1]rogério!$A105,[1]rogério!$B105=Q$4),"ok","nok")</f>
        <v>ok</v>
      </c>
      <c r="R104" s="60" t="str">
        <f>IF(AND($B104=[1]rogério!$A105,[1]rogério!$B105=R$4),"ok","nok")</f>
        <v>nok</v>
      </c>
      <c r="S104" s="60" t="str">
        <f>IF(AND($B104=[1]rogério!$A105,[1]rogério!$B105=S$4),"ok","nok")</f>
        <v>nok</v>
      </c>
      <c r="T104" s="60" t="str">
        <f>IF(AND($B104=[1]rogério!$A105,[1]rogério!$B105=T$4),"ok","nok")</f>
        <v>nok</v>
      </c>
      <c r="U104" s="60" t="str">
        <f>IF(AND($B104=[1]rogério!$A105,[1]rogério!$B105=U$4),"ok","nok")</f>
        <v>nok</v>
      </c>
      <c r="V104" s="60" t="str">
        <f>IF(AND($B104=[1]rogério!$A105,[1]rogério!$B105=V$4),"ok","nok")</f>
        <v>nok</v>
      </c>
      <c r="W104" s="60" t="str">
        <f>IF(AND($B104=[1]rogério!$A105,[1]rogério!$B105=W$4),"ok","nok")</f>
        <v>nok</v>
      </c>
      <c r="X104" s="60" t="str">
        <f>IF(AND($B104=[1]rogério!$A105,[1]rogério!$B105=X$4),"ok","nok")</f>
        <v>nok</v>
      </c>
      <c r="Y104" s="105" t="s">
        <v>31</v>
      </c>
      <c r="Z104" s="106"/>
      <c r="AA104" s="106"/>
      <c r="AB104" s="107"/>
      <c r="AC104" s="40"/>
      <c r="AD104" s="40"/>
      <c r="AE104" s="48" t="str">
        <f t="shared" si="29"/>
        <v>MARCO - Envio do documento Certificado (Rev_0)</v>
      </c>
      <c r="AF104" s="48"/>
      <c r="AG104" s="48"/>
      <c r="AH104" s="89"/>
      <c r="AI104" s="49">
        <f t="shared" si="30"/>
        <v>0</v>
      </c>
      <c r="AJ104" s="49" t="str">
        <f t="shared" si="31"/>
        <v/>
      </c>
      <c r="AK104" s="49">
        <f t="shared" si="32"/>
        <v>0</v>
      </c>
      <c r="AL104" s="49" t="str">
        <f t="shared" si="33"/>
        <v/>
      </c>
      <c r="AM104" s="49">
        <f t="shared" si="34"/>
        <v>1</v>
      </c>
      <c r="AN104" s="49" t="str">
        <f t="shared" si="35"/>
        <v/>
      </c>
      <c r="AO104" s="49">
        <f t="shared" si="36"/>
        <v>0</v>
      </c>
      <c r="AP104" s="49" t="str">
        <f t="shared" si="37"/>
        <v/>
      </c>
      <c r="AQ104" s="49">
        <f t="shared" si="38"/>
        <v>0</v>
      </c>
      <c r="AR104" s="49" t="str">
        <f t="shared" si="39"/>
        <v/>
      </c>
      <c r="AV104" s="57"/>
      <c r="BF104" s="52"/>
    </row>
    <row r="105" spans="1:58" ht="30" customHeight="1" x14ac:dyDescent="0.35">
      <c r="A105" s="25" t="str">
        <f t="shared" si="41"/>
        <v>PT177 - PLATAFORMA DE ACESSO - FORQUILHA 1 - BÁSICO
TORRE B1
CIVIL</v>
      </c>
      <c r="B105" s="38" t="s">
        <v>65</v>
      </c>
      <c r="C105" s="60" t="str">
        <f>IF(AND($B105=[1]rogério!$A106,[1]rogério!$B106=C$4),"ok","nok")</f>
        <v>nok</v>
      </c>
      <c r="D105" s="60" t="str">
        <f>IF(AND($B105=[1]rogério!$A106,[1]rogério!$B106=D$4),"ok","nok")</f>
        <v>nok</v>
      </c>
      <c r="E105" s="60" t="str">
        <f>IF(AND($B105=[1]rogério!$A106,[1]rogério!$B106=E$4),"ok","nok")</f>
        <v>nok</v>
      </c>
      <c r="F105" s="60" t="str">
        <f>IF(AND($B105=[1]rogério!$A106,[1]rogério!$B106=F$4),"ok","nok")</f>
        <v>nok</v>
      </c>
      <c r="G105" s="60" t="str">
        <f>IF(AND($B105=[1]rogério!$A106,[1]rogério!$B106=G$4),"ok","nok")</f>
        <v>nok</v>
      </c>
      <c r="H105" s="60" t="str">
        <f>IF(AND($B105=[1]rogério!$A106,[1]rogério!$B106=H$4),"ok","nok")</f>
        <v>nok</v>
      </c>
      <c r="I105" s="60" t="str">
        <f>IF(AND($B105=[1]rogério!$A106,[1]rogério!$B106=I$4),"ok","nok")</f>
        <v>nok</v>
      </c>
      <c r="J105" s="60" t="str">
        <f>IF(AND($B105=[1]rogério!$A106,[1]rogério!$B106=J$4),"ok","nok")</f>
        <v>nok</v>
      </c>
      <c r="K105" s="60" t="str">
        <f>IF(AND($B105=[1]rogério!$A106,[1]rogério!$B106=K$4),"ok","nok")</f>
        <v>nok</v>
      </c>
      <c r="L105" s="60" t="str">
        <f>IF(AND($B105=[1]rogério!$A106,[1]rogério!$B106=L$4),"ok","nok")</f>
        <v>ok</v>
      </c>
      <c r="M105" s="60" t="str">
        <f>IF(AND($B105=[1]rogério!$A106,[1]rogério!$B106=M$4),"ok","nok")</f>
        <v>nok</v>
      </c>
      <c r="N105" s="60" t="str">
        <f>IF(AND($B105=[1]rogério!$A106,[1]rogério!$B106=N$4),"ok","nok")</f>
        <v>nok</v>
      </c>
      <c r="O105" s="60" t="str">
        <f>IF(AND($B105=[1]rogério!$A106,[1]rogério!$B106=O$4),"ok","nok")</f>
        <v>nok</v>
      </c>
      <c r="P105" s="60" t="str">
        <f>IF(AND($B105=[1]rogério!$A106,[1]rogério!$B106=P$4),"ok","nok")</f>
        <v>nok</v>
      </c>
      <c r="Q105" s="60" t="str">
        <f>IF(AND($B105=[1]rogério!$A106,[1]rogério!$B106=Q$4),"ok","nok")</f>
        <v>nok</v>
      </c>
      <c r="R105" s="60" t="str">
        <f>IF(AND($B105=[1]rogério!$A106,[1]rogério!$B106=R$4),"ok","nok")</f>
        <v>nok</v>
      </c>
      <c r="S105" s="60" t="str">
        <f>IF(AND($B105=[1]rogério!$A106,[1]rogério!$B106=S$4),"ok","nok")</f>
        <v>nok</v>
      </c>
      <c r="T105" s="60" t="str">
        <f>IF(AND($B105=[1]rogério!$A106,[1]rogério!$B106=T$4),"ok","nok")</f>
        <v>nok</v>
      </c>
      <c r="U105" s="60" t="str">
        <f>IF(AND($B105=[1]rogério!$A106,[1]rogério!$B106=U$4),"ok","nok")</f>
        <v>nok</v>
      </c>
      <c r="V105" s="60" t="str">
        <f>IF(AND($B105=[1]rogério!$A106,[1]rogério!$B106=V$4),"ok","nok")</f>
        <v>nok</v>
      </c>
      <c r="W105" s="60" t="str">
        <f>IF(AND($B105=[1]rogério!$A106,[1]rogério!$B106=W$4),"ok","nok")</f>
        <v>nok</v>
      </c>
      <c r="X105" s="60" t="str">
        <f>IF(AND($B105=[1]rogério!$A106,[1]rogério!$B106=X$4),"ok","nok")</f>
        <v>nok</v>
      </c>
      <c r="Y105" s="105" t="s">
        <v>33</v>
      </c>
      <c r="Z105" s="106"/>
      <c r="AA105" s="106"/>
      <c r="AB105" s="107"/>
      <c r="AC105" s="40"/>
      <c r="AD105" s="40"/>
      <c r="AE105" s="48" t="str">
        <f t="shared" si="29"/>
        <v/>
      </c>
      <c r="AF105" s="48"/>
      <c r="AG105" s="48"/>
      <c r="AH105" s="89"/>
      <c r="AI105" s="49">
        <f t="shared" si="30"/>
        <v>0</v>
      </c>
      <c r="AJ105" s="49" t="str">
        <f t="shared" si="31"/>
        <v/>
      </c>
      <c r="AK105" s="49">
        <f t="shared" si="32"/>
        <v>1</v>
      </c>
      <c r="AL105" s="49" t="str">
        <f t="shared" si="33"/>
        <v>EFPRAZO</v>
      </c>
      <c r="AM105" s="49">
        <f t="shared" si="34"/>
        <v>0</v>
      </c>
      <c r="AN105" s="49" t="str">
        <f t="shared" si="35"/>
        <v/>
      </c>
      <c r="AO105" s="49">
        <f t="shared" si="36"/>
        <v>0</v>
      </c>
      <c r="AP105" s="49" t="str">
        <f t="shared" si="37"/>
        <v/>
      </c>
      <c r="AQ105" s="49">
        <f t="shared" si="38"/>
        <v>0</v>
      </c>
      <c r="AR105" s="49" t="str">
        <f t="shared" si="39"/>
        <v/>
      </c>
      <c r="AV105" s="57"/>
      <c r="BF105" s="52"/>
    </row>
    <row r="106" spans="1:58" ht="30" customHeight="1" x14ac:dyDescent="0.35">
      <c r="A106" s="25" t="str">
        <f t="shared" si="41"/>
        <v>PT177 - PLATAFORMA DE ACESSO - FORQUILHA 1 - BÁSICO
TORRE B1
CIVIL</v>
      </c>
      <c r="B106" s="38" t="s">
        <v>66</v>
      </c>
      <c r="C106" s="60" t="str">
        <f>IF(AND($B106=[1]rogério!$A107,[1]rogério!$B107=C$4),"ok","nok")</f>
        <v>nok</v>
      </c>
      <c r="D106" s="60" t="str">
        <f>IF(AND($B106=[1]rogério!$A107,[1]rogério!$B107=D$4),"ok","nok")</f>
        <v>nok</v>
      </c>
      <c r="E106" s="60" t="str">
        <f>IF(AND($B106=[1]rogério!$A107,[1]rogério!$B107=E$4),"ok","nok")</f>
        <v>nok</v>
      </c>
      <c r="F106" s="60" t="str">
        <f>IF(AND($B106=[1]rogério!$A107,[1]rogério!$B107=F$4),"ok","nok")</f>
        <v>nok</v>
      </c>
      <c r="G106" s="60" t="str">
        <f>IF(AND($B106=[1]rogério!$A107,[1]rogério!$B107=G$4),"ok","nok")</f>
        <v>nok</v>
      </c>
      <c r="H106" s="60" t="str">
        <f>IF(AND($B106=[1]rogério!$A107,[1]rogério!$B107=H$4),"ok","nok")</f>
        <v>nok</v>
      </c>
      <c r="I106" s="60" t="str">
        <f>IF(AND($B106=[1]rogério!$A107,[1]rogério!$B107=I$4),"ok","nok")</f>
        <v>nok</v>
      </c>
      <c r="J106" s="60" t="str">
        <f>IF(AND($B106=[1]rogério!$A107,[1]rogério!$B107=J$4),"ok","nok")</f>
        <v>nok</v>
      </c>
      <c r="K106" s="60" t="str">
        <f>IF(AND($B106=[1]rogério!$A107,[1]rogério!$B107=K$4),"ok","nok")</f>
        <v>nok</v>
      </c>
      <c r="L106" s="60" t="str">
        <f>IF(AND($B106=[1]rogério!$A107,[1]rogério!$B107=L$4),"ok","nok")</f>
        <v>nok</v>
      </c>
      <c r="M106" s="60" t="str">
        <f>IF(AND($B106=[1]rogério!$A107,[1]rogério!$B107=M$4),"ok","nok")</f>
        <v>ok</v>
      </c>
      <c r="N106" s="60" t="str">
        <f>IF(AND($B106=[1]rogério!$A107,[1]rogério!$B107=N$4),"ok","nok")</f>
        <v>nok</v>
      </c>
      <c r="O106" s="60" t="str">
        <f>IF(AND($B106=[1]rogério!$A107,[1]rogério!$B107=O$4),"ok","nok")</f>
        <v>nok</v>
      </c>
      <c r="P106" s="60" t="str">
        <f>IF(AND($B106=[1]rogério!$A107,[1]rogério!$B107=P$4),"ok","nok")</f>
        <v>nok</v>
      </c>
      <c r="Q106" s="60" t="str">
        <f>IF(AND($B106=[1]rogério!$A107,[1]rogério!$B107=Q$4),"ok","nok")</f>
        <v>nok</v>
      </c>
      <c r="R106" s="60" t="str">
        <f>IF(AND($B106=[1]rogério!$A107,[1]rogério!$B107=R$4),"ok","nok")</f>
        <v>nok</v>
      </c>
      <c r="S106" s="60" t="str">
        <f>IF(AND($B106=[1]rogério!$A107,[1]rogério!$B107=S$4),"ok","nok")</f>
        <v>nok</v>
      </c>
      <c r="T106" s="60" t="str">
        <f>IF(AND($B106=[1]rogério!$A107,[1]rogério!$B107=T$4),"ok","nok")</f>
        <v>nok</v>
      </c>
      <c r="U106" s="60" t="str">
        <f>IF(AND($B106=[1]rogério!$A107,[1]rogério!$B107=U$4),"ok","nok")</f>
        <v>nok</v>
      </c>
      <c r="V106" s="60" t="str">
        <f>IF(AND($B106=[1]rogério!$A107,[1]rogério!$B107=V$4),"ok","nok")</f>
        <v>nok</v>
      </c>
      <c r="W106" s="60" t="str">
        <f>IF(AND($B106=[1]rogério!$A107,[1]rogério!$B107=W$4),"ok","nok")</f>
        <v>nok</v>
      </c>
      <c r="X106" s="60" t="str">
        <f>IF(AND($B106=[1]rogério!$A107,[1]rogério!$B107=X$4),"ok","nok")</f>
        <v>nok</v>
      </c>
      <c r="Y106" s="105" t="s">
        <v>33</v>
      </c>
      <c r="Z106" s="106"/>
      <c r="AA106" s="106"/>
      <c r="AB106" s="107"/>
      <c r="AC106" s="40"/>
      <c r="AD106" s="40"/>
      <c r="AE106" s="48" t="str">
        <f t="shared" si="29"/>
        <v/>
      </c>
      <c r="AF106" s="48"/>
      <c r="AG106" s="48"/>
      <c r="AH106" s="89"/>
      <c r="AI106" s="49">
        <f t="shared" si="30"/>
        <v>0</v>
      </c>
      <c r="AJ106" s="49" t="str">
        <f t="shared" si="31"/>
        <v/>
      </c>
      <c r="AK106" s="49">
        <f t="shared" si="32"/>
        <v>0</v>
      </c>
      <c r="AL106" s="49" t="str">
        <f t="shared" si="33"/>
        <v/>
      </c>
      <c r="AM106" s="49">
        <f t="shared" si="34"/>
        <v>1</v>
      </c>
      <c r="AN106" s="49" t="str">
        <f t="shared" si="35"/>
        <v>EFPRAZO</v>
      </c>
      <c r="AO106" s="49">
        <f t="shared" si="36"/>
        <v>0</v>
      </c>
      <c r="AP106" s="49" t="str">
        <f t="shared" si="37"/>
        <v/>
      </c>
      <c r="AQ106" s="49">
        <f t="shared" si="38"/>
        <v>0</v>
      </c>
      <c r="AR106" s="49" t="str">
        <f t="shared" si="39"/>
        <v/>
      </c>
      <c r="AV106" s="57"/>
      <c r="BF106" s="52"/>
    </row>
    <row r="107" spans="1:58" ht="30" customHeight="1" x14ac:dyDescent="0.35">
      <c r="A107" s="25"/>
      <c r="B107" s="39" t="s">
        <v>67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108"/>
      <c r="Z107" s="109"/>
      <c r="AA107" s="109"/>
      <c r="AB107" s="110"/>
      <c r="AC107" s="40"/>
      <c r="AD107" s="40"/>
      <c r="AE107" s="48" t="str">
        <f t="shared" si="29"/>
        <v/>
      </c>
      <c r="AF107" s="48"/>
      <c r="AG107" s="48"/>
      <c r="AH107" s="89"/>
      <c r="AI107" s="49">
        <f t="shared" si="30"/>
        <v>0</v>
      </c>
      <c r="AJ107" s="49" t="str">
        <f t="shared" si="31"/>
        <v/>
      </c>
      <c r="AK107" s="49">
        <f t="shared" si="32"/>
        <v>0</v>
      </c>
      <c r="AL107" s="49" t="str">
        <f t="shared" si="33"/>
        <v/>
      </c>
      <c r="AM107" s="49">
        <f t="shared" si="34"/>
        <v>0</v>
      </c>
      <c r="AN107" s="49" t="str">
        <f t="shared" si="35"/>
        <v/>
      </c>
      <c r="AO107" s="49">
        <f t="shared" si="36"/>
        <v>0</v>
      </c>
      <c r="AP107" s="49" t="str">
        <f t="shared" si="37"/>
        <v/>
      </c>
      <c r="AQ107" s="49">
        <f t="shared" si="38"/>
        <v>0</v>
      </c>
      <c r="AR107" s="49" t="str">
        <f t="shared" si="39"/>
        <v/>
      </c>
      <c r="AV107" s="57"/>
      <c r="BF107" s="52"/>
    </row>
    <row r="108" spans="1:58" ht="30" customHeight="1" x14ac:dyDescent="0.35">
      <c r="A108" s="25" t="str">
        <f t="shared" ref="A108:A118" si="42">CONCATENATE($B$82,"
",$B$84,"
",$B$98)</f>
        <v>PT177 - PLATAFORMA DE ACESSO - FORQUILHA 1 - BÁSICO
TORRE B1
CIVIL</v>
      </c>
      <c r="B108" s="40" t="s">
        <v>49</v>
      </c>
      <c r="C108" s="60" t="str">
        <f>IF(AND($B108=[1]rogério!$A109,[1]rogério!$B109=C$4),"ok","nok")</f>
        <v>nok</v>
      </c>
      <c r="D108" s="60" t="str">
        <f>IF(AND($B108=[1]rogério!$A109,[1]rogério!$B109=D$4),"ok","nok")</f>
        <v>nok</v>
      </c>
      <c r="E108" s="60" t="str">
        <f>IF(AND($B108=[1]rogério!$A109,[1]rogério!$B109=E$4),"ok","nok")</f>
        <v>nok</v>
      </c>
      <c r="F108" s="60" t="str">
        <f>IF(AND($B108=[1]rogério!$A109,[1]rogério!$B109=F$4),"ok","nok")</f>
        <v>nok</v>
      </c>
      <c r="G108" s="60" t="str">
        <f>IF(AND($B108=[1]rogério!$A109,[1]rogério!$B109=G$4),"ok","nok")</f>
        <v>nok</v>
      </c>
      <c r="H108" s="60" t="str">
        <f>IF(AND($B108=[1]rogério!$A109,[1]rogério!$B109=H$4),"ok","nok")</f>
        <v>nok</v>
      </c>
      <c r="I108" s="60" t="str">
        <f>IF(AND($B108=[1]rogério!$A109,[1]rogério!$B109=I$4),"ok","nok")</f>
        <v>nok</v>
      </c>
      <c r="J108" s="60" t="str">
        <f>IF(AND($B108=[1]rogério!$A109,[1]rogério!$B109=J$4),"ok","nok")</f>
        <v>nok</v>
      </c>
      <c r="K108" s="60" t="str">
        <f>IF(AND($B108=[1]rogério!$A109,[1]rogério!$B109=K$4),"ok","nok")</f>
        <v>nok</v>
      </c>
      <c r="L108" s="60" t="str">
        <f>IF(AND($B108=[1]rogério!$A109,[1]rogério!$B109=L$4),"ok","nok")</f>
        <v>nok</v>
      </c>
      <c r="M108" s="60" t="str">
        <f>IF(AND($B108=[1]rogério!$A109,[1]rogério!$B109=M$4),"ok","nok")</f>
        <v>ok</v>
      </c>
      <c r="N108" s="60" t="str">
        <f>IF(AND($B108=[1]rogério!$A109,[1]rogério!$B109=N$4),"ok","nok")</f>
        <v>nok</v>
      </c>
      <c r="O108" s="60" t="str">
        <f>IF(AND($B108=[1]rogério!$A109,[1]rogério!$B109=O$4),"ok","nok")</f>
        <v>nok</v>
      </c>
      <c r="P108" s="60" t="str">
        <f>IF(AND($B108=[1]rogério!$A109,[1]rogério!$B109=P$4),"ok","nok")</f>
        <v>nok</v>
      </c>
      <c r="Q108" s="60" t="str">
        <f>IF(AND($B108=[1]rogério!$A109,[1]rogério!$B109=Q$4),"ok","nok")</f>
        <v>nok</v>
      </c>
      <c r="R108" s="60" t="str">
        <f>IF(AND($B108=[1]rogério!$A109,[1]rogério!$B109=R$4),"ok","nok")</f>
        <v>nok</v>
      </c>
      <c r="S108" s="60" t="str">
        <f>IF(AND($B108=[1]rogério!$A109,[1]rogério!$B109=S$4),"ok","nok")</f>
        <v>nok</v>
      </c>
      <c r="T108" s="60" t="str">
        <f>IF(AND($B108=[1]rogério!$A109,[1]rogério!$B109=T$4),"ok","nok")</f>
        <v>nok</v>
      </c>
      <c r="U108" s="60" t="str">
        <f>IF(AND($B108=[1]rogério!$A109,[1]rogério!$B109=U$4),"ok","nok")</f>
        <v>nok</v>
      </c>
      <c r="V108" s="60" t="str">
        <f>IF(AND($B108=[1]rogério!$A109,[1]rogério!$B109=V$4),"ok","nok")</f>
        <v>nok</v>
      </c>
      <c r="W108" s="60" t="str">
        <f>IF(AND($B108=[1]rogério!$A109,[1]rogério!$B109=W$4),"ok","nok")</f>
        <v>nok</v>
      </c>
      <c r="X108" s="60" t="str">
        <f>IF(AND($B108=[1]rogério!$A109,[1]rogério!$B109=X$4),"ok","nok")</f>
        <v>nok</v>
      </c>
      <c r="Y108" s="105" t="s">
        <v>33</v>
      </c>
      <c r="Z108" s="106"/>
      <c r="AA108" s="106"/>
      <c r="AB108" s="107"/>
      <c r="AC108" s="40"/>
      <c r="AD108" s="40"/>
      <c r="AE108" s="48" t="str">
        <f t="shared" si="29"/>
        <v/>
      </c>
      <c r="AF108" s="48"/>
      <c r="AG108" s="48"/>
      <c r="AH108" s="89"/>
      <c r="AI108" s="49">
        <f t="shared" si="30"/>
        <v>0</v>
      </c>
      <c r="AJ108" s="49" t="str">
        <f t="shared" si="31"/>
        <v/>
      </c>
      <c r="AK108" s="49">
        <f t="shared" si="32"/>
        <v>0</v>
      </c>
      <c r="AL108" s="49" t="str">
        <f t="shared" si="33"/>
        <v/>
      </c>
      <c r="AM108" s="49">
        <f t="shared" si="34"/>
        <v>1</v>
      </c>
      <c r="AN108" s="49" t="str">
        <f t="shared" si="35"/>
        <v>EFPRAZO</v>
      </c>
      <c r="AO108" s="49">
        <f t="shared" si="36"/>
        <v>0</v>
      </c>
      <c r="AP108" s="49" t="str">
        <f t="shared" si="37"/>
        <v/>
      </c>
      <c r="AQ108" s="49">
        <f t="shared" si="38"/>
        <v>0</v>
      </c>
      <c r="AR108" s="49" t="str">
        <f t="shared" si="39"/>
        <v/>
      </c>
      <c r="AV108" s="57"/>
      <c r="BF108" s="52"/>
    </row>
    <row r="109" spans="1:58" ht="30" customHeight="1" x14ac:dyDescent="0.35">
      <c r="A109" s="25" t="str">
        <f t="shared" si="42"/>
        <v>PT177 - PLATAFORMA DE ACESSO - FORQUILHA 1 - BÁSICO
TORRE B1
CIVIL</v>
      </c>
      <c r="B109" s="40" t="s">
        <v>19</v>
      </c>
      <c r="C109" s="60" t="str">
        <f>IF(AND($B109=[1]rogério!$A110,[1]rogério!$B110=C$4),"ok","nok")</f>
        <v>nok</v>
      </c>
      <c r="D109" s="60" t="str">
        <f>IF(AND($B109=[1]rogério!$A110,[1]rogério!$B110=D$4),"ok","nok")</f>
        <v>nok</v>
      </c>
      <c r="E109" s="60" t="str">
        <f>IF(AND($B109=[1]rogério!$A110,[1]rogério!$B110=E$4),"ok","nok")</f>
        <v>nok</v>
      </c>
      <c r="F109" s="60" t="str">
        <f>IF(AND($B109=[1]rogério!$A110,[1]rogério!$B110=F$4),"ok","nok")</f>
        <v>nok</v>
      </c>
      <c r="G109" s="60" t="str">
        <f>IF(AND($B109=[1]rogério!$A110,[1]rogério!$B110=G$4),"ok","nok")</f>
        <v>nok</v>
      </c>
      <c r="H109" s="60" t="str">
        <f>IF(AND($B109=[1]rogério!$A110,[1]rogério!$B110=H$4),"ok","nok")</f>
        <v>nok</v>
      </c>
      <c r="I109" s="60" t="str">
        <f>IF(AND($B109=[1]rogério!$A110,[1]rogério!$B110=I$4),"ok","nok")</f>
        <v>nok</v>
      </c>
      <c r="J109" s="60" t="str">
        <f>IF(AND($B109=[1]rogério!$A110,[1]rogério!$B110=J$4),"ok","nok")</f>
        <v>nok</v>
      </c>
      <c r="K109" s="60" t="str">
        <f>IF(AND($B109=[1]rogério!$A110,[1]rogério!$B110=K$4),"ok","nok")</f>
        <v>nok</v>
      </c>
      <c r="L109" s="60" t="str">
        <f>IF(AND($B109=[1]rogério!$A110,[1]rogério!$B110=L$4),"ok","nok")</f>
        <v>nok</v>
      </c>
      <c r="M109" s="60" t="str">
        <f>IF(AND($B109=[1]rogério!$A110,[1]rogério!$B110=M$4),"ok","nok")</f>
        <v>nok</v>
      </c>
      <c r="N109" s="60" t="str">
        <f>IF(AND($B109=[1]rogério!$A110,[1]rogério!$B110=N$4),"ok","nok")</f>
        <v>nok</v>
      </c>
      <c r="O109" s="60" t="str">
        <f>IF(AND($B109=[1]rogério!$A110,[1]rogério!$B110=O$4),"ok","nok")</f>
        <v>nok</v>
      </c>
      <c r="P109" s="60" t="str">
        <f>IF(AND($B109=[1]rogério!$A110,[1]rogério!$B110=P$4),"ok","nok")</f>
        <v>nok</v>
      </c>
      <c r="Q109" s="60" t="str">
        <f>IF(AND($B109=[1]rogério!$A110,[1]rogério!$B110=Q$4),"ok","nok")</f>
        <v>nok</v>
      </c>
      <c r="R109" s="60" t="str">
        <f>IF(AND($B109=[1]rogério!$A110,[1]rogério!$B110=R$4),"ok","nok")</f>
        <v>nok</v>
      </c>
      <c r="S109" s="60" t="str">
        <f>IF(AND($B109=[1]rogério!$A110,[1]rogério!$B110=S$4),"ok","nok")</f>
        <v>nok</v>
      </c>
      <c r="T109" s="60" t="str">
        <f>IF(AND($B109=[1]rogério!$A110,[1]rogério!$B110=T$4),"ok","nok")</f>
        <v>nok</v>
      </c>
      <c r="U109" s="60" t="str">
        <f>IF(AND($B109=[1]rogério!$A110,[1]rogério!$B110=U$4),"ok","nok")</f>
        <v>nok</v>
      </c>
      <c r="V109" s="60" t="str">
        <f>IF(AND($B109=[1]rogério!$A110,[1]rogério!$B110=V$4),"ok","nok")</f>
        <v>nok</v>
      </c>
      <c r="W109" s="60" t="str">
        <f>IF(AND($B109=[1]rogério!$A110,[1]rogério!$B110=W$4),"ok","nok")</f>
        <v>ok</v>
      </c>
      <c r="X109" s="60" t="str">
        <f>IF(AND($B109=[1]rogério!$A110,[1]rogério!$B110=X$4),"ok","nok")</f>
        <v>nok</v>
      </c>
      <c r="Y109" s="105" t="s">
        <v>15</v>
      </c>
      <c r="Z109" s="106"/>
      <c r="AA109" s="106"/>
      <c r="AB109" s="107"/>
      <c r="AC109" s="40"/>
      <c r="AD109" s="40"/>
      <c r="AE109" s="48" t="str">
        <f t="shared" si="29"/>
        <v/>
      </c>
      <c r="AF109" s="48"/>
      <c r="AG109" s="48"/>
      <c r="AH109" s="89"/>
      <c r="AI109" s="49">
        <f t="shared" si="30"/>
        <v>0</v>
      </c>
      <c r="AJ109" s="49" t="str">
        <f t="shared" si="31"/>
        <v/>
      </c>
      <c r="AK109" s="49">
        <f t="shared" si="32"/>
        <v>0</v>
      </c>
      <c r="AL109" s="49" t="str">
        <f t="shared" si="33"/>
        <v/>
      </c>
      <c r="AM109" s="49">
        <f t="shared" si="34"/>
        <v>0</v>
      </c>
      <c r="AN109" s="49" t="str">
        <f t="shared" si="35"/>
        <v/>
      </c>
      <c r="AO109" s="49">
        <f t="shared" si="36"/>
        <v>0</v>
      </c>
      <c r="AP109" s="49" t="str">
        <f t="shared" si="37"/>
        <v/>
      </c>
      <c r="AQ109" s="49">
        <f t="shared" si="38"/>
        <v>1</v>
      </c>
      <c r="AR109" s="49" t="str">
        <f t="shared" si="39"/>
        <v/>
      </c>
      <c r="AV109" s="57"/>
      <c r="BF109" s="52"/>
    </row>
    <row r="110" spans="1:58" ht="30" customHeight="1" x14ac:dyDescent="0.35">
      <c r="A110" s="25" t="str">
        <f t="shared" si="42"/>
        <v>PT177 - PLATAFORMA DE ACESSO - FORQUILHA 1 - BÁSICO
TORRE B1
CIVIL</v>
      </c>
      <c r="B110" s="40" t="s">
        <v>42</v>
      </c>
      <c r="C110" s="60" t="str">
        <f>IF(AND($B110=[1]rogério!$A111,[1]rogério!$B111=C$4),"ok","nok")</f>
        <v>nok</v>
      </c>
      <c r="D110" s="60" t="str">
        <f>IF(AND($B110=[1]rogério!$A111,[1]rogério!$B111=D$4),"ok","nok")</f>
        <v>nok</v>
      </c>
      <c r="E110" s="60" t="str">
        <f>IF(AND($B110=[1]rogério!$A111,[1]rogério!$B111=E$4),"ok","nok")</f>
        <v>nok</v>
      </c>
      <c r="F110" s="60" t="str">
        <f>IF(AND($B110=[1]rogério!$A111,[1]rogério!$B111=F$4),"ok","nok")</f>
        <v>nok</v>
      </c>
      <c r="G110" s="60" t="str">
        <f>IF(AND($B110=[1]rogério!$A111,[1]rogério!$B111=G$4),"ok","nok")</f>
        <v>nok</v>
      </c>
      <c r="H110" s="60" t="str">
        <f>IF(AND($B110=[1]rogério!$A111,[1]rogério!$B111=H$4),"ok","nok")</f>
        <v>nok</v>
      </c>
      <c r="I110" s="60" t="str">
        <f>IF(AND($B110=[1]rogério!$A111,[1]rogério!$B111=I$4),"ok","nok")</f>
        <v>nok</v>
      </c>
      <c r="J110" s="60" t="str">
        <f>IF(AND($B110=[1]rogério!$A111,[1]rogério!$B111=J$4),"ok","nok")</f>
        <v>nok</v>
      </c>
      <c r="K110" s="60" t="str">
        <f>IF(AND($B110=[1]rogério!$A111,[1]rogério!$B111=K$4),"ok","nok")</f>
        <v>nok</v>
      </c>
      <c r="L110" s="60" t="str">
        <f>IF(AND($B110=[1]rogério!$A111,[1]rogério!$B111=L$4),"ok","nok")</f>
        <v>nok</v>
      </c>
      <c r="M110" s="60" t="str">
        <f>IF(AND($B110=[1]rogério!$A111,[1]rogério!$B111=M$4),"ok","nok")</f>
        <v>nok</v>
      </c>
      <c r="N110" s="60" t="str">
        <f>IF(AND($B110=[1]rogério!$A111,[1]rogério!$B111=N$4),"ok","nok")</f>
        <v>nok</v>
      </c>
      <c r="O110" s="60" t="str">
        <f>IF(AND($B110=[1]rogério!$A111,[1]rogério!$B111=O$4),"ok","nok")</f>
        <v>nok</v>
      </c>
      <c r="P110" s="60" t="str">
        <f>IF(AND($B110=[1]rogério!$A111,[1]rogério!$B111=P$4),"ok","nok")</f>
        <v>nok</v>
      </c>
      <c r="Q110" s="60" t="str">
        <f>IF(AND($B110=[1]rogério!$A111,[1]rogério!$B111=Q$4),"ok","nok")</f>
        <v>nok</v>
      </c>
      <c r="R110" s="60" t="str">
        <f>IF(AND($B110=[1]rogério!$A111,[1]rogério!$B111=R$4),"ok","nok")</f>
        <v>nok</v>
      </c>
      <c r="S110" s="60" t="str">
        <f>IF(AND($B110=[1]rogério!$A111,[1]rogério!$B111=S$4),"ok","nok")</f>
        <v>nok</v>
      </c>
      <c r="T110" s="60" t="str">
        <f>IF(AND($B110=[1]rogério!$A111,[1]rogério!$B111=T$4),"ok","nok")</f>
        <v>nok</v>
      </c>
      <c r="U110" s="60" t="str">
        <f>IF(AND($B110=[1]rogério!$A111,[1]rogério!$B111=U$4),"ok","nok")</f>
        <v>nok</v>
      </c>
      <c r="V110" s="60" t="str">
        <f>IF(AND($B110=[1]rogério!$A111,[1]rogério!$B111=V$4),"ok","nok")</f>
        <v>nok</v>
      </c>
      <c r="W110" s="60" t="str">
        <f>IF(AND($B110=[1]rogério!$A111,[1]rogério!$B111=W$4),"ok","nok")</f>
        <v>nok</v>
      </c>
      <c r="X110" s="60" t="str">
        <f>IF(AND($B110=[1]rogério!$A111,[1]rogério!$B111=X$4),"ok","nok")</f>
        <v>ok</v>
      </c>
      <c r="Y110" s="105" t="s">
        <v>15</v>
      </c>
      <c r="Z110" s="106"/>
      <c r="AA110" s="106"/>
      <c r="AB110" s="107"/>
      <c r="AC110" s="40"/>
      <c r="AD110" s="40"/>
      <c r="AE110" s="48" t="str">
        <f t="shared" si="29"/>
        <v/>
      </c>
      <c r="AF110" s="48"/>
      <c r="AG110" s="48"/>
      <c r="AH110" s="89"/>
      <c r="AI110" s="49">
        <f t="shared" si="30"/>
        <v>0</v>
      </c>
      <c r="AJ110" s="49" t="str">
        <f t="shared" si="31"/>
        <v/>
      </c>
      <c r="AK110" s="49">
        <f t="shared" si="32"/>
        <v>0</v>
      </c>
      <c r="AL110" s="49" t="str">
        <f t="shared" si="33"/>
        <v/>
      </c>
      <c r="AM110" s="49">
        <f t="shared" si="34"/>
        <v>0</v>
      </c>
      <c r="AN110" s="49" t="str">
        <f t="shared" si="35"/>
        <v/>
      </c>
      <c r="AO110" s="49">
        <f t="shared" si="36"/>
        <v>0</v>
      </c>
      <c r="AP110" s="49" t="str">
        <f t="shared" si="37"/>
        <v/>
      </c>
      <c r="AQ110" s="49">
        <f t="shared" si="38"/>
        <v>1</v>
      </c>
      <c r="AR110" s="49" t="str">
        <f t="shared" si="39"/>
        <v/>
      </c>
      <c r="AV110" s="57"/>
      <c r="BF110" s="52"/>
    </row>
    <row r="111" spans="1:58" ht="30" customHeight="1" x14ac:dyDescent="0.35">
      <c r="A111" s="25" t="str">
        <f t="shared" si="42"/>
        <v>PT177 - PLATAFORMA DE ACESSO - FORQUILHA 1 - BÁSICO
TORRE B1
CIVIL</v>
      </c>
      <c r="B111" s="40" t="s">
        <v>43</v>
      </c>
      <c r="C111" s="60" t="str">
        <f>IF(AND($B111=[1]rogério!$A112,[1]rogério!$B112=C$4),"ok","nok")</f>
        <v>nok</v>
      </c>
      <c r="D111" s="60" t="str">
        <f>IF(AND($B111=[1]rogério!$A112,[1]rogério!$B112=D$4),"ok","nok")</f>
        <v>nok</v>
      </c>
      <c r="E111" s="60" t="str">
        <f>IF(AND($B111=[1]rogério!$A112,[1]rogério!$B112=E$4),"ok","nok")</f>
        <v>nok</v>
      </c>
      <c r="F111" s="60" t="str">
        <f>IF(AND($B111=[1]rogério!$A112,[1]rogério!$B112=F$4),"ok","nok")</f>
        <v>nok</v>
      </c>
      <c r="G111" s="60" t="str">
        <f>IF(AND($B111=[1]rogério!$A112,[1]rogério!$B112=G$4),"ok","nok")</f>
        <v>nok</v>
      </c>
      <c r="H111" s="60" t="str">
        <f>IF(AND($B111=[1]rogério!$A112,[1]rogério!$B112=H$4),"ok","nok")</f>
        <v>nok</v>
      </c>
      <c r="I111" s="60" t="str">
        <f>IF(AND($B111=[1]rogério!$A112,[1]rogério!$B112=I$4),"ok","nok")</f>
        <v>nok</v>
      </c>
      <c r="J111" s="60" t="str">
        <f>IF(AND($B111=[1]rogério!$A112,[1]rogério!$B112=J$4),"ok","nok")</f>
        <v>nok</v>
      </c>
      <c r="K111" s="60" t="str">
        <f>IF(AND($B111=[1]rogério!$A112,[1]rogério!$B112=K$4),"ok","nok")</f>
        <v>nok</v>
      </c>
      <c r="L111" s="60" t="str">
        <f>IF(AND($B111=[1]rogério!$A112,[1]rogério!$B112=L$4),"ok","nok")</f>
        <v>nok</v>
      </c>
      <c r="M111" s="60" t="str">
        <f>IF(AND($B111=[1]rogério!$A112,[1]rogério!$B112=M$4),"ok","nok")</f>
        <v>nok</v>
      </c>
      <c r="N111" s="60" t="str">
        <f>IF(AND($B111=[1]rogério!$A112,[1]rogério!$B112=N$4),"ok","nok")</f>
        <v>nok</v>
      </c>
      <c r="O111" s="60" t="str">
        <f>IF(AND($B111=[1]rogério!$A112,[1]rogério!$B112=O$4),"ok","nok")</f>
        <v>nok</v>
      </c>
      <c r="P111" s="60" t="str">
        <f>IF(AND($B111=[1]rogério!$A112,[1]rogério!$B112=P$4),"ok","nok")</f>
        <v>nok</v>
      </c>
      <c r="Q111" s="60" t="str">
        <f>IF(AND($B111=[1]rogério!$A112,[1]rogério!$B112=Q$4),"ok","nok")</f>
        <v>nok</v>
      </c>
      <c r="R111" s="60" t="str">
        <f>IF(AND($B111=[1]rogério!$A112,[1]rogério!$B112=R$4),"ok","nok")</f>
        <v>nok</v>
      </c>
      <c r="S111" s="60" t="str">
        <f>IF(AND($B111=[1]rogério!$A112,[1]rogério!$B112=S$4),"ok","nok")</f>
        <v>nok</v>
      </c>
      <c r="T111" s="60" t="str">
        <f>IF(AND($B111=[1]rogério!$A112,[1]rogério!$B112=T$4),"ok","nok")</f>
        <v>nok</v>
      </c>
      <c r="U111" s="60" t="str">
        <f>IF(AND($B111=[1]rogério!$A112,[1]rogério!$B112=U$4),"ok","nok")</f>
        <v>nok</v>
      </c>
      <c r="V111" s="60" t="str">
        <f>IF(AND($B111=[1]rogério!$A112,[1]rogério!$B112=V$4),"ok","nok")</f>
        <v>nok</v>
      </c>
      <c r="W111" s="60" t="str">
        <f>IF(AND($B111=[1]rogério!$A112,[1]rogério!$B112=W$4),"ok","nok")</f>
        <v>nok</v>
      </c>
      <c r="X111" s="60" t="str">
        <f>IF(AND($B111=[1]rogério!$A112,[1]rogério!$B112=X$4),"ok","nok")</f>
        <v>ok</v>
      </c>
      <c r="Y111" s="105" t="s">
        <v>15</v>
      </c>
      <c r="Z111" s="106"/>
      <c r="AA111" s="106"/>
      <c r="AB111" s="107"/>
      <c r="AC111" s="40"/>
      <c r="AD111" s="40"/>
      <c r="AE111" s="48" t="str">
        <f t="shared" si="29"/>
        <v/>
      </c>
      <c r="AF111" s="48"/>
      <c r="AG111" s="48"/>
      <c r="AH111" s="89"/>
      <c r="AI111" s="49">
        <f t="shared" si="30"/>
        <v>0</v>
      </c>
      <c r="AJ111" s="49" t="str">
        <f t="shared" si="31"/>
        <v/>
      </c>
      <c r="AK111" s="49">
        <f t="shared" si="32"/>
        <v>0</v>
      </c>
      <c r="AL111" s="49" t="str">
        <f t="shared" si="33"/>
        <v/>
      </c>
      <c r="AM111" s="49">
        <f t="shared" si="34"/>
        <v>0</v>
      </c>
      <c r="AN111" s="49" t="str">
        <f t="shared" si="35"/>
        <v/>
      </c>
      <c r="AO111" s="49">
        <f t="shared" si="36"/>
        <v>0</v>
      </c>
      <c r="AP111" s="49" t="str">
        <f t="shared" si="37"/>
        <v/>
      </c>
      <c r="AQ111" s="49">
        <f t="shared" si="38"/>
        <v>1</v>
      </c>
      <c r="AR111" s="49" t="str">
        <f t="shared" si="39"/>
        <v/>
      </c>
      <c r="AV111" s="57"/>
      <c r="BF111" s="52"/>
    </row>
    <row r="112" spans="1:58" ht="30" customHeight="1" x14ac:dyDescent="0.35">
      <c r="A112" s="25" t="str">
        <f t="shared" si="42"/>
        <v>PT177 - PLATAFORMA DE ACESSO - FORQUILHA 1 - BÁSICO
TORRE B1
CIVIL</v>
      </c>
      <c r="B112" s="38" t="s">
        <v>74</v>
      </c>
      <c r="C112" s="60" t="str">
        <f>IF(AND($B112=[1]rogério!$A113,[1]rogério!$B113=C$4),"ok","nok")</f>
        <v>nok</v>
      </c>
      <c r="D112" s="60" t="str">
        <f>IF(AND($B112=[1]rogério!$A113,[1]rogério!$B113=D$4),"ok","nok")</f>
        <v>nok</v>
      </c>
      <c r="E112" s="60" t="str">
        <f>IF(AND($B112=[1]rogério!$A113,[1]rogério!$B113=E$4),"ok","nok")</f>
        <v>nok</v>
      </c>
      <c r="F112" s="60" t="str">
        <f>IF(AND($B112=[1]rogério!$A113,[1]rogério!$B113=F$4),"ok","nok")</f>
        <v>nok</v>
      </c>
      <c r="G112" s="60" t="str">
        <f>IF(AND($B112=[1]rogério!$A113,[1]rogério!$B113=G$4),"ok","nok")</f>
        <v>nok</v>
      </c>
      <c r="H112" s="60" t="str">
        <f>IF(AND($B112=[1]rogério!$A113,[1]rogério!$B113=H$4),"ok","nok")</f>
        <v>nok</v>
      </c>
      <c r="I112" s="60" t="str">
        <f>IF(AND($B112=[1]rogério!$A113,[1]rogério!$B113=I$4),"ok","nok")</f>
        <v>nok</v>
      </c>
      <c r="J112" s="60" t="str">
        <f>IF(AND($B112=[1]rogério!$A113,[1]rogério!$B113=J$4),"ok","nok")</f>
        <v>nok</v>
      </c>
      <c r="K112" s="60" t="str">
        <f>IF(AND($B112=[1]rogério!$A113,[1]rogério!$B113=K$4),"ok","nok")</f>
        <v>nok</v>
      </c>
      <c r="L112" s="60" t="str">
        <f>IF(AND($B112=[1]rogério!$A113,[1]rogério!$B113=L$4),"ok","nok")</f>
        <v>nok</v>
      </c>
      <c r="M112" s="60" t="str">
        <f>IF(AND($B112=[1]rogério!$A113,[1]rogério!$B113=M$4),"ok","nok")</f>
        <v>nok</v>
      </c>
      <c r="N112" s="60" t="str">
        <f>IF(AND($B112=[1]rogério!$A113,[1]rogério!$B113=N$4),"ok","nok")</f>
        <v>ok</v>
      </c>
      <c r="O112" s="60" t="str">
        <f>IF(AND($B112=[1]rogério!$A113,[1]rogério!$B113=O$4),"ok","nok")</f>
        <v>nok</v>
      </c>
      <c r="P112" s="60" t="str">
        <f>IF(AND($B112=[1]rogério!$A113,[1]rogério!$B113=P$4),"ok","nok")</f>
        <v>nok</v>
      </c>
      <c r="Q112" s="60" t="str">
        <f>IF(AND($B112=[1]rogério!$A113,[1]rogério!$B113=Q$4),"ok","nok")</f>
        <v>nok</v>
      </c>
      <c r="R112" s="60" t="str">
        <f>IF(AND($B112=[1]rogério!$A113,[1]rogério!$B113=R$4),"ok","nok")</f>
        <v>nok</v>
      </c>
      <c r="S112" s="60" t="str">
        <f>IF(AND($B112=[1]rogério!$A113,[1]rogério!$B113=S$4),"ok","nok")</f>
        <v>nok</v>
      </c>
      <c r="T112" s="60" t="str">
        <f>IF(AND($B112=[1]rogério!$A113,[1]rogério!$B113=T$4),"ok","nok")</f>
        <v>nok</v>
      </c>
      <c r="U112" s="60" t="str">
        <f>IF(AND($B112=[1]rogério!$A113,[1]rogério!$B113=U$4),"ok","nok")</f>
        <v>nok</v>
      </c>
      <c r="V112" s="60" t="str">
        <f>IF(AND($B112=[1]rogério!$A113,[1]rogério!$B113=V$4),"ok","nok")</f>
        <v>nok</v>
      </c>
      <c r="W112" s="60" t="str">
        <f>IF(AND($B112=[1]rogério!$A113,[1]rogério!$B113=W$4),"ok","nok")</f>
        <v>nok</v>
      </c>
      <c r="X112" s="60" t="str">
        <f>IF(AND($B112=[1]rogério!$A113,[1]rogério!$B113=X$4),"ok","nok")</f>
        <v>nok</v>
      </c>
      <c r="Y112" s="105" t="s">
        <v>33</v>
      </c>
      <c r="Z112" s="106"/>
      <c r="AA112" s="106"/>
      <c r="AB112" s="107"/>
      <c r="AC112" s="40"/>
      <c r="AD112" s="40"/>
      <c r="AE112" s="48" t="str">
        <f t="shared" si="29"/>
        <v/>
      </c>
      <c r="AF112" s="48"/>
      <c r="AG112" s="48"/>
      <c r="AH112" s="89"/>
      <c r="AI112" s="49">
        <f t="shared" si="30"/>
        <v>0</v>
      </c>
      <c r="AJ112" s="49" t="str">
        <f t="shared" si="31"/>
        <v/>
      </c>
      <c r="AK112" s="49">
        <f t="shared" si="32"/>
        <v>0</v>
      </c>
      <c r="AL112" s="49" t="str">
        <f t="shared" si="33"/>
        <v/>
      </c>
      <c r="AM112" s="49">
        <f t="shared" si="34"/>
        <v>1</v>
      </c>
      <c r="AN112" s="49" t="str">
        <f t="shared" si="35"/>
        <v>EFPRAZO</v>
      </c>
      <c r="AO112" s="49">
        <f t="shared" si="36"/>
        <v>0</v>
      </c>
      <c r="AP112" s="49" t="str">
        <f t="shared" si="37"/>
        <v/>
      </c>
      <c r="AQ112" s="49">
        <f t="shared" si="38"/>
        <v>0</v>
      </c>
      <c r="AR112" s="49" t="str">
        <f t="shared" si="39"/>
        <v/>
      </c>
      <c r="AV112" s="57"/>
      <c r="BF112" s="52"/>
    </row>
    <row r="113" spans="1:58" ht="30" customHeight="1" x14ac:dyDescent="0.35">
      <c r="A113" s="25" t="str">
        <f t="shared" si="42"/>
        <v>PT177 - PLATAFORMA DE ACESSO - FORQUILHA 1 - BÁSICO
TORRE B1
CIVIL</v>
      </c>
      <c r="B113" s="38" t="s">
        <v>75</v>
      </c>
      <c r="C113" s="60" t="str">
        <f>IF(AND($B113=[1]rogério!$A114,[1]rogério!$B114=C$4),"ok","nok")</f>
        <v>nok</v>
      </c>
      <c r="D113" s="60" t="str">
        <f>IF(AND($B113=[1]rogério!$A114,[1]rogério!$B114=D$4),"ok","nok")</f>
        <v>nok</v>
      </c>
      <c r="E113" s="60" t="str">
        <f>IF(AND($B113=[1]rogério!$A114,[1]rogério!$B114=E$4),"ok","nok")</f>
        <v>nok</v>
      </c>
      <c r="F113" s="60" t="str">
        <f>IF(AND($B113=[1]rogério!$A114,[1]rogério!$B114=F$4),"ok","nok")</f>
        <v>nok</v>
      </c>
      <c r="G113" s="60" t="str">
        <f>IF(AND($B113=[1]rogério!$A114,[1]rogério!$B114=G$4),"ok","nok")</f>
        <v>nok</v>
      </c>
      <c r="H113" s="60" t="str">
        <f>IF(AND($B113=[1]rogério!$A114,[1]rogério!$B114=H$4),"ok","nok")</f>
        <v>nok</v>
      </c>
      <c r="I113" s="60" t="str">
        <f>IF(AND($B113=[1]rogério!$A114,[1]rogério!$B114=I$4),"ok","nok")</f>
        <v>nok</v>
      </c>
      <c r="J113" s="60" t="str">
        <f>IF(AND($B113=[1]rogério!$A114,[1]rogério!$B114=J$4),"ok","nok")</f>
        <v>nok</v>
      </c>
      <c r="K113" s="60" t="str">
        <f>IF(AND($B113=[1]rogério!$A114,[1]rogério!$B114=K$4),"ok","nok")</f>
        <v>nok</v>
      </c>
      <c r="L113" s="60" t="str">
        <f>IF(AND($B113=[1]rogério!$A114,[1]rogério!$B114=L$4),"ok","nok")</f>
        <v>nok</v>
      </c>
      <c r="M113" s="60" t="str">
        <f>IF(AND($B113=[1]rogério!$A114,[1]rogério!$B114=M$4),"ok","nok")</f>
        <v>nok</v>
      </c>
      <c r="N113" s="60" t="str">
        <f>IF(AND($B113=[1]rogério!$A114,[1]rogério!$B114=N$4),"ok","nok")</f>
        <v>nok</v>
      </c>
      <c r="O113" s="60" t="str">
        <f>IF(AND($B113=[1]rogério!$A114,[1]rogério!$B114=O$4),"ok","nok")</f>
        <v>ok</v>
      </c>
      <c r="P113" s="60" t="str">
        <f>IF(AND($B113=[1]rogério!$A114,[1]rogério!$B114=P$4),"ok","nok")</f>
        <v>nok</v>
      </c>
      <c r="Q113" s="60" t="str">
        <f>IF(AND($B113=[1]rogério!$A114,[1]rogério!$B114=Q$4),"ok","nok")</f>
        <v>nok</v>
      </c>
      <c r="R113" s="60" t="str">
        <f>IF(AND($B113=[1]rogério!$A114,[1]rogério!$B114=R$4),"ok","nok")</f>
        <v>nok</v>
      </c>
      <c r="S113" s="60" t="str">
        <f>IF(AND($B113=[1]rogério!$A114,[1]rogério!$B114=S$4),"ok","nok")</f>
        <v>nok</v>
      </c>
      <c r="T113" s="60" t="str">
        <f>IF(AND($B113=[1]rogério!$A114,[1]rogério!$B114=T$4),"ok","nok")</f>
        <v>nok</v>
      </c>
      <c r="U113" s="60" t="str">
        <f>IF(AND($B113=[1]rogério!$A114,[1]rogério!$B114=U$4),"ok","nok")</f>
        <v>nok</v>
      </c>
      <c r="V113" s="60" t="str">
        <f>IF(AND($B113=[1]rogério!$A114,[1]rogério!$B114=V$4),"ok","nok")</f>
        <v>nok</v>
      </c>
      <c r="W113" s="60" t="str">
        <f>IF(AND($B113=[1]rogério!$A114,[1]rogério!$B114=W$4),"ok","nok")</f>
        <v>nok</v>
      </c>
      <c r="X113" s="60" t="str">
        <f>IF(AND($B113=[1]rogério!$A114,[1]rogério!$B114=X$4),"ok","nok")</f>
        <v>nok</v>
      </c>
      <c r="Y113" s="105" t="s">
        <v>33</v>
      </c>
      <c r="Z113" s="106"/>
      <c r="AA113" s="106"/>
      <c r="AB113" s="107"/>
      <c r="AC113" s="40"/>
      <c r="AD113" s="40"/>
      <c r="AE113" s="48" t="str">
        <f t="shared" si="29"/>
        <v/>
      </c>
      <c r="AF113" s="48"/>
      <c r="AG113" s="48"/>
      <c r="AH113" s="89"/>
      <c r="AI113" s="49">
        <f t="shared" si="30"/>
        <v>0</v>
      </c>
      <c r="AJ113" s="49" t="str">
        <f t="shared" si="31"/>
        <v/>
      </c>
      <c r="AK113" s="49">
        <f t="shared" si="32"/>
        <v>0</v>
      </c>
      <c r="AL113" s="49" t="str">
        <f t="shared" si="33"/>
        <v/>
      </c>
      <c r="AM113" s="49">
        <f t="shared" si="34"/>
        <v>1</v>
      </c>
      <c r="AN113" s="49" t="str">
        <f t="shared" si="35"/>
        <v>EFPRAZO</v>
      </c>
      <c r="AO113" s="49">
        <f t="shared" si="36"/>
        <v>0</v>
      </c>
      <c r="AP113" s="49" t="str">
        <f t="shared" si="37"/>
        <v/>
      </c>
      <c r="AQ113" s="49">
        <f t="shared" si="38"/>
        <v>0</v>
      </c>
      <c r="AR113" s="49" t="str">
        <f t="shared" si="39"/>
        <v/>
      </c>
      <c r="AV113" s="57"/>
      <c r="BF113" s="52"/>
    </row>
    <row r="114" spans="1:58" ht="30" customHeight="1" x14ac:dyDescent="0.35">
      <c r="A114" s="25"/>
      <c r="B114" s="39" t="s">
        <v>62</v>
      </c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108"/>
      <c r="Z114" s="109"/>
      <c r="AA114" s="109"/>
      <c r="AB114" s="110"/>
      <c r="AC114" s="40"/>
      <c r="AD114" s="40"/>
      <c r="AE114" s="48" t="str">
        <f t="shared" si="29"/>
        <v/>
      </c>
      <c r="AF114" s="48"/>
      <c r="AG114" s="48"/>
      <c r="AH114" s="89"/>
      <c r="AI114" s="49">
        <f t="shared" si="30"/>
        <v>0</v>
      </c>
      <c r="AJ114" s="49" t="str">
        <f t="shared" si="31"/>
        <v/>
      </c>
      <c r="AK114" s="49">
        <f t="shared" si="32"/>
        <v>0</v>
      </c>
      <c r="AL114" s="49" t="str">
        <f t="shared" si="33"/>
        <v/>
      </c>
      <c r="AM114" s="49">
        <f t="shared" si="34"/>
        <v>0</v>
      </c>
      <c r="AN114" s="49" t="str">
        <f t="shared" si="35"/>
        <v/>
      </c>
      <c r="AO114" s="49">
        <f t="shared" si="36"/>
        <v>0</v>
      </c>
      <c r="AP114" s="49" t="str">
        <f t="shared" si="37"/>
        <v/>
      </c>
      <c r="AQ114" s="49">
        <f t="shared" si="38"/>
        <v>0</v>
      </c>
      <c r="AR114" s="49" t="str">
        <f t="shared" si="39"/>
        <v/>
      </c>
      <c r="AV114" s="57"/>
      <c r="BF114" s="52"/>
    </row>
    <row r="115" spans="1:58" ht="30" customHeight="1" x14ac:dyDescent="0.35">
      <c r="A115" s="25" t="str">
        <f t="shared" si="42"/>
        <v>PT177 - PLATAFORMA DE ACESSO - FORQUILHA 1 - BÁSICO
TORRE B1
CIVIL</v>
      </c>
      <c r="B115" s="40" t="s">
        <v>49</v>
      </c>
      <c r="C115" s="60" t="str">
        <f>IF(AND($B115=[1]rogério!$A116,[1]rogério!$B116=C$4),"ok","nok")</f>
        <v>nok</v>
      </c>
      <c r="D115" s="60" t="str">
        <f>IF(AND($B115=[1]rogério!$A116,[1]rogério!$B116=D$4),"ok","nok")</f>
        <v>nok</v>
      </c>
      <c r="E115" s="60" t="str">
        <f>IF(AND($B115=[1]rogério!$A116,[1]rogério!$B116=E$4),"ok","nok")</f>
        <v>nok</v>
      </c>
      <c r="F115" s="60" t="str">
        <f>IF(AND($B115=[1]rogério!$A116,[1]rogério!$B116=F$4),"ok","nok")</f>
        <v>nok</v>
      </c>
      <c r="G115" s="60" t="str">
        <f>IF(AND($B115=[1]rogério!$A116,[1]rogério!$B116=G$4),"ok","nok")</f>
        <v>nok</v>
      </c>
      <c r="H115" s="60" t="str">
        <f>IF(AND($B115=[1]rogério!$A116,[1]rogério!$B116=H$4),"ok","nok")</f>
        <v>nok</v>
      </c>
      <c r="I115" s="60" t="str">
        <f>IF(AND($B115=[1]rogério!$A116,[1]rogério!$B116=I$4),"ok","nok")</f>
        <v>nok</v>
      </c>
      <c r="J115" s="60" t="str">
        <f>IF(AND($B115=[1]rogério!$A116,[1]rogério!$B116=J$4),"ok","nok")</f>
        <v>nok</v>
      </c>
      <c r="K115" s="60" t="str">
        <f>IF(AND($B115=[1]rogério!$A116,[1]rogério!$B116=K$4),"ok","nok")</f>
        <v>nok</v>
      </c>
      <c r="L115" s="60" t="str">
        <f>IF(AND($B115=[1]rogério!$A116,[1]rogério!$B116=L$4),"ok","nok")</f>
        <v>nok</v>
      </c>
      <c r="M115" s="60" t="str">
        <f>IF(AND($B115=[1]rogério!$A116,[1]rogério!$B116=M$4),"ok","nok")</f>
        <v>nok</v>
      </c>
      <c r="N115" s="60" t="str">
        <f>IF(AND($B115=[1]rogério!$A116,[1]rogério!$B116=N$4),"ok","nok")</f>
        <v>nok</v>
      </c>
      <c r="O115" s="60" t="str">
        <f>IF(AND($B115=[1]rogério!$A116,[1]rogério!$B116=O$4),"ok","nok")</f>
        <v>ok</v>
      </c>
      <c r="P115" s="60" t="str">
        <f>IF(AND($B115=[1]rogério!$A116,[1]rogério!$B116=P$4),"ok","nok")</f>
        <v>nok</v>
      </c>
      <c r="Q115" s="60" t="str">
        <f>IF(AND($B115=[1]rogério!$A116,[1]rogério!$B116=Q$4),"ok","nok")</f>
        <v>nok</v>
      </c>
      <c r="R115" s="60" t="str">
        <f>IF(AND($B115=[1]rogério!$A116,[1]rogério!$B116=R$4),"ok","nok")</f>
        <v>nok</v>
      </c>
      <c r="S115" s="60" t="str">
        <f>IF(AND($B115=[1]rogério!$A116,[1]rogério!$B116=S$4),"ok","nok")</f>
        <v>nok</v>
      </c>
      <c r="T115" s="60" t="str">
        <f>IF(AND($B115=[1]rogério!$A116,[1]rogério!$B116=T$4),"ok","nok")</f>
        <v>nok</v>
      </c>
      <c r="U115" s="60" t="str">
        <f>IF(AND($B115=[1]rogério!$A116,[1]rogério!$B116=U$4),"ok","nok")</f>
        <v>nok</v>
      </c>
      <c r="V115" s="60" t="str">
        <f>IF(AND($B115=[1]rogério!$A116,[1]rogério!$B116=V$4),"ok","nok")</f>
        <v>nok</v>
      </c>
      <c r="W115" s="60" t="str">
        <f>IF(AND($B115=[1]rogério!$A116,[1]rogério!$B116=W$4),"ok","nok")</f>
        <v>nok</v>
      </c>
      <c r="X115" s="60" t="str">
        <f>IF(AND($B115=[1]rogério!$A116,[1]rogério!$B116=X$4),"ok","nok")</f>
        <v>nok</v>
      </c>
      <c r="Y115" s="105" t="s">
        <v>33</v>
      </c>
      <c r="Z115" s="106"/>
      <c r="AA115" s="106"/>
      <c r="AB115" s="107"/>
      <c r="AC115" s="40"/>
      <c r="AD115" s="40"/>
      <c r="AE115" s="48" t="str">
        <f t="shared" si="29"/>
        <v/>
      </c>
      <c r="AF115" s="48"/>
      <c r="AG115" s="48"/>
      <c r="AH115" s="89"/>
      <c r="AI115" s="49">
        <f t="shared" si="30"/>
        <v>0</v>
      </c>
      <c r="AJ115" s="49" t="str">
        <f t="shared" si="31"/>
        <v/>
      </c>
      <c r="AK115" s="49">
        <f t="shared" si="32"/>
        <v>0</v>
      </c>
      <c r="AL115" s="49" t="str">
        <f t="shared" si="33"/>
        <v/>
      </c>
      <c r="AM115" s="49">
        <f t="shared" si="34"/>
        <v>1</v>
      </c>
      <c r="AN115" s="49" t="str">
        <f t="shared" si="35"/>
        <v>EFPRAZO</v>
      </c>
      <c r="AO115" s="49">
        <f t="shared" si="36"/>
        <v>0</v>
      </c>
      <c r="AP115" s="49" t="str">
        <f t="shared" si="37"/>
        <v/>
      </c>
      <c r="AQ115" s="49">
        <f t="shared" si="38"/>
        <v>0</v>
      </c>
      <c r="AR115" s="49" t="str">
        <f t="shared" si="39"/>
        <v/>
      </c>
      <c r="AV115" s="57"/>
      <c r="BF115" s="52"/>
    </row>
    <row r="116" spans="1:58" ht="30" customHeight="1" x14ac:dyDescent="0.35">
      <c r="A116" s="25" t="str">
        <f t="shared" si="42"/>
        <v>PT177 - PLATAFORMA DE ACESSO - FORQUILHA 1 - BÁSICO
TORRE B1
CIVIL</v>
      </c>
      <c r="B116" s="40" t="s">
        <v>19</v>
      </c>
      <c r="C116" s="60" t="str">
        <f>IF(AND($B116=[1]rogério!$A117,[1]rogério!$B117=C$4),"ok","nok")</f>
        <v>nok</v>
      </c>
      <c r="D116" s="60" t="str">
        <f>IF(AND($B116=[1]rogério!$A117,[1]rogério!$B117=D$4),"ok","nok")</f>
        <v>nok</v>
      </c>
      <c r="E116" s="60" t="str">
        <f>IF(AND($B116=[1]rogério!$A117,[1]rogério!$B117=E$4),"ok","nok")</f>
        <v>nok</v>
      </c>
      <c r="F116" s="60" t="str">
        <f>IF(AND($B116=[1]rogério!$A117,[1]rogério!$B117=F$4),"ok","nok")</f>
        <v>nok</v>
      </c>
      <c r="G116" s="60" t="str">
        <f>IF(AND($B116=[1]rogério!$A117,[1]rogério!$B117=G$4),"ok","nok")</f>
        <v>nok</v>
      </c>
      <c r="H116" s="60" t="str">
        <f>IF(AND($B116=[1]rogério!$A117,[1]rogério!$B117=H$4),"ok","nok")</f>
        <v>nok</v>
      </c>
      <c r="I116" s="60" t="str">
        <f>IF(AND($B116=[1]rogério!$A117,[1]rogério!$B117=I$4),"ok","nok")</f>
        <v>nok</v>
      </c>
      <c r="J116" s="60" t="str">
        <f>IF(AND($B116=[1]rogério!$A117,[1]rogério!$B117=J$4),"ok","nok")</f>
        <v>nok</v>
      </c>
      <c r="K116" s="60" t="str">
        <f>IF(AND($B116=[1]rogério!$A117,[1]rogério!$B117=K$4),"ok","nok")</f>
        <v>nok</v>
      </c>
      <c r="L116" s="60" t="str">
        <f>IF(AND($B116=[1]rogério!$A117,[1]rogério!$B117=L$4),"ok","nok")</f>
        <v>nok</v>
      </c>
      <c r="M116" s="60" t="str">
        <f>IF(AND($B116=[1]rogério!$A117,[1]rogério!$B117=M$4),"ok","nok")</f>
        <v>nok</v>
      </c>
      <c r="N116" s="60" t="str">
        <f>IF(AND($B116=[1]rogério!$A117,[1]rogério!$B117=N$4),"ok","nok")</f>
        <v>nok</v>
      </c>
      <c r="O116" s="60" t="str">
        <f>IF(AND($B116=[1]rogério!$A117,[1]rogério!$B117=O$4),"ok","nok")</f>
        <v>nok</v>
      </c>
      <c r="P116" s="60" t="str">
        <f>IF(AND($B116=[1]rogério!$A117,[1]rogério!$B117=P$4),"ok","nok")</f>
        <v>nok</v>
      </c>
      <c r="Q116" s="60" t="str">
        <f>IF(AND($B116=[1]rogério!$A117,[1]rogério!$B117=Q$4),"ok","nok")</f>
        <v>nok</v>
      </c>
      <c r="R116" s="60" t="str">
        <f>IF(AND($B116=[1]rogério!$A117,[1]rogério!$B117=R$4),"ok","nok")</f>
        <v>nok</v>
      </c>
      <c r="S116" s="60" t="str">
        <f>IF(AND($B116=[1]rogério!$A117,[1]rogério!$B117=S$4),"ok","nok")</f>
        <v>nok</v>
      </c>
      <c r="T116" s="60" t="str">
        <f>IF(AND($B116=[1]rogério!$A117,[1]rogério!$B117=T$4),"ok","nok")</f>
        <v>nok</v>
      </c>
      <c r="U116" s="60" t="str">
        <f>IF(AND($B116=[1]rogério!$A117,[1]rogério!$B117=U$4),"ok","nok")</f>
        <v>nok</v>
      </c>
      <c r="V116" s="60" t="str">
        <f>IF(AND($B116=[1]rogério!$A117,[1]rogério!$B117=V$4),"ok","nok")</f>
        <v>nok</v>
      </c>
      <c r="W116" s="60" t="str">
        <f>IF(AND($B116=[1]rogério!$A117,[1]rogério!$B117=W$4),"ok","nok")</f>
        <v>ok</v>
      </c>
      <c r="X116" s="60" t="str">
        <f>IF(AND($B116=[1]rogério!$A117,[1]rogério!$B117=X$4),"ok","nok")</f>
        <v>nok</v>
      </c>
      <c r="Y116" s="105" t="s">
        <v>15</v>
      </c>
      <c r="Z116" s="106"/>
      <c r="AA116" s="106"/>
      <c r="AB116" s="107"/>
      <c r="AC116" s="40"/>
      <c r="AD116" s="40"/>
      <c r="AE116" s="48" t="str">
        <f t="shared" si="29"/>
        <v/>
      </c>
      <c r="AF116" s="48"/>
      <c r="AG116" s="48"/>
      <c r="AH116" s="89"/>
      <c r="AI116" s="49">
        <f t="shared" si="30"/>
        <v>0</v>
      </c>
      <c r="AJ116" s="49" t="str">
        <f t="shared" si="31"/>
        <v/>
      </c>
      <c r="AK116" s="49">
        <f t="shared" si="32"/>
        <v>0</v>
      </c>
      <c r="AL116" s="49" t="str">
        <f t="shared" si="33"/>
        <v/>
      </c>
      <c r="AM116" s="49">
        <f t="shared" si="34"/>
        <v>0</v>
      </c>
      <c r="AN116" s="49" t="str">
        <f t="shared" si="35"/>
        <v/>
      </c>
      <c r="AO116" s="49">
        <f t="shared" si="36"/>
        <v>0</v>
      </c>
      <c r="AP116" s="49" t="str">
        <f t="shared" si="37"/>
        <v/>
      </c>
      <c r="AQ116" s="49">
        <f t="shared" si="38"/>
        <v>1</v>
      </c>
      <c r="AR116" s="49" t="str">
        <f t="shared" si="39"/>
        <v/>
      </c>
      <c r="AV116" s="57"/>
      <c r="BF116" s="52"/>
    </row>
    <row r="117" spans="1:58" ht="30" customHeight="1" x14ac:dyDescent="0.35">
      <c r="A117" s="25" t="str">
        <f t="shared" si="42"/>
        <v>PT177 - PLATAFORMA DE ACESSO - FORQUILHA 1 - BÁSICO
TORRE B1
CIVIL</v>
      </c>
      <c r="B117" s="40" t="s">
        <v>42</v>
      </c>
      <c r="C117" s="60" t="str">
        <f>IF(AND($B117=[1]rogério!$A118,[1]rogério!$B118=C$4),"ok","nok")</f>
        <v>nok</v>
      </c>
      <c r="D117" s="60" t="str">
        <f>IF(AND($B117=[1]rogério!$A118,[1]rogério!$B118=D$4),"ok","nok")</f>
        <v>nok</v>
      </c>
      <c r="E117" s="60" t="str">
        <f>IF(AND($B117=[1]rogério!$A118,[1]rogério!$B118=E$4),"ok","nok")</f>
        <v>nok</v>
      </c>
      <c r="F117" s="60" t="str">
        <f>IF(AND($B117=[1]rogério!$A118,[1]rogério!$B118=F$4),"ok","nok")</f>
        <v>nok</v>
      </c>
      <c r="G117" s="60" t="str">
        <f>IF(AND($B117=[1]rogério!$A118,[1]rogério!$B118=G$4),"ok","nok")</f>
        <v>nok</v>
      </c>
      <c r="H117" s="60" t="str">
        <f>IF(AND($B117=[1]rogério!$A118,[1]rogério!$B118=H$4),"ok","nok")</f>
        <v>nok</v>
      </c>
      <c r="I117" s="60" t="str">
        <f>IF(AND($B117=[1]rogério!$A118,[1]rogério!$B118=I$4),"ok","nok")</f>
        <v>nok</v>
      </c>
      <c r="J117" s="60" t="str">
        <f>IF(AND($B117=[1]rogério!$A118,[1]rogério!$B118=J$4),"ok","nok")</f>
        <v>nok</v>
      </c>
      <c r="K117" s="60" t="str">
        <f>IF(AND($B117=[1]rogério!$A118,[1]rogério!$B118=K$4),"ok","nok")</f>
        <v>nok</v>
      </c>
      <c r="L117" s="60" t="str">
        <f>IF(AND($B117=[1]rogério!$A118,[1]rogério!$B118=L$4),"ok","nok")</f>
        <v>nok</v>
      </c>
      <c r="M117" s="60" t="str">
        <f>IF(AND($B117=[1]rogério!$A118,[1]rogério!$B118=M$4),"ok","nok")</f>
        <v>nok</v>
      </c>
      <c r="N117" s="60" t="str">
        <f>IF(AND($B117=[1]rogério!$A118,[1]rogério!$B118=N$4),"ok","nok")</f>
        <v>nok</v>
      </c>
      <c r="O117" s="60" t="str">
        <f>IF(AND($B117=[1]rogério!$A118,[1]rogério!$B118=O$4),"ok","nok")</f>
        <v>nok</v>
      </c>
      <c r="P117" s="60" t="str">
        <f>IF(AND($B117=[1]rogério!$A118,[1]rogério!$B118=P$4),"ok","nok")</f>
        <v>nok</v>
      </c>
      <c r="Q117" s="60" t="str">
        <f>IF(AND($B117=[1]rogério!$A118,[1]rogério!$B118=Q$4),"ok","nok")</f>
        <v>nok</v>
      </c>
      <c r="R117" s="60" t="str">
        <f>IF(AND($B117=[1]rogério!$A118,[1]rogério!$B118=R$4),"ok","nok")</f>
        <v>nok</v>
      </c>
      <c r="S117" s="60" t="str">
        <f>IF(AND($B117=[1]rogério!$A118,[1]rogério!$B118=S$4),"ok","nok")</f>
        <v>nok</v>
      </c>
      <c r="T117" s="60" t="str">
        <f>IF(AND($B117=[1]rogério!$A118,[1]rogério!$B118=T$4),"ok","nok")</f>
        <v>nok</v>
      </c>
      <c r="U117" s="60" t="str">
        <f>IF(AND($B117=[1]rogério!$A118,[1]rogério!$B118=U$4),"ok","nok")</f>
        <v>nok</v>
      </c>
      <c r="V117" s="60" t="str">
        <f>IF(AND($B117=[1]rogério!$A118,[1]rogério!$B118=V$4),"ok","nok")</f>
        <v>nok</v>
      </c>
      <c r="W117" s="60" t="str">
        <f>IF(AND($B117=[1]rogério!$A118,[1]rogério!$B118=W$4),"ok","nok")</f>
        <v>nok</v>
      </c>
      <c r="X117" s="60" t="str">
        <f>IF(AND($B117=[1]rogério!$A118,[1]rogério!$B118=X$4),"ok","nok")</f>
        <v>ok</v>
      </c>
      <c r="Y117" s="105" t="s">
        <v>15</v>
      </c>
      <c r="Z117" s="106"/>
      <c r="AA117" s="106"/>
      <c r="AB117" s="107"/>
      <c r="AC117" s="40"/>
      <c r="AD117" s="40"/>
      <c r="AE117" s="48" t="str">
        <f t="shared" si="29"/>
        <v/>
      </c>
      <c r="AF117" s="48"/>
      <c r="AG117" s="48"/>
      <c r="AH117" s="89"/>
      <c r="AI117" s="49">
        <f t="shared" si="30"/>
        <v>0</v>
      </c>
      <c r="AJ117" s="49" t="str">
        <f t="shared" si="31"/>
        <v/>
      </c>
      <c r="AK117" s="49">
        <f t="shared" si="32"/>
        <v>0</v>
      </c>
      <c r="AL117" s="49" t="str">
        <f t="shared" si="33"/>
        <v/>
      </c>
      <c r="AM117" s="49">
        <f t="shared" si="34"/>
        <v>0</v>
      </c>
      <c r="AN117" s="49" t="str">
        <f t="shared" si="35"/>
        <v/>
      </c>
      <c r="AO117" s="49">
        <f t="shared" si="36"/>
        <v>0</v>
      </c>
      <c r="AP117" s="49" t="str">
        <f t="shared" si="37"/>
        <v/>
      </c>
      <c r="AQ117" s="49">
        <f t="shared" si="38"/>
        <v>1</v>
      </c>
      <c r="AR117" s="49" t="str">
        <f t="shared" si="39"/>
        <v/>
      </c>
      <c r="AV117" s="57"/>
      <c r="BF117" s="52"/>
    </row>
    <row r="118" spans="1:58" ht="30" customHeight="1" x14ac:dyDescent="0.35">
      <c r="A118" s="25" t="str">
        <f t="shared" si="42"/>
        <v>PT177 - PLATAFORMA DE ACESSO - FORQUILHA 1 - BÁSICO
TORRE B1
CIVIL</v>
      </c>
      <c r="B118" s="40" t="s">
        <v>43</v>
      </c>
      <c r="C118" s="60" t="str">
        <f>IF(AND($B118=[1]rogério!$A119,[1]rogério!$B119=C$4),"ok","nok")</f>
        <v>nok</v>
      </c>
      <c r="D118" s="60" t="str">
        <f>IF(AND($B118=[1]rogério!$A119,[1]rogério!$B119=D$4),"ok","nok")</f>
        <v>nok</v>
      </c>
      <c r="E118" s="60" t="str">
        <f>IF(AND($B118=[1]rogério!$A119,[1]rogério!$B119=E$4),"ok","nok")</f>
        <v>nok</v>
      </c>
      <c r="F118" s="60" t="str">
        <f>IF(AND($B118=[1]rogério!$A119,[1]rogério!$B119=F$4),"ok","nok")</f>
        <v>nok</v>
      </c>
      <c r="G118" s="60" t="str">
        <f>IF(AND($B118=[1]rogério!$A119,[1]rogério!$B119=G$4),"ok","nok")</f>
        <v>nok</v>
      </c>
      <c r="H118" s="60" t="str">
        <f>IF(AND($B118=[1]rogério!$A119,[1]rogério!$B119=H$4),"ok","nok")</f>
        <v>nok</v>
      </c>
      <c r="I118" s="60" t="str">
        <f>IF(AND($B118=[1]rogério!$A119,[1]rogério!$B119=I$4),"ok","nok")</f>
        <v>nok</v>
      </c>
      <c r="J118" s="60" t="str">
        <f>IF(AND($B118=[1]rogério!$A119,[1]rogério!$B119=J$4),"ok","nok")</f>
        <v>nok</v>
      </c>
      <c r="K118" s="60" t="str">
        <f>IF(AND($B118=[1]rogério!$A119,[1]rogério!$B119=K$4),"ok","nok")</f>
        <v>nok</v>
      </c>
      <c r="L118" s="60" t="str">
        <f>IF(AND($B118=[1]rogério!$A119,[1]rogério!$B119=L$4),"ok","nok")</f>
        <v>nok</v>
      </c>
      <c r="M118" s="60" t="str">
        <f>IF(AND($B118=[1]rogério!$A119,[1]rogério!$B119=M$4),"ok","nok")</f>
        <v>nok</v>
      </c>
      <c r="N118" s="60" t="str">
        <f>IF(AND($B118=[1]rogério!$A119,[1]rogério!$B119=N$4),"ok","nok")</f>
        <v>nok</v>
      </c>
      <c r="O118" s="60" t="str">
        <f>IF(AND($B118=[1]rogério!$A119,[1]rogério!$B119=O$4),"ok","nok")</f>
        <v>nok</v>
      </c>
      <c r="P118" s="60" t="str">
        <f>IF(AND($B118=[1]rogério!$A119,[1]rogério!$B119=P$4),"ok","nok")</f>
        <v>nok</v>
      </c>
      <c r="Q118" s="60" t="str">
        <f>IF(AND($B118=[1]rogério!$A119,[1]rogério!$B119=Q$4),"ok","nok")</f>
        <v>nok</v>
      </c>
      <c r="R118" s="60" t="str">
        <f>IF(AND($B118=[1]rogério!$A119,[1]rogério!$B119=R$4),"ok","nok")</f>
        <v>nok</v>
      </c>
      <c r="S118" s="60" t="str">
        <f>IF(AND($B118=[1]rogério!$A119,[1]rogério!$B119=S$4),"ok","nok")</f>
        <v>nok</v>
      </c>
      <c r="T118" s="60" t="str">
        <f>IF(AND($B118=[1]rogério!$A119,[1]rogério!$B119=T$4),"ok","nok")</f>
        <v>nok</v>
      </c>
      <c r="U118" s="60" t="str">
        <f>IF(AND($B118=[1]rogério!$A119,[1]rogério!$B119=U$4),"ok","nok")</f>
        <v>nok</v>
      </c>
      <c r="V118" s="60" t="str">
        <f>IF(AND($B118=[1]rogério!$A119,[1]rogério!$B119=V$4),"ok","nok")</f>
        <v>nok</v>
      </c>
      <c r="W118" s="60" t="str">
        <f>IF(AND($B118=[1]rogério!$A119,[1]rogério!$B119=W$4),"ok","nok")</f>
        <v>nok</v>
      </c>
      <c r="X118" s="60" t="str">
        <f>IF(AND($B118=[1]rogério!$A119,[1]rogério!$B119=X$4),"ok","nok")</f>
        <v>ok</v>
      </c>
      <c r="Y118" s="105" t="s">
        <v>15</v>
      </c>
      <c r="Z118" s="106"/>
      <c r="AA118" s="106"/>
      <c r="AB118" s="107"/>
      <c r="AC118" s="40"/>
      <c r="AD118" s="40"/>
      <c r="AE118" s="48" t="str">
        <f t="shared" si="29"/>
        <v/>
      </c>
      <c r="AF118" s="48"/>
      <c r="AG118" s="48"/>
      <c r="AH118" s="89"/>
      <c r="AI118" s="49">
        <f t="shared" si="30"/>
        <v>0</v>
      </c>
      <c r="AJ118" s="49" t="str">
        <f t="shared" si="31"/>
        <v/>
      </c>
      <c r="AK118" s="49">
        <f t="shared" si="32"/>
        <v>0</v>
      </c>
      <c r="AL118" s="49" t="str">
        <f t="shared" si="33"/>
        <v/>
      </c>
      <c r="AM118" s="49">
        <f t="shared" si="34"/>
        <v>0</v>
      </c>
      <c r="AN118" s="49" t="str">
        <f t="shared" si="35"/>
        <v/>
      </c>
      <c r="AO118" s="49">
        <f t="shared" si="36"/>
        <v>0</v>
      </c>
      <c r="AP118" s="49" t="str">
        <f t="shared" si="37"/>
        <v/>
      </c>
      <c r="AQ118" s="49">
        <f t="shared" si="38"/>
        <v>1</v>
      </c>
      <c r="AR118" s="49" t="str">
        <f t="shared" si="39"/>
        <v/>
      </c>
      <c r="AV118" s="57"/>
      <c r="BF118" s="52"/>
    </row>
    <row r="119" spans="1:58" ht="30" customHeight="1" x14ac:dyDescent="0.35">
      <c r="A119" s="25"/>
      <c r="B119" s="42" t="s">
        <v>68</v>
      </c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111"/>
      <c r="Z119" s="112"/>
      <c r="AA119" s="112"/>
      <c r="AB119" s="113"/>
      <c r="AC119" s="40"/>
      <c r="AD119" s="40"/>
      <c r="AE119" s="48" t="str">
        <f t="shared" si="29"/>
        <v/>
      </c>
      <c r="AF119" s="48"/>
      <c r="AG119" s="48"/>
      <c r="AH119" s="89"/>
      <c r="AI119" s="49">
        <f t="shared" si="30"/>
        <v>0</v>
      </c>
      <c r="AJ119" s="49" t="str">
        <f t="shared" si="31"/>
        <v/>
      </c>
      <c r="AK119" s="49">
        <f t="shared" si="32"/>
        <v>0</v>
      </c>
      <c r="AL119" s="49" t="str">
        <f t="shared" si="33"/>
        <v/>
      </c>
      <c r="AM119" s="49">
        <f t="shared" si="34"/>
        <v>0</v>
      </c>
      <c r="AN119" s="49" t="str">
        <f t="shared" si="35"/>
        <v/>
      </c>
      <c r="AO119" s="49">
        <f t="shared" si="36"/>
        <v>0</v>
      </c>
      <c r="AP119" s="49" t="str">
        <f t="shared" si="37"/>
        <v/>
      </c>
      <c r="AQ119" s="49">
        <f t="shared" si="38"/>
        <v>0</v>
      </c>
      <c r="AR119" s="49" t="str">
        <f t="shared" si="39"/>
        <v/>
      </c>
      <c r="AV119" s="57"/>
      <c r="BF119" s="52"/>
    </row>
    <row r="120" spans="1:58" ht="30" customHeight="1" x14ac:dyDescent="0.35">
      <c r="A120" s="25"/>
      <c r="B120" s="61" t="s">
        <v>57</v>
      </c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117"/>
      <c r="Z120" s="118"/>
      <c r="AA120" s="118"/>
      <c r="AB120" s="119"/>
      <c r="AC120" s="40"/>
      <c r="AD120" s="40"/>
      <c r="AE120" s="48" t="str">
        <f t="shared" si="29"/>
        <v/>
      </c>
      <c r="AF120" s="48"/>
      <c r="AG120" s="48"/>
      <c r="AH120" s="89"/>
      <c r="AI120" s="49">
        <f t="shared" si="30"/>
        <v>0</v>
      </c>
      <c r="AJ120" s="49" t="str">
        <f t="shared" si="31"/>
        <v/>
      </c>
      <c r="AK120" s="49">
        <f t="shared" si="32"/>
        <v>0</v>
      </c>
      <c r="AL120" s="49" t="str">
        <f t="shared" si="33"/>
        <v/>
      </c>
      <c r="AM120" s="49">
        <f t="shared" si="34"/>
        <v>0</v>
      </c>
      <c r="AN120" s="49" t="str">
        <f t="shared" si="35"/>
        <v/>
      </c>
      <c r="AO120" s="49">
        <f t="shared" si="36"/>
        <v>0</v>
      </c>
      <c r="AP120" s="49" t="str">
        <f t="shared" si="37"/>
        <v/>
      </c>
      <c r="AQ120" s="49">
        <f t="shared" si="38"/>
        <v>0</v>
      </c>
      <c r="AR120" s="49" t="str">
        <f t="shared" si="39"/>
        <v/>
      </c>
      <c r="AV120" s="57"/>
      <c r="BF120" s="52"/>
    </row>
    <row r="121" spans="1:58" ht="30" customHeight="1" x14ac:dyDescent="0.35">
      <c r="A121" s="25"/>
      <c r="B121" s="62" t="s">
        <v>58</v>
      </c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114"/>
      <c r="Z121" s="115"/>
      <c r="AA121" s="115"/>
      <c r="AB121" s="116"/>
      <c r="AC121" s="40"/>
      <c r="AD121" s="40"/>
      <c r="AE121" s="48" t="str">
        <f t="shared" si="29"/>
        <v/>
      </c>
      <c r="AF121" s="48"/>
      <c r="AG121" s="48"/>
      <c r="AH121" s="89"/>
      <c r="AI121" s="49">
        <f t="shared" si="30"/>
        <v>0</v>
      </c>
      <c r="AJ121" s="49" t="str">
        <f t="shared" si="31"/>
        <v/>
      </c>
      <c r="AK121" s="49">
        <f t="shared" si="32"/>
        <v>0</v>
      </c>
      <c r="AL121" s="49" t="str">
        <f t="shared" si="33"/>
        <v/>
      </c>
      <c r="AM121" s="49">
        <f t="shared" si="34"/>
        <v>0</v>
      </c>
      <c r="AN121" s="49" t="str">
        <f t="shared" si="35"/>
        <v/>
      </c>
      <c r="AO121" s="49">
        <f t="shared" si="36"/>
        <v>0</v>
      </c>
      <c r="AP121" s="49" t="str">
        <f t="shared" si="37"/>
        <v/>
      </c>
      <c r="AQ121" s="49">
        <f t="shared" si="38"/>
        <v>0</v>
      </c>
      <c r="AR121" s="49" t="str">
        <f t="shared" si="39"/>
        <v/>
      </c>
      <c r="AV121" s="57"/>
      <c r="BF121" s="52"/>
    </row>
    <row r="122" spans="1:58" ht="30" customHeight="1" x14ac:dyDescent="0.35">
      <c r="A122" s="25"/>
      <c r="B122" s="39" t="s">
        <v>59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126"/>
      <c r="Z122" s="127"/>
      <c r="AA122" s="127"/>
      <c r="AB122" s="128"/>
      <c r="AC122" s="40"/>
      <c r="AD122" s="40"/>
      <c r="AE122" s="48" t="str">
        <f t="shared" si="29"/>
        <v/>
      </c>
      <c r="AF122" s="48"/>
      <c r="AG122" s="48"/>
      <c r="AH122" s="89"/>
      <c r="AI122" s="49">
        <f t="shared" si="30"/>
        <v>0</v>
      </c>
      <c r="AJ122" s="49" t="str">
        <f t="shared" si="31"/>
        <v/>
      </c>
      <c r="AK122" s="49">
        <f t="shared" si="32"/>
        <v>0</v>
      </c>
      <c r="AL122" s="49" t="str">
        <f t="shared" si="33"/>
        <v/>
      </c>
      <c r="AM122" s="49">
        <f t="shared" si="34"/>
        <v>0</v>
      </c>
      <c r="AN122" s="49" t="str">
        <f t="shared" si="35"/>
        <v/>
      </c>
      <c r="AO122" s="49">
        <f t="shared" si="36"/>
        <v>0</v>
      </c>
      <c r="AP122" s="49" t="str">
        <f t="shared" si="37"/>
        <v/>
      </c>
      <c r="AQ122" s="49">
        <f t="shared" si="38"/>
        <v>0</v>
      </c>
      <c r="AR122" s="49" t="str">
        <f t="shared" si="39"/>
        <v/>
      </c>
      <c r="AV122" s="57"/>
      <c r="BF122" s="52"/>
    </row>
    <row r="123" spans="1:58" ht="30" customHeight="1" x14ac:dyDescent="0.35">
      <c r="A123" s="25" t="str">
        <f>CONCATENATE($B$82,"
",$B$119,"
",$B$121)</f>
        <v>PT177 - PLATAFORMA DE ACESSO - FORQUILHA 1 - BÁSICO
TORRE B2
ESTRUTURAS METÁLICAS</v>
      </c>
      <c r="B123" s="40" t="s">
        <v>19</v>
      </c>
      <c r="C123" s="60" t="str">
        <f>IF(AND($B123=[1]rogério!$A124,[1]rogério!$B124=C$4),"ok","nok")</f>
        <v>nok</v>
      </c>
      <c r="D123" s="60" t="str">
        <f>IF(AND($B123=[1]rogério!$A124,[1]rogério!$B124=D$4),"ok","nok")</f>
        <v>nok</v>
      </c>
      <c r="E123" s="60" t="str">
        <f>IF(AND($B123=[1]rogério!$A124,[1]rogério!$B124=E$4),"ok","nok")</f>
        <v>nok</v>
      </c>
      <c r="F123" s="60" t="str">
        <f>IF(AND($B123=[1]rogério!$A124,[1]rogério!$B124=F$4),"ok","nok")</f>
        <v>nok</v>
      </c>
      <c r="G123" s="60" t="str">
        <f>IF(AND($B123=[1]rogério!$A124,[1]rogério!$B124=G$4),"ok","nok")</f>
        <v>nok</v>
      </c>
      <c r="H123" s="60" t="str">
        <f>IF(AND($B123=[1]rogério!$A124,[1]rogério!$B124=H$4),"ok","nok")</f>
        <v>nok</v>
      </c>
      <c r="I123" s="60" t="str">
        <f>IF(AND($B123=[1]rogério!$A124,[1]rogério!$B124=I$4),"ok","nok")</f>
        <v>nok</v>
      </c>
      <c r="J123" s="60" t="str">
        <f>IF(AND($B123=[1]rogério!$A124,[1]rogério!$B124=J$4),"ok","nok")</f>
        <v>nok</v>
      </c>
      <c r="K123" s="60" t="str">
        <f>IF(AND($B123=[1]rogério!$A124,[1]rogério!$B124=K$4),"ok","nok")</f>
        <v>ok</v>
      </c>
      <c r="L123" s="60" t="str">
        <f>IF(AND($B123=[1]rogério!$A124,[1]rogério!$B124=L$4),"ok","nok")</f>
        <v>nok</v>
      </c>
      <c r="M123" s="60" t="str">
        <f>IF(AND($B123=[1]rogério!$A124,[1]rogério!$B124=M$4),"ok","nok")</f>
        <v>nok</v>
      </c>
      <c r="N123" s="60" t="str">
        <f>IF(AND($B123=[1]rogério!$A124,[1]rogério!$B124=N$4),"ok","nok")</f>
        <v>nok</v>
      </c>
      <c r="O123" s="60" t="str">
        <f>IF(AND($B123=[1]rogério!$A124,[1]rogério!$B124=O$4),"ok","nok")</f>
        <v>nok</v>
      </c>
      <c r="P123" s="60" t="str">
        <f>IF(AND($B123=[1]rogério!$A124,[1]rogério!$B124=P$4),"ok","nok")</f>
        <v>nok</v>
      </c>
      <c r="Q123" s="60" t="str">
        <f>IF(AND($B123=[1]rogério!$A124,[1]rogério!$B124=Q$4),"ok","nok")</f>
        <v>nok</v>
      </c>
      <c r="R123" s="60" t="str">
        <f>IF(AND($B123=[1]rogério!$A124,[1]rogério!$B124=R$4),"ok","nok")</f>
        <v>nok</v>
      </c>
      <c r="S123" s="60" t="str">
        <f>IF(AND($B123=[1]rogério!$A124,[1]rogério!$B124=S$4),"ok","nok")</f>
        <v>nok</v>
      </c>
      <c r="T123" s="60" t="str">
        <f>IF(AND($B123=[1]rogério!$A124,[1]rogério!$B124=T$4),"ok","nok")</f>
        <v>nok</v>
      </c>
      <c r="U123" s="60" t="str">
        <f>IF(AND($B123=[1]rogério!$A124,[1]rogério!$B124=U$4),"ok","nok")</f>
        <v>nok</v>
      </c>
      <c r="V123" s="60" t="str">
        <f>IF(AND($B123=[1]rogério!$A124,[1]rogério!$B124=V$4),"ok","nok")</f>
        <v>nok</v>
      </c>
      <c r="W123" s="60" t="str">
        <f>IF(AND($B123=[1]rogério!$A124,[1]rogério!$B124=W$4),"ok","nok")</f>
        <v>nok</v>
      </c>
      <c r="X123" s="60" t="str">
        <f>IF(AND($B123=[1]rogério!$A124,[1]rogério!$B124=X$4),"ok","nok")</f>
        <v>nok</v>
      </c>
      <c r="Y123" s="105" t="s">
        <v>33</v>
      </c>
      <c r="Z123" s="106"/>
      <c r="AA123" s="106"/>
      <c r="AB123" s="107"/>
      <c r="AC123" s="40"/>
      <c r="AD123" s="40"/>
      <c r="AE123" s="48" t="str">
        <f t="shared" si="29"/>
        <v/>
      </c>
      <c r="AF123" s="48"/>
      <c r="AG123" s="48"/>
      <c r="AH123" s="89"/>
      <c r="AI123" s="49">
        <f t="shared" si="30"/>
        <v>0</v>
      </c>
      <c r="AJ123" s="49" t="str">
        <f t="shared" si="31"/>
        <v/>
      </c>
      <c r="AK123" s="49">
        <f t="shared" si="32"/>
        <v>1</v>
      </c>
      <c r="AL123" s="49" t="str">
        <f t="shared" si="33"/>
        <v>EFPRAZO</v>
      </c>
      <c r="AM123" s="49">
        <f t="shared" si="34"/>
        <v>0</v>
      </c>
      <c r="AN123" s="49" t="str">
        <f t="shared" si="35"/>
        <v/>
      </c>
      <c r="AO123" s="49">
        <f t="shared" si="36"/>
        <v>0</v>
      </c>
      <c r="AP123" s="49" t="str">
        <f t="shared" si="37"/>
        <v/>
      </c>
      <c r="AQ123" s="49">
        <f t="shared" si="38"/>
        <v>0</v>
      </c>
      <c r="AR123" s="49" t="str">
        <f t="shared" si="39"/>
        <v/>
      </c>
      <c r="AV123" s="57"/>
      <c r="BF123" s="52"/>
    </row>
    <row r="124" spans="1:58" ht="30" customHeight="1" x14ac:dyDescent="0.35">
      <c r="A124" s="25" t="str">
        <f t="shared" ref="A124" si="43">CONCATENATE($B$82,"
",$B$119,"
",$B$121)</f>
        <v>PT177 - PLATAFORMA DE ACESSO - FORQUILHA 1 - BÁSICO
TORRE B2
ESTRUTURAS METÁLICAS</v>
      </c>
      <c r="B124" s="40" t="s">
        <v>42</v>
      </c>
      <c r="C124" s="60" t="str">
        <f>IF(AND($B124=[1]rogério!$A125,[1]rogério!$B125=C$4),"ok","nok")</f>
        <v>nok</v>
      </c>
      <c r="D124" s="60" t="str">
        <f>IF(AND($B124=[1]rogério!$A125,[1]rogério!$B125=D$4),"ok","nok")</f>
        <v>nok</v>
      </c>
      <c r="E124" s="60" t="str">
        <f>IF(AND($B124=[1]rogério!$A125,[1]rogério!$B125=E$4),"ok","nok")</f>
        <v>nok</v>
      </c>
      <c r="F124" s="60" t="str">
        <f>IF(AND($B124=[1]rogério!$A125,[1]rogério!$B125=F$4),"ok","nok")</f>
        <v>nok</v>
      </c>
      <c r="G124" s="60" t="str">
        <f>IF(AND($B124=[1]rogério!$A125,[1]rogério!$B125=G$4),"ok","nok")</f>
        <v>nok</v>
      </c>
      <c r="H124" s="60" t="str">
        <f>IF(AND($B124=[1]rogério!$A125,[1]rogério!$B125=H$4),"ok","nok")</f>
        <v>nok</v>
      </c>
      <c r="I124" s="60" t="str">
        <f>IF(AND($B124=[1]rogério!$A125,[1]rogério!$B125=I$4),"ok","nok")</f>
        <v>nok</v>
      </c>
      <c r="J124" s="60" t="str">
        <f>IF(AND($B124=[1]rogério!$A125,[1]rogério!$B125=J$4),"ok","nok")</f>
        <v>nok</v>
      </c>
      <c r="K124" s="60" t="str">
        <f>IF(AND($B124=[1]rogério!$A125,[1]rogério!$B125=K$4),"ok","nok")</f>
        <v>nok</v>
      </c>
      <c r="L124" s="60" t="str">
        <f>IF(AND($B124=[1]rogério!$A125,[1]rogério!$B125=L$4),"ok","nok")</f>
        <v>nok</v>
      </c>
      <c r="M124" s="60" t="str">
        <f>IF(AND($B124=[1]rogério!$A125,[1]rogério!$B125=M$4),"ok","nok")</f>
        <v>nok</v>
      </c>
      <c r="N124" s="60" t="str">
        <f>IF(AND($B124=[1]rogério!$A125,[1]rogério!$B125=N$4),"ok","nok")</f>
        <v>ok</v>
      </c>
      <c r="O124" s="60" t="str">
        <f>IF(AND($B124=[1]rogério!$A125,[1]rogério!$B125=O$4),"ok","nok")</f>
        <v>nok</v>
      </c>
      <c r="P124" s="60" t="str">
        <f>IF(AND($B124=[1]rogério!$A125,[1]rogério!$B125=P$4),"ok","nok")</f>
        <v>nok</v>
      </c>
      <c r="Q124" s="60" t="str">
        <f>IF(AND($B124=[1]rogério!$A125,[1]rogério!$B125=Q$4),"ok","nok")</f>
        <v>nok</v>
      </c>
      <c r="R124" s="60" t="str">
        <f>IF(AND($B124=[1]rogério!$A125,[1]rogério!$B125=R$4),"ok","nok")</f>
        <v>nok</v>
      </c>
      <c r="S124" s="60" t="str">
        <f>IF(AND($B124=[1]rogério!$A125,[1]rogério!$B125=S$4),"ok","nok")</f>
        <v>nok</v>
      </c>
      <c r="T124" s="60" t="str">
        <f>IF(AND($B124=[1]rogério!$A125,[1]rogério!$B125=T$4),"ok","nok")</f>
        <v>nok</v>
      </c>
      <c r="U124" s="60" t="str">
        <f>IF(AND($B124=[1]rogério!$A125,[1]rogério!$B125=U$4),"ok","nok")</f>
        <v>nok</v>
      </c>
      <c r="V124" s="60" t="str">
        <f>IF(AND($B124=[1]rogério!$A125,[1]rogério!$B125=V$4),"ok","nok")</f>
        <v>nok</v>
      </c>
      <c r="W124" s="60" t="str">
        <f>IF(AND($B124=[1]rogério!$A125,[1]rogério!$B125=W$4),"ok","nok")</f>
        <v>nok</v>
      </c>
      <c r="X124" s="60" t="str">
        <f>IF(AND($B124=[1]rogério!$A125,[1]rogério!$B125=X$4),"ok","nok")</f>
        <v>nok</v>
      </c>
      <c r="Y124" s="105" t="s">
        <v>31</v>
      </c>
      <c r="Z124" s="106"/>
      <c r="AA124" s="106"/>
      <c r="AB124" s="107"/>
      <c r="AC124" s="40"/>
      <c r="AD124" s="40"/>
      <c r="AE124" s="48" t="str">
        <f t="shared" si="29"/>
        <v>Certificação do documento - Vibracon</v>
      </c>
      <c r="AF124" s="48"/>
      <c r="AG124" s="48"/>
      <c r="AH124" s="89"/>
      <c r="AI124" s="49">
        <f t="shared" si="30"/>
        <v>0</v>
      </c>
      <c r="AJ124" s="49" t="str">
        <f t="shared" si="31"/>
        <v/>
      </c>
      <c r="AK124" s="49">
        <f t="shared" si="32"/>
        <v>0</v>
      </c>
      <c r="AL124" s="49" t="str">
        <f t="shared" si="33"/>
        <v/>
      </c>
      <c r="AM124" s="49">
        <f t="shared" si="34"/>
        <v>1</v>
      </c>
      <c r="AN124" s="49" t="str">
        <f t="shared" si="35"/>
        <v/>
      </c>
      <c r="AO124" s="49">
        <f t="shared" si="36"/>
        <v>0</v>
      </c>
      <c r="AP124" s="49" t="str">
        <f t="shared" si="37"/>
        <v/>
      </c>
      <c r="AQ124" s="49">
        <f t="shared" si="38"/>
        <v>0</v>
      </c>
      <c r="AR124" s="49" t="str">
        <f t="shared" si="39"/>
        <v/>
      </c>
      <c r="AV124" s="57"/>
      <c r="BF124" s="52"/>
    </row>
    <row r="125" spans="1:58" ht="30" customHeight="1" x14ac:dyDescent="0.35">
      <c r="A125" s="25" t="str">
        <f>CONCATENATE($B$82,"
",$B$119,"
",$B$121)</f>
        <v>PT177 - PLATAFORMA DE ACESSO - FORQUILHA 1 - BÁSICO
TORRE B2
ESTRUTURAS METÁLICAS</v>
      </c>
      <c r="B125" s="40" t="s">
        <v>43</v>
      </c>
      <c r="C125" s="60" t="str">
        <f>IF(AND($B125=[1]rogério!$A126,[1]rogério!$B126=C$4),"ok","nok")</f>
        <v>nok</v>
      </c>
      <c r="D125" s="60" t="str">
        <f>IF(AND($B125=[1]rogério!$A126,[1]rogério!$B126=D$4),"ok","nok")</f>
        <v>nok</v>
      </c>
      <c r="E125" s="60" t="str">
        <f>IF(AND($B125=[1]rogério!$A126,[1]rogério!$B126=E$4),"ok","nok")</f>
        <v>nok</v>
      </c>
      <c r="F125" s="60" t="str">
        <f>IF(AND($B125=[1]rogério!$A126,[1]rogério!$B126=F$4),"ok","nok")</f>
        <v>nok</v>
      </c>
      <c r="G125" s="60" t="str">
        <f>IF(AND($B125=[1]rogério!$A126,[1]rogério!$B126=G$4),"ok","nok")</f>
        <v>nok</v>
      </c>
      <c r="H125" s="60" t="str">
        <f>IF(AND($B125=[1]rogério!$A126,[1]rogério!$B126=H$4),"ok","nok")</f>
        <v>nok</v>
      </c>
      <c r="I125" s="60" t="str">
        <f>IF(AND($B125=[1]rogério!$A126,[1]rogério!$B126=I$4),"ok","nok")</f>
        <v>nok</v>
      </c>
      <c r="J125" s="60" t="str">
        <f>IF(AND($B125=[1]rogério!$A126,[1]rogério!$B126=J$4),"ok","nok")</f>
        <v>nok</v>
      </c>
      <c r="K125" s="60" t="str">
        <f>IF(AND($B125=[1]rogério!$A126,[1]rogério!$B126=K$4),"ok","nok")</f>
        <v>nok</v>
      </c>
      <c r="L125" s="60" t="str">
        <f>IF(AND($B125=[1]rogério!$A126,[1]rogério!$B126=L$4),"ok","nok")</f>
        <v>nok</v>
      </c>
      <c r="M125" s="60" t="str">
        <f>IF(AND($B125=[1]rogério!$A126,[1]rogério!$B126=M$4),"ok","nok")</f>
        <v>nok</v>
      </c>
      <c r="N125" s="60" t="str">
        <f>IF(AND($B125=[1]rogério!$A126,[1]rogério!$B126=N$4),"ok","nok")</f>
        <v>ok</v>
      </c>
      <c r="O125" s="60" t="str">
        <f>IF(AND($B125=[1]rogério!$A126,[1]rogério!$B126=O$4),"ok","nok")</f>
        <v>nok</v>
      </c>
      <c r="P125" s="60" t="str">
        <f>IF(AND($B125=[1]rogério!$A126,[1]rogério!$B126=P$4),"ok","nok")</f>
        <v>nok</v>
      </c>
      <c r="Q125" s="60" t="str">
        <f>IF(AND($B125=[1]rogério!$A126,[1]rogério!$B126=Q$4),"ok","nok")</f>
        <v>nok</v>
      </c>
      <c r="R125" s="60" t="str">
        <f>IF(AND($B125=[1]rogério!$A126,[1]rogério!$B126=R$4),"ok","nok")</f>
        <v>nok</v>
      </c>
      <c r="S125" s="60" t="str">
        <f>IF(AND($B125=[1]rogério!$A126,[1]rogério!$B126=S$4),"ok","nok")</f>
        <v>nok</v>
      </c>
      <c r="T125" s="60" t="str">
        <f>IF(AND($B125=[1]rogério!$A126,[1]rogério!$B126=T$4),"ok","nok")</f>
        <v>nok</v>
      </c>
      <c r="U125" s="60" t="str">
        <f>IF(AND($B125=[1]rogério!$A126,[1]rogério!$B126=U$4),"ok","nok")</f>
        <v>nok</v>
      </c>
      <c r="V125" s="60" t="str">
        <f>IF(AND($B125=[1]rogério!$A126,[1]rogério!$B126=V$4),"ok","nok")</f>
        <v>nok</v>
      </c>
      <c r="W125" s="60" t="str">
        <f>IF(AND($B125=[1]rogério!$A126,[1]rogério!$B126=W$4),"ok","nok")</f>
        <v>nok</v>
      </c>
      <c r="X125" s="60" t="str">
        <f>IF(AND($B125=[1]rogério!$A126,[1]rogério!$B126=X$4),"ok","nok")</f>
        <v>nok</v>
      </c>
      <c r="Y125" s="105" t="s">
        <v>31</v>
      </c>
      <c r="Z125" s="106"/>
      <c r="AA125" s="106"/>
      <c r="AB125" s="107"/>
      <c r="AC125" s="40"/>
      <c r="AD125" s="40"/>
      <c r="AE125" s="48" t="str">
        <f t="shared" si="29"/>
        <v>MARCO - Envio do documento Certificado (Rev_0)</v>
      </c>
      <c r="AF125" s="48"/>
      <c r="AG125" s="48"/>
      <c r="AH125" s="89"/>
      <c r="AI125" s="49">
        <f t="shared" si="30"/>
        <v>0</v>
      </c>
      <c r="AJ125" s="49" t="str">
        <f t="shared" si="31"/>
        <v/>
      </c>
      <c r="AK125" s="49">
        <f t="shared" si="32"/>
        <v>0</v>
      </c>
      <c r="AL125" s="49" t="str">
        <f t="shared" si="33"/>
        <v/>
      </c>
      <c r="AM125" s="49">
        <f t="shared" si="34"/>
        <v>1</v>
      </c>
      <c r="AN125" s="49" t="str">
        <f t="shared" si="35"/>
        <v/>
      </c>
      <c r="AO125" s="49">
        <f t="shared" si="36"/>
        <v>0</v>
      </c>
      <c r="AP125" s="49" t="str">
        <f t="shared" si="37"/>
        <v/>
      </c>
      <c r="AQ125" s="49">
        <f t="shared" si="38"/>
        <v>0</v>
      </c>
      <c r="AR125" s="49" t="str">
        <f t="shared" si="39"/>
        <v/>
      </c>
      <c r="AV125" s="57"/>
      <c r="BF125" s="52"/>
    </row>
    <row r="126" spans="1:58" ht="30" customHeight="1" x14ac:dyDescent="0.35">
      <c r="A126" s="25"/>
      <c r="B126" s="39" t="s">
        <v>62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108"/>
      <c r="Z126" s="109"/>
      <c r="AA126" s="109"/>
      <c r="AB126" s="110"/>
      <c r="AC126" s="40"/>
      <c r="AD126" s="40"/>
      <c r="AE126" s="48" t="str">
        <f t="shared" si="29"/>
        <v/>
      </c>
      <c r="AF126" s="48"/>
      <c r="AG126" s="48"/>
      <c r="AH126" s="89"/>
      <c r="AI126" s="49">
        <f t="shared" si="30"/>
        <v>0</v>
      </c>
      <c r="AJ126" s="49" t="str">
        <f t="shared" si="31"/>
        <v/>
      </c>
      <c r="AK126" s="49">
        <f t="shared" si="32"/>
        <v>0</v>
      </c>
      <c r="AL126" s="49" t="str">
        <f t="shared" si="33"/>
        <v/>
      </c>
      <c r="AM126" s="49">
        <f t="shared" si="34"/>
        <v>0</v>
      </c>
      <c r="AN126" s="49" t="str">
        <f t="shared" si="35"/>
        <v/>
      </c>
      <c r="AO126" s="49">
        <f t="shared" si="36"/>
        <v>0</v>
      </c>
      <c r="AP126" s="49" t="str">
        <f t="shared" si="37"/>
        <v/>
      </c>
      <c r="AQ126" s="49">
        <f t="shared" si="38"/>
        <v>0</v>
      </c>
      <c r="AR126" s="49" t="str">
        <f t="shared" si="39"/>
        <v/>
      </c>
      <c r="AV126" s="57"/>
      <c r="BF126" s="52"/>
    </row>
    <row r="127" spans="1:58" ht="30" customHeight="1" x14ac:dyDescent="0.35">
      <c r="A127" s="25" t="str">
        <f>CONCATENATE($B$82,"
",$B$119,"
",$B$121)</f>
        <v>PT177 - PLATAFORMA DE ACESSO - FORQUILHA 1 - BÁSICO
TORRE B2
ESTRUTURAS METÁLICAS</v>
      </c>
      <c r="B127" s="40" t="s">
        <v>61</v>
      </c>
      <c r="C127" s="60" t="str">
        <f>IF(AND($B127=[1]rogério!$A128,[1]rogério!$B128=C$4),"ok","nok")</f>
        <v>nok</v>
      </c>
      <c r="D127" s="60" t="str">
        <f>IF(AND($B127=[1]rogério!$A128,[1]rogério!$B128=D$4),"ok","nok")</f>
        <v>nok</v>
      </c>
      <c r="E127" s="60" t="str">
        <f>IF(AND($B127=[1]rogério!$A128,[1]rogério!$B128=E$4),"ok","nok")</f>
        <v>nok</v>
      </c>
      <c r="F127" s="60" t="str">
        <f>IF(AND($B127=[1]rogério!$A128,[1]rogério!$B128=F$4),"ok","nok")</f>
        <v>nok</v>
      </c>
      <c r="G127" s="60" t="str">
        <f>IF(AND($B127=[1]rogério!$A128,[1]rogério!$B128=G$4),"ok","nok")</f>
        <v>nok</v>
      </c>
      <c r="H127" s="60" t="str">
        <f>IF(AND($B127=[1]rogério!$A128,[1]rogério!$B128=H$4),"ok","nok")</f>
        <v>nok</v>
      </c>
      <c r="I127" s="60" t="str">
        <f>IF(AND($B127=[1]rogério!$A128,[1]rogério!$B128=I$4),"ok","nok")</f>
        <v>nok</v>
      </c>
      <c r="J127" s="60" t="str">
        <f>IF(AND($B127=[1]rogério!$A128,[1]rogério!$B128=J$4),"ok","nok")</f>
        <v>ok</v>
      </c>
      <c r="K127" s="60" t="str">
        <f>IF(AND($B127=[1]rogério!$A128,[1]rogério!$B128=K$4),"ok","nok")</f>
        <v>nok</v>
      </c>
      <c r="L127" s="60" t="str">
        <f>IF(AND($B127=[1]rogério!$A128,[1]rogério!$B128=L$4),"ok","nok")</f>
        <v>nok</v>
      </c>
      <c r="M127" s="60" t="str">
        <f>IF(AND($B127=[1]rogério!$A128,[1]rogério!$B128=M$4),"ok","nok")</f>
        <v>nok</v>
      </c>
      <c r="N127" s="60" t="str">
        <f>IF(AND($B127=[1]rogério!$A128,[1]rogério!$B128=N$4),"ok","nok")</f>
        <v>nok</v>
      </c>
      <c r="O127" s="60" t="str">
        <f>IF(AND($B127=[1]rogério!$A128,[1]rogério!$B128=O$4),"ok","nok")</f>
        <v>nok</v>
      </c>
      <c r="P127" s="60" t="str">
        <f>IF(AND($B127=[1]rogério!$A128,[1]rogério!$B128=P$4),"ok","nok")</f>
        <v>nok</v>
      </c>
      <c r="Q127" s="60" t="str">
        <f>IF(AND($B127=[1]rogério!$A128,[1]rogério!$B128=Q$4),"ok","nok")</f>
        <v>nok</v>
      </c>
      <c r="R127" s="60" t="str">
        <f>IF(AND($B127=[1]rogério!$A128,[1]rogério!$B128=R$4),"ok","nok")</f>
        <v>nok</v>
      </c>
      <c r="S127" s="60" t="str">
        <f>IF(AND($B127=[1]rogério!$A128,[1]rogério!$B128=S$4),"ok","nok")</f>
        <v>nok</v>
      </c>
      <c r="T127" s="60" t="str">
        <f>IF(AND($B127=[1]rogério!$A128,[1]rogério!$B128=T$4),"ok","nok")</f>
        <v>nok</v>
      </c>
      <c r="U127" s="60" t="str">
        <f>IF(AND($B127=[1]rogério!$A128,[1]rogério!$B128=U$4),"ok","nok")</f>
        <v>nok</v>
      </c>
      <c r="V127" s="60" t="str">
        <f>IF(AND($B127=[1]rogério!$A128,[1]rogério!$B128=V$4),"ok","nok")</f>
        <v>nok</v>
      </c>
      <c r="W127" s="60" t="str">
        <f>IF(AND($B127=[1]rogério!$A128,[1]rogério!$B128=W$4),"ok","nok")</f>
        <v>nok</v>
      </c>
      <c r="X127" s="60" t="str">
        <f>IF(AND($B127=[1]rogério!$A128,[1]rogério!$B128=X$4),"ok","nok")</f>
        <v>nok</v>
      </c>
      <c r="Y127" s="105" t="s">
        <v>33</v>
      </c>
      <c r="Z127" s="106"/>
      <c r="AA127" s="106"/>
      <c r="AB127" s="107"/>
      <c r="AC127" s="40"/>
      <c r="AD127" s="40"/>
      <c r="AE127" s="48" t="str">
        <f t="shared" si="29"/>
        <v/>
      </c>
      <c r="AF127" s="48"/>
      <c r="AG127" s="48"/>
      <c r="AH127" s="89"/>
      <c r="AI127" s="49">
        <f t="shared" si="30"/>
        <v>0</v>
      </c>
      <c r="AJ127" s="49" t="str">
        <f t="shared" si="31"/>
        <v/>
      </c>
      <c r="AK127" s="49">
        <f t="shared" si="32"/>
        <v>1</v>
      </c>
      <c r="AL127" s="49" t="str">
        <f t="shared" si="33"/>
        <v>EFPRAZO</v>
      </c>
      <c r="AM127" s="49">
        <f t="shared" si="34"/>
        <v>0</v>
      </c>
      <c r="AN127" s="49" t="str">
        <f t="shared" si="35"/>
        <v/>
      </c>
      <c r="AO127" s="49">
        <f t="shared" si="36"/>
        <v>0</v>
      </c>
      <c r="AP127" s="49" t="str">
        <f t="shared" si="37"/>
        <v/>
      </c>
      <c r="AQ127" s="49">
        <f t="shared" si="38"/>
        <v>0</v>
      </c>
      <c r="AR127" s="49" t="str">
        <f t="shared" si="39"/>
        <v/>
      </c>
      <c r="AV127" s="57"/>
      <c r="BF127" s="52"/>
    </row>
    <row r="128" spans="1:58" ht="30" customHeight="1" x14ac:dyDescent="0.35">
      <c r="A128" s="25" t="str">
        <f t="shared" ref="A128:A136" si="44">CONCATENATE($B$82,"
",$B$119,"
",$B$121)</f>
        <v>PT177 - PLATAFORMA DE ACESSO - FORQUILHA 1 - BÁSICO
TORRE B2
ESTRUTURAS METÁLICAS</v>
      </c>
      <c r="B128" s="40" t="s">
        <v>19</v>
      </c>
      <c r="C128" s="60" t="str">
        <f>IF(AND($B128=[1]rogério!$A129,[1]rogério!$B129=C$4),"ok","nok")</f>
        <v>nok</v>
      </c>
      <c r="D128" s="60" t="str">
        <f>IF(AND($B128=[1]rogério!$A129,[1]rogério!$B129=D$4),"ok","nok")</f>
        <v>nok</v>
      </c>
      <c r="E128" s="60" t="str">
        <f>IF(AND($B128=[1]rogério!$A129,[1]rogério!$B129=E$4),"ok","nok")</f>
        <v>nok</v>
      </c>
      <c r="F128" s="60" t="str">
        <f>IF(AND($B128=[1]rogério!$A129,[1]rogério!$B129=F$4),"ok","nok")</f>
        <v>nok</v>
      </c>
      <c r="G128" s="60" t="str">
        <f>IF(AND($B128=[1]rogério!$A129,[1]rogério!$B129=G$4),"ok","nok")</f>
        <v>nok</v>
      </c>
      <c r="H128" s="60" t="str">
        <f>IF(AND($B128=[1]rogério!$A129,[1]rogério!$B129=H$4),"ok","nok")</f>
        <v>nok</v>
      </c>
      <c r="I128" s="60" t="str">
        <f>IF(AND($B128=[1]rogério!$A129,[1]rogério!$B129=I$4),"ok","nok")</f>
        <v>nok</v>
      </c>
      <c r="J128" s="60" t="str">
        <f>IF(AND($B128=[1]rogério!$A129,[1]rogério!$B129=J$4),"ok","nok")</f>
        <v>nok</v>
      </c>
      <c r="K128" s="60" t="str">
        <f>IF(AND($B128=[1]rogério!$A129,[1]rogério!$B129=K$4),"ok","nok")</f>
        <v>nok</v>
      </c>
      <c r="L128" s="60" t="str">
        <f>IF(AND($B128=[1]rogério!$A129,[1]rogério!$B129=L$4),"ok","nok")</f>
        <v>nok</v>
      </c>
      <c r="M128" s="60" t="str">
        <f>IF(AND($B128=[1]rogério!$A129,[1]rogério!$B129=M$4),"ok","nok")</f>
        <v>nok</v>
      </c>
      <c r="N128" s="60" t="str">
        <f>IF(AND($B128=[1]rogério!$A129,[1]rogério!$B129=N$4),"ok","nok")</f>
        <v>nok</v>
      </c>
      <c r="O128" s="60" t="str">
        <f>IF(AND($B128=[1]rogério!$A129,[1]rogério!$B129=O$4),"ok","nok")</f>
        <v>nok</v>
      </c>
      <c r="P128" s="60" t="str">
        <f>IF(AND($B128=[1]rogério!$A129,[1]rogério!$B129=P$4),"ok","nok")</f>
        <v>ok</v>
      </c>
      <c r="Q128" s="60" t="str">
        <f>IF(AND($B128=[1]rogério!$A129,[1]rogério!$B129=Q$4),"ok","nok")</f>
        <v>nok</v>
      </c>
      <c r="R128" s="60" t="str">
        <f>IF(AND($B128=[1]rogério!$A129,[1]rogério!$B129=R$4),"ok","nok")</f>
        <v>nok</v>
      </c>
      <c r="S128" s="60" t="str">
        <f>IF(AND($B128=[1]rogério!$A129,[1]rogério!$B129=S$4),"ok","nok")</f>
        <v>nok</v>
      </c>
      <c r="T128" s="60" t="str">
        <f>IF(AND($B128=[1]rogério!$A129,[1]rogério!$B129=T$4),"ok","nok")</f>
        <v>nok</v>
      </c>
      <c r="U128" s="60" t="str">
        <f>IF(AND($B128=[1]rogério!$A129,[1]rogério!$B129=U$4),"ok","nok")</f>
        <v>nok</v>
      </c>
      <c r="V128" s="60" t="str">
        <f>IF(AND($B128=[1]rogério!$A129,[1]rogério!$B129=V$4),"ok","nok")</f>
        <v>nok</v>
      </c>
      <c r="W128" s="60" t="str">
        <f>IF(AND($B128=[1]rogério!$A129,[1]rogério!$B129=W$4),"ok","nok")</f>
        <v>nok</v>
      </c>
      <c r="X128" s="60" t="str">
        <f>IF(AND($B128=[1]rogério!$A129,[1]rogério!$B129=X$4),"ok","nok")</f>
        <v>nok</v>
      </c>
      <c r="Y128" s="105" t="s">
        <v>31</v>
      </c>
      <c r="Z128" s="106"/>
      <c r="AA128" s="106"/>
      <c r="AB128" s="107"/>
      <c r="AC128" s="40"/>
      <c r="AD128" s="40"/>
      <c r="AE128" s="48" t="str">
        <f t="shared" si="29"/>
        <v>Aprovação do Cliente</v>
      </c>
      <c r="AF128" s="48"/>
      <c r="AG128" s="48"/>
      <c r="AH128" s="89"/>
      <c r="AI128" s="49">
        <f t="shared" si="30"/>
        <v>0</v>
      </c>
      <c r="AJ128" s="49" t="str">
        <f t="shared" si="31"/>
        <v/>
      </c>
      <c r="AK128" s="49">
        <f t="shared" si="32"/>
        <v>0</v>
      </c>
      <c r="AL128" s="49" t="str">
        <f t="shared" si="33"/>
        <v/>
      </c>
      <c r="AM128" s="49">
        <f t="shared" si="34"/>
        <v>1</v>
      </c>
      <c r="AN128" s="49" t="str">
        <f t="shared" si="35"/>
        <v/>
      </c>
      <c r="AO128" s="49">
        <f t="shared" si="36"/>
        <v>0</v>
      </c>
      <c r="AP128" s="49" t="str">
        <f t="shared" si="37"/>
        <v/>
      </c>
      <c r="AQ128" s="49">
        <f t="shared" si="38"/>
        <v>0</v>
      </c>
      <c r="AR128" s="49" t="str">
        <f t="shared" si="39"/>
        <v/>
      </c>
      <c r="AV128" s="57"/>
      <c r="BF128" s="52"/>
    </row>
    <row r="129" spans="1:58" ht="30" customHeight="1" x14ac:dyDescent="0.35">
      <c r="A129" s="25" t="str">
        <f t="shared" si="44"/>
        <v>PT177 - PLATAFORMA DE ACESSO - FORQUILHA 1 - BÁSICO
TORRE B2
ESTRUTURAS METÁLICAS</v>
      </c>
      <c r="B129" s="40" t="s">
        <v>42</v>
      </c>
      <c r="C129" s="60" t="str">
        <f>IF(AND($B129=[1]rogério!$A130,[1]rogério!$B130=C$4),"ok","nok")</f>
        <v>nok</v>
      </c>
      <c r="D129" s="60" t="str">
        <f>IF(AND($B129=[1]rogério!$A130,[1]rogério!$B130=D$4),"ok","nok")</f>
        <v>nok</v>
      </c>
      <c r="E129" s="60" t="str">
        <f>IF(AND($B129=[1]rogério!$A130,[1]rogério!$B130=E$4),"ok","nok")</f>
        <v>nok</v>
      </c>
      <c r="F129" s="60" t="str">
        <f>IF(AND($B129=[1]rogério!$A130,[1]rogério!$B130=F$4),"ok","nok")</f>
        <v>nok</v>
      </c>
      <c r="G129" s="60" t="str">
        <f>IF(AND($B129=[1]rogério!$A130,[1]rogério!$B130=G$4),"ok","nok")</f>
        <v>nok</v>
      </c>
      <c r="H129" s="60" t="str">
        <f>IF(AND($B129=[1]rogério!$A130,[1]rogério!$B130=H$4),"ok","nok")</f>
        <v>nok</v>
      </c>
      <c r="I129" s="60" t="str">
        <f>IF(AND($B129=[1]rogério!$A130,[1]rogério!$B130=I$4),"ok","nok")</f>
        <v>nok</v>
      </c>
      <c r="J129" s="60" t="str">
        <f>IF(AND($B129=[1]rogério!$A130,[1]rogério!$B130=J$4),"ok","nok")</f>
        <v>nok</v>
      </c>
      <c r="K129" s="60" t="str">
        <f>IF(AND($B129=[1]rogério!$A130,[1]rogério!$B130=K$4),"ok","nok")</f>
        <v>nok</v>
      </c>
      <c r="L129" s="60" t="str">
        <f>IF(AND($B129=[1]rogério!$A130,[1]rogério!$B130=L$4),"ok","nok")</f>
        <v>nok</v>
      </c>
      <c r="M129" s="60" t="str">
        <f>IF(AND($B129=[1]rogério!$A130,[1]rogério!$B130=M$4),"ok","nok")</f>
        <v>nok</v>
      </c>
      <c r="N129" s="60" t="str">
        <f>IF(AND($B129=[1]rogério!$A130,[1]rogério!$B130=N$4),"ok","nok")</f>
        <v>nok</v>
      </c>
      <c r="O129" s="60" t="str">
        <f>IF(AND($B129=[1]rogério!$A130,[1]rogério!$B130=O$4),"ok","nok")</f>
        <v>nok</v>
      </c>
      <c r="P129" s="60" t="str">
        <f>IF(AND($B129=[1]rogério!$A130,[1]rogério!$B130=P$4),"ok","nok")</f>
        <v>nok</v>
      </c>
      <c r="Q129" s="60" t="str">
        <f>IF(AND($B129=[1]rogério!$A130,[1]rogério!$B130=Q$4),"ok","nok")</f>
        <v>nok</v>
      </c>
      <c r="R129" s="60" t="str">
        <f>IF(AND($B129=[1]rogério!$A130,[1]rogério!$B130=R$4),"ok","nok")</f>
        <v>nok</v>
      </c>
      <c r="S129" s="60" t="str">
        <f>IF(AND($B129=[1]rogério!$A130,[1]rogério!$B130=S$4),"ok","nok")</f>
        <v>nok</v>
      </c>
      <c r="T129" s="60" t="str">
        <f>IF(AND($B129=[1]rogério!$A130,[1]rogério!$B130=T$4),"ok","nok")</f>
        <v>nok</v>
      </c>
      <c r="U129" s="60" t="str">
        <f>IF(AND($B129=[1]rogério!$A130,[1]rogério!$B130=U$4),"ok","nok")</f>
        <v>nok</v>
      </c>
      <c r="V129" s="60" t="str">
        <f>IF(AND($B129=[1]rogério!$A130,[1]rogério!$B130=V$4),"ok","nok")</f>
        <v>nok</v>
      </c>
      <c r="W129" s="60" t="str">
        <f>IF(AND($B129=[1]rogério!$A130,[1]rogério!$B130=W$4),"ok","nok")</f>
        <v>nok</v>
      </c>
      <c r="X129" s="60" t="str">
        <f>IF(AND($B129=[1]rogério!$A130,[1]rogério!$B130=X$4),"ok","nok")</f>
        <v>ok</v>
      </c>
      <c r="Y129" s="105" t="s">
        <v>15</v>
      </c>
      <c r="Z129" s="106"/>
      <c r="AA129" s="106"/>
      <c r="AB129" s="107"/>
      <c r="AC129" s="40"/>
      <c r="AD129" s="40"/>
      <c r="AE129" s="48" t="str">
        <f t="shared" si="29"/>
        <v/>
      </c>
      <c r="AF129" s="48"/>
      <c r="AG129" s="48"/>
      <c r="AH129" s="89"/>
      <c r="AI129" s="49">
        <f t="shared" si="30"/>
        <v>0</v>
      </c>
      <c r="AJ129" s="49" t="str">
        <f t="shared" si="31"/>
        <v/>
      </c>
      <c r="AK129" s="49">
        <f t="shared" si="32"/>
        <v>0</v>
      </c>
      <c r="AL129" s="49" t="str">
        <f t="shared" si="33"/>
        <v/>
      </c>
      <c r="AM129" s="49">
        <f t="shared" si="34"/>
        <v>0</v>
      </c>
      <c r="AN129" s="49" t="str">
        <f t="shared" si="35"/>
        <v/>
      </c>
      <c r="AO129" s="49">
        <f t="shared" si="36"/>
        <v>0</v>
      </c>
      <c r="AP129" s="49" t="str">
        <f t="shared" si="37"/>
        <v/>
      </c>
      <c r="AQ129" s="49">
        <f t="shared" si="38"/>
        <v>1</v>
      </c>
      <c r="AR129" s="49" t="str">
        <f t="shared" si="39"/>
        <v/>
      </c>
      <c r="AV129" s="57"/>
      <c r="BF129" s="52"/>
    </row>
    <row r="130" spans="1:58" ht="30" customHeight="1" x14ac:dyDescent="0.35">
      <c r="A130" s="25" t="str">
        <f t="shared" si="44"/>
        <v>PT177 - PLATAFORMA DE ACESSO - FORQUILHA 1 - BÁSICO
TORRE B2
ESTRUTURAS METÁLICAS</v>
      </c>
      <c r="B130" s="40" t="s">
        <v>43</v>
      </c>
      <c r="C130" s="60" t="str">
        <f>IF(AND($B130=[1]rogério!$A131,[1]rogério!$B131=C$4),"ok","nok")</f>
        <v>nok</v>
      </c>
      <c r="D130" s="60" t="str">
        <f>IF(AND($B130=[1]rogério!$A131,[1]rogério!$B131=D$4),"ok","nok")</f>
        <v>nok</v>
      </c>
      <c r="E130" s="60" t="str">
        <f>IF(AND($B130=[1]rogério!$A131,[1]rogério!$B131=E$4),"ok","nok")</f>
        <v>nok</v>
      </c>
      <c r="F130" s="60" t="str">
        <f>IF(AND($B130=[1]rogério!$A131,[1]rogério!$B131=F$4),"ok","nok")</f>
        <v>nok</v>
      </c>
      <c r="G130" s="60" t="str">
        <f>IF(AND($B130=[1]rogério!$A131,[1]rogério!$B131=G$4),"ok","nok")</f>
        <v>nok</v>
      </c>
      <c r="H130" s="60" t="str">
        <f>IF(AND($B130=[1]rogério!$A131,[1]rogério!$B131=H$4),"ok","nok")</f>
        <v>nok</v>
      </c>
      <c r="I130" s="60" t="str">
        <f>IF(AND($B130=[1]rogério!$A131,[1]rogério!$B131=I$4),"ok","nok")</f>
        <v>nok</v>
      </c>
      <c r="J130" s="60" t="str">
        <f>IF(AND($B130=[1]rogério!$A131,[1]rogério!$B131=J$4),"ok","nok")</f>
        <v>nok</v>
      </c>
      <c r="K130" s="60" t="str">
        <f>IF(AND($B130=[1]rogério!$A131,[1]rogério!$B131=K$4),"ok","nok")</f>
        <v>nok</v>
      </c>
      <c r="L130" s="60" t="str">
        <f>IF(AND($B130=[1]rogério!$A131,[1]rogério!$B131=L$4),"ok","nok")</f>
        <v>nok</v>
      </c>
      <c r="M130" s="60" t="str">
        <f>IF(AND($B130=[1]rogério!$A131,[1]rogério!$B131=M$4),"ok","nok")</f>
        <v>nok</v>
      </c>
      <c r="N130" s="60" t="str">
        <f>IF(AND($B130=[1]rogério!$A131,[1]rogério!$B131=N$4),"ok","nok")</f>
        <v>nok</v>
      </c>
      <c r="O130" s="60" t="str">
        <f>IF(AND($B130=[1]rogério!$A131,[1]rogério!$B131=O$4),"ok","nok")</f>
        <v>nok</v>
      </c>
      <c r="P130" s="60" t="str">
        <f>IF(AND($B130=[1]rogério!$A131,[1]rogério!$B131=P$4),"ok","nok")</f>
        <v>nok</v>
      </c>
      <c r="Q130" s="60" t="str">
        <f>IF(AND($B130=[1]rogério!$A131,[1]rogério!$B131=Q$4),"ok","nok")</f>
        <v>nok</v>
      </c>
      <c r="R130" s="60" t="str">
        <f>IF(AND($B130=[1]rogério!$A131,[1]rogério!$B131=R$4),"ok","nok")</f>
        <v>nok</v>
      </c>
      <c r="S130" s="60" t="str">
        <f>IF(AND($B130=[1]rogério!$A131,[1]rogério!$B131=S$4),"ok","nok")</f>
        <v>nok</v>
      </c>
      <c r="T130" s="60" t="str">
        <f>IF(AND($B130=[1]rogério!$A131,[1]rogério!$B131=T$4),"ok","nok")</f>
        <v>nok</v>
      </c>
      <c r="U130" s="60" t="str">
        <f>IF(AND($B130=[1]rogério!$A131,[1]rogério!$B131=U$4),"ok","nok")</f>
        <v>nok</v>
      </c>
      <c r="V130" s="60" t="str">
        <f>IF(AND($B130=[1]rogério!$A131,[1]rogério!$B131=V$4),"ok","nok")</f>
        <v>nok</v>
      </c>
      <c r="W130" s="60" t="str">
        <f>IF(AND($B130=[1]rogério!$A131,[1]rogério!$B131=W$4),"ok","nok")</f>
        <v>nok</v>
      </c>
      <c r="X130" s="60" t="str">
        <f>IF(AND($B130=[1]rogério!$A131,[1]rogério!$B131=X$4),"ok","nok")</f>
        <v>ok</v>
      </c>
      <c r="Y130" s="105" t="s">
        <v>15</v>
      </c>
      <c r="Z130" s="106"/>
      <c r="AA130" s="106"/>
      <c r="AB130" s="107"/>
      <c r="AC130" s="40"/>
      <c r="AD130" s="40"/>
      <c r="AE130" s="48" t="str">
        <f t="shared" si="29"/>
        <v/>
      </c>
      <c r="AF130" s="48"/>
      <c r="AG130" s="48"/>
      <c r="AH130" s="89"/>
      <c r="AI130" s="49">
        <f t="shared" si="30"/>
        <v>0</v>
      </c>
      <c r="AJ130" s="49" t="str">
        <f t="shared" si="31"/>
        <v/>
      </c>
      <c r="AK130" s="49">
        <f t="shared" si="32"/>
        <v>0</v>
      </c>
      <c r="AL130" s="49" t="str">
        <f t="shared" si="33"/>
        <v/>
      </c>
      <c r="AM130" s="49">
        <f t="shared" si="34"/>
        <v>0</v>
      </c>
      <c r="AN130" s="49" t="str">
        <f t="shared" si="35"/>
        <v/>
      </c>
      <c r="AO130" s="49">
        <f t="shared" si="36"/>
        <v>0</v>
      </c>
      <c r="AP130" s="49" t="str">
        <f t="shared" si="37"/>
        <v/>
      </c>
      <c r="AQ130" s="49">
        <f t="shared" si="38"/>
        <v>1</v>
      </c>
      <c r="AR130" s="49" t="str">
        <f t="shared" si="39"/>
        <v/>
      </c>
      <c r="AV130" s="57"/>
      <c r="BF130" s="52"/>
    </row>
    <row r="131" spans="1:58" ht="30" customHeight="1" x14ac:dyDescent="0.35">
      <c r="A131" s="25"/>
      <c r="B131" s="39" t="s">
        <v>63</v>
      </c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108"/>
      <c r="Z131" s="109"/>
      <c r="AA131" s="109"/>
      <c r="AB131" s="110"/>
      <c r="AC131" s="40"/>
      <c r="AD131" s="40"/>
      <c r="AE131" s="48" t="str">
        <f t="shared" ref="AE131:AE194" si="45">IF(Y131="ATRASADO",B131,"")</f>
        <v/>
      </c>
      <c r="AF131" s="48"/>
      <c r="AG131" s="48"/>
      <c r="AH131" s="89"/>
      <c r="AI131" s="49">
        <f t="shared" ref="AI131:AI194" si="46">COUNTIF(C131:G131,"ok")</f>
        <v>0</v>
      </c>
      <c r="AJ131" s="49" t="str">
        <f t="shared" ref="AJ131:AJ194" si="47">IF(AND(AI131=1,OR($Y131="entregue",$Y131="efprazo")),$Y131,"")</f>
        <v/>
      </c>
      <c r="AK131" s="49">
        <f t="shared" ref="AK131:AK194" si="48">COUNTIF(H131:L131,"ok")</f>
        <v>0</v>
      </c>
      <c r="AL131" s="49" t="str">
        <f t="shared" ref="AL131:AL194" si="49">IF(AND(AK131=1,OR($Y131="entregue",$Y131="efprazo")),$Y131,"")</f>
        <v/>
      </c>
      <c r="AM131" s="49">
        <f t="shared" ref="AM131:AM194" si="50">COUNTIF(M131:Q131,"ok")</f>
        <v>0</v>
      </c>
      <c r="AN131" s="49" t="str">
        <f t="shared" ref="AN131:AN194" si="51">IF(AND(AM131=1,OR($Y131="entregue",$Y131="efprazo")),$Y131,"")</f>
        <v/>
      </c>
      <c r="AO131" s="49">
        <f t="shared" ref="AO131:AO194" si="52">COUNTIF(R131:V131,"ok")</f>
        <v>0</v>
      </c>
      <c r="AP131" s="49" t="str">
        <f t="shared" ref="AP131:AP194" si="53">IF(AND(AO131=1,OR($Y131="entregue",$Y131="efprazo")),$Y131,"")</f>
        <v/>
      </c>
      <c r="AQ131" s="49">
        <f t="shared" ref="AQ131:AQ194" si="54">COUNTIF(W131:X131,"ok")</f>
        <v>0</v>
      </c>
      <c r="AR131" s="49" t="str">
        <f t="shared" ref="AR131:AR194" si="55">IF(AND(AQ131=1,OR($Y131="entregue",$Y131="efprazo")),$Y131,"")</f>
        <v/>
      </c>
      <c r="AV131" s="57"/>
      <c r="BF131" s="52"/>
    </row>
    <row r="132" spans="1:58" ht="30" customHeight="1" x14ac:dyDescent="0.35">
      <c r="A132" s="25" t="str">
        <f>CONCATENATE($B$82,"
",$B$119,"
",$B$121)</f>
        <v>PT177 - PLATAFORMA DE ACESSO - FORQUILHA 1 - BÁSICO
TORRE B2
ESTRUTURAS METÁLICAS</v>
      </c>
      <c r="B132" s="40" t="s">
        <v>60</v>
      </c>
      <c r="C132" s="60" t="str">
        <f>IF(AND($B132=[1]rogério!$A133,[1]rogério!$B133=C$4),"ok","nok")</f>
        <v>nok</v>
      </c>
      <c r="D132" s="60" t="str">
        <f>IF(AND($B132=[1]rogério!$A133,[1]rogério!$B133=D$4),"ok","nok")</f>
        <v>nok</v>
      </c>
      <c r="E132" s="60" t="str">
        <f>IF(AND($B132=[1]rogério!$A133,[1]rogério!$B133=E$4),"ok","nok")</f>
        <v>nok</v>
      </c>
      <c r="F132" s="60" t="str">
        <f>IF(AND($B132=[1]rogério!$A133,[1]rogério!$B133=F$4),"ok","nok")</f>
        <v>nok</v>
      </c>
      <c r="G132" s="60" t="str">
        <f>IF(AND($B132=[1]rogério!$A133,[1]rogério!$B133=G$4),"ok","nok")</f>
        <v>nok</v>
      </c>
      <c r="H132" s="60" t="str">
        <f>IF(AND($B132=[1]rogério!$A133,[1]rogério!$B133=H$4),"ok","nok")</f>
        <v>nok</v>
      </c>
      <c r="I132" s="60" t="str">
        <f>IF(AND($B132=[1]rogério!$A133,[1]rogério!$B133=I$4),"ok","nok")</f>
        <v>nok</v>
      </c>
      <c r="J132" s="60" t="str">
        <f>IF(AND($B132=[1]rogério!$A133,[1]rogério!$B133=J$4),"ok","nok")</f>
        <v>ok</v>
      </c>
      <c r="K132" s="60" t="str">
        <f>IF(AND($B132=[1]rogério!$A133,[1]rogério!$B133=K$4),"ok","nok")</f>
        <v>nok</v>
      </c>
      <c r="L132" s="60" t="str">
        <f>IF(AND($B132=[1]rogério!$A133,[1]rogério!$B133=L$4),"ok","nok")</f>
        <v>nok</v>
      </c>
      <c r="M132" s="60" t="str">
        <f>IF(AND($B132=[1]rogério!$A133,[1]rogério!$B133=M$4),"ok","nok")</f>
        <v>nok</v>
      </c>
      <c r="N132" s="60" t="str">
        <f>IF(AND($B132=[1]rogério!$A133,[1]rogério!$B133=N$4),"ok","nok")</f>
        <v>nok</v>
      </c>
      <c r="O132" s="60" t="str">
        <f>IF(AND($B132=[1]rogério!$A133,[1]rogério!$B133=O$4),"ok","nok")</f>
        <v>nok</v>
      </c>
      <c r="P132" s="60" t="str">
        <f>IF(AND($B132=[1]rogério!$A133,[1]rogério!$B133=P$4),"ok","nok")</f>
        <v>nok</v>
      </c>
      <c r="Q132" s="60" t="str">
        <f>IF(AND($B132=[1]rogério!$A133,[1]rogério!$B133=Q$4),"ok","nok")</f>
        <v>nok</v>
      </c>
      <c r="R132" s="60" t="str">
        <f>IF(AND($B132=[1]rogério!$A133,[1]rogério!$B133=R$4),"ok","nok")</f>
        <v>nok</v>
      </c>
      <c r="S132" s="60" t="str">
        <f>IF(AND($B132=[1]rogério!$A133,[1]rogério!$B133=S$4),"ok","nok")</f>
        <v>nok</v>
      </c>
      <c r="T132" s="60" t="str">
        <f>IF(AND($B132=[1]rogério!$A133,[1]rogério!$B133=T$4),"ok","nok")</f>
        <v>nok</v>
      </c>
      <c r="U132" s="60" t="str">
        <f>IF(AND($B132=[1]rogério!$A133,[1]rogério!$B133=U$4),"ok","nok")</f>
        <v>nok</v>
      </c>
      <c r="V132" s="60" t="str">
        <f>IF(AND($B132=[1]rogério!$A133,[1]rogério!$B133=V$4),"ok","nok")</f>
        <v>nok</v>
      </c>
      <c r="W132" s="60" t="str">
        <f>IF(AND($B132=[1]rogério!$A133,[1]rogério!$B133=W$4),"ok","nok")</f>
        <v>nok</v>
      </c>
      <c r="X132" s="60" t="str">
        <f>IF(AND($B132=[1]rogério!$A133,[1]rogério!$B133=X$4),"ok","nok")</f>
        <v>nok</v>
      </c>
      <c r="Y132" s="105" t="s">
        <v>33</v>
      </c>
      <c r="Z132" s="106"/>
      <c r="AA132" s="106"/>
      <c r="AB132" s="107"/>
      <c r="AC132" s="40"/>
      <c r="AD132" s="40"/>
      <c r="AE132" s="48" t="str">
        <f t="shared" si="45"/>
        <v/>
      </c>
      <c r="AF132" s="48"/>
      <c r="AG132" s="48"/>
      <c r="AH132" s="89"/>
      <c r="AI132" s="49">
        <f t="shared" si="46"/>
        <v>0</v>
      </c>
      <c r="AJ132" s="49" t="str">
        <f t="shared" si="47"/>
        <v/>
      </c>
      <c r="AK132" s="49">
        <f t="shared" si="48"/>
        <v>1</v>
      </c>
      <c r="AL132" s="49" t="str">
        <f t="shared" si="49"/>
        <v>EFPRAZO</v>
      </c>
      <c r="AM132" s="49">
        <f t="shared" si="50"/>
        <v>0</v>
      </c>
      <c r="AN132" s="49" t="str">
        <f t="shared" si="51"/>
        <v/>
      </c>
      <c r="AO132" s="49">
        <f t="shared" si="52"/>
        <v>0</v>
      </c>
      <c r="AP132" s="49" t="str">
        <f t="shared" si="53"/>
        <v/>
      </c>
      <c r="AQ132" s="49">
        <f t="shared" si="54"/>
        <v>0</v>
      </c>
      <c r="AR132" s="49" t="str">
        <f t="shared" si="55"/>
        <v/>
      </c>
      <c r="AV132" s="57"/>
      <c r="BF132" s="52"/>
    </row>
    <row r="133" spans="1:58" ht="30" customHeight="1" x14ac:dyDescent="0.35">
      <c r="A133" s="25" t="str">
        <f t="shared" si="44"/>
        <v>PT177 - PLATAFORMA DE ACESSO - FORQUILHA 1 - BÁSICO
TORRE B2
ESTRUTURAS METÁLICAS</v>
      </c>
      <c r="B133" s="40" t="s">
        <v>61</v>
      </c>
      <c r="C133" s="60" t="str">
        <f>IF(AND($B133=[1]rogério!$A134,[1]rogério!$B134=C$4),"ok","nok")</f>
        <v>nok</v>
      </c>
      <c r="D133" s="60" t="str">
        <f>IF(AND($B133=[1]rogério!$A134,[1]rogério!$B134=D$4),"ok","nok")</f>
        <v>nok</v>
      </c>
      <c r="E133" s="60" t="str">
        <f>IF(AND($B133=[1]rogério!$A134,[1]rogério!$B134=E$4),"ok","nok")</f>
        <v>nok</v>
      </c>
      <c r="F133" s="60" t="str">
        <f>IF(AND($B133=[1]rogério!$A134,[1]rogério!$B134=F$4),"ok","nok")</f>
        <v>nok</v>
      </c>
      <c r="G133" s="60" t="str">
        <f>IF(AND($B133=[1]rogério!$A134,[1]rogério!$B134=G$4),"ok","nok")</f>
        <v>nok</v>
      </c>
      <c r="H133" s="60" t="str">
        <f>IF(AND($B133=[1]rogério!$A134,[1]rogério!$B134=H$4),"ok","nok")</f>
        <v>nok</v>
      </c>
      <c r="I133" s="60" t="str">
        <f>IF(AND($B133=[1]rogério!$A134,[1]rogério!$B134=I$4),"ok","nok")</f>
        <v>nok</v>
      </c>
      <c r="J133" s="60" t="str">
        <f>IF(AND($B133=[1]rogério!$A134,[1]rogério!$B134=J$4),"ok","nok")</f>
        <v>ok</v>
      </c>
      <c r="K133" s="60" t="str">
        <f>IF(AND($B133=[1]rogério!$A134,[1]rogério!$B134=K$4),"ok","nok")</f>
        <v>nok</v>
      </c>
      <c r="L133" s="60" t="str">
        <f>IF(AND($B133=[1]rogério!$A134,[1]rogério!$B134=L$4),"ok","nok")</f>
        <v>nok</v>
      </c>
      <c r="M133" s="60" t="str">
        <f>IF(AND($B133=[1]rogério!$A134,[1]rogério!$B134=M$4),"ok","nok")</f>
        <v>nok</v>
      </c>
      <c r="N133" s="60" t="str">
        <f>IF(AND($B133=[1]rogério!$A134,[1]rogério!$B134=N$4),"ok","nok")</f>
        <v>nok</v>
      </c>
      <c r="O133" s="60" t="str">
        <f>IF(AND($B133=[1]rogério!$A134,[1]rogério!$B134=O$4),"ok","nok")</f>
        <v>nok</v>
      </c>
      <c r="P133" s="60" t="str">
        <f>IF(AND($B133=[1]rogério!$A134,[1]rogério!$B134=P$4),"ok","nok")</f>
        <v>nok</v>
      </c>
      <c r="Q133" s="60" t="str">
        <f>IF(AND($B133=[1]rogério!$A134,[1]rogério!$B134=Q$4),"ok","nok")</f>
        <v>nok</v>
      </c>
      <c r="R133" s="60" t="str">
        <f>IF(AND($B133=[1]rogério!$A134,[1]rogério!$B134=R$4),"ok","nok")</f>
        <v>nok</v>
      </c>
      <c r="S133" s="60" t="str">
        <f>IF(AND($B133=[1]rogério!$A134,[1]rogério!$B134=S$4),"ok","nok")</f>
        <v>nok</v>
      </c>
      <c r="T133" s="60" t="str">
        <f>IF(AND($B133=[1]rogério!$A134,[1]rogério!$B134=T$4),"ok","nok")</f>
        <v>nok</v>
      </c>
      <c r="U133" s="60" t="str">
        <f>IF(AND($B133=[1]rogério!$A134,[1]rogério!$B134=U$4),"ok","nok")</f>
        <v>nok</v>
      </c>
      <c r="V133" s="60" t="str">
        <f>IF(AND($B133=[1]rogério!$A134,[1]rogério!$B134=V$4),"ok","nok")</f>
        <v>nok</v>
      </c>
      <c r="W133" s="60" t="str">
        <f>IF(AND($B133=[1]rogério!$A134,[1]rogério!$B134=W$4),"ok","nok")</f>
        <v>nok</v>
      </c>
      <c r="X133" s="60" t="str">
        <f>IF(AND($B133=[1]rogério!$A134,[1]rogério!$B134=X$4),"ok","nok")</f>
        <v>nok</v>
      </c>
      <c r="Y133" s="105" t="s">
        <v>33</v>
      </c>
      <c r="Z133" s="106"/>
      <c r="AA133" s="106"/>
      <c r="AB133" s="107"/>
      <c r="AC133" s="40"/>
      <c r="AD133" s="40"/>
      <c r="AE133" s="48" t="str">
        <f t="shared" si="45"/>
        <v/>
      </c>
      <c r="AF133" s="48"/>
      <c r="AG133" s="48"/>
      <c r="AH133" s="89"/>
      <c r="AI133" s="49">
        <f t="shared" si="46"/>
        <v>0</v>
      </c>
      <c r="AJ133" s="49" t="str">
        <f t="shared" si="47"/>
        <v/>
      </c>
      <c r="AK133" s="49">
        <f t="shared" si="48"/>
        <v>1</v>
      </c>
      <c r="AL133" s="49" t="str">
        <f t="shared" si="49"/>
        <v>EFPRAZO</v>
      </c>
      <c r="AM133" s="49">
        <f t="shared" si="50"/>
        <v>0</v>
      </c>
      <c r="AN133" s="49" t="str">
        <f t="shared" si="51"/>
        <v/>
      </c>
      <c r="AO133" s="49">
        <f t="shared" si="52"/>
        <v>0</v>
      </c>
      <c r="AP133" s="49" t="str">
        <f t="shared" si="53"/>
        <v/>
      </c>
      <c r="AQ133" s="49">
        <f t="shared" si="54"/>
        <v>0</v>
      </c>
      <c r="AR133" s="49" t="str">
        <f t="shared" si="55"/>
        <v/>
      </c>
      <c r="AV133" s="57"/>
      <c r="BF133" s="52"/>
    </row>
    <row r="134" spans="1:58" ht="30" customHeight="1" x14ac:dyDescent="0.35">
      <c r="A134" s="25" t="str">
        <f t="shared" si="44"/>
        <v>PT177 - PLATAFORMA DE ACESSO - FORQUILHA 1 - BÁSICO
TORRE B2
ESTRUTURAS METÁLICAS</v>
      </c>
      <c r="B134" s="40" t="s">
        <v>19</v>
      </c>
      <c r="C134" s="60" t="str">
        <f>IF(AND($B134=[1]rogério!$A135,[1]rogério!$B135=C$4),"ok","nok")</f>
        <v>nok</v>
      </c>
      <c r="D134" s="60" t="str">
        <f>IF(AND($B134=[1]rogério!$A135,[1]rogério!$B135=D$4),"ok","nok")</f>
        <v>nok</v>
      </c>
      <c r="E134" s="60" t="str">
        <f>IF(AND($B134=[1]rogério!$A135,[1]rogério!$B135=E$4),"ok","nok")</f>
        <v>nok</v>
      </c>
      <c r="F134" s="60" t="str">
        <f>IF(AND($B134=[1]rogério!$A135,[1]rogério!$B135=F$4),"ok","nok")</f>
        <v>nok</v>
      </c>
      <c r="G134" s="60" t="str">
        <f>IF(AND($B134=[1]rogério!$A135,[1]rogério!$B135=G$4),"ok","nok")</f>
        <v>nok</v>
      </c>
      <c r="H134" s="60" t="str">
        <f>IF(AND($B134=[1]rogério!$A135,[1]rogério!$B135=H$4),"ok","nok")</f>
        <v>nok</v>
      </c>
      <c r="I134" s="60" t="str">
        <f>IF(AND($B134=[1]rogério!$A135,[1]rogério!$B135=I$4),"ok","nok")</f>
        <v>nok</v>
      </c>
      <c r="J134" s="60" t="str">
        <f>IF(AND($B134=[1]rogério!$A135,[1]rogério!$B135=J$4),"ok","nok")</f>
        <v>nok</v>
      </c>
      <c r="K134" s="60" t="str">
        <f>IF(AND($B134=[1]rogério!$A135,[1]rogério!$B135=K$4),"ok","nok")</f>
        <v>nok</v>
      </c>
      <c r="L134" s="60" t="str">
        <f>IF(AND($B134=[1]rogério!$A135,[1]rogério!$B135=L$4),"ok","nok")</f>
        <v>nok</v>
      </c>
      <c r="M134" s="60" t="str">
        <f>IF(AND($B134=[1]rogério!$A135,[1]rogério!$B135=M$4),"ok","nok")</f>
        <v>nok</v>
      </c>
      <c r="N134" s="60" t="str">
        <f>IF(AND($B134=[1]rogério!$A135,[1]rogério!$B135=N$4),"ok","nok")</f>
        <v>nok</v>
      </c>
      <c r="O134" s="60" t="str">
        <f>IF(AND($B134=[1]rogério!$A135,[1]rogério!$B135=O$4),"ok","nok")</f>
        <v>nok</v>
      </c>
      <c r="P134" s="60" t="str">
        <f>IF(AND($B134=[1]rogério!$A135,[1]rogério!$B135=P$4),"ok","nok")</f>
        <v>nok</v>
      </c>
      <c r="Q134" s="60" t="str">
        <f>IF(AND($B134=[1]rogério!$A135,[1]rogério!$B135=Q$4),"ok","nok")</f>
        <v>ok</v>
      </c>
      <c r="R134" s="60" t="str">
        <f>IF(AND($B134=[1]rogério!$A135,[1]rogério!$B135=R$4),"ok","nok")</f>
        <v>nok</v>
      </c>
      <c r="S134" s="60" t="str">
        <f>IF(AND($B134=[1]rogério!$A135,[1]rogério!$B135=S$4),"ok","nok")</f>
        <v>nok</v>
      </c>
      <c r="T134" s="60" t="str">
        <f>IF(AND($B134=[1]rogério!$A135,[1]rogério!$B135=T$4),"ok","nok")</f>
        <v>nok</v>
      </c>
      <c r="U134" s="60" t="str">
        <f>IF(AND($B134=[1]rogério!$A135,[1]rogério!$B135=U$4),"ok","nok")</f>
        <v>nok</v>
      </c>
      <c r="V134" s="60" t="str">
        <f>IF(AND($B134=[1]rogério!$A135,[1]rogério!$B135=V$4),"ok","nok")</f>
        <v>nok</v>
      </c>
      <c r="W134" s="60" t="str">
        <f>IF(AND($B134=[1]rogério!$A135,[1]rogério!$B135=W$4),"ok","nok")</f>
        <v>nok</v>
      </c>
      <c r="X134" s="60" t="str">
        <f>IF(AND($B134=[1]rogério!$A135,[1]rogério!$B135=X$4),"ok","nok")</f>
        <v>nok</v>
      </c>
      <c r="Y134" s="105" t="s">
        <v>31</v>
      </c>
      <c r="Z134" s="106"/>
      <c r="AA134" s="106"/>
      <c r="AB134" s="107"/>
      <c r="AC134" s="40"/>
      <c r="AD134" s="40"/>
      <c r="AE134" s="48" t="str">
        <f t="shared" si="45"/>
        <v>Aprovação do Cliente</v>
      </c>
      <c r="AF134" s="48"/>
      <c r="AG134" s="48"/>
      <c r="AH134" s="89"/>
      <c r="AI134" s="49">
        <f t="shared" si="46"/>
        <v>0</v>
      </c>
      <c r="AJ134" s="49" t="str">
        <f t="shared" si="47"/>
        <v/>
      </c>
      <c r="AK134" s="49">
        <f t="shared" si="48"/>
        <v>0</v>
      </c>
      <c r="AL134" s="49" t="str">
        <f t="shared" si="49"/>
        <v/>
      </c>
      <c r="AM134" s="49">
        <f t="shared" si="50"/>
        <v>1</v>
      </c>
      <c r="AN134" s="49" t="str">
        <f t="shared" si="51"/>
        <v/>
      </c>
      <c r="AO134" s="49">
        <f t="shared" si="52"/>
        <v>0</v>
      </c>
      <c r="AP134" s="49" t="str">
        <f t="shared" si="53"/>
        <v/>
      </c>
      <c r="AQ134" s="49">
        <f t="shared" si="54"/>
        <v>0</v>
      </c>
      <c r="AR134" s="49" t="str">
        <f t="shared" si="55"/>
        <v/>
      </c>
      <c r="AV134" s="57"/>
      <c r="BF134" s="52"/>
    </row>
    <row r="135" spans="1:58" ht="30" customHeight="1" x14ac:dyDescent="0.35">
      <c r="A135" s="25" t="str">
        <f t="shared" si="44"/>
        <v>PT177 - PLATAFORMA DE ACESSO - FORQUILHA 1 - BÁSICO
TORRE B2
ESTRUTURAS METÁLICAS</v>
      </c>
      <c r="B135" s="40" t="s">
        <v>42</v>
      </c>
      <c r="C135" s="60" t="str">
        <f>IF(AND($B135=[1]rogério!$A136,[1]rogério!$B136=C$4),"ok","nok")</f>
        <v>nok</v>
      </c>
      <c r="D135" s="60" t="str">
        <f>IF(AND($B135=[1]rogério!$A136,[1]rogério!$B136=D$4),"ok","nok")</f>
        <v>nok</v>
      </c>
      <c r="E135" s="60" t="str">
        <f>IF(AND($B135=[1]rogério!$A136,[1]rogério!$B136=E$4),"ok","nok")</f>
        <v>nok</v>
      </c>
      <c r="F135" s="60" t="str">
        <f>IF(AND($B135=[1]rogério!$A136,[1]rogério!$B136=F$4),"ok","nok")</f>
        <v>nok</v>
      </c>
      <c r="G135" s="60" t="str">
        <f>IF(AND($B135=[1]rogério!$A136,[1]rogério!$B136=G$4),"ok","nok")</f>
        <v>nok</v>
      </c>
      <c r="H135" s="60" t="str">
        <f>IF(AND($B135=[1]rogério!$A136,[1]rogério!$B136=H$4),"ok","nok")</f>
        <v>nok</v>
      </c>
      <c r="I135" s="60" t="str">
        <f>IF(AND($B135=[1]rogério!$A136,[1]rogério!$B136=I$4),"ok","nok")</f>
        <v>nok</v>
      </c>
      <c r="J135" s="60" t="str">
        <f>IF(AND($B135=[1]rogério!$A136,[1]rogério!$B136=J$4),"ok","nok")</f>
        <v>nok</v>
      </c>
      <c r="K135" s="60" t="str">
        <f>IF(AND($B135=[1]rogério!$A136,[1]rogério!$B136=K$4),"ok","nok")</f>
        <v>nok</v>
      </c>
      <c r="L135" s="60" t="str">
        <f>IF(AND($B135=[1]rogério!$A136,[1]rogério!$B136=L$4),"ok","nok")</f>
        <v>nok</v>
      </c>
      <c r="M135" s="60" t="str">
        <f>IF(AND($B135=[1]rogério!$A136,[1]rogério!$B136=M$4),"ok","nok")</f>
        <v>nok</v>
      </c>
      <c r="N135" s="60" t="str">
        <f>IF(AND($B135=[1]rogério!$A136,[1]rogério!$B136=N$4),"ok","nok")</f>
        <v>nok</v>
      </c>
      <c r="O135" s="60" t="str">
        <f>IF(AND($B135=[1]rogério!$A136,[1]rogério!$B136=O$4),"ok","nok")</f>
        <v>nok</v>
      </c>
      <c r="P135" s="60" t="str">
        <f>IF(AND($B135=[1]rogério!$A136,[1]rogério!$B136=P$4),"ok","nok")</f>
        <v>nok</v>
      </c>
      <c r="Q135" s="60" t="str">
        <f>IF(AND($B135=[1]rogério!$A136,[1]rogério!$B136=Q$4),"ok","nok")</f>
        <v>nok</v>
      </c>
      <c r="R135" s="60" t="str">
        <f>IF(AND($B135=[1]rogério!$A136,[1]rogério!$B136=R$4),"ok","nok")</f>
        <v>nok</v>
      </c>
      <c r="S135" s="60" t="str">
        <f>IF(AND($B135=[1]rogério!$A136,[1]rogério!$B136=S$4),"ok","nok")</f>
        <v>nok</v>
      </c>
      <c r="T135" s="60" t="str">
        <f>IF(AND($B135=[1]rogério!$A136,[1]rogério!$B136=T$4),"ok","nok")</f>
        <v>nok</v>
      </c>
      <c r="U135" s="60" t="str">
        <f>IF(AND($B135=[1]rogério!$A136,[1]rogério!$B136=U$4),"ok","nok")</f>
        <v>nok</v>
      </c>
      <c r="V135" s="60" t="str">
        <f>IF(AND($B135=[1]rogério!$A136,[1]rogério!$B136=V$4),"ok","nok")</f>
        <v>nok</v>
      </c>
      <c r="W135" s="60" t="str">
        <f>IF(AND($B135=[1]rogério!$A136,[1]rogério!$B136=W$4),"ok","nok")</f>
        <v>nok</v>
      </c>
      <c r="X135" s="60" t="str">
        <f>IF(AND($B135=[1]rogério!$A136,[1]rogério!$B136=X$4),"ok","nok")</f>
        <v>ok</v>
      </c>
      <c r="Y135" s="105" t="s">
        <v>15</v>
      </c>
      <c r="Z135" s="106"/>
      <c r="AA135" s="106"/>
      <c r="AB135" s="107"/>
      <c r="AC135" s="40"/>
      <c r="AD135" s="40"/>
      <c r="AE135" s="48" t="str">
        <f t="shared" si="45"/>
        <v/>
      </c>
      <c r="AF135" s="48"/>
      <c r="AG135" s="48"/>
      <c r="AH135" s="89"/>
      <c r="AI135" s="49">
        <f t="shared" si="46"/>
        <v>0</v>
      </c>
      <c r="AJ135" s="49" t="str">
        <f t="shared" si="47"/>
        <v/>
      </c>
      <c r="AK135" s="49">
        <f t="shared" si="48"/>
        <v>0</v>
      </c>
      <c r="AL135" s="49" t="str">
        <f t="shared" si="49"/>
        <v/>
      </c>
      <c r="AM135" s="49">
        <f t="shared" si="50"/>
        <v>0</v>
      </c>
      <c r="AN135" s="49" t="str">
        <f t="shared" si="51"/>
        <v/>
      </c>
      <c r="AO135" s="49">
        <f t="shared" si="52"/>
        <v>0</v>
      </c>
      <c r="AP135" s="49" t="str">
        <f t="shared" si="53"/>
        <v/>
      </c>
      <c r="AQ135" s="49">
        <f t="shared" si="54"/>
        <v>1</v>
      </c>
      <c r="AR135" s="49" t="str">
        <f t="shared" si="55"/>
        <v/>
      </c>
      <c r="AV135" s="57"/>
      <c r="BF135" s="52"/>
    </row>
    <row r="136" spans="1:58" ht="30" customHeight="1" x14ac:dyDescent="0.35">
      <c r="A136" s="25" t="str">
        <f t="shared" si="44"/>
        <v>PT177 - PLATAFORMA DE ACESSO - FORQUILHA 1 - BÁSICO
TORRE B2
ESTRUTURAS METÁLICAS</v>
      </c>
      <c r="B136" s="40" t="s">
        <v>43</v>
      </c>
      <c r="C136" s="60" t="str">
        <f>IF(AND($B136=[1]rogério!$A137,[1]rogério!$B137=C$4),"ok","nok")</f>
        <v>nok</v>
      </c>
      <c r="D136" s="60" t="str">
        <f>IF(AND($B136=[1]rogério!$A137,[1]rogério!$B137=D$4),"ok","nok")</f>
        <v>nok</v>
      </c>
      <c r="E136" s="60" t="str">
        <f>IF(AND($B136=[1]rogério!$A137,[1]rogério!$B137=E$4),"ok","nok")</f>
        <v>nok</v>
      </c>
      <c r="F136" s="60" t="str">
        <f>IF(AND($B136=[1]rogério!$A137,[1]rogério!$B137=F$4),"ok","nok")</f>
        <v>nok</v>
      </c>
      <c r="G136" s="60" t="str">
        <f>IF(AND($B136=[1]rogério!$A137,[1]rogério!$B137=G$4),"ok","nok")</f>
        <v>nok</v>
      </c>
      <c r="H136" s="60" t="str">
        <f>IF(AND($B136=[1]rogério!$A137,[1]rogério!$B137=H$4),"ok","nok")</f>
        <v>nok</v>
      </c>
      <c r="I136" s="60" t="str">
        <f>IF(AND($B136=[1]rogério!$A137,[1]rogério!$B137=I$4),"ok","nok")</f>
        <v>nok</v>
      </c>
      <c r="J136" s="60" t="str">
        <f>IF(AND($B136=[1]rogério!$A137,[1]rogério!$B137=J$4),"ok","nok")</f>
        <v>nok</v>
      </c>
      <c r="K136" s="60" t="str">
        <f>IF(AND($B136=[1]rogério!$A137,[1]rogério!$B137=K$4),"ok","nok")</f>
        <v>nok</v>
      </c>
      <c r="L136" s="60" t="str">
        <f>IF(AND($B136=[1]rogério!$A137,[1]rogério!$B137=L$4),"ok","nok")</f>
        <v>nok</v>
      </c>
      <c r="M136" s="60" t="str">
        <f>IF(AND($B136=[1]rogério!$A137,[1]rogério!$B137=M$4),"ok","nok")</f>
        <v>nok</v>
      </c>
      <c r="N136" s="60" t="str">
        <f>IF(AND($B136=[1]rogério!$A137,[1]rogério!$B137=N$4),"ok","nok")</f>
        <v>nok</v>
      </c>
      <c r="O136" s="60" t="str">
        <f>IF(AND($B136=[1]rogério!$A137,[1]rogério!$B137=O$4),"ok","nok")</f>
        <v>nok</v>
      </c>
      <c r="P136" s="60" t="str">
        <f>IF(AND($B136=[1]rogério!$A137,[1]rogério!$B137=P$4),"ok","nok")</f>
        <v>nok</v>
      </c>
      <c r="Q136" s="60" t="str">
        <f>IF(AND($B136=[1]rogério!$A137,[1]rogério!$B137=Q$4),"ok","nok")</f>
        <v>nok</v>
      </c>
      <c r="R136" s="60" t="str">
        <f>IF(AND($B136=[1]rogério!$A137,[1]rogério!$B137=R$4),"ok","nok")</f>
        <v>nok</v>
      </c>
      <c r="S136" s="60" t="str">
        <f>IF(AND($B136=[1]rogério!$A137,[1]rogério!$B137=S$4),"ok","nok")</f>
        <v>nok</v>
      </c>
      <c r="T136" s="60" t="str">
        <f>IF(AND($B136=[1]rogério!$A137,[1]rogério!$B137=T$4),"ok","nok")</f>
        <v>nok</v>
      </c>
      <c r="U136" s="60" t="str">
        <f>IF(AND($B136=[1]rogério!$A137,[1]rogério!$B137=U$4),"ok","nok")</f>
        <v>nok</v>
      </c>
      <c r="V136" s="60" t="str">
        <f>IF(AND($B136=[1]rogério!$A137,[1]rogério!$B137=V$4),"ok","nok")</f>
        <v>nok</v>
      </c>
      <c r="W136" s="60" t="str">
        <f>IF(AND($B136=[1]rogério!$A137,[1]rogério!$B137=W$4),"ok","nok")</f>
        <v>nok</v>
      </c>
      <c r="X136" s="60" t="str">
        <f>IF(AND($B136=[1]rogério!$A137,[1]rogério!$B137=X$4),"ok","nok")</f>
        <v>ok</v>
      </c>
      <c r="Y136" s="105" t="s">
        <v>15</v>
      </c>
      <c r="Z136" s="106"/>
      <c r="AA136" s="106"/>
      <c r="AB136" s="107"/>
      <c r="AC136" s="40"/>
      <c r="AD136" s="40"/>
      <c r="AE136" s="48" t="str">
        <f t="shared" si="45"/>
        <v/>
      </c>
      <c r="AF136" s="48"/>
      <c r="AG136" s="48"/>
      <c r="AH136" s="89"/>
      <c r="AI136" s="49">
        <f t="shared" si="46"/>
        <v>0</v>
      </c>
      <c r="AJ136" s="49" t="str">
        <f t="shared" si="47"/>
        <v/>
      </c>
      <c r="AK136" s="49">
        <f t="shared" si="48"/>
        <v>0</v>
      </c>
      <c r="AL136" s="49" t="str">
        <f t="shared" si="49"/>
        <v/>
      </c>
      <c r="AM136" s="49">
        <f t="shared" si="50"/>
        <v>0</v>
      </c>
      <c r="AN136" s="49" t="str">
        <f t="shared" si="51"/>
        <v/>
      </c>
      <c r="AO136" s="49">
        <f t="shared" si="52"/>
        <v>0</v>
      </c>
      <c r="AP136" s="49" t="str">
        <f t="shared" si="53"/>
        <v/>
      </c>
      <c r="AQ136" s="49">
        <f t="shared" si="54"/>
        <v>1</v>
      </c>
      <c r="AR136" s="49" t="str">
        <f t="shared" si="55"/>
        <v/>
      </c>
      <c r="AV136" s="57"/>
      <c r="BF136" s="52"/>
    </row>
    <row r="137" spans="1:58" ht="30" customHeight="1" x14ac:dyDescent="0.35">
      <c r="A137" s="25"/>
      <c r="B137" s="62" t="s">
        <v>64</v>
      </c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114"/>
      <c r="Z137" s="115"/>
      <c r="AA137" s="115"/>
      <c r="AB137" s="116"/>
      <c r="AC137" s="40"/>
      <c r="AD137" s="40"/>
      <c r="AE137" s="48" t="str">
        <f t="shared" si="45"/>
        <v/>
      </c>
      <c r="AF137" s="48"/>
      <c r="AG137" s="48"/>
      <c r="AH137" s="89"/>
      <c r="AI137" s="49">
        <f t="shared" si="46"/>
        <v>0</v>
      </c>
      <c r="AJ137" s="49" t="str">
        <f t="shared" si="47"/>
        <v/>
      </c>
      <c r="AK137" s="49">
        <f t="shared" si="48"/>
        <v>0</v>
      </c>
      <c r="AL137" s="49" t="str">
        <f t="shared" si="49"/>
        <v/>
      </c>
      <c r="AM137" s="49">
        <f t="shared" si="50"/>
        <v>0</v>
      </c>
      <c r="AN137" s="49" t="str">
        <f t="shared" si="51"/>
        <v/>
      </c>
      <c r="AO137" s="49">
        <f t="shared" si="52"/>
        <v>0</v>
      </c>
      <c r="AP137" s="49" t="str">
        <f t="shared" si="53"/>
        <v/>
      </c>
      <c r="AQ137" s="49">
        <f t="shared" si="54"/>
        <v>0</v>
      </c>
      <c r="AR137" s="49" t="str">
        <f t="shared" si="55"/>
        <v/>
      </c>
      <c r="AV137" s="57"/>
      <c r="BF137" s="52"/>
    </row>
    <row r="138" spans="1:58" ht="30" customHeight="1" x14ac:dyDescent="0.35">
      <c r="A138" s="25"/>
      <c r="B138" s="39" t="s">
        <v>59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108"/>
      <c r="Z138" s="109"/>
      <c r="AA138" s="109"/>
      <c r="AB138" s="110"/>
      <c r="AC138" s="40"/>
      <c r="AD138" s="40"/>
      <c r="AE138" s="48" t="str">
        <f t="shared" si="45"/>
        <v/>
      </c>
      <c r="AF138" s="48"/>
      <c r="AG138" s="48"/>
      <c r="AH138" s="89"/>
      <c r="AI138" s="49">
        <f t="shared" si="46"/>
        <v>0</v>
      </c>
      <c r="AJ138" s="49" t="str">
        <f t="shared" si="47"/>
        <v/>
      </c>
      <c r="AK138" s="49">
        <f t="shared" si="48"/>
        <v>0</v>
      </c>
      <c r="AL138" s="49" t="str">
        <f t="shared" si="49"/>
        <v/>
      </c>
      <c r="AM138" s="49">
        <f t="shared" si="50"/>
        <v>0</v>
      </c>
      <c r="AN138" s="49" t="str">
        <f t="shared" si="51"/>
        <v/>
      </c>
      <c r="AO138" s="49">
        <f t="shared" si="52"/>
        <v>0</v>
      </c>
      <c r="AP138" s="49" t="str">
        <f t="shared" si="53"/>
        <v/>
      </c>
      <c r="AQ138" s="49">
        <f t="shared" si="54"/>
        <v>0</v>
      </c>
      <c r="AR138" s="49" t="str">
        <f t="shared" si="55"/>
        <v/>
      </c>
      <c r="AV138" s="57"/>
      <c r="BF138" s="52"/>
    </row>
    <row r="139" spans="1:58" ht="30" customHeight="1" x14ac:dyDescent="0.35">
      <c r="A139" s="25" t="str">
        <f>CONCATENATE($B$82,"
",$B$119,"
",$B$137)</f>
        <v>PT177 - PLATAFORMA DE ACESSO - FORQUILHA 1 - BÁSICO
TORRE B2
CIVIL</v>
      </c>
      <c r="B139" s="40" t="s">
        <v>60</v>
      </c>
      <c r="C139" s="60" t="str">
        <f>IF(AND($B139=[1]rogério!$A140,[1]rogério!$B140=C$4),"ok","nok")</f>
        <v>nok</v>
      </c>
      <c r="D139" s="60" t="str">
        <f>IF(AND($B139=[1]rogério!$A140,[1]rogério!$B140=D$4),"ok","nok")</f>
        <v>nok</v>
      </c>
      <c r="E139" s="60" t="str">
        <f>IF(AND($B139=[1]rogério!$A140,[1]rogério!$B140=E$4),"ok","nok")</f>
        <v>nok</v>
      </c>
      <c r="F139" s="60" t="str">
        <f>IF(AND($B139=[1]rogério!$A140,[1]rogério!$B140=F$4),"ok","nok")</f>
        <v>nok</v>
      </c>
      <c r="G139" s="60" t="str">
        <f>IF(AND($B139=[1]rogério!$A140,[1]rogério!$B140=G$4),"ok","nok")</f>
        <v>ok</v>
      </c>
      <c r="H139" s="60" t="str">
        <f>IF(AND($B139=[1]rogério!$A140,[1]rogério!$B140=H$4),"ok","nok")</f>
        <v>nok</v>
      </c>
      <c r="I139" s="60" t="str">
        <f>IF(AND($B139=[1]rogério!$A140,[1]rogério!$B140=I$4),"ok","nok")</f>
        <v>nok</v>
      </c>
      <c r="J139" s="60" t="str">
        <f>IF(AND($B139=[1]rogério!$A140,[1]rogério!$B140=J$4),"ok","nok")</f>
        <v>nok</v>
      </c>
      <c r="K139" s="60" t="str">
        <f>IF(AND($B139=[1]rogério!$A140,[1]rogério!$B140=K$4),"ok","nok")</f>
        <v>nok</v>
      </c>
      <c r="L139" s="60" t="str">
        <f>IF(AND($B139=[1]rogério!$A140,[1]rogério!$B140=L$4),"ok","nok")</f>
        <v>nok</v>
      </c>
      <c r="M139" s="60" t="str">
        <f>IF(AND($B139=[1]rogério!$A140,[1]rogério!$B140=M$4),"ok","nok")</f>
        <v>nok</v>
      </c>
      <c r="N139" s="60" t="str">
        <f>IF(AND($B139=[1]rogério!$A140,[1]rogério!$B140=N$4),"ok","nok")</f>
        <v>nok</v>
      </c>
      <c r="O139" s="60" t="str">
        <f>IF(AND($B139=[1]rogério!$A140,[1]rogério!$B140=O$4),"ok","nok")</f>
        <v>nok</v>
      </c>
      <c r="P139" s="60" t="str">
        <f>IF(AND($B139=[1]rogério!$A140,[1]rogério!$B140=P$4),"ok","nok")</f>
        <v>nok</v>
      </c>
      <c r="Q139" s="60" t="str">
        <f>IF(AND($B139=[1]rogério!$A140,[1]rogério!$B140=Q$4),"ok","nok")</f>
        <v>nok</v>
      </c>
      <c r="R139" s="60" t="str">
        <f>IF(AND($B139=[1]rogério!$A140,[1]rogério!$B140=R$4),"ok","nok")</f>
        <v>nok</v>
      </c>
      <c r="S139" s="60" t="str">
        <f>IF(AND($B139=[1]rogério!$A140,[1]rogério!$B140=S$4),"ok","nok")</f>
        <v>nok</v>
      </c>
      <c r="T139" s="60" t="str">
        <f>IF(AND($B139=[1]rogério!$A140,[1]rogério!$B140=T$4),"ok","nok")</f>
        <v>nok</v>
      </c>
      <c r="U139" s="60" t="str">
        <f>IF(AND($B139=[1]rogério!$A140,[1]rogério!$B140=U$4),"ok","nok")</f>
        <v>nok</v>
      </c>
      <c r="V139" s="60" t="str">
        <f>IF(AND($B139=[1]rogério!$A140,[1]rogério!$B140=V$4),"ok","nok")</f>
        <v>nok</v>
      </c>
      <c r="W139" s="60" t="str">
        <f>IF(AND($B139=[1]rogério!$A140,[1]rogério!$B140=W$4),"ok","nok")</f>
        <v>nok</v>
      </c>
      <c r="X139" s="60" t="str">
        <f>IF(AND($B139=[1]rogério!$A140,[1]rogério!$B140=X$4),"ok","nok")</f>
        <v>nok</v>
      </c>
      <c r="Y139" s="105" t="s">
        <v>33</v>
      </c>
      <c r="Z139" s="106"/>
      <c r="AA139" s="106"/>
      <c r="AB139" s="107"/>
      <c r="AC139" s="40"/>
      <c r="AD139" s="40"/>
      <c r="AE139" s="48" t="str">
        <f t="shared" si="45"/>
        <v/>
      </c>
      <c r="AF139" s="48"/>
      <c r="AG139" s="48"/>
      <c r="AH139" s="89"/>
      <c r="AI139" s="49">
        <f t="shared" si="46"/>
        <v>1</v>
      </c>
      <c r="AJ139" s="49" t="str">
        <f t="shared" si="47"/>
        <v>EFPRAZO</v>
      </c>
      <c r="AK139" s="49">
        <f t="shared" si="48"/>
        <v>0</v>
      </c>
      <c r="AL139" s="49" t="str">
        <f t="shared" si="49"/>
        <v/>
      </c>
      <c r="AM139" s="49">
        <f t="shared" si="50"/>
        <v>0</v>
      </c>
      <c r="AN139" s="49" t="str">
        <f t="shared" si="51"/>
        <v/>
      </c>
      <c r="AO139" s="49">
        <f t="shared" si="52"/>
        <v>0</v>
      </c>
      <c r="AP139" s="49" t="str">
        <f t="shared" si="53"/>
        <v/>
      </c>
      <c r="AQ139" s="49">
        <f t="shared" si="54"/>
        <v>0</v>
      </c>
      <c r="AR139" s="49" t="str">
        <f t="shared" si="55"/>
        <v/>
      </c>
      <c r="AV139" s="57"/>
      <c r="BF139" s="52"/>
    </row>
    <row r="140" spans="1:58" ht="30" customHeight="1" x14ac:dyDescent="0.35">
      <c r="A140" s="25" t="str">
        <f t="shared" ref="A140:A157" si="56">CONCATENATE($B$82,"
",$B$119,"
",$B$137)</f>
        <v>PT177 - PLATAFORMA DE ACESSO - FORQUILHA 1 - BÁSICO
TORRE B2
CIVIL</v>
      </c>
      <c r="B140" s="40" t="s">
        <v>61</v>
      </c>
      <c r="C140" s="60" t="str">
        <f>IF(AND($B140=[1]rogério!$A141,[1]rogério!$B141=C$4),"ok","nok")</f>
        <v>nok</v>
      </c>
      <c r="D140" s="60" t="str">
        <f>IF(AND($B140=[1]rogério!$A141,[1]rogério!$B141=D$4),"ok","nok")</f>
        <v>nok</v>
      </c>
      <c r="E140" s="60" t="str">
        <f>IF(AND($B140=[1]rogério!$A141,[1]rogério!$B141=E$4),"ok","nok")</f>
        <v>nok</v>
      </c>
      <c r="F140" s="60" t="str">
        <f>IF(AND($B140=[1]rogério!$A141,[1]rogério!$B141=F$4),"ok","nok")</f>
        <v>nok</v>
      </c>
      <c r="G140" s="60" t="str">
        <f>IF(AND($B140=[1]rogério!$A141,[1]rogério!$B141=G$4),"ok","nok")</f>
        <v>ok</v>
      </c>
      <c r="H140" s="60" t="str">
        <f>IF(AND($B140=[1]rogério!$A141,[1]rogério!$B141=H$4),"ok","nok")</f>
        <v>nok</v>
      </c>
      <c r="I140" s="60" t="str">
        <f>IF(AND($B140=[1]rogério!$A141,[1]rogério!$B141=I$4),"ok","nok")</f>
        <v>nok</v>
      </c>
      <c r="J140" s="60" t="str">
        <f>IF(AND($B140=[1]rogério!$A141,[1]rogério!$B141=J$4),"ok","nok")</f>
        <v>nok</v>
      </c>
      <c r="K140" s="60" t="str">
        <f>IF(AND($B140=[1]rogério!$A141,[1]rogério!$B141=K$4),"ok","nok")</f>
        <v>nok</v>
      </c>
      <c r="L140" s="60" t="str">
        <f>IF(AND($B140=[1]rogério!$A141,[1]rogério!$B141=L$4),"ok","nok")</f>
        <v>nok</v>
      </c>
      <c r="M140" s="60" t="str">
        <f>IF(AND($B140=[1]rogério!$A141,[1]rogério!$B141=M$4),"ok","nok")</f>
        <v>nok</v>
      </c>
      <c r="N140" s="60" t="str">
        <f>IF(AND($B140=[1]rogério!$A141,[1]rogério!$B141=N$4),"ok","nok")</f>
        <v>nok</v>
      </c>
      <c r="O140" s="60" t="str">
        <f>IF(AND($B140=[1]rogério!$A141,[1]rogério!$B141=O$4),"ok","nok")</f>
        <v>nok</v>
      </c>
      <c r="P140" s="60" t="str">
        <f>IF(AND($B140=[1]rogério!$A141,[1]rogério!$B141=P$4),"ok","nok")</f>
        <v>nok</v>
      </c>
      <c r="Q140" s="60" t="str">
        <f>IF(AND($B140=[1]rogério!$A141,[1]rogério!$B141=Q$4),"ok","nok")</f>
        <v>nok</v>
      </c>
      <c r="R140" s="60" t="str">
        <f>IF(AND($B140=[1]rogério!$A141,[1]rogério!$B141=R$4),"ok","nok")</f>
        <v>nok</v>
      </c>
      <c r="S140" s="60" t="str">
        <f>IF(AND($B140=[1]rogério!$A141,[1]rogério!$B141=S$4),"ok","nok")</f>
        <v>nok</v>
      </c>
      <c r="T140" s="60" t="str">
        <f>IF(AND($B140=[1]rogério!$A141,[1]rogério!$B141=T$4),"ok","nok")</f>
        <v>nok</v>
      </c>
      <c r="U140" s="60" t="str">
        <f>IF(AND($B140=[1]rogério!$A141,[1]rogério!$B141=U$4),"ok","nok")</f>
        <v>nok</v>
      </c>
      <c r="V140" s="60" t="str">
        <f>IF(AND($B140=[1]rogério!$A141,[1]rogério!$B141=V$4),"ok","nok")</f>
        <v>nok</v>
      </c>
      <c r="W140" s="60" t="str">
        <f>IF(AND($B140=[1]rogério!$A141,[1]rogério!$B141=W$4),"ok","nok")</f>
        <v>nok</v>
      </c>
      <c r="X140" s="60" t="str">
        <f>IF(AND($B140=[1]rogério!$A141,[1]rogério!$B141=X$4),"ok","nok")</f>
        <v>nok</v>
      </c>
      <c r="Y140" s="105" t="s">
        <v>33</v>
      </c>
      <c r="Z140" s="106"/>
      <c r="AA140" s="106"/>
      <c r="AB140" s="107"/>
      <c r="AC140" s="40"/>
      <c r="AD140" s="40"/>
      <c r="AE140" s="48" t="str">
        <f t="shared" si="45"/>
        <v/>
      </c>
      <c r="AF140" s="48"/>
      <c r="AG140" s="48"/>
      <c r="AH140" s="89"/>
      <c r="AI140" s="49">
        <f t="shared" si="46"/>
        <v>1</v>
      </c>
      <c r="AJ140" s="49" t="str">
        <f t="shared" si="47"/>
        <v>EFPRAZO</v>
      </c>
      <c r="AK140" s="49">
        <f t="shared" si="48"/>
        <v>0</v>
      </c>
      <c r="AL140" s="49" t="str">
        <f t="shared" si="49"/>
        <v/>
      </c>
      <c r="AM140" s="49">
        <f t="shared" si="50"/>
        <v>0</v>
      </c>
      <c r="AN140" s="49" t="str">
        <f t="shared" si="51"/>
        <v/>
      </c>
      <c r="AO140" s="49">
        <f t="shared" si="52"/>
        <v>0</v>
      </c>
      <c r="AP140" s="49" t="str">
        <f t="shared" si="53"/>
        <v/>
      </c>
      <c r="AQ140" s="49">
        <f t="shared" si="54"/>
        <v>0</v>
      </c>
      <c r="AR140" s="49" t="str">
        <f t="shared" si="55"/>
        <v/>
      </c>
      <c r="AV140" s="57"/>
      <c r="BF140" s="52"/>
    </row>
    <row r="141" spans="1:58" ht="30" customHeight="1" x14ac:dyDescent="0.35">
      <c r="A141" s="25" t="str">
        <f t="shared" si="56"/>
        <v>PT177 - PLATAFORMA DE ACESSO - FORQUILHA 1 - BÁSICO
TORRE B2
CIVIL</v>
      </c>
      <c r="B141" s="40" t="s">
        <v>19</v>
      </c>
      <c r="C141" s="60" t="str">
        <f>IF(AND($B141=[1]rogério!$A142,[1]rogério!$B142=C$4),"ok","nok")</f>
        <v>nok</v>
      </c>
      <c r="D141" s="60" t="str">
        <f>IF(AND($B141=[1]rogério!$A142,[1]rogério!$B142=D$4),"ok","nok")</f>
        <v>nok</v>
      </c>
      <c r="E141" s="60" t="str">
        <f>IF(AND($B141=[1]rogério!$A142,[1]rogério!$B142=E$4),"ok","nok")</f>
        <v>nok</v>
      </c>
      <c r="F141" s="60" t="str">
        <f>IF(AND($B141=[1]rogério!$A142,[1]rogério!$B142=F$4),"ok","nok")</f>
        <v>nok</v>
      </c>
      <c r="G141" s="60" t="str">
        <f>IF(AND($B141=[1]rogério!$A142,[1]rogério!$B142=G$4),"ok","nok")</f>
        <v>nok</v>
      </c>
      <c r="H141" s="60" t="str">
        <f>IF(AND($B141=[1]rogério!$A142,[1]rogério!$B142=H$4),"ok","nok")</f>
        <v>nok</v>
      </c>
      <c r="I141" s="60" t="str">
        <f>IF(AND($B141=[1]rogério!$A142,[1]rogério!$B142=I$4),"ok","nok")</f>
        <v>nok</v>
      </c>
      <c r="J141" s="60" t="str">
        <f>IF(AND($B141=[1]rogério!$A142,[1]rogério!$B142=J$4),"ok","nok")</f>
        <v>nok</v>
      </c>
      <c r="K141" s="60" t="str">
        <f>IF(AND($B141=[1]rogério!$A142,[1]rogério!$B142=K$4),"ok","nok")</f>
        <v>nok</v>
      </c>
      <c r="L141" s="60" t="str">
        <f>IF(AND($B141=[1]rogério!$A142,[1]rogério!$B142=L$4),"ok","nok")</f>
        <v>nok</v>
      </c>
      <c r="M141" s="60" t="str">
        <f>IF(AND($B141=[1]rogério!$A142,[1]rogério!$B142=M$4),"ok","nok")</f>
        <v>nok</v>
      </c>
      <c r="N141" s="60" t="str">
        <f>IF(AND($B141=[1]rogério!$A142,[1]rogério!$B142=N$4),"ok","nok")</f>
        <v>nok</v>
      </c>
      <c r="O141" s="60" t="str">
        <f>IF(AND($B141=[1]rogério!$A142,[1]rogério!$B142=O$4),"ok","nok")</f>
        <v>nok</v>
      </c>
      <c r="P141" s="60" t="str">
        <f>IF(AND($B141=[1]rogério!$A142,[1]rogério!$B142=P$4),"ok","nok")</f>
        <v>nok</v>
      </c>
      <c r="Q141" s="60" t="str">
        <f>IF(AND($B141=[1]rogério!$A142,[1]rogério!$B142=Q$4),"ok","nok")</f>
        <v>nok</v>
      </c>
      <c r="R141" s="60" t="str">
        <f>IF(AND($B141=[1]rogério!$A142,[1]rogério!$B142=R$4),"ok","nok")</f>
        <v>nok</v>
      </c>
      <c r="S141" s="60" t="str">
        <f>IF(AND($B141=[1]rogério!$A142,[1]rogério!$B142=S$4),"ok","nok")</f>
        <v>nok</v>
      </c>
      <c r="T141" s="60" t="str">
        <f>IF(AND($B141=[1]rogério!$A142,[1]rogério!$B142=T$4),"ok","nok")</f>
        <v>nok</v>
      </c>
      <c r="U141" s="60" t="str">
        <f>IF(AND($B141=[1]rogério!$A142,[1]rogério!$B142=U$4),"ok","nok")</f>
        <v>nok</v>
      </c>
      <c r="V141" s="60" t="str">
        <f>IF(AND($B141=[1]rogério!$A142,[1]rogério!$B142=V$4),"ok","nok")</f>
        <v>nok</v>
      </c>
      <c r="W141" s="60" t="str">
        <f>IF(AND($B141=[1]rogério!$A142,[1]rogério!$B142=W$4),"ok","nok")</f>
        <v>nok</v>
      </c>
      <c r="X141" s="60" t="str">
        <f>IF(AND($B141=[1]rogério!$A142,[1]rogério!$B142=X$4),"ok","nok")</f>
        <v>ok</v>
      </c>
      <c r="Y141" s="105" t="s">
        <v>31</v>
      </c>
      <c r="Z141" s="106"/>
      <c r="AA141" s="106"/>
      <c r="AB141" s="107"/>
      <c r="AC141" s="40"/>
      <c r="AD141" s="40"/>
      <c r="AE141" s="48" t="str">
        <f t="shared" si="45"/>
        <v>Aprovação do Cliente</v>
      </c>
      <c r="AF141" s="48"/>
      <c r="AG141" s="48"/>
      <c r="AH141" s="89"/>
      <c r="AI141" s="49">
        <f t="shared" si="46"/>
        <v>0</v>
      </c>
      <c r="AJ141" s="49" t="str">
        <f t="shared" si="47"/>
        <v/>
      </c>
      <c r="AK141" s="49">
        <f t="shared" si="48"/>
        <v>0</v>
      </c>
      <c r="AL141" s="49" t="str">
        <f t="shared" si="49"/>
        <v/>
      </c>
      <c r="AM141" s="49">
        <f t="shared" si="50"/>
        <v>0</v>
      </c>
      <c r="AN141" s="49" t="str">
        <f t="shared" si="51"/>
        <v/>
      </c>
      <c r="AO141" s="49">
        <f t="shared" si="52"/>
        <v>0</v>
      </c>
      <c r="AP141" s="49" t="str">
        <f t="shared" si="53"/>
        <v/>
      </c>
      <c r="AQ141" s="49">
        <f t="shared" si="54"/>
        <v>1</v>
      </c>
      <c r="AR141" s="49" t="str">
        <f t="shared" si="55"/>
        <v/>
      </c>
      <c r="AV141" s="57"/>
      <c r="BF141" s="52"/>
    </row>
    <row r="142" spans="1:58" ht="30" customHeight="1" x14ac:dyDescent="0.35">
      <c r="A142" s="25" t="str">
        <f t="shared" si="56"/>
        <v>PT177 - PLATAFORMA DE ACESSO - FORQUILHA 1 - BÁSICO
TORRE B2
CIVIL</v>
      </c>
      <c r="B142" s="40" t="s">
        <v>42</v>
      </c>
      <c r="C142" s="60" t="str">
        <f>IF(AND($B142=[1]rogério!$A143,[1]rogério!$B143=C$4),"ok","nok")</f>
        <v>nok</v>
      </c>
      <c r="D142" s="60" t="str">
        <f>IF(AND($B142=[1]rogério!$A143,[1]rogério!$B143=D$4),"ok","nok")</f>
        <v>nok</v>
      </c>
      <c r="E142" s="60" t="str">
        <f>IF(AND($B142=[1]rogério!$A143,[1]rogério!$B143=E$4),"ok","nok")</f>
        <v>nok</v>
      </c>
      <c r="F142" s="60" t="str">
        <f>IF(AND($B142=[1]rogério!$A143,[1]rogério!$B143=F$4),"ok","nok")</f>
        <v>nok</v>
      </c>
      <c r="G142" s="60" t="str">
        <f>IF(AND($B142=[1]rogério!$A143,[1]rogério!$B143=G$4),"ok","nok")</f>
        <v>nok</v>
      </c>
      <c r="H142" s="60" t="str">
        <f>IF(AND($B142=[1]rogério!$A143,[1]rogério!$B143=H$4),"ok","nok")</f>
        <v>nok</v>
      </c>
      <c r="I142" s="60" t="str">
        <f>IF(AND($B142=[1]rogério!$A143,[1]rogério!$B143=I$4),"ok","nok")</f>
        <v>nok</v>
      </c>
      <c r="J142" s="60" t="str">
        <f>IF(AND($B142=[1]rogério!$A143,[1]rogério!$B143=J$4),"ok","nok")</f>
        <v>nok</v>
      </c>
      <c r="K142" s="60" t="str">
        <f>IF(AND($B142=[1]rogério!$A143,[1]rogério!$B143=K$4),"ok","nok")</f>
        <v>nok</v>
      </c>
      <c r="L142" s="60" t="str">
        <f>IF(AND($B142=[1]rogério!$A143,[1]rogério!$B143=L$4),"ok","nok")</f>
        <v>nok</v>
      </c>
      <c r="M142" s="60" t="str">
        <f>IF(AND($B142=[1]rogério!$A143,[1]rogério!$B143=M$4),"ok","nok")</f>
        <v>nok</v>
      </c>
      <c r="N142" s="60" t="str">
        <f>IF(AND($B142=[1]rogério!$A143,[1]rogério!$B143=N$4),"ok","nok")</f>
        <v>nok</v>
      </c>
      <c r="O142" s="60" t="str">
        <f>IF(AND($B142=[1]rogério!$A143,[1]rogério!$B143=O$4),"ok","nok")</f>
        <v>nok</v>
      </c>
      <c r="P142" s="60" t="str">
        <f>IF(AND($B142=[1]rogério!$A143,[1]rogério!$B143=P$4),"ok","nok")</f>
        <v>nok</v>
      </c>
      <c r="Q142" s="60" t="str">
        <f>IF(AND($B142=[1]rogério!$A143,[1]rogério!$B143=Q$4),"ok","nok")</f>
        <v>nok</v>
      </c>
      <c r="R142" s="60" t="str">
        <f>IF(AND($B142=[1]rogério!$A143,[1]rogério!$B143=R$4),"ok","nok")</f>
        <v>nok</v>
      </c>
      <c r="S142" s="60" t="str">
        <f>IF(AND($B142=[1]rogério!$A143,[1]rogério!$B143=S$4),"ok","nok")</f>
        <v>nok</v>
      </c>
      <c r="T142" s="60" t="str">
        <f>IF(AND($B142=[1]rogério!$A143,[1]rogério!$B143=T$4),"ok","nok")</f>
        <v>nok</v>
      </c>
      <c r="U142" s="60" t="str">
        <f>IF(AND($B142=[1]rogério!$A143,[1]rogério!$B143=U$4),"ok","nok")</f>
        <v>nok</v>
      </c>
      <c r="V142" s="60" t="str">
        <f>IF(AND($B142=[1]rogério!$A143,[1]rogério!$B143=V$4),"ok","nok")</f>
        <v>nok</v>
      </c>
      <c r="W142" s="60" t="str">
        <f>IF(AND($B142=[1]rogério!$A143,[1]rogério!$B143=W$4),"ok","nok")</f>
        <v>nok</v>
      </c>
      <c r="X142" s="60" t="str">
        <f>IF(AND($B142=[1]rogério!$A143,[1]rogério!$B143=X$4),"ok","nok")</f>
        <v>ok</v>
      </c>
      <c r="Y142" s="105" t="s">
        <v>31</v>
      </c>
      <c r="Z142" s="106"/>
      <c r="AA142" s="106"/>
      <c r="AB142" s="107"/>
      <c r="AC142" s="40"/>
      <c r="AD142" s="40"/>
      <c r="AE142" s="48" t="str">
        <f t="shared" si="45"/>
        <v>Certificação do documento - Vibracon</v>
      </c>
      <c r="AF142" s="48"/>
      <c r="AG142" s="48"/>
      <c r="AH142" s="89"/>
      <c r="AI142" s="49">
        <f t="shared" si="46"/>
        <v>0</v>
      </c>
      <c r="AJ142" s="49" t="str">
        <f t="shared" si="47"/>
        <v/>
      </c>
      <c r="AK142" s="49">
        <f t="shared" si="48"/>
        <v>0</v>
      </c>
      <c r="AL142" s="49" t="str">
        <f t="shared" si="49"/>
        <v/>
      </c>
      <c r="AM142" s="49">
        <f t="shared" si="50"/>
        <v>0</v>
      </c>
      <c r="AN142" s="49" t="str">
        <f t="shared" si="51"/>
        <v/>
      </c>
      <c r="AO142" s="49">
        <f t="shared" si="52"/>
        <v>0</v>
      </c>
      <c r="AP142" s="49" t="str">
        <f t="shared" si="53"/>
        <v/>
      </c>
      <c r="AQ142" s="49">
        <f t="shared" si="54"/>
        <v>1</v>
      </c>
      <c r="AR142" s="49" t="str">
        <f t="shared" si="55"/>
        <v/>
      </c>
      <c r="AV142" s="57"/>
      <c r="BF142" s="52"/>
    </row>
    <row r="143" spans="1:58" ht="30" customHeight="1" x14ac:dyDescent="0.35">
      <c r="A143" s="25" t="str">
        <f t="shared" si="56"/>
        <v>PT177 - PLATAFORMA DE ACESSO - FORQUILHA 1 - BÁSICO
TORRE B2
CIVIL</v>
      </c>
      <c r="B143" s="40" t="s">
        <v>43</v>
      </c>
      <c r="C143" s="60" t="str">
        <f>IF(AND($B143=[1]rogério!$A144,[1]rogério!$B144=C$4),"ok","nok")</f>
        <v>nok</v>
      </c>
      <c r="D143" s="60" t="str">
        <f>IF(AND($B143=[1]rogério!$A144,[1]rogério!$B144=D$4),"ok","nok")</f>
        <v>nok</v>
      </c>
      <c r="E143" s="60" t="str">
        <f>IF(AND($B143=[1]rogério!$A144,[1]rogério!$B144=E$4),"ok","nok")</f>
        <v>nok</v>
      </c>
      <c r="F143" s="60" t="str">
        <f>IF(AND($B143=[1]rogério!$A144,[1]rogério!$B144=F$4),"ok","nok")</f>
        <v>nok</v>
      </c>
      <c r="G143" s="60" t="str">
        <f>IF(AND($B143=[1]rogério!$A144,[1]rogério!$B144=G$4),"ok","nok")</f>
        <v>nok</v>
      </c>
      <c r="H143" s="60" t="str">
        <f>IF(AND($B143=[1]rogério!$A144,[1]rogério!$B144=H$4),"ok","nok")</f>
        <v>nok</v>
      </c>
      <c r="I143" s="60" t="str">
        <f>IF(AND($B143=[1]rogério!$A144,[1]rogério!$B144=I$4),"ok","nok")</f>
        <v>nok</v>
      </c>
      <c r="J143" s="60" t="str">
        <f>IF(AND($B143=[1]rogério!$A144,[1]rogério!$B144=J$4),"ok","nok")</f>
        <v>nok</v>
      </c>
      <c r="K143" s="60" t="str">
        <f>IF(AND($B143=[1]rogério!$A144,[1]rogério!$B144=K$4),"ok","nok")</f>
        <v>nok</v>
      </c>
      <c r="L143" s="60" t="str">
        <f>IF(AND($B143=[1]rogério!$A144,[1]rogério!$B144=L$4),"ok","nok")</f>
        <v>nok</v>
      </c>
      <c r="M143" s="60" t="str">
        <f>IF(AND($B143=[1]rogério!$A144,[1]rogério!$B144=M$4),"ok","nok")</f>
        <v>nok</v>
      </c>
      <c r="N143" s="60" t="str">
        <f>IF(AND($B143=[1]rogério!$A144,[1]rogério!$B144=N$4),"ok","nok")</f>
        <v>nok</v>
      </c>
      <c r="O143" s="60" t="str">
        <f>IF(AND($B143=[1]rogério!$A144,[1]rogério!$B144=O$4),"ok","nok")</f>
        <v>nok</v>
      </c>
      <c r="P143" s="60" t="str">
        <f>IF(AND($B143=[1]rogério!$A144,[1]rogério!$B144=P$4),"ok","nok")</f>
        <v>nok</v>
      </c>
      <c r="Q143" s="60" t="str">
        <f>IF(AND($B143=[1]rogério!$A144,[1]rogério!$B144=Q$4),"ok","nok")</f>
        <v>nok</v>
      </c>
      <c r="R143" s="60" t="str">
        <f>IF(AND($B143=[1]rogério!$A144,[1]rogério!$B144=R$4),"ok","nok")</f>
        <v>nok</v>
      </c>
      <c r="S143" s="60" t="str">
        <f>IF(AND($B143=[1]rogério!$A144,[1]rogério!$B144=S$4),"ok","nok")</f>
        <v>nok</v>
      </c>
      <c r="T143" s="60" t="str">
        <f>IF(AND($B143=[1]rogério!$A144,[1]rogério!$B144=T$4),"ok","nok")</f>
        <v>nok</v>
      </c>
      <c r="U143" s="60" t="str">
        <f>IF(AND($B143=[1]rogério!$A144,[1]rogério!$B144=U$4),"ok","nok")</f>
        <v>nok</v>
      </c>
      <c r="V143" s="60" t="str">
        <f>IF(AND($B143=[1]rogério!$A144,[1]rogério!$B144=V$4),"ok","nok")</f>
        <v>nok</v>
      </c>
      <c r="W143" s="60" t="str">
        <f>IF(AND($B143=[1]rogério!$A144,[1]rogério!$B144=W$4),"ok","nok")</f>
        <v>nok</v>
      </c>
      <c r="X143" s="60" t="str">
        <f>IF(AND($B143=[1]rogério!$A144,[1]rogério!$B144=X$4),"ok","nok")</f>
        <v>ok</v>
      </c>
      <c r="Y143" s="105" t="s">
        <v>31</v>
      </c>
      <c r="Z143" s="106"/>
      <c r="AA143" s="106"/>
      <c r="AB143" s="107"/>
      <c r="AC143" s="40"/>
      <c r="AD143" s="40"/>
      <c r="AE143" s="48" t="str">
        <f t="shared" si="45"/>
        <v>MARCO - Envio do documento Certificado (Rev_0)</v>
      </c>
      <c r="AF143" s="48"/>
      <c r="AG143" s="48"/>
      <c r="AH143" s="89"/>
      <c r="AI143" s="49">
        <f t="shared" si="46"/>
        <v>0</v>
      </c>
      <c r="AJ143" s="49" t="str">
        <f t="shared" si="47"/>
        <v/>
      </c>
      <c r="AK143" s="49">
        <f t="shared" si="48"/>
        <v>0</v>
      </c>
      <c r="AL143" s="49" t="str">
        <f t="shared" si="49"/>
        <v/>
      </c>
      <c r="AM143" s="49">
        <f t="shared" si="50"/>
        <v>0</v>
      </c>
      <c r="AN143" s="49" t="str">
        <f t="shared" si="51"/>
        <v/>
      </c>
      <c r="AO143" s="49">
        <f t="shared" si="52"/>
        <v>0</v>
      </c>
      <c r="AP143" s="49" t="str">
        <f t="shared" si="53"/>
        <v/>
      </c>
      <c r="AQ143" s="49">
        <f t="shared" si="54"/>
        <v>1</v>
      </c>
      <c r="AR143" s="49" t="str">
        <f t="shared" si="55"/>
        <v/>
      </c>
      <c r="AV143" s="57"/>
      <c r="BF143" s="52"/>
    </row>
    <row r="144" spans="1:58" ht="30" customHeight="1" x14ac:dyDescent="0.35">
      <c r="A144" s="25" t="str">
        <f t="shared" si="56"/>
        <v>PT177 - PLATAFORMA DE ACESSO - FORQUILHA 1 - BÁSICO
TORRE B2
CIVIL</v>
      </c>
      <c r="B144" s="38" t="s">
        <v>65</v>
      </c>
      <c r="C144" s="60" t="str">
        <f>IF(AND($B144=[1]rogério!$A145,[1]rogério!$B145=C$4),"ok","nok")</f>
        <v>nok</v>
      </c>
      <c r="D144" s="60" t="str">
        <f>IF(AND($B144=[1]rogério!$A145,[1]rogério!$B145=D$4),"ok","nok")</f>
        <v>nok</v>
      </c>
      <c r="E144" s="60" t="str">
        <f>IF(AND($B144=[1]rogério!$A145,[1]rogério!$B145=E$4),"ok","nok")</f>
        <v>nok</v>
      </c>
      <c r="F144" s="60" t="str">
        <f>IF(AND($B144=[1]rogério!$A145,[1]rogério!$B145=F$4),"ok","nok")</f>
        <v>nok</v>
      </c>
      <c r="G144" s="60" t="str">
        <f>IF(AND($B144=[1]rogério!$A145,[1]rogério!$B145=G$4),"ok","nok")</f>
        <v>nok</v>
      </c>
      <c r="H144" s="60" t="str">
        <f>IF(AND($B144=[1]rogério!$A145,[1]rogério!$B145=H$4),"ok","nok")</f>
        <v>nok</v>
      </c>
      <c r="I144" s="60" t="str">
        <f>IF(AND($B144=[1]rogério!$A145,[1]rogério!$B145=I$4),"ok","nok")</f>
        <v>nok</v>
      </c>
      <c r="J144" s="60" t="str">
        <f>IF(AND($B144=[1]rogério!$A145,[1]rogério!$B145=J$4),"ok","nok")</f>
        <v>nok</v>
      </c>
      <c r="K144" s="60" t="str">
        <f>IF(AND($B144=[1]rogério!$A145,[1]rogério!$B145=K$4),"ok","nok")</f>
        <v>nok</v>
      </c>
      <c r="L144" s="60" t="str">
        <f>IF(AND($B144=[1]rogério!$A145,[1]rogério!$B145=L$4),"ok","nok")</f>
        <v>ok</v>
      </c>
      <c r="M144" s="60" t="str">
        <f>IF(AND($B144=[1]rogério!$A145,[1]rogério!$B145=M$4),"ok","nok")</f>
        <v>nok</v>
      </c>
      <c r="N144" s="60" t="str">
        <f>IF(AND($B144=[1]rogério!$A145,[1]rogério!$B145=N$4),"ok","nok")</f>
        <v>nok</v>
      </c>
      <c r="O144" s="60" t="str">
        <f>IF(AND($B144=[1]rogério!$A145,[1]rogério!$B145=O$4),"ok","nok")</f>
        <v>nok</v>
      </c>
      <c r="P144" s="60" t="str">
        <f>IF(AND($B144=[1]rogério!$A145,[1]rogério!$B145=P$4),"ok","nok")</f>
        <v>nok</v>
      </c>
      <c r="Q144" s="60" t="str">
        <f>IF(AND($B144=[1]rogério!$A145,[1]rogério!$B145=Q$4),"ok","nok")</f>
        <v>nok</v>
      </c>
      <c r="R144" s="60" t="str">
        <f>IF(AND($B144=[1]rogério!$A145,[1]rogério!$B145=R$4),"ok","nok")</f>
        <v>nok</v>
      </c>
      <c r="S144" s="60" t="str">
        <f>IF(AND($B144=[1]rogério!$A145,[1]rogério!$B145=S$4),"ok","nok")</f>
        <v>nok</v>
      </c>
      <c r="T144" s="60" t="str">
        <f>IF(AND($B144=[1]rogério!$A145,[1]rogério!$B145=T$4),"ok","nok")</f>
        <v>nok</v>
      </c>
      <c r="U144" s="60" t="str">
        <f>IF(AND($B144=[1]rogério!$A145,[1]rogério!$B145=U$4),"ok","nok")</f>
        <v>nok</v>
      </c>
      <c r="V144" s="60" t="str">
        <f>IF(AND($B144=[1]rogério!$A145,[1]rogério!$B145=V$4),"ok","nok")</f>
        <v>nok</v>
      </c>
      <c r="W144" s="60" t="str">
        <f>IF(AND($B144=[1]rogério!$A145,[1]rogério!$B145=W$4),"ok","nok")</f>
        <v>nok</v>
      </c>
      <c r="X144" s="60" t="str">
        <f>IF(AND($B144=[1]rogério!$A145,[1]rogério!$B145=X$4),"ok","nok")</f>
        <v>nok</v>
      </c>
      <c r="Y144" s="105" t="s">
        <v>33</v>
      </c>
      <c r="Z144" s="106"/>
      <c r="AA144" s="106"/>
      <c r="AB144" s="107"/>
      <c r="AC144" s="40"/>
      <c r="AD144" s="40"/>
      <c r="AE144" s="48" t="str">
        <f t="shared" si="45"/>
        <v/>
      </c>
      <c r="AF144" s="48"/>
      <c r="AG144" s="48"/>
      <c r="AH144" s="89"/>
      <c r="AI144" s="49">
        <f t="shared" si="46"/>
        <v>0</v>
      </c>
      <c r="AJ144" s="49" t="str">
        <f t="shared" si="47"/>
        <v/>
      </c>
      <c r="AK144" s="49">
        <f t="shared" si="48"/>
        <v>1</v>
      </c>
      <c r="AL144" s="49" t="str">
        <f t="shared" si="49"/>
        <v>EFPRAZO</v>
      </c>
      <c r="AM144" s="49">
        <f t="shared" si="50"/>
        <v>0</v>
      </c>
      <c r="AN144" s="49" t="str">
        <f t="shared" si="51"/>
        <v/>
      </c>
      <c r="AO144" s="49">
        <f t="shared" si="52"/>
        <v>0</v>
      </c>
      <c r="AP144" s="49" t="str">
        <f t="shared" si="53"/>
        <v/>
      </c>
      <c r="AQ144" s="49">
        <f t="shared" si="54"/>
        <v>0</v>
      </c>
      <c r="AR144" s="49" t="str">
        <f t="shared" si="55"/>
        <v/>
      </c>
      <c r="AV144" s="57"/>
      <c r="BF144" s="52"/>
    </row>
    <row r="145" spans="1:58" ht="30" customHeight="1" x14ac:dyDescent="0.35">
      <c r="A145" s="25" t="str">
        <f t="shared" si="56"/>
        <v>PT177 - PLATAFORMA DE ACESSO - FORQUILHA 1 - BÁSICO
TORRE B2
CIVIL</v>
      </c>
      <c r="B145" s="38" t="s">
        <v>66</v>
      </c>
      <c r="C145" s="60" t="str">
        <f>IF(AND($B145=[1]rogério!$A146,[1]rogério!$B146=C$4),"ok","nok")</f>
        <v>nok</v>
      </c>
      <c r="D145" s="60" t="str">
        <f>IF(AND($B145=[1]rogério!$A146,[1]rogério!$B146=D$4),"ok","nok")</f>
        <v>nok</v>
      </c>
      <c r="E145" s="60" t="str">
        <f>IF(AND($B145=[1]rogério!$A146,[1]rogério!$B146=E$4),"ok","nok")</f>
        <v>nok</v>
      </c>
      <c r="F145" s="60" t="str">
        <f>IF(AND($B145=[1]rogério!$A146,[1]rogério!$B146=F$4),"ok","nok")</f>
        <v>nok</v>
      </c>
      <c r="G145" s="60" t="str">
        <f>IF(AND($B145=[1]rogério!$A146,[1]rogério!$B146=G$4),"ok","nok")</f>
        <v>nok</v>
      </c>
      <c r="H145" s="60" t="str">
        <f>IF(AND($B145=[1]rogério!$A146,[1]rogério!$B146=H$4),"ok","nok")</f>
        <v>nok</v>
      </c>
      <c r="I145" s="60" t="str">
        <f>IF(AND($B145=[1]rogério!$A146,[1]rogério!$B146=I$4),"ok","nok")</f>
        <v>nok</v>
      </c>
      <c r="J145" s="60" t="str">
        <f>IF(AND($B145=[1]rogério!$A146,[1]rogério!$B146=J$4),"ok","nok")</f>
        <v>nok</v>
      </c>
      <c r="K145" s="60" t="str">
        <f>IF(AND($B145=[1]rogério!$A146,[1]rogério!$B146=K$4),"ok","nok")</f>
        <v>nok</v>
      </c>
      <c r="L145" s="60" t="str">
        <f>IF(AND($B145=[1]rogério!$A146,[1]rogério!$B146=L$4),"ok","nok")</f>
        <v>nok</v>
      </c>
      <c r="M145" s="60" t="str">
        <f>IF(AND($B145=[1]rogério!$A146,[1]rogério!$B146=M$4),"ok","nok")</f>
        <v>ok</v>
      </c>
      <c r="N145" s="60" t="str">
        <f>IF(AND($B145=[1]rogério!$A146,[1]rogério!$B146=N$4),"ok","nok")</f>
        <v>nok</v>
      </c>
      <c r="O145" s="60" t="str">
        <f>IF(AND($B145=[1]rogério!$A146,[1]rogério!$B146=O$4),"ok","nok")</f>
        <v>nok</v>
      </c>
      <c r="P145" s="60" t="str">
        <f>IF(AND($B145=[1]rogério!$A146,[1]rogério!$B146=P$4),"ok","nok")</f>
        <v>nok</v>
      </c>
      <c r="Q145" s="60" t="str">
        <f>IF(AND($B145=[1]rogério!$A146,[1]rogério!$B146=Q$4),"ok","nok")</f>
        <v>nok</v>
      </c>
      <c r="R145" s="60" t="str">
        <f>IF(AND($B145=[1]rogério!$A146,[1]rogério!$B146=R$4),"ok","nok")</f>
        <v>nok</v>
      </c>
      <c r="S145" s="60" t="str">
        <f>IF(AND($B145=[1]rogério!$A146,[1]rogério!$B146=S$4),"ok","nok")</f>
        <v>nok</v>
      </c>
      <c r="T145" s="60" t="str">
        <f>IF(AND($B145=[1]rogério!$A146,[1]rogério!$B146=T$4),"ok","nok")</f>
        <v>nok</v>
      </c>
      <c r="U145" s="60" t="str">
        <f>IF(AND($B145=[1]rogério!$A146,[1]rogério!$B146=U$4),"ok","nok")</f>
        <v>nok</v>
      </c>
      <c r="V145" s="60" t="str">
        <f>IF(AND($B145=[1]rogério!$A146,[1]rogério!$B146=V$4),"ok","nok")</f>
        <v>nok</v>
      </c>
      <c r="W145" s="60" t="str">
        <f>IF(AND($B145=[1]rogério!$A146,[1]rogério!$B146=W$4),"ok","nok")</f>
        <v>nok</v>
      </c>
      <c r="X145" s="60" t="str">
        <f>IF(AND($B145=[1]rogério!$A146,[1]rogério!$B146=X$4),"ok","nok")</f>
        <v>nok</v>
      </c>
      <c r="Y145" s="105" t="s">
        <v>33</v>
      </c>
      <c r="Z145" s="106"/>
      <c r="AA145" s="106"/>
      <c r="AB145" s="107"/>
      <c r="AC145" s="40"/>
      <c r="AD145" s="40"/>
      <c r="AE145" s="48" t="str">
        <f t="shared" si="45"/>
        <v/>
      </c>
      <c r="AF145" s="48"/>
      <c r="AG145" s="48"/>
      <c r="AH145" s="89"/>
      <c r="AI145" s="49">
        <f t="shared" si="46"/>
        <v>0</v>
      </c>
      <c r="AJ145" s="49" t="str">
        <f t="shared" si="47"/>
        <v/>
      </c>
      <c r="AK145" s="49">
        <f t="shared" si="48"/>
        <v>0</v>
      </c>
      <c r="AL145" s="49" t="str">
        <f t="shared" si="49"/>
        <v/>
      </c>
      <c r="AM145" s="49">
        <f t="shared" si="50"/>
        <v>1</v>
      </c>
      <c r="AN145" s="49" t="str">
        <f t="shared" si="51"/>
        <v>EFPRAZO</v>
      </c>
      <c r="AO145" s="49">
        <f t="shared" si="52"/>
        <v>0</v>
      </c>
      <c r="AP145" s="49" t="str">
        <f t="shared" si="53"/>
        <v/>
      </c>
      <c r="AQ145" s="49">
        <f t="shared" si="54"/>
        <v>0</v>
      </c>
      <c r="AR145" s="49" t="str">
        <f t="shared" si="55"/>
        <v/>
      </c>
      <c r="AV145" s="57"/>
      <c r="BF145" s="52"/>
    </row>
    <row r="146" spans="1:58" ht="30" customHeight="1" x14ac:dyDescent="0.35">
      <c r="A146" s="25"/>
      <c r="B146" s="39" t="s">
        <v>67</v>
      </c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108"/>
      <c r="Z146" s="109"/>
      <c r="AA146" s="109"/>
      <c r="AB146" s="110"/>
      <c r="AC146" s="40"/>
      <c r="AD146" s="40"/>
      <c r="AE146" s="48" t="str">
        <f t="shared" si="45"/>
        <v/>
      </c>
      <c r="AF146" s="48"/>
      <c r="AG146" s="48"/>
      <c r="AH146" s="89"/>
      <c r="AI146" s="49">
        <f t="shared" si="46"/>
        <v>0</v>
      </c>
      <c r="AJ146" s="49" t="str">
        <f t="shared" si="47"/>
        <v/>
      </c>
      <c r="AK146" s="49">
        <f t="shared" si="48"/>
        <v>0</v>
      </c>
      <c r="AL146" s="49" t="str">
        <f t="shared" si="49"/>
        <v/>
      </c>
      <c r="AM146" s="49">
        <f t="shared" si="50"/>
        <v>0</v>
      </c>
      <c r="AN146" s="49" t="str">
        <f t="shared" si="51"/>
        <v/>
      </c>
      <c r="AO146" s="49">
        <f t="shared" si="52"/>
        <v>0</v>
      </c>
      <c r="AP146" s="49" t="str">
        <f t="shared" si="53"/>
        <v/>
      </c>
      <c r="AQ146" s="49">
        <f t="shared" si="54"/>
        <v>0</v>
      </c>
      <c r="AR146" s="49" t="str">
        <f t="shared" si="55"/>
        <v/>
      </c>
      <c r="AV146" s="57"/>
      <c r="BF146" s="52"/>
    </row>
    <row r="147" spans="1:58" ht="30" customHeight="1" x14ac:dyDescent="0.35">
      <c r="A147" s="25" t="str">
        <f t="shared" si="56"/>
        <v>PT177 - PLATAFORMA DE ACESSO - FORQUILHA 1 - BÁSICO
TORRE B2
CIVIL</v>
      </c>
      <c r="B147" s="40" t="s">
        <v>49</v>
      </c>
      <c r="C147" s="60" t="str">
        <f>IF(AND($B147=[1]rogério!$A148,[1]rogério!$B148=C$4),"ok","nok")</f>
        <v>nok</v>
      </c>
      <c r="D147" s="60" t="str">
        <f>IF(AND($B147=[1]rogério!$A148,[1]rogério!$B148=D$4),"ok","nok")</f>
        <v>nok</v>
      </c>
      <c r="E147" s="60" t="str">
        <f>IF(AND($B147=[1]rogério!$A148,[1]rogério!$B148=E$4),"ok","nok")</f>
        <v>nok</v>
      </c>
      <c r="F147" s="60" t="str">
        <f>IF(AND($B147=[1]rogério!$A148,[1]rogério!$B148=F$4),"ok","nok")</f>
        <v>nok</v>
      </c>
      <c r="G147" s="60" t="str">
        <f>IF(AND($B147=[1]rogério!$A148,[1]rogério!$B148=G$4),"ok","nok")</f>
        <v>nok</v>
      </c>
      <c r="H147" s="60" t="str">
        <f>IF(AND($B147=[1]rogério!$A148,[1]rogério!$B148=H$4),"ok","nok")</f>
        <v>nok</v>
      </c>
      <c r="I147" s="60" t="str">
        <f>IF(AND($B147=[1]rogério!$A148,[1]rogério!$B148=I$4),"ok","nok")</f>
        <v>nok</v>
      </c>
      <c r="J147" s="60" t="str">
        <f>IF(AND($B147=[1]rogério!$A148,[1]rogério!$B148=J$4),"ok","nok")</f>
        <v>nok</v>
      </c>
      <c r="K147" s="60" t="str">
        <f>IF(AND($B147=[1]rogério!$A148,[1]rogério!$B148=K$4),"ok","nok")</f>
        <v>nok</v>
      </c>
      <c r="L147" s="60" t="str">
        <f>IF(AND($B147=[1]rogério!$A148,[1]rogério!$B148=L$4),"ok","nok")</f>
        <v>nok</v>
      </c>
      <c r="M147" s="60" t="str">
        <f>IF(AND($B147=[1]rogério!$A148,[1]rogério!$B148=M$4),"ok","nok")</f>
        <v>ok</v>
      </c>
      <c r="N147" s="60" t="str">
        <f>IF(AND($B147=[1]rogério!$A148,[1]rogério!$B148=N$4),"ok","nok")</f>
        <v>nok</v>
      </c>
      <c r="O147" s="60" t="str">
        <f>IF(AND($B147=[1]rogério!$A148,[1]rogério!$B148=O$4),"ok","nok")</f>
        <v>nok</v>
      </c>
      <c r="P147" s="60" t="str">
        <f>IF(AND($B147=[1]rogério!$A148,[1]rogério!$B148=P$4),"ok","nok")</f>
        <v>nok</v>
      </c>
      <c r="Q147" s="60" t="str">
        <f>IF(AND($B147=[1]rogério!$A148,[1]rogério!$B148=Q$4),"ok","nok")</f>
        <v>nok</v>
      </c>
      <c r="R147" s="60" t="str">
        <f>IF(AND($B147=[1]rogério!$A148,[1]rogério!$B148=R$4),"ok","nok")</f>
        <v>nok</v>
      </c>
      <c r="S147" s="60" t="str">
        <f>IF(AND($B147=[1]rogério!$A148,[1]rogério!$B148=S$4),"ok","nok")</f>
        <v>nok</v>
      </c>
      <c r="T147" s="60" t="str">
        <f>IF(AND($B147=[1]rogério!$A148,[1]rogério!$B148=T$4),"ok","nok")</f>
        <v>nok</v>
      </c>
      <c r="U147" s="60" t="str">
        <f>IF(AND($B147=[1]rogério!$A148,[1]rogério!$B148=U$4),"ok","nok")</f>
        <v>nok</v>
      </c>
      <c r="V147" s="60" t="str">
        <f>IF(AND($B147=[1]rogério!$A148,[1]rogério!$B148=V$4),"ok","nok")</f>
        <v>nok</v>
      </c>
      <c r="W147" s="60" t="str">
        <f>IF(AND($B147=[1]rogério!$A148,[1]rogério!$B148=W$4),"ok","nok")</f>
        <v>nok</v>
      </c>
      <c r="X147" s="60" t="str">
        <f>IF(AND($B147=[1]rogério!$A148,[1]rogério!$B148=X$4),"ok","nok")</f>
        <v>nok</v>
      </c>
      <c r="Y147" s="105" t="s">
        <v>33</v>
      </c>
      <c r="Z147" s="106"/>
      <c r="AA147" s="106"/>
      <c r="AB147" s="107"/>
      <c r="AC147" s="40"/>
      <c r="AD147" s="40"/>
      <c r="AE147" s="48" t="str">
        <f t="shared" si="45"/>
        <v/>
      </c>
      <c r="AF147" s="48"/>
      <c r="AG147" s="48"/>
      <c r="AH147" s="89"/>
      <c r="AI147" s="49">
        <f t="shared" si="46"/>
        <v>0</v>
      </c>
      <c r="AJ147" s="49" t="str">
        <f t="shared" si="47"/>
        <v/>
      </c>
      <c r="AK147" s="49">
        <f t="shared" si="48"/>
        <v>0</v>
      </c>
      <c r="AL147" s="49" t="str">
        <f t="shared" si="49"/>
        <v/>
      </c>
      <c r="AM147" s="49">
        <f t="shared" si="50"/>
        <v>1</v>
      </c>
      <c r="AN147" s="49" t="str">
        <f t="shared" si="51"/>
        <v>EFPRAZO</v>
      </c>
      <c r="AO147" s="49">
        <f t="shared" si="52"/>
        <v>0</v>
      </c>
      <c r="AP147" s="49" t="str">
        <f t="shared" si="53"/>
        <v/>
      </c>
      <c r="AQ147" s="49">
        <f t="shared" si="54"/>
        <v>0</v>
      </c>
      <c r="AR147" s="49" t="str">
        <f t="shared" si="55"/>
        <v/>
      </c>
      <c r="AV147" s="57"/>
      <c r="BF147" s="52"/>
    </row>
    <row r="148" spans="1:58" ht="30" customHeight="1" x14ac:dyDescent="0.35">
      <c r="A148" s="25" t="str">
        <f t="shared" si="56"/>
        <v>PT177 - PLATAFORMA DE ACESSO - FORQUILHA 1 - BÁSICO
TORRE B2
CIVIL</v>
      </c>
      <c r="B148" s="40" t="s">
        <v>19</v>
      </c>
      <c r="C148" s="60" t="str">
        <f>IF(AND($B148=[1]rogério!$A149,[1]rogério!$B149=C$4),"ok","nok")</f>
        <v>nok</v>
      </c>
      <c r="D148" s="60" t="str">
        <f>IF(AND($B148=[1]rogério!$A149,[1]rogério!$B149=D$4),"ok","nok")</f>
        <v>nok</v>
      </c>
      <c r="E148" s="60" t="str">
        <f>IF(AND($B148=[1]rogério!$A149,[1]rogério!$B149=E$4),"ok","nok")</f>
        <v>nok</v>
      </c>
      <c r="F148" s="60" t="str">
        <f>IF(AND($B148=[1]rogério!$A149,[1]rogério!$B149=F$4),"ok","nok")</f>
        <v>nok</v>
      </c>
      <c r="G148" s="60" t="str">
        <f>IF(AND($B148=[1]rogério!$A149,[1]rogério!$B149=G$4),"ok","nok")</f>
        <v>nok</v>
      </c>
      <c r="H148" s="60" t="str">
        <f>IF(AND($B148=[1]rogério!$A149,[1]rogério!$B149=H$4),"ok","nok")</f>
        <v>nok</v>
      </c>
      <c r="I148" s="60" t="str">
        <f>IF(AND($B148=[1]rogério!$A149,[1]rogério!$B149=I$4),"ok","nok")</f>
        <v>nok</v>
      </c>
      <c r="J148" s="60" t="str">
        <f>IF(AND($B148=[1]rogério!$A149,[1]rogério!$B149=J$4),"ok","nok")</f>
        <v>nok</v>
      </c>
      <c r="K148" s="60" t="str">
        <f>IF(AND($B148=[1]rogério!$A149,[1]rogério!$B149=K$4),"ok","nok")</f>
        <v>nok</v>
      </c>
      <c r="L148" s="60" t="str">
        <f>IF(AND($B148=[1]rogério!$A149,[1]rogério!$B149=L$4),"ok","nok")</f>
        <v>nok</v>
      </c>
      <c r="M148" s="60" t="str">
        <f>IF(AND($B148=[1]rogério!$A149,[1]rogério!$B149=M$4),"ok","nok")</f>
        <v>nok</v>
      </c>
      <c r="N148" s="60" t="str">
        <f>IF(AND($B148=[1]rogério!$A149,[1]rogério!$B149=N$4),"ok","nok")</f>
        <v>nok</v>
      </c>
      <c r="O148" s="60" t="str">
        <f>IF(AND($B148=[1]rogério!$A149,[1]rogério!$B149=O$4),"ok","nok")</f>
        <v>nok</v>
      </c>
      <c r="P148" s="60" t="str">
        <f>IF(AND($B148=[1]rogério!$A149,[1]rogério!$B149=P$4),"ok","nok")</f>
        <v>nok</v>
      </c>
      <c r="Q148" s="60" t="str">
        <f>IF(AND($B148=[1]rogério!$A149,[1]rogério!$B149=Q$4),"ok","nok")</f>
        <v>nok</v>
      </c>
      <c r="R148" s="60" t="str">
        <f>IF(AND($B148=[1]rogério!$A149,[1]rogério!$B149=R$4),"ok","nok")</f>
        <v>nok</v>
      </c>
      <c r="S148" s="60" t="str">
        <f>IF(AND($B148=[1]rogério!$A149,[1]rogério!$B149=S$4),"ok","nok")</f>
        <v>nok</v>
      </c>
      <c r="T148" s="60" t="str">
        <f>IF(AND($B148=[1]rogério!$A149,[1]rogério!$B149=T$4),"ok","nok")</f>
        <v>nok</v>
      </c>
      <c r="U148" s="60" t="str">
        <f>IF(AND($B148=[1]rogério!$A149,[1]rogério!$B149=U$4),"ok","nok")</f>
        <v>nok</v>
      </c>
      <c r="V148" s="60" t="str">
        <f>IF(AND($B148=[1]rogério!$A149,[1]rogério!$B149=V$4),"ok","nok")</f>
        <v>nok</v>
      </c>
      <c r="W148" s="60" t="str">
        <f>IF(AND($B148=[1]rogério!$A149,[1]rogério!$B149=W$4),"ok","nok")</f>
        <v>nok</v>
      </c>
      <c r="X148" s="60" t="str">
        <f>IF(AND($B148=[1]rogério!$A149,[1]rogério!$B149=X$4),"ok","nok")</f>
        <v>ok</v>
      </c>
      <c r="Y148" s="105" t="s">
        <v>15</v>
      </c>
      <c r="Z148" s="106"/>
      <c r="AA148" s="106"/>
      <c r="AB148" s="107"/>
      <c r="AC148" s="40"/>
      <c r="AD148" s="40"/>
      <c r="AE148" s="48" t="str">
        <f t="shared" si="45"/>
        <v/>
      </c>
      <c r="AF148" s="48"/>
      <c r="AG148" s="48"/>
      <c r="AH148" s="89"/>
      <c r="AI148" s="49">
        <f t="shared" si="46"/>
        <v>0</v>
      </c>
      <c r="AJ148" s="49" t="str">
        <f t="shared" si="47"/>
        <v/>
      </c>
      <c r="AK148" s="49">
        <f t="shared" si="48"/>
        <v>0</v>
      </c>
      <c r="AL148" s="49" t="str">
        <f t="shared" si="49"/>
        <v/>
      </c>
      <c r="AM148" s="49">
        <f t="shared" si="50"/>
        <v>0</v>
      </c>
      <c r="AN148" s="49" t="str">
        <f t="shared" si="51"/>
        <v/>
      </c>
      <c r="AO148" s="49">
        <f t="shared" si="52"/>
        <v>0</v>
      </c>
      <c r="AP148" s="49" t="str">
        <f t="shared" si="53"/>
        <v/>
      </c>
      <c r="AQ148" s="49">
        <f t="shared" si="54"/>
        <v>1</v>
      </c>
      <c r="AR148" s="49" t="str">
        <f t="shared" si="55"/>
        <v/>
      </c>
      <c r="AV148" s="57"/>
      <c r="BF148" s="52"/>
    </row>
    <row r="149" spans="1:58" ht="30" customHeight="1" x14ac:dyDescent="0.35">
      <c r="A149" s="25" t="str">
        <f t="shared" si="56"/>
        <v>PT177 - PLATAFORMA DE ACESSO - FORQUILHA 1 - BÁSICO
TORRE B2
CIVIL</v>
      </c>
      <c r="B149" s="40" t="s">
        <v>42</v>
      </c>
      <c r="C149" s="60" t="str">
        <f>IF(AND($B149=[1]rogério!$A150,[1]rogério!$B150=C$4),"ok","nok")</f>
        <v>nok</v>
      </c>
      <c r="D149" s="60" t="str">
        <f>IF(AND($B149=[1]rogério!$A150,[1]rogério!$B150=D$4),"ok","nok")</f>
        <v>nok</v>
      </c>
      <c r="E149" s="60" t="str">
        <f>IF(AND($B149=[1]rogério!$A150,[1]rogério!$B150=E$4),"ok","nok")</f>
        <v>nok</v>
      </c>
      <c r="F149" s="60" t="str">
        <f>IF(AND($B149=[1]rogério!$A150,[1]rogério!$B150=F$4),"ok","nok")</f>
        <v>nok</v>
      </c>
      <c r="G149" s="60" t="str">
        <f>IF(AND($B149=[1]rogério!$A150,[1]rogério!$B150=G$4),"ok","nok")</f>
        <v>nok</v>
      </c>
      <c r="H149" s="60" t="str">
        <f>IF(AND($B149=[1]rogério!$A150,[1]rogério!$B150=H$4),"ok","nok")</f>
        <v>nok</v>
      </c>
      <c r="I149" s="60" t="str">
        <f>IF(AND($B149=[1]rogério!$A150,[1]rogério!$B150=I$4),"ok","nok")</f>
        <v>nok</v>
      </c>
      <c r="J149" s="60" t="str">
        <f>IF(AND($B149=[1]rogério!$A150,[1]rogério!$B150=J$4),"ok","nok")</f>
        <v>nok</v>
      </c>
      <c r="K149" s="60" t="str">
        <f>IF(AND($B149=[1]rogério!$A150,[1]rogério!$B150=K$4),"ok","nok")</f>
        <v>nok</v>
      </c>
      <c r="L149" s="60" t="str">
        <f>IF(AND($B149=[1]rogério!$A150,[1]rogério!$B150=L$4),"ok","nok")</f>
        <v>nok</v>
      </c>
      <c r="M149" s="60" t="str">
        <f>IF(AND($B149=[1]rogério!$A150,[1]rogério!$B150=M$4),"ok","nok")</f>
        <v>nok</v>
      </c>
      <c r="N149" s="60" t="str">
        <f>IF(AND($B149=[1]rogério!$A150,[1]rogério!$B150=N$4),"ok","nok")</f>
        <v>nok</v>
      </c>
      <c r="O149" s="60" t="str">
        <f>IF(AND($B149=[1]rogério!$A150,[1]rogério!$B150=O$4),"ok","nok")</f>
        <v>nok</v>
      </c>
      <c r="P149" s="60" t="str">
        <f>IF(AND($B149=[1]rogério!$A150,[1]rogério!$B150=P$4),"ok","nok")</f>
        <v>nok</v>
      </c>
      <c r="Q149" s="60" t="str">
        <f>IF(AND($B149=[1]rogério!$A150,[1]rogério!$B150=Q$4),"ok","nok")</f>
        <v>nok</v>
      </c>
      <c r="R149" s="60" t="str">
        <f>IF(AND($B149=[1]rogério!$A150,[1]rogério!$B150=R$4),"ok","nok")</f>
        <v>nok</v>
      </c>
      <c r="S149" s="60" t="str">
        <f>IF(AND($B149=[1]rogério!$A150,[1]rogério!$B150=S$4),"ok","nok")</f>
        <v>nok</v>
      </c>
      <c r="T149" s="60" t="str">
        <f>IF(AND($B149=[1]rogério!$A150,[1]rogério!$B150=T$4),"ok","nok")</f>
        <v>nok</v>
      </c>
      <c r="U149" s="60" t="str">
        <f>IF(AND($B149=[1]rogério!$A150,[1]rogério!$B150=U$4),"ok","nok")</f>
        <v>nok</v>
      </c>
      <c r="V149" s="60" t="str">
        <f>IF(AND($B149=[1]rogério!$A150,[1]rogério!$B150=V$4),"ok","nok")</f>
        <v>nok</v>
      </c>
      <c r="W149" s="60" t="str">
        <f>IF(AND($B149=[1]rogério!$A150,[1]rogério!$B150=W$4),"ok","nok")</f>
        <v>nok</v>
      </c>
      <c r="X149" s="60" t="str">
        <f>IF(AND($B149=[1]rogério!$A150,[1]rogério!$B150=X$4),"ok","nok")</f>
        <v>ok</v>
      </c>
      <c r="Y149" s="105" t="s">
        <v>15</v>
      </c>
      <c r="Z149" s="106"/>
      <c r="AA149" s="106"/>
      <c r="AB149" s="107"/>
      <c r="AC149" s="40"/>
      <c r="AD149" s="40"/>
      <c r="AE149" s="48" t="str">
        <f t="shared" si="45"/>
        <v/>
      </c>
      <c r="AF149" s="48"/>
      <c r="AG149" s="48"/>
      <c r="AH149" s="89"/>
      <c r="AI149" s="49">
        <f t="shared" si="46"/>
        <v>0</v>
      </c>
      <c r="AJ149" s="49" t="str">
        <f t="shared" si="47"/>
        <v/>
      </c>
      <c r="AK149" s="49">
        <f t="shared" si="48"/>
        <v>0</v>
      </c>
      <c r="AL149" s="49" t="str">
        <f t="shared" si="49"/>
        <v/>
      </c>
      <c r="AM149" s="49">
        <f t="shared" si="50"/>
        <v>0</v>
      </c>
      <c r="AN149" s="49" t="str">
        <f t="shared" si="51"/>
        <v/>
      </c>
      <c r="AO149" s="49">
        <f t="shared" si="52"/>
        <v>0</v>
      </c>
      <c r="AP149" s="49" t="str">
        <f t="shared" si="53"/>
        <v/>
      </c>
      <c r="AQ149" s="49">
        <f t="shared" si="54"/>
        <v>1</v>
      </c>
      <c r="AR149" s="49" t="str">
        <f t="shared" si="55"/>
        <v/>
      </c>
      <c r="AV149" s="57"/>
      <c r="BF149" s="52"/>
    </row>
    <row r="150" spans="1:58" ht="30" customHeight="1" x14ac:dyDescent="0.35">
      <c r="A150" s="25" t="str">
        <f t="shared" si="56"/>
        <v>PT177 - PLATAFORMA DE ACESSO - FORQUILHA 1 - BÁSICO
TORRE B2
CIVIL</v>
      </c>
      <c r="B150" s="40" t="s">
        <v>43</v>
      </c>
      <c r="C150" s="60" t="str">
        <f>IF(AND($B150=[1]rogério!$A151,[1]rogério!$B151=C$4),"ok","nok")</f>
        <v>nok</v>
      </c>
      <c r="D150" s="60" t="str">
        <f>IF(AND($B150=[1]rogério!$A151,[1]rogério!$B151=D$4),"ok","nok")</f>
        <v>nok</v>
      </c>
      <c r="E150" s="60" t="str">
        <f>IF(AND($B150=[1]rogério!$A151,[1]rogério!$B151=E$4),"ok","nok")</f>
        <v>nok</v>
      </c>
      <c r="F150" s="60" t="str">
        <f>IF(AND($B150=[1]rogério!$A151,[1]rogério!$B151=F$4),"ok","nok")</f>
        <v>nok</v>
      </c>
      <c r="G150" s="60" t="str">
        <f>IF(AND($B150=[1]rogério!$A151,[1]rogério!$B151=G$4),"ok","nok")</f>
        <v>nok</v>
      </c>
      <c r="H150" s="60" t="str">
        <f>IF(AND($B150=[1]rogério!$A151,[1]rogério!$B151=H$4),"ok","nok")</f>
        <v>nok</v>
      </c>
      <c r="I150" s="60" t="str">
        <f>IF(AND($B150=[1]rogério!$A151,[1]rogério!$B151=I$4),"ok","nok")</f>
        <v>nok</v>
      </c>
      <c r="J150" s="60" t="str">
        <f>IF(AND($B150=[1]rogério!$A151,[1]rogério!$B151=J$4),"ok","nok")</f>
        <v>nok</v>
      </c>
      <c r="K150" s="60" t="str">
        <f>IF(AND($B150=[1]rogério!$A151,[1]rogério!$B151=K$4),"ok","nok")</f>
        <v>nok</v>
      </c>
      <c r="L150" s="60" t="str">
        <f>IF(AND($B150=[1]rogério!$A151,[1]rogério!$B151=L$4),"ok","nok")</f>
        <v>nok</v>
      </c>
      <c r="M150" s="60" t="str">
        <f>IF(AND($B150=[1]rogério!$A151,[1]rogério!$B151=M$4),"ok","nok")</f>
        <v>nok</v>
      </c>
      <c r="N150" s="60" t="str">
        <f>IF(AND($B150=[1]rogério!$A151,[1]rogério!$B151=N$4),"ok","nok")</f>
        <v>nok</v>
      </c>
      <c r="O150" s="60" t="str">
        <f>IF(AND($B150=[1]rogério!$A151,[1]rogério!$B151=O$4),"ok","nok")</f>
        <v>nok</v>
      </c>
      <c r="P150" s="60" t="str">
        <f>IF(AND($B150=[1]rogério!$A151,[1]rogério!$B151=P$4),"ok","nok")</f>
        <v>nok</v>
      </c>
      <c r="Q150" s="60" t="str">
        <f>IF(AND($B150=[1]rogério!$A151,[1]rogério!$B151=Q$4),"ok","nok")</f>
        <v>nok</v>
      </c>
      <c r="R150" s="60" t="str">
        <f>IF(AND($B150=[1]rogério!$A151,[1]rogério!$B151=R$4),"ok","nok")</f>
        <v>nok</v>
      </c>
      <c r="S150" s="60" t="str">
        <f>IF(AND($B150=[1]rogério!$A151,[1]rogério!$B151=S$4),"ok","nok")</f>
        <v>nok</v>
      </c>
      <c r="T150" s="60" t="str">
        <f>IF(AND($B150=[1]rogério!$A151,[1]rogério!$B151=T$4),"ok","nok")</f>
        <v>nok</v>
      </c>
      <c r="U150" s="60" t="str">
        <f>IF(AND($B150=[1]rogério!$A151,[1]rogério!$B151=U$4),"ok","nok")</f>
        <v>nok</v>
      </c>
      <c r="V150" s="60" t="str">
        <f>IF(AND($B150=[1]rogério!$A151,[1]rogério!$B151=V$4),"ok","nok")</f>
        <v>nok</v>
      </c>
      <c r="W150" s="60" t="str">
        <f>IF(AND($B150=[1]rogério!$A151,[1]rogério!$B151=W$4),"ok","nok")</f>
        <v>nok</v>
      </c>
      <c r="X150" s="60" t="str">
        <f>IF(AND($B150=[1]rogério!$A151,[1]rogério!$B151=X$4),"ok","nok")</f>
        <v>ok</v>
      </c>
      <c r="Y150" s="105" t="s">
        <v>15</v>
      </c>
      <c r="Z150" s="106"/>
      <c r="AA150" s="106"/>
      <c r="AB150" s="107"/>
      <c r="AC150" s="40"/>
      <c r="AD150" s="40"/>
      <c r="AE150" s="48" t="str">
        <f t="shared" si="45"/>
        <v/>
      </c>
      <c r="AF150" s="48"/>
      <c r="AG150" s="48"/>
      <c r="AH150" s="89"/>
      <c r="AI150" s="49">
        <f t="shared" si="46"/>
        <v>0</v>
      </c>
      <c r="AJ150" s="49" t="str">
        <f t="shared" si="47"/>
        <v/>
      </c>
      <c r="AK150" s="49">
        <f t="shared" si="48"/>
        <v>0</v>
      </c>
      <c r="AL150" s="49" t="str">
        <f t="shared" si="49"/>
        <v/>
      </c>
      <c r="AM150" s="49">
        <f t="shared" si="50"/>
        <v>0</v>
      </c>
      <c r="AN150" s="49" t="str">
        <f t="shared" si="51"/>
        <v/>
      </c>
      <c r="AO150" s="49">
        <f t="shared" si="52"/>
        <v>0</v>
      </c>
      <c r="AP150" s="49" t="str">
        <f t="shared" si="53"/>
        <v/>
      </c>
      <c r="AQ150" s="49">
        <f t="shared" si="54"/>
        <v>1</v>
      </c>
      <c r="AR150" s="49" t="str">
        <f t="shared" si="55"/>
        <v/>
      </c>
      <c r="AV150" s="57"/>
      <c r="BF150" s="52"/>
    </row>
    <row r="151" spans="1:58" ht="30" customHeight="1" x14ac:dyDescent="0.35">
      <c r="A151" s="25" t="str">
        <f t="shared" si="56"/>
        <v>PT177 - PLATAFORMA DE ACESSO - FORQUILHA 1 - BÁSICO
TORRE B2
CIVIL</v>
      </c>
      <c r="B151" s="38" t="s">
        <v>74</v>
      </c>
      <c r="C151" s="60" t="str">
        <f>IF(AND($B151=[1]rogério!$A152,[1]rogério!$B152=C$4),"ok","nok")</f>
        <v>nok</v>
      </c>
      <c r="D151" s="60" t="str">
        <f>IF(AND($B151=[1]rogério!$A152,[1]rogério!$B152=D$4),"ok","nok")</f>
        <v>nok</v>
      </c>
      <c r="E151" s="60" t="str">
        <f>IF(AND($B151=[1]rogério!$A152,[1]rogério!$B152=E$4),"ok","nok")</f>
        <v>nok</v>
      </c>
      <c r="F151" s="60" t="str">
        <f>IF(AND($B151=[1]rogério!$A152,[1]rogério!$B152=F$4),"ok","nok")</f>
        <v>nok</v>
      </c>
      <c r="G151" s="60" t="str">
        <f>IF(AND($B151=[1]rogério!$A152,[1]rogério!$B152=G$4),"ok","nok")</f>
        <v>nok</v>
      </c>
      <c r="H151" s="60" t="str">
        <f>IF(AND($B151=[1]rogério!$A152,[1]rogério!$B152=H$4),"ok","nok")</f>
        <v>nok</v>
      </c>
      <c r="I151" s="60" t="str">
        <f>IF(AND($B151=[1]rogério!$A152,[1]rogério!$B152=I$4),"ok","nok")</f>
        <v>nok</v>
      </c>
      <c r="J151" s="60" t="str">
        <f>IF(AND($B151=[1]rogério!$A152,[1]rogério!$B152=J$4),"ok","nok")</f>
        <v>nok</v>
      </c>
      <c r="K151" s="60" t="str">
        <f>IF(AND($B151=[1]rogério!$A152,[1]rogério!$B152=K$4),"ok","nok")</f>
        <v>nok</v>
      </c>
      <c r="L151" s="60" t="str">
        <f>IF(AND($B151=[1]rogério!$A152,[1]rogério!$B152=L$4),"ok","nok")</f>
        <v>ok</v>
      </c>
      <c r="M151" s="60" t="str">
        <f>IF(AND($B151=[1]rogério!$A152,[1]rogério!$B152=M$4),"ok","nok")</f>
        <v>nok</v>
      </c>
      <c r="N151" s="60" t="str">
        <f>IF(AND($B151=[1]rogério!$A152,[1]rogério!$B152=N$4),"ok","nok")</f>
        <v>nok</v>
      </c>
      <c r="O151" s="60" t="str">
        <f>IF(AND($B151=[1]rogério!$A152,[1]rogério!$B152=O$4),"ok","nok")</f>
        <v>nok</v>
      </c>
      <c r="P151" s="60" t="str">
        <f>IF(AND($B151=[1]rogério!$A152,[1]rogério!$B152=P$4),"ok","nok")</f>
        <v>nok</v>
      </c>
      <c r="Q151" s="60" t="str">
        <f>IF(AND($B151=[1]rogério!$A152,[1]rogério!$B152=Q$4),"ok","nok")</f>
        <v>nok</v>
      </c>
      <c r="R151" s="60" t="str">
        <f>IF(AND($B151=[1]rogério!$A152,[1]rogério!$B152=R$4),"ok","nok")</f>
        <v>nok</v>
      </c>
      <c r="S151" s="60" t="str">
        <f>IF(AND($B151=[1]rogério!$A152,[1]rogério!$B152=S$4),"ok","nok")</f>
        <v>nok</v>
      </c>
      <c r="T151" s="60" t="str">
        <f>IF(AND($B151=[1]rogério!$A152,[1]rogério!$B152=T$4),"ok","nok")</f>
        <v>nok</v>
      </c>
      <c r="U151" s="60" t="str">
        <f>IF(AND($B151=[1]rogério!$A152,[1]rogério!$B152=U$4),"ok","nok")</f>
        <v>nok</v>
      </c>
      <c r="V151" s="60" t="str">
        <f>IF(AND($B151=[1]rogério!$A152,[1]rogério!$B152=V$4),"ok","nok")</f>
        <v>nok</v>
      </c>
      <c r="W151" s="60" t="str">
        <f>IF(AND($B151=[1]rogério!$A152,[1]rogério!$B152=W$4),"ok","nok")</f>
        <v>nok</v>
      </c>
      <c r="X151" s="60" t="str">
        <f>IF(AND($B151=[1]rogério!$A152,[1]rogério!$B152=X$4),"ok","nok")</f>
        <v>nok</v>
      </c>
      <c r="Y151" s="105" t="s">
        <v>33</v>
      </c>
      <c r="Z151" s="106"/>
      <c r="AA151" s="106"/>
      <c r="AB151" s="107"/>
      <c r="AC151" s="40"/>
      <c r="AD151" s="40"/>
      <c r="AE151" s="48" t="str">
        <f t="shared" si="45"/>
        <v/>
      </c>
      <c r="AF151" s="48"/>
      <c r="AG151" s="48"/>
      <c r="AH151" s="89"/>
      <c r="AI151" s="49">
        <f t="shared" si="46"/>
        <v>0</v>
      </c>
      <c r="AJ151" s="49" t="str">
        <f t="shared" si="47"/>
        <v/>
      </c>
      <c r="AK151" s="49">
        <f t="shared" si="48"/>
        <v>1</v>
      </c>
      <c r="AL151" s="49" t="str">
        <f t="shared" si="49"/>
        <v>EFPRAZO</v>
      </c>
      <c r="AM151" s="49">
        <f t="shared" si="50"/>
        <v>0</v>
      </c>
      <c r="AN151" s="49" t="str">
        <f t="shared" si="51"/>
        <v/>
      </c>
      <c r="AO151" s="49">
        <f t="shared" si="52"/>
        <v>0</v>
      </c>
      <c r="AP151" s="49" t="str">
        <f t="shared" si="53"/>
        <v/>
      </c>
      <c r="AQ151" s="49">
        <f t="shared" si="54"/>
        <v>0</v>
      </c>
      <c r="AR151" s="49" t="str">
        <f t="shared" si="55"/>
        <v/>
      </c>
      <c r="AV151" s="57"/>
      <c r="BF151" s="52"/>
    </row>
    <row r="152" spans="1:58" ht="30" customHeight="1" x14ac:dyDescent="0.35">
      <c r="A152" s="25" t="str">
        <f t="shared" si="56"/>
        <v>PT177 - PLATAFORMA DE ACESSO - FORQUILHA 1 - BÁSICO
TORRE B2
CIVIL</v>
      </c>
      <c r="B152" s="38" t="s">
        <v>75</v>
      </c>
      <c r="C152" s="60" t="str">
        <f>IF(AND($B152=[1]rogério!$A153,[1]rogério!$B153=C$4),"ok","nok")</f>
        <v>nok</v>
      </c>
      <c r="D152" s="60" t="str">
        <f>IF(AND($B152=[1]rogério!$A153,[1]rogério!$B153=D$4),"ok","nok")</f>
        <v>nok</v>
      </c>
      <c r="E152" s="60" t="str">
        <f>IF(AND($B152=[1]rogério!$A153,[1]rogério!$B153=E$4),"ok","nok")</f>
        <v>nok</v>
      </c>
      <c r="F152" s="60" t="str">
        <f>IF(AND($B152=[1]rogério!$A153,[1]rogério!$B153=F$4),"ok","nok")</f>
        <v>nok</v>
      </c>
      <c r="G152" s="60" t="str">
        <f>IF(AND($B152=[1]rogério!$A153,[1]rogério!$B153=G$4),"ok","nok")</f>
        <v>nok</v>
      </c>
      <c r="H152" s="60" t="str">
        <f>IF(AND($B152=[1]rogério!$A153,[1]rogério!$B153=H$4),"ok","nok")</f>
        <v>nok</v>
      </c>
      <c r="I152" s="60" t="str">
        <f>IF(AND($B152=[1]rogério!$A153,[1]rogério!$B153=I$4),"ok","nok")</f>
        <v>nok</v>
      </c>
      <c r="J152" s="60" t="str">
        <f>IF(AND($B152=[1]rogério!$A153,[1]rogério!$B153=J$4),"ok","nok")</f>
        <v>nok</v>
      </c>
      <c r="K152" s="60" t="str">
        <f>IF(AND($B152=[1]rogério!$A153,[1]rogério!$B153=K$4),"ok","nok")</f>
        <v>nok</v>
      </c>
      <c r="L152" s="60" t="str">
        <f>IF(AND($B152=[1]rogério!$A153,[1]rogério!$B153=L$4),"ok","nok")</f>
        <v>nok</v>
      </c>
      <c r="M152" s="60" t="str">
        <f>IF(AND($B152=[1]rogério!$A153,[1]rogério!$B153=M$4),"ok","nok")</f>
        <v>nok</v>
      </c>
      <c r="N152" s="60" t="str">
        <f>IF(AND($B152=[1]rogério!$A153,[1]rogério!$B153=N$4),"ok","nok")</f>
        <v>nok</v>
      </c>
      <c r="O152" s="60" t="str">
        <f>IF(AND($B152=[1]rogério!$A153,[1]rogério!$B153=O$4),"ok","nok")</f>
        <v>nok</v>
      </c>
      <c r="P152" s="60" t="str">
        <f>IF(AND($B152=[1]rogério!$A153,[1]rogério!$B153=P$4),"ok","nok")</f>
        <v>nok</v>
      </c>
      <c r="Q152" s="60" t="str">
        <f>IF(AND($B152=[1]rogério!$A153,[1]rogério!$B153=Q$4),"ok","nok")</f>
        <v>ok</v>
      </c>
      <c r="R152" s="60" t="str">
        <f>IF(AND($B152=[1]rogério!$A153,[1]rogério!$B153=R$4),"ok","nok")</f>
        <v>nok</v>
      </c>
      <c r="S152" s="60" t="str">
        <f>IF(AND($B152=[1]rogério!$A153,[1]rogério!$B153=S$4),"ok","nok")</f>
        <v>nok</v>
      </c>
      <c r="T152" s="60" t="str">
        <f>IF(AND($B152=[1]rogério!$A153,[1]rogério!$B153=T$4),"ok","nok")</f>
        <v>nok</v>
      </c>
      <c r="U152" s="60" t="str">
        <f>IF(AND($B152=[1]rogério!$A153,[1]rogério!$B153=U$4),"ok","nok")</f>
        <v>nok</v>
      </c>
      <c r="V152" s="60" t="str">
        <f>IF(AND($B152=[1]rogério!$A153,[1]rogério!$B153=V$4),"ok","nok")</f>
        <v>nok</v>
      </c>
      <c r="W152" s="60" t="str">
        <f>IF(AND($B152=[1]rogério!$A153,[1]rogério!$B153=W$4),"ok","nok")</f>
        <v>nok</v>
      </c>
      <c r="X152" s="60" t="str">
        <f>IF(AND($B152=[1]rogério!$A153,[1]rogério!$B153=X$4),"ok","nok")</f>
        <v>nok</v>
      </c>
      <c r="Y152" s="105" t="s">
        <v>33</v>
      </c>
      <c r="Z152" s="106"/>
      <c r="AA152" s="106"/>
      <c r="AB152" s="107"/>
      <c r="AC152" s="40"/>
      <c r="AD152" s="40"/>
      <c r="AE152" s="48" t="str">
        <f t="shared" si="45"/>
        <v/>
      </c>
      <c r="AF152" s="48"/>
      <c r="AG152" s="48"/>
      <c r="AH152" s="89"/>
      <c r="AI152" s="49">
        <f t="shared" si="46"/>
        <v>0</v>
      </c>
      <c r="AJ152" s="49" t="str">
        <f t="shared" si="47"/>
        <v/>
      </c>
      <c r="AK152" s="49">
        <f t="shared" si="48"/>
        <v>0</v>
      </c>
      <c r="AL152" s="49" t="str">
        <f t="shared" si="49"/>
        <v/>
      </c>
      <c r="AM152" s="49">
        <f t="shared" si="50"/>
        <v>1</v>
      </c>
      <c r="AN152" s="49" t="str">
        <f t="shared" si="51"/>
        <v>EFPRAZO</v>
      </c>
      <c r="AO152" s="49">
        <f t="shared" si="52"/>
        <v>0</v>
      </c>
      <c r="AP152" s="49" t="str">
        <f t="shared" si="53"/>
        <v/>
      </c>
      <c r="AQ152" s="49">
        <f t="shared" si="54"/>
        <v>0</v>
      </c>
      <c r="AR152" s="49" t="str">
        <f t="shared" si="55"/>
        <v/>
      </c>
      <c r="AV152" s="57"/>
      <c r="BF152" s="52"/>
    </row>
    <row r="153" spans="1:58" ht="30" customHeight="1" x14ac:dyDescent="0.35">
      <c r="A153" s="25" t="str">
        <f t="shared" si="56"/>
        <v>PT177 - PLATAFORMA DE ACESSO - FORQUILHA 1 - BÁSICO
TORRE B2
CIVIL</v>
      </c>
      <c r="B153" s="39" t="s">
        <v>62</v>
      </c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108"/>
      <c r="Z153" s="109"/>
      <c r="AA153" s="109"/>
      <c r="AB153" s="110"/>
      <c r="AC153" s="40"/>
      <c r="AD153" s="40"/>
      <c r="AE153" s="48" t="str">
        <f t="shared" si="45"/>
        <v/>
      </c>
      <c r="AF153" s="48"/>
      <c r="AG153" s="48"/>
      <c r="AH153" s="89"/>
      <c r="AI153" s="49">
        <f t="shared" si="46"/>
        <v>0</v>
      </c>
      <c r="AJ153" s="49" t="str">
        <f t="shared" si="47"/>
        <v/>
      </c>
      <c r="AK153" s="49">
        <f t="shared" si="48"/>
        <v>0</v>
      </c>
      <c r="AL153" s="49" t="str">
        <f t="shared" si="49"/>
        <v/>
      </c>
      <c r="AM153" s="49">
        <f t="shared" si="50"/>
        <v>0</v>
      </c>
      <c r="AN153" s="49" t="str">
        <f t="shared" si="51"/>
        <v/>
      </c>
      <c r="AO153" s="49">
        <f t="shared" si="52"/>
        <v>0</v>
      </c>
      <c r="AP153" s="49" t="str">
        <f t="shared" si="53"/>
        <v/>
      </c>
      <c r="AQ153" s="49">
        <f t="shared" si="54"/>
        <v>0</v>
      </c>
      <c r="AR153" s="49" t="str">
        <f t="shared" si="55"/>
        <v/>
      </c>
      <c r="AV153" s="57"/>
      <c r="BF153" s="52"/>
    </row>
    <row r="154" spans="1:58" ht="30" customHeight="1" x14ac:dyDescent="0.35">
      <c r="A154" s="25" t="str">
        <f t="shared" si="56"/>
        <v>PT177 - PLATAFORMA DE ACESSO - FORQUILHA 1 - BÁSICO
TORRE B2
CIVIL</v>
      </c>
      <c r="B154" s="40" t="s">
        <v>49</v>
      </c>
      <c r="C154" s="60" t="str">
        <f>IF(AND($B154=[1]rogério!$A155,[1]rogério!$B155=C$4),"ok","nok")</f>
        <v>nok</v>
      </c>
      <c r="D154" s="60" t="str">
        <f>IF(AND($B154=[1]rogério!$A155,[1]rogério!$B155=D$4),"ok","nok")</f>
        <v>nok</v>
      </c>
      <c r="E154" s="60" t="str">
        <f>IF(AND($B154=[1]rogério!$A155,[1]rogério!$B155=E$4),"ok","nok")</f>
        <v>nok</v>
      </c>
      <c r="F154" s="60" t="str">
        <f>IF(AND($B154=[1]rogério!$A155,[1]rogério!$B155=F$4),"ok","nok")</f>
        <v>nok</v>
      </c>
      <c r="G154" s="60" t="str">
        <f>IF(AND($B154=[1]rogério!$A155,[1]rogério!$B155=G$4),"ok","nok")</f>
        <v>nok</v>
      </c>
      <c r="H154" s="60" t="str">
        <f>IF(AND($B154=[1]rogério!$A155,[1]rogério!$B155=H$4),"ok","nok")</f>
        <v>nok</v>
      </c>
      <c r="I154" s="60" t="str">
        <f>IF(AND($B154=[1]rogério!$A155,[1]rogério!$B155=I$4),"ok","nok")</f>
        <v>nok</v>
      </c>
      <c r="J154" s="60" t="str">
        <f>IF(AND($B154=[1]rogério!$A155,[1]rogério!$B155=J$4),"ok","nok")</f>
        <v>nok</v>
      </c>
      <c r="K154" s="60" t="str">
        <f>IF(AND($B154=[1]rogério!$A155,[1]rogério!$B155=K$4),"ok","nok")</f>
        <v>nok</v>
      </c>
      <c r="L154" s="60" t="str">
        <f>IF(AND($B154=[1]rogério!$A155,[1]rogério!$B155=L$4),"ok","nok")</f>
        <v>nok</v>
      </c>
      <c r="M154" s="60" t="str">
        <f>IF(AND($B154=[1]rogério!$A155,[1]rogério!$B155=M$4),"ok","nok")</f>
        <v>nok</v>
      </c>
      <c r="N154" s="60" t="str">
        <f>IF(AND($B154=[1]rogério!$A155,[1]rogério!$B155=N$4),"ok","nok")</f>
        <v>nok</v>
      </c>
      <c r="O154" s="60" t="str">
        <f>IF(AND($B154=[1]rogério!$A155,[1]rogério!$B155=O$4),"ok","nok")</f>
        <v>nok</v>
      </c>
      <c r="P154" s="60" t="str">
        <f>IF(AND($B154=[1]rogério!$A155,[1]rogério!$B155=P$4),"ok","nok")</f>
        <v>nok</v>
      </c>
      <c r="Q154" s="60" t="str">
        <f>IF(AND($B154=[1]rogério!$A155,[1]rogério!$B155=Q$4),"ok","nok")</f>
        <v>nok</v>
      </c>
      <c r="R154" s="60" t="str">
        <f>IF(AND($B154=[1]rogério!$A155,[1]rogério!$B155=R$4),"ok","nok")</f>
        <v>ok</v>
      </c>
      <c r="S154" s="60" t="str">
        <f>IF(AND($B154=[1]rogério!$A155,[1]rogério!$B155=S$4),"ok","nok")</f>
        <v>nok</v>
      </c>
      <c r="T154" s="60" t="str">
        <f>IF(AND($B154=[1]rogério!$A155,[1]rogério!$B155=T$4),"ok","nok")</f>
        <v>nok</v>
      </c>
      <c r="U154" s="60" t="str">
        <f>IF(AND($B154=[1]rogério!$A155,[1]rogério!$B155=U$4),"ok","nok")</f>
        <v>nok</v>
      </c>
      <c r="V154" s="60" t="str">
        <f>IF(AND($B154=[1]rogério!$A155,[1]rogério!$B155=V$4),"ok","nok")</f>
        <v>nok</v>
      </c>
      <c r="W154" s="60" t="str">
        <f>IF(AND($B154=[1]rogério!$A155,[1]rogério!$B155=W$4),"ok","nok")</f>
        <v>nok</v>
      </c>
      <c r="X154" s="60" t="str">
        <f>IF(AND($B154=[1]rogério!$A155,[1]rogério!$B155=X$4),"ok","nok")</f>
        <v>nok</v>
      </c>
      <c r="Y154" s="105" t="s">
        <v>33</v>
      </c>
      <c r="Z154" s="106"/>
      <c r="AA154" s="106"/>
      <c r="AB154" s="107"/>
      <c r="AC154" s="40"/>
      <c r="AD154" s="40"/>
      <c r="AE154" s="48" t="str">
        <f t="shared" si="45"/>
        <v/>
      </c>
      <c r="AF154" s="48"/>
      <c r="AG154" s="48"/>
      <c r="AH154" s="89"/>
      <c r="AI154" s="49">
        <f t="shared" si="46"/>
        <v>0</v>
      </c>
      <c r="AJ154" s="49" t="str">
        <f t="shared" si="47"/>
        <v/>
      </c>
      <c r="AK154" s="49">
        <f t="shared" si="48"/>
        <v>0</v>
      </c>
      <c r="AL154" s="49" t="str">
        <f t="shared" si="49"/>
        <v/>
      </c>
      <c r="AM154" s="49">
        <f t="shared" si="50"/>
        <v>0</v>
      </c>
      <c r="AN154" s="49" t="str">
        <f t="shared" si="51"/>
        <v/>
      </c>
      <c r="AO154" s="49">
        <f t="shared" si="52"/>
        <v>1</v>
      </c>
      <c r="AP154" s="49" t="str">
        <f t="shared" si="53"/>
        <v>EFPRAZO</v>
      </c>
      <c r="AQ154" s="49">
        <f t="shared" si="54"/>
        <v>0</v>
      </c>
      <c r="AR154" s="49" t="str">
        <f t="shared" si="55"/>
        <v/>
      </c>
      <c r="AV154" s="57"/>
      <c r="BF154" s="52"/>
    </row>
    <row r="155" spans="1:58" ht="30" customHeight="1" x14ac:dyDescent="0.35">
      <c r="A155" s="25" t="str">
        <f t="shared" si="56"/>
        <v>PT177 - PLATAFORMA DE ACESSO - FORQUILHA 1 - BÁSICO
TORRE B2
CIVIL</v>
      </c>
      <c r="B155" s="40" t="s">
        <v>19</v>
      </c>
      <c r="C155" s="60" t="str">
        <f>IF(AND($B155=[1]rogério!$A156,[1]rogério!$B156=C$4),"ok","nok")</f>
        <v>nok</v>
      </c>
      <c r="D155" s="60" t="str">
        <f>IF(AND($B155=[1]rogério!$A156,[1]rogério!$B156=D$4),"ok","nok")</f>
        <v>nok</v>
      </c>
      <c r="E155" s="60" t="str">
        <f>IF(AND($B155=[1]rogério!$A156,[1]rogério!$B156=E$4),"ok","nok")</f>
        <v>nok</v>
      </c>
      <c r="F155" s="60" t="str">
        <f>IF(AND($B155=[1]rogério!$A156,[1]rogério!$B156=F$4),"ok","nok")</f>
        <v>nok</v>
      </c>
      <c r="G155" s="60" t="str">
        <f>IF(AND($B155=[1]rogério!$A156,[1]rogério!$B156=G$4),"ok","nok")</f>
        <v>nok</v>
      </c>
      <c r="H155" s="60" t="str">
        <f>IF(AND($B155=[1]rogério!$A156,[1]rogério!$B156=H$4),"ok","nok")</f>
        <v>nok</v>
      </c>
      <c r="I155" s="60" t="str">
        <f>IF(AND($B155=[1]rogério!$A156,[1]rogério!$B156=I$4),"ok","nok")</f>
        <v>nok</v>
      </c>
      <c r="J155" s="60" t="str">
        <f>IF(AND($B155=[1]rogério!$A156,[1]rogério!$B156=J$4),"ok","nok")</f>
        <v>nok</v>
      </c>
      <c r="K155" s="60" t="str">
        <f>IF(AND($B155=[1]rogério!$A156,[1]rogério!$B156=K$4),"ok","nok")</f>
        <v>nok</v>
      </c>
      <c r="L155" s="60" t="str">
        <f>IF(AND($B155=[1]rogério!$A156,[1]rogério!$B156=L$4),"ok","nok")</f>
        <v>nok</v>
      </c>
      <c r="M155" s="60" t="str">
        <f>IF(AND($B155=[1]rogério!$A156,[1]rogério!$B156=M$4),"ok","nok")</f>
        <v>nok</v>
      </c>
      <c r="N155" s="60" t="str">
        <f>IF(AND($B155=[1]rogério!$A156,[1]rogério!$B156=N$4),"ok","nok")</f>
        <v>nok</v>
      </c>
      <c r="O155" s="60" t="str">
        <f>IF(AND($B155=[1]rogério!$A156,[1]rogério!$B156=O$4),"ok","nok")</f>
        <v>nok</v>
      </c>
      <c r="P155" s="60" t="str">
        <f>IF(AND($B155=[1]rogério!$A156,[1]rogério!$B156=P$4),"ok","nok")</f>
        <v>nok</v>
      </c>
      <c r="Q155" s="60" t="str">
        <f>IF(AND($B155=[1]rogério!$A156,[1]rogério!$B156=Q$4),"ok","nok")</f>
        <v>nok</v>
      </c>
      <c r="R155" s="60" t="str">
        <f>IF(AND($B155=[1]rogério!$A156,[1]rogério!$B156=R$4),"ok","nok")</f>
        <v>ok</v>
      </c>
      <c r="S155" s="60" t="str">
        <f>IF(AND($B155=[1]rogério!$A156,[1]rogério!$B156=S$4),"ok","nok")</f>
        <v>nok</v>
      </c>
      <c r="T155" s="60" t="str">
        <f>IF(AND($B155=[1]rogério!$A156,[1]rogério!$B156=T$4),"ok","nok")</f>
        <v>nok</v>
      </c>
      <c r="U155" s="60" t="str">
        <f>IF(AND($B155=[1]rogério!$A156,[1]rogério!$B156=U$4),"ok","nok")</f>
        <v>nok</v>
      </c>
      <c r="V155" s="60" t="str">
        <f>IF(AND($B155=[1]rogério!$A156,[1]rogério!$B156=V$4),"ok","nok")</f>
        <v>nok</v>
      </c>
      <c r="W155" s="60" t="str">
        <f>IF(AND($B155=[1]rogério!$A156,[1]rogério!$B156=W$4),"ok","nok")</f>
        <v>nok</v>
      </c>
      <c r="X155" s="60" t="str">
        <f>IF(AND($B155=[1]rogério!$A156,[1]rogério!$B156=X$4),"ok","nok")</f>
        <v>nok</v>
      </c>
      <c r="Y155" s="105" t="s">
        <v>33</v>
      </c>
      <c r="Z155" s="106"/>
      <c r="AA155" s="106"/>
      <c r="AB155" s="107"/>
      <c r="AC155" s="40"/>
      <c r="AD155" s="40"/>
      <c r="AE155" s="48" t="str">
        <f t="shared" si="45"/>
        <v/>
      </c>
      <c r="AF155" s="48"/>
      <c r="AG155" s="48"/>
      <c r="AH155" s="89"/>
      <c r="AI155" s="49">
        <f t="shared" si="46"/>
        <v>0</v>
      </c>
      <c r="AJ155" s="49" t="str">
        <f t="shared" si="47"/>
        <v/>
      </c>
      <c r="AK155" s="49">
        <f t="shared" si="48"/>
        <v>0</v>
      </c>
      <c r="AL155" s="49" t="str">
        <f t="shared" si="49"/>
        <v/>
      </c>
      <c r="AM155" s="49">
        <f t="shared" si="50"/>
        <v>0</v>
      </c>
      <c r="AN155" s="49" t="str">
        <f t="shared" si="51"/>
        <v/>
      </c>
      <c r="AO155" s="49">
        <f t="shared" si="52"/>
        <v>1</v>
      </c>
      <c r="AP155" s="49" t="str">
        <f t="shared" si="53"/>
        <v>EFPRAZO</v>
      </c>
      <c r="AQ155" s="49">
        <f t="shared" si="54"/>
        <v>0</v>
      </c>
      <c r="AR155" s="49" t="str">
        <f t="shared" si="55"/>
        <v/>
      </c>
      <c r="AV155" s="57"/>
      <c r="BF155" s="52"/>
    </row>
    <row r="156" spans="1:58" ht="30" customHeight="1" x14ac:dyDescent="0.35">
      <c r="A156" s="25" t="str">
        <f t="shared" si="56"/>
        <v>PT177 - PLATAFORMA DE ACESSO - FORQUILHA 1 - BÁSICO
TORRE B2
CIVIL</v>
      </c>
      <c r="B156" s="40" t="s">
        <v>42</v>
      </c>
      <c r="C156" s="60" t="str">
        <f>IF(AND($B156=[1]rogério!$A157,[1]rogério!$B157=C$4),"ok","nok")</f>
        <v>nok</v>
      </c>
      <c r="D156" s="60" t="str">
        <f>IF(AND($B156=[1]rogério!$A157,[1]rogério!$B157=D$4),"ok","nok")</f>
        <v>nok</v>
      </c>
      <c r="E156" s="60" t="str">
        <f>IF(AND($B156=[1]rogério!$A157,[1]rogério!$B157=E$4),"ok","nok")</f>
        <v>nok</v>
      </c>
      <c r="F156" s="60" t="str">
        <f>IF(AND($B156=[1]rogério!$A157,[1]rogério!$B157=F$4),"ok","nok")</f>
        <v>nok</v>
      </c>
      <c r="G156" s="60" t="str">
        <f>IF(AND($B156=[1]rogério!$A157,[1]rogério!$B157=G$4),"ok","nok")</f>
        <v>nok</v>
      </c>
      <c r="H156" s="60" t="str">
        <f>IF(AND($B156=[1]rogério!$A157,[1]rogério!$B157=H$4),"ok","nok")</f>
        <v>nok</v>
      </c>
      <c r="I156" s="60" t="str">
        <f>IF(AND($B156=[1]rogério!$A157,[1]rogério!$B157=I$4),"ok","nok")</f>
        <v>nok</v>
      </c>
      <c r="J156" s="60" t="str">
        <f>IF(AND($B156=[1]rogério!$A157,[1]rogério!$B157=J$4),"ok","nok")</f>
        <v>nok</v>
      </c>
      <c r="K156" s="60" t="str">
        <f>IF(AND($B156=[1]rogério!$A157,[1]rogério!$B157=K$4),"ok","nok")</f>
        <v>nok</v>
      </c>
      <c r="L156" s="60" t="str">
        <f>IF(AND($B156=[1]rogério!$A157,[1]rogério!$B157=L$4),"ok","nok")</f>
        <v>nok</v>
      </c>
      <c r="M156" s="60" t="str">
        <f>IF(AND($B156=[1]rogério!$A157,[1]rogério!$B157=M$4),"ok","nok")</f>
        <v>nok</v>
      </c>
      <c r="N156" s="60" t="str">
        <f>IF(AND($B156=[1]rogério!$A157,[1]rogério!$B157=N$4),"ok","nok")</f>
        <v>nok</v>
      </c>
      <c r="O156" s="60" t="str">
        <f>IF(AND($B156=[1]rogério!$A157,[1]rogério!$B157=O$4),"ok","nok")</f>
        <v>nok</v>
      </c>
      <c r="P156" s="60" t="str">
        <f>IF(AND($B156=[1]rogério!$A157,[1]rogério!$B157=P$4),"ok","nok")</f>
        <v>nok</v>
      </c>
      <c r="Q156" s="60" t="str">
        <f>IF(AND($B156=[1]rogério!$A157,[1]rogério!$B157=Q$4),"ok","nok")</f>
        <v>nok</v>
      </c>
      <c r="R156" s="60" t="str">
        <f>IF(AND($B156=[1]rogério!$A157,[1]rogério!$B157=R$4),"ok","nok")</f>
        <v>nok</v>
      </c>
      <c r="S156" s="60" t="str">
        <f>IF(AND($B156=[1]rogério!$A157,[1]rogério!$B157=S$4),"ok","nok")</f>
        <v>nok</v>
      </c>
      <c r="T156" s="60" t="str">
        <f>IF(AND($B156=[1]rogério!$A157,[1]rogério!$B157=T$4),"ok","nok")</f>
        <v>nok</v>
      </c>
      <c r="U156" s="60" t="str">
        <f>IF(AND($B156=[1]rogério!$A157,[1]rogério!$B157=U$4),"ok","nok")</f>
        <v>nok</v>
      </c>
      <c r="V156" s="60" t="str">
        <f>IF(AND($B156=[1]rogério!$A157,[1]rogério!$B157=V$4),"ok","nok")</f>
        <v>nok</v>
      </c>
      <c r="W156" s="60" t="str">
        <f>IF(AND($B156=[1]rogério!$A157,[1]rogério!$B157=W$4),"ok","nok")</f>
        <v>ok</v>
      </c>
      <c r="X156" s="60" t="str">
        <f>IF(AND($B156=[1]rogério!$A157,[1]rogério!$B157=X$4),"ok","nok")</f>
        <v>nok</v>
      </c>
      <c r="Y156" s="105" t="s">
        <v>15</v>
      </c>
      <c r="Z156" s="106"/>
      <c r="AA156" s="106"/>
      <c r="AB156" s="107"/>
      <c r="AC156" s="40"/>
      <c r="AD156" s="40"/>
      <c r="AE156" s="48" t="str">
        <f t="shared" si="45"/>
        <v/>
      </c>
      <c r="AF156" s="48"/>
      <c r="AG156" s="48"/>
      <c r="AH156" s="89"/>
      <c r="AI156" s="49">
        <f t="shared" si="46"/>
        <v>0</v>
      </c>
      <c r="AJ156" s="49" t="str">
        <f t="shared" si="47"/>
        <v/>
      </c>
      <c r="AK156" s="49">
        <f t="shared" si="48"/>
        <v>0</v>
      </c>
      <c r="AL156" s="49" t="str">
        <f t="shared" si="49"/>
        <v/>
      </c>
      <c r="AM156" s="49">
        <f t="shared" si="50"/>
        <v>0</v>
      </c>
      <c r="AN156" s="49" t="str">
        <f t="shared" si="51"/>
        <v/>
      </c>
      <c r="AO156" s="49">
        <f t="shared" si="52"/>
        <v>0</v>
      </c>
      <c r="AP156" s="49" t="str">
        <f t="shared" si="53"/>
        <v/>
      </c>
      <c r="AQ156" s="49">
        <f t="shared" si="54"/>
        <v>1</v>
      </c>
      <c r="AR156" s="49" t="str">
        <f t="shared" si="55"/>
        <v/>
      </c>
      <c r="AV156" s="57"/>
      <c r="BF156" s="52"/>
    </row>
    <row r="157" spans="1:58" ht="30" customHeight="1" x14ac:dyDescent="0.35">
      <c r="A157" s="25" t="str">
        <f t="shared" si="56"/>
        <v>PT177 - PLATAFORMA DE ACESSO - FORQUILHA 1 - BÁSICO
TORRE B2
CIVIL</v>
      </c>
      <c r="B157" s="40" t="s">
        <v>43</v>
      </c>
      <c r="C157" s="60" t="str">
        <f>IF(AND($B157=[1]rogério!$A158,[1]rogério!$B158=C$4),"ok","nok")</f>
        <v>nok</v>
      </c>
      <c r="D157" s="60" t="str">
        <f>IF(AND($B157=[1]rogério!$A158,[1]rogério!$B158=D$4),"ok","nok")</f>
        <v>nok</v>
      </c>
      <c r="E157" s="60" t="str">
        <f>IF(AND($B157=[1]rogério!$A158,[1]rogério!$B158=E$4),"ok","nok")</f>
        <v>nok</v>
      </c>
      <c r="F157" s="60" t="str">
        <f>IF(AND($B157=[1]rogério!$A158,[1]rogério!$B158=F$4),"ok","nok")</f>
        <v>nok</v>
      </c>
      <c r="G157" s="60" t="str">
        <f>IF(AND($B157=[1]rogério!$A158,[1]rogério!$B158=G$4),"ok","nok")</f>
        <v>nok</v>
      </c>
      <c r="H157" s="60" t="str">
        <f>IF(AND($B157=[1]rogério!$A158,[1]rogério!$B158=H$4),"ok","nok")</f>
        <v>nok</v>
      </c>
      <c r="I157" s="60" t="str">
        <f>IF(AND($B157=[1]rogério!$A158,[1]rogério!$B158=I$4),"ok","nok")</f>
        <v>nok</v>
      </c>
      <c r="J157" s="60" t="str">
        <f>IF(AND($B157=[1]rogério!$A158,[1]rogério!$B158=J$4),"ok","nok")</f>
        <v>nok</v>
      </c>
      <c r="K157" s="60" t="str">
        <f>IF(AND($B157=[1]rogério!$A158,[1]rogério!$B158=K$4),"ok","nok")</f>
        <v>nok</v>
      </c>
      <c r="L157" s="60" t="str">
        <f>IF(AND($B157=[1]rogério!$A158,[1]rogério!$B158=L$4),"ok","nok")</f>
        <v>nok</v>
      </c>
      <c r="M157" s="60" t="str">
        <f>IF(AND($B157=[1]rogério!$A158,[1]rogério!$B158=M$4),"ok","nok")</f>
        <v>nok</v>
      </c>
      <c r="N157" s="60" t="str">
        <f>IF(AND($B157=[1]rogério!$A158,[1]rogério!$B158=N$4),"ok","nok")</f>
        <v>nok</v>
      </c>
      <c r="O157" s="60" t="str">
        <f>IF(AND($B157=[1]rogério!$A158,[1]rogério!$B158=O$4),"ok","nok")</f>
        <v>nok</v>
      </c>
      <c r="P157" s="60" t="str">
        <f>IF(AND($B157=[1]rogério!$A158,[1]rogério!$B158=P$4),"ok","nok")</f>
        <v>nok</v>
      </c>
      <c r="Q157" s="60" t="str">
        <f>IF(AND($B157=[1]rogério!$A158,[1]rogério!$B158=Q$4),"ok","nok")</f>
        <v>nok</v>
      </c>
      <c r="R157" s="60" t="str">
        <f>IF(AND($B157=[1]rogério!$A158,[1]rogério!$B158=R$4),"ok","nok")</f>
        <v>nok</v>
      </c>
      <c r="S157" s="60" t="str">
        <f>IF(AND($B157=[1]rogério!$A158,[1]rogério!$B158=S$4),"ok","nok")</f>
        <v>nok</v>
      </c>
      <c r="T157" s="60" t="str">
        <f>IF(AND($B157=[1]rogério!$A158,[1]rogério!$B158=T$4),"ok","nok")</f>
        <v>nok</v>
      </c>
      <c r="U157" s="60" t="str">
        <f>IF(AND($B157=[1]rogério!$A158,[1]rogério!$B158=U$4),"ok","nok")</f>
        <v>nok</v>
      </c>
      <c r="V157" s="60" t="str">
        <f>IF(AND($B157=[1]rogério!$A158,[1]rogério!$B158=V$4),"ok","nok")</f>
        <v>nok</v>
      </c>
      <c r="W157" s="60" t="str">
        <f>IF(AND($B157=[1]rogério!$A158,[1]rogério!$B158=W$4),"ok","nok")</f>
        <v>ok</v>
      </c>
      <c r="X157" s="60" t="str">
        <f>IF(AND($B157=[1]rogério!$A158,[1]rogério!$B158=X$4),"ok","nok")</f>
        <v>nok</v>
      </c>
      <c r="Y157" s="105" t="s">
        <v>15</v>
      </c>
      <c r="Z157" s="106"/>
      <c r="AA157" s="106"/>
      <c r="AB157" s="107"/>
      <c r="AC157" s="40"/>
      <c r="AD157" s="40"/>
      <c r="AE157" s="48" t="str">
        <f t="shared" si="45"/>
        <v/>
      </c>
      <c r="AF157" s="48"/>
      <c r="AG157" s="48"/>
      <c r="AH157" s="89"/>
      <c r="AI157" s="49">
        <f t="shared" si="46"/>
        <v>0</v>
      </c>
      <c r="AJ157" s="49" t="str">
        <f t="shared" si="47"/>
        <v/>
      </c>
      <c r="AK157" s="49">
        <f t="shared" si="48"/>
        <v>0</v>
      </c>
      <c r="AL157" s="49" t="str">
        <f t="shared" si="49"/>
        <v/>
      </c>
      <c r="AM157" s="49">
        <f t="shared" si="50"/>
        <v>0</v>
      </c>
      <c r="AN157" s="49" t="str">
        <f t="shared" si="51"/>
        <v/>
      </c>
      <c r="AO157" s="49">
        <f t="shared" si="52"/>
        <v>0</v>
      </c>
      <c r="AP157" s="49" t="str">
        <f t="shared" si="53"/>
        <v/>
      </c>
      <c r="AQ157" s="49">
        <f t="shared" si="54"/>
        <v>1</v>
      </c>
      <c r="AR157" s="49" t="str">
        <f t="shared" si="55"/>
        <v/>
      </c>
      <c r="AV157" s="57"/>
      <c r="BF157" s="52"/>
    </row>
    <row r="158" spans="1:58" ht="30" customHeight="1" x14ac:dyDescent="0.35">
      <c r="A158" s="25"/>
      <c r="B158" s="36" t="s">
        <v>69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123"/>
      <c r="Z158" s="124"/>
      <c r="AA158" s="124"/>
      <c r="AB158" s="125"/>
      <c r="AC158" s="40"/>
      <c r="AD158" s="40"/>
      <c r="AE158" s="48" t="str">
        <f t="shared" si="45"/>
        <v/>
      </c>
      <c r="AF158" s="48"/>
      <c r="AG158" s="48"/>
      <c r="AH158" s="89"/>
      <c r="AI158" s="49">
        <f t="shared" si="46"/>
        <v>0</v>
      </c>
      <c r="AJ158" s="49" t="str">
        <f t="shared" si="47"/>
        <v/>
      </c>
      <c r="AK158" s="49">
        <f t="shared" si="48"/>
        <v>0</v>
      </c>
      <c r="AL158" s="49" t="str">
        <f t="shared" si="49"/>
        <v/>
      </c>
      <c r="AM158" s="49">
        <f t="shared" si="50"/>
        <v>0</v>
      </c>
      <c r="AN158" s="49" t="str">
        <f t="shared" si="51"/>
        <v/>
      </c>
      <c r="AO158" s="49">
        <f t="shared" si="52"/>
        <v>0</v>
      </c>
      <c r="AP158" s="49" t="str">
        <f t="shared" si="53"/>
        <v/>
      </c>
      <c r="AQ158" s="49">
        <f t="shared" si="54"/>
        <v>0</v>
      </c>
      <c r="AR158" s="49" t="str">
        <f t="shared" si="55"/>
        <v/>
      </c>
      <c r="AV158" s="57"/>
      <c r="BF158" s="52"/>
    </row>
    <row r="159" spans="1:58" ht="30" customHeight="1" x14ac:dyDescent="0.35">
      <c r="A159" s="25"/>
      <c r="B159" s="37" t="s">
        <v>52</v>
      </c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120"/>
      <c r="Z159" s="121"/>
      <c r="AA159" s="121"/>
      <c r="AB159" s="122"/>
      <c r="AC159" s="40"/>
      <c r="AD159" s="40"/>
      <c r="AE159" s="48" t="str">
        <f t="shared" si="45"/>
        <v/>
      </c>
      <c r="AF159" s="48"/>
      <c r="AG159" s="48"/>
      <c r="AH159" s="89"/>
      <c r="AI159" s="49">
        <f t="shared" si="46"/>
        <v>0</v>
      </c>
      <c r="AJ159" s="49" t="str">
        <f t="shared" si="47"/>
        <v/>
      </c>
      <c r="AK159" s="49">
        <f t="shared" si="48"/>
        <v>0</v>
      </c>
      <c r="AL159" s="49" t="str">
        <f t="shared" si="49"/>
        <v/>
      </c>
      <c r="AM159" s="49">
        <f t="shared" si="50"/>
        <v>0</v>
      </c>
      <c r="AN159" s="49" t="str">
        <f t="shared" si="51"/>
        <v/>
      </c>
      <c r="AO159" s="49">
        <f t="shared" si="52"/>
        <v>0</v>
      </c>
      <c r="AP159" s="49" t="str">
        <f t="shared" si="53"/>
        <v/>
      </c>
      <c r="AQ159" s="49">
        <f t="shared" si="54"/>
        <v>0</v>
      </c>
      <c r="AR159" s="49" t="str">
        <f t="shared" si="55"/>
        <v/>
      </c>
      <c r="AV159" s="57"/>
      <c r="BF159" s="52"/>
    </row>
    <row r="160" spans="1:58" ht="30" customHeight="1" x14ac:dyDescent="0.35">
      <c r="A160" s="25"/>
      <c r="B160" s="42" t="s">
        <v>56</v>
      </c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111"/>
      <c r="Z160" s="112"/>
      <c r="AA160" s="112"/>
      <c r="AB160" s="113"/>
      <c r="AC160" s="40"/>
      <c r="AD160" s="40"/>
      <c r="AE160" s="48" t="str">
        <f t="shared" si="45"/>
        <v/>
      </c>
      <c r="AF160" s="48"/>
      <c r="AG160" s="48"/>
      <c r="AH160" s="89"/>
      <c r="AI160" s="49">
        <f t="shared" si="46"/>
        <v>0</v>
      </c>
      <c r="AJ160" s="49" t="str">
        <f t="shared" si="47"/>
        <v/>
      </c>
      <c r="AK160" s="49">
        <f t="shared" si="48"/>
        <v>0</v>
      </c>
      <c r="AL160" s="49" t="str">
        <f t="shared" si="49"/>
        <v/>
      </c>
      <c r="AM160" s="49">
        <f t="shared" si="50"/>
        <v>0</v>
      </c>
      <c r="AN160" s="49" t="str">
        <f t="shared" si="51"/>
        <v/>
      </c>
      <c r="AO160" s="49">
        <f t="shared" si="52"/>
        <v>0</v>
      </c>
      <c r="AP160" s="49" t="str">
        <f t="shared" si="53"/>
        <v/>
      </c>
      <c r="AQ160" s="49">
        <f t="shared" si="54"/>
        <v>0</v>
      </c>
      <c r="AR160" s="49" t="str">
        <f t="shared" si="55"/>
        <v/>
      </c>
      <c r="AV160" s="57"/>
      <c r="BF160" s="52"/>
    </row>
    <row r="161" spans="1:58" ht="30" customHeight="1" x14ac:dyDescent="0.35">
      <c r="A161" s="25"/>
      <c r="B161" s="61" t="s">
        <v>70</v>
      </c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117"/>
      <c r="Z161" s="118"/>
      <c r="AA161" s="118"/>
      <c r="AB161" s="119"/>
      <c r="AC161" s="40"/>
      <c r="AD161" s="40"/>
      <c r="AE161" s="48" t="str">
        <f t="shared" si="45"/>
        <v/>
      </c>
      <c r="AF161" s="48"/>
      <c r="AG161" s="48"/>
      <c r="AH161" s="89"/>
      <c r="AI161" s="49">
        <f t="shared" si="46"/>
        <v>0</v>
      </c>
      <c r="AJ161" s="49" t="str">
        <f t="shared" si="47"/>
        <v/>
      </c>
      <c r="AK161" s="49">
        <f t="shared" si="48"/>
        <v>0</v>
      </c>
      <c r="AL161" s="49" t="str">
        <f t="shared" si="49"/>
        <v/>
      </c>
      <c r="AM161" s="49">
        <f t="shared" si="50"/>
        <v>0</v>
      </c>
      <c r="AN161" s="49" t="str">
        <f t="shared" si="51"/>
        <v/>
      </c>
      <c r="AO161" s="49">
        <f t="shared" si="52"/>
        <v>0</v>
      </c>
      <c r="AP161" s="49" t="str">
        <f t="shared" si="53"/>
        <v/>
      </c>
      <c r="AQ161" s="49">
        <f t="shared" si="54"/>
        <v>0</v>
      </c>
      <c r="AR161" s="49" t="str">
        <f t="shared" si="55"/>
        <v/>
      </c>
      <c r="AV161" s="57"/>
      <c r="BF161" s="52"/>
    </row>
    <row r="162" spans="1:58" ht="30" customHeight="1" x14ac:dyDescent="0.35">
      <c r="A162" s="25"/>
      <c r="B162" s="62" t="s">
        <v>58</v>
      </c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114"/>
      <c r="Z162" s="115"/>
      <c r="AA162" s="115"/>
      <c r="AB162" s="116"/>
      <c r="AC162" s="40"/>
      <c r="AD162" s="40"/>
      <c r="AE162" s="48" t="str">
        <f t="shared" si="45"/>
        <v/>
      </c>
      <c r="AF162" s="48"/>
      <c r="AG162" s="48"/>
      <c r="AH162" s="89"/>
      <c r="AI162" s="49">
        <f t="shared" si="46"/>
        <v>0</v>
      </c>
      <c r="AJ162" s="49" t="str">
        <f t="shared" si="47"/>
        <v/>
      </c>
      <c r="AK162" s="49">
        <f t="shared" si="48"/>
        <v>0</v>
      </c>
      <c r="AL162" s="49" t="str">
        <f t="shared" si="49"/>
        <v/>
      </c>
      <c r="AM162" s="49">
        <f t="shared" si="50"/>
        <v>0</v>
      </c>
      <c r="AN162" s="49" t="str">
        <f t="shared" si="51"/>
        <v/>
      </c>
      <c r="AO162" s="49">
        <f t="shared" si="52"/>
        <v>0</v>
      </c>
      <c r="AP162" s="49" t="str">
        <f t="shared" si="53"/>
        <v/>
      </c>
      <c r="AQ162" s="49">
        <f t="shared" si="54"/>
        <v>0</v>
      </c>
      <c r="AR162" s="49" t="str">
        <f t="shared" si="55"/>
        <v/>
      </c>
      <c r="AV162" s="57"/>
      <c r="BF162" s="52"/>
    </row>
    <row r="163" spans="1:58" ht="30" customHeight="1" x14ac:dyDescent="0.35">
      <c r="A163" s="25"/>
      <c r="B163" s="39" t="s">
        <v>41</v>
      </c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108"/>
      <c r="Z163" s="109"/>
      <c r="AA163" s="109"/>
      <c r="AB163" s="110"/>
      <c r="AC163" s="40"/>
      <c r="AD163" s="40"/>
      <c r="AE163" s="48" t="str">
        <f t="shared" si="45"/>
        <v/>
      </c>
      <c r="AF163" s="48"/>
      <c r="AG163" s="48"/>
      <c r="AH163" s="89"/>
      <c r="AI163" s="49">
        <f t="shared" si="46"/>
        <v>0</v>
      </c>
      <c r="AJ163" s="49" t="str">
        <f t="shared" si="47"/>
        <v/>
      </c>
      <c r="AK163" s="49">
        <f t="shared" si="48"/>
        <v>0</v>
      </c>
      <c r="AL163" s="49" t="str">
        <f t="shared" si="49"/>
        <v/>
      </c>
      <c r="AM163" s="49">
        <f t="shared" si="50"/>
        <v>0</v>
      </c>
      <c r="AN163" s="49" t="str">
        <f t="shared" si="51"/>
        <v/>
      </c>
      <c r="AO163" s="49">
        <f t="shared" si="52"/>
        <v>0</v>
      </c>
      <c r="AP163" s="49" t="str">
        <f t="shared" si="53"/>
        <v/>
      </c>
      <c r="AQ163" s="49">
        <f t="shared" si="54"/>
        <v>0</v>
      </c>
      <c r="AR163" s="49" t="str">
        <f t="shared" si="55"/>
        <v/>
      </c>
      <c r="AV163" s="57"/>
      <c r="BF163" s="52"/>
    </row>
    <row r="164" spans="1:58" ht="30" customHeight="1" x14ac:dyDescent="0.35">
      <c r="A164" s="25" t="str">
        <f>CONCATENATE($B$158,"
",$B$161,"
",$B$162)</f>
        <v>PT177 - PLATAFORMA DE ACESSO - FORQUILHA 1 - DETALHADO
PROJETO DETALHADO
ESTRUTURAS METÁLICAS</v>
      </c>
      <c r="B164" s="40" t="s">
        <v>60</v>
      </c>
      <c r="C164" s="60" t="str">
        <f>IF(AND($B164=[1]rogério!$A165,[1]rogério!$B165=C$4),"ok","nok")</f>
        <v>nok</v>
      </c>
      <c r="D164" s="60" t="str">
        <f>IF(AND($B164=[1]rogério!$A165,[1]rogério!$B165=D$4),"ok","nok")</f>
        <v>nok</v>
      </c>
      <c r="E164" s="60" t="str">
        <f>IF(AND($B164=[1]rogério!$A165,[1]rogério!$B165=E$4),"ok","nok")</f>
        <v>nok</v>
      </c>
      <c r="F164" s="60" t="str">
        <f>IF(AND($B164=[1]rogério!$A165,[1]rogério!$B165=F$4),"ok","nok")</f>
        <v>nok</v>
      </c>
      <c r="G164" s="60" t="str">
        <f>IF(AND($B164=[1]rogério!$A165,[1]rogério!$B165=G$4),"ok","nok")</f>
        <v>nok</v>
      </c>
      <c r="H164" s="60" t="str">
        <f>IF(AND($B164=[1]rogério!$A165,[1]rogério!$B165=H$4),"ok","nok")</f>
        <v>nok</v>
      </c>
      <c r="I164" s="60" t="str">
        <f>IF(AND($B164=[1]rogério!$A165,[1]rogério!$B165=I$4),"ok","nok")</f>
        <v>nok</v>
      </c>
      <c r="J164" s="60" t="str">
        <f>IF(AND($B164=[1]rogério!$A165,[1]rogério!$B165=J$4),"ok","nok")</f>
        <v>ok</v>
      </c>
      <c r="K164" s="60" t="str">
        <f>IF(AND($B164=[1]rogério!$A165,[1]rogério!$B165=K$4),"ok","nok")</f>
        <v>nok</v>
      </c>
      <c r="L164" s="60" t="str">
        <f>IF(AND($B164=[1]rogério!$A165,[1]rogério!$B165=L$4),"ok","nok")</f>
        <v>nok</v>
      </c>
      <c r="M164" s="60" t="str">
        <f>IF(AND($B164=[1]rogério!$A165,[1]rogério!$B165=M$4),"ok","nok")</f>
        <v>nok</v>
      </c>
      <c r="N164" s="60" t="str">
        <f>IF(AND($B164=[1]rogério!$A165,[1]rogério!$B165=N$4),"ok","nok")</f>
        <v>nok</v>
      </c>
      <c r="O164" s="60" t="str">
        <f>IF(AND($B164=[1]rogério!$A165,[1]rogério!$B165=O$4),"ok","nok")</f>
        <v>nok</v>
      </c>
      <c r="P164" s="60" t="str">
        <f>IF(AND($B164=[1]rogério!$A165,[1]rogério!$B165=P$4),"ok","nok")</f>
        <v>nok</v>
      </c>
      <c r="Q164" s="60" t="str">
        <f>IF(AND($B164=[1]rogério!$A165,[1]rogério!$B165=Q$4),"ok","nok")</f>
        <v>nok</v>
      </c>
      <c r="R164" s="60" t="str">
        <f>IF(AND($B164=[1]rogério!$A165,[1]rogério!$B165=R$4),"ok","nok")</f>
        <v>nok</v>
      </c>
      <c r="S164" s="60" t="str">
        <f>IF(AND($B164=[1]rogério!$A165,[1]rogério!$B165=S$4),"ok","nok")</f>
        <v>nok</v>
      </c>
      <c r="T164" s="60" t="str">
        <f>IF(AND($B164=[1]rogério!$A165,[1]rogério!$B165=T$4),"ok","nok")</f>
        <v>nok</v>
      </c>
      <c r="U164" s="60" t="str">
        <f>IF(AND($B164=[1]rogério!$A165,[1]rogério!$B165=U$4),"ok","nok")</f>
        <v>nok</v>
      </c>
      <c r="V164" s="60" t="str">
        <f>IF(AND($B164=[1]rogério!$A165,[1]rogério!$B165=V$4),"ok","nok")</f>
        <v>nok</v>
      </c>
      <c r="W164" s="60" t="str">
        <f>IF(AND($B164=[1]rogério!$A165,[1]rogério!$B165=W$4),"ok","nok")</f>
        <v>nok</v>
      </c>
      <c r="X164" s="60" t="str">
        <f>IF(AND($B164=[1]rogério!$A165,[1]rogério!$B165=X$4),"ok","nok")</f>
        <v>nok</v>
      </c>
      <c r="Y164" s="105" t="s">
        <v>33</v>
      </c>
      <c r="Z164" s="106"/>
      <c r="AA164" s="106"/>
      <c r="AB164" s="107"/>
      <c r="AC164" s="40"/>
      <c r="AD164" s="40"/>
      <c r="AE164" s="48" t="str">
        <f t="shared" si="45"/>
        <v/>
      </c>
      <c r="AF164" s="48"/>
      <c r="AG164" s="48"/>
      <c r="AH164" s="89"/>
      <c r="AI164" s="49">
        <f t="shared" si="46"/>
        <v>0</v>
      </c>
      <c r="AJ164" s="49" t="str">
        <f t="shared" si="47"/>
        <v/>
      </c>
      <c r="AK164" s="49">
        <f t="shared" si="48"/>
        <v>1</v>
      </c>
      <c r="AL164" s="49" t="str">
        <f t="shared" si="49"/>
        <v>EFPRAZO</v>
      </c>
      <c r="AM164" s="49">
        <f t="shared" si="50"/>
        <v>0</v>
      </c>
      <c r="AN164" s="49" t="str">
        <f t="shared" si="51"/>
        <v/>
      </c>
      <c r="AO164" s="49">
        <f t="shared" si="52"/>
        <v>0</v>
      </c>
      <c r="AP164" s="49" t="str">
        <f t="shared" si="53"/>
        <v/>
      </c>
      <c r="AQ164" s="49">
        <f t="shared" si="54"/>
        <v>0</v>
      </c>
      <c r="AR164" s="49" t="str">
        <f t="shared" si="55"/>
        <v/>
      </c>
      <c r="AV164" s="57"/>
      <c r="BF164" s="52"/>
    </row>
    <row r="165" spans="1:58" ht="30" customHeight="1" x14ac:dyDescent="0.35">
      <c r="A165" s="25" t="str">
        <f t="shared" ref="A165:A196" si="57">CONCATENATE($B$158,"
",$B$161,"
",$B$162)</f>
        <v>PT177 - PLATAFORMA DE ACESSO - FORQUILHA 1 - DETALHADO
PROJETO DETALHADO
ESTRUTURAS METÁLICAS</v>
      </c>
      <c r="B165" s="40" t="s">
        <v>89</v>
      </c>
      <c r="C165" s="60" t="str">
        <f>IF(AND($B165=[1]rogério!$A166,[1]rogério!$B166=C$4),"ok","nok")</f>
        <v>nok</v>
      </c>
      <c r="D165" s="60" t="str">
        <f>IF(AND($B165=[1]rogério!$A166,[1]rogério!$B166=D$4),"ok","nok")</f>
        <v>nok</v>
      </c>
      <c r="E165" s="60" t="str">
        <f>IF(AND($B165=[1]rogério!$A166,[1]rogério!$B166=E$4),"ok","nok")</f>
        <v>nok</v>
      </c>
      <c r="F165" s="60" t="str">
        <f>IF(AND($B165=[1]rogério!$A166,[1]rogério!$B166=F$4),"ok","nok")</f>
        <v>nok</v>
      </c>
      <c r="G165" s="60" t="str">
        <f>IF(AND($B165=[1]rogério!$A166,[1]rogério!$B166=G$4),"ok","nok")</f>
        <v>nok</v>
      </c>
      <c r="H165" s="60" t="str">
        <f>IF(AND($B165=[1]rogério!$A166,[1]rogério!$B166=H$4),"ok","nok")</f>
        <v>nok</v>
      </c>
      <c r="I165" s="60" t="str">
        <f>IF(AND($B165=[1]rogério!$A166,[1]rogério!$B166=I$4),"ok","nok")</f>
        <v>nok</v>
      </c>
      <c r="J165" s="60" t="str">
        <f>IF(AND($B165=[1]rogério!$A166,[1]rogério!$B166=J$4),"ok","nok")</f>
        <v>ok</v>
      </c>
      <c r="K165" s="60" t="str">
        <f>IF(AND($B165=[1]rogério!$A166,[1]rogério!$B166=K$4),"ok","nok")</f>
        <v>nok</v>
      </c>
      <c r="L165" s="60" t="str">
        <f>IF(AND($B165=[1]rogério!$A166,[1]rogério!$B166=L$4),"ok","nok")</f>
        <v>nok</v>
      </c>
      <c r="M165" s="60" t="str">
        <f>IF(AND($B165=[1]rogério!$A166,[1]rogério!$B166=M$4),"ok","nok")</f>
        <v>nok</v>
      </c>
      <c r="N165" s="60" t="str">
        <f>IF(AND($B165=[1]rogério!$A166,[1]rogério!$B166=N$4),"ok","nok")</f>
        <v>nok</v>
      </c>
      <c r="O165" s="60" t="str">
        <f>IF(AND($B165=[1]rogério!$A166,[1]rogério!$B166=O$4),"ok","nok")</f>
        <v>nok</v>
      </c>
      <c r="P165" s="60" t="str">
        <f>IF(AND($B165=[1]rogério!$A166,[1]rogério!$B166=P$4),"ok","nok")</f>
        <v>nok</v>
      </c>
      <c r="Q165" s="60" t="str">
        <f>IF(AND($B165=[1]rogério!$A166,[1]rogério!$B166=Q$4),"ok","nok")</f>
        <v>nok</v>
      </c>
      <c r="R165" s="60" t="str">
        <f>IF(AND($B165=[1]rogério!$A166,[1]rogério!$B166=R$4),"ok","nok")</f>
        <v>nok</v>
      </c>
      <c r="S165" s="60" t="str">
        <f>IF(AND($B165=[1]rogério!$A166,[1]rogério!$B166=S$4),"ok","nok")</f>
        <v>nok</v>
      </c>
      <c r="T165" s="60" t="str">
        <f>IF(AND($B165=[1]rogério!$A166,[1]rogério!$B166=T$4),"ok","nok")</f>
        <v>nok</v>
      </c>
      <c r="U165" s="60" t="str">
        <f>IF(AND($B165=[1]rogério!$A166,[1]rogério!$B166=U$4),"ok","nok")</f>
        <v>nok</v>
      </c>
      <c r="V165" s="60" t="str">
        <f>IF(AND($B165=[1]rogério!$A166,[1]rogério!$B166=V$4),"ok","nok")</f>
        <v>nok</v>
      </c>
      <c r="W165" s="60" t="str">
        <f>IF(AND($B165=[1]rogério!$A166,[1]rogério!$B166=W$4),"ok","nok")</f>
        <v>nok</v>
      </c>
      <c r="X165" s="60" t="str">
        <f>IF(AND($B165=[1]rogério!$A166,[1]rogério!$B166=X$4),"ok","nok")</f>
        <v>nok</v>
      </c>
      <c r="Y165" s="105" t="s">
        <v>33</v>
      </c>
      <c r="Z165" s="106"/>
      <c r="AA165" s="106"/>
      <c r="AB165" s="107"/>
      <c r="AC165" s="40"/>
      <c r="AD165" s="40"/>
      <c r="AE165" s="48" t="str">
        <f t="shared" si="45"/>
        <v/>
      </c>
      <c r="AF165" s="48"/>
      <c r="AG165" s="48"/>
      <c r="AH165" s="89"/>
      <c r="AI165" s="49">
        <f t="shared" si="46"/>
        <v>0</v>
      </c>
      <c r="AJ165" s="49" t="str">
        <f t="shared" si="47"/>
        <v/>
      </c>
      <c r="AK165" s="49">
        <f t="shared" si="48"/>
        <v>1</v>
      </c>
      <c r="AL165" s="49" t="str">
        <f t="shared" si="49"/>
        <v>EFPRAZO</v>
      </c>
      <c r="AM165" s="49">
        <f t="shared" si="50"/>
        <v>0</v>
      </c>
      <c r="AN165" s="49" t="str">
        <f t="shared" si="51"/>
        <v/>
      </c>
      <c r="AO165" s="49">
        <f t="shared" si="52"/>
        <v>0</v>
      </c>
      <c r="AP165" s="49" t="str">
        <f t="shared" si="53"/>
        <v/>
      </c>
      <c r="AQ165" s="49">
        <f t="shared" si="54"/>
        <v>0</v>
      </c>
      <c r="AR165" s="49" t="str">
        <f t="shared" si="55"/>
        <v/>
      </c>
      <c r="AV165" s="57"/>
      <c r="BF165" s="52"/>
    </row>
    <row r="166" spans="1:58" ht="30" customHeight="1" x14ac:dyDescent="0.35">
      <c r="A166" s="25" t="str">
        <f t="shared" si="57"/>
        <v>PT177 - PLATAFORMA DE ACESSO - FORQUILHA 1 - DETALHADO
PROJETO DETALHADO
ESTRUTURAS METÁLICAS</v>
      </c>
      <c r="B166" s="40" t="s">
        <v>42</v>
      </c>
      <c r="C166" s="60" t="str">
        <f>IF(AND($B166=[1]rogério!$A167,[1]rogério!$B167=C$4),"ok","nok")</f>
        <v>nok</v>
      </c>
      <c r="D166" s="60" t="str">
        <f>IF(AND($B166=[1]rogério!$A167,[1]rogério!$B167=D$4),"ok","nok")</f>
        <v>nok</v>
      </c>
      <c r="E166" s="60" t="str">
        <f>IF(AND($B166=[1]rogério!$A167,[1]rogério!$B167=E$4),"ok","nok")</f>
        <v>nok</v>
      </c>
      <c r="F166" s="60" t="str">
        <f>IF(AND($B166=[1]rogério!$A167,[1]rogério!$B167=F$4),"ok","nok")</f>
        <v>nok</v>
      </c>
      <c r="G166" s="60" t="str">
        <f>IF(AND($B166=[1]rogério!$A167,[1]rogério!$B167=G$4),"ok","nok")</f>
        <v>nok</v>
      </c>
      <c r="H166" s="60" t="str">
        <f>IF(AND($B166=[1]rogério!$A167,[1]rogério!$B167=H$4),"ok","nok")</f>
        <v>nok</v>
      </c>
      <c r="I166" s="60" t="str">
        <f>IF(AND($B166=[1]rogério!$A167,[1]rogério!$B167=I$4),"ok","nok")</f>
        <v>nok</v>
      </c>
      <c r="J166" s="60" t="str">
        <f>IF(AND($B166=[1]rogério!$A167,[1]rogério!$B167=J$4),"ok","nok")</f>
        <v>nok</v>
      </c>
      <c r="K166" s="60" t="str">
        <f>IF(AND($B166=[1]rogério!$A167,[1]rogério!$B167=K$4),"ok","nok")</f>
        <v>nok</v>
      </c>
      <c r="L166" s="60" t="str">
        <f>IF(AND($B166=[1]rogério!$A167,[1]rogério!$B167=L$4),"ok","nok")</f>
        <v>nok</v>
      </c>
      <c r="M166" s="60" t="str">
        <f>IF(AND($B166=[1]rogério!$A167,[1]rogério!$B167=M$4),"ok","nok")</f>
        <v>ok</v>
      </c>
      <c r="N166" s="60" t="str">
        <f>IF(AND($B166=[1]rogério!$A167,[1]rogério!$B167=N$4),"ok","nok")</f>
        <v>nok</v>
      </c>
      <c r="O166" s="60" t="str">
        <f>IF(AND($B166=[1]rogério!$A167,[1]rogério!$B167=O$4),"ok","nok")</f>
        <v>nok</v>
      </c>
      <c r="P166" s="60" t="str">
        <f>IF(AND($B166=[1]rogério!$A167,[1]rogério!$B167=P$4),"ok","nok")</f>
        <v>nok</v>
      </c>
      <c r="Q166" s="60" t="str">
        <f>IF(AND($B166=[1]rogério!$A167,[1]rogério!$B167=Q$4),"ok","nok")</f>
        <v>nok</v>
      </c>
      <c r="R166" s="60" t="str">
        <f>IF(AND($B166=[1]rogério!$A167,[1]rogério!$B167=R$4),"ok","nok")</f>
        <v>nok</v>
      </c>
      <c r="S166" s="60" t="str">
        <f>IF(AND($B166=[1]rogério!$A167,[1]rogério!$B167=S$4),"ok","nok")</f>
        <v>nok</v>
      </c>
      <c r="T166" s="60" t="str">
        <f>IF(AND($B166=[1]rogério!$A167,[1]rogério!$B167=T$4),"ok","nok")</f>
        <v>nok</v>
      </c>
      <c r="U166" s="60" t="str">
        <f>IF(AND($B166=[1]rogério!$A167,[1]rogério!$B167=U$4),"ok","nok")</f>
        <v>nok</v>
      </c>
      <c r="V166" s="60" t="str">
        <f>IF(AND($B166=[1]rogério!$A167,[1]rogério!$B167=V$4),"ok","nok")</f>
        <v>nok</v>
      </c>
      <c r="W166" s="60" t="str">
        <f>IF(AND($B166=[1]rogério!$A167,[1]rogério!$B167=W$4),"ok","nok")</f>
        <v>nok</v>
      </c>
      <c r="X166" s="60" t="str">
        <f>IF(AND($B166=[1]rogério!$A167,[1]rogério!$B167=X$4),"ok","nok")</f>
        <v>nok</v>
      </c>
      <c r="Y166" s="105" t="s">
        <v>31</v>
      </c>
      <c r="Z166" s="106"/>
      <c r="AA166" s="106"/>
      <c r="AB166" s="107"/>
      <c r="AC166" s="40"/>
      <c r="AD166" s="40"/>
      <c r="AE166" s="48" t="str">
        <f t="shared" si="45"/>
        <v>Certificação do documento - Vibracon</v>
      </c>
      <c r="AF166" s="48"/>
      <c r="AG166" s="48"/>
      <c r="AH166" s="89"/>
      <c r="AI166" s="49">
        <f t="shared" si="46"/>
        <v>0</v>
      </c>
      <c r="AJ166" s="49" t="str">
        <f t="shared" si="47"/>
        <v/>
      </c>
      <c r="AK166" s="49">
        <f t="shared" si="48"/>
        <v>0</v>
      </c>
      <c r="AL166" s="49" t="str">
        <f t="shared" si="49"/>
        <v/>
      </c>
      <c r="AM166" s="49">
        <f t="shared" si="50"/>
        <v>1</v>
      </c>
      <c r="AN166" s="49" t="str">
        <f t="shared" si="51"/>
        <v/>
      </c>
      <c r="AO166" s="49">
        <f t="shared" si="52"/>
        <v>0</v>
      </c>
      <c r="AP166" s="49" t="str">
        <f t="shared" si="53"/>
        <v/>
      </c>
      <c r="AQ166" s="49">
        <f t="shared" si="54"/>
        <v>0</v>
      </c>
      <c r="AR166" s="49" t="str">
        <f t="shared" si="55"/>
        <v/>
      </c>
      <c r="AV166" s="57"/>
      <c r="BF166" s="52"/>
    </row>
    <row r="167" spans="1:58" ht="30" customHeight="1" x14ac:dyDescent="0.35">
      <c r="A167" s="25" t="str">
        <f t="shared" si="57"/>
        <v>PT177 - PLATAFORMA DE ACESSO - FORQUILHA 1 - DETALHADO
PROJETO DETALHADO
ESTRUTURAS METÁLICAS</v>
      </c>
      <c r="B167" s="40" t="s">
        <v>43</v>
      </c>
      <c r="C167" s="60" t="str">
        <f>IF(AND($B167=[1]rogério!$A168,[1]rogério!$B168=C$4),"ok","nok")</f>
        <v>nok</v>
      </c>
      <c r="D167" s="60" t="str">
        <f>IF(AND($B167=[1]rogério!$A168,[1]rogério!$B168=D$4),"ok","nok")</f>
        <v>nok</v>
      </c>
      <c r="E167" s="60" t="str">
        <f>IF(AND($B167=[1]rogério!$A168,[1]rogério!$B168=E$4),"ok","nok")</f>
        <v>nok</v>
      </c>
      <c r="F167" s="60" t="str">
        <f>IF(AND($B167=[1]rogério!$A168,[1]rogério!$B168=F$4),"ok","nok")</f>
        <v>nok</v>
      </c>
      <c r="G167" s="60" t="str">
        <f>IF(AND($B167=[1]rogério!$A168,[1]rogério!$B168=G$4),"ok","nok")</f>
        <v>nok</v>
      </c>
      <c r="H167" s="60" t="str">
        <f>IF(AND($B167=[1]rogério!$A168,[1]rogério!$B168=H$4),"ok","nok")</f>
        <v>nok</v>
      </c>
      <c r="I167" s="60" t="str">
        <f>IF(AND($B167=[1]rogério!$A168,[1]rogério!$B168=I$4),"ok","nok")</f>
        <v>nok</v>
      </c>
      <c r="J167" s="60" t="str">
        <f>IF(AND($B167=[1]rogério!$A168,[1]rogério!$B168=J$4),"ok","nok")</f>
        <v>nok</v>
      </c>
      <c r="K167" s="60" t="str">
        <f>IF(AND($B167=[1]rogério!$A168,[1]rogério!$B168=K$4),"ok","nok")</f>
        <v>nok</v>
      </c>
      <c r="L167" s="60" t="str">
        <f>IF(AND($B167=[1]rogério!$A168,[1]rogério!$B168=L$4),"ok","nok")</f>
        <v>nok</v>
      </c>
      <c r="M167" s="60" t="str">
        <f>IF(AND($B167=[1]rogério!$A168,[1]rogério!$B168=M$4),"ok","nok")</f>
        <v>ok</v>
      </c>
      <c r="N167" s="60" t="str">
        <f>IF(AND($B167=[1]rogério!$A168,[1]rogério!$B168=N$4),"ok","nok")</f>
        <v>nok</v>
      </c>
      <c r="O167" s="60" t="str">
        <f>IF(AND($B167=[1]rogério!$A168,[1]rogério!$B168=O$4),"ok","nok")</f>
        <v>nok</v>
      </c>
      <c r="P167" s="60" t="str">
        <f>IF(AND($B167=[1]rogério!$A168,[1]rogério!$B168=P$4),"ok","nok")</f>
        <v>nok</v>
      </c>
      <c r="Q167" s="60" t="str">
        <f>IF(AND($B167=[1]rogério!$A168,[1]rogério!$B168=Q$4),"ok","nok")</f>
        <v>nok</v>
      </c>
      <c r="R167" s="60" t="str">
        <f>IF(AND($B167=[1]rogério!$A168,[1]rogério!$B168=R$4),"ok","nok")</f>
        <v>nok</v>
      </c>
      <c r="S167" s="60" t="str">
        <f>IF(AND($B167=[1]rogério!$A168,[1]rogério!$B168=S$4),"ok","nok")</f>
        <v>nok</v>
      </c>
      <c r="T167" s="60" t="str">
        <f>IF(AND($B167=[1]rogério!$A168,[1]rogério!$B168=T$4),"ok","nok")</f>
        <v>nok</v>
      </c>
      <c r="U167" s="60" t="str">
        <f>IF(AND($B167=[1]rogério!$A168,[1]rogério!$B168=U$4),"ok","nok")</f>
        <v>nok</v>
      </c>
      <c r="V167" s="60" t="str">
        <f>IF(AND($B167=[1]rogério!$A168,[1]rogério!$B168=V$4),"ok","nok")</f>
        <v>nok</v>
      </c>
      <c r="W167" s="60" t="str">
        <f>IF(AND($B167=[1]rogério!$A168,[1]rogério!$B168=W$4),"ok","nok")</f>
        <v>nok</v>
      </c>
      <c r="X167" s="60" t="str">
        <f>IF(AND($B167=[1]rogério!$A168,[1]rogério!$B168=X$4),"ok","nok")</f>
        <v>nok</v>
      </c>
      <c r="Y167" s="105" t="s">
        <v>31</v>
      </c>
      <c r="Z167" s="106"/>
      <c r="AA167" s="106"/>
      <c r="AB167" s="107"/>
      <c r="AC167" s="40"/>
      <c r="AD167" s="40"/>
      <c r="AE167" s="48" t="str">
        <f t="shared" si="45"/>
        <v>MARCO - Envio do documento Certificado (Rev_0)</v>
      </c>
      <c r="AF167" s="48"/>
      <c r="AG167" s="48"/>
      <c r="AH167" s="89"/>
      <c r="AI167" s="49">
        <f t="shared" si="46"/>
        <v>0</v>
      </c>
      <c r="AJ167" s="49" t="str">
        <f t="shared" si="47"/>
        <v/>
      </c>
      <c r="AK167" s="49">
        <f t="shared" si="48"/>
        <v>0</v>
      </c>
      <c r="AL167" s="49" t="str">
        <f t="shared" si="49"/>
        <v/>
      </c>
      <c r="AM167" s="49">
        <f t="shared" si="50"/>
        <v>1</v>
      </c>
      <c r="AN167" s="49" t="str">
        <f t="shared" si="51"/>
        <v/>
      </c>
      <c r="AO167" s="49">
        <f t="shared" si="52"/>
        <v>0</v>
      </c>
      <c r="AP167" s="49" t="str">
        <f t="shared" si="53"/>
        <v/>
      </c>
      <c r="AQ167" s="49">
        <f t="shared" si="54"/>
        <v>0</v>
      </c>
      <c r="AR167" s="49" t="str">
        <f t="shared" si="55"/>
        <v/>
      </c>
      <c r="AV167" s="57"/>
      <c r="BF167" s="52"/>
    </row>
    <row r="168" spans="1:58" ht="30" customHeight="1" x14ac:dyDescent="0.35">
      <c r="A168" s="25" t="str">
        <f t="shared" si="57"/>
        <v>PT177 - PLATAFORMA DE ACESSO - FORQUILHA 1 - DETALHADO
PROJETO DETALHADO
ESTRUTURAS METÁLICAS</v>
      </c>
      <c r="B168" s="38" t="s">
        <v>72</v>
      </c>
      <c r="C168" s="60" t="str">
        <f>IF(AND($B168=[1]rogério!$A169,[1]rogério!$B169=C$4),"ok","nok")</f>
        <v>nok</v>
      </c>
      <c r="D168" s="60" t="str">
        <f>IF(AND($B168=[1]rogério!$A169,[1]rogério!$B169=D$4),"ok","nok")</f>
        <v>nok</v>
      </c>
      <c r="E168" s="60" t="str">
        <f>IF(AND($B168=[1]rogério!$A169,[1]rogério!$B169=E$4),"ok","nok")</f>
        <v>nok</v>
      </c>
      <c r="F168" s="60" t="str">
        <f>IF(AND($B168=[1]rogério!$A169,[1]rogério!$B169=F$4),"ok","nok")</f>
        <v>nok</v>
      </c>
      <c r="G168" s="60" t="str">
        <f>IF(AND($B168=[1]rogério!$A169,[1]rogério!$B169=G$4),"ok","nok")</f>
        <v>nok</v>
      </c>
      <c r="H168" s="60" t="str">
        <f>IF(AND($B168=[1]rogério!$A169,[1]rogério!$B169=H$4),"ok","nok")</f>
        <v>nok</v>
      </c>
      <c r="I168" s="60" t="str">
        <f>IF(AND($B168=[1]rogério!$A169,[1]rogério!$B169=I$4),"ok","nok")</f>
        <v>nok</v>
      </c>
      <c r="J168" s="60" t="str">
        <f>IF(AND($B168=[1]rogério!$A169,[1]rogério!$B169=J$4),"ok","nok")</f>
        <v>ok</v>
      </c>
      <c r="K168" s="60" t="str">
        <f>IF(AND($B168=[1]rogério!$A169,[1]rogério!$B169=K$4),"ok","nok")</f>
        <v>nok</v>
      </c>
      <c r="L168" s="60" t="str">
        <f>IF(AND($B168=[1]rogério!$A169,[1]rogério!$B169=L$4),"ok","nok")</f>
        <v>nok</v>
      </c>
      <c r="M168" s="60" t="str">
        <f>IF(AND($B168=[1]rogério!$A169,[1]rogério!$B169=M$4),"ok","nok")</f>
        <v>nok</v>
      </c>
      <c r="N168" s="60" t="str">
        <f>IF(AND($B168=[1]rogério!$A169,[1]rogério!$B169=N$4),"ok","nok")</f>
        <v>nok</v>
      </c>
      <c r="O168" s="60" t="str">
        <f>IF(AND($B168=[1]rogério!$A169,[1]rogério!$B169=O$4),"ok","nok")</f>
        <v>nok</v>
      </c>
      <c r="P168" s="60" t="str">
        <f>IF(AND($B168=[1]rogério!$A169,[1]rogério!$B169=P$4),"ok","nok")</f>
        <v>nok</v>
      </c>
      <c r="Q168" s="60" t="str">
        <f>IF(AND($B168=[1]rogério!$A169,[1]rogério!$B169=Q$4),"ok","nok")</f>
        <v>nok</v>
      </c>
      <c r="R168" s="60" t="str">
        <f>IF(AND($B168=[1]rogério!$A169,[1]rogério!$B169=R$4),"ok","nok")</f>
        <v>nok</v>
      </c>
      <c r="S168" s="60" t="str">
        <f>IF(AND($B168=[1]rogério!$A169,[1]rogério!$B169=S$4),"ok","nok")</f>
        <v>nok</v>
      </c>
      <c r="T168" s="60" t="str">
        <f>IF(AND($B168=[1]rogério!$A169,[1]rogério!$B169=T$4),"ok","nok")</f>
        <v>nok</v>
      </c>
      <c r="U168" s="60" t="str">
        <f>IF(AND($B168=[1]rogério!$A169,[1]rogério!$B169=U$4),"ok","nok")</f>
        <v>nok</v>
      </c>
      <c r="V168" s="60" t="str">
        <f>IF(AND($B168=[1]rogério!$A169,[1]rogério!$B169=V$4),"ok","nok")</f>
        <v>nok</v>
      </c>
      <c r="W168" s="60" t="str">
        <f>IF(AND($B168=[1]rogério!$A169,[1]rogério!$B169=W$4),"ok","nok")</f>
        <v>nok</v>
      </c>
      <c r="X168" s="60" t="str">
        <f>IF(AND($B168=[1]rogério!$A169,[1]rogério!$B169=X$4),"ok","nok")</f>
        <v>nok</v>
      </c>
      <c r="Y168" s="105" t="s">
        <v>31</v>
      </c>
      <c r="Z168" s="106"/>
      <c r="AA168" s="106"/>
      <c r="AB168" s="107"/>
      <c r="AC168" s="40"/>
      <c r="AD168" s="40"/>
      <c r="AE168" s="48" t="str">
        <f t="shared" si="45"/>
        <v>Elaboração do Projeto Detalhado</v>
      </c>
      <c r="AF168" s="48" t="s">
        <v>115</v>
      </c>
      <c r="AG168" s="103">
        <v>45240</v>
      </c>
      <c r="AH168" s="89" t="s">
        <v>116</v>
      </c>
      <c r="AI168" s="49">
        <f t="shared" si="46"/>
        <v>0</v>
      </c>
      <c r="AJ168" s="49" t="str">
        <f t="shared" si="47"/>
        <v/>
      </c>
      <c r="AK168" s="49">
        <f t="shared" si="48"/>
        <v>1</v>
      </c>
      <c r="AL168" s="49" t="str">
        <f t="shared" si="49"/>
        <v/>
      </c>
      <c r="AM168" s="49">
        <f t="shared" si="50"/>
        <v>0</v>
      </c>
      <c r="AN168" s="49" t="str">
        <f t="shared" si="51"/>
        <v/>
      </c>
      <c r="AO168" s="49">
        <f t="shared" si="52"/>
        <v>0</v>
      </c>
      <c r="AP168" s="49" t="str">
        <f t="shared" si="53"/>
        <v/>
      </c>
      <c r="AQ168" s="49">
        <f t="shared" si="54"/>
        <v>0</v>
      </c>
      <c r="AR168" s="49" t="str">
        <f t="shared" si="55"/>
        <v/>
      </c>
      <c r="AV168" s="57"/>
      <c r="BF168" s="52"/>
    </row>
    <row r="169" spans="1:58" ht="30" customHeight="1" x14ac:dyDescent="0.35">
      <c r="A169" s="25" t="str">
        <f t="shared" si="57"/>
        <v>PT177 - PLATAFORMA DE ACESSO - FORQUILHA 1 - DETALHADO
PROJETO DETALHADO
ESTRUTURAS METÁLICAS</v>
      </c>
      <c r="B169" s="38" t="s">
        <v>73</v>
      </c>
      <c r="C169" s="60" t="str">
        <f>IF(AND($B169=[1]rogério!$A170,[1]rogério!$B170=C$4),"ok","nok")</f>
        <v>nok</v>
      </c>
      <c r="D169" s="60" t="str">
        <f>IF(AND($B169=[1]rogério!$A170,[1]rogério!$B170=D$4),"ok","nok")</f>
        <v>nok</v>
      </c>
      <c r="E169" s="60" t="str">
        <f>IF(AND($B169=[1]rogério!$A170,[1]rogério!$B170=E$4),"ok","nok")</f>
        <v>nok</v>
      </c>
      <c r="F169" s="60" t="str">
        <f>IF(AND($B169=[1]rogério!$A170,[1]rogério!$B170=F$4),"ok","nok")</f>
        <v>nok</v>
      </c>
      <c r="G169" s="60" t="str">
        <f>IF(AND($B169=[1]rogério!$A170,[1]rogério!$B170=G$4),"ok","nok")</f>
        <v>nok</v>
      </c>
      <c r="H169" s="60" t="str">
        <f>IF(AND($B169=[1]rogério!$A170,[1]rogério!$B170=H$4),"ok","nok")</f>
        <v>nok</v>
      </c>
      <c r="I169" s="60" t="str">
        <f>IF(AND($B169=[1]rogério!$A170,[1]rogério!$B170=I$4),"ok","nok")</f>
        <v>nok</v>
      </c>
      <c r="J169" s="60" t="str">
        <f>IF(AND($B169=[1]rogério!$A170,[1]rogério!$B170=J$4),"ok","nok")</f>
        <v>nok</v>
      </c>
      <c r="K169" s="60" t="str">
        <f>IF(AND($B169=[1]rogério!$A170,[1]rogério!$B170=K$4),"ok","nok")</f>
        <v>nok</v>
      </c>
      <c r="L169" s="60" t="str">
        <f>IF(AND($B169=[1]rogério!$A170,[1]rogério!$B170=L$4),"ok","nok")</f>
        <v>nok</v>
      </c>
      <c r="M169" s="60" t="str">
        <f>IF(AND($B169=[1]rogério!$A170,[1]rogério!$B170=M$4),"ok","nok")</f>
        <v>nok</v>
      </c>
      <c r="N169" s="60" t="str">
        <f>IF(AND($B169=[1]rogério!$A170,[1]rogério!$B170=N$4),"ok","nok")</f>
        <v>nok</v>
      </c>
      <c r="O169" s="60" t="str">
        <f>IF(AND($B169=[1]rogério!$A170,[1]rogério!$B170=O$4),"ok","nok")</f>
        <v>ok</v>
      </c>
      <c r="P169" s="60" t="str">
        <f>IF(AND($B169=[1]rogério!$A170,[1]rogério!$B170=P$4),"ok","nok")</f>
        <v>nok</v>
      </c>
      <c r="Q169" s="60" t="str">
        <f>IF(AND($B169=[1]rogério!$A170,[1]rogério!$B170=Q$4),"ok","nok")</f>
        <v>nok</v>
      </c>
      <c r="R169" s="60" t="str">
        <f>IF(AND($B169=[1]rogério!$A170,[1]rogério!$B170=R$4),"ok","nok")</f>
        <v>nok</v>
      </c>
      <c r="S169" s="60" t="str">
        <f>IF(AND($B169=[1]rogério!$A170,[1]rogério!$B170=S$4),"ok","nok")</f>
        <v>nok</v>
      </c>
      <c r="T169" s="60" t="str">
        <f>IF(AND($B169=[1]rogério!$A170,[1]rogério!$B170=T$4),"ok","nok")</f>
        <v>nok</v>
      </c>
      <c r="U169" s="60" t="str">
        <f>IF(AND($B169=[1]rogério!$A170,[1]rogério!$B170=U$4),"ok","nok")</f>
        <v>nok</v>
      </c>
      <c r="V169" s="60" t="str">
        <f>IF(AND($B169=[1]rogério!$A170,[1]rogério!$B170=V$4),"ok","nok")</f>
        <v>nok</v>
      </c>
      <c r="W169" s="60" t="str">
        <f>IF(AND($B169=[1]rogério!$A170,[1]rogério!$B170=W$4),"ok","nok")</f>
        <v>nok</v>
      </c>
      <c r="X169" s="60" t="str">
        <f>IF(AND($B169=[1]rogério!$A170,[1]rogério!$B170=X$4),"ok","nok")</f>
        <v>nok</v>
      </c>
      <c r="Y169" s="105" t="s">
        <v>31</v>
      </c>
      <c r="Z169" s="106"/>
      <c r="AA169" s="106"/>
      <c r="AB169" s="107"/>
      <c r="AC169" s="40"/>
      <c r="AD169" s="40"/>
      <c r="AE169" s="48" t="str">
        <f t="shared" si="45"/>
        <v>Verificação do Projeto Detalhado</v>
      </c>
      <c r="AF169" s="48"/>
      <c r="AG169" s="48"/>
      <c r="AH169" s="89"/>
      <c r="AI169" s="49">
        <f t="shared" si="46"/>
        <v>0</v>
      </c>
      <c r="AJ169" s="49" t="str">
        <f t="shared" si="47"/>
        <v/>
      </c>
      <c r="AK169" s="49">
        <f t="shared" si="48"/>
        <v>0</v>
      </c>
      <c r="AL169" s="49" t="str">
        <f t="shared" si="49"/>
        <v/>
      </c>
      <c r="AM169" s="49">
        <f t="shared" si="50"/>
        <v>1</v>
      </c>
      <c r="AN169" s="49" t="str">
        <f t="shared" si="51"/>
        <v/>
      </c>
      <c r="AO169" s="49">
        <f t="shared" si="52"/>
        <v>0</v>
      </c>
      <c r="AP169" s="49" t="str">
        <f t="shared" si="53"/>
        <v/>
      </c>
      <c r="AQ169" s="49">
        <f t="shared" si="54"/>
        <v>0</v>
      </c>
      <c r="AR169" s="49" t="str">
        <f t="shared" si="55"/>
        <v/>
      </c>
      <c r="AV169" s="57"/>
      <c r="BF169" s="52"/>
    </row>
    <row r="170" spans="1:58" ht="30" customHeight="1" x14ac:dyDescent="0.35">
      <c r="A170" s="25" t="str">
        <f t="shared" si="57"/>
        <v>PT177 - PLATAFORMA DE ACESSO - FORQUILHA 1 - DETALHADO
PROJETO DETALHADO
ESTRUTURAS METÁLICAS</v>
      </c>
      <c r="B170" s="39" t="s">
        <v>53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108"/>
      <c r="Z170" s="109"/>
      <c r="AA170" s="109"/>
      <c r="AB170" s="110"/>
      <c r="AC170" s="40"/>
      <c r="AD170" s="40"/>
      <c r="AE170" s="48" t="str">
        <f t="shared" si="45"/>
        <v/>
      </c>
      <c r="AF170" s="48"/>
      <c r="AG170" s="48"/>
      <c r="AH170" s="89"/>
      <c r="AI170" s="49">
        <f t="shared" si="46"/>
        <v>0</v>
      </c>
      <c r="AJ170" s="49" t="str">
        <f t="shared" si="47"/>
        <v/>
      </c>
      <c r="AK170" s="49">
        <f t="shared" si="48"/>
        <v>0</v>
      </c>
      <c r="AL170" s="49" t="str">
        <f t="shared" si="49"/>
        <v/>
      </c>
      <c r="AM170" s="49">
        <f t="shared" si="50"/>
        <v>0</v>
      </c>
      <c r="AN170" s="49" t="str">
        <f t="shared" si="51"/>
        <v/>
      </c>
      <c r="AO170" s="49">
        <f t="shared" si="52"/>
        <v>0</v>
      </c>
      <c r="AP170" s="49" t="str">
        <f t="shared" si="53"/>
        <v/>
      </c>
      <c r="AQ170" s="49">
        <f t="shared" si="54"/>
        <v>0</v>
      </c>
      <c r="AR170" s="49" t="str">
        <f t="shared" si="55"/>
        <v/>
      </c>
      <c r="AV170" s="57"/>
      <c r="BF170" s="52"/>
    </row>
    <row r="171" spans="1:58" ht="30" customHeight="1" x14ac:dyDescent="0.35">
      <c r="A171" s="25" t="str">
        <f t="shared" si="57"/>
        <v>PT177 - PLATAFORMA DE ACESSO - FORQUILHA 1 - DETALHADO
PROJETO DETALHADO
ESTRUTURAS METÁLICAS</v>
      </c>
      <c r="B171" s="40" t="s">
        <v>49</v>
      </c>
      <c r="C171" s="60" t="str">
        <f>IF(AND($B171=[1]rogério!$A172,[1]rogério!$B172=C$4),"ok","nok")</f>
        <v>nok</v>
      </c>
      <c r="D171" s="60" t="str">
        <f>IF(AND($B171=[1]rogério!$A172,[1]rogério!$B172=D$4),"ok","nok")</f>
        <v>nok</v>
      </c>
      <c r="E171" s="60" t="str">
        <f>IF(AND($B171=[1]rogério!$A172,[1]rogério!$B172=E$4),"ok","nok")</f>
        <v>nok</v>
      </c>
      <c r="F171" s="60" t="str">
        <f>IF(AND($B171=[1]rogério!$A172,[1]rogério!$B172=F$4),"ok","nok")</f>
        <v>nok</v>
      </c>
      <c r="G171" s="60" t="str">
        <f>IF(AND($B171=[1]rogério!$A172,[1]rogério!$B172=G$4),"ok","nok")</f>
        <v>nok</v>
      </c>
      <c r="H171" s="60" t="str">
        <f>IF(AND($B171=[1]rogério!$A172,[1]rogério!$B172=H$4),"ok","nok")</f>
        <v>nok</v>
      </c>
      <c r="I171" s="60" t="str">
        <f>IF(AND($B171=[1]rogério!$A172,[1]rogério!$B172=I$4),"ok","nok")</f>
        <v>nok</v>
      </c>
      <c r="J171" s="60" t="str">
        <f>IF(AND($B171=[1]rogério!$A172,[1]rogério!$B172=J$4),"ok","nok")</f>
        <v>nok</v>
      </c>
      <c r="K171" s="60" t="str">
        <f>IF(AND($B171=[1]rogério!$A172,[1]rogério!$B172=K$4),"ok","nok")</f>
        <v>nok</v>
      </c>
      <c r="L171" s="60" t="str">
        <f>IF(AND($B171=[1]rogério!$A172,[1]rogério!$B172=L$4),"ok","nok")</f>
        <v>nok</v>
      </c>
      <c r="M171" s="60" t="str">
        <f>IF(AND($B171=[1]rogério!$A172,[1]rogério!$B172=M$4),"ok","nok")</f>
        <v>nok</v>
      </c>
      <c r="N171" s="60" t="str">
        <f>IF(AND($B171=[1]rogério!$A172,[1]rogério!$B172=N$4),"ok","nok")</f>
        <v>nok</v>
      </c>
      <c r="O171" s="60" t="str">
        <f>IF(AND($B171=[1]rogério!$A172,[1]rogério!$B172=O$4),"ok","nok")</f>
        <v>ok</v>
      </c>
      <c r="P171" s="60" t="str">
        <f>IF(AND($B171=[1]rogério!$A172,[1]rogério!$B172=P$4),"ok","nok")</f>
        <v>nok</v>
      </c>
      <c r="Q171" s="60" t="str">
        <f>IF(AND($B171=[1]rogério!$A172,[1]rogério!$B172=Q$4),"ok","nok")</f>
        <v>nok</v>
      </c>
      <c r="R171" s="60" t="str">
        <f>IF(AND($B171=[1]rogério!$A172,[1]rogério!$B172=R$4),"ok","nok")</f>
        <v>nok</v>
      </c>
      <c r="S171" s="60" t="str">
        <f>IF(AND($B171=[1]rogério!$A172,[1]rogério!$B172=S$4),"ok","nok")</f>
        <v>nok</v>
      </c>
      <c r="T171" s="60" t="str">
        <f>IF(AND($B171=[1]rogério!$A172,[1]rogério!$B172=T$4),"ok","nok")</f>
        <v>nok</v>
      </c>
      <c r="U171" s="60" t="str">
        <f>IF(AND($B171=[1]rogério!$A172,[1]rogério!$B172=U$4),"ok","nok")</f>
        <v>nok</v>
      </c>
      <c r="V171" s="60" t="str">
        <f>IF(AND($B171=[1]rogério!$A172,[1]rogério!$B172=V$4),"ok","nok")</f>
        <v>nok</v>
      </c>
      <c r="W171" s="60" t="str">
        <f>IF(AND($B171=[1]rogério!$A172,[1]rogério!$B172=W$4),"ok","nok")</f>
        <v>nok</v>
      </c>
      <c r="X171" s="60" t="str">
        <f>IF(AND($B171=[1]rogério!$A172,[1]rogério!$B172=X$4),"ok","nok")</f>
        <v>nok</v>
      </c>
      <c r="Y171" s="105" t="s">
        <v>31</v>
      </c>
      <c r="Z171" s="106"/>
      <c r="AA171" s="106"/>
      <c r="AB171" s="107"/>
      <c r="AC171" s="40"/>
      <c r="AD171" s="40"/>
      <c r="AE171" s="48" t="str">
        <f t="shared" si="45"/>
        <v>MARCO - Emissão Inicial (Rev_A)</v>
      </c>
      <c r="AF171" s="48"/>
      <c r="AG171" s="48"/>
      <c r="AH171" s="89"/>
      <c r="AI171" s="49">
        <f t="shared" si="46"/>
        <v>0</v>
      </c>
      <c r="AJ171" s="49" t="str">
        <f t="shared" si="47"/>
        <v/>
      </c>
      <c r="AK171" s="49">
        <f t="shared" si="48"/>
        <v>0</v>
      </c>
      <c r="AL171" s="49" t="str">
        <f t="shared" si="49"/>
        <v/>
      </c>
      <c r="AM171" s="49">
        <f t="shared" si="50"/>
        <v>1</v>
      </c>
      <c r="AN171" s="49" t="str">
        <f t="shared" si="51"/>
        <v/>
      </c>
      <c r="AO171" s="49">
        <f t="shared" si="52"/>
        <v>0</v>
      </c>
      <c r="AP171" s="49" t="str">
        <f t="shared" si="53"/>
        <v/>
      </c>
      <c r="AQ171" s="49">
        <f t="shared" si="54"/>
        <v>0</v>
      </c>
      <c r="AR171" s="49" t="str">
        <f t="shared" si="55"/>
        <v/>
      </c>
      <c r="AV171" s="57"/>
      <c r="BF171" s="52"/>
    </row>
    <row r="172" spans="1:58" ht="30" customHeight="1" x14ac:dyDescent="0.35">
      <c r="A172" s="25" t="str">
        <f t="shared" si="57"/>
        <v>PT177 - PLATAFORMA DE ACESSO - FORQUILHA 1 - DETALHADO
PROJETO DETALHADO
ESTRUTURAS METÁLICAS</v>
      </c>
      <c r="B172" s="40" t="s">
        <v>19</v>
      </c>
      <c r="C172" s="60" t="str">
        <f>IF(AND($B172=[1]rogério!$A173,[1]rogério!$B173=C$4),"ok","nok")</f>
        <v>nok</v>
      </c>
      <c r="D172" s="60" t="str">
        <f>IF(AND($B172=[1]rogério!$A173,[1]rogério!$B173=D$4),"ok","nok")</f>
        <v>nok</v>
      </c>
      <c r="E172" s="60" t="str">
        <f>IF(AND($B172=[1]rogério!$A173,[1]rogério!$B173=E$4),"ok","nok")</f>
        <v>nok</v>
      </c>
      <c r="F172" s="60" t="str">
        <f>IF(AND($B172=[1]rogério!$A173,[1]rogério!$B173=F$4),"ok","nok")</f>
        <v>nok</v>
      </c>
      <c r="G172" s="60" t="str">
        <f>IF(AND($B172=[1]rogério!$A173,[1]rogério!$B173=G$4),"ok","nok")</f>
        <v>nok</v>
      </c>
      <c r="H172" s="60" t="str">
        <f>IF(AND($B172=[1]rogério!$A173,[1]rogério!$B173=H$4),"ok","nok")</f>
        <v>nok</v>
      </c>
      <c r="I172" s="60" t="str">
        <f>IF(AND($B172=[1]rogério!$A173,[1]rogério!$B173=I$4),"ok","nok")</f>
        <v>nok</v>
      </c>
      <c r="J172" s="60" t="str">
        <f>IF(AND($B172=[1]rogério!$A173,[1]rogério!$B173=J$4),"ok","nok")</f>
        <v>nok</v>
      </c>
      <c r="K172" s="60" t="str">
        <f>IF(AND($B172=[1]rogério!$A173,[1]rogério!$B173=K$4),"ok","nok")</f>
        <v>nok</v>
      </c>
      <c r="L172" s="60" t="str">
        <f>IF(AND($B172=[1]rogério!$A173,[1]rogério!$B173=L$4),"ok","nok")</f>
        <v>nok</v>
      </c>
      <c r="M172" s="60" t="str">
        <f>IF(AND($B172=[1]rogério!$A173,[1]rogério!$B173=M$4),"ok","nok")</f>
        <v>nok</v>
      </c>
      <c r="N172" s="60" t="str">
        <f>IF(AND($B172=[1]rogério!$A173,[1]rogério!$B173=N$4),"ok","nok")</f>
        <v>nok</v>
      </c>
      <c r="O172" s="60" t="str">
        <f>IF(AND($B172=[1]rogério!$A173,[1]rogério!$B173=O$4),"ok","nok")</f>
        <v>nok</v>
      </c>
      <c r="P172" s="60" t="str">
        <f>IF(AND($B172=[1]rogério!$A173,[1]rogério!$B173=P$4),"ok","nok")</f>
        <v>nok</v>
      </c>
      <c r="Q172" s="60" t="str">
        <f>IF(AND($B172=[1]rogério!$A173,[1]rogério!$B173=Q$4),"ok","nok")</f>
        <v>nok</v>
      </c>
      <c r="R172" s="60" t="str">
        <f>IF(AND($B172=[1]rogério!$A173,[1]rogério!$B173=R$4),"ok","nok")</f>
        <v>nok</v>
      </c>
      <c r="S172" s="60" t="str">
        <f>IF(AND($B172=[1]rogério!$A173,[1]rogério!$B173=S$4),"ok","nok")</f>
        <v>nok</v>
      </c>
      <c r="T172" s="60" t="str">
        <f>IF(AND($B172=[1]rogério!$A173,[1]rogério!$B173=T$4),"ok","nok")</f>
        <v>ok</v>
      </c>
      <c r="U172" s="60" t="str">
        <f>IF(AND($B172=[1]rogério!$A173,[1]rogério!$B173=U$4),"ok","nok")</f>
        <v>nok</v>
      </c>
      <c r="V172" s="60" t="str">
        <f>IF(AND($B172=[1]rogério!$A173,[1]rogério!$B173=V$4),"ok","nok")</f>
        <v>nok</v>
      </c>
      <c r="W172" s="60" t="str">
        <f>IF(AND($B172=[1]rogério!$A173,[1]rogério!$B173=W$4),"ok","nok")</f>
        <v>nok</v>
      </c>
      <c r="X172" s="60" t="str">
        <f>IF(AND($B172=[1]rogério!$A173,[1]rogério!$B173=X$4),"ok","nok")</f>
        <v>nok</v>
      </c>
      <c r="Y172" s="105" t="s">
        <v>31</v>
      </c>
      <c r="Z172" s="106"/>
      <c r="AA172" s="106"/>
      <c r="AB172" s="107"/>
      <c r="AC172" s="40"/>
      <c r="AD172" s="40"/>
      <c r="AE172" s="48" t="str">
        <f t="shared" si="45"/>
        <v>Aprovação do Cliente</v>
      </c>
      <c r="AF172" s="48"/>
      <c r="AG172" s="48"/>
      <c r="AH172" s="89"/>
      <c r="AI172" s="49">
        <f t="shared" si="46"/>
        <v>0</v>
      </c>
      <c r="AJ172" s="49" t="str">
        <f t="shared" si="47"/>
        <v/>
      </c>
      <c r="AK172" s="49">
        <f t="shared" si="48"/>
        <v>0</v>
      </c>
      <c r="AL172" s="49" t="str">
        <f t="shared" si="49"/>
        <v/>
      </c>
      <c r="AM172" s="49">
        <f t="shared" si="50"/>
        <v>0</v>
      </c>
      <c r="AN172" s="49" t="str">
        <f t="shared" si="51"/>
        <v/>
      </c>
      <c r="AO172" s="49">
        <f t="shared" si="52"/>
        <v>1</v>
      </c>
      <c r="AP172" s="49" t="str">
        <f t="shared" si="53"/>
        <v/>
      </c>
      <c r="AQ172" s="49">
        <f t="shared" si="54"/>
        <v>0</v>
      </c>
      <c r="AR172" s="49" t="str">
        <f t="shared" si="55"/>
        <v/>
      </c>
      <c r="AV172" s="57"/>
      <c r="BF172" s="52"/>
    </row>
    <row r="173" spans="1:58" ht="30" customHeight="1" x14ac:dyDescent="0.35">
      <c r="A173" s="25" t="str">
        <f t="shared" si="57"/>
        <v>PT177 - PLATAFORMA DE ACESSO - FORQUILHA 1 - DETALHADO
PROJETO DETALHADO
ESTRUTURAS METÁLICAS</v>
      </c>
      <c r="B173" s="40" t="s">
        <v>42</v>
      </c>
      <c r="C173" s="60" t="str">
        <f>IF(AND($B173=[1]rogério!$A174,[1]rogério!$B174=C$4),"ok","nok")</f>
        <v>nok</v>
      </c>
      <c r="D173" s="60" t="str">
        <f>IF(AND($B173=[1]rogério!$A174,[1]rogério!$B174=D$4),"ok","nok")</f>
        <v>nok</v>
      </c>
      <c r="E173" s="60" t="str">
        <f>IF(AND($B173=[1]rogério!$A174,[1]rogério!$B174=E$4),"ok","nok")</f>
        <v>nok</v>
      </c>
      <c r="F173" s="60" t="str">
        <f>IF(AND($B173=[1]rogério!$A174,[1]rogério!$B174=F$4),"ok","nok")</f>
        <v>nok</v>
      </c>
      <c r="G173" s="60" t="str">
        <f>IF(AND($B173=[1]rogério!$A174,[1]rogério!$B174=G$4),"ok","nok")</f>
        <v>nok</v>
      </c>
      <c r="H173" s="60" t="str">
        <f>IF(AND($B173=[1]rogério!$A174,[1]rogério!$B174=H$4),"ok","nok")</f>
        <v>nok</v>
      </c>
      <c r="I173" s="60" t="str">
        <f>IF(AND($B173=[1]rogério!$A174,[1]rogério!$B174=I$4),"ok","nok")</f>
        <v>nok</v>
      </c>
      <c r="J173" s="60" t="str">
        <f>IF(AND($B173=[1]rogério!$A174,[1]rogério!$B174=J$4),"ok","nok")</f>
        <v>nok</v>
      </c>
      <c r="K173" s="60" t="str">
        <f>IF(AND($B173=[1]rogério!$A174,[1]rogério!$B174=K$4),"ok","nok")</f>
        <v>nok</v>
      </c>
      <c r="L173" s="60" t="str">
        <f>IF(AND($B173=[1]rogério!$A174,[1]rogério!$B174=L$4),"ok","nok")</f>
        <v>nok</v>
      </c>
      <c r="M173" s="60" t="str">
        <f>IF(AND($B173=[1]rogério!$A174,[1]rogério!$B174=M$4),"ok","nok")</f>
        <v>nok</v>
      </c>
      <c r="N173" s="60" t="str">
        <f>IF(AND($B173=[1]rogério!$A174,[1]rogério!$B174=N$4),"ok","nok")</f>
        <v>nok</v>
      </c>
      <c r="O173" s="60" t="str">
        <f>IF(AND($B173=[1]rogério!$A174,[1]rogério!$B174=O$4),"ok","nok")</f>
        <v>nok</v>
      </c>
      <c r="P173" s="60" t="str">
        <f>IF(AND($B173=[1]rogério!$A174,[1]rogério!$B174=P$4),"ok","nok")</f>
        <v>nok</v>
      </c>
      <c r="Q173" s="60" t="str">
        <f>IF(AND($B173=[1]rogério!$A174,[1]rogério!$B174=Q$4),"ok","nok")</f>
        <v>nok</v>
      </c>
      <c r="R173" s="60" t="str">
        <f>IF(AND($B173=[1]rogério!$A174,[1]rogério!$B174=R$4),"ok","nok")</f>
        <v>nok</v>
      </c>
      <c r="S173" s="60" t="str">
        <f>IF(AND($B173=[1]rogério!$A174,[1]rogério!$B174=S$4),"ok","nok")</f>
        <v>nok</v>
      </c>
      <c r="T173" s="60" t="str">
        <f>IF(AND($B173=[1]rogério!$A174,[1]rogério!$B174=T$4),"ok","nok")</f>
        <v>nok</v>
      </c>
      <c r="U173" s="60" t="str">
        <f>IF(AND($B173=[1]rogério!$A174,[1]rogério!$B174=U$4),"ok","nok")</f>
        <v>nok</v>
      </c>
      <c r="V173" s="60" t="str">
        <f>IF(AND($B173=[1]rogério!$A174,[1]rogério!$B174=V$4),"ok","nok")</f>
        <v>nok</v>
      </c>
      <c r="W173" s="60" t="str">
        <f>IF(AND($B173=[1]rogério!$A174,[1]rogério!$B174=W$4),"ok","nok")</f>
        <v>ok</v>
      </c>
      <c r="X173" s="60" t="str">
        <f>IF(AND($B173=[1]rogério!$A174,[1]rogério!$B174=X$4),"ok","nok")</f>
        <v>nok</v>
      </c>
      <c r="Y173" s="105" t="s">
        <v>31</v>
      </c>
      <c r="Z173" s="106"/>
      <c r="AA173" s="106"/>
      <c r="AB173" s="107"/>
      <c r="AC173" s="40"/>
      <c r="AD173" s="40"/>
      <c r="AE173" s="48" t="str">
        <f t="shared" si="45"/>
        <v>Certificação do documento - Vibracon</v>
      </c>
      <c r="AF173" s="48"/>
      <c r="AG173" s="48"/>
      <c r="AH173" s="89"/>
      <c r="AI173" s="49">
        <f t="shared" si="46"/>
        <v>0</v>
      </c>
      <c r="AJ173" s="49" t="str">
        <f t="shared" si="47"/>
        <v/>
      </c>
      <c r="AK173" s="49">
        <f t="shared" si="48"/>
        <v>0</v>
      </c>
      <c r="AL173" s="49" t="str">
        <f t="shared" si="49"/>
        <v/>
      </c>
      <c r="AM173" s="49">
        <f t="shared" si="50"/>
        <v>0</v>
      </c>
      <c r="AN173" s="49" t="str">
        <f t="shared" si="51"/>
        <v/>
      </c>
      <c r="AO173" s="49">
        <f t="shared" si="52"/>
        <v>0</v>
      </c>
      <c r="AP173" s="49" t="str">
        <f t="shared" si="53"/>
        <v/>
      </c>
      <c r="AQ173" s="49">
        <f t="shared" si="54"/>
        <v>1</v>
      </c>
      <c r="AR173" s="49" t="str">
        <f t="shared" si="55"/>
        <v/>
      </c>
      <c r="AV173" s="57"/>
      <c r="BF173" s="52"/>
    </row>
    <row r="174" spans="1:58" ht="30" customHeight="1" x14ac:dyDescent="0.35">
      <c r="A174" s="25" t="str">
        <f t="shared" si="57"/>
        <v>PT177 - PLATAFORMA DE ACESSO - FORQUILHA 1 - DETALHADO
PROJETO DETALHADO
ESTRUTURAS METÁLICAS</v>
      </c>
      <c r="B174" s="40" t="s">
        <v>43</v>
      </c>
      <c r="C174" s="60" t="str">
        <f>IF(AND($B174=[1]rogério!$A175,[1]rogério!$B175=C$4),"ok","nok")</f>
        <v>nok</v>
      </c>
      <c r="D174" s="60" t="str">
        <f>IF(AND($B174=[1]rogério!$A175,[1]rogério!$B175=D$4),"ok","nok")</f>
        <v>nok</v>
      </c>
      <c r="E174" s="60" t="str">
        <f>IF(AND($B174=[1]rogério!$A175,[1]rogério!$B175=E$4),"ok","nok")</f>
        <v>nok</v>
      </c>
      <c r="F174" s="60" t="str">
        <f>IF(AND($B174=[1]rogério!$A175,[1]rogério!$B175=F$4),"ok","nok")</f>
        <v>nok</v>
      </c>
      <c r="G174" s="60" t="str">
        <f>IF(AND($B174=[1]rogério!$A175,[1]rogério!$B175=G$4),"ok","nok")</f>
        <v>nok</v>
      </c>
      <c r="H174" s="60" t="str">
        <f>IF(AND($B174=[1]rogério!$A175,[1]rogério!$B175=H$4),"ok","nok")</f>
        <v>nok</v>
      </c>
      <c r="I174" s="60" t="str">
        <f>IF(AND($B174=[1]rogério!$A175,[1]rogério!$B175=I$4),"ok","nok")</f>
        <v>nok</v>
      </c>
      <c r="J174" s="60" t="str">
        <f>IF(AND($B174=[1]rogério!$A175,[1]rogério!$B175=J$4),"ok","nok")</f>
        <v>nok</v>
      </c>
      <c r="K174" s="60" t="str">
        <f>IF(AND($B174=[1]rogério!$A175,[1]rogério!$B175=K$4),"ok","nok")</f>
        <v>nok</v>
      </c>
      <c r="L174" s="60" t="str">
        <f>IF(AND($B174=[1]rogério!$A175,[1]rogério!$B175=L$4),"ok","nok")</f>
        <v>nok</v>
      </c>
      <c r="M174" s="60" t="str">
        <f>IF(AND($B174=[1]rogério!$A175,[1]rogério!$B175=M$4),"ok","nok")</f>
        <v>nok</v>
      </c>
      <c r="N174" s="60" t="str">
        <f>IF(AND($B174=[1]rogério!$A175,[1]rogério!$B175=N$4),"ok","nok")</f>
        <v>nok</v>
      </c>
      <c r="O174" s="60" t="str">
        <f>IF(AND($B174=[1]rogério!$A175,[1]rogério!$B175=O$4),"ok","nok")</f>
        <v>nok</v>
      </c>
      <c r="P174" s="60" t="str">
        <f>IF(AND($B174=[1]rogério!$A175,[1]rogério!$B175=P$4),"ok","nok")</f>
        <v>nok</v>
      </c>
      <c r="Q174" s="60" t="str">
        <f>IF(AND($B174=[1]rogério!$A175,[1]rogério!$B175=Q$4),"ok","nok")</f>
        <v>nok</v>
      </c>
      <c r="R174" s="60" t="str">
        <f>IF(AND($B174=[1]rogério!$A175,[1]rogério!$B175=R$4),"ok","nok")</f>
        <v>nok</v>
      </c>
      <c r="S174" s="60" t="str">
        <f>IF(AND($B174=[1]rogério!$A175,[1]rogério!$B175=S$4),"ok","nok")</f>
        <v>nok</v>
      </c>
      <c r="T174" s="60" t="str">
        <f>IF(AND($B174=[1]rogério!$A175,[1]rogério!$B175=T$4),"ok","nok")</f>
        <v>nok</v>
      </c>
      <c r="U174" s="60" t="str">
        <f>IF(AND($B174=[1]rogério!$A175,[1]rogério!$B175=U$4),"ok","nok")</f>
        <v>nok</v>
      </c>
      <c r="V174" s="60" t="str">
        <f>IF(AND($B174=[1]rogério!$A175,[1]rogério!$B175=V$4),"ok","nok")</f>
        <v>nok</v>
      </c>
      <c r="W174" s="60" t="str">
        <f>IF(AND($B174=[1]rogério!$A175,[1]rogério!$B175=W$4),"ok","nok")</f>
        <v>ok</v>
      </c>
      <c r="X174" s="60" t="str">
        <f>IF(AND($B174=[1]rogério!$A175,[1]rogério!$B175=X$4),"ok","nok")</f>
        <v>nok</v>
      </c>
      <c r="Y174" s="105" t="s">
        <v>31</v>
      </c>
      <c r="Z174" s="106"/>
      <c r="AA174" s="106"/>
      <c r="AB174" s="107"/>
      <c r="AC174" s="40"/>
      <c r="AD174" s="40"/>
      <c r="AE174" s="48" t="str">
        <f t="shared" si="45"/>
        <v>MARCO - Envio do documento Certificado (Rev_0)</v>
      </c>
      <c r="AF174" s="48"/>
      <c r="AG174" s="48"/>
      <c r="AH174" s="89"/>
      <c r="AI174" s="49">
        <f t="shared" si="46"/>
        <v>0</v>
      </c>
      <c r="AJ174" s="49" t="str">
        <f t="shared" si="47"/>
        <v/>
      </c>
      <c r="AK174" s="49">
        <f t="shared" si="48"/>
        <v>0</v>
      </c>
      <c r="AL174" s="49" t="str">
        <f t="shared" si="49"/>
        <v/>
      </c>
      <c r="AM174" s="49">
        <f t="shared" si="50"/>
        <v>0</v>
      </c>
      <c r="AN174" s="49" t="str">
        <f t="shared" si="51"/>
        <v/>
      </c>
      <c r="AO174" s="49">
        <f t="shared" si="52"/>
        <v>0</v>
      </c>
      <c r="AP174" s="49" t="str">
        <f t="shared" si="53"/>
        <v/>
      </c>
      <c r="AQ174" s="49">
        <f t="shared" si="54"/>
        <v>1</v>
      </c>
      <c r="AR174" s="49" t="str">
        <f t="shared" si="55"/>
        <v/>
      </c>
      <c r="AV174" s="57"/>
      <c r="BF174" s="52"/>
    </row>
    <row r="175" spans="1:58" ht="30" customHeight="1" x14ac:dyDescent="0.35">
      <c r="A175" s="25" t="str">
        <f t="shared" si="57"/>
        <v>PT177 - PLATAFORMA DE ACESSO - FORQUILHA 1 - DETALHADO
PROJETO DETALHADO
ESTRUTURAS METÁLICAS</v>
      </c>
      <c r="B175" s="38" t="s">
        <v>74</v>
      </c>
      <c r="C175" s="60" t="str">
        <f>IF(AND($B175=[1]rogério!$A176,[1]rogério!$B176=C$4),"ok","nok")</f>
        <v>nok</v>
      </c>
      <c r="D175" s="60" t="str">
        <f>IF(AND($B175=[1]rogério!$A176,[1]rogério!$B176=D$4),"ok","nok")</f>
        <v>nok</v>
      </c>
      <c r="E175" s="60" t="str">
        <f>IF(AND($B175=[1]rogério!$A176,[1]rogério!$B176=E$4),"ok","nok")</f>
        <v>nok</v>
      </c>
      <c r="F175" s="60" t="str">
        <f>IF(AND($B175=[1]rogério!$A176,[1]rogério!$B176=F$4),"ok","nok")</f>
        <v>nok</v>
      </c>
      <c r="G175" s="60" t="str">
        <f>IF(AND($B175=[1]rogério!$A176,[1]rogério!$B176=G$4),"ok","nok")</f>
        <v>nok</v>
      </c>
      <c r="H175" s="60" t="str">
        <f>IF(AND($B175=[1]rogério!$A176,[1]rogério!$B176=H$4),"ok","nok")</f>
        <v>nok</v>
      </c>
      <c r="I175" s="60" t="str">
        <f>IF(AND($B175=[1]rogério!$A176,[1]rogério!$B176=I$4),"ok","nok")</f>
        <v>nok</v>
      </c>
      <c r="J175" s="60" t="str">
        <f>IF(AND($B175=[1]rogério!$A176,[1]rogério!$B176=J$4),"ok","nok")</f>
        <v>nok</v>
      </c>
      <c r="K175" s="60" t="str">
        <f>IF(AND($B175=[1]rogério!$A176,[1]rogério!$B176=K$4),"ok","nok")</f>
        <v>nok</v>
      </c>
      <c r="L175" s="60" t="str">
        <f>IF(AND($B175=[1]rogério!$A176,[1]rogério!$B176=L$4),"ok","nok")</f>
        <v>ok</v>
      </c>
      <c r="M175" s="60" t="str">
        <f>IF(AND($B175=[1]rogério!$A176,[1]rogério!$B176=M$4),"ok","nok")</f>
        <v>nok</v>
      </c>
      <c r="N175" s="60" t="str">
        <f>IF(AND($B175=[1]rogério!$A176,[1]rogério!$B176=N$4),"ok","nok")</f>
        <v>nok</v>
      </c>
      <c r="O175" s="60" t="str">
        <f>IF(AND($B175=[1]rogério!$A176,[1]rogério!$B176=O$4),"ok","nok")</f>
        <v>nok</v>
      </c>
      <c r="P175" s="60" t="str">
        <f>IF(AND($B175=[1]rogério!$A176,[1]rogério!$B176=P$4),"ok","nok")</f>
        <v>nok</v>
      </c>
      <c r="Q175" s="60" t="str">
        <f>IF(AND($B175=[1]rogério!$A176,[1]rogério!$B176=Q$4),"ok","nok")</f>
        <v>nok</v>
      </c>
      <c r="R175" s="60" t="str">
        <f>IF(AND($B175=[1]rogério!$A176,[1]rogério!$B176=R$4),"ok","nok")</f>
        <v>nok</v>
      </c>
      <c r="S175" s="60" t="str">
        <f>IF(AND($B175=[1]rogério!$A176,[1]rogério!$B176=S$4),"ok","nok")</f>
        <v>nok</v>
      </c>
      <c r="T175" s="60" t="str">
        <f>IF(AND($B175=[1]rogério!$A176,[1]rogério!$B176=T$4),"ok","nok")</f>
        <v>nok</v>
      </c>
      <c r="U175" s="60" t="str">
        <f>IF(AND($B175=[1]rogério!$A176,[1]rogério!$B176=U$4),"ok","nok")</f>
        <v>nok</v>
      </c>
      <c r="V175" s="60" t="str">
        <f>IF(AND($B175=[1]rogério!$A176,[1]rogério!$B176=V$4),"ok","nok")</f>
        <v>nok</v>
      </c>
      <c r="W175" s="60" t="str">
        <f>IF(AND($B175=[1]rogério!$A176,[1]rogério!$B176=W$4),"ok","nok")</f>
        <v>nok</v>
      </c>
      <c r="X175" s="60" t="str">
        <f>IF(AND($B175=[1]rogério!$A176,[1]rogério!$B176=X$4),"ok","nok")</f>
        <v>nok</v>
      </c>
      <c r="Y175" s="105" t="s">
        <v>31</v>
      </c>
      <c r="Z175" s="106"/>
      <c r="AA175" s="106"/>
      <c r="AB175" s="107"/>
      <c r="AC175" s="40"/>
      <c r="AD175" s="40"/>
      <c r="AE175" s="48" t="str">
        <f t="shared" si="45"/>
        <v>Elaboração da Planilha de Quantidades</v>
      </c>
      <c r="AF175" s="48"/>
      <c r="AG175" s="48"/>
      <c r="AH175" s="89"/>
      <c r="AI175" s="49">
        <f t="shared" si="46"/>
        <v>0</v>
      </c>
      <c r="AJ175" s="49" t="str">
        <f t="shared" si="47"/>
        <v/>
      </c>
      <c r="AK175" s="49">
        <f t="shared" si="48"/>
        <v>1</v>
      </c>
      <c r="AL175" s="49" t="str">
        <f t="shared" si="49"/>
        <v/>
      </c>
      <c r="AM175" s="49">
        <f t="shared" si="50"/>
        <v>0</v>
      </c>
      <c r="AN175" s="49" t="str">
        <f t="shared" si="51"/>
        <v/>
      </c>
      <c r="AO175" s="49">
        <f t="shared" si="52"/>
        <v>0</v>
      </c>
      <c r="AP175" s="49" t="str">
        <f t="shared" si="53"/>
        <v/>
      </c>
      <c r="AQ175" s="49">
        <f t="shared" si="54"/>
        <v>0</v>
      </c>
      <c r="AR175" s="49" t="str">
        <f t="shared" si="55"/>
        <v/>
      </c>
      <c r="AV175" s="57"/>
      <c r="BF175" s="52"/>
    </row>
    <row r="176" spans="1:58" ht="30" customHeight="1" x14ac:dyDescent="0.35">
      <c r="A176" s="25" t="str">
        <f t="shared" si="57"/>
        <v>PT177 - PLATAFORMA DE ACESSO - FORQUILHA 1 - DETALHADO
PROJETO DETALHADO
ESTRUTURAS METÁLICAS</v>
      </c>
      <c r="B176" s="38" t="s">
        <v>75</v>
      </c>
      <c r="C176" s="60" t="str">
        <f>IF(AND($B176=[1]rogério!$A177,[1]rogério!$B177=C$4),"ok","nok")</f>
        <v>nok</v>
      </c>
      <c r="D176" s="60" t="str">
        <f>IF(AND($B176=[1]rogério!$A177,[1]rogério!$B177=D$4),"ok","nok")</f>
        <v>nok</v>
      </c>
      <c r="E176" s="60" t="str">
        <f>IF(AND($B176=[1]rogério!$A177,[1]rogério!$B177=E$4),"ok","nok")</f>
        <v>nok</v>
      </c>
      <c r="F176" s="60" t="str">
        <f>IF(AND($B176=[1]rogério!$A177,[1]rogério!$B177=F$4),"ok","nok")</f>
        <v>nok</v>
      </c>
      <c r="G176" s="60" t="str">
        <f>IF(AND($B176=[1]rogério!$A177,[1]rogério!$B177=G$4),"ok","nok")</f>
        <v>nok</v>
      </c>
      <c r="H176" s="60" t="str">
        <f>IF(AND($B176=[1]rogério!$A177,[1]rogério!$B177=H$4),"ok","nok")</f>
        <v>nok</v>
      </c>
      <c r="I176" s="60" t="str">
        <f>IF(AND($B176=[1]rogério!$A177,[1]rogério!$B177=I$4),"ok","nok")</f>
        <v>nok</v>
      </c>
      <c r="J176" s="60" t="str">
        <f>IF(AND($B176=[1]rogério!$A177,[1]rogério!$B177=J$4),"ok","nok")</f>
        <v>nok</v>
      </c>
      <c r="K176" s="60" t="str">
        <f>IF(AND($B176=[1]rogério!$A177,[1]rogério!$B177=K$4),"ok","nok")</f>
        <v>nok</v>
      </c>
      <c r="L176" s="60" t="str">
        <f>IF(AND($B176=[1]rogério!$A177,[1]rogério!$B177=L$4),"ok","nok")</f>
        <v>nok</v>
      </c>
      <c r="M176" s="60" t="str">
        <f>IF(AND($B176=[1]rogério!$A177,[1]rogério!$B177=M$4),"ok","nok")</f>
        <v>ok</v>
      </c>
      <c r="N176" s="60" t="str">
        <f>IF(AND($B176=[1]rogério!$A177,[1]rogério!$B177=N$4),"ok","nok")</f>
        <v>nok</v>
      </c>
      <c r="O176" s="60" t="str">
        <f>IF(AND($B176=[1]rogério!$A177,[1]rogério!$B177=O$4),"ok","nok")</f>
        <v>nok</v>
      </c>
      <c r="P176" s="60" t="str">
        <f>IF(AND($B176=[1]rogério!$A177,[1]rogério!$B177=P$4),"ok","nok")</f>
        <v>nok</v>
      </c>
      <c r="Q176" s="60" t="str">
        <f>IF(AND($B176=[1]rogério!$A177,[1]rogério!$B177=Q$4),"ok","nok")</f>
        <v>nok</v>
      </c>
      <c r="R176" s="60" t="str">
        <f>IF(AND($B176=[1]rogério!$A177,[1]rogério!$B177=R$4),"ok","nok")</f>
        <v>nok</v>
      </c>
      <c r="S176" s="60" t="str">
        <f>IF(AND($B176=[1]rogério!$A177,[1]rogério!$B177=S$4),"ok","nok")</f>
        <v>nok</v>
      </c>
      <c r="T176" s="60" t="str">
        <f>IF(AND($B176=[1]rogério!$A177,[1]rogério!$B177=T$4),"ok","nok")</f>
        <v>nok</v>
      </c>
      <c r="U176" s="60" t="str">
        <f>IF(AND($B176=[1]rogério!$A177,[1]rogério!$B177=U$4),"ok","nok")</f>
        <v>nok</v>
      </c>
      <c r="V176" s="60" t="str">
        <f>IF(AND($B176=[1]rogério!$A177,[1]rogério!$B177=V$4),"ok","nok")</f>
        <v>nok</v>
      </c>
      <c r="W176" s="60" t="str">
        <f>IF(AND($B176=[1]rogério!$A177,[1]rogério!$B177=W$4),"ok","nok")</f>
        <v>nok</v>
      </c>
      <c r="X176" s="60" t="str">
        <f>IF(AND($B176=[1]rogério!$A177,[1]rogério!$B177=X$4),"ok","nok")</f>
        <v>nok</v>
      </c>
      <c r="Y176" s="105" t="s">
        <v>31</v>
      </c>
      <c r="Z176" s="106"/>
      <c r="AA176" s="106"/>
      <c r="AB176" s="107"/>
      <c r="AC176" s="40"/>
      <c r="AD176" s="40"/>
      <c r="AE176" s="48" t="str">
        <f t="shared" si="45"/>
        <v>Verificação da Planilha de Quantidades</v>
      </c>
      <c r="AF176" s="48"/>
      <c r="AG176" s="48"/>
      <c r="AH176" s="89"/>
      <c r="AI176" s="49">
        <f t="shared" si="46"/>
        <v>0</v>
      </c>
      <c r="AJ176" s="49" t="str">
        <f t="shared" si="47"/>
        <v/>
      </c>
      <c r="AK176" s="49">
        <f t="shared" si="48"/>
        <v>0</v>
      </c>
      <c r="AL176" s="49" t="str">
        <f t="shared" si="49"/>
        <v/>
      </c>
      <c r="AM176" s="49">
        <f t="shared" si="50"/>
        <v>1</v>
      </c>
      <c r="AN176" s="49" t="str">
        <f t="shared" si="51"/>
        <v/>
      </c>
      <c r="AO176" s="49">
        <f t="shared" si="52"/>
        <v>0</v>
      </c>
      <c r="AP176" s="49" t="str">
        <f t="shared" si="53"/>
        <v/>
      </c>
      <c r="AQ176" s="49">
        <f t="shared" si="54"/>
        <v>0</v>
      </c>
      <c r="AR176" s="49" t="str">
        <f t="shared" si="55"/>
        <v/>
      </c>
      <c r="AV176" s="57"/>
      <c r="BF176" s="52"/>
    </row>
    <row r="177" spans="1:58" ht="30" customHeight="1" x14ac:dyDescent="0.35">
      <c r="A177" s="25" t="str">
        <f t="shared" si="57"/>
        <v>PT177 - PLATAFORMA DE ACESSO - FORQUILHA 1 - DETALHADO
PROJETO DETALHADO
ESTRUTURAS METÁLICAS</v>
      </c>
      <c r="B177" s="39" t="s">
        <v>62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108"/>
      <c r="Z177" s="109"/>
      <c r="AA177" s="109"/>
      <c r="AB177" s="110"/>
      <c r="AC177" s="40"/>
      <c r="AD177" s="40"/>
      <c r="AE177" s="48" t="str">
        <f t="shared" si="45"/>
        <v/>
      </c>
      <c r="AF177" s="48"/>
      <c r="AG177" s="48"/>
      <c r="AH177" s="89"/>
      <c r="AI177" s="49">
        <f t="shared" si="46"/>
        <v>0</v>
      </c>
      <c r="AJ177" s="49" t="str">
        <f t="shared" si="47"/>
        <v/>
      </c>
      <c r="AK177" s="49">
        <f t="shared" si="48"/>
        <v>0</v>
      </c>
      <c r="AL177" s="49" t="str">
        <f t="shared" si="49"/>
        <v/>
      </c>
      <c r="AM177" s="49">
        <f t="shared" si="50"/>
        <v>0</v>
      </c>
      <c r="AN177" s="49" t="str">
        <f t="shared" si="51"/>
        <v/>
      </c>
      <c r="AO177" s="49">
        <f t="shared" si="52"/>
        <v>0</v>
      </c>
      <c r="AP177" s="49" t="str">
        <f t="shared" si="53"/>
        <v/>
      </c>
      <c r="AQ177" s="49">
        <f t="shared" si="54"/>
        <v>0</v>
      </c>
      <c r="AR177" s="49" t="str">
        <f t="shared" si="55"/>
        <v/>
      </c>
      <c r="AV177" s="57"/>
      <c r="BF177" s="52"/>
    </row>
    <row r="178" spans="1:58" ht="30" customHeight="1" x14ac:dyDescent="0.35">
      <c r="A178" s="25" t="str">
        <f t="shared" si="57"/>
        <v>PT177 - PLATAFORMA DE ACESSO - FORQUILHA 1 - DETALHADO
PROJETO DETALHADO
ESTRUTURAS METÁLICAS</v>
      </c>
      <c r="B178" s="40" t="s">
        <v>49</v>
      </c>
      <c r="C178" s="60" t="str">
        <f>IF(AND($B178=[1]rogério!$A179,[1]rogério!$B179=C$4),"ok","nok")</f>
        <v>nok</v>
      </c>
      <c r="D178" s="60" t="str">
        <f>IF(AND($B178=[1]rogério!$A179,[1]rogério!$B179=D$4),"ok","nok")</f>
        <v>nok</v>
      </c>
      <c r="E178" s="60" t="str">
        <f>IF(AND($B178=[1]rogério!$A179,[1]rogério!$B179=E$4),"ok","nok")</f>
        <v>nok</v>
      </c>
      <c r="F178" s="60" t="str">
        <f>IF(AND($B178=[1]rogério!$A179,[1]rogério!$B179=F$4),"ok","nok")</f>
        <v>nok</v>
      </c>
      <c r="G178" s="60" t="str">
        <f>IF(AND($B178=[1]rogério!$A179,[1]rogério!$B179=G$4),"ok","nok")</f>
        <v>nok</v>
      </c>
      <c r="H178" s="60" t="str">
        <f>IF(AND($B178=[1]rogério!$A179,[1]rogério!$B179=H$4),"ok","nok")</f>
        <v>nok</v>
      </c>
      <c r="I178" s="60" t="str">
        <f>IF(AND($B178=[1]rogério!$A179,[1]rogério!$B179=I$4),"ok","nok")</f>
        <v>nok</v>
      </c>
      <c r="J178" s="60" t="str">
        <f>IF(AND($B178=[1]rogério!$A179,[1]rogério!$B179=J$4),"ok","nok")</f>
        <v>nok</v>
      </c>
      <c r="K178" s="60" t="str">
        <f>IF(AND($B178=[1]rogério!$A179,[1]rogério!$B179=K$4),"ok","nok")</f>
        <v>nok</v>
      </c>
      <c r="L178" s="60" t="str">
        <f>IF(AND($B178=[1]rogério!$A179,[1]rogério!$B179=L$4),"ok","nok")</f>
        <v>nok</v>
      </c>
      <c r="M178" s="60" t="str">
        <f>IF(AND($B178=[1]rogério!$A179,[1]rogério!$B179=M$4),"ok","nok")</f>
        <v>ok</v>
      </c>
      <c r="N178" s="60" t="str">
        <f>IF(AND($B178=[1]rogério!$A179,[1]rogério!$B179=N$4),"ok","nok")</f>
        <v>nok</v>
      </c>
      <c r="O178" s="60" t="str">
        <f>IF(AND($B178=[1]rogério!$A179,[1]rogério!$B179=O$4),"ok","nok")</f>
        <v>nok</v>
      </c>
      <c r="P178" s="60" t="str">
        <f>IF(AND($B178=[1]rogério!$A179,[1]rogério!$B179=P$4),"ok","nok")</f>
        <v>nok</v>
      </c>
      <c r="Q178" s="60" t="str">
        <f>IF(AND($B178=[1]rogério!$A179,[1]rogério!$B179=Q$4),"ok","nok")</f>
        <v>nok</v>
      </c>
      <c r="R178" s="60" t="str">
        <f>IF(AND($B178=[1]rogério!$A179,[1]rogério!$B179=R$4),"ok","nok")</f>
        <v>nok</v>
      </c>
      <c r="S178" s="60" t="str">
        <f>IF(AND($B178=[1]rogério!$A179,[1]rogério!$B179=S$4),"ok","nok")</f>
        <v>nok</v>
      </c>
      <c r="T178" s="60" t="str">
        <f>IF(AND($B178=[1]rogério!$A179,[1]rogério!$B179=T$4),"ok","nok")</f>
        <v>nok</v>
      </c>
      <c r="U178" s="60" t="str">
        <f>IF(AND($B178=[1]rogério!$A179,[1]rogério!$B179=U$4),"ok","nok")</f>
        <v>nok</v>
      </c>
      <c r="V178" s="60" t="str">
        <f>IF(AND($B178=[1]rogério!$A179,[1]rogério!$B179=V$4),"ok","nok")</f>
        <v>nok</v>
      </c>
      <c r="W178" s="60" t="str">
        <f>IF(AND($B178=[1]rogério!$A179,[1]rogério!$B179=W$4),"ok","nok")</f>
        <v>nok</v>
      </c>
      <c r="X178" s="60" t="str">
        <f>IF(AND($B178=[1]rogério!$A179,[1]rogério!$B179=X$4),"ok","nok")</f>
        <v>nok</v>
      </c>
      <c r="Y178" s="105" t="s">
        <v>31</v>
      </c>
      <c r="Z178" s="106"/>
      <c r="AA178" s="106"/>
      <c r="AB178" s="107"/>
      <c r="AC178" s="40"/>
      <c r="AD178" s="40"/>
      <c r="AE178" s="48" t="str">
        <f t="shared" si="45"/>
        <v>MARCO - Emissão Inicial (Rev_A)</v>
      </c>
      <c r="AF178" s="48"/>
      <c r="AG178" s="48"/>
      <c r="AH178" s="89"/>
      <c r="AI178" s="49">
        <f t="shared" si="46"/>
        <v>0</v>
      </c>
      <c r="AJ178" s="49" t="str">
        <f t="shared" si="47"/>
        <v/>
      </c>
      <c r="AK178" s="49">
        <f t="shared" si="48"/>
        <v>0</v>
      </c>
      <c r="AL178" s="49" t="str">
        <f t="shared" si="49"/>
        <v/>
      </c>
      <c r="AM178" s="49">
        <f t="shared" si="50"/>
        <v>1</v>
      </c>
      <c r="AN178" s="49" t="str">
        <f t="shared" si="51"/>
        <v/>
      </c>
      <c r="AO178" s="49">
        <f t="shared" si="52"/>
        <v>0</v>
      </c>
      <c r="AP178" s="49" t="str">
        <f t="shared" si="53"/>
        <v/>
      </c>
      <c r="AQ178" s="49">
        <f t="shared" si="54"/>
        <v>0</v>
      </c>
      <c r="AR178" s="49" t="str">
        <f t="shared" si="55"/>
        <v/>
      </c>
      <c r="AV178" s="57"/>
      <c r="BF178" s="52"/>
    </row>
    <row r="179" spans="1:58" ht="30" customHeight="1" x14ac:dyDescent="0.35">
      <c r="A179" s="25" t="str">
        <f t="shared" si="57"/>
        <v>PT177 - PLATAFORMA DE ACESSO - FORQUILHA 1 - DETALHADO
PROJETO DETALHADO
ESTRUTURAS METÁLICAS</v>
      </c>
      <c r="B179" s="40" t="s">
        <v>19</v>
      </c>
      <c r="C179" s="60" t="str">
        <f>IF(AND($B179=[1]rogério!$A180,[1]rogério!$B180=C$4),"ok","nok")</f>
        <v>nok</v>
      </c>
      <c r="D179" s="60" t="str">
        <f>IF(AND($B179=[1]rogério!$A180,[1]rogério!$B180=D$4),"ok","nok")</f>
        <v>nok</v>
      </c>
      <c r="E179" s="60" t="str">
        <f>IF(AND($B179=[1]rogério!$A180,[1]rogério!$B180=E$4),"ok","nok")</f>
        <v>nok</v>
      </c>
      <c r="F179" s="60" t="str">
        <f>IF(AND($B179=[1]rogério!$A180,[1]rogério!$B180=F$4),"ok","nok")</f>
        <v>nok</v>
      </c>
      <c r="G179" s="60" t="str">
        <f>IF(AND($B179=[1]rogério!$A180,[1]rogério!$B180=G$4),"ok","nok")</f>
        <v>nok</v>
      </c>
      <c r="H179" s="60" t="str">
        <f>IF(AND($B179=[1]rogério!$A180,[1]rogério!$B180=H$4),"ok","nok")</f>
        <v>nok</v>
      </c>
      <c r="I179" s="60" t="str">
        <f>IF(AND($B179=[1]rogério!$A180,[1]rogério!$B180=I$4),"ok","nok")</f>
        <v>nok</v>
      </c>
      <c r="J179" s="60" t="str">
        <f>IF(AND($B179=[1]rogério!$A180,[1]rogério!$B180=J$4),"ok","nok")</f>
        <v>nok</v>
      </c>
      <c r="K179" s="60" t="str">
        <f>IF(AND($B179=[1]rogério!$A180,[1]rogério!$B180=K$4),"ok","nok")</f>
        <v>nok</v>
      </c>
      <c r="L179" s="60" t="str">
        <f>IF(AND($B179=[1]rogério!$A180,[1]rogério!$B180=L$4),"ok","nok")</f>
        <v>nok</v>
      </c>
      <c r="M179" s="60" t="str">
        <f>IF(AND($B179=[1]rogério!$A180,[1]rogério!$B180=M$4),"ok","nok")</f>
        <v>nok</v>
      </c>
      <c r="N179" s="60" t="str">
        <f>IF(AND($B179=[1]rogério!$A180,[1]rogério!$B180=N$4),"ok","nok")</f>
        <v>nok</v>
      </c>
      <c r="O179" s="60" t="str">
        <f>IF(AND($B179=[1]rogério!$A180,[1]rogério!$B180=O$4),"ok","nok")</f>
        <v>nok</v>
      </c>
      <c r="P179" s="60" t="str">
        <f>IF(AND($B179=[1]rogério!$A180,[1]rogério!$B180=P$4),"ok","nok")</f>
        <v>nok</v>
      </c>
      <c r="Q179" s="60" t="str">
        <f>IF(AND($B179=[1]rogério!$A180,[1]rogério!$B180=Q$4),"ok","nok")</f>
        <v>nok</v>
      </c>
      <c r="R179" s="60" t="str">
        <f>IF(AND($B179=[1]rogério!$A180,[1]rogério!$B180=R$4),"ok","nok")</f>
        <v>ok</v>
      </c>
      <c r="S179" s="60" t="str">
        <f>IF(AND($B179=[1]rogério!$A180,[1]rogério!$B180=S$4),"ok","nok")</f>
        <v>nok</v>
      </c>
      <c r="T179" s="60" t="str">
        <f>IF(AND($B179=[1]rogério!$A180,[1]rogério!$B180=T$4),"ok","nok")</f>
        <v>nok</v>
      </c>
      <c r="U179" s="60" t="str">
        <f>IF(AND($B179=[1]rogério!$A180,[1]rogério!$B180=U$4),"ok","nok")</f>
        <v>nok</v>
      </c>
      <c r="V179" s="60" t="str">
        <f>IF(AND($B179=[1]rogério!$A180,[1]rogério!$B180=V$4),"ok","nok")</f>
        <v>nok</v>
      </c>
      <c r="W179" s="60" t="str">
        <f>IF(AND($B179=[1]rogério!$A180,[1]rogério!$B180=W$4),"ok","nok")</f>
        <v>nok</v>
      </c>
      <c r="X179" s="60" t="str">
        <f>IF(AND($B179=[1]rogério!$A180,[1]rogério!$B180=X$4),"ok","nok")</f>
        <v>nok</v>
      </c>
      <c r="Y179" s="105" t="s">
        <v>31</v>
      </c>
      <c r="Z179" s="106"/>
      <c r="AA179" s="106"/>
      <c r="AB179" s="107"/>
      <c r="AC179" s="40"/>
      <c r="AD179" s="40"/>
      <c r="AE179" s="48" t="str">
        <f t="shared" si="45"/>
        <v>Aprovação do Cliente</v>
      </c>
      <c r="AF179" s="48"/>
      <c r="AG179" s="48"/>
      <c r="AH179" s="89"/>
      <c r="AI179" s="49">
        <f t="shared" si="46"/>
        <v>0</v>
      </c>
      <c r="AJ179" s="49" t="str">
        <f t="shared" si="47"/>
        <v/>
      </c>
      <c r="AK179" s="49">
        <f t="shared" si="48"/>
        <v>0</v>
      </c>
      <c r="AL179" s="49" t="str">
        <f t="shared" si="49"/>
        <v/>
      </c>
      <c r="AM179" s="49">
        <f t="shared" si="50"/>
        <v>0</v>
      </c>
      <c r="AN179" s="49" t="str">
        <f t="shared" si="51"/>
        <v/>
      </c>
      <c r="AO179" s="49">
        <f t="shared" si="52"/>
        <v>1</v>
      </c>
      <c r="AP179" s="49" t="str">
        <f t="shared" si="53"/>
        <v/>
      </c>
      <c r="AQ179" s="49">
        <f t="shared" si="54"/>
        <v>0</v>
      </c>
      <c r="AR179" s="49" t="str">
        <f t="shared" si="55"/>
        <v/>
      </c>
      <c r="AV179" s="57"/>
      <c r="BF179" s="52"/>
    </row>
    <row r="180" spans="1:58" ht="30" customHeight="1" x14ac:dyDescent="0.35">
      <c r="A180" s="25" t="str">
        <f t="shared" si="57"/>
        <v>PT177 - PLATAFORMA DE ACESSO - FORQUILHA 1 - DETALHADO
PROJETO DETALHADO
ESTRUTURAS METÁLICAS</v>
      </c>
      <c r="B180" s="40" t="s">
        <v>42</v>
      </c>
      <c r="C180" s="60" t="str">
        <f>IF(AND($B180=[1]rogério!$A181,[1]rogério!$B181=C$4),"ok","nok")</f>
        <v>nok</v>
      </c>
      <c r="D180" s="60" t="str">
        <f>IF(AND($B180=[1]rogério!$A181,[1]rogério!$B181=D$4),"ok","nok")</f>
        <v>nok</v>
      </c>
      <c r="E180" s="60" t="str">
        <f>IF(AND($B180=[1]rogério!$A181,[1]rogério!$B181=E$4),"ok","nok")</f>
        <v>nok</v>
      </c>
      <c r="F180" s="60" t="str">
        <f>IF(AND($B180=[1]rogério!$A181,[1]rogério!$B181=F$4),"ok","nok")</f>
        <v>nok</v>
      </c>
      <c r="G180" s="60" t="str">
        <f>IF(AND($B180=[1]rogério!$A181,[1]rogério!$B181=G$4),"ok","nok")</f>
        <v>nok</v>
      </c>
      <c r="H180" s="60" t="str">
        <f>IF(AND($B180=[1]rogério!$A181,[1]rogério!$B181=H$4),"ok","nok")</f>
        <v>nok</v>
      </c>
      <c r="I180" s="60" t="str">
        <f>IF(AND($B180=[1]rogério!$A181,[1]rogério!$B181=I$4),"ok","nok")</f>
        <v>nok</v>
      </c>
      <c r="J180" s="60" t="str">
        <f>IF(AND($B180=[1]rogério!$A181,[1]rogério!$B181=J$4),"ok","nok")</f>
        <v>nok</v>
      </c>
      <c r="K180" s="60" t="str">
        <f>IF(AND($B180=[1]rogério!$A181,[1]rogério!$B181=K$4),"ok","nok")</f>
        <v>nok</v>
      </c>
      <c r="L180" s="60" t="str">
        <f>IF(AND($B180=[1]rogério!$A181,[1]rogério!$B181=L$4),"ok","nok")</f>
        <v>nok</v>
      </c>
      <c r="M180" s="60" t="str">
        <f>IF(AND($B180=[1]rogério!$A181,[1]rogério!$B181=M$4),"ok","nok")</f>
        <v>nok</v>
      </c>
      <c r="N180" s="60" t="str">
        <f>IF(AND($B180=[1]rogério!$A181,[1]rogério!$B181=N$4),"ok","nok")</f>
        <v>nok</v>
      </c>
      <c r="O180" s="60" t="str">
        <f>IF(AND($B180=[1]rogério!$A181,[1]rogério!$B181=O$4),"ok","nok")</f>
        <v>nok</v>
      </c>
      <c r="P180" s="60" t="str">
        <f>IF(AND($B180=[1]rogério!$A181,[1]rogério!$B181=P$4),"ok","nok")</f>
        <v>nok</v>
      </c>
      <c r="Q180" s="60" t="str">
        <f>IF(AND($B180=[1]rogério!$A181,[1]rogério!$B181=Q$4),"ok","nok")</f>
        <v>nok</v>
      </c>
      <c r="R180" s="60" t="str">
        <f>IF(AND($B180=[1]rogério!$A181,[1]rogério!$B181=R$4),"ok","nok")</f>
        <v>nok</v>
      </c>
      <c r="S180" s="60" t="str">
        <f>IF(AND($B180=[1]rogério!$A181,[1]rogério!$B181=S$4),"ok","nok")</f>
        <v>nok</v>
      </c>
      <c r="T180" s="60" t="str">
        <f>IF(AND($B180=[1]rogério!$A181,[1]rogério!$B181=T$4),"ok","nok")</f>
        <v>nok</v>
      </c>
      <c r="U180" s="60" t="str">
        <f>IF(AND($B180=[1]rogério!$A181,[1]rogério!$B181=U$4),"ok","nok")</f>
        <v>ok</v>
      </c>
      <c r="V180" s="60" t="str">
        <f>IF(AND($B180=[1]rogério!$A181,[1]rogério!$B181=V$4),"ok","nok")</f>
        <v>nok</v>
      </c>
      <c r="W180" s="60" t="str">
        <f>IF(AND($B180=[1]rogério!$A181,[1]rogério!$B181=W$4),"ok","nok")</f>
        <v>nok</v>
      </c>
      <c r="X180" s="60" t="str">
        <f>IF(AND($B180=[1]rogério!$A181,[1]rogério!$B181=X$4),"ok","nok")</f>
        <v>nok</v>
      </c>
      <c r="Y180" s="105" t="s">
        <v>31</v>
      </c>
      <c r="Z180" s="106"/>
      <c r="AA180" s="106"/>
      <c r="AB180" s="107"/>
      <c r="AC180" s="40"/>
      <c r="AD180" s="40"/>
      <c r="AE180" s="48" t="str">
        <f t="shared" si="45"/>
        <v>Certificação do documento - Vibracon</v>
      </c>
      <c r="AF180" s="48"/>
      <c r="AG180" s="48"/>
      <c r="AH180" s="89"/>
      <c r="AI180" s="49">
        <f t="shared" si="46"/>
        <v>0</v>
      </c>
      <c r="AJ180" s="49" t="str">
        <f t="shared" si="47"/>
        <v/>
      </c>
      <c r="AK180" s="49">
        <f t="shared" si="48"/>
        <v>0</v>
      </c>
      <c r="AL180" s="49" t="str">
        <f t="shared" si="49"/>
        <v/>
      </c>
      <c r="AM180" s="49">
        <f t="shared" si="50"/>
        <v>0</v>
      </c>
      <c r="AN180" s="49" t="str">
        <f t="shared" si="51"/>
        <v/>
      </c>
      <c r="AO180" s="49">
        <f t="shared" si="52"/>
        <v>1</v>
      </c>
      <c r="AP180" s="49" t="str">
        <f t="shared" si="53"/>
        <v/>
      </c>
      <c r="AQ180" s="49">
        <f t="shared" si="54"/>
        <v>0</v>
      </c>
      <c r="AR180" s="49" t="str">
        <f t="shared" si="55"/>
        <v/>
      </c>
      <c r="AV180" s="57"/>
      <c r="BF180" s="52"/>
    </row>
    <row r="181" spans="1:58" ht="30" customHeight="1" x14ac:dyDescent="0.35">
      <c r="A181" s="25" t="str">
        <f t="shared" si="57"/>
        <v>PT177 - PLATAFORMA DE ACESSO - FORQUILHA 1 - DETALHADO
PROJETO DETALHADO
ESTRUTURAS METÁLICAS</v>
      </c>
      <c r="B181" s="40" t="s">
        <v>43</v>
      </c>
      <c r="C181" s="60" t="str">
        <f>IF(AND($B181=[1]rogério!$A182,[1]rogério!$B182=C$4),"ok","nok")</f>
        <v>nok</v>
      </c>
      <c r="D181" s="60" t="str">
        <f>IF(AND($B181=[1]rogério!$A182,[1]rogério!$B182=D$4),"ok","nok")</f>
        <v>nok</v>
      </c>
      <c r="E181" s="60" t="str">
        <f>IF(AND($B181=[1]rogério!$A182,[1]rogério!$B182=E$4),"ok","nok")</f>
        <v>nok</v>
      </c>
      <c r="F181" s="60" t="str">
        <f>IF(AND($B181=[1]rogério!$A182,[1]rogério!$B182=F$4),"ok","nok")</f>
        <v>nok</v>
      </c>
      <c r="G181" s="60" t="str">
        <f>IF(AND($B181=[1]rogério!$A182,[1]rogério!$B182=G$4),"ok","nok")</f>
        <v>nok</v>
      </c>
      <c r="H181" s="60" t="str">
        <f>IF(AND($B181=[1]rogério!$A182,[1]rogério!$B182=H$4),"ok","nok")</f>
        <v>nok</v>
      </c>
      <c r="I181" s="60" t="str">
        <f>IF(AND($B181=[1]rogério!$A182,[1]rogério!$B182=I$4),"ok","nok")</f>
        <v>nok</v>
      </c>
      <c r="J181" s="60" t="str">
        <f>IF(AND($B181=[1]rogério!$A182,[1]rogério!$B182=J$4),"ok","nok")</f>
        <v>nok</v>
      </c>
      <c r="K181" s="60" t="str">
        <f>IF(AND($B181=[1]rogério!$A182,[1]rogério!$B182=K$4),"ok","nok")</f>
        <v>nok</v>
      </c>
      <c r="L181" s="60" t="str">
        <f>IF(AND($B181=[1]rogério!$A182,[1]rogério!$B182=L$4),"ok","nok")</f>
        <v>nok</v>
      </c>
      <c r="M181" s="60" t="str">
        <f>IF(AND($B181=[1]rogério!$A182,[1]rogério!$B182=M$4),"ok","nok")</f>
        <v>nok</v>
      </c>
      <c r="N181" s="60" t="str">
        <f>IF(AND($B181=[1]rogério!$A182,[1]rogério!$B182=N$4),"ok","nok")</f>
        <v>nok</v>
      </c>
      <c r="O181" s="60" t="str">
        <f>IF(AND($B181=[1]rogério!$A182,[1]rogério!$B182=O$4),"ok","nok")</f>
        <v>nok</v>
      </c>
      <c r="P181" s="60" t="str">
        <f>IF(AND($B181=[1]rogério!$A182,[1]rogério!$B182=P$4),"ok","nok")</f>
        <v>nok</v>
      </c>
      <c r="Q181" s="60" t="str">
        <f>IF(AND($B181=[1]rogério!$A182,[1]rogério!$B182=Q$4),"ok","nok")</f>
        <v>nok</v>
      </c>
      <c r="R181" s="60" t="str">
        <f>IF(AND($B181=[1]rogério!$A182,[1]rogério!$B182=R$4),"ok","nok")</f>
        <v>nok</v>
      </c>
      <c r="S181" s="60" t="str">
        <f>IF(AND($B181=[1]rogério!$A182,[1]rogério!$B182=S$4),"ok","nok")</f>
        <v>nok</v>
      </c>
      <c r="T181" s="60" t="str">
        <f>IF(AND($B181=[1]rogério!$A182,[1]rogério!$B182=T$4),"ok","nok")</f>
        <v>nok</v>
      </c>
      <c r="U181" s="60" t="str">
        <f>IF(AND($B181=[1]rogério!$A182,[1]rogério!$B182=U$4),"ok","nok")</f>
        <v>ok</v>
      </c>
      <c r="V181" s="60" t="str">
        <f>IF(AND($B181=[1]rogério!$A182,[1]rogério!$B182=V$4),"ok","nok")</f>
        <v>nok</v>
      </c>
      <c r="W181" s="60" t="str">
        <f>IF(AND($B181=[1]rogério!$A182,[1]rogério!$B182=W$4),"ok","nok")</f>
        <v>nok</v>
      </c>
      <c r="X181" s="60" t="str">
        <f>IF(AND($B181=[1]rogério!$A182,[1]rogério!$B182=X$4),"ok","nok")</f>
        <v>nok</v>
      </c>
      <c r="Y181" s="105" t="s">
        <v>31</v>
      </c>
      <c r="Z181" s="106"/>
      <c r="AA181" s="106"/>
      <c r="AB181" s="107"/>
      <c r="AC181" s="40"/>
      <c r="AD181" s="40"/>
      <c r="AE181" s="48" t="str">
        <f t="shared" si="45"/>
        <v>MARCO - Envio do documento Certificado (Rev_0)</v>
      </c>
      <c r="AF181" s="48"/>
      <c r="AG181" s="48"/>
      <c r="AH181" s="89"/>
      <c r="AI181" s="49">
        <f t="shared" si="46"/>
        <v>0</v>
      </c>
      <c r="AJ181" s="49" t="str">
        <f t="shared" si="47"/>
        <v/>
      </c>
      <c r="AK181" s="49">
        <f t="shared" si="48"/>
        <v>0</v>
      </c>
      <c r="AL181" s="49" t="str">
        <f t="shared" si="49"/>
        <v/>
      </c>
      <c r="AM181" s="49">
        <f t="shared" si="50"/>
        <v>0</v>
      </c>
      <c r="AN181" s="49" t="str">
        <f t="shared" si="51"/>
        <v/>
      </c>
      <c r="AO181" s="49">
        <f t="shared" si="52"/>
        <v>1</v>
      </c>
      <c r="AP181" s="49" t="str">
        <f t="shared" si="53"/>
        <v/>
      </c>
      <c r="AQ181" s="49">
        <f t="shared" si="54"/>
        <v>0</v>
      </c>
      <c r="AR181" s="49" t="str">
        <f t="shared" si="55"/>
        <v/>
      </c>
      <c r="AV181" s="57"/>
      <c r="BF181" s="52"/>
    </row>
    <row r="182" spans="1:58" ht="30" customHeight="1" x14ac:dyDescent="0.35">
      <c r="A182" s="25" t="str">
        <f t="shared" si="57"/>
        <v>PT177 - PLATAFORMA DE ACESSO - FORQUILHA 1 - DETALHADO
PROJETO DETALHADO
ESTRUTURAS METÁLICAS</v>
      </c>
      <c r="B182" s="39" t="s">
        <v>81</v>
      </c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108"/>
      <c r="Z182" s="109"/>
      <c r="AA182" s="109"/>
      <c r="AB182" s="110"/>
      <c r="AC182" s="40"/>
      <c r="AD182" s="40"/>
      <c r="AE182" s="48" t="str">
        <f t="shared" si="45"/>
        <v/>
      </c>
      <c r="AF182" s="48"/>
      <c r="AG182" s="48"/>
      <c r="AH182" s="89"/>
      <c r="AI182" s="49">
        <f t="shared" si="46"/>
        <v>0</v>
      </c>
      <c r="AJ182" s="49" t="str">
        <f t="shared" si="47"/>
        <v/>
      </c>
      <c r="AK182" s="49">
        <f t="shared" si="48"/>
        <v>0</v>
      </c>
      <c r="AL182" s="49" t="str">
        <f t="shared" si="49"/>
        <v/>
      </c>
      <c r="AM182" s="49">
        <f t="shared" si="50"/>
        <v>0</v>
      </c>
      <c r="AN182" s="49" t="str">
        <f t="shared" si="51"/>
        <v/>
      </c>
      <c r="AO182" s="49">
        <f t="shared" si="52"/>
        <v>0</v>
      </c>
      <c r="AP182" s="49" t="str">
        <f t="shared" si="53"/>
        <v/>
      </c>
      <c r="AQ182" s="49">
        <f t="shared" si="54"/>
        <v>0</v>
      </c>
      <c r="AR182" s="49" t="str">
        <f t="shared" si="55"/>
        <v/>
      </c>
      <c r="AV182" s="57"/>
      <c r="BF182" s="52"/>
    </row>
    <row r="183" spans="1:58" ht="30" customHeight="1" x14ac:dyDescent="0.35">
      <c r="A183" s="25" t="str">
        <f t="shared" si="57"/>
        <v>PT177 - PLATAFORMA DE ACESSO - FORQUILHA 1 - DETALHADO
PROJETO DETALHADO
ESTRUTURAS METÁLICAS</v>
      </c>
      <c r="B183" s="40" t="s">
        <v>19</v>
      </c>
      <c r="C183" s="60" t="str">
        <f>IF(AND($B183=[1]rogério!$A184,[1]rogério!$B184=C$4),"ok","nok")</f>
        <v>nok</v>
      </c>
      <c r="D183" s="60" t="str">
        <f>IF(AND($B183=[1]rogério!$A184,[1]rogério!$B184=D$4),"ok","nok")</f>
        <v>nok</v>
      </c>
      <c r="E183" s="60" t="str">
        <f>IF(AND($B183=[1]rogério!$A184,[1]rogério!$B184=E$4),"ok","nok")</f>
        <v>nok</v>
      </c>
      <c r="F183" s="60" t="str">
        <f>IF(AND($B183=[1]rogério!$A184,[1]rogério!$B184=F$4),"ok","nok")</f>
        <v>nok</v>
      </c>
      <c r="G183" s="60" t="str">
        <f>IF(AND($B183=[1]rogério!$A184,[1]rogério!$B184=G$4),"ok","nok")</f>
        <v>nok</v>
      </c>
      <c r="H183" s="60" t="str">
        <f>IF(AND($B183=[1]rogério!$A184,[1]rogério!$B184=H$4),"ok","nok")</f>
        <v>nok</v>
      </c>
      <c r="I183" s="60" t="str">
        <f>IF(AND($B183=[1]rogério!$A184,[1]rogério!$B184=I$4),"ok","nok")</f>
        <v>nok</v>
      </c>
      <c r="J183" s="60" t="str">
        <f>IF(AND($B183=[1]rogério!$A184,[1]rogério!$B184=J$4),"ok","nok")</f>
        <v>nok</v>
      </c>
      <c r="K183" s="60" t="str">
        <f>IF(AND($B183=[1]rogério!$A184,[1]rogério!$B184=K$4),"ok","nok")</f>
        <v>ok</v>
      </c>
      <c r="L183" s="60" t="str">
        <f>IF(AND($B183=[1]rogério!$A184,[1]rogério!$B184=L$4),"ok","nok")</f>
        <v>nok</v>
      </c>
      <c r="M183" s="60" t="str">
        <f>IF(AND($B183=[1]rogério!$A184,[1]rogério!$B184=M$4),"ok","nok")</f>
        <v>nok</v>
      </c>
      <c r="N183" s="60" t="str">
        <f>IF(AND($B183=[1]rogério!$A184,[1]rogério!$B184=N$4),"ok","nok")</f>
        <v>nok</v>
      </c>
      <c r="O183" s="60" t="str">
        <f>IF(AND($B183=[1]rogério!$A184,[1]rogério!$B184=O$4),"ok","nok")</f>
        <v>nok</v>
      </c>
      <c r="P183" s="60" t="str">
        <f>IF(AND($B183=[1]rogério!$A184,[1]rogério!$B184=P$4),"ok","nok")</f>
        <v>nok</v>
      </c>
      <c r="Q183" s="60" t="str">
        <f>IF(AND($B183=[1]rogério!$A184,[1]rogério!$B184=Q$4),"ok","nok")</f>
        <v>nok</v>
      </c>
      <c r="R183" s="60" t="str">
        <f>IF(AND($B183=[1]rogério!$A184,[1]rogério!$B184=R$4),"ok","nok")</f>
        <v>nok</v>
      </c>
      <c r="S183" s="60" t="str">
        <f>IF(AND($B183=[1]rogério!$A184,[1]rogério!$B184=S$4),"ok","nok")</f>
        <v>nok</v>
      </c>
      <c r="T183" s="60" t="str">
        <f>IF(AND($B183=[1]rogério!$A184,[1]rogério!$B184=T$4),"ok","nok")</f>
        <v>nok</v>
      </c>
      <c r="U183" s="60" t="str">
        <f>IF(AND($B183=[1]rogério!$A184,[1]rogério!$B184=U$4),"ok","nok")</f>
        <v>nok</v>
      </c>
      <c r="V183" s="60" t="str">
        <f>IF(AND($B183=[1]rogério!$A184,[1]rogério!$B184=V$4),"ok","nok")</f>
        <v>nok</v>
      </c>
      <c r="W183" s="60" t="str">
        <f>IF(AND($B183=[1]rogério!$A184,[1]rogério!$B184=W$4),"ok","nok")</f>
        <v>nok</v>
      </c>
      <c r="X183" s="60" t="str">
        <f>IF(AND($B183=[1]rogério!$A184,[1]rogério!$B184=X$4),"ok","nok")</f>
        <v>nok</v>
      </c>
      <c r="Y183" s="105" t="s">
        <v>31</v>
      </c>
      <c r="Z183" s="106"/>
      <c r="AA183" s="106"/>
      <c r="AB183" s="107"/>
      <c r="AC183" s="40"/>
      <c r="AD183" s="40"/>
      <c r="AE183" s="48" t="str">
        <f t="shared" si="45"/>
        <v>Aprovação do Cliente</v>
      </c>
      <c r="AF183" s="48"/>
      <c r="AG183" s="48"/>
      <c r="AH183" s="89"/>
      <c r="AI183" s="49">
        <f t="shared" si="46"/>
        <v>0</v>
      </c>
      <c r="AJ183" s="49" t="str">
        <f t="shared" si="47"/>
        <v/>
      </c>
      <c r="AK183" s="49">
        <f t="shared" si="48"/>
        <v>1</v>
      </c>
      <c r="AL183" s="49" t="str">
        <f t="shared" si="49"/>
        <v/>
      </c>
      <c r="AM183" s="49">
        <f t="shared" si="50"/>
        <v>0</v>
      </c>
      <c r="AN183" s="49" t="str">
        <f t="shared" si="51"/>
        <v/>
      </c>
      <c r="AO183" s="49">
        <f t="shared" si="52"/>
        <v>0</v>
      </c>
      <c r="AP183" s="49" t="str">
        <f t="shared" si="53"/>
        <v/>
      </c>
      <c r="AQ183" s="49">
        <f t="shared" si="54"/>
        <v>0</v>
      </c>
      <c r="AR183" s="49" t="str">
        <f t="shared" si="55"/>
        <v/>
      </c>
      <c r="AV183" s="57"/>
      <c r="BF183" s="52"/>
    </row>
    <row r="184" spans="1:58" ht="30" customHeight="1" x14ac:dyDescent="0.35">
      <c r="A184" s="25" t="str">
        <f t="shared" si="57"/>
        <v>PT177 - PLATAFORMA DE ACESSO - FORQUILHA 1 - DETALHADO
PROJETO DETALHADO
ESTRUTURAS METÁLICAS</v>
      </c>
      <c r="B184" s="40" t="s">
        <v>42</v>
      </c>
      <c r="C184" s="60" t="str">
        <f>IF(AND($B184=[1]rogério!$A185,[1]rogério!$B185=C$4),"ok","nok")</f>
        <v>nok</v>
      </c>
      <c r="D184" s="60" t="str">
        <f>IF(AND($B184=[1]rogério!$A185,[1]rogério!$B185=D$4),"ok","nok")</f>
        <v>nok</v>
      </c>
      <c r="E184" s="60" t="str">
        <f>IF(AND($B184=[1]rogério!$A185,[1]rogério!$B185=E$4),"ok","nok")</f>
        <v>nok</v>
      </c>
      <c r="F184" s="60" t="str">
        <f>IF(AND($B184=[1]rogério!$A185,[1]rogério!$B185=F$4),"ok","nok")</f>
        <v>nok</v>
      </c>
      <c r="G184" s="60" t="str">
        <f>IF(AND($B184=[1]rogério!$A185,[1]rogério!$B185=G$4),"ok","nok")</f>
        <v>nok</v>
      </c>
      <c r="H184" s="60" t="str">
        <f>IF(AND($B184=[1]rogério!$A185,[1]rogério!$B185=H$4),"ok","nok")</f>
        <v>nok</v>
      </c>
      <c r="I184" s="60" t="str">
        <f>IF(AND($B184=[1]rogério!$A185,[1]rogério!$B185=I$4),"ok","nok")</f>
        <v>nok</v>
      </c>
      <c r="J184" s="60" t="str">
        <f>IF(AND($B184=[1]rogério!$A185,[1]rogério!$B185=J$4),"ok","nok")</f>
        <v>nok</v>
      </c>
      <c r="K184" s="60" t="str">
        <f>IF(AND($B184=[1]rogério!$A185,[1]rogério!$B185=K$4),"ok","nok")</f>
        <v>nok</v>
      </c>
      <c r="L184" s="60" t="str">
        <f>IF(AND($B184=[1]rogério!$A185,[1]rogério!$B185=L$4),"ok","nok")</f>
        <v>nok</v>
      </c>
      <c r="M184" s="60" t="str">
        <f>IF(AND($B184=[1]rogério!$A185,[1]rogério!$B185=M$4),"ok","nok")</f>
        <v>nok</v>
      </c>
      <c r="N184" s="60" t="str">
        <f>IF(AND($B184=[1]rogério!$A185,[1]rogério!$B185=N$4),"ok","nok")</f>
        <v>ok</v>
      </c>
      <c r="O184" s="60" t="str">
        <f>IF(AND($B184=[1]rogério!$A185,[1]rogério!$B185=O$4),"ok","nok")</f>
        <v>nok</v>
      </c>
      <c r="P184" s="60" t="str">
        <f>IF(AND($B184=[1]rogério!$A185,[1]rogério!$B185=P$4),"ok","nok")</f>
        <v>nok</v>
      </c>
      <c r="Q184" s="60" t="str">
        <f>IF(AND($B184=[1]rogério!$A185,[1]rogério!$B185=Q$4),"ok","nok")</f>
        <v>nok</v>
      </c>
      <c r="R184" s="60" t="str">
        <f>IF(AND($B184=[1]rogério!$A185,[1]rogério!$B185=R$4),"ok","nok")</f>
        <v>nok</v>
      </c>
      <c r="S184" s="60" t="str">
        <f>IF(AND($B184=[1]rogério!$A185,[1]rogério!$B185=S$4),"ok","nok")</f>
        <v>nok</v>
      </c>
      <c r="T184" s="60" t="str">
        <f>IF(AND($B184=[1]rogério!$A185,[1]rogério!$B185=T$4),"ok","nok")</f>
        <v>nok</v>
      </c>
      <c r="U184" s="60" t="str">
        <f>IF(AND($B184=[1]rogério!$A185,[1]rogério!$B185=U$4),"ok","nok")</f>
        <v>nok</v>
      </c>
      <c r="V184" s="60" t="str">
        <f>IF(AND($B184=[1]rogério!$A185,[1]rogério!$B185=V$4),"ok","nok")</f>
        <v>nok</v>
      </c>
      <c r="W184" s="60" t="str">
        <f>IF(AND($B184=[1]rogério!$A185,[1]rogério!$B185=W$4),"ok","nok")</f>
        <v>nok</v>
      </c>
      <c r="X184" s="60" t="str">
        <f>IF(AND($B184=[1]rogério!$A185,[1]rogério!$B185=X$4),"ok","nok")</f>
        <v>nok</v>
      </c>
      <c r="Y184" s="105" t="s">
        <v>31</v>
      </c>
      <c r="Z184" s="106"/>
      <c r="AA184" s="106"/>
      <c r="AB184" s="107"/>
      <c r="AC184" s="40"/>
      <c r="AD184" s="40"/>
      <c r="AE184" s="48" t="str">
        <f t="shared" si="45"/>
        <v>Certificação do documento - Vibracon</v>
      </c>
      <c r="AF184" s="48"/>
      <c r="AG184" s="48"/>
      <c r="AH184" s="89"/>
      <c r="AI184" s="49">
        <f t="shared" si="46"/>
        <v>0</v>
      </c>
      <c r="AJ184" s="49" t="str">
        <f t="shared" si="47"/>
        <v/>
      </c>
      <c r="AK184" s="49">
        <f t="shared" si="48"/>
        <v>0</v>
      </c>
      <c r="AL184" s="49" t="str">
        <f t="shared" si="49"/>
        <v/>
      </c>
      <c r="AM184" s="49">
        <f t="shared" si="50"/>
        <v>1</v>
      </c>
      <c r="AN184" s="49" t="str">
        <f t="shared" si="51"/>
        <v/>
      </c>
      <c r="AO184" s="49">
        <f t="shared" si="52"/>
        <v>0</v>
      </c>
      <c r="AP184" s="49" t="str">
        <f t="shared" si="53"/>
        <v/>
      </c>
      <c r="AQ184" s="49">
        <f t="shared" si="54"/>
        <v>0</v>
      </c>
      <c r="AR184" s="49" t="str">
        <f t="shared" si="55"/>
        <v/>
      </c>
      <c r="AV184" s="57"/>
      <c r="BF184" s="52"/>
    </row>
    <row r="185" spans="1:58" ht="30" customHeight="1" x14ac:dyDescent="0.35">
      <c r="A185" s="25" t="str">
        <f t="shared" si="57"/>
        <v>PT177 - PLATAFORMA DE ACESSO - FORQUILHA 1 - DETALHADO
PROJETO DETALHADO
ESTRUTURAS METÁLICAS</v>
      </c>
      <c r="B185" s="40" t="s">
        <v>43</v>
      </c>
      <c r="C185" s="60" t="str">
        <f>IF(AND($B185=[1]rogério!$A186,[1]rogério!$B186=C$4),"ok","nok")</f>
        <v>nok</v>
      </c>
      <c r="D185" s="60" t="str">
        <f>IF(AND($B185=[1]rogério!$A186,[1]rogério!$B186=D$4),"ok","nok")</f>
        <v>nok</v>
      </c>
      <c r="E185" s="60" t="str">
        <f>IF(AND($B185=[1]rogério!$A186,[1]rogério!$B186=E$4),"ok","nok")</f>
        <v>nok</v>
      </c>
      <c r="F185" s="60" t="str">
        <f>IF(AND($B185=[1]rogério!$A186,[1]rogério!$B186=F$4),"ok","nok")</f>
        <v>nok</v>
      </c>
      <c r="G185" s="60" t="str">
        <f>IF(AND($B185=[1]rogério!$A186,[1]rogério!$B186=G$4),"ok","nok")</f>
        <v>nok</v>
      </c>
      <c r="H185" s="60" t="str">
        <f>IF(AND($B185=[1]rogério!$A186,[1]rogério!$B186=H$4),"ok","nok")</f>
        <v>nok</v>
      </c>
      <c r="I185" s="60" t="str">
        <f>IF(AND($B185=[1]rogério!$A186,[1]rogério!$B186=I$4),"ok","nok")</f>
        <v>nok</v>
      </c>
      <c r="J185" s="60" t="str">
        <f>IF(AND($B185=[1]rogério!$A186,[1]rogério!$B186=J$4),"ok","nok")</f>
        <v>nok</v>
      </c>
      <c r="K185" s="60" t="str">
        <f>IF(AND($B185=[1]rogério!$A186,[1]rogério!$B186=K$4),"ok","nok")</f>
        <v>nok</v>
      </c>
      <c r="L185" s="60" t="str">
        <f>IF(AND($B185=[1]rogério!$A186,[1]rogério!$B186=L$4),"ok","nok")</f>
        <v>nok</v>
      </c>
      <c r="M185" s="60" t="str">
        <f>IF(AND($B185=[1]rogério!$A186,[1]rogério!$B186=M$4),"ok","nok")</f>
        <v>nok</v>
      </c>
      <c r="N185" s="60" t="str">
        <f>IF(AND($B185=[1]rogério!$A186,[1]rogério!$B186=N$4),"ok","nok")</f>
        <v>ok</v>
      </c>
      <c r="O185" s="60" t="str">
        <f>IF(AND($B185=[1]rogério!$A186,[1]rogério!$B186=O$4),"ok","nok")</f>
        <v>nok</v>
      </c>
      <c r="P185" s="60" t="str">
        <f>IF(AND($B185=[1]rogério!$A186,[1]rogério!$B186=P$4),"ok","nok")</f>
        <v>nok</v>
      </c>
      <c r="Q185" s="60" t="str">
        <f>IF(AND($B185=[1]rogério!$A186,[1]rogério!$B186=Q$4),"ok","nok")</f>
        <v>nok</v>
      </c>
      <c r="R185" s="60" t="str">
        <f>IF(AND($B185=[1]rogério!$A186,[1]rogério!$B186=R$4),"ok","nok")</f>
        <v>nok</v>
      </c>
      <c r="S185" s="60" t="str">
        <f>IF(AND($B185=[1]rogério!$A186,[1]rogério!$B186=S$4),"ok","nok")</f>
        <v>nok</v>
      </c>
      <c r="T185" s="60" t="str">
        <f>IF(AND($B185=[1]rogério!$A186,[1]rogério!$B186=T$4),"ok","nok")</f>
        <v>nok</v>
      </c>
      <c r="U185" s="60" t="str">
        <f>IF(AND($B185=[1]rogério!$A186,[1]rogério!$B186=U$4),"ok","nok")</f>
        <v>nok</v>
      </c>
      <c r="V185" s="60" t="str">
        <f>IF(AND($B185=[1]rogério!$A186,[1]rogério!$B186=V$4),"ok","nok")</f>
        <v>nok</v>
      </c>
      <c r="W185" s="60" t="str">
        <f>IF(AND($B185=[1]rogério!$A186,[1]rogério!$B186=W$4),"ok","nok")</f>
        <v>nok</v>
      </c>
      <c r="X185" s="60" t="str">
        <f>IF(AND($B185=[1]rogério!$A186,[1]rogério!$B186=X$4),"ok","nok")</f>
        <v>nok</v>
      </c>
      <c r="Y185" s="105" t="s">
        <v>31</v>
      </c>
      <c r="Z185" s="106"/>
      <c r="AA185" s="106"/>
      <c r="AB185" s="107"/>
      <c r="AC185" s="40"/>
      <c r="AD185" s="40"/>
      <c r="AE185" s="48" t="str">
        <f t="shared" si="45"/>
        <v>MARCO - Envio do documento Certificado (Rev_0)</v>
      </c>
      <c r="AF185" s="48"/>
      <c r="AG185" s="48"/>
      <c r="AH185" s="89"/>
      <c r="AI185" s="49">
        <f t="shared" si="46"/>
        <v>0</v>
      </c>
      <c r="AJ185" s="49" t="str">
        <f t="shared" si="47"/>
        <v/>
      </c>
      <c r="AK185" s="49">
        <f t="shared" si="48"/>
        <v>0</v>
      </c>
      <c r="AL185" s="49" t="str">
        <f t="shared" si="49"/>
        <v/>
      </c>
      <c r="AM185" s="49">
        <f t="shared" si="50"/>
        <v>1</v>
      </c>
      <c r="AN185" s="49" t="str">
        <f t="shared" si="51"/>
        <v/>
      </c>
      <c r="AO185" s="49">
        <f t="shared" si="52"/>
        <v>0</v>
      </c>
      <c r="AP185" s="49" t="str">
        <f t="shared" si="53"/>
        <v/>
      </c>
      <c r="AQ185" s="49">
        <f t="shared" si="54"/>
        <v>0</v>
      </c>
      <c r="AR185" s="49" t="str">
        <f t="shared" si="55"/>
        <v/>
      </c>
      <c r="AV185" s="57"/>
      <c r="BF185" s="52"/>
    </row>
    <row r="186" spans="1:58" ht="30" customHeight="1" x14ac:dyDescent="0.35">
      <c r="A186" s="25" t="str">
        <f t="shared" si="57"/>
        <v>PT177 - PLATAFORMA DE ACESSO - FORQUILHA 1 - DETALHADO
PROJETO DETALHADO
ESTRUTURAS METÁLICAS</v>
      </c>
      <c r="B186" s="39" t="s">
        <v>67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108"/>
      <c r="Z186" s="109"/>
      <c r="AA186" s="109"/>
      <c r="AB186" s="110"/>
      <c r="AC186" s="40"/>
      <c r="AD186" s="40"/>
      <c r="AE186" s="48" t="str">
        <f t="shared" si="45"/>
        <v/>
      </c>
      <c r="AF186" s="48"/>
      <c r="AG186" s="48"/>
      <c r="AH186" s="89"/>
      <c r="AI186" s="49">
        <f t="shared" si="46"/>
        <v>0</v>
      </c>
      <c r="AJ186" s="49" t="str">
        <f t="shared" si="47"/>
        <v/>
      </c>
      <c r="AK186" s="49">
        <f t="shared" si="48"/>
        <v>0</v>
      </c>
      <c r="AL186" s="49" t="str">
        <f t="shared" si="49"/>
        <v/>
      </c>
      <c r="AM186" s="49">
        <f t="shared" si="50"/>
        <v>0</v>
      </c>
      <c r="AN186" s="49" t="str">
        <f t="shared" si="51"/>
        <v/>
      </c>
      <c r="AO186" s="49">
        <f t="shared" si="52"/>
        <v>0</v>
      </c>
      <c r="AP186" s="49" t="str">
        <f t="shared" si="53"/>
        <v/>
      </c>
      <c r="AQ186" s="49">
        <f t="shared" si="54"/>
        <v>0</v>
      </c>
      <c r="AR186" s="49" t="str">
        <f t="shared" si="55"/>
        <v/>
      </c>
      <c r="AV186" s="57"/>
      <c r="BF186" s="52"/>
    </row>
    <row r="187" spans="1:58" ht="30" customHeight="1" x14ac:dyDescent="0.35">
      <c r="A187" s="25" t="str">
        <f t="shared" si="57"/>
        <v>PT177 - PLATAFORMA DE ACESSO - FORQUILHA 1 - DETALHADO
PROJETO DETALHADO
ESTRUTURAS METÁLICAS</v>
      </c>
      <c r="B187" s="40" t="s">
        <v>19</v>
      </c>
      <c r="C187" s="60" t="str">
        <f>IF(AND($B187=[1]rogério!$A188,[1]rogério!$B188=C$4),"ok","nok")</f>
        <v>nok</v>
      </c>
      <c r="D187" s="60" t="str">
        <f>IF(AND($B187=[1]rogério!$A188,[1]rogério!$B188=D$4),"ok","nok")</f>
        <v>nok</v>
      </c>
      <c r="E187" s="60" t="str">
        <f>IF(AND($B187=[1]rogério!$A188,[1]rogério!$B188=E$4),"ok","nok")</f>
        <v>nok</v>
      </c>
      <c r="F187" s="60" t="str">
        <f>IF(AND($B187=[1]rogério!$A188,[1]rogério!$B188=F$4),"ok","nok")</f>
        <v>nok</v>
      </c>
      <c r="G187" s="60" t="str">
        <f>IF(AND($B187=[1]rogério!$A188,[1]rogério!$B188=G$4),"ok","nok")</f>
        <v>nok</v>
      </c>
      <c r="H187" s="60" t="str">
        <f>IF(AND($B187=[1]rogério!$A188,[1]rogério!$B188=H$4),"ok","nok")</f>
        <v>nok</v>
      </c>
      <c r="I187" s="60" t="str">
        <f>IF(AND($B187=[1]rogério!$A188,[1]rogério!$B188=I$4),"ok","nok")</f>
        <v>nok</v>
      </c>
      <c r="J187" s="60" t="str">
        <f>IF(AND($B187=[1]rogério!$A188,[1]rogério!$B188=J$4),"ok","nok")</f>
        <v>nok</v>
      </c>
      <c r="K187" s="60" t="str">
        <f>IF(AND($B187=[1]rogério!$A188,[1]rogério!$B188=K$4),"ok","nok")</f>
        <v>nok</v>
      </c>
      <c r="L187" s="60" t="str">
        <f>IF(AND($B187=[1]rogério!$A188,[1]rogério!$B188=L$4),"ok","nok")</f>
        <v>ok</v>
      </c>
      <c r="M187" s="60" t="str">
        <f>IF(AND($B187=[1]rogério!$A188,[1]rogério!$B188=M$4),"ok","nok")</f>
        <v>nok</v>
      </c>
      <c r="N187" s="60" t="str">
        <f>IF(AND($B187=[1]rogério!$A188,[1]rogério!$B188=N$4),"ok","nok")</f>
        <v>nok</v>
      </c>
      <c r="O187" s="60" t="str">
        <f>IF(AND($B187=[1]rogério!$A188,[1]rogério!$B188=O$4),"ok","nok")</f>
        <v>nok</v>
      </c>
      <c r="P187" s="60" t="str">
        <f>IF(AND($B187=[1]rogério!$A188,[1]rogério!$B188=P$4),"ok","nok")</f>
        <v>nok</v>
      </c>
      <c r="Q187" s="60" t="str">
        <f>IF(AND($B187=[1]rogério!$A188,[1]rogério!$B188=Q$4),"ok","nok")</f>
        <v>nok</v>
      </c>
      <c r="R187" s="60" t="str">
        <f>IF(AND($B187=[1]rogério!$A188,[1]rogério!$B188=R$4),"ok","nok")</f>
        <v>nok</v>
      </c>
      <c r="S187" s="60" t="str">
        <f>IF(AND($B187=[1]rogério!$A188,[1]rogério!$B188=S$4),"ok","nok")</f>
        <v>nok</v>
      </c>
      <c r="T187" s="60" t="str">
        <f>IF(AND($B187=[1]rogério!$A188,[1]rogério!$B188=T$4),"ok","nok")</f>
        <v>nok</v>
      </c>
      <c r="U187" s="60" t="str">
        <f>IF(AND($B187=[1]rogério!$A188,[1]rogério!$B188=U$4),"ok","nok")</f>
        <v>nok</v>
      </c>
      <c r="V187" s="60" t="str">
        <f>IF(AND($B187=[1]rogério!$A188,[1]rogério!$B188=V$4),"ok","nok")</f>
        <v>nok</v>
      </c>
      <c r="W187" s="60" t="str">
        <f>IF(AND($B187=[1]rogério!$A188,[1]rogério!$B188=W$4),"ok","nok")</f>
        <v>nok</v>
      </c>
      <c r="X187" s="60" t="str">
        <f>IF(AND($B187=[1]rogério!$A188,[1]rogério!$B188=X$4),"ok","nok")</f>
        <v>nok</v>
      </c>
      <c r="Y187" s="105" t="s">
        <v>31</v>
      </c>
      <c r="Z187" s="106"/>
      <c r="AA187" s="106"/>
      <c r="AB187" s="107"/>
      <c r="AC187" s="40"/>
      <c r="AD187" s="40"/>
      <c r="AE187" s="48" t="str">
        <f t="shared" si="45"/>
        <v>Aprovação do Cliente</v>
      </c>
      <c r="AF187" s="48"/>
      <c r="AG187" s="48"/>
      <c r="AH187" s="89"/>
      <c r="AI187" s="49">
        <f t="shared" si="46"/>
        <v>0</v>
      </c>
      <c r="AJ187" s="49" t="str">
        <f t="shared" si="47"/>
        <v/>
      </c>
      <c r="AK187" s="49">
        <f t="shared" si="48"/>
        <v>1</v>
      </c>
      <c r="AL187" s="49" t="str">
        <f t="shared" si="49"/>
        <v/>
      </c>
      <c r="AM187" s="49">
        <f t="shared" si="50"/>
        <v>0</v>
      </c>
      <c r="AN187" s="49" t="str">
        <f t="shared" si="51"/>
        <v/>
      </c>
      <c r="AO187" s="49">
        <f t="shared" si="52"/>
        <v>0</v>
      </c>
      <c r="AP187" s="49" t="str">
        <f t="shared" si="53"/>
        <v/>
      </c>
      <c r="AQ187" s="49">
        <f t="shared" si="54"/>
        <v>0</v>
      </c>
      <c r="AR187" s="49" t="str">
        <f t="shared" si="55"/>
        <v/>
      </c>
      <c r="AV187" s="57"/>
      <c r="BF187" s="52"/>
    </row>
    <row r="188" spans="1:58" ht="30" customHeight="1" x14ac:dyDescent="0.35">
      <c r="A188" s="25" t="str">
        <f t="shared" si="57"/>
        <v>PT177 - PLATAFORMA DE ACESSO - FORQUILHA 1 - DETALHADO
PROJETO DETALHADO
ESTRUTURAS METÁLICAS</v>
      </c>
      <c r="B188" s="40" t="s">
        <v>42</v>
      </c>
      <c r="C188" s="60" t="str">
        <f>IF(AND($B188=[1]rogério!$A189,[1]rogério!$B189=C$4),"ok","nok")</f>
        <v>nok</v>
      </c>
      <c r="D188" s="60" t="str">
        <f>IF(AND($B188=[1]rogério!$A189,[1]rogério!$B189=D$4),"ok","nok")</f>
        <v>nok</v>
      </c>
      <c r="E188" s="60" t="str">
        <f>IF(AND($B188=[1]rogério!$A189,[1]rogério!$B189=E$4),"ok","nok")</f>
        <v>nok</v>
      </c>
      <c r="F188" s="60" t="str">
        <f>IF(AND($B188=[1]rogério!$A189,[1]rogério!$B189=F$4),"ok","nok")</f>
        <v>nok</v>
      </c>
      <c r="G188" s="60" t="str">
        <f>IF(AND($B188=[1]rogério!$A189,[1]rogério!$B189=G$4),"ok","nok")</f>
        <v>nok</v>
      </c>
      <c r="H188" s="60" t="str">
        <f>IF(AND($B188=[1]rogério!$A189,[1]rogério!$B189=H$4),"ok","nok")</f>
        <v>nok</v>
      </c>
      <c r="I188" s="60" t="str">
        <f>IF(AND($B188=[1]rogério!$A189,[1]rogério!$B189=I$4),"ok","nok")</f>
        <v>nok</v>
      </c>
      <c r="J188" s="60" t="str">
        <f>IF(AND($B188=[1]rogério!$A189,[1]rogério!$B189=J$4),"ok","nok")</f>
        <v>nok</v>
      </c>
      <c r="K188" s="60" t="str">
        <f>IF(AND($B188=[1]rogério!$A189,[1]rogério!$B189=K$4),"ok","nok")</f>
        <v>nok</v>
      </c>
      <c r="L188" s="60" t="str">
        <f>IF(AND($B188=[1]rogério!$A189,[1]rogério!$B189=L$4),"ok","nok")</f>
        <v>nok</v>
      </c>
      <c r="M188" s="60" t="str">
        <f>IF(AND($B188=[1]rogério!$A189,[1]rogério!$B189=M$4),"ok","nok")</f>
        <v>nok</v>
      </c>
      <c r="N188" s="60" t="str">
        <f>IF(AND($B188=[1]rogério!$A189,[1]rogério!$B189=N$4),"ok","nok")</f>
        <v>nok</v>
      </c>
      <c r="O188" s="60" t="str">
        <f>IF(AND($B188=[1]rogério!$A189,[1]rogério!$B189=O$4),"ok","nok")</f>
        <v>ok</v>
      </c>
      <c r="P188" s="60" t="str">
        <f>IF(AND($B188=[1]rogério!$A189,[1]rogério!$B189=P$4),"ok","nok")</f>
        <v>nok</v>
      </c>
      <c r="Q188" s="60" t="str">
        <f>IF(AND($B188=[1]rogério!$A189,[1]rogério!$B189=Q$4),"ok","nok")</f>
        <v>nok</v>
      </c>
      <c r="R188" s="60" t="str">
        <f>IF(AND($B188=[1]rogério!$A189,[1]rogério!$B189=R$4),"ok","nok")</f>
        <v>nok</v>
      </c>
      <c r="S188" s="60" t="str">
        <f>IF(AND($B188=[1]rogério!$A189,[1]rogério!$B189=S$4),"ok","nok")</f>
        <v>nok</v>
      </c>
      <c r="T188" s="60" t="str">
        <f>IF(AND($B188=[1]rogério!$A189,[1]rogério!$B189=T$4),"ok","nok")</f>
        <v>nok</v>
      </c>
      <c r="U188" s="60" t="str">
        <f>IF(AND($B188=[1]rogério!$A189,[1]rogério!$B189=U$4),"ok","nok")</f>
        <v>nok</v>
      </c>
      <c r="V188" s="60" t="str">
        <f>IF(AND($B188=[1]rogério!$A189,[1]rogério!$B189=V$4),"ok","nok")</f>
        <v>nok</v>
      </c>
      <c r="W188" s="60" t="str">
        <f>IF(AND($B188=[1]rogério!$A189,[1]rogério!$B189=W$4),"ok","nok")</f>
        <v>nok</v>
      </c>
      <c r="X188" s="60" t="str">
        <f>IF(AND($B188=[1]rogério!$A189,[1]rogério!$B189=X$4),"ok","nok")</f>
        <v>nok</v>
      </c>
      <c r="Y188" s="105" t="s">
        <v>31</v>
      </c>
      <c r="Z188" s="106"/>
      <c r="AA188" s="106"/>
      <c r="AB188" s="107"/>
      <c r="AC188" s="40"/>
      <c r="AD188" s="40"/>
      <c r="AE188" s="48" t="str">
        <f t="shared" si="45"/>
        <v>Certificação do documento - Vibracon</v>
      </c>
      <c r="AF188" s="48"/>
      <c r="AG188" s="48"/>
      <c r="AH188" s="89"/>
      <c r="AI188" s="49">
        <f t="shared" si="46"/>
        <v>0</v>
      </c>
      <c r="AJ188" s="49" t="str">
        <f t="shared" si="47"/>
        <v/>
      </c>
      <c r="AK188" s="49">
        <f t="shared" si="48"/>
        <v>0</v>
      </c>
      <c r="AL188" s="49" t="str">
        <f t="shared" si="49"/>
        <v/>
      </c>
      <c r="AM188" s="49">
        <f t="shared" si="50"/>
        <v>1</v>
      </c>
      <c r="AN188" s="49" t="str">
        <f t="shared" si="51"/>
        <v/>
      </c>
      <c r="AO188" s="49">
        <f t="shared" si="52"/>
        <v>0</v>
      </c>
      <c r="AP188" s="49" t="str">
        <f t="shared" si="53"/>
        <v/>
      </c>
      <c r="AQ188" s="49">
        <f t="shared" si="54"/>
        <v>0</v>
      </c>
      <c r="AR188" s="49" t="str">
        <f t="shared" si="55"/>
        <v/>
      </c>
      <c r="AV188" s="57"/>
      <c r="BF188" s="52"/>
    </row>
    <row r="189" spans="1:58" ht="30" customHeight="1" x14ac:dyDescent="0.35">
      <c r="A189" s="25" t="str">
        <f t="shared" si="57"/>
        <v>PT177 - PLATAFORMA DE ACESSO - FORQUILHA 1 - DETALHADO
PROJETO DETALHADO
ESTRUTURAS METÁLICAS</v>
      </c>
      <c r="B189" s="40" t="s">
        <v>43</v>
      </c>
      <c r="C189" s="60" t="str">
        <f>IF(AND($B189=[1]rogério!$A190,[1]rogério!$B190=C$4),"ok","nok")</f>
        <v>nok</v>
      </c>
      <c r="D189" s="60" t="str">
        <f>IF(AND($B189=[1]rogério!$A190,[1]rogério!$B190=D$4),"ok","nok")</f>
        <v>nok</v>
      </c>
      <c r="E189" s="60" t="str">
        <f>IF(AND($B189=[1]rogério!$A190,[1]rogério!$B190=E$4),"ok","nok")</f>
        <v>nok</v>
      </c>
      <c r="F189" s="60" t="str">
        <f>IF(AND($B189=[1]rogério!$A190,[1]rogério!$B190=F$4),"ok","nok")</f>
        <v>nok</v>
      </c>
      <c r="G189" s="60" t="str">
        <f>IF(AND($B189=[1]rogério!$A190,[1]rogério!$B190=G$4),"ok","nok")</f>
        <v>nok</v>
      </c>
      <c r="H189" s="60" t="str">
        <f>IF(AND($B189=[1]rogério!$A190,[1]rogério!$B190=H$4),"ok","nok")</f>
        <v>nok</v>
      </c>
      <c r="I189" s="60" t="str">
        <f>IF(AND($B189=[1]rogério!$A190,[1]rogério!$B190=I$4),"ok","nok")</f>
        <v>nok</v>
      </c>
      <c r="J189" s="60" t="str">
        <f>IF(AND($B189=[1]rogério!$A190,[1]rogério!$B190=J$4),"ok","nok")</f>
        <v>nok</v>
      </c>
      <c r="K189" s="60" t="str">
        <f>IF(AND($B189=[1]rogério!$A190,[1]rogério!$B190=K$4),"ok","nok")</f>
        <v>nok</v>
      </c>
      <c r="L189" s="60" t="str">
        <f>IF(AND($B189=[1]rogério!$A190,[1]rogério!$B190=L$4),"ok","nok")</f>
        <v>nok</v>
      </c>
      <c r="M189" s="60" t="str">
        <f>IF(AND($B189=[1]rogério!$A190,[1]rogério!$B190=M$4),"ok","nok")</f>
        <v>nok</v>
      </c>
      <c r="N189" s="60" t="str">
        <f>IF(AND($B189=[1]rogério!$A190,[1]rogério!$B190=N$4),"ok","nok")</f>
        <v>nok</v>
      </c>
      <c r="O189" s="60" t="str">
        <f>IF(AND($B189=[1]rogério!$A190,[1]rogério!$B190=O$4),"ok","nok")</f>
        <v>ok</v>
      </c>
      <c r="P189" s="60" t="str">
        <f>IF(AND($B189=[1]rogério!$A190,[1]rogério!$B190=P$4),"ok","nok")</f>
        <v>nok</v>
      </c>
      <c r="Q189" s="60" t="str">
        <f>IF(AND($B189=[1]rogério!$A190,[1]rogério!$B190=Q$4),"ok","nok")</f>
        <v>nok</v>
      </c>
      <c r="R189" s="60" t="str">
        <f>IF(AND($B189=[1]rogério!$A190,[1]rogério!$B190=R$4),"ok","nok")</f>
        <v>nok</v>
      </c>
      <c r="S189" s="60" t="str">
        <f>IF(AND($B189=[1]rogério!$A190,[1]rogério!$B190=S$4),"ok","nok")</f>
        <v>nok</v>
      </c>
      <c r="T189" s="60" t="str">
        <f>IF(AND($B189=[1]rogério!$A190,[1]rogério!$B190=T$4),"ok","nok")</f>
        <v>nok</v>
      </c>
      <c r="U189" s="60" t="str">
        <f>IF(AND($B189=[1]rogério!$A190,[1]rogério!$B190=U$4),"ok","nok")</f>
        <v>nok</v>
      </c>
      <c r="V189" s="60" t="str">
        <f>IF(AND($B189=[1]rogério!$A190,[1]rogério!$B190=V$4),"ok","nok")</f>
        <v>nok</v>
      </c>
      <c r="W189" s="60" t="str">
        <f>IF(AND($B189=[1]rogério!$A190,[1]rogério!$B190=W$4),"ok","nok")</f>
        <v>nok</v>
      </c>
      <c r="X189" s="60" t="str">
        <f>IF(AND($B189=[1]rogério!$A190,[1]rogério!$B190=X$4),"ok","nok")</f>
        <v>nok</v>
      </c>
      <c r="Y189" s="105" t="s">
        <v>31</v>
      </c>
      <c r="Z189" s="106"/>
      <c r="AA189" s="106"/>
      <c r="AB189" s="107"/>
      <c r="AC189" s="40"/>
      <c r="AD189" s="40"/>
      <c r="AE189" s="48" t="str">
        <f t="shared" si="45"/>
        <v>MARCO - Envio do documento Certificado (Rev_0)</v>
      </c>
      <c r="AF189" s="48"/>
      <c r="AG189" s="48"/>
      <c r="AH189" s="89"/>
      <c r="AI189" s="49">
        <f t="shared" si="46"/>
        <v>0</v>
      </c>
      <c r="AJ189" s="49" t="str">
        <f t="shared" si="47"/>
        <v/>
      </c>
      <c r="AK189" s="49">
        <f t="shared" si="48"/>
        <v>0</v>
      </c>
      <c r="AL189" s="49" t="str">
        <f t="shared" si="49"/>
        <v/>
      </c>
      <c r="AM189" s="49">
        <f t="shared" si="50"/>
        <v>1</v>
      </c>
      <c r="AN189" s="49" t="str">
        <f t="shared" si="51"/>
        <v/>
      </c>
      <c r="AO189" s="49">
        <f t="shared" si="52"/>
        <v>0</v>
      </c>
      <c r="AP189" s="49" t="str">
        <f t="shared" si="53"/>
        <v/>
      </c>
      <c r="AQ189" s="49">
        <f t="shared" si="54"/>
        <v>0</v>
      </c>
      <c r="AR189" s="49" t="str">
        <f t="shared" si="55"/>
        <v/>
      </c>
      <c r="AV189" s="57"/>
      <c r="BF189" s="52"/>
    </row>
    <row r="190" spans="1:58" ht="30" customHeight="1" x14ac:dyDescent="0.35">
      <c r="A190" s="25" t="str">
        <f t="shared" si="57"/>
        <v>PT177 - PLATAFORMA DE ACESSO - FORQUILHA 1 - DETALHADO
PROJETO DETALHADO
ESTRUTURAS METÁLICAS</v>
      </c>
      <c r="B190" s="38" t="s">
        <v>92</v>
      </c>
      <c r="C190" s="60" t="str">
        <f>IF(AND($B190=[1]rogério!$A191,[1]rogério!$B191=C$4),"ok","nok")</f>
        <v>nok</v>
      </c>
      <c r="D190" s="60" t="str">
        <f>IF(AND($B190=[1]rogério!$A191,[1]rogério!$B191=D$4),"ok","nok")</f>
        <v>nok</v>
      </c>
      <c r="E190" s="60" t="str">
        <f>IF(AND($B190=[1]rogério!$A191,[1]rogério!$B191=E$4),"ok","nok")</f>
        <v>nok</v>
      </c>
      <c r="F190" s="60" t="str">
        <f>IF(AND($B190=[1]rogério!$A191,[1]rogério!$B191=F$4),"ok","nok")</f>
        <v>nok</v>
      </c>
      <c r="G190" s="60" t="str">
        <f>IF(AND($B190=[1]rogério!$A191,[1]rogério!$B191=G$4),"ok","nok")</f>
        <v>nok</v>
      </c>
      <c r="H190" s="60" t="str">
        <f>IF(AND($B190=[1]rogério!$A191,[1]rogério!$B191=H$4),"ok","nok")</f>
        <v>nok</v>
      </c>
      <c r="I190" s="60" t="str">
        <f>IF(AND($B190=[1]rogério!$A191,[1]rogério!$B191=I$4),"ok","nok")</f>
        <v>nok</v>
      </c>
      <c r="J190" s="60" t="str">
        <f>IF(AND($B190=[1]rogério!$A191,[1]rogério!$B191=J$4),"ok","nok")</f>
        <v>nok</v>
      </c>
      <c r="K190" s="60" t="str">
        <f>IF(AND($B190=[1]rogério!$A191,[1]rogério!$B191=K$4),"ok","nok")</f>
        <v>nok</v>
      </c>
      <c r="L190" s="60" t="str">
        <f>IF(AND($B190=[1]rogério!$A191,[1]rogério!$B191=L$4),"ok","nok")</f>
        <v>nok</v>
      </c>
      <c r="M190" s="60" t="str">
        <f>IF(AND($B190=[1]rogério!$A191,[1]rogério!$B191=M$4),"ok","nok")</f>
        <v>ok</v>
      </c>
      <c r="N190" s="60" t="str">
        <f>IF(AND($B190=[1]rogério!$A191,[1]rogério!$B191=N$4),"ok","nok")</f>
        <v>nok</v>
      </c>
      <c r="O190" s="60" t="str">
        <f>IF(AND($B190=[1]rogério!$A191,[1]rogério!$B191=O$4),"ok","nok")</f>
        <v>nok</v>
      </c>
      <c r="P190" s="60" t="str">
        <f>IF(AND($B190=[1]rogério!$A191,[1]rogério!$B191=P$4),"ok","nok")</f>
        <v>nok</v>
      </c>
      <c r="Q190" s="60" t="str">
        <f>IF(AND($B190=[1]rogério!$A191,[1]rogério!$B191=Q$4),"ok","nok")</f>
        <v>nok</v>
      </c>
      <c r="R190" s="60" t="str">
        <f>IF(AND($B190=[1]rogério!$A191,[1]rogério!$B191=R$4),"ok","nok")</f>
        <v>nok</v>
      </c>
      <c r="S190" s="60" t="str">
        <f>IF(AND($B190=[1]rogério!$A191,[1]rogério!$B191=S$4),"ok","nok")</f>
        <v>nok</v>
      </c>
      <c r="T190" s="60" t="str">
        <f>IF(AND($B190=[1]rogério!$A191,[1]rogério!$B191=T$4),"ok","nok")</f>
        <v>nok</v>
      </c>
      <c r="U190" s="60" t="str">
        <f>IF(AND($B190=[1]rogério!$A191,[1]rogério!$B191=U$4),"ok","nok")</f>
        <v>nok</v>
      </c>
      <c r="V190" s="60" t="str">
        <f>IF(AND($B190=[1]rogério!$A191,[1]rogério!$B191=V$4),"ok","nok")</f>
        <v>nok</v>
      </c>
      <c r="W190" s="60" t="str">
        <f>IF(AND($B190=[1]rogério!$A191,[1]rogério!$B191=W$4),"ok","nok")</f>
        <v>nok</v>
      </c>
      <c r="X190" s="60" t="str">
        <f>IF(AND($B190=[1]rogério!$A191,[1]rogério!$B191=X$4),"ok","nok")</f>
        <v>nok</v>
      </c>
      <c r="Y190" s="105" t="s">
        <v>33</v>
      </c>
      <c r="Z190" s="106"/>
      <c r="AA190" s="106"/>
      <c r="AB190" s="107"/>
      <c r="AC190" s="40"/>
      <c r="AD190" s="40"/>
      <c r="AE190" s="48" t="str">
        <f t="shared" si="45"/>
        <v/>
      </c>
      <c r="AF190" s="48"/>
      <c r="AG190" s="48"/>
      <c r="AH190" s="89"/>
      <c r="AI190" s="49">
        <f t="shared" si="46"/>
        <v>0</v>
      </c>
      <c r="AJ190" s="49" t="str">
        <f t="shared" si="47"/>
        <v/>
      </c>
      <c r="AK190" s="49">
        <f t="shared" si="48"/>
        <v>0</v>
      </c>
      <c r="AL190" s="49" t="str">
        <f t="shared" si="49"/>
        <v/>
      </c>
      <c r="AM190" s="49">
        <f t="shared" si="50"/>
        <v>1</v>
      </c>
      <c r="AN190" s="49" t="str">
        <f t="shared" si="51"/>
        <v>EFPRAZO</v>
      </c>
      <c r="AO190" s="49">
        <f t="shared" si="52"/>
        <v>0</v>
      </c>
      <c r="AP190" s="49" t="str">
        <f t="shared" si="53"/>
        <v/>
      </c>
      <c r="AQ190" s="49">
        <f t="shared" si="54"/>
        <v>0</v>
      </c>
      <c r="AR190" s="49" t="str">
        <f t="shared" si="55"/>
        <v/>
      </c>
      <c r="AV190" s="57"/>
      <c r="BF190" s="52"/>
    </row>
    <row r="191" spans="1:58" ht="30" customHeight="1" x14ac:dyDescent="0.35">
      <c r="A191" s="25" t="str">
        <f t="shared" si="57"/>
        <v>PT177 - PLATAFORMA DE ACESSO - FORQUILHA 1 - DETALHADO
PROJETO DETALHADO
ESTRUTURAS METÁLICAS</v>
      </c>
      <c r="B191" s="38" t="s">
        <v>93</v>
      </c>
      <c r="C191" s="60" t="str">
        <f>IF(AND($B191=[1]rogério!$A192,[1]rogério!$B192=C$4),"ok","nok")</f>
        <v>nok</v>
      </c>
      <c r="D191" s="60" t="str">
        <f>IF(AND($B191=[1]rogério!$A192,[1]rogério!$B192=D$4),"ok","nok")</f>
        <v>nok</v>
      </c>
      <c r="E191" s="60" t="str">
        <f>IF(AND($B191=[1]rogério!$A192,[1]rogério!$B192=E$4),"ok","nok")</f>
        <v>nok</v>
      </c>
      <c r="F191" s="60" t="str">
        <f>IF(AND($B191=[1]rogério!$A192,[1]rogério!$B192=F$4),"ok","nok")</f>
        <v>nok</v>
      </c>
      <c r="G191" s="60" t="str">
        <f>IF(AND($B191=[1]rogério!$A192,[1]rogério!$B192=G$4),"ok","nok")</f>
        <v>nok</v>
      </c>
      <c r="H191" s="60" t="str">
        <f>IF(AND($B191=[1]rogério!$A192,[1]rogério!$B192=H$4),"ok","nok")</f>
        <v>nok</v>
      </c>
      <c r="I191" s="60" t="str">
        <f>IF(AND($B191=[1]rogério!$A192,[1]rogério!$B192=I$4),"ok","nok")</f>
        <v>nok</v>
      </c>
      <c r="J191" s="60" t="str">
        <f>IF(AND($B191=[1]rogério!$A192,[1]rogério!$B192=J$4),"ok","nok")</f>
        <v>nok</v>
      </c>
      <c r="K191" s="60" t="str">
        <f>IF(AND($B191=[1]rogério!$A192,[1]rogério!$B192=K$4),"ok","nok")</f>
        <v>nok</v>
      </c>
      <c r="L191" s="60" t="str">
        <f>IF(AND($B191=[1]rogério!$A192,[1]rogério!$B192=L$4),"ok","nok")</f>
        <v>nok</v>
      </c>
      <c r="M191" s="60" t="str">
        <f>IF(AND($B191=[1]rogério!$A192,[1]rogério!$B192=M$4),"ok","nok")</f>
        <v>nok</v>
      </c>
      <c r="N191" s="60" t="str">
        <f>IF(AND($B191=[1]rogério!$A192,[1]rogério!$B192=N$4),"ok","nok")</f>
        <v>ok</v>
      </c>
      <c r="O191" s="60" t="str">
        <f>IF(AND($B191=[1]rogério!$A192,[1]rogério!$B192=O$4),"ok","nok")</f>
        <v>nok</v>
      </c>
      <c r="P191" s="60" t="str">
        <f>IF(AND($B191=[1]rogério!$A192,[1]rogério!$B192=P$4),"ok","nok")</f>
        <v>nok</v>
      </c>
      <c r="Q191" s="60" t="str">
        <f>IF(AND($B191=[1]rogério!$A192,[1]rogério!$B192=Q$4),"ok","nok")</f>
        <v>nok</v>
      </c>
      <c r="R191" s="60" t="str">
        <f>IF(AND($B191=[1]rogério!$A192,[1]rogério!$B192=R$4),"ok","nok")</f>
        <v>nok</v>
      </c>
      <c r="S191" s="60" t="str">
        <f>IF(AND($B191=[1]rogério!$A192,[1]rogério!$B192=S$4),"ok","nok")</f>
        <v>nok</v>
      </c>
      <c r="T191" s="60" t="str">
        <f>IF(AND($B191=[1]rogério!$A192,[1]rogério!$B192=T$4),"ok","nok")</f>
        <v>nok</v>
      </c>
      <c r="U191" s="60" t="str">
        <f>IF(AND($B191=[1]rogério!$A192,[1]rogério!$B192=U$4),"ok","nok")</f>
        <v>nok</v>
      </c>
      <c r="V191" s="60" t="str">
        <f>IF(AND($B191=[1]rogério!$A192,[1]rogério!$B192=V$4),"ok","nok")</f>
        <v>nok</v>
      </c>
      <c r="W191" s="60" t="str">
        <f>IF(AND($B191=[1]rogério!$A192,[1]rogério!$B192=W$4),"ok","nok")</f>
        <v>nok</v>
      </c>
      <c r="X191" s="60" t="str">
        <f>IF(AND($B191=[1]rogério!$A192,[1]rogério!$B192=X$4),"ok","nok")</f>
        <v>nok</v>
      </c>
      <c r="Y191" s="105" t="s">
        <v>31</v>
      </c>
      <c r="Z191" s="106"/>
      <c r="AA191" s="106"/>
      <c r="AB191" s="107"/>
      <c r="AC191" s="40"/>
      <c r="AD191" s="40"/>
      <c r="AE191" s="48" t="str">
        <f t="shared" si="45"/>
        <v>Verificação da Requisição Técnica</v>
      </c>
      <c r="AF191" s="48"/>
      <c r="AG191" s="48"/>
      <c r="AH191" s="89"/>
      <c r="AI191" s="49">
        <f t="shared" si="46"/>
        <v>0</v>
      </c>
      <c r="AJ191" s="49" t="str">
        <f t="shared" si="47"/>
        <v/>
      </c>
      <c r="AK191" s="49">
        <f t="shared" si="48"/>
        <v>0</v>
      </c>
      <c r="AL191" s="49" t="str">
        <f t="shared" si="49"/>
        <v/>
      </c>
      <c r="AM191" s="49">
        <f t="shared" si="50"/>
        <v>1</v>
      </c>
      <c r="AN191" s="49" t="str">
        <f t="shared" si="51"/>
        <v/>
      </c>
      <c r="AO191" s="49">
        <f t="shared" si="52"/>
        <v>0</v>
      </c>
      <c r="AP191" s="49" t="str">
        <f t="shared" si="53"/>
        <v/>
      </c>
      <c r="AQ191" s="49">
        <f t="shared" si="54"/>
        <v>0</v>
      </c>
      <c r="AR191" s="49" t="str">
        <f t="shared" si="55"/>
        <v/>
      </c>
      <c r="AV191" s="57"/>
      <c r="BF191" s="52"/>
    </row>
    <row r="192" spans="1:58" ht="30" customHeight="1" x14ac:dyDescent="0.35">
      <c r="A192" s="25" t="str">
        <f t="shared" si="57"/>
        <v>PT177 - PLATAFORMA DE ACESSO - FORQUILHA 1 - DETALHADO
PROJETO DETALHADO
ESTRUTURAS METÁLICAS</v>
      </c>
      <c r="B192" s="39" t="s">
        <v>94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108"/>
      <c r="Z192" s="109"/>
      <c r="AA192" s="109"/>
      <c r="AB192" s="110"/>
      <c r="AC192" s="40"/>
      <c r="AD192" s="40"/>
      <c r="AE192" s="48" t="str">
        <f t="shared" si="45"/>
        <v/>
      </c>
      <c r="AF192" s="48"/>
      <c r="AG192" s="48"/>
      <c r="AH192" s="89"/>
      <c r="AI192" s="49">
        <f t="shared" si="46"/>
        <v>0</v>
      </c>
      <c r="AJ192" s="49" t="str">
        <f t="shared" si="47"/>
        <v/>
      </c>
      <c r="AK192" s="49">
        <f t="shared" si="48"/>
        <v>0</v>
      </c>
      <c r="AL192" s="49" t="str">
        <f t="shared" si="49"/>
        <v/>
      </c>
      <c r="AM192" s="49">
        <f t="shared" si="50"/>
        <v>0</v>
      </c>
      <c r="AN192" s="49" t="str">
        <f t="shared" si="51"/>
        <v/>
      </c>
      <c r="AO192" s="49">
        <f t="shared" si="52"/>
        <v>0</v>
      </c>
      <c r="AP192" s="49" t="str">
        <f t="shared" si="53"/>
        <v/>
      </c>
      <c r="AQ192" s="49">
        <f t="shared" si="54"/>
        <v>0</v>
      </c>
      <c r="AR192" s="49" t="str">
        <f t="shared" si="55"/>
        <v/>
      </c>
      <c r="AV192" s="57"/>
      <c r="BF192" s="52"/>
    </row>
    <row r="193" spans="1:58" ht="30" customHeight="1" x14ac:dyDescent="0.35">
      <c r="A193" s="25" t="str">
        <f t="shared" si="57"/>
        <v>PT177 - PLATAFORMA DE ACESSO - FORQUILHA 1 - DETALHADO
PROJETO DETALHADO
ESTRUTURAS METÁLICAS</v>
      </c>
      <c r="B193" s="40" t="s">
        <v>49</v>
      </c>
      <c r="C193" s="60" t="str">
        <f>IF(AND($B193=[1]rogério!$A194,[1]rogério!$B194=C$4),"ok","nok")</f>
        <v>nok</v>
      </c>
      <c r="D193" s="60" t="str">
        <f>IF(AND($B193=[1]rogério!$A194,[1]rogério!$B194=D$4),"ok","nok")</f>
        <v>nok</v>
      </c>
      <c r="E193" s="60" t="str">
        <f>IF(AND($B193=[1]rogério!$A194,[1]rogério!$B194=E$4),"ok","nok")</f>
        <v>nok</v>
      </c>
      <c r="F193" s="60" t="str">
        <f>IF(AND($B193=[1]rogério!$A194,[1]rogério!$B194=F$4),"ok","nok")</f>
        <v>nok</v>
      </c>
      <c r="G193" s="60" t="str">
        <f>IF(AND($B193=[1]rogério!$A194,[1]rogério!$B194=G$4),"ok","nok")</f>
        <v>nok</v>
      </c>
      <c r="H193" s="60" t="str">
        <f>IF(AND($B193=[1]rogério!$A194,[1]rogério!$B194=H$4),"ok","nok")</f>
        <v>nok</v>
      </c>
      <c r="I193" s="60" t="str">
        <f>IF(AND($B193=[1]rogério!$A194,[1]rogério!$B194=I$4),"ok","nok")</f>
        <v>nok</v>
      </c>
      <c r="J193" s="60" t="str">
        <f>IF(AND($B193=[1]rogério!$A194,[1]rogério!$B194=J$4),"ok","nok")</f>
        <v>nok</v>
      </c>
      <c r="K193" s="60" t="str">
        <f>IF(AND($B193=[1]rogério!$A194,[1]rogério!$B194=K$4),"ok","nok")</f>
        <v>nok</v>
      </c>
      <c r="L193" s="60" t="str">
        <f>IF(AND($B193=[1]rogério!$A194,[1]rogério!$B194=L$4),"ok","nok")</f>
        <v>nok</v>
      </c>
      <c r="M193" s="60" t="str">
        <f>IF(AND($B193=[1]rogério!$A194,[1]rogério!$B194=M$4),"ok","nok")</f>
        <v>nok</v>
      </c>
      <c r="N193" s="60" t="str">
        <f>IF(AND($B193=[1]rogério!$A194,[1]rogério!$B194=N$4),"ok","nok")</f>
        <v>ok</v>
      </c>
      <c r="O193" s="60" t="str">
        <f>IF(AND($B193=[1]rogério!$A194,[1]rogério!$B194=O$4),"ok","nok")</f>
        <v>nok</v>
      </c>
      <c r="P193" s="60" t="str">
        <f>IF(AND($B193=[1]rogério!$A194,[1]rogério!$B194=P$4),"ok","nok")</f>
        <v>nok</v>
      </c>
      <c r="Q193" s="60" t="str">
        <f>IF(AND($B193=[1]rogério!$A194,[1]rogério!$B194=Q$4),"ok","nok")</f>
        <v>nok</v>
      </c>
      <c r="R193" s="60" t="str">
        <f>IF(AND($B193=[1]rogério!$A194,[1]rogério!$B194=R$4),"ok","nok")</f>
        <v>nok</v>
      </c>
      <c r="S193" s="60" t="str">
        <f>IF(AND($B193=[1]rogério!$A194,[1]rogério!$B194=S$4),"ok","nok")</f>
        <v>nok</v>
      </c>
      <c r="T193" s="60" t="str">
        <f>IF(AND($B193=[1]rogério!$A194,[1]rogério!$B194=T$4),"ok","nok")</f>
        <v>nok</v>
      </c>
      <c r="U193" s="60" t="str">
        <f>IF(AND($B193=[1]rogério!$A194,[1]rogério!$B194=U$4),"ok","nok")</f>
        <v>nok</v>
      </c>
      <c r="V193" s="60" t="str">
        <f>IF(AND($B193=[1]rogério!$A194,[1]rogério!$B194=V$4),"ok","nok")</f>
        <v>nok</v>
      </c>
      <c r="W193" s="60" t="str">
        <f>IF(AND($B193=[1]rogério!$A194,[1]rogério!$B194=W$4),"ok","nok")</f>
        <v>nok</v>
      </c>
      <c r="X193" s="60" t="str">
        <f>IF(AND($B193=[1]rogério!$A194,[1]rogério!$B194=X$4),"ok","nok")</f>
        <v>nok</v>
      </c>
      <c r="Y193" s="105" t="s">
        <v>31</v>
      </c>
      <c r="Z193" s="106"/>
      <c r="AA193" s="106"/>
      <c r="AB193" s="107"/>
      <c r="AC193" s="40"/>
      <c r="AD193" s="40"/>
      <c r="AE193" s="48" t="str">
        <f t="shared" si="45"/>
        <v>MARCO - Emissão Inicial (Rev_A)</v>
      </c>
      <c r="AF193" s="48"/>
      <c r="AG193" s="48"/>
      <c r="AH193" s="89"/>
      <c r="AI193" s="49">
        <f t="shared" si="46"/>
        <v>0</v>
      </c>
      <c r="AJ193" s="49" t="str">
        <f t="shared" si="47"/>
        <v/>
      </c>
      <c r="AK193" s="49">
        <f t="shared" si="48"/>
        <v>0</v>
      </c>
      <c r="AL193" s="49" t="str">
        <f t="shared" si="49"/>
        <v/>
      </c>
      <c r="AM193" s="49">
        <f t="shared" si="50"/>
        <v>1</v>
      </c>
      <c r="AN193" s="49" t="str">
        <f t="shared" si="51"/>
        <v/>
      </c>
      <c r="AO193" s="49">
        <f t="shared" si="52"/>
        <v>0</v>
      </c>
      <c r="AP193" s="49" t="str">
        <f t="shared" si="53"/>
        <v/>
      </c>
      <c r="AQ193" s="49">
        <f t="shared" si="54"/>
        <v>0</v>
      </c>
      <c r="AR193" s="49" t="str">
        <f t="shared" si="55"/>
        <v/>
      </c>
      <c r="AV193" s="57"/>
      <c r="BF193" s="52"/>
    </row>
    <row r="194" spans="1:58" ht="30" customHeight="1" x14ac:dyDescent="0.35">
      <c r="A194" s="25" t="str">
        <f t="shared" si="57"/>
        <v>PT177 - PLATAFORMA DE ACESSO - FORQUILHA 1 - DETALHADO
PROJETO DETALHADO
ESTRUTURAS METÁLICAS</v>
      </c>
      <c r="B194" s="40" t="s">
        <v>19</v>
      </c>
      <c r="C194" s="60" t="str">
        <f>IF(AND($B194=[1]rogério!$A195,[1]rogério!$B195=C$4),"ok","nok")</f>
        <v>nok</v>
      </c>
      <c r="D194" s="60" t="str">
        <f>IF(AND($B194=[1]rogério!$A195,[1]rogério!$B195=D$4),"ok","nok")</f>
        <v>nok</v>
      </c>
      <c r="E194" s="60" t="str">
        <f>IF(AND($B194=[1]rogério!$A195,[1]rogério!$B195=E$4),"ok","nok")</f>
        <v>nok</v>
      </c>
      <c r="F194" s="60" t="str">
        <f>IF(AND($B194=[1]rogério!$A195,[1]rogério!$B195=F$4),"ok","nok")</f>
        <v>nok</v>
      </c>
      <c r="G194" s="60" t="str">
        <f>IF(AND($B194=[1]rogério!$A195,[1]rogério!$B195=G$4),"ok","nok")</f>
        <v>nok</v>
      </c>
      <c r="H194" s="60" t="str">
        <f>IF(AND($B194=[1]rogério!$A195,[1]rogério!$B195=H$4),"ok","nok")</f>
        <v>nok</v>
      </c>
      <c r="I194" s="60" t="str">
        <f>IF(AND($B194=[1]rogério!$A195,[1]rogério!$B195=I$4),"ok","nok")</f>
        <v>nok</v>
      </c>
      <c r="J194" s="60" t="str">
        <f>IF(AND($B194=[1]rogério!$A195,[1]rogério!$B195=J$4),"ok","nok")</f>
        <v>nok</v>
      </c>
      <c r="K194" s="60" t="str">
        <f>IF(AND($B194=[1]rogério!$A195,[1]rogério!$B195=K$4),"ok","nok")</f>
        <v>nok</v>
      </c>
      <c r="L194" s="60" t="str">
        <f>IF(AND($B194=[1]rogério!$A195,[1]rogério!$B195=L$4),"ok","nok")</f>
        <v>nok</v>
      </c>
      <c r="M194" s="60" t="str">
        <f>IF(AND($B194=[1]rogério!$A195,[1]rogério!$B195=M$4),"ok","nok")</f>
        <v>nok</v>
      </c>
      <c r="N194" s="60" t="str">
        <f>IF(AND($B194=[1]rogério!$A195,[1]rogério!$B195=N$4),"ok","nok")</f>
        <v>nok</v>
      </c>
      <c r="O194" s="60" t="str">
        <f>IF(AND($B194=[1]rogério!$A195,[1]rogério!$B195=O$4),"ok","nok")</f>
        <v>nok</v>
      </c>
      <c r="P194" s="60" t="str">
        <f>IF(AND($B194=[1]rogério!$A195,[1]rogério!$B195=P$4),"ok","nok")</f>
        <v>nok</v>
      </c>
      <c r="Q194" s="60" t="str">
        <f>IF(AND($B194=[1]rogério!$A195,[1]rogério!$B195=Q$4),"ok","nok")</f>
        <v>nok</v>
      </c>
      <c r="R194" s="60" t="str">
        <f>IF(AND($B194=[1]rogério!$A195,[1]rogério!$B195=R$4),"ok","nok")</f>
        <v>nok</v>
      </c>
      <c r="S194" s="60" t="str">
        <f>IF(AND($B194=[1]rogério!$A195,[1]rogério!$B195=S$4),"ok","nok")</f>
        <v>ok</v>
      </c>
      <c r="T194" s="60" t="str">
        <f>IF(AND($B194=[1]rogério!$A195,[1]rogério!$B195=T$4),"ok","nok")</f>
        <v>nok</v>
      </c>
      <c r="U194" s="60" t="str">
        <f>IF(AND($B194=[1]rogério!$A195,[1]rogério!$B195=U$4),"ok","nok")</f>
        <v>nok</v>
      </c>
      <c r="V194" s="60" t="str">
        <f>IF(AND($B194=[1]rogério!$A195,[1]rogério!$B195=V$4),"ok","nok")</f>
        <v>nok</v>
      </c>
      <c r="W194" s="60" t="str">
        <f>IF(AND($B194=[1]rogério!$A195,[1]rogério!$B195=W$4),"ok","nok")</f>
        <v>nok</v>
      </c>
      <c r="X194" s="60" t="str">
        <f>IF(AND($B194=[1]rogério!$A195,[1]rogério!$B195=X$4),"ok","nok")</f>
        <v>nok</v>
      </c>
      <c r="Y194" s="105" t="s">
        <v>15</v>
      </c>
      <c r="Z194" s="106"/>
      <c r="AA194" s="106"/>
      <c r="AB194" s="107"/>
      <c r="AC194" s="40"/>
      <c r="AD194" s="40"/>
      <c r="AE194" s="48" t="str">
        <f t="shared" si="45"/>
        <v/>
      </c>
      <c r="AF194" s="48"/>
      <c r="AG194" s="48"/>
      <c r="AH194" s="89"/>
      <c r="AI194" s="49">
        <f t="shared" si="46"/>
        <v>0</v>
      </c>
      <c r="AJ194" s="49" t="str">
        <f t="shared" si="47"/>
        <v/>
      </c>
      <c r="AK194" s="49">
        <f t="shared" si="48"/>
        <v>0</v>
      </c>
      <c r="AL194" s="49" t="str">
        <f t="shared" si="49"/>
        <v/>
      </c>
      <c r="AM194" s="49">
        <f t="shared" si="50"/>
        <v>0</v>
      </c>
      <c r="AN194" s="49" t="str">
        <f t="shared" si="51"/>
        <v/>
      </c>
      <c r="AO194" s="49">
        <f t="shared" si="52"/>
        <v>1</v>
      </c>
      <c r="AP194" s="49" t="str">
        <f t="shared" si="53"/>
        <v/>
      </c>
      <c r="AQ194" s="49">
        <f t="shared" si="54"/>
        <v>0</v>
      </c>
      <c r="AR194" s="49" t="str">
        <f t="shared" si="55"/>
        <v/>
      </c>
      <c r="AV194" s="57"/>
      <c r="BF194" s="52"/>
    </row>
    <row r="195" spans="1:58" ht="30" customHeight="1" x14ac:dyDescent="0.35">
      <c r="A195" s="25" t="str">
        <f t="shared" si="57"/>
        <v>PT177 - PLATAFORMA DE ACESSO - FORQUILHA 1 - DETALHADO
PROJETO DETALHADO
ESTRUTURAS METÁLICAS</v>
      </c>
      <c r="B195" s="40" t="s">
        <v>42</v>
      </c>
      <c r="C195" s="60" t="str">
        <f>IF(AND($B195=[1]rogério!$A196,[1]rogério!$B196=C$4),"ok","nok")</f>
        <v>nok</v>
      </c>
      <c r="D195" s="60" t="str">
        <f>IF(AND($B195=[1]rogério!$A196,[1]rogério!$B196=D$4),"ok","nok")</f>
        <v>nok</v>
      </c>
      <c r="E195" s="60" t="str">
        <f>IF(AND($B195=[1]rogério!$A196,[1]rogério!$B196=E$4),"ok","nok")</f>
        <v>nok</v>
      </c>
      <c r="F195" s="60" t="str">
        <f>IF(AND($B195=[1]rogério!$A196,[1]rogério!$B196=F$4),"ok","nok")</f>
        <v>nok</v>
      </c>
      <c r="G195" s="60" t="str">
        <f>IF(AND($B195=[1]rogério!$A196,[1]rogério!$B196=G$4),"ok","nok")</f>
        <v>nok</v>
      </c>
      <c r="H195" s="60" t="str">
        <f>IF(AND($B195=[1]rogério!$A196,[1]rogério!$B196=H$4),"ok","nok")</f>
        <v>nok</v>
      </c>
      <c r="I195" s="60" t="str">
        <f>IF(AND($B195=[1]rogério!$A196,[1]rogério!$B196=I$4),"ok","nok")</f>
        <v>nok</v>
      </c>
      <c r="J195" s="60" t="str">
        <f>IF(AND($B195=[1]rogério!$A196,[1]rogério!$B196=J$4),"ok","nok")</f>
        <v>nok</v>
      </c>
      <c r="K195" s="60" t="str">
        <f>IF(AND($B195=[1]rogério!$A196,[1]rogério!$B196=K$4),"ok","nok")</f>
        <v>nok</v>
      </c>
      <c r="L195" s="60" t="str">
        <f>IF(AND($B195=[1]rogério!$A196,[1]rogério!$B196=L$4),"ok","nok")</f>
        <v>nok</v>
      </c>
      <c r="M195" s="60" t="str">
        <f>IF(AND($B195=[1]rogério!$A196,[1]rogério!$B196=M$4),"ok","nok")</f>
        <v>nok</v>
      </c>
      <c r="N195" s="60" t="str">
        <f>IF(AND($B195=[1]rogério!$A196,[1]rogério!$B196=N$4),"ok","nok")</f>
        <v>nok</v>
      </c>
      <c r="O195" s="60" t="str">
        <f>IF(AND($B195=[1]rogério!$A196,[1]rogério!$B196=O$4),"ok","nok")</f>
        <v>nok</v>
      </c>
      <c r="P195" s="60" t="str">
        <f>IF(AND($B195=[1]rogério!$A196,[1]rogério!$B196=P$4),"ok","nok")</f>
        <v>nok</v>
      </c>
      <c r="Q195" s="60" t="str">
        <f>IF(AND($B195=[1]rogério!$A196,[1]rogério!$B196=Q$4),"ok","nok")</f>
        <v>nok</v>
      </c>
      <c r="R195" s="60" t="str">
        <f>IF(AND($B195=[1]rogério!$A196,[1]rogério!$B196=R$4),"ok","nok")</f>
        <v>nok</v>
      </c>
      <c r="S195" s="60" t="str">
        <f>IF(AND($B195=[1]rogério!$A196,[1]rogério!$B196=S$4),"ok","nok")</f>
        <v>nok</v>
      </c>
      <c r="T195" s="60" t="str">
        <f>IF(AND($B195=[1]rogério!$A196,[1]rogério!$B196=T$4),"ok","nok")</f>
        <v>nok</v>
      </c>
      <c r="U195" s="60" t="str">
        <f>IF(AND($B195=[1]rogério!$A196,[1]rogério!$B196=U$4),"ok","nok")</f>
        <v>nok</v>
      </c>
      <c r="V195" s="60" t="str">
        <f>IF(AND($B195=[1]rogério!$A196,[1]rogério!$B196=V$4),"ok","nok")</f>
        <v>ok</v>
      </c>
      <c r="W195" s="60" t="str">
        <f>IF(AND($B195=[1]rogério!$A196,[1]rogério!$B196=W$4),"ok","nok")</f>
        <v>nok</v>
      </c>
      <c r="X195" s="60" t="str">
        <f>IF(AND($B195=[1]rogério!$A196,[1]rogério!$B196=X$4),"ok","nok")</f>
        <v>nok</v>
      </c>
      <c r="Y195" s="105" t="s">
        <v>15</v>
      </c>
      <c r="Z195" s="106"/>
      <c r="AA195" s="106"/>
      <c r="AB195" s="107"/>
      <c r="AC195" s="40"/>
      <c r="AD195" s="40"/>
      <c r="AE195" s="48" t="str">
        <f t="shared" ref="AE195:AE258" si="58">IF(Y195="ATRASADO",B195,"")</f>
        <v/>
      </c>
      <c r="AF195" s="48"/>
      <c r="AG195" s="48"/>
      <c r="AH195" s="89"/>
      <c r="AI195" s="49">
        <f t="shared" ref="AI195:AI258" si="59">COUNTIF(C195:G195,"ok")</f>
        <v>0</v>
      </c>
      <c r="AJ195" s="49" t="str">
        <f t="shared" ref="AJ195:AJ258" si="60">IF(AND(AI195=1,OR($Y195="entregue",$Y195="efprazo")),$Y195,"")</f>
        <v/>
      </c>
      <c r="AK195" s="49">
        <f t="shared" ref="AK195:AK258" si="61">COUNTIF(H195:L195,"ok")</f>
        <v>0</v>
      </c>
      <c r="AL195" s="49" t="str">
        <f t="shared" ref="AL195:AL258" si="62">IF(AND(AK195=1,OR($Y195="entregue",$Y195="efprazo")),$Y195,"")</f>
        <v/>
      </c>
      <c r="AM195" s="49">
        <f t="shared" ref="AM195:AM258" si="63">COUNTIF(M195:Q195,"ok")</f>
        <v>0</v>
      </c>
      <c r="AN195" s="49" t="str">
        <f t="shared" ref="AN195:AN258" si="64">IF(AND(AM195=1,OR($Y195="entregue",$Y195="efprazo")),$Y195,"")</f>
        <v/>
      </c>
      <c r="AO195" s="49">
        <f t="shared" ref="AO195:AO258" si="65">COUNTIF(R195:V195,"ok")</f>
        <v>1</v>
      </c>
      <c r="AP195" s="49" t="str">
        <f t="shared" ref="AP195:AP258" si="66">IF(AND(AO195=1,OR($Y195="entregue",$Y195="efprazo")),$Y195,"")</f>
        <v/>
      </c>
      <c r="AQ195" s="49">
        <f t="shared" ref="AQ195:AQ258" si="67">COUNTIF(W195:X195,"ok")</f>
        <v>0</v>
      </c>
      <c r="AR195" s="49" t="str">
        <f t="shared" ref="AR195:AR258" si="68">IF(AND(AQ195=1,OR($Y195="entregue",$Y195="efprazo")),$Y195,"")</f>
        <v/>
      </c>
      <c r="AV195" s="57"/>
      <c r="BF195" s="52"/>
    </row>
    <row r="196" spans="1:58" ht="30" customHeight="1" x14ac:dyDescent="0.35">
      <c r="A196" s="25" t="str">
        <f t="shared" si="57"/>
        <v>PT177 - PLATAFORMA DE ACESSO - FORQUILHA 1 - DETALHADO
PROJETO DETALHADO
ESTRUTURAS METÁLICAS</v>
      </c>
      <c r="B196" s="40" t="s">
        <v>43</v>
      </c>
      <c r="C196" s="60" t="str">
        <f>IF(AND($B196=[1]rogério!$A197,[1]rogério!$B197=C$4),"ok","nok")</f>
        <v>nok</v>
      </c>
      <c r="D196" s="60" t="str">
        <f>IF(AND($B196=[1]rogério!$A197,[1]rogério!$B197=D$4),"ok","nok")</f>
        <v>nok</v>
      </c>
      <c r="E196" s="60" t="str">
        <f>IF(AND($B196=[1]rogério!$A197,[1]rogério!$B197=E$4),"ok","nok")</f>
        <v>nok</v>
      </c>
      <c r="F196" s="60" t="str">
        <f>IF(AND($B196=[1]rogério!$A197,[1]rogério!$B197=F$4),"ok","nok")</f>
        <v>nok</v>
      </c>
      <c r="G196" s="60" t="str">
        <f>IF(AND($B196=[1]rogério!$A197,[1]rogério!$B197=G$4),"ok","nok")</f>
        <v>nok</v>
      </c>
      <c r="H196" s="60" t="str">
        <f>IF(AND($B196=[1]rogério!$A197,[1]rogério!$B197=H$4),"ok","nok")</f>
        <v>nok</v>
      </c>
      <c r="I196" s="60" t="str">
        <f>IF(AND($B196=[1]rogério!$A197,[1]rogério!$B197=I$4),"ok","nok")</f>
        <v>nok</v>
      </c>
      <c r="J196" s="60" t="str">
        <f>IF(AND($B196=[1]rogério!$A197,[1]rogério!$B197=J$4),"ok","nok")</f>
        <v>nok</v>
      </c>
      <c r="K196" s="60" t="str">
        <f>IF(AND($B196=[1]rogério!$A197,[1]rogério!$B197=K$4),"ok","nok")</f>
        <v>nok</v>
      </c>
      <c r="L196" s="60" t="str">
        <f>IF(AND($B196=[1]rogério!$A197,[1]rogério!$B197=L$4),"ok","nok")</f>
        <v>nok</v>
      </c>
      <c r="M196" s="60" t="str">
        <f>IF(AND($B196=[1]rogério!$A197,[1]rogério!$B197=M$4),"ok","nok")</f>
        <v>nok</v>
      </c>
      <c r="N196" s="60" t="str">
        <f>IF(AND($B196=[1]rogério!$A197,[1]rogério!$B197=N$4),"ok","nok")</f>
        <v>nok</v>
      </c>
      <c r="O196" s="60" t="str">
        <f>IF(AND($B196=[1]rogério!$A197,[1]rogério!$B197=O$4),"ok","nok")</f>
        <v>nok</v>
      </c>
      <c r="P196" s="60" t="str">
        <f>IF(AND($B196=[1]rogério!$A197,[1]rogério!$B197=P$4),"ok","nok")</f>
        <v>nok</v>
      </c>
      <c r="Q196" s="60" t="str">
        <f>IF(AND($B196=[1]rogério!$A197,[1]rogério!$B197=Q$4),"ok","nok")</f>
        <v>nok</v>
      </c>
      <c r="R196" s="60" t="str">
        <f>IF(AND($B196=[1]rogério!$A197,[1]rogério!$B197=R$4),"ok","nok")</f>
        <v>nok</v>
      </c>
      <c r="S196" s="60" t="str">
        <f>IF(AND($B196=[1]rogério!$A197,[1]rogério!$B197=S$4),"ok","nok")</f>
        <v>nok</v>
      </c>
      <c r="T196" s="60" t="str">
        <f>IF(AND($B196=[1]rogério!$A197,[1]rogério!$B197=T$4),"ok","nok")</f>
        <v>nok</v>
      </c>
      <c r="U196" s="60" t="str">
        <f>IF(AND($B196=[1]rogério!$A197,[1]rogério!$B197=U$4),"ok","nok")</f>
        <v>nok</v>
      </c>
      <c r="V196" s="60" t="str">
        <f>IF(AND($B196=[1]rogério!$A197,[1]rogério!$B197=V$4),"ok","nok")</f>
        <v>ok</v>
      </c>
      <c r="W196" s="60" t="str">
        <f>IF(AND($B196=[1]rogério!$A197,[1]rogério!$B197=W$4),"ok","nok")</f>
        <v>nok</v>
      </c>
      <c r="X196" s="60" t="str">
        <f>IF(AND($B196=[1]rogério!$A197,[1]rogério!$B197=X$4),"ok","nok")</f>
        <v>nok</v>
      </c>
      <c r="Y196" s="105" t="s">
        <v>15</v>
      </c>
      <c r="Z196" s="106"/>
      <c r="AA196" s="106"/>
      <c r="AB196" s="107"/>
      <c r="AC196" s="40"/>
      <c r="AD196" s="40"/>
      <c r="AE196" s="48" t="str">
        <f t="shared" si="58"/>
        <v/>
      </c>
      <c r="AF196" s="48"/>
      <c r="AG196" s="48"/>
      <c r="AH196" s="89"/>
      <c r="AI196" s="49">
        <f t="shared" si="59"/>
        <v>0</v>
      </c>
      <c r="AJ196" s="49" t="str">
        <f t="shared" si="60"/>
        <v/>
      </c>
      <c r="AK196" s="49">
        <f t="shared" si="61"/>
        <v>0</v>
      </c>
      <c r="AL196" s="49" t="str">
        <f t="shared" si="62"/>
        <v/>
      </c>
      <c r="AM196" s="49">
        <f t="shared" si="63"/>
        <v>0</v>
      </c>
      <c r="AN196" s="49" t="str">
        <f t="shared" si="64"/>
        <v/>
      </c>
      <c r="AO196" s="49">
        <f t="shared" si="65"/>
        <v>1</v>
      </c>
      <c r="AP196" s="49" t="str">
        <f t="shared" si="66"/>
        <v/>
      </c>
      <c r="AQ196" s="49">
        <f t="shared" si="67"/>
        <v>0</v>
      </c>
      <c r="AR196" s="49" t="str">
        <f t="shared" si="68"/>
        <v/>
      </c>
      <c r="AV196" s="57"/>
      <c r="BF196" s="52"/>
    </row>
    <row r="197" spans="1:58" ht="30" customHeight="1" x14ac:dyDescent="0.35">
      <c r="A197" s="25"/>
      <c r="B197" s="62" t="s">
        <v>64</v>
      </c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114"/>
      <c r="Z197" s="115"/>
      <c r="AA197" s="115"/>
      <c r="AB197" s="116"/>
      <c r="AC197" s="40"/>
      <c r="AD197" s="40"/>
      <c r="AE197" s="48" t="str">
        <f t="shared" si="58"/>
        <v/>
      </c>
      <c r="AF197" s="48"/>
      <c r="AG197" s="48"/>
      <c r="AH197" s="89"/>
      <c r="AI197" s="49">
        <f t="shared" si="59"/>
        <v>0</v>
      </c>
      <c r="AJ197" s="49" t="str">
        <f t="shared" si="60"/>
        <v/>
      </c>
      <c r="AK197" s="49">
        <f t="shared" si="61"/>
        <v>0</v>
      </c>
      <c r="AL197" s="49" t="str">
        <f t="shared" si="62"/>
        <v/>
      </c>
      <c r="AM197" s="49">
        <f t="shared" si="63"/>
        <v>0</v>
      </c>
      <c r="AN197" s="49" t="str">
        <f t="shared" si="64"/>
        <v/>
      </c>
      <c r="AO197" s="49">
        <f t="shared" si="65"/>
        <v>0</v>
      </c>
      <c r="AP197" s="49" t="str">
        <f t="shared" si="66"/>
        <v/>
      </c>
      <c r="AQ197" s="49">
        <f t="shared" si="67"/>
        <v>0</v>
      </c>
      <c r="AR197" s="49" t="str">
        <f t="shared" si="68"/>
        <v/>
      </c>
      <c r="AV197" s="57"/>
      <c r="BF197" s="52"/>
    </row>
    <row r="198" spans="1:58" ht="30" customHeight="1" x14ac:dyDescent="0.35">
      <c r="A198" s="25" t="str">
        <f>CONCATENATE($B$158,"
",$B$161,"
",$B$197)</f>
        <v>PT177 - PLATAFORMA DE ACESSO - FORQUILHA 1 - DETALHADO
PROJETO DETALHADO
CIVIL</v>
      </c>
      <c r="B198" s="38" t="s">
        <v>71</v>
      </c>
      <c r="C198" s="60" t="str">
        <f>IF(AND($B198=[1]rogério!$A199,[1]rogério!$B199=C$4),"ok","nok")</f>
        <v>nok</v>
      </c>
      <c r="D198" s="60" t="str">
        <f>IF(AND($B198=[1]rogério!$A199,[1]rogério!$B199=D$4),"ok","nok")</f>
        <v>nok</v>
      </c>
      <c r="E198" s="60" t="str">
        <f>IF(AND($B198=[1]rogério!$A199,[1]rogério!$B199=E$4),"ok","nok")</f>
        <v>nok</v>
      </c>
      <c r="F198" s="60" t="str">
        <f>IF(AND($B198=[1]rogério!$A199,[1]rogério!$B199=F$4),"ok","nok")</f>
        <v>nok</v>
      </c>
      <c r="G198" s="60" t="str">
        <f>IF(AND($B198=[1]rogério!$A199,[1]rogério!$B199=G$4),"ok","nok")</f>
        <v>nok</v>
      </c>
      <c r="H198" s="60" t="str">
        <f>IF(AND($B198=[1]rogério!$A199,[1]rogério!$B199=H$4),"ok","nok")</f>
        <v>nok</v>
      </c>
      <c r="I198" s="60" t="str">
        <f>IF(AND($B198=[1]rogério!$A199,[1]rogério!$B199=I$4),"ok","nok")</f>
        <v>ok</v>
      </c>
      <c r="J198" s="60" t="str">
        <f>IF(AND($B198=[1]rogério!$A199,[1]rogério!$B199=J$4),"ok","nok")</f>
        <v>nok</v>
      </c>
      <c r="K198" s="60" t="str">
        <f>IF(AND($B198=[1]rogério!$A199,[1]rogério!$B199=K$4),"ok","nok")</f>
        <v>nok</v>
      </c>
      <c r="L198" s="60" t="str">
        <f>IF(AND($B198=[1]rogério!$A199,[1]rogério!$B199=L$4),"ok","nok")</f>
        <v>nok</v>
      </c>
      <c r="M198" s="60" t="str">
        <f>IF(AND($B198=[1]rogério!$A199,[1]rogério!$B199=M$4),"ok","nok")</f>
        <v>nok</v>
      </c>
      <c r="N198" s="60" t="str">
        <f>IF(AND($B198=[1]rogério!$A199,[1]rogério!$B199=N$4),"ok","nok")</f>
        <v>nok</v>
      </c>
      <c r="O198" s="60" t="str">
        <f>IF(AND($B198=[1]rogério!$A199,[1]rogério!$B199=O$4),"ok","nok")</f>
        <v>nok</v>
      </c>
      <c r="P198" s="60" t="str">
        <f>IF(AND($B198=[1]rogério!$A199,[1]rogério!$B199=P$4),"ok","nok")</f>
        <v>nok</v>
      </c>
      <c r="Q198" s="60" t="str">
        <f>IF(AND($B198=[1]rogério!$A199,[1]rogério!$B199=Q$4),"ok","nok")</f>
        <v>nok</v>
      </c>
      <c r="R198" s="60" t="str">
        <f>IF(AND($B198=[1]rogério!$A199,[1]rogério!$B199=R$4),"ok","nok")</f>
        <v>nok</v>
      </c>
      <c r="S198" s="60" t="str">
        <f>IF(AND($B198=[1]rogério!$A199,[1]rogério!$B199=S$4),"ok","nok")</f>
        <v>nok</v>
      </c>
      <c r="T198" s="60" t="str">
        <f>IF(AND($B198=[1]rogério!$A199,[1]rogério!$B199=T$4),"ok","nok")</f>
        <v>nok</v>
      </c>
      <c r="U198" s="60" t="str">
        <f>IF(AND($B198=[1]rogério!$A199,[1]rogério!$B199=U$4),"ok","nok")</f>
        <v>nok</v>
      </c>
      <c r="V198" s="60" t="str">
        <f>IF(AND($B198=[1]rogério!$A199,[1]rogério!$B199=V$4),"ok","nok")</f>
        <v>nok</v>
      </c>
      <c r="W198" s="60" t="str">
        <f>IF(AND($B198=[1]rogério!$A199,[1]rogério!$B199=W$4),"ok","nok")</f>
        <v>nok</v>
      </c>
      <c r="X198" s="60" t="str">
        <f>IF(AND($B198=[1]rogério!$A199,[1]rogério!$B199=X$4),"ok","nok")</f>
        <v>nok</v>
      </c>
      <c r="Y198" s="105" t="s">
        <v>33</v>
      </c>
      <c r="Z198" s="106"/>
      <c r="AA198" s="106"/>
      <c r="AB198" s="107"/>
      <c r="AC198" s="40"/>
      <c r="AD198" s="40"/>
      <c r="AE198" s="48" t="str">
        <f t="shared" si="58"/>
        <v/>
      </c>
      <c r="AF198" s="48"/>
      <c r="AG198" s="48"/>
      <c r="AH198" s="89"/>
      <c r="AI198" s="49">
        <f t="shared" si="59"/>
        <v>0</v>
      </c>
      <c r="AJ198" s="49" t="str">
        <f t="shared" si="60"/>
        <v/>
      </c>
      <c r="AK198" s="49">
        <f t="shared" si="61"/>
        <v>1</v>
      </c>
      <c r="AL198" s="49" t="str">
        <f t="shared" si="62"/>
        <v>EFPRAZO</v>
      </c>
      <c r="AM198" s="49">
        <f t="shared" si="63"/>
        <v>0</v>
      </c>
      <c r="AN198" s="49" t="str">
        <f t="shared" si="64"/>
        <v/>
      </c>
      <c r="AO198" s="49">
        <f t="shared" si="65"/>
        <v>0</v>
      </c>
      <c r="AP198" s="49" t="str">
        <f t="shared" si="66"/>
        <v/>
      </c>
      <c r="AQ198" s="49">
        <f t="shared" si="67"/>
        <v>0</v>
      </c>
      <c r="AR198" s="49" t="str">
        <f t="shared" si="68"/>
        <v/>
      </c>
      <c r="AV198" s="57"/>
      <c r="BF198" s="52"/>
    </row>
    <row r="199" spans="1:58" ht="30" customHeight="1" x14ac:dyDescent="0.35">
      <c r="A199" s="25"/>
      <c r="B199" s="39" t="s">
        <v>41</v>
      </c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108"/>
      <c r="Z199" s="109"/>
      <c r="AA199" s="109"/>
      <c r="AB199" s="110"/>
      <c r="AC199" s="40"/>
      <c r="AD199" s="40"/>
      <c r="AE199" s="48" t="str">
        <f t="shared" si="58"/>
        <v/>
      </c>
      <c r="AF199" s="48"/>
      <c r="AG199" s="48"/>
      <c r="AH199" s="89"/>
      <c r="AI199" s="49">
        <f t="shared" si="59"/>
        <v>0</v>
      </c>
      <c r="AJ199" s="49" t="str">
        <f t="shared" si="60"/>
        <v/>
      </c>
      <c r="AK199" s="49">
        <f t="shared" si="61"/>
        <v>0</v>
      </c>
      <c r="AL199" s="49" t="str">
        <f t="shared" si="62"/>
        <v/>
      </c>
      <c r="AM199" s="49">
        <f t="shared" si="63"/>
        <v>0</v>
      </c>
      <c r="AN199" s="49" t="str">
        <f t="shared" si="64"/>
        <v/>
      </c>
      <c r="AO199" s="49">
        <f t="shared" si="65"/>
        <v>0</v>
      </c>
      <c r="AP199" s="49" t="str">
        <f t="shared" si="66"/>
        <v/>
      </c>
      <c r="AQ199" s="49">
        <f t="shared" si="67"/>
        <v>0</v>
      </c>
      <c r="AR199" s="49" t="str">
        <f t="shared" si="68"/>
        <v/>
      </c>
      <c r="AV199" s="57"/>
      <c r="BF199" s="52"/>
    </row>
    <row r="200" spans="1:58" ht="30" customHeight="1" x14ac:dyDescent="0.35">
      <c r="A200" s="25" t="str">
        <f t="shared" ref="A200:A236" si="69">CONCATENATE($B$158,"
",$B$161,"
",$B$197)</f>
        <v>PT177 - PLATAFORMA DE ACESSO - FORQUILHA 1 - DETALHADO
PROJETO DETALHADO
CIVIL</v>
      </c>
      <c r="B200" s="40" t="s">
        <v>49</v>
      </c>
      <c r="C200" s="60" t="str">
        <f>IF(AND($B200=[1]rogério!$A201,[1]rogério!$B201=C$4),"ok","nok")</f>
        <v>nok</v>
      </c>
      <c r="D200" s="60" t="str">
        <f>IF(AND($B200=[1]rogério!$A201,[1]rogério!$B201=D$4),"ok","nok")</f>
        <v>nok</v>
      </c>
      <c r="E200" s="60" t="str">
        <f>IF(AND($B200=[1]rogério!$A201,[1]rogério!$B201=E$4),"ok","nok")</f>
        <v>nok</v>
      </c>
      <c r="F200" s="60" t="str">
        <f>IF(AND($B200=[1]rogério!$A201,[1]rogério!$B201=F$4),"ok","nok")</f>
        <v>nok</v>
      </c>
      <c r="G200" s="60" t="str">
        <f>IF(AND($B200=[1]rogério!$A201,[1]rogério!$B201=G$4),"ok","nok")</f>
        <v>nok</v>
      </c>
      <c r="H200" s="60" t="str">
        <f>IF(AND($B200=[1]rogério!$A201,[1]rogério!$B201=H$4),"ok","nok")</f>
        <v>nok</v>
      </c>
      <c r="I200" s="60" t="str">
        <f>IF(AND($B200=[1]rogério!$A201,[1]rogério!$B201=I$4),"ok","nok")</f>
        <v>ok</v>
      </c>
      <c r="J200" s="60" t="str">
        <f>IF(AND($B200=[1]rogério!$A201,[1]rogério!$B201=J$4),"ok","nok")</f>
        <v>nok</v>
      </c>
      <c r="K200" s="60" t="str">
        <f>IF(AND($B200=[1]rogério!$A201,[1]rogério!$B201=K$4),"ok","nok")</f>
        <v>nok</v>
      </c>
      <c r="L200" s="60" t="str">
        <f>IF(AND($B200=[1]rogério!$A201,[1]rogério!$B201=L$4),"ok","nok")</f>
        <v>nok</v>
      </c>
      <c r="M200" s="60" t="str">
        <f>IF(AND($B200=[1]rogério!$A201,[1]rogério!$B201=M$4),"ok","nok")</f>
        <v>nok</v>
      </c>
      <c r="N200" s="60" t="str">
        <f>IF(AND($B200=[1]rogério!$A201,[1]rogério!$B201=N$4),"ok","nok")</f>
        <v>nok</v>
      </c>
      <c r="O200" s="60" t="str">
        <f>IF(AND($B200=[1]rogério!$A201,[1]rogério!$B201=O$4),"ok","nok")</f>
        <v>nok</v>
      </c>
      <c r="P200" s="60" t="str">
        <f>IF(AND($B200=[1]rogério!$A201,[1]rogério!$B201=P$4),"ok","nok")</f>
        <v>nok</v>
      </c>
      <c r="Q200" s="60" t="str">
        <f>IF(AND($B200=[1]rogério!$A201,[1]rogério!$B201=Q$4),"ok","nok")</f>
        <v>nok</v>
      </c>
      <c r="R200" s="60" t="str">
        <f>IF(AND($B200=[1]rogério!$A201,[1]rogério!$B201=R$4),"ok","nok")</f>
        <v>nok</v>
      </c>
      <c r="S200" s="60" t="str">
        <f>IF(AND($B200=[1]rogério!$A201,[1]rogério!$B201=S$4),"ok","nok")</f>
        <v>nok</v>
      </c>
      <c r="T200" s="60" t="str">
        <f>IF(AND($B200=[1]rogério!$A201,[1]rogério!$B201=T$4),"ok","nok")</f>
        <v>nok</v>
      </c>
      <c r="U200" s="60" t="str">
        <f>IF(AND($B200=[1]rogério!$A201,[1]rogério!$B201=U$4),"ok","nok")</f>
        <v>nok</v>
      </c>
      <c r="V200" s="60" t="str">
        <f>IF(AND($B200=[1]rogério!$A201,[1]rogério!$B201=V$4),"ok","nok")</f>
        <v>nok</v>
      </c>
      <c r="W200" s="60" t="str">
        <f>IF(AND($B200=[1]rogério!$A201,[1]rogério!$B201=W$4),"ok","nok")</f>
        <v>nok</v>
      </c>
      <c r="X200" s="60" t="str">
        <f>IF(AND($B200=[1]rogério!$A201,[1]rogério!$B201=X$4),"ok","nok")</f>
        <v>nok</v>
      </c>
      <c r="Y200" s="105" t="s">
        <v>33</v>
      </c>
      <c r="Z200" s="106"/>
      <c r="AA200" s="106"/>
      <c r="AB200" s="107"/>
      <c r="AC200" s="40"/>
      <c r="AD200" s="40"/>
      <c r="AE200" s="48" t="str">
        <f t="shared" si="58"/>
        <v/>
      </c>
      <c r="AF200" s="48"/>
      <c r="AG200" s="48"/>
      <c r="AH200" s="89"/>
      <c r="AI200" s="49">
        <f t="shared" si="59"/>
        <v>0</v>
      </c>
      <c r="AJ200" s="49" t="str">
        <f t="shared" si="60"/>
        <v/>
      </c>
      <c r="AK200" s="49">
        <f t="shared" si="61"/>
        <v>1</v>
      </c>
      <c r="AL200" s="49" t="str">
        <f t="shared" si="62"/>
        <v>EFPRAZO</v>
      </c>
      <c r="AM200" s="49">
        <f t="shared" si="63"/>
        <v>0</v>
      </c>
      <c r="AN200" s="49" t="str">
        <f t="shared" si="64"/>
        <v/>
      </c>
      <c r="AO200" s="49">
        <f t="shared" si="65"/>
        <v>0</v>
      </c>
      <c r="AP200" s="49" t="str">
        <f t="shared" si="66"/>
        <v/>
      </c>
      <c r="AQ200" s="49">
        <f t="shared" si="67"/>
        <v>0</v>
      </c>
      <c r="AR200" s="49" t="str">
        <f t="shared" si="68"/>
        <v/>
      </c>
      <c r="AV200" s="57"/>
      <c r="BF200" s="52"/>
    </row>
    <row r="201" spans="1:58" ht="30" customHeight="1" x14ac:dyDescent="0.35">
      <c r="A201" s="25" t="str">
        <f t="shared" si="69"/>
        <v>PT177 - PLATAFORMA DE ACESSO - FORQUILHA 1 - DETALHADO
PROJETO DETALHADO
CIVIL</v>
      </c>
      <c r="B201" s="40" t="s">
        <v>19</v>
      </c>
      <c r="C201" s="60" t="str">
        <f>IF(AND($B201=[1]rogério!$A202,[1]rogério!$B202=C$4),"ok","nok")</f>
        <v>nok</v>
      </c>
      <c r="D201" s="60" t="str">
        <f>IF(AND($B201=[1]rogério!$A202,[1]rogério!$B202=D$4),"ok","nok")</f>
        <v>nok</v>
      </c>
      <c r="E201" s="60" t="str">
        <f>IF(AND($B201=[1]rogério!$A202,[1]rogério!$B202=E$4),"ok","nok")</f>
        <v>nok</v>
      </c>
      <c r="F201" s="60" t="str">
        <f>IF(AND($B201=[1]rogério!$A202,[1]rogério!$B202=F$4),"ok","nok")</f>
        <v>nok</v>
      </c>
      <c r="G201" s="60" t="str">
        <f>IF(AND($B201=[1]rogério!$A202,[1]rogério!$B202=G$4),"ok","nok")</f>
        <v>nok</v>
      </c>
      <c r="H201" s="60" t="str">
        <f>IF(AND($B201=[1]rogério!$A202,[1]rogério!$B202=H$4),"ok","nok")</f>
        <v>nok</v>
      </c>
      <c r="I201" s="60" t="str">
        <f>IF(AND($B201=[1]rogério!$A202,[1]rogério!$B202=I$4),"ok","nok")</f>
        <v>nok</v>
      </c>
      <c r="J201" s="60" t="str">
        <f>IF(AND($B201=[1]rogério!$A202,[1]rogério!$B202=J$4),"ok","nok")</f>
        <v>nok</v>
      </c>
      <c r="K201" s="60" t="str">
        <f>IF(AND($B201=[1]rogério!$A202,[1]rogério!$B202=K$4),"ok","nok")</f>
        <v>nok</v>
      </c>
      <c r="L201" s="60" t="str">
        <f>IF(AND($B201=[1]rogério!$A202,[1]rogério!$B202=L$4),"ok","nok")</f>
        <v>nok</v>
      </c>
      <c r="M201" s="60" t="str">
        <f>IF(AND($B201=[1]rogério!$A202,[1]rogério!$B202=M$4),"ok","nok")</f>
        <v>nok</v>
      </c>
      <c r="N201" s="60" t="str">
        <f>IF(AND($B201=[1]rogério!$A202,[1]rogério!$B202=N$4),"ok","nok")</f>
        <v>ok</v>
      </c>
      <c r="O201" s="60" t="str">
        <f>IF(AND($B201=[1]rogério!$A202,[1]rogério!$B202=O$4),"ok","nok")</f>
        <v>nok</v>
      </c>
      <c r="P201" s="60" t="str">
        <f>IF(AND($B201=[1]rogério!$A202,[1]rogério!$B202=P$4),"ok","nok")</f>
        <v>nok</v>
      </c>
      <c r="Q201" s="60" t="str">
        <f>IF(AND($B201=[1]rogério!$A202,[1]rogério!$B202=Q$4),"ok","nok")</f>
        <v>nok</v>
      </c>
      <c r="R201" s="60" t="str">
        <f>IF(AND($B201=[1]rogério!$A202,[1]rogério!$B202=R$4),"ok","nok")</f>
        <v>nok</v>
      </c>
      <c r="S201" s="60" t="str">
        <f>IF(AND($B201=[1]rogério!$A202,[1]rogério!$B202=S$4),"ok","nok")</f>
        <v>nok</v>
      </c>
      <c r="T201" s="60" t="str">
        <f>IF(AND($B201=[1]rogério!$A202,[1]rogério!$B202=T$4),"ok","nok")</f>
        <v>nok</v>
      </c>
      <c r="U201" s="60" t="str">
        <f>IF(AND($B201=[1]rogério!$A202,[1]rogério!$B202=U$4),"ok","nok")</f>
        <v>nok</v>
      </c>
      <c r="V201" s="60" t="str">
        <f>IF(AND($B201=[1]rogério!$A202,[1]rogério!$B202=V$4),"ok","nok")</f>
        <v>nok</v>
      </c>
      <c r="W201" s="60" t="str">
        <f>IF(AND($B201=[1]rogério!$A202,[1]rogério!$B202=W$4),"ok","nok")</f>
        <v>nok</v>
      </c>
      <c r="X201" s="60" t="str">
        <f>IF(AND($B201=[1]rogério!$A202,[1]rogério!$B202=X$4),"ok","nok")</f>
        <v>nok</v>
      </c>
      <c r="Y201" s="105" t="s">
        <v>33</v>
      </c>
      <c r="Z201" s="106"/>
      <c r="AA201" s="106"/>
      <c r="AB201" s="107"/>
      <c r="AC201" s="40"/>
      <c r="AD201" s="40"/>
      <c r="AE201" s="48" t="str">
        <f t="shared" si="58"/>
        <v/>
      </c>
      <c r="AF201" s="48"/>
      <c r="AG201" s="48"/>
      <c r="AH201" s="89"/>
      <c r="AI201" s="49">
        <f t="shared" si="59"/>
        <v>0</v>
      </c>
      <c r="AJ201" s="49" t="str">
        <f t="shared" si="60"/>
        <v/>
      </c>
      <c r="AK201" s="49">
        <f t="shared" si="61"/>
        <v>0</v>
      </c>
      <c r="AL201" s="49" t="str">
        <f t="shared" si="62"/>
        <v/>
      </c>
      <c r="AM201" s="49">
        <f t="shared" si="63"/>
        <v>1</v>
      </c>
      <c r="AN201" s="49" t="str">
        <f t="shared" si="64"/>
        <v>EFPRAZO</v>
      </c>
      <c r="AO201" s="49">
        <f t="shared" si="65"/>
        <v>0</v>
      </c>
      <c r="AP201" s="49" t="str">
        <f t="shared" si="66"/>
        <v/>
      </c>
      <c r="AQ201" s="49">
        <f t="shared" si="67"/>
        <v>0</v>
      </c>
      <c r="AR201" s="49" t="str">
        <f t="shared" si="68"/>
        <v/>
      </c>
      <c r="AV201" s="57"/>
      <c r="BF201" s="52"/>
    </row>
    <row r="202" spans="1:58" ht="30" customHeight="1" x14ac:dyDescent="0.35">
      <c r="A202" s="25" t="str">
        <f t="shared" si="69"/>
        <v>PT177 - PLATAFORMA DE ACESSO - FORQUILHA 1 - DETALHADO
PROJETO DETALHADO
CIVIL</v>
      </c>
      <c r="B202" s="40" t="s">
        <v>42</v>
      </c>
      <c r="C202" s="60" t="str">
        <f>IF(AND($B202=[1]rogério!$A203,[1]rogério!$B203=C$4),"ok","nok")</f>
        <v>nok</v>
      </c>
      <c r="D202" s="60" t="str">
        <f>IF(AND($B202=[1]rogério!$A203,[1]rogério!$B203=D$4),"ok","nok")</f>
        <v>nok</v>
      </c>
      <c r="E202" s="60" t="str">
        <f>IF(AND($B202=[1]rogério!$A203,[1]rogério!$B203=E$4),"ok","nok")</f>
        <v>nok</v>
      </c>
      <c r="F202" s="60" t="str">
        <f>IF(AND($B202=[1]rogério!$A203,[1]rogério!$B203=F$4),"ok","nok")</f>
        <v>nok</v>
      </c>
      <c r="G202" s="60" t="str">
        <f>IF(AND($B202=[1]rogério!$A203,[1]rogério!$B203=G$4),"ok","nok")</f>
        <v>nok</v>
      </c>
      <c r="H202" s="60" t="str">
        <f>IF(AND($B202=[1]rogério!$A203,[1]rogério!$B203=H$4),"ok","nok")</f>
        <v>nok</v>
      </c>
      <c r="I202" s="60" t="str">
        <f>IF(AND($B202=[1]rogério!$A203,[1]rogério!$B203=I$4),"ok","nok")</f>
        <v>nok</v>
      </c>
      <c r="J202" s="60" t="str">
        <f>IF(AND($B202=[1]rogério!$A203,[1]rogério!$B203=J$4),"ok","nok")</f>
        <v>nok</v>
      </c>
      <c r="K202" s="60" t="str">
        <f>IF(AND($B202=[1]rogério!$A203,[1]rogério!$B203=K$4),"ok","nok")</f>
        <v>nok</v>
      </c>
      <c r="L202" s="60" t="str">
        <f>IF(AND($B202=[1]rogério!$A203,[1]rogério!$B203=L$4),"ok","nok")</f>
        <v>nok</v>
      </c>
      <c r="M202" s="60" t="str">
        <f>IF(AND($B202=[1]rogério!$A203,[1]rogério!$B203=M$4),"ok","nok")</f>
        <v>nok</v>
      </c>
      <c r="N202" s="60" t="str">
        <f>IF(AND($B202=[1]rogério!$A203,[1]rogério!$B203=N$4),"ok","nok")</f>
        <v>nok</v>
      </c>
      <c r="O202" s="60" t="str">
        <f>IF(AND($B202=[1]rogério!$A203,[1]rogério!$B203=O$4),"ok","nok")</f>
        <v>nok</v>
      </c>
      <c r="P202" s="60" t="str">
        <f>IF(AND($B202=[1]rogério!$A203,[1]rogério!$B203=P$4),"ok","nok")</f>
        <v>nok</v>
      </c>
      <c r="Q202" s="60" t="str">
        <f>IF(AND($B202=[1]rogério!$A203,[1]rogério!$B203=Q$4),"ok","nok")</f>
        <v>ok</v>
      </c>
      <c r="R202" s="60" t="str">
        <f>IF(AND($B202=[1]rogério!$A203,[1]rogério!$B203=R$4),"ok","nok")</f>
        <v>nok</v>
      </c>
      <c r="S202" s="60" t="str">
        <f>IF(AND($B202=[1]rogério!$A203,[1]rogério!$B203=S$4),"ok","nok")</f>
        <v>nok</v>
      </c>
      <c r="T202" s="60" t="str">
        <f>IF(AND($B202=[1]rogério!$A203,[1]rogério!$B203=T$4),"ok","nok")</f>
        <v>nok</v>
      </c>
      <c r="U202" s="60" t="str">
        <f>IF(AND($B202=[1]rogério!$A203,[1]rogério!$B203=U$4),"ok","nok")</f>
        <v>nok</v>
      </c>
      <c r="V202" s="60" t="str">
        <f>IF(AND($B202=[1]rogério!$A203,[1]rogério!$B203=V$4),"ok","nok")</f>
        <v>nok</v>
      </c>
      <c r="W202" s="60" t="str">
        <f>IF(AND($B202=[1]rogério!$A203,[1]rogério!$B203=W$4),"ok","nok")</f>
        <v>nok</v>
      </c>
      <c r="X202" s="60" t="str">
        <f>IF(AND($B202=[1]rogério!$A203,[1]rogério!$B203=X$4),"ok","nok")</f>
        <v>nok</v>
      </c>
      <c r="Y202" s="105" t="s">
        <v>31</v>
      </c>
      <c r="Z202" s="106"/>
      <c r="AA202" s="106"/>
      <c r="AB202" s="107"/>
      <c r="AC202" s="40"/>
      <c r="AD202" s="40"/>
      <c r="AE202" s="48" t="str">
        <f t="shared" si="58"/>
        <v>Certificação do documento - Vibracon</v>
      </c>
      <c r="AF202" s="48"/>
      <c r="AG202" s="48"/>
      <c r="AH202" s="89"/>
      <c r="AI202" s="49">
        <f t="shared" si="59"/>
        <v>0</v>
      </c>
      <c r="AJ202" s="49" t="str">
        <f t="shared" si="60"/>
        <v/>
      </c>
      <c r="AK202" s="49">
        <f t="shared" si="61"/>
        <v>0</v>
      </c>
      <c r="AL202" s="49" t="str">
        <f t="shared" si="62"/>
        <v/>
      </c>
      <c r="AM202" s="49">
        <f t="shared" si="63"/>
        <v>1</v>
      </c>
      <c r="AN202" s="49" t="str">
        <f t="shared" si="64"/>
        <v/>
      </c>
      <c r="AO202" s="49">
        <f t="shared" si="65"/>
        <v>0</v>
      </c>
      <c r="AP202" s="49" t="str">
        <f t="shared" si="66"/>
        <v/>
      </c>
      <c r="AQ202" s="49">
        <f t="shared" si="67"/>
        <v>0</v>
      </c>
      <c r="AR202" s="49" t="str">
        <f t="shared" si="68"/>
        <v/>
      </c>
      <c r="AV202" s="57"/>
      <c r="BF202" s="52"/>
    </row>
    <row r="203" spans="1:58" ht="30" customHeight="1" x14ac:dyDescent="0.35">
      <c r="A203" s="25" t="str">
        <f t="shared" si="69"/>
        <v>PT177 - PLATAFORMA DE ACESSO - FORQUILHA 1 - DETALHADO
PROJETO DETALHADO
CIVIL</v>
      </c>
      <c r="B203" s="40" t="s">
        <v>43</v>
      </c>
      <c r="C203" s="60" t="str">
        <f>IF(AND($B203=[1]rogério!$A204,[1]rogério!$B204=C$4),"ok","nok")</f>
        <v>nok</v>
      </c>
      <c r="D203" s="60" t="str">
        <f>IF(AND($B203=[1]rogério!$A204,[1]rogério!$B204=D$4),"ok","nok")</f>
        <v>nok</v>
      </c>
      <c r="E203" s="60" t="str">
        <f>IF(AND($B203=[1]rogério!$A204,[1]rogério!$B204=E$4),"ok","nok")</f>
        <v>nok</v>
      </c>
      <c r="F203" s="60" t="str">
        <f>IF(AND($B203=[1]rogério!$A204,[1]rogério!$B204=F$4),"ok","nok")</f>
        <v>nok</v>
      </c>
      <c r="G203" s="60" t="str">
        <f>IF(AND($B203=[1]rogério!$A204,[1]rogério!$B204=G$4),"ok","nok")</f>
        <v>nok</v>
      </c>
      <c r="H203" s="60" t="str">
        <f>IF(AND($B203=[1]rogério!$A204,[1]rogério!$B204=H$4),"ok","nok")</f>
        <v>nok</v>
      </c>
      <c r="I203" s="60" t="str">
        <f>IF(AND($B203=[1]rogério!$A204,[1]rogério!$B204=I$4),"ok","nok")</f>
        <v>nok</v>
      </c>
      <c r="J203" s="60" t="str">
        <f>IF(AND($B203=[1]rogério!$A204,[1]rogério!$B204=J$4),"ok","nok")</f>
        <v>nok</v>
      </c>
      <c r="K203" s="60" t="str">
        <f>IF(AND($B203=[1]rogério!$A204,[1]rogério!$B204=K$4),"ok","nok")</f>
        <v>nok</v>
      </c>
      <c r="L203" s="60" t="str">
        <f>IF(AND($B203=[1]rogério!$A204,[1]rogério!$B204=L$4),"ok","nok")</f>
        <v>nok</v>
      </c>
      <c r="M203" s="60" t="str">
        <f>IF(AND($B203=[1]rogério!$A204,[1]rogério!$B204=M$4),"ok","nok")</f>
        <v>nok</v>
      </c>
      <c r="N203" s="60" t="str">
        <f>IF(AND($B203=[1]rogério!$A204,[1]rogério!$B204=N$4),"ok","nok")</f>
        <v>nok</v>
      </c>
      <c r="O203" s="60" t="str">
        <f>IF(AND($B203=[1]rogério!$A204,[1]rogério!$B204=O$4),"ok","nok")</f>
        <v>nok</v>
      </c>
      <c r="P203" s="60" t="str">
        <f>IF(AND($B203=[1]rogério!$A204,[1]rogério!$B204=P$4),"ok","nok")</f>
        <v>nok</v>
      </c>
      <c r="Q203" s="60" t="str">
        <f>IF(AND($B203=[1]rogério!$A204,[1]rogério!$B204=Q$4),"ok","nok")</f>
        <v>ok</v>
      </c>
      <c r="R203" s="60" t="str">
        <f>IF(AND($B203=[1]rogério!$A204,[1]rogério!$B204=R$4),"ok","nok")</f>
        <v>nok</v>
      </c>
      <c r="S203" s="60" t="str">
        <f>IF(AND($B203=[1]rogério!$A204,[1]rogério!$B204=S$4),"ok","nok")</f>
        <v>nok</v>
      </c>
      <c r="T203" s="60" t="str">
        <f>IF(AND($B203=[1]rogério!$A204,[1]rogério!$B204=T$4),"ok","nok")</f>
        <v>nok</v>
      </c>
      <c r="U203" s="60" t="str">
        <f>IF(AND($B203=[1]rogério!$A204,[1]rogério!$B204=U$4),"ok","nok")</f>
        <v>nok</v>
      </c>
      <c r="V203" s="60" t="str">
        <f>IF(AND($B203=[1]rogério!$A204,[1]rogério!$B204=V$4),"ok","nok")</f>
        <v>nok</v>
      </c>
      <c r="W203" s="60" t="str">
        <f>IF(AND($B203=[1]rogério!$A204,[1]rogério!$B204=W$4),"ok","nok")</f>
        <v>nok</v>
      </c>
      <c r="X203" s="60" t="str">
        <f>IF(AND($B203=[1]rogério!$A204,[1]rogério!$B204=X$4),"ok","nok")</f>
        <v>nok</v>
      </c>
      <c r="Y203" s="105" t="s">
        <v>31</v>
      </c>
      <c r="Z203" s="106"/>
      <c r="AA203" s="106"/>
      <c r="AB203" s="107"/>
      <c r="AC203" s="40"/>
      <c r="AD203" s="40"/>
      <c r="AE203" s="48" t="str">
        <f t="shared" si="58"/>
        <v>MARCO - Envio do documento Certificado (Rev_0)</v>
      </c>
      <c r="AF203" s="48"/>
      <c r="AG203" s="48"/>
      <c r="AH203" s="89"/>
      <c r="AI203" s="49">
        <f t="shared" si="59"/>
        <v>0</v>
      </c>
      <c r="AJ203" s="49" t="str">
        <f t="shared" si="60"/>
        <v/>
      </c>
      <c r="AK203" s="49">
        <f t="shared" si="61"/>
        <v>0</v>
      </c>
      <c r="AL203" s="49" t="str">
        <f t="shared" si="62"/>
        <v/>
      </c>
      <c r="AM203" s="49">
        <f t="shared" si="63"/>
        <v>1</v>
      </c>
      <c r="AN203" s="49" t="str">
        <f t="shared" si="64"/>
        <v/>
      </c>
      <c r="AO203" s="49">
        <f t="shared" si="65"/>
        <v>0</v>
      </c>
      <c r="AP203" s="49" t="str">
        <f t="shared" si="66"/>
        <v/>
      </c>
      <c r="AQ203" s="49">
        <f t="shared" si="67"/>
        <v>0</v>
      </c>
      <c r="AR203" s="49" t="str">
        <f t="shared" si="68"/>
        <v/>
      </c>
      <c r="AV203" s="57"/>
      <c r="BF203" s="52"/>
    </row>
    <row r="204" spans="1:58" ht="30" customHeight="1" x14ac:dyDescent="0.35">
      <c r="A204" s="25" t="str">
        <f t="shared" si="69"/>
        <v>PT177 - PLATAFORMA DE ACESSO - FORQUILHA 1 - DETALHADO
PROJETO DETALHADO
CIVIL</v>
      </c>
      <c r="B204" s="38" t="s">
        <v>73</v>
      </c>
      <c r="C204" s="60" t="str">
        <f>IF(AND($B204=[1]rogério!$A205,[1]rogério!$B205=C$4),"ok","nok")</f>
        <v>nok</v>
      </c>
      <c r="D204" s="60" t="str">
        <f>IF(AND($B204=[1]rogério!$A205,[1]rogério!$B205=D$4),"ok","nok")</f>
        <v>nok</v>
      </c>
      <c r="E204" s="60" t="str">
        <f>IF(AND($B204=[1]rogério!$A205,[1]rogério!$B205=E$4),"ok","nok")</f>
        <v>nok</v>
      </c>
      <c r="F204" s="60" t="str">
        <f>IF(AND($B204=[1]rogério!$A205,[1]rogério!$B205=F$4),"ok","nok")</f>
        <v>nok</v>
      </c>
      <c r="G204" s="60" t="str">
        <f>IF(AND($B204=[1]rogério!$A205,[1]rogério!$B205=G$4),"ok","nok")</f>
        <v>nok</v>
      </c>
      <c r="H204" s="60" t="str">
        <f>IF(AND($B204=[1]rogério!$A205,[1]rogério!$B205=H$4),"ok","nok")</f>
        <v>nok</v>
      </c>
      <c r="I204" s="60" t="str">
        <f>IF(AND($B204=[1]rogério!$A205,[1]rogério!$B205=I$4),"ok","nok")</f>
        <v>ok</v>
      </c>
      <c r="J204" s="60" t="str">
        <f>IF(AND($B204=[1]rogério!$A205,[1]rogério!$B205=J$4),"ok","nok")</f>
        <v>nok</v>
      </c>
      <c r="K204" s="60" t="str">
        <f>IF(AND($B204=[1]rogério!$A205,[1]rogério!$B205=K$4),"ok","nok")</f>
        <v>nok</v>
      </c>
      <c r="L204" s="60" t="str">
        <f>IF(AND($B204=[1]rogério!$A205,[1]rogério!$B205=L$4),"ok","nok")</f>
        <v>nok</v>
      </c>
      <c r="M204" s="60" t="str">
        <f>IF(AND($B204=[1]rogério!$A205,[1]rogério!$B205=M$4),"ok","nok")</f>
        <v>nok</v>
      </c>
      <c r="N204" s="60" t="str">
        <f>IF(AND($B204=[1]rogério!$A205,[1]rogério!$B205=N$4),"ok","nok")</f>
        <v>nok</v>
      </c>
      <c r="O204" s="60" t="str">
        <f>IF(AND($B204=[1]rogério!$A205,[1]rogério!$B205=O$4),"ok","nok")</f>
        <v>nok</v>
      </c>
      <c r="P204" s="60" t="str">
        <f>IF(AND($B204=[1]rogério!$A205,[1]rogério!$B205=P$4),"ok","nok")</f>
        <v>nok</v>
      </c>
      <c r="Q204" s="60" t="str">
        <f>IF(AND($B204=[1]rogério!$A205,[1]rogério!$B205=Q$4),"ok","nok")</f>
        <v>nok</v>
      </c>
      <c r="R204" s="60" t="str">
        <f>IF(AND($B204=[1]rogério!$A205,[1]rogério!$B205=R$4),"ok","nok")</f>
        <v>nok</v>
      </c>
      <c r="S204" s="60" t="str">
        <f>IF(AND($B204=[1]rogério!$A205,[1]rogério!$B205=S$4),"ok","nok")</f>
        <v>nok</v>
      </c>
      <c r="T204" s="60" t="str">
        <f>IF(AND($B204=[1]rogério!$A205,[1]rogério!$B205=T$4),"ok","nok")</f>
        <v>nok</v>
      </c>
      <c r="U204" s="60" t="str">
        <f>IF(AND($B204=[1]rogério!$A205,[1]rogério!$B205=U$4),"ok","nok")</f>
        <v>nok</v>
      </c>
      <c r="V204" s="60" t="str">
        <f>IF(AND($B204=[1]rogério!$A205,[1]rogério!$B205=V$4),"ok","nok")</f>
        <v>nok</v>
      </c>
      <c r="W204" s="60" t="str">
        <f>IF(AND($B204=[1]rogério!$A205,[1]rogério!$B205=W$4),"ok","nok")</f>
        <v>nok</v>
      </c>
      <c r="X204" s="60" t="str">
        <f>IF(AND($B204=[1]rogério!$A205,[1]rogério!$B205=X$4),"ok","nok")</f>
        <v>nok</v>
      </c>
      <c r="Y204" s="105" t="s">
        <v>33</v>
      </c>
      <c r="Z204" s="106"/>
      <c r="AA204" s="106"/>
      <c r="AB204" s="107"/>
      <c r="AC204" s="40"/>
      <c r="AD204" s="40"/>
      <c r="AE204" s="48" t="str">
        <f t="shared" si="58"/>
        <v/>
      </c>
      <c r="AF204" s="48"/>
      <c r="AG204" s="48"/>
      <c r="AH204" s="89"/>
      <c r="AI204" s="49">
        <f t="shared" si="59"/>
        <v>0</v>
      </c>
      <c r="AJ204" s="49" t="str">
        <f t="shared" si="60"/>
        <v/>
      </c>
      <c r="AK204" s="49">
        <f t="shared" si="61"/>
        <v>1</v>
      </c>
      <c r="AL204" s="49" t="str">
        <f t="shared" si="62"/>
        <v>EFPRAZO</v>
      </c>
      <c r="AM204" s="49">
        <f t="shared" si="63"/>
        <v>0</v>
      </c>
      <c r="AN204" s="49" t="str">
        <f t="shared" si="64"/>
        <v/>
      </c>
      <c r="AO204" s="49">
        <f t="shared" si="65"/>
        <v>0</v>
      </c>
      <c r="AP204" s="49" t="str">
        <f t="shared" si="66"/>
        <v/>
      </c>
      <c r="AQ204" s="49">
        <f t="shared" si="67"/>
        <v>0</v>
      </c>
      <c r="AR204" s="49" t="str">
        <f t="shared" si="68"/>
        <v/>
      </c>
      <c r="AV204" s="57"/>
      <c r="BF204" s="52"/>
    </row>
    <row r="205" spans="1:58" ht="30" customHeight="1" x14ac:dyDescent="0.35">
      <c r="A205" s="25"/>
      <c r="B205" s="39" t="s">
        <v>53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108"/>
      <c r="Z205" s="109"/>
      <c r="AA205" s="109"/>
      <c r="AB205" s="110"/>
      <c r="AC205" s="40"/>
      <c r="AD205" s="40"/>
      <c r="AE205" s="48" t="str">
        <f t="shared" si="58"/>
        <v/>
      </c>
      <c r="AF205" s="48"/>
      <c r="AG205" s="48"/>
      <c r="AH205" s="89"/>
      <c r="AI205" s="49">
        <f t="shared" si="59"/>
        <v>0</v>
      </c>
      <c r="AJ205" s="49" t="str">
        <f t="shared" si="60"/>
        <v/>
      </c>
      <c r="AK205" s="49">
        <f t="shared" si="61"/>
        <v>0</v>
      </c>
      <c r="AL205" s="49" t="str">
        <f t="shared" si="62"/>
        <v/>
      </c>
      <c r="AM205" s="49">
        <f t="shared" si="63"/>
        <v>0</v>
      </c>
      <c r="AN205" s="49" t="str">
        <f t="shared" si="64"/>
        <v/>
      </c>
      <c r="AO205" s="49">
        <f t="shared" si="65"/>
        <v>0</v>
      </c>
      <c r="AP205" s="49" t="str">
        <f t="shared" si="66"/>
        <v/>
      </c>
      <c r="AQ205" s="49">
        <f t="shared" si="67"/>
        <v>0</v>
      </c>
      <c r="AR205" s="49" t="str">
        <f t="shared" si="68"/>
        <v/>
      </c>
      <c r="AV205" s="57"/>
      <c r="BF205" s="52"/>
    </row>
    <row r="206" spans="1:58" ht="30" customHeight="1" x14ac:dyDescent="0.35">
      <c r="A206" s="25" t="str">
        <f t="shared" si="69"/>
        <v>PT177 - PLATAFORMA DE ACESSO - FORQUILHA 1 - DETALHADO
PROJETO DETALHADO
CIVIL</v>
      </c>
      <c r="B206" s="40" t="s">
        <v>49</v>
      </c>
      <c r="C206" s="60" t="str">
        <f>IF(AND($B206=[1]rogério!$A207,[1]rogério!$B207=C$4),"ok","nok")</f>
        <v>nok</v>
      </c>
      <c r="D206" s="60" t="str">
        <f>IF(AND($B206=[1]rogério!$A207,[1]rogério!$B207=D$4),"ok","nok")</f>
        <v>nok</v>
      </c>
      <c r="E206" s="60" t="str">
        <f>IF(AND($B206=[1]rogério!$A207,[1]rogério!$B207=E$4),"ok","nok")</f>
        <v>nok</v>
      </c>
      <c r="F206" s="60" t="str">
        <f>IF(AND($B206=[1]rogério!$A207,[1]rogério!$B207=F$4),"ok","nok")</f>
        <v>nok</v>
      </c>
      <c r="G206" s="60" t="str">
        <f>IF(AND($B206=[1]rogério!$A207,[1]rogério!$B207=G$4),"ok","nok")</f>
        <v>nok</v>
      </c>
      <c r="H206" s="60" t="str">
        <f>IF(AND($B206=[1]rogério!$A207,[1]rogério!$B207=H$4),"ok","nok")</f>
        <v>nok</v>
      </c>
      <c r="I206" s="60" t="str">
        <f>IF(AND($B206=[1]rogério!$A207,[1]rogério!$B207=I$4),"ok","nok")</f>
        <v>ok</v>
      </c>
      <c r="J206" s="60" t="str">
        <f>IF(AND($B206=[1]rogério!$A207,[1]rogério!$B207=J$4),"ok","nok")</f>
        <v>nok</v>
      </c>
      <c r="K206" s="60" t="str">
        <f>IF(AND($B206=[1]rogério!$A207,[1]rogério!$B207=K$4),"ok","nok")</f>
        <v>nok</v>
      </c>
      <c r="L206" s="60" t="str">
        <f>IF(AND($B206=[1]rogério!$A207,[1]rogério!$B207=L$4),"ok","nok")</f>
        <v>nok</v>
      </c>
      <c r="M206" s="60" t="str">
        <f>IF(AND($B206=[1]rogério!$A207,[1]rogério!$B207=M$4),"ok","nok")</f>
        <v>nok</v>
      </c>
      <c r="N206" s="60" t="str">
        <f>IF(AND($B206=[1]rogério!$A207,[1]rogério!$B207=N$4),"ok","nok")</f>
        <v>nok</v>
      </c>
      <c r="O206" s="60" t="str">
        <f>IF(AND($B206=[1]rogério!$A207,[1]rogério!$B207=O$4),"ok","nok")</f>
        <v>nok</v>
      </c>
      <c r="P206" s="60" t="str">
        <f>IF(AND($B206=[1]rogério!$A207,[1]rogério!$B207=P$4),"ok","nok")</f>
        <v>nok</v>
      </c>
      <c r="Q206" s="60" t="str">
        <f>IF(AND($B206=[1]rogério!$A207,[1]rogério!$B207=Q$4),"ok","nok")</f>
        <v>nok</v>
      </c>
      <c r="R206" s="60" t="str">
        <f>IF(AND($B206=[1]rogério!$A207,[1]rogério!$B207=R$4),"ok","nok")</f>
        <v>nok</v>
      </c>
      <c r="S206" s="60" t="str">
        <f>IF(AND($B206=[1]rogério!$A207,[1]rogério!$B207=S$4),"ok","nok")</f>
        <v>nok</v>
      </c>
      <c r="T206" s="60" t="str">
        <f>IF(AND($B206=[1]rogério!$A207,[1]rogério!$B207=T$4),"ok","nok")</f>
        <v>nok</v>
      </c>
      <c r="U206" s="60" t="str">
        <f>IF(AND($B206=[1]rogério!$A207,[1]rogério!$B207=U$4),"ok","nok")</f>
        <v>nok</v>
      </c>
      <c r="V206" s="60" t="str">
        <f>IF(AND($B206=[1]rogério!$A207,[1]rogério!$B207=V$4),"ok","nok")</f>
        <v>nok</v>
      </c>
      <c r="W206" s="60" t="str">
        <f>IF(AND($B206=[1]rogério!$A207,[1]rogério!$B207=W$4),"ok","nok")</f>
        <v>nok</v>
      </c>
      <c r="X206" s="60" t="str">
        <f>IF(AND($B206=[1]rogério!$A207,[1]rogério!$B207=X$4),"ok","nok")</f>
        <v>nok</v>
      </c>
      <c r="Y206" s="105" t="s">
        <v>33</v>
      </c>
      <c r="Z206" s="106"/>
      <c r="AA206" s="106"/>
      <c r="AB206" s="107"/>
      <c r="AC206" s="40"/>
      <c r="AD206" s="40"/>
      <c r="AE206" s="48" t="str">
        <f t="shared" si="58"/>
        <v/>
      </c>
      <c r="AF206" s="48"/>
      <c r="AG206" s="48"/>
      <c r="AH206" s="89"/>
      <c r="AI206" s="49">
        <f t="shared" si="59"/>
        <v>0</v>
      </c>
      <c r="AJ206" s="49" t="str">
        <f t="shared" si="60"/>
        <v/>
      </c>
      <c r="AK206" s="49">
        <f t="shared" si="61"/>
        <v>1</v>
      </c>
      <c r="AL206" s="49" t="str">
        <f t="shared" si="62"/>
        <v>EFPRAZO</v>
      </c>
      <c r="AM206" s="49">
        <f t="shared" si="63"/>
        <v>0</v>
      </c>
      <c r="AN206" s="49" t="str">
        <f t="shared" si="64"/>
        <v/>
      </c>
      <c r="AO206" s="49">
        <f t="shared" si="65"/>
        <v>0</v>
      </c>
      <c r="AP206" s="49" t="str">
        <f t="shared" si="66"/>
        <v/>
      </c>
      <c r="AQ206" s="49">
        <f t="shared" si="67"/>
        <v>0</v>
      </c>
      <c r="AR206" s="49" t="str">
        <f t="shared" si="68"/>
        <v/>
      </c>
      <c r="AV206" s="57"/>
      <c r="BF206" s="52"/>
    </row>
    <row r="207" spans="1:58" ht="30" customHeight="1" x14ac:dyDescent="0.35">
      <c r="A207" s="25" t="str">
        <f t="shared" si="69"/>
        <v>PT177 - PLATAFORMA DE ACESSO - FORQUILHA 1 - DETALHADO
PROJETO DETALHADO
CIVIL</v>
      </c>
      <c r="B207" s="40" t="s">
        <v>19</v>
      </c>
      <c r="C207" s="60" t="str">
        <f>IF(AND($B207=[1]rogério!$A208,[1]rogério!$B208=C$4),"ok","nok")</f>
        <v>nok</v>
      </c>
      <c r="D207" s="60" t="str">
        <f>IF(AND($B207=[1]rogério!$A208,[1]rogério!$B208=D$4),"ok","nok")</f>
        <v>nok</v>
      </c>
      <c r="E207" s="60" t="str">
        <f>IF(AND($B207=[1]rogério!$A208,[1]rogério!$B208=E$4),"ok","nok")</f>
        <v>nok</v>
      </c>
      <c r="F207" s="60" t="str">
        <f>IF(AND($B207=[1]rogério!$A208,[1]rogério!$B208=F$4),"ok","nok")</f>
        <v>nok</v>
      </c>
      <c r="G207" s="60" t="str">
        <f>IF(AND($B207=[1]rogério!$A208,[1]rogério!$B208=G$4),"ok","nok")</f>
        <v>nok</v>
      </c>
      <c r="H207" s="60" t="str">
        <f>IF(AND($B207=[1]rogério!$A208,[1]rogério!$B208=H$4),"ok","nok")</f>
        <v>nok</v>
      </c>
      <c r="I207" s="60" t="str">
        <f>IF(AND($B207=[1]rogério!$A208,[1]rogério!$B208=I$4),"ok","nok")</f>
        <v>nok</v>
      </c>
      <c r="J207" s="60" t="str">
        <f>IF(AND($B207=[1]rogério!$A208,[1]rogério!$B208=J$4),"ok","nok")</f>
        <v>nok</v>
      </c>
      <c r="K207" s="60" t="str">
        <f>IF(AND($B207=[1]rogério!$A208,[1]rogério!$B208=K$4),"ok","nok")</f>
        <v>nok</v>
      </c>
      <c r="L207" s="60" t="str">
        <f>IF(AND($B207=[1]rogério!$A208,[1]rogério!$B208=L$4),"ok","nok")</f>
        <v>nok</v>
      </c>
      <c r="M207" s="60" t="str">
        <f>IF(AND($B207=[1]rogério!$A208,[1]rogério!$B208=M$4),"ok","nok")</f>
        <v>nok</v>
      </c>
      <c r="N207" s="60" t="str">
        <f>IF(AND($B207=[1]rogério!$A208,[1]rogério!$B208=N$4),"ok","nok")</f>
        <v>ok</v>
      </c>
      <c r="O207" s="60" t="str">
        <f>IF(AND($B207=[1]rogério!$A208,[1]rogério!$B208=O$4),"ok","nok")</f>
        <v>nok</v>
      </c>
      <c r="P207" s="60" t="str">
        <f>IF(AND($B207=[1]rogério!$A208,[1]rogério!$B208=P$4),"ok","nok")</f>
        <v>nok</v>
      </c>
      <c r="Q207" s="60" t="str">
        <f>IF(AND($B207=[1]rogério!$A208,[1]rogério!$B208=Q$4),"ok","nok")</f>
        <v>nok</v>
      </c>
      <c r="R207" s="60" t="str">
        <f>IF(AND($B207=[1]rogério!$A208,[1]rogério!$B208=R$4),"ok","nok")</f>
        <v>nok</v>
      </c>
      <c r="S207" s="60" t="str">
        <f>IF(AND($B207=[1]rogério!$A208,[1]rogério!$B208=S$4),"ok","nok")</f>
        <v>nok</v>
      </c>
      <c r="T207" s="60" t="str">
        <f>IF(AND($B207=[1]rogério!$A208,[1]rogério!$B208=T$4),"ok","nok")</f>
        <v>nok</v>
      </c>
      <c r="U207" s="60" t="str">
        <f>IF(AND($B207=[1]rogério!$A208,[1]rogério!$B208=U$4),"ok","nok")</f>
        <v>nok</v>
      </c>
      <c r="V207" s="60" t="str">
        <f>IF(AND($B207=[1]rogério!$A208,[1]rogério!$B208=V$4),"ok","nok")</f>
        <v>nok</v>
      </c>
      <c r="W207" s="60" t="str">
        <f>IF(AND($B207=[1]rogério!$A208,[1]rogério!$B208=W$4),"ok","nok")</f>
        <v>nok</v>
      </c>
      <c r="X207" s="60" t="str">
        <f>IF(AND($B207=[1]rogério!$A208,[1]rogério!$B208=X$4),"ok","nok")</f>
        <v>nok</v>
      </c>
      <c r="Y207" s="105" t="s">
        <v>33</v>
      </c>
      <c r="Z207" s="106"/>
      <c r="AA207" s="106"/>
      <c r="AB207" s="107"/>
      <c r="AC207" s="40"/>
      <c r="AD207" s="40"/>
      <c r="AE207" s="48" t="str">
        <f t="shared" si="58"/>
        <v/>
      </c>
      <c r="AF207" s="48"/>
      <c r="AG207" s="48"/>
      <c r="AH207" s="89"/>
      <c r="AI207" s="49">
        <f t="shared" si="59"/>
        <v>0</v>
      </c>
      <c r="AJ207" s="49" t="str">
        <f t="shared" si="60"/>
        <v/>
      </c>
      <c r="AK207" s="49">
        <f t="shared" si="61"/>
        <v>0</v>
      </c>
      <c r="AL207" s="49" t="str">
        <f t="shared" si="62"/>
        <v/>
      </c>
      <c r="AM207" s="49">
        <f t="shared" si="63"/>
        <v>1</v>
      </c>
      <c r="AN207" s="49" t="str">
        <f t="shared" si="64"/>
        <v>EFPRAZO</v>
      </c>
      <c r="AO207" s="49">
        <f t="shared" si="65"/>
        <v>0</v>
      </c>
      <c r="AP207" s="49" t="str">
        <f t="shared" si="66"/>
        <v/>
      </c>
      <c r="AQ207" s="49">
        <f t="shared" si="67"/>
        <v>0</v>
      </c>
      <c r="AR207" s="49" t="str">
        <f t="shared" si="68"/>
        <v/>
      </c>
      <c r="AV207" s="57"/>
      <c r="BF207" s="52"/>
    </row>
    <row r="208" spans="1:58" ht="30" customHeight="1" x14ac:dyDescent="0.35">
      <c r="A208" s="25" t="str">
        <f t="shared" si="69"/>
        <v>PT177 - PLATAFORMA DE ACESSO - FORQUILHA 1 - DETALHADO
PROJETO DETALHADO
CIVIL</v>
      </c>
      <c r="B208" s="40" t="s">
        <v>42</v>
      </c>
      <c r="C208" s="60" t="str">
        <f>IF(AND($B208=[1]rogério!$A209,[1]rogério!$B209=C$4),"ok","nok")</f>
        <v>nok</v>
      </c>
      <c r="D208" s="60" t="str">
        <f>IF(AND($B208=[1]rogério!$A209,[1]rogério!$B209=D$4),"ok","nok")</f>
        <v>nok</v>
      </c>
      <c r="E208" s="60" t="str">
        <f>IF(AND($B208=[1]rogério!$A209,[1]rogério!$B209=E$4),"ok","nok")</f>
        <v>nok</v>
      </c>
      <c r="F208" s="60" t="str">
        <f>IF(AND($B208=[1]rogério!$A209,[1]rogério!$B209=F$4),"ok","nok")</f>
        <v>nok</v>
      </c>
      <c r="G208" s="60" t="str">
        <f>IF(AND($B208=[1]rogério!$A209,[1]rogério!$B209=G$4),"ok","nok")</f>
        <v>nok</v>
      </c>
      <c r="H208" s="60" t="str">
        <f>IF(AND($B208=[1]rogério!$A209,[1]rogério!$B209=H$4),"ok","nok")</f>
        <v>nok</v>
      </c>
      <c r="I208" s="60" t="str">
        <f>IF(AND($B208=[1]rogério!$A209,[1]rogério!$B209=I$4),"ok","nok")</f>
        <v>nok</v>
      </c>
      <c r="J208" s="60" t="str">
        <f>IF(AND($B208=[1]rogério!$A209,[1]rogério!$B209=J$4),"ok","nok")</f>
        <v>nok</v>
      </c>
      <c r="K208" s="60" t="str">
        <f>IF(AND($B208=[1]rogério!$A209,[1]rogério!$B209=K$4),"ok","nok")</f>
        <v>nok</v>
      </c>
      <c r="L208" s="60" t="str">
        <f>IF(AND($B208=[1]rogério!$A209,[1]rogério!$B209=L$4),"ok","nok")</f>
        <v>nok</v>
      </c>
      <c r="M208" s="60" t="str">
        <f>IF(AND($B208=[1]rogério!$A209,[1]rogério!$B209=M$4),"ok","nok")</f>
        <v>nok</v>
      </c>
      <c r="N208" s="60" t="str">
        <f>IF(AND($B208=[1]rogério!$A209,[1]rogério!$B209=N$4),"ok","nok")</f>
        <v>nok</v>
      </c>
      <c r="O208" s="60" t="str">
        <f>IF(AND($B208=[1]rogério!$A209,[1]rogério!$B209=O$4),"ok","nok")</f>
        <v>nok</v>
      </c>
      <c r="P208" s="60" t="str">
        <f>IF(AND($B208=[1]rogério!$A209,[1]rogério!$B209=P$4),"ok","nok")</f>
        <v>nok</v>
      </c>
      <c r="Q208" s="60" t="str">
        <f>IF(AND($B208=[1]rogério!$A209,[1]rogério!$B209=Q$4),"ok","nok")</f>
        <v>ok</v>
      </c>
      <c r="R208" s="60" t="str">
        <f>IF(AND($B208=[1]rogério!$A209,[1]rogério!$B209=R$4),"ok","nok")</f>
        <v>nok</v>
      </c>
      <c r="S208" s="60" t="str">
        <f>IF(AND($B208=[1]rogério!$A209,[1]rogério!$B209=S$4),"ok","nok")</f>
        <v>nok</v>
      </c>
      <c r="T208" s="60" t="str">
        <f>IF(AND($B208=[1]rogério!$A209,[1]rogério!$B209=T$4),"ok","nok")</f>
        <v>nok</v>
      </c>
      <c r="U208" s="60" t="str">
        <f>IF(AND($B208=[1]rogério!$A209,[1]rogério!$B209=U$4),"ok","nok")</f>
        <v>nok</v>
      </c>
      <c r="V208" s="60" t="str">
        <f>IF(AND($B208=[1]rogério!$A209,[1]rogério!$B209=V$4),"ok","nok")</f>
        <v>nok</v>
      </c>
      <c r="W208" s="60" t="str">
        <f>IF(AND($B208=[1]rogério!$A209,[1]rogério!$B209=W$4),"ok","nok")</f>
        <v>nok</v>
      </c>
      <c r="X208" s="60" t="str">
        <f>IF(AND($B208=[1]rogério!$A209,[1]rogério!$B209=X$4),"ok","nok")</f>
        <v>nok</v>
      </c>
      <c r="Y208" s="105" t="s">
        <v>31</v>
      </c>
      <c r="Z208" s="106"/>
      <c r="AA208" s="106"/>
      <c r="AB208" s="107"/>
      <c r="AC208" s="40"/>
      <c r="AD208" s="40"/>
      <c r="AE208" s="48" t="str">
        <f t="shared" si="58"/>
        <v>Certificação do documento - Vibracon</v>
      </c>
      <c r="AF208" s="48"/>
      <c r="AG208" s="48"/>
      <c r="AH208" s="89"/>
      <c r="AI208" s="49">
        <f t="shared" si="59"/>
        <v>0</v>
      </c>
      <c r="AJ208" s="49" t="str">
        <f t="shared" si="60"/>
        <v/>
      </c>
      <c r="AK208" s="49">
        <f t="shared" si="61"/>
        <v>0</v>
      </c>
      <c r="AL208" s="49" t="str">
        <f t="shared" si="62"/>
        <v/>
      </c>
      <c r="AM208" s="49">
        <f t="shared" si="63"/>
        <v>1</v>
      </c>
      <c r="AN208" s="49" t="str">
        <f t="shared" si="64"/>
        <v/>
      </c>
      <c r="AO208" s="49">
        <f t="shared" si="65"/>
        <v>0</v>
      </c>
      <c r="AP208" s="49" t="str">
        <f t="shared" si="66"/>
        <v/>
      </c>
      <c r="AQ208" s="49">
        <f t="shared" si="67"/>
        <v>0</v>
      </c>
      <c r="AR208" s="49" t="str">
        <f t="shared" si="68"/>
        <v/>
      </c>
      <c r="AV208" s="57"/>
      <c r="BF208" s="52"/>
    </row>
    <row r="209" spans="1:58" ht="30" customHeight="1" x14ac:dyDescent="0.35">
      <c r="A209" s="25" t="str">
        <f t="shared" si="69"/>
        <v>PT177 - PLATAFORMA DE ACESSO - FORQUILHA 1 - DETALHADO
PROJETO DETALHADO
CIVIL</v>
      </c>
      <c r="B209" s="40" t="s">
        <v>43</v>
      </c>
      <c r="C209" s="60" t="str">
        <f>IF(AND($B209=[1]rogério!$A210,[1]rogério!$B210=C$4),"ok","nok")</f>
        <v>nok</v>
      </c>
      <c r="D209" s="60" t="str">
        <f>IF(AND($B209=[1]rogério!$A210,[1]rogério!$B210=D$4),"ok","nok")</f>
        <v>nok</v>
      </c>
      <c r="E209" s="60" t="str">
        <f>IF(AND($B209=[1]rogério!$A210,[1]rogério!$B210=E$4),"ok","nok")</f>
        <v>nok</v>
      </c>
      <c r="F209" s="60" t="str">
        <f>IF(AND($B209=[1]rogério!$A210,[1]rogério!$B210=F$4),"ok","nok")</f>
        <v>nok</v>
      </c>
      <c r="G209" s="60" t="str">
        <f>IF(AND($B209=[1]rogério!$A210,[1]rogério!$B210=G$4),"ok","nok")</f>
        <v>nok</v>
      </c>
      <c r="H209" s="60" t="str">
        <f>IF(AND($B209=[1]rogério!$A210,[1]rogério!$B210=H$4),"ok","nok")</f>
        <v>nok</v>
      </c>
      <c r="I209" s="60" t="str">
        <f>IF(AND($B209=[1]rogério!$A210,[1]rogério!$B210=I$4),"ok","nok")</f>
        <v>nok</v>
      </c>
      <c r="J209" s="60" t="str">
        <f>IF(AND($B209=[1]rogério!$A210,[1]rogério!$B210=J$4),"ok","nok")</f>
        <v>nok</v>
      </c>
      <c r="K209" s="60" t="str">
        <f>IF(AND($B209=[1]rogério!$A210,[1]rogério!$B210=K$4),"ok","nok")</f>
        <v>nok</v>
      </c>
      <c r="L209" s="60" t="str">
        <f>IF(AND($B209=[1]rogério!$A210,[1]rogério!$B210=L$4),"ok","nok")</f>
        <v>nok</v>
      </c>
      <c r="M209" s="60" t="str">
        <f>IF(AND($B209=[1]rogério!$A210,[1]rogério!$B210=M$4),"ok","nok")</f>
        <v>nok</v>
      </c>
      <c r="N209" s="60" t="str">
        <f>IF(AND($B209=[1]rogério!$A210,[1]rogério!$B210=N$4),"ok","nok")</f>
        <v>nok</v>
      </c>
      <c r="O209" s="60" t="str">
        <f>IF(AND($B209=[1]rogério!$A210,[1]rogério!$B210=O$4),"ok","nok")</f>
        <v>nok</v>
      </c>
      <c r="P209" s="60" t="str">
        <f>IF(AND($B209=[1]rogério!$A210,[1]rogério!$B210=P$4),"ok","nok")</f>
        <v>nok</v>
      </c>
      <c r="Q209" s="60" t="str">
        <f>IF(AND($B209=[1]rogério!$A210,[1]rogério!$B210=Q$4),"ok","nok")</f>
        <v>ok</v>
      </c>
      <c r="R209" s="60" t="str">
        <f>IF(AND($B209=[1]rogério!$A210,[1]rogério!$B210=R$4),"ok","nok")</f>
        <v>nok</v>
      </c>
      <c r="S209" s="60" t="str">
        <f>IF(AND($B209=[1]rogério!$A210,[1]rogério!$B210=S$4),"ok","nok")</f>
        <v>nok</v>
      </c>
      <c r="T209" s="60" t="str">
        <f>IF(AND($B209=[1]rogério!$A210,[1]rogério!$B210=T$4),"ok","nok")</f>
        <v>nok</v>
      </c>
      <c r="U209" s="60" t="str">
        <f>IF(AND($B209=[1]rogério!$A210,[1]rogério!$B210=U$4),"ok","nok")</f>
        <v>nok</v>
      </c>
      <c r="V209" s="60" t="str">
        <f>IF(AND($B209=[1]rogério!$A210,[1]rogério!$B210=V$4),"ok","nok")</f>
        <v>nok</v>
      </c>
      <c r="W209" s="60" t="str">
        <f>IF(AND($B209=[1]rogério!$A210,[1]rogério!$B210=W$4),"ok","nok")</f>
        <v>nok</v>
      </c>
      <c r="X209" s="60" t="str">
        <f>IF(AND($B209=[1]rogério!$A210,[1]rogério!$B210=X$4),"ok","nok")</f>
        <v>nok</v>
      </c>
      <c r="Y209" s="105" t="s">
        <v>31</v>
      </c>
      <c r="Z209" s="106"/>
      <c r="AA209" s="106"/>
      <c r="AB209" s="107"/>
      <c r="AC209" s="40"/>
      <c r="AD209" s="40"/>
      <c r="AE209" s="48" t="str">
        <f t="shared" si="58"/>
        <v>MARCO - Envio do documento Certificado (Rev_0)</v>
      </c>
      <c r="AF209" s="48"/>
      <c r="AG209" s="48"/>
      <c r="AH209" s="89"/>
      <c r="AI209" s="49">
        <f t="shared" si="59"/>
        <v>0</v>
      </c>
      <c r="AJ209" s="49" t="str">
        <f t="shared" si="60"/>
        <v/>
      </c>
      <c r="AK209" s="49">
        <f t="shared" si="61"/>
        <v>0</v>
      </c>
      <c r="AL209" s="49" t="str">
        <f t="shared" si="62"/>
        <v/>
      </c>
      <c r="AM209" s="49">
        <f t="shared" si="63"/>
        <v>1</v>
      </c>
      <c r="AN209" s="49" t="str">
        <f t="shared" si="64"/>
        <v/>
      </c>
      <c r="AO209" s="49">
        <f t="shared" si="65"/>
        <v>0</v>
      </c>
      <c r="AP209" s="49" t="str">
        <f t="shared" si="66"/>
        <v/>
      </c>
      <c r="AQ209" s="49">
        <f t="shared" si="67"/>
        <v>0</v>
      </c>
      <c r="AR209" s="49" t="str">
        <f t="shared" si="68"/>
        <v/>
      </c>
      <c r="AV209" s="57"/>
      <c r="BF209" s="52"/>
    </row>
    <row r="210" spans="1:58" ht="30" customHeight="1" x14ac:dyDescent="0.35">
      <c r="A210" s="25" t="str">
        <f t="shared" si="69"/>
        <v>PT177 - PLATAFORMA DE ACESSO - FORQUILHA 1 - DETALHADO
PROJETO DETALHADO
CIVIL</v>
      </c>
      <c r="B210" s="38" t="s">
        <v>74</v>
      </c>
      <c r="C210" s="60" t="str">
        <f>IF(AND($B210=[1]rogério!$A211,[1]rogério!$B211=C$4),"ok","nok")</f>
        <v>nok</v>
      </c>
      <c r="D210" s="60" t="str">
        <f>IF(AND($B210=[1]rogério!$A211,[1]rogério!$B211=D$4),"ok","nok")</f>
        <v>nok</v>
      </c>
      <c r="E210" s="60" t="str">
        <f>IF(AND($B210=[1]rogério!$A211,[1]rogério!$B211=E$4),"ok","nok")</f>
        <v>nok</v>
      </c>
      <c r="F210" s="60" t="str">
        <f>IF(AND($B210=[1]rogério!$A211,[1]rogério!$B211=F$4),"ok","nok")</f>
        <v>nok</v>
      </c>
      <c r="G210" s="60" t="str">
        <f>IF(AND($B210=[1]rogério!$A211,[1]rogério!$B211=G$4),"ok","nok")</f>
        <v>nok</v>
      </c>
      <c r="H210" s="60" t="str">
        <f>IF(AND($B210=[1]rogério!$A211,[1]rogério!$B211=H$4),"ok","nok")</f>
        <v>nok</v>
      </c>
      <c r="I210" s="60" t="str">
        <f>IF(AND($B210=[1]rogério!$A211,[1]rogério!$B211=I$4),"ok","nok")</f>
        <v>nok</v>
      </c>
      <c r="J210" s="60" t="str">
        <f>IF(AND($B210=[1]rogério!$A211,[1]rogério!$B211=J$4),"ok","nok")</f>
        <v>nok</v>
      </c>
      <c r="K210" s="60" t="str">
        <f>IF(AND($B210=[1]rogério!$A211,[1]rogério!$B211=K$4),"ok","nok")</f>
        <v>nok</v>
      </c>
      <c r="L210" s="60" t="str">
        <f>IF(AND($B210=[1]rogério!$A211,[1]rogério!$B211=L$4),"ok","nok")</f>
        <v>ok</v>
      </c>
      <c r="M210" s="60" t="str">
        <f>IF(AND($B210=[1]rogério!$A211,[1]rogério!$B211=M$4),"ok","nok")</f>
        <v>nok</v>
      </c>
      <c r="N210" s="60" t="str">
        <f>IF(AND($B210=[1]rogério!$A211,[1]rogério!$B211=N$4),"ok","nok")</f>
        <v>nok</v>
      </c>
      <c r="O210" s="60" t="str">
        <f>IF(AND($B210=[1]rogério!$A211,[1]rogério!$B211=O$4),"ok","nok")</f>
        <v>nok</v>
      </c>
      <c r="P210" s="60" t="str">
        <f>IF(AND($B210=[1]rogério!$A211,[1]rogério!$B211=P$4),"ok","nok")</f>
        <v>nok</v>
      </c>
      <c r="Q210" s="60" t="str">
        <f>IF(AND($B210=[1]rogério!$A211,[1]rogério!$B211=Q$4),"ok","nok")</f>
        <v>nok</v>
      </c>
      <c r="R210" s="60" t="str">
        <f>IF(AND($B210=[1]rogério!$A211,[1]rogério!$B211=R$4),"ok","nok")</f>
        <v>nok</v>
      </c>
      <c r="S210" s="60" t="str">
        <f>IF(AND($B210=[1]rogério!$A211,[1]rogério!$B211=S$4),"ok","nok")</f>
        <v>nok</v>
      </c>
      <c r="T210" s="60" t="str">
        <f>IF(AND($B210=[1]rogério!$A211,[1]rogério!$B211=T$4),"ok","nok")</f>
        <v>nok</v>
      </c>
      <c r="U210" s="60" t="str">
        <f>IF(AND($B210=[1]rogério!$A211,[1]rogério!$B211=U$4),"ok","nok")</f>
        <v>nok</v>
      </c>
      <c r="V210" s="60" t="str">
        <f>IF(AND($B210=[1]rogério!$A211,[1]rogério!$B211=V$4),"ok","nok")</f>
        <v>nok</v>
      </c>
      <c r="W210" s="60" t="str">
        <f>IF(AND($B210=[1]rogério!$A211,[1]rogério!$B211=W$4),"ok","nok")</f>
        <v>nok</v>
      </c>
      <c r="X210" s="60" t="str">
        <f>IF(AND($B210=[1]rogério!$A211,[1]rogério!$B211=X$4),"ok","nok")</f>
        <v>nok</v>
      </c>
      <c r="Y210" s="105" t="s">
        <v>33</v>
      </c>
      <c r="Z210" s="106"/>
      <c r="AA210" s="106"/>
      <c r="AB210" s="107"/>
      <c r="AC210" s="40"/>
      <c r="AD210" s="40"/>
      <c r="AE210" s="48" t="str">
        <f t="shared" si="58"/>
        <v/>
      </c>
      <c r="AF210" s="48"/>
      <c r="AG210" s="48"/>
      <c r="AH210" s="89"/>
      <c r="AI210" s="49">
        <f t="shared" si="59"/>
        <v>0</v>
      </c>
      <c r="AJ210" s="49" t="str">
        <f t="shared" si="60"/>
        <v/>
      </c>
      <c r="AK210" s="49">
        <f t="shared" si="61"/>
        <v>1</v>
      </c>
      <c r="AL210" s="49" t="str">
        <f t="shared" si="62"/>
        <v>EFPRAZO</v>
      </c>
      <c r="AM210" s="49">
        <f t="shared" si="63"/>
        <v>0</v>
      </c>
      <c r="AN210" s="49" t="str">
        <f t="shared" si="64"/>
        <v/>
      </c>
      <c r="AO210" s="49">
        <f t="shared" si="65"/>
        <v>0</v>
      </c>
      <c r="AP210" s="49" t="str">
        <f t="shared" si="66"/>
        <v/>
      </c>
      <c r="AQ210" s="49">
        <f t="shared" si="67"/>
        <v>0</v>
      </c>
      <c r="AR210" s="49" t="str">
        <f t="shared" si="68"/>
        <v/>
      </c>
      <c r="AV210" s="57"/>
      <c r="BF210" s="52"/>
    </row>
    <row r="211" spans="1:58" ht="30" customHeight="1" x14ac:dyDescent="0.35">
      <c r="A211" s="25" t="str">
        <f t="shared" si="69"/>
        <v>PT177 - PLATAFORMA DE ACESSO - FORQUILHA 1 - DETALHADO
PROJETO DETALHADO
CIVIL</v>
      </c>
      <c r="B211" s="38" t="s">
        <v>75</v>
      </c>
      <c r="C211" s="60" t="str">
        <f>IF(AND($B211=[1]rogério!$A212,[1]rogério!$B212=C$4),"ok","nok")</f>
        <v>nok</v>
      </c>
      <c r="D211" s="60" t="str">
        <f>IF(AND($B211=[1]rogério!$A212,[1]rogério!$B212=D$4),"ok","nok")</f>
        <v>nok</v>
      </c>
      <c r="E211" s="60" t="str">
        <f>IF(AND($B211=[1]rogério!$A212,[1]rogério!$B212=E$4),"ok","nok")</f>
        <v>nok</v>
      </c>
      <c r="F211" s="60" t="str">
        <f>IF(AND($B211=[1]rogério!$A212,[1]rogério!$B212=F$4),"ok","nok")</f>
        <v>nok</v>
      </c>
      <c r="G211" s="60" t="str">
        <f>IF(AND($B211=[1]rogério!$A212,[1]rogério!$B212=G$4),"ok","nok")</f>
        <v>nok</v>
      </c>
      <c r="H211" s="60" t="str">
        <f>IF(AND($B211=[1]rogério!$A212,[1]rogério!$B212=H$4),"ok","nok")</f>
        <v>nok</v>
      </c>
      <c r="I211" s="60" t="str">
        <f>IF(AND($B211=[1]rogério!$A212,[1]rogério!$B212=I$4),"ok","nok")</f>
        <v>nok</v>
      </c>
      <c r="J211" s="60" t="str">
        <f>IF(AND($B211=[1]rogério!$A212,[1]rogério!$B212=J$4),"ok","nok")</f>
        <v>nok</v>
      </c>
      <c r="K211" s="60" t="str">
        <f>IF(AND($B211=[1]rogério!$A212,[1]rogério!$B212=K$4),"ok","nok")</f>
        <v>nok</v>
      </c>
      <c r="L211" s="60" t="str">
        <f>IF(AND($B211=[1]rogério!$A212,[1]rogério!$B212=L$4),"ok","nok")</f>
        <v>nok</v>
      </c>
      <c r="M211" s="60" t="str">
        <f>IF(AND($B211=[1]rogério!$A212,[1]rogério!$B212=M$4),"ok","nok")</f>
        <v>ok</v>
      </c>
      <c r="N211" s="60" t="str">
        <f>IF(AND($B211=[1]rogério!$A212,[1]rogério!$B212=N$4),"ok","nok")</f>
        <v>nok</v>
      </c>
      <c r="O211" s="60" t="str">
        <f>IF(AND($B211=[1]rogério!$A212,[1]rogério!$B212=O$4),"ok","nok")</f>
        <v>nok</v>
      </c>
      <c r="P211" s="60" t="str">
        <f>IF(AND($B211=[1]rogério!$A212,[1]rogério!$B212=P$4),"ok","nok")</f>
        <v>nok</v>
      </c>
      <c r="Q211" s="60" t="str">
        <f>IF(AND($B211=[1]rogério!$A212,[1]rogério!$B212=Q$4),"ok","nok")</f>
        <v>nok</v>
      </c>
      <c r="R211" s="60" t="str">
        <f>IF(AND($B211=[1]rogério!$A212,[1]rogério!$B212=R$4),"ok","nok")</f>
        <v>nok</v>
      </c>
      <c r="S211" s="60" t="str">
        <f>IF(AND($B211=[1]rogério!$A212,[1]rogério!$B212=S$4),"ok","nok")</f>
        <v>nok</v>
      </c>
      <c r="T211" s="60" t="str">
        <f>IF(AND($B211=[1]rogério!$A212,[1]rogério!$B212=T$4),"ok","nok")</f>
        <v>nok</v>
      </c>
      <c r="U211" s="60" t="str">
        <f>IF(AND($B211=[1]rogério!$A212,[1]rogério!$B212=U$4),"ok","nok")</f>
        <v>nok</v>
      </c>
      <c r="V211" s="60" t="str">
        <f>IF(AND($B211=[1]rogério!$A212,[1]rogério!$B212=V$4),"ok","nok")</f>
        <v>nok</v>
      </c>
      <c r="W211" s="60" t="str">
        <f>IF(AND($B211=[1]rogério!$A212,[1]rogério!$B212=W$4),"ok","nok")</f>
        <v>nok</v>
      </c>
      <c r="X211" s="60" t="str">
        <f>IF(AND($B211=[1]rogério!$A212,[1]rogério!$B212=X$4),"ok","nok")</f>
        <v>nok</v>
      </c>
      <c r="Y211" s="105" t="s">
        <v>33</v>
      </c>
      <c r="Z211" s="106"/>
      <c r="AA211" s="106"/>
      <c r="AB211" s="107"/>
      <c r="AC211" s="40"/>
      <c r="AD211" s="40"/>
      <c r="AE211" s="48" t="str">
        <f t="shared" si="58"/>
        <v/>
      </c>
      <c r="AF211" s="48"/>
      <c r="AG211" s="48"/>
      <c r="AH211" s="89"/>
      <c r="AI211" s="49">
        <f t="shared" si="59"/>
        <v>0</v>
      </c>
      <c r="AJ211" s="49" t="str">
        <f t="shared" si="60"/>
        <v/>
      </c>
      <c r="AK211" s="49">
        <f t="shared" si="61"/>
        <v>0</v>
      </c>
      <c r="AL211" s="49" t="str">
        <f t="shared" si="62"/>
        <v/>
      </c>
      <c r="AM211" s="49">
        <f t="shared" si="63"/>
        <v>1</v>
      </c>
      <c r="AN211" s="49" t="str">
        <f t="shared" si="64"/>
        <v>EFPRAZO</v>
      </c>
      <c r="AO211" s="49">
        <f t="shared" si="65"/>
        <v>0</v>
      </c>
      <c r="AP211" s="49" t="str">
        <f t="shared" si="66"/>
        <v/>
      </c>
      <c r="AQ211" s="49">
        <f t="shared" si="67"/>
        <v>0</v>
      </c>
      <c r="AR211" s="49" t="str">
        <f t="shared" si="68"/>
        <v/>
      </c>
      <c r="AV211" s="57"/>
      <c r="BF211" s="52"/>
    </row>
    <row r="212" spans="1:58" ht="30" customHeight="1" x14ac:dyDescent="0.35">
      <c r="A212" s="25"/>
      <c r="B212" s="39" t="s">
        <v>62</v>
      </c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108"/>
      <c r="Z212" s="109"/>
      <c r="AA212" s="109"/>
      <c r="AB212" s="110"/>
      <c r="AC212" s="40"/>
      <c r="AD212" s="40"/>
      <c r="AE212" s="48" t="str">
        <f t="shared" si="58"/>
        <v/>
      </c>
      <c r="AF212" s="48"/>
      <c r="AG212" s="48"/>
      <c r="AH212" s="89"/>
      <c r="AI212" s="49">
        <f t="shared" si="59"/>
        <v>0</v>
      </c>
      <c r="AJ212" s="49" t="str">
        <f t="shared" si="60"/>
        <v/>
      </c>
      <c r="AK212" s="49">
        <f t="shared" si="61"/>
        <v>0</v>
      </c>
      <c r="AL212" s="49" t="str">
        <f t="shared" si="62"/>
        <v/>
      </c>
      <c r="AM212" s="49">
        <f t="shared" si="63"/>
        <v>0</v>
      </c>
      <c r="AN212" s="49" t="str">
        <f t="shared" si="64"/>
        <v/>
      </c>
      <c r="AO212" s="49">
        <f t="shared" si="65"/>
        <v>0</v>
      </c>
      <c r="AP212" s="49" t="str">
        <f t="shared" si="66"/>
        <v/>
      </c>
      <c r="AQ212" s="49">
        <f t="shared" si="67"/>
        <v>0</v>
      </c>
      <c r="AR212" s="49" t="str">
        <f t="shared" si="68"/>
        <v/>
      </c>
      <c r="AV212" s="57"/>
      <c r="BF212" s="52"/>
    </row>
    <row r="213" spans="1:58" ht="30" customHeight="1" x14ac:dyDescent="0.35">
      <c r="A213" s="25" t="str">
        <f t="shared" si="69"/>
        <v>PT177 - PLATAFORMA DE ACESSO - FORQUILHA 1 - DETALHADO
PROJETO DETALHADO
CIVIL</v>
      </c>
      <c r="B213" s="40" t="s">
        <v>49</v>
      </c>
      <c r="C213" s="60" t="str">
        <f>IF(AND($B213=[1]rogério!$A214,[1]rogério!$B214=C$4),"ok","nok")</f>
        <v>nok</v>
      </c>
      <c r="D213" s="60" t="str">
        <f>IF(AND($B213=[1]rogério!$A214,[1]rogério!$B214=D$4),"ok","nok")</f>
        <v>nok</v>
      </c>
      <c r="E213" s="60" t="str">
        <f>IF(AND($B213=[1]rogério!$A214,[1]rogério!$B214=E$4),"ok","nok")</f>
        <v>nok</v>
      </c>
      <c r="F213" s="60" t="str">
        <f>IF(AND($B213=[1]rogério!$A214,[1]rogério!$B214=F$4),"ok","nok")</f>
        <v>nok</v>
      </c>
      <c r="G213" s="60" t="str">
        <f>IF(AND($B213=[1]rogério!$A214,[1]rogério!$B214=G$4),"ok","nok")</f>
        <v>nok</v>
      </c>
      <c r="H213" s="60" t="str">
        <f>IF(AND($B213=[1]rogério!$A214,[1]rogério!$B214=H$4),"ok","nok")</f>
        <v>nok</v>
      </c>
      <c r="I213" s="60" t="str">
        <f>IF(AND($B213=[1]rogério!$A214,[1]rogério!$B214=I$4),"ok","nok")</f>
        <v>nok</v>
      </c>
      <c r="J213" s="60" t="str">
        <f>IF(AND($B213=[1]rogério!$A214,[1]rogério!$B214=J$4),"ok","nok")</f>
        <v>nok</v>
      </c>
      <c r="K213" s="60" t="str">
        <f>IF(AND($B213=[1]rogério!$A214,[1]rogério!$B214=K$4),"ok","nok")</f>
        <v>nok</v>
      </c>
      <c r="L213" s="60" t="str">
        <f>IF(AND($B213=[1]rogério!$A214,[1]rogério!$B214=L$4),"ok","nok")</f>
        <v>nok</v>
      </c>
      <c r="M213" s="60" t="str">
        <f>IF(AND($B213=[1]rogério!$A214,[1]rogério!$B214=M$4),"ok","nok")</f>
        <v>ok</v>
      </c>
      <c r="N213" s="60" t="str">
        <f>IF(AND($B213=[1]rogério!$A214,[1]rogério!$B214=N$4),"ok","nok")</f>
        <v>nok</v>
      </c>
      <c r="O213" s="60" t="str">
        <f>IF(AND($B213=[1]rogério!$A214,[1]rogério!$B214=O$4),"ok","nok")</f>
        <v>nok</v>
      </c>
      <c r="P213" s="60" t="str">
        <f>IF(AND($B213=[1]rogério!$A214,[1]rogério!$B214=P$4),"ok","nok")</f>
        <v>nok</v>
      </c>
      <c r="Q213" s="60" t="str">
        <f>IF(AND($B213=[1]rogério!$A214,[1]rogério!$B214=Q$4),"ok","nok")</f>
        <v>nok</v>
      </c>
      <c r="R213" s="60" t="str">
        <f>IF(AND($B213=[1]rogério!$A214,[1]rogério!$B214=R$4),"ok","nok")</f>
        <v>nok</v>
      </c>
      <c r="S213" s="60" t="str">
        <f>IF(AND($B213=[1]rogério!$A214,[1]rogério!$B214=S$4),"ok","nok")</f>
        <v>nok</v>
      </c>
      <c r="T213" s="60" t="str">
        <f>IF(AND($B213=[1]rogério!$A214,[1]rogério!$B214=T$4),"ok","nok")</f>
        <v>nok</v>
      </c>
      <c r="U213" s="60" t="str">
        <f>IF(AND($B213=[1]rogério!$A214,[1]rogério!$B214=U$4),"ok","nok")</f>
        <v>nok</v>
      </c>
      <c r="V213" s="60" t="str">
        <f>IF(AND($B213=[1]rogério!$A214,[1]rogério!$B214=V$4),"ok","nok")</f>
        <v>nok</v>
      </c>
      <c r="W213" s="60" t="str">
        <f>IF(AND($B213=[1]rogério!$A214,[1]rogério!$B214=W$4),"ok","nok")</f>
        <v>nok</v>
      </c>
      <c r="X213" s="60" t="str">
        <f>IF(AND($B213=[1]rogério!$A214,[1]rogério!$B214=X$4),"ok","nok")</f>
        <v>nok</v>
      </c>
      <c r="Y213" s="105" t="s">
        <v>33</v>
      </c>
      <c r="Z213" s="106"/>
      <c r="AA213" s="106"/>
      <c r="AB213" s="107"/>
      <c r="AC213" s="40"/>
      <c r="AD213" s="40"/>
      <c r="AE213" s="48" t="str">
        <f t="shared" si="58"/>
        <v/>
      </c>
      <c r="AF213" s="48"/>
      <c r="AG213" s="48"/>
      <c r="AH213" s="89"/>
      <c r="AI213" s="49">
        <f t="shared" si="59"/>
        <v>0</v>
      </c>
      <c r="AJ213" s="49" t="str">
        <f t="shared" si="60"/>
        <v/>
      </c>
      <c r="AK213" s="49">
        <f t="shared" si="61"/>
        <v>0</v>
      </c>
      <c r="AL213" s="49" t="str">
        <f t="shared" si="62"/>
        <v/>
      </c>
      <c r="AM213" s="49">
        <f t="shared" si="63"/>
        <v>1</v>
      </c>
      <c r="AN213" s="49" t="str">
        <f t="shared" si="64"/>
        <v>EFPRAZO</v>
      </c>
      <c r="AO213" s="49">
        <f t="shared" si="65"/>
        <v>0</v>
      </c>
      <c r="AP213" s="49" t="str">
        <f t="shared" si="66"/>
        <v/>
      </c>
      <c r="AQ213" s="49">
        <f t="shared" si="67"/>
        <v>0</v>
      </c>
      <c r="AR213" s="49" t="str">
        <f t="shared" si="68"/>
        <v/>
      </c>
      <c r="AV213" s="57"/>
      <c r="BF213" s="52"/>
    </row>
    <row r="214" spans="1:58" ht="30" customHeight="1" x14ac:dyDescent="0.35">
      <c r="A214" s="25" t="str">
        <f t="shared" si="69"/>
        <v>PT177 - PLATAFORMA DE ACESSO - FORQUILHA 1 - DETALHADO
PROJETO DETALHADO
CIVIL</v>
      </c>
      <c r="B214" s="40" t="s">
        <v>19</v>
      </c>
      <c r="C214" s="60" t="str">
        <f>IF(AND($B214=[1]rogério!$A215,[1]rogério!$B215=C$4),"ok","nok")</f>
        <v>nok</v>
      </c>
      <c r="D214" s="60" t="str">
        <f>IF(AND($B214=[1]rogério!$A215,[1]rogério!$B215=D$4),"ok","nok")</f>
        <v>nok</v>
      </c>
      <c r="E214" s="60" t="str">
        <f>IF(AND($B214=[1]rogério!$A215,[1]rogério!$B215=E$4),"ok","nok")</f>
        <v>nok</v>
      </c>
      <c r="F214" s="60" t="str">
        <f>IF(AND($B214=[1]rogério!$A215,[1]rogério!$B215=F$4),"ok","nok")</f>
        <v>nok</v>
      </c>
      <c r="G214" s="60" t="str">
        <f>IF(AND($B214=[1]rogério!$A215,[1]rogério!$B215=G$4),"ok","nok")</f>
        <v>nok</v>
      </c>
      <c r="H214" s="60" t="str">
        <f>IF(AND($B214=[1]rogério!$A215,[1]rogério!$B215=H$4),"ok","nok")</f>
        <v>nok</v>
      </c>
      <c r="I214" s="60" t="str">
        <f>IF(AND($B214=[1]rogério!$A215,[1]rogério!$B215=I$4),"ok","nok")</f>
        <v>nok</v>
      </c>
      <c r="J214" s="60" t="str">
        <f>IF(AND($B214=[1]rogério!$A215,[1]rogério!$B215=J$4),"ok","nok")</f>
        <v>nok</v>
      </c>
      <c r="K214" s="60" t="str">
        <f>IF(AND($B214=[1]rogério!$A215,[1]rogério!$B215=K$4),"ok","nok")</f>
        <v>nok</v>
      </c>
      <c r="L214" s="60" t="str">
        <f>IF(AND($B214=[1]rogério!$A215,[1]rogério!$B215=L$4),"ok","nok")</f>
        <v>nok</v>
      </c>
      <c r="M214" s="60" t="str">
        <f>IF(AND($B214=[1]rogério!$A215,[1]rogério!$B215=M$4),"ok","nok")</f>
        <v>nok</v>
      </c>
      <c r="N214" s="60" t="str">
        <f>IF(AND($B214=[1]rogério!$A215,[1]rogério!$B215=N$4),"ok","nok")</f>
        <v>nok</v>
      </c>
      <c r="O214" s="60" t="str">
        <f>IF(AND($B214=[1]rogério!$A215,[1]rogério!$B215=O$4),"ok","nok")</f>
        <v>nok</v>
      </c>
      <c r="P214" s="60" t="str">
        <f>IF(AND($B214=[1]rogério!$A215,[1]rogério!$B215=P$4),"ok","nok")</f>
        <v>nok</v>
      </c>
      <c r="Q214" s="60" t="str">
        <f>IF(AND($B214=[1]rogério!$A215,[1]rogério!$B215=Q$4),"ok","nok")</f>
        <v>nok</v>
      </c>
      <c r="R214" s="60" t="str">
        <f>IF(AND($B214=[1]rogério!$A215,[1]rogério!$B215=R$4),"ok","nok")</f>
        <v>ok</v>
      </c>
      <c r="S214" s="60" t="str">
        <f>IF(AND($B214=[1]rogério!$A215,[1]rogério!$B215=S$4),"ok","nok")</f>
        <v>nok</v>
      </c>
      <c r="T214" s="60" t="str">
        <f>IF(AND($B214=[1]rogério!$A215,[1]rogério!$B215=T$4),"ok","nok")</f>
        <v>nok</v>
      </c>
      <c r="U214" s="60" t="str">
        <f>IF(AND($B214=[1]rogério!$A215,[1]rogério!$B215=U$4),"ok","nok")</f>
        <v>nok</v>
      </c>
      <c r="V214" s="60" t="str">
        <f>IF(AND($B214=[1]rogério!$A215,[1]rogério!$B215=V$4),"ok","nok")</f>
        <v>nok</v>
      </c>
      <c r="W214" s="60" t="str">
        <f>IF(AND($B214=[1]rogério!$A215,[1]rogério!$B215=W$4),"ok","nok")</f>
        <v>nok</v>
      </c>
      <c r="X214" s="60" t="str">
        <f>IF(AND($B214=[1]rogério!$A215,[1]rogério!$B215=X$4),"ok","nok")</f>
        <v>nok</v>
      </c>
      <c r="Y214" s="105" t="s">
        <v>31</v>
      </c>
      <c r="Z214" s="106"/>
      <c r="AA214" s="106"/>
      <c r="AB214" s="107"/>
      <c r="AC214" s="40"/>
      <c r="AD214" s="40"/>
      <c r="AE214" s="48" t="str">
        <f t="shared" si="58"/>
        <v>Aprovação do Cliente</v>
      </c>
      <c r="AF214" s="48"/>
      <c r="AG214" s="48"/>
      <c r="AH214" s="89"/>
      <c r="AI214" s="49">
        <f t="shared" si="59"/>
        <v>0</v>
      </c>
      <c r="AJ214" s="49" t="str">
        <f t="shared" si="60"/>
        <v/>
      </c>
      <c r="AK214" s="49">
        <f t="shared" si="61"/>
        <v>0</v>
      </c>
      <c r="AL214" s="49" t="str">
        <f t="shared" si="62"/>
        <v/>
      </c>
      <c r="AM214" s="49">
        <f t="shared" si="63"/>
        <v>0</v>
      </c>
      <c r="AN214" s="49" t="str">
        <f t="shared" si="64"/>
        <v/>
      </c>
      <c r="AO214" s="49">
        <f t="shared" si="65"/>
        <v>1</v>
      </c>
      <c r="AP214" s="49" t="str">
        <f t="shared" si="66"/>
        <v/>
      </c>
      <c r="AQ214" s="49">
        <f t="shared" si="67"/>
        <v>0</v>
      </c>
      <c r="AR214" s="49" t="str">
        <f t="shared" si="68"/>
        <v/>
      </c>
      <c r="AV214" s="57"/>
      <c r="BF214" s="52"/>
    </row>
    <row r="215" spans="1:58" ht="30" customHeight="1" x14ac:dyDescent="0.35">
      <c r="A215" s="25" t="str">
        <f t="shared" si="69"/>
        <v>PT177 - PLATAFORMA DE ACESSO - FORQUILHA 1 - DETALHADO
PROJETO DETALHADO
CIVIL</v>
      </c>
      <c r="B215" s="40" t="s">
        <v>42</v>
      </c>
      <c r="C215" s="60" t="str">
        <f>IF(AND($B215=[1]rogério!$A216,[1]rogério!$B216=C$4),"ok","nok")</f>
        <v>nok</v>
      </c>
      <c r="D215" s="60" t="str">
        <f>IF(AND($B215=[1]rogério!$A216,[1]rogério!$B216=D$4),"ok","nok")</f>
        <v>nok</v>
      </c>
      <c r="E215" s="60" t="str">
        <f>IF(AND($B215=[1]rogério!$A216,[1]rogério!$B216=E$4),"ok","nok")</f>
        <v>nok</v>
      </c>
      <c r="F215" s="60" t="str">
        <f>IF(AND($B215=[1]rogério!$A216,[1]rogério!$B216=F$4),"ok","nok")</f>
        <v>nok</v>
      </c>
      <c r="G215" s="60" t="str">
        <f>IF(AND($B215=[1]rogério!$A216,[1]rogério!$B216=G$4),"ok","nok")</f>
        <v>nok</v>
      </c>
      <c r="H215" s="60" t="str">
        <f>IF(AND($B215=[1]rogério!$A216,[1]rogério!$B216=H$4),"ok","nok")</f>
        <v>nok</v>
      </c>
      <c r="I215" s="60" t="str">
        <f>IF(AND($B215=[1]rogério!$A216,[1]rogério!$B216=I$4),"ok","nok")</f>
        <v>nok</v>
      </c>
      <c r="J215" s="60" t="str">
        <f>IF(AND($B215=[1]rogério!$A216,[1]rogério!$B216=J$4),"ok","nok")</f>
        <v>nok</v>
      </c>
      <c r="K215" s="60" t="str">
        <f>IF(AND($B215=[1]rogério!$A216,[1]rogério!$B216=K$4),"ok","nok")</f>
        <v>nok</v>
      </c>
      <c r="L215" s="60" t="str">
        <f>IF(AND($B215=[1]rogério!$A216,[1]rogério!$B216=L$4),"ok","nok")</f>
        <v>nok</v>
      </c>
      <c r="M215" s="60" t="str">
        <f>IF(AND($B215=[1]rogério!$A216,[1]rogério!$B216=M$4),"ok","nok")</f>
        <v>nok</v>
      </c>
      <c r="N215" s="60" t="str">
        <f>IF(AND($B215=[1]rogério!$A216,[1]rogério!$B216=N$4),"ok","nok")</f>
        <v>nok</v>
      </c>
      <c r="O215" s="60" t="str">
        <f>IF(AND($B215=[1]rogério!$A216,[1]rogério!$B216=O$4),"ok","nok")</f>
        <v>nok</v>
      </c>
      <c r="P215" s="60" t="str">
        <f>IF(AND($B215=[1]rogério!$A216,[1]rogério!$B216=P$4),"ok","nok")</f>
        <v>nok</v>
      </c>
      <c r="Q215" s="60" t="str">
        <f>IF(AND($B215=[1]rogério!$A216,[1]rogério!$B216=Q$4),"ok","nok")</f>
        <v>nok</v>
      </c>
      <c r="R215" s="60" t="str">
        <f>IF(AND($B215=[1]rogério!$A216,[1]rogério!$B216=R$4),"ok","nok")</f>
        <v>nok</v>
      </c>
      <c r="S215" s="60" t="str">
        <f>IF(AND($B215=[1]rogério!$A216,[1]rogério!$B216=S$4),"ok","nok")</f>
        <v>nok</v>
      </c>
      <c r="T215" s="60" t="str">
        <f>IF(AND($B215=[1]rogério!$A216,[1]rogério!$B216=T$4),"ok","nok")</f>
        <v>nok</v>
      </c>
      <c r="U215" s="60" t="str">
        <f>IF(AND($B215=[1]rogério!$A216,[1]rogério!$B216=U$4),"ok","nok")</f>
        <v>ok</v>
      </c>
      <c r="V215" s="60" t="str">
        <f>IF(AND($B215=[1]rogério!$A216,[1]rogério!$B216=V$4),"ok","nok")</f>
        <v>nok</v>
      </c>
      <c r="W215" s="60" t="str">
        <f>IF(AND($B215=[1]rogério!$A216,[1]rogério!$B216=W$4),"ok","nok")</f>
        <v>nok</v>
      </c>
      <c r="X215" s="60" t="str">
        <f>IF(AND($B215=[1]rogério!$A216,[1]rogério!$B216=X$4),"ok","nok")</f>
        <v>nok</v>
      </c>
      <c r="Y215" s="105" t="s">
        <v>31</v>
      </c>
      <c r="Z215" s="106"/>
      <c r="AA215" s="106"/>
      <c r="AB215" s="107"/>
      <c r="AC215" s="40"/>
      <c r="AD215" s="40"/>
      <c r="AE215" s="48" t="str">
        <f t="shared" si="58"/>
        <v>Certificação do documento - Vibracon</v>
      </c>
      <c r="AF215" s="48"/>
      <c r="AG215" s="48"/>
      <c r="AH215" s="89"/>
      <c r="AI215" s="49">
        <f t="shared" si="59"/>
        <v>0</v>
      </c>
      <c r="AJ215" s="49" t="str">
        <f t="shared" si="60"/>
        <v/>
      </c>
      <c r="AK215" s="49">
        <f t="shared" si="61"/>
        <v>0</v>
      </c>
      <c r="AL215" s="49" t="str">
        <f t="shared" si="62"/>
        <v/>
      </c>
      <c r="AM215" s="49">
        <f t="shared" si="63"/>
        <v>0</v>
      </c>
      <c r="AN215" s="49" t="str">
        <f t="shared" si="64"/>
        <v/>
      </c>
      <c r="AO215" s="49">
        <f t="shared" si="65"/>
        <v>1</v>
      </c>
      <c r="AP215" s="49" t="str">
        <f t="shared" si="66"/>
        <v/>
      </c>
      <c r="AQ215" s="49">
        <f t="shared" si="67"/>
        <v>0</v>
      </c>
      <c r="AR215" s="49" t="str">
        <f t="shared" si="68"/>
        <v/>
      </c>
      <c r="AV215" s="57"/>
      <c r="BF215" s="52"/>
    </row>
    <row r="216" spans="1:58" ht="30" customHeight="1" x14ac:dyDescent="0.35">
      <c r="A216" s="25" t="str">
        <f t="shared" si="69"/>
        <v>PT177 - PLATAFORMA DE ACESSO - FORQUILHA 1 - DETALHADO
PROJETO DETALHADO
CIVIL</v>
      </c>
      <c r="B216" s="40" t="s">
        <v>43</v>
      </c>
      <c r="C216" s="60" t="str">
        <f>IF(AND($B216=[1]rogério!$A217,[1]rogério!$B217=C$4),"ok","nok")</f>
        <v>nok</v>
      </c>
      <c r="D216" s="60" t="str">
        <f>IF(AND($B216=[1]rogério!$A217,[1]rogério!$B217=D$4),"ok","nok")</f>
        <v>nok</v>
      </c>
      <c r="E216" s="60" t="str">
        <f>IF(AND($B216=[1]rogério!$A217,[1]rogério!$B217=E$4),"ok","nok")</f>
        <v>nok</v>
      </c>
      <c r="F216" s="60" t="str">
        <f>IF(AND($B216=[1]rogério!$A217,[1]rogério!$B217=F$4),"ok","nok")</f>
        <v>nok</v>
      </c>
      <c r="G216" s="60" t="str">
        <f>IF(AND($B216=[1]rogério!$A217,[1]rogério!$B217=G$4),"ok","nok")</f>
        <v>nok</v>
      </c>
      <c r="H216" s="60" t="str">
        <f>IF(AND($B216=[1]rogério!$A217,[1]rogério!$B217=H$4),"ok","nok")</f>
        <v>nok</v>
      </c>
      <c r="I216" s="60" t="str">
        <f>IF(AND($B216=[1]rogério!$A217,[1]rogério!$B217=I$4),"ok","nok")</f>
        <v>nok</v>
      </c>
      <c r="J216" s="60" t="str">
        <f>IF(AND($B216=[1]rogério!$A217,[1]rogério!$B217=J$4),"ok","nok")</f>
        <v>nok</v>
      </c>
      <c r="K216" s="60" t="str">
        <f>IF(AND($B216=[1]rogério!$A217,[1]rogério!$B217=K$4),"ok","nok")</f>
        <v>nok</v>
      </c>
      <c r="L216" s="60" t="str">
        <f>IF(AND($B216=[1]rogério!$A217,[1]rogério!$B217=L$4),"ok","nok")</f>
        <v>nok</v>
      </c>
      <c r="M216" s="60" t="str">
        <f>IF(AND($B216=[1]rogério!$A217,[1]rogério!$B217=M$4),"ok","nok")</f>
        <v>nok</v>
      </c>
      <c r="N216" s="60" t="str">
        <f>IF(AND($B216=[1]rogério!$A217,[1]rogério!$B217=N$4),"ok","nok")</f>
        <v>nok</v>
      </c>
      <c r="O216" s="60" t="str">
        <f>IF(AND($B216=[1]rogério!$A217,[1]rogério!$B217=O$4),"ok","nok")</f>
        <v>nok</v>
      </c>
      <c r="P216" s="60" t="str">
        <f>IF(AND($B216=[1]rogério!$A217,[1]rogério!$B217=P$4),"ok","nok")</f>
        <v>nok</v>
      </c>
      <c r="Q216" s="60" t="str">
        <f>IF(AND($B216=[1]rogério!$A217,[1]rogério!$B217=Q$4),"ok","nok")</f>
        <v>nok</v>
      </c>
      <c r="R216" s="60" t="str">
        <f>IF(AND($B216=[1]rogério!$A217,[1]rogério!$B217=R$4),"ok","nok")</f>
        <v>nok</v>
      </c>
      <c r="S216" s="60" t="str">
        <f>IF(AND($B216=[1]rogério!$A217,[1]rogério!$B217=S$4),"ok","nok")</f>
        <v>nok</v>
      </c>
      <c r="T216" s="60" t="str">
        <f>IF(AND($B216=[1]rogério!$A217,[1]rogério!$B217=T$4),"ok","nok")</f>
        <v>nok</v>
      </c>
      <c r="U216" s="60" t="str">
        <f>IF(AND($B216=[1]rogério!$A217,[1]rogério!$B217=U$4),"ok","nok")</f>
        <v>ok</v>
      </c>
      <c r="V216" s="60" t="str">
        <f>IF(AND($B216=[1]rogério!$A217,[1]rogério!$B217=V$4),"ok","nok")</f>
        <v>nok</v>
      </c>
      <c r="W216" s="60" t="str">
        <f>IF(AND($B216=[1]rogério!$A217,[1]rogério!$B217=W$4),"ok","nok")</f>
        <v>nok</v>
      </c>
      <c r="X216" s="60" t="str">
        <f>IF(AND($B216=[1]rogério!$A217,[1]rogério!$B217=X$4),"ok","nok")</f>
        <v>nok</v>
      </c>
      <c r="Y216" s="105" t="s">
        <v>31</v>
      </c>
      <c r="Z216" s="106"/>
      <c r="AA216" s="106"/>
      <c r="AB216" s="107"/>
      <c r="AC216" s="40"/>
      <c r="AD216" s="40"/>
      <c r="AE216" s="48" t="str">
        <f t="shared" si="58"/>
        <v>MARCO - Envio do documento Certificado (Rev_0)</v>
      </c>
      <c r="AF216" s="48"/>
      <c r="AG216" s="48"/>
      <c r="AH216" s="89"/>
      <c r="AI216" s="49">
        <f t="shared" si="59"/>
        <v>0</v>
      </c>
      <c r="AJ216" s="49" t="str">
        <f t="shared" si="60"/>
        <v/>
      </c>
      <c r="AK216" s="49">
        <f t="shared" si="61"/>
        <v>0</v>
      </c>
      <c r="AL216" s="49" t="str">
        <f t="shared" si="62"/>
        <v/>
      </c>
      <c r="AM216" s="49">
        <f t="shared" si="63"/>
        <v>0</v>
      </c>
      <c r="AN216" s="49" t="str">
        <f t="shared" si="64"/>
        <v/>
      </c>
      <c r="AO216" s="49">
        <f t="shared" si="65"/>
        <v>1</v>
      </c>
      <c r="AP216" s="49" t="str">
        <f t="shared" si="66"/>
        <v/>
      </c>
      <c r="AQ216" s="49">
        <f t="shared" si="67"/>
        <v>0</v>
      </c>
      <c r="AR216" s="49" t="str">
        <f t="shared" si="68"/>
        <v/>
      </c>
      <c r="AV216" s="57"/>
      <c r="BF216" s="52"/>
    </row>
    <row r="217" spans="1:58" ht="30" customHeight="1" x14ac:dyDescent="0.35">
      <c r="A217" s="25" t="str">
        <f t="shared" si="69"/>
        <v>PT177 - PLATAFORMA DE ACESSO - FORQUILHA 1 - DETALHADO
PROJETO DETALHADO
CIVIL</v>
      </c>
      <c r="B217" s="38" t="s">
        <v>76</v>
      </c>
      <c r="C217" s="60" t="str">
        <f>IF(AND($B217=[1]rogério!$A218,[1]rogério!$B218=C$4),"ok","nok")</f>
        <v>nok</v>
      </c>
      <c r="D217" s="60" t="str">
        <f>IF(AND($B217=[1]rogério!$A218,[1]rogério!$B218=D$4),"ok","nok")</f>
        <v>nok</v>
      </c>
      <c r="E217" s="60" t="str">
        <f>IF(AND($B217=[1]rogério!$A218,[1]rogério!$B218=E$4),"ok","nok")</f>
        <v>nok</v>
      </c>
      <c r="F217" s="60" t="str">
        <f>IF(AND($B217=[1]rogério!$A218,[1]rogério!$B218=F$4),"ok","nok")</f>
        <v>nok</v>
      </c>
      <c r="G217" s="60" t="str">
        <f>IF(AND($B217=[1]rogério!$A218,[1]rogério!$B218=G$4),"ok","nok")</f>
        <v>nok</v>
      </c>
      <c r="H217" s="60" t="str">
        <f>IF(AND($B217=[1]rogério!$A218,[1]rogério!$B218=H$4),"ok","nok")</f>
        <v>nok</v>
      </c>
      <c r="I217" s="60" t="str">
        <f>IF(AND($B217=[1]rogério!$A218,[1]rogério!$B218=I$4),"ok","nok")</f>
        <v>nok</v>
      </c>
      <c r="J217" s="60" t="str">
        <f>IF(AND($B217=[1]rogério!$A218,[1]rogério!$B218=J$4),"ok","nok")</f>
        <v>nok</v>
      </c>
      <c r="K217" s="60" t="str">
        <f>IF(AND($B217=[1]rogério!$A218,[1]rogério!$B218=K$4),"ok","nok")</f>
        <v>nok</v>
      </c>
      <c r="L217" s="60" t="str">
        <f>IF(AND($B217=[1]rogério!$A218,[1]rogério!$B218=L$4),"ok","nok")</f>
        <v>nok</v>
      </c>
      <c r="M217" s="60" t="str">
        <f>IF(AND($B217=[1]rogério!$A218,[1]rogério!$B218=M$4),"ok","nok")</f>
        <v>nok</v>
      </c>
      <c r="N217" s="60" t="str">
        <f>IF(AND($B217=[1]rogério!$A218,[1]rogério!$B218=N$4),"ok","nok")</f>
        <v>ok</v>
      </c>
      <c r="O217" s="60" t="str">
        <f>IF(AND($B217=[1]rogério!$A218,[1]rogério!$B218=O$4),"ok","nok")</f>
        <v>nok</v>
      </c>
      <c r="P217" s="60" t="str">
        <f>IF(AND($B217=[1]rogério!$A218,[1]rogério!$B218=P$4),"ok","nok")</f>
        <v>nok</v>
      </c>
      <c r="Q217" s="60" t="str">
        <f>IF(AND($B217=[1]rogério!$A218,[1]rogério!$B218=Q$4),"ok","nok")</f>
        <v>nok</v>
      </c>
      <c r="R217" s="60" t="str">
        <f>IF(AND($B217=[1]rogério!$A218,[1]rogério!$B218=R$4),"ok","nok")</f>
        <v>nok</v>
      </c>
      <c r="S217" s="60" t="str">
        <f>IF(AND($B217=[1]rogério!$A218,[1]rogério!$B218=S$4),"ok","nok")</f>
        <v>nok</v>
      </c>
      <c r="T217" s="60" t="str">
        <f>IF(AND($B217=[1]rogério!$A218,[1]rogério!$B218=T$4),"ok","nok")</f>
        <v>nok</v>
      </c>
      <c r="U217" s="60" t="str">
        <f>IF(AND($B217=[1]rogério!$A218,[1]rogério!$B218=U$4),"ok","nok")</f>
        <v>nok</v>
      </c>
      <c r="V217" s="60" t="str">
        <f>IF(AND($B217=[1]rogério!$A218,[1]rogério!$B218=V$4),"ok","nok")</f>
        <v>nok</v>
      </c>
      <c r="W217" s="60" t="str">
        <f>IF(AND($B217=[1]rogério!$A218,[1]rogério!$B218=W$4),"ok","nok")</f>
        <v>nok</v>
      </c>
      <c r="X217" s="60" t="str">
        <f>IF(AND($B217=[1]rogério!$A218,[1]rogério!$B218=X$4),"ok","nok")</f>
        <v>nok</v>
      </c>
      <c r="Y217" s="105" t="s">
        <v>33</v>
      </c>
      <c r="Z217" s="106"/>
      <c r="AA217" s="106"/>
      <c r="AB217" s="107"/>
      <c r="AC217" s="40"/>
      <c r="AD217" s="40"/>
      <c r="AE217" s="48" t="str">
        <f t="shared" si="58"/>
        <v/>
      </c>
      <c r="AF217" s="48"/>
      <c r="AG217" s="48"/>
      <c r="AH217" s="89"/>
      <c r="AI217" s="49">
        <f t="shared" si="59"/>
        <v>0</v>
      </c>
      <c r="AJ217" s="49" t="str">
        <f t="shared" si="60"/>
        <v/>
      </c>
      <c r="AK217" s="49">
        <f t="shared" si="61"/>
        <v>0</v>
      </c>
      <c r="AL217" s="49" t="str">
        <f t="shared" si="62"/>
        <v/>
      </c>
      <c r="AM217" s="49">
        <f t="shared" si="63"/>
        <v>1</v>
      </c>
      <c r="AN217" s="49" t="str">
        <f t="shared" si="64"/>
        <v>EFPRAZO</v>
      </c>
      <c r="AO217" s="49">
        <f t="shared" si="65"/>
        <v>0</v>
      </c>
      <c r="AP217" s="49" t="str">
        <f t="shared" si="66"/>
        <v/>
      </c>
      <c r="AQ217" s="49">
        <f t="shared" si="67"/>
        <v>0</v>
      </c>
      <c r="AR217" s="49" t="str">
        <f t="shared" si="68"/>
        <v/>
      </c>
      <c r="AV217" s="57"/>
      <c r="BF217" s="52"/>
    </row>
    <row r="218" spans="1:58" ht="30" customHeight="1" x14ac:dyDescent="0.35">
      <c r="A218" s="25" t="str">
        <f t="shared" si="69"/>
        <v>PT177 - PLATAFORMA DE ACESSO - FORQUILHA 1 - DETALHADO
PROJETO DETALHADO
CIVIL</v>
      </c>
      <c r="B218" s="38" t="s">
        <v>77</v>
      </c>
      <c r="C218" s="60" t="str">
        <f>IF(AND($B218=[1]rogério!$A219,[1]rogério!$B219=C$4),"ok","nok")</f>
        <v>nok</v>
      </c>
      <c r="D218" s="60" t="str">
        <f>IF(AND($B218=[1]rogério!$A219,[1]rogério!$B219=D$4),"ok","nok")</f>
        <v>nok</v>
      </c>
      <c r="E218" s="60" t="str">
        <f>IF(AND($B218=[1]rogério!$A219,[1]rogério!$B219=E$4),"ok","nok")</f>
        <v>nok</v>
      </c>
      <c r="F218" s="60" t="str">
        <f>IF(AND($B218=[1]rogério!$A219,[1]rogério!$B219=F$4),"ok","nok")</f>
        <v>nok</v>
      </c>
      <c r="G218" s="60" t="str">
        <f>IF(AND($B218=[1]rogério!$A219,[1]rogério!$B219=G$4),"ok","nok")</f>
        <v>nok</v>
      </c>
      <c r="H218" s="60" t="str">
        <f>IF(AND($B218=[1]rogério!$A219,[1]rogério!$B219=H$4),"ok","nok")</f>
        <v>nok</v>
      </c>
      <c r="I218" s="60" t="str">
        <f>IF(AND($B218=[1]rogério!$A219,[1]rogério!$B219=I$4),"ok","nok")</f>
        <v>nok</v>
      </c>
      <c r="J218" s="60" t="str">
        <f>IF(AND($B218=[1]rogério!$A219,[1]rogério!$B219=J$4),"ok","nok")</f>
        <v>nok</v>
      </c>
      <c r="K218" s="60" t="str">
        <f>IF(AND($B218=[1]rogério!$A219,[1]rogério!$B219=K$4),"ok","nok")</f>
        <v>nok</v>
      </c>
      <c r="L218" s="60" t="str">
        <f>IF(AND($B218=[1]rogério!$A219,[1]rogério!$B219=L$4),"ok","nok")</f>
        <v>nok</v>
      </c>
      <c r="M218" s="60" t="str">
        <f>IF(AND($B218=[1]rogério!$A219,[1]rogério!$B219=M$4),"ok","nok")</f>
        <v>nok</v>
      </c>
      <c r="N218" s="60" t="str">
        <f>IF(AND($B218=[1]rogério!$A219,[1]rogério!$B219=N$4),"ok","nok")</f>
        <v>nok</v>
      </c>
      <c r="O218" s="60" t="str">
        <f>IF(AND($B218=[1]rogério!$A219,[1]rogério!$B219=O$4),"ok","nok")</f>
        <v>ok</v>
      </c>
      <c r="P218" s="60" t="str">
        <f>IF(AND($B218=[1]rogério!$A219,[1]rogério!$B219=P$4),"ok","nok")</f>
        <v>nok</v>
      </c>
      <c r="Q218" s="60" t="str">
        <f>IF(AND($B218=[1]rogério!$A219,[1]rogério!$B219=Q$4),"ok","nok")</f>
        <v>nok</v>
      </c>
      <c r="R218" s="60" t="str">
        <f>IF(AND($B218=[1]rogério!$A219,[1]rogério!$B219=R$4),"ok","nok")</f>
        <v>nok</v>
      </c>
      <c r="S218" s="60" t="str">
        <f>IF(AND($B218=[1]rogério!$A219,[1]rogério!$B219=S$4),"ok","nok")</f>
        <v>nok</v>
      </c>
      <c r="T218" s="60" t="str">
        <f>IF(AND($B218=[1]rogério!$A219,[1]rogério!$B219=T$4),"ok","nok")</f>
        <v>nok</v>
      </c>
      <c r="U218" s="60" t="str">
        <f>IF(AND($B218=[1]rogério!$A219,[1]rogério!$B219=U$4),"ok","nok")</f>
        <v>nok</v>
      </c>
      <c r="V218" s="60" t="str">
        <f>IF(AND($B218=[1]rogério!$A219,[1]rogério!$B219=V$4),"ok","nok")</f>
        <v>nok</v>
      </c>
      <c r="W218" s="60" t="str">
        <f>IF(AND($B218=[1]rogério!$A219,[1]rogério!$B219=W$4),"ok","nok")</f>
        <v>nok</v>
      </c>
      <c r="X218" s="60" t="str">
        <f>IF(AND($B218=[1]rogério!$A219,[1]rogério!$B219=X$4),"ok","nok")</f>
        <v>nok</v>
      </c>
      <c r="Y218" s="105" t="s">
        <v>33</v>
      </c>
      <c r="Z218" s="106"/>
      <c r="AA218" s="106"/>
      <c r="AB218" s="107"/>
      <c r="AC218" s="40"/>
      <c r="AD218" s="40"/>
      <c r="AE218" s="48" t="str">
        <f t="shared" si="58"/>
        <v/>
      </c>
      <c r="AF218" s="48"/>
      <c r="AG218" s="48"/>
      <c r="AH218" s="89"/>
      <c r="AI218" s="49">
        <f t="shared" si="59"/>
        <v>0</v>
      </c>
      <c r="AJ218" s="49" t="str">
        <f t="shared" si="60"/>
        <v/>
      </c>
      <c r="AK218" s="49">
        <f t="shared" si="61"/>
        <v>0</v>
      </c>
      <c r="AL218" s="49" t="str">
        <f t="shared" si="62"/>
        <v/>
      </c>
      <c r="AM218" s="49">
        <f t="shared" si="63"/>
        <v>1</v>
      </c>
      <c r="AN218" s="49" t="str">
        <f t="shared" si="64"/>
        <v>EFPRAZO</v>
      </c>
      <c r="AO218" s="49">
        <f t="shared" si="65"/>
        <v>0</v>
      </c>
      <c r="AP218" s="49" t="str">
        <f t="shared" si="66"/>
        <v/>
      </c>
      <c r="AQ218" s="49">
        <f t="shared" si="67"/>
        <v>0</v>
      </c>
      <c r="AR218" s="49" t="str">
        <f t="shared" si="68"/>
        <v/>
      </c>
      <c r="AV218" s="57"/>
      <c r="BF218" s="52"/>
    </row>
    <row r="219" spans="1:58" ht="30" customHeight="1" x14ac:dyDescent="0.35">
      <c r="A219" s="25"/>
      <c r="B219" s="39" t="s">
        <v>78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108"/>
      <c r="Z219" s="109"/>
      <c r="AA219" s="109"/>
      <c r="AB219" s="110"/>
      <c r="AC219" s="40"/>
      <c r="AD219" s="40"/>
      <c r="AE219" s="48" t="str">
        <f t="shared" si="58"/>
        <v/>
      </c>
      <c r="AF219" s="48"/>
      <c r="AG219" s="48"/>
      <c r="AH219" s="89"/>
      <c r="AI219" s="49">
        <f t="shared" si="59"/>
        <v>0</v>
      </c>
      <c r="AJ219" s="49" t="str">
        <f t="shared" si="60"/>
        <v/>
      </c>
      <c r="AK219" s="49">
        <f t="shared" si="61"/>
        <v>0</v>
      </c>
      <c r="AL219" s="49" t="str">
        <f t="shared" si="62"/>
        <v/>
      </c>
      <c r="AM219" s="49">
        <f t="shared" si="63"/>
        <v>0</v>
      </c>
      <c r="AN219" s="49" t="str">
        <f t="shared" si="64"/>
        <v/>
      </c>
      <c r="AO219" s="49">
        <f t="shared" si="65"/>
        <v>0</v>
      </c>
      <c r="AP219" s="49" t="str">
        <f t="shared" si="66"/>
        <v/>
      </c>
      <c r="AQ219" s="49">
        <f t="shared" si="67"/>
        <v>0</v>
      </c>
      <c r="AR219" s="49" t="str">
        <f t="shared" si="68"/>
        <v/>
      </c>
      <c r="AV219" s="57"/>
      <c r="BF219" s="52"/>
    </row>
    <row r="220" spans="1:58" ht="30" customHeight="1" x14ac:dyDescent="0.35">
      <c r="A220" s="25" t="str">
        <f t="shared" si="69"/>
        <v>PT177 - PLATAFORMA DE ACESSO - FORQUILHA 1 - DETALHADO
PROJETO DETALHADO
CIVIL</v>
      </c>
      <c r="B220" s="40" t="s">
        <v>49</v>
      </c>
      <c r="C220" s="60" t="str">
        <f>IF(AND($B220=[1]rogério!$A221,[1]rogério!$B221=C$4),"ok","nok")</f>
        <v>nok</v>
      </c>
      <c r="D220" s="60" t="str">
        <f>IF(AND($B220=[1]rogério!$A221,[1]rogério!$B221=D$4),"ok","nok")</f>
        <v>nok</v>
      </c>
      <c r="E220" s="60" t="str">
        <f>IF(AND($B220=[1]rogério!$A221,[1]rogério!$B221=E$4),"ok","nok")</f>
        <v>nok</v>
      </c>
      <c r="F220" s="60" t="str">
        <f>IF(AND($B220=[1]rogério!$A221,[1]rogério!$B221=F$4),"ok","nok")</f>
        <v>nok</v>
      </c>
      <c r="G220" s="60" t="str">
        <f>IF(AND($B220=[1]rogério!$A221,[1]rogério!$B221=G$4),"ok","nok")</f>
        <v>nok</v>
      </c>
      <c r="H220" s="60" t="str">
        <f>IF(AND($B220=[1]rogério!$A221,[1]rogério!$B221=H$4),"ok","nok")</f>
        <v>nok</v>
      </c>
      <c r="I220" s="60" t="str">
        <f>IF(AND($B220=[1]rogério!$A221,[1]rogério!$B221=I$4),"ok","nok")</f>
        <v>nok</v>
      </c>
      <c r="J220" s="60" t="str">
        <f>IF(AND($B220=[1]rogério!$A221,[1]rogério!$B221=J$4),"ok","nok")</f>
        <v>nok</v>
      </c>
      <c r="K220" s="60" t="str">
        <f>IF(AND($B220=[1]rogério!$A221,[1]rogério!$B221=K$4),"ok","nok")</f>
        <v>nok</v>
      </c>
      <c r="L220" s="60" t="str">
        <f>IF(AND($B220=[1]rogério!$A221,[1]rogério!$B221=L$4),"ok","nok")</f>
        <v>nok</v>
      </c>
      <c r="M220" s="60" t="str">
        <f>IF(AND($B220=[1]rogério!$A221,[1]rogério!$B221=M$4),"ok","nok")</f>
        <v>nok</v>
      </c>
      <c r="N220" s="60" t="str">
        <f>IF(AND($B220=[1]rogério!$A221,[1]rogério!$B221=N$4),"ok","nok")</f>
        <v>nok</v>
      </c>
      <c r="O220" s="60" t="str">
        <f>IF(AND($B220=[1]rogério!$A221,[1]rogério!$B221=O$4),"ok","nok")</f>
        <v>ok</v>
      </c>
      <c r="P220" s="60" t="str">
        <f>IF(AND($B220=[1]rogério!$A221,[1]rogério!$B221=P$4),"ok","nok")</f>
        <v>nok</v>
      </c>
      <c r="Q220" s="60" t="str">
        <f>IF(AND($B220=[1]rogério!$A221,[1]rogério!$B221=Q$4),"ok","nok")</f>
        <v>nok</v>
      </c>
      <c r="R220" s="60" t="str">
        <f>IF(AND($B220=[1]rogério!$A221,[1]rogério!$B221=R$4),"ok","nok")</f>
        <v>nok</v>
      </c>
      <c r="S220" s="60" t="str">
        <f>IF(AND($B220=[1]rogério!$A221,[1]rogério!$B221=S$4),"ok","nok")</f>
        <v>nok</v>
      </c>
      <c r="T220" s="60" t="str">
        <f>IF(AND($B220=[1]rogério!$A221,[1]rogério!$B221=T$4),"ok","nok")</f>
        <v>nok</v>
      </c>
      <c r="U220" s="60" t="str">
        <f>IF(AND($B220=[1]rogério!$A221,[1]rogério!$B221=U$4),"ok","nok")</f>
        <v>nok</v>
      </c>
      <c r="V220" s="60" t="str">
        <f>IF(AND($B220=[1]rogério!$A221,[1]rogério!$B221=V$4),"ok","nok")</f>
        <v>nok</v>
      </c>
      <c r="W220" s="60" t="str">
        <f>IF(AND($B220=[1]rogério!$A221,[1]rogério!$B221=W$4),"ok","nok")</f>
        <v>nok</v>
      </c>
      <c r="X220" s="60" t="str">
        <f>IF(AND($B220=[1]rogério!$A221,[1]rogério!$B221=X$4),"ok","nok")</f>
        <v>nok</v>
      </c>
      <c r="Y220" s="105" t="s">
        <v>33</v>
      </c>
      <c r="Z220" s="106"/>
      <c r="AA220" s="106"/>
      <c r="AB220" s="107"/>
      <c r="AC220" s="40"/>
      <c r="AD220" s="40"/>
      <c r="AE220" s="48" t="str">
        <f t="shared" si="58"/>
        <v/>
      </c>
      <c r="AF220" s="48"/>
      <c r="AG220" s="48"/>
      <c r="AH220" s="89"/>
      <c r="AI220" s="49">
        <f t="shared" si="59"/>
        <v>0</v>
      </c>
      <c r="AJ220" s="49" t="str">
        <f t="shared" si="60"/>
        <v/>
      </c>
      <c r="AK220" s="49">
        <f t="shared" si="61"/>
        <v>0</v>
      </c>
      <c r="AL220" s="49" t="str">
        <f t="shared" si="62"/>
        <v/>
      </c>
      <c r="AM220" s="49">
        <f t="shared" si="63"/>
        <v>1</v>
      </c>
      <c r="AN220" s="49" t="str">
        <f t="shared" si="64"/>
        <v>EFPRAZO</v>
      </c>
      <c r="AO220" s="49">
        <f t="shared" si="65"/>
        <v>0</v>
      </c>
      <c r="AP220" s="49" t="str">
        <f t="shared" si="66"/>
        <v/>
      </c>
      <c r="AQ220" s="49">
        <f t="shared" si="67"/>
        <v>0</v>
      </c>
      <c r="AR220" s="49" t="str">
        <f t="shared" si="68"/>
        <v/>
      </c>
      <c r="AV220" s="57"/>
      <c r="BF220" s="52"/>
    </row>
    <row r="221" spans="1:58" ht="30" customHeight="1" x14ac:dyDescent="0.35">
      <c r="A221" s="25" t="str">
        <f t="shared" si="69"/>
        <v>PT177 - PLATAFORMA DE ACESSO - FORQUILHA 1 - DETALHADO
PROJETO DETALHADO
CIVIL</v>
      </c>
      <c r="B221" s="40" t="s">
        <v>19</v>
      </c>
      <c r="C221" s="60" t="str">
        <f>IF(AND($B221=[1]rogério!$A222,[1]rogério!$B222=C$4),"ok","nok")</f>
        <v>nok</v>
      </c>
      <c r="D221" s="60" t="str">
        <f>IF(AND($B221=[1]rogério!$A222,[1]rogério!$B222=D$4),"ok","nok")</f>
        <v>nok</v>
      </c>
      <c r="E221" s="60" t="str">
        <f>IF(AND($B221=[1]rogério!$A222,[1]rogério!$B222=E$4),"ok","nok")</f>
        <v>nok</v>
      </c>
      <c r="F221" s="60" t="str">
        <f>IF(AND($B221=[1]rogério!$A222,[1]rogério!$B222=F$4),"ok","nok")</f>
        <v>nok</v>
      </c>
      <c r="G221" s="60" t="str">
        <f>IF(AND($B221=[1]rogério!$A222,[1]rogério!$B222=G$4),"ok","nok")</f>
        <v>nok</v>
      </c>
      <c r="H221" s="60" t="str">
        <f>IF(AND($B221=[1]rogério!$A222,[1]rogério!$B222=H$4),"ok","nok")</f>
        <v>nok</v>
      </c>
      <c r="I221" s="60" t="str">
        <f>IF(AND($B221=[1]rogério!$A222,[1]rogério!$B222=I$4),"ok","nok")</f>
        <v>nok</v>
      </c>
      <c r="J221" s="60" t="str">
        <f>IF(AND($B221=[1]rogério!$A222,[1]rogério!$B222=J$4),"ok","nok")</f>
        <v>nok</v>
      </c>
      <c r="K221" s="60" t="str">
        <f>IF(AND($B221=[1]rogério!$A222,[1]rogério!$B222=K$4),"ok","nok")</f>
        <v>nok</v>
      </c>
      <c r="L221" s="60" t="str">
        <f>IF(AND($B221=[1]rogério!$A222,[1]rogério!$B222=L$4),"ok","nok")</f>
        <v>nok</v>
      </c>
      <c r="M221" s="60" t="str">
        <f>IF(AND($B221=[1]rogério!$A222,[1]rogério!$B222=M$4),"ok","nok")</f>
        <v>nok</v>
      </c>
      <c r="N221" s="60" t="str">
        <f>IF(AND($B221=[1]rogério!$A222,[1]rogério!$B222=N$4),"ok","nok")</f>
        <v>nok</v>
      </c>
      <c r="O221" s="60" t="str">
        <f>IF(AND($B221=[1]rogério!$A222,[1]rogério!$B222=O$4),"ok","nok")</f>
        <v>nok</v>
      </c>
      <c r="P221" s="60" t="str">
        <f>IF(AND($B221=[1]rogério!$A222,[1]rogério!$B222=P$4),"ok","nok")</f>
        <v>nok</v>
      </c>
      <c r="Q221" s="60" t="str">
        <f>IF(AND($B221=[1]rogério!$A222,[1]rogério!$B222=Q$4),"ok","nok")</f>
        <v>nok</v>
      </c>
      <c r="R221" s="60" t="str">
        <f>IF(AND($B221=[1]rogério!$A222,[1]rogério!$B222=R$4),"ok","nok")</f>
        <v>nok</v>
      </c>
      <c r="S221" s="60" t="str">
        <f>IF(AND($B221=[1]rogério!$A222,[1]rogério!$B222=S$4),"ok","nok")</f>
        <v>nok</v>
      </c>
      <c r="T221" s="60" t="str">
        <f>IF(AND($B221=[1]rogério!$A222,[1]rogério!$B222=T$4),"ok","nok")</f>
        <v>ok</v>
      </c>
      <c r="U221" s="60" t="str">
        <f>IF(AND($B221=[1]rogério!$A222,[1]rogério!$B222=U$4),"ok","nok")</f>
        <v>nok</v>
      </c>
      <c r="V221" s="60" t="str">
        <f>IF(AND($B221=[1]rogério!$A222,[1]rogério!$B222=V$4),"ok","nok")</f>
        <v>nok</v>
      </c>
      <c r="W221" s="60" t="str">
        <f>IF(AND($B221=[1]rogério!$A222,[1]rogério!$B222=W$4),"ok","nok")</f>
        <v>nok</v>
      </c>
      <c r="X221" s="60" t="str">
        <f>IF(AND($B221=[1]rogério!$A222,[1]rogério!$B222=X$4),"ok","nok")</f>
        <v>nok</v>
      </c>
      <c r="Y221" s="105" t="s">
        <v>15</v>
      </c>
      <c r="Z221" s="106"/>
      <c r="AA221" s="106"/>
      <c r="AB221" s="107"/>
      <c r="AC221" s="40"/>
      <c r="AD221" s="40"/>
      <c r="AE221" s="48" t="str">
        <f t="shared" si="58"/>
        <v/>
      </c>
      <c r="AF221" s="48"/>
      <c r="AG221" s="48"/>
      <c r="AH221" s="89"/>
      <c r="AI221" s="49">
        <f t="shared" si="59"/>
        <v>0</v>
      </c>
      <c r="AJ221" s="49" t="str">
        <f t="shared" si="60"/>
        <v/>
      </c>
      <c r="AK221" s="49">
        <f t="shared" si="61"/>
        <v>0</v>
      </c>
      <c r="AL221" s="49" t="str">
        <f t="shared" si="62"/>
        <v/>
      </c>
      <c r="AM221" s="49">
        <f t="shared" si="63"/>
        <v>0</v>
      </c>
      <c r="AN221" s="49" t="str">
        <f t="shared" si="64"/>
        <v/>
      </c>
      <c r="AO221" s="49">
        <f t="shared" si="65"/>
        <v>1</v>
      </c>
      <c r="AP221" s="49" t="str">
        <f t="shared" si="66"/>
        <v/>
      </c>
      <c r="AQ221" s="49">
        <f t="shared" si="67"/>
        <v>0</v>
      </c>
      <c r="AR221" s="49" t="str">
        <f t="shared" si="68"/>
        <v/>
      </c>
      <c r="AV221" s="57"/>
      <c r="BF221" s="52"/>
    </row>
    <row r="222" spans="1:58" ht="30" customHeight="1" x14ac:dyDescent="0.35">
      <c r="A222" s="25" t="str">
        <f t="shared" si="69"/>
        <v>PT177 - PLATAFORMA DE ACESSO - FORQUILHA 1 - DETALHADO
PROJETO DETALHADO
CIVIL</v>
      </c>
      <c r="B222" s="40" t="s">
        <v>42</v>
      </c>
      <c r="C222" s="60" t="str">
        <f>IF(AND($B222=[1]rogério!$A223,[1]rogério!$B223=C$4),"ok","nok")</f>
        <v>nok</v>
      </c>
      <c r="D222" s="60" t="str">
        <f>IF(AND($B222=[1]rogério!$A223,[1]rogério!$B223=D$4),"ok","nok")</f>
        <v>nok</v>
      </c>
      <c r="E222" s="60" t="str">
        <f>IF(AND($B222=[1]rogério!$A223,[1]rogério!$B223=E$4),"ok","nok")</f>
        <v>nok</v>
      </c>
      <c r="F222" s="60" t="str">
        <f>IF(AND($B222=[1]rogério!$A223,[1]rogério!$B223=F$4),"ok","nok")</f>
        <v>nok</v>
      </c>
      <c r="G222" s="60" t="str">
        <f>IF(AND($B222=[1]rogério!$A223,[1]rogério!$B223=G$4),"ok","nok")</f>
        <v>nok</v>
      </c>
      <c r="H222" s="60" t="str">
        <f>IF(AND($B222=[1]rogério!$A223,[1]rogério!$B223=H$4),"ok","nok")</f>
        <v>nok</v>
      </c>
      <c r="I222" s="60" t="str">
        <f>IF(AND($B222=[1]rogério!$A223,[1]rogério!$B223=I$4),"ok","nok")</f>
        <v>nok</v>
      </c>
      <c r="J222" s="60" t="str">
        <f>IF(AND($B222=[1]rogério!$A223,[1]rogério!$B223=J$4),"ok","nok")</f>
        <v>nok</v>
      </c>
      <c r="K222" s="60" t="str">
        <f>IF(AND($B222=[1]rogério!$A223,[1]rogério!$B223=K$4),"ok","nok")</f>
        <v>nok</v>
      </c>
      <c r="L222" s="60" t="str">
        <f>IF(AND($B222=[1]rogério!$A223,[1]rogério!$B223=L$4),"ok","nok")</f>
        <v>nok</v>
      </c>
      <c r="M222" s="60" t="str">
        <f>IF(AND($B222=[1]rogério!$A223,[1]rogério!$B223=M$4),"ok","nok")</f>
        <v>nok</v>
      </c>
      <c r="N222" s="60" t="str">
        <f>IF(AND($B222=[1]rogério!$A223,[1]rogério!$B223=N$4),"ok","nok")</f>
        <v>nok</v>
      </c>
      <c r="O222" s="60" t="str">
        <f>IF(AND($B222=[1]rogério!$A223,[1]rogério!$B223=O$4),"ok","nok")</f>
        <v>nok</v>
      </c>
      <c r="P222" s="60" t="str">
        <f>IF(AND($B222=[1]rogério!$A223,[1]rogério!$B223=P$4),"ok","nok")</f>
        <v>nok</v>
      </c>
      <c r="Q222" s="60" t="str">
        <f>IF(AND($B222=[1]rogério!$A223,[1]rogério!$B223=Q$4),"ok","nok")</f>
        <v>nok</v>
      </c>
      <c r="R222" s="60" t="str">
        <f>IF(AND($B222=[1]rogério!$A223,[1]rogério!$B223=R$4),"ok","nok")</f>
        <v>nok</v>
      </c>
      <c r="S222" s="60" t="str">
        <f>IF(AND($B222=[1]rogério!$A223,[1]rogério!$B223=S$4),"ok","nok")</f>
        <v>nok</v>
      </c>
      <c r="T222" s="60" t="str">
        <f>IF(AND($B222=[1]rogério!$A223,[1]rogério!$B223=T$4),"ok","nok")</f>
        <v>nok</v>
      </c>
      <c r="U222" s="60" t="str">
        <f>IF(AND($B222=[1]rogério!$A223,[1]rogério!$B223=U$4),"ok","nok")</f>
        <v>nok</v>
      </c>
      <c r="V222" s="60" t="str">
        <f>IF(AND($B222=[1]rogério!$A223,[1]rogério!$B223=V$4),"ok","nok")</f>
        <v>nok</v>
      </c>
      <c r="W222" s="60" t="str">
        <f>IF(AND($B222=[1]rogério!$A223,[1]rogério!$B223=W$4),"ok","nok")</f>
        <v>ok</v>
      </c>
      <c r="X222" s="60" t="str">
        <f>IF(AND($B222=[1]rogério!$A223,[1]rogério!$B223=X$4),"ok","nok")</f>
        <v>nok</v>
      </c>
      <c r="Y222" s="105" t="s">
        <v>15</v>
      </c>
      <c r="Z222" s="106"/>
      <c r="AA222" s="106"/>
      <c r="AB222" s="107"/>
      <c r="AC222" s="40"/>
      <c r="AD222" s="40"/>
      <c r="AE222" s="48" t="str">
        <f t="shared" si="58"/>
        <v/>
      </c>
      <c r="AF222" s="48"/>
      <c r="AG222" s="48"/>
      <c r="AH222" s="89"/>
      <c r="AI222" s="49">
        <f t="shared" si="59"/>
        <v>0</v>
      </c>
      <c r="AJ222" s="49" t="str">
        <f t="shared" si="60"/>
        <v/>
      </c>
      <c r="AK222" s="49">
        <f t="shared" si="61"/>
        <v>0</v>
      </c>
      <c r="AL222" s="49" t="str">
        <f t="shared" si="62"/>
        <v/>
      </c>
      <c r="AM222" s="49">
        <f t="shared" si="63"/>
        <v>0</v>
      </c>
      <c r="AN222" s="49" t="str">
        <f t="shared" si="64"/>
        <v/>
      </c>
      <c r="AO222" s="49">
        <f t="shared" si="65"/>
        <v>0</v>
      </c>
      <c r="AP222" s="49" t="str">
        <f t="shared" si="66"/>
        <v/>
      </c>
      <c r="AQ222" s="49">
        <f t="shared" si="67"/>
        <v>1</v>
      </c>
      <c r="AR222" s="49" t="str">
        <f t="shared" si="68"/>
        <v/>
      </c>
      <c r="AV222" s="57"/>
      <c r="BF222" s="52"/>
    </row>
    <row r="223" spans="1:58" ht="30" customHeight="1" x14ac:dyDescent="0.35">
      <c r="A223" s="25" t="str">
        <f t="shared" si="69"/>
        <v>PT177 - PLATAFORMA DE ACESSO - FORQUILHA 1 - DETALHADO
PROJETO DETALHADO
CIVIL</v>
      </c>
      <c r="B223" s="40" t="s">
        <v>43</v>
      </c>
      <c r="C223" s="60" t="str">
        <f>IF(AND($B223=[1]rogério!$A224,[1]rogério!$B224=C$4),"ok","nok")</f>
        <v>nok</v>
      </c>
      <c r="D223" s="60" t="str">
        <f>IF(AND($B223=[1]rogério!$A224,[1]rogério!$B224=D$4),"ok","nok")</f>
        <v>nok</v>
      </c>
      <c r="E223" s="60" t="str">
        <f>IF(AND($B223=[1]rogério!$A224,[1]rogério!$B224=E$4),"ok","nok")</f>
        <v>nok</v>
      </c>
      <c r="F223" s="60" t="str">
        <f>IF(AND($B223=[1]rogério!$A224,[1]rogério!$B224=F$4),"ok","nok")</f>
        <v>nok</v>
      </c>
      <c r="G223" s="60" t="str">
        <f>IF(AND($B223=[1]rogério!$A224,[1]rogério!$B224=G$4),"ok","nok")</f>
        <v>nok</v>
      </c>
      <c r="H223" s="60" t="str">
        <f>IF(AND($B223=[1]rogério!$A224,[1]rogério!$B224=H$4),"ok","nok")</f>
        <v>nok</v>
      </c>
      <c r="I223" s="60" t="str">
        <f>IF(AND($B223=[1]rogério!$A224,[1]rogério!$B224=I$4),"ok","nok")</f>
        <v>nok</v>
      </c>
      <c r="J223" s="60" t="str">
        <f>IF(AND($B223=[1]rogério!$A224,[1]rogério!$B224=J$4),"ok","nok")</f>
        <v>nok</v>
      </c>
      <c r="K223" s="60" t="str">
        <f>IF(AND($B223=[1]rogério!$A224,[1]rogério!$B224=K$4),"ok","nok")</f>
        <v>nok</v>
      </c>
      <c r="L223" s="60" t="str">
        <f>IF(AND($B223=[1]rogério!$A224,[1]rogério!$B224=L$4),"ok","nok")</f>
        <v>nok</v>
      </c>
      <c r="M223" s="60" t="str">
        <f>IF(AND($B223=[1]rogério!$A224,[1]rogério!$B224=M$4),"ok","nok")</f>
        <v>nok</v>
      </c>
      <c r="N223" s="60" t="str">
        <f>IF(AND($B223=[1]rogério!$A224,[1]rogério!$B224=N$4),"ok","nok")</f>
        <v>nok</v>
      </c>
      <c r="O223" s="60" t="str">
        <f>IF(AND($B223=[1]rogério!$A224,[1]rogério!$B224=O$4),"ok","nok")</f>
        <v>nok</v>
      </c>
      <c r="P223" s="60" t="str">
        <f>IF(AND($B223=[1]rogério!$A224,[1]rogério!$B224=P$4),"ok","nok")</f>
        <v>nok</v>
      </c>
      <c r="Q223" s="60" t="str">
        <f>IF(AND($B223=[1]rogério!$A224,[1]rogério!$B224=Q$4),"ok","nok")</f>
        <v>nok</v>
      </c>
      <c r="R223" s="60" t="str">
        <f>IF(AND($B223=[1]rogério!$A224,[1]rogério!$B224=R$4),"ok","nok")</f>
        <v>nok</v>
      </c>
      <c r="S223" s="60" t="str">
        <f>IF(AND($B223=[1]rogério!$A224,[1]rogério!$B224=S$4),"ok","nok")</f>
        <v>nok</v>
      </c>
      <c r="T223" s="60" t="str">
        <f>IF(AND($B223=[1]rogério!$A224,[1]rogério!$B224=T$4),"ok","nok")</f>
        <v>nok</v>
      </c>
      <c r="U223" s="60" t="str">
        <f>IF(AND($B223=[1]rogério!$A224,[1]rogério!$B224=U$4),"ok","nok")</f>
        <v>nok</v>
      </c>
      <c r="V223" s="60" t="str">
        <f>IF(AND($B223=[1]rogério!$A224,[1]rogério!$B224=V$4),"ok","nok")</f>
        <v>nok</v>
      </c>
      <c r="W223" s="60" t="str">
        <f>IF(AND($B223=[1]rogério!$A224,[1]rogério!$B224=W$4),"ok","nok")</f>
        <v>ok</v>
      </c>
      <c r="X223" s="60" t="str">
        <f>IF(AND($B223=[1]rogério!$A224,[1]rogério!$B224=X$4),"ok","nok")</f>
        <v>nok</v>
      </c>
      <c r="Y223" s="105" t="s">
        <v>15</v>
      </c>
      <c r="Z223" s="106"/>
      <c r="AA223" s="106"/>
      <c r="AB223" s="107"/>
      <c r="AC223" s="40"/>
      <c r="AD223" s="40"/>
      <c r="AE223" s="48" t="str">
        <f t="shared" si="58"/>
        <v/>
      </c>
      <c r="AF223" s="48"/>
      <c r="AG223" s="48"/>
      <c r="AH223" s="89"/>
      <c r="AI223" s="49">
        <f t="shared" si="59"/>
        <v>0</v>
      </c>
      <c r="AJ223" s="49" t="str">
        <f t="shared" si="60"/>
        <v/>
      </c>
      <c r="AK223" s="49">
        <f t="shared" si="61"/>
        <v>0</v>
      </c>
      <c r="AL223" s="49" t="str">
        <f t="shared" si="62"/>
        <v/>
      </c>
      <c r="AM223" s="49">
        <f t="shared" si="63"/>
        <v>0</v>
      </c>
      <c r="AN223" s="49" t="str">
        <f t="shared" si="64"/>
        <v/>
      </c>
      <c r="AO223" s="49">
        <f t="shared" si="65"/>
        <v>0</v>
      </c>
      <c r="AP223" s="49" t="str">
        <f t="shared" si="66"/>
        <v/>
      </c>
      <c r="AQ223" s="49">
        <f t="shared" si="67"/>
        <v>1</v>
      </c>
      <c r="AR223" s="49" t="str">
        <f t="shared" si="68"/>
        <v/>
      </c>
      <c r="AV223" s="57"/>
      <c r="BF223" s="52"/>
    </row>
    <row r="224" spans="1:58" ht="30" customHeight="1" x14ac:dyDescent="0.35">
      <c r="A224" s="25" t="str">
        <f t="shared" si="69"/>
        <v>PT177 - PLATAFORMA DE ACESSO - FORQUILHA 1 - DETALHADO
PROJETO DETALHADO
CIVIL</v>
      </c>
      <c r="B224" s="38" t="s">
        <v>79</v>
      </c>
      <c r="C224" s="60" t="str">
        <f>IF(AND($B224=[1]rogério!$A225,[1]rogério!$B225=C$4),"ok","nok")</f>
        <v>nok</v>
      </c>
      <c r="D224" s="60" t="str">
        <f>IF(AND($B224=[1]rogério!$A225,[1]rogério!$B225=D$4),"ok","nok")</f>
        <v>nok</v>
      </c>
      <c r="E224" s="60" t="str">
        <f>IF(AND($B224=[1]rogério!$A225,[1]rogério!$B225=E$4),"ok","nok")</f>
        <v>nok</v>
      </c>
      <c r="F224" s="60" t="str">
        <f>IF(AND($B224=[1]rogério!$A225,[1]rogério!$B225=F$4),"ok","nok")</f>
        <v>nok</v>
      </c>
      <c r="G224" s="60" t="str">
        <f>IF(AND($B224=[1]rogério!$A225,[1]rogério!$B225=G$4),"ok","nok")</f>
        <v>nok</v>
      </c>
      <c r="H224" s="60" t="str">
        <f>IF(AND($B224=[1]rogério!$A225,[1]rogério!$B225=H$4),"ok","nok")</f>
        <v>nok</v>
      </c>
      <c r="I224" s="60" t="str">
        <f>IF(AND($B224=[1]rogério!$A225,[1]rogério!$B225=I$4),"ok","nok")</f>
        <v>nok</v>
      </c>
      <c r="J224" s="60" t="str">
        <f>IF(AND($B224=[1]rogério!$A225,[1]rogério!$B225=J$4),"ok","nok")</f>
        <v>nok</v>
      </c>
      <c r="K224" s="60" t="str">
        <f>IF(AND($B224=[1]rogério!$A225,[1]rogério!$B225=K$4),"ok","nok")</f>
        <v>nok</v>
      </c>
      <c r="L224" s="60" t="str">
        <f>IF(AND($B224=[1]rogério!$A225,[1]rogério!$B225=L$4),"ok","nok")</f>
        <v>nok</v>
      </c>
      <c r="M224" s="60" t="str">
        <f>IF(AND($B224=[1]rogério!$A225,[1]rogério!$B225=M$4),"ok","nok")</f>
        <v>nok</v>
      </c>
      <c r="N224" s="60" t="str">
        <f>IF(AND($B224=[1]rogério!$A225,[1]rogério!$B225=N$4),"ok","nok")</f>
        <v>nok</v>
      </c>
      <c r="O224" s="60" t="str">
        <f>IF(AND($B224=[1]rogério!$A225,[1]rogério!$B225=O$4),"ok","nok")</f>
        <v>nok</v>
      </c>
      <c r="P224" s="60" t="str">
        <f>IF(AND($B224=[1]rogério!$A225,[1]rogério!$B225=P$4),"ok","nok")</f>
        <v>nok</v>
      </c>
      <c r="Q224" s="60" t="str">
        <f>IF(AND($B224=[1]rogério!$A225,[1]rogério!$B225=Q$4),"ok","nok")</f>
        <v>ok</v>
      </c>
      <c r="R224" s="60" t="str">
        <f>IF(AND($B224=[1]rogério!$A225,[1]rogério!$B225=R$4),"ok","nok")</f>
        <v>nok</v>
      </c>
      <c r="S224" s="60" t="str">
        <f>IF(AND($B224=[1]rogério!$A225,[1]rogério!$B225=S$4),"ok","nok")</f>
        <v>nok</v>
      </c>
      <c r="T224" s="60" t="str">
        <f>IF(AND($B224=[1]rogério!$A225,[1]rogério!$B225=T$4),"ok","nok")</f>
        <v>nok</v>
      </c>
      <c r="U224" s="60" t="str">
        <f>IF(AND($B224=[1]rogério!$A225,[1]rogério!$B225=U$4),"ok","nok")</f>
        <v>nok</v>
      </c>
      <c r="V224" s="60" t="str">
        <f>IF(AND($B224=[1]rogério!$A225,[1]rogério!$B225=V$4),"ok","nok")</f>
        <v>nok</v>
      </c>
      <c r="W224" s="60" t="str">
        <f>IF(AND($B224=[1]rogério!$A225,[1]rogério!$B225=W$4),"ok","nok")</f>
        <v>nok</v>
      </c>
      <c r="X224" s="60" t="str">
        <f>IF(AND($B224=[1]rogério!$A225,[1]rogério!$B225=X$4),"ok","nok")</f>
        <v>nok</v>
      </c>
      <c r="Y224" s="105" t="s">
        <v>15</v>
      </c>
      <c r="Z224" s="106"/>
      <c r="AA224" s="106"/>
      <c r="AB224" s="107"/>
      <c r="AC224" s="40"/>
      <c r="AD224" s="40"/>
      <c r="AE224" s="48" t="str">
        <f t="shared" si="58"/>
        <v/>
      </c>
      <c r="AF224" s="48"/>
      <c r="AG224" s="48"/>
      <c r="AH224" s="89"/>
      <c r="AI224" s="49">
        <f t="shared" si="59"/>
        <v>0</v>
      </c>
      <c r="AJ224" s="49" t="str">
        <f t="shared" si="60"/>
        <v/>
      </c>
      <c r="AK224" s="49">
        <f t="shared" si="61"/>
        <v>0</v>
      </c>
      <c r="AL224" s="49" t="str">
        <f t="shared" si="62"/>
        <v/>
      </c>
      <c r="AM224" s="49">
        <f t="shared" si="63"/>
        <v>1</v>
      </c>
      <c r="AN224" s="49" t="str">
        <f t="shared" si="64"/>
        <v/>
      </c>
      <c r="AO224" s="49">
        <f t="shared" si="65"/>
        <v>0</v>
      </c>
      <c r="AP224" s="49" t="str">
        <f t="shared" si="66"/>
        <v/>
      </c>
      <c r="AQ224" s="49">
        <f t="shared" si="67"/>
        <v>0</v>
      </c>
      <c r="AR224" s="49" t="str">
        <f t="shared" si="68"/>
        <v/>
      </c>
      <c r="AV224" s="57"/>
      <c r="BF224" s="52"/>
    </row>
    <row r="225" spans="1:58" ht="30" customHeight="1" x14ac:dyDescent="0.35">
      <c r="A225" s="25" t="str">
        <f t="shared" si="69"/>
        <v>PT177 - PLATAFORMA DE ACESSO - FORQUILHA 1 - DETALHADO
PROJETO DETALHADO
CIVIL</v>
      </c>
      <c r="B225" s="38" t="s">
        <v>80</v>
      </c>
      <c r="C225" s="60" t="str">
        <f>IF(AND($B225=[1]rogério!$A226,[1]rogério!$B226=C$4),"ok","nok")</f>
        <v>nok</v>
      </c>
      <c r="D225" s="60" t="str">
        <f>IF(AND($B225=[1]rogério!$A226,[1]rogério!$B226=D$4),"ok","nok")</f>
        <v>nok</v>
      </c>
      <c r="E225" s="60" t="str">
        <f>IF(AND($B225=[1]rogério!$A226,[1]rogério!$B226=E$4),"ok","nok")</f>
        <v>nok</v>
      </c>
      <c r="F225" s="60" t="str">
        <f>IF(AND($B225=[1]rogério!$A226,[1]rogério!$B226=F$4),"ok","nok")</f>
        <v>nok</v>
      </c>
      <c r="G225" s="60" t="str">
        <f>IF(AND($B225=[1]rogério!$A226,[1]rogério!$B226=G$4),"ok","nok")</f>
        <v>nok</v>
      </c>
      <c r="H225" s="60" t="str">
        <f>IF(AND($B225=[1]rogério!$A226,[1]rogério!$B226=H$4),"ok","nok")</f>
        <v>nok</v>
      </c>
      <c r="I225" s="60" t="str">
        <f>IF(AND($B225=[1]rogério!$A226,[1]rogério!$B226=I$4),"ok","nok")</f>
        <v>nok</v>
      </c>
      <c r="J225" s="60" t="str">
        <f>IF(AND($B225=[1]rogério!$A226,[1]rogério!$B226=J$4),"ok","nok")</f>
        <v>nok</v>
      </c>
      <c r="K225" s="60" t="str">
        <f>IF(AND($B225=[1]rogério!$A226,[1]rogério!$B226=K$4),"ok","nok")</f>
        <v>nok</v>
      </c>
      <c r="L225" s="60" t="str">
        <f>IF(AND($B225=[1]rogério!$A226,[1]rogério!$B226=L$4),"ok","nok")</f>
        <v>nok</v>
      </c>
      <c r="M225" s="60" t="str">
        <f>IF(AND($B225=[1]rogério!$A226,[1]rogério!$B226=M$4),"ok","nok")</f>
        <v>nok</v>
      </c>
      <c r="N225" s="60" t="str">
        <f>IF(AND($B225=[1]rogério!$A226,[1]rogério!$B226=N$4),"ok","nok")</f>
        <v>nok</v>
      </c>
      <c r="O225" s="60" t="str">
        <f>IF(AND($B225=[1]rogério!$A226,[1]rogério!$B226=O$4),"ok","nok")</f>
        <v>nok</v>
      </c>
      <c r="P225" s="60" t="str">
        <f>IF(AND($B225=[1]rogério!$A226,[1]rogério!$B226=P$4),"ok","nok")</f>
        <v>nok</v>
      </c>
      <c r="Q225" s="60" t="str">
        <f>IF(AND($B225=[1]rogério!$A226,[1]rogério!$B226=Q$4),"ok","nok")</f>
        <v>nok</v>
      </c>
      <c r="R225" s="60" t="str">
        <f>IF(AND($B225=[1]rogério!$A226,[1]rogério!$B226=R$4),"ok","nok")</f>
        <v>ok</v>
      </c>
      <c r="S225" s="60" t="str">
        <f>IF(AND($B225=[1]rogério!$A226,[1]rogério!$B226=S$4),"ok","nok")</f>
        <v>nok</v>
      </c>
      <c r="T225" s="60" t="str">
        <f>IF(AND($B225=[1]rogério!$A226,[1]rogério!$B226=T$4),"ok","nok")</f>
        <v>nok</v>
      </c>
      <c r="U225" s="60" t="str">
        <f>IF(AND($B225=[1]rogério!$A226,[1]rogério!$B226=U$4),"ok","nok")</f>
        <v>nok</v>
      </c>
      <c r="V225" s="60" t="str">
        <f>IF(AND($B225=[1]rogério!$A226,[1]rogério!$B226=V$4),"ok","nok")</f>
        <v>nok</v>
      </c>
      <c r="W225" s="60" t="str">
        <f>IF(AND($B225=[1]rogério!$A226,[1]rogério!$B226=W$4),"ok","nok")</f>
        <v>nok</v>
      </c>
      <c r="X225" s="60" t="str">
        <f>IF(AND($B225=[1]rogério!$A226,[1]rogério!$B226=X$4),"ok","nok")</f>
        <v>nok</v>
      </c>
      <c r="Y225" s="105" t="s">
        <v>15</v>
      </c>
      <c r="Z225" s="106"/>
      <c r="AA225" s="106"/>
      <c r="AB225" s="107"/>
      <c r="AC225" s="40"/>
      <c r="AD225" s="40"/>
      <c r="AE225" s="48" t="str">
        <f t="shared" si="58"/>
        <v/>
      </c>
      <c r="AF225" s="48"/>
      <c r="AG225" s="48"/>
      <c r="AH225" s="89"/>
      <c r="AI225" s="49">
        <f t="shared" si="59"/>
        <v>0</v>
      </c>
      <c r="AJ225" s="49" t="str">
        <f t="shared" si="60"/>
        <v/>
      </c>
      <c r="AK225" s="49">
        <f t="shared" si="61"/>
        <v>0</v>
      </c>
      <c r="AL225" s="49" t="str">
        <f t="shared" si="62"/>
        <v/>
      </c>
      <c r="AM225" s="49">
        <f t="shared" si="63"/>
        <v>0</v>
      </c>
      <c r="AN225" s="49" t="str">
        <f t="shared" si="64"/>
        <v/>
      </c>
      <c r="AO225" s="49">
        <f t="shared" si="65"/>
        <v>1</v>
      </c>
      <c r="AP225" s="49" t="str">
        <f t="shared" si="66"/>
        <v/>
      </c>
      <c r="AQ225" s="49">
        <f t="shared" si="67"/>
        <v>0</v>
      </c>
      <c r="AR225" s="49" t="str">
        <f t="shared" si="68"/>
        <v/>
      </c>
      <c r="AV225" s="57"/>
      <c r="BF225" s="52"/>
    </row>
    <row r="226" spans="1:58" ht="30" customHeight="1" x14ac:dyDescent="0.35">
      <c r="A226" s="25"/>
      <c r="B226" s="39" t="s">
        <v>81</v>
      </c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108"/>
      <c r="Z226" s="109"/>
      <c r="AA226" s="109"/>
      <c r="AB226" s="110"/>
      <c r="AC226" s="40"/>
      <c r="AD226" s="40"/>
      <c r="AE226" s="48" t="str">
        <f t="shared" si="58"/>
        <v/>
      </c>
      <c r="AF226" s="48"/>
      <c r="AG226" s="48"/>
      <c r="AH226" s="89"/>
      <c r="AI226" s="49">
        <f t="shared" si="59"/>
        <v>0</v>
      </c>
      <c r="AJ226" s="49" t="str">
        <f t="shared" si="60"/>
        <v/>
      </c>
      <c r="AK226" s="49">
        <f t="shared" si="61"/>
        <v>0</v>
      </c>
      <c r="AL226" s="49" t="str">
        <f t="shared" si="62"/>
        <v/>
      </c>
      <c r="AM226" s="49">
        <f t="shared" si="63"/>
        <v>0</v>
      </c>
      <c r="AN226" s="49" t="str">
        <f t="shared" si="64"/>
        <v/>
      </c>
      <c r="AO226" s="49">
        <f t="shared" si="65"/>
        <v>0</v>
      </c>
      <c r="AP226" s="49" t="str">
        <f t="shared" si="66"/>
        <v/>
      </c>
      <c r="AQ226" s="49">
        <f t="shared" si="67"/>
        <v>0</v>
      </c>
      <c r="AR226" s="49" t="str">
        <f t="shared" si="68"/>
        <v/>
      </c>
      <c r="AV226" s="57"/>
      <c r="BF226" s="52"/>
    </row>
    <row r="227" spans="1:58" ht="30" customHeight="1" x14ac:dyDescent="0.35">
      <c r="A227" s="25" t="str">
        <f t="shared" si="69"/>
        <v>PT177 - PLATAFORMA DE ACESSO - FORQUILHA 1 - DETALHADO
PROJETO DETALHADO
CIVIL</v>
      </c>
      <c r="B227" s="40" t="s">
        <v>49</v>
      </c>
      <c r="C227" s="60" t="str">
        <f>IF(AND($B227=[1]rogério!$A228,[1]rogério!$B228=C$4),"ok","nok")</f>
        <v>nok</v>
      </c>
      <c r="D227" s="60" t="str">
        <f>IF(AND($B227=[1]rogério!$A228,[1]rogério!$B228=D$4),"ok","nok")</f>
        <v>nok</v>
      </c>
      <c r="E227" s="60" t="str">
        <f>IF(AND($B227=[1]rogério!$A228,[1]rogério!$B228=E$4),"ok","nok")</f>
        <v>nok</v>
      </c>
      <c r="F227" s="60" t="str">
        <f>IF(AND($B227=[1]rogério!$A228,[1]rogério!$B228=F$4),"ok","nok")</f>
        <v>nok</v>
      </c>
      <c r="G227" s="60" t="str">
        <f>IF(AND($B227=[1]rogério!$A228,[1]rogério!$B228=G$4),"ok","nok")</f>
        <v>nok</v>
      </c>
      <c r="H227" s="60" t="str">
        <f>IF(AND($B227=[1]rogério!$A228,[1]rogério!$B228=H$4),"ok","nok")</f>
        <v>nok</v>
      </c>
      <c r="I227" s="60" t="str">
        <f>IF(AND($B227=[1]rogério!$A228,[1]rogério!$B228=I$4),"ok","nok")</f>
        <v>nok</v>
      </c>
      <c r="J227" s="60" t="str">
        <f>IF(AND($B227=[1]rogério!$A228,[1]rogério!$B228=J$4),"ok","nok")</f>
        <v>nok</v>
      </c>
      <c r="K227" s="60" t="str">
        <f>IF(AND($B227=[1]rogério!$A228,[1]rogério!$B228=K$4),"ok","nok")</f>
        <v>nok</v>
      </c>
      <c r="L227" s="60" t="str">
        <f>IF(AND($B227=[1]rogério!$A228,[1]rogério!$B228=L$4),"ok","nok")</f>
        <v>nok</v>
      </c>
      <c r="M227" s="60" t="str">
        <f>IF(AND($B227=[1]rogério!$A228,[1]rogério!$B228=M$4),"ok","nok")</f>
        <v>nok</v>
      </c>
      <c r="N227" s="60" t="str">
        <f>IF(AND($B227=[1]rogério!$A228,[1]rogério!$B228=N$4),"ok","nok")</f>
        <v>nok</v>
      </c>
      <c r="O227" s="60" t="str">
        <f>IF(AND($B227=[1]rogério!$A228,[1]rogério!$B228=O$4),"ok","nok")</f>
        <v>nok</v>
      </c>
      <c r="P227" s="60" t="str">
        <f>IF(AND($B227=[1]rogério!$A228,[1]rogério!$B228=P$4),"ok","nok")</f>
        <v>nok</v>
      </c>
      <c r="Q227" s="60" t="str">
        <f>IF(AND($B227=[1]rogério!$A228,[1]rogério!$B228=Q$4),"ok","nok")</f>
        <v>nok</v>
      </c>
      <c r="R227" s="60" t="str">
        <f>IF(AND($B227=[1]rogério!$A228,[1]rogério!$B228=R$4),"ok","nok")</f>
        <v>ok</v>
      </c>
      <c r="S227" s="60" t="str">
        <f>IF(AND($B227=[1]rogério!$A228,[1]rogério!$B228=S$4),"ok","nok")</f>
        <v>nok</v>
      </c>
      <c r="T227" s="60" t="str">
        <f>IF(AND($B227=[1]rogério!$A228,[1]rogério!$B228=T$4),"ok","nok")</f>
        <v>nok</v>
      </c>
      <c r="U227" s="60" t="str">
        <f>IF(AND($B227=[1]rogério!$A228,[1]rogério!$B228=U$4),"ok","nok")</f>
        <v>nok</v>
      </c>
      <c r="V227" s="60" t="str">
        <f>IF(AND($B227=[1]rogério!$A228,[1]rogério!$B228=V$4),"ok","nok")</f>
        <v>nok</v>
      </c>
      <c r="W227" s="60" t="str">
        <f>IF(AND($B227=[1]rogério!$A228,[1]rogério!$B228=W$4),"ok","nok")</f>
        <v>nok</v>
      </c>
      <c r="X227" s="60" t="str">
        <f>IF(AND($B227=[1]rogério!$A228,[1]rogério!$B228=X$4),"ok","nok")</f>
        <v>nok</v>
      </c>
      <c r="Y227" s="105" t="s">
        <v>15</v>
      </c>
      <c r="Z227" s="106"/>
      <c r="AA227" s="106"/>
      <c r="AB227" s="107"/>
      <c r="AC227" s="40"/>
      <c r="AD227" s="40"/>
      <c r="AE227" s="48" t="str">
        <f t="shared" si="58"/>
        <v/>
      </c>
      <c r="AF227" s="48"/>
      <c r="AG227" s="48"/>
      <c r="AH227" s="89"/>
      <c r="AI227" s="49">
        <f t="shared" si="59"/>
        <v>0</v>
      </c>
      <c r="AJ227" s="49" t="str">
        <f t="shared" si="60"/>
        <v/>
      </c>
      <c r="AK227" s="49">
        <f t="shared" si="61"/>
        <v>0</v>
      </c>
      <c r="AL227" s="49" t="str">
        <f t="shared" si="62"/>
        <v/>
      </c>
      <c r="AM227" s="49">
        <f t="shared" si="63"/>
        <v>0</v>
      </c>
      <c r="AN227" s="49" t="str">
        <f t="shared" si="64"/>
        <v/>
      </c>
      <c r="AO227" s="49">
        <f t="shared" si="65"/>
        <v>1</v>
      </c>
      <c r="AP227" s="49" t="str">
        <f t="shared" si="66"/>
        <v/>
      </c>
      <c r="AQ227" s="49">
        <f t="shared" si="67"/>
        <v>0</v>
      </c>
      <c r="AR227" s="49" t="str">
        <f t="shared" si="68"/>
        <v/>
      </c>
      <c r="AV227" s="57"/>
      <c r="BF227" s="52"/>
    </row>
    <row r="228" spans="1:58" ht="30" customHeight="1" x14ac:dyDescent="0.35">
      <c r="A228" s="25" t="str">
        <f t="shared" si="69"/>
        <v>PT177 - PLATAFORMA DE ACESSO - FORQUILHA 1 - DETALHADO
PROJETO DETALHADO
CIVIL</v>
      </c>
      <c r="B228" s="40" t="s">
        <v>19</v>
      </c>
      <c r="C228" s="60" t="str">
        <f>IF(AND($B228=[1]rogério!$A229,[1]rogério!$B229=C$4),"ok","nok")</f>
        <v>nok</v>
      </c>
      <c r="D228" s="60" t="str">
        <f>IF(AND($B228=[1]rogério!$A229,[1]rogério!$B229=D$4),"ok","nok")</f>
        <v>nok</v>
      </c>
      <c r="E228" s="60" t="str">
        <f>IF(AND($B228=[1]rogério!$A229,[1]rogério!$B229=E$4),"ok","nok")</f>
        <v>nok</v>
      </c>
      <c r="F228" s="60" t="str">
        <f>IF(AND($B228=[1]rogério!$A229,[1]rogério!$B229=F$4),"ok","nok")</f>
        <v>nok</v>
      </c>
      <c r="G228" s="60" t="str">
        <f>IF(AND($B228=[1]rogério!$A229,[1]rogério!$B229=G$4),"ok","nok")</f>
        <v>nok</v>
      </c>
      <c r="H228" s="60" t="str">
        <f>IF(AND($B228=[1]rogério!$A229,[1]rogério!$B229=H$4),"ok","nok")</f>
        <v>nok</v>
      </c>
      <c r="I228" s="60" t="str">
        <f>IF(AND($B228=[1]rogério!$A229,[1]rogério!$B229=I$4),"ok","nok")</f>
        <v>nok</v>
      </c>
      <c r="J228" s="60" t="str">
        <f>IF(AND($B228=[1]rogério!$A229,[1]rogério!$B229=J$4),"ok","nok")</f>
        <v>nok</v>
      </c>
      <c r="K228" s="60" t="str">
        <f>IF(AND($B228=[1]rogério!$A229,[1]rogério!$B229=K$4),"ok","nok")</f>
        <v>nok</v>
      </c>
      <c r="L228" s="60" t="str">
        <f>IF(AND($B228=[1]rogério!$A229,[1]rogério!$B229=L$4),"ok","nok")</f>
        <v>nok</v>
      </c>
      <c r="M228" s="60" t="str">
        <f>IF(AND($B228=[1]rogério!$A229,[1]rogério!$B229=M$4),"ok","nok")</f>
        <v>nok</v>
      </c>
      <c r="N228" s="60" t="str">
        <f>IF(AND($B228=[1]rogério!$A229,[1]rogério!$B229=N$4),"ok","nok")</f>
        <v>nok</v>
      </c>
      <c r="O228" s="60" t="str">
        <f>IF(AND($B228=[1]rogério!$A229,[1]rogério!$B229=O$4),"ok","nok")</f>
        <v>nok</v>
      </c>
      <c r="P228" s="60" t="str">
        <f>IF(AND($B228=[1]rogério!$A229,[1]rogério!$B229=P$4),"ok","nok")</f>
        <v>nok</v>
      </c>
      <c r="Q228" s="60" t="str">
        <f>IF(AND($B228=[1]rogério!$A229,[1]rogério!$B229=Q$4),"ok","nok")</f>
        <v>nok</v>
      </c>
      <c r="R228" s="60" t="str">
        <f>IF(AND($B228=[1]rogério!$A229,[1]rogério!$B229=R$4),"ok","nok")</f>
        <v>nok</v>
      </c>
      <c r="S228" s="60" t="str">
        <f>IF(AND($B228=[1]rogério!$A229,[1]rogério!$B229=S$4),"ok","nok")</f>
        <v>nok</v>
      </c>
      <c r="T228" s="60" t="str">
        <f>IF(AND($B228=[1]rogério!$A229,[1]rogério!$B229=T$4),"ok","nok")</f>
        <v>nok</v>
      </c>
      <c r="U228" s="60" t="str">
        <f>IF(AND($B228=[1]rogério!$A229,[1]rogério!$B229=U$4),"ok","nok")</f>
        <v>nok</v>
      </c>
      <c r="V228" s="60" t="str">
        <f>IF(AND($B228=[1]rogério!$A229,[1]rogério!$B229=V$4),"ok","nok")</f>
        <v>nok</v>
      </c>
      <c r="W228" s="60" t="str">
        <f>IF(AND($B228=[1]rogério!$A229,[1]rogério!$B229=W$4),"ok","nok")</f>
        <v>ok</v>
      </c>
      <c r="X228" s="60" t="str">
        <f>IF(AND($B228=[1]rogério!$A229,[1]rogério!$B229=X$4),"ok","nok")</f>
        <v>nok</v>
      </c>
      <c r="Y228" s="105" t="s">
        <v>15</v>
      </c>
      <c r="Z228" s="106"/>
      <c r="AA228" s="106"/>
      <c r="AB228" s="107"/>
      <c r="AC228" s="40"/>
      <c r="AD228" s="40"/>
      <c r="AE228" s="48" t="str">
        <f t="shared" si="58"/>
        <v/>
      </c>
      <c r="AF228" s="48"/>
      <c r="AG228" s="48"/>
      <c r="AH228" s="89"/>
      <c r="AI228" s="49">
        <f t="shared" si="59"/>
        <v>0</v>
      </c>
      <c r="AJ228" s="49" t="str">
        <f t="shared" si="60"/>
        <v/>
      </c>
      <c r="AK228" s="49">
        <f t="shared" si="61"/>
        <v>0</v>
      </c>
      <c r="AL228" s="49" t="str">
        <f t="shared" si="62"/>
        <v/>
      </c>
      <c r="AM228" s="49">
        <f t="shared" si="63"/>
        <v>0</v>
      </c>
      <c r="AN228" s="49" t="str">
        <f t="shared" si="64"/>
        <v/>
      </c>
      <c r="AO228" s="49">
        <f t="shared" si="65"/>
        <v>0</v>
      </c>
      <c r="AP228" s="49" t="str">
        <f t="shared" si="66"/>
        <v/>
      </c>
      <c r="AQ228" s="49">
        <f t="shared" si="67"/>
        <v>1</v>
      </c>
      <c r="AR228" s="49" t="str">
        <f t="shared" si="68"/>
        <v/>
      </c>
      <c r="AV228" s="57"/>
      <c r="BF228" s="52"/>
    </row>
    <row r="229" spans="1:58" ht="30" customHeight="1" x14ac:dyDescent="0.35">
      <c r="A229" s="25" t="str">
        <f t="shared" si="69"/>
        <v>PT177 - PLATAFORMA DE ACESSO - FORQUILHA 1 - DETALHADO
PROJETO DETALHADO
CIVIL</v>
      </c>
      <c r="B229" s="38" t="s">
        <v>65</v>
      </c>
      <c r="C229" s="60" t="str">
        <f>IF(AND($B229=[1]rogério!$A230,[1]rogério!$B230=C$4),"ok","nok")</f>
        <v>nok</v>
      </c>
      <c r="D229" s="60" t="str">
        <f>IF(AND($B229=[1]rogério!$A230,[1]rogério!$B230=D$4),"ok","nok")</f>
        <v>nok</v>
      </c>
      <c r="E229" s="60" t="str">
        <f>IF(AND($B229=[1]rogério!$A230,[1]rogério!$B230=E$4),"ok","nok")</f>
        <v>nok</v>
      </c>
      <c r="F229" s="60" t="str">
        <f>IF(AND($B229=[1]rogério!$A230,[1]rogério!$B230=F$4),"ok","nok")</f>
        <v>nok</v>
      </c>
      <c r="G229" s="60" t="str">
        <f>IF(AND($B229=[1]rogério!$A230,[1]rogério!$B230=G$4),"ok","nok")</f>
        <v>nok</v>
      </c>
      <c r="H229" s="60" t="str">
        <f>IF(AND($B229=[1]rogério!$A230,[1]rogério!$B230=H$4),"ok","nok")</f>
        <v>nok</v>
      </c>
      <c r="I229" s="60" t="str">
        <f>IF(AND($B229=[1]rogério!$A230,[1]rogério!$B230=I$4),"ok","nok")</f>
        <v>nok</v>
      </c>
      <c r="J229" s="60" t="str">
        <f>IF(AND($B229=[1]rogério!$A230,[1]rogério!$B230=J$4),"ok","nok")</f>
        <v>nok</v>
      </c>
      <c r="K229" s="60" t="str">
        <f>IF(AND($B229=[1]rogério!$A230,[1]rogério!$B230=K$4),"ok","nok")</f>
        <v>nok</v>
      </c>
      <c r="L229" s="60" t="str">
        <f>IF(AND($B229=[1]rogério!$A230,[1]rogério!$B230=L$4),"ok","nok")</f>
        <v>nok</v>
      </c>
      <c r="M229" s="60" t="str">
        <f>IF(AND($B229=[1]rogério!$A230,[1]rogério!$B230=M$4),"ok","nok")</f>
        <v>nok</v>
      </c>
      <c r="N229" s="60" t="str">
        <f>IF(AND($B229=[1]rogério!$A230,[1]rogério!$B230=N$4),"ok","nok")</f>
        <v>nok</v>
      </c>
      <c r="O229" s="60" t="str">
        <f>IF(AND($B229=[1]rogério!$A230,[1]rogério!$B230=O$4),"ok","nok")</f>
        <v>nok</v>
      </c>
      <c r="P229" s="60" t="str">
        <f>IF(AND($B229=[1]rogério!$A230,[1]rogério!$B230=P$4),"ok","nok")</f>
        <v>nok</v>
      </c>
      <c r="Q229" s="60" t="str">
        <f>IF(AND($B229=[1]rogério!$A230,[1]rogério!$B230=Q$4),"ok","nok")</f>
        <v>nok</v>
      </c>
      <c r="R229" s="60" t="str">
        <f>IF(AND($B229=[1]rogério!$A230,[1]rogério!$B230=R$4),"ok","nok")</f>
        <v>nok</v>
      </c>
      <c r="S229" s="60" t="str">
        <f>IF(AND($B229=[1]rogério!$A230,[1]rogério!$B230=S$4),"ok","nok")</f>
        <v>ok</v>
      </c>
      <c r="T229" s="60" t="str">
        <f>IF(AND($B229=[1]rogério!$A230,[1]rogério!$B230=T$4),"ok","nok")</f>
        <v>nok</v>
      </c>
      <c r="U229" s="60" t="str">
        <f>IF(AND($B229=[1]rogério!$A230,[1]rogério!$B230=U$4),"ok","nok")</f>
        <v>nok</v>
      </c>
      <c r="V229" s="60" t="str">
        <f>IF(AND($B229=[1]rogério!$A230,[1]rogério!$B230=V$4),"ok","nok")</f>
        <v>nok</v>
      </c>
      <c r="W229" s="60" t="str">
        <f>IF(AND($B229=[1]rogério!$A230,[1]rogério!$B230=W$4),"ok","nok")</f>
        <v>nok</v>
      </c>
      <c r="X229" s="60" t="str">
        <f>IF(AND($B229=[1]rogério!$A230,[1]rogério!$B230=X$4),"ok","nok")</f>
        <v>nok</v>
      </c>
      <c r="Y229" s="105" t="s">
        <v>15</v>
      </c>
      <c r="Z229" s="106"/>
      <c r="AA229" s="106"/>
      <c r="AB229" s="107"/>
      <c r="AC229" s="40"/>
      <c r="AD229" s="40"/>
      <c r="AE229" s="48" t="str">
        <f t="shared" si="58"/>
        <v/>
      </c>
      <c r="AF229" s="48"/>
      <c r="AG229" s="48"/>
      <c r="AH229" s="89"/>
      <c r="AI229" s="49">
        <f t="shared" si="59"/>
        <v>0</v>
      </c>
      <c r="AJ229" s="49" t="str">
        <f t="shared" si="60"/>
        <v/>
      </c>
      <c r="AK229" s="49">
        <f t="shared" si="61"/>
        <v>0</v>
      </c>
      <c r="AL229" s="49" t="str">
        <f t="shared" si="62"/>
        <v/>
      </c>
      <c r="AM229" s="49">
        <f t="shared" si="63"/>
        <v>0</v>
      </c>
      <c r="AN229" s="49" t="str">
        <f t="shared" si="64"/>
        <v/>
      </c>
      <c r="AO229" s="49">
        <f t="shared" si="65"/>
        <v>1</v>
      </c>
      <c r="AP229" s="49" t="str">
        <f t="shared" si="66"/>
        <v/>
      </c>
      <c r="AQ229" s="49">
        <f t="shared" si="67"/>
        <v>0</v>
      </c>
      <c r="AR229" s="49" t="str">
        <f t="shared" si="68"/>
        <v/>
      </c>
      <c r="AV229" s="57"/>
      <c r="BF229" s="52"/>
    </row>
    <row r="230" spans="1:58" ht="30" customHeight="1" x14ac:dyDescent="0.35">
      <c r="A230" s="25" t="str">
        <f t="shared" si="69"/>
        <v>PT177 - PLATAFORMA DE ACESSO - FORQUILHA 1 - DETALHADO
PROJETO DETALHADO
CIVIL</v>
      </c>
      <c r="B230" s="38" t="s">
        <v>66</v>
      </c>
      <c r="C230" s="60" t="str">
        <f>IF(AND($B230=[1]rogério!$A231,[1]rogério!$B231=C$4),"ok","nok")</f>
        <v>nok</v>
      </c>
      <c r="D230" s="60" t="str">
        <f>IF(AND($B230=[1]rogério!$A231,[1]rogério!$B231=D$4),"ok","nok")</f>
        <v>nok</v>
      </c>
      <c r="E230" s="60" t="str">
        <f>IF(AND($B230=[1]rogério!$A231,[1]rogério!$B231=E$4),"ok","nok")</f>
        <v>nok</v>
      </c>
      <c r="F230" s="60" t="str">
        <f>IF(AND($B230=[1]rogério!$A231,[1]rogério!$B231=F$4),"ok","nok")</f>
        <v>nok</v>
      </c>
      <c r="G230" s="60" t="str">
        <f>IF(AND($B230=[1]rogério!$A231,[1]rogério!$B231=G$4),"ok","nok")</f>
        <v>nok</v>
      </c>
      <c r="H230" s="60" t="str">
        <f>IF(AND($B230=[1]rogério!$A231,[1]rogério!$B231=H$4),"ok","nok")</f>
        <v>nok</v>
      </c>
      <c r="I230" s="60" t="str">
        <f>IF(AND($B230=[1]rogério!$A231,[1]rogério!$B231=I$4),"ok","nok")</f>
        <v>nok</v>
      </c>
      <c r="J230" s="60" t="str">
        <f>IF(AND($B230=[1]rogério!$A231,[1]rogério!$B231=J$4),"ok","nok")</f>
        <v>nok</v>
      </c>
      <c r="K230" s="60" t="str">
        <f>IF(AND($B230=[1]rogério!$A231,[1]rogério!$B231=K$4),"ok","nok")</f>
        <v>nok</v>
      </c>
      <c r="L230" s="60" t="str">
        <f>IF(AND($B230=[1]rogério!$A231,[1]rogério!$B231=L$4),"ok","nok")</f>
        <v>nok</v>
      </c>
      <c r="M230" s="60" t="str">
        <f>IF(AND($B230=[1]rogério!$A231,[1]rogério!$B231=M$4),"ok","nok")</f>
        <v>nok</v>
      </c>
      <c r="N230" s="60" t="str">
        <f>IF(AND($B230=[1]rogério!$A231,[1]rogério!$B231=N$4),"ok","nok")</f>
        <v>nok</v>
      </c>
      <c r="O230" s="60" t="str">
        <f>IF(AND($B230=[1]rogério!$A231,[1]rogério!$B231=O$4),"ok","nok")</f>
        <v>nok</v>
      </c>
      <c r="P230" s="60" t="str">
        <f>IF(AND($B230=[1]rogério!$A231,[1]rogério!$B231=P$4),"ok","nok")</f>
        <v>nok</v>
      </c>
      <c r="Q230" s="60" t="str">
        <f>IF(AND($B230=[1]rogério!$A231,[1]rogério!$B231=Q$4),"ok","nok")</f>
        <v>nok</v>
      </c>
      <c r="R230" s="60" t="str">
        <f>IF(AND($B230=[1]rogério!$A231,[1]rogério!$B231=R$4),"ok","nok")</f>
        <v>nok</v>
      </c>
      <c r="S230" s="60" t="str">
        <f>IF(AND($B230=[1]rogério!$A231,[1]rogério!$B231=S$4),"ok","nok")</f>
        <v>nok</v>
      </c>
      <c r="T230" s="60" t="str">
        <f>IF(AND($B230=[1]rogério!$A231,[1]rogério!$B231=T$4),"ok","nok")</f>
        <v>ok</v>
      </c>
      <c r="U230" s="60" t="str">
        <f>IF(AND($B230=[1]rogério!$A231,[1]rogério!$B231=U$4),"ok","nok")</f>
        <v>nok</v>
      </c>
      <c r="V230" s="60" t="str">
        <f>IF(AND($B230=[1]rogério!$A231,[1]rogério!$B231=V$4),"ok","nok")</f>
        <v>nok</v>
      </c>
      <c r="W230" s="60" t="str">
        <f>IF(AND($B230=[1]rogério!$A231,[1]rogério!$B231=W$4),"ok","nok")</f>
        <v>nok</v>
      </c>
      <c r="X230" s="60" t="str">
        <f>IF(AND($B230=[1]rogério!$A231,[1]rogério!$B231=X$4),"ok","nok")</f>
        <v>nok</v>
      </c>
      <c r="Y230" s="105" t="s">
        <v>15</v>
      </c>
      <c r="Z230" s="106"/>
      <c r="AA230" s="106"/>
      <c r="AB230" s="107"/>
      <c r="AC230" s="40"/>
      <c r="AD230" s="40"/>
      <c r="AE230" s="48" t="str">
        <f t="shared" si="58"/>
        <v/>
      </c>
      <c r="AF230" s="48"/>
      <c r="AG230" s="48"/>
      <c r="AH230" s="89"/>
      <c r="AI230" s="49">
        <f t="shared" si="59"/>
        <v>0</v>
      </c>
      <c r="AJ230" s="49" t="str">
        <f t="shared" si="60"/>
        <v/>
      </c>
      <c r="AK230" s="49">
        <f t="shared" si="61"/>
        <v>0</v>
      </c>
      <c r="AL230" s="49" t="str">
        <f t="shared" si="62"/>
        <v/>
      </c>
      <c r="AM230" s="49">
        <f t="shared" si="63"/>
        <v>0</v>
      </c>
      <c r="AN230" s="49" t="str">
        <f t="shared" si="64"/>
        <v/>
      </c>
      <c r="AO230" s="49">
        <f t="shared" si="65"/>
        <v>1</v>
      </c>
      <c r="AP230" s="49" t="str">
        <f t="shared" si="66"/>
        <v/>
      </c>
      <c r="AQ230" s="49">
        <f t="shared" si="67"/>
        <v>0</v>
      </c>
      <c r="AR230" s="49" t="str">
        <f t="shared" si="68"/>
        <v/>
      </c>
      <c r="AV230" s="57"/>
      <c r="BF230" s="52"/>
    </row>
    <row r="231" spans="1:58" ht="30" customHeight="1" x14ac:dyDescent="0.35">
      <c r="A231" s="25"/>
      <c r="B231" s="39" t="s">
        <v>67</v>
      </c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108"/>
      <c r="Z231" s="109"/>
      <c r="AA231" s="109"/>
      <c r="AB231" s="110"/>
      <c r="AC231" s="40"/>
      <c r="AD231" s="40"/>
      <c r="AE231" s="48" t="str">
        <f t="shared" si="58"/>
        <v/>
      </c>
      <c r="AF231" s="48"/>
      <c r="AG231" s="48"/>
      <c r="AH231" s="89"/>
      <c r="AI231" s="49">
        <f t="shared" si="59"/>
        <v>0</v>
      </c>
      <c r="AJ231" s="49" t="str">
        <f t="shared" si="60"/>
        <v/>
      </c>
      <c r="AK231" s="49">
        <f t="shared" si="61"/>
        <v>0</v>
      </c>
      <c r="AL231" s="49" t="str">
        <f t="shared" si="62"/>
        <v/>
      </c>
      <c r="AM231" s="49">
        <f t="shared" si="63"/>
        <v>0</v>
      </c>
      <c r="AN231" s="49" t="str">
        <f t="shared" si="64"/>
        <v/>
      </c>
      <c r="AO231" s="49">
        <f t="shared" si="65"/>
        <v>0</v>
      </c>
      <c r="AP231" s="49" t="str">
        <f t="shared" si="66"/>
        <v/>
      </c>
      <c r="AQ231" s="49">
        <f t="shared" si="67"/>
        <v>0</v>
      </c>
      <c r="AR231" s="49" t="str">
        <f t="shared" si="68"/>
        <v/>
      </c>
      <c r="AV231" s="57"/>
      <c r="BF231" s="52"/>
    </row>
    <row r="232" spans="1:58" ht="30" customHeight="1" x14ac:dyDescent="0.35">
      <c r="A232" s="25" t="str">
        <f t="shared" si="69"/>
        <v>PT177 - PLATAFORMA DE ACESSO - FORQUILHA 1 - DETALHADO
PROJETO DETALHADO
CIVIL</v>
      </c>
      <c r="B232" s="40" t="s">
        <v>49</v>
      </c>
      <c r="C232" s="60" t="str">
        <f>IF(AND($B232=[1]rogério!$A233,[1]rogério!$B233=C$4),"ok","nok")</f>
        <v>nok</v>
      </c>
      <c r="D232" s="60" t="str">
        <f>IF(AND($B232=[1]rogério!$A233,[1]rogério!$B233=D$4),"ok","nok")</f>
        <v>nok</v>
      </c>
      <c r="E232" s="60" t="str">
        <f>IF(AND($B232=[1]rogério!$A233,[1]rogério!$B233=E$4),"ok","nok")</f>
        <v>nok</v>
      </c>
      <c r="F232" s="60" t="str">
        <f>IF(AND($B232=[1]rogério!$A233,[1]rogério!$B233=F$4),"ok","nok")</f>
        <v>nok</v>
      </c>
      <c r="G232" s="60" t="str">
        <f>IF(AND($B232=[1]rogério!$A233,[1]rogério!$B233=G$4),"ok","nok")</f>
        <v>nok</v>
      </c>
      <c r="H232" s="60" t="str">
        <f>IF(AND($B232=[1]rogério!$A233,[1]rogério!$B233=H$4),"ok","nok")</f>
        <v>nok</v>
      </c>
      <c r="I232" s="60" t="str">
        <f>IF(AND($B232=[1]rogério!$A233,[1]rogério!$B233=I$4),"ok","nok")</f>
        <v>nok</v>
      </c>
      <c r="J232" s="60" t="str">
        <f>IF(AND($B232=[1]rogério!$A233,[1]rogério!$B233=J$4),"ok","nok")</f>
        <v>nok</v>
      </c>
      <c r="K232" s="60" t="str">
        <f>IF(AND($B232=[1]rogério!$A233,[1]rogério!$B233=K$4),"ok","nok")</f>
        <v>nok</v>
      </c>
      <c r="L232" s="60" t="str">
        <f>IF(AND($B232=[1]rogério!$A233,[1]rogério!$B233=L$4),"ok","nok")</f>
        <v>nok</v>
      </c>
      <c r="M232" s="60" t="str">
        <f>IF(AND($B232=[1]rogério!$A233,[1]rogério!$B233=M$4),"ok","nok")</f>
        <v>nok</v>
      </c>
      <c r="N232" s="60" t="str">
        <f>IF(AND($B232=[1]rogério!$A233,[1]rogério!$B233=N$4),"ok","nok")</f>
        <v>nok</v>
      </c>
      <c r="O232" s="60" t="str">
        <f>IF(AND($B232=[1]rogério!$A233,[1]rogério!$B233=O$4),"ok","nok")</f>
        <v>nok</v>
      </c>
      <c r="P232" s="60" t="str">
        <f>IF(AND($B232=[1]rogério!$A233,[1]rogério!$B233=P$4),"ok","nok")</f>
        <v>nok</v>
      </c>
      <c r="Q232" s="60" t="str">
        <f>IF(AND($B232=[1]rogério!$A233,[1]rogério!$B233=Q$4),"ok","nok")</f>
        <v>nok</v>
      </c>
      <c r="R232" s="60" t="str">
        <f>IF(AND($B232=[1]rogério!$A233,[1]rogério!$B233=R$4),"ok","nok")</f>
        <v>nok</v>
      </c>
      <c r="S232" s="60" t="str">
        <f>IF(AND($B232=[1]rogério!$A233,[1]rogério!$B233=S$4),"ok","nok")</f>
        <v>nok</v>
      </c>
      <c r="T232" s="60" t="str">
        <f>IF(AND($B232=[1]rogério!$A233,[1]rogério!$B233=T$4),"ok","nok")</f>
        <v>ok</v>
      </c>
      <c r="U232" s="60" t="str">
        <f>IF(AND($B232=[1]rogério!$A233,[1]rogério!$B233=U$4),"ok","nok")</f>
        <v>nok</v>
      </c>
      <c r="V232" s="60" t="str">
        <f>IF(AND($B232=[1]rogério!$A233,[1]rogério!$B233=V$4),"ok","nok")</f>
        <v>nok</v>
      </c>
      <c r="W232" s="60" t="str">
        <f>IF(AND($B232=[1]rogério!$A233,[1]rogério!$B233=W$4),"ok","nok")</f>
        <v>nok</v>
      </c>
      <c r="X232" s="60" t="str">
        <f>IF(AND($B232=[1]rogério!$A233,[1]rogério!$B233=X$4),"ok","nok")</f>
        <v>nok</v>
      </c>
      <c r="Y232" s="105" t="s">
        <v>15</v>
      </c>
      <c r="Z232" s="106"/>
      <c r="AA232" s="106"/>
      <c r="AB232" s="107"/>
      <c r="AC232" s="40"/>
      <c r="AD232" s="40"/>
      <c r="AE232" s="48" t="str">
        <f t="shared" si="58"/>
        <v/>
      </c>
      <c r="AF232" s="48"/>
      <c r="AG232" s="48"/>
      <c r="AH232" s="89"/>
      <c r="AI232" s="49">
        <f t="shared" si="59"/>
        <v>0</v>
      </c>
      <c r="AJ232" s="49" t="str">
        <f t="shared" si="60"/>
        <v/>
      </c>
      <c r="AK232" s="49">
        <f t="shared" si="61"/>
        <v>0</v>
      </c>
      <c r="AL232" s="49" t="str">
        <f t="shared" si="62"/>
        <v/>
      </c>
      <c r="AM232" s="49">
        <f t="shared" si="63"/>
        <v>0</v>
      </c>
      <c r="AN232" s="49" t="str">
        <f t="shared" si="64"/>
        <v/>
      </c>
      <c r="AO232" s="49">
        <f t="shared" si="65"/>
        <v>1</v>
      </c>
      <c r="AP232" s="49" t="str">
        <f t="shared" si="66"/>
        <v/>
      </c>
      <c r="AQ232" s="49">
        <f t="shared" si="67"/>
        <v>0</v>
      </c>
      <c r="AR232" s="49" t="str">
        <f t="shared" si="68"/>
        <v/>
      </c>
      <c r="AV232" s="57"/>
      <c r="BF232" s="52"/>
    </row>
    <row r="233" spans="1:58" ht="30" customHeight="1" x14ac:dyDescent="0.35">
      <c r="A233" s="25" t="str">
        <f t="shared" si="69"/>
        <v>PT177 - PLATAFORMA DE ACESSO - FORQUILHA 1 - DETALHADO
PROJETO DETALHADO
CIVIL</v>
      </c>
      <c r="B233" s="38" t="s">
        <v>92</v>
      </c>
      <c r="C233" s="60" t="str">
        <f>IF(AND($B233=[1]rogério!$A234,[1]rogério!$B234=C$4),"ok","nok")</f>
        <v>nok</v>
      </c>
      <c r="D233" s="60" t="str">
        <f>IF(AND($B233=[1]rogério!$A234,[1]rogério!$B234=D$4),"ok","nok")</f>
        <v>nok</v>
      </c>
      <c r="E233" s="60" t="str">
        <f>IF(AND($B233=[1]rogério!$A234,[1]rogério!$B234=E$4),"ok","nok")</f>
        <v>nok</v>
      </c>
      <c r="F233" s="60" t="str">
        <f>IF(AND($B233=[1]rogério!$A234,[1]rogério!$B234=F$4),"ok","nok")</f>
        <v>nok</v>
      </c>
      <c r="G233" s="60" t="str">
        <f>IF(AND($B233=[1]rogério!$A234,[1]rogério!$B234=G$4),"ok","nok")</f>
        <v>nok</v>
      </c>
      <c r="H233" s="60" t="str">
        <f>IF(AND($B233=[1]rogério!$A234,[1]rogério!$B234=H$4),"ok","nok")</f>
        <v>nok</v>
      </c>
      <c r="I233" s="60" t="str">
        <f>IF(AND($B233=[1]rogério!$A234,[1]rogério!$B234=I$4),"ok","nok")</f>
        <v>nok</v>
      </c>
      <c r="J233" s="60" t="str">
        <f>IF(AND($B233=[1]rogério!$A234,[1]rogério!$B234=J$4),"ok","nok")</f>
        <v>nok</v>
      </c>
      <c r="K233" s="60" t="str">
        <f>IF(AND($B233=[1]rogério!$A234,[1]rogério!$B234=K$4),"ok","nok")</f>
        <v>nok</v>
      </c>
      <c r="L233" s="60" t="str">
        <f>IF(AND($B233=[1]rogério!$A234,[1]rogério!$B234=L$4),"ok","nok")</f>
        <v>nok</v>
      </c>
      <c r="M233" s="60" t="str">
        <f>IF(AND($B233=[1]rogério!$A234,[1]rogério!$B234=M$4),"ok","nok")</f>
        <v>nok</v>
      </c>
      <c r="N233" s="60" t="str">
        <f>IF(AND($B233=[1]rogério!$A234,[1]rogério!$B234=N$4),"ok","nok")</f>
        <v>nok</v>
      </c>
      <c r="O233" s="60" t="str">
        <f>IF(AND($B233=[1]rogério!$A234,[1]rogério!$B234=O$4),"ok","nok")</f>
        <v>nok</v>
      </c>
      <c r="P233" s="60" t="str">
        <f>IF(AND($B233=[1]rogério!$A234,[1]rogério!$B234=P$4),"ok","nok")</f>
        <v>nok</v>
      </c>
      <c r="Q233" s="60" t="str">
        <f>IF(AND($B233=[1]rogério!$A234,[1]rogério!$B234=Q$4),"ok","nok")</f>
        <v>nok</v>
      </c>
      <c r="R233" s="60" t="str">
        <f>IF(AND($B233=[1]rogério!$A234,[1]rogério!$B234=R$4),"ok","nok")</f>
        <v>nok</v>
      </c>
      <c r="S233" s="60" t="str">
        <f>IF(AND($B233=[1]rogério!$A234,[1]rogério!$B234=S$4),"ok","nok")</f>
        <v>nok</v>
      </c>
      <c r="T233" s="60" t="str">
        <f>IF(AND($B233=[1]rogério!$A234,[1]rogério!$B234=T$4),"ok","nok")</f>
        <v>nok</v>
      </c>
      <c r="U233" s="60" t="str">
        <f>IF(AND($B233=[1]rogério!$A234,[1]rogério!$B234=U$4),"ok","nok")</f>
        <v>ok</v>
      </c>
      <c r="V233" s="60" t="str">
        <f>IF(AND($B233=[1]rogério!$A234,[1]rogério!$B234=V$4),"ok","nok")</f>
        <v>nok</v>
      </c>
      <c r="W233" s="60" t="str">
        <f>IF(AND($B233=[1]rogério!$A234,[1]rogério!$B234=W$4),"ok","nok")</f>
        <v>nok</v>
      </c>
      <c r="X233" s="60" t="str">
        <f>IF(AND($B233=[1]rogério!$A234,[1]rogério!$B234=X$4),"ok","nok")</f>
        <v>nok</v>
      </c>
      <c r="Y233" s="105" t="s">
        <v>15</v>
      </c>
      <c r="Z233" s="106"/>
      <c r="AA233" s="106"/>
      <c r="AB233" s="107"/>
      <c r="AC233" s="40"/>
      <c r="AD233" s="40"/>
      <c r="AE233" s="48" t="str">
        <f t="shared" si="58"/>
        <v/>
      </c>
      <c r="AF233" s="48"/>
      <c r="AG233" s="48"/>
      <c r="AH233" s="89"/>
      <c r="AI233" s="49">
        <f t="shared" si="59"/>
        <v>0</v>
      </c>
      <c r="AJ233" s="49" t="str">
        <f t="shared" si="60"/>
        <v/>
      </c>
      <c r="AK233" s="49">
        <f t="shared" si="61"/>
        <v>0</v>
      </c>
      <c r="AL233" s="49" t="str">
        <f t="shared" si="62"/>
        <v/>
      </c>
      <c r="AM233" s="49">
        <f t="shared" si="63"/>
        <v>0</v>
      </c>
      <c r="AN233" s="49" t="str">
        <f t="shared" si="64"/>
        <v/>
      </c>
      <c r="AO233" s="49">
        <f t="shared" si="65"/>
        <v>1</v>
      </c>
      <c r="AP233" s="49" t="str">
        <f t="shared" si="66"/>
        <v/>
      </c>
      <c r="AQ233" s="49">
        <f t="shared" si="67"/>
        <v>0</v>
      </c>
      <c r="AR233" s="49" t="str">
        <f t="shared" si="68"/>
        <v/>
      </c>
      <c r="AV233" s="57"/>
      <c r="BF233" s="52"/>
    </row>
    <row r="234" spans="1:58" ht="30" customHeight="1" x14ac:dyDescent="0.35">
      <c r="A234" s="25" t="str">
        <f t="shared" si="69"/>
        <v>PT177 - PLATAFORMA DE ACESSO - FORQUILHA 1 - DETALHADO
PROJETO DETALHADO
CIVIL</v>
      </c>
      <c r="B234" s="38" t="s">
        <v>93</v>
      </c>
      <c r="C234" s="60" t="str">
        <f>IF(AND($B234=[1]rogério!$A235,[1]rogério!$B235=C$4),"ok","nok")</f>
        <v>nok</v>
      </c>
      <c r="D234" s="60" t="str">
        <f>IF(AND($B234=[1]rogério!$A235,[1]rogério!$B235=D$4),"ok","nok")</f>
        <v>nok</v>
      </c>
      <c r="E234" s="60" t="str">
        <f>IF(AND($B234=[1]rogério!$A235,[1]rogério!$B235=E$4),"ok","nok")</f>
        <v>nok</v>
      </c>
      <c r="F234" s="60" t="str">
        <f>IF(AND($B234=[1]rogério!$A235,[1]rogério!$B235=F$4),"ok","nok")</f>
        <v>nok</v>
      </c>
      <c r="G234" s="60" t="str">
        <f>IF(AND($B234=[1]rogério!$A235,[1]rogério!$B235=G$4),"ok","nok")</f>
        <v>nok</v>
      </c>
      <c r="H234" s="60" t="str">
        <f>IF(AND($B234=[1]rogério!$A235,[1]rogério!$B235=H$4),"ok","nok")</f>
        <v>nok</v>
      </c>
      <c r="I234" s="60" t="str">
        <f>IF(AND($B234=[1]rogério!$A235,[1]rogério!$B235=I$4),"ok","nok")</f>
        <v>nok</v>
      </c>
      <c r="J234" s="60" t="str">
        <f>IF(AND($B234=[1]rogério!$A235,[1]rogério!$B235=J$4),"ok","nok")</f>
        <v>nok</v>
      </c>
      <c r="K234" s="60" t="str">
        <f>IF(AND($B234=[1]rogério!$A235,[1]rogério!$B235=K$4),"ok","nok")</f>
        <v>nok</v>
      </c>
      <c r="L234" s="60" t="str">
        <f>IF(AND($B234=[1]rogério!$A235,[1]rogério!$B235=L$4),"ok","nok")</f>
        <v>nok</v>
      </c>
      <c r="M234" s="60" t="str">
        <f>IF(AND($B234=[1]rogério!$A235,[1]rogério!$B235=M$4),"ok","nok")</f>
        <v>nok</v>
      </c>
      <c r="N234" s="60" t="str">
        <f>IF(AND($B234=[1]rogério!$A235,[1]rogério!$B235=N$4),"ok","nok")</f>
        <v>nok</v>
      </c>
      <c r="O234" s="60" t="str">
        <f>IF(AND($B234=[1]rogério!$A235,[1]rogério!$B235=O$4),"ok","nok")</f>
        <v>nok</v>
      </c>
      <c r="P234" s="60" t="str">
        <f>IF(AND($B234=[1]rogério!$A235,[1]rogério!$B235=P$4),"ok","nok")</f>
        <v>nok</v>
      </c>
      <c r="Q234" s="60" t="str">
        <f>IF(AND($B234=[1]rogério!$A235,[1]rogério!$B235=Q$4),"ok","nok")</f>
        <v>nok</v>
      </c>
      <c r="R234" s="60" t="str">
        <f>IF(AND($B234=[1]rogério!$A235,[1]rogério!$B235=R$4),"ok","nok")</f>
        <v>nok</v>
      </c>
      <c r="S234" s="60" t="str">
        <f>IF(AND($B234=[1]rogério!$A235,[1]rogério!$B235=S$4),"ok","nok")</f>
        <v>nok</v>
      </c>
      <c r="T234" s="60" t="str">
        <f>IF(AND($B234=[1]rogério!$A235,[1]rogério!$B235=T$4),"ok","nok")</f>
        <v>nok</v>
      </c>
      <c r="U234" s="60" t="str">
        <f>IF(AND($B234=[1]rogério!$A235,[1]rogério!$B235=U$4),"ok","nok")</f>
        <v>nok</v>
      </c>
      <c r="V234" s="60" t="str">
        <f>IF(AND($B234=[1]rogério!$A235,[1]rogério!$B235=V$4),"ok","nok")</f>
        <v>ok</v>
      </c>
      <c r="W234" s="60" t="str">
        <f>IF(AND($B234=[1]rogério!$A235,[1]rogério!$B235=W$4),"ok","nok")</f>
        <v>nok</v>
      </c>
      <c r="X234" s="60" t="str">
        <f>IF(AND($B234=[1]rogério!$A235,[1]rogério!$B235=X$4),"ok","nok")</f>
        <v>nok</v>
      </c>
      <c r="Y234" s="105" t="s">
        <v>15</v>
      </c>
      <c r="Z234" s="106"/>
      <c r="AA234" s="106"/>
      <c r="AB234" s="107"/>
      <c r="AC234" s="40"/>
      <c r="AD234" s="40"/>
      <c r="AE234" s="48" t="str">
        <f t="shared" si="58"/>
        <v/>
      </c>
      <c r="AF234" s="48"/>
      <c r="AG234" s="48"/>
      <c r="AH234" s="89"/>
      <c r="AI234" s="49">
        <f t="shared" si="59"/>
        <v>0</v>
      </c>
      <c r="AJ234" s="49" t="str">
        <f t="shared" si="60"/>
        <v/>
      </c>
      <c r="AK234" s="49">
        <f t="shared" si="61"/>
        <v>0</v>
      </c>
      <c r="AL234" s="49" t="str">
        <f t="shared" si="62"/>
        <v/>
      </c>
      <c r="AM234" s="49">
        <f t="shared" si="63"/>
        <v>0</v>
      </c>
      <c r="AN234" s="49" t="str">
        <f t="shared" si="64"/>
        <v/>
      </c>
      <c r="AO234" s="49">
        <f t="shared" si="65"/>
        <v>1</v>
      </c>
      <c r="AP234" s="49" t="str">
        <f t="shared" si="66"/>
        <v/>
      </c>
      <c r="AQ234" s="49">
        <f t="shared" si="67"/>
        <v>0</v>
      </c>
      <c r="AR234" s="49" t="str">
        <f t="shared" si="68"/>
        <v/>
      </c>
      <c r="AV234" s="57"/>
      <c r="BF234" s="52"/>
    </row>
    <row r="235" spans="1:58" ht="30" customHeight="1" x14ac:dyDescent="0.35">
      <c r="A235" s="25"/>
      <c r="B235" s="39" t="s">
        <v>94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108"/>
      <c r="Z235" s="109"/>
      <c r="AA235" s="109"/>
      <c r="AB235" s="110"/>
      <c r="AC235" s="40"/>
      <c r="AD235" s="40"/>
      <c r="AE235" s="48" t="str">
        <f t="shared" si="58"/>
        <v/>
      </c>
      <c r="AF235" s="48"/>
      <c r="AG235" s="48"/>
      <c r="AH235" s="89"/>
      <c r="AI235" s="49">
        <f t="shared" si="59"/>
        <v>0</v>
      </c>
      <c r="AJ235" s="49" t="str">
        <f t="shared" si="60"/>
        <v/>
      </c>
      <c r="AK235" s="49">
        <f t="shared" si="61"/>
        <v>0</v>
      </c>
      <c r="AL235" s="49" t="str">
        <f t="shared" si="62"/>
        <v/>
      </c>
      <c r="AM235" s="49">
        <f t="shared" si="63"/>
        <v>0</v>
      </c>
      <c r="AN235" s="49" t="str">
        <f t="shared" si="64"/>
        <v/>
      </c>
      <c r="AO235" s="49">
        <f t="shared" si="65"/>
        <v>0</v>
      </c>
      <c r="AP235" s="49" t="str">
        <f t="shared" si="66"/>
        <v/>
      </c>
      <c r="AQ235" s="49">
        <f t="shared" si="67"/>
        <v>0</v>
      </c>
      <c r="AR235" s="49" t="str">
        <f t="shared" si="68"/>
        <v/>
      </c>
      <c r="AV235" s="57"/>
      <c r="BF235" s="52"/>
    </row>
    <row r="236" spans="1:58" ht="30" customHeight="1" x14ac:dyDescent="0.35">
      <c r="A236" s="25" t="str">
        <f t="shared" si="69"/>
        <v>PT177 - PLATAFORMA DE ACESSO - FORQUILHA 1 - DETALHADO
PROJETO DETALHADO
CIVIL</v>
      </c>
      <c r="B236" s="40" t="s">
        <v>49</v>
      </c>
      <c r="C236" s="60" t="str">
        <f>IF(AND($B236=[1]rogério!$A237,[1]rogério!$B237=C$4),"ok","nok")</f>
        <v>nok</v>
      </c>
      <c r="D236" s="60" t="str">
        <f>IF(AND($B236=[1]rogério!$A237,[1]rogério!$B237=D$4),"ok","nok")</f>
        <v>nok</v>
      </c>
      <c r="E236" s="60" t="str">
        <f>IF(AND($B236=[1]rogério!$A237,[1]rogério!$B237=E$4),"ok","nok")</f>
        <v>nok</v>
      </c>
      <c r="F236" s="60" t="str">
        <f>IF(AND($B236=[1]rogério!$A237,[1]rogério!$B237=F$4),"ok","nok")</f>
        <v>nok</v>
      </c>
      <c r="G236" s="60" t="str">
        <f>IF(AND($B236=[1]rogério!$A237,[1]rogério!$B237=G$4),"ok","nok")</f>
        <v>nok</v>
      </c>
      <c r="H236" s="60" t="str">
        <f>IF(AND($B236=[1]rogério!$A237,[1]rogério!$B237=H$4),"ok","nok")</f>
        <v>nok</v>
      </c>
      <c r="I236" s="60" t="str">
        <f>IF(AND($B236=[1]rogério!$A237,[1]rogério!$B237=I$4),"ok","nok")</f>
        <v>nok</v>
      </c>
      <c r="J236" s="60" t="str">
        <f>IF(AND($B236=[1]rogério!$A237,[1]rogério!$B237=J$4),"ok","nok")</f>
        <v>nok</v>
      </c>
      <c r="K236" s="60" t="str">
        <f>IF(AND($B236=[1]rogério!$A237,[1]rogério!$B237=K$4),"ok","nok")</f>
        <v>nok</v>
      </c>
      <c r="L236" s="60" t="str">
        <f>IF(AND($B236=[1]rogério!$A237,[1]rogério!$B237=L$4),"ok","nok")</f>
        <v>nok</v>
      </c>
      <c r="M236" s="60" t="str">
        <f>IF(AND($B236=[1]rogério!$A237,[1]rogério!$B237=M$4),"ok","nok")</f>
        <v>nok</v>
      </c>
      <c r="N236" s="60" t="str">
        <f>IF(AND($B236=[1]rogério!$A237,[1]rogério!$B237=N$4),"ok","nok")</f>
        <v>nok</v>
      </c>
      <c r="O236" s="60" t="str">
        <f>IF(AND($B236=[1]rogério!$A237,[1]rogério!$B237=O$4),"ok","nok")</f>
        <v>nok</v>
      </c>
      <c r="P236" s="60" t="str">
        <f>IF(AND($B236=[1]rogério!$A237,[1]rogério!$B237=P$4),"ok","nok")</f>
        <v>nok</v>
      </c>
      <c r="Q236" s="60" t="str">
        <f>IF(AND($B236=[1]rogério!$A237,[1]rogério!$B237=Q$4),"ok","nok")</f>
        <v>nok</v>
      </c>
      <c r="R236" s="60" t="str">
        <f>IF(AND($B236=[1]rogério!$A237,[1]rogério!$B237=R$4),"ok","nok")</f>
        <v>nok</v>
      </c>
      <c r="S236" s="60" t="str">
        <f>IF(AND($B236=[1]rogério!$A237,[1]rogério!$B237=S$4),"ok","nok")</f>
        <v>nok</v>
      </c>
      <c r="T236" s="60" t="str">
        <f>IF(AND($B236=[1]rogério!$A237,[1]rogério!$B237=T$4),"ok","nok")</f>
        <v>nok</v>
      </c>
      <c r="U236" s="60" t="str">
        <f>IF(AND($B236=[1]rogério!$A237,[1]rogério!$B237=U$4),"ok","nok")</f>
        <v>nok</v>
      </c>
      <c r="V236" s="60" t="str">
        <f>IF(AND($B236=[1]rogério!$A237,[1]rogério!$B237=V$4),"ok","nok")</f>
        <v>ok</v>
      </c>
      <c r="W236" s="60" t="str">
        <f>IF(AND($B236=[1]rogério!$A237,[1]rogério!$B237=W$4),"ok","nok")</f>
        <v>nok</v>
      </c>
      <c r="X236" s="60" t="str">
        <f>IF(AND($B236=[1]rogério!$A237,[1]rogério!$B237=X$4),"ok","nok")</f>
        <v>nok</v>
      </c>
      <c r="Y236" s="105" t="s">
        <v>15</v>
      </c>
      <c r="Z236" s="106"/>
      <c r="AA236" s="106"/>
      <c r="AB236" s="107"/>
      <c r="AC236" s="40"/>
      <c r="AD236" s="40"/>
      <c r="AE236" s="48" t="str">
        <f t="shared" si="58"/>
        <v/>
      </c>
      <c r="AF236" s="48"/>
      <c r="AG236" s="48"/>
      <c r="AH236" s="89"/>
      <c r="AI236" s="49">
        <f t="shared" si="59"/>
        <v>0</v>
      </c>
      <c r="AJ236" s="49" t="str">
        <f t="shared" si="60"/>
        <v/>
      </c>
      <c r="AK236" s="49">
        <f t="shared" si="61"/>
        <v>0</v>
      </c>
      <c r="AL236" s="49" t="str">
        <f t="shared" si="62"/>
        <v/>
      </c>
      <c r="AM236" s="49">
        <f t="shared" si="63"/>
        <v>0</v>
      </c>
      <c r="AN236" s="49" t="str">
        <f t="shared" si="64"/>
        <v/>
      </c>
      <c r="AO236" s="49">
        <f t="shared" si="65"/>
        <v>1</v>
      </c>
      <c r="AP236" s="49" t="str">
        <f t="shared" si="66"/>
        <v/>
      </c>
      <c r="AQ236" s="49">
        <f t="shared" si="67"/>
        <v>0</v>
      </c>
      <c r="AR236" s="49" t="str">
        <f t="shared" si="68"/>
        <v/>
      </c>
      <c r="AV236" s="57"/>
      <c r="BF236" s="52"/>
    </row>
    <row r="237" spans="1:58" ht="30" customHeight="1" x14ac:dyDescent="0.35">
      <c r="A237" s="25"/>
      <c r="B237" s="62" t="s">
        <v>86</v>
      </c>
      <c r="C237" s="62"/>
      <c r="D237" s="62"/>
      <c r="E237" s="62"/>
      <c r="F237" s="62"/>
      <c r="G237" s="62"/>
      <c r="H237" s="62"/>
      <c r="I237" s="62"/>
      <c r="J237" s="62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114"/>
      <c r="Z237" s="115"/>
      <c r="AA237" s="115"/>
      <c r="AB237" s="116"/>
      <c r="AC237" s="40"/>
      <c r="AD237" s="40"/>
      <c r="AE237" s="48" t="str">
        <f t="shared" si="58"/>
        <v/>
      </c>
      <c r="AF237" s="48"/>
      <c r="AG237" s="48"/>
      <c r="AH237" s="89"/>
      <c r="AI237" s="49">
        <f t="shared" si="59"/>
        <v>0</v>
      </c>
      <c r="AJ237" s="49" t="str">
        <f t="shared" si="60"/>
        <v/>
      </c>
      <c r="AK237" s="49">
        <f t="shared" si="61"/>
        <v>0</v>
      </c>
      <c r="AL237" s="49" t="str">
        <f t="shared" si="62"/>
        <v/>
      </c>
      <c r="AM237" s="49">
        <f t="shared" si="63"/>
        <v>0</v>
      </c>
      <c r="AN237" s="49" t="str">
        <f t="shared" si="64"/>
        <v/>
      </c>
      <c r="AO237" s="49">
        <f t="shared" si="65"/>
        <v>0</v>
      </c>
      <c r="AP237" s="49" t="str">
        <f t="shared" si="66"/>
        <v/>
      </c>
      <c r="AQ237" s="49">
        <f t="shared" si="67"/>
        <v>0</v>
      </c>
      <c r="AR237" s="49" t="str">
        <f t="shared" si="68"/>
        <v/>
      </c>
      <c r="AV237" s="57"/>
      <c r="BF237" s="52"/>
    </row>
    <row r="238" spans="1:58" ht="30" customHeight="1" x14ac:dyDescent="0.35">
      <c r="A238" s="25"/>
      <c r="B238" s="39" t="s">
        <v>95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108"/>
      <c r="Z238" s="109"/>
      <c r="AA238" s="109"/>
      <c r="AB238" s="110"/>
      <c r="AC238" s="40"/>
      <c r="AD238" s="40"/>
      <c r="AE238" s="48" t="str">
        <f t="shared" si="58"/>
        <v/>
      </c>
      <c r="AF238" s="48"/>
      <c r="AG238" s="48"/>
      <c r="AH238" s="89"/>
      <c r="AI238" s="49">
        <f t="shared" si="59"/>
        <v>0</v>
      </c>
      <c r="AJ238" s="49" t="str">
        <f t="shared" si="60"/>
        <v/>
      </c>
      <c r="AK238" s="49">
        <f t="shared" si="61"/>
        <v>0</v>
      </c>
      <c r="AL238" s="49" t="str">
        <f t="shared" si="62"/>
        <v/>
      </c>
      <c r="AM238" s="49">
        <f t="shared" si="63"/>
        <v>0</v>
      </c>
      <c r="AN238" s="49" t="str">
        <f t="shared" si="64"/>
        <v/>
      </c>
      <c r="AO238" s="49">
        <f t="shared" si="65"/>
        <v>0</v>
      </c>
      <c r="AP238" s="49" t="str">
        <f t="shared" si="66"/>
        <v/>
      </c>
      <c r="AQ238" s="49">
        <f t="shared" si="67"/>
        <v>0</v>
      </c>
      <c r="AR238" s="49" t="str">
        <f t="shared" si="68"/>
        <v/>
      </c>
      <c r="AV238" s="57"/>
      <c r="BF238" s="52"/>
    </row>
    <row r="239" spans="1:58" ht="30" customHeight="1" x14ac:dyDescent="0.35">
      <c r="A239" s="25" t="str">
        <f>CONCATENATE($B$158,"
",$B$161,"
",$B$237)</f>
        <v>PT177 - PLATAFORMA DE ACESSO - FORQUILHA 1 - DETALHADO
PROJETO DETALHADO
ELÉTRICA</v>
      </c>
      <c r="B239" s="40" t="s">
        <v>19</v>
      </c>
      <c r="C239" s="60" t="str">
        <f>IF(AND($B239=[1]rogério!$A240,[1]rogério!$B240=C$4),"ok","nok")</f>
        <v>nok</v>
      </c>
      <c r="D239" s="60" t="str">
        <f>IF(AND($B239=[1]rogério!$A240,[1]rogério!$B240=D$4),"ok","nok")</f>
        <v>nok</v>
      </c>
      <c r="E239" s="60" t="str">
        <f>IF(AND($B239=[1]rogério!$A240,[1]rogério!$B240=E$4),"ok","nok")</f>
        <v>nok</v>
      </c>
      <c r="F239" s="60" t="str">
        <f>IF(AND($B239=[1]rogério!$A240,[1]rogério!$B240=F$4),"ok","nok")</f>
        <v>nok</v>
      </c>
      <c r="G239" s="60" t="str">
        <f>IF(AND($B239=[1]rogério!$A240,[1]rogério!$B240=G$4),"ok","nok")</f>
        <v>nok</v>
      </c>
      <c r="H239" s="60" t="str">
        <f>IF(AND($B239=[1]rogério!$A240,[1]rogério!$B240=H$4),"ok","nok")</f>
        <v>nok</v>
      </c>
      <c r="I239" s="60" t="str">
        <f>IF(AND($B239=[1]rogério!$A240,[1]rogério!$B240=I$4),"ok","nok")</f>
        <v>ok</v>
      </c>
      <c r="J239" s="60" t="str">
        <f>IF(AND($B239=[1]rogério!$A240,[1]rogério!$B240=J$4),"ok","nok")</f>
        <v>nok</v>
      </c>
      <c r="K239" s="60" t="str">
        <f>IF(AND($B239=[1]rogério!$A240,[1]rogério!$B240=K$4),"ok","nok")</f>
        <v>nok</v>
      </c>
      <c r="L239" s="60" t="str">
        <f>IF(AND($B239=[1]rogério!$A240,[1]rogério!$B240=L$4),"ok","nok")</f>
        <v>nok</v>
      </c>
      <c r="M239" s="60" t="str">
        <f>IF(AND($B239=[1]rogério!$A240,[1]rogério!$B240=M$4),"ok","nok")</f>
        <v>nok</v>
      </c>
      <c r="N239" s="60" t="str">
        <f>IF(AND($B239=[1]rogério!$A240,[1]rogério!$B240=N$4),"ok","nok")</f>
        <v>nok</v>
      </c>
      <c r="O239" s="60" t="str">
        <f>IF(AND($B239=[1]rogério!$A240,[1]rogério!$B240=O$4),"ok","nok")</f>
        <v>nok</v>
      </c>
      <c r="P239" s="60" t="str">
        <f>IF(AND($B239=[1]rogério!$A240,[1]rogério!$B240=P$4),"ok","nok")</f>
        <v>nok</v>
      </c>
      <c r="Q239" s="60" t="str">
        <f>IF(AND($B239=[1]rogério!$A240,[1]rogério!$B240=Q$4),"ok","nok")</f>
        <v>nok</v>
      </c>
      <c r="R239" s="60" t="str">
        <f>IF(AND($B239=[1]rogério!$A240,[1]rogério!$B240=R$4),"ok","nok")</f>
        <v>nok</v>
      </c>
      <c r="S239" s="60" t="str">
        <f>IF(AND($B239=[1]rogério!$A240,[1]rogério!$B240=S$4),"ok","nok")</f>
        <v>nok</v>
      </c>
      <c r="T239" s="60" t="str">
        <f>IF(AND($B239=[1]rogério!$A240,[1]rogério!$B240=T$4),"ok","nok")</f>
        <v>nok</v>
      </c>
      <c r="U239" s="60" t="str">
        <f>IF(AND($B239=[1]rogério!$A240,[1]rogério!$B240=U$4),"ok","nok")</f>
        <v>nok</v>
      </c>
      <c r="V239" s="60" t="str">
        <f>IF(AND($B239=[1]rogério!$A240,[1]rogério!$B240=V$4),"ok","nok")</f>
        <v>nok</v>
      </c>
      <c r="W239" s="60" t="str">
        <f>IF(AND($B239=[1]rogério!$A240,[1]rogério!$B240=W$4),"ok","nok")</f>
        <v>nok</v>
      </c>
      <c r="X239" s="60" t="str">
        <f>IF(AND($B239=[1]rogério!$A240,[1]rogério!$B240=X$4),"ok","nok")</f>
        <v>nok</v>
      </c>
      <c r="Y239" s="105" t="s">
        <v>15</v>
      </c>
      <c r="Z239" s="106"/>
      <c r="AA239" s="106"/>
      <c r="AB239" s="107"/>
      <c r="AC239" s="40"/>
      <c r="AD239" s="40"/>
      <c r="AE239" s="48" t="str">
        <f t="shared" si="58"/>
        <v/>
      </c>
      <c r="AF239" s="48"/>
      <c r="AG239" s="48"/>
      <c r="AH239" s="89"/>
      <c r="AI239" s="49">
        <f t="shared" si="59"/>
        <v>0</v>
      </c>
      <c r="AJ239" s="49" t="str">
        <f t="shared" si="60"/>
        <v/>
      </c>
      <c r="AK239" s="49">
        <f t="shared" si="61"/>
        <v>1</v>
      </c>
      <c r="AL239" s="49" t="str">
        <f t="shared" si="62"/>
        <v/>
      </c>
      <c r="AM239" s="49">
        <f t="shared" si="63"/>
        <v>0</v>
      </c>
      <c r="AN239" s="49" t="str">
        <f t="shared" si="64"/>
        <v/>
      </c>
      <c r="AO239" s="49">
        <f t="shared" si="65"/>
        <v>0</v>
      </c>
      <c r="AP239" s="49" t="str">
        <f t="shared" si="66"/>
        <v/>
      </c>
      <c r="AQ239" s="49">
        <f t="shared" si="67"/>
        <v>0</v>
      </c>
      <c r="AR239" s="49" t="str">
        <f t="shared" si="68"/>
        <v/>
      </c>
      <c r="AV239" s="57"/>
      <c r="BF239" s="52"/>
    </row>
    <row r="240" spans="1:58" ht="30" customHeight="1" x14ac:dyDescent="0.35">
      <c r="A240" s="25" t="str">
        <f t="shared" ref="A240:A241" si="70">CONCATENATE($B$158,"
",$B$161,"
",$B$237)</f>
        <v>PT177 - PLATAFORMA DE ACESSO - FORQUILHA 1 - DETALHADO
PROJETO DETALHADO
ELÉTRICA</v>
      </c>
      <c r="B240" s="40" t="s">
        <v>42</v>
      </c>
      <c r="C240" s="60" t="str">
        <f>IF(AND($B240=[1]rogério!$A241,[1]rogério!$B241=C$4),"ok","nok")</f>
        <v>nok</v>
      </c>
      <c r="D240" s="60" t="str">
        <f>IF(AND($B240=[1]rogério!$A241,[1]rogério!$B241=D$4),"ok","nok")</f>
        <v>nok</v>
      </c>
      <c r="E240" s="60" t="str">
        <f>IF(AND($B240=[1]rogério!$A241,[1]rogério!$B241=E$4),"ok","nok")</f>
        <v>nok</v>
      </c>
      <c r="F240" s="60" t="str">
        <f>IF(AND($B240=[1]rogério!$A241,[1]rogério!$B241=F$4),"ok","nok")</f>
        <v>nok</v>
      </c>
      <c r="G240" s="60" t="str">
        <f>IF(AND($B240=[1]rogério!$A241,[1]rogério!$B241=G$4),"ok","nok")</f>
        <v>nok</v>
      </c>
      <c r="H240" s="60" t="str">
        <f>IF(AND($B240=[1]rogério!$A241,[1]rogério!$B241=H$4),"ok","nok")</f>
        <v>nok</v>
      </c>
      <c r="I240" s="60" t="str">
        <f>IF(AND($B240=[1]rogério!$A241,[1]rogério!$B241=I$4),"ok","nok")</f>
        <v>nok</v>
      </c>
      <c r="J240" s="60" t="str">
        <f>IF(AND($B240=[1]rogério!$A241,[1]rogério!$B241=J$4),"ok","nok")</f>
        <v>nok</v>
      </c>
      <c r="K240" s="60" t="str">
        <f>IF(AND($B240=[1]rogério!$A241,[1]rogério!$B241=K$4),"ok","nok")</f>
        <v>nok</v>
      </c>
      <c r="L240" s="60" t="str">
        <f>IF(AND($B240=[1]rogério!$A241,[1]rogério!$B241=L$4),"ok","nok")</f>
        <v>ok</v>
      </c>
      <c r="M240" s="60" t="str">
        <f>IF(AND($B240=[1]rogério!$A241,[1]rogério!$B241=M$4),"ok","nok")</f>
        <v>nok</v>
      </c>
      <c r="N240" s="60" t="str">
        <f>IF(AND($B240=[1]rogério!$A241,[1]rogério!$B241=N$4),"ok","nok")</f>
        <v>nok</v>
      </c>
      <c r="O240" s="60" t="str">
        <f>IF(AND($B240=[1]rogério!$A241,[1]rogério!$B241=O$4),"ok","nok")</f>
        <v>nok</v>
      </c>
      <c r="P240" s="60" t="str">
        <f>IF(AND($B240=[1]rogério!$A241,[1]rogério!$B241=P$4),"ok","nok")</f>
        <v>nok</v>
      </c>
      <c r="Q240" s="60" t="str">
        <f>IF(AND($B240=[1]rogério!$A241,[1]rogério!$B241=Q$4),"ok","nok")</f>
        <v>nok</v>
      </c>
      <c r="R240" s="60" t="str">
        <f>IF(AND($B240=[1]rogério!$A241,[1]rogério!$B241=R$4),"ok","nok")</f>
        <v>nok</v>
      </c>
      <c r="S240" s="60" t="str">
        <f>IF(AND($B240=[1]rogério!$A241,[1]rogério!$B241=S$4),"ok","nok")</f>
        <v>nok</v>
      </c>
      <c r="T240" s="60" t="str">
        <f>IF(AND($B240=[1]rogério!$A241,[1]rogério!$B241=T$4),"ok","nok")</f>
        <v>nok</v>
      </c>
      <c r="U240" s="60" t="str">
        <f>IF(AND($B240=[1]rogério!$A241,[1]rogério!$B241=U$4),"ok","nok")</f>
        <v>nok</v>
      </c>
      <c r="V240" s="60" t="str">
        <f>IF(AND($B240=[1]rogério!$A241,[1]rogério!$B241=V$4),"ok","nok")</f>
        <v>nok</v>
      </c>
      <c r="W240" s="60" t="str">
        <f>IF(AND($B240=[1]rogério!$A241,[1]rogério!$B241=W$4),"ok","nok")</f>
        <v>nok</v>
      </c>
      <c r="X240" s="60" t="str">
        <f>IF(AND($B240=[1]rogério!$A241,[1]rogério!$B241=X$4),"ok","nok")</f>
        <v>nok</v>
      </c>
      <c r="Y240" s="105" t="s">
        <v>15</v>
      </c>
      <c r="Z240" s="106"/>
      <c r="AA240" s="106"/>
      <c r="AB240" s="107"/>
      <c r="AC240" s="40"/>
      <c r="AD240" s="40"/>
      <c r="AE240" s="48" t="str">
        <f t="shared" si="58"/>
        <v/>
      </c>
      <c r="AF240" s="48"/>
      <c r="AG240" s="48"/>
      <c r="AH240" s="89"/>
      <c r="AI240" s="49">
        <f t="shared" si="59"/>
        <v>0</v>
      </c>
      <c r="AJ240" s="49" t="str">
        <f t="shared" si="60"/>
        <v/>
      </c>
      <c r="AK240" s="49">
        <f t="shared" si="61"/>
        <v>1</v>
      </c>
      <c r="AL240" s="49" t="str">
        <f t="shared" si="62"/>
        <v/>
      </c>
      <c r="AM240" s="49">
        <f t="shared" si="63"/>
        <v>0</v>
      </c>
      <c r="AN240" s="49" t="str">
        <f t="shared" si="64"/>
        <v/>
      </c>
      <c r="AO240" s="49">
        <f t="shared" si="65"/>
        <v>0</v>
      </c>
      <c r="AP240" s="49" t="str">
        <f t="shared" si="66"/>
        <v/>
      </c>
      <c r="AQ240" s="49">
        <f t="shared" si="67"/>
        <v>0</v>
      </c>
      <c r="AR240" s="49" t="str">
        <f t="shared" si="68"/>
        <v/>
      </c>
      <c r="AV240" s="57"/>
      <c r="BF240" s="52"/>
    </row>
    <row r="241" spans="1:58" ht="30" customHeight="1" x14ac:dyDescent="0.35">
      <c r="A241" s="25" t="str">
        <f t="shared" si="70"/>
        <v>PT177 - PLATAFORMA DE ACESSO - FORQUILHA 1 - DETALHADO
PROJETO DETALHADO
ELÉTRICA</v>
      </c>
      <c r="B241" s="40" t="s">
        <v>43</v>
      </c>
      <c r="C241" s="60" t="str">
        <f>IF(AND($B241=[1]rogério!$A242,[1]rogério!$B242=C$4),"ok","nok")</f>
        <v>nok</v>
      </c>
      <c r="D241" s="60" t="str">
        <f>IF(AND($B241=[1]rogério!$A242,[1]rogério!$B242=D$4),"ok","nok")</f>
        <v>nok</v>
      </c>
      <c r="E241" s="60" t="str">
        <f>IF(AND($B241=[1]rogério!$A242,[1]rogério!$B242=E$4),"ok","nok")</f>
        <v>nok</v>
      </c>
      <c r="F241" s="60" t="str">
        <f>IF(AND($B241=[1]rogério!$A242,[1]rogério!$B242=F$4),"ok","nok")</f>
        <v>nok</v>
      </c>
      <c r="G241" s="60" t="str">
        <f>IF(AND($B241=[1]rogério!$A242,[1]rogério!$B242=G$4),"ok","nok")</f>
        <v>nok</v>
      </c>
      <c r="H241" s="60" t="str">
        <f>IF(AND($B241=[1]rogério!$A242,[1]rogério!$B242=H$4),"ok","nok")</f>
        <v>nok</v>
      </c>
      <c r="I241" s="60" t="str">
        <f>IF(AND($B241=[1]rogério!$A242,[1]rogério!$B242=I$4),"ok","nok")</f>
        <v>nok</v>
      </c>
      <c r="J241" s="60" t="str">
        <f>IF(AND($B241=[1]rogério!$A242,[1]rogério!$B242=J$4),"ok","nok")</f>
        <v>nok</v>
      </c>
      <c r="K241" s="60" t="str">
        <f>IF(AND($B241=[1]rogério!$A242,[1]rogério!$B242=K$4),"ok","nok")</f>
        <v>nok</v>
      </c>
      <c r="L241" s="60" t="str">
        <f>IF(AND($B241=[1]rogério!$A242,[1]rogério!$B242=L$4),"ok","nok")</f>
        <v>ok</v>
      </c>
      <c r="M241" s="60" t="str">
        <f>IF(AND($B241=[1]rogério!$A242,[1]rogério!$B242=M$4),"ok","nok")</f>
        <v>nok</v>
      </c>
      <c r="N241" s="60" t="str">
        <f>IF(AND($B241=[1]rogério!$A242,[1]rogério!$B242=N$4),"ok","nok")</f>
        <v>nok</v>
      </c>
      <c r="O241" s="60" t="str">
        <f>IF(AND($B241=[1]rogério!$A242,[1]rogério!$B242=O$4),"ok","nok")</f>
        <v>nok</v>
      </c>
      <c r="P241" s="60" t="str">
        <f>IF(AND($B241=[1]rogério!$A242,[1]rogério!$B242=P$4),"ok","nok")</f>
        <v>nok</v>
      </c>
      <c r="Q241" s="60" t="str">
        <f>IF(AND($B241=[1]rogério!$A242,[1]rogério!$B242=Q$4),"ok","nok")</f>
        <v>nok</v>
      </c>
      <c r="R241" s="60" t="str">
        <f>IF(AND($B241=[1]rogério!$A242,[1]rogério!$B242=R$4),"ok","nok")</f>
        <v>nok</v>
      </c>
      <c r="S241" s="60" t="str">
        <f>IF(AND($B241=[1]rogério!$A242,[1]rogério!$B242=S$4),"ok","nok")</f>
        <v>nok</v>
      </c>
      <c r="T241" s="60" t="str">
        <f>IF(AND($B241=[1]rogério!$A242,[1]rogério!$B242=T$4),"ok","nok")</f>
        <v>nok</v>
      </c>
      <c r="U241" s="60" t="str">
        <f>IF(AND($B241=[1]rogério!$A242,[1]rogério!$B242=U$4),"ok","nok")</f>
        <v>nok</v>
      </c>
      <c r="V241" s="60" t="str">
        <f>IF(AND($B241=[1]rogério!$A242,[1]rogério!$B242=V$4),"ok","nok")</f>
        <v>nok</v>
      </c>
      <c r="W241" s="60" t="str">
        <f>IF(AND($B241=[1]rogério!$A242,[1]rogério!$B242=W$4),"ok","nok")</f>
        <v>nok</v>
      </c>
      <c r="X241" s="60" t="str">
        <f>IF(AND($B241=[1]rogério!$A242,[1]rogério!$B242=X$4),"ok","nok")</f>
        <v>nok</v>
      </c>
      <c r="Y241" s="105" t="s">
        <v>15</v>
      </c>
      <c r="Z241" s="106"/>
      <c r="AA241" s="106"/>
      <c r="AB241" s="107"/>
      <c r="AC241" s="40"/>
      <c r="AD241" s="40"/>
      <c r="AE241" s="48" t="str">
        <f t="shared" si="58"/>
        <v/>
      </c>
      <c r="AF241" s="48"/>
      <c r="AG241" s="48"/>
      <c r="AH241" s="89"/>
      <c r="AI241" s="49">
        <f t="shared" si="59"/>
        <v>0</v>
      </c>
      <c r="AJ241" s="49" t="str">
        <f t="shared" si="60"/>
        <v/>
      </c>
      <c r="AK241" s="49">
        <f t="shared" si="61"/>
        <v>1</v>
      </c>
      <c r="AL241" s="49" t="str">
        <f t="shared" si="62"/>
        <v/>
      </c>
      <c r="AM241" s="49">
        <f t="shared" si="63"/>
        <v>0</v>
      </c>
      <c r="AN241" s="49" t="str">
        <f t="shared" si="64"/>
        <v/>
      </c>
      <c r="AO241" s="49">
        <f t="shared" si="65"/>
        <v>0</v>
      </c>
      <c r="AP241" s="49" t="str">
        <f t="shared" si="66"/>
        <v/>
      </c>
      <c r="AQ241" s="49">
        <f t="shared" si="67"/>
        <v>0</v>
      </c>
      <c r="AR241" s="49" t="str">
        <f t="shared" si="68"/>
        <v/>
      </c>
      <c r="AV241" s="57"/>
      <c r="BF241" s="52"/>
    </row>
    <row r="242" spans="1:58" ht="30" customHeight="1" x14ac:dyDescent="0.35">
      <c r="A242" s="25"/>
      <c r="B242" s="42" t="s">
        <v>68</v>
      </c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111"/>
      <c r="Z242" s="112"/>
      <c r="AA242" s="112"/>
      <c r="AB242" s="113"/>
      <c r="AC242" s="40"/>
      <c r="AD242" s="40"/>
      <c r="AE242" s="48" t="str">
        <f t="shared" si="58"/>
        <v/>
      </c>
      <c r="AF242" s="48"/>
      <c r="AG242" s="48"/>
      <c r="AH242" s="89"/>
      <c r="AI242" s="49">
        <f t="shared" si="59"/>
        <v>0</v>
      </c>
      <c r="AJ242" s="49" t="str">
        <f t="shared" si="60"/>
        <v/>
      </c>
      <c r="AK242" s="49">
        <f t="shared" si="61"/>
        <v>0</v>
      </c>
      <c r="AL242" s="49" t="str">
        <f t="shared" si="62"/>
        <v/>
      </c>
      <c r="AM242" s="49">
        <f t="shared" si="63"/>
        <v>0</v>
      </c>
      <c r="AN242" s="49" t="str">
        <f t="shared" si="64"/>
        <v/>
      </c>
      <c r="AO242" s="49">
        <f t="shared" si="65"/>
        <v>0</v>
      </c>
      <c r="AP242" s="49" t="str">
        <f t="shared" si="66"/>
        <v/>
      </c>
      <c r="AQ242" s="49">
        <f t="shared" si="67"/>
        <v>0</v>
      </c>
      <c r="AR242" s="49" t="str">
        <f t="shared" si="68"/>
        <v/>
      </c>
      <c r="AV242" s="57"/>
      <c r="BF242" s="52"/>
    </row>
    <row r="243" spans="1:58" ht="30" customHeight="1" x14ac:dyDescent="0.35">
      <c r="A243" s="25"/>
      <c r="B243" s="61" t="s">
        <v>70</v>
      </c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117"/>
      <c r="Z243" s="118"/>
      <c r="AA243" s="118"/>
      <c r="AB243" s="119"/>
      <c r="AC243" s="40"/>
      <c r="AD243" s="40"/>
      <c r="AE243" s="48" t="str">
        <f t="shared" si="58"/>
        <v/>
      </c>
      <c r="AF243" s="48"/>
      <c r="AG243" s="48"/>
      <c r="AH243" s="89"/>
      <c r="AI243" s="49">
        <f t="shared" si="59"/>
        <v>0</v>
      </c>
      <c r="AJ243" s="49" t="str">
        <f t="shared" si="60"/>
        <v/>
      </c>
      <c r="AK243" s="49">
        <f t="shared" si="61"/>
        <v>0</v>
      </c>
      <c r="AL243" s="49" t="str">
        <f t="shared" si="62"/>
        <v/>
      </c>
      <c r="AM243" s="49">
        <f t="shared" si="63"/>
        <v>0</v>
      </c>
      <c r="AN243" s="49" t="str">
        <f t="shared" si="64"/>
        <v/>
      </c>
      <c r="AO243" s="49">
        <f t="shared" si="65"/>
        <v>0</v>
      </c>
      <c r="AP243" s="49" t="str">
        <f t="shared" si="66"/>
        <v/>
      </c>
      <c r="AQ243" s="49">
        <f t="shared" si="67"/>
        <v>0</v>
      </c>
      <c r="AR243" s="49" t="str">
        <f t="shared" si="68"/>
        <v/>
      </c>
      <c r="AV243" s="57"/>
      <c r="BF243" s="52"/>
    </row>
    <row r="244" spans="1:58" ht="30" customHeight="1" x14ac:dyDescent="0.35">
      <c r="A244" s="25"/>
      <c r="B244" s="62" t="s">
        <v>58</v>
      </c>
      <c r="C244" s="62"/>
      <c r="D244" s="62"/>
      <c r="E244" s="62"/>
      <c r="F244" s="62"/>
      <c r="G244" s="62"/>
      <c r="H244" s="62"/>
      <c r="I244" s="62"/>
      <c r="J244" s="62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114"/>
      <c r="Z244" s="115"/>
      <c r="AA244" s="115"/>
      <c r="AB244" s="116"/>
      <c r="AC244" s="40"/>
      <c r="AD244" s="40"/>
      <c r="AE244" s="48" t="str">
        <f t="shared" si="58"/>
        <v/>
      </c>
      <c r="AF244" s="48"/>
      <c r="AG244" s="48"/>
      <c r="AH244" s="89"/>
      <c r="AI244" s="49">
        <f t="shared" si="59"/>
        <v>0</v>
      </c>
      <c r="AJ244" s="49" t="str">
        <f t="shared" si="60"/>
        <v/>
      </c>
      <c r="AK244" s="49">
        <f t="shared" si="61"/>
        <v>0</v>
      </c>
      <c r="AL244" s="49" t="str">
        <f t="shared" si="62"/>
        <v/>
      </c>
      <c r="AM244" s="49">
        <f t="shared" si="63"/>
        <v>0</v>
      </c>
      <c r="AN244" s="49" t="str">
        <f t="shared" si="64"/>
        <v/>
      </c>
      <c r="AO244" s="49">
        <f t="shared" si="65"/>
        <v>0</v>
      </c>
      <c r="AP244" s="49" t="str">
        <f t="shared" si="66"/>
        <v/>
      </c>
      <c r="AQ244" s="49">
        <f t="shared" si="67"/>
        <v>0</v>
      </c>
      <c r="AR244" s="49" t="str">
        <f t="shared" si="68"/>
        <v/>
      </c>
      <c r="AV244" s="57"/>
      <c r="BF244" s="52"/>
    </row>
    <row r="245" spans="1:58" ht="30" customHeight="1" x14ac:dyDescent="0.35">
      <c r="A245" s="25"/>
      <c r="B245" s="39" t="s">
        <v>41</v>
      </c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108"/>
      <c r="Z245" s="109"/>
      <c r="AA245" s="109"/>
      <c r="AB245" s="110"/>
      <c r="AC245" s="40"/>
      <c r="AD245" s="40"/>
      <c r="AE245" s="48" t="str">
        <f t="shared" si="58"/>
        <v/>
      </c>
      <c r="AF245" s="48"/>
      <c r="AG245" s="48"/>
      <c r="AH245" s="89"/>
      <c r="AI245" s="49">
        <f t="shared" si="59"/>
        <v>0</v>
      </c>
      <c r="AJ245" s="49" t="str">
        <f t="shared" si="60"/>
        <v/>
      </c>
      <c r="AK245" s="49">
        <f t="shared" si="61"/>
        <v>0</v>
      </c>
      <c r="AL245" s="49" t="str">
        <f t="shared" si="62"/>
        <v/>
      </c>
      <c r="AM245" s="49">
        <f t="shared" si="63"/>
        <v>0</v>
      </c>
      <c r="AN245" s="49" t="str">
        <f t="shared" si="64"/>
        <v/>
      </c>
      <c r="AO245" s="49">
        <f t="shared" si="65"/>
        <v>0</v>
      </c>
      <c r="AP245" s="49" t="str">
        <f t="shared" si="66"/>
        <v/>
      </c>
      <c r="AQ245" s="49">
        <f t="shared" si="67"/>
        <v>0</v>
      </c>
      <c r="AR245" s="49" t="str">
        <f t="shared" si="68"/>
        <v/>
      </c>
      <c r="AV245" s="57"/>
      <c r="BF245" s="52"/>
    </row>
    <row r="246" spans="1:58" ht="30" customHeight="1" x14ac:dyDescent="0.35">
      <c r="A246" s="25" t="str">
        <f t="shared" ref="A246:A249" si="71">CONCATENATE($B$158,"
",$B$242,"",$B$243,"
",$B$244)</f>
        <v>PT177 - PLATAFORMA DE ACESSO - FORQUILHA 1 - DETALHADO
TORRE B2PROJETO DETALHADO
ESTRUTURAS METÁLICAS</v>
      </c>
      <c r="B246" s="40" t="s">
        <v>19</v>
      </c>
      <c r="C246" s="60" t="str">
        <f>IF(AND($B246=[1]rogério!$A247,[1]rogério!$B247=C$4),"ok","nok")</f>
        <v>nok</v>
      </c>
      <c r="D246" s="60" t="str">
        <f>IF(AND($B246=[1]rogério!$A247,[1]rogério!$B247=D$4),"ok","nok")</f>
        <v>nok</v>
      </c>
      <c r="E246" s="60" t="str">
        <f>IF(AND($B246=[1]rogério!$A247,[1]rogério!$B247=E$4),"ok","nok")</f>
        <v>nok</v>
      </c>
      <c r="F246" s="60" t="str">
        <f>IF(AND($B246=[1]rogério!$A247,[1]rogério!$B247=F$4),"ok","nok")</f>
        <v>nok</v>
      </c>
      <c r="G246" s="60" t="str">
        <f>IF(AND($B246=[1]rogério!$A247,[1]rogério!$B247=G$4),"ok","nok")</f>
        <v>nok</v>
      </c>
      <c r="H246" s="60" t="str">
        <f>IF(AND($B246=[1]rogério!$A247,[1]rogério!$B247=H$4),"ok","nok")</f>
        <v>nok</v>
      </c>
      <c r="I246" s="60" t="str">
        <f>IF(AND($B246=[1]rogério!$A247,[1]rogério!$B247=I$4),"ok","nok")</f>
        <v>ok</v>
      </c>
      <c r="J246" s="60" t="str">
        <f>IF(AND($B246=[1]rogério!$A247,[1]rogério!$B247=J$4),"ok","nok")</f>
        <v>nok</v>
      </c>
      <c r="K246" s="60" t="str">
        <f>IF(AND($B246=[1]rogério!$A247,[1]rogério!$B247=K$4),"ok","nok")</f>
        <v>nok</v>
      </c>
      <c r="L246" s="60" t="str">
        <f>IF(AND($B246=[1]rogério!$A247,[1]rogério!$B247=L$4),"ok","nok")</f>
        <v>nok</v>
      </c>
      <c r="M246" s="60" t="str">
        <f>IF(AND($B246=[1]rogério!$A247,[1]rogério!$B247=M$4),"ok","nok")</f>
        <v>nok</v>
      </c>
      <c r="N246" s="60" t="str">
        <f>IF(AND($B246=[1]rogério!$A247,[1]rogério!$B247=N$4),"ok","nok")</f>
        <v>nok</v>
      </c>
      <c r="O246" s="60" t="str">
        <f>IF(AND($B246=[1]rogério!$A247,[1]rogério!$B247=O$4),"ok","nok")</f>
        <v>nok</v>
      </c>
      <c r="P246" s="60" t="str">
        <f>IF(AND($B246=[1]rogério!$A247,[1]rogério!$B247=P$4),"ok","nok")</f>
        <v>nok</v>
      </c>
      <c r="Q246" s="60" t="str">
        <f>IF(AND($B246=[1]rogério!$A247,[1]rogério!$B247=Q$4),"ok","nok")</f>
        <v>nok</v>
      </c>
      <c r="R246" s="60" t="str">
        <f>IF(AND($B246=[1]rogério!$A247,[1]rogério!$B247=R$4),"ok","nok")</f>
        <v>nok</v>
      </c>
      <c r="S246" s="60" t="str">
        <f>IF(AND($B246=[1]rogério!$A247,[1]rogério!$B247=S$4),"ok","nok")</f>
        <v>nok</v>
      </c>
      <c r="T246" s="60" t="str">
        <f>IF(AND($B246=[1]rogério!$A247,[1]rogério!$B247=T$4),"ok","nok")</f>
        <v>nok</v>
      </c>
      <c r="U246" s="60" t="str">
        <f>IF(AND($B246=[1]rogério!$A247,[1]rogério!$B247=U$4),"ok","nok")</f>
        <v>nok</v>
      </c>
      <c r="V246" s="60" t="str">
        <f>IF(AND($B246=[1]rogério!$A247,[1]rogério!$B247=V$4),"ok","nok")</f>
        <v>nok</v>
      </c>
      <c r="W246" s="60" t="str">
        <f>IF(AND($B246=[1]rogério!$A247,[1]rogério!$B247=W$4),"ok","nok")</f>
        <v>nok</v>
      </c>
      <c r="X246" s="60" t="str">
        <f>IF(AND($B246=[1]rogério!$A247,[1]rogério!$B247=X$4),"ok","nok")</f>
        <v>nok</v>
      </c>
      <c r="Y246" s="105" t="s">
        <v>15</v>
      </c>
      <c r="Z246" s="106"/>
      <c r="AA246" s="106"/>
      <c r="AB246" s="107"/>
      <c r="AC246" s="40"/>
      <c r="AD246" s="40"/>
      <c r="AE246" s="48" t="str">
        <f t="shared" si="58"/>
        <v/>
      </c>
      <c r="AF246" s="48"/>
      <c r="AG246" s="48"/>
      <c r="AH246" s="89"/>
      <c r="AI246" s="49">
        <f t="shared" si="59"/>
        <v>0</v>
      </c>
      <c r="AJ246" s="49" t="str">
        <f t="shared" si="60"/>
        <v/>
      </c>
      <c r="AK246" s="49">
        <f t="shared" si="61"/>
        <v>1</v>
      </c>
      <c r="AL246" s="49" t="str">
        <f t="shared" si="62"/>
        <v/>
      </c>
      <c r="AM246" s="49">
        <f t="shared" si="63"/>
        <v>0</v>
      </c>
      <c r="AN246" s="49" t="str">
        <f t="shared" si="64"/>
        <v/>
      </c>
      <c r="AO246" s="49">
        <f t="shared" si="65"/>
        <v>0</v>
      </c>
      <c r="AP246" s="49" t="str">
        <f t="shared" si="66"/>
        <v/>
      </c>
      <c r="AQ246" s="49">
        <f t="shared" si="67"/>
        <v>0</v>
      </c>
      <c r="AR246" s="49" t="str">
        <f t="shared" si="68"/>
        <v/>
      </c>
      <c r="AV246" s="57"/>
      <c r="BF246" s="52"/>
    </row>
    <row r="247" spans="1:58" ht="30" customHeight="1" x14ac:dyDescent="0.35">
      <c r="A247" s="25" t="str">
        <f t="shared" si="71"/>
        <v>PT177 - PLATAFORMA DE ACESSO - FORQUILHA 1 - DETALHADO
TORRE B2PROJETO DETALHADO
ESTRUTURAS METÁLICAS</v>
      </c>
      <c r="B247" s="40" t="s">
        <v>42</v>
      </c>
      <c r="C247" s="60" t="str">
        <f>IF(AND($B247=[1]rogério!$A248,[1]rogério!$B248=C$4),"ok","nok")</f>
        <v>nok</v>
      </c>
      <c r="D247" s="60" t="str">
        <f>IF(AND($B247=[1]rogério!$A248,[1]rogério!$B248=D$4),"ok","nok")</f>
        <v>nok</v>
      </c>
      <c r="E247" s="60" t="str">
        <f>IF(AND($B247=[1]rogério!$A248,[1]rogério!$B248=E$4),"ok","nok")</f>
        <v>nok</v>
      </c>
      <c r="F247" s="60" t="str">
        <f>IF(AND($B247=[1]rogério!$A248,[1]rogério!$B248=F$4),"ok","nok")</f>
        <v>nok</v>
      </c>
      <c r="G247" s="60" t="str">
        <f>IF(AND($B247=[1]rogério!$A248,[1]rogério!$B248=G$4),"ok","nok")</f>
        <v>nok</v>
      </c>
      <c r="H247" s="60" t="str">
        <f>IF(AND($B247=[1]rogério!$A248,[1]rogério!$B248=H$4),"ok","nok")</f>
        <v>nok</v>
      </c>
      <c r="I247" s="60" t="str">
        <f>IF(AND($B247=[1]rogério!$A248,[1]rogério!$B248=I$4),"ok","nok")</f>
        <v>nok</v>
      </c>
      <c r="J247" s="60" t="str">
        <f>IF(AND($B247=[1]rogério!$A248,[1]rogério!$B248=J$4),"ok","nok")</f>
        <v>nok</v>
      </c>
      <c r="K247" s="60" t="str">
        <f>IF(AND($B247=[1]rogério!$A248,[1]rogério!$B248=K$4),"ok","nok")</f>
        <v>nok</v>
      </c>
      <c r="L247" s="60" t="str">
        <f>IF(AND($B247=[1]rogério!$A248,[1]rogério!$B248=L$4),"ok","nok")</f>
        <v>ok</v>
      </c>
      <c r="M247" s="60" t="str">
        <f>IF(AND($B247=[1]rogério!$A248,[1]rogério!$B248=M$4),"ok","nok")</f>
        <v>nok</v>
      </c>
      <c r="N247" s="60" t="str">
        <f>IF(AND($B247=[1]rogério!$A248,[1]rogério!$B248=N$4),"ok","nok")</f>
        <v>nok</v>
      </c>
      <c r="O247" s="60" t="str">
        <f>IF(AND($B247=[1]rogério!$A248,[1]rogério!$B248=O$4),"ok","nok")</f>
        <v>nok</v>
      </c>
      <c r="P247" s="60" t="str">
        <f>IF(AND($B247=[1]rogério!$A248,[1]rogério!$B248=P$4),"ok","nok")</f>
        <v>nok</v>
      </c>
      <c r="Q247" s="60" t="str">
        <f>IF(AND($B247=[1]rogério!$A248,[1]rogério!$B248=Q$4),"ok","nok")</f>
        <v>nok</v>
      </c>
      <c r="R247" s="60" t="str">
        <f>IF(AND($B247=[1]rogério!$A248,[1]rogério!$B248=R$4),"ok","nok")</f>
        <v>nok</v>
      </c>
      <c r="S247" s="60" t="str">
        <f>IF(AND($B247=[1]rogério!$A248,[1]rogério!$B248=S$4),"ok","nok")</f>
        <v>nok</v>
      </c>
      <c r="T247" s="60" t="str">
        <f>IF(AND($B247=[1]rogério!$A248,[1]rogério!$B248=T$4),"ok","nok")</f>
        <v>nok</v>
      </c>
      <c r="U247" s="60" t="str">
        <f>IF(AND($B247=[1]rogério!$A248,[1]rogério!$B248=U$4),"ok","nok")</f>
        <v>nok</v>
      </c>
      <c r="V247" s="60" t="str">
        <f>IF(AND($B247=[1]rogério!$A248,[1]rogério!$B248=V$4),"ok","nok")</f>
        <v>nok</v>
      </c>
      <c r="W247" s="60" t="str">
        <f>IF(AND($B247=[1]rogério!$A248,[1]rogério!$B248=W$4),"ok","nok")</f>
        <v>nok</v>
      </c>
      <c r="X247" s="60" t="str">
        <f>IF(AND($B247=[1]rogério!$A248,[1]rogério!$B248=X$4),"ok","nok")</f>
        <v>nok</v>
      </c>
      <c r="Y247" s="105" t="s">
        <v>15</v>
      </c>
      <c r="Z247" s="106"/>
      <c r="AA247" s="106"/>
      <c r="AB247" s="107"/>
      <c r="AC247" s="40"/>
      <c r="AD247" s="40"/>
      <c r="AE247" s="48" t="str">
        <f t="shared" si="58"/>
        <v/>
      </c>
      <c r="AF247" s="48"/>
      <c r="AG247" s="48"/>
      <c r="AH247" s="89"/>
      <c r="AI247" s="49">
        <f t="shared" si="59"/>
        <v>0</v>
      </c>
      <c r="AJ247" s="49" t="str">
        <f t="shared" si="60"/>
        <v/>
      </c>
      <c r="AK247" s="49">
        <f t="shared" si="61"/>
        <v>1</v>
      </c>
      <c r="AL247" s="49" t="str">
        <f t="shared" si="62"/>
        <v/>
      </c>
      <c r="AM247" s="49">
        <f t="shared" si="63"/>
        <v>0</v>
      </c>
      <c r="AN247" s="49" t="str">
        <f t="shared" si="64"/>
        <v/>
      </c>
      <c r="AO247" s="49">
        <f t="shared" si="65"/>
        <v>0</v>
      </c>
      <c r="AP247" s="49" t="str">
        <f t="shared" si="66"/>
        <v/>
      </c>
      <c r="AQ247" s="49">
        <f t="shared" si="67"/>
        <v>0</v>
      </c>
      <c r="AR247" s="49" t="str">
        <f t="shared" si="68"/>
        <v/>
      </c>
      <c r="AV247" s="57"/>
      <c r="BF247" s="52"/>
    </row>
    <row r="248" spans="1:58" ht="30" customHeight="1" x14ac:dyDescent="0.35">
      <c r="A248" s="25" t="str">
        <f>CONCATENATE($B$158,"
",$B$242,"",$B$243,"
",$B$244)</f>
        <v>PT177 - PLATAFORMA DE ACESSO - FORQUILHA 1 - DETALHADO
TORRE B2PROJETO DETALHADO
ESTRUTURAS METÁLICAS</v>
      </c>
      <c r="B248" s="40" t="s">
        <v>43</v>
      </c>
      <c r="C248" s="60" t="str">
        <f>IF(AND($B248=[1]rogério!$A249,[1]rogério!$B249=C$4),"ok","nok")</f>
        <v>nok</v>
      </c>
      <c r="D248" s="60" t="str">
        <f>IF(AND($B248=[1]rogério!$A249,[1]rogério!$B249=D$4),"ok","nok")</f>
        <v>nok</v>
      </c>
      <c r="E248" s="60" t="str">
        <f>IF(AND($B248=[1]rogério!$A249,[1]rogério!$B249=E$4),"ok","nok")</f>
        <v>nok</v>
      </c>
      <c r="F248" s="60" t="str">
        <f>IF(AND($B248=[1]rogério!$A249,[1]rogério!$B249=F$4),"ok","nok")</f>
        <v>nok</v>
      </c>
      <c r="G248" s="60" t="str">
        <f>IF(AND($B248=[1]rogério!$A249,[1]rogério!$B249=G$4),"ok","nok")</f>
        <v>nok</v>
      </c>
      <c r="H248" s="60" t="str">
        <f>IF(AND($B248=[1]rogério!$A249,[1]rogério!$B249=H$4),"ok","nok")</f>
        <v>nok</v>
      </c>
      <c r="I248" s="60" t="str">
        <f>IF(AND($B248=[1]rogério!$A249,[1]rogério!$B249=I$4),"ok","nok")</f>
        <v>nok</v>
      </c>
      <c r="J248" s="60" t="str">
        <f>IF(AND($B248=[1]rogério!$A249,[1]rogério!$B249=J$4),"ok","nok")</f>
        <v>nok</v>
      </c>
      <c r="K248" s="60" t="str">
        <f>IF(AND($B248=[1]rogério!$A249,[1]rogério!$B249=K$4),"ok","nok")</f>
        <v>nok</v>
      </c>
      <c r="L248" s="60" t="str">
        <f>IF(AND($B248=[1]rogério!$A249,[1]rogério!$B249=L$4),"ok","nok")</f>
        <v>ok</v>
      </c>
      <c r="M248" s="60" t="str">
        <f>IF(AND($B248=[1]rogério!$A249,[1]rogério!$B249=M$4),"ok","nok")</f>
        <v>nok</v>
      </c>
      <c r="N248" s="60" t="str">
        <f>IF(AND($B248=[1]rogério!$A249,[1]rogério!$B249=N$4),"ok","nok")</f>
        <v>nok</v>
      </c>
      <c r="O248" s="60" t="str">
        <f>IF(AND($B248=[1]rogério!$A249,[1]rogério!$B249=O$4),"ok","nok")</f>
        <v>nok</v>
      </c>
      <c r="P248" s="60" t="str">
        <f>IF(AND($B248=[1]rogério!$A249,[1]rogério!$B249=P$4),"ok","nok")</f>
        <v>nok</v>
      </c>
      <c r="Q248" s="60" t="str">
        <f>IF(AND($B248=[1]rogério!$A249,[1]rogério!$B249=Q$4),"ok","nok")</f>
        <v>nok</v>
      </c>
      <c r="R248" s="60" t="str">
        <f>IF(AND($B248=[1]rogério!$A249,[1]rogério!$B249=R$4),"ok","nok")</f>
        <v>nok</v>
      </c>
      <c r="S248" s="60" t="str">
        <f>IF(AND($B248=[1]rogério!$A249,[1]rogério!$B249=S$4),"ok","nok")</f>
        <v>nok</v>
      </c>
      <c r="T248" s="60" t="str">
        <f>IF(AND($B248=[1]rogério!$A249,[1]rogério!$B249=T$4),"ok","nok")</f>
        <v>nok</v>
      </c>
      <c r="U248" s="60" t="str">
        <f>IF(AND($B248=[1]rogério!$A249,[1]rogério!$B249=U$4),"ok","nok")</f>
        <v>nok</v>
      </c>
      <c r="V248" s="60" t="str">
        <f>IF(AND($B248=[1]rogério!$A249,[1]rogério!$B249=V$4),"ok","nok")</f>
        <v>nok</v>
      </c>
      <c r="W248" s="60" t="str">
        <f>IF(AND($B248=[1]rogério!$A249,[1]rogério!$B249=W$4),"ok","nok")</f>
        <v>nok</v>
      </c>
      <c r="X248" s="60" t="str">
        <f>IF(AND($B248=[1]rogério!$A249,[1]rogério!$B249=X$4),"ok","nok")</f>
        <v>nok</v>
      </c>
      <c r="Y248" s="105" t="s">
        <v>15</v>
      </c>
      <c r="Z248" s="106"/>
      <c r="AA248" s="106"/>
      <c r="AB248" s="107"/>
      <c r="AC248" s="40"/>
      <c r="AD248" s="40"/>
      <c r="AE248" s="48" t="str">
        <f t="shared" si="58"/>
        <v/>
      </c>
      <c r="AF248" s="48"/>
      <c r="AG248" s="48"/>
      <c r="AH248" s="89"/>
      <c r="AI248" s="49">
        <f t="shared" si="59"/>
        <v>0</v>
      </c>
      <c r="AJ248" s="49" t="str">
        <f t="shared" si="60"/>
        <v/>
      </c>
      <c r="AK248" s="49">
        <f t="shared" si="61"/>
        <v>1</v>
      </c>
      <c r="AL248" s="49" t="str">
        <f t="shared" si="62"/>
        <v/>
      </c>
      <c r="AM248" s="49">
        <f t="shared" si="63"/>
        <v>0</v>
      </c>
      <c r="AN248" s="49" t="str">
        <f t="shared" si="64"/>
        <v/>
      </c>
      <c r="AO248" s="49">
        <f t="shared" si="65"/>
        <v>0</v>
      </c>
      <c r="AP248" s="49" t="str">
        <f t="shared" si="66"/>
        <v/>
      </c>
      <c r="AQ248" s="49">
        <f t="shared" si="67"/>
        <v>0</v>
      </c>
      <c r="AR248" s="49" t="str">
        <f t="shared" si="68"/>
        <v/>
      </c>
      <c r="AV248" s="57"/>
      <c r="BF248" s="52"/>
    </row>
    <row r="249" spans="1:58" ht="30" customHeight="1" x14ac:dyDescent="0.35">
      <c r="A249" s="25" t="str">
        <f t="shared" si="71"/>
        <v>PT177 - PLATAFORMA DE ACESSO - FORQUILHA 1 - DETALHADO
TORRE B2PROJETO DETALHADO
ESTRUTURAS METÁLICAS</v>
      </c>
      <c r="B249" s="38" t="s">
        <v>72</v>
      </c>
      <c r="C249" s="60" t="str">
        <f>IF(AND($B249=[1]rogério!$A250,[1]rogério!$B250=C$4),"ok","nok")</f>
        <v>nok</v>
      </c>
      <c r="D249" s="60" t="str">
        <f>IF(AND($B249=[1]rogério!$A250,[1]rogério!$B250=D$4),"ok","nok")</f>
        <v>nok</v>
      </c>
      <c r="E249" s="60" t="str">
        <f>IF(AND($B249=[1]rogério!$A250,[1]rogério!$B250=E$4),"ok","nok")</f>
        <v>nok</v>
      </c>
      <c r="F249" s="60" t="str">
        <f>IF(AND($B249=[1]rogério!$A250,[1]rogério!$B250=F$4),"ok","nok")</f>
        <v>nok</v>
      </c>
      <c r="G249" s="60" t="str">
        <f>IF(AND($B249=[1]rogério!$A250,[1]rogério!$B250=G$4),"ok","nok")</f>
        <v>nok</v>
      </c>
      <c r="H249" s="60" t="str">
        <f>IF(AND($B249=[1]rogério!$A250,[1]rogério!$B250=H$4),"ok","nok")</f>
        <v>nok</v>
      </c>
      <c r="I249" s="60" t="str">
        <f>IF(AND($B249=[1]rogério!$A250,[1]rogério!$B250=I$4),"ok","nok")</f>
        <v>nok</v>
      </c>
      <c r="J249" s="60" t="str">
        <f>IF(AND($B249=[1]rogério!$A250,[1]rogério!$B250=J$4),"ok","nok")</f>
        <v>nok</v>
      </c>
      <c r="K249" s="60" t="str">
        <f>IF(AND($B249=[1]rogério!$A250,[1]rogério!$B250=K$4),"ok","nok")</f>
        <v>nok</v>
      </c>
      <c r="L249" s="60" t="str">
        <f>IF(AND($B249=[1]rogério!$A250,[1]rogério!$B250=L$4),"ok","nok")</f>
        <v>nok</v>
      </c>
      <c r="M249" s="60" t="str">
        <f>IF(AND($B249=[1]rogério!$A250,[1]rogério!$B250=M$4),"ok","nok")</f>
        <v>nok</v>
      </c>
      <c r="N249" s="60" t="str">
        <f>IF(AND($B249=[1]rogério!$A250,[1]rogério!$B250=N$4),"ok","nok")</f>
        <v>nok</v>
      </c>
      <c r="O249" s="60" t="str">
        <f>IF(AND($B249=[1]rogério!$A250,[1]rogério!$B250=O$4),"ok","nok")</f>
        <v>nok</v>
      </c>
      <c r="P249" s="60" t="str">
        <f>IF(AND($B249=[1]rogério!$A250,[1]rogério!$B250=P$4),"ok","nok")</f>
        <v>nok</v>
      </c>
      <c r="Q249" s="60" t="str">
        <f>IF(AND($B249=[1]rogério!$A250,[1]rogério!$B250=Q$4),"ok","nok")</f>
        <v>nok</v>
      </c>
      <c r="R249" s="60" t="str">
        <f>IF(AND($B249=[1]rogério!$A250,[1]rogério!$B250=R$4),"ok","nok")</f>
        <v>nok</v>
      </c>
      <c r="S249" s="60" t="str">
        <f>IF(AND($B249=[1]rogério!$A250,[1]rogério!$B250=S$4),"ok","nok")</f>
        <v>nok</v>
      </c>
      <c r="T249" s="60" t="str">
        <f>IF(AND($B249=[1]rogério!$A250,[1]rogério!$B250=T$4),"ok","nok")</f>
        <v>nok</v>
      </c>
      <c r="U249" s="60" t="str">
        <f>IF(AND($B249=[1]rogério!$A250,[1]rogério!$B250=U$4),"ok","nok")</f>
        <v>ok</v>
      </c>
      <c r="V249" s="60" t="str">
        <f>IF(AND($B249=[1]rogério!$A250,[1]rogério!$B250=V$4),"ok","nok")</f>
        <v>nok</v>
      </c>
      <c r="W249" s="60" t="str">
        <f>IF(AND($B249=[1]rogério!$A250,[1]rogério!$B250=W$4),"ok","nok")</f>
        <v>nok</v>
      </c>
      <c r="X249" s="60" t="str">
        <f>IF(AND($B249=[1]rogério!$A250,[1]rogério!$B250=X$4),"ok","nok")</f>
        <v>nok</v>
      </c>
      <c r="Y249" s="105" t="s">
        <v>15</v>
      </c>
      <c r="Z249" s="106"/>
      <c r="AA249" s="106"/>
      <c r="AB249" s="107"/>
      <c r="AC249" s="40"/>
      <c r="AD249" s="40"/>
      <c r="AE249" s="48" t="str">
        <f t="shared" si="58"/>
        <v/>
      </c>
      <c r="AF249" s="48"/>
      <c r="AG249" s="48"/>
      <c r="AH249" s="89"/>
      <c r="AI249" s="49">
        <f t="shared" si="59"/>
        <v>0</v>
      </c>
      <c r="AJ249" s="49" t="str">
        <f t="shared" si="60"/>
        <v/>
      </c>
      <c r="AK249" s="49">
        <f t="shared" si="61"/>
        <v>0</v>
      </c>
      <c r="AL249" s="49" t="str">
        <f t="shared" si="62"/>
        <v/>
      </c>
      <c r="AM249" s="49">
        <f t="shared" si="63"/>
        <v>0</v>
      </c>
      <c r="AN249" s="49" t="str">
        <f t="shared" si="64"/>
        <v/>
      </c>
      <c r="AO249" s="49">
        <f t="shared" si="65"/>
        <v>1</v>
      </c>
      <c r="AP249" s="49" t="str">
        <f t="shared" si="66"/>
        <v/>
      </c>
      <c r="AQ249" s="49">
        <f t="shared" si="67"/>
        <v>0</v>
      </c>
      <c r="AR249" s="49" t="str">
        <f t="shared" si="68"/>
        <v/>
      </c>
      <c r="AV249" s="57"/>
      <c r="BF249" s="52"/>
    </row>
    <row r="250" spans="1:58" ht="30" customHeight="1" x14ac:dyDescent="0.35">
      <c r="A250" s="25"/>
      <c r="B250" s="62" t="s">
        <v>64</v>
      </c>
      <c r="C250" s="62"/>
      <c r="D250" s="62"/>
      <c r="E250" s="62"/>
      <c r="F250" s="62"/>
      <c r="G250" s="62"/>
      <c r="H250" s="62"/>
      <c r="I250" s="62"/>
      <c r="J250" s="62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114"/>
      <c r="Z250" s="115"/>
      <c r="AA250" s="115"/>
      <c r="AB250" s="116"/>
      <c r="AC250" s="40"/>
      <c r="AD250" s="40"/>
      <c r="AE250" s="48" t="str">
        <f t="shared" si="58"/>
        <v/>
      </c>
      <c r="AF250" s="48"/>
      <c r="AG250" s="48"/>
      <c r="AH250" s="89"/>
      <c r="AI250" s="49">
        <f t="shared" si="59"/>
        <v>0</v>
      </c>
      <c r="AJ250" s="49" t="str">
        <f t="shared" si="60"/>
        <v/>
      </c>
      <c r="AK250" s="49">
        <f t="shared" si="61"/>
        <v>0</v>
      </c>
      <c r="AL250" s="49" t="str">
        <f t="shared" si="62"/>
        <v/>
      </c>
      <c r="AM250" s="49">
        <f t="shared" si="63"/>
        <v>0</v>
      </c>
      <c r="AN250" s="49" t="str">
        <f t="shared" si="64"/>
        <v/>
      </c>
      <c r="AO250" s="49">
        <f t="shared" si="65"/>
        <v>0</v>
      </c>
      <c r="AP250" s="49" t="str">
        <f t="shared" si="66"/>
        <v/>
      </c>
      <c r="AQ250" s="49">
        <f t="shared" si="67"/>
        <v>0</v>
      </c>
      <c r="AR250" s="49" t="str">
        <f t="shared" si="68"/>
        <v/>
      </c>
      <c r="AV250" s="57"/>
      <c r="BF250" s="52"/>
    </row>
    <row r="251" spans="1:58" ht="30" customHeight="1" x14ac:dyDescent="0.35">
      <c r="A251" s="25"/>
      <c r="B251" s="39" t="s">
        <v>41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108"/>
      <c r="Z251" s="109"/>
      <c r="AA251" s="109"/>
      <c r="AB251" s="110"/>
      <c r="AC251" s="40"/>
      <c r="AD251" s="40"/>
      <c r="AE251" s="48" t="str">
        <f t="shared" si="58"/>
        <v/>
      </c>
      <c r="AF251" s="48"/>
      <c r="AG251" s="48"/>
      <c r="AH251" s="89"/>
      <c r="AI251" s="49">
        <f t="shared" si="59"/>
        <v>0</v>
      </c>
      <c r="AJ251" s="49" t="str">
        <f t="shared" si="60"/>
        <v/>
      </c>
      <c r="AK251" s="49">
        <f t="shared" si="61"/>
        <v>0</v>
      </c>
      <c r="AL251" s="49" t="str">
        <f t="shared" si="62"/>
        <v/>
      </c>
      <c r="AM251" s="49">
        <f t="shared" si="63"/>
        <v>0</v>
      </c>
      <c r="AN251" s="49" t="str">
        <f t="shared" si="64"/>
        <v/>
      </c>
      <c r="AO251" s="49">
        <f t="shared" si="65"/>
        <v>0</v>
      </c>
      <c r="AP251" s="49" t="str">
        <f t="shared" si="66"/>
        <v/>
      </c>
      <c r="AQ251" s="49">
        <f t="shared" si="67"/>
        <v>0</v>
      </c>
      <c r="AR251" s="49" t="str">
        <f t="shared" si="68"/>
        <v/>
      </c>
      <c r="AV251" s="57"/>
      <c r="BF251" s="52"/>
    </row>
    <row r="252" spans="1:58" ht="30" customHeight="1" x14ac:dyDescent="0.35">
      <c r="A252" s="25" t="str">
        <f>CONCATENATE($B$158,"
",$B$242,"",$B$243,"
",$B$250)</f>
        <v>PT177 - PLATAFORMA DE ACESSO - FORQUILHA 1 - DETALHADO
TORRE B2PROJETO DETALHADO
CIVIL</v>
      </c>
      <c r="B252" s="40" t="s">
        <v>19</v>
      </c>
      <c r="C252" s="60" t="str">
        <f>IF(AND($B252=[1]rogério!$A253,[1]rogério!$B253=C$4),"ok","nok")</f>
        <v>nok</v>
      </c>
      <c r="D252" s="60" t="str">
        <f>IF(AND($B252=[1]rogério!$A253,[1]rogério!$B253=D$4),"ok","nok")</f>
        <v>ok</v>
      </c>
      <c r="E252" s="60" t="str">
        <f>IF(AND($B252=[1]rogério!$A253,[1]rogério!$B253=E$4),"ok","nok")</f>
        <v>nok</v>
      </c>
      <c r="F252" s="60" t="str">
        <f>IF(AND($B252=[1]rogério!$A253,[1]rogério!$B253=F$4),"ok","nok")</f>
        <v>nok</v>
      </c>
      <c r="G252" s="60" t="str">
        <f>IF(AND($B252=[1]rogério!$A253,[1]rogério!$B253=G$4),"ok","nok")</f>
        <v>nok</v>
      </c>
      <c r="H252" s="60" t="str">
        <f>IF(AND($B252=[1]rogério!$A253,[1]rogério!$B253=H$4),"ok","nok")</f>
        <v>nok</v>
      </c>
      <c r="I252" s="60" t="str">
        <f>IF(AND($B252=[1]rogério!$A253,[1]rogério!$B253=I$4),"ok","nok")</f>
        <v>nok</v>
      </c>
      <c r="J252" s="60" t="str">
        <f>IF(AND($B252=[1]rogério!$A253,[1]rogério!$B253=J$4),"ok","nok")</f>
        <v>nok</v>
      </c>
      <c r="K252" s="60" t="str">
        <f>IF(AND($B252=[1]rogério!$A253,[1]rogério!$B253=K$4),"ok","nok")</f>
        <v>nok</v>
      </c>
      <c r="L252" s="60" t="str">
        <f>IF(AND($B252=[1]rogério!$A253,[1]rogério!$B253=L$4),"ok","nok")</f>
        <v>nok</v>
      </c>
      <c r="M252" s="60" t="str">
        <f>IF(AND($B252=[1]rogério!$A253,[1]rogério!$B253=M$4),"ok","nok")</f>
        <v>nok</v>
      </c>
      <c r="N252" s="60" t="str">
        <f>IF(AND($B252=[1]rogério!$A253,[1]rogério!$B253=N$4),"ok","nok")</f>
        <v>nok</v>
      </c>
      <c r="O252" s="60" t="str">
        <f>IF(AND($B252=[1]rogério!$A253,[1]rogério!$B253=O$4),"ok","nok")</f>
        <v>nok</v>
      </c>
      <c r="P252" s="60" t="str">
        <f>IF(AND($B252=[1]rogério!$A253,[1]rogério!$B253=P$4),"ok","nok")</f>
        <v>nok</v>
      </c>
      <c r="Q252" s="60" t="str">
        <f>IF(AND($B252=[1]rogério!$A253,[1]rogério!$B253=Q$4),"ok","nok")</f>
        <v>nok</v>
      </c>
      <c r="R252" s="60" t="str">
        <f>IF(AND($B252=[1]rogério!$A253,[1]rogério!$B253=R$4),"ok","nok")</f>
        <v>nok</v>
      </c>
      <c r="S252" s="60" t="str">
        <f>IF(AND($B252=[1]rogério!$A253,[1]rogério!$B253=S$4),"ok","nok")</f>
        <v>nok</v>
      </c>
      <c r="T252" s="60" t="str">
        <f>IF(AND($B252=[1]rogério!$A253,[1]rogério!$B253=T$4),"ok","nok")</f>
        <v>nok</v>
      </c>
      <c r="U252" s="60" t="str">
        <f>IF(AND($B252=[1]rogério!$A253,[1]rogério!$B253=U$4),"ok","nok")</f>
        <v>nok</v>
      </c>
      <c r="V252" s="60" t="str">
        <f>IF(AND($B252=[1]rogério!$A253,[1]rogério!$B253=V$4),"ok","nok")</f>
        <v>nok</v>
      </c>
      <c r="W252" s="60" t="str">
        <f>IF(AND($B252=[1]rogério!$A253,[1]rogério!$B253=W$4),"ok","nok")</f>
        <v>nok</v>
      </c>
      <c r="X252" s="60" t="str">
        <f>IF(AND($B252=[1]rogério!$A253,[1]rogério!$B253=X$4),"ok","nok")</f>
        <v>nok</v>
      </c>
      <c r="Y252" s="105" t="s">
        <v>15</v>
      </c>
      <c r="Z252" s="106"/>
      <c r="AA252" s="106"/>
      <c r="AB252" s="107"/>
      <c r="AC252" s="40"/>
      <c r="AD252" s="40"/>
      <c r="AE252" s="48" t="str">
        <f t="shared" si="58"/>
        <v/>
      </c>
      <c r="AF252" s="48"/>
      <c r="AG252" s="48"/>
      <c r="AH252" s="89"/>
      <c r="AI252" s="49">
        <f t="shared" si="59"/>
        <v>1</v>
      </c>
      <c r="AJ252" s="49" t="str">
        <f t="shared" si="60"/>
        <v/>
      </c>
      <c r="AK252" s="49">
        <f t="shared" si="61"/>
        <v>0</v>
      </c>
      <c r="AL252" s="49" t="str">
        <f t="shared" si="62"/>
        <v/>
      </c>
      <c r="AM252" s="49">
        <f t="shared" si="63"/>
        <v>0</v>
      </c>
      <c r="AN252" s="49" t="str">
        <f t="shared" si="64"/>
        <v/>
      </c>
      <c r="AO252" s="49">
        <f t="shared" si="65"/>
        <v>0</v>
      </c>
      <c r="AP252" s="49" t="str">
        <f t="shared" si="66"/>
        <v/>
      </c>
      <c r="AQ252" s="49">
        <f t="shared" si="67"/>
        <v>0</v>
      </c>
      <c r="AR252" s="49" t="str">
        <f t="shared" si="68"/>
        <v/>
      </c>
      <c r="AV252" s="57"/>
      <c r="BF252" s="52"/>
    </row>
    <row r="253" spans="1:58" ht="30" customHeight="1" x14ac:dyDescent="0.35">
      <c r="A253" s="25" t="str">
        <f t="shared" ref="A253:A269" si="72">CONCATENATE($B$158,"
",$B$242,"",$B$243,"
",$B$250)</f>
        <v>PT177 - PLATAFORMA DE ACESSO - FORQUILHA 1 - DETALHADO
TORRE B2PROJETO DETALHADO
CIVIL</v>
      </c>
      <c r="B253" s="40" t="s">
        <v>42</v>
      </c>
      <c r="C253" s="60" t="str">
        <f>IF(AND($B253=[1]rogério!$A254,[1]rogério!$B254=C$4),"ok","nok")</f>
        <v>nok</v>
      </c>
      <c r="D253" s="60" t="str">
        <f>IF(AND($B253=[1]rogério!$A254,[1]rogério!$B254=D$4),"ok","nok")</f>
        <v>nok</v>
      </c>
      <c r="E253" s="60" t="str">
        <f>IF(AND($B253=[1]rogério!$A254,[1]rogério!$B254=E$4),"ok","nok")</f>
        <v>nok</v>
      </c>
      <c r="F253" s="60" t="str">
        <f>IF(AND($B253=[1]rogério!$A254,[1]rogério!$B254=F$4),"ok","nok")</f>
        <v>nok</v>
      </c>
      <c r="G253" s="60" t="str">
        <f>IF(AND($B253=[1]rogério!$A254,[1]rogério!$B254=G$4),"ok","nok")</f>
        <v>ok</v>
      </c>
      <c r="H253" s="60" t="str">
        <f>IF(AND($B253=[1]rogério!$A254,[1]rogério!$B254=H$4),"ok","nok")</f>
        <v>nok</v>
      </c>
      <c r="I253" s="60" t="str">
        <f>IF(AND($B253=[1]rogério!$A254,[1]rogério!$B254=I$4),"ok","nok")</f>
        <v>nok</v>
      </c>
      <c r="J253" s="60" t="str">
        <f>IF(AND($B253=[1]rogério!$A254,[1]rogério!$B254=J$4),"ok","nok")</f>
        <v>nok</v>
      </c>
      <c r="K253" s="60" t="str">
        <f>IF(AND($B253=[1]rogério!$A254,[1]rogério!$B254=K$4),"ok","nok")</f>
        <v>nok</v>
      </c>
      <c r="L253" s="60" t="str">
        <f>IF(AND($B253=[1]rogério!$A254,[1]rogério!$B254=L$4),"ok","nok")</f>
        <v>nok</v>
      </c>
      <c r="M253" s="60" t="str">
        <f>IF(AND($B253=[1]rogério!$A254,[1]rogério!$B254=M$4),"ok","nok")</f>
        <v>nok</v>
      </c>
      <c r="N253" s="60" t="str">
        <f>IF(AND($B253=[1]rogério!$A254,[1]rogério!$B254=N$4),"ok","nok")</f>
        <v>nok</v>
      </c>
      <c r="O253" s="60" t="str">
        <f>IF(AND($B253=[1]rogério!$A254,[1]rogério!$B254=O$4),"ok","nok")</f>
        <v>nok</v>
      </c>
      <c r="P253" s="60" t="str">
        <f>IF(AND($B253=[1]rogério!$A254,[1]rogério!$B254=P$4),"ok","nok")</f>
        <v>nok</v>
      </c>
      <c r="Q253" s="60" t="str">
        <f>IF(AND($B253=[1]rogério!$A254,[1]rogério!$B254=Q$4),"ok","nok")</f>
        <v>nok</v>
      </c>
      <c r="R253" s="60" t="str">
        <f>IF(AND($B253=[1]rogério!$A254,[1]rogério!$B254=R$4),"ok","nok")</f>
        <v>nok</v>
      </c>
      <c r="S253" s="60" t="str">
        <f>IF(AND($B253=[1]rogério!$A254,[1]rogério!$B254=S$4),"ok","nok")</f>
        <v>nok</v>
      </c>
      <c r="T253" s="60" t="str">
        <f>IF(AND($B253=[1]rogério!$A254,[1]rogério!$B254=T$4),"ok","nok")</f>
        <v>nok</v>
      </c>
      <c r="U253" s="60" t="str">
        <f>IF(AND($B253=[1]rogério!$A254,[1]rogério!$B254=U$4),"ok","nok")</f>
        <v>nok</v>
      </c>
      <c r="V253" s="60" t="str">
        <f>IF(AND($B253=[1]rogério!$A254,[1]rogério!$B254=V$4),"ok","nok")</f>
        <v>nok</v>
      </c>
      <c r="W253" s="60" t="str">
        <f>IF(AND($B253=[1]rogério!$A254,[1]rogério!$B254=W$4),"ok","nok")</f>
        <v>nok</v>
      </c>
      <c r="X253" s="60" t="str">
        <f>IF(AND($B253=[1]rogério!$A254,[1]rogério!$B254=X$4),"ok","nok")</f>
        <v>nok</v>
      </c>
      <c r="Y253" s="105" t="s">
        <v>15</v>
      </c>
      <c r="Z253" s="106"/>
      <c r="AA253" s="106"/>
      <c r="AB253" s="107"/>
      <c r="AC253" s="40"/>
      <c r="AD253" s="40"/>
      <c r="AE253" s="48" t="str">
        <f t="shared" si="58"/>
        <v/>
      </c>
      <c r="AF253" s="48"/>
      <c r="AG253" s="48"/>
      <c r="AH253" s="89"/>
      <c r="AI253" s="49">
        <f t="shared" si="59"/>
        <v>1</v>
      </c>
      <c r="AJ253" s="49" t="str">
        <f t="shared" si="60"/>
        <v/>
      </c>
      <c r="AK253" s="49">
        <f t="shared" si="61"/>
        <v>0</v>
      </c>
      <c r="AL253" s="49" t="str">
        <f t="shared" si="62"/>
        <v/>
      </c>
      <c r="AM253" s="49">
        <f t="shared" si="63"/>
        <v>0</v>
      </c>
      <c r="AN253" s="49" t="str">
        <f t="shared" si="64"/>
        <v/>
      </c>
      <c r="AO253" s="49">
        <f t="shared" si="65"/>
        <v>0</v>
      </c>
      <c r="AP253" s="49" t="str">
        <f t="shared" si="66"/>
        <v/>
      </c>
      <c r="AQ253" s="49">
        <f t="shared" si="67"/>
        <v>0</v>
      </c>
      <c r="AR253" s="49" t="str">
        <f t="shared" si="68"/>
        <v/>
      </c>
      <c r="AV253" s="57"/>
      <c r="BF253" s="52"/>
    </row>
    <row r="254" spans="1:58" ht="30" customHeight="1" x14ac:dyDescent="0.35">
      <c r="A254" s="25" t="str">
        <f t="shared" si="72"/>
        <v>PT177 - PLATAFORMA DE ACESSO - FORQUILHA 1 - DETALHADO
TORRE B2PROJETO DETALHADO
CIVIL</v>
      </c>
      <c r="B254" s="40" t="s">
        <v>43</v>
      </c>
      <c r="C254" s="60" t="str">
        <f>IF(AND($B254=[1]rogério!$A255,[1]rogério!$B255=C$4),"ok","nok")</f>
        <v>nok</v>
      </c>
      <c r="D254" s="60" t="str">
        <f>IF(AND($B254=[1]rogério!$A255,[1]rogério!$B255=D$4),"ok","nok")</f>
        <v>nok</v>
      </c>
      <c r="E254" s="60" t="str">
        <f>IF(AND($B254=[1]rogério!$A255,[1]rogério!$B255=E$4),"ok","nok")</f>
        <v>nok</v>
      </c>
      <c r="F254" s="60" t="str">
        <f>IF(AND($B254=[1]rogério!$A255,[1]rogério!$B255=F$4),"ok","nok")</f>
        <v>nok</v>
      </c>
      <c r="G254" s="60" t="str">
        <f>IF(AND($B254=[1]rogério!$A255,[1]rogério!$B255=G$4),"ok","nok")</f>
        <v>ok</v>
      </c>
      <c r="H254" s="60" t="str">
        <f>IF(AND($B254=[1]rogério!$A255,[1]rogério!$B255=H$4),"ok","nok")</f>
        <v>nok</v>
      </c>
      <c r="I254" s="60" t="str">
        <f>IF(AND($B254=[1]rogério!$A255,[1]rogério!$B255=I$4),"ok","nok")</f>
        <v>nok</v>
      </c>
      <c r="J254" s="60" t="str">
        <f>IF(AND($B254=[1]rogério!$A255,[1]rogério!$B255=J$4),"ok","nok")</f>
        <v>nok</v>
      </c>
      <c r="K254" s="60" t="str">
        <f>IF(AND($B254=[1]rogério!$A255,[1]rogério!$B255=K$4),"ok","nok")</f>
        <v>nok</v>
      </c>
      <c r="L254" s="60" t="str">
        <f>IF(AND($B254=[1]rogério!$A255,[1]rogério!$B255=L$4),"ok","nok")</f>
        <v>nok</v>
      </c>
      <c r="M254" s="60" t="str">
        <f>IF(AND($B254=[1]rogério!$A255,[1]rogério!$B255=M$4),"ok","nok")</f>
        <v>nok</v>
      </c>
      <c r="N254" s="60" t="str">
        <f>IF(AND($B254=[1]rogério!$A255,[1]rogério!$B255=N$4),"ok","nok")</f>
        <v>nok</v>
      </c>
      <c r="O254" s="60" t="str">
        <f>IF(AND($B254=[1]rogério!$A255,[1]rogério!$B255=O$4),"ok","nok")</f>
        <v>nok</v>
      </c>
      <c r="P254" s="60" t="str">
        <f>IF(AND($B254=[1]rogério!$A255,[1]rogério!$B255=P$4),"ok","nok")</f>
        <v>nok</v>
      </c>
      <c r="Q254" s="60" t="str">
        <f>IF(AND($B254=[1]rogério!$A255,[1]rogério!$B255=Q$4),"ok","nok")</f>
        <v>nok</v>
      </c>
      <c r="R254" s="60" t="str">
        <f>IF(AND($B254=[1]rogério!$A255,[1]rogério!$B255=R$4),"ok","nok")</f>
        <v>nok</v>
      </c>
      <c r="S254" s="60" t="str">
        <f>IF(AND($B254=[1]rogério!$A255,[1]rogério!$B255=S$4),"ok","nok")</f>
        <v>nok</v>
      </c>
      <c r="T254" s="60" t="str">
        <f>IF(AND($B254=[1]rogério!$A255,[1]rogério!$B255=T$4),"ok","nok")</f>
        <v>nok</v>
      </c>
      <c r="U254" s="60" t="str">
        <f>IF(AND($B254=[1]rogério!$A255,[1]rogério!$B255=U$4),"ok","nok")</f>
        <v>nok</v>
      </c>
      <c r="V254" s="60" t="str">
        <f>IF(AND($B254=[1]rogério!$A255,[1]rogério!$B255=V$4),"ok","nok")</f>
        <v>nok</v>
      </c>
      <c r="W254" s="60" t="str">
        <f>IF(AND($B254=[1]rogério!$A255,[1]rogério!$B255=W$4),"ok","nok")</f>
        <v>nok</v>
      </c>
      <c r="X254" s="60" t="str">
        <f>IF(AND($B254=[1]rogério!$A255,[1]rogério!$B255=X$4),"ok","nok")</f>
        <v>nok</v>
      </c>
      <c r="Y254" s="105" t="s">
        <v>15</v>
      </c>
      <c r="Z254" s="106"/>
      <c r="AA254" s="106"/>
      <c r="AB254" s="107"/>
      <c r="AC254" s="40"/>
      <c r="AD254" s="40"/>
      <c r="AE254" s="48" t="str">
        <f t="shared" si="58"/>
        <v/>
      </c>
      <c r="AF254" s="48"/>
      <c r="AG254" s="48"/>
      <c r="AH254" s="89"/>
      <c r="AI254" s="49">
        <f t="shared" si="59"/>
        <v>1</v>
      </c>
      <c r="AJ254" s="49" t="str">
        <f t="shared" si="60"/>
        <v/>
      </c>
      <c r="AK254" s="49">
        <f t="shared" si="61"/>
        <v>0</v>
      </c>
      <c r="AL254" s="49" t="str">
        <f t="shared" si="62"/>
        <v/>
      </c>
      <c r="AM254" s="49">
        <f t="shared" si="63"/>
        <v>0</v>
      </c>
      <c r="AN254" s="49" t="str">
        <f t="shared" si="64"/>
        <v/>
      </c>
      <c r="AO254" s="49">
        <f t="shared" si="65"/>
        <v>0</v>
      </c>
      <c r="AP254" s="49" t="str">
        <f t="shared" si="66"/>
        <v/>
      </c>
      <c r="AQ254" s="49">
        <f t="shared" si="67"/>
        <v>0</v>
      </c>
      <c r="AR254" s="49" t="str">
        <f t="shared" si="68"/>
        <v/>
      </c>
      <c r="AV254" s="57"/>
      <c r="BF254" s="52"/>
    </row>
    <row r="255" spans="1:58" ht="30" customHeight="1" x14ac:dyDescent="0.35">
      <c r="A255" s="25" t="str">
        <f t="shared" si="72"/>
        <v>PT177 - PLATAFORMA DE ACESSO - FORQUILHA 1 - DETALHADO
TORRE B2PROJETO DETALHADO
CIVIL</v>
      </c>
      <c r="B255" s="38" t="s">
        <v>73</v>
      </c>
      <c r="C255" s="60" t="str">
        <f>IF(AND($B255=[1]rogério!$A256,[1]rogério!$B256=C$4),"ok","nok")</f>
        <v>nok</v>
      </c>
      <c r="D255" s="60" t="str">
        <f>IF(AND($B255=[1]rogério!$A256,[1]rogério!$B256=D$4),"ok","nok")</f>
        <v>nok</v>
      </c>
      <c r="E255" s="60" t="str">
        <f>IF(AND($B255=[1]rogério!$A256,[1]rogério!$B256=E$4),"ok","nok")</f>
        <v>nok</v>
      </c>
      <c r="F255" s="60" t="str">
        <f>IF(AND($B255=[1]rogério!$A256,[1]rogério!$B256=F$4),"ok","nok")</f>
        <v>nok</v>
      </c>
      <c r="G255" s="60" t="str">
        <f>IF(AND($B255=[1]rogério!$A256,[1]rogério!$B256=G$4),"ok","nok")</f>
        <v>nok</v>
      </c>
      <c r="H255" s="60" t="str">
        <f>IF(AND($B255=[1]rogério!$A256,[1]rogério!$B256=H$4),"ok","nok")</f>
        <v>nok</v>
      </c>
      <c r="I255" s="60" t="str">
        <f>IF(AND($B255=[1]rogério!$A256,[1]rogério!$B256=I$4),"ok","nok")</f>
        <v>ok</v>
      </c>
      <c r="J255" s="60" t="str">
        <f>IF(AND($B255=[1]rogério!$A256,[1]rogério!$B256=J$4),"ok","nok")</f>
        <v>nok</v>
      </c>
      <c r="K255" s="60" t="str">
        <f>IF(AND($B255=[1]rogério!$A256,[1]rogério!$B256=K$4),"ok","nok")</f>
        <v>nok</v>
      </c>
      <c r="L255" s="60" t="str">
        <f>IF(AND($B255=[1]rogério!$A256,[1]rogério!$B256=L$4),"ok","nok")</f>
        <v>nok</v>
      </c>
      <c r="M255" s="60" t="str">
        <f>IF(AND($B255=[1]rogério!$A256,[1]rogério!$B256=M$4),"ok","nok")</f>
        <v>nok</v>
      </c>
      <c r="N255" s="60" t="str">
        <f>IF(AND($B255=[1]rogério!$A256,[1]rogério!$B256=N$4),"ok","nok")</f>
        <v>nok</v>
      </c>
      <c r="O255" s="60" t="str">
        <f>IF(AND($B255=[1]rogério!$A256,[1]rogério!$B256=O$4),"ok","nok")</f>
        <v>nok</v>
      </c>
      <c r="P255" s="60" t="str">
        <f>IF(AND($B255=[1]rogério!$A256,[1]rogério!$B256=P$4),"ok","nok")</f>
        <v>nok</v>
      </c>
      <c r="Q255" s="60" t="str">
        <f>IF(AND($B255=[1]rogério!$A256,[1]rogério!$B256=Q$4),"ok","nok")</f>
        <v>nok</v>
      </c>
      <c r="R255" s="60" t="str">
        <f>IF(AND($B255=[1]rogério!$A256,[1]rogério!$B256=R$4),"ok","nok")</f>
        <v>nok</v>
      </c>
      <c r="S255" s="60" t="str">
        <f>IF(AND($B255=[1]rogério!$A256,[1]rogério!$B256=S$4),"ok","nok")</f>
        <v>nok</v>
      </c>
      <c r="T255" s="60" t="str">
        <f>IF(AND($B255=[1]rogério!$A256,[1]rogério!$B256=T$4),"ok","nok")</f>
        <v>nok</v>
      </c>
      <c r="U255" s="60" t="str">
        <f>IF(AND($B255=[1]rogério!$A256,[1]rogério!$B256=U$4),"ok","nok")</f>
        <v>nok</v>
      </c>
      <c r="V255" s="60" t="str">
        <f>IF(AND($B255=[1]rogério!$A256,[1]rogério!$B256=V$4),"ok","nok")</f>
        <v>nok</v>
      </c>
      <c r="W255" s="60" t="str">
        <f>IF(AND($B255=[1]rogério!$A256,[1]rogério!$B256=W$4),"ok","nok")</f>
        <v>nok</v>
      </c>
      <c r="X255" s="60" t="str">
        <f>IF(AND($B255=[1]rogério!$A256,[1]rogério!$B256=X$4),"ok","nok")</f>
        <v>nok</v>
      </c>
      <c r="Y255" s="105" t="s">
        <v>15</v>
      </c>
      <c r="Z255" s="106"/>
      <c r="AA255" s="106"/>
      <c r="AB255" s="107"/>
      <c r="AC255" s="40"/>
      <c r="AD255" s="40"/>
      <c r="AE255" s="48" t="str">
        <f t="shared" si="58"/>
        <v/>
      </c>
      <c r="AF255" s="48"/>
      <c r="AG255" s="48"/>
      <c r="AH255" s="89"/>
      <c r="AI255" s="49">
        <f t="shared" si="59"/>
        <v>0</v>
      </c>
      <c r="AJ255" s="49" t="str">
        <f t="shared" si="60"/>
        <v/>
      </c>
      <c r="AK255" s="49">
        <f t="shared" si="61"/>
        <v>1</v>
      </c>
      <c r="AL255" s="49" t="str">
        <f t="shared" si="62"/>
        <v/>
      </c>
      <c r="AM255" s="49">
        <f t="shared" si="63"/>
        <v>0</v>
      </c>
      <c r="AN255" s="49" t="str">
        <f t="shared" si="64"/>
        <v/>
      </c>
      <c r="AO255" s="49">
        <f t="shared" si="65"/>
        <v>0</v>
      </c>
      <c r="AP255" s="49" t="str">
        <f t="shared" si="66"/>
        <v/>
      </c>
      <c r="AQ255" s="49">
        <f t="shared" si="67"/>
        <v>0</v>
      </c>
      <c r="AR255" s="49" t="str">
        <f t="shared" si="68"/>
        <v/>
      </c>
      <c r="AV255" s="57"/>
      <c r="BF255" s="52"/>
    </row>
    <row r="256" spans="1:58" ht="30" customHeight="1" x14ac:dyDescent="0.35">
      <c r="A256" s="25"/>
      <c r="B256" s="39" t="s">
        <v>53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108"/>
      <c r="Z256" s="109"/>
      <c r="AA256" s="109"/>
      <c r="AB256" s="110"/>
      <c r="AC256" s="40"/>
      <c r="AD256" s="40"/>
      <c r="AE256" s="48" t="str">
        <f t="shared" si="58"/>
        <v/>
      </c>
      <c r="AF256" s="48"/>
      <c r="AG256" s="48"/>
      <c r="AH256" s="89"/>
      <c r="AI256" s="49">
        <f t="shared" si="59"/>
        <v>0</v>
      </c>
      <c r="AJ256" s="49" t="str">
        <f t="shared" si="60"/>
        <v/>
      </c>
      <c r="AK256" s="49">
        <f t="shared" si="61"/>
        <v>0</v>
      </c>
      <c r="AL256" s="49" t="str">
        <f t="shared" si="62"/>
        <v/>
      </c>
      <c r="AM256" s="49">
        <f t="shared" si="63"/>
        <v>0</v>
      </c>
      <c r="AN256" s="49" t="str">
        <f t="shared" si="64"/>
        <v/>
      </c>
      <c r="AO256" s="49">
        <f t="shared" si="65"/>
        <v>0</v>
      </c>
      <c r="AP256" s="49" t="str">
        <f t="shared" si="66"/>
        <v/>
      </c>
      <c r="AQ256" s="49">
        <f t="shared" si="67"/>
        <v>0</v>
      </c>
      <c r="AR256" s="49" t="str">
        <f t="shared" si="68"/>
        <v/>
      </c>
      <c r="AV256" s="57"/>
      <c r="BF256" s="52"/>
    </row>
    <row r="257" spans="1:58" ht="30" customHeight="1" x14ac:dyDescent="0.35">
      <c r="A257" s="25" t="str">
        <f t="shared" si="72"/>
        <v>PT177 - PLATAFORMA DE ACESSO - FORQUILHA 1 - DETALHADO
TORRE B2PROJETO DETALHADO
CIVIL</v>
      </c>
      <c r="B257" s="40" t="s">
        <v>49</v>
      </c>
      <c r="C257" s="60" t="str">
        <f>IF(AND($B257=[1]rogério!$A258,[1]rogério!$B258=C$4),"ok","nok")</f>
        <v>nok</v>
      </c>
      <c r="D257" s="60" t="str">
        <f>IF(AND($B257=[1]rogério!$A258,[1]rogério!$B258=D$4),"ok","nok")</f>
        <v>nok</v>
      </c>
      <c r="E257" s="60" t="str">
        <f>IF(AND($B257=[1]rogério!$A258,[1]rogério!$B258=E$4),"ok","nok")</f>
        <v>nok</v>
      </c>
      <c r="F257" s="60" t="str">
        <f>IF(AND($B257=[1]rogério!$A258,[1]rogério!$B258=F$4),"ok","nok")</f>
        <v>nok</v>
      </c>
      <c r="G257" s="60" t="str">
        <f>IF(AND($B257=[1]rogério!$A258,[1]rogério!$B258=G$4),"ok","nok")</f>
        <v>nok</v>
      </c>
      <c r="H257" s="60" t="str">
        <f>IF(AND($B257=[1]rogério!$A258,[1]rogério!$B258=H$4),"ok","nok")</f>
        <v>nok</v>
      </c>
      <c r="I257" s="60" t="str">
        <f>IF(AND($B257=[1]rogério!$A258,[1]rogério!$B258=I$4),"ok","nok")</f>
        <v>ok</v>
      </c>
      <c r="J257" s="60" t="str">
        <f>IF(AND($B257=[1]rogério!$A258,[1]rogério!$B258=J$4),"ok","nok")</f>
        <v>nok</v>
      </c>
      <c r="K257" s="60" t="str">
        <f>IF(AND($B257=[1]rogério!$A258,[1]rogério!$B258=K$4),"ok","nok")</f>
        <v>nok</v>
      </c>
      <c r="L257" s="60" t="str">
        <f>IF(AND($B257=[1]rogério!$A258,[1]rogério!$B258=L$4),"ok","nok")</f>
        <v>nok</v>
      </c>
      <c r="M257" s="60" t="str">
        <f>IF(AND($B257=[1]rogério!$A258,[1]rogério!$B258=M$4),"ok","nok")</f>
        <v>nok</v>
      </c>
      <c r="N257" s="60" t="str">
        <f>IF(AND($B257=[1]rogério!$A258,[1]rogério!$B258=N$4),"ok","nok")</f>
        <v>nok</v>
      </c>
      <c r="O257" s="60" t="str">
        <f>IF(AND($B257=[1]rogério!$A258,[1]rogério!$B258=O$4),"ok","nok")</f>
        <v>nok</v>
      </c>
      <c r="P257" s="60" t="str">
        <f>IF(AND($B257=[1]rogério!$A258,[1]rogério!$B258=P$4),"ok","nok")</f>
        <v>nok</v>
      </c>
      <c r="Q257" s="60" t="str">
        <f>IF(AND($B257=[1]rogério!$A258,[1]rogério!$B258=Q$4),"ok","nok")</f>
        <v>nok</v>
      </c>
      <c r="R257" s="60" t="str">
        <f>IF(AND($B257=[1]rogério!$A258,[1]rogério!$B258=R$4),"ok","nok")</f>
        <v>nok</v>
      </c>
      <c r="S257" s="60" t="str">
        <f>IF(AND($B257=[1]rogério!$A258,[1]rogério!$B258=S$4),"ok","nok")</f>
        <v>nok</v>
      </c>
      <c r="T257" s="60" t="str">
        <f>IF(AND($B257=[1]rogério!$A258,[1]rogério!$B258=T$4),"ok","nok")</f>
        <v>nok</v>
      </c>
      <c r="U257" s="60" t="str">
        <f>IF(AND($B257=[1]rogério!$A258,[1]rogério!$B258=U$4),"ok","nok")</f>
        <v>nok</v>
      </c>
      <c r="V257" s="60" t="str">
        <f>IF(AND($B257=[1]rogério!$A258,[1]rogério!$B258=V$4),"ok","nok")</f>
        <v>nok</v>
      </c>
      <c r="W257" s="60" t="str">
        <f>IF(AND($B257=[1]rogério!$A258,[1]rogério!$B258=W$4),"ok","nok")</f>
        <v>nok</v>
      </c>
      <c r="X257" s="60" t="str">
        <f>IF(AND($B257=[1]rogério!$A258,[1]rogério!$B258=X$4),"ok","nok")</f>
        <v>nok</v>
      </c>
      <c r="Y257" s="105" t="s">
        <v>15</v>
      </c>
      <c r="Z257" s="106"/>
      <c r="AA257" s="106"/>
      <c r="AB257" s="107"/>
      <c r="AC257" s="40"/>
      <c r="AD257" s="40"/>
      <c r="AE257" s="48" t="str">
        <f t="shared" si="58"/>
        <v/>
      </c>
      <c r="AF257" s="48"/>
      <c r="AG257" s="48"/>
      <c r="AH257" s="89"/>
      <c r="AI257" s="49">
        <f t="shared" si="59"/>
        <v>0</v>
      </c>
      <c r="AJ257" s="49" t="str">
        <f t="shared" si="60"/>
        <v/>
      </c>
      <c r="AK257" s="49">
        <f t="shared" si="61"/>
        <v>1</v>
      </c>
      <c r="AL257" s="49" t="str">
        <f t="shared" si="62"/>
        <v/>
      </c>
      <c r="AM257" s="49">
        <f t="shared" si="63"/>
        <v>0</v>
      </c>
      <c r="AN257" s="49" t="str">
        <f t="shared" si="64"/>
        <v/>
      </c>
      <c r="AO257" s="49">
        <f t="shared" si="65"/>
        <v>0</v>
      </c>
      <c r="AP257" s="49" t="str">
        <f t="shared" si="66"/>
        <v/>
      </c>
      <c r="AQ257" s="49">
        <f t="shared" si="67"/>
        <v>0</v>
      </c>
      <c r="AR257" s="49" t="str">
        <f t="shared" si="68"/>
        <v/>
      </c>
      <c r="AV257" s="57"/>
      <c r="BF257" s="52"/>
    </row>
    <row r="258" spans="1:58" ht="30" customHeight="1" x14ac:dyDescent="0.35">
      <c r="A258" s="25" t="str">
        <f t="shared" si="72"/>
        <v>PT177 - PLATAFORMA DE ACESSO - FORQUILHA 1 - DETALHADO
TORRE B2PROJETO DETALHADO
CIVIL</v>
      </c>
      <c r="B258" s="40" t="s">
        <v>19</v>
      </c>
      <c r="C258" s="60" t="str">
        <f>IF(AND($B258=[1]rogério!$A259,[1]rogério!$B259=C$4),"ok","nok")</f>
        <v>nok</v>
      </c>
      <c r="D258" s="60" t="str">
        <f>IF(AND($B258=[1]rogério!$A259,[1]rogério!$B259=D$4),"ok","nok")</f>
        <v>nok</v>
      </c>
      <c r="E258" s="60" t="str">
        <f>IF(AND($B258=[1]rogério!$A259,[1]rogério!$B259=E$4),"ok","nok")</f>
        <v>nok</v>
      </c>
      <c r="F258" s="60" t="str">
        <f>IF(AND($B258=[1]rogério!$A259,[1]rogério!$B259=F$4),"ok","nok")</f>
        <v>nok</v>
      </c>
      <c r="G258" s="60" t="str">
        <f>IF(AND($B258=[1]rogério!$A259,[1]rogério!$B259=G$4),"ok","nok")</f>
        <v>nok</v>
      </c>
      <c r="H258" s="60" t="str">
        <f>IF(AND($B258=[1]rogério!$A259,[1]rogério!$B259=H$4),"ok","nok")</f>
        <v>nok</v>
      </c>
      <c r="I258" s="60" t="str">
        <f>IF(AND($B258=[1]rogério!$A259,[1]rogério!$B259=I$4),"ok","nok")</f>
        <v>nok</v>
      </c>
      <c r="J258" s="60" t="str">
        <f>IF(AND($B258=[1]rogério!$A259,[1]rogério!$B259=J$4),"ok","nok")</f>
        <v>nok</v>
      </c>
      <c r="K258" s="60" t="str">
        <f>IF(AND($B258=[1]rogério!$A259,[1]rogério!$B259=K$4),"ok","nok")</f>
        <v>nok</v>
      </c>
      <c r="L258" s="60" t="str">
        <f>IF(AND($B258=[1]rogério!$A259,[1]rogério!$B259=L$4),"ok","nok")</f>
        <v>nok</v>
      </c>
      <c r="M258" s="60" t="str">
        <f>IF(AND($B258=[1]rogério!$A259,[1]rogério!$B259=M$4),"ok","nok")</f>
        <v>nok</v>
      </c>
      <c r="N258" s="60" t="str">
        <f>IF(AND($B258=[1]rogério!$A259,[1]rogério!$B259=N$4),"ok","nok")</f>
        <v>ok</v>
      </c>
      <c r="O258" s="60" t="str">
        <f>IF(AND($B258=[1]rogério!$A259,[1]rogério!$B259=O$4),"ok","nok")</f>
        <v>nok</v>
      </c>
      <c r="P258" s="60" t="str">
        <f>IF(AND($B258=[1]rogério!$A259,[1]rogério!$B259=P$4),"ok","nok")</f>
        <v>nok</v>
      </c>
      <c r="Q258" s="60" t="str">
        <f>IF(AND($B258=[1]rogério!$A259,[1]rogério!$B259=Q$4),"ok","nok")</f>
        <v>nok</v>
      </c>
      <c r="R258" s="60" t="str">
        <f>IF(AND($B258=[1]rogério!$A259,[1]rogério!$B259=R$4),"ok","nok")</f>
        <v>nok</v>
      </c>
      <c r="S258" s="60" t="str">
        <f>IF(AND($B258=[1]rogério!$A259,[1]rogério!$B259=S$4),"ok","nok")</f>
        <v>nok</v>
      </c>
      <c r="T258" s="60" t="str">
        <f>IF(AND($B258=[1]rogério!$A259,[1]rogério!$B259=T$4),"ok","nok")</f>
        <v>nok</v>
      </c>
      <c r="U258" s="60" t="str">
        <f>IF(AND($B258=[1]rogério!$A259,[1]rogério!$B259=U$4),"ok","nok")</f>
        <v>nok</v>
      </c>
      <c r="V258" s="60" t="str">
        <f>IF(AND($B258=[1]rogério!$A259,[1]rogério!$B259=V$4),"ok","nok")</f>
        <v>nok</v>
      </c>
      <c r="W258" s="60" t="str">
        <f>IF(AND($B258=[1]rogério!$A259,[1]rogério!$B259=W$4),"ok","nok")</f>
        <v>nok</v>
      </c>
      <c r="X258" s="60" t="str">
        <f>IF(AND($B258=[1]rogério!$A259,[1]rogério!$B259=X$4),"ok","nok")</f>
        <v>nok</v>
      </c>
      <c r="Y258" s="105" t="s">
        <v>15</v>
      </c>
      <c r="Z258" s="106"/>
      <c r="AA258" s="106"/>
      <c r="AB258" s="107"/>
      <c r="AC258" s="40"/>
      <c r="AD258" s="40"/>
      <c r="AE258" s="48" t="str">
        <f t="shared" si="58"/>
        <v/>
      </c>
      <c r="AF258" s="48"/>
      <c r="AG258" s="48"/>
      <c r="AH258" s="89"/>
      <c r="AI258" s="49">
        <f t="shared" si="59"/>
        <v>0</v>
      </c>
      <c r="AJ258" s="49" t="str">
        <f t="shared" si="60"/>
        <v/>
      </c>
      <c r="AK258" s="49">
        <f t="shared" si="61"/>
        <v>0</v>
      </c>
      <c r="AL258" s="49" t="str">
        <f t="shared" si="62"/>
        <v/>
      </c>
      <c r="AM258" s="49">
        <f t="shared" si="63"/>
        <v>1</v>
      </c>
      <c r="AN258" s="49" t="str">
        <f t="shared" si="64"/>
        <v/>
      </c>
      <c r="AO258" s="49">
        <f t="shared" si="65"/>
        <v>0</v>
      </c>
      <c r="AP258" s="49" t="str">
        <f t="shared" si="66"/>
        <v/>
      </c>
      <c r="AQ258" s="49">
        <f t="shared" si="67"/>
        <v>0</v>
      </c>
      <c r="AR258" s="49" t="str">
        <f t="shared" si="68"/>
        <v/>
      </c>
      <c r="AV258" s="57"/>
      <c r="BF258" s="52"/>
    </row>
    <row r="259" spans="1:58" ht="30" customHeight="1" x14ac:dyDescent="0.35">
      <c r="A259" s="25" t="str">
        <f t="shared" si="72"/>
        <v>PT177 - PLATAFORMA DE ACESSO - FORQUILHA 1 - DETALHADO
TORRE B2PROJETO DETALHADO
CIVIL</v>
      </c>
      <c r="B259" s="40" t="s">
        <v>42</v>
      </c>
      <c r="C259" s="60" t="str">
        <f>IF(AND($B259=[1]rogério!$A260,[1]rogério!$B260=C$4),"ok","nok")</f>
        <v>nok</v>
      </c>
      <c r="D259" s="60" t="str">
        <f>IF(AND($B259=[1]rogério!$A260,[1]rogério!$B260=D$4),"ok","nok")</f>
        <v>nok</v>
      </c>
      <c r="E259" s="60" t="str">
        <f>IF(AND($B259=[1]rogério!$A260,[1]rogério!$B260=E$4),"ok","nok")</f>
        <v>nok</v>
      </c>
      <c r="F259" s="60" t="str">
        <f>IF(AND($B259=[1]rogério!$A260,[1]rogério!$B260=F$4),"ok","nok")</f>
        <v>nok</v>
      </c>
      <c r="G259" s="60" t="str">
        <f>IF(AND($B259=[1]rogério!$A260,[1]rogério!$B260=G$4),"ok","nok")</f>
        <v>nok</v>
      </c>
      <c r="H259" s="60" t="str">
        <f>IF(AND($B259=[1]rogério!$A260,[1]rogério!$B260=H$4),"ok","nok")</f>
        <v>nok</v>
      </c>
      <c r="I259" s="60" t="str">
        <f>IF(AND($B259=[1]rogério!$A260,[1]rogério!$B260=I$4),"ok","nok")</f>
        <v>nok</v>
      </c>
      <c r="J259" s="60" t="str">
        <f>IF(AND($B259=[1]rogério!$A260,[1]rogério!$B260=J$4),"ok","nok")</f>
        <v>nok</v>
      </c>
      <c r="K259" s="60" t="str">
        <f>IF(AND($B259=[1]rogério!$A260,[1]rogério!$B260=K$4),"ok","nok")</f>
        <v>nok</v>
      </c>
      <c r="L259" s="60" t="str">
        <f>IF(AND($B259=[1]rogério!$A260,[1]rogério!$B260=L$4),"ok","nok")</f>
        <v>nok</v>
      </c>
      <c r="M259" s="60" t="str">
        <f>IF(AND($B259=[1]rogério!$A260,[1]rogério!$B260=M$4),"ok","nok")</f>
        <v>nok</v>
      </c>
      <c r="N259" s="60" t="str">
        <f>IF(AND($B259=[1]rogério!$A260,[1]rogério!$B260=N$4),"ok","nok")</f>
        <v>nok</v>
      </c>
      <c r="O259" s="60" t="str">
        <f>IF(AND($B259=[1]rogério!$A260,[1]rogério!$B260=O$4),"ok","nok")</f>
        <v>nok</v>
      </c>
      <c r="P259" s="60" t="str">
        <f>IF(AND($B259=[1]rogério!$A260,[1]rogério!$B260=P$4),"ok","nok")</f>
        <v>nok</v>
      </c>
      <c r="Q259" s="60" t="str">
        <f>IF(AND($B259=[1]rogério!$A260,[1]rogério!$B260=Q$4),"ok","nok")</f>
        <v>ok</v>
      </c>
      <c r="R259" s="60" t="str">
        <f>IF(AND($B259=[1]rogério!$A260,[1]rogério!$B260=R$4),"ok","nok")</f>
        <v>nok</v>
      </c>
      <c r="S259" s="60" t="str">
        <f>IF(AND($B259=[1]rogério!$A260,[1]rogério!$B260=S$4),"ok","nok")</f>
        <v>nok</v>
      </c>
      <c r="T259" s="60" t="str">
        <f>IF(AND($B259=[1]rogério!$A260,[1]rogério!$B260=T$4),"ok","nok")</f>
        <v>nok</v>
      </c>
      <c r="U259" s="60" t="str">
        <f>IF(AND($B259=[1]rogério!$A260,[1]rogério!$B260=U$4),"ok","nok")</f>
        <v>nok</v>
      </c>
      <c r="V259" s="60" t="str">
        <f>IF(AND($B259=[1]rogério!$A260,[1]rogério!$B260=V$4),"ok","nok")</f>
        <v>nok</v>
      </c>
      <c r="W259" s="60" t="str">
        <f>IF(AND($B259=[1]rogério!$A260,[1]rogério!$B260=W$4),"ok","nok")</f>
        <v>nok</v>
      </c>
      <c r="X259" s="60" t="str">
        <f>IF(AND($B259=[1]rogério!$A260,[1]rogério!$B260=X$4),"ok","nok")</f>
        <v>nok</v>
      </c>
      <c r="Y259" s="105" t="s">
        <v>15</v>
      </c>
      <c r="Z259" s="106"/>
      <c r="AA259" s="106"/>
      <c r="AB259" s="107"/>
      <c r="AC259" s="40"/>
      <c r="AD259" s="40"/>
      <c r="AE259" s="48" t="str">
        <f t="shared" ref="AE259:AE322" si="73">IF(Y259="ATRASADO",B259,"")</f>
        <v/>
      </c>
      <c r="AF259" s="48"/>
      <c r="AG259" s="48"/>
      <c r="AH259" s="89"/>
      <c r="AI259" s="49">
        <f t="shared" ref="AI259:AI322" si="74">COUNTIF(C259:G259,"ok")</f>
        <v>0</v>
      </c>
      <c r="AJ259" s="49" t="str">
        <f t="shared" ref="AJ259:AJ322" si="75">IF(AND(AI259=1,OR($Y259="entregue",$Y259="efprazo")),$Y259,"")</f>
        <v/>
      </c>
      <c r="AK259" s="49">
        <f t="shared" ref="AK259:AK322" si="76">COUNTIF(H259:L259,"ok")</f>
        <v>0</v>
      </c>
      <c r="AL259" s="49" t="str">
        <f t="shared" ref="AL259:AL322" si="77">IF(AND(AK259=1,OR($Y259="entregue",$Y259="efprazo")),$Y259,"")</f>
        <v/>
      </c>
      <c r="AM259" s="49">
        <f t="shared" ref="AM259:AM322" si="78">COUNTIF(M259:Q259,"ok")</f>
        <v>1</v>
      </c>
      <c r="AN259" s="49" t="str">
        <f t="shared" ref="AN259:AN322" si="79">IF(AND(AM259=1,OR($Y259="entregue",$Y259="efprazo")),$Y259,"")</f>
        <v/>
      </c>
      <c r="AO259" s="49">
        <f t="shared" ref="AO259:AO322" si="80">COUNTIF(R259:V259,"ok")</f>
        <v>0</v>
      </c>
      <c r="AP259" s="49" t="str">
        <f t="shared" ref="AP259:AP322" si="81">IF(AND(AO259=1,OR($Y259="entregue",$Y259="efprazo")),$Y259,"")</f>
        <v/>
      </c>
      <c r="AQ259" s="49">
        <f t="shared" ref="AQ259:AQ322" si="82">COUNTIF(W259:X259,"ok")</f>
        <v>0</v>
      </c>
      <c r="AR259" s="49" t="str">
        <f t="shared" ref="AR259:AR322" si="83">IF(AND(AQ259=1,OR($Y259="entregue",$Y259="efprazo")),$Y259,"")</f>
        <v/>
      </c>
      <c r="AV259" s="57"/>
      <c r="BF259" s="52"/>
    </row>
    <row r="260" spans="1:58" ht="30" customHeight="1" x14ac:dyDescent="0.35">
      <c r="A260" s="25" t="str">
        <f t="shared" si="72"/>
        <v>PT177 - PLATAFORMA DE ACESSO - FORQUILHA 1 - DETALHADO
TORRE B2PROJETO DETALHADO
CIVIL</v>
      </c>
      <c r="B260" s="40" t="s">
        <v>43</v>
      </c>
      <c r="C260" s="60" t="str">
        <f>IF(AND($B260=[1]rogério!$A261,[1]rogério!$B261=C$4),"ok","nok")</f>
        <v>nok</v>
      </c>
      <c r="D260" s="60" t="str">
        <f>IF(AND($B260=[1]rogério!$A261,[1]rogério!$B261=D$4),"ok","nok")</f>
        <v>nok</v>
      </c>
      <c r="E260" s="60" t="str">
        <f>IF(AND($B260=[1]rogério!$A261,[1]rogério!$B261=E$4),"ok","nok")</f>
        <v>nok</v>
      </c>
      <c r="F260" s="60" t="str">
        <f>IF(AND($B260=[1]rogério!$A261,[1]rogério!$B261=F$4),"ok","nok")</f>
        <v>nok</v>
      </c>
      <c r="G260" s="60" t="str">
        <f>IF(AND($B260=[1]rogério!$A261,[1]rogério!$B261=G$4),"ok","nok")</f>
        <v>nok</v>
      </c>
      <c r="H260" s="60" t="str">
        <f>IF(AND($B260=[1]rogério!$A261,[1]rogério!$B261=H$4),"ok","nok")</f>
        <v>nok</v>
      </c>
      <c r="I260" s="60" t="str">
        <f>IF(AND($B260=[1]rogério!$A261,[1]rogério!$B261=I$4),"ok","nok")</f>
        <v>nok</v>
      </c>
      <c r="J260" s="60" t="str">
        <f>IF(AND($B260=[1]rogério!$A261,[1]rogério!$B261=J$4),"ok","nok")</f>
        <v>nok</v>
      </c>
      <c r="K260" s="60" t="str">
        <f>IF(AND($B260=[1]rogério!$A261,[1]rogério!$B261=K$4),"ok","nok")</f>
        <v>nok</v>
      </c>
      <c r="L260" s="60" t="str">
        <f>IF(AND($B260=[1]rogério!$A261,[1]rogério!$B261=L$4),"ok","nok")</f>
        <v>nok</v>
      </c>
      <c r="M260" s="60" t="str">
        <f>IF(AND($B260=[1]rogério!$A261,[1]rogério!$B261=M$4),"ok","nok")</f>
        <v>nok</v>
      </c>
      <c r="N260" s="60" t="str">
        <f>IF(AND($B260=[1]rogério!$A261,[1]rogério!$B261=N$4),"ok","nok")</f>
        <v>nok</v>
      </c>
      <c r="O260" s="60" t="str">
        <f>IF(AND($B260=[1]rogério!$A261,[1]rogério!$B261=O$4),"ok","nok")</f>
        <v>nok</v>
      </c>
      <c r="P260" s="60" t="str">
        <f>IF(AND($B260=[1]rogério!$A261,[1]rogério!$B261=P$4),"ok","nok")</f>
        <v>nok</v>
      </c>
      <c r="Q260" s="60" t="str">
        <f>IF(AND($B260=[1]rogério!$A261,[1]rogério!$B261=Q$4),"ok","nok")</f>
        <v>ok</v>
      </c>
      <c r="R260" s="60" t="str">
        <f>IF(AND($B260=[1]rogério!$A261,[1]rogério!$B261=R$4),"ok","nok")</f>
        <v>nok</v>
      </c>
      <c r="S260" s="60" t="str">
        <f>IF(AND($B260=[1]rogério!$A261,[1]rogério!$B261=S$4),"ok","nok")</f>
        <v>nok</v>
      </c>
      <c r="T260" s="60" t="str">
        <f>IF(AND($B260=[1]rogério!$A261,[1]rogério!$B261=T$4),"ok","nok")</f>
        <v>nok</v>
      </c>
      <c r="U260" s="60" t="str">
        <f>IF(AND($B260=[1]rogério!$A261,[1]rogério!$B261=U$4),"ok","nok")</f>
        <v>nok</v>
      </c>
      <c r="V260" s="60" t="str">
        <f>IF(AND($B260=[1]rogério!$A261,[1]rogério!$B261=V$4),"ok","nok")</f>
        <v>nok</v>
      </c>
      <c r="W260" s="60" t="str">
        <f>IF(AND($B260=[1]rogério!$A261,[1]rogério!$B261=W$4),"ok","nok")</f>
        <v>nok</v>
      </c>
      <c r="X260" s="60" t="str">
        <f>IF(AND($B260=[1]rogério!$A261,[1]rogério!$B261=X$4),"ok","nok")</f>
        <v>nok</v>
      </c>
      <c r="Y260" s="105" t="s">
        <v>15</v>
      </c>
      <c r="Z260" s="106"/>
      <c r="AA260" s="106"/>
      <c r="AB260" s="107"/>
      <c r="AC260" s="40"/>
      <c r="AD260" s="40"/>
      <c r="AE260" s="48" t="str">
        <f t="shared" si="73"/>
        <v/>
      </c>
      <c r="AF260" s="48"/>
      <c r="AG260" s="48"/>
      <c r="AH260" s="89"/>
      <c r="AI260" s="49">
        <f t="shared" si="74"/>
        <v>0</v>
      </c>
      <c r="AJ260" s="49" t="str">
        <f t="shared" si="75"/>
        <v/>
      </c>
      <c r="AK260" s="49">
        <f t="shared" si="76"/>
        <v>0</v>
      </c>
      <c r="AL260" s="49" t="str">
        <f t="shared" si="77"/>
        <v/>
      </c>
      <c r="AM260" s="49">
        <f t="shared" si="78"/>
        <v>1</v>
      </c>
      <c r="AN260" s="49" t="str">
        <f t="shared" si="79"/>
        <v/>
      </c>
      <c r="AO260" s="49">
        <f t="shared" si="80"/>
        <v>0</v>
      </c>
      <c r="AP260" s="49" t="str">
        <f t="shared" si="81"/>
        <v/>
      </c>
      <c r="AQ260" s="49">
        <f t="shared" si="82"/>
        <v>0</v>
      </c>
      <c r="AR260" s="49" t="str">
        <f t="shared" si="83"/>
        <v/>
      </c>
      <c r="AV260" s="57"/>
      <c r="BF260" s="52"/>
    </row>
    <row r="261" spans="1:58" ht="30" customHeight="1" x14ac:dyDescent="0.35">
      <c r="A261" s="25" t="str">
        <f t="shared" si="72"/>
        <v>PT177 - PLATAFORMA DE ACESSO - FORQUILHA 1 - DETALHADO
TORRE B2PROJETO DETALHADO
CIVIL</v>
      </c>
      <c r="B261" s="38" t="s">
        <v>74</v>
      </c>
      <c r="C261" s="60" t="str">
        <f>IF(AND($B261=[1]rogério!$A262,[1]rogério!$B262=C$4),"ok","nok")</f>
        <v>nok</v>
      </c>
      <c r="D261" s="60" t="str">
        <f>IF(AND($B261=[1]rogério!$A262,[1]rogério!$B262=D$4),"ok","nok")</f>
        <v>nok</v>
      </c>
      <c r="E261" s="60" t="str">
        <f>IF(AND($B261=[1]rogério!$A262,[1]rogério!$B262=E$4),"ok","nok")</f>
        <v>nok</v>
      </c>
      <c r="F261" s="60" t="str">
        <f>IF(AND($B261=[1]rogério!$A262,[1]rogério!$B262=F$4),"ok","nok")</f>
        <v>nok</v>
      </c>
      <c r="G261" s="60" t="str">
        <f>IF(AND($B261=[1]rogério!$A262,[1]rogério!$B262=G$4),"ok","nok")</f>
        <v>nok</v>
      </c>
      <c r="H261" s="60" t="str">
        <f>IF(AND($B261=[1]rogério!$A262,[1]rogério!$B262=H$4),"ok","nok")</f>
        <v>nok</v>
      </c>
      <c r="I261" s="60" t="str">
        <f>IF(AND($B261=[1]rogério!$A262,[1]rogério!$B262=I$4),"ok","nok")</f>
        <v>nok</v>
      </c>
      <c r="J261" s="60" t="str">
        <f>IF(AND($B261=[1]rogério!$A262,[1]rogério!$B262=J$4),"ok","nok")</f>
        <v>nok</v>
      </c>
      <c r="K261" s="60" t="str">
        <f>IF(AND($B261=[1]rogério!$A262,[1]rogério!$B262=K$4),"ok","nok")</f>
        <v>nok</v>
      </c>
      <c r="L261" s="60" t="str">
        <f>IF(AND($B261=[1]rogério!$A262,[1]rogério!$B262=L$4),"ok","nok")</f>
        <v>nok</v>
      </c>
      <c r="M261" s="60" t="str">
        <f>IF(AND($B261=[1]rogério!$A262,[1]rogério!$B262=M$4),"ok","nok")</f>
        <v>nok</v>
      </c>
      <c r="N261" s="60" t="str">
        <f>IF(AND($B261=[1]rogério!$A262,[1]rogério!$B262=N$4),"ok","nok")</f>
        <v>nok</v>
      </c>
      <c r="O261" s="60" t="str">
        <f>IF(AND($B261=[1]rogério!$A262,[1]rogério!$B262=O$4),"ok","nok")</f>
        <v>nok</v>
      </c>
      <c r="P261" s="60" t="str">
        <f>IF(AND($B261=[1]rogério!$A262,[1]rogério!$B262=P$4),"ok","nok")</f>
        <v>ok</v>
      </c>
      <c r="Q261" s="60" t="str">
        <f>IF(AND($B261=[1]rogério!$A262,[1]rogério!$B262=Q$4),"ok","nok")</f>
        <v>nok</v>
      </c>
      <c r="R261" s="60" t="str">
        <f>IF(AND($B261=[1]rogério!$A262,[1]rogério!$B262=R$4),"ok","nok")</f>
        <v>nok</v>
      </c>
      <c r="S261" s="60" t="str">
        <f>IF(AND($B261=[1]rogério!$A262,[1]rogério!$B262=S$4),"ok","nok")</f>
        <v>nok</v>
      </c>
      <c r="T261" s="60" t="str">
        <f>IF(AND($B261=[1]rogério!$A262,[1]rogério!$B262=T$4),"ok","nok")</f>
        <v>nok</v>
      </c>
      <c r="U261" s="60" t="str">
        <f>IF(AND($B261=[1]rogério!$A262,[1]rogério!$B262=U$4),"ok","nok")</f>
        <v>nok</v>
      </c>
      <c r="V261" s="60" t="str">
        <f>IF(AND($B261=[1]rogério!$A262,[1]rogério!$B262=V$4),"ok","nok")</f>
        <v>nok</v>
      </c>
      <c r="W261" s="60" t="str">
        <f>IF(AND($B261=[1]rogério!$A262,[1]rogério!$B262=W$4),"ok","nok")</f>
        <v>nok</v>
      </c>
      <c r="X261" s="60" t="str">
        <f>IF(AND($B261=[1]rogério!$A262,[1]rogério!$B262=X$4),"ok","nok")</f>
        <v>nok</v>
      </c>
      <c r="Y261" s="105" t="s">
        <v>15</v>
      </c>
      <c r="Z261" s="106"/>
      <c r="AA261" s="106"/>
      <c r="AB261" s="107"/>
      <c r="AC261" s="40"/>
      <c r="AD261" s="40"/>
      <c r="AE261" s="48" t="str">
        <f t="shared" si="73"/>
        <v/>
      </c>
      <c r="AF261" s="48"/>
      <c r="AG261" s="48"/>
      <c r="AH261" s="89"/>
      <c r="AI261" s="49">
        <f t="shared" si="74"/>
        <v>0</v>
      </c>
      <c r="AJ261" s="49" t="str">
        <f t="shared" si="75"/>
        <v/>
      </c>
      <c r="AK261" s="49">
        <f t="shared" si="76"/>
        <v>0</v>
      </c>
      <c r="AL261" s="49" t="str">
        <f t="shared" si="77"/>
        <v/>
      </c>
      <c r="AM261" s="49">
        <f t="shared" si="78"/>
        <v>1</v>
      </c>
      <c r="AN261" s="49" t="str">
        <f t="shared" si="79"/>
        <v/>
      </c>
      <c r="AO261" s="49">
        <f t="shared" si="80"/>
        <v>0</v>
      </c>
      <c r="AP261" s="49" t="str">
        <f t="shared" si="81"/>
        <v/>
      </c>
      <c r="AQ261" s="49">
        <f t="shared" si="82"/>
        <v>0</v>
      </c>
      <c r="AR261" s="49" t="str">
        <f t="shared" si="83"/>
        <v/>
      </c>
      <c r="AV261" s="57"/>
      <c r="BF261" s="52"/>
    </row>
    <row r="262" spans="1:58" ht="30" customHeight="1" x14ac:dyDescent="0.35">
      <c r="A262" s="25" t="str">
        <f t="shared" si="72"/>
        <v>PT177 - PLATAFORMA DE ACESSO - FORQUILHA 1 - DETALHADO
TORRE B2PROJETO DETALHADO
CIVIL</v>
      </c>
      <c r="B262" s="38" t="s">
        <v>75</v>
      </c>
      <c r="C262" s="60" t="str">
        <f>IF(AND($B262=[1]rogério!$A263,[1]rogério!$B263=C$4),"ok","nok")</f>
        <v>nok</v>
      </c>
      <c r="D262" s="60" t="str">
        <f>IF(AND($B262=[1]rogério!$A263,[1]rogério!$B263=D$4),"ok","nok")</f>
        <v>nok</v>
      </c>
      <c r="E262" s="60" t="str">
        <f>IF(AND($B262=[1]rogério!$A263,[1]rogério!$B263=E$4),"ok","nok")</f>
        <v>nok</v>
      </c>
      <c r="F262" s="60" t="str">
        <f>IF(AND($B262=[1]rogério!$A263,[1]rogério!$B263=F$4),"ok","nok")</f>
        <v>nok</v>
      </c>
      <c r="G262" s="60" t="str">
        <f>IF(AND($B262=[1]rogério!$A263,[1]rogério!$B263=G$4),"ok","nok")</f>
        <v>nok</v>
      </c>
      <c r="H262" s="60" t="str">
        <f>IF(AND($B262=[1]rogério!$A263,[1]rogério!$B263=H$4),"ok","nok")</f>
        <v>nok</v>
      </c>
      <c r="I262" s="60" t="str">
        <f>IF(AND($B262=[1]rogério!$A263,[1]rogério!$B263=I$4),"ok","nok")</f>
        <v>nok</v>
      </c>
      <c r="J262" s="60" t="str">
        <f>IF(AND($B262=[1]rogério!$A263,[1]rogério!$B263=J$4),"ok","nok")</f>
        <v>nok</v>
      </c>
      <c r="K262" s="60" t="str">
        <f>IF(AND($B262=[1]rogério!$A263,[1]rogério!$B263=K$4),"ok","nok")</f>
        <v>nok</v>
      </c>
      <c r="L262" s="60" t="str">
        <f>IF(AND($B262=[1]rogério!$A263,[1]rogério!$B263=L$4),"ok","nok")</f>
        <v>nok</v>
      </c>
      <c r="M262" s="60" t="str">
        <f>IF(AND($B262=[1]rogério!$A263,[1]rogério!$B263=M$4),"ok","nok")</f>
        <v>nok</v>
      </c>
      <c r="N262" s="60" t="str">
        <f>IF(AND($B262=[1]rogério!$A263,[1]rogério!$B263=N$4),"ok","nok")</f>
        <v>nok</v>
      </c>
      <c r="O262" s="60" t="str">
        <f>IF(AND($B262=[1]rogério!$A263,[1]rogério!$B263=O$4),"ok","nok")</f>
        <v>nok</v>
      </c>
      <c r="P262" s="60" t="str">
        <f>IF(AND($B262=[1]rogério!$A263,[1]rogério!$B263=P$4),"ok","nok")</f>
        <v>nok</v>
      </c>
      <c r="Q262" s="60" t="str">
        <f>IF(AND($B262=[1]rogério!$A263,[1]rogério!$B263=Q$4),"ok","nok")</f>
        <v>ok</v>
      </c>
      <c r="R262" s="60" t="str">
        <f>IF(AND($B262=[1]rogério!$A263,[1]rogério!$B263=R$4),"ok","nok")</f>
        <v>nok</v>
      </c>
      <c r="S262" s="60" t="str">
        <f>IF(AND($B262=[1]rogério!$A263,[1]rogério!$B263=S$4),"ok","nok")</f>
        <v>nok</v>
      </c>
      <c r="T262" s="60" t="str">
        <f>IF(AND($B262=[1]rogério!$A263,[1]rogério!$B263=T$4),"ok","nok")</f>
        <v>nok</v>
      </c>
      <c r="U262" s="60" t="str">
        <f>IF(AND($B262=[1]rogério!$A263,[1]rogério!$B263=U$4),"ok","nok")</f>
        <v>nok</v>
      </c>
      <c r="V262" s="60" t="str">
        <f>IF(AND($B262=[1]rogério!$A263,[1]rogério!$B263=V$4),"ok","nok")</f>
        <v>nok</v>
      </c>
      <c r="W262" s="60" t="str">
        <f>IF(AND($B262=[1]rogério!$A263,[1]rogério!$B263=W$4),"ok","nok")</f>
        <v>nok</v>
      </c>
      <c r="X262" s="60" t="str">
        <f>IF(AND($B262=[1]rogério!$A263,[1]rogério!$B263=X$4),"ok","nok")</f>
        <v>nok</v>
      </c>
      <c r="Y262" s="105" t="s">
        <v>15</v>
      </c>
      <c r="Z262" s="106"/>
      <c r="AA262" s="106"/>
      <c r="AB262" s="107"/>
      <c r="AC262" s="40"/>
      <c r="AD262" s="40"/>
      <c r="AE262" s="48" t="str">
        <f t="shared" si="73"/>
        <v/>
      </c>
      <c r="AF262" s="48"/>
      <c r="AG262" s="48"/>
      <c r="AH262" s="89"/>
      <c r="AI262" s="49">
        <f t="shared" si="74"/>
        <v>0</v>
      </c>
      <c r="AJ262" s="49" t="str">
        <f t="shared" si="75"/>
        <v/>
      </c>
      <c r="AK262" s="49">
        <f t="shared" si="76"/>
        <v>0</v>
      </c>
      <c r="AL262" s="49" t="str">
        <f t="shared" si="77"/>
        <v/>
      </c>
      <c r="AM262" s="49">
        <f t="shared" si="78"/>
        <v>1</v>
      </c>
      <c r="AN262" s="49" t="str">
        <f t="shared" si="79"/>
        <v/>
      </c>
      <c r="AO262" s="49">
        <f t="shared" si="80"/>
        <v>0</v>
      </c>
      <c r="AP262" s="49" t="str">
        <f t="shared" si="81"/>
        <v/>
      </c>
      <c r="AQ262" s="49">
        <f t="shared" si="82"/>
        <v>0</v>
      </c>
      <c r="AR262" s="49" t="str">
        <f t="shared" si="83"/>
        <v/>
      </c>
      <c r="AV262" s="57"/>
      <c r="BF262" s="52"/>
    </row>
    <row r="263" spans="1:58" ht="30" customHeight="1" x14ac:dyDescent="0.35">
      <c r="A263" s="25"/>
      <c r="B263" s="39" t="s">
        <v>62</v>
      </c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108"/>
      <c r="Z263" s="109"/>
      <c r="AA263" s="109"/>
      <c r="AB263" s="110"/>
      <c r="AC263" s="40"/>
      <c r="AD263" s="40"/>
      <c r="AE263" s="48" t="str">
        <f t="shared" si="73"/>
        <v/>
      </c>
      <c r="AF263" s="48"/>
      <c r="AG263" s="48"/>
      <c r="AH263" s="89"/>
      <c r="AI263" s="49">
        <f t="shared" si="74"/>
        <v>0</v>
      </c>
      <c r="AJ263" s="49" t="str">
        <f t="shared" si="75"/>
        <v/>
      </c>
      <c r="AK263" s="49">
        <f t="shared" si="76"/>
        <v>0</v>
      </c>
      <c r="AL263" s="49" t="str">
        <f t="shared" si="77"/>
        <v/>
      </c>
      <c r="AM263" s="49">
        <f t="shared" si="78"/>
        <v>0</v>
      </c>
      <c r="AN263" s="49" t="str">
        <f t="shared" si="79"/>
        <v/>
      </c>
      <c r="AO263" s="49">
        <f t="shared" si="80"/>
        <v>0</v>
      </c>
      <c r="AP263" s="49" t="str">
        <f t="shared" si="81"/>
        <v/>
      </c>
      <c r="AQ263" s="49">
        <f t="shared" si="82"/>
        <v>0</v>
      </c>
      <c r="AR263" s="49" t="str">
        <f t="shared" si="83"/>
        <v/>
      </c>
      <c r="AV263" s="57"/>
      <c r="BF263" s="52"/>
    </row>
    <row r="264" spans="1:58" ht="30" customHeight="1" x14ac:dyDescent="0.35">
      <c r="A264" s="25" t="str">
        <f t="shared" si="72"/>
        <v>PT177 - PLATAFORMA DE ACESSO - FORQUILHA 1 - DETALHADO
TORRE B2PROJETO DETALHADO
CIVIL</v>
      </c>
      <c r="B264" s="40" t="s">
        <v>49</v>
      </c>
      <c r="C264" s="60" t="str">
        <f>IF(AND($B264=[1]rogério!$A265,[1]rogério!$B265=C$4),"ok","nok")</f>
        <v>nok</v>
      </c>
      <c r="D264" s="60" t="str">
        <f>IF(AND($B264=[1]rogério!$A265,[1]rogério!$B265=D$4),"ok","nok")</f>
        <v>nok</v>
      </c>
      <c r="E264" s="60" t="str">
        <f>IF(AND($B264=[1]rogério!$A265,[1]rogério!$B265=E$4),"ok","nok")</f>
        <v>nok</v>
      </c>
      <c r="F264" s="60" t="str">
        <f>IF(AND($B264=[1]rogério!$A265,[1]rogério!$B265=F$4),"ok","nok")</f>
        <v>nok</v>
      </c>
      <c r="G264" s="60" t="str">
        <f>IF(AND($B264=[1]rogério!$A265,[1]rogério!$B265=G$4),"ok","nok")</f>
        <v>nok</v>
      </c>
      <c r="H264" s="60" t="str">
        <f>IF(AND($B264=[1]rogério!$A265,[1]rogério!$B265=H$4),"ok","nok")</f>
        <v>nok</v>
      </c>
      <c r="I264" s="60" t="str">
        <f>IF(AND($B264=[1]rogério!$A265,[1]rogério!$B265=I$4),"ok","nok")</f>
        <v>nok</v>
      </c>
      <c r="J264" s="60" t="str">
        <f>IF(AND($B264=[1]rogério!$A265,[1]rogério!$B265=J$4),"ok","nok")</f>
        <v>nok</v>
      </c>
      <c r="K264" s="60" t="str">
        <f>IF(AND($B264=[1]rogério!$A265,[1]rogério!$B265=K$4),"ok","nok")</f>
        <v>nok</v>
      </c>
      <c r="L264" s="60" t="str">
        <f>IF(AND($B264=[1]rogério!$A265,[1]rogério!$B265=L$4),"ok","nok")</f>
        <v>nok</v>
      </c>
      <c r="M264" s="60" t="str">
        <f>IF(AND($B264=[1]rogério!$A265,[1]rogério!$B265=M$4),"ok","nok")</f>
        <v>nok</v>
      </c>
      <c r="N264" s="60" t="str">
        <f>IF(AND($B264=[1]rogério!$A265,[1]rogério!$B265=N$4),"ok","nok")</f>
        <v>nok</v>
      </c>
      <c r="O264" s="60" t="str">
        <f>IF(AND($B264=[1]rogério!$A265,[1]rogério!$B265=O$4),"ok","nok")</f>
        <v>nok</v>
      </c>
      <c r="P264" s="60" t="str">
        <f>IF(AND($B264=[1]rogério!$A265,[1]rogério!$B265=P$4),"ok","nok")</f>
        <v>nok</v>
      </c>
      <c r="Q264" s="60" t="str">
        <f>IF(AND($B264=[1]rogério!$A265,[1]rogério!$B265=Q$4),"ok","nok")</f>
        <v>ok</v>
      </c>
      <c r="R264" s="60" t="str">
        <f>IF(AND($B264=[1]rogério!$A265,[1]rogério!$B265=R$4),"ok","nok")</f>
        <v>nok</v>
      </c>
      <c r="S264" s="60" t="str">
        <f>IF(AND($B264=[1]rogério!$A265,[1]rogério!$B265=S$4),"ok","nok")</f>
        <v>nok</v>
      </c>
      <c r="T264" s="60" t="str">
        <f>IF(AND($B264=[1]rogério!$A265,[1]rogério!$B265=T$4),"ok","nok")</f>
        <v>nok</v>
      </c>
      <c r="U264" s="60" t="str">
        <f>IF(AND($B264=[1]rogério!$A265,[1]rogério!$B265=U$4),"ok","nok")</f>
        <v>nok</v>
      </c>
      <c r="V264" s="60" t="str">
        <f>IF(AND($B264=[1]rogério!$A265,[1]rogério!$B265=V$4),"ok","nok")</f>
        <v>nok</v>
      </c>
      <c r="W264" s="60" t="str">
        <f>IF(AND($B264=[1]rogério!$A265,[1]rogério!$B265=W$4),"ok","nok")</f>
        <v>nok</v>
      </c>
      <c r="X264" s="60" t="str">
        <f>IF(AND($B264=[1]rogério!$A265,[1]rogério!$B265=X$4),"ok","nok")</f>
        <v>nok</v>
      </c>
      <c r="Y264" s="105" t="s">
        <v>15</v>
      </c>
      <c r="Z264" s="106"/>
      <c r="AA264" s="106"/>
      <c r="AB264" s="107"/>
      <c r="AC264" s="40"/>
      <c r="AD264" s="40"/>
      <c r="AE264" s="48" t="str">
        <f t="shared" si="73"/>
        <v/>
      </c>
      <c r="AF264" s="48"/>
      <c r="AG264" s="48"/>
      <c r="AH264" s="89"/>
      <c r="AI264" s="49">
        <f t="shared" si="74"/>
        <v>0</v>
      </c>
      <c r="AJ264" s="49" t="str">
        <f t="shared" si="75"/>
        <v/>
      </c>
      <c r="AK264" s="49">
        <f t="shared" si="76"/>
        <v>0</v>
      </c>
      <c r="AL264" s="49" t="str">
        <f t="shared" si="77"/>
        <v/>
      </c>
      <c r="AM264" s="49">
        <f t="shared" si="78"/>
        <v>1</v>
      </c>
      <c r="AN264" s="49" t="str">
        <f t="shared" si="79"/>
        <v/>
      </c>
      <c r="AO264" s="49">
        <f t="shared" si="80"/>
        <v>0</v>
      </c>
      <c r="AP264" s="49" t="str">
        <f t="shared" si="81"/>
        <v/>
      </c>
      <c r="AQ264" s="49">
        <f t="shared" si="82"/>
        <v>0</v>
      </c>
      <c r="AR264" s="49" t="str">
        <f t="shared" si="83"/>
        <v/>
      </c>
      <c r="AV264" s="57"/>
      <c r="BF264" s="52"/>
    </row>
    <row r="265" spans="1:58" ht="30" customHeight="1" x14ac:dyDescent="0.35">
      <c r="A265" s="25" t="str">
        <f t="shared" si="72"/>
        <v>PT177 - PLATAFORMA DE ACESSO - FORQUILHA 1 - DETALHADO
TORRE B2PROJETO DETALHADO
CIVIL</v>
      </c>
      <c r="B265" s="40" t="s">
        <v>19</v>
      </c>
      <c r="C265" s="60" t="str">
        <f>IF(AND($B265=[1]rogério!$A266,[1]rogério!$B266=C$4),"ok","nok")</f>
        <v>nok</v>
      </c>
      <c r="D265" s="60" t="str">
        <f>IF(AND($B265=[1]rogério!$A266,[1]rogério!$B266=D$4),"ok","nok")</f>
        <v>nok</v>
      </c>
      <c r="E265" s="60" t="str">
        <f>IF(AND($B265=[1]rogério!$A266,[1]rogério!$B266=E$4),"ok","nok")</f>
        <v>nok</v>
      </c>
      <c r="F265" s="60" t="str">
        <f>IF(AND($B265=[1]rogério!$A266,[1]rogério!$B266=F$4),"ok","nok")</f>
        <v>nok</v>
      </c>
      <c r="G265" s="60" t="str">
        <f>IF(AND($B265=[1]rogério!$A266,[1]rogério!$B266=G$4),"ok","nok")</f>
        <v>nok</v>
      </c>
      <c r="H265" s="60" t="str">
        <f>IF(AND($B265=[1]rogério!$A266,[1]rogério!$B266=H$4),"ok","nok")</f>
        <v>nok</v>
      </c>
      <c r="I265" s="60" t="str">
        <f>IF(AND($B265=[1]rogério!$A266,[1]rogério!$B266=I$4),"ok","nok")</f>
        <v>nok</v>
      </c>
      <c r="J265" s="60" t="str">
        <f>IF(AND($B265=[1]rogério!$A266,[1]rogério!$B266=J$4),"ok","nok")</f>
        <v>nok</v>
      </c>
      <c r="K265" s="60" t="str">
        <f>IF(AND($B265=[1]rogério!$A266,[1]rogério!$B266=K$4),"ok","nok")</f>
        <v>nok</v>
      </c>
      <c r="L265" s="60" t="str">
        <f>IF(AND($B265=[1]rogério!$A266,[1]rogério!$B266=L$4),"ok","nok")</f>
        <v>nok</v>
      </c>
      <c r="M265" s="60" t="str">
        <f>IF(AND($B265=[1]rogério!$A266,[1]rogério!$B266=M$4),"ok","nok")</f>
        <v>nok</v>
      </c>
      <c r="N265" s="60" t="str">
        <f>IF(AND($B265=[1]rogério!$A266,[1]rogério!$B266=N$4),"ok","nok")</f>
        <v>nok</v>
      </c>
      <c r="O265" s="60" t="str">
        <f>IF(AND($B265=[1]rogério!$A266,[1]rogério!$B266=O$4),"ok","nok")</f>
        <v>nok</v>
      </c>
      <c r="P265" s="60" t="str">
        <f>IF(AND($B265=[1]rogério!$A266,[1]rogério!$B266=P$4),"ok","nok")</f>
        <v>nok</v>
      </c>
      <c r="Q265" s="60" t="str">
        <f>IF(AND($B265=[1]rogério!$A266,[1]rogério!$B266=Q$4),"ok","nok")</f>
        <v>nok</v>
      </c>
      <c r="R265" s="60" t="str">
        <f>IF(AND($B265=[1]rogério!$A266,[1]rogério!$B266=R$4),"ok","nok")</f>
        <v>nok</v>
      </c>
      <c r="S265" s="60" t="str">
        <f>IF(AND($B265=[1]rogério!$A266,[1]rogério!$B266=S$4),"ok","nok")</f>
        <v>nok</v>
      </c>
      <c r="T265" s="60" t="str">
        <f>IF(AND($B265=[1]rogério!$A266,[1]rogério!$B266=T$4),"ok","nok")</f>
        <v>nok</v>
      </c>
      <c r="U265" s="60" t="str">
        <f>IF(AND($B265=[1]rogério!$A266,[1]rogério!$B266=U$4),"ok","nok")</f>
        <v>nok</v>
      </c>
      <c r="V265" s="60" t="str">
        <f>IF(AND($B265=[1]rogério!$A266,[1]rogério!$B266=V$4),"ok","nok")</f>
        <v>ok</v>
      </c>
      <c r="W265" s="60" t="str">
        <f>IF(AND($B265=[1]rogério!$A266,[1]rogério!$B266=W$4),"ok","nok")</f>
        <v>nok</v>
      </c>
      <c r="X265" s="60" t="str">
        <f>IF(AND($B265=[1]rogério!$A266,[1]rogério!$B266=X$4),"ok","nok")</f>
        <v>nok</v>
      </c>
      <c r="Y265" s="105" t="s">
        <v>15</v>
      </c>
      <c r="Z265" s="106"/>
      <c r="AA265" s="106"/>
      <c r="AB265" s="107"/>
      <c r="AC265" s="40"/>
      <c r="AD265" s="40"/>
      <c r="AE265" s="48" t="str">
        <f t="shared" si="73"/>
        <v/>
      </c>
      <c r="AF265" s="48"/>
      <c r="AG265" s="48"/>
      <c r="AH265" s="89"/>
      <c r="AI265" s="49">
        <f t="shared" si="74"/>
        <v>0</v>
      </c>
      <c r="AJ265" s="49" t="str">
        <f t="shared" si="75"/>
        <v/>
      </c>
      <c r="AK265" s="49">
        <f t="shared" si="76"/>
        <v>0</v>
      </c>
      <c r="AL265" s="49" t="str">
        <f t="shared" si="77"/>
        <v/>
      </c>
      <c r="AM265" s="49">
        <f t="shared" si="78"/>
        <v>0</v>
      </c>
      <c r="AN265" s="49" t="str">
        <f t="shared" si="79"/>
        <v/>
      </c>
      <c r="AO265" s="49">
        <f t="shared" si="80"/>
        <v>1</v>
      </c>
      <c r="AP265" s="49" t="str">
        <f t="shared" si="81"/>
        <v/>
      </c>
      <c r="AQ265" s="49">
        <f t="shared" si="82"/>
        <v>0</v>
      </c>
      <c r="AR265" s="49" t="str">
        <f t="shared" si="83"/>
        <v/>
      </c>
      <c r="AV265" s="57"/>
      <c r="BF265" s="52"/>
    </row>
    <row r="266" spans="1:58" ht="30" customHeight="1" x14ac:dyDescent="0.35">
      <c r="A266" s="25" t="str">
        <f t="shared" si="72"/>
        <v>PT177 - PLATAFORMA DE ACESSO - FORQUILHA 1 - DETALHADO
TORRE B2PROJETO DETALHADO
CIVIL</v>
      </c>
      <c r="B266" s="38" t="s">
        <v>76</v>
      </c>
      <c r="C266" s="60" t="str">
        <f>IF(AND($B266=[1]rogério!$A267,[1]rogério!$B267=C$4),"ok","nok")</f>
        <v>nok</v>
      </c>
      <c r="D266" s="60" t="str">
        <f>IF(AND($B266=[1]rogério!$A267,[1]rogério!$B267=D$4),"ok","nok")</f>
        <v>nok</v>
      </c>
      <c r="E266" s="60" t="str">
        <f>IF(AND($B266=[1]rogério!$A267,[1]rogério!$B267=E$4),"ok","nok")</f>
        <v>nok</v>
      </c>
      <c r="F266" s="60" t="str">
        <f>IF(AND($B266=[1]rogério!$A267,[1]rogério!$B267=F$4),"ok","nok")</f>
        <v>nok</v>
      </c>
      <c r="G266" s="60" t="str">
        <f>IF(AND($B266=[1]rogério!$A267,[1]rogério!$B267=G$4),"ok","nok")</f>
        <v>nok</v>
      </c>
      <c r="H266" s="60" t="str">
        <f>IF(AND($B266=[1]rogério!$A267,[1]rogério!$B267=H$4),"ok","nok")</f>
        <v>nok</v>
      </c>
      <c r="I266" s="60" t="str">
        <f>IF(AND($B266=[1]rogério!$A267,[1]rogério!$B267=I$4),"ok","nok")</f>
        <v>nok</v>
      </c>
      <c r="J266" s="60" t="str">
        <f>IF(AND($B266=[1]rogério!$A267,[1]rogério!$B267=J$4),"ok","nok")</f>
        <v>nok</v>
      </c>
      <c r="K266" s="60" t="str">
        <f>IF(AND($B266=[1]rogério!$A267,[1]rogério!$B267=K$4),"ok","nok")</f>
        <v>nok</v>
      </c>
      <c r="L266" s="60" t="str">
        <f>IF(AND($B266=[1]rogério!$A267,[1]rogério!$B267=L$4),"ok","nok")</f>
        <v>nok</v>
      </c>
      <c r="M266" s="60" t="str">
        <f>IF(AND($B266=[1]rogério!$A267,[1]rogério!$B267=M$4),"ok","nok")</f>
        <v>nok</v>
      </c>
      <c r="N266" s="60" t="str">
        <f>IF(AND($B266=[1]rogério!$A267,[1]rogério!$B267=N$4),"ok","nok")</f>
        <v>nok</v>
      </c>
      <c r="O266" s="60" t="str">
        <f>IF(AND($B266=[1]rogério!$A267,[1]rogério!$B267=O$4),"ok","nok")</f>
        <v>nok</v>
      </c>
      <c r="P266" s="60" t="str">
        <f>IF(AND($B266=[1]rogério!$A267,[1]rogério!$B267=P$4),"ok","nok")</f>
        <v>nok</v>
      </c>
      <c r="Q266" s="60" t="str">
        <f>IF(AND($B266=[1]rogério!$A267,[1]rogério!$B267=Q$4),"ok","nok")</f>
        <v>nok</v>
      </c>
      <c r="R266" s="60" t="str">
        <f>IF(AND($B266=[1]rogério!$A267,[1]rogério!$B267=R$4),"ok","nok")</f>
        <v>nok</v>
      </c>
      <c r="S266" s="60" t="str">
        <f>IF(AND($B266=[1]rogério!$A267,[1]rogério!$B267=S$4),"ok","nok")</f>
        <v>nok</v>
      </c>
      <c r="T266" s="60" t="str">
        <f>IF(AND($B266=[1]rogério!$A267,[1]rogério!$B267=T$4),"ok","nok")</f>
        <v>ok</v>
      </c>
      <c r="U266" s="60" t="str">
        <f>IF(AND($B266=[1]rogério!$A267,[1]rogério!$B267=U$4),"ok","nok")</f>
        <v>nok</v>
      </c>
      <c r="V266" s="60" t="str">
        <f>IF(AND($B266=[1]rogério!$A267,[1]rogério!$B267=V$4),"ok","nok")</f>
        <v>nok</v>
      </c>
      <c r="W266" s="60" t="str">
        <f>IF(AND($B266=[1]rogério!$A267,[1]rogério!$B267=W$4),"ok","nok")</f>
        <v>nok</v>
      </c>
      <c r="X266" s="60" t="str">
        <f>IF(AND($B266=[1]rogério!$A267,[1]rogério!$B267=X$4),"ok","nok")</f>
        <v>nok</v>
      </c>
      <c r="Y266" s="105" t="s">
        <v>15</v>
      </c>
      <c r="Z266" s="106"/>
      <c r="AA266" s="106"/>
      <c r="AB266" s="107"/>
      <c r="AC266" s="40"/>
      <c r="AD266" s="40"/>
      <c r="AE266" s="48" t="str">
        <f t="shared" si="73"/>
        <v/>
      </c>
      <c r="AF266" s="48"/>
      <c r="AG266" s="48"/>
      <c r="AH266" s="89"/>
      <c r="AI266" s="49">
        <f t="shared" si="74"/>
        <v>0</v>
      </c>
      <c r="AJ266" s="49" t="str">
        <f t="shared" si="75"/>
        <v/>
      </c>
      <c r="AK266" s="49">
        <f t="shared" si="76"/>
        <v>0</v>
      </c>
      <c r="AL266" s="49" t="str">
        <f t="shared" si="77"/>
        <v/>
      </c>
      <c r="AM266" s="49">
        <f t="shared" si="78"/>
        <v>0</v>
      </c>
      <c r="AN266" s="49" t="str">
        <f t="shared" si="79"/>
        <v/>
      </c>
      <c r="AO266" s="49">
        <f t="shared" si="80"/>
        <v>1</v>
      </c>
      <c r="AP266" s="49" t="str">
        <f t="shared" si="81"/>
        <v/>
      </c>
      <c r="AQ266" s="49">
        <f t="shared" si="82"/>
        <v>0</v>
      </c>
      <c r="AR266" s="49" t="str">
        <f t="shared" si="83"/>
        <v/>
      </c>
      <c r="AV266" s="57"/>
      <c r="BF266" s="52"/>
    </row>
    <row r="267" spans="1:58" ht="30" customHeight="1" x14ac:dyDescent="0.35">
      <c r="A267" s="25" t="str">
        <f t="shared" si="72"/>
        <v>PT177 - PLATAFORMA DE ACESSO - FORQUILHA 1 - DETALHADO
TORRE B2PROJETO DETALHADO
CIVIL</v>
      </c>
      <c r="B267" s="38" t="s">
        <v>77</v>
      </c>
      <c r="C267" s="60" t="str">
        <f>IF(AND($B267=[1]rogério!$A268,[1]rogério!$B268=C$4),"ok","nok")</f>
        <v>nok</v>
      </c>
      <c r="D267" s="60" t="str">
        <f>IF(AND($B267=[1]rogério!$A268,[1]rogério!$B268=D$4),"ok","nok")</f>
        <v>nok</v>
      </c>
      <c r="E267" s="60" t="str">
        <f>IF(AND($B267=[1]rogério!$A268,[1]rogério!$B268=E$4),"ok","nok")</f>
        <v>nok</v>
      </c>
      <c r="F267" s="60" t="str">
        <f>IF(AND($B267=[1]rogério!$A268,[1]rogério!$B268=F$4),"ok","nok")</f>
        <v>nok</v>
      </c>
      <c r="G267" s="60" t="str">
        <f>IF(AND($B267=[1]rogério!$A268,[1]rogério!$B268=G$4),"ok","nok")</f>
        <v>nok</v>
      </c>
      <c r="H267" s="60" t="str">
        <f>IF(AND($B267=[1]rogério!$A268,[1]rogério!$B268=H$4),"ok","nok")</f>
        <v>nok</v>
      </c>
      <c r="I267" s="60" t="str">
        <f>IF(AND($B267=[1]rogério!$A268,[1]rogério!$B268=I$4),"ok","nok")</f>
        <v>nok</v>
      </c>
      <c r="J267" s="60" t="str">
        <f>IF(AND($B267=[1]rogério!$A268,[1]rogério!$B268=J$4),"ok","nok")</f>
        <v>nok</v>
      </c>
      <c r="K267" s="60" t="str">
        <f>IF(AND($B267=[1]rogério!$A268,[1]rogério!$B268=K$4),"ok","nok")</f>
        <v>nok</v>
      </c>
      <c r="L267" s="60" t="str">
        <f>IF(AND($B267=[1]rogério!$A268,[1]rogério!$B268=L$4),"ok","nok")</f>
        <v>nok</v>
      </c>
      <c r="M267" s="60" t="str">
        <f>IF(AND($B267=[1]rogério!$A268,[1]rogério!$B268=M$4),"ok","nok")</f>
        <v>nok</v>
      </c>
      <c r="N267" s="60" t="str">
        <f>IF(AND($B267=[1]rogério!$A268,[1]rogério!$B268=N$4),"ok","nok")</f>
        <v>nok</v>
      </c>
      <c r="O267" s="60" t="str">
        <f>IF(AND($B267=[1]rogério!$A268,[1]rogério!$B268=O$4),"ok","nok")</f>
        <v>nok</v>
      </c>
      <c r="P267" s="60" t="str">
        <f>IF(AND($B267=[1]rogério!$A268,[1]rogério!$B268=P$4),"ok","nok")</f>
        <v>nok</v>
      </c>
      <c r="Q267" s="60" t="str">
        <f>IF(AND($B267=[1]rogério!$A268,[1]rogério!$B268=Q$4),"ok","nok")</f>
        <v>nok</v>
      </c>
      <c r="R267" s="60" t="str">
        <f>IF(AND($B267=[1]rogério!$A268,[1]rogério!$B268=R$4),"ok","nok")</f>
        <v>nok</v>
      </c>
      <c r="S267" s="60" t="str">
        <f>IF(AND($B267=[1]rogério!$A268,[1]rogério!$B268=S$4),"ok","nok")</f>
        <v>nok</v>
      </c>
      <c r="T267" s="60" t="str">
        <f>IF(AND($B267=[1]rogério!$A268,[1]rogério!$B268=T$4),"ok","nok")</f>
        <v>nok</v>
      </c>
      <c r="U267" s="60" t="str">
        <f>IF(AND($B267=[1]rogério!$A268,[1]rogério!$B268=U$4),"ok","nok")</f>
        <v>ok</v>
      </c>
      <c r="V267" s="60" t="str">
        <f>IF(AND($B267=[1]rogério!$A268,[1]rogério!$B268=V$4),"ok","nok")</f>
        <v>nok</v>
      </c>
      <c r="W267" s="60" t="str">
        <f>IF(AND($B267=[1]rogério!$A268,[1]rogério!$B268=W$4),"ok","nok")</f>
        <v>nok</v>
      </c>
      <c r="X267" s="60" t="str">
        <f>IF(AND($B267=[1]rogério!$A268,[1]rogério!$B268=X$4),"ok","nok")</f>
        <v>nok</v>
      </c>
      <c r="Y267" s="105" t="s">
        <v>15</v>
      </c>
      <c r="Z267" s="106"/>
      <c r="AA267" s="106"/>
      <c r="AB267" s="107"/>
      <c r="AC267" s="40"/>
      <c r="AD267" s="40"/>
      <c r="AE267" s="48" t="str">
        <f t="shared" si="73"/>
        <v/>
      </c>
      <c r="AF267" s="48"/>
      <c r="AG267" s="48"/>
      <c r="AH267" s="89"/>
      <c r="AI267" s="49">
        <f t="shared" si="74"/>
        <v>0</v>
      </c>
      <c r="AJ267" s="49" t="str">
        <f t="shared" si="75"/>
        <v/>
      </c>
      <c r="AK267" s="49">
        <f t="shared" si="76"/>
        <v>0</v>
      </c>
      <c r="AL267" s="49" t="str">
        <f t="shared" si="77"/>
        <v/>
      </c>
      <c r="AM267" s="49">
        <f t="shared" si="78"/>
        <v>0</v>
      </c>
      <c r="AN267" s="49" t="str">
        <f t="shared" si="79"/>
        <v/>
      </c>
      <c r="AO267" s="49">
        <f t="shared" si="80"/>
        <v>1</v>
      </c>
      <c r="AP267" s="49" t="str">
        <f t="shared" si="81"/>
        <v/>
      </c>
      <c r="AQ267" s="49">
        <f t="shared" si="82"/>
        <v>0</v>
      </c>
      <c r="AR267" s="49" t="str">
        <f t="shared" si="83"/>
        <v/>
      </c>
      <c r="AV267" s="57"/>
      <c r="BF267" s="52"/>
    </row>
    <row r="268" spans="1:58" ht="30" customHeight="1" x14ac:dyDescent="0.35">
      <c r="A268" s="25"/>
      <c r="B268" s="39" t="s">
        <v>78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108"/>
      <c r="Z268" s="109"/>
      <c r="AA268" s="109"/>
      <c r="AB268" s="110"/>
      <c r="AC268" s="40"/>
      <c r="AD268" s="40"/>
      <c r="AE268" s="48" t="str">
        <f t="shared" si="73"/>
        <v/>
      </c>
      <c r="AF268" s="48"/>
      <c r="AG268" s="48"/>
      <c r="AH268" s="89"/>
      <c r="AI268" s="49">
        <f t="shared" si="74"/>
        <v>0</v>
      </c>
      <c r="AJ268" s="49" t="str">
        <f t="shared" si="75"/>
        <v/>
      </c>
      <c r="AK268" s="49">
        <f t="shared" si="76"/>
        <v>0</v>
      </c>
      <c r="AL268" s="49" t="str">
        <f t="shared" si="77"/>
        <v/>
      </c>
      <c r="AM268" s="49">
        <f t="shared" si="78"/>
        <v>0</v>
      </c>
      <c r="AN268" s="49" t="str">
        <f t="shared" si="79"/>
        <v/>
      </c>
      <c r="AO268" s="49">
        <f t="shared" si="80"/>
        <v>0</v>
      </c>
      <c r="AP268" s="49" t="str">
        <f t="shared" si="81"/>
        <v/>
      </c>
      <c r="AQ268" s="49">
        <f t="shared" si="82"/>
        <v>0</v>
      </c>
      <c r="AR268" s="49" t="str">
        <f t="shared" si="83"/>
        <v/>
      </c>
      <c r="AV268" s="57"/>
      <c r="BF268" s="52"/>
    </row>
    <row r="269" spans="1:58" ht="30" customHeight="1" x14ac:dyDescent="0.35">
      <c r="A269" s="25" t="str">
        <f t="shared" si="72"/>
        <v>PT177 - PLATAFORMA DE ACESSO - FORQUILHA 1 - DETALHADO
TORRE B2PROJETO DETALHADO
CIVIL</v>
      </c>
      <c r="B269" s="40" t="s">
        <v>49</v>
      </c>
      <c r="C269" s="60" t="str">
        <f>IF(AND($B269=[1]rogério!$A270,[1]rogério!$B270=C$4),"ok","nok")</f>
        <v>nok</v>
      </c>
      <c r="D269" s="60" t="str">
        <f>IF(AND($B269=[1]rogério!$A270,[1]rogério!$B270=D$4),"ok","nok")</f>
        <v>nok</v>
      </c>
      <c r="E269" s="60" t="str">
        <f>IF(AND($B269=[1]rogério!$A270,[1]rogério!$B270=E$4),"ok","nok")</f>
        <v>nok</v>
      </c>
      <c r="F269" s="60" t="str">
        <f>IF(AND($B269=[1]rogério!$A270,[1]rogério!$B270=F$4),"ok","nok")</f>
        <v>nok</v>
      </c>
      <c r="G269" s="60" t="str">
        <f>IF(AND($B269=[1]rogério!$A270,[1]rogério!$B270=G$4),"ok","nok")</f>
        <v>nok</v>
      </c>
      <c r="H269" s="60" t="str">
        <f>IF(AND($B269=[1]rogério!$A270,[1]rogério!$B270=H$4),"ok","nok")</f>
        <v>nok</v>
      </c>
      <c r="I269" s="60" t="str">
        <f>IF(AND($B269=[1]rogério!$A270,[1]rogério!$B270=I$4),"ok","nok")</f>
        <v>nok</v>
      </c>
      <c r="J269" s="60" t="str">
        <f>IF(AND($B269=[1]rogério!$A270,[1]rogério!$B270=J$4),"ok","nok")</f>
        <v>nok</v>
      </c>
      <c r="K269" s="60" t="str">
        <f>IF(AND($B269=[1]rogério!$A270,[1]rogério!$B270=K$4),"ok","nok")</f>
        <v>nok</v>
      </c>
      <c r="L269" s="60" t="str">
        <f>IF(AND($B269=[1]rogério!$A270,[1]rogério!$B270=L$4),"ok","nok")</f>
        <v>nok</v>
      </c>
      <c r="M269" s="60" t="str">
        <f>IF(AND($B269=[1]rogério!$A270,[1]rogério!$B270=M$4),"ok","nok")</f>
        <v>nok</v>
      </c>
      <c r="N269" s="60" t="str">
        <f>IF(AND($B269=[1]rogério!$A270,[1]rogério!$B270=N$4),"ok","nok")</f>
        <v>nok</v>
      </c>
      <c r="O269" s="60" t="str">
        <f>IF(AND($B269=[1]rogério!$A270,[1]rogério!$B270=O$4),"ok","nok")</f>
        <v>nok</v>
      </c>
      <c r="P269" s="60" t="str">
        <f>IF(AND($B269=[1]rogério!$A270,[1]rogério!$B270=P$4),"ok","nok")</f>
        <v>nok</v>
      </c>
      <c r="Q269" s="60" t="str">
        <f>IF(AND($B269=[1]rogério!$A270,[1]rogério!$B270=Q$4),"ok","nok")</f>
        <v>nok</v>
      </c>
      <c r="R269" s="60" t="str">
        <f>IF(AND($B269=[1]rogério!$A270,[1]rogério!$B270=R$4),"ok","nok")</f>
        <v>nok</v>
      </c>
      <c r="S269" s="60" t="str">
        <f>IF(AND($B269=[1]rogério!$A270,[1]rogério!$B270=S$4),"ok","nok")</f>
        <v>nok</v>
      </c>
      <c r="T269" s="60" t="str">
        <f>IF(AND($B269=[1]rogério!$A270,[1]rogério!$B270=T$4),"ok","nok")</f>
        <v>nok</v>
      </c>
      <c r="U269" s="60" t="str">
        <f>IF(AND($B269=[1]rogério!$A270,[1]rogério!$B270=U$4),"ok","nok")</f>
        <v>ok</v>
      </c>
      <c r="V269" s="60" t="str">
        <f>IF(AND($B269=[1]rogério!$A270,[1]rogério!$B270=V$4),"ok","nok")</f>
        <v>nok</v>
      </c>
      <c r="W269" s="60" t="str">
        <f>IF(AND($B269=[1]rogério!$A270,[1]rogério!$B270=W$4),"ok","nok")</f>
        <v>nok</v>
      </c>
      <c r="X269" s="60" t="str">
        <f>IF(AND($B269=[1]rogério!$A270,[1]rogério!$B270=X$4),"ok","nok")</f>
        <v>nok</v>
      </c>
      <c r="Y269" s="105" t="s">
        <v>15</v>
      </c>
      <c r="Z269" s="106"/>
      <c r="AA269" s="106"/>
      <c r="AB269" s="107"/>
      <c r="AC269" s="40"/>
      <c r="AD269" s="40"/>
      <c r="AE269" s="48" t="str">
        <f t="shared" si="73"/>
        <v/>
      </c>
      <c r="AF269" s="48"/>
      <c r="AG269" s="48"/>
      <c r="AH269" s="89"/>
      <c r="AI269" s="49">
        <f t="shared" si="74"/>
        <v>0</v>
      </c>
      <c r="AJ269" s="49" t="str">
        <f t="shared" si="75"/>
        <v/>
      </c>
      <c r="AK269" s="49">
        <f t="shared" si="76"/>
        <v>0</v>
      </c>
      <c r="AL269" s="49" t="str">
        <f t="shared" si="77"/>
        <v/>
      </c>
      <c r="AM269" s="49">
        <f t="shared" si="78"/>
        <v>0</v>
      </c>
      <c r="AN269" s="49" t="str">
        <f t="shared" si="79"/>
        <v/>
      </c>
      <c r="AO269" s="49">
        <f t="shared" si="80"/>
        <v>1</v>
      </c>
      <c r="AP269" s="49" t="str">
        <f t="shared" si="81"/>
        <v/>
      </c>
      <c r="AQ269" s="49">
        <f t="shared" si="82"/>
        <v>0</v>
      </c>
      <c r="AR269" s="49" t="str">
        <f t="shared" si="83"/>
        <v/>
      </c>
      <c r="AV269" s="57"/>
      <c r="BF269" s="52"/>
    </row>
    <row r="270" spans="1:58" ht="30" customHeight="1" x14ac:dyDescent="0.35">
      <c r="A270" s="25"/>
      <c r="B270" s="62" t="s">
        <v>86</v>
      </c>
      <c r="C270" s="62"/>
      <c r="D270" s="62"/>
      <c r="E270" s="62"/>
      <c r="F270" s="62"/>
      <c r="G270" s="62"/>
      <c r="H270" s="62"/>
      <c r="I270" s="62"/>
      <c r="J270" s="62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114"/>
      <c r="Z270" s="115"/>
      <c r="AA270" s="115"/>
      <c r="AB270" s="116"/>
      <c r="AC270" s="40"/>
      <c r="AD270" s="40"/>
      <c r="AE270" s="48" t="str">
        <f t="shared" si="73"/>
        <v/>
      </c>
      <c r="AF270" s="48"/>
      <c r="AG270" s="48"/>
      <c r="AH270" s="89"/>
      <c r="AI270" s="49">
        <f t="shared" si="74"/>
        <v>0</v>
      </c>
      <c r="AJ270" s="49" t="str">
        <f t="shared" si="75"/>
        <v/>
      </c>
      <c r="AK270" s="49">
        <f t="shared" si="76"/>
        <v>0</v>
      </c>
      <c r="AL270" s="49" t="str">
        <f t="shared" si="77"/>
        <v/>
      </c>
      <c r="AM270" s="49">
        <f t="shared" si="78"/>
        <v>0</v>
      </c>
      <c r="AN270" s="49" t="str">
        <f t="shared" si="79"/>
        <v/>
      </c>
      <c r="AO270" s="49">
        <f t="shared" si="80"/>
        <v>0</v>
      </c>
      <c r="AP270" s="49" t="str">
        <f t="shared" si="81"/>
        <v/>
      </c>
      <c r="AQ270" s="49">
        <f t="shared" si="82"/>
        <v>0</v>
      </c>
      <c r="AR270" s="49" t="str">
        <f t="shared" si="83"/>
        <v/>
      </c>
      <c r="AV270" s="57"/>
      <c r="BF270" s="52"/>
    </row>
    <row r="271" spans="1:58" ht="30" customHeight="1" x14ac:dyDescent="0.35">
      <c r="A271" s="25"/>
      <c r="B271" s="39" t="s">
        <v>95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108"/>
      <c r="Z271" s="109"/>
      <c r="AA271" s="109"/>
      <c r="AB271" s="110"/>
      <c r="AC271" s="40"/>
      <c r="AD271" s="40"/>
      <c r="AE271" s="48" t="str">
        <f t="shared" si="73"/>
        <v/>
      </c>
      <c r="AF271" s="48"/>
      <c r="AG271" s="48"/>
      <c r="AH271" s="89"/>
      <c r="AI271" s="49">
        <f t="shared" si="74"/>
        <v>0</v>
      </c>
      <c r="AJ271" s="49" t="str">
        <f t="shared" si="75"/>
        <v/>
      </c>
      <c r="AK271" s="49">
        <f t="shared" si="76"/>
        <v>0</v>
      </c>
      <c r="AL271" s="49" t="str">
        <f t="shared" si="77"/>
        <v/>
      </c>
      <c r="AM271" s="49">
        <f t="shared" si="78"/>
        <v>0</v>
      </c>
      <c r="AN271" s="49" t="str">
        <f t="shared" si="79"/>
        <v/>
      </c>
      <c r="AO271" s="49">
        <f t="shared" si="80"/>
        <v>0</v>
      </c>
      <c r="AP271" s="49" t="str">
        <f t="shared" si="81"/>
        <v/>
      </c>
      <c r="AQ271" s="49">
        <f t="shared" si="82"/>
        <v>0</v>
      </c>
      <c r="AR271" s="49" t="str">
        <f t="shared" si="83"/>
        <v/>
      </c>
      <c r="AV271" s="57"/>
      <c r="BF271" s="52"/>
    </row>
    <row r="272" spans="1:58" ht="30" customHeight="1" x14ac:dyDescent="0.35">
      <c r="A272" s="25" t="str">
        <f>CONCATENATE($B$158,"
",$B$242,"",$B$243,"
",$B$270)</f>
        <v>PT177 - PLATAFORMA DE ACESSO - FORQUILHA 1 - DETALHADO
TORRE B2PROJETO DETALHADO
ELÉTRICA</v>
      </c>
      <c r="B272" s="40" t="s">
        <v>19</v>
      </c>
      <c r="C272" s="60" t="str">
        <f>IF(AND($B272=[1]rogério!$A273,[1]rogério!$B273=C$4),"ok","nok")</f>
        <v>nok</v>
      </c>
      <c r="D272" s="60" t="str">
        <f>IF(AND($B272=[1]rogério!$A273,[1]rogério!$B273=D$4),"ok","nok")</f>
        <v>nok</v>
      </c>
      <c r="E272" s="60" t="str">
        <f>IF(AND($B272=[1]rogério!$A273,[1]rogério!$B273=E$4),"ok","nok")</f>
        <v>nok</v>
      </c>
      <c r="F272" s="60" t="str">
        <f>IF(AND($B272=[1]rogério!$A273,[1]rogério!$B273=F$4),"ok","nok")</f>
        <v>nok</v>
      </c>
      <c r="G272" s="60" t="str">
        <f>IF(AND($B272=[1]rogério!$A273,[1]rogério!$B273=G$4),"ok","nok")</f>
        <v>nok</v>
      </c>
      <c r="H272" s="60" t="str">
        <f>IF(AND($B272=[1]rogério!$A273,[1]rogério!$B273=H$4),"ok","nok")</f>
        <v>nok</v>
      </c>
      <c r="I272" s="60" t="str">
        <f>IF(AND($B272=[1]rogério!$A273,[1]rogério!$B273=I$4),"ok","nok")</f>
        <v>ok</v>
      </c>
      <c r="J272" s="60" t="str">
        <f>IF(AND($B272=[1]rogério!$A273,[1]rogério!$B273=J$4),"ok","nok")</f>
        <v>nok</v>
      </c>
      <c r="K272" s="60" t="str">
        <f>IF(AND($B272=[1]rogério!$A273,[1]rogério!$B273=K$4),"ok","nok")</f>
        <v>nok</v>
      </c>
      <c r="L272" s="60" t="str">
        <f>IF(AND($B272=[1]rogério!$A273,[1]rogério!$B273=L$4),"ok","nok")</f>
        <v>nok</v>
      </c>
      <c r="M272" s="60" t="str">
        <f>IF(AND($B272=[1]rogério!$A273,[1]rogério!$B273=M$4),"ok","nok")</f>
        <v>nok</v>
      </c>
      <c r="N272" s="60" t="str">
        <f>IF(AND($B272=[1]rogério!$A273,[1]rogério!$B273=N$4),"ok","nok")</f>
        <v>nok</v>
      </c>
      <c r="O272" s="60" t="str">
        <f>IF(AND($B272=[1]rogério!$A273,[1]rogério!$B273=O$4),"ok","nok")</f>
        <v>nok</v>
      </c>
      <c r="P272" s="60" t="str">
        <f>IF(AND($B272=[1]rogério!$A273,[1]rogério!$B273=P$4),"ok","nok")</f>
        <v>nok</v>
      </c>
      <c r="Q272" s="60" t="str">
        <f>IF(AND($B272=[1]rogério!$A273,[1]rogério!$B273=Q$4),"ok","nok")</f>
        <v>nok</v>
      </c>
      <c r="R272" s="60" t="str">
        <f>IF(AND($B272=[1]rogério!$A273,[1]rogério!$B273=R$4),"ok","nok")</f>
        <v>nok</v>
      </c>
      <c r="S272" s="60" t="str">
        <f>IF(AND($B272=[1]rogério!$A273,[1]rogério!$B273=S$4),"ok","nok")</f>
        <v>nok</v>
      </c>
      <c r="T272" s="60" t="str">
        <f>IF(AND($B272=[1]rogério!$A273,[1]rogério!$B273=T$4),"ok","nok")</f>
        <v>nok</v>
      </c>
      <c r="U272" s="60" t="str">
        <f>IF(AND($B272=[1]rogério!$A273,[1]rogério!$B273=U$4),"ok","nok")</f>
        <v>nok</v>
      </c>
      <c r="V272" s="60" t="str">
        <f>IF(AND($B272=[1]rogério!$A273,[1]rogério!$B273=V$4),"ok","nok")</f>
        <v>nok</v>
      </c>
      <c r="W272" s="60" t="str">
        <f>IF(AND($B272=[1]rogério!$A273,[1]rogério!$B273=W$4),"ok","nok")</f>
        <v>nok</v>
      </c>
      <c r="X272" s="60" t="str">
        <f>IF(AND($B272=[1]rogério!$A273,[1]rogério!$B273=X$4),"ok","nok")</f>
        <v>nok</v>
      </c>
      <c r="Y272" s="105" t="s">
        <v>15</v>
      </c>
      <c r="Z272" s="106"/>
      <c r="AA272" s="106"/>
      <c r="AB272" s="107"/>
      <c r="AC272" s="40"/>
      <c r="AD272" s="40"/>
      <c r="AE272" s="48" t="str">
        <f t="shared" si="73"/>
        <v/>
      </c>
      <c r="AF272" s="48"/>
      <c r="AG272" s="48"/>
      <c r="AH272" s="89"/>
      <c r="AI272" s="49">
        <f t="shared" si="74"/>
        <v>0</v>
      </c>
      <c r="AJ272" s="49" t="str">
        <f t="shared" si="75"/>
        <v/>
      </c>
      <c r="AK272" s="49">
        <f t="shared" si="76"/>
        <v>1</v>
      </c>
      <c r="AL272" s="49" t="str">
        <f t="shared" si="77"/>
        <v/>
      </c>
      <c r="AM272" s="49">
        <f t="shared" si="78"/>
        <v>0</v>
      </c>
      <c r="AN272" s="49" t="str">
        <f t="shared" si="79"/>
        <v/>
      </c>
      <c r="AO272" s="49">
        <f t="shared" si="80"/>
        <v>0</v>
      </c>
      <c r="AP272" s="49" t="str">
        <f t="shared" si="81"/>
        <v/>
      </c>
      <c r="AQ272" s="49">
        <f t="shared" si="82"/>
        <v>0</v>
      </c>
      <c r="AR272" s="49" t="str">
        <f t="shared" si="83"/>
        <v/>
      </c>
      <c r="AV272" s="57"/>
      <c r="BF272" s="52"/>
    </row>
    <row r="273" spans="1:58" ht="30" customHeight="1" x14ac:dyDescent="0.35">
      <c r="A273" s="25" t="str">
        <f t="shared" ref="A273:A274" si="84">CONCATENATE($B$158,"
",$B$242,"",$B$243,"
",$B$270)</f>
        <v>PT177 - PLATAFORMA DE ACESSO - FORQUILHA 1 - DETALHADO
TORRE B2PROJETO DETALHADO
ELÉTRICA</v>
      </c>
      <c r="B273" s="40" t="s">
        <v>42</v>
      </c>
      <c r="C273" s="60" t="str">
        <f>IF(AND($B273=[1]rogério!$A274,[1]rogério!$B274=C$4),"ok","nok")</f>
        <v>nok</v>
      </c>
      <c r="D273" s="60" t="str">
        <f>IF(AND($B273=[1]rogério!$A274,[1]rogério!$B274=D$4),"ok","nok")</f>
        <v>nok</v>
      </c>
      <c r="E273" s="60" t="str">
        <f>IF(AND($B273=[1]rogério!$A274,[1]rogério!$B274=E$4),"ok","nok")</f>
        <v>nok</v>
      </c>
      <c r="F273" s="60" t="str">
        <f>IF(AND($B273=[1]rogério!$A274,[1]rogério!$B274=F$4),"ok","nok")</f>
        <v>nok</v>
      </c>
      <c r="G273" s="60" t="str">
        <f>IF(AND($B273=[1]rogério!$A274,[1]rogério!$B274=G$4),"ok","nok")</f>
        <v>nok</v>
      </c>
      <c r="H273" s="60" t="str">
        <f>IF(AND($B273=[1]rogério!$A274,[1]rogério!$B274=H$4),"ok","nok")</f>
        <v>nok</v>
      </c>
      <c r="I273" s="60" t="str">
        <f>IF(AND($B273=[1]rogério!$A274,[1]rogério!$B274=I$4),"ok","nok")</f>
        <v>nok</v>
      </c>
      <c r="J273" s="60" t="str">
        <f>IF(AND($B273=[1]rogério!$A274,[1]rogério!$B274=J$4),"ok","nok")</f>
        <v>nok</v>
      </c>
      <c r="K273" s="60" t="str">
        <f>IF(AND($B273=[1]rogério!$A274,[1]rogério!$B274=K$4),"ok","nok")</f>
        <v>nok</v>
      </c>
      <c r="L273" s="60" t="str">
        <f>IF(AND($B273=[1]rogério!$A274,[1]rogério!$B274=L$4),"ok","nok")</f>
        <v>ok</v>
      </c>
      <c r="M273" s="60" t="str">
        <f>IF(AND($B273=[1]rogério!$A274,[1]rogério!$B274=M$4),"ok","nok")</f>
        <v>nok</v>
      </c>
      <c r="N273" s="60" t="str">
        <f>IF(AND($B273=[1]rogério!$A274,[1]rogério!$B274=N$4),"ok","nok")</f>
        <v>nok</v>
      </c>
      <c r="O273" s="60" t="str">
        <f>IF(AND($B273=[1]rogério!$A274,[1]rogério!$B274=O$4),"ok","nok")</f>
        <v>nok</v>
      </c>
      <c r="P273" s="60" t="str">
        <f>IF(AND($B273=[1]rogério!$A274,[1]rogério!$B274=P$4),"ok","nok")</f>
        <v>nok</v>
      </c>
      <c r="Q273" s="60" t="str">
        <f>IF(AND($B273=[1]rogério!$A274,[1]rogério!$B274=Q$4),"ok","nok")</f>
        <v>nok</v>
      </c>
      <c r="R273" s="60" t="str">
        <f>IF(AND($B273=[1]rogério!$A274,[1]rogério!$B274=R$4),"ok","nok")</f>
        <v>nok</v>
      </c>
      <c r="S273" s="60" t="str">
        <f>IF(AND($B273=[1]rogério!$A274,[1]rogério!$B274=S$4),"ok","nok")</f>
        <v>nok</v>
      </c>
      <c r="T273" s="60" t="str">
        <f>IF(AND($B273=[1]rogério!$A274,[1]rogério!$B274=T$4),"ok","nok")</f>
        <v>nok</v>
      </c>
      <c r="U273" s="60" t="str">
        <f>IF(AND($B273=[1]rogério!$A274,[1]rogério!$B274=U$4),"ok","nok")</f>
        <v>nok</v>
      </c>
      <c r="V273" s="60" t="str">
        <f>IF(AND($B273=[1]rogério!$A274,[1]rogério!$B274=V$4),"ok","nok")</f>
        <v>nok</v>
      </c>
      <c r="W273" s="60" t="str">
        <f>IF(AND($B273=[1]rogério!$A274,[1]rogério!$B274=W$4),"ok","nok")</f>
        <v>nok</v>
      </c>
      <c r="X273" s="60" t="str">
        <f>IF(AND($B273=[1]rogério!$A274,[1]rogério!$B274=X$4),"ok","nok")</f>
        <v>nok</v>
      </c>
      <c r="Y273" s="105" t="s">
        <v>15</v>
      </c>
      <c r="Z273" s="106"/>
      <c r="AA273" s="106"/>
      <c r="AB273" s="107"/>
      <c r="AC273" s="40"/>
      <c r="AD273" s="40"/>
      <c r="AE273" s="48" t="str">
        <f t="shared" si="73"/>
        <v/>
      </c>
      <c r="AF273" s="48"/>
      <c r="AG273" s="48"/>
      <c r="AH273" s="89"/>
      <c r="AI273" s="49">
        <f t="shared" si="74"/>
        <v>0</v>
      </c>
      <c r="AJ273" s="49" t="str">
        <f t="shared" si="75"/>
        <v/>
      </c>
      <c r="AK273" s="49">
        <f t="shared" si="76"/>
        <v>1</v>
      </c>
      <c r="AL273" s="49" t="str">
        <f t="shared" si="77"/>
        <v/>
      </c>
      <c r="AM273" s="49">
        <f t="shared" si="78"/>
        <v>0</v>
      </c>
      <c r="AN273" s="49" t="str">
        <f t="shared" si="79"/>
        <v/>
      </c>
      <c r="AO273" s="49">
        <f t="shared" si="80"/>
        <v>0</v>
      </c>
      <c r="AP273" s="49" t="str">
        <f t="shared" si="81"/>
        <v/>
      </c>
      <c r="AQ273" s="49">
        <f t="shared" si="82"/>
        <v>0</v>
      </c>
      <c r="AR273" s="49" t="str">
        <f t="shared" si="83"/>
        <v/>
      </c>
      <c r="AV273" s="57"/>
      <c r="BF273" s="52"/>
    </row>
    <row r="274" spans="1:58" ht="30" customHeight="1" x14ac:dyDescent="0.35">
      <c r="A274" s="25" t="str">
        <f t="shared" si="84"/>
        <v>PT177 - PLATAFORMA DE ACESSO - FORQUILHA 1 - DETALHADO
TORRE B2PROJETO DETALHADO
ELÉTRICA</v>
      </c>
      <c r="B274" s="40" t="s">
        <v>43</v>
      </c>
      <c r="C274" s="60" t="str">
        <f>IF(AND($B274=[1]rogério!$A275,[1]rogério!$B275=C$4),"ok","nok")</f>
        <v>nok</v>
      </c>
      <c r="D274" s="60" t="str">
        <f>IF(AND($B274=[1]rogério!$A275,[1]rogério!$B275=D$4),"ok","nok")</f>
        <v>nok</v>
      </c>
      <c r="E274" s="60" t="str">
        <f>IF(AND($B274=[1]rogério!$A275,[1]rogério!$B275=E$4),"ok","nok")</f>
        <v>nok</v>
      </c>
      <c r="F274" s="60" t="str">
        <f>IF(AND($B274=[1]rogério!$A275,[1]rogério!$B275=F$4),"ok","nok")</f>
        <v>nok</v>
      </c>
      <c r="G274" s="60" t="str">
        <f>IF(AND($B274=[1]rogério!$A275,[1]rogério!$B275=G$4),"ok","nok")</f>
        <v>nok</v>
      </c>
      <c r="H274" s="60" t="str">
        <f>IF(AND($B274=[1]rogério!$A275,[1]rogério!$B275=H$4),"ok","nok")</f>
        <v>nok</v>
      </c>
      <c r="I274" s="60" t="str">
        <f>IF(AND($B274=[1]rogério!$A275,[1]rogério!$B275=I$4),"ok","nok")</f>
        <v>nok</v>
      </c>
      <c r="J274" s="60" t="str">
        <f>IF(AND($B274=[1]rogério!$A275,[1]rogério!$B275=J$4),"ok","nok")</f>
        <v>nok</v>
      </c>
      <c r="K274" s="60" t="str">
        <f>IF(AND($B274=[1]rogério!$A275,[1]rogério!$B275=K$4),"ok","nok")</f>
        <v>nok</v>
      </c>
      <c r="L274" s="60" t="str">
        <f>IF(AND($B274=[1]rogério!$A275,[1]rogério!$B275=L$4),"ok","nok")</f>
        <v>ok</v>
      </c>
      <c r="M274" s="60" t="str">
        <f>IF(AND($B274=[1]rogério!$A275,[1]rogério!$B275=M$4),"ok","nok")</f>
        <v>nok</v>
      </c>
      <c r="N274" s="60" t="str">
        <f>IF(AND($B274=[1]rogério!$A275,[1]rogério!$B275=N$4),"ok","nok")</f>
        <v>nok</v>
      </c>
      <c r="O274" s="60" t="str">
        <f>IF(AND($B274=[1]rogério!$A275,[1]rogério!$B275=O$4),"ok","nok")</f>
        <v>nok</v>
      </c>
      <c r="P274" s="60" t="str">
        <f>IF(AND($B274=[1]rogério!$A275,[1]rogério!$B275=P$4),"ok","nok")</f>
        <v>nok</v>
      </c>
      <c r="Q274" s="60" t="str">
        <f>IF(AND($B274=[1]rogério!$A275,[1]rogério!$B275=Q$4),"ok","nok")</f>
        <v>nok</v>
      </c>
      <c r="R274" s="60" t="str">
        <f>IF(AND($B274=[1]rogério!$A275,[1]rogério!$B275=R$4),"ok","nok")</f>
        <v>nok</v>
      </c>
      <c r="S274" s="60" t="str">
        <f>IF(AND($B274=[1]rogério!$A275,[1]rogério!$B275=S$4),"ok","nok")</f>
        <v>nok</v>
      </c>
      <c r="T274" s="60" t="str">
        <f>IF(AND($B274=[1]rogério!$A275,[1]rogério!$B275=T$4),"ok","nok")</f>
        <v>nok</v>
      </c>
      <c r="U274" s="60" t="str">
        <f>IF(AND($B274=[1]rogério!$A275,[1]rogério!$B275=U$4),"ok","nok")</f>
        <v>nok</v>
      </c>
      <c r="V274" s="60" t="str">
        <f>IF(AND($B274=[1]rogério!$A275,[1]rogério!$B275=V$4),"ok","nok")</f>
        <v>nok</v>
      </c>
      <c r="W274" s="60" t="str">
        <f>IF(AND($B274=[1]rogério!$A275,[1]rogério!$B275=W$4),"ok","nok")</f>
        <v>nok</v>
      </c>
      <c r="X274" s="60" t="str">
        <f>IF(AND($B274=[1]rogério!$A275,[1]rogério!$B275=X$4),"ok","nok")</f>
        <v>nok</v>
      </c>
      <c r="Y274" s="105" t="s">
        <v>15</v>
      </c>
      <c r="Z274" s="106"/>
      <c r="AA274" s="106"/>
      <c r="AB274" s="107"/>
      <c r="AC274" s="40"/>
      <c r="AD274" s="40"/>
      <c r="AE274" s="48" t="str">
        <f t="shared" si="73"/>
        <v/>
      </c>
      <c r="AF274" s="48"/>
      <c r="AG274" s="48"/>
      <c r="AH274" s="89"/>
      <c r="AI274" s="49">
        <f t="shared" si="74"/>
        <v>0</v>
      </c>
      <c r="AJ274" s="49" t="str">
        <f t="shared" si="75"/>
        <v/>
      </c>
      <c r="AK274" s="49">
        <f t="shared" si="76"/>
        <v>1</v>
      </c>
      <c r="AL274" s="49" t="str">
        <f t="shared" si="77"/>
        <v/>
      </c>
      <c r="AM274" s="49">
        <f t="shared" si="78"/>
        <v>0</v>
      </c>
      <c r="AN274" s="49" t="str">
        <f t="shared" si="79"/>
        <v/>
      </c>
      <c r="AO274" s="49">
        <f t="shared" si="80"/>
        <v>0</v>
      </c>
      <c r="AP274" s="49" t="str">
        <f t="shared" si="81"/>
        <v/>
      </c>
      <c r="AQ274" s="49">
        <f t="shared" si="82"/>
        <v>0</v>
      </c>
      <c r="AR274" s="49" t="str">
        <f t="shared" si="83"/>
        <v/>
      </c>
      <c r="AV274" s="57"/>
      <c r="BF274" s="52"/>
    </row>
    <row r="275" spans="1:58" ht="30" customHeight="1" x14ac:dyDescent="0.35">
      <c r="A275" s="25"/>
      <c r="B275" s="36" t="s">
        <v>82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123"/>
      <c r="Z275" s="124"/>
      <c r="AA275" s="124"/>
      <c r="AB275" s="125"/>
      <c r="AC275" s="40"/>
      <c r="AD275" s="40"/>
      <c r="AE275" s="48" t="str">
        <f t="shared" si="73"/>
        <v/>
      </c>
      <c r="AF275" s="48"/>
      <c r="AG275" s="48"/>
      <c r="AH275" s="89"/>
      <c r="AI275" s="49">
        <f t="shared" si="74"/>
        <v>0</v>
      </c>
      <c r="AJ275" s="49" t="str">
        <f t="shared" si="75"/>
        <v/>
      </c>
      <c r="AK275" s="49">
        <f t="shared" si="76"/>
        <v>0</v>
      </c>
      <c r="AL275" s="49" t="str">
        <f t="shared" si="77"/>
        <v/>
      </c>
      <c r="AM275" s="49">
        <f t="shared" si="78"/>
        <v>0</v>
      </c>
      <c r="AN275" s="49" t="str">
        <f t="shared" si="79"/>
        <v/>
      </c>
      <c r="AO275" s="49">
        <f t="shared" si="80"/>
        <v>0</v>
      </c>
      <c r="AP275" s="49" t="str">
        <f t="shared" si="81"/>
        <v/>
      </c>
      <c r="AQ275" s="49">
        <f t="shared" si="82"/>
        <v>0</v>
      </c>
      <c r="AR275" s="49" t="str">
        <f t="shared" si="83"/>
        <v/>
      </c>
      <c r="AV275" s="57"/>
      <c r="BF275" s="52"/>
    </row>
    <row r="276" spans="1:58" ht="30" customHeight="1" x14ac:dyDescent="0.35">
      <c r="A276" s="25"/>
      <c r="B276" s="37" t="s">
        <v>52</v>
      </c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120"/>
      <c r="Z276" s="121"/>
      <c r="AA276" s="121"/>
      <c r="AB276" s="122"/>
      <c r="AC276" s="40"/>
      <c r="AD276" s="40"/>
      <c r="AE276" s="48" t="str">
        <f t="shared" si="73"/>
        <v/>
      </c>
      <c r="AF276" s="48"/>
      <c r="AG276" s="48"/>
      <c r="AH276" s="89"/>
      <c r="AI276" s="49">
        <f t="shared" si="74"/>
        <v>0</v>
      </c>
      <c r="AJ276" s="49" t="str">
        <f t="shared" si="75"/>
        <v/>
      </c>
      <c r="AK276" s="49">
        <f t="shared" si="76"/>
        <v>0</v>
      </c>
      <c r="AL276" s="49" t="str">
        <f t="shared" si="77"/>
        <v/>
      </c>
      <c r="AM276" s="49">
        <f t="shared" si="78"/>
        <v>0</v>
      </c>
      <c r="AN276" s="49" t="str">
        <f t="shared" si="79"/>
        <v/>
      </c>
      <c r="AO276" s="49">
        <f t="shared" si="80"/>
        <v>0</v>
      </c>
      <c r="AP276" s="49" t="str">
        <f t="shared" si="81"/>
        <v/>
      </c>
      <c r="AQ276" s="49">
        <f t="shared" si="82"/>
        <v>0</v>
      </c>
      <c r="AR276" s="49" t="str">
        <f t="shared" si="83"/>
        <v/>
      </c>
      <c r="AV276" s="57"/>
      <c r="BF276" s="52"/>
    </row>
    <row r="277" spans="1:58" ht="30" customHeight="1" x14ac:dyDescent="0.35">
      <c r="A277" s="25"/>
      <c r="B277" s="42" t="s">
        <v>83</v>
      </c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111"/>
      <c r="Z277" s="112"/>
      <c r="AA277" s="112"/>
      <c r="AB277" s="113"/>
      <c r="AC277" s="40"/>
      <c r="AD277" s="40"/>
      <c r="AE277" s="48" t="str">
        <f t="shared" si="73"/>
        <v/>
      </c>
      <c r="AF277" s="48"/>
      <c r="AG277" s="48"/>
      <c r="AH277" s="89"/>
      <c r="AI277" s="49">
        <f t="shared" si="74"/>
        <v>0</v>
      </c>
      <c r="AJ277" s="49" t="str">
        <f t="shared" si="75"/>
        <v/>
      </c>
      <c r="AK277" s="49">
        <f t="shared" si="76"/>
        <v>0</v>
      </c>
      <c r="AL277" s="49" t="str">
        <f t="shared" si="77"/>
        <v/>
      </c>
      <c r="AM277" s="49">
        <f t="shared" si="78"/>
        <v>0</v>
      </c>
      <c r="AN277" s="49" t="str">
        <f t="shared" si="79"/>
        <v/>
      </c>
      <c r="AO277" s="49">
        <f t="shared" si="80"/>
        <v>0</v>
      </c>
      <c r="AP277" s="49" t="str">
        <f t="shared" si="81"/>
        <v/>
      </c>
      <c r="AQ277" s="49">
        <f t="shared" si="82"/>
        <v>0</v>
      </c>
      <c r="AR277" s="49" t="str">
        <f t="shared" si="83"/>
        <v/>
      </c>
      <c r="AV277" s="57"/>
      <c r="BF277" s="52"/>
    </row>
    <row r="278" spans="1:58" ht="30" customHeight="1" x14ac:dyDescent="0.35">
      <c r="A278" s="25"/>
      <c r="B278" s="61" t="s">
        <v>57</v>
      </c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117"/>
      <c r="Z278" s="118"/>
      <c r="AA278" s="118"/>
      <c r="AB278" s="119"/>
      <c r="AC278" s="40"/>
      <c r="AD278" s="40"/>
      <c r="AE278" s="48" t="str">
        <f t="shared" si="73"/>
        <v/>
      </c>
      <c r="AF278" s="48"/>
      <c r="AG278" s="48"/>
      <c r="AH278" s="89"/>
      <c r="AI278" s="49">
        <f t="shared" si="74"/>
        <v>0</v>
      </c>
      <c r="AJ278" s="49" t="str">
        <f t="shared" si="75"/>
        <v/>
      </c>
      <c r="AK278" s="49">
        <f t="shared" si="76"/>
        <v>0</v>
      </c>
      <c r="AL278" s="49" t="str">
        <f t="shared" si="77"/>
        <v/>
      </c>
      <c r="AM278" s="49">
        <f t="shared" si="78"/>
        <v>0</v>
      </c>
      <c r="AN278" s="49" t="str">
        <f t="shared" si="79"/>
        <v/>
      </c>
      <c r="AO278" s="49">
        <f t="shared" si="80"/>
        <v>0</v>
      </c>
      <c r="AP278" s="49" t="str">
        <f t="shared" si="81"/>
        <v/>
      </c>
      <c r="AQ278" s="49">
        <f t="shared" si="82"/>
        <v>0</v>
      </c>
      <c r="AR278" s="49" t="str">
        <f t="shared" si="83"/>
        <v/>
      </c>
      <c r="AV278" s="57"/>
      <c r="BF278" s="52"/>
    </row>
    <row r="279" spans="1:58" ht="30" customHeight="1" x14ac:dyDescent="0.35">
      <c r="A279" s="25"/>
      <c r="B279" s="62" t="s">
        <v>58</v>
      </c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114"/>
      <c r="Z279" s="115"/>
      <c r="AA279" s="115"/>
      <c r="AB279" s="116"/>
      <c r="AC279" s="40"/>
      <c r="AD279" s="40"/>
      <c r="AE279" s="48" t="str">
        <f t="shared" si="73"/>
        <v/>
      </c>
      <c r="AF279" s="48"/>
      <c r="AG279" s="48"/>
      <c r="AH279" s="89"/>
      <c r="AI279" s="49">
        <f t="shared" si="74"/>
        <v>0</v>
      </c>
      <c r="AJ279" s="49" t="str">
        <f t="shared" si="75"/>
        <v/>
      </c>
      <c r="AK279" s="49">
        <f t="shared" si="76"/>
        <v>0</v>
      </c>
      <c r="AL279" s="49" t="str">
        <f t="shared" si="77"/>
        <v/>
      </c>
      <c r="AM279" s="49">
        <f t="shared" si="78"/>
        <v>0</v>
      </c>
      <c r="AN279" s="49" t="str">
        <f t="shared" si="79"/>
        <v/>
      </c>
      <c r="AO279" s="49">
        <f t="shared" si="80"/>
        <v>0</v>
      </c>
      <c r="AP279" s="49" t="str">
        <f t="shared" si="81"/>
        <v/>
      </c>
      <c r="AQ279" s="49">
        <f t="shared" si="82"/>
        <v>0</v>
      </c>
      <c r="AR279" s="49" t="str">
        <f t="shared" si="83"/>
        <v/>
      </c>
      <c r="AV279" s="57"/>
      <c r="BF279" s="52"/>
    </row>
    <row r="280" spans="1:58" ht="30" customHeight="1" x14ac:dyDescent="0.35">
      <c r="A280" s="25"/>
      <c r="B280" s="39" t="s">
        <v>59</v>
      </c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108"/>
      <c r="Z280" s="109"/>
      <c r="AA280" s="109"/>
      <c r="AB280" s="110"/>
      <c r="AC280" s="40"/>
      <c r="AD280" s="40"/>
      <c r="AE280" s="48" t="str">
        <f t="shared" si="73"/>
        <v/>
      </c>
      <c r="AF280" s="48"/>
      <c r="AG280" s="48"/>
      <c r="AH280" s="89"/>
      <c r="AI280" s="49">
        <f t="shared" si="74"/>
        <v>0</v>
      </c>
      <c r="AJ280" s="49" t="str">
        <f t="shared" si="75"/>
        <v/>
      </c>
      <c r="AK280" s="49">
        <f t="shared" si="76"/>
        <v>0</v>
      </c>
      <c r="AL280" s="49" t="str">
        <f t="shared" si="77"/>
        <v/>
      </c>
      <c r="AM280" s="49">
        <f t="shared" si="78"/>
        <v>0</v>
      </c>
      <c r="AN280" s="49" t="str">
        <f t="shared" si="79"/>
        <v/>
      </c>
      <c r="AO280" s="49">
        <f t="shared" si="80"/>
        <v>0</v>
      </c>
      <c r="AP280" s="49" t="str">
        <f t="shared" si="81"/>
        <v/>
      </c>
      <c r="AQ280" s="49">
        <f t="shared" si="82"/>
        <v>0</v>
      </c>
      <c r="AR280" s="49" t="str">
        <f t="shared" si="83"/>
        <v/>
      </c>
      <c r="AV280" s="57"/>
      <c r="BF280" s="52"/>
    </row>
    <row r="281" spans="1:58" ht="30" customHeight="1" x14ac:dyDescent="0.35">
      <c r="A281" s="25" t="str">
        <f>CONCATENATE($B$275,"
",$B$277,"",$B$278,"
",$B$279)</f>
        <v>PT177 - PLATAFORMA DE ACESSO - FORQUILHA 2 - BÁSICO
TORRE B3PROJETO BÁSICO
ESTRUTURAS METÁLICAS</v>
      </c>
      <c r="B281" s="40" t="s">
        <v>19</v>
      </c>
      <c r="C281" s="60" t="str">
        <f>IF(AND($B281=[1]rogério!$A282,[1]rogério!$B282=C$4),"ok","nok")</f>
        <v>nok</v>
      </c>
      <c r="D281" s="60" t="str">
        <f>IF(AND($B281=[1]rogério!$A282,[1]rogério!$B282=D$4),"ok","nok")</f>
        <v>nok</v>
      </c>
      <c r="E281" s="60" t="str">
        <f>IF(AND($B281=[1]rogério!$A282,[1]rogério!$B282=E$4),"ok","nok")</f>
        <v>nok</v>
      </c>
      <c r="F281" s="60" t="str">
        <f>IF(AND($B281=[1]rogério!$A282,[1]rogério!$B282=F$4),"ok","nok")</f>
        <v>nok</v>
      </c>
      <c r="G281" s="60" t="str">
        <f>IF(AND($B281=[1]rogério!$A282,[1]rogério!$B282=G$4),"ok","nok")</f>
        <v>nok</v>
      </c>
      <c r="H281" s="60" t="str">
        <f>IF(AND($B281=[1]rogério!$A282,[1]rogério!$B282=H$4),"ok","nok")</f>
        <v>nok</v>
      </c>
      <c r="I281" s="60" t="str">
        <f>IF(AND($B281=[1]rogério!$A282,[1]rogério!$B282=I$4),"ok","nok")</f>
        <v>ok</v>
      </c>
      <c r="J281" s="60" t="str">
        <f>IF(AND($B281=[1]rogério!$A282,[1]rogério!$B282=J$4),"ok","nok")</f>
        <v>nok</v>
      </c>
      <c r="K281" s="60" t="str">
        <f>IF(AND($B281=[1]rogério!$A282,[1]rogério!$B282=K$4),"ok","nok")</f>
        <v>nok</v>
      </c>
      <c r="L281" s="60" t="str">
        <f>IF(AND($B281=[1]rogério!$A282,[1]rogério!$B282=L$4),"ok","nok")</f>
        <v>nok</v>
      </c>
      <c r="M281" s="60" t="str">
        <f>IF(AND($B281=[1]rogério!$A282,[1]rogério!$B282=M$4),"ok","nok")</f>
        <v>nok</v>
      </c>
      <c r="N281" s="60" t="str">
        <f>IF(AND($B281=[1]rogério!$A282,[1]rogério!$B282=N$4),"ok","nok")</f>
        <v>nok</v>
      </c>
      <c r="O281" s="60" t="str">
        <f>IF(AND($B281=[1]rogério!$A282,[1]rogério!$B282=O$4),"ok","nok")</f>
        <v>nok</v>
      </c>
      <c r="P281" s="60" t="str">
        <f>IF(AND($B281=[1]rogério!$A282,[1]rogério!$B282=P$4),"ok","nok")</f>
        <v>nok</v>
      </c>
      <c r="Q281" s="60" t="str">
        <f>IF(AND($B281=[1]rogério!$A282,[1]rogério!$B282=Q$4),"ok","nok")</f>
        <v>nok</v>
      </c>
      <c r="R281" s="60" t="str">
        <f>IF(AND($B281=[1]rogério!$A282,[1]rogério!$B282=R$4),"ok","nok")</f>
        <v>nok</v>
      </c>
      <c r="S281" s="60" t="str">
        <f>IF(AND($B281=[1]rogério!$A282,[1]rogério!$B282=S$4),"ok","nok")</f>
        <v>nok</v>
      </c>
      <c r="T281" s="60" t="str">
        <f>IF(AND($B281=[1]rogério!$A282,[1]rogério!$B282=T$4),"ok","nok")</f>
        <v>nok</v>
      </c>
      <c r="U281" s="60" t="str">
        <f>IF(AND($B281=[1]rogério!$A282,[1]rogério!$B282=U$4),"ok","nok")</f>
        <v>nok</v>
      </c>
      <c r="V281" s="60" t="str">
        <f>IF(AND($B281=[1]rogério!$A282,[1]rogério!$B282=V$4),"ok","nok")</f>
        <v>nok</v>
      </c>
      <c r="W281" s="60" t="str">
        <f>IF(AND($B281=[1]rogério!$A282,[1]rogério!$B282=W$4),"ok","nok")</f>
        <v>nok</v>
      </c>
      <c r="X281" s="60" t="str">
        <f>IF(AND($B281=[1]rogério!$A282,[1]rogério!$B282=X$4),"ok","nok")</f>
        <v>nok</v>
      </c>
      <c r="Y281" s="105" t="s">
        <v>15</v>
      </c>
      <c r="Z281" s="106"/>
      <c r="AA281" s="106"/>
      <c r="AB281" s="107"/>
      <c r="AC281" s="40"/>
      <c r="AD281" s="40"/>
      <c r="AE281" s="48" t="str">
        <f t="shared" si="73"/>
        <v/>
      </c>
      <c r="AF281" s="48"/>
      <c r="AG281" s="48"/>
      <c r="AH281" s="89"/>
      <c r="AI281" s="49">
        <f t="shared" si="74"/>
        <v>0</v>
      </c>
      <c r="AJ281" s="49" t="str">
        <f t="shared" si="75"/>
        <v/>
      </c>
      <c r="AK281" s="49">
        <f t="shared" si="76"/>
        <v>1</v>
      </c>
      <c r="AL281" s="49" t="str">
        <f t="shared" si="77"/>
        <v/>
      </c>
      <c r="AM281" s="49">
        <f t="shared" si="78"/>
        <v>0</v>
      </c>
      <c r="AN281" s="49" t="str">
        <f t="shared" si="79"/>
        <v/>
      </c>
      <c r="AO281" s="49">
        <f t="shared" si="80"/>
        <v>0</v>
      </c>
      <c r="AP281" s="49" t="str">
        <f t="shared" si="81"/>
        <v/>
      </c>
      <c r="AQ281" s="49">
        <f t="shared" si="82"/>
        <v>0</v>
      </c>
      <c r="AR281" s="49" t="str">
        <f t="shared" si="83"/>
        <v/>
      </c>
      <c r="AV281" s="57"/>
      <c r="BF281" s="52"/>
    </row>
    <row r="282" spans="1:58" ht="30" customHeight="1" x14ac:dyDescent="0.35">
      <c r="A282" s="25" t="str">
        <f>CONCATENATE($B$275,"
",$B$277,"",$B$278,"
",$B$279)</f>
        <v>PT177 - PLATAFORMA DE ACESSO - FORQUILHA 2 - BÁSICO
TORRE B3PROJETO BÁSICO
ESTRUTURAS METÁLICAS</v>
      </c>
      <c r="B282" s="40" t="s">
        <v>42</v>
      </c>
      <c r="C282" s="60" t="str">
        <f>IF(AND($B282=[1]rogério!$A283,[1]rogério!$B283=C$4),"ok","nok")</f>
        <v>nok</v>
      </c>
      <c r="D282" s="60" t="str">
        <f>IF(AND($B282=[1]rogério!$A283,[1]rogério!$B283=D$4),"ok","nok")</f>
        <v>nok</v>
      </c>
      <c r="E282" s="60" t="str">
        <f>IF(AND($B282=[1]rogério!$A283,[1]rogério!$B283=E$4),"ok","nok")</f>
        <v>nok</v>
      </c>
      <c r="F282" s="60" t="str">
        <f>IF(AND($B282=[1]rogério!$A283,[1]rogério!$B283=F$4),"ok","nok")</f>
        <v>nok</v>
      </c>
      <c r="G282" s="60" t="str">
        <f>IF(AND($B282=[1]rogério!$A283,[1]rogério!$B283=G$4),"ok","nok")</f>
        <v>nok</v>
      </c>
      <c r="H282" s="60" t="str">
        <f>IF(AND($B282=[1]rogério!$A283,[1]rogério!$B283=H$4),"ok","nok")</f>
        <v>nok</v>
      </c>
      <c r="I282" s="60" t="str">
        <f>IF(AND($B282=[1]rogério!$A283,[1]rogério!$B283=I$4),"ok","nok")</f>
        <v>nok</v>
      </c>
      <c r="J282" s="60" t="str">
        <f>IF(AND($B282=[1]rogério!$A283,[1]rogério!$B283=J$4),"ok","nok")</f>
        <v>nok</v>
      </c>
      <c r="K282" s="60" t="str">
        <f>IF(AND($B282=[1]rogério!$A283,[1]rogério!$B283=K$4),"ok","nok")</f>
        <v>nok</v>
      </c>
      <c r="L282" s="60" t="str">
        <f>IF(AND($B282=[1]rogério!$A283,[1]rogério!$B283=L$4),"ok","nok")</f>
        <v>nok</v>
      </c>
      <c r="M282" s="60" t="str">
        <f>IF(AND($B282=[1]rogério!$A283,[1]rogério!$B283=M$4),"ok","nok")</f>
        <v>nok</v>
      </c>
      <c r="N282" s="60" t="str">
        <f>IF(AND($B282=[1]rogério!$A283,[1]rogério!$B283=N$4),"ok","nok")</f>
        <v>nok</v>
      </c>
      <c r="O282" s="60" t="str">
        <f>IF(AND($B282=[1]rogério!$A283,[1]rogério!$B283=O$4),"ok","nok")</f>
        <v>ok</v>
      </c>
      <c r="P282" s="60" t="str">
        <f>IF(AND($B282=[1]rogério!$A283,[1]rogério!$B283=P$4),"ok","nok")</f>
        <v>nok</v>
      </c>
      <c r="Q282" s="60" t="str">
        <f>IF(AND($B282=[1]rogério!$A283,[1]rogério!$B283=Q$4),"ok","nok")</f>
        <v>nok</v>
      </c>
      <c r="R282" s="60" t="str">
        <f>IF(AND($B282=[1]rogério!$A283,[1]rogério!$B283=R$4),"ok","nok")</f>
        <v>nok</v>
      </c>
      <c r="S282" s="60" t="str">
        <f>IF(AND($B282=[1]rogério!$A283,[1]rogério!$B283=S$4),"ok","nok")</f>
        <v>nok</v>
      </c>
      <c r="T282" s="60" t="str">
        <f>IF(AND($B282=[1]rogério!$A283,[1]rogério!$B283=T$4),"ok","nok")</f>
        <v>nok</v>
      </c>
      <c r="U282" s="60" t="str">
        <f>IF(AND($B282=[1]rogério!$A283,[1]rogério!$B283=U$4),"ok","nok")</f>
        <v>nok</v>
      </c>
      <c r="V282" s="60" t="str">
        <f>IF(AND($B282=[1]rogério!$A283,[1]rogério!$B283=V$4),"ok","nok")</f>
        <v>nok</v>
      </c>
      <c r="W282" s="60" t="str">
        <f>IF(AND($B282=[1]rogério!$A283,[1]rogério!$B283=W$4),"ok","nok")</f>
        <v>nok</v>
      </c>
      <c r="X282" s="60" t="str">
        <f>IF(AND($B282=[1]rogério!$A283,[1]rogério!$B283=X$4),"ok","nok")</f>
        <v>nok</v>
      </c>
      <c r="Y282" s="105" t="s">
        <v>15</v>
      </c>
      <c r="Z282" s="106"/>
      <c r="AA282" s="106"/>
      <c r="AB282" s="107"/>
      <c r="AC282" s="40"/>
      <c r="AD282" s="40"/>
      <c r="AE282" s="48" t="str">
        <f t="shared" si="73"/>
        <v/>
      </c>
      <c r="AF282" s="48"/>
      <c r="AG282" s="48"/>
      <c r="AH282" s="89"/>
      <c r="AI282" s="49">
        <f t="shared" si="74"/>
        <v>0</v>
      </c>
      <c r="AJ282" s="49" t="str">
        <f t="shared" si="75"/>
        <v/>
      </c>
      <c r="AK282" s="49">
        <f t="shared" si="76"/>
        <v>0</v>
      </c>
      <c r="AL282" s="49" t="str">
        <f t="shared" si="77"/>
        <v/>
      </c>
      <c r="AM282" s="49">
        <f t="shared" si="78"/>
        <v>1</v>
      </c>
      <c r="AN282" s="49" t="str">
        <f t="shared" si="79"/>
        <v/>
      </c>
      <c r="AO282" s="49">
        <f t="shared" si="80"/>
        <v>0</v>
      </c>
      <c r="AP282" s="49" t="str">
        <f t="shared" si="81"/>
        <v/>
      </c>
      <c r="AQ282" s="49">
        <f t="shared" si="82"/>
        <v>0</v>
      </c>
      <c r="AR282" s="49" t="str">
        <f t="shared" si="83"/>
        <v/>
      </c>
      <c r="AV282" s="57"/>
      <c r="BF282" s="52"/>
    </row>
    <row r="283" spans="1:58" ht="30" customHeight="1" x14ac:dyDescent="0.35">
      <c r="A283" s="25" t="str">
        <f>CONCATENATE($B$275,"
",$B$277,"",$B$278,"
",$B$279)</f>
        <v>PT177 - PLATAFORMA DE ACESSO - FORQUILHA 2 - BÁSICO
TORRE B3PROJETO BÁSICO
ESTRUTURAS METÁLICAS</v>
      </c>
      <c r="B283" s="40" t="s">
        <v>43</v>
      </c>
      <c r="C283" s="60" t="str">
        <f>IF(AND($B283=[1]rogério!$A284,[1]rogério!$B284=C$4),"ok","nok")</f>
        <v>nok</v>
      </c>
      <c r="D283" s="60" t="str">
        <f>IF(AND($B283=[1]rogério!$A284,[1]rogério!$B284=D$4),"ok","nok")</f>
        <v>nok</v>
      </c>
      <c r="E283" s="60" t="str">
        <f>IF(AND($B283=[1]rogério!$A284,[1]rogério!$B284=E$4),"ok","nok")</f>
        <v>nok</v>
      </c>
      <c r="F283" s="60" t="str">
        <f>IF(AND($B283=[1]rogério!$A284,[1]rogério!$B284=F$4),"ok","nok")</f>
        <v>nok</v>
      </c>
      <c r="G283" s="60" t="str">
        <f>IF(AND($B283=[1]rogério!$A284,[1]rogério!$B284=G$4),"ok","nok")</f>
        <v>nok</v>
      </c>
      <c r="H283" s="60" t="str">
        <f>IF(AND($B283=[1]rogério!$A284,[1]rogério!$B284=H$4),"ok","nok")</f>
        <v>nok</v>
      </c>
      <c r="I283" s="60" t="str">
        <f>IF(AND($B283=[1]rogério!$A284,[1]rogério!$B284=I$4),"ok","nok")</f>
        <v>nok</v>
      </c>
      <c r="J283" s="60" t="str">
        <f>IF(AND($B283=[1]rogério!$A284,[1]rogério!$B284=J$4),"ok","nok")</f>
        <v>nok</v>
      </c>
      <c r="K283" s="60" t="str">
        <f>IF(AND($B283=[1]rogério!$A284,[1]rogério!$B284=K$4),"ok","nok")</f>
        <v>nok</v>
      </c>
      <c r="L283" s="60" t="str">
        <f>IF(AND($B283=[1]rogério!$A284,[1]rogério!$B284=L$4),"ok","nok")</f>
        <v>nok</v>
      </c>
      <c r="M283" s="60" t="str">
        <f>IF(AND($B283=[1]rogério!$A284,[1]rogério!$B284=M$4),"ok","nok")</f>
        <v>nok</v>
      </c>
      <c r="N283" s="60" t="str">
        <f>IF(AND($B283=[1]rogério!$A284,[1]rogério!$B284=N$4),"ok","nok")</f>
        <v>nok</v>
      </c>
      <c r="O283" s="60" t="str">
        <f>IF(AND($B283=[1]rogério!$A284,[1]rogério!$B284=O$4),"ok","nok")</f>
        <v>ok</v>
      </c>
      <c r="P283" s="60" t="str">
        <f>IF(AND($B283=[1]rogério!$A284,[1]rogério!$B284=P$4),"ok","nok")</f>
        <v>nok</v>
      </c>
      <c r="Q283" s="60" t="str">
        <f>IF(AND($B283=[1]rogério!$A284,[1]rogério!$B284=Q$4),"ok","nok")</f>
        <v>nok</v>
      </c>
      <c r="R283" s="60" t="str">
        <f>IF(AND($B283=[1]rogério!$A284,[1]rogério!$B284=R$4),"ok","nok")</f>
        <v>nok</v>
      </c>
      <c r="S283" s="60" t="str">
        <f>IF(AND($B283=[1]rogério!$A284,[1]rogério!$B284=S$4),"ok","nok")</f>
        <v>nok</v>
      </c>
      <c r="T283" s="60" t="str">
        <f>IF(AND($B283=[1]rogério!$A284,[1]rogério!$B284=T$4),"ok","nok")</f>
        <v>nok</v>
      </c>
      <c r="U283" s="60" t="str">
        <f>IF(AND($B283=[1]rogério!$A284,[1]rogério!$B284=U$4),"ok","nok")</f>
        <v>nok</v>
      </c>
      <c r="V283" s="60" t="str">
        <f>IF(AND($B283=[1]rogério!$A284,[1]rogério!$B284=V$4),"ok","nok")</f>
        <v>nok</v>
      </c>
      <c r="W283" s="60" t="str">
        <f>IF(AND($B283=[1]rogério!$A284,[1]rogério!$B284=W$4),"ok","nok")</f>
        <v>nok</v>
      </c>
      <c r="X283" s="60" t="str">
        <f>IF(AND($B283=[1]rogério!$A284,[1]rogério!$B284=X$4),"ok","nok")</f>
        <v>nok</v>
      </c>
      <c r="Y283" s="105" t="s">
        <v>15</v>
      </c>
      <c r="Z283" s="106"/>
      <c r="AA283" s="106"/>
      <c r="AB283" s="107"/>
      <c r="AC283" s="40"/>
      <c r="AD283" s="40"/>
      <c r="AE283" s="48" t="str">
        <f t="shared" si="73"/>
        <v/>
      </c>
      <c r="AF283" s="48"/>
      <c r="AG283" s="48"/>
      <c r="AH283" s="89"/>
      <c r="AI283" s="49">
        <f t="shared" si="74"/>
        <v>0</v>
      </c>
      <c r="AJ283" s="49" t="str">
        <f t="shared" si="75"/>
        <v/>
      </c>
      <c r="AK283" s="49">
        <f t="shared" si="76"/>
        <v>0</v>
      </c>
      <c r="AL283" s="49" t="str">
        <f t="shared" si="77"/>
        <v/>
      </c>
      <c r="AM283" s="49">
        <f t="shared" si="78"/>
        <v>1</v>
      </c>
      <c r="AN283" s="49" t="str">
        <f t="shared" si="79"/>
        <v/>
      </c>
      <c r="AO283" s="49">
        <f t="shared" si="80"/>
        <v>0</v>
      </c>
      <c r="AP283" s="49" t="str">
        <f t="shared" si="81"/>
        <v/>
      </c>
      <c r="AQ283" s="49">
        <f t="shared" si="82"/>
        <v>0</v>
      </c>
      <c r="AR283" s="49" t="str">
        <f t="shared" si="83"/>
        <v/>
      </c>
      <c r="AV283" s="57"/>
      <c r="BF283" s="52"/>
    </row>
    <row r="284" spans="1:58" ht="30" customHeight="1" x14ac:dyDescent="0.35">
      <c r="A284" s="25"/>
      <c r="B284" s="39" t="s">
        <v>67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108"/>
      <c r="Z284" s="109"/>
      <c r="AA284" s="109"/>
      <c r="AB284" s="110"/>
      <c r="AC284" s="40"/>
      <c r="AD284" s="40"/>
      <c r="AE284" s="48" t="str">
        <f t="shared" si="73"/>
        <v/>
      </c>
      <c r="AF284" s="48"/>
      <c r="AG284" s="48"/>
      <c r="AH284" s="89"/>
      <c r="AI284" s="49">
        <f t="shared" si="74"/>
        <v>0</v>
      </c>
      <c r="AJ284" s="49" t="str">
        <f t="shared" si="75"/>
        <v/>
      </c>
      <c r="AK284" s="49">
        <f t="shared" si="76"/>
        <v>0</v>
      </c>
      <c r="AL284" s="49" t="str">
        <f t="shared" si="77"/>
        <v/>
      </c>
      <c r="AM284" s="49">
        <f t="shared" si="78"/>
        <v>0</v>
      </c>
      <c r="AN284" s="49" t="str">
        <f t="shared" si="79"/>
        <v/>
      </c>
      <c r="AO284" s="49">
        <f t="shared" si="80"/>
        <v>0</v>
      </c>
      <c r="AP284" s="49" t="str">
        <f t="shared" si="81"/>
        <v/>
      </c>
      <c r="AQ284" s="49">
        <f t="shared" si="82"/>
        <v>0</v>
      </c>
      <c r="AR284" s="49" t="str">
        <f t="shared" si="83"/>
        <v/>
      </c>
      <c r="AV284" s="57"/>
      <c r="BF284" s="52"/>
    </row>
    <row r="285" spans="1:58" ht="30" customHeight="1" x14ac:dyDescent="0.35">
      <c r="A285" s="25" t="str">
        <f t="shared" ref="A285:A287" si="85">CONCATENATE($B$275,"
",$B$277,"",$B$278,"
",$B$279)</f>
        <v>PT177 - PLATAFORMA DE ACESSO - FORQUILHA 2 - BÁSICO
TORRE B3PROJETO BÁSICO
ESTRUTURAS METÁLICAS</v>
      </c>
      <c r="B285" s="40" t="s">
        <v>19</v>
      </c>
      <c r="C285" s="60" t="str">
        <f>IF(AND($B285=[1]rogério!$A286,[1]rogério!$B286=C$4),"ok","nok")</f>
        <v>nok</v>
      </c>
      <c r="D285" s="60" t="str">
        <f>IF(AND($B285=[1]rogério!$A286,[1]rogério!$B286=D$4),"ok","nok")</f>
        <v>nok</v>
      </c>
      <c r="E285" s="60" t="str">
        <f>IF(AND($B285=[1]rogério!$A286,[1]rogério!$B286=E$4),"ok","nok")</f>
        <v>nok</v>
      </c>
      <c r="F285" s="60" t="str">
        <f>IF(AND($B285=[1]rogério!$A286,[1]rogério!$B286=F$4),"ok","nok")</f>
        <v>nok</v>
      </c>
      <c r="G285" s="60" t="str">
        <f>IF(AND($B285=[1]rogério!$A286,[1]rogério!$B286=G$4),"ok","nok")</f>
        <v>nok</v>
      </c>
      <c r="H285" s="60" t="str">
        <f>IF(AND($B285=[1]rogério!$A286,[1]rogério!$B286=H$4),"ok","nok")</f>
        <v>nok</v>
      </c>
      <c r="I285" s="60" t="str">
        <f>IF(AND($B285=[1]rogério!$A286,[1]rogério!$B286=I$4),"ok","nok")</f>
        <v>ok</v>
      </c>
      <c r="J285" s="60" t="str">
        <f>IF(AND($B285=[1]rogério!$A286,[1]rogério!$B286=J$4),"ok","nok")</f>
        <v>nok</v>
      </c>
      <c r="K285" s="60" t="str">
        <f>IF(AND($B285=[1]rogério!$A286,[1]rogério!$B286=K$4),"ok","nok")</f>
        <v>nok</v>
      </c>
      <c r="L285" s="60" t="str">
        <f>IF(AND($B285=[1]rogério!$A286,[1]rogério!$B286=L$4),"ok","nok")</f>
        <v>nok</v>
      </c>
      <c r="M285" s="60" t="str">
        <f>IF(AND($B285=[1]rogério!$A286,[1]rogério!$B286=M$4),"ok","nok")</f>
        <v>nok</v>
      </c>
      <c r="N285" s="60" t="str">
        <f>IF(AND($B285=[1]rogério!$A286,[1]rogério!$B286=N$4),"ok","nok")</f>
        <v>nok</v>
      </c>
      <c r="O285" s="60" t="str">
        <f>IF(AND($B285=[1]rogério!$A286,[1]rogério!$B286=O$4),"ok","nok")</f>
        <v>nok</v>
      </c>
      <c r="P285" s="60" t="str">
        <f>IF(AND($B285=[1]rogério!$A286,[1]rogério!$B286=P$4),"ok","nok")</f>
        <v>nok</v>
      </c>
      <c r="Q285" s="60" t="str">
        <f>IF(AND($B285=[1]rogério!$A286,[1]rogério!$B286=Q$4),"ok","nok")</f>
        <v>nok</v>
      </c>
      <c r="R285" s="60" t="str">
        <f>IF(AND($B285=[1]rogério!$A286,[1]rogério!$B286=R$4),"ok","nok")</f>
        <v>nok</v>
      </c>
      <c r="S285" s="60" t="str">
        <f>IF(AND($B285=[1]rogério!$A286,[1]rogério!$B286=S$4),"ok","nok")</f>
        <v>nok</v>
      </c>
      <c r="T285" s="60" t="str">
        <f>IF(AND($B285=[1]rogério!$A286,[1]rogério!$B286=T$4),"ok","nok")</f>
        <v>nok</v>
      </c>
      <c r="U285" s="60" t="str">
        <f>IF(AND($B285=[1]rogério!$A286,[1]rogério!$B286=U$4),"ok","nok")</f>
        <v>nok</v>
      </c>
      <c r="V285" s="60" t="str">
        <f>IF(AND($B285=[1]rogério!$A286,[1]rogério!$B286=V$4),"ok","nok")</f>
        <v>nok</v>
      </c>
      <c r="W285" s="60" t="str">
        <f>IF(AND($B285=[1]rogério!$A286,[1]rogério!$B286=W$4),"ok","nok")</f>
        <v>nok</v>
      </c>
      <c r="X285" s="60" t="str">
        <f>IF(AND($B285=[1]rogério!$A286,[1]rogério!$B286=X$4),"ok","nok")</f>
        <v>nok</v>
      </c>
      <c r="Y285" s="105" t="s">
        <v>15</v>
      </c>
      <c r="Z285" s="106"/>
      <c r="AA285" s="106"/>
      <c r="AB285" s="107"/>
      <c r="AC285" s="40"/>
      <c r="AD285" s="40"/>
      <c r="AE285" s="48" t="str">
        <f t="shared" si="73"/>
        <v/>
      </c>
      <c r="AF285" s="48"/>
      <c r="AG285" s="48"/>
      <c r="AH285" s="89"/>
      <c r="AI285" s="49">
        <f t="shared" si="74"/>
        <v>0</v>
      </c>
      <c r="AJ285" s="49" t="str">
        <f t="shared" si="75"/>
        <v/>
      </c>
      <c r="AK285" s="49">
        <f t="shared" si="76"/>
        <v>1</v>
      </c>
      <c r="AL285" s="49" t="str">
        <f t="shared" si="77"/>
        <v/>
      </c>
      <c r="AM285" s="49">
        <f t="shared" si="78"/>
        <v>0</v>
      </c>
      <c r="AN285" s="49" t="str">
        <f t="shared" si="79"/>
        <v/>
      </c>
      <c r="AO285" s="49">
        <f t="shared" si="80"/>
        <v>0</v>
      </c>
      <c r="AP285" s="49" t="str">
        <f t="shared" si="81"/>
        <v/>
      </c>
      <c r="AQ285" s="49">
        <f t="shared" si="82"/>
        <v>0</v>
      </c>
      <c r="AR285" s="49" t="str">
        <f t="shared" si="83"/>
        <v/>
      </c>
      <c r="AV285" s="57"/>
      <c r="BF285" s="52"/>
    </row>
    <row r="286" spans="1:58" ht="30" customHeight="1" x14ac:dyDescent="0.35">
      <c r="A286" s="25" t="str">
        <f t="shared" si="85"/>
        <v>PT177 - PLATAFORMA DE ACESSO - FORQUILHA 2 - BÁSICO
TORRE B3PROJETO BÁSICO
ESTRUTURAS METÁLICAS</v>
      </c>
      <c r="B286" s="40" t="s">
        <v>42</v>
      </c>
      <c r="C286" s="60" t="str">
        <f>IF(AND($B286=[1]rogério!$A287,[1]rogério!$B287=C$4),"ok","nok")</f>
        <v>nok</v>
      </c>
      <c r="D286" s="60" t="str">
        <f>IF(AND($B286=[1]rogério!$A287,[1]rogério!$B287=D$4),"ok","nok")</f>
        <v>nok</v>
      </c>
      <c r="E286" s="60" t="str">
        <f>IF(AND($B286=[1]rogério!$A287,[1]rogério!$B287=E$4),"ok","nok")</f>
        <v>nok</v>
      </c>
      <c r="F286" s="60" t="str">
        <f>IF(AND($B286=[1]rogério!$A287,[1]rogério!$B287=F$4),"ok","nok")</f>
        <v>nok</v>
      </c>
      <c r="G286" s="60" t="str">
        <f>IF(AND($B286=[1]rogério!$A287,[1]rogério!$B287=G$4),"ok","nok")</f>
        <v>nok</v>
      </c>
      <c r="H286" s="60" t="str">
        <f>IF(AND($B286=[1]rogério!$A287,[1]rogério!$B287=H$4),"ok","nok")</f>
        <v>nok</v>
      </c>
      <c r="I286" s="60" t="str">
        <f>IF(AND($B286=[1]rogério!$A287,[1]rogério!$B287=I$4),"ok","nok")</f>
        <v>nok</v>
      </c>
      <c r="J286" s="60" t="str">
        <f>IF(AND($B286=[1]rogério!$A287,[1]rogério!$B287=J$4),"ok","nok")</f>
        <v>nok</v>
      </c>
      <c r="K286" s="60" t="str">
        <f>IF(AND($B286=[1]rogério!$A287,[1]rogério!$B287=K$4),"ok","nok")</f>
        <v>nok</v>
      </c>
      <c r="L286" s="60" t="str">
        <f>IF(AND($B286=[1]rogério!$A287,[1]rogério!$B287=L$4),"ok","nok")</f>
        <v>ok</v>
      </c>
      <c r="M286" s="60" t="str">
        <f>IF(AND($B286=[1]rogério!$A287,[1]rogério!$B287=M$4),"ok","nok")</f>
        <v>nok</v>
      </c>
      <c r="N286" s="60" t="str">
        <f>IF(AND($B286=[1]rogério!$A287,[1]rogério!$B287=N$4),"ok","nok")</f>
        <v>nok</v>
      </c>
      <c r="O286" s="60" t="str">
        <f>IF(AND($B286=[1]rogério!$A287,[1]rogério!$B287=O$4),"ok","nok")</f>
        <v>nok</v>
      </c>
      <c r="P286" s="60" t="str">
        <f>IF(AND($B286=[1]rogério!$A287,[1]rogério!$B287=P$4),"ok","nok")</f>
        <v>nok</v>
      </c>
      <c r="Q286" s="60" t="str">
        <f>IF(AND($B286=[1]rogério!$A287,[1]rogério!$B287=Q$4),"ok","nok")</f>
        <v>nok</v>
      </c>
      <c r="R286" s="60" t="str">
        <f>IF(AND($B286=[1]rogério!$A287,[1]rogério!$B287=R$4),"ok","nok")</f>
        <v>nok</v>
      </c>
      <c r="S286" s="60" t="str">
        <f>IF(AND($B286=[1]rogério!$A287,[1]rogério!$B287=S$4),"ok","nok")</f>
        <v>nok</v>
      </c>
      <c r="T286" s="60" t="str">
        <f>IF(AND($B286=[1]rogério!$A287,[1]rogério!$B287=T$4),"ok","nok")</f>
        <v>nok</v>
      </c>
      <c r="U286" s="60" t="str">
        <f>IF(AND($B286=[1]rogério!$A287,[1]rogério!$B287=U$4),"ok","nok")</f>
        <v>nok</v>
      </c>
      <c r="V286" s="60" t="str">
        <f>IF(AND($B286=[1]rogério!$A287,[1]rogério!$B287=V$4),"ok","nok")</f>
        <v>nok</v>
      </c>
      <c r="W286" s="60" t="str">
        <f>IF(AND($B286=[1]rogério!$A287,[1]rogério!$B287=W$4),"ok","nok")</f>
        <v>nok</v>
      </c>
      <c r="X286" s="60" t="str">
        <f>IF(AND($B286=[1]rogério!$A287,[1]rogério!$B287=X$4),"ok","nok")</f>
        <v>nok</v>
      </c>
      <c r="Y286" s="105" t="s">
        <v>15</v>
      </c>
      <c r="Z286" s="106"/>
      <c r="AA286" s="106"/>
      <c r="AB286" s="107"/>
      <c r="AC286" s="40"/>
      <c r="AD286" s="40"/>
      <c r="AE286" s="48" t="str">
        <f t="shared" si="73"/>
        <v/>
      </c>
      <c r="AF286" s="48"/>
      <c r="AG286" s="48"/>
      <c r="AH286" s="89"/>
      <c r="AI286" s="49">
        <f t="shared" si="74"/>
        <v>0</v>
      </c>
      <c r="AJ286" s="49" t="str">
        <f t="shared" si="75"/>
        <v/>
      </c>
      <c r="AK286" s="49">
        <f t="shared" si="76"/>
        <v>1</v>
      </c>
      <c r="AL286" s="49" t="str">
        <f t="shared" si="77"/>
        <v/>
      </c>
      <c r="AM286" s="49">
        <f t="shared" si="78"/>
        <v>0</v>
      </c>
      <c r="AN286" s="49" t="str">
        <f t="shared" si="79"/>
        <v/>
      </c>
      <c r="AO286" s="49">
        <f t="shared" si="80"/>
        <v>0</v>
      </c>
      <c r="AP286" s="49" t="str">
        <f t="shared" si="81"/>
        <v/>
      </c>
      <c r="AQ286" s="49">
        <f t="shared" si="82"/>
        <v>0</v>
      </c>
      <c r="AR286" s="49" t="str">
        <f t="shared" si="83"/>
        <v/>
      </c>
      <c r="AV286" s="57"/>
      <c r="BF286" s="52"/>
    </row>
    <row r="287" spans="1:58" ht="30" customHeight="1" x14ac:dyDescent="0.35">
      <c r="A287" s="25" t="str">
        <f t="shared" si="85"/>
        <v>PT177 - PLATAFORMA DE ACESSO - FORQUILHA 2 - BÁSICO
TORRE B3PROJETO BÁSICO
ESTRUTURAS METÁLICAS</v>
      </c>
      <c r="B287" s="40" t="s">
        <v>43</v>
      </c>
      <c r="C287" s="60" t="str">
        <f>IF(AND($B287=[1]rogério!$A288,[1]rogério!$B288=C$4),"ok","nok")</f>
        <v>nok</v>
      </c>
      <c r="D287" s="60" t="str">
        <f>IF(AND($B287=[1]rogério!$A288,[1]rogério!$B288=D$4),"ok","nok")</f>
        <v>nok</v>
      </c>
      <c r="E287" s="60" t="str">
        <f>IF(AND($B287=[1]rogério!$A288,[1]rogério!$B288=E$4),"ok","nok")</f>
        <v>nok</v>
      </c>
      <c r="F287" s="60" t="str">
        <f>IF(AND($B287=[1]rogério!$A288,[1]rogério!$B288=F$4),"ok","nok")</f>
        <v>nok</v>
      </c>
      <c r="G287" s="60" t="str">
        <f>IF(AND($B287=[1]rogério!$A288,[1]rogério!$B288=G$4),"ok","nok")</f>
        <v>nok</v>
      </c>
      <c r="H287" s="60" t="str">
        <f>IF(AND($B287=[1]rogério!$A288,[1]rogério!$B288=H$4),"ok","nok")</f>
        <v>nok</v>
      </c>
      <c r="I287" s="60" t="str">
        <f>IF(AND($B287=[1]rogério!$A288,[1]rogério!$B288=I$4),"ok","nok")</f>
        <v>nok</v>
      </c>
      <c r="J287" s="60" t="str">
        <f>IF(AND($B287=[1]rogério!$A288,[1]rogério!$B288=J$4),"ok","nok")</f>
        <v>nok</v>
      </c>
      <c r="K287" s="60" t="str">
        <f>IF(AND($B287=[1]rogério!$A288,[1]rogério!$B288=K$4),"ok","nok")</f>
        <v>nok</v>
      </c>
      <c r="L287" s="60" t="str">
        <f>IF(AND($B287=[1]rogério!$A288,[1]rogério!$B288=L$4),"ok","nok")</f>
        <v>ok</v>
      </c>
      <c r="M287" s="60" t="str">
        <f>IF(AND($B287=[1]rogério!$A288,[1]rogério!$B288=M$4),"ok","nok")</f>
        <v>nok</v>
      </c>
      <c r="N287" s="60" t="str">
        <f>IF(AND($B287=[1]rogério!$A288,[1]rogério!$B288=N$4),"ok","nok")</f>
        <v>nok</v>
      </c>
      <c r="O287" s="60" t="str">
        <f>IF(AND($B287=[1]rogério!$A288,[1]rogério!$B288=O$4),"ok","nok")</f>
        <v>nok</v>
      </c>
      <c r="P287" s="60" t="str">
        <f>IF(AND($B287=[1]rogério!$A288,[1]rogério!$B288=P$4),"ok","nok")</f>
        <v>nok</v>
      </c>
      <c r="Q287" s="60" t="str">
        <f>IF(AND($B287=[1]rogério!$A288,[1]rogério!$B288=Q$4),"ok","nok")</f>
        <v>nok</v>
      </c>
      <c r="R287" s="60" t="str">
        <f>IF(AND($B287=[1]rogério!$A288,[1]rogério!$B288=R$4),"ok","nok")</f>
        <v>nok</v>
      </c>
      <c r="S287" s="60" t="str">
        <f>IF(AND($B287=[1]rogério!$A288,[1]rogério!$B288=S$4),"ok","nok")</f>
        <v>nok</v>
      </c>
      <c r="T287" s="60" t="str">
        <f>IF(AND($B287=[1]rogério!$A288,[1]rogério!$B288=T$4),"ok","nok")</f>
        <v>nok</v>
      </c>
      <c r="U287" s="60" t="str">
        <f>IF(AND($B287=[1]rogério!$A288,[1]rogério!$B288=U$4),"ok","nok")</f>
        <v>nok</v>
      </c>
      <c r="V287" s="60" t="str">
        <f>IF(AND($B287=[1]rogério!$A288,[1]rogério!$B288=V$4),"ok","nok")</f>
        <v>nok</v>
      </c>
      <c r="W287" s="60" t="str">
        <f>IF(AND($B287=[1]rogério!$A288,[1]rogério!$B288=W$4),"ok","nok")</f>
        <v>nok</v>
      </c>
      <c r="X287" s="60" t="str">
        <f>IF(AND($B287=[1]rogério!$A288,[1]rogério!$B288=X$4),"ok","nok")</f>
        <v>nok</v>
      </c>
      <c r="Y287" s="105" t="s">
        <v>15</v>
      </c>
      <c r="Z287" s="106"/>
      <c r="AA287" s="106"/>
      <c r="AB287" s="107"/>
      <c r="AC287" s="40"/>
      <c r="AD287" s="40"/>
      <c r="AE287" s="48" t="str">
        <f t="shared" si="73"/>
        <v/>
      </c>
      <c r="AF287" s="48"/>
      <c r="AG287" s="48"/>
      <c r="AH287" s="89"/>
      <c r="AI287" s="49">
        <f t="shared" si="74"/>
        <v>0</v>
      </c>
      <c r="AJ287" s="49" t="str">
        <f t="shared" si="75"/>
        <v/>
      </c>
      <c r="AK287" s="49">
        <f t="shared" si="76"/>
        <v>1</v>
      </c>
      <c r="AL287" s="49" t="str">
        <f t="shared" si="77"/>
        <v/>
      </c>
      <c r="AM287" s="49">
        <f t="shared" si="78"/>
        <v>0</v>
      </c>
      <c r="AN287" s="49" t="str">
        <f t="shared" si="79"/>
        <v/>
      </c>
      <c r="AO287" s="49">
        <f t="shared" si="80"/>
        <v>0</v>
      </c>
      <c r="AP287" s="49" t="str">
        <f t="shared" si="81"/>
        <v/>
      </c>
      <c r="AQ287" s="49">
        <f t="shared" si="82"/>
        <v>0</v>
      </c>
      <c r="AR287" s="49" t="str">
        <f t="shared" si="83"/>
        <v/>
      </c>
      <c r="AV287" s="57"/>
      <c r="BF287" s="52"/>
    </row>
    <row r="288" spans="1:58" ht="30" customHeight="1" x14ac:dyDescent="0.35">
      <c r="A288" s="25"/>
      <c r="B288" s="39" t="s">
        <v>62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108"/>
      <c r="Z288" s="109"/>
      <c r="AA288" s="109"/>
      <c r="AB288" s="110"/>
      <c r="AC288" s="40"/>
      <c r="AD288" s="40"/>
      <c r="AE288" s="48" t="str">
        <f t="shared" si="73"/>
        <v/>
      </c>
      <c r="AF288" s="48"/>
      <c r="AG288" s="48"/>
      <c r="AH288" s="89"/>
      <c r="AI288" s="49">
        <f t="shared" si="74"/>
        <v>0</v>
      </c>
      <c r="AJ288" s="49" t="str">
        <f t="shared" si="75"/>
        <v/>
      </c>
      <c r="AK288" s="49">
        <f t="shared" si="76"/>
        <v>0</v>
      </c>
      <c r="AL288" s="49" t="str">
        <f t="shared" si="77"/>
        <v/>
      </c>
      <c r="AM288" s="49">
        <f t="shared" si="78"/>
        <v>0</v>
      </c>
      <c r="AN288" s="49" t="str">
        <f t="shared" si="79"/>
        <v/>
      </c>
      <c r="AO288" s="49">
        <f t="shared" si="80"/>
        <v>0</v>
      </c>
      <c r="AP288" s="49" t="str">
        <f t="shared" si="81"/>
        <v/>
      </c>
      <c r="AQ288" s="49">
        <f t="shared" si="82"/>
        <v>0</v>
      </c>
      <c r="AR288" s="49" t="str">
        <f t="shared" si="83"/>
        <v/>
      </c>
      <c r="AV288" s="57"/>
      <c r="BF288" s="52"/>
    </row>
    <row r="289" spans="1:58" ht="30" customHeight="1" x14ac:dyDescent="0.35">
      <c r="A289" s="25" t="str">
        <f t="shared" ref="A289:A291" si="86">CONCATENATE($B$275,"
",$B$277,"",$B$278,"
",$B$279)</f>
        <v>PT177 - PLATAFORMA DE ACESSO - FORQUILHA 2 - BÁSICO
TORRE B3PROJETO BÁSICO
ESTRUTURAS METÁLICAS</v>
      </c>
      <c r="B289" s="40" t="s">
        <v>19</v>
      </c>
      <c r="C289" s="60" t="str">
        <f>IF(AND($B289=[1]rogério!$A290,[1]rogério!$B290=C$4),"ok","nok")</f>
        <v>nok</v>
      </c>
      <c r="D289" s="60" t="str">
        <f>IF(AND($B289=[1]rogério!$A290,[1]rogério!$B290=D$4),"ok","nok")</f>
        <v>nok</v>
      </c>
      <c r="E289" s="60" t="str">
        <f>IF(AND($B289=[1]rogério!$A290,[1]rogério!$B290=E$4),"ok","nok")</f>
        <v>nok</v>
      </c>
      <c r="F289" s="60" t="str">
        <f>IF(AND($B289=[1]rogério!$A290,[1]rogério!$B290=F$4),"ok","nok")</f>
        <v>nok</v>
      </c>
      <c r="G289" s="60" t="str">
        <f>IF(AND($B289=[1]rogério!$A290,[1]rogério!$B290=G$4),"ok","nok")</f>
        <v>nok</v>
      </c>
      <c r="H289" s="60" t="str">
        <f>IF(AND($B289=[1]rogério!$A290,[1]rogério!$B290=H$4),"ok","nok")</f>
        <v>nok</v>
      </c>
      <c r="I289" s="60" t="str">
        <f>IF(AND($B289=[1]rogério!$A290,[1]rogério!$B290=I$4),"ok","nok")</f>
        <v>ok</v>
      </c>
      <c r="J289" s="60" t="str">
        <f>IF(AND($B289=[1]rogério!$A290,[1]rogério!$B290=J$4),"ok","nok")</f>
        <v>nok</v>
      </c>
      <c r="K289" s="60" t="str">
        <f>IF(AND($B289=[1]rogério!$A290,[1]rogério!$B290=K$4),"ok","nok")</f>
        <v>nok</v>
      </c>
      <c r="L289" s="60" t="str">
        <f>IF(AND($B289=[1]rogério!$A290,[1]rogério!$B290=L$4),"ok","nok")</f>
        <v>nok</v>
      </c>
      <c r="M289" s="60" t="str">
        <f>IF(AND($B289=[1]rogério!$A290,[1]rogério!$B290=M$4),"ok","nok")</f>
        <v>nok</v>
      </c>
      <c r="N289" s="60" t="str">
        <f>IF(AND($B289=[1]rogério!$A290,[1]rogério!$B290=N$4),"ok","nok")</f>
        <v>nok</v>
      </c>
      <c r="O289" s="60" t="str">
        <f>IF(AND($B289=[1]rogério!$A290,[1]rogério!$B290=O$4),"ok","nok")</f>
        <v>nok</v>
      </c>
      <c r="P289" s="60" t="str">
        <f>IF(AND($B289=[1]rogério!$A290,[1]rogério!$B290=P$4),"ok","nok")</f>
        <v>nok</v>
      </c>
      <c r="Q289" s="60" t="str">
        <f>IF(AND($B289=[1]rogério!$A290,[1]rogério!$B290=Q$4),"ok","nok")</f>
        <v>nok</v>
      </c>
      <c r="R289" s="60" t="str">
        <f>IF(AND($B289=[1]rogério!$A290,[1]rogério!$B290=R$4),"ok","nok")</f>
        <v>nok</v>
      </c>
      <c r="S289" s="60" t="str">
        <f>IF(AND($B289=[1]rogério!$A290,[1]rogério!$B290=S$4),"ok","nok")</f>
        <v>nok</v>
      </c>
      <c r="T289" s="60" t="str">
        <f>IF(AND($B289=[1]rogério!$A290,[1]rogério!$B290=T$4),"ok","nok")</f>
        <v>nok</v>
      </c>
      <c r="U289" s="60" t="str">
        <f>IF(AND($B289=[1]rogério!$A290,[1]rogério!$B290=U$4),"ok","nok")</f>
        <v>nok</v>
      </c>
      <c r="V289" s="60" t="str">
        <f>IF(AND($B289=[1]rogério!$A290,[1]rogério!$B290=V$4),"ok","nok")</f>
        <v>nok</v>
      </c>
      <c r="W289" s="60" t="str">
        <f>IF(AND($B289=[1]rogério!$A290,[1]rogério!$B290=W$4),"ok","nok")</f>
        <v>nok</v>
      </c>
      <c r="X289" s="60" t="str">
        <f>IF(AND($B289=[1]rogério!$A290,[1]rogério!$B290=X$4),"ok","nok")</f>
        <v>nok</v>
      </c>
      <c r="Y289" s="105" t="s">
        <v>15</v>
      </c>
      <c r="Z289" s="106"/>
      <c r="AA289" s="106"/>
      <c r="AB289" s="107"/>
      <c r="AC289" s="40"/>
      <c r="AD289" s="40"/>
      <c r="AE289" s="48" t="str">
        <f t="shared" si="73"/>
        <v/>
      </c>
      <c r="AF289" s="48"/>
      <c r="AG289" s="48"/>
      <c r="AH289" s="89"/>
      <c r="AI289" s="49">
        <f t="shared" si="74"/>
        <v>0</v>
      </c>
      <c r="AJ289" s="49" t="str">
        <f t="shared" si="75"/>
        <v/>
      </c>
      <c r="AK289" s="49">
        <f t="shared" si="76"/>
        <v>1</v>
      </c>
      <c r="AL289" s="49" t="str">
        <f t="shared" si="77"/>
        <v/>
      </c>
      <c r="AM289" s="49">
        <f t="shared" si="78"/>
        <v>0</v>
      </c>
      <c r="AN289" s="49" t="str">
        <f t="shared" si="79"/>
        <v/>
      </c>
      <c r="AO289" s="49">
        <f t="shared" si="80"/>
        <v>0</v>
      </c>
      <c r="AP289" s="49" t="str">
        <f t="shared" si="81"/>
        <v/>
      </c>
      <c r="AQ289" s="49">
        <f t="shared" si="82"/>
        <v>0</v>
      </c>
      <c r="AR289" s="49" t="str">
        <f t="shared" si="83"/>
        <v/>
      </c>
      <c r="AV289" s="57"/>
      <c r="BF289" s="52"/>
    </row>
    <row r="290" spans="1:58" ht="30" customHeight="1" x14ac:dyDescent="0.35">
      <c r="A290" s="25" t="str">
        <f t="shared" si="86"/>
        <v>PT177 - PLATAFORMA DE ACESSO - FORQUILHA 2 - BÁSICO
TORRE B3PROJETO BÁSICO
ESTRUTURAS METÁLICAS</v>
      </c>
      <c r="B290" s="40" t="s">
        <v>42</v>
      </c>
      <c r="C290" s="60" t="str">
        <f>IF(AND($B290=[1]rogério!$A291,[1]rogério!$B291=C$4),"ok","nok")</f>
        <v>nok</v>
      </c>
      <c r="D290" s="60" t="str">
        <f>IF(AND($B290=[1]rogério!$A291,[1]rogério!$B291=D$4),"ok","nok")</f>
        <v>nok</v>
      </c>
      <c r="E290" s="60" t="str">
        <f>IF(AND($B290=[1]rogério!$A291,[1]rogério!$B291=E$4),"ok","nok")</f>
        <v>nok</v>
      </c>
      <c r="F290" s="60" t="str">
        <f>IF(AND($B290=[1]rogério!$A291,[1]rogério!$B291=F$4),"ok","nok")</f>
        <v>nok</v>
      </c>
      <c r="G290" s="60" t="str">
        <f>IF(AND($B290=[1]rogério!$A291,[1]rogério!$B291=G$4),"ok","nok")</f>
        <v>nok</v>
      </c>
      <c r="H290" s="60" t="str">
        <f>IF(AND($B290=[1]rogério!$A291,[1]rogério!$B291=H$4),"ok","nok")</f>
        <v>nok</v>
      </c>
      <c r="I290" s="60" t="str">
        <f>IF(AND($B290=[1]rogério!$A291,[1]rogério!$B291=I$4),"ok","nok")</f>
        <v>nok</v>
      </c>
      <c r="J290" s="60" t="str">
        <f>IF(AND($B290=[1]rogério!$A291,[1]rogério!$B291=J$4),"ok","nok")</f>
        <v>nok</v>
      </c>
      <c r="K290" s="60" t="str">
        <f>IF(AND($B290=[1]rogério!$A291,[1]rogério!$B291=K$4),"ok","nok")</f>
        <v>nok</v>
      </c>
      <c r="L290" s="60" t="str">
        <f>IF(AND($B290=[1]rogério!$A291,[1]rogério!$B291=L$4),"ok","nok")</f>
        <v>ok</v>
      </c>
      <c r="M290" s="60" t="str">
        <f>IF(AND($B290=[1]rogério!$A291,[1]rogério!$B291=M$4),"ok","nok")</f>
        <v>nok</v>
      </c>
      <c r="N290" s="60" t="str">
        <f>IF(AND($B290=[1]rogério!$A291,[1]rogério!$B291=N$4),"ok","nok")</f>
        <v>nok</v>
      </c>
      <c r="O290" s="60" t="str">
        <f>IF(AND($B290=[1]rogério!$A291,[1]rogério!$B291=O$4),"ok","nok")</f>
        <v>nok</v>
      </c>
      <c r="P290" s="60" t="str">
        <f>IF(AND($B290=[1]rogério!$A291,[1]rogério!$B291=P$4),"ok","nok")</f>
        <v>nok</v>
      </c>
      <c r="Q290" s="60" t="str">
        <f>IF(AND($B290=[1]rogério!$A291,[1]rogério!$B291=Q$4),"ok","nok")</f>
        <v>nok</v>
      </c>
      <c r="R290" s="60" t="str">
        <f>IF(AND($B290=[1]rogério!$A291,[1]rogério!$B291=R$4),"ok","nok")</f>
        <v>nok</v>
      </c>
      <c r="S290" s="60" t="str">
        <f>IF(AND($B290=[1]rogério!$A291,[1]rogério!$B291=S$4),"ok","nok")</f>
        <v>nok</v>
      </c>
      <c r="T290" s="60" t="str">
        <f>IF(AND($B290=[1]rogério!$A291,[1]rogério!$B291=T$4),"ok","nok")</f>
        <v>nok</v>
      </c>
      <c r="U290" s="60" t="str">
        <f>IF(AND($B290=[1]rogério!$A291,[1]rogério!$B291=U$4),"ok","nok")</f>
        <v>nok</v>
      </c>
      <c r="V290" s="60" t="str">
        <f>IF(AND($B290=[1]rogério!$A291,[1]rogério!$B291=V$4),"ok","nok")</f>
        <v>nok</v>
      </c>
      <c r="W290" s="60" t="str">
        <f>IF(AND($B290=[1]rogério!$A291,[1]rogério!$B291=W$4),"ok","nok")</f>
        <v>nok</v>
      </c>
      <c r="X290" s="60" t="str">
        <f>IF(AND($B290=[1]rogério!$A291,[1]rogério!$B291=X$4),"ok","nok")</f>
        <v>nok</v>
      </c>
      <c r="Y290" s="105" t="s">
        <v>15</v>
      </c>
      <c r="Z290" s="106"/>
      <c r="AA290" s="106"/>
      <c r="AB290" s="107"/>
      <c r="AC290" s="40"/>
      <c r="AD290" s="40"/>
      <c r="AE290" s="48" t="str">
        <f t="shared" si="73"/>
        <v/>
      </c>
      <c r="AF290" s="48"/>
      <c r="AG290" s="48"/>
      <c r="AH290" s="89"/>
      <c r="AI290" s="49">
        <f t="shared" si="74"/>
        <v>0</v>
      </c>
      <c r="AJ290" s="49" t="str">
        <f t="shared" si="75"/>
        <v/>
      </c>
      <c r="AK290" s="49">
        <f t="shared" si="76"/>
        <v>1</v>
      </c>
      <c r="AL290" s="49" t="str">
        <f t="shared" si="77"/>
        <v/>
      </c>
      <c r="AM290" s="49">
        <f t="shared" si="78"/>
        <v>0</v>
      </c>
      <c r="AN290" s="49" t="str">
        <f t="shared" si="79"/>
        <v/>
      </c>
      <c r="AO290" s="49">
        <f t="shared" si="80"/>
        <v>0</v>
      </c>
      <c r="AP290" s="49" t="str">
        <f t="shared" si="81"/>
        <v/>
      </c>
      <c r="AQ290" s="49">
        <f t="shared" si="82"/>
        <v>0</v>
      </c>
      <c r="AR290" s="49" t="str">
        <f t="shared" si="83"/>
        <v/>
      </c>
      <c r="AV290" s="57"/>
      <c r="BF290" s="52"/>
    </row>
    <row r="291" spans="1:58" ht="30" customHeight="1" x14ac:dyDescent="0.35">
      <c r="A291" s="25" t="str">
        <f t="shared" si="86"/>
        <v>PT177 - PLATAFORMA DE ACESSO - FORQUILHA 2 - BÁSICO
TORRE B3PROJETO BÁSICO
ESTRUTURAS METÁLICAS</v>
      </c>
      <c r="B291" s="40" t="s">
        <v>43</v>
      </c>
      <c r="C291" s="60" t="str">
        <f>IF(AND($B291=[1]rogério!$A292,[1]rogério!$B292=C$4),"ok","nok")</f>
        <v>nok</v>
      </c>
      <c r="D291" s="60" t="str">
        <f>IF(AND($B291=[1]rogério!$A292,[1]rogério!$B292=D$4),"ok","nok")</f>
        <v>nok</v>
      </c>
      <c r="E291" s="60" t="str">
        <f>IF(AND($B291=[1]rogério!$A292,[1]rogério!$B292=E$4),"ok","nok")</f>
        <v>nok</v>
      </c>
      <c r="F291" s="60" t="str">
        <f>IF(AND($B291=[1]rogério!$A292,[1]rogério!$B292=F$4),"ok","nok")</f>
        <v>nok</v>
      </c>
      <c r="G291" s="60" t="str">
        <f>IF(AND($B291=[1]rogério!$A292,[1]rogério!$B292=G$4),"ok","nok")</f>
        <v>nok</v>
      </c>
      <c r="H291" s="60" t="str">
        <f>IF(AND($B291=[1]rogério!$A292,[1]rogério!$B292=H$4),"ok","nok")</f>
        <v>nok</v>
      </c>
      <c r="I291" s="60" t="str">
        <f>IF(AND($B291=[1]rogério!$A292,[1]rogério!$B292=I$4),"ok","nok")</f>
        <v>nok</v>
      </c>
      <c r="J291" s="60" t="str">
        <f>IF(AND($B291=[1]rogério!$A292,[1]rogério!$B292=J$4),"ok","nok")</f>
        <v>nok</v>
      </c>
      <c r="K291" s="60" t="str">
        <f>IF(AND($B291=[1]rogério!$A292,[1]rogério!$B292=K$4),"ok","nok")</f>
        <v>nok</v>
      </c>
      <c r="L291" s="60" t="str">
        <f>IF(AND($B291=[1]rogério!$A292,[1]rogério!$B292=L$4),"ok","nok")</f>
        <v>ok</v>
      </c>
      <c r="M291" s="60" t="str">
        <f>IF(AND($B291=[1]rogério!$A292,[1]rogério!$B292=M$4),"ok","nok")</f>
        <v>nok</v>
      </c>
      <c r="N291" s="60" t="str">
        <f>IF(AND($B291=[1]rogério!$A292,[1]rogério!$B292=N$4),"ok","nok")</f>
        <v>nok</v>
      </c>
      <c r="O291" s="60" t="str">
        <f>IF(AND($B291=[1]rogério!$A292,[1]rogério!$B292=O$4),"ok","nok")</f>
        <v>nok</v>
      </c>
      <c r="P291" s="60" t="str">
        <f>IF(AND($B291=[1]rogério!$A292,[1]rogério!$B292=P$4),"ok","nok")</f>
        <v>nok</v>
      </c>
      <c r="Q291" s="60" t="str">
        <f>IF(AND($B291=[1]rogério!$A292,[1]rogério!$B292=Q$4),"ok","nok")</f>
        <v>nok</v>
      </c>
      <c r="R291" s="60" t="str">
        <f>IF(AND($B291=[1]rogério!$A292,[1]rogério!$B292=R$4),"ok","nok")</f>
        <v>nok</v>
      </c>
      <c r="S291" s="60" t="str">
        <f>IF(AND($B291=[1]rogério!$A292,[1]rogério!$B292=S$4),"ok","nok")</f>
        <v>nok</v>
      </c>
      <c r="T291" s="60" t="str">
        <f>IF(AND($B291=[1]rogério!$A292,[1]rogério!$B292=T$4),"ok","nok")</f>
        <v>nok</v>
      </c>
      <c r="U291" s="60" t="str">
        <f>IF(AND($B291=[1]rogério!$A292,[1]rogério!$B292=U$4),"ok","nok")</f>
        <v>nok</v>
      </c>
      <c r="V291" s="60" t="str">
        <f>IF(AND($B291=[1]rogério!$A292,[1]rogério!$B292=V$4),"ok","nok")</f>
        <v>nok</v>
      </c>
      <c r="W291" s="60" t="str">
        <f>IF(AND($B291=[1]rogério!$A292,[1]rogério!$B292=W$4),"ok","nok")</f>
        <v>nok</v>
      </c>
      <c r="X291" s="60" t="str">
        <f>IF(AND($B291=[1]rogério!$A292,[1]rogério!$B292=X$4),"ok","nok")</f>
        <v>nok</v>
      </c>
      <c r="Y291" s="105" t="s">
        <v>15</v>
      </c>
      <c r="Z291" s="106"/>
      <c r="AA291" s="106"/>
      <c r="AB291" s="107"/>
      <c r="AC291" s="40"/>
      <c r="AD291" s="40"/>
      <c r="AE291" s="48" t="str">
        <f t="shared" si="73"/>
        <v/>
      </c>
      <c r="AF291" s="48"/>
      <c r="AG291" s="48"/>
      <c r="AH291" s="89"/>
      <c r="AI291" s="49">
        <f t="shared" si="74"/>
        <v>0</v>
      </c>
      <c r="AJ291" s="49" t="str">
        <f t="shared" si="75"/>
        <v/>
      </c>
      <c r="AK291" s="49">
        <f t="shared" si="76"/>
        <v>1</v>
      </c>
      <c r="AL291" s="49" t="str">
        <f t="shared" si="77"/>
        <v/>
      </c>
      <c r="AM291" s="49">
        <f t="shared" si="78"/>
        <v>0</v>
      </c>
      <c r="AN291" s="49" t="str">
        <f t="shared" si="79"/>
        <v/>
      </c>
      <c r="AO291" s="49">
        <f t="shared" si="80"/>
        <v>0</v>
      </c>
      <c r="AP291" s="49" t="str">
        <f t="shared" si="81"/>
        <v/>
      </c>
      <c r="AQ291" s="49">
        <f t="shared" si="82"/>
        <v>0</v>
      </c>
      <c r="AR291" s="49" t="str">
        <f t="shared" si="83"/>
        <v/>
      </c>
      <c r="AV291" s="57"/>
      <c r="BF291" s="52"/>
    </row>
    <row r="292" spans="1:58" ht="30" customHeight="1" x14ac:dyDescent="0.35">
      <c r="A292" s="25"/>
      <c r="B292" s="39" t="s">
        <v>63</v>
      </c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108"/>
      <c r="Z292" s="109"/>
      <c r="AA292" s="109"/>
      <c r="AB292" s="110"/>
      <c r="AC292" s="40"/>
      <c r="AD292" s="40"/>
      <c r="AE292" s="48" t="str">
        <f t="shared" si="73"/>
        <v/>
      </c>
      <c r="AF292" s="48"/>
      <c r="AG292" s="48"/>
      <c r="AH292" s="89"/>
      <c r="AI292" s="49">
        <f t="shared" si="74"/>
        <v>0</v>
      </c>
      <c r="AJ292" s="49" t="str">
        <f t="shared" si="75"/>
        <v/>
      </c>
      <c r="AK292" s="49">
        <f t="shared" si="76"/>
        <v>0</v>
      </c>
      <c r="AL292" s="49" t="str">
        <f t="shared" si="77"/>
        <v/>
      </c>
      <c r="AM292" s="49">
        <f t="shared" si="78"/>
        <v>0</v>
      </c>
      <c r="AN292" s="49" t="str">
        <f t="shared" si="79"/>
        <v/>
      </c>
      <c r="AO292" s="49">
        <f t="shared" si="80"/>
        <v>0</v>
      </c>
      <c r="AP292" s="49" t="str">
        <f t="shared" si="81"/>
        <v/>
      </c>
      <c r="AQ292" s="49">
        <f t="shared" si="82"/>
        <v>0</v>
      </c>
      <c r="AR292" s="49" t="str">
        <f t="shared" si="83"/>
        <v/>
      </c>
      <c r="AV292" s="57"/>
      <c r="BF292" s="52"/>
    </row>
    <row r="293" spans="1:58" ht="30" customHeight="1" x14ac:dyDescent="0.35">
      <c r="A293" s="25" t="str">
        <f t="shared" ref="A293:A295" si="87">CONCATENATE($B$275,"
",$B$277,"",$B$278,"
",$B$279)</f>
        <v>PT177 - PLATAFORMA DE ACESSO - FORQUILHA 2 - BÁSICO
TORRE B3PROJETO BÁSICO
ESTRUTURAS METÁLICAS</v>
      </c>
      <c r="B293" s="40" t="s">
        <v>19</v>
      </c>
      <c r="C293" s="60" t="str">
        <f>IF(AND($B293=[1]rogério!$A294,[1]rogério!$B294=C$4),"ok","nok")</f>
        <v>nok</v>
      </c>
      <c r="D293" s="60" t="str">
        <f>IF(AND($B293=[1]rogério!$A294,[1]rogério!$B294=D$4),"ok","nok")</f>
        <v>nok</v>
      </c>
      <c r="E293" s="60" t="str">
        <f>IF(AND($B293=[1]rogério!$A294,[1]rogério!$B294=E$4),"ok","nok")</f>
        <v>nok</v>
      </c>
      <c r="F293" s="60" t="str">
        <f>IF(AND($B293=[1]rogério!$A294,[1]rogério!$B294=F$4),"ok","nok")</f>
        <v>nok</v>
      </c>
      <c r="G293" s="60" t="str">
        <f>IF(AND($B293=[1]rogério!$A294,[1]rogério!$B294=G$4),"ok","nok")</f>
        <v>nok</v>
      </c>
      <c r="H293" s="60" t="str">
        <f>IF(AND($B293=[1]rogério!$A294,[1]rogério!$B294=H$4),"ok","nok")</f>
        <v>nok</v>
      </c>
      <c r="I293" s="60" t="str">
        <f>IF(AND($B293=[1]rogério!$A294,[1]rogério!$B294=I$4),"ok","nok")</f>
        <v>ok</v>
      </c>
      <c r="J293" s="60" t="str">
        <f>IF(AND($B293=[1]rogério!$A294,[1]rogério!$B294=J$4),"ok","nok")</f>
        <v>nok</v>
      </c>
      <c r="K293" s="60" t="str">
        <f>IF(AND($B293=[1]rogério!$A294,[1]rogério!$B294=K$4),"ok","nok")</f>
        <v>nok</v>
      </c>
      <c r="L293" s="60" t="str">
        <f>IF(AND($B293=[1]rogério!$A294,[1]rogério!$B294=L$4),"ok","nok")</f>
        <v>nok</v>
      </c>
      <c r="M293" s="60" t="str">
        <f>IF(AND($B293=[1]rogério!$A294,[1]rogério!$B294=M$4),"ok","nok")</f>
        <v>nok</v>
      </c>
      <c r="N293" s="60" t="str">
        <f>IF(AND($B293=[1]rogério!$A294,[1]rogério!$B294=N$4),"ok","nok")</f>
        <v>nok</v>
      </c>
      <c r="O293" s="60" t="str">
        <f>IF(AND($B293=[1]rogério!$A294,[1]rogério!$B294=O$4),"ok","nok")</f>
        <v>nok</v>
      </c>
      <c r="P293" s="60" t="str">
        <f>IF(AND($B293=[1]rogério!$A294,[1]rogério!$B294=P$4),"ok","nok")</f>
        <v>nok</v>
      </c>
      <c r="Q293" s="60" t="str">
        <f>IF(AND($B293=[1]rogério!$A294,[1]rogério!$B294=Q$4),"ok","nok")</f>
        <v>nok</v>
      </c>
      <c r="R293" s="60" t="str">
        <f>IF(AND($B293=[1]rogério!$A294,[1]rogério!$B294=R$4),"ok","nok")</f>
        <v>nok</v>
      </c>
      <c r="S293" s="60" t="str">
        <f>IF(AND($B293=[1]rogério!$A294,[1]rogério!$B294=S$4),"ok","nok")</f>
        <v>nok</v>
      </c>
      <c r="T293" s="60" t="str">
        <f>IF(AND($B293=[1]rogério!$A294,[1]rogério!$B294=T$4),"ok","nok")</f>
        <v>nok</v>
      </c>
      <c r="U293" s="60" t="str">
        <f>IF(AND($B293=[1]rogério!$A294,[1]rogério!$B294=U$4),"ok","nok")</f>
        <v>nok</v>
      </c>
      <c r="V293" s="60" t="str">
        <f>IF(AND($B293=[1]rogério!$A294,[1]rogério!$B294=V$4),"ok","nok")</f>
        <v>nok</v>
      </c>
      <c r="W293" s="60" t="str">
        <f>IF(AND($B293=[1]rogério!$A294,[1]rogério!$B294=W$4),"ok","nok")</f>
        <v>nok</v>
      </c>
      <c r="X293" s="60" t="str">
        <f>IF(AND($B293=[1]rogério!$A294,[1]rogério!$B294=X$4),"ok","nok")</f>
        <v>nok</v>
      </c>
      <c r="Y293" s="105" t="s">
        <v>15</v>
      </c>
      <c r="Z293" s="106"/>
      <c r="AA293" s="106"/>
      <c r="AB293" s="107"/>
      <c r="AC293" s="40"/>
      <c r="AD293" s="40"/>
      <c r="AE293" s="48" t="str">
        <f t="shared" si="73"/>
        <v/>
      </c>
      <c r="AF293" s="48"/>
      <c r="AG293" s="48"/>
      <c r="AH293" s="89"/>
      <c r="AI293" s="49">
        <f t="shared" si="74"/>
        <v>0</v>
      </c>
      <c r="AJ293" s="49" t="str">
        <f t="shared" si="75"/>
        <v/>
      </c>
      <c r="AK293" s="49">
        <f t="shared" si="76"/>
        <v>1</v>
      </c>
      <c r="AL293" s="49" t="str">
        <f t="shared" si="77"/>
        <v/>
      </c>
      <c r="AM293" s="49">
        <f t="shared" si="78"/>
        <v>0</v>
      </c>
      <c r="AN293" s="49" t="str">
        <f t="shared" si="79"/>
        <v/>
      </c>
      <c r="AO293" s="49">
        <f t="shared" si="80"/>
        <v>0</v>
      </c>
      <c r="AP293" s="49" t="str">
        <f t="shared" si="81"/>
        <v/>
      </c>
      <c r="AQ293" s="49">
        <f t="shared" si="82"/>
        <v>0</v>
      </c>
      <c r="AR293" s="49" t="str">
        <f t="shared" si="83"/>
        <v/>
      </c>
      <c r="AV293" s="57"/>
      <c r="BF293" s="52"/>
    </row>
    <row r="294" spans="1:58" ht="30" customHeight="1" x14ac:dyDescent="0.35">
      <c r="A294" s="25" t="str">
        <f t="shared" si="87"/>
        <v>PT177 - PLATAFORMA DE ACESSO - FORQUILHA 2 - BÁSICO
TORRE B3PROJETO BÁSICO
ESTRUTURAS METÁLICAS</v>
      </c>
      <c r="B294" s="40" t="s">
        <v>42</v>
      </c>
      <c r="C294" s="60" t="str">
        <f>IF(AND($B294=[1]rogério!$A295,[1]rogério!$B295=C$4),"ok","nok")</f>
        <v>nok</v>
      </c>
      <c r="D294" s="60" t="str">
        <f>IF(AND($B294=[1]rogério!$A295,[1]rogério!$B295=D$4),"ok","nok")</f>
        <v>nok</v>
      </c>
      <c r="E294" s="60" t="str">
        <f>IF(AND($B294=[1]rogério!$A295,[1]rogério!$B295=E$4),"ok","nok")</f>
        <v>nok</v>
      </c>
      <c r="F294" s="60" t="str">
        <f>IF(AND($B294=[1]rogério!$A295,[1]rogério!$B295=F$4),"ok","nok")</f>
        <v>nok</v>
      </c>
      <c r="G294" s="60" t="str">
        <f>IF(AND($B294=[1]rogério!$A295,[1]rogério!$B295=G$4),"ok","nok")</f>
        <v>nok</v>
      </c>
      <c r="H294" s="60" t="str">
        <f>IF(AND($B294=[1]rogério!$A295,[1]rogério!$B295=H$4),"ok","nok")</f>
        <v>nok</v>
      </c>
      <c r="I294" s="60" t="str">
        <f>IF(AND($B294=[1]rogério!$A295,[1]rogério!$B295=I$4),"ok","nok")</f>
        <v>nok</v>
      </c>
      <c r="J294" s="60" t="str">
        <f>IF(AND($B294=[1]rogério!$A295,[1]rogério!$B295=J$4),"ok","nok")</f>
        <v>nok</v>
      </c>
      <c r="K294" s="60" t="str">
        <f>IF(AND($B294=[1]rogério!$A295,[1]rogério!$B295=K$4),"ok","nok")</f>
        <v>nok</v>
      </c>
      <c r="L294" s="60" t="str">
        <f>IF(AND($B294=[1]rogério!$A295,[1]rogério!$B295=L$4),"ok","nok")</f>
        <v>ok</v>
      </c>
      <c r="M294" s="60" t="str">
        <f>IF(AND($B294=[1]rogério!$A295,[1]rogério!$B295=M$4),"ok","nok")</f>
        <v>nok</v>
      </c>
      <c r="N294" s="60" t="str">
        <f>IF(AND($B294=[1]rogério!$A295,[1]rogério!$B295=N$4),"ok","nok")</f>
        <v>nok</v>
      </c>
      <c r="O294" s="60" t="str">
        <f>IF(AND($B294=[1]rogério!$A295,[1]rogério!$B295=O$4),"ok","nok")</f>
        <v>nok</v>
      </c>
      <c r="P294" s="60" t="str">
        <f>IF(AND($B294=[1]rogério!$A295,[1]rogério!$B295=P$4),"ok","nok")</f>
        <v>nok</v>
      </c>
      <c r="Q294" s="60" t="str">
        <f>IF(AND($B294=[1]rogério!$A295,[1]rogério!$B295=Q$4),"ok","nok")</f>
        <v>nok</v>
      </c>
      <c r="R294" s="60" t="str">
        <f>IF(AND($B294=[1]rogério!$A295,[1]rogério!$B295=R$4),"ok","nok")</f>
        <v>nok</v>
      </c>
      <c r="S294" s="60" t="str">
        <f>IF(AND($B294=[1]rogério!$A295,[1]rogério!$B295=S$4),"ok","nok")</f>
        <v>nok</v>
      </c>
      <c r="T294" s="60" t="str">
        <f>IF(AND($B294=[1]rogério!$A295,[1]rogério!$B295=T$4),"ok","nok")</f>
        <v>nok</v>
      </c>
      <c r="U294" s="60" t="str">
        <f>IF(AND($B294=[1]rogério!$A295,[1]rogério!$B295=U$4),"ok","nok")</f>
        <v>nok</v>
      </c>
      <c r="V294" s="60" t="str">
        <f>IF(AND($B294=[1]rogério!$A295,[1]rogério!$B295=V$4),"ok","nok")</f>
        <v>nok</v>
      </c>
      <c r="W294" s="60" t="str">
        <f>IF(AND($B294=[1]rogério!$A295,[1]rogério!$B295=W$4),"ok","nok")</f>
        <v>nok</v>
      </c>
      <c r="X294" s="60" t="str">
        <f>IF(AND($B294=[1]rogério!$A295,[1]rogério!$B295=X$4),"ok","nok")</f>
        <v>nok</v>
      </c>
      <c r="Y294" s="105" t="s">
        <v>15</v>
      </c>
      <c r="Z294" s="106"/>
      <c r="AA294" s="106"/>
      <c r="AB294" s="107"/>
      <c r="AC294" s="40"/>
      <c r="AD294" s="40"/>
      <c r="AE294" s="48" t="str">
        <f t="shared" si="73"/>
        <v/>
      </c>
      <c r="AF294" s="48"/>
      <c r="AG294" s="48"/>
      <c r="AH294" s="89"/>
      <c r="AI294" s="49">
        <f t="shared" si="74"/>
        <v>0</v>
      </c>
      <c r="AJ294" s="49" t="str">
        <f t="shared" si="75"/>
        <v/>
      </c>
      <c r="AK294" s="49">
        <f t="shared" si="76"/>
        <v>1</v>
      </c>
      <c r="AL294" s="49" t="str">
        <f t="shared" si="77"/>
        <v/>
      </c>
      <c r="AM294" s="49">
        <f t="shared" si="78"/>
        <v>0</v>
      </c>
      <c r="AN294" s="49" t="str">
        <f t="shared" si="79"/>
        <v/>
      </c>
      <c r="AO294" s="49">
        <f t="shared" si="80"/>
        <v>0</v>
      </c>
      <c r="AP294" s="49" t="str">
        <f t="shared" si="81"/>
        <v/>
      </c>
      <c r="AQ294" s="49">
        <f t="shared" si="82"/>
        <v>0</v>
      </c>
      <c r="AR294" s="49" t="str">
        <f t="shared" si="83"/>
        <v/>
      </c>
      <c r="AV294" s="56"/>
      <c r="BB294">
        <f>COUNTIF(AE15:AE725,AV294)</f>
        <v>0</v>
      </c>
      <c r="BF294" s="52">
        <f t="shared" si="23"/>
        <v>0</v>
      </c>
    </row>
    <row r="295" spans="1:58" ht="30" customHeight="1" x14ac:dyDescent="0.35">
      <c r="A295" s="25" t="str">
        <f t="shared" si="87"/>
        <v>PT177 - PLATAFORMA DE ACESSO - FORQUILHA 2 - BÁSICO
TORRE B3PROJETO BÁSICO
ESTRUTURAS METÁLICAS</v>
      </c>
      <c r="B295" s="40" t="s">
        <v>43</v>
      </c>
      <c r="C295" s="60" t="str">
        <f>IF(AND($B295=[1]rogério!$A296,[1]rogério!$B296=C$4),"ok","nok")</f>
        <v>nok</v>
      </c>
      <c r="D295" s="60" t="str">
        <f>IF(AND($B295=[1]rogério!$A296,[1]rogério!$B296=D$4),"ok","nok")</f>
        <v>nok</v>
      </c>
      <c r="E295" s="60" t="str">
        <f>IF(AND($B295=[1]rogério!$A296,[1]rogério!$B296=E$4),"ok","nok")</f>
        <v>nok</v>
      </c>
      <c r="F295" s="60" t="str">
        <f>IF(AND($B295=[1]rogério!$A296,[1]rogério!$B296=F$4),"ok","nok")</f>
        <v>nok</v>
      </c>
      <c r="G295" s="60" t="str">
        <f>IF(AND($B295=[1]rogério!$A296,[1]rogério!$B296=G$4),"ok","nok")</f>
        <v>nok</v>
      </c>
      <c r="H295" s="60" t="str">
        <f>IF(AND($B295=[1]rogério!$A296,[1]rogério!$B296=H$4),"ok","nok")</f>
        <v>nok</v>
      </c>
      <c r="I295" s="60" t="str">
        <f>IF(AND($B295=[1]rogério!$A296,[1]rogério!$B296=I$4),"ok","nok")</f>
        <v>nok</v>
      </c>
      <c r="J295" s="60" t="str">
        <f>IF(AND($B295=[1]rogério!$A296,[1]rogério!$B296=J$4),"ok","nok")</f>
        <v>nok</v>
      </c>
      <c r="K295" s="60" t="str">
        <f>IF(AND($B295=[1]rogério!$A296,[1]rogério!$B296=K$4),"ok","nok")</f>
        <v>nok</v>
      </c>
      <c r="L295" s="60" t="str">
        <f>IF(AND($B295=[1]rogério!$A296,[1]rogério!$B296=L$4),"ok","nok")</f>
        <v>ok</v>
      </c>
      <c r="M295" s="60" t="str">
        <f>IF(AND($B295=[1]rogério!$A296,[1]rogério!$B296=M$4),"ok","nok")</f>
        <v>nok</v>
      </c>
      <c r="N295" s="60" t="str">
        <f>IF(AND($B295=[1]rogério!$A296,[1]rogério!$B296=N$4),"ok","nok")</f>
        <v>nok</v>
      </c>
      <c r="O295" s="60" t="str">
        <f>IF(AND($B295=[1]rogério!$A296,[1]rogério!$B296=O$4),"ok","nok")</f>
        <v>nok</v>
      </c>
      <c r="P295" s="60" t="str">
        <f>IF(AND($B295=[1]rogério!$A296,[1]rogério!$B296=P$4),"ok","nok")</f>
        <v>nok</v>
      </c>
      <c r="Q295" s="60" t="str">
        <f>IF(AND($B295=[1]rogério!$A296,[1]rogério!$B296=Q$4),"ok","nok")</f>
        <v>nok</v>
      </c>
      <c r="R295" s="60" t="str">
        <f>IF(AND($B295=[1]rogério!$A296,[1]rogério!$B296=R$4),"ok","nok")</f>
        <v>nok</v>
      </c>
      <c r="S295" s="60" t="str">
        <f>IF(AND($B295=[1]rogério!$A296,[1]rogério!$B296=S$4),"ok","nok")</f>
        <v>nok</v>
      </c>
      <c r="T295" s="60" t="str">
        <f>IF(AND($B295=[1]rogério!$A296,[1]rogério!$B296=T$4),"ok","nok")</f>
        <v>nok</v>
      </c>
      <c r="U295" s="60" t="str">
        <f>IF(AND($B295=[1]rogério!$A296,[1]rogério!$B296=U$4),"ok","nok")</f>
        <v>nok</v>
      </c>
      <c r="V295" s="60" t="str">
        <f>IF(AND($B295=[1]rogério!$A296,[1]rogério!$B296=V$4),"ok","nok")</f>
        <v>nok</v>
      </c>
      <c r="W295" s="60" t="str">
        <f>IF(AND($B295=[1]rogério!$A296,[1]rogério!$B296=W$4),"ok","nok")</f>
        <v>nok</v>
      </c>
      <c r="X295" s="60" t="str">
        <f>IF(AND($B295=[1]rogério!$A296,[1]rogério!$B296=X$4),"ok","nok")</f>
        <v>nok</v>
      </c>
      <c r="Y295" s="105" t="s">
        <v>15</v>
      </c>
      <c r="Z295" s="106"/>
      <c r="AA295" s="106"/>
      <c r="AB295" s="107"/>
      <c r="AC295" s="46"/>
      <c r="AD295" s="46"/>
      <c r="AE295" s="48" t="str">
        <f t="shared" si="73"/>
        <v/>
      </c>
      <c r="AF295" s="48"/>
      <c r="AG295" s="48"/>
      <c r="AH295" s="89"/>
      <c r="AI295" s="49">
        <f t="shared" si="74"/>
        <v>0</v>
      </c>
      <c r="AJ295" s="49" t="str">
        <f t="shared" si="75"/>
        <v/>
      </c>
      <c r="AK295" s="49">
        <f t="shared" si="76"/>
        <v>1</v>
      </c>
      <c r="AL295" s="49" t="str">
        <f t="shared" si="77"/>
        <v/>
      </c>
      <c r="AM295" s="49">
        <f t="shared" si="78"/>
        <v>0</v>
      </c>
      <c r="AN295" s="49" t="str">
        <f t="shared" si="79"/>
        <v/>
      </c>
      <c r="AO295" s="49">
        <f t="shared" si="80"/>
        <v>0</v>
      </c>
      <c r="AP295" s="49" t="str">
        <f t="shared" si="81"/>
        <v/>
      </c>
      <c r="AQ295" s="49">
        <f t="shared" si="82"/>
        <v>0</v>
      </c>
      <c r="AR295" s="49" t="str">
        <f t="shared" si="83"/>
        <v/>
      </c>
      <c r="AV295" s="57" t="s">
        <v>38</v>
      </c>
      <c r="BB295">
        <f>BB294+BB40+BB39+BB38+BB37+BB35</f>
        <v>7</v>
      </c>
      <c r="BF295" s="52">
        <f t="shared" si="23"/>
        <v>9.7902097902097893E-3</v>
      </c>
    </row>
    <row r="296" spans="1:58" ht="30" customHeight="1" x14ac:dyDescent="0.35">
      <c r="A296" s="25"/>
      <c r="B296" s="62" t="s">
        <v>64</v>
      </c>
      <c r="C296" s="62"/>
      <c r="D296" s="62"/>
      <c r="E296" s="62"/>
      <c r="F296" s="62"/>
      <c r="G296" s="62"/>
      <c r="H296" s="62"/>
      <c r="I296" s="62"/>
      <c r="J296" s="62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114"/>
      <c r="Z296" s="115"/>
      <c r="AA296" s="115"/>
      <c r="AB296" s="116"/>
      <c r="AC296" s="40"/>
      <c r="AD296" s="40"/>
      <c r="AE296" s="48" t="str">
        <f t="shared" si="73"/>
        <v/>
      </c>
      <c r="AF296" s="48"/>
      <c r="AG296" s="48"/>
      <c r="AH296" s="89"/>
      <c r="AI296" s="49">
        <f t="shared" si="74"/>
        <v>0</v>
      </c>
      <c r="AJ296" s="49" t="str">
        <f t="shared" si="75"/>
        <v/>
      </c>
      <c r="AK296" s="49">
        <f t="shared" si="76"/>
        <v>0</v>
      </c>
      <c r="AL296" s="49" t="str">
        <f t="shared" si="77"/>
        <v/>
      </c>
      <c r="AM296" s="49">
        <f t="shared" si="78"/>
        <v>0</v>
      </c>
      <c r="AN296" s="49" t="str">
        <f t="shared" si="79"/>
        <v/>
      </c>
      <c r="AO296" s="49">
        <f t="shared" si="80"/>
        <v>0</v>
      </c>
      <c r="AP296" s="49" t="str">
        <f t="shared" si="81"/>
        <v/>
      </c>
      <c r="AQ296" s="49">
        <f t="shared" si="82"/>
        <v>0</v>
      </c>
      <c r="AR296" s="49" t="str">
        <f t="shared" si="83"/>
        <v/>
      </c>
      <c r="AV296" s="56"/>
    </row>
    <row r="297" spans="1:58" ht="30" customHeight="1" x14ac:dyDescent="0.35">
      <c r="A297" s="25"/>
      <c r="B297" s="39" t="s">
        <v>59</v>
      </c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108"/>
      <c r="Z297" s="109"/>
      <c r="AA297" s="109"/>
      <c r="AB297" s="110"/>
      <c r="AC297" s="40"/>
      <c r="AD297" s="40"/>
      <c r="AE297" s="48" t="str">
        <f t="shared" si="73"/>
        <v/>
      </c>
      <c r="AF297" s="48"/>
      <c r="AG297" s="48"/>
      <c r="AH297" s="89"/>
      <c r="AI297" s="49">
        <f t="shared" si="74"/>
        <v>0</v>
      </c>
      <c r="AJ297" s="49" t="str">
        <f t="shared" si="75"/>
        <v/>
      </c>
      <c r="AK297" s="49">
        <f t="shared" si="76"/>
        <v>0</v>
      </c>
      <c r="AL297" s="49" t="str">
        <f t="shared" si="77"/>
        <v/>
      </c>
      <c r="AM297" s="49">
        <f t="shared" si="78"/>
        <v>0</v>
      </c>
      <c r="AN297" s="49" t="str">
        <f t="shared" si="79"/>
        <v/>
      </c>
      <c r="AO297" s="49">
        <f t="shared" si="80"/>
        <v>0</v>
      </c>
      <c r="AP297" s="49" t="str">
        <f t="shared" si="81"/>
        <v/>
      </c>
      <c r="AQ297" s="49">
        <f t="shared" si="82"/>
        <v>0</v>
      </c>
      <c r="AR297" s="49" t="str">
        <f t="shared" si="83"/>
        <v/>
      </c>
      <c r="AV297" s="57"/>
    </row>
    <row r="298" spans="1:58" ht="30" customHeight="1" x14ac:dyDescent="0.35">
      <c r="A298" s="25" t="str">
        <f>CONCATENATE($B$275,"
",$B$277,"",$B$278,"
",$B$296)</f>
        <v>PT177 - PLATAFORMA DE ACESSO - FORQUILHA 2 - BÁSICO
TORRE B3PROJETO BÁSICO
CIVIL</v>
      </c>
      <c r="B298" s="40" t="s">
        <v>42</v>
      </c>
      <c r="C298" s="60" t="str">
        <f>IF(AND($B298=[1]rogério!$A299,[1]rogério!$B299=C$4),"ok","nok")</f>
        <v>nok</v>
      </c>
      <c r="D298" s="60" t="str">
        <f>IF(AND($B298=[1]rogério!$A299,[1]rogério!$B299=D$4),"ok","nok")</f>
        <v>nok</v>
      </c>
      <c r="E298" s="60" t="str">
        <f>IF(AND($B298=[1]rogério!$A299,[1]rogério!$B299=E$4),"ok","nok")</f>
        <v>nok</v>
      </c>
      <c r="F298" s="60" t="str">
        <f>IF(AND($B298=[1]rogério!$A299,[1]rogério!$B299=F$4),"ok","nok")</f>
        <v>nok</v>
      </c>
      <c r="G298" s="60" t="str">
        <f>IF(AND($B298=[1]rogério!$A299,[1]rogério!$B299=G$4),"ok","nok")</f>
        <v>nok</v>
      </c>
      <c r="H298" s="60" t="str">
        <f>IF(AND($B298=[1]rogério!$A299,[1]rogério!$B299=H$4),"ok","nok")</f>
        <v>nok</v>
      </c>
      <c r="I298" s="60" t="str">
        <f>IF(AND($B298=[1]rogério!$A299,[1]rogério!$B299=I$4),"ok","nok")</f>
        <v>ok</v>
      </c>
      <c r="J298" s="60" t="str">
        <f>IF(AND($B298=[1]rogério!$A299,[1]rogério!$B299=J$4),"ok","nok")</f>
        <v>nok</v>
      </c>
      <c r="K298" s="60" t="str">
        <f>IF(AND($B298=[1]rogério!$A299,[1]rogério!$B299=K$4),"ok","nok")</f>
        <v>nok</v>
      </c>
      <c r="L298" s="60" t="str">
        <f>IF(AND($B298=[1]rogério!$A299,[1]rogério!$B299=L$4),"ok","nok")</f>
        <v>nok</v>
      </c>
      <c r="M298" s="60" t="str">
        <f>IF(AND($B298=[1]rogério!$A299,[1]rogério!$B299=M$4),"ok","nok")</f>
        <v>nok</v>
      </c>
      <c r="N298" s="60" t="str">
        <f>IF(AND($B298=[1]rogério!$A299,[1]rogério!$B299=N$4),"ok","nok")</f>
        <v>nok</v>
      </c>
      <c r="O298" s="60" t="str">
        <f>IF(AND($B298=[1]rogério!$A299,[1]rogério!$B299=O$4),"ok","nok")</f>
        <v>nok</v>
      </c>
      <c r="P298" s="60" t="str">
        <f>IF(AND($B298=[1]rogério!$A299,[1]rogério!$B299=P$4),"ok","nok")</f>
        <v>nok</v>
      </c>
      <c r="Q298" s="60" t="str">
        <f>IF(AND($B298=[1]rogério!$A299,[1]rogério!$B299=Q$4),"ok","nok")</f>
        <v>nok</v>
      </c>
      <c r="R298" s="60" t="str">
        <f>IF(AND($B298=[1]rogério!$A299,[1]rogério!$B299=R$4),"ok","nok")</f>
        <v>nok</v>
      </c>
      <c r="S298" s="60" t="str">
        <f>IF(AND($B298=[1]rogério!$A299,[1]rogério!$B299=S$4),"ok","nok")</f>
        <v>nok</v>
      </c>
      <c r="T298" s="60" t="str">
        <f>IF(AND($B298=[1]rogério!$A299,[1]rogério!$B299=T$4),"ok","nok")</f>
        <v>nok</v>
      </c>
      <c r="U298" s="60" t="str">
        <f>IF(AND($B298=[1]rogério!$A299,[1]rogério!$B299=U$4),"ok","nok")</f>
        <v>nok</v>
      </c>
      <c r="V298" s="60" t="str">
        <f>IF(AND($B298=[1]rogério!$A299,[1]rogério!$B299=V$4),"ok","nok")</f>
        <v>nok</v>
      </c>
      <c r="W298" s="60" t="str">
        <f>IF(AND($B298=[1]rogério!$A299,[1]rogério!$B299=W$4),"ok","nok")</f>
        <v>nok</v>
      </c>
      <c r="X298" s="60" t="str">
        <f>IF(AND($B298=[1]rogério!$A299,[1]rogério!$B299=X$4),"ok","nok")</f>
        <v>nok</v>
      </c>
      <c r="Y298" s="105" t="s">
        <v>15</v>
      </c>
      <c r="Z298" s="106"/>
      <c r="AA298" s="106"/>
      <c r="AB298" s="107"/>
      <c r="AC298" s="37"/>
      <c r="AD298" s="37"/>
      <c r="AE298" s="48" t="str">
        <f t="shared" si="73"/>
        <v/>
      </c>
      <c r="AF298" s="48"/>
      <c r="AG298" s="48"/>
      <c r="AH298" s="89"/>
      <c r="AI298" s="49">
        <f t="shared" si="74"/>
        <v>0</v>
      </c>
      <c r="AJ298" s="49" t="str">
        <f t="shared" si="75"/>
        <v/>
      </c>
      <c r="AK298" s="49">
        <f t="shared" si="76"/>
        <v>1</v>
      </c>
      <c r="AL298" s="49" t="str">
        <f t="shared" si="77"/>
        <v/>
      </c>
      <c r="AM298" s="49">
        <f t="shared" si="78"/>
        <v>0</v>
      </c>
      <c r="AN298" s="49" t="str">
        <f t="shared" si="79"/>
        <v/>
      </c>
      <c r="AO298" s="49">
        <f t="shared" si="80"/>
        <v>0</v>
      </c>
      <c r="AP298" s="49" t="str">
        <f t="shared" si="81"/>
        <v/>
      </c>
      <c r="AQ298" s="49">
        <f t="shared" si="82"/>
        <v>0</v>
      </c>
      <c r="AR298" s="49" t="str">
        <f t="shared" si="83"/>
        <v/>
      </c>
    </row>
    <row r="299" spans="1:58" ht="30" customHeight="1" x14ac:dyDescent="0.35">
      <c r="A299" s="25" t="str">
        <f t="shared" ref="A299:A313" si="88">CONCATENATE($B$275,"
",$B$277,"",$B$278,"
",$B$296)</f>
        <v>PT177 - PLATAFORMA DE ACESSO - FORQUILHA 2 - BÁSICO
TORRE B3PROJETO BÁSICO
CIVIL</v>
      </c>
      <c r="B299" s="40" t="s">
        <v>43</v>
      </c>
      <c r="C299" s="60" t="str">
        <f>IF(AND($B299=[1]rogério!$A300,[1]rogério!$B300=C$4),"ok","nok")</f>
        <v>nok</v>
      </c>
      <c r="D299" s="60" t="str">
        <f>IF(AND($B299=[1]rogério!$A300,[1]rogério!$B300=D$4),"ok","nok")</f>
        <v>nok</v>
      </c>
      <c r="E299" s="60" t="str">
        <f>IF(AND($B299=[1]rogério!$A300,[1]rogério!$B300=E$4),"ok","nok")</f>
        <v>nok</v>
      </c>
      <c r="F299" s="60" t="str">
        <f>IF(AND($B299=[1]rogério!$A300,[1]rogério!$B300=F$4),"ok","nok")</f>
        <v>nok</v>
      </c>
      <c r="G299" s="60" t="str">
        <f>IF(AND($B299=[1]rogério!$A300,[1]rogério!$B300=G$4),"ok","nok")</f>
        <v>nok</v>
      </c>
      <c r="H299" s="60" t="str">
        <f>IF(AND($B299=[1]rogério!$A300,[1]rogério!$B300=H$4),"ok","nok")</f>
        <v>nok</v>
      </c>
      <c r="I299" s="60" t="str">
        <f>IF(AND($B299=[1]rogério!$A300,[1]rogério!$B300=I$4),"ok","nok")</f>
        <v>ok</v>
      </c>
      <c r="J299" s="60" t="str">
        <f>IF(AND($B299=[1]rogério!$A300,[1]rogério!$B300=J$4),"ok","nok")</f>
        <v>nok</v>
      </c>
      <c r="K299" s="60" t="str">
        <f>IF(AND($B299=[1]rogério!$A300,[1]rogério!$B300=K$4),"ok","nok")</f>
        <v>nok</v>
      </c>
      <c r="L299" s="60" t="str">
        <f>IF(AND($B299=[1]rogério!$A300,[1]rogério!$B300=L$4),"ok","nok")</f>
        <v>nok</v>
      </c>
      <c r="M299" s="60" t="str">
        <f>IF(AND($B299=[1]rogério!$A300,[1]rogério!$B300=M$4),"ok","nok")</f>
        <v>nok</v>
      </c>
      <c r="N299" s="60" t="str">
        <f>IF(AND($B299=[1]rogério!$A300,[1]rogério!$B300=N$4),"ok","nok")</f>
        <v>nok</v>
      </c>
      <c r="O299" s="60" t="str">
        <f>IF(AND($B299=[1]rogério!$A300,[1]rogério!$B300=O$4),"ok","nok")</f>
        <v>nok</v>
      </c>
      <c r="P299" s="60" t="str">
        <f>IF(AND($B299=[1]rogério!$A300,[1]rogério!$B300=P$4),"ok","nok")</f>
        <v>nok</v>
      </c>
      <c r="Q299" s="60" t="str">
        <f>IF(AND($B299=[1]rogério!$A300,[1]rogério!$B300=Q$4),"ok","nok")</f>
        <v>nok</v>
      </c>
      <c r="R299" s="60" t="str">
        <f>IF(AND($B299=[1]rogério!$A300,[1]rogério!$B300=R$4),"ok","nok")</f>
        <v>nok</v>
      </c>
      <c r="S299" s="60" t="str">
        <f>IF(AND($B299=[1]rogério!$A300,[1]rogério!$B300=S$4),"ok","nok")</f>
        <v>nok</v>
      </c>
      <c r="T299" s="60" t="str">
        <f>IF(AND($B299=[1]rogério!$A300,[1]rogério!$B300=T$4),"ok","nok")</f>
        <v>nok</v>
      </c>
      <c r="U299" s="60" t="str">
        <f>IF(AND($B299=[1]rogério!$A300,[1]rogério!$B300=U$4),"ok","nok")</f>
        <v>nok</v>
      </c>
      <c r="V299" s="60" t="str">
        <f>IF(AND($B299=[1]rogério!$A300,[1]rogério!$B300=V$4),"ok","nok")</f>
        <v>nok</v>
      </c>
      <c r="W299" s="60" t="str">
        <f>IF(AND($B299=[1]rogério!$A300,[1]rogério!$B300=W$4),"ok","nok")</f>
        <v>nok</v>
      </c>
      <c r="X299" s="60" t="str">
        <f>IF(AND($B299=[1]rogério!$A300,[1]rogério!$B300=X$4),"ok","nok")</f>
        <v>nok</v>
      </c>
      <c r="Y299" s="105" t="s">
        <v>15</v>
      </c>
      <c r="Z299" s="106"/>
      <c r="AA299" s="106"/>
      <c r="AB299" s="107"/>
      <c r="AC299" s="38"/>
      <c r="AD299" s="38"/>
      <c r="AE299" s="48" t="str">
        <f t="shared" si="73"/>
        <v/>
      </c>
      <c r="AF299" s="48"/>
      <c r="AG299" s="48"/>
      <c r="AH299" s="89"/>
      <c r="AI299" s="49">
        <f t="shared" si="74"/>
        <v>0</v>
      </c>
      <c r="AJ299" s="49" t="str">
        <f t="shared" si="75"/>
        <v/>
      </c>
      <c r="AK299" s="49">
        <f t="shared" si="76"/>
        <v>1</v>
      </c>
      <c r="AL299" s="49" t="str">
        <f t="shared" si="77"/>
        <v/>
      </c>
      <c r="AM299" s="49">
        <f t="shared" si="78"/>
        <v>0</v>
      </c>
      <c r="AN299" s="49" t="str">
        <f t="shared" si="79"/>
        <v/>
      </c>
      <c r="AO299" s="49">
        <f t="shared" si="80"/>
        <v>0</v>
      </c>
      <c r="AP299" s="49" t="str">
        <f t="shared" si="81"/>
        <v/>
      </c>
      <c r="AQ299" s="49">
        <f t="shared" si="82"/>
        <v>0</v>
      </c>
      <c r="AR299" s="49" t="str">
        <f t="shared" si="83"/>
        <v/>
      </c>
    </row>
    <row r="300" spans="1:58" ht="30" customHeight="1" x14ac:dyDescent="0.35">
      <c r="A300" s="25" t="str">
        <f t="shared" si="88"/>
        <v>PT177 - PLATAFORMA DE ACESSO - FORQUILHA 2 - BÁSICO
TORRE B3PROJETO BÁSICO
CIVIL</v>
      </c>
      <c r="B300" s="38" t="s">
        <v>65</v>
      </c>
      <c r="C300" s="60" t="str">
        <f>IF(AND($B300=[1]rogério!$A301,[1]rogério!$B301=C$4),"ok","nok")</f>
        <v>nok</v>
      </c>
      <c r="D300" s="60" t="str">
        <f>IF(AND($B300=[1]rogério!$A301,[1]rogério!$B301=D$4),"ok","nok")</f>
        <v>nok</v>
      </c>
      <c r="E300" s="60" t="str">
        <f>IF(AND($B300=[1]rogério!$A301,[1]rogério!$B301=E$4),"ok","nok")</f>
        <v>nok</v>
      </c>
      <c r="F300" s="60" t="str">
        <f>IF(AND($B300=[1]rogério!$A301,[1]rogério!$B301=F$4),"ok","nok")</f>
        <v>nok</v>
      </c>
      <c r="G300" s="60" t="str">
        <f>IF(AND($B300=[1]rogério!$A301,[1]rogério!$B301=G$4),"ok","nok")</f>
        <v>nok</v>
      </c>
      <c r="H300" s="60" t="str">
        <f>IF(AND($B300=[1]rogério!$A301,[1]rogério!$B301=H$4),"ok","nok")</f>
        <v>nok</v>
      </c>
      <c r="I300" s="60" t="str">
        <f>IF(AND($B300=[1]rogério!$A301,[1]rogério!$B301=I$4),"ok","nok")</f>
        <v>nok</v>
      </c>
      <c r="J300" s="60" t="str">
        <f>IF(AND($B300=[1]rogério!$A301,[1]rogério!$B301=J$4),"ok","nok")</f>
        <v>nok</v>
      </c>
      <c r="K300" s="60" t="str">
        <f>IF(AND($B300=[1]rogério!$A301,[1]rogério!$B301=K$4),"ok","nok")</f>
        <v>nok</v>
      </c>
      <c r="L300" s="60" t="str">
        <f>IF(AND($B300=[1]rogério!$A301,[1]rogério!$B301=L$4),"ok","nok")</f>
        <v>ok</v>
      </c>
      <c r="M300" s="60" t="str">
        <f>IF(AND($B300=[1]rogério!$A301,[1]rogério!$B301=M$4),"ok","nok")</f>
        <v>nok</v>
      </c>
      <c r="N300" s="60" t="str">
        <f>IF(AND($B300=[1]rogério!$A301,[1]rogério!$B301=N$4),"ok","nok")</f>
        <v>nok</v>
      </c>
      <c r="O300" s="60" t="str">
        <f>IF(AND($B300=[1]rogério!$A301,[1]rogério!$B301=O$4),"ok","nok")</f>
        <v>nok</v>
      </c>
      <c r="P300" s="60" t="str">
        <f>IF(AND($B300=[1]rogério!$A301,[1]rogério!$B301=P$4),"ok","nok")</f>
        <v>nok</v>
      </c>
      <c r="Q300" s="60" t="str">
        <f>IF(AND($B300=[1]rogério!$A301,[1]rogério!$B301=Q$4),"ok","nok")</f>
        <v>nok</v>
      </c>
      <c r="R300" s="60" t="str">
        <f>IF(AND($B300=[1]rogério!$A301,[1]rogério!$B301=R$4),"ok","nok")</f>
        <v>nok</v>
      </c>
      <c r="S300" s="60" t="str">
        <f>IF(AND($B300=[1]rogério!$A301,[1]rogério!$B301=S$4),"ok","nok")</f>
        <v>nok</v>
      </c>
      <c r="T300" s="60" t="str">
        <f>IF(AND($B300=[1]rogério!$A301,[1]rogério!$B301=T$4),"ok","nok")</f>
        <v>nok</v>
      </c>
      <c r="U300" s="60" t="str">
        <f>IF(AND($B300=[1]rogério!$A301,[1]rogério!$B301=U$4),"ok","nok")</f>
        <v>nok</v>
      </c>
      <c r="V300" s="60" t="str">
        <f>IF(AND($B300=[1]rogério!$A301,[1]rogério!$B301=V$4),"ok","nok")</f>
        <v>nok</v>
      </c>
      <c r="W300" s="60" t="str">
        <f>IF(AND($B300=[1]rogério!$A301,[1]rogério!$B301=W$4),"ok","nok")</f>
        <v>nok</v>
      </c>
      <c r="X300" s="60" t="str">
        <f>IF(AND($B300=[1]rogério!$A301,[1]rogério!$B301=X$4),"ok","nok")</f>
        <v>nok</v>
      </c>
      <c r="Y300" s="105" t="s">
        <v>15</v>
      </c>
      <c r="Z300" s="106"/>
      <c r="AA300" s="106"/>
      <c r="AB300" s="107"/>
      <c r="AC300" s="41"/>
      <c r="AD300" s="41"/>
      <c r="AE300" s="48" t="str">
        <f t="shared" si="73"/>
        <v/>
      </c>
      <c r="AF300" s="48"/>
      <c r="AG300" s="48"/>
      <c r="AH300" s="89"/>
      <c r="AI300" s="49">
        <f t="shared" si="74"/>
        <v>0</v>
      </c>
      <c r="AJ300" s="49" t="str">
        <f t="shared" si="75"/>
        <v/>
      </c>
      <c r="AK300" s="49">
        <f t="shared" si="76"/>
        <v>1</v>
      </c>
      <c r="AL300" s="49" t="str">
        <f t="shared" si="77"/>
        <v/>
      </c>
      <c r="AM300" s="49">
        <f t="shared" si="78"/>
        <v>0</v>
      </c>
      <c r="AN300" s="49" t="str">
        <f t="shared" si="79"/>
        <v/>
      </c>
      <c r="AO300" s="49">
        <f t="shared" si="80"/>
        <v>0</v>
      </c>
      <c r="AP300" s="49" t="str">
        <f t="shared" si="81"/>
        <v/>
      </c>
      <c r="AQ300" s="49">
        <f t="shared" si="82"/>
        <v>0</v>
      </c>
      <c r="AR300" s="49" t="str">
        <f t="shared" si="83"/>
        <v/>
      </c>
    </row>
    <row r="301" spans="1:58" ht="30" customHeight="1" x14ac:dyDescent="0.35">
      <c r="A301" s="25" t="str">
        <f t="shared" si="88"/>
        <v>PT177 - PLATAFORMA DE ACESSO - FORQUILHA 2 - BÁSICO
TORRE B3PROJETO BÁSICO
CIVIL</v>
      </c>
      <c r="B301" s="38" t="s">
        <v>66</v>
      </c>
      <c r="C301" s="60" t="str">
        <f>IF(AND($B301=[1]rogério!$A302,[1]rogério!$B302=C$4),"ok","nok")</f>
        <v>nok</v>
      </c>
      <c r="D301" s="60" t="str">
        <f>IF(AND($B301=[1]rogério!$A302,[1]rogério!$B302=D$4),"ok","nok")</f>
        <v>nok</v>
      </c>
      <c r="E301" s="60" t="str">
        <f>IF(AND($B301=[1]rogério!$A302,[1]rogério!$B302=E$4),"ok","nok")</f>
        <v>nok</v>
      </c>
      <c r="F301" s="60" t="str">
        <f>IF(AND($B301=[1]rogério!$A302,[1]rogério!$B302=F$4),"ok","nok")</f>
        <v>nok</v>
      </c>
      <c r="G301" s="60" t="str">
        <f>IF(AND($B301=[1]rogério!$A302,[1]rogério!$B302=G$4),"ok","nok")</f>
        <v>nok</v>
      </c>
      <c r="H301" s="60" t="str">
        <f>IF(AND($B301=[1]rogério!$A302,[1]rogério!$B302=H$4),"ok","nok")</f>
        <v>nok</v>
      </c>
      <c r="I301" s="60" t="str">
        <f>IF(AND($B301=[1]rogério!$A302,[1]rogério!$B302=I$4),"ok","nok")</f>
        <v>nok</v>
      </c>
      <c r="J301" s="60" t="str">
        <f>IF(AND($B301=[1]rogério!$A302,[1]rogério!$B302=J$4),"ok","nok")</f>
        <v>nok</v>
      </c>
      <c r="K301" s="60" t="str">
        <f>IF(AND($B301=[1]rogério!$A302,[1]rogério!$B302=K$4),"ok","nok")</f>
        <v>nok</v>
      </c>
      <c r="L301" s="60" t="str">
        <f>IF(AND($B301=[1]rogério!$A302,[1]rogério!$B302=L$4),"ok","nok")</f>
        <v>nok</v>
      </c>
      <c r="M301" s="60" t="str">
        <f>IF(AND($B301=[1]rogério!$A302,[1]rogério!$B302=M$4),"ok","nok")</f>
        <v>ok</v>
      </c>
      <c r="N301" s="60" t="str">
        <f>IF(AND($B301=[1]rogério!$A302,[1]rogério!$B302=N$4),"ok","nok")</f>
        <v>nok</v>
      </c>
      <c r="O301" s="60" t="str">
        <f>IF(AND($B301=[1]rogério!$A302,[1]rogério!$B302=O$4),"ok","nok")</f>
        <v>nok</v>
      </c>
      <c r="P301" s="60" t="str">
        <f>IF(AND($B301=[1]rogério!$A302,[1]rogério!$B302=P$4),"ok","nok")</f>
        <v>nok</v>
      </c>
      <c r="Q301" s="60" t="str">
        <f>IF(AND($B301=[1]rogério!$A302,[1]rogério!$B302=Q$4),"ok","nok")</f>
        <v>nok</v>
      </c>
      <c r="R301" s="60" t="str">
        <f>IF(AND($B301=[1]rogério!$A302,[1]rogério!$B302=R$4),"ok","nok")</f>
        <v>nok</v>
      </c>
      <c r="S301" s="60" t="str">
        <f>IF(AND($B301=[1]rogério!$A302,[1]rogério!$B302=S$4),"ok","nok")</f>
        <v>nok</v>
      </c>
      <c r="T301" s="60" t="str">
        <f>IF(AND($B301=[1]rogério!$A302,[1]rogério!$B302=T$4),"ok","nok")</f>
        <v>nok</v>
      </c>
      <c r="U301" s="60" t="str">
        <f>IF(AND($B301=[1]rogério!$A302,[1]rogério!$B302=U$4),"ok","nok")</f>
        <v>nok</v>
      </c>
      <c r="V301" s="60" t="str">
        <f>IF(AND($B301=[1]rogério!$A302,[1]rogério!$B302=V$4),"ok","nok")</f>
        <v>nok</v>
      </c>
      <c r="W301" s="60" t="str">
        <f>IF(AND($B301=[1]rogério!$A302,[1]rogério!$B302=W$4),"ok","nok")</f>
        <v>nok</v>
      </c>
      <c r="X301" s="60" t="str">
        <f>IF(AND($B301=[1]rogério!$A302,[1]rogério!$B302=X$4),"ok","nok")</f>
        <v>nok</v>
      </c>
      <c r="Y301" s="105" t="s">
        <v>15</v>
      </c>
      <c r="Z301" s="106"/>
      <c r="AA301" s="106"/>
      <c r="AB301" s="107"/>
      <c r="AC301" s="46"/>
      <c r="AD301" s="46"/>
      <c r="AE301" s="48" t="str">
        <f t="shared" si="73"/>
        <v/>
      </c>
      <c r="AF301" s="48"/>
      <c r="AG301" s="48"/>
      <c r="AH301" s="89"/>
      <c r="AI301" s="49">
        <f t="shared" si="74"/>
        <v>0</v>
      </c>
      <c r="AJ301" s="49" t="str">
        <f t="shared" si="75"/>
        <v/>
      </c>
      <c r="AK301" s="49">
        <f t="shared" si="76"/>
        <v>0</v>
      </c>
      <c r="AL301" s="49" t="str">
        <f t="shared" si="77"/>
        <v/>
      </c>
      <c r="AM301" s="49">
        <f t="shared" si="78"/>
        <v>1</v>
      </c>
      <c r="AN301" s="49" t="str">
        <f t="shared" si="79"/>
        <v/>
      </c>
      <c r="AO301" s="49">
        <f t="shared" si="80"/>
        <v>0</v>
      </c>
      <c r="AP301" s="49" t="str">
        <f t="shared" si="81"/>
        <v/>
      </c>
      <c r="AQ301" s="49">
        <f t="shared" si="82"/>
        <v>0</v>
      </c>
      <c r="AR301" s="49" t="str">
        <f t="shared" si="83"/>
        <v/>
      </c>
    </row>
    <row r="302" spans="1:58" ht="30" customHeight="1" x14ac:dyDescent="0.35">
      <c r="A302" s="25"/>
      <c r="B302" s="39" t="s">
        <v>67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108"/>
      <c r="Z302" s="109"/>
      <c r="AA302" s="109"/>
      <c r="AB302" s="110"/>
      <c r="AC302" s="40"/>
      <c r="AD302" s="40"/>
      <c r="AE302" s="48" t="str">
        <f t="shared" si="73"/>
        <v/>
      </c>
      <c r="AF302" s="48"/>
      <c r="AG302" s="48"/>
      <c r="AH302" s="89"/>
      <c r="AI302" s="49">
        <f t="shared" si="74"/>
        <v>0</v>
      </c>
      <c r="AJ302" s="49" t="str">
        <f t="shared" si="75"/>
        <v/>
      </c>
      <c r="AK302" s="49">
        <f t="shared" si="76"/>
        <v>0</v>
      </c>
      <c r="AL302" s="49" t="str">
        <f t="shared" si="77"/>
        <v/>
      </c>
      <c r="AM302" s="49">
        <f t="shared" si="78"/>
        <v>0</v>
      </c>
      <c r="AN302" s="49" t="str">
        <f t="shared" si="79"/>
        <v/>
      </c>
      <c r="AO302" s="49">
        <f t="shared" si="80"/>
        <v>0</v>
      </c>
      <c r="AP302" s="49" t="str">
        <f t="shared" si="81"/>
        <v/>
      </c>
      <c r="AQ302" s="49">
        <f t="shared" si="82"/>
        <v>0</v>
      </c>
      <c r="AR302" s="49" t="str">
        <f t="shared" si="83"/>
        <v/>
      </c>
    </row>
    <row r="303" spans="1:58" ht="30" customHeight="1" x14ac:dyDescent="0.35">
      <c r="A303" s="25" t="str">
        <f t="shared" si="88"/>
        <v>PT177 - PLATAFORMA DE ACESSO - FORQUILHA 2 - BÁSICO
TORRE B3PROJETO BÁSICO
CIVIL</v>
      </c>
      <c r="B303" s="40" t="s">
        <v>49</v>
      </c>
      <c r="C303" s="60" t="str">
        <f>IF(AND($B303=[1]rogério!$A304,[1]rogério!$B304=C$4),"ok","nok")</f>
        <v>nok</v>
      </c>
      <c r="D303" s="60" t="str">
        <f>IF(AND($B303=[1]rogério!$A304,[1]rogério!$B304=D$4),"ok","nok")</f>
        <v>nok</v>
      </c>
      <c r="E303" s="60" t="str">
        <f>IF(AND($B303=[1]rogério!$A304,[1]rogério!$B304=E$4),"ok","nok")</f>
        <v>nok</v>
      </c>
      <c r="F303" s="60" t="str">
        <f>IF(AND($B303=[1]rogério!$A304,[1]rogério!$B304=F$4),"ok","nok")</f>
        <v>nok</v>
      </c>
      <c r="G303" s="60" t="str">
        <f>IF(AND($B303=[1]rogério!$A304,[1]rogério!$B304=G$4),"ok","nok")</f>
        <v>nok</v>
      </c>
      <c r="H303" s="60" t="str">
        <f>IF(AND($B303=[1]rogério!$A304,[1]rogério!$B304=H$4),"ok","nok")</f>
        <v>nok</v>
      </c>
      <c r="I303" s="60" t="str">
        <f>IF(AND($B303=[1]rogério!$A304,[1]rogério!$B304=I$4),"ok","nok")</f>
        <v>nok</v>
      </c>
      <c r="J303" s="60" t="str">
        <f>IF(AND($B303=[1]rogério!$A304,[1]rogério!$B304=J$4),"ok","nok")</f>
        <v>nok</v>
      </c>
      <c r="K303" s="60" t="str">
        <f>IF(AND($B303=[1]rogério!$A304,[1]rogério!$B304=K$4),"ok","nok")</f>
        <v>nok</v>
      </c>
      <c r="L303" s="60" t="str">
        <f>IF(AND($B303=[1]rogério!$A304,[1]rogério!$B304=L$4),"ok","nok")</f>
        <v>nok</v>
      </c>
      <c r="M303" s="60" t="str">
        <f>IF(AND($B303=[1]rogério!$A304,[1]rogério!$B304=M$4),"ok","nok")</f>
        <v>ok</v>
      </c>
      <c r="N303" s="60" t="str">
        <f>IF(AND($B303=[1]rogério!$A304,[1]rogério!$B304=N$4),"ok","nok")</f>
        <v>nok</v>
      </c>
      <c r="O303" s="60" t="str">
        <f>IF(AND($B303=[1]rogério!$A304,[1]rogério!$B304=O$4),"ok","nok")</f>
        <v>nok</v>
      </c>
      <c r="P303" s="60" t="str">
        <f>IF(AND($B303=[1]rogério!$A304,[1]rogério!$B304=P$4),"ok","nok")</f>
        <v>nok</v>
      </c>
      <c r="Q303" s="60" t="str">
        <f>IF(AND($B303=[1]rogério!$A304,[1]rogério!$B304=Q$4),"ok","nok")</f>
        <v>nok</v>
      </c>
      <c r="R303" s="60" t="str">
        <f>IF(AND($B303=[1]rogério!$A304,[1]rogério!$B304=R$4),"ok","nok")</f>
        <v>nok</v>
      </c>
      <c r="S303" s="60" t="str">
        <f>IF(AND($B303=[1]rogério!$A304,[1]rogério!$B304=S$4),"ok","nok")</f>
        <v>nok</v>
      </c>
      <c r="T303" s="60" t="str">
        <f>IF(AND($B303=[1]rogério!$A304,[1]rogério!$B304=T$4),"ok","nok")</f>
        <v>nok</v>
      </c>
      <c r="U303" s="60" t="str">
        <f>IF(AND($B303=[1]rogério!$A304,[1]rogério!$B304=U$4),"ok","nok")</f>
        <v>nok</v>
      </c>
      <c r="V303" s="60" t="str">
        <f>IF(AND($B303=[1]rogério!$A304,[1]rogério!$B304=V$4),"ok","nok")</f>
        <v>nok</v>
      </c>
      <c r="W303" s="60" t="str">
        <f>IF(AND($B303=[1]rogério!$A304,[1]rogério!$B304=W$4),"ok","nok")</f>
        <v>nok</v>
      </c>
      <c r="X303" s="60" t="str">
        <f>IF(AND($B303=[1]rogério!$A304,[1]rogério!$B304=X$4),"ok","nok")</f>
        <v>nok</v>
      </c>
      <c r="Y303" s="105" t="s">
        <v>15</v>
      </c>
      <c r="Z303" s="106"/>
      <c r="AA303" s="106"/>
      <c r="AB303" s="107"/>
      <c r="AC303" s="40"/>
      <c r="AD303" s="40"/>
      <c r="AE303" s="48" t="str">
        <f t="shared" si="73"/>
        <v/>
      </c>
      <c r="AF303" s="48"/>
      <c r="AG303" s="48"/>
      <c r="AH303" s="89"/>
      <c r="AI303" s="49">
        <f t="shared" si="74"/>
        <v>0</v>
      </c>
      <c r="AJ303" s="49" t="str">
        <f t="shared" si="75"/>
        <v/>
      </c>
      <c r="AK303" s="49">
        <f t="shared" si="76"/>
        <v>0</v>
      </c>
      <c r="AL303" s="49" t="str">
        <f t="shared" si="77"/>
        <v/>
      </c>
      <c r="AM303" s="49">
        <f t="shared" si="78"/>
        <v>1</v>
      </c>
      <c r="AN303" s="49" t="str">
        <f t="shared" si="79"/>
        <v/>
      </c>
      <c r="AO303" s="49">
        <f t="shared" si="80"/>
        <v>0</v>
      </c>
      <c r="AP303" s="49" t="str">
        <f t="shared" si="81"/>
        <v/>
      </c>
      <c r="AQ303" s="49">
        <f t="shared" si="82"/>
        <v>0</v>
      </c>
      <c r="AR303" s="49" t="str">
        <f t="shared" si="83"/>
        <v/>
      </c>
    </row>
    <row r="304" spans="1:58" ht="30" customHeight="1" x14ac:dyDescent="0.35">
      <c r="A304" s="25" t="str">
        <f t="shared" si="88"/>
        <v>PT177 - PLATAFORMA DE ACESSO - FORQUILHA 2 - BÁSICO
TORRE B3PROJETO BÁSICO
CIVIL</v>
      </c>
      <c r="B304" s="40" t="s">
        <v>19</v>
      </c>
      <c r="C304" s="60" t="str">
        <f>IF(AND($B304=[1]rogério!$A305,[1]rogério!$B305=C$4),"ok","nok")</f>
        <v>nok</v>
      </c>
      <c r="D304" s="60" t="str">
        <f>IF(AND($B304=[1]rogério!$A305,[1]rogério!$B305=D$4),"ok","nok")</f>
        <v>nok</v>
      </c>
      <c r="E304" s="60" t="str">
        <f>IF(AND($B304=[1]rogério!$A305,[1]rogério!$B305=E$4),"ok","nok")</f>
        <v>nok</v>
      </c>
      <c r="F304" s="60" t="str">
        <f>IF(AND($B304=[1]rogério!$A305,[1]rogério!$B305=F$4),"ok","nok")</f>
        <v>nok</v>
      </c>
      <c r="G304" s="60" t="str">
        <f>IF(AND($B304=[1]rogério!$A305,[1]rogério!$B305=G$4),"ok","nok")</f>
        <v>nok</v>
      </c>
      <c r="H304" s="60" t="str">
        <f>IF(AND($B304=[1]rogério!$A305,[1]rogério!$B305=H$4),"ok","nok")</f>
        <v>nok</v>
      </c>
      <c r="I304" s="60" t="str">
        <f>IF(AND($B304=[1]rogério!$A305,[1]rogério!$B305=I$4),"ok","nok")</f>
        <v>nok</v>
      </c>
      <c r="J304" s="60" t="str">
        <f>IF(AND($B304=[1]rogério!$A305,[1]rogério!$B305=J$4),"ok","nok")</f>
        <v>nok</v>
      </c>
      <c r="K304" s="60" t="str">
        <f>IF(AND($B304=[1]rogério!$A305,[1]rogério!$B305=K$4),"ok","nok")</f>
        <v>nok</v>
      </c>
      <c r="L304" s="60" t="str">
        <f>IF(AND($B304=[1]rogério!$A305,[1]rogério!$B305=L$4),"ok","nok")</f>
        <v>nok</v>
      </c>
      <c r="M304" s="60" t="str">
        <f>IF(AND($B304=[1]rogério!$A305,[1]rogério!$B305=M$4),"ok","nok")</f>
        <v>nok</v>
      </c>
      <c r="N304" s="60" t="str">
        <f>IF(AND($B304=[1]rogério!$A305,[1]rogério!$B305=N$4),"ok","nok")</f>
        <v>nok</v>
      </c>
      <c r="O304" s="60" t="str">
        <f>IF(AND($B304=[1]rogério!$A305,[1]rogério!$B305=O$4),"ok","nok")</f>
        <v>nok</v>
      </c>
      <c r="P304" s="60" t="str">
        <f>IF(AND($B304=[1]rogério!$A305,[1]rogério!$B305=P$4),"ok","nok")</f>
        <v>nok</v>
      </c>
      <c r="Q304" s="60" t="str">
        <f>IF(AND($B304=[1]rogério!$A305,[1]rogério!$B305=Q$4),"ok","nok")</f>
        <v>nok</v>
      </c>
      <c r="R304" s="60" t="str">
        <f>IF(AND($B304=[1]rogério!$A305,[1]rogério!$B305=R$4),"ok","nok")</f>
        <v>ok</v>
      </c>
      <c r="S304" s="60" t="str">
        <f>IF(AND($B304=[1]rogério!$A305,[1]rogério!$B305=S$4),"ok","nok")</f>
        <v>nok</v>
      </c>
      <c r="T304" s="60" t="str">
        <f>IF(AND($B304=[1]rogério!$A305,[1]rogério!$B305=T$4),"ok","nok")</f>
        <v>nok</v>
      </c>
      <c r="U304" s="60" t="str">
        <f>IF(AND($B304=[1]rogério!$A305,[1]rogério!$B305=U$4),"ok","nok")</f>
        <v>nok</v>
      </c>
      <c r="V304" s="60" t="str">
        <f>IF(AND($B304=[1]rogério!$A305,[1]rogério!$B305=V$4),"ok","nok")</f>
        <v>nok</v>
      </c>
      <c r="W304" s="60" t="str">
        <f>IF(AND($B304=[1]rogério!$A305,[1]rogério!$B305=W$4),"ok","nok")</f>
        <v>nok</v>
      </c>
      <c r="X304" s="60" t="str">
        <f>IF(AND($B304=[1]rogério!$A305,[1]rogério!$B305=X$4),"ok","nok")</f>
        <v>nok</v>
      </c>
      <c r="Y304" s="105" t="s">
        <v>15</v>
      </c>
      <c r="Z304" s="106"/>
      <c r="AA304" s="106"/>
      <c r="AB304" s="107"/>
      <c r="AC304" s="40"/>
      <c r="AD304" s="40"/>
      <c r="AE304" s="48" t="str">
        <f t="shared" si="73"/>
        <v/>
      </c>
      <c r="AF304" s="48"/>
      <c r="AG304" s="48"/>
      <c r="AH304" s="89"/>
      <c r="AI304" s="49">
        <f t="shared" si="74"/>
        <v>0</v>
      </c>
      <c r="AJ304" s="49" t="str">
        <f t="shared" si="75"/>
        <v/>
      </c>
      <c r="AK304" s="49">
        <f t="shared" si="76"/>
        <v>0</v>
      </c>
      <c r="AL304" s="49" t="str">
        <f t="shared" si="77"/>
        <v/>
      </c>
      <c r="AM304" s="49">
        <f t="shared" si="78"/>
        <v>0</v>
      </c>
      <c r="AN304" s="49" t="str">
        <f t="shared" si="79"/>
        <v/>
      </c>
      <c r="AO304" s="49">
        <f t="shared" si="80"/>
        <v>1</v>
      </c>
      <c r="AP304" s="49" t="str">
        <f t="shared" si="81"/>
        <v/>
      </c>
      <c r="AQ304" s="49">
        <f t="shared" si="82"/>
        <v>0</v>
      </c>
      <c r="AR304" s="49" t="str">
        <f t="shared" si="83"/>
        <v/>
      </c>
    </row>
    <row r="305" spans="1:44" ht="30" customHeight="1" x14ac:dyDescent="0.35">
      <c r="A305" s="25" t="str">
        <f t="shared" si="88"/>
        <v>PT177 - PLATAFORMA DE ACESSO - FORQUILHA 2 - BÁSICO
TORRE B3PROJETO BÁSICO
CIVIL</v>
      </c>
      <c r="B305" s="40" t="s">
        <v>42</v>
      </c>
      <c r="C305" s="60" t="str">
        <f>IF(AND($B305=[1]rogério!$A306,[1]rogério!$B306=C$4),"ok","nok")</f>
        <v>nok</v>
      </c>
      <c r="D305" s="60" t="str">
        <f>IF(AND($B305=[1]rogério!$A306,[1]rogério!$B306=D$4),"ok","nok")</f>
        <v>nok</v>
      </c>
      <c r="E305" s="60" t="str">
        <f>IF(AND($B305=[1]rogério!$A306,[1]rogério!$B306=E$4),"ok","nok")</f>
        <v>nok</v>
      </c>
      <c r="F305" s="60" t="str">
        <f>IF(AND($B305=[1]rogério!$A306,[1]rogério!$B306=F$4),"ok","nok")</f>
        <v>nok</v>
      </c>
      <c r="G305" s="60" t="str">
        <f>IF(AND($B305=[1]rogério!$A306,[1]rogério!$B306=G$4),"ok","nok")</f>
        <v>nok</v>
      </c>
      <c r="H305" s="60" t="str">
        <f>IF(AND($B305=[1]rogério!$A306,[1]rogério!$B306=H$4),"ok","nok")</f>
        <v>nok</v>
      </c>
      <c r="I305" s="60" t="str">
        <f>IF(AND($B305=[1]rogério!$A306,[1]rogério!$B306=I$4),"ok","nok")</f>
        <v>nok</v>
      </c>
      <c r="J305" s="60" t="str">
        <f>IF(AND($B305=[1]rogério!$A306,[1]rogério!$B306=J$4),"ok","nok")</f>
        <v>nok</v>
      </c>
      <c r="K305" s="60" t="str">
        <f>IF(AND($B305=[1]rogério!$A306,[1]rogério!$B306=K$4),"ok","nok")</f>
        <v>nok</v>
      </c>
      <c r="L305" s="60" t="str">
        <f>IF(AND($B305=[1]rogério!$A306,[1]rogério!$B306=L$4),"ok","nok")</f>
        <v>nok</v>
      </c>
      <c r="M305" s="60" t="str">
        <f>IF(AND($B305=[1]rogério!$A306,[1]rogério!$B306=M$4),"ok","nok")</f>
        <v>nok</v>
      </c>
      <c r="N305" s="60" t="str">
        <f>IF(AND($B305=[1]rogério!$A306,[1]rogério!$B306=N$4),"ok","nok")</f>
        <v>nok</v>
      </c>
      <c r="O305" s="60" t="str">
        <f>IF(AND($B305=[1]rogério!$A306,[1]rogério!$B306=O$4),"ok","nok")</f>
        <v>nok</v>
      </c>
      <c r="P305" s="60" t="str">
        <f>IF(AND($B305=[1]rogério!$A306,[1]rogério!$B306=P$4),"ok","nok")</f>
        <v>nok</v>
      </c>
      <c r="Q305" s="60" t="str">
        <f>IF(AND($B305=[1]rogério!$A306,[1]rogério!$B306=Q$4),"ok","nok")</f>
        <v>nok</v>
      </c>
      <c r="R305" s="60" t="str">
        <f>IF(AND($B305=[1]rogério!$A306,[1]rogério!$B306=R$4),"ok","nok")</f>
        <v>nok</v>
      </c>
      <c r="S305" s="60" t="str">
        <f>IF(AND($B305=[1]rogério!$A306,[1]rogério!$B306=S$4),"ok","nok")</f>
        <v>nok</v>
      </c>
      <c r="T305" s="60" t="str">
        <f>IF(AND($B305=[1]rogério!$A306,[1]rogério!$B306=T$4),"ok","nok")</f>
        <v>nok</v>
      </c>
      <c r="U305" s="60" t="str">
        <f>IF(AND($B305=[1]rogério!$A306,[1]rogério!$B306=U$4),"ok","nok")</f>
        <v>ok</v>
      </c>
      <c r="V305" s="60" t="str">
        <f>IF(AND($B305=[1]rogério!$A306,[1]rogério!$B306=V$4),"ok","nok")</f>
        <v>nok</v>
      </c>
      <c r="W305" s="60" t="str">
        <f>IF(AND($B305=[1]rogério!$A306,[1]rogério!$B306=W$4),"ok","nok")</f>
        <v>nok</v>
      </c>
      <c r="X305" s="60" t="str">
        <f>IF(AND($B305=[1]rogério!$A306,[1]rogério!$B306=X$4),"ok","nok")</f>
        <v>nok</v>
      </c>
      <c r="Y305" s="105" t="s">
        <v>15</v>
      </c>
      <c r="Z305" s="106"/>
      <c r="AA305" s="106"/>
      <c r="AB305" s="107"/>
      <c r="AC305" s="41"/>
      <c r="AD305" s="41"/>
      <c r="AE305" s="48" t="str">
        <f t="shared" si="73"/>
        <v/>
      </c>
      <c r="AF305" s="48"/>
      <c r="AG305" s="48"/>
      <c r="AH305" s="89"/>
      <c r="AI305" s="49">
        <f t="shared" si="74"/>
        <v>0</v>
      </c>
      <c r="AJ305" s="49" t="str">
        <f t="shared" si="75"/>
        <v/>
      </c>
      <c r="AK305" s="49">
        <f t="shared" si="76"/>
        <v>0</v>
      </c>
      <c r="AL305" s="49" t="str">
        <f t="shared" si="77"/>
        <v/>
      </c>
      <c r="AM305" s="49">
        <f t="shared" si="78"/>
        <v>0</v>
      </c>
      <c r="AN305" s="49" t="str">
        <f t="shared" si="79"/>
        <v/>
      </c>
      <c r="AO305" s="49">
        <f t="shared" si="80"/>
        <v>1</v>
      </c>
      <c r="AP305" s="49" t="str">
        <f t="shared" si="81"/>
        <v/>
      </c>
      <c r="AQ305" s="49">
        <f t="shared" si="82"/>
        <v>0</v>
      </c>
      <c r="AR305" s="49" t="str">
        <f t="shared" si="83"/>
        <v/>
      </c>
    </row>
    <row r="306" spans="1:44" ht="30" customHeight="1" x14ac:dyDescent="0.35">
      <c r="A306" s="25" t="str">
        <f t="shared" si="88"/>
        <v>PT177 - PLATAFORMA DE ACESSO - FORQUILHA 2 - BÁSICO
TORRE B3PROJETO BÁSICO
CIVIL</v>
      </c>
      <c r="B306" s="40" t="s">
        <v>43</v>
      </c>
      <c r="C306" s="60" t="str">
        <f>IF(AND($B306=[1]rogério!$A307,[1]rogério!$B307=C$4),"ok","nok")</f>
        <v>nok</v>
      </c>
      <c r="D306" s="60" t="str">
        <f>IF(AND($B306=[1]rogério!$A307,[1]rogério!$B307=D$4),"ok","nok")</f>
        <v>nok</v>
      </c>
      <c r="E306" s="60" t="str">
        <f>IF(AND($B306=[1]rogério!$A307,[1]rogério!$B307=E$4),"ok","nok")</f>
        <v>nok</v>
      </c>
      <c r="F306" s="60" t="str">
        <f>IF(AND($B306=[1]rogério!$A307,[1]rogério!$B307=F$4),"ok","nok")</f>
        <v>nok</v>
      </c>
      <c r="G306" s="60" t="str">
        <f>IF(AND($B306=[1]rogério!$A307,[1]rogério!$B307=G$4),"ok","nok")</f>
        <v>nok</v>
      </c>
      <c r="H306" s="60" t="str">
        <f>IF(AND($B306=[1]rogério!$A307,[1]rogério!$B307=H$4),"ok","nok")</f>
        <v>nok</v>
      </c>
      <c r="I306" s="60" t="str">
        <f>IF(AND($B306=[1]rogério!$A307,[1]rogério!$B307=I$4),"ok","nok")</f>
        <v>nok</v>
      </c>
      <c r="J306" s="60" t="str">
        <f>IF(AND($B306=[1]rogério!$A307,[1]rogério!$B307=J$4),"ok","nok")</f>
        <v>nok</v>
      </c>
      <c r="K306" s="60" t="str">
        <f>IF(AND($B306=[1]rogério!$A307,[1]rogério!$B307=K$4),"ok","nok")</f>
        <v>nok</v>
      </c>
      <c r="L306" s="60" t="str">
        <f>IF(AND($B306=[1]rogério!$A307,[1]rogério!$B307=L$4),"ok","nok")</f>
        <v>nok</v>
      </c>
      <c r="M306" s="60" t="str">
        <f>IF(AND($B306=[1]rogério!$A307,[1]rogério!$B307=M$4),"ok","nok")</f>
        <v>nok</v>
      </c>
      <c r="N306" s="60" t="str">
        <f>IF(AND($B306=[1]rogério!$A307,[1]rogério!$B307=N$4),"ok","nok")</f>
        <v>nok</v>
      </c>
      <c r="O306" s="60" t="str">
        <f>IF(AND($B306=[1]rogério!$A307,[1]rogério!$B307=O$4),"ok","nok")</f>
        <v>nok</v>
      </c>
      <c r="P306" s="60" t="str">
        <f>IF(AND($B306=[1]rogério!$A307,[1]rogério!$B307=P$4),"ok","nok")</f>
        <v>nok</v>
      </c>
      <c r="Q306" s="60" t="str">
        <f>IF(AND($B306=[1]rogério!$A307,[1]rogério!$B307=Q$4),"ok","nok")</f>
        <v>nok</v>
      </c>
      <c r="R306" s="60" t="str">
        <f>IF(AND($B306=[1]rogério!$A307,[1]rogério!$B307=R$4),"ok","nok")</f>
        <v>nok</v>
      </c>
      <c r="S306" s="60" t="str">
        <f>IF(AND($B306=[1]rogério!$A307,[1]rogério!$B307=S$4),"ok","nok")</f>
        <v>nok</v>
      </c>
      <c r="T306" s="60" t="str">
        <f>IF(AND($B306=[1]rogério!$A307,[1]rogério!$B307=T$4),"ok","nok")</f>
        <v>nok</v>
      </c>
      <c r="U306" s="60" t="str">
        <f>IF(AND($B306=[1]rogério!$A307,[1]rogério!$B307=U$4),"ok","nok")</f>
        <v>ok</v>
      </c>
      <c r="V306" s="60" t="str">
        <f>IF(AND($B306=[1]rogério!$A307,[1]rogério!$B307=V$4),"ok","nok")</f>
        <v>nok</v>
      </c>
      <c r="W306" s="60" t="str">
        <f>IF(AND($B306=[1]rogério!$A307,[1]rogério!$B307=W$4),"ok","nok")</f>
        <v>nok</v>
      </c>
      <c r="X306" s="60" t="str">
        <f>IF(AND($B306=[1]rogério!$A307,[1]rogério!$B307=X$4),"ok","nok")</f>
        <v>nok</v>
      </c>
      <c r="Y306" s="105" t="s">
        <v>15</v>
      </c>
      <c r="Z306" s="106"/>
      <c r="AA306" s="106"/>
      <c r="AB306" s="107"/>
      <c r="AC306" s="46"/>
      <c r="AD306" s="46"/>
      <c r="AE306" s="48" t="str">
        <f t="shared" si="73"/>
        <v/>
      </c>
      <c r="AF306" s="48"/>
      <c r="AG306" s="48"/>
      <c r="AH306" s="89"/>
      <c r="AI306" s="49">
        <f t="shared" si="74"/>
        <v>0</v>
      </c>
      <c r="AJ306" s="49" t="str">
        <f t="shared" si="75"/>
        <v/>
      </c>
      <c r="AK306" s="49">
        <f t="shared" si="76"/>
        <v>0</v>
      </c>
      <c r="AL306" s="49" t="str">
        <f t="shared" si="77"/>
        <v/>
      </c>
      <c r="AM306" s="49">
        <f t="shared" si="78"/>
        <v>0</v>
      </c>
      <c r="AN306" s="49" t="str">
        <f t="shared" si="79"/>
        <v/>
      </c>
      <c r="AO306" s="49">
        <f t="shared" si="80"/>
        <v>1</v>
      </c>
      <c r="AP306" s="49" t="str">
        <f t="shared" si="81"/>
        <v/>
      </c>
      <c r="AQ306" s="49">
        <f t="shared" si="82"/>
        <v>0</v>
      </c>
      <c r="AR306" s="49" t="str">
        <f t="shared" si="83"/>
        <v/>
      </c>
    </row>
    <row r="307" spans="1:44" ht="30" customHeight="1" x14ac:dyDescent="0.35">
      <c r="A307" s="25" t="str">
        <f t="shared" si="88"/>
        <v>PT177 - PLATAFORMA DE ACESSO - FORQUILHA 2 - BÁSICO
TORRE B3PROJETO BÁSICO
CIVIL</v>
      </c>
      <c r="B307" s="38" t="s">
        <v>74</v>
      </c>
      <c r="C307" s="60" t="str">
        <f>IF(AND($B307=[1]rogério!$A308,[1]rogério!$B308=C$4),"ok","nok")</f>
        <v>nok</v>
      </c>
      <c r="D307" s="60" t="str">
        <f>IF(AND($B307=[1]rogério!$A308,[1]rogério!$B308=D$4),"ok","nok")</f>
        <v>nok</v>
      </c>
      <c r="E307" s="60" t="str">
        <f>IF(AND($B307=[1]rogério!$A308,[1]rogério!$B308=E$4),"ok","nok")</f>
        <v>nok</v>
      </c>
      <c r="F307" s="60" t="str">
        <f>IF(AND($B307=[1]rogério!$A308,[1]rogério!$B308=F$4),"ok","nok")</f>
        <v>nok</v>
      </c>
      <c r="G307" s="60" t="str">
        <f>IF(AND($B307=[1]rogério!$A308,[1]rogério!$B308=G$4),"ok","nok")</f>
        <v>nok</v>
      </c>
      <c r="H307" s="60" t="str">
        <f>IF(AND($B307=[1]rogério!$A308,[1]rogério!$B308=H$4),"ok","nok")</f>
        <v>nok</v>
      </c>
      <c r="I307" s="60" t="str">
        <f>IF(AND($B307=[1]rogério!$A308,[1]rogério!$B308=I$4),"ok","nok")</f>
        <v>nok</v>
      </c>
      <c r="J307" s="60" t="str">
        <f>IF(AND($B307=[1]rogério!$A308,[1]rogério!$B308=J$4),"ok","nok")</f>
        <v>nok</v>
      </c>
      <c r="K307" s="60" t="str">
        <f>IF(AND($B307=[1]rogério!$A308,[1]rogério!$B308=K$4),"ok","nok")</f>
        <v>nok</v>
      </c>
      <c r="L307" s="60" t="str">
        <f>IF(AND($B307=[1]rogério!$A308,[1]rogério!$B308=L$4),"ok","nok")</f>
        <v>ok</v>
      </c>
      <c r="M307" s="60" t="str">
        <f>IF(AND($B307=[1]rogério!$A308,[1]rogério!$B308=M$4),"ok","nok")</f>
        <v>nok</v>
      </c>
      <c r="N307" s="60" t="str">
        <f>IF(AND($B307=[1]rogério!$A308,[1]rogério!$B308=N$4),"ok","nok")</f>
        <v>nok</v>
      </c>
      <c r="O307" s="60" t="str">
        <f>IF(AND($B307=[1]rogério!$A308,[1]rogério!$B308=O$4),"ok","nok")</f>
        <v>nok</v>
      </c>
      <c r="P307" s="60" t="str">
        <f>IF(AND($B307=[1]rogério!$A308,[1]rogério!$B308=P$4),"ok","nok")</f>
        <v>nok</v>
      </c>
      <c r="Q307" s="60" t="str">
        <f>IF(AND($B307=[1]rogério!$A308,[1]rogério!$B308=Q$4),"ok","nok")</f>
        <v>nok</v>
      </c>
      <c r="R307" s="60" t="str">
        <f>IF(AND($B307=[1]rogério!$A308,[1]rogério!$B308=R$4),"ok","nok")</f>
        <v>nok</v>
      </c>
      <c r="S307" s="60" t="str">
        <f>IF(AND($B307=[1]rogério!$A308,[1]rogério!$B308=S$4),"ok","nok")</f>
        <v>nok</v>
      </c>
      <c r="T307" s="60" t="str">
        <f>IF(AND($B307=[1]rogério!$A308,[1]rogério!$B308=T$4),"ok","nok")</f>
        <v>nok</v>
      </c>
      <c r="U307" s="60" t="str">
        <f>IF(AND($B307=[1]rogério!$A308,[1]rogério!$B308=U$4),"ok","nok")</f>
        <v>nok</v>
      </c>
      <c r="V307" s="60" t="str">
        <f>IF(AND($B307=[1]rogério!$A308,[1]rogério!$B308=V$4),"ok","nok")</f>
        <v>nok</v>
      </c>
      <c r="W307" s="60" t="str">
        <f>IF(AND($B307=[1]rogério!$A308,[1]rogério!$B308=W$4),"ok","nok")</f>
        <v>nok</v>
      </c>
      <c r="X307" s="60" t="str">
        <f>IF(AND($B307=[1]rogério!$A308,[1]rogério!$B308=X$4),"ok","nok")</f>
        <v>nok</v>
      </c>
      <c r="Y307" s="105" t="s">
        <v>15</v>
      </c>
      <c r="Z307" s="106"/>
      <c r="AA307" s="106"/>
      <c r="AB307" s="107"/>
      <c r="AC307" s="40"/>
      <c r="AD307" s="40"/>
      <c r="AE307" s="48" t="str">
        <f t="shared" si="73"/>
        <v/>
      </c>
      <c r="AF307" s="48"/>
      <c r="AG307" s="48"/>
      <c r="AH307" s="89"/>
      <c r="AI307" s="49">
        <f t="shared" si="74"/>
        <v>0</v>
      </c>
      <c r="AJ307" s="49" t="str">
        <f t="shared" si="75"/>
        <v/>
      </c>
      <c r="AK307" s="49">
        <f t="shared" si="76"/>
        <v>1</v>
      </c>
      <c r="AL307" s="49" t="str">
        <f t="shared" si="77"/>
        <v/>
      </c>
      <c r="AM307" s="49">
        <f t="shared" si="78"/>
        <v>0</v>
      </c>
      <c r="AN307" s="49" t="str">
        <f t="shared" si="79"/>
        <v/>
      </c>
      <c r="AO307" s="49">
        <f t="shared" si="80"/>
        <v>0</v>
      </c>
      <c r="AP307" s="49" t="str">
        <f t="shared" si="81"/>
        <v/>
      </c>
      <c r="AQ307" s="49">
        <f t="shared" si="82"/>
        <v>0</v>
      </c>
      <c r="AR307" s="49" t="str">
        <f t="shared" si="83"/>
        <v/>
      </c>
    </row>
    <row r="308" spans="1:44" ht="30" customHeight="1" x14ac:dyDescent="0.35">
      <c r="A308" s="25" t="str">
        <f t="shared" si="88"/>
        <v>PT177 - PLATAFORMA DE ACESSO - FORQUILHA 2 - BÁSICO
TORRE B3PROJETO BÁSICO
CIVIL</v>
      </c>
      <c r="B308" s="38" t="s">
        <v>75</v>
      </c>
      <c r="C308" s="60" t="str">
        <f>IF(AND($B308=[1]rogério!$A309,[1]rogério!$B309=C$4),"ok","nok")</f>
        <v>nok</v>
      </c>
      <c r="D308" s="60" t="str">
        <f>IF(AND($B308=[1]rogério!$A309,[1]rogério!$B309=D$4),"ok","nok")</f>
        <v>nok</v>
      </c>
      <c r="E308" s="60" t="str">
        <f>IF(AND($B308=[1]rogério!$A309,[1]rogério!$B309=E$4),"ok","nok")</f>
        <v>nok</v>
      </c>
      <c r="F308" s="60" t="str">
        <f>IF(AND($B308=[1]rogério!$A309,[1]rogério!$B309=F$4),"ok","nok")</f>
        <v>nok</v>
      </c>
      <c r="G308" s="60" t="str">
        <f>IF(AND($B308=[1]rogério!$A309,[1]rogério!$B309=G$4),"ok","nok")</f>
        <v>nok</v>
      </c>
      <c r="H308" s="60" t="str">
        <f>IF(AND($B308=[1]rogério!$A309,[1]rogério!$B309=H$4),"ok","nok")</f>
        <v>nok</v>
      </c>
      <c r="I308" s="60" t="str">
        <f>IF(AND($B308=[1]rogério!$A309,[1]rogério!$B309=I$4),"ok","nok")</f>
        <v>nok</v>
      </c>
      <c r="J308" s="60" t="str">
        <f>IF(AND($B308=[1]rogério!$A309,[1]rogério!$B309=J$4),"ok","nok")</f>
        <v>nok</v>
      </c>
      <c r="K308" s="60" t="str">
        <f>IF(AND($B308=[1]rogério!$A309,[1]rogério!$B309=K$4),"ok","nok")</f>
        <v>nok</v>
      </c>
      <c r="L308" s="60" t="str">
        <f>IF(AND($B308=[1]rogério!$A309,[1]rogério!$B309=L$4),"ok","nok")</f>
        <v>nok</v>
      </c>
      <c r="M308" s="60" t="str">
        <f>IF(AND($B308=[1]rogério!$A309,[1]rogério!$B309=M$4),"ok","nok")</f>
        <v>ok</v>
      </c>
      <c r="N308" s="60" t="str">
        <f>IF(AND($B308=[1]rogério!$A309,[1]rogério!$B309=N$4),"ok","nok")</f>
        <v>nok</v>
      </c>
      <c r="O308" s="60" t="str">
        <f>IF(AND($B308=[1]rogério!$A309,[1]rogério!$B309=O$4),"ok","nok")</f>
        <v>nok</v>
      </c>
      <c r="P308" s="60" t="str">
        <f>IF(AND($B308=[1]rogério!$A309,[1]rogério!$B309=P$4),"ok","nok")</f>
        <v>nok</v>
      </c>
      <c r="Q308" s="60" t="str">
        <f>IF(AND($B308=[1]rogério!$A309,[1]rogério!$B309=Q$4),"ok","nok")</f>
        <v>nok</v>
      </c>
      <c r="R308" s="60" t="str">
        <f>IF(AND($B308=[1]rogério!$A309,[1]rogério!$B309=R$4),"ok","nok")</f>
        <v>nok</v>
      </c>
      <c r="S308" s="60" t="str">
        <f>IF(AND($B308=[1]rogério!$A309,[1]rogério!$B309=S$4),"ok","nok")</f>
        <v>nok</v>
      </c>
      <c r="T308" s="60" t="str">
        <f>IF(AND($B308=[1]rogério!$A309,[1]rogério!$B309=T$4),"ok","nok")</f>
        <v>nok</v>
      </c>
      <c r="U308" s="60" t="str">
        <f>IF(AND($B308=[1]rogério!$A309,[1]rogério!$B309=U$4),"ok","nok")</f>
        <v>nok</v>
      </c>
      <c r="V308" s="60" t="str">
        <f>IF(AND($B308=[1]rogério!$A309,[1]rogério!$B309=V$4),"ok","nok")</f>
        <v>nok</v>
      </c>
      <c r="W308" s="60" t="str">
        <f>IF(AND($B308=[1]rogério!$A309,[1]rogério!$B309=W$4),"ok","nok")</f>
        <v>nok</v>
      </c>
      <c r="X308" s="60" t="str">
        <f>IF(AND($B308=[1]rogério!$A309,[1]rogério!$B309=X$4),"ok","nok")</f>
        <v>nok</v>
      </c>
      <c r="Y308" s="105" t="s">
        <v>15</v>
      </c>
      <c r="Z308" s="106"/>
      <c r="AA308" s="106"/>
      <c r="AB308" s="107"/>
      <c r="AC308" s="40"/>
      <c r="AD308" s="40"/>
      <c r="AE308" s="48" t="str">
        <f t="shared" si="73"/>
        <v/>
      </c>
      <c r="AF308" s="48"/>
      <c r="AG308" s="48"/>
      <c r="AH308" s="89"/>
      <c r="AI308" s="49">
        <f t="shared" si="74"/>
        <v>0</v>
      </c>
      <c r="AJ308" s="49" t="str">
        <f t="shared" si="75"/>
        <v/>
      </c>
      <c r="AK308" s="49">
        <f t="shared" si="76"/>
        <v>0</v>
      </c>
      <c r="AL308" s="49" t="str">
        <f t="shared" si="77"/>
        <v/>
      </c>
      <c r="AM308" s="49">
        <f t="shared" si="78"/>
        <v>1</v>
      </c>
      <c r="AN308" s="49" t="str">
        <f t="shared" si="79"/>
        <v/>
      </c>
      <c r="AO308" s="49">
        <f t="shared" si="80"/>
        <v>0</v>
      </c>
      <c r="AP308" s="49" t="str">
        <f t="shared" si="81"/>
        <v/>
      </c>
      <c r="AQ308" s="49">
        <f t="shared" si="82"/>
        <v>0</v>
      </c>
      <c r="AR308" s="49" t="str">
        <f t="shared" si="83"/>
        <v/>
      </c>
    </row>
    <row r="309" spans="1:44" ht="30" customHeight="1" x14ac:dyDescent="0.35">
      <c r="A309" s="25"/>
      <c r="B309" s="39" t="s">
        <v>62</v>
      </c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108"/>
      <c r="Z309" s="109"/>
      <c r="AA309" s="109"/>
      <c r="AB309" s="110"/>
      <c r="AC309" s="40"/>
      <c r="AD309" s="40"/>
      <c r="AE309" s="48" t="str">
        <f t="shared" si="73"/>
        <v/>
      </c>
      <c r="AF309" s="48"/>
      <c r="AG309" s="48"/>
      <c r="AH309" s="89"/>
      <c r="AI309" s="49">
        <f t="shared" si="74"/>
        <v>0</v>
      </c>
      <c r="AJ309" s="49" t="str">
        <f t="shared" si="75"/>
        <v/>
      </c>
      <c r="AK309" s="49">
        <f t="shared" si="76"/>
        <v>0</v>
      </c>
      <c r="AL309" s="49" t="str">
        <f t="shared" si="77"/>
        <v/>
      </c>
      <c r="AM309" s="49">
        <f t="shared" si="78"/>
        <v>0</v>
      </c>
      <c r="AN309" s="49" t="str">
        <f t="shared" si="79"/>
        <v/>
      </c>
      <c r="AO309" s="49">
        <f t="shared" si="80"/>
        <v>0</v>
      </c>
      <c r="AP309" s="49" t="str">
        <f t="shared" si="81"/>
        <v/>
      </c>
      <c r="AQ309" s="49">
        <f t="shared" si="82"/>
        <v>0</v>
      </c>
      <c r="AR309" s="49" t="str">
        <f t="shared" si="83"/>
        <v/>
      </c>
    </row>
    <row r="310" spans="1:44" ht="30" customHeight="1" x14ac:dyDescent="0.35">
      <c r="A310" s="25" t="str">
        <f t="shared" si="88"/>
        <v>PT177 - PLATAFORMA DE ACESSO - FORQUILHA 2 - BÁSICO
TORRE B3PROJETO BÁSICO
CIVIL</v>
      </c>
      <c r="B310" s="40" t="s">
        <v>49</v>
      </c>
      <c r="C310" s="60" t="str">
        <f>IF(AND($B310=[1]rogério!$A311,[1]rogério!$B311=C$4),"ok","nok")</f>
        <v>nok</v>
      </c>
      <c r="D310" s="60" t="str">
        <f>IF(AND($B310=[1]rogério!$A311,[1]rogério!$B311=D$4),"ok","nok")</f>
        <v>nok</v>
      </c>
      <c r="E310" s="60" t="str">
        <f>IF(AND($B310=[1]rogério!$A311,[1]rogério!$B311=E$4),"ok","nok")</f>
        <v>nok</v>
      </c>
      <c r="F310" s="60" t="str">
        <f>IF(AND($B310=[1]rogério!$A311,[1]rogério!$B311=F$4),"ok","nok")</f>
        <v>nok</v>
      </c>
      <c r="G310" s="60" t="str">
        <f>IF(AND($B310=[1]rogério!$A311,[1]rogério!$B311=G$4),"ok","nok")</f>
        <v>nok</v>
      </c>
      <c r="H310" s="60" t="str">
        <f>IF(AND($B310=[1]rogério!$A311,[1]rogério!$B311=H$4),"ok","nok")</f>
        <v>nok</v>
      </c>
      <c r="I310" s="60" t="str">
        <f>IF(AND($B310=[1]rogério!$A311,[1]rogério!$B311=I$4),"ok","nok")</f>
        <v>nok</v>
      </c>
      <c r="J310" s="60" t="str">
        <f>IF(AND($B310=[1]rogério!$A311,[1]rogério!$B311=J$4),"ok","nok")</f>
        <v>nok</v>
      </c>
      <c r="K310" s="60" t="str">
        <f>IF(AND($B310=[1]rogério!$A311,[1]rogério!$B311=K$4),"ok","nok")</f>
        <v>nok</v>
      </c>
      <c r="L310" s="60" t="str">
        <f>IF(AND($B310=[1]rogério!$A311,[1]rogério!$B311=L$4),"ok","nok")</f>
        <v>nok</v>
      </c>
      <c r="M310" s="60" t="str">
        <f>IF(AND($B310=[1]rogério!$A311,[1]rogério!$B311=M$4),"ok","nok")</f>
        <v>ok</v>
      </c>
      <c r="N310" s="60" t="str">
        <f>IF(AND($B310=[1]rogério!$A311,[1]rogério!$B311=N$4),"ok","nok")</f>
        <v>nok</v>
      </c>
      <c r="O310" s="60" t="str">
        <f>IF(AND($B310=[1]rogério!$A311,[1]rogério!$B311=O$4),"ok","nok")</f>
        <v>nok</v>
      </c>
      <c r="P310" s="60" t="str">
        <f>IF(AND($B310=[1]rogério!$A311,[1]rogério!$B311=P$4),"ok","nok")</f>
        <v>nok</v>
      </c>
      <c r="Q310" s="60" t="str">
        <f>IF(AND($B310=[1]rogério!$A311,[1]rogério!$B311=Q$4),"ok","nok")</f>
        <v>nok</v>
      </c>
      <c r="R310" s="60" t="str">
        <f>IF(AND($B310=[1]rogério!$A311,[1]rogério!$B311=R$4),"ok","nok")</f>
        <v>nok</v>
      </c>
      <c r="S310" s="60" t="str">
        <f>IF(AND($B310=[1]rogério!$A311,[1]rogério!$B311=S$4),"ok","nok")</f>
        <v>nok</v>
      </c>
      <c r="T310" s="60" t="str">
        <f>IF(AND($B310=[1]rogério!$A311,[1]rogério!$B311=T$4),"ok","nok")</f>
        <v>nok</v>
      </c>
      <c r="U310" s="60" t="str">
        <f>IF(AND($B310=[1]rogério!$A311,[1]rogério!$B311=U$4),"ok","nok")</f>
        <v>nok</v>
      </c>
      <c r="V310" s="60" t="str">
        <f>IF(AND($B310=[1]rogério!$A311,[1]rogério!$B311=V$4),"ok","nok")</f>
        <v>nok</v>
      </c>
      <c r="W310" s="60" t="str">
        <f>IF(AND($B310=[1]rogério!$A311,[1]rogério!$B311=W$4),"ok","nok")</f>
        <v>nok</v>
      </c>
      <c r="X310" s="60" t="str">
        <f>IF(AND($B310=[1]rogério!$A311,[1]rogério!$B311=X$4),"ok","nok")</f>
        <v>nok</v>
      </c>
      <c r="Y310" s="105" t="s">
        <v>15</v>
      </c>
      <c r="Z310" s="106"/>
      <c r="AA310" s="106"/>
      <c r="AB310" s="107"/>
      <c r="AC310" s="41"/>
      <c r="AD310" s="41"/>
      <c r="AE310" s="48" t="str">
        <f t="shared" si="73"/>
        <v/>
      </c>
      <c r="AF310" s="48"/>
      <c r="AG310" s="48"/>
      <c r="AH310" s="89"/>
      <c r="AI310" s="49">
        <f t="shared" si="74"/>
        <v>0</v>
      </c>
      <c r="AJ310" s="49" t="str">
        <f t="shared" si="75"/>
        <v/>
      </c>
      <c r="AK310" s="49">
        <f t="shared" si="76"/>
        <v>0</v>
      </c>
      <c r="AL310" s="49" t="str">
        <f t="shared" si="77"/>
        <v/>
      </c>
      <c r="AM310" s="49">
        <f t="shared" si="78"/>
        <v>1</v>
      </c>
      <c r="AN310" s="49" t="str">
        <f t="shared" si="79"/>
        <v/>
      </c>
      <c r="AO310" s="49">
        <f t="shared" si="80"/>
        <v>0</v>
      </c>
      <c r="AP310" s="49" t="str">
        <f t="shared" si="81"/>
        <v/>
      </c>
      <c r="AQ310" s="49">
        <f t="shared" si="82"/>
        <v>0</v>
      </c>
      <c r="AR310" s="49" t="str">
        <f t="shared" si="83"/>
        <v/>
      </c>
    </row>
    <row r="311" spans="1:44" ht="30" customHeight="1" x14ac:dyDescent="0.35">
      <c r="A311" s="25" t="str">
        <f t="shared" si="88"/>
        <v>PT177 - PLATAFORMA DE ACESSO - FORQUILHA 2 - BÁSICO
TORRE B3PROJETO BÁSICO
CIVIL</v>
      </c>
      <c r="B311" s="40" t="s">
        <v>19</v>
      </c>
      <c r="C311" s="60" t="str">
        <f>IF(AND($B311=[1]rogério!$A312,[1]rogério!$B312=C$4),"ok","nok")</f>
        <v>nok</v>
      </c>
      <c r="D311" s="60" t="str">
        <f>IF(AND($B311=[1]rogério!$A312,[1]rogério!$B312=D$4),"ok","nok")</f>
        <v>nok</v>
      </c>
      <c r="E311" s="60" t="str">
        <f>IF(AND($B311=[1]rogério!$A312,[1]rogério!$B312=E$4),"ok","nok")</f>
        <v>nok</v>
      </c>
      <c r="F311" s="60" t="str">
        <f>IF(AND($B311=[1]rogério!$A312,[1]rogério!$B312=F$4),"ok","nok")</f>
        <v>nok</v>
      </c>
      <c r="G311" s="60" t="str">
        <f>IF(AND($B311=[1]rogério!$A312,[1]rogério!$B312=G$4),"ok","nok")</f>
        <v>nok</v>
      </c>
      <c r="H311" s="60" t="str">
        <f>IF(AND($B311=[1]rogério!$A312,[1]rogério!$B312=H$4),"ok","nok")</f>
        <v>nok</v>
      </c>
      <c r="I311" s="60" t="str">
        <f>IF(AND($B311=[1]rogério!$A312,[1]rogério!$B312=I$4),"ok","nok")</f>
        <v>nok</v>
      </c>
      <c r="J311" s="60" t="str">
        <f>IF(AND($B311=[1]rogério!$A312,[1]rogério!$B312=J$4),"ok","nok")</f>
        <v>nok</v>
      </c>
      <c r="K311" s="60" t="str">
        <f>IF(AND($B311=[1]rogério!$A312,[1]rogério!$B312=K$4),"ok","nok")</f>
        <v>nok</v>
      </c>
      <c r="L311" s="60" t="str">
        <f>IF(AND($B311=[1]rogério!$A312,[1]rogério!$B312=L$4),"ok","nok")</f>
        <v>nok</v>
      </c>
      <c r="M311" s="60" t="str">
        <f>IF(AND($B311=[1]rogério!$A312,[1]rogério!$B312=M$4),"ok","nok")</f>
        <v>nok</v>
      </c>
      <c r="N311" s="60" t="str">
        <f>IF(AND($B311=[1]rogério!$A312,[1]rogério!$B312=N$4),"ok","nok")</f>
        <v>nok</v>
      </c>
      <c r="O311" s="60" t="str">
        <f>IF(AND($B311=[1]rogério!$A312,[1]rogério!$B312=O$4),"ok","nok")</f>
        <v>nok</v>
      </c>
      <c r="P311" s="60" t="str">
        <f>IF(AND($B311=[1]rogério!$A312,[1]rogério!$B312=P$4),"ok","nok")</f>
        <v>nok</v>
      </c>
      <c r="Q311" s="60" t="str">
        <f>IF(AND($B311=[1]rogério!$A312,[1]rogério!$B312=Q$4),"ok","nok")</f>
        <v>nok</v>
      </c>
      <c r="R311" s="60" t="str">
        <f>IF(AND($B311=[1]rogério!$A312,[1]rogério!$B312=R$4),"ok","nok")</f>
        <v>ok</v>
      </c>
      <c r="S311" s="60" t="str">
        <f>IF(AND($B311=[1]rogério!$A312,[1]rogério!$B312=S$4),"ok","nok")</f>
        <v>nok</v>
      </c>
      <c r="T311" s="60" t="str">
        <f>IF(AND($B311=[1]rogério!$A312,[1]rogério!$B312=T$4),"ok","nok")</f>
        <v>nok</v>
      </c>
      <c r="U311" s="60" t="str">
        <f>IF(AND($B311=[1]rogério!$A312,[1]rogério!$B312=U$4),"ok","nok")</f>
        <v>nok</v>
      </c>
      <c r="V311" s="60" t="str">
        <f>IF(AND($B311=[1]rogério!$A312,[1]rogério!$B312=V$4),"ok","nok")</f>
        <v>nok</v>
      </c>
      <c r="W311" s="60" t="str">
        <f>IF(AND($B311=[1]rogério!$A312,[1]rogério!$B312=W$4),"ok","nok")</f>
        <v>nok</v>
      </c>
      <c r="X311" s="60" t="str">
        <f>IF(AND($B311=[1]rogério!$A312,[1]rogério!$B312=X$4),"ok","nok")</f>
        <v>nok</v>
      </c>
      <c r="Y311" s="105" t="s">
        <v>15</v>
      </c>
      <c r="Z311" s="106"/>
      <c r="AA311" s="106"/>
      <c r="AB311" s="107"/>
      <c r="AC311" s="46"/>
      <c r="AD311" s="46"/>
      <c r="AE311" s="48" t="str">
        <f t="shared" si="73"/>
        <v/>
      </c>
      <c r="AF311" s="48"/>
      <c r="AG311" s="48"/>
      <c r="AH311" s="89"/>
      <c r="AI311" s="49">
        <f t="shared" si="74"/>
        <v>0</v>
      </c>
      <c r="AJ311" s="49" t="str">
        <f t="shared" si="75"/>
        <v/>
      </c>
      <c r="AK311" s="49">
        <f t="shared" si="76"/>
        <v>0</v>
      </c>
      <c r="AL311" s="49" t="str">
        <f t="shared" si="77"/>
        <v/>
      </c>
      <c r="AM311" s="49">
        <f t="shared" si="78"/>
        <v>0</v>
      </c>
      <c r="AN311" s="49" t="str">
        <f t="shared" si="79"/>
        <v/>
      </c>
      <c r="AO311" s="49">
        <f t="shared" si="80"/>
        <v>1</v>
      </c>
      <c r="AP311" s="49" t="str">
        <f t="shared" si="81"/>
        <v/>
      </c>
      <c r="AQ311" s="49">
        <f t="shared" si="82"/>
        <v>0</v>
      </c>
      <c r="AR311" s="49" t="str">
        <f t="shared" si="83"/>
        <v/>
      </c>
    </row>
    <row r="312" spans="1:44" ht="30" customHeight="1" x14ac:dyDescent="0.35">
      <c r="A312" s="25" t="str">
        <f t="shared" si="88"/>
        <v>PT177 - PLATAFORMA DE ACESSO - FORQUILHA 2 - BÁSICO
TORRE B3PROJETO BÁSICO
CIVIL</v>
      </c>
      <c r="B312" s="40" t="s">
        <v>42</v>
      </c>
      <c r="C312" s="60" t="str">
        <f>IF(AND($B312=[1]rogério!$A313,[1]rogério!$B313=C$4),"ok","nok")</f>
        <v>nok</v>
      </c>
      <c r="D312" s="60" t="str">
        <f>IF(AND($B312=[1]rogério!$A313,[1]rogério!$B313=D$4),"ok","nok")</f>
        <v>nok</v>
      </c>
      <c r="E312" s="60" t="str">
        <f>IF(AND($B312=[1]rogério!$A313,[1]rogério!$B313=E$4),"ok","nok")</f>
        <v>nok</v>
      </c>
      <c r="F312" s="60" t="str">
        <f>IF(AND($B312=[1]rogério!$A313,[1]rogério!$B313=F$4),"ok","nok")</f>
        <v>nok</v>
      </c>
      <c r="G312" s="60" t="str">
        <f>IF(AND($B312=[1]rogério!$A313,[1]rogério!$B313=G$4),"ok","nok")</f>
        <v>nok</v>
      </c>
      <c r="H312" s="60" t="str">
        <f>IF(AND($B312=[1]rogério!$A313,[1]rogério!$B313=H$4),"ok","nok")</f>
        <v>nok</v>
      </c>
      <c r="I312" s="60" t="str">
        <f>IF(AND($B312=[1]rogério!$A313,[1]rogério!$B313=I$4),"ok","nok")</f>
        <v>nok</v>
      </c>
      <c r="J312" s="60" t="str">
        <f>IF(AND($B312=[1]rogério!$A313,[1]rogério!$B313=J$4),"ok","nok")</f>
        <v>nok</v>
      </c>
      <c r="K312" s="60" t="str">
        <f>IF(AND($B312=[1]rogério!$A313,[1]rogério!$B313=K$4),"ok","nok")</f>
        <v>nok</v>
      </c>
      <c r="L312" s="60" t="str">
        <f>IF(AND($B312=[1]rogério!$A313,[1]rogério!$B313=L$4),"ok","nok")</f>
        <v>nok</v>
      </c>
      <c r="M312" s="60" t="str">
        <f>IF(AND($B312=[1]rogério!$A313,[1]rogério!$B313=M$4),"ok","nok")</f>
        <v>nok</v>
      </c>
      <c r="N312" s="60" t="str">
        <f>IF(AND($B312=[1]rogério!$A313,[1]rogério!$B313=N$4),"ok","nok")</f>
        <v>nok</v>
      </c>
      <c r="O312" s="60" t="str">
        <f>IF(AND($B312=[1]rogério!$A313,[1]rogério!$B313=O$4),"ok","nok")</f>
        <v>nok</v>
      </c>
      <c r="P312" s="60" t="str">
        <f>IF(AND($B312=[1]rogério!$A313,[1]rogério!$B313=P$4),"ok","nok")</f>
        <v>nok</v>
      </c>
      <c r="Q312" s="60" t="str">
        <f>IF(AND($B312=[1]rogério!$A313,[1]rogério!$B313=Q$4),"ok","nok")</f>
        <v>nok</v>
      </c>
      <c r="R312" s="60" t="str">
        <f>IF(AND($B312=[1]rogério!$A313,[1]rogério!$B313=R$4),"ok","nok")</f>
        <v>nok</v>
      </c>
      <c r="S312" s="60" t="str">
        <f>IF(AND($B312=[1]rogério!$A313,[1]rogério!$B313=S$4),"ok","nok")</f>
        <v>nok</v>
      </c>
      <c r="T312" s="60" t="str">
        <f>IF(AND($B312=[1]rogério!$A313,[1]rogério!$B313=T$4),"ok","nok")</f>
        <v>nok</v>
      </c>
      <c r="U312" s="60" t="str">
        <f>IF(AND($B312=[1]rogério!$A313,[1]rogério!$B313=U$4),"ok","nok")</f>
        <v>ok</v>
      </c>
      <c r="V312" s="60" t="str">
        <f>IF(AND($B312=[1]rogério!$A313,[1]rogério!$B313=V$4),"ok","nok")</f>
        <v>nok</v>
      </c>
      <c r="W312" s="60" t="str">
        <f>IF(AND($B312=[1]rogério!$A313,[1]rogério!$B313=W$4),"ok","nok")</f>
        <v>nok</v>
      </c>
      <c r="X312" s="60" t="str">
        <f>IF(AND($B312=[1]rogério!$A313,[1]rogério!$B313=X$4),"ok","nok")</f>
        <v>nok</v>
      </c>
      <c r="Y312" s="105" t="s">
        <v>15</v>
      </c>
      <c r="Z312" s="106"/>
      <c r="AA312" s="106"/>
      <c r="AB312" s="107"/>
      <c r="AC312" s="40"/>
      <c r="AD312" s="40"/>
      <c r="AE312" s="48" t="str">
        <f t="shared" si="73"/>
        <v/>
      </c>
      <c r="AF312" s="48"/>
      <c r="AG312" s="48"/>
      <c r="AH312" s="89"/>
      <c r="AI312" s="49">
        <f t="shared" si="74"/>
        <v>0</v>
      </c>
      <c r="AJ312" s="49" t="str">
        <f t="shared" si="75"/>
        <v/>
      </c>
      <c r="AK312" s="49">
        <f t="shared" si="76"/>
        <v>0</v>
      </c>
      <c r="AL312" s="49" t="str">
        <f t="shared" si="77"/>
        <v/>
      </c>
      <c r="AM312" s="49">
        <f t="shared" si="78"/>
        <v>0</v>
      </c>
      <c r="AN312" s="49" t="str">
        <f t="shared" si="79"/>
        <v/>
      </c>
      <c r="AO312" s="49">
        <f t="shared" si="80"/>
        <v>1</v>
      </c>
      <c r="AP312" s="49" t="str">
        <f t="shared" si="81"/>
        <v/>
      </c>
      <c r="AQ312" s="49">
        <f t="shared" si="82"/>
        <v>0</v>
      </c>
      <c r="AR312" s="49" t="str">
        <f t="shared" si="83"/>
        <v/>
      </c>
    </row>
    <row r="313" spans="1:44" ht="30" customHeight="1" x14ac:dyDescent="0.35">
      <c r="A313" s="25" t="str">
        <f t="shared" si="88"/>
        <v>PT177 - PLATAFORMA DE ACESSO - FORQUILHA 2 - BÁSICO
TORRE B3PROJETO BÁSICO
CIVIL</v>
      </c>
      <c r="B313" s="40" t="s">
        <v>43</v>
      </c>
      <c r="C313" s="60" t="str">
        <f>IF(AND($B313=[1]rogério!$A314,[1]rogério!$B314=C$4),"ok","nok")</f>
        <v>nok</v>
      </c>
      <c r="D313" s="60" t="str">
        <f>IF(AND($B313=[1]rogério!$A314,[1]rogério!$B314=D$4),"ok","nok")</f>
        <v>nok</v>
      </c>
      <c r="E313" s="60" t="str">
        <f>IF(AND($B313=[1]rogério!$A314,[1]rogério!$B314=E$4),"ok","nok")</f>
        <v>nok</v>
      </c>
      <c r="F313" s="60" t="str">
        <f>IF(AND($B313=[1]rogério!$A314,[1]rogério!$B314=F$4),"ok","nok")</f>
        <v>nok</v>
      </c>
      <c r="G313" s="60" t="str">
        <f>IF(AND($B313=[1]rogério!$A314,[1]rogério!$B314=G$4),"ok","nok")</f>
        <v>nok</v>
      </c>
      <c r="H313" s="60" t="str">
        <f>IF(AND($B313=[1]rogério!$A314,[1]rogério!$B314=H$4),"ok","nok")</f>
        <v>nok</v>
      </c>
      <c r="I313" s="60" t="str">
        <f>IF(AND($B313=[1]rogério!$A314,[1]rogério!$B314=I$4),"ok","nok")</f>
        <v>nok</v>
      </c>
      <c r="J313" s="60" t="str">
        <f>IF(AND($B313=[1]rogério!$A314,[1]rogério!$B314=J$4),"ok","nok")</f>
        <v>nok</v>
      </c>
      <c r="K313" s="60" t="str">
        <f>IF(AND($B313=[1]rogério!$A314,[1]rogério!$B314=K$4),"ok","nok")</f>
        <v>nok</v>
      </c>
      <c r="L313" s="60" t="str">
        <f>IF(AND($B313=[1]rogério!$A314,[1]rogério!$B314=L$4),"ok","nok")</f>
        <v>nok</v>
      </c>
      <c r="M313" s="60" t="str">
        <f>IF(AND($B313=[1]rogério!$A314,[1]rogério!$B314=M$4),"ok","nok")</f>
        <v>nok</v>
      </c>
      <c r="N313" s="60" t="str">
        <f>IF(AND($B313=[1]rogério!$A314,[1]rogério!$B314=N$4),"ok","nok")</f>
        <v>nok</v>
      </c>
      <c r="O313" s="60" t="str">
        <f>IF(AND($B313=[1]rogério!$A314,[1]rogério!$B314=O$4),"ok","nok")</f>
        <v>nok</v>
      </c>
      <c r="P313" s="60" t="str">
        <f>IF(AND($B313=[1]rogério!$A314,[1]rogério!$B314=P$4),"ok","nok")</f>
        <v>nok</v>
      </c>
      <c r="Q313" s="60" t="str">
        <f>IF(AND($B313=[1]rogério!$A314,[1]rogério!$B314=Q$4),"ok","nok")</f>
        <v>nok</v>
      </c>
      <c r="R313" s="60" t="str">
        <f>IF(AND($B313=[1]rogério!$A314,[1]rogério!$B314=R$4),"ok","nok")</f>
        <v>nok</v>
      </c>
      <c r="S313" s="60" t="str">
        <f>IF(AND($B313=[1]rogério!$A314,[1]rogério!$B314=S$4),"ok","nok")</f>
        <v>nok</v>
      </c>
      <c r="T313" s="60" t="str">
        <f>IF(AND($B313=[1]rogério!$A314,[1]rogério!$B314=T$4),"ok","nok")</f>
        <v>nok</v>
      </c>
      <c r="U313" s="60" t="str">
        <f>IF(AND($B313=[1]rogério!$A314,[1]rogério!$B314=U$4),"ok","nok")</f>
        <v>ok</v>
      </c>
      <c r="V313" s="60" t="str">
        <f>IF(AND($B313=[1]rogério!$A314,[1]rogério!$B314=V$4),"ok","nok")</f>
        <v>nok</v>
      </c>
      <c r="W313" s="60" t="str">
        <f>IF(AND($B313=[1]rogério!$A314,[1]rogério!$B314=W$4),"ok","nok")</f>
        <v>nok</v>
      </c>
      <c r="X313" s="60" t="str">
        <f>IF(AND($B313=[1]rogério!$A314,[1]rogério!$B314=X$4),"ok","nok")</f>
        <v>nok</v>
      </c>
      <c r="Y313" s="105" t="s">
        <v>15</v>
      </c>
      <c r="Z313" s="106"/>
      <c r="AA313" s="106"/>
      <c r="AB313" s="107"/>
      <c r="AC313" s="40"/>
      <c r="AD313" s="40"/>
      <c r="AE313" s="48" t="str">
        <f t="shared" si="73"/>
        <v/>
      </c>
      <c r="AF313" s="48"/>
      <c r="AG313" s="48"/>
      <c r="AH313" s="89"/>
      <c r="AI313" s="49">
        <f t="shared" si="74"/>
        <v>0</v>
      </c>
      <c r="AJ313" s="49" t="str">
        <f t="shared" si="75"/>
        <v/>
      </c>
      <c r="AK313" s="49">
        <f t="shared" si="76"/>
        <v>0</v>
      </c>
      <c r="AL313" s="49" t="str">
        <f t="shared" si="77"/>
        <v/>
      </c>
      <c r="AM313" s="49">
        <f t="shared" si="78"/>
        <v>0</v>
      </c>
      <c r="AN313" s="49" t="str">
        <f t="shared" si="79"/>
        <v/>
      </c>
      <c r="AO313" s="49">
        <f t="shared" si="80"/>
        <v>1</v>
      </c>
      <c r="AP313" s="49" t="str">
        <f t="shared" si="81"/>
        <v/>
      </c>
      <c r="AQ313" s="49">
        <f t="shared" si="82"/>
        <v>0</v>
      </c>
      <c r="AR313" s="49" t="str">
        <f t="shared" si="83"/>
        <v/>
      </c>
    </row>
    <row r="314" spans="1:44" ht="30" customHeight="1" x14ac:dyDescent="0.35">
      <c r="A314" s="25"/>
      <c r="B314" s="42" t="s">
        <v>84</v>
      </c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111"/>
      <c r="Z314" s="112"/>
      <c r="AA314" s="112"/>
      <c r="AB314" s="113"/>
      <c r="AC314" s="40"/>
      <c r="AD314" s="40"/>
      <c r="AE314" s="48" t="str">
        <f t="shared" si="73"/>
        <v/>
      </c>
      <c r="AF314" s="48"/>
      <c r="AG314" s="48"/>
      <c r="AH314" s="89"/>
      <c r="AI314" s="49">
        <f t="shared" si="74"/>
        <v>0</v>
      </c>
      <c r="AJ314" s="49" t="str">
        <f t="shared" si="75"/>
        <v/>
      </c>
      <c r="AK314" s="49">
        <f t="shared" si="76"/>
        <v>0</v>
      </c>
      <c r="AL314" s="49" t="str">
        <f t="shared" si="77"/>
        <v/>
      </c>
      <c r="AM314" s="49">
        <f t="shared" si="78"/>
        <v>0</v>
      </c>
      <c r="AN314" s="49" t="str">
        <f t="shared" si="79"/>
        <v/>
      </c>
      <c r="AO314" s="49">
        <f t="shared" si="80"/>
        <v>0</v>
      </c>
      <c r="AP314" s="49" t="str">
        <f t="shared" si="81"/>
        <v/>
      </c>
      <c r="AQ314" s="49">
        <f t="shared" si="82"/>
        <v>0</v>
      </c>
      <c r="AR314" s="49" t="str">
        <f t="shared" si="83"/>
        <v/>
      </c>
    </row>
    <row r="315" spans="1:44" ht="30" customHeight="1" x14ac:dyDescent="0.35">
      <c r="A315" s="25"/>
      <c r="B315" s="61" t="s">
        <v>57</v>
      </c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117"/>
      <c r="Z315" s="118"/>
      <c r="AA315" s="118"/>
      <c r="AB315" s="119"/>
      <c r="AC315" s="41"/>
      <c r="AD315" s="41"/>
      <c r="AE315" s="48" t="str">
        <f t="shared" si="73"/>
        <v/>
      </c>
      <c r="AF315" s="48"/>
      <c r="AG315" s="48"/>
      <c r="AH315" s="89"/>
      <c r="AI315" s="49">
        <f t="shared" si="74"/>
        <v>0</v>
      </c>
      <c r="AJ315" s="49" t="str">
        <f t="shared" si="75"/>
        <v/>
      </c>
      <c r="AK315" s="49">
        <f t="shared" si="76"/>
        <v>0</v>
      </c>
      <c r="AL315" s="49" t="str">
        <f t="shared" si="77"/>
        <v/>
      </c>
      <c r="AM315" s="49">
        <f t="shared" si="78"/>
        <v>0</v>
      </c>
      <c r="AN315" s="49" t="str">
        <f t="shared" si="79"/>
        <v/>
      </c>
      <c r="AO315" s="49">
        <f t="shared" si="80"/>
        <v>0</v>
      </c>
      <c r="AP315" s="49" t="str">
        <f t="shared" si="81"/>
        <v/>
      </c>
      <c r="AQ315" s="49">
        <f t="shared" si="82"/>
        <v>0</v>
      </c>
      <c r="AR315" s="49" t="str">
        <f t="shared" si="83"/>
        <v/>
      </c>
    </row>
    <row r="316" spans="1:44" ht="30" customHeight="1" x14ac:dyDescent="0.35">
      <c r="A316" s="25"/>
      <c r="B316" s="62" t="s">
        <v>58</v>
      </c>
      <c r="C316" s="62"/>
      <c r="D316" s="62"/>
      <c r="E316" s="62"/>
      <c r="F316" s="62"/>
      <c r="G316" s="62"/>
      <c r="H316" s="62"/>
      <c r="I316" s="62"/>
      <c r="J316" s="62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114"/>
      <c r="Z316" s="115"/>
      <c r="AA316" s="115"/>
      <c r="AB316" s="116"/>
      <c r="AC316" s="46"/>
      <c r="AD316" s="46"/>
      <c r="AE316" s="48" t="str">
        <f t="shared" si="73"/>
        <v/>
      </c>
      <c r="AF316" s="48"/>
      <c r="AG316" s="48"/>
      <c r="AH316" s="89"/>
      <c r="AI316" s="49">
        <f t="shared" si="74"/>
        <v>0</v>
      </c>
      <c r="AJ316" s="49" t="str">
        <f t="shared" si="75"/>
        <v/>
      </c>
      <c r="AK316" s="49">
        <f t="shared" si="76"/>
        <v>0</v>
      </c>
      <c r="AL316" s="49" t="str">
        <f t="shared" si="77"/>
        <v/>
      </c>
      <c r="AM316" s="49">
        <f t="shared" si="78"/>
        <v>0</v>
      </c>
      <c r="AN316" s="49" t="str">
        <f t="shared" si="79"/>
        <v/>
      </c>
      <c r="AO316" s="49">
        <f t="shared" si="80"/>
        <v>0</v>
      </c>
      <c r="AP316" s="49" t="str">
        <f t="shared" si="81"/>
        <v/>
      </c>
      <c r="AQ316" s="49">
        <f t="shared" si="82"/>
        <v>0</v>
      </c>
      <c r="AR316" s="49" t="str">
        <f t="shared" si="83"/>
        <v/>
      </c>
    </row>
    <row r="317" spans="1:44" ht="30" customHeight="1" x14ac:dyDescent="0.35">
      <c r="A317" s="25"/>
      <c r="B317" s="39" t="s">
        <v>59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108"/>
      <c r="Z317" s="109"/>
      <c r="AA317" s="109"/>
      <c r="AB317" s="110"/>
      <c r="AC317" s="40"/>
      <c r="AD317" s="40"/>
      <c r="AE317" s="48" t="str">
        <f t="shared" si="73"/>
        <v/>
      </c>
      <c r="AF317" s="48"/>
      <c r="AG317" s="48"/>
      <c r="AH317" s="89"/>
      <c r="AI317" s="49">
        <f t="shared" si="74"/>
        <v>0</v>
      </c>
      <c r="AJ317" s="49" t="str">
        <f t="shared" si="75"/>
        <v/>
      </c>
      <c r="AK317" s="49">
        <f t="shared" si="76"/>
        <v>0</v>
      </c>
      <c r="AL317" s="49" t="str">
        <f t="shared" si="77"/>
        <v/>
      </c>
      <c r="AM317" s="49">
        <f t="shared" si="78"/>
        <v>0</v>
      </c>
      <c r="AN317" s="49" t="str">
        <f t="shared" si="79"/>
        <v/>
      </c>
      <c r="AO317" s="49">
        <f t="shared" si="80"/>
        <v>0</v>
      </c>
      <c r="AP317" s="49" t="str">
        <f t="shared" si="81"/>
        <v/>
      </c>
      <c r="AQ317" s="49">
        <f t="shared" si="82"/>
        <v>0</v>
      </c>
      <c r="AR317" s="49" t="str">
        <f t="shared" si="83"/>
        <v/>
      </c>
    </row>
    <row r="318" spans="1:44" ht="30" customHeight="1" x14ac:dyDescent="0.35">
      <c r="A318" s="25" t="str">
        <f>CONCATENATE($B$275,"
",$B$314,"",$B$315,"
",$B$316)</f>
        <v>PT177 - PLATAFORMA DE ACESSO - FORQUILHA 2 - BÁSICO
TORRE B4PROJETO BÁSICO
ESTRUTURAS METÁLICAS</v>
      </c>
      <c r="B318" s="40" t="s">
        <v>19</v>
      </c>
      <c r="C318" s="60" t="str">
        <f>IF(AND($B318=[1]rogério!$A319,[1]rogério!$B319=C$4),"ok","nok")</f>
        <v>nok</v>
      </c>
      <c r="D318" s="60" t="str">
        <f>IF(AND($B318=[1]rogério!$A319,[1]rogério!$B319=D$4),"ok","nok")</f>
        <v>nok</v>
      </c>
      <c r="E318" s="60" t="str">
        <f>IF(AND($B318=[1]rogério!$A319,[1]rogério!$B319=E$4),"ok","nok")</f>
        <v>nok</v>
      </c>
      <c r="F318" s="60" t="str">
        <f>IF(AND($B318=[1]rogério!$A319,[1]rogério!$B319=F$4),"ok","nok")</f>
        <v>nok</v>
      </c>
      <c r="G318" s="60" t="str">
        <f>IF(AND($B318=[1]rogério!$A319,[1]rogério!$B319=G$4),"ok","nok")</f>
        <v>nok</v>
      </c>
      <c r="H318" s="60" t="str">
        <f>IF(AND($B318=[1]rogério!$A319,[1]rogério!$B319=H$4),"ok","nok")</f>
        <v>nok</v>
      </c>
      <c r="I318" s="60" t="str">
        <f>IF(AND($B318=[1]rogério!$A319,[1]rogério!$B319=I$4),"ok","nok")</f>
        <v>ok</v>
      </c>
      <c r="J318" s="60" t="str">
        <f>IF(AND($B318=[1]rogério!$A319,[1]rogério!$B319=J$4),"ok","nok")</f>
        <v>nok</v>
      </c>
      <c r="K318" s="60" t="str">
        <f>IF(AND($B318=[1]rogério!$A319,[1]rogério!$B319=K$4),"ok","nok")</f>
        <v>nok</v>
      </c>
      <c r="L318" s="60" t="str">
        <f>IF(AND($B318=[1]rogério!$A319,[1]rogério!$B319=L$4),"ok","nok")</f>
        <v>nok</v>
      </c>
      <c r="M318" s="60" t="str">
        <f>IF(AND($B318=[1]rogério!$A319,[1]rogério!$B319=M$4),"ok","nok")</f>
        <v>nok</v>
      </c>
      <c r="N318" s="60" t="str">
        <f>IF(AND($B318=[1]rogério!$A319,[1]rogério!$B319=N$4),"ok","nok")</f>
        <v>nok</v>
      </c>
      <c r="O318" s="60" t="str">
        <f>IF(AND($B318=[1]rogério!$A319,[1]rogério!$B319=O$4),"ok","nok")</f>
        <v>nok</v>
      </c>
      <c r="P318" s="60" t="str">
        <f>IF(AND($B318=[1]rogério!$A319,[1]rogério!$B319=P$4),"ok","nok")</f>
        <v>nok</v>
      </c>
      <c r="Q318" s="60" t="str">
        <f>IF(AND($B318=[1]rogério!$A319,[1]rogério!$B319=Q$4),"ok","nok")</f>
        <v>nok</v>
      </c>
      <c r="R318" s="60" t="str">
        <f>IF(AND($B318=[1]rogério!$A319,[1]rogério!$B319=R$4),"ok","nok")</f>
        <v>nok</v>
      </c>
      <c r="S318" s="60" t="str">
        <f>IF(AND($B318=[1]rogério!$A319,[1]rogério!$B319=S$4),"ok","nok")</f>
        <v>nok</v>
      </c>
      <c r="T318" s="60" t="str">
        <f>IF(AND($B318=[1]rogério!$A319,[1]rogério!$B319=T$4),"ok","nok")</f>
        <v>nok</v>
      </c>
      <c r="U318" s="60" t="str">
        <f>IF(AND($B318=[1]rogério!$A319,[1]rogério!$B319=U$4),"ok","nok")</f>
        <v>nok</v>
      </c>
      <c r="V318" s="60" t="str">
        <f>IF(AND($B318=[1]rogério!$A319,[1]rogério!$B319=V$4),"ok","nok")</f>
        <v>nok</v>
      </c>
      <c r="W318" s="60" t="str">
        <f>IF(AND($B318=[1]rogério!$A319,[1]rogério!$B319=W$4),"ok","nok")</f>
        <v>nok</v>
      </c>
      <c r="X318" s="60" t="str">
        <f>IF(AND($B318=[1]rogério!$A319,[1]rogério!$B319=X$4),"ok","nok")</f>
        <v>nok</v>
      </c>
      <c r="Y318" s="105" t="s">
        <v>15</v>
      </c>
      <c r="Z318" s="106"/>
      <c r="AA318" s="106"/>
      <c r="AB318" s="107"/>
      <c r="AC318" s="40"/>
      <c r="AD318" s="40"/>
      <c r="AE318" s="48" t="str">
        <f t="shared" si="73"/>
        <v/>
      </c>
      <c r="AF318" s="48"/>
      <c r="AG318" s="48"/>
      <c r="AH318" s="89"/>
      <c r="AI318" s="49">
        <f t="shared" si="74"/>
        <v>0</v>
      </c>
      <c r="AJ318" s="49" t="str">
        <f t="shared" si="75"/>
        <v/>
      </c>
      <c r="AK318" s="49">
        <f t="shared" si="76"/>
        <v>1</v>
      </c>
      <c r="AL318" s="49" t="str">
        <f t="shared" si="77"/>
        <v/>
      </c>
      <c r="AM318" s="49">
        <f t="shared" si="78"/>
        <v>0</v>
      </c>
      <c r="AN318" s="49" t="str">
        <f t="shared" si="79"/>
        <v/>
      </c>
      <c r="AO318" s="49">
        <f t="shared" si="80"/>
        <v>0</v>
      </c>
      <c r="AP318" s="49" t="str">
        <f t="shared" si="81"/>
        <v/>
      </c>
      <c r="AQ318" s="49">
        <f t="shared" si="82"/>
        <v>0</v>
      </c>
      <c r="AR318" s="49" t="str">
        <f t="shared" si="83"/>
        <v/>
      </c>
    </row>
    <row r="319" spans="1:44" ht="30" customHeight="1" x14ac:dyDescent="0.35">
      <c r="A319" s="25" t="str">
        <f t="shared" ref="A319:A332" si="89">CONCATENATE($B$275,"
",$B$314,"",$B$315,"
",$B$316)</f>
        <v>PT177 - PLATAFORMA DE ACESSO - FORQUILHA 2 - BÁSICO
TORRE B4PROJETO BÁSICO
ESTRUTURAS METÁLICAS</v>
      </c>
      <c r="B319" s="40" t="s">
        <v>42</v>
      </c>
      <c r="C319" s="60" t="str">
        <f>IF(AND($B319=[1]rogério!$A320,[1]rogério!$B320=C$4),"ok","nok")</f>
        <v>nok</v>
      </c>
      <c r="D319" s="60" t="str">
        <f>IF(AND($B319=[1]rogério!$A320,[1]rogério!$B320=D$4),"ok","nok")</f>
        <v>nok</v>
      </c>
      <c r="E319" s="60" t="str">
        <f>IF(AND($B319=[1]rogério!$A320,[1]rogério!$B320=E$4),"ok","nok")</f>
        <v>nok</v>
      </c>
      <c r="F319" s="60" t="str">
        <f>IF(AND($B319=[1]rogério!$A320,[1]rogério!$B320=F$4),"ok","nok")</f>
        <v>nok</v>
      </c>
      <c r="G319" s="60" t="str">
        <f>IF(AND($B319=[1]rogério!$A320,[1]rogério!$B320=G$4),"ok","nok")</f>
        <v>nok</v>
      </c>
      <c r="H319" s="60" t="str">
        <f>IF(AND($B319=[1]rogério!$A320,[1]rogério!$B320=H$4),"ok","nok")</f>
        <v>nok</v>
      </c>
      <c r="I319" s="60" t="str">
        <f>IF(AND($B319=[1]rogério!$A320,[1]rogério!$B320=I$4),"ok","nok")</f>
        <v>nok</v>
      </c>
      <c r="J319" s="60" t="str">
        <f>IF(AND($B319=[1]rogério!$A320,[1]rogério!$B320=J$4),"ok","nok")</f>
        <v>nok</v>
      </c>
      <c r="K319" s="60" t="str">
        <f>IF(AND($B319=[1]rogério!$A320,[1]rogério!$B320=K$4),"ok","nok")</f>
        <v>nok</v>
      </c>
      <c r="L319" s="60" t="str">
        <f>IF(AND($B319=[1]rogério!$A320,[1]rogério!$B320=L$4),"ok","nok")</f>
        <v>ok</v>
      </c>
      <c r="M319" s="60" t="str">
        <f>IF(AND($B319=[1]rogério!$A320,[1]rogério!$B320=M$4),"ok","nok")</f>
        <v>nok</v>
      </c>
      <c r="N319" s="60" t="str">
        <f>IF(AND($B319=[1]rogério!$A320,[1]rogério!$B320=N$4),"ok","nok")</f>
        <v>nok</v>
      </c>
      <c r="O319" s="60" t="str">
        <f>IF(AND($B319=[1]rogério!$A320,[1]rogério!$B320=O$4),"ok","nok")</f>
        <v>nok</v>
      </c>
      <c r="P319" s="60" t="str">
        <f>IF(AND($B319=[1]rogério!$A320,[1]rogério!$B320=P$4),"ok","nok")</f>
        <v>nok</v>
      </c>
      <c r="Q319" s="60" t="str">
        <f>IF(AND($B319=[1]rogério!$A320,[1]rogério!$B320=Q$4),"ok","nok")</f>
        <v>nok</v>
      </c>
      <c r="R319" s="60" t="str">
        <f>IF(AND($B319=[1]rogério!$A320,[1]rogério!$B320=R$4),"ok","nok")</f>
        <v>nok</v>
      </c>
      <c r="S319" s="60" t="str">
        <f>IF(AND($B319=[1]rogério!$A320,[1]rogério!$B320=S$4),"ok","nok")</f>
        <v>nok</v>
      </c>
      <c r="T319" s="60" t="str">
        <f>IF(AND($B319=[1]rogério!$A320,[1]rogério!$B320=T$4),"ok","nok")</f>
        <v>nok</v>
      </c>
      <c r="U319" s="60" t="str">
        <f>IF(AND($B319=[1]rogério!$A320,[1]rogério!$B320=U$4),"ok","nok")</f>
        <v>nok</v>
      </c>
      <c r="V319" s="60" t="str">
        <f>IF(AND($B319=[1]rogério!$A320,[1]rogério!$B320=V$4),"ok","nok")</f>
        <v>nok</v>
      </c>
      <c r="W319" s="60" t="str">
        <f>IF(AND($B319=[1]rogério!$A320,[1]rogério!$B320=W$4),"ok","nok")</f>
        <v>nok</v>
      </c>
      <c r="X319" s="60" t="str">
        <f>IF(AND($B319=[1]rogério!$A320,[1]rogério!$B320=X$4),"ok","nok")</f>
        <v>nok</v>
      </c>
      <c r="Y319" s="105" t="s">
        <v>15</v>
      </c>
      <c r="Z319" s="106"/>
      <c r="AA319" s="106"/>
      <c r="AB319" s="107"/>
      <c r="AC319" s="40"/>
      <c r="AD319" s="40"/>
      <c r="AE319" s="48" t="str">
        <f t="shared" si="73"/>
        <v/>
      </c>
      <c r="AF319" s="48"/>
      <c r="AG319" s="48"/>
      <c r="AH319" s="89"/>
      <c r="AI319" s="49">
        <f t="shared" si="74"/>
        <v>0</v>
      </c>
      <c r="AJ319" s="49" t="str">
        <f t="shared" si="75"/>
        <v/>
      </c>
      <c r="AK319" s="49">
        <f t="shared" si="76"/>
        <v>1</v>
      </c>
      <c r="AL319" s="49" t="str">
        <f t="shared" si="77"/>
        <v/>
      </c>
      <c r="AM319" s="49">
        <f t="shared" si="78"/>
        <v>0</v>
      </c>
      <c r="AN319" s="49" t="str">
        <f t="shared" si="79"/>
        <v/>
      </c>
      <c r="AO319" s="49">
        <f t="shared" si="80"/>
        <v>0</v>
      </c>
      <c r="AP319" s="49" t="str">
        <f t="shared" si="81"/>
        <v/>
      </c>
      <c r="AQ319" s="49">
        <f t="shared" si="82"/>
        <v>0</v>
      </c>
      <c r="AR319" s="49" t="str">
        <f t="shared" si="83"/>
        <v/>
      </c>
    </row>
    <row r="320" spans="1:44" ht="30" customHeight="1" x14ac:dyDescent="0.35">
      <c r="A320" s="25" t="str">
        <f t="shared" si="89"/>
        <v>PT177 - PLATAFORMA DE ACESSO - FORQUILHA 2 - BÁSICO
TORRE B4PROJETO BÁSICO
ESTRUTURAS METÁLICAS</v>
      </c>
      <c r="B320" s="40" t="s">
        <v>43</v>
      </c>
      <c r="C320" s="60" t="str">
        <f>IF(AND($B320=[1]rogério!$A321,[1]rogério!$B321=C$4),"ok","nok")</f>
        <v>nok</v>
      </c>
      <c r="D320" s="60" t="str">
        <f>IF(AND($B320=[1]rogério!$A321,[1]rogério!$B321=D$4),"ok","nok")</f>
        <v>nok</v>
      </c>
      <c r="E320" s="60" t="str">
        <f>IF(AND($B320=[1]rogério!$A321,[1]rogério!$B321=E$4),"ok","nok")</f>
        <v>nok</v>
      </c>
      <c r="F320" s="60" t="str">
        <f>IF(AND($B320=[1]rogério!$A321,[1]rogério!$B321=F$4),"ok","nok")</f>
        <v>nok</v>
      </c>
      <c r="G320" s="60" t="str">
        <f>IF(AND($B320=[1]rogério!$A321,[1]rogério!$B321=G$4),"ok","nok")</f>
        <v>nok</v>
      </c>
      <c r="H320" s="60" t="str">
        <f>IF(AND($B320=[1]rogério!$A321,[1]rogério!$B321=H$4),"ok","nok")</f>
        <v>nok</v>
      </c>
      <c r="I320" s="60" t="str">
        <f>IF(AND($B320=[1]rogério!$A321,[1]rogério!$B321=I$4),"ok","nok")</f>
        <v>nok</v>
      </c>
      <c r="J320" s="60" t="str">
        <f>IF(AND($B320=[1]rogério!$A321,[1]rogério!$B321=J$4),"ok","nok")</f>
        <v>nok</v>
      </c>
      <c r="K320" s="60" t="str">
        <f>IF(AND($B320=[1]rogério!$A321,[1]rogério!$B321=K$4),"ok","nok")</f>
        <v>nok</v>
      </c>
      <c r="L320" s="60" t="str">
        <f>IF(AND($B320=[1]rogério!$A321,[1]rogério!$B321=L$4),"ok","nok")</f>
        <v>ok</v>
      </c>
      <c r="M320" s="60" t="str">
        <f>IF(AND($B320=[1]rogério!$A321,[1]rogério!$B321=M$4),"ok","nok")</f>
        <v>nok</v>
      </c>
      <c r="N320" s="60" t="str">
        <f>IF(AND($B320=[1]rogério!$A321,[1]rogério!$B321=N$4),"ok","nok")</f>
        <v>nok</v>
      </c>
      <c r="O320" s="60" t="str">
        <f>IF(AND($B320=[1]rogério!$A321,[1]rogério!$B321=O$4),"ok","nok")</f>
        <v>nok</v>
      </c>
      <c r="P320" s="60" t="str">
        <f>IF(AND($B320=[1]rogério!$A321,[1]rogério!$B321=P$4),"ok","nok")</f>
        <v>nok</v>
      </c>
      <c r="Q320" s="60" t="str">
        <f>IF(AND($B320=[1]rogério!$A321,[1]rogério!$B321=Q$4),"ok","nok")</f>
        <v>nok</v>
      </c>
      <c r="R320" s="60" t="str">
        <f>IF(AND($B320=[1]rogério!$A321,[1]rogério!$B321=R$4),"ok","nok")</f>
        <v>nok</v>
      </c>
      <c r="S320" s="60" t="str">
        <f>IF(AND($B320=[1]rogério!$A321,[1]rogério!$B321=S$4),"ok","nok")</f>
        <v>nok</v>
      </c>
      <c r="T320" s="60" t="str">
        <f>IF(AND($B320=[1]rogério!$A321,[1]rogério!$B321=T$4),"ok","nok")</f>
        <v>nok</v>
      </c>
      <c r="U320" s="60" t="str">
        <f>IF(AND($B320=[1]rogério!$A321,[1]rogério!$B321=U$4),"ok","nok")</f>
        <v>nok</v>
      </c>
      <c r="V320" s="60" t="str">
        <f>IF(AND($B320=[1]rogério!$A321,[1]rogério!$B321=V$4),"ok","nok")</f>
        <v>nok</v>
      </c>
      <c r="W320" s="60" t="str">
        <f>IF(AND($B320=[1]rogério!$A321,[1]rogério!$B321=W$4),"ok","nok")</f>
        <v>nok</v>
      </c>
      <c r="X320" s="60" t="str">
        <f>IF(AND($B320=[1]rogério!$A321,[1]rogério!$B321=X$4),"ok","nok")</f>
        <v>nok</v>
      </c>
      <c r="Y320" s="105" t="s">
        <v>15</v>
      </c>
      <c r="Z320" s="106"/>
      <c r="AA320" s="106"/>
      <c r="AB320" s="107"/>
      <c r="AC320" s="41"/>
      <c r="AD320" s="41"/>
      <c r="AE320" s="48" t="str">
        <f t="shared" si="73"/>
        <v/>
      </c>
      <c r="AF320" s="48"/>
      <c r="AG320" s="48"/>
      <c r="AH320" s="89"/>
      <c r="AI320" s="49">
        <f t="shared" si="74"/>
        <v>0</v>
      </c>
      <c r="AJ320" s="49" t="str">
        <f t="shared" si="75"/>
        <v/>
      </c>
      <c r="AK320" s="49">
        <f t="shared" si="76"/>
        <v>1</v>
      </c>
      <c r="AL320" s="49" t="str">
        <f t="shared" si="77"/>
        <v/>
      </c>
      <c r="AM320" s="49">
        <f t="shared" si="78"/>
        <v>0</v>
      </c>
      <c r="AN320" s="49" t="str">
        <f t="shared" si="79"/>
        <v/>
      </c>
      <c r="AO320" s="49">
        <f t="shared" si="80"/>
        <v>0</v>
      </c>
      <c r="AP320" s="49" t="str">
        <f t="shared" si="81"/>
        <v/>
      </c>
      <c r="AQ320" s="49">
        <f t="shared" si="82"/>
        <v>0</v>
      </c>
      <c r="AR320" s="49" t="str">
        <f t="shared" si="83"/>
        <v/>
      </c>
    </row>
    <row r="321" spans="1:44" ht="30" customHeight="1" x14ac:dyDescent="0.35">
      <c r="A321" s="25"/>
      <c r="B321" s="39" t="s">
        <v>67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108"/>
      <c r="Z321" s="109"/>
      <c r="AA321" s="109"/>
      <c r="AB321" s="110"/>
      <c r="AC321" s="46"/>
      <c r="AD321" s="46"/>
      <c r="AE321" s="48" t="str">
        <f t="shared" si="73"/>
        <v/>
      </c>
      <c r="AF321" s="48"/>
      <c r="AG321" s="48"/>
      <c r="AH321" s="89"/>
      <c r="AI321" s="49">
        <f t="shared" si="74"/>
        <v>0</v>
      </c>
      <c r="AJ321" s="49" t="str">
        <f t="shared" si="75"/>
        <v/>
      </c>
      <c r="AK321" s="49">
        <f t="shared" si="76"/>
        <v>0</v>
      </c>
      <c r="AL321" s="49" t="str">
        <f t="shared" si="77"/>
        <v/>
      </c>
      <c r="AM321" s="49">
        <f t="shared" si="78"/>
        <v>0</v>
      </c>
      <c r="AN321" s="49" t="str">
        <f t="shared" si="79"/>
        <v/>
      </c>
      <c r="AO321" s="49">
        <f t="shared" si="80"/>
        <v>0</v>
      </c>
      <c r="AP321" s="49" t="str">
        <f t="shared" si="81"/>
        <v/>
      </c>
      <c r="AQ321" s="49">
        <f t="shared" si="82"/>
        <v>0</v>
      </c>
      <c r="AR321" s="49" t="str">
        <f t="shared" si="83"/>
        <v/>
      </c>
    </row>
    <row r="322" spans="1:44" ht="30" customHeight="1" x14ac:dyDescent="0.35">
      <c r="A322" s="25" t="str">
        <f t="shared" si="89"/>
        <v>PT177 - PLATAFORMA DE ACESSO - FORQUILHA 2 - BÁSICO
TORRE B4PROJETO BÁSICO
ESTRUTURAS METÁLICAS</v>
      </c>
      <c r="B322" s="40" t="s">
        <v>19</v>
      </c>
      <c r="C322" s="60" t="str">
        <f>IF(AND($B322=[1]rogério!$A323,[1]rogério!$B323=C$4),"ok","nok")</f>
        <v>nok</v>
      </c>
      <c r="D322" s="60" t="str">
        <f>IF(AND($B322=[1]rogério!$A323,[1]rogério!$B323=D$4),"ok","nok")</f>
        <v>nok</v>
      </c>
      <c r="E322" s="60" t="str">
        <f>IF(AND($B322=[1]rogério!$A323,[1]rogério!$B323=E$4),"ok","nok")</f>
        <v>nok</v>
      </c>
      <c r="F322" s="60" t="str">
        <f>IF(AND($B322=[1]rogério!$A323,[1]rogério!$B323=F$4),"ok","nok")</f>
        <v>nok</v>
      </c>
      <c r="G322" s="60" t="str">
        <f>IF(AND($B322=[1]rogério!$A323,[1]rogério!$B323=G$4),"ok","nok")</f>
        <v>nok</v>
      </c>
      <c r="H322" s="60" t="str">
        <f>IF(AND($B322=[1]rogério!$A323,[1]rogério!$B323=H$4),"ok","nok")</f>
        <v>nok</v>
      </c>
      <c r="I322" s="60" t="str">
        <f>IF(AND($B322=[1]rogério!$A323,[1]rogério!$B323=I$4),"ok","nok")</f>
        <v>ok</v>
      </c>
      <c r="J322" s="60" t="str">
        <f>IF(AND($B322=[1]rogério!$A323,[1]rogério!$B323=J$4),"ok","nok")</f>
        <v>nok</v>
      </c>
      <c r="K322" s="60" t="str">
        <f>IF(AND($B322=[1]rogério!$A323,[1]rogério!$B323=K$4),"ok","nok")</f>
        <v>nok</v>
      </c>
      <c r="L322" s="60" t="str">
        <f>IF(AND($B322=[1]rogério!$A323,[1]rogério!$B323=L$4),"ok","nok")</f>
        <v>nok</v>
      </c>
      <c r="M322" s="60" t="str">
        <f>IF(AND($B322=[1]rogério!$A323,[1]rogério!$B323=M$4),"ok","nok")</f>
        <v>nok</v>
      </c>
      <c r="N322" s="60" t="str">
        <f>IF(AND($B322=[1]rogério!$A323,[1]rogério!$B323=N$4),"ok","nok")</f>
        <v>nok</v>
      </c>
      <c r="O322" s="60" t="str">
        <f>IF(AND($B322=[1]rogério!$A323,[1]rogério!$B323=O$4),"ok","nok")</f>
        <v>nok</v>
      </c>
      <c r="P322" s="60" t="str">
        <f>IF(AND($B322=[1]rogério!$A323,[1]rogério!$B323=P$4),"ok","nok")</f>
        <v>nok</v>
      </c>
      <c r="Q322" s="60" t="str">
        <f>IF(AND($B322=[1]rogério!$A323,[1]rogério!$B323=Q$4),"ok","nok")</f>
        <v>nok</v>
      </c>
      <c r="R322" s="60" t="str">
        <f>IF(AND($B322=[1]rogério!$A323,[1]rogério!$B323=R$4),"ok","nok")</f>
        <v>nok</v>
      </c>
      <c r="S322" s="60" t="str">
        <f>IF(AND($B322=[1]rogério!$A323,[1]rogério!$B323=S$4),"ok","nok")</f>
        <v>nok</v>
      </c>
      <c r="T322" s="60" t="str">
        <f>IF(AND($B322=[1]rogério!$A323,[1]rogério!$B323=T$4),"ok","nok")</f>
        <v>nok</v>
      </c>
      <c r="U322" s="60" t="str">
        <f>IF(AND($B322=[1]rogério!$A323,[1]rogério!$B323=U$4),"ok","nok")</f>
        <v>nok</v>
      </c>
      <c r="V322" s="60" t="str">
        <f>IF(AND($B322=[1]rogério!$A323,[1]rogério!$B323=V$4),"ok","nok")</f>
        <v>nok</v>
      </c>
      <c r="W322" s="60" t="str">
        <f>IF(AND($B322=[1]rogério!$A323,[1]rogério!$B323=W$4),"ok","nok")</f>
        <v>nok</v>
      </c>
      <c r="X322" s="60" t="str">
        <f>IF(AND($B322=[1]rogério!$A323,[1]rogério!$B323=X$4),"ok","nok")</f>
        <v>nok</v>
      </c>
      <c r="Y322" s="105" t="s">
        <v>15</v>
      </c>
      <c r="Z322" s="106"/>
      <c r="AA322" s="106"/>
      <c r="AB322" s="107"/>
      <c r="AC322" s="40"/>
      <c r="AD322" s="40"/>
      <c r="AE322" s="48" t="str">
        <f t="shared" si="73"/>
        <v/>
      </c>
      <c r="AF322" s="48"/>
      <c r="AG322" s="48"/>
      <c r="AH322" s="89"/>
      <c r="AI322" s="49">
        <f t="shared" si="74"/>
        <v>0</v>
      </c>
      <c r="AJ322" s="49" t="str">
        <f t="shared" si="75"/>
        <v/>
      </c>
      <c r="AK322" s="49">
        <f t="shared" si="76"/>
        <v>1</v>
      </c>
      <c r="AL322" s="49" t="str">
        <f t="shared" si="77"/>
        <v/>
      </c>
      <c r="AM322" s="49">
        <f t="shared" si="78"/>
        <v>0</v>
      </c>
      <c r="AN322" s="49" t="str">
        <f t="shared" si="79"/>
        <v/>
      </c>
      <c r="AO322" s="49">
        <f t="shared" si="80"/>
        <v>0</v>
      </c>
      <c r="AP322" s="49" t="str">
        <f t="shared" si="81"/>
        <v/>
      </c>
      <c r="AQ322" s="49">
        <f t="shared" si="82"/>
        <v>0</v>
      </c>
      <c r="AR322" s="49" t="str">
        <f t="shared" si="83"/>
        <v/>
      </c>
    </row>
    <row r="323" spans="1:44" ht="30" customHeight="1" x14ac:dyDescent="0.35">
      <c r="A323" s="25" t="str">
        <f t="shared" si="89"/>
        <v>PT177 - PLATAFORMA DE ACESSO - FORQUILHA 2 - BÁSICO
TORRE B4PROJETO BÁSICO
ESTRUTURAS METÁLICAS</v>
      </c>
      <c r="B323" s="40" t="s">
        <v>42</v>
      </c>
      <c r="C323" s="60" t="str">
        <f>IF(AND($B323=[1]rogério!$A324,[1]rogério!$B324=C$4),"ok","nok")</f>
        <v>nok</v>
      </c>
      <c r="D323" s="60" t="str">
        <f>IF(AND($B323=[1]rogério!$A324,[1]rogério!$B324=D$4),"ok","nok")</f>
        <v>nok</v>
      </c>
      <c r="E323" s="60" t="str">
        <f>IF(AND($B323=[1]rogério!$A324,[1]rogério!$B324=E$4),"ok","nok")</f>
        <v>nok</v>
      </c>
      <c r="F323" s="60" t="str">
        <f>IF(AND($B323=[1]rogério!$A324,[1]rogério!$B324=F$4),"ok","nok")</f>
        <v>nok</v>
      </c>
      <c r="G323" s="60" t="str">
        <f>IF(AND($B323=[1]rogério!$A324,[1]rogério!$B324=G$4),"ok","nok")</f>
        <v>nok</v>
      </c>
      <c r="H323" s="60" t="str">
        <f>IF(AND($B323=[1]rogério!$A324,[1]rogério!$B324=H$4),"ok","nok")</f>
        <v>nok</v>
      </c>
      <c r="I323" s="60" t="str">
        <f>IF(AND($B323=[1]rogério!$A324,[1]rogério!$B324=I$4),"ok","nok")</f>
        <v>nok</v>
      </c>
      <c r="J323" s="60" t="str">
        <f>IF(AND($B323=[1]rogério!$A324,[1]rogério!$B324=J$4),"ok","nok")</f>
        <v>nok</v>
      </c>
      <c r="K323" s="60" t="str">
        <f>IF(AND($B323=[1]rogério!$A324,[1]rogério!$B324=K$4),"ok","nok")</f>
        <v>nok</v>
      </c>
      <c r="L323" s="60" t="str">
        <f>IF(AND($B323=[1]rogério!$A324,[1]rogério!$B324=L$4),"ok","nok")</f>
        <v>ok</v>
      </c>
      <c r="M323" s="60" t="str">
        <f>IF(AND($B323=[1]rogério!$A324,[1]rogério!$B324=M$4),"ok","nok")</f>
        <v>nok</v>
      </c>
      <c r="N323" s="60" t="str">
        <f>IF(AND($B323=[1]rogério!$A324,[1]rogério!$B324=N$4),"ok","nok")</f>
        <v>nok</v>
      </c>
      <c r="O323" s="60" t="str">
        <f>IF(AND($B323=[1]rogério!$A324,[1]rogério!$B324=O$4),"ok","nok")</f>
        <v>nok</v>
      </c>
      <c r="P323" s="60" t="str">
        <f>IF(AND($B323=[1]rogério!$A324,[1]rogério!$B324=P$4),"ok","nok")</f>
        <v>nok</v>
      </c>
      <c r="Q323" s="60" t="str">
        <f>IF(AND($B323=[1]rogério!$A324,[1]rogério!$B324=Q$4),"ok","nok")</f>
        <v>nok</v>
      </c>
      <c r="R323" s="60" t="str">
        <f>IF(AND($B323=[1]rogério!$A324,[1]rogério!$B324=R$4),"ok","nok")</f>
        <v>nok</v>
      </c>
      <c r="S323" s="60" t="str">
        <f>IF(AND($B323=[1]rogério!$A324,[1]rogério!$B324=S$4),"ok","nok")</f>
        <v>nok</v>
      </c>
      <c r="T323" s="60" t="str">
        <f>IF(AND($B323=[1]rogério!$A324,[1]rogério!$B324=T$4),"ok","nok")</f>
        <v>nok</v>
      </c>
      <c r="U323" s="60" t="str">
        <f>IF(AND($B323=[1]rogério!$A324,[1]rogério!$B324=U$4),"ok","nok")</f>
        <v>nok</v>
      </c>
      <c r="V323" s="60" t="str">
        <f>IF(AND($B323=[1]rogério!$A324,[1]rogério!$B324=V$4),"ok","nok")</f>
        <v>nok</v>
      </c>
      <c r="W323" s="60" t="str">
        <f>IF(AND($B323=[1]rogério!$A324,[1]rogério!$B324=W$4),"ok","nok")</f>
        <v>nok</v>
      </c>
      <c r="X323" s="60" t="str">
        <f>IF(AND($B323=[1]rogério!$A324,[1]rogério!$B324=X$4),"ok","nok")</f>
        <v>nok</v>
      </c>
      <c r="Y323" s="105" t="s">
        <v>15</v>
      </c>
      <c r="Z323" s="106"/>
      <c r="AA323" s="106"/>
      <c r="AB323" s="107"/>
      <c r="AC323" s="40"/>
      <c r="AD323" s="40"/>
      <c r="AE323" s="48" t="str">
        <f t="shared" ref="AE323:AE386" si="90">IF(Y323="ATRASADO",B323,"")</f>
        <v/>
      </c>
      <c r="AF323" s="48"/>
      <c r="AG323" s="48"/>
      <c r="AH323" s="89"/>
      <c r="AI323" s="49">
        <f t="shared" ref="AI323:AI386" si="91">COUNTIF(C323:G323,"ok")</f>
        <v>0</v>
      </c>
      <c r="AJ323" s="49" t="str">
        <f t="shared" ref="AJ323:AJ386" si="92">IF(AND(AI323=1,OR($Y323="entregue",$Y323="efprazo")),$Y323,"")</f>
        <v/>
      </c>
      <c r="AK323" s="49">
        <f t="shared" ref="AK323:AK386" si="93">COUNTIF(H323:L323,"ok")</f>
        <v>1</v>
      </c>
      <c r="AL323" s="49" t="str">
        <f t="shared" ref="AL323:AL386" si="94">IF(AND(AK323=1,OR($Y323="entregue",$Y323="efprazo")),$Y323,"")</f>
        <v/>
      </c>
      <c r="AM323" s="49">
        <f t="shared" ref="AM323:AM386" si="95">COUNTIF(M323:Q323,"ok")</f>
        <v>0</v>
      </c>
      <c r="AN323" s="49" t="str">
        <f t="shared" ref="AN323:AN386" si="96">IF(AND(AM323=1,OR($Y323="entregue",$Y323="efprazo")),$Y323,"")</f>
        <v/>
      </c>
      <c r="AO323" s="49">
        <f t="shared" ref="AO323:AO386" si="97">COUNTIF(R323:V323,"ok")</f>
        <v>0</v>
      </c>
      <c r="AP323" s="49" t="str">
        <f t="shared" ref="AP323:AP386" si="98">IF(AND(AO323=1,OR($Y323="entregue",$Y323="efprazo")),$Y323,"")</f>
        <v/>
      </c>
      <c r="AQ323" s="49">
        <f t="shared" ref="AQ323:AQ386" si="99">COUNTIF(W323:X323,"ok")</f>
        <v>0</v>
      </c>
      <c r="AR323" s="49" t="str">
        <f t="shared" ref="AR323:AR386" si="100">IF(AND(AQ323=1,OR($Y323="entregue",$Y323="efprazo")),$Y323,"")</f>
        <v/>
      </c>
    </row>
    <row r="324" spans="1:44" ht="30" customHeight="1" x14ac:dyDescent="0.35">
      <c r="A324" s="25" t="str">
        <f t="shared" si="89"/>
        <v>PT177 - PLATAFORMA DE ACESSO - FORQUILHA 2 - BÁSICO
TORRE B4PROJETO BÁSICO
ESTRUTURAS METÁLICAS</v>
      </c>
      <c r="B324" s="40" t="s">
        <v>43</v>
      </c>
      <c r="C324" s="60" t="str">
        <f>IF(AND($B324=[1]rogério!$A325,[1]rogério!$B325=C$4),"ok","nok")</f>
        <v>nok</v>
      </c>
      <c r="D324" s="60" t="str">
        <f>IF(AND($B324=[1]rogério!$A325,[1]rogério!$B325=D$4),"ok","nok")</f>
        <v>nok</v>
      </c>
      <c r="E324" s="60" t="str">
        <f>IF(AND($B324=[1]rogério!$A325,[1]rogério!$B325=E$4),"ok","nok")</f>
        <v>nok</v>
      </c>
      <c r="F324" s="60" t="str">
        <f>IF(AND($B324=[1]rogério!$A325,[1]rogério!$B325=F$4),"ok","nok")</f>
        <v>nok</v>
      </c>
      <c r="G324" s="60" t="str">
        <f>IF(AND($B324=[1]rogério!$A325,[1]rogério!$B325=G$4),"ok","nok")</f>
        <v>nok</v>
      </c>
      <c r="H324" s="60" t="str">
        <f>IF(AND($B324=[1]rogério!$A325,[1]rogério!$B325=H$4),"ok","nok")</f>
        <v>nok</v>
      </c>
      <c r="I324" s="60" t="str">
        <f>IF(AND($B324=[1]rogério!$A325,[1]rogério!$B325=I$4),"ok","nok")</f>
        <v>nok</v>
      </c>
      <c r="J324" s="60" t="str">
        <f>IF(AND($B324=[1]rogério!$A325,[1]rogério!$B325=J$4),"ok","nok")</f>
        <v>nok</v>
      </c>
      <c r="K324" s="60" t="str">
        <f>IF(AND($B324=[1]rogério!$A325,[1]rogério!$B325=K$4),"ok","nok")</f>
        <v>nok</v>
      </c>
      <c r="L324" s="60" t="str">
        <f>IF(AND($B324=[1]rogério!$A325,[1]rogério!$B325=L$4),"ok","nok")</f>
        <v>ok</v>
      </c>
      <c r="M324" s="60" t="str">
        <f>IF(AND($B324=[1]rogério!$A325,[1]rogério!$B325=M$4),"ok","nok")</f>
        <v>nok</v>
      </c>
      <c r="N324" s="60" t="str">
        <f>IF(AND($B324=[1]rogério!$A325,[1]rogério!$B325=N$4),"ok","nok")</f>
        <v>nok</v>
      </c>
      <c r="O324" s="60" t="str">
        <f>IF(AND($B324=[1]rogério!$A325,[1]rogério!$B325=O$4),"ok","nok")</f>
        <v>nok</v>
      </c>
      <c r="P324" s="60" t="str">
        <f>IF(AND($B324=[1]rogério!$A325,[1]rogério!$B325=P$4),"ok","nok")</f>
        <v>nok</v>
      </c>
      <c r="Q324" s="60" t="str">
        <f>IF(AND($B324=[1]rogério!$A325,[1]rogério!$B325=Q$4),"ok","nok")</f>
        <v>nok</v>
      </c>
      <c r="R324" s="60" t="str">
        <f>IF(AND($B324=[1]rogério!$A325,[1]rogério!$B325=R$4),"ok","nok")</f>
        <v>nok</v>
      </c>
      <c r="S324" s="60" t="str">
        <f>IF(AND($B324=[1]rogério!$A325,[1]rogério!$B325=S$4),"ok","nok")</f>
        <v>nok</v>
      </c>
      <c r="T324" s="60" t="str">
        <f>IF(AND($B324=[1]rogério!$A325,[1]rogério!$B325=T$4),"ok","nok")</f>
        <v>nok</v>
      </c>
      <c r="U324" s="60" t="str">
        <f>IF(AND($B324=[1]rogério!$A325,[1]rogério!$B325=U$4),"ok","nok")</f>
        <v>nok</v>
      </c>
      <c r="V324" s="60" t="str">
        <f>IF(AND($B324=[1]rogério!$A325,[1]rogério!$B325=V$4),"ok","nok")</f>
        <v>nok</v>
      </c>
      <c r="W324" s="60" t="str">
        <f>IF(AND($B324=[1]rogério!$A325,[1]rogério!$B325=W$4),"ok","nok")</f>
        <v>nok</v>
      </c>
      <c r="X324" s="60" t="str">
        <f>IF(AND($B324=[1]rogério!$A325,[1]rogério!$B325=X$4),"ok","nok")</f>
        <v>nok</v>
      </c>
      <c r="Y324" s="105" t="s">
        <v>15</v>
      </c>
      <c r="Z324" s="106"/>
      <c r="AA324" s="106"/>
      <c r="AB324" s="107"/>
      <c r="AC324" s="40"/>
      <c r="AD324" s="40"/>
      <c r="AE324" s="48" t="str">
        <f t="shared" si="90"/>
        <v/>
      </c>
      <c r="AF324" s="48"/>
      <c r="AG324" s="48"/>
      <c r="AH324" s="89"/>
      <c r="AI324" s="49">
        <f t="shared" si="91"/>
        <v>0</v>
      </c>
      <c r="AJ324" s="49" t="str">
        <f t="shared" si="92"/>
        <v/>
      </c>
      <c r="AK324" s="49">
        <f t="shared" si="93"/>
        <v>1</v>
      </c>
      <c r="AL324" s="49" t="str">
        <f t="shared" si="94"/>
        <v/>
      </c>
      <c r="AM324" s="49">
        <f t="shared" si="95"/>
        <v>0</v>
      </c>
      <c r="AN324" s="49" t="str">
        <f t="shared" si="96"/>
        <v/>
      </c>
      <c r="AO324" s="49">
        <f t="shared" si="97"/>
        <v>0</v>
      </c>
      <c r="AP324" s="49" t="str">
        <f t="shared" si="98"/>
        <v/>
      </c>
      <c r="AQ324" s="49">
        <f t="shared" si="99"/>
        <v>0</v>
      </c>
      <c r="AR324" s="49" t="str">
        <f t="shared" si="100"/>
        <v/>
      </c>
    </row>
    <row r="325" spans="1:44" ht="30" customHeight="1" x14ac:dyDescent="0.35">
      <c r="A325" s="25"/>
      <c r="B325" s="39" t="s">
        <v>62</v>
      </c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108"/>
      <c r="Z325" s="109"/>
      <c r="AA325" s="109"/>
      <c r="AB325" s="110"/>
      <c r="AC325" s="41"/>
      <c r="AD325" s="41"/>
      <c r="AE325" s="48" t="str">
        <f t="shared" si="90"/>
        <v/>
      </c>
      <c r="AF325" s="48"/>
      <c r="AG325" s="48"/>
      <c r="AH325" s="89"/>
      <c r="AI325" s="49">
        <f t="shared" si="91"/>
        <v>0</v>
      </c>
      <c r="AJ325" s="49" t="str">
        <f t="shared" si="92"/>
        <v/>
      </c>
      <c r="AK325" s="49">
        <f t="shared" si="93"/>
        <v>0</v>
      </c>
      <c r="AL325" s="49" t="str">
        <f t="shared" si="94"/>
        <v/>
      </c>
      <c r="AM325" s="49">
        <f t="shared" si="95"/>
        <v>0</v>
      </c>
      <c r="AN325" s="49" t="str">
        <f t="shared" si="96"/>
        <v/>
      </c>
      <c r="AO325" s="49">
        <f t="shared" si="97"/>
        <v>0</v>
      </c>
      <c r="AP325" s="49" t="str">
        <f t="shared" si="98"/>
        <v/>
      </c>
      <c r="AQ325" s="49">
        <f t="shared" si="99"/>
        <v>0</v>
      </c>
      <c r="AR325" s="49" t="str">
        <f t="shared" si="100"/>
        <v/>
      </c>
    </row>
    <row r="326" spans="1:44" ht="30" customHeight="1" x14ac:dyDescent="0.35">
      <c r="A326" s="25" t="str">
        <f t="shared" si="89"/>
        <v>PT177 - PLATAFORMA DE ACESSO - FORQUILHA 2 - BÁSICO
TORRE B4PROJETO BÁSICO
ESTRUTURAS METÁLICAS</v>
      </c>
      <c r="B326" s="40" t="s">
        <v>19</v>
      </c>
      <c r="C326" s="60" t="str">
        <f>IF(AND($B326=[1]rogério!$A327,[1]rogério!$B327=C$4),"ok","nok")</f>
        <v>nok</v>
      </c>
      <c r="D326" s="60" t="str">
        <f>IF(AND($B326=[1]rogério!$A327,[1]rogério!$B327=D$4),"ok","nok")</f>
        <v>nok</v>
      </c>
      <c r="E326" s="60" t="str">
        <f>IF(AND($B326=[1]rogério!$A327,[1]rogério!$B327=E$4),"ok","nok")</f>
        <v>nok</v>
      </c>
      <c r="F326" s="60" t="str">
        <f>IF(AND($B326=[1]rogério!$A327,[1]rogério!$B327=F$4),"ok","nok")</f>
        <v>nok</v>
      </c>
      <c r="G326" s="60" t="str">
        <f>IF(AND($B326=[1]rogério!$A327,[1]rogério!$B327=G$4),"ok","nok")</f>
        <v>nok</v>
      </c>
      <c r="H326" s="60" t="str">
        <f>IF(AND($B326=[1]rogério!$A327,[1]rogério!$B327=H$4),"ok","nok")</f>
        <v>nok</v>
      </c>
      <c r="I326" s="60" t="str">
        <f>IF(AND($B326=[1]rogério!$A327,[1]rogério!$B327=I$4),"ok","nok")</f>
        <v>nok</v>
      </c>
      <c r="J326" s="60" t="str">
        <f>IF(AND($B326=[1]rogério!$A327,[1]rogério!$B327=J$4),"ok","nok")</f>
        <v>nok</v>
      </c>
      <c r="K326" s="60" t="str">
        <f>IF(AND($B326=[1]rogério!$A327,[1]rogério!$B327=K$4),"ok","nok")</f>
        <v>nok</v>
      </c>
      <c r="L326" s="60" t="str">
        <f>IF(AND($B326=[1]rogério!$A327,[1]rogério!$B327=L$4),"ok","nok")</f>
        <v>ok</v>
      </c>
      <c r="M326" s="60" t="str">
        <f>IF(AND($B326=[1]rogério!$A327,[1]rogério!$B327=M$4),"ok","nok")</f>
        <v>nok</v>
      </c>
      <c r="N326" s="60" t="str">
        <f>IF(AND($B326=[1]rogério!$A327,[1]rogério!$B327=N$4),"ok","nok")</f>
        <v>nok</v>
      </c>
      <c r="O326" s="60" t="str">
        <f>IF(AND($B326=[1]rogério!$A327,[1]rogério!$B327=O$4),"ok","nok")</f>
        <v>nok</v>
      </c>
      <c r="P326" s="60" t="str">
        <f>IF(AND($B326=[1]rogério!$A327,[1]rogério!$B327=P$4),"ok","nok")</f>
        <v>nok</v>
      </c>
      <c r="Q326" s="60" t="str">
        <f>IF(AND($B326=[1]rogério!$A327,[1]rogério!$B327=Q$4),"ok","nok")</f>
        <v>nok</v>
      </c>
      <c r="R326" s="60" t="str">
        <f>IF(AND($B326=[1]rogério!$A327,[1]rogério!$B327=R$4),"ok","nok")</f>
        <v>nok</v>
      </c>
      <c r="S326" s="60" t="str">
        <f>IF(AND($B326=[1]rogério!$A327,[1]rogério!$B327=S$4),"ok","nok")</f>
        <v>nok</v>
      </c>
      <c r="T326" s="60" t="str">
        <f>IF(AND($B326=[1]rogério!$A327,[1]rogério!$B327=T$4),"ok","nok")</f>
        <v>nok</v>
      </c>
      <c r="U326" s="60" t="str">
        <f>IF(AND($B326=[1]rogério!$A327,[1]rogério!$B327=U$4),"ok","nok")</f>
        <v>nok</v>
      </c>
      <c r="V326" s="60" t="str">
        <f>IF(AND($B326=[1]rogério!$A327,[1]rogério!$B327=V$4),"ok","nok")</f>
        <v>nok</v>
      </c>
      <c r="W326" s="60" t="str">
        <f>IF(AND($B326=[1]rogério!$A327,[1]rogério!$B327=W$4),"ok","nok")</f>
        <v>nok</v>
      </c>
      <c r="X326" s="60" t="str">
        <f>IF(AND($B326=[1]rogério!$A327,[1]rogério!$B327=X$4),"ok","nok")</f>
        <v>nok</v>
      </c>
      <c r="Y326" s="105" t="s">
        <v>15</v>
      </c>
      <c r="Z326" s="106"/>
      <c r="AA326" s="106"/>
      <c r="AB326" s="107"/>
      <c r="AC326" s="46"/>
      <c r="AD326" s="46"/>
      <c r="AE326" s="48" t="str">
        <f t="shared" si="90"/>
        <v/>
      </c>
      <c r="AF326" s="48"/>
      <c r="AG326" s="48"/>
      <c r="AH326" s="89"/>
      <c r="AI326" s="49">
        <f t="shared" si="91"/>
        <v>0</v>
      </c>
      <c r="AJ326" s="49" t="str">
        <f t="shared" si="92"/>
        <v/>
      </c>
      <c r="AK326" s="49">
        <f t="shared" si="93"/>
        <v>1</v>
      </c>
      <c r="AL326" s="49" t="str">
        <f t="shared" si="94"/>
        <v/>
      </c>
      <c r="AM326" s="49">
        <f t="shared" si="95"/>
        <v>0</v>
      </c>
      <c r="AN326" s="49" t="str">
        <f t="shared" si="96"/>
        <v/>
      </c>
      <c r="AO326" s="49">
        <f t="shared" si="97"/>
        <v>0</v>
      </c>
      <c r="AP326" s="49" t="str">
        <f t="shared" si="98"/>
        <v/>
      </c>
      <c r="AQ326" s="49">
        <f t="shared" si="99"/>
        <v>0</v>
      </c>
      <c r="AR326" s="49" t="str">
        <f t="shared" si="100"/>
        <v/>
      </c>
    </row>
    <row r="327" spans="1:44" ht="30" customHeight="1" x14ac:dyDescent="0.35">
      <c r="A327" s="25" t="str">
        <f t="shared" si="89"/>
        <v>PT177 - PLATAFORMA DE ACESSO - FORQUILHA 2 - BÁSICO
TORRE B4PROJETO BÁSICO
ESTRUTURAS METÁLICAS</v>
      </c>
      <c r="B327" s="40" t="s">
        <v>42</v>
      </c>
      <c r="C327" s="60" t="str">
        <f>IF(AND($B327=[1]rogério!$A328,[1]rogério!$B328=C$4),"ok","nok")</f>
        <v>nok</v>
      </c>
      <c r="D327" s="60" t="str">
        <f>IF(AND($B327=[1]rogério!$A328,[1]rogério!$B328=D$4),"ok","nok")</f>
        <v>nok</v>
      </c>
      <c r="E327" s="60" t="str">
        <f>IF(AND($B327=[1]rogério!$A328,[1]rogério!$B328=E$4),"ok","nok")</f>
        <v>nok</v>
      </c>
      <c r="F327" s="60" t="str">
        <f>IF(AND($B327=[1]rogério!$A328,[1]rogério!$B328=F$4),"ok","nok")</f>
        <v>nok</v>
      </c>
      <c r="G327" s="60" t="str">
        <f>IF(AND($B327=[1]rogério!$A328,[1]rogério!$B328=G$4),"ok","nok")</f>
        <v>nok</v>
      </c>
      <c r="H327" s="60" t="str">
        <f>IF(AND($B327=[1]rogério!$A328,[1]rogério!$B328=H$4),"ok","nok")</f>
        <v>nok</v>
      </c>
      <c r="I327" s="60" t="str">
        <f>IF(AND($B327=[1]rogério!$A328,[1]rogério!$B328=I$4),"ok","nok")</f>
        <v>nok</v>
      </c>
      <c r="J327" s="60" t="str">
        <f>IF(AND($B327=[1]rogério!$A328,[1]rogério!$B328=J$4),"ok","nok")</f>
        <v>nok</v>
      </c>
      <c r="K327" s="60" t="str">
        <f>IF(AND($B327=[1]rogério!$A328,[1]rogério!$B328=K$4),"ok","nok")</f>
        <v>nok</v>
      </c>
      <c r="L327" s="60" t="str">
        <f>IF(AND($B327=[1]rogério!$A328,[1]rogério!$B328=L$4),"ok","nok")</f>
        <v>nok</v>
      </c>
      <c r="M327" s="60" t="str">
        <f>IF(AND($B327=[1]rogério!$A328,[1]rogério!$B328=M$4),"ok","nok")</f>
        <v>nok</v>
      </c>
      <c r="N327" s="60" t="str">
        <f>IF(AND($B327=[1]rogério!$A328,[1]rogério!$B328=N$4),"ok","nok")</f>
        <v>nok</v>
      </c>
      <c r="O327" s="60" t="str">
        <f>IF(AND($B327=[1]rogério!$A328,[1]rogério!$B328=O$4),"ok","nok")</f>
        <v>ok</v>
      </c>
      <c r="P327" s="60" t="str">
        <f>IF(AND($B327=[1]rogério!$A328,[1]rogério!$B328=P$4),"ok","nok")</f>
        <v>nok</v>
      </c>
      <c r="Q327" s="60" t="str">
        <f>IF(AND($B327=[1]rogério!$A328,[1]rogério!$B328=Q$4),"ok","nok")</f>
        <v>nok</v>
      </c>
      <c r="R327" s="60" t="str">
        <f>IF(AND($B327=[1]rogério!$A328,[1]rogério!$B328=R$4),"ok","nok")</f>
        <v>nok</v>
      </c>
      <c r="S327" s="60" t="str">
        <f>IF(AND($B327=[1]rogério!$A328,[1]rogério!$B328=S$4),"ok","nok")</f>
        <v>nok</v>
      </c>
      <c r="T327" s="60" t="str">
        <f>IF(AND($B327=[1]rogério!$A328,[1]rogério!$B328=T$4),"ok","nok")</f>
        <v>nok</v>
      </c>
      <c r="U327" s="60" t="str">
        <f>IF(AND($B327=[1]rogério!$A328,[1]rogério!$B328=U$4),"ok","nok")</f>
        <v>nok</v>
      </c>
      <c r="V327" s="60" t="str">
        <f>IF(AND($B327=[1]rogério!$A328,[1]rogério!$B328=V$4),"ok","nok")</f>
        <v>nok</v>
      </c>
      <c r="W327" s="60" t="str">
        <f>IF(AND($B327=[1]rogério!$A328,[1]rogério!$B328=W$4),"ok","nok")</f>
        <v>nok</v>
      </c>
      <c r="X327" s="60" t="str">
        <f>IF(AND($B327=[1]rogério!$A328,[1]rogério!$B328=X$4),"ok","nok")</f>
        <v>nok</v>
      </c>
      <c r="Y327" s="105" t="s">
        <v>15</v>
      </c>
      <c r="Z327" s="106"/>
      <c r="AA327" s="106"/>
      <c r="AB327" s="107"/>
      <c r="AC327" s="40"/>
      <c r="AD327" s="40"/>
      <c r="AE327" s="48" t="str">
        <f t="shared" si="90"/>
        <v/>
      </c>
      <c r="AF327" s="48"/>
      <c r="AG327" s="48"/>
      <c r="AH327" s="89"/>
      <c r="AI327" s="49">
        <f t="shared" si="91"/>
        <v>0</v>
      </c>
      <c r="AJ327" s="49" t="str">
        <f t="shared" si="92"/>
        <v/>
      </c>
      <c r="AK327" s="49">
        <f t="shared" si="93"/>
        <v>0</v>
      </c>
      <c r="AL327" s="49" t="str">
        <f t="shared" si="94"/>
        <v/>
      </c>
      <c r="AM327" s="49">
        <f t="shared" si="95"/>
        <v>1</v>
      </c>
      <c r="AN327" s="49" t="str">
        <f t="shared" si="96"/>
        <v/>
      </c>
      <c r="AO327" s="49">
        <f t="shared" si="97"/>
        <v>0</v>
      </c>
      <c r="AP327" s="49" t="str">
        <f t="shared" si="98"/>
        <v/>
      </c>
      <c r="AQ327" s="49">
        <f t="shared" si="99"/>
        <v>0</v>
      </c>
      <c r="AR327" s="49" t="str">
        <f t="shared" si="100"/>
        <v/>
      </c>
    </row>
    <row r="328" spans="1:44" ht="30" customHeight="1" x14ac:dyDescent="0.35">
      <c r="A328" s="25" t="str">
        <f t="shared" si="89"/>
        <v>PT177 - PLATAFORMA DE ACESSO - FORQUILHA 2 - BÁSICO
TORRE B4PROJETO BÁSICO
ESTRUTURAS METÁLICAS</v>
      </c>
      <c r="B328" s="40" t="s">
        <v>43</v>
      </c>
      <c r="C328" s="60" t="str">
        <f>IF(AND($B328=[1]rogério!$A329,[1]rogério!$B329=C$4),"ok","nok")</f>
        <v>nok</v>
      </c>
      <c r="D328" s="60" t="str">
        <f>IF(AND($B328=[1]rogério!$A329,[1]rogério!$B329=D$4),"ok","nok")</f>
        <v>nok</v>
      </c>
      <c r="E328" s="60" t="str">
        <f>IF(AND($B328=[1]rogério!$A329,[1]rogério!$B329=E$4),"ok","nok")</f>
        <v>nok</v>
      </c>
      <c r="F328" s="60" t="str">
        <f>IF(AND($B328=[1]rogério!$A329,[1]rogério!$B329=F$4),"ok","nok")</f>
        <v>nok</v>
      </c>
      <c r="G328" s="60" t="str">
        <f>IF(AND($B328=[1]rogério!$A329,[1]rogério!$B329=G$4),"ok","nok")</f>
        <v>nok</v>
      </c>
      <c r="H328" s="60" t="str">
        <f>IF(AND($B328=[1]rogério!$A329,[1]rogério!$B329=H$4),"ok","nok")</f>
        <v>nok</v>
      </c>
      <c r="I328" s="60" t="str">
        <f>IF(AND($B328=[1]rogério!$A329,[1]rogério!$B329=I$4),"ok","nok")</f>
        <v>nok</v>
      </c>
      <c r="J328" s="60" t="str">
        <f>IF(AND($B328=[1]rogério!$A329,[1]rogério!$B329=J$4),"ok","nok")</f>
        <v>nok</v>
      </c>
      <c r="K328" s="60" t="str">
        <f>IF(AND($B328=[1]rogério!$A329,[1]rogério!$B329=K$4),"ok","nok")</f>
        <v>nok</v>
      </c>
      <c r="L328" s="60" t="str">
        <f>IF(AND($B328=[1]rogério!$A329,[1]rogério!$B329=L$4),"ok","nok")</f>
        <v>nok</v>
      </c>
      <c r="M328" s="60" t="str">
        <f>IF(AND($B328=[1]rogério!$A329,[1]rogério!$B329=M$4),"ok","nok")</f>
        <v>nok</v>
      </c>
      <c r="N328" s="60" t="str">
        <f>IF(AND($B328=[1]rogério!$A329,[1]rogério!$B329=N$4),"ok","nok")</f>
        <v>nok</v>
      </c>
      <c r="O328" s="60" t="str">
        <f>IF(AND($B328=[1]rogério!$A329,[1]rogério!$B329=O$4),"ok","nok")</f>
        <v>ok</v>
      </c>
      <c r="P328" s="60" t="str">
        <f>IF(AND($B328=[1]rogério!$A329,[1]rogério!$B329=P$4),"ok","nok")</f>
        <v>nok</v>
      </c>
      <c r="Q328" s="60" t="str">
        <f>IF(AND($B328=[1]rogério!$A329,[1]rogério!$B329=Q$4),"ok","nok")</f>
        <v>nok</v>
      </c>
      <c r="R328" s="60" t="str">
        <f>IF(AND($B328=[1]rogério!$A329,[1]rogério!$B329=R$4),"ok","nok")</f>
        <v>nok</v>
      </c>
      <c r="S328" s="60" t="str">
        <f>IF(AND($B328=[1]rogério!$A329,[1]rogério!$B329=S$4),"ok","nok")</f>
        <v>nok</v>
      </c>
      <c r="T328" s="60" t="str">
        <f>IF(AND($B328=[1]rogério!$A329,[1]rogério!$B329=T$4),"ok","nok")</f>
        <v>nok</v>
      </c>
      <c r="U328" s="60" t="str">
        <f>IF(AND($B328=[1]rogério!$A329,[1]rogério!$B329=U$4),"ok","nok")</f>
        <v>nok</v>
      </c>
      <c r="V328" s="60" t="str">
        <f>IF(AND($B328=[1]rogério!$A329,[1]rogério!$B329=V$4),"ok","nok")</f>
        <v>nok</v>
      </c>
      <c r="W328" s="60" t="str">
        <f>IF(AND($B328=[1]rogério!$A329,[1]rogério!$B329=W$4),"ok","nok")</f>
        <v>nok</v>
      </c>
      <c r="X328" s="60" t="str">
        <f>IF(AND($B328=[1]rogério!$A329,[1]rogério!$B329=X$4),"ok","nok")</f>
        <v>nok</v>
      </c>
      <c r="Y328" s="105" t="s">
        <v>15</v>
      </c>
      <c r="Z328" s="106"/>
      <c r="AA328" s="106"/>
      <c r="AB328" s="107"/>
      <c r="AC328" s="40"/>
      <c r="AD328" s="40"/>
      <c r="AE328" s="48" t="str">
        <f t="shared" si="90"/>
        <v/>
      </c>
      <c r="AF328" s="48"/>
      <c r="AG328" s="48"/>
      <c r="AH328" s="89"/>
      <c r="AI328" s="49">
        <f t="shared" si="91"/>
        <v>0</v>
      </c>
      <c r="AJ328" s="49" t="str">
        <f t="shared" si="92"/>
        <v/>
      </c>
      <c r="AK328" s="49">
        <f t="shared" si="93"/>
        <v>0</v>
      </c>
      <c r="AL328" s="49" t="str">
        <f t="shared" si="94"/>
        <v/>
      </c>
      <c r="AM328" s="49">
        <f t="shared" si="95"/>
        <v>1</v>
      </c>
      <c r="AN328" s="49" t="str">
        <f t="shared" si="96"/>
        <v/>
      </c>
      <c r="AO328" s="49">
        <f t="shared" si="97"/>
        <v>0</v>
      </c>
      <c r="AP328" s="49" t="str">
        <f t="shared" si="98"/>
        <v/>
      </c>
      <c r="AQ328" s="49">
        <f t="shared" si="99"/>
        <v>0</v>
      </c>
      <c r="AR328" s="49" t="str">
        <f t="shared" si="100"/>
        <v/>
      </c>
    </row>
    <row r="329" spans="1:44" ht="30" customHeight="1" x14ac:dyDescent="0.35">
      <c r="A329" s="25"/>
      <c r="B329" s="39" t="s">
        <v>63</v>
      </c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108"/>
      <c r="Z329" s="109"/>
      <c r="AA329" s="109"/>
      <c r="AB329" s="110"/>
      <c r="AC329" s="40"/>
      <c r="AD329" s="40"/>
      <c r="AE329" s="48" t="str">
        <f t="shared" si="90"/>
        <v/>
      </c>
      <c r="AF329" s="48"/>
      <c r="AG329" s="48"/>
      <c r="AH329" s="89"/>
      <c r="AI329" s="49">
        <f t="shared" si="91"/>
        <v>0</v>
      </c>
      <c r="AJ329" s="49" t="str">
        <f t="shared" si="92"/>
        <v/>
      </c>
      <c r="AK329" s="49">
        <f t="shared" si="93"/>
        <v>0</v>
      </c>
      <c r="AL329" s="49" t="str">
        <f t="shared" si="94"/>
        <v/>
      </c>
      <c r="AM329" s="49">
        <f t="shared" si="95"/>
        <v>0</v>
      </c>
      <c r="AN329" s="49" t="str">
        <f t="shared" si="96"/>
        <v/>
      </c>
      <c r="AO329" s="49">
        <f t="shared" si="97"/>
        <v>0</v>
      </c>
      <c r="AP329" s="49" t="str">
        <f t="shared" si="98"/>
        <v/>
      </c>
      <c r="AQ329" s="49">
        <f t="shared" si="99"/>
        <v>0</v>
      </c>
      <c r="AR329" s="49" t="str">
        <f t="shared" si="100"/>
        <v/>
      </c>
    </row>
    <row r="330" spans="1:44" ht="30" customHeight="1" x14ac:dyDescent="0.35">
      <c r="A330" s="25" t="str">
        <f t="shared" si="89"/>
        <v>PT177 - PLATAFORMA DE ACESSO - FORQUILHA 2 - BÁSICO
TORRE B4PROJETO BÁSICO
ESTRUTURAS METÁLICAS</v>
      </c>
      <c r="B330" s="40" t="s">
        <v>19</v>
      </c>
      <c r="C330" s="60" t="str">
        <f>IF(AND($B330=[1]rogério!$A331,[1]rogério!$B331=C$4),"ok","nok")</f>
        <v>nok</v>
      </c>
      <c r="D330" s="60" t="str">
        <f>IF(AND($B330=[1]rogério!$A331,[1]rogério!$B331=D$4),"ok","nok")</f>
        <v>nok</v>
      </c>
      <c r="E330" s="60" t="str">
        <f>IF(AND($B330=[1]rogério!$A331,[1]rogério!$B331=E$4),"ok","nok")</f>
        <v>nok</v>
      </c>
      <c r="F330" s="60" t="str">
        <f>IF(AND($B330=[1]rogério!$A331,[1]rogério!$B331=F$4),"ok","nok")</f>
        <v>nok</v>
      </c>
      <c r="G330" s="60" t="str">
        <f>IF(AND($B330=[1]rogério!$A331,[1]rogério!$B331=G$4),"ok","nok")</f>
        <v>nok</v>
      </c>
      <c r="H330" s="60" t="str">
        <f>IF(AND($B330=[1]rogério!$A331,[1]rogério!$B331=H$4),"ok","nok")</f>
        <v>nok</v>
      </c>
      <c r="I330" s="60" t="str">
        <f>IF(AND($B330=[1]rogério!$A331,[1]rogério!$B331=I$4),"ok","nok")</f>
        <v>ok</v>
      </c>
      <c r="J330" s="60" t="str">
        <f>IF(AND($B330=[1]rogério!$A331,[1]rogério!$B331=J$4),"ok","nok")</f>
        <v>nok</v>
      </c>
      <c r="K330" s="60" t="str">
        <f>IF(AND($B330=[1]rogério!$A331,[1]rogério!$B331=K$4),"ok","nok")</f>
        <v>nok</v>
      </c>
      <c r="L330" s="60" t="str">
        <f>IF(AND($B330=[1]rogério!$A331,[1]rogério!$B331=L$4),"ok","nok")</f>
        <v>nok</v>
      </c>
      <c r="M330" s="60" t="str">
        <f>IF(AND($B330=[1]rogério!$A331,[1]rogério!$B331=M$4),"ok","nok")</f>
        <v>nok</v>
      </c>
      <c r="N330" s="60" t="str">
        <f>IF(AND($B330=[1]rogério!$A331,[1]rogério!$B331=N$4),"ok","nok")</f>
        <v>nok</v>
      </c>
      <c r="O330" s="60" t="str">
        <f>IF(AND($B330=[1]rogério!$A331,[1]rogério!$B331=O$4),"ok","nok")</f>
        <v>nok</v>
      </c>
      <c r="P330" s="60" t="str">
        <f>IF(AND($B330=[1]rogério!$A331,[1]rogério!$B331=P$4),"ok","nok")</f>
        <v>nok</v>
      </c>
      <c r="Q330" s="60" t="str">
        <f>IF(AND($B330=[1]rogério!$A331,[1]rogério!$B331=Q$4),"ok","nok")</f>
        <v>nok</v>
      </c>
      <c r="R330" s="60" t="str">
        <f>IF(AND($B330=[1]rogério!$A331,[1]rogério!$B331=R$4),"ok","nok")</f>
        <v>nok</v>
      </c>
      <c r="S330" s="60" t="str">
        <f>IF(AND($B330=[1]rogério!$A331,[1]rogério!$B331=S$4),"ok","nok")</f>
        <v>nok</v>
      </c>
      <c r="T330" s="60" t="str">
        <f>IF(AND($B330=[1]rogério!$A331,[1]rogério!$B331=T$4),"ok","nok")</f>
        <v>nok</v>
      </c>
      <c r="U330" s="60" t="str">
        <f>IF(AND($B330=[1]rogério!$A331,[1]rogério!$B331=U$4),"ok","nok")</f>
        <v>nok</v>
      </c>
      <c r="V330" s="60" t="str">
        <f>IF(AND($B330=[1]rogério!$A331,[1]rogério!$B331=V$4),"ok","nok")</f>
        <v>nok</v>
      </c>
      <c r="W330" s="60" t="str">
        <f>IF(AND($B330=[1]rogério!$A331,[1]rogério!$B331=W$4),"ok","nok")</f>
        <v>nok</v>
      </c>
      <c r="X330" s="60" t="str">
        <f>IF(AND($B330=[1]rogério!$A331,[1]rogério!$B331=X$4),"ok","nok")</f>
        <v>nok</v>
      </c>
      <c r="Y330" s="105" t="s">
        <v>15</v>
      </c>
      <c r="Z330" s="106"/>
      <c r="AA330" s="106"/>
      <c r="AB330" s="107"/>
      <c r="AC330" s="40"/>
      <c r="AD330" s="40"/>
      <c r="AE330" s="48" t="str">
        <f t="shared" si="90"/>
        <v/>
      </c>
      <c r="AF330" s="48"/>
      <c r="AG330" s="48"/>
      <c r="AH330" s="89"/>
      <c r="AI330" s="49">
        <f t="shared" si="91"/>
        <v>0</v>
      </c>
      <c r="AJ330" s="49" t="str">
        <f t="shared" si="92"/>
        <v/>
      </c>
      <c r="AK330" s="49">
        <f t="shared" si="93"/>
        <v>1</v>
      </c>
      <c r="AL330" s="49" t="str">
        <f t="shared" si="94"/>
        <v/>
      </c>
      <c r="AM330" s="49">
        <f t="shared" si="95"/>
        <v>0</v>
      </c>
      <c r="AN330" s="49" t="str">
        <f t="shared" si="96"/>
        <v/>
      </c>
      <c r="AO330" s="49">
        <f t="shared" si="97"/>
        <v>0</v>
      </c>
      <c r="AP330" s="49" t="str">
        <f t="shared" si="98"/>
        <v/>
      </c>
      <c r="AQ330" s="49">
        <f t="shared" si="99"/>
        <v>0</v>
      </c>
      <c r="AR330" s="49" t="str">
        <f t="shared" si="100"/>
        <v/>
      </c>
    </row>
    <row r="331" spans="1:44" ht="30" customHeight="1" x14ac:dyDescent="0.35">
      <c r="A331" s="25" t="str">
        <f t="shared" si="89"/>
        <v>PT177 - PLATAFORMA DE ACESSO - FORQUILHA 2 - BÁSICO
TORRE B4PROJETO BÁSICO
ESTRUTURAS METÁLICAS</v>
      </c>
      <c r="B331" s="40" t="s">
        <v>42</v>
      </c>
      <c r="C331" s="60" t="str">
        <f>IF(AND($B331=[1]rogério!$A332,[1]rogério!$B332=C$4),"ok","nok")</f>
        <v>nok</v>
      </c>
      <c r="D331" s="60" t="str">
        <f>IF(AND($B331=[1]rogério!$A332,[1]rogério!$B332=D$4),"ok","nok")</f>
        <v>nok</v>
      </c>
      <c r="E331" s="60" t="str">
        <f>IF(AND($B331=[1]rogério!$A332,[1]rogério!$B332=E$4),"ok","nok")</f>
        <v>nok</v>
      </c>
      <c r="F331" s="60" t="str">
        <f>IF(AND($B331=[1]rogério!$A332,[1]rogério!$B332=F$4),"ok","nok")</f>
        <v>nok</v>
      </c>
      <c r="G331" s="60" t="str">
        <f>IF(AND($B331=[1]rogério!$A332,[1]rogério!$B332=G$4),"ok","nok")</f>
        <v>nok</v>
      </c>
      <c r="H331" s="60" t="str">
        <f>IF(AND($B331=[1]rogério!$A332,[1]rogério!$B332=H$4),"ok","nok")</f>
        <v>nok</v>
      </c>
      <c r="I331" s="60" t="str">
        <f>IF(AND($B331=[1]rogério!$A332,[1]rogério!$B332=I$4),"ok","nok")</f>
        <v>nok</v>
      </c>
      <c r="J331" s="60" t="str">
        <f>IF(AND($B331=[1]rogério!$A332,[1]rogério!$B332=J$4),"ok","nok")</f>
        <v>nok</v>
      </c>
      <c r="K331" s="60" t="str">
        <f>IF(AND($B331=[1]rogério!$A332,[1]rogério!$B332=K$4),"ok","nok")</f>
        <v>nok</v>
      </c>
      <c r="L331" s="60" t="str">
        <f>IF(AND($B331=[1]rogério!$A332,[1]rogério!$B332=L$4),"ok","nok")</f>
        <v>ok</v>
      </c>
      <c r="M331" s="60" t="str">
        <f>IF(AND($B331=[1]rogério!$A332,[1]rogério!$B332=M$4),"ok","nok")</f>
        <v>nok</v>
      </c>
      <c r="N331" s="60" t="str">
        <f>IF(AND($B331=[1]rogério!$A332,[1]rogério!$B332=N$4),"ok","nok")</f>
        <v>nok</v>
      </c>
      <c r="O331" s="60" t="str">
        <f>IF(AND($B331=[1]rogério!$A332,[1]rogério!$B332=O$4),"ok","nok")</f>
        <v>nok</v>
      </c>
      <c r="P331" s="60" t="str">
        <f>IF(AND($B331=[1]rogério!$A332,[1]rogério!$B332=P$4),"ok","nok")</f>
        <v>nok</v>
      </c>
      <c r="Q331" s="60" t="str">
        <f>IF(AND($B331=[1]rogério!$A332,[1]rogério!$B332=Q$4),"ok","nok")</f>
        <v>nok</v>
      </c>
      <c r="R331" s="60" t="str">
        <f>IF(AND($B331=[1]rogério!$A332,[1]rogério!$B332=R$4),"ok","nok")</f>
        <v>nok</v>
      </c>
      <c r="S331" s="60" t="str">
        <f>IF(AND($B331=[1]rogério!$A332,[1]rogério!$B332=S$4),"ok","nok")</f>
        <v>nok</v>
      </c>
      <c r="T331" s="60" t="str">
        <f>IF(AND($B331=[1]rogério!$A332,[1]rogério!$B332=T$4),"ok","nok")</f>
        <v>nok</v>
      </c>
      <c r="U331" s="60" t="str">
        <f>IF(AND($B331=[1]rogério!$A332,[1]rogério!$B332=U$4),"ok","nok")</f>
        <v>nok</v>
      </c>
      <c r="V331" s="60" t="str">
        <f>IF(AND($B331=[1]rogério!$A332,[1]rogério!$B332=V$4),"ok","nok")</f>
        <v>nok</v>
      </c>
      <c r="W331" s="60" t="str">
        <f>IF(AND($B331=[1]rogério!$A332,[1]rogério!$B332=W$4),"ok","nok")</f>
        <v>nok</v>
      </c>
      <c r="X331" s="60" t="str">
        <f>IF(AND($B331=[1]rogério!$A332,[1]rogério!$B332=X$4),"ok","nok")</f>
        <v>nok</v>
      </c>
      <c r="Y331" s="105" t="s">
        <v>15</v>
      </c>
      <c r="Z331" s="106"/>
      <c r="AA331" s="106"/>
      <c r="AB331" s="107"/>
      <c r="AC331" s="40"/>
      <c r="AD331" s="40"/>
      <c r="AE331" s="48" t="str">
        <f t="shared" si="90"/>
        <v/>
      </c>
      <c r="AF331" s="48"/>
      <c r="AG331" s="48"/>
      <c r="AH331" s="89"/>
      <c r="AI331" s="49">
        <f t="shared" si="91"/>
        <v>0</v>
      </c>
      <c r="AJ331" s="49" t="str">
        <f t="shared" si="92"/>
        <v/>
      </c>
      <c r="AK331" s="49">
        <f t="shared" si="93"/>
        <v>1</v>
      </c>
      <c r="AL331" s="49" t="str">
        <f t="shared" si="94"/>
        <v/>
      </c>
      <c r="AM331" s="49">
        <f t="shared" si="95"/>
        <v>0</v>
      </c>
      <c r="AN331" s="49" t="str">
        <f t="shared" si="96"/>
        <v/>
      </c>
      <c r="AO331" s="49">
        <f t="shared" si="97"/>
        <v>0</v>
      </c>
      <c r="AP331" s="49" t="str">
        <f t="shared" si="98"/>
        <v/>
      </c>
      <c r="AQ331" s="49">
        <f t="shared" si="99"/>
        <v>0</v>
      </c>
      <c r="AR331" s="49" t="str">
        <f t="shared" si="100"/>
        <v/>
      </c>
    </row>
    <row r="332" spans="1:44" ht="30" customHeight="1" x14ac:dyDescent="0.35">
      <c r="A332" s="25" t="str">
        <f t="shared" si="89"/>
        <v>PT177 - PLATAFORMA DE ACESSO - FORQUILHA 2 - BÁSICO
TORRE B4PROJETO BÁSICO
ESTRUTURAS METÁLICAS</v>
      </c>
      <c r="B332" s="40" t="s">
        <v>43</v>
      </c>
      <c r="C332" s="60" t="str">
        <f>IF(AND($B332=[1]rogério!$A333,[1]rogério!$B333=C$4),"ok","nok")</f>
        <v>nok</v>
      </c>
      <c r="D332" s="60" t="str">
        <f>IF(AND($B332=[1]rogério!$A333,[1]rogério!$B333=D$4),"ok","nok")</f>
        <v>nok</v>
      </c>
      <c r="E332" s="60" t="str">
        <f>IF(AND($B332=[1]rogério!$A333,[1]rogério!$B333=E$4),"ok","nok")</f>
        <v>nok</v>
      </c>
      <c r="F332" s="60" t="str">
        <f>IF(AND($B332=[1]rogério!$A333,[1]rogério!$B333=F$4),"ok","nok")</f>
        <v>nok</v>
      </c>
      <c r="G332" s="60" t="str">
        <f>IF(AND($B332=[1]rogério!$A333,[1]rogério!$B333=G$4),"ok","nok")</f>
        <v>nok</v>
      </c>
      <c r="H332" s="60" t="str">
        <f>IF(AND($B332=[1]rogério!$A333,[1]rogério!$B333=H$4),"ok","nok")</f>
        <v>nok</v>
      </c>
      <c r="I332" s="60" t="str">
        <f>IF(AND($B332=[1]rogério!$A333,[1]rogério!$B333=I$4),"ok","nok")</f>
        <v>nok</v>
      </c>
      <c r="J332" s="60" t="str">
        <f>IF(AND($B332=[1]rogério!$A333,[1]rogério!$B333=J$4),"ok","nok")</f>
        <v>nok</v>
      </c>
      <c r="K332" s="60" t="str">
        <f>IF(AND($B332=[1]rogério!$A333,[1]rogério!$B333=K$4),"ok","nok")</f>
        <v>nok</v>
      </c>
      <c r="L332" s="60" t="str">
        <f>IF(AND($B332=[1]rogério!$A333,[1]rogério!$B333=L$4),"ok","nok")</f>
        <v>ok</v>
      </c>
      <c r="M332" s="60" t="str">
        <f>IF(AND($B332=[1]rogério!$A333,[1]rogério!$B333=M$4),"ok","nok")</f>
        <v>nok</v>
      </c>
      <c r="N332" s="60" t="str">
        <f>IF(AND($B332=[1]rogério!$A333,[1]rogério!$B333=N$4),"ok","nok")</f>
        <v>nok</v>
      </c>
      <c r="O332" s="60" t="str">
        <f>IF(AND($B332=[1]rogério!$A333,[1]rogério!$B333=O$4),"ok","nok")</f>
        <v>nok</v>
      </c>
      <c r="P332" s="60" t="str">
        <f>IF(AND($B332=[1]rogério!$A333,[1]rogério!$B333=P$4),"ok","nok")</f>
        <v>nok</v>
      </c>
      <c r="Q332" s="60" t="str">
        <f>IF(AND($B332=[1]rogério!$A333,[1]rogério!$B333=Q$4),"ok","nok")</f>
        <v>nok</v>
      </c>
      <c r="R332" s="60" t="str">
        <f>IF(AND($B332=[1]rogério!$A333,[1]rogério!$B333=R$4),"ok","nok")</f>
        <v>nok</v>
      </c>
      <c r="S332" s="60" t="str">
        <f>IF(AND($B332=[1]rogério!$A333,[1]rogério!$B333=S$4),"ok","nok")</f>
        <v>nok</v>
      </c>
      <c r="T332" s="60" t="str">
        <f>IF(AND($B332=[1]rogério!$A333,[1]rogério!$B333=T$4),"ok","nok")</f>
        <v>nok</v>
      </c>
      <c r="U332" s="60" t="str">
        <f>IF(AND($B332=[1]rogério!$A333,[1]rogério!$B333=U$4),"ok","nok")</f>
        <v>nok</v>
      </c>
      <c r="V332" s="60" t="str">
        <f>IF(AND($B332=[1]rogério!$A333,[1]rogério!$B333=V$4),"ok","nok")</f>
        <v>nok</v>
      </c>
      <c r="W332" s="60" t="str">
        <f>IF(AND($B332=[1]rogério!$A333,[1]rogério!$B333=W$4),"ok","nok")</f>
        <v>nok</v>
      </c>
      <c r="X332" s="60" t="str">
        <f>IF(AND($B332=[1]rogério!$A333,[1]rogério!$B333=X$4),"ok","nok")</f>
        <v>nok</v>
      </c>
      <c r="Y332" s="105" t="s">
        <v>15</v>
      </c>
      <c r="Z332" s="106"/>
      <c r="AA332" s="106"/>
      <c r="AB332" s="107"/>
      <c r="AC332" s="40"/>
      <c r="AD332" s="40"/>
      <c r="AE332" s="48" t="str">
        <f t="shared" si="90"/>
        <v/>
      </c>
      <c r="AF332" s="48"/>
      <c r="AG332" s="48"/>
      <c r="AH332" s="89"/>
      <c r="AI332" s="49">
        <f t="shared" si="91"/>
        <v>0</v>
      </c>
      <c r="AJ332" s="49" t="str">
        <f t="shared" si="92"/>
        <v/>
      </c>
      <c r="AK332" s="49">
        <f t="shared" si="93"/>
        <v>1</v>
      </c>
      <c r="AL332" s="49" t="str">
        <f t="shared" si="94"/>
        <v/>
      </c>
      <c r="AM332" s="49">
        <f t="shared" si="95"/>
        <v>0</v>
      </c>
      <c r="AN332" s="49" t="str">
        <f t="shared" si="96"/>
        <v/>
      </c>
      <c r="AO332" s="49">
        <f t="shared" si="97"/>
        <v>0</v>
      </c>
      <c r="AP332" s="49" t="str">
        <f t="shared" si="98"/>
        <v/>
      </c>
      <c r="AQ332" s="49">
        <f t="shared" si="99"/>
        <v>0</v>
      </c>
      <c r="AR332" s="49" t="str">
        <f t="shared" si="100"/>
        <v/>
      </c>
    </row>
    <row r="333" spans="1:44" ht="30" customHeight="1" x14ac:dyDescent="0.35">
      <c r="A333" s="25"/>
      <c r="B333" s="62" t="s">
        <v>64</v>
      </c>
      <c r="C333" s="62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114"/>
      <c r="Z333" s="115"/>
      <c r="AA333" s="115"/>
      <c r="AB333" s="116"/>
      <c r="AC333" s="40"/>
      <c r="AD333" s="40"/>
      <c r="AE333" s="48" t="str">
        <f t="shared" si="90"/>
        <v/>
      </c>
      <c r="AF333" s="48"/>
      <c r="AG333" s="48"/>
      <c r="AH333" s="89"/>
      <c r="AI333" s="49">
        <f t="shared" si="91"/>
        <v>0</v>
      </c>
      <c r="AJ333" s="49" t="str">
        <f t="shared" si="92"/>
        <v/>
      </c>
      <c r="AK333" s="49">
        <f t="shared" si="93"/>
        <v>0</v>
      </c>
      <c r="AL333" s="49" t="str">
        <f t="shared" si="94"/>
        <v/>
      </c>
      <c r="AM333" s="49">
        <f t="shared" si="95"/>
        <v>0</v>
      </c>
      <c r="AN333" s="49" t="str">
        <f t="shared" si="96"/>
        <v/>
      </c>
      <c r="AO333" s="49">
        <f t="shared" si="97"/>
        <v>0</v>
      </c>
      <c r="AP333" s="49" t="str">
        <f t="shared" si="98"/>
        <v/>
      </c>
      <c r="AQ333" s="49">
        <f t="shared" si="99"/>
        <v>0</v>
      </c>
      <c r="AR333" s="49" t="str">
        <f t="shared" si="100"/>
        <v/>
      </c>
    </row>
    <row r="334" spans="1:44" ht="30" customHeight="1" x14ac:dyDescent="0.35">
      <c r="A334" s="25"/>
      <c r="B334" s="39" t="s">
        <v>59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108"/>
      <c r="Z334" s="109"/>
      <c r="AA334" s="109"/>
      <c r="AB334" s="110"/>
      <c r="AC334" s="40"/>
      <c r="AD334" s="40"/>
      <c r="AE334" s="48" t="str">
        <f t="shared" si="90"/>
        <v/>
      </c>
      <c r="AF334" s="48"/>
      <c r="AG334" s="48"/>
      <c r="AH334" s="89"/>
      <c r="AI334" s="49">
        <f t="shared" si="91"/>
        <v>0</v>
      </c>
      <c r="AJ334" s="49" t="str">
        <f t="shared" si="92"/>
        <v/>
      </c>
      <c r="AK334" s="49">
        <f t="shared" si="93"/>
        <v>0</v>
      </c>
      <c r="AL334" s="49" t="str">
        <f t="shared" si="94"/>
        <v/>
      </c>
      <c r="AM334" s="49">
        <f t="shared" si="95"/>
        <v>0</v>
      </c>
      <c r="AN334" s="49" t="str">
        <f t="shared" si="96"/>
        <v/>
      </c>
      <c r="AO334" s="49">
        <f t="shared" si="97"/>
        <v>0</v>
      </c>
      <c r="AP334" s="49" t="str">
        <f t="shared" si="98"/>
        <v/>
      </c>
      <c r="AQ334" s="49">
        <f t="shared" si="99"/>
        <v>0</v>
      </c>
      <c r="AR334" s="49" t="str">
        <f t="shared" si="100"/>
        <v/>
      </c>
    </row>
    <row r="335" spans="1:44" ht="30" customHeight="1" x14ac:dyDescent="0.35">
      <c r="A335" s="25" t="str">
        <f>CONCATENATE($B$275,"
",$B$314,"",$B$315,"
",$B$333)</f>
        <v>PT177 - PLATAFORMA DE ACESSO - FORQUILHA 2 - BÁSICO
TORRE B4PROJETO BÁSICO
CIVIL</v>
      </c>
      <c r="B335" s="40" t="s">
        <v>19</v>
      </c>
      <c r="C335" s="60" t="str">
        <f>IF(AND($B335=[1]rogério!$A336,[1]rogério!$B336=C$4),"ok","nok")</f>
        <v>nok</v>
      </c>
      <c r="D335" s="60" t="str">
        <f>IF(AND($B335=[1]rogério!$A336,[1]rogério!$B336=D$4),"ok","nok")</f>
        <v>nok</v>
      </c>
      <c r="E335" s="60" t="str">
        <f>IF(AND($B335=[1]rogério!$A336,[1]rogério!$B336=E$4),"ok","nok")</f>
        <v>nok</v>
      </c>
      <c r="F335" s="60" t="str">
        <f>IF(AND($B335=[1]rogério!$A336,[1]rogério!$B336=F$4),"ok","nok")</f>
        <v>nok</v>
      </c>
      <c r="G335" s="60" t="str">
        <f>IF(AND($B335=[1]rogério!$A336,[1]rogério!$B336=G$4),"ok","nok")</f>
        <v>nok</v>
      </c>
      <c r="H335" s="60" t="str">
        <f>IF(AND($B335=[1]rogério!$A336,[1]rogério!$B336=H$4),"ok","nok")</f>
        <v>nok</v>
      </c>
      <c r="I335" s="60" t="str">
        <f>IF(AND($B335=[1]rogério!$A336,[1]rogério!$B336=I$4),"ok","nok")</f>
        <v>ok</v>
      </c>
      <c r="J335" s="60" t="str">
        <f>IF(AND($B335=[1]rogério!$A336,[1]rogério!$B336=J$4),"ok","nok")</f>
        <v>nok</v>
      </c>
      <c r="K335" s="60" t="str">
        <f>IF(AND($B335=[1]rogério!$A336,[1]rogério!$B336=K$4),"ok","nok")</f>
        <v>nok</v>
      </c>
      <c r="L335" s="60" t="str">
        <f>IF(AND($B335=[1]rogério!$A336,[1]rogério!$B336=L$4),"ok","nok")</f>
        <v>nok</v>
      </c>
      <c r="M335" s="60" t="str">
        <f>IF(AND($B335=[1]rogério!$A336,[1]rogério!$B336=M$4),"ok","nok")</f>
        <v>nok</v>
      </c>
      <c r="N335" s="60" t="str">
        <f>IF(AND($B335=[1]rogério!$A336,[1]rogério!$B336=N$4),"ok","nok")</f>
        <v>nok</v>
      </c>
      <c r="O335" s="60" t="str">
        <f>IF(AND($B335=[1]rogério!$A336,[1]rogério!$B336=O$4),"ok","nok")</f>
        <v>nok</v>
      </c>
      <c r="P335" s="60" t="str">
        <f>IF(AND($B335=[1]rogério!$A336,[1]rogério!$B336=P$4),"ok","nok")</f>
        <v>nok</v>
      </c>
      <c r="Q335" s="60" t="str">
        <f>IF(AND($B335=[1]rogério!$A336,[1]rogério!$B336=Q$4),"ok","nok")</f>
        <v>nok</v>
      </c>
      <c r="R335" s="60" t="str">
        <f>IF(AND($B335=[1]rogério!$A336,[1]rogério!$B336=R$4),"ok","nok")</f>
        <v>nok</v>
      </c>
      <c r="S335" s="60" t="str">
        <f>IF(AND($B335=[1]rogério!$A336,[1]rogério!$B336=S$4),"ok","nok")</f>
        <v>nok</v>
      </c>
      <c r="T335" s="60" t="str">
        <f>IF(AND($B335=[1]rogério!$A336,[1]rogério!$B336=T$4),"ok","nok")</f>
        <v>nok</v>
      </c>
      <c r="U335" s="60" t="str">
        <f>IF(AND($B335=[1]rogério!$A336,[1]rogério!$B336=U$4),"ok","nok")</f>
        <v>nok</v>
      </c>
      <c r="V335" s="60" t="str">
        <f>IF(AND($B335=[1]rogério!$A336,[1]rogério!$B336=V$4),"ok","nok")</f>
        <v>nok</v>
      </c>
      <c r="W335" s="60" t="str">
        <f>IF(AND($B335=[1]rogério!$A336,[1]rogério!$B336=W$4),"ok","nok")</f>
        <v>nok</v>
      </c>
      <c r="X335" s="60" t="str">
        <f>IF(AND($B335=[1]rogério!$A336,[1]rogério!$B336=X$4),"ok","nok")</f>
        <v>nok</v>
      </c>
      <c r="Y335" s="105" t="s">
        <v>15</v>
      </c>
      <c r="Z335" s="106"/>
      <c r="AA335" s="106"/>
      <c r="AB335" s="107"/>
      <c r="AC335" s="40"/>
      <c r="AD335" s="40"/>
      <c r="AE335" s="48" t="str">
        <f t="shared" si="90"/>
        <v/>
      </c>
      <c r="AF335" s="48"/>
      <c r="AG335" s="48"/>
      <c r="AH335" s="89"/>
      <c r="AI335" s="49">
        <f t="shared" si="91"/>
        <v>0</v>
      </c>
      <c r="AJ335" s="49" t="str">
        <f t="shared" si="92"/>
        <v/>
      </c>
      <c r="AK335" s="49">
        <f t="shared" si="93"/>
        <v>1</v>
      </c>
      <c r="AL335" s="49" t="str">
        <f t="shared" si="94"/>
        <v/>
      </c>
      <c r="AM335" s="49">
        <f t="shared" si="95"/>
        <v>0</v>
      </c>
      <c r="AN335" s="49" t="str">
        <f t="shared" si="96"/>
        <v/>
      </c>
      <c r="AO335" s="49">
        <f t="shared" si="97"/>
        <v>0</v>
      </c>
      <c r="AP335" s="49" t="str">
        <f t="shared" si="98"/>
        <v/>
      </c>
      <c r="AQ335" s="49">
        <f t="shared" si="99"/>
        <v>0</v>
      </c>
      <c r="AR335" s="49" t="str">
        <f t="shared" si="100"/>
        <v/>
      </c>
    </row>
    <row r="336" spans="1:44" ht="30" customHeight="1" x14ac:dyDescent="0.35">
      <c r="A336" s="25" t="str">
        <f t="shared" ref="A336:A354" si="101">CONCATENATE($B$275,"
",$B$314,"",$B$315,"
",$B$333)</f>
        <v>PT177 - PLATAFORMA DE ACESSO - FORQUILHA 2 - BÁSICO
TORRE B4PROJETO BÁSICO
CIVIL</v>
      </c>
      <c r="B336" s="40" t="s">
        <v>60</v>
      </c>
      <c r="C336" s="60" t="str">
        <f>IF(AND($B336=[1]rogério!$A337,[1]rogério!$B337=C$4),"ok","nok")</f>
        <v>nok</v>
      </c>
      <c r="D336" s="60" t="str">
        <f>IF(AND($B336=[1]rogério!$A337,[1]rogério!$B337=D$4),"ok","nok")</f>
        <v>nok</v>
      </c>
      <c r="E336" s="60" t="str">
        <f>IF(AND($B336=[1]rogério!$A337,[1]rogério!$B337=E$4),"ok","nok")</f>
        <v>nok</v>
      </c>
      <c r="F336" s="60" t="str">
        <f>IF(AND($B336=[1]rogério!$A337,[1]rogério!$B337=F$4),"ok","nok")</f>
        <v>nok</v>
      </c>
      <c r="G336" s="60" t="str">
        <f>IF(AND($B336=[1]rogério!$A337,[1]rogério!$B337=G$4),"ok","nok")</f>
        <v>nok</v>
      </c>
      <c r="H336" s="60" t="str">
        <f>IF(AND($B336=[1]rogério!$A337,[1]rogério!$B337=H$4),"ok","nok")</f>
        <v>nok</v>
      </c>
      <c r="I336" s="60" t="str">
        <f>IF(AND($B336=[1]rogério!$A337,[1]rogério!$B337=I$4),"ok","nok")</f>
        <v>nok</v>
      </c>
      <c r="J336" s="60" t="str">
        <f>IF(AND($B336=[1]rogério!$A337,[1]rogério!$B337=J$4),"ok","nok")</f>
        <v>nok</v>
      </c>
      <c r="K336" s="60" t="str">
        <f>IF(AND($B336=[1]rogério!$A337,[1]rogério!$B337=K$4),"ok","nok")</f>
        <v>nok</v>
      </c>
      <c r="L336" s="60" t="str">
        <f>IF(AND($B336=[1]rogério!$A337,[1]rogério!$B337=L$4),"ok","nok")</f>
        <v>ok</v>
      </c>
      <c r="M336" s="60" t="str">
        <f>IF(AND($B336=[1]rogério!$A337,[1]rogério!$B337=M$4),"ok","nok")</f>
        <v>nok</v>
      </c>
      <c r="N336" s="60" t="str">
        <f>IF(AND($B336=[1]rogério!$A337,[1]rogério!$B337=N$4),"ok","nok")</f>
        <v>nok</v>
      </c>
      <c r="O336" s="60" t="str">
        <f>IF(AND($B336=[1]rogério!$A337,[1]rogério!$B337=O$4),"ok","nok")</f>
        <v>nok</v>
      </c>
      <c r="P336" s="60" t="str">
        <f>IF(AND($B336=[1]rogério!$A337,[1]rogério!$B337=P$4),"ok","nok")</f>
        <v>nok</v>
      </c>
      <c r="Q336" s="60" t="str">
        <f>IF(AND($B336=[1]rogério!$A337,[1]rogério!$B337=Q$4),"ok","nok")</f>
        <v>nok</v>
      </c>
      <c r="R336" s="60" t="str">
        <f>IF(AND($B336=[1]rogério!$A337,[1]rogério!$B337=R$4),"ok","nok")</f>
        <v>nok</v>
      </c>
      <c r="S336" s="60" t="str">
        <f>IF(AND($B336=[1]rogério!$A337,[1]rogério!$B337=S$4),"ok","nok")</f>
        <v>nok</v>
      </c>
      <c r="T336" s="60" t="str">
        <f>IF(AND($B336=[1]rogério!$A337,[1]rogério!$B337=T$4),"ok","nok")</f>
        <v>nok</v>
      </c>
      <c r="U336" s="60" t="str">
        <f>IF(AND($B336=[1]rogério!$A337,[1]rogério!$B337=U$4),"ok","nok")</f>
        <v>nok</v>
      </c>
      <c r="V336" s="60" t="str">
        <f>IF(AND($B336=[1]rogério!$A337,[1]rogério!$B337=V$4),"ok","nok")</f>
        <v>nok</v>
      </c>
      <c r="W336" s="60" t="str">
        <f>IF(AND($B336=[1]rogério!$A337,[1]rogério!$B337=W$4),"ok","nok")</f>
        <v>nok</v>
      </c>
      <c r="X336" s="60" t="str">
        <f>IF(AND($B336=[1]rogério!$A337,[1]rogério!$B337=X$4),"ok","nok")</f>
        <v>nok</v>
      </c>
      <c r="Y336" s="105" t="s">
        <v>15</v>
      </c>
      <c r="Z336" s="106"/>
      <c r="AA336" s="106"/>
      <c r="AB336" s="107"/>
      <c r="AC336" s="40"/>
      <c r="AD336" s="40"/>
      <c r="AE336" s="48" t="str">
        <f t="shared" si="90"/>
        <v/>
      </c>
      <c r="AF336" s="48"/>
      <c r="AG336" s="48"/>
      <c r="AH336" s="89"/>
      <c r="AI336" s="49">
        <f t="shared" si="91"/>
        <v>0</v>
      </c>
      <c r="AJ336" s="49" t="str">
        <f t="shared" si="92"/>
        <v/>
      </c>
      <c r="AK336" s="49">
        <f t="shared" si="93"/>
        <v>1</v>
      </c>
      <c r="AL336" s="49" t="str">
        <f t="shared" si="94"/>
        <v/>
      </c>
      <c r="AM336" s="49">
        <f t="shared" si="95"/>
        <v>0</v>
      </c>
      <c r="AN336" s="49" t="str">
        <f t="shared" si="96"/>
        <v/>
      </c>
      <c r="AO336" s="49">
        <f t="shared" si="97"/>
        <v>0</v>
      </c>
      <c r="AP336" s="49" t="str">
        <f t="shared" si="98"/>
        <v/>
      </c>
      <c r="AQ336" s="49">
        <f t="shared" si="99"/>
        <v>0</v>
      </c>
      <c r="AR336" s="49" t="str">
        <f t="shared" si="100"/>
        <v/>
      </c>
    </row>
    <row r="337" spans="1:44" ht="30" customHeight="1" x14ac:dyDescent="0.35">
      <c r="A337" s="25" t="str">
        <f t="shared" si="101"/>
        <v>PT177 - PLATAFORMA DE ACESSO - FORQUILHA 2 - BÁSICO
TORRE B4PROJETO BÁSICO
CIVIL</v>
      </c>
      <c r="B337" s="40" t="s">
        <v>89</v>
      </c>
      <c r="C337" s="60" t="str">
        <f>IF(AND($B337=[1]rogério!$A338,[1]rogério!$B338=C$4),"ok","nok")</f>
        <v>nok</v>
      </c>
      <c r="D337" s="60" t="str">
        <f>IF(AND($B337=[1]rogério!$A338,[1]rogério!$B338=D$4),"ok","nok")</f>
        <v>nok</v>
      </c>
      <c r="E337" s="60" t="str">
        <f>IF(AND($B337=[1]rogério!$A338,[1]rogério!$B338=E$4),"ok","nok")</f>
        <v>nok</v>
      </c>
      <c r="F337" s="60" t="str">
        <f>IF(AND($B337=[1]rogério!$A338,[1]rogério!$B338=F$4),"ok","nok")</f>
        <v>nok</v>
      </c>
      <c r="G337" s="60" t="str">
        <f>IF(AND($B337=[1]rogério!$A338,[1]rogério!$B338=G$4),"ok","nok")</f>
        <v>nok</v>
      </c>
      <c r="H337" s="60" t="str">
        <f>IF(AND($B337=[1]rogério!$A338,[1]rogério!$B338=H$4),"ok","nok")</f>
        <v>nok</v>
      </c>
      <c r="I337" s="60" t="str">
        <f>IF(AND($B337=[1]rogério!$A338,[1]rogério!$B338=I$4),"ok","nok")</f>
        <v>nok</v>
      </c>
      <c r="J337" s="60" t="str">
        <f>IF(AND($B337=[1]rogério!$A338,[1]rogério!$B338=J$4),"ok","nok")</f>
        <v>nok</v>
      </c>
      <c r="K337" s="60" t="str">
        <f>IF(AND($B337=[1]rogério!$A338,[1]rogério!$B338=K$4),"ok","nok")</f>
        <v>nok</v>
      </c>
      <c r="L337" s="60" t="str">
        <f>IF(AND($B337=[1]rogério!$A338,[1]rogério!$B338=L$4),"ok","nok")</f>
        <v>ok</v>
      </c>
      <c r="M337" s="60" t="str">
        <f>IF(AND($B337=[1]rogério!$A338,[1]rogério!$B338=M$4),"ok","nok")</f>
        <v>nok</v>
      </c>
      <c r="N337" s="60" t="str">
        <f>IF(AND($B337=[1]rogério!$A338,[1]rogério!$B338=N$4),"ok","nok")</f>
        <v>nok</v>
      </c>
      <c r="O337" s="60" t="str">
        <f>IF(AND($B337=[1]rogério!$A338,[1]rogério!$B338=O$4),"ok","nok")</f>
        <v>nok</v>
      </c>
      <c r="P337" s="60" t="str">
        <f>IF(AND($B337=[1]rogério!$A338,[1]rogério!$B338=P$4),"ok","nok")</f>
        <v>nok</v>
      </c>
      <c r="Q337" s="60" t="str">
        <f>IF(AND($B337=[1]rogério!$A338,[1]rogério!$B338=Q$4),"ok","nok")</f>
        <v>nok</v>
      </c>
      <c r="R337" s="60" t="str">
        <f>IF(AND($B337=[1]rogério!$A338,[1]rogério!$B338=R$4),"ok","nok")</f>
        <v>nok</v>
      </c>
      <c r="S337" s="60" t="str">
        <f>IF(AND($B337=[1]rogério!$A338,[1]rogério!$B338=S$4),"ok","nok")</f>
        <v>nok</v>
      </c>
      <c r="T337" s="60" t="str">
        <f>IF(AND($B337=[1]rogério!$A338,[1]rogério!$B338=T$4),"ok","nok")</f>
        <v>nok</v>
      </c>
      <c r="U337" s="60" t="str">
        <f>IF(AND($B337=[1]rogério!$A338,[1]rogério!$B338=U$4),"ok","nok")</f>
        <v>nok</v>
      </c>
      <c r="V337" s="60" t="str">
        <f>IF(AND($B337=[1]rogério!$A338,[1]rogério!$B338=V$4),"ok","nok")</f>
        <v>nok</v>
      </c>
      <c r="W337" s="60" t="str">
        <f>IF(AND($B337=[1]rogério!$A338,[1]rogério!$B338=W$4),"ok","nok")</f>
        <v>nok</v>
      </c>
      <c r="X337" s="60" t="str">
        <f>IF(AND($B337=[1]rogério!$A338,[1]rogério!$B338=X$4),"ok","nok")</f>
        <v>nok</v>
      </c>
      <c r="Y337" s="105" t="s">
        <v>15</v>
      </c>
      <c r="Z337" s="106"/>
      <c r="AA337" s="106"/>
      <c r="AB337" s="107"/>
      <c r="AC337" s="40"/>
      <c r="AD337" s="40"/>
      <c r="AE337" s="48" t="str">
        <f t="shared" si="90"/>
        <v/>
      </c>
      <c r="AF337" s="48"/>
      <c r="AG337" s="48"/>
      <c r="AH337" s="89"/>
      <c r="AI337" s="49">
        <f t="shared" si="91"/>
        <v>0</v>
      </c>
      <c r="AJ337" s="49" t="str">
        <f t="shared" si="92"/>
        <v/>
      </c>
      <c r="AK337" s="49">
        <f t="shared" si="93"/>
        <v>1</v>
      </c>
      <c r="AL337" s="49" t="str">
        <f t="shared" si="94"/>
        <v/>
      </c>
      <c r="AM337" s="49">
        <f t="shared" si="95"/>
        <v>0</v>
      </c>
      <c r="AN337" s="49" t="str">
        <f t="shared" si="96"/>
        <v/>
      </c>
      <c r="AO337" s="49">
        <f t="shared" si="97"/>
        <v>0</v>
      </c>
      <c r="AP337" s="49" t="str">
        <f t="shared" si="98"/>
        <v/>
      </c>
      <c r="AQ337" s="49">
        <f t="shared" si="99"/>
        <v>0</v>
      </c>
      <c r="AR337" s="49" t="str">
        <f t="shared" si="100"/>
        <v/>
      </c>
    </row>
    <row r="338" spans="1:44" ht="30" customHeight="1" x14ac:dyDescent="0.35">
      <c r="A338" s="25" t="str">
        <f t="shared" si="101"/>
        <v>PT177 - PLATAFORMA DE ACESSO - FORQUILHA 2 - BÁSICO
TORRE B4PROJETO BÁSICO
CIVIL</v>
      </c>
      <c r="B338" s="40" t="s">
        <v>19</v>
      </c>
      <c r="C338" s="60" t="str">
        <f>IF(AND($B338=[1]rogério!$A339,[1]rogério!$B339=C$4),"ok","nok")</f>
        <v>nok</v>
      </c>
      <c r="D338" s="60" t="str">
        <f>IF(AND($B338=[1]rogério!$A339,[1]rogério!$B339=D$4),"ok","nok")</f>
        <v>nok</v>
      </c>
      <c r="E338" s="60" t="str">
        <f>IF(AND($B338=[1]rogério!$A339,[1]rogério!$B339=E$4),"ok","nok")</f>
        <v>nok</v>
      </c>
      <c r="F338" s="60" t="str">
        <f>IF(AND($B338=[1]rogério!$A339,[1]rogério!$B339=F$4),"ok","nok")</f>
        <v>nok</v>
      </c>
      <c r="G338" s="60" t="str">
        <f>IF(AND($B338=[1]rogério!$A339,[1]rogério!$B339=G$4),"ok","nok")</f>
        <v>nok</v>
      </c>
      <c r="H338" s="60" t="str">
        <f>IF(AND($B338=[1]rogério!$A339,[1]rogério!$B339=H$4),"ok","nok")</f>
        <v>nok</v>
      </c>
      <c r="I338" s="60" t="str">
        <f>IF(AND($B338=[1]rogério!$A339,[1]rogério!$B339=I$4),"ok","nok")</f>
        <v>nok</v>
      </c>
      <c r="J338" s="60" t="str">
        <f>IF(AND($B338=[1]rogério!$A339,[1]rogério!$B339=J$4),"ok","nok")</f>
        <v>nok</v>
      </c>
      <c r="K338" s="60" t="str">
        <f>IF(AND($B338=[1]rogério!$A339,[1]rogério!$B339=K$4),"ok","nok")</f>
        <v>nok</v>
      </c>
      <c r="L338" s="60" t="str">
        <f>IF(AND($B338=[1]rogério!$A339,[1]rogério!$B339=L$4),"ok","nok")</f>
        <v>nok</v>
      </c>
      <c r="M338" s="60" t="str">
        <f>IF(AND($B338=[1]rogério!$A339,[1]rogério!$B339=M$4),"ok","nok")</f>
        <v>nok</v>
      </c>
      <c r="N338" s="60" t="str">
        <f>IF(AND($B338=[1]rogério!$A339,[1]rogério!$B339=N$4),"ok","nok")</f>
        <v>nok</v>
      </c>
      <c r="O338" s="60" t="str">
        <f>IF(AND($B338=[1]rogério!$A339,[1]rogério!$B339=O$4),"ok","nok")</f>
        <v>nok</v>
      </c>
      <c r="P338" s="60" t="str">
        <f>IF(AND($B338=[1]rogério!$A339,[1]rogério!$B339=P$4),"ok","nok")</f>
        <v>nok</v>
      </c>
      <c r="Q338" s="60" t="str">
        <f>IF(AND($B338=[1]rogério!$A339,[1]rogério!$B339=Q$4),"ok","nok")</f>
        <v>nok</v>
      </c>
      <c r="R338" s="60" t="str">
        <f>IF(AND($B338=[1]rogério!$A339,[1]rogério!$B339=R$4),"ok","nok")</f>
        <v>nok</v>
      </c>
      <c r="S338" s="60" t="str">
        <f>IF(AND($B338=[1]rogério!$A339,[1]rogério!$B339=S$4),"ok","nok")</f>
        <v>ok</v>
      </c>
      <c r="T338" s="60" t="str">
        <f>IF(AND($B338=[1]rogério!$A339,[1]rogério!$B339=T$4),"ok","nok")</f>
        <v>nok</v>
      </c>
      <c r="U338" s="60" t="str">
        <f>IF(AND($B338=[1]rogério!$A339,[1]rogério!$B339=U$4),"ok","nok")</f>
        <v>nok</v>
      </c>
      <c r="V338" s="60" t="str">
        <f>IF(AND($B338=[1]rogério!$A339,[1]rogério!$B339=V$4),"ok","nok")</f>
        <v>nok</v>
      </c>
      <c r="W338" s="60" t="str">
        <f>IF(AND($B338=[1]rogério!$A339,[1]rogério!$B339=W$4),"ok","nok")</f>
        <v>nok</v>
      </c>
      <c r="X338" s="60" t="str">
        <f>IF(AND($B338=[1]rogério!$A339,[1]rogério!$B339=X$4),"ok","nok")</f>
        <v>nok</v>
      </c>
      <c r="Y338" s="105" t="s">
        <v>15</v>
      </c>
      <c r="Z338" s="106"/>
      <c r="AA338" s="106"/>
      <c r="AB338" s="107"/>
      <c r="AC338" s="40"/>
      <c r="AD338" s="40"/>
      <c r="AE338" s="48" t="str">
        <f t="shared" si="90"/>
        <v/>
      </c>
      <c r="AF338" s="48"/>
      <c r="AG338" s="48"/>
      <c r="AH338" s="89"/>
      <c r="AI338" s="49">
        <f t="shared" si="91"/>
        <v>0</v>
      </c>
      <c r="AJ338" s="49" t="str">
        <f t="shared" si="92"/>
        <v/>
      </c>
      <c r="AK338" s="49">
        <f t="shared" si="93"/>
        <v>0</v>
      </c>
      <c r="AL338" s="49" t="str">
        <f t="shared" si="94"/>
        <v/>
      </c>
      <c r="AM338" s="49">
        <f t="shared" si="95"/>
        <v>0</v>
      </c>
      <c r="AN338" s="49" t="str">
        <f t="shared" si="96"/>
        <v/>
      </c>
      <c r="AO338" s="49">
        <f t="shared" si="97"/>
        <v>1</v>
      </c>
      <c r="AP338" s="49" t="str">
        <f t="shared" si="98"/>
        <v/>
      </c>
      <c r="AQ338" s="49">
        <f t="shared" si="99"/>
        <v>0</v>
      </c>
      <c r="AR338" s="49" t="str">
        <f t="shared" si="100"/>
        <v/>
      </c>
    </row>
    <row r="339" spans="1:44" ht="30" customHeight="1" x14ac:dyDescent="0.35">
      <c r="A339" s="25" t="str">
        <f t="shared" si="101"/>
        <v>PT177 - PLATAFORMA DE ACESSO - FORQUILHA 2 - BÁSICO
TORRE B4PROJETO BÁSICO
CIVIL</v>
      </c>
      <c r="B339" s="40" t="s">
        <v>42</v>
      </c>
      <c r="C339" s="60" t="str">
        <f>IF(AND($B339=[1]rogério!$A340,[1]rogério!$B340=C$4),"ok","nok")</f>
        <v>nok</v>
      </c>
      <c r="D339" s="60" t="str">
        <f>IF(AND($B339=[1]rogério!$A340,[1]rogério!$B340=D$4),"ok","nok")</f>
        <v>nok</v>
      </c>
      <c r="E339" s="60" t="str">
        <f>IF(AND($B339=[1]rogério!$A340,[1]rogério!$B340=E$4),"ok","nok")</f>
        <v>nok</v>
      </c>
      <c r="F339" s="60" t="str">
        <f>IF(AND($B339=[1]rogério!$A340,[1]rogério!$B340=F$4),"ok","nok")</f>
        <v>nok</v>
      </c>
      <c r="G339" s="60" t="str">
        <f>IF(AND($B339=[1]rogério!$A340,[1]rogério!$B340=G$4),"ok","nok")</f>
        <v>nok</v>
      </c>
      <c r="H339" s="60" t="str">
        <f>IF(AND($B339=[1]rogério!$A340,[1]rogério!$B340=H$4),"ok","nok")</f>
        <v>nok</v>
      </c>
      <c r="I339" s="60" t="str">
        <f>IF(AND($B339=[1]rogério!$A340,[1]rogério!$B340=I$4),"ok","nok")</f>
        <v>nok</v>
      </c>
      <c r="J339" s="60" t="str">
        <f>IF(AND($B339=[1]rogério!$A340,[1]rogério!$B340=J$4),"ok","nok")</f>
        <v>nok</v>
      </c>
      <c r="K339" s="60" t="str">
        <f>IF(AND($B339=[1]rogério!$A340,[1]rogério!$B340=K$4),"ok","nok")</f>
        <v>nok</v>
      </c>
      <c r="L339" s="60" t="str">
        <f>IF(AND($B339=[1]rogério!$A340,[1]rogério!$B340=L$4),"ok","nok")</f>
        <v>nok</v>
      </c>
      <c r="M339" s="60" t="str">
        <f>IF(AND($B339=[1]rogério!$A340,[1]rogério!$B340=M$4),"ok","nok")</f>
        <v>nok</v>
      </c>
      <c r="N339" s="60" t="str">
        <f>IF(AND($B339=[1]rogério!$A340,[1]rogério!$B340=N$4),"ok","nok")</f>
        <v>nok</v>
      </c>
      <c r="O339" s="60" t="str">
        <f>IF(AND($B339=[1]rogério!$A340,[1]rogério!$B340=O$4),"ok","nok")</f>
        <v>nok</v>
      </c>
      <c r="P339" s="60" t="str">
        <f>IF(AND($B339=[1]rogério!$A340,[1]rogério!$B340=P$4),"ok","nok")</f>
        <v>nok</v>
      </c>
      <c r="Q339" s="60" t="str">
        <f>IF(AND($B339=[1]rogério!$A340,[1]rogério!$B340=Q$4),"ok","nok")</f>
        <v>nok</v>
      </c>
      <c r="R339" s="60" t="str">
        <f>IF(AND($B339=[1]rogério!$A340,[1]rogério!$B340=R$4),"ok","nok")</f>
        <v>nok</v>
      </c>
      <c r="S339" s="60" t="str">
        <f>IF(AND($B339=[1]rogério!$A340,[1]rogério!$B340=S$4),"ok","nok")</f>
        <v>nok</v>
      </c>
      <c r="T339" s="60" t="str">
        <f>IF(AND($B339=[1]rogério!$A340,[1]rogério!$B340=T$4),"ok","nok")</f>
        <v>nok</v>
      </c>
      <c r="U339" s="60" t="str">
        <f>IF(AND($B339=[1]rogério!$A340,[1]rogério!$B340=U$4),"ok","nok")</f>
        <v>nok</v>
      </c>
      <c r="V339" s="60" t="str">
        <f>IF(AND($B339=[1]rogério!$A340,[1]rogério!$B340=V$4),"ok","nok")</f>
        <v>ok</v>
      </c>
      <c r="W339" s="60" t="str">
        <f>IF(AND($B339=[1]rogério!$A340,[1]rogério!$B340=W$4),"ok","nok")</f>
        <v>nok</v>
      </c>
      <c r="X339" s="60" t="str">
        <f>IF(AND($B339=[1]rogério!$A340,[1]rogério!$B340=X$4),"ok","nok")</f>
        <v>nok</v>
      </c>
      <c r="Y339" s="105" t="s">
        <v>15</v>
      </c>
      <c r="Z339" s="106"/>
      <c r="AA339" s="106"/>
      <c r="AB339" s="107"/>
      <c r="AC339" s="40"/>
      <c r="AD339" s="40"/>
      <c r="AE339" s="48" t="str">
        <f t="shared" si="90"/>
        <v/>
      </c>
      <c r="AF339" s="48"/>
      <c r="AG339" s="48"/>
      <c r="AH339" s="89"/>
      <c r="AI339" s="49">
        <f t="shared" si="91"/>
        <v>0</v>
      </c>
      <c r="AJ339" s="49" t="str">
        <f t="shared" si="92"/>
        <v/>
      </c>
      <c r="AK339" s="49">
        <f t="shared" si="93"/>
        <v>0</v>
      </c>
      <c r="AL339" s="49" t="str">
        <f t="shared" si="94"/>
        <v/>
      </c>
      <c r="AM339" s="49">
        <f t="shared" si="95"/>
        <v>0</v>
      </c>
      <c r="AN339" s="49" t="str">
        <f t="shared" si="96"/>
        <v/>
      </c>
      <c r="AO339" s="49">
        <f t="shared" si="97"/>
        <v>1</v>
      </c>
      <c r="AP339" s="49" t="str">
        <f t="shared" si="98"/>
        <v/>
      </c>
      <c r="AQ339" s="49">
        <f t="shared" si="99"/>
        <v>0</v>
      </c>
      <c r="AR339" s="49" t="str">
        <f t="shared" si="100"/>
        <v/>
      </c>
    </row>
    <row r="340" spans="1:44" ht="30" customHeight="1" x14ac:dyDescent="0.35">
      <c r="A340" s="25" t="str">
        <f t="shared" si="101"/>
        <v>PT177 - PLATAFORMA DE ACESSO - FORQUILHA 2 - BÁSICO
TORRE B4PROJETO BÁSICO
CIVIL</v>
      </c>
      <c r="B340" s="40" t="s">
        <v>43</v>
      </c>
      <c r="C340" s="60" t="str">
        <f>IF(AND($B340=[1]rogério!$A341,[1]rogério!$B341=C$4),"ok","nok")</f>
        <v>nok</v>
      </c>
      <c r="D340" s="60" t="str">
        <f>IF(AND($B340=[1]rogério!$A341,[1]rogério!$B341=D$4),"ok","nok")</f>
        <v>nok</v>
      </c>
      <c r="E340" s="60" t="str">
        <f>IF(AND($B340=[1]rogério!$A341,[1]rogério!$B341=E$4),"ok","nok")</f>
        <v>nok</v>
      </c>
      <c r="F340" s="60" t="str">
        <f>IF(AND($B340=[1]rogério!$A341,[1]rogério!$B341=F$4),"ok","nok")</f>
        <v>nok</v>
      </c>
      <c r="G340" s="60" t="str">
        <f>IF(AND($B340=[1]rogério!$A341,[1]rogério!$B341=G$4),"ok","nok")</f>
        <v>nok</v>
      </c>
      <c r="H340" s="60" t="str">
        <f>IF(AND($B340=[1]rogério!$A341,[1]rogério!$B341=H$4),"ok","nok")</f>
        <v>nok</v>
      </c>
      <c r="I340" s="60" t="str">
        <f>IF(AND($B340=[1]rogério!$A341,[1]rogério!$B341=I$4),"ok","nok")</f>
        <v>nok</v>
      </c>
      <c r="J340" s="60" t="str">
        <f>IF(AND($B340=[1]rogério!$A341,[1]rogério!$B341=J$4),"ok","nok")</f>
        <v>nok</v>
      </c>
      <c r="K340" s="60" t="str">
        <f>IF(AND($B340=[1]rogério!$A341,[1]rogério!$B341=K$4),"ok","nok")</f>
        <v>nok</v>
      </c>
      <c r="L340" s="60" t="str">
        <f>IF(AND($B340=[1]rogério!$A341,[1]rogério!$B341=L$4),"ok","nok")</f>
        <v>nok</v>
      </c>
      <c r="M340" s="60" t="str">
        <f>IF(AND($B340=[1]rogério!$A341,[1]rogério!$B341=M$4),"ok","nok")</f>
        <v>nok</v>
      </c>
      <c r="N340" s="60" t="str">
        <f>IF(AND($B340=[1]rogério!$A341,[1]rogério!$B341=N$4),"ok","nok")</f>
        <v>nok</v>
      </c>
      <c r="O340" s="60" t="str">
        <f>IF(AND($B340=[1]rogério!$A341,[1]rogério!$B341=O$4),"ok","nok")</f>
        <v>nok</v>
      </c>
      <c r="P340" s="60" t="str">
        <f>IF(AND($B340=[1]rogério!$A341,[1]rogério!$B341=P$4),"ok","nok")</f>
        <v>nok</v>
      </c>
      <c r="Q340" s="60" t="str">
        <f>IF(AND($B340=[1]rogério!$A341,[1]rogério!$B341=Q$4),"ok","nok")</f>
        <v>nok</v>
      </c>
      <c r="R340" s="60" t="str">
        <f>IF(AND($B340=[1]rogério!$A341,[1]rogério!$B341=R$4),"ok","nok")</f>
        <v>nok</v>
      </c>
      <c r="S340" s="60" t="str">
        <f>IF(AND($B340=[1]rogério!$A341,[1]rogério!$B341=S$4),"ok","nok")</f>
        <v>nok</v>
      </c>
      <c r="T340" s="60" t="str">
        <f>IF(AND($B340=[1]rogério!$A341,[1]rogério!$B341=T$4),"ok","nok")</f>
        <v>nok</v>
      </c>
      <c r="U340" s="60" t="str">
        <f>IF(AND($B340=[1]rogério!$A341,[1]rogério!$B341=U$4),"ok","nok")</f>
        <v>nok</v>
      </c>
      <c r="V340" s="60" t="str">
        <f>IF(AND($B340=[1]rogério!$A341,[1]rogério!$B341=V$4),"ok","nok")</f>
        <v>ok</v>
      </c>
      <c r="W340" s="60" t="str">
        <f>IF(AND($B340=[1]rogério!$A341,[1]rogério!$B341=W$4),"ok","nok")</f>
        <v>nok</v>
      </c>
      <c r="X340" s="60" t="str">
        <f>IF(AND($B340=[1]rogério!$A341,[1]rogério!$B341=X$4),"ok","nok")</f>
        <v>nok</v>
      </c>
      <c r="Y340" s="105" t="s">
        <v>15</v>
      </c>
      <c r="Z340" s="106"/>
      <c r="AA340" s="106"/>
      <c r="AB340" s="107"/>
      <c r="AC340" s="40"/>
      <c r="AD340" s="40"/>
      <c r="AE340" s="48" t="str">
        <f t="shared" si="90"/>
        <v/>
      </c>
      <c r="AF340" s="48"/>
      <c r="AG340" s="48"/>
      <c r="AH340" s="89"/>
      <c r="AI340" s="49">
        <f t="shared" si="91"/>
        <v>0</v>
      </c>
      <c r="AJ340" s="49" t="str">
        <f t="shared" si="92"/>
        <v/>
      </c>
      <c r="AK340" s="49">
        <f t="shared" si="93"/>
        <v>0</v>
      </c>
      <c r="AL340" s="49" t="str">
        <f t="shared" si="94"/>
        <v/>
      </c>
      <c r="AM340" s="49">
        <f t="shared" si="95"/>
        <v>0</v>
      </c>
      <c r="AN340" s="49" t="str">
        <f t="shared" si="96"/>
        <v/>
      </c>
      <c r="AO340" s="49">
        <f t="shared" si="97"/>
        <v>1</v>
      </c>
      <c r="AP340" s="49" t="str">
        <f t="shared" si="98"/>
        <v/>
      </c>
      <c r="AQ340" s="49">
        <f t="shared" si="99"/>
        <v>0</v>
      </c>
      <c r="AR340" s="49" t="str">
        <f t="shared" si="100"/>
        <v/>
      </c>
    </row>
    <row r="341" spans="1:44" ht="30" customHeight="1" x14ac:dyDescent="0.35">
      <c r="A341" s="25" t="str">
        <f t="shared" si="101"/>
        <v>PT177 - PLATAFORMA DE ACESSO - FORQUILHA 2 - BÁSICO
TORRE B4PROJETO BÁSICO
CIVIL</v>
      </c>
      <c r="B341" s="38" t="s">
        <v>65</v>
      </c>
      <c r="C341" s="60" t="str">
        <f>IF(AND($B341=[1]rogério!$A342,[1]rogério!$B342=C$4),"ok","nok")</f>
        <v>nok</v>
      </c>
      <c r="D341" s="60" t="str">
        <f>IF(AND($B341=[1]rogério!$A342,[1]rogério!$B342=D$4),"ok","nok")</f>
        <v>nok</v>
      </c>
      <c r="E341" s="60" t="str">
        <f>IF(AND($B341=[1]rogério!$A342,[1]rogério!$B342=E$4),"ok","nok")</f>
        <v>nok</v>
      </c>
      <c r="F341" s="60" t="str">
        <f>IF(AND($B341=[1]rogério!$A342,[1]rogério!$B342=F$4),"ok","nok")</f>
        <v>nok</v>
      </c>
      <c r="G341" s="60" t="str">
        <f>IF(AND($B341=[1]rogério!$A342,[1]rogério!$B342=G$4),"ok","nok")</f>
        <v>nok</v>
      </c>
      <c r="H341" s="60" t="str">
        <f>IF(AND($B341=[1]rogério!$A342,[1]rogério!$B342=H$4),"ok","nok")</f>
        <v>nok</v>
      </c>
      <c r="I341" s="60" t="str">
        <f>IF(AND($B341=[1]rogério!$A342,[1]rogério!$B342=I$4),"ok","nok")</f>
        <v>nok</v>
      </c>
      <c r="J341" s="60" t="str">
        <f>IF(AND($B341=[1]rogério!$A342,[1]rogério!$B342=J$4),"ok","nok")</f>
        <v>nok</v>
      </c>
      <c r="K341" s="60" t="str">
        <f>IF(AND($B341=[1]rogério!$A342,[1]rogério!$B342=K$4),"ok","nok")</f>
        <v>ok</v>
      </c>
      <c r="L341" s="60" t="str">
        <f>IF(AND($B341=[1]rogério!$A342,[1]rogério!$B342=L$4),"ok","nok")</f>
        <v>nok</v>
      </c>
      <c r="M341" s="60" t="str">
        <f>IF(AND($B341=[1]rogério!$A342,[1]rogério!$B342=M$4),"ok","nok")</f>
        <v>nok</v>
      </c>
      <c r="N341" s="60" t="str">
        <f>IF(AND($B341=[1]rogério!$A342,[1]rogério!$B342=N$4),"ok","nok")</f>
        <v>nok</v>
      </c>
      <c r="O341" s="60" t="str">
        <f>IF(AND($B341=[1]rogério!$A342,[1]rogério!$B342=O$4),"ok","nok")</f>
        <v>nok</v>
      </c>
      <c r="P341" s="60" t="str">
        <f>IF(AND($B341=[1]rogério!$A342,[1]rogério!$B342=P$4),"ok","nok")</f>
        <v>nok</v>
      </c>
      <c r="Q341" s="60" t="str">
        <f>IF(AND($B341=[1]rogério!$A342,[1]rogério!$B342=Q$4),"ok","nok")</f>
        <v>nok</v>
      </c>
      <c r="R341" s="60" t="str">
        <f>IF(AND($B341=[1]rogério!$A342,[1]rogério!$B342=R$4),"ok","nok")</f>
        <v>nok</v>
      </c>
      <c r="S341" s="60" t="str">
        <f>IF(AND($B341=[1]rogério!$A342,[1]rogério!$B342=S$4),"ok","nok")</f>
        <v>nok</v>
      </c>
      <c r="T341" s="60" t="str">
        <f>IF(AND($B341=[1]rogério!$A342,[1]rogério!$B342=T$4),"ok","nok")</f>
        <v>nok</v>
      </c>
      <c r="U341" s="60" t="str">
        <f>IF(AND($B341=[1]rogério!$A342,[1]rogério!$B342=U$4),"ok","nok")</f>
        <v>nok</v>
      </c>
      <c r="V341" s="60" t="str">
        <f>IF(AND($B341=[1]rogério!$A342,[1]rogério!$B342=V$4),"ok","nok")</f>
        <v>nok</v>
      </c>
      <c r="W341" s="60" t="str">
        <f>IF(AND($B341=[1]rogério!$A342,[1]rogério!$B342=W$4),"ok","nok")</f>
        <v>nok</v>
      </c>
      <c r="X341" s="60" t="str">
        <f>IF(AND($B341=[1]rogério!$A342,[1]rogério!$B342=X$4),"ok","nok")</f>
        <v>nok</v>
      </c>
      <c r="Y341" s="105" t="s">
        <v>15</v>
      </c>
      <c r="Z341" s="106"/>
      <c r="AA341" s="106"/>
      <c r="AB341" s="107"/>
      <c r="AC341" s="40"/>
      <c r="AD341" s="40"/>
      <c r="AE341" s="48" t="str">
        <f t="shared" si="90"/>
        <v/>
      </c>
      <c r="AF341" s="48"/>
      <c r="AG341" s="48"/>
      <c r="AH341" s="89"/>
      <c r="AI341" s="49">
        <f t="shared" si="91"/>
        <v>0</v>
      </c>
      <c r="AJ341" s="49" t="str">
        <f t="shared" si="92"/>
        <v/>
      </c>
      <c r="AK341" s="49">
        <f t="shared" si="93"/>
        <v>1</v>
      </c>
      <c r="AL341" s="49" t="str">
        <f t="shared" si="94"/>
        <v/>
      </c>
      <c r="AM341" s="49">
        <f t="shared" si="95"/>
        <v>0</v>
      </c>
      <c r="AN341" s="49" t="str">
        <f t="shared" si="96"/>
        <v/>
      </c>
      <c r="AO341" s="49">
        <f t="shared" si="97"/>
        <v>0</v>
      </c>
      <c r="AP341" s="49" t="str">
        <f t="shared" si="98"/>
        <v/>
      </c>
      <c r="AQ341" s="49">
        <f t="shared" si="99"/>
        <v>0</v>
      </c>
      <c r="AR341" s="49" t="str">
        <f t="shared" si="100"/>
        <v/>
      </c>
    </row>
    <row r="342" spans="1:44" ht="30" customHeight="1" x14ac:dyDescent="0.35">
      <c r="A342" s="25" t="str">
        <f t="shared" si="101"/>
        <v>PT177 - PLATAFORMA DE ACESSO - FORQUILHA 2 - BÁSICO
TORRE B4PROJETO BÁSICO
CIVIL</v>
      </c>
      <c r="B342" s="38" t="s">
        <v>66</v>
      </c>
      <c r="C342" s="60" t="str">
        <f>IF(AND($B342=[1]rogério!$A343,[1]rogério!$B343=C$4),"ok","nok")</f>
        <v>nok</v>
      </c>
      <c r="D342" s="60" t="str">
        <f>IF(AND($B342=[1]rogério!$A343,[1]rogério!$B343=D$4),"ok","nok")</f>
        <v>nok</v>
      </c>
      <c r="E342" s="60" t="str">
        <f>IF(AND($B342=[1]rogério!$A343,[1]rogério!$B343=E$4),"ok","nok")</f>
        <v>nok</v>
      </c>
      <c r="F342" s="60" t="str">
        <f>IF(AND($B342=[1]rogério!$A343,[1]rogério!$B343=F$4),"ok","nok")</f>
        <v>nok</v>
      </c>
      <c r="G342" s="60" t="str">
        <f>IF(AND($B342=[1]rogério!$A343,[1]rogério!$B343=G$4),"ok","nok")</f>
        <v>nok</v>
      </c>
      <c r="H342" s="60" t="str">
        <f>IF(AND($B342=[1]rogério!$A343,[1]rogério!$B343=H$4),"ok","nok")</f>
        <v>nok</v>
      </c>
      <c r="I342" s="60" t="str">
        <f>IF(AND($B342=[1]rogério!$A343,[1]rogério!$B343=I$4),"ok","nok")</f>
        <v>nok</v>
      </c>
      <c r="J342" s="60" t="str">
        <f>IF(AND($B342=[1]rogério!$A343,[1]rogério!$B343=J$4),"ok","nok")</f>
        <v>nok</v>
      </c>
      <c r="K342" s="60" t="str">
        <f>IF(AND($B342=[1]rogério!$A343,[1]rogério!$B343=K$4),"ok","nok")</f>
        <v>nok</v>
      </c>
      <c r="L342" s="60" t="str">
        <f>IF(AND($B342=[1]rogério!$A343,[1]rogério!$B343=L$4),"ok","nok")</f>
        <v>ok</v>
      </c>
      <c r="M342" s="60" t="str">
        <f>IF(AND($B342=[1]rogério!$A343,[1]rogério!$B343=M$4),"ok","nok")</f>
        <v>nok</v>
      </c>
      <c r="N342" s="60" t="str">
        <f>IF(AND($B342=[1]rogério!$A343,[1]rogério!$B343=N$4),"ok","nok")</f>
        <v>nok</v>
      </c>
      <c r="O342" s="60" t="str">
        <f>IF(AND($B342=[1]rogério!$A343,[1]rogério!$B343=O$4),"ok","nok")</f>
        <v>nok</v>
      </c>
      <c r="P342" s="60" t="str">
        <f>IF(AND($B342=[1]rogério!$A343,[1]rogério!$B343=P$4),"ok","nok")</f>
        <v>nok</v>
      </c>
      <c r="Q342" s="60" t="str">
        <f>IF(AND($B342=[1]rogério!$A343,[1]rogério!$B343=Q$4),"ok","nok")</f>
        <v>nok</v>
      </c>
      <c r="R342" s="60" t="str">
        <f>IF(AND($B342=[1]rogério!$A343,[1]rogério!$B343=R$4),"ok","nok")</f>
        <v>nok</v>
      </c>
      <c r="S342" s="60" t="str">
        <f>IF(AND($B342=[1]rogério!$A343,[1]rogério!$B343=S$4),"ok","nok")</f>
        <v>nok</v>
      </c>
      <c r="T342" s="60" t="str">
        <f>IF(AND($B342=[1]rogério!$A343,[1]rogério!$B343=T$4),"ok","nok")</f>
        <v>nok</v>
      </c>
      <c r="U342" s="60" t="str">
        <f>IF(AND($B342=[1]rogério!$A343,[1]rogério!$B343=U$4),"ok","nok")</f>
        <v>nok</v>
      </c>
      <c r="V342" s="60" t="str">
        <f>IF(AND($B342=[1]rogério!$A343,[1]rogério!$B343=V$4),"ok","nok")</f>
        <v>nok</v>
      </c>
      <c r="W342" s="60" t="str">
        <f>IF(AND($B342=[1]rogério!$A343,[1]rogério!$B343=W$4),"ok","nok")</f>
        <v>nok</v>
      </c>
      <c r="X342" s="60" t="str">
        <f>IF(AND($B342=[1]rogério!$A343,[1]rogério!$B343=X$4),"ok","nok")</f>
        <v>nok</v>
      </c>
      <c r="Y342" s="105" t="s">
        <v>15</v>
      </c>
      <c r="Z342" s="106"/>
      <c r="AA342" s="106"/>
      <c r="AB342" s="107"/>
      <c r="AC342" s="40"/>
      <c r="AD342" s="40"/>
      <c r="AE342" s="48" t="str">
        <f t="shared" si="90"/>
        <v/>
      </c>
      <c r="AF342" s="48"/>
      <c r="AG342" s="48"/>
      <c r="AH342" s="89"/>
      <c r="AI342" s="49">
        <f t="shared" si="91"/>
        <v>0</v>
      </c>
      <c r="AJ342" s="49" t="str">
        <f t="shared" si="92"/>
        <v/>
      </c>
      <c r="AK342" s="49">
        <f t="shared" si="93"/>
        <v>1</v>
      </c>
      <c r="AL342" s="49" t="str">
        <f t="shared" si="94"/>
        <v/>
      </c>
      <c r="AM342" s="49">
        <f t="shared" si="95"/>
        <v>0</v>
      </c>
      <c r="AN342" s="49" t="str">
        <f t="shared" si="96"/>
        <v/>
      </c>
      <c r="AO342" s="49">
        <f t="shared" si="97"/>
        <v>0</v>
      </c>
      <c r="AP342" s="49" t="str">
        <f t="shared" si="98"/>
        <v/>
      </c>
      <c r="AQ342" s="49">
        <f t="shared" si="99"/>
        <v>0</v>
      </c>
      <c r="AR342" s="49" t="str">
        <f t="shared" si="100"/>
        <v/>
      </c>
    </row>
    <row r="343" spans="1:44" ht="30" customHeight="1" x14ac:dyDescent="0.35">
      <c r="A343" s="25"/>
      <c r="B343" s="39" t="s">
        <v>67</v>
      </c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108"/>
      <c r="Z343" s="109"/>
      <c r="AA343" s="109"/>
      <c r="AB343" s="110"/>
      <c r="AC343" s="40"/>
      <c r="AD343" s="40"/>
      <c r="AE343" s="48" t="str">
        <f t="shared" si="90"/>
        <v/>
      </c>
      <c r="AF343" s="48"/>
      <c r="AG343" s="48"/>
      <c r="AH343" s="89"/>
      <c r="AI343" s="49">
        <f t="shared" si="91"/>
        <v>0</v>
      </c>
      <c r="AJ343" s="49" t="str">
        <f t="shared" si="92"/>
        <v/>
      </c>
      <c r="AK343" s="49">
        <f t="shared" si="93"/>
        <v>0</v>
      </c>
      <c r="AL343" s="49" t="str">
        <f t="shared" si="94"/>
        <v/>
      </c>
      <c r="AM343" s="49">
        <f t="shared" si="95"/>
        <v>0</v>
      </c>
      <c r="AN343" s="49" t="str">
        <f t="shared" si="96"/>
        <v/>
      </c>
      <c r="AO343" s="49">
        <f t="shared" si="97"/>
        <v>0</v>
      </c>
      <c r="AP343" s="49" t="str">
        <f t="shared" si="98"/>
        <v/>
      </c>
      <c r="AQ343" s="49">
        <f t="shared" si="99"/>
        <v>0</v>
      </c>
      <c r="AR343" s="49" t="str">
        <f t="shared" si="100"/>
        <v/>
      </c>
    </row>
    <row r="344" spans="1:44" ht="30" customHeight="1" x14ac:dyDescent="0.35">
      <c r="A344" s="25" t="str">
        <f t="shared" si="101"/>
        <v>PT177 - PLATAFORMA DE ACESSO - FORQUILHA 2 - BÁSICO
TORRE B4PROJETO BÁSICO
CIVIL</v>
      </c>
      <c r="B344" s="40" t="s">
        <v>49</v>
      </c>
      <c r="C344" s="60" t="str">
        <f>IF(AND($B344=[1]rogério!$A345,[1]rogério!$B345=C$4),"ok","nok")</f>
        <v>nok</v>
      </c>
      <c r="D344" s="60" t="str">
        <f>IF(AND($B344=[1]rogério!$A345,[1]rogério!$B345=D$4),"ok","nok")</f>
        <v>nok</v>
      </c>
      <c r="E344" s="60" t="str">
        <f>IF(AND($B344=[1]rogério!$A345,[1]rogério!$B345=E$4),"ok","nok")</f>
        <v>nok</v>
      </c>
      <c r="F344" s="60" t="str">
        <f>IF(AND($B344=[1]rogério!$A345,[1]rogério!$B345=F$4),"ok","nok")</f>
        <v>nok</v>
      </c>
      <c r="G344" s="60" t="str">
        <f>IF(AND($B344=[1]rogério!$A345,[1]rogério!$B345=G$4),"ok","nok")</f>
        <v>nok</v>
      </c>
      <c r="H344" s="60" t="str">
        <f>IF(AND($B344=[1]rogério!$A345,[1]rogério!$B345=H$4),"ok","nok")</f>
        <v>nok</v>
      </c>
      <c r="I344" s="60" t="str">
        <f>IF(AND($B344=[1]rogério!$A345,[1]rogério!$B345=I$4),"ok","nok")</f>
        <v>nok</v>
      </c>
      <c r="J344" s="60" t="str">
        <f>IF(AND($B344=[1]rogério!$A345,[1]rogério!$B345=J$4),"ok","nok")</f>
        <v>nok</v>
      </c>
      <c r="K344" s="60" t="str">
        <f>IF(AND($B344=[1]rogério!$A345,[1]rogério!$B345=K$4),"ok","nok")</f>
        <v>nok</v>
      </c>
      <c r="L344" s="60" t="str">
        <f>IF(AND($B344=[1]rogério!$A345,[1]rogério!$B345=L$4),"ok","nok")</f>
        <v>ok</v>
      </c>
      <c r="M344" s="60" t="str">
        <f>IF(AND($B344=[1]rogério!$A345,[1]rogério!$B345=M$4),"ok","nok")</f>
        <v>nok</v>
      </c>
      <c r="N344" s="60" t="str">
        <f>IF(AND($B344=[1]rogério!$A345,[1]rogério!$B345=N$4),"ok","nok")</f>
        <v>nok</v>
      </c>
      <c r="O344" s="60" t="str">
        <f>IF(AND($B344=[1]rogério!$A345,[1]rogério!$B345=O$4),"ok","nok")</f>
        <v>nok</v>
      </c>
      <c r="P344" s="60" t="str">
        <f>IF(AND($B344=[1]rogério!$A345,[1]rogério!$B345=P$4),"ok","nok")</f>
        <v>nok</v>
      </c>
      <c r="Q344" s="60" t="str">
        <f>IF(AND($B344=[1]rogério!$A345,[1]rogério!$B345=Q$4),"ok","nok")</f>
        <v>nok</v>
      </c>
      <c r="R344" s="60" t="str">
        <f>IF(AND($B344=[1]rogério!$A345,[1]rogério!$B345=R$4),"ok","nok")</f>
        <v>nok</v>
      </c>
      <c r="S344" s="60" t="str">
        <f>IF(AND($B344=[1]rogério!$A345,[1]rogério!$B345=S$4),"ok","nok")</f>
        <v>nok</v>
      </c>
      <c r="T344" s="60" t="str">
        <f>IF(AND($B344=[1]rogério!$A345,[1]rogério!$B345=T$4),"ok","nok")</f>
        <v>nok</v>
      </c>
      <c r="U344" s="60" t="str">
        <f>IF(AND($B344=[1]rogério!$A345,[1]rogério!$B345=U$4),"ok","nok")</f>
        <v>nok</v>
      </c>
      <c r="V344" s="60" t="str">
        <f>IF(AND($B344=[1]rogério!$A345,[1]rogério!$B345=V$4),"ok","nok")</f>
        <v>nok</v>
      </c>
      <c r="W344" s="60" t="str">
        <f>IF(AND($B344=[1]rogério!$A345,[1]rogério!$B345=W$4),"ok","nok")</f>
        <v>nok</v>
      </c>
      <c r="X344" s="60" t="str">
        <f>IF(AND($B344=[1]rogério!$A345,[1]rogério!$B345=X$4),"ok","nok")</f>
        <v>nok</v>
      </c>
      <c r="Y344" s="105" t="s">
        <v>15</v>
      </c>
      <c r="Z344" s="106"/>
      <c r="AA344" s="106"/>
      <c r="AB344" s="107"/>
      <c r="AC344" s="40"/>
      <c r="AD344" s="40"/>
      <c r="AE344" s="48" t="str">
        <f t="shared" si="90"/>
        <v/>
      </c>
      <c r="AF344" s="48"/>
      <c r="AG344" s="48"/>
      <c r="AH344" s="89"/>
      <c r="AI344" s="49">
        <f t="shared" si="91"/>
        <v>0</v>
      </c>
      <c r="AJ344" s="49" t="str">
        <f t="shared" si="92"/>
        <v/>
      </c>
      <c r="AK344" s="49">
        <f t="shared" si="93"/>
        <v>1</v>
      </c>
      <c r="AL344" s="49" t="str">
        <f t="shared" si="94"/>
        <v/>
      </c>
      <c r="AM344" s="49">
        <f t="shared" si="95"/>
        <v>0</v>
      </c>
      <c r="AN344" s="49" t="str">
        <f t="shared" si="96"/>
        <v/>
      </c>
      <c r="AO344" s="49">
        <f t="shared" si="97"/>
        <v>0</v>
      </c>
      <c r="AP344" s="49" t="str">
        <f t="shared" si="98"/>
        <v/>
      </c>
      <c r="AQ344" s="49">
        <f t="shared" si="99"/>
        <v>0</v>
      </c>
      <c r="AR344" s="49" t="str">
        <f t="shared" si="100"/>
        <v/>
      </c>
    </row>
    <row r="345" spans="1:44" ht="30" customHeight="1" x14ac:dyDescent="0.35">
      <c r="A345" s="25" t="str">
        <f t="shared" si="101"/>
        <v>PT177 - PLATAFORMA DE ACESSO - FORQUILHA 2 - BÁSICO
TORRE B4PROJETO BÁSICO
CIVIL</v>
      </c>
      <c r="B345" s="40" t="s">
        <v>19</v>
      </c>
      <c r="C345" s="60" t="str">
        <f>IF(AND($B345=[1]rogério!$A346,[1]rogério!$B346=C$4),"ok","nok")</f>
        <v>nok</v>
      </c>
      <c r="D345" s="60" t="str">
        <f>IF(AND($B345=[1]rogério!$A346,[1]rogério!$B346=D$4),"ok","nok")</f>
        <v>nok</v>
      </c>
      <c r="E345" s="60" t="str">
        <f>IF(AND($B345=[1]rogério!$A346,[1]rogério!$B346=E$4),"ok","nok")</f>
        <v>nok</v>
      </c>
      <c r="F345" s="60" t="str">
        <f>IF(AND($B345=[1]rogério!$A346,[1]rogério!$B346=F$4),"ok","nok")</f>
        <v>nok</v>
      </c>
      <c r="G345" s="60" t="str">
        <f>IF(AND($B345=[1]rogério!$A346,[1]rogério!$B346=G$4),"ok","nok")</f>
        <v>nok</v>
      </c>
      <c r="H345" s="60" t="str">
        <f>IF(AND($B345=[1]rogério!$A346,[1]rogério!$B346=H$4),"ok","nok")</f>
        <v>nok</v>
      </c>
      <c r="I345" s="60" t="str">
        <f>IF(AND($B345=[1]rogério!$A346,[1]rogério!$B346=I$4),"ok","nok")</f>
        <v>nok</v>
      </c>
      <c r="J345" s="60" t="str">
        <f>IF(AND($B345=[1]rogério!$A346,[1]rogério!$B346=J$4),"ok","nok")</f>
        <v>nok</v>
      </c>
      <c r="K345" s="60" t="str">
        <f>IF(AND($B345=[1]rogério!$A346,[1]rogério!$B346=K$4),"ok","nok")</f>
        <v>nok</v>
      </c>
      <c r="L345" s="60" t="str">
        <f>IF(AND($B345=[1]rogério!$A346,[1]rogério!$B346=L$4),"ok","nok")</f>
        <v>nok</v>
      </c>
      <c r="M345" s="60" t="str">
        <f>IF(AND($B345=[1]rogério!$A346,[1]rogério!$B346=M$4),"ok","nok")</f>
        <v>nok</v>
      </c>
      <c r="N345" s="60" t="str">
        <f>IF(AND($B345=[1]rogério!$A346,[1]rogério!$B346=N$4),"ok","nok")</f>
        <v>nok</v>
      </c>
      <c r="O345" s="60" t="str">
        <f>IF(AND($B345=[1]rogério!$A346,[1]rogério!$B346=O$4),"ok","nok")</f>
        <v>nok</v>
      </c>
      <c r="P345" s="60" t="str">
        <f>IF(AND($B345=[1]rogério!$A346,[1]rogério!$B346=P$4),"ok","nok")</f>
        <v>nok</v>
      </c>
      <c r="Q345" s="60" t="str">
        <f>IF(AND($B345=[1]rogério!$A346,[1]rogério!$B346=Q$4),"ok","nok")</f>
        <v>ok</v>
      </c>
      <c r="R345" s="60" t="str">
        <f>IF(AND($B345=[1]rogério!$A346,[1]rogério!$B346=R$4),"ok","nok")</f>
        <v>nok</v>
      </c>
      <c r="S345" s="60" t="str">
        <f>IF(AND($B345=[1]rogério!$A346,[1]rogério!$B346=S$4),"ok","nok")</f>
        <v>nok</v>
      </c>
      <c r="T345" s="60" t="str">
        <f>IF(AND($B345=[1]rogério!$A346,[1]rogério!$B346=T$4),"ok","nok")</f>
        <v>nok</v>
      </c>
      <c r="U345" s="60" t="str">
        <f>IF(AND($B345=[1]rogério!$A346,[1]rogério!$B346=U$4),"ok","nok")</f>
        <v>nok</v>
      </c>
      <c r="V345" s="60" t="str">
        <f>IF(AND($B345=[1]rogério!$A346,[1]rogério!$B346=V$4),"ok","nok")</f>
        <v>nok</v>
      </c>
      <c r="W345" s="60" t="str">
        <f>IF(AND($B345=[1]rogério!$A346,[1]rogério!$B346=W$4),"ok","nok")</f>
        <v>nok</v>
      </c>
      <c r="X345" s="60" t="str">
        <f>IF(AND($B345=[1]rogério!$A346,[1]rogério!$B346=X$4),"ok","nok")</f>
        <v>nok</v>
      </c>
      <c r="Y345" s="105" t="s">
        <v>15</v>
      </c>
      <c r="Z345" s="106"/>
      <c r="AA345" s="106"/>
      <c r="AB345" s="107"/>
      <c r="AC345" s="40"/>
      <c r="AD345" s="40"/>
      <c r="AE345" s="48" t="str">
        <f t="shared" si="90"/>
        <v/>
      </c>
      <c r="AF345" s="48"/>
      <c r="AG345" s="48"/>
      <c r="AH345" s="89"/>
      <c r="AI345" s="49">
        <f t="shared" si="91"/>
        <v>0</v>
      </c>
      <c r="AJ345" s="49" t="str">
        <f t="shared" si="92"/>
        <v/>
      </c>
      <c r="AK345" s="49">
        <f t="shared" si="93"/>
        <v>0</v>
      </c>
      <c r="AL345" s="49" t="str">
        <f t="shared" si="94"/>
        <v/>
      </c>
      <c r="AM345" s="49">
        <f t="shared" si="95"/>
        <v>1</v>
      </c>
      <c r="AN345" s="49" t="str">
        <f t="shared" si="96"/>
        <v/>
      </c>
      <c r="AO345" s="49">
        <f t="shared" si="97"/>
        <v>0</v>
      </c>
      <c r="AP345" s="49" t="str">
        <f t="shared" si="98"/>
        <v/>
      </c>
      <c r="AQ345" s="49">
        <f t="shared" si="99"/>
        <v>0</v>
      </c>
      <c r="AR345" s="49" t="str">
        <f t="shared" si="100"/>
        <v/>
      </c>
    </row>
    <row r="346" spans="1:44" ht="30" customHeight="1" x14ac:dyDescent="0.35">
      <c r="A346" s="25" t="str">
        <f t="shared" si="101"/>
        <v>PT177 - PLATAFORMA DE ACESSO - FORQUILHA 2 - BÁSICO
TORRE B4PROJETO BÁSICO
CIVIL</v>
      </c>
      <c r="B346" s="40" t="s">
        <v>42</v>
      </c>
      <c r="C346" s="60" t="str">
        <f>IF(AND($B346=[1]rogério!$A347,[1]rogério!$B347=C$4),"ok","nok")</f>
        <v>nok</v>
      </c>
      <c r="D346" s="60" t="str">
        <f>IF(AND($B346=[1]rogério!$A347,[1]rogério!$B347=D$4),"ok","nok")</f>
        <v>nok</v>
      </c>
      <c r="E346" s="60" t="str">
        <f>IF(AND($B346=[1]rogério!$A347,[1]rogério!$B347=E$4),"ok","nok")</f>
        <v>nok</v>
      </c>
      <c r="F346" s="60" t="str">
        <f>IF(AND($B346=[1]rogério!$A347,[1]rogério!$B347=F$4),"ok","nok")</f>
        <v>nok</v>
      </c>
      <c r="G346" s="60" t="str">
        <f>IF(AND($B346=[1]rogério!$A347,[1]rogério!$B347=G$4),"ok","nok")</f>
        <v>nok</v>
      </c>
      <c r="H346" s="60" t="str">
        <f>IF(AND($B346=[1]rogério!$A347,[1]rogério!$B347=H$4),"ok","nok")</f>
        <v>nok</v>
      </c>
      <c r="I346" s="60" t="str">
        <f>IF(AND($B346=[1]rogério!$A347,[1]rogério!$B347=I$4),"ok","nok")</f>
        <v>nok</v>
      </c>
      <c r="J346" s="60" t="str">
        <f>IF(AND($B346=[1]rogério!$A347,[1]rogério!$B347=J$4),"ok","nok")</f>
        <v>nok</v>
      </c>
      <c r="K346" s="60" t="str">
        <f>IF(AND($B346=[1]rogério!$A347,[1]rogério!$B347=K$4),"ok","nok")</f>
        <v>nok</v>
      </c>
      <c r="L346" s="60" t="str">
        <f>IF(AND($B346=[1]rogério!$A347,[1]rogério!$B347=L$4),"ok","nok")</f>
        <v>nok</v>
      </c>
      <c r="M346" s="60" t="str">
        <f>IF(AND($B346=[1]rogério!$A347,[1]rogério!$B347=M$4),"ok","nok")</f>
        <v>nok</v>
      </c>
      <c r="N346" s="60" t="str">
        <f>IF(AND($B346=[1]rogério!$A347,[1]rogério!$B347=N$4),"ok","nok")</f>
        <v>nok</v>
      </c>
      <c r="O346" s="60" t="str">
        <f>IF(AND($B346=[1]rogério!$A347,[1]rogério!$B347=O$4),"ok","nok")</f>
        <v>nok</v>
      </c>
      <c r="P346" s="60" t="str">
        <f>IF(AND($B346=[1]rogério!$A347,[1]rogério!$B347=P$4),"ok","nok")</f>
        <v>nok</v>
      </c>
      <c r="Q346" s="60" t="str">
        <f>IF(AND($B346=[1]rogério!$A347,[1]rogério!$B347=Q$4),"ok","nok")</f>
        <v>nok</v>
      </c>
      <c r="R346" s="60" t="str">
        <f>IF(AND($B346=[1]rogério!$A347,[1]rogério!$B347=R$4),"ok","nok")</f>
        <v>nok</v>
      </c>
      <c r="S346" s="60" t="str">
        <f>IF(AND($B346=[1]rogério!$A347,[1]rogério!$B347=S$4),"ok","nok")</f>
        <v>nok</v>
      </c>
      <c r="T346" s="60" t="str">
        <f>IF(AND($B346=[1]rogério!$A347,[1]rogério!$B347=T$4),"ok","nok")</f>
        <v>ok</v>
      </c>
      <c r="U346" s="60" t="str">
        <f>IF(AND($B346=[1]rogério!$A347,[1]rogério!$B347=U$4),"ok","nok")</f>
        <v>nok</v>
      </c>
      <c r="V346" s="60" t="str">
        <f>IF(AND($B346=[1]rogério!$A347,[1]rogério!$B347=V$4),"ok","nok")</f>
        <v>nok</v>
      </c>
      <c r="W346" s="60" t="str">
        <f>IF(AND($B346=[1]rogério!$A347,[1]rogério!$B347=W$4),"ok","nok")</f>
        <v>nok</v>
      </c>
      <c r="X346" s="60" t="str">
        <f>IF(AND($B346=[1]rogério!$A347,[1]rogério!$B347=X$4),"ok","nok")</f>
        <v>nok</v>
      </c>
      <c r="Y346" s="105" t="s">
        <v>15</v>
      </c>
      <c r="Z346" s="106"/>
      <c r="AA346" s="106"/>
      <c r="AB346" s="107"/>
      <c r="AC346" s="40"/>
      <c r="AD346" s="40"/>
      <c r="AE346" s="48" t="str">
        <f t="shared" si="90"/>
        <v/>
      </c>
      <c r="AF346" s="48"/>
      <c r="AG346" s="48"/>
      <c r="AH346" s="89"/>
      <c r="AI346" s="49">
        <f t="shared" si="91"/>
        <v>0</v>
      </c>
      <c r="AJ346" s="49" t="str">
        <f t="shared" si="92"/>
        <v/>
      </c>
      <c r="AK346" s="49">
        <f t="shared" si="93"/>
        <v>0</v>
      </c>
      <c r="AL346" s="49" t="str">
        <f t="shared" si="94"/>
        <v/>
      </c>
      <c r="AM346" s="49">
        <f t="shared" si="95"/>
        <v>0</v>
      </c>
      <c r="AN346" s="49" t="str">
        <f t="shared" si="96"/>
        <v/>
      </c>
      <c r="AO346" s="49">
        <f t="shared" si="97"/>
        <v>1</v>
      </c>
      <c r="AP346" s="49" t="str">
        <f t="shared" si="98"/>
        <v/>
      </c>
      <c r="AQ346" s="49">
        <f t="shared" si="99"/>
        <v>0</v>
      </c>
      <c r="AR346" s="49" t="str">
        <f t="shared" si="100"/>
        <v/>
      </c>
    </row>
    <row r="347" spans="1:44" ht="30" customHeight="1" x14ac:dyDescent="0.35">
      <c r="A347" s="25" t="str">
        <f t="shared" si="101"/>
        <v>PT177 - PLATAFORMA DE ACESSO - FORQUILHA 2 - BÁSICO
TORRE B4PROJETO BÁSICO
CIVIL</v>
      </c>
      <c r="B347" s="40" t="s">
        <v>43</v>
      </c>
      <c r="C347" s="60" t="str">
        <f>IF(AND($B347=[1]rogério!$A348,[1]rogério!$B348=C$4),"ok","nok")</f>
        <v>nok</v>
      </c>
      <c r="D347" s="60" t="str">
        <f>IF(AND($B347=[1]rogério!$A348,[1]rogério!$B348=D$4),"ok","nok")</f>
        <v>nok</v>
      </c>
      <c r="E347" s="60" t="str">
        <f>IF(AND($B347=[1]rogério!$A348,[1]rogério!$B348=E$4),"ok","nok")</f>
        <v>nok</v>
      </c>
      <c r="F347" s="60" t="str">
        <f>IF(AND($B347=[1]rogério!$A348,[1]rogério!$B348=F$4),"ok","nok")</f>
        <v>nok</v>
      </c>
      <c r="G347" s="60" t="str">
        <f>IF(AND($B347=[1]rogério!$A348,[1]rogério!$B348=G$4),"ok","nok")</f>
        <v>nok</v>
      </c>
      <c r="H347" s="60" t="str">
        <f>IF(AND($B347=[1]rogério!$A348,[1]rogério!$B348=H$4),"ok","nok")</f>
        <v>nok</v>
      </c>
      <c r="I347" s="60" t="str">
        <f>IF(AND($B347=[1]rogério!$A348,[1]rogério!$B348=I$4),"ok","nok")</f>
        <v>nok</v>
      </c>
      <c r="J347" s="60" t="str">
        <f>IF(AND($B347=[1]rogério!$A348,[1]rogério!$B348=J$4),"ok","nok")</f>
        <v>nok</v>
      </c>
      <c r="K347" s="60" t="str">
        <f>IF(AND($B347=[1]rogério!$A348,[1]rogério!$B348=K$4),"ok","nok")</f>
        <v>nok</v>
      </c>
      <c r="L347" s="60" t="str">
        <f>IF(AND($B347=[1]rogério!$A348,[1]rogério!$B348=L$4),"ok","nok")</f>
        <v>nok</v>
      </c>
      <c r="M347" s="60" t="str">
        <f>IF(AND($B347=[1]rogério!$A348,[1]rogério!$B348=M$4),"ok","nok")</f>
        <v>nok</v>
      </c>
      <c r="N347" s="60" t="str">
        <f>IF(AND($B347=[1]rogério!$A348,[1]rogério!$B348=N$4),"ok","nok")</f>
        <v>nok</v>
      </c>
      <c r="O347" s="60" t="str">
        <f>IF(AND($B347=[1]rogério!$A348,[1]rogério!$B348=O$4),"ok","nok")</f>
        <v>nok</v>
      </c>
      <c r="P347" s="60" t="str">
        <f>IF(AND($B347=[1]rogério!$A348,[1]rogério!$B348=P$4),"ok","nok")</f>
        <v>nok</v>
      </c>
      <c r="Q347" s="60" t="str">
        <f>IF(AND($B347=[1]rogério!$A348,[1]rogério!$B348=Q$4),"ok","nok")</f>
        <v>nok</v>
      </c>
      <c r="R347" s="60" t="str">
        <f>IF(AND($B347=[1]rogério!$A348,[1]rogério!$B348=R$4),"ok","nok")</f>
        <v>nok</v>
      </c>
      <c r="S347" s="60" t="str">
        <f>IF(AND($B347=[1]rogério!$A348,[1]rogério!$B348=S$4),"ok","nok")</f>
        <v>nok</v>
      </c>
      <c r="T347" s="60" t="str">
        <f>IF(AND($B347=[1]rogério!$A348,[1]rogério!$B348=T$4),"ok","nok")</f>
        <v>ok</v>
      </c>
      <c r="U347" s="60" t="str">
        <f>IF(AND($B347=[1]rogério!$A348,[1]rogério!$B348=U$4),"ok","nok")</f>
        <v>nok</v>
      </c>
      <c r="V347" s="60" t="str">
        <f>IF(AND($B347=[1]rogério!$A348,[1]rogério!$B348=V$4),"ok","nok")</f>
        <v>nok</v>
      </c>
      <c r="W347" s="60" t="str">
        <f>IF(AND($B347=[1]rogério!$A348,[1]rogério!$B348=W$4),"ok","nok")</f>
        <v>nok</v>
      </c>
      <c r="X347" s="60" t="str">
        <f>IF(AND($B347=[1]rogério!$A348,[1]rogério!$B348=X$4),"ok","nok")</f>
        <v>nok</v>
      </c>
      <c r="Y347" s="105" t="s">
        <v>15</v>
      </c>
      <c r="Z347" s="106"/>
      <c r="AA347" s="106"/>
      <c r="AB347" s="107"/>
      <c r="AC347" s="40"/>
      <c r="AD347" s="40"/>
      <c r="AE347" s="48" t="str">
        <f t="shared" si="90"/>
        <v/>
      </c>
      <c r="AF347" s="48"/>
      <c r="AG347" s="48"/>
      <c r="AH347" s="89"/>
      <c r="AI347" s="49">
        <f t="shared" si="91"/>
        <v>0</v>
      </c>
      <c r="AJ347" s="49" t="str">
        <f t="shared" si="92"/>
        <v/>
      </c>
      <c r="AK347" s="49">
        <f t="shared" si="93"/>
        <v>0</v>
      </c>
      <c r="AL347" s="49" t="str">
        <f t="shared" si="94"/>
        <v/>
      </c>
      <c r="AM347" s="49">
        <f t="shared" si="95"/>
        <v>0</v>
      </c>
      <c r="AN347" s="49" t="str">
        <f t="shared" si="96"/>
        <v/>
      </c>
      <c r="AO347" s="49">
        <f t="shared" si="97"/>
        <v>1</v>
      </c>
      <c r="AP347" s="49" t="str">
        <f t="shared" si="98"/>
        <v/>
      </c>
      <c r="AQ347" s="49">
        <f t="shared" si="99"/>
        <v>0</v>
      </c>
      <c r="AR347" s="49" t="str">
        <f t="shared" si="100"/>
        <v/>
      </c>
    </row>
    <row r="348" spans="1:44" ht="30" customHeight="1" x14ac:dyDescent="0.35">
      <c r="A348" s="25" t="str">
        <f t="shared" si="101"/>
        <v>PT177 - PLATAFORMA DE ACESSO - FORQUILHA 2 - BÁSICO
TORRE B4PROJETO BÁSICO
CIVIL</v>
      </c>
      <c r="B348" s="38" t="s">
        <v>74</v>
      </c>
      <c r="C348" s="60" t="str">
        <f>IF(AND($B348=[1]rogério!$A349,[1]rogério!$B349=C$4),"ok","nok")</f>
        <v>nok</v>
      </c>
      <c r="D348" s="60" t="str">
        <f>IF(AND($B348=[1]rogério!$A349,[1]rogério!$B349=D$4),"ok","nok")</f>
        <v>nok</v>
      </c>
      <c r="E348" s="60" t="str">
        <f>IF(AND($B348=[1]rogério!$A349,[1]rogério!$B349=E$4),"ok","nok")</f>
        <v>nok</v>
      </c>
      <c r="F348" s="60" t="str">
        <f>IF(AND($B348=[1]rogério!$A349,[1]rogério!$B349=F$4),"ok","nok")</f>
        <v>nok</v>
      </c>
      <c r="G348" s="60" t="str">
        <f>IF(AND($B348=[1]rogério!$A349,[1]rogério!$B349=G$4),"ok","nok")</f>
        <v>nok</v>
      </c>
      <c r="H348" s="60" t="str">
        <f>IF(AND($B348=[1]rogério!$A349,[1]rogério!$B349=H$4),"ok","nok")</f>
        <v>nok</v>
      </c>
      <c r="I348" s="60" t="str">
        <f>IF(AND($B348=[1]rogério!$A349,[1]rogério!$B349=I$4),"ok","nok")</f>
        <v>nok</v>
      </c>
      <c r="J348" s="60" t="str">
        <f>IF(AND($B348=[1]rogério!$A349,[1]rogério!$B349=J$4),"ok","nok")</f>
        <v>nok</v>
      </c>
      <c r="K348" s="60" t="str">
        <f>IF(AND($B348=[1]rogério!$A349,[1]rogério!$B349=K$4),"ok","nok")</f>
        <v>nok</v>
      </c>
      <c r="L348" s="60" t="str">
        <f>IF(AND($B348=[1]rogério!$A349,[1]rogério!$B349=L$4),"ok","nok")</f>
        <v>ok</v>
      </c>
      <c r="M348" s="60" t="str">
        <f>IF(AND($B348=[1]rogério!$A349,[1]rogério!$B349=M$4),"ok","nok")</f>
        <v>nok</v>
      </c>
      <c r="N348" s="60" t="str">
        <f>IF(AND($B348=[1]rogério!$A349,[1]rogério!$B349=N$4),"ok","nok")</f>
        <v>nok</v>
      </c>
      <c r="O348" s="60" t="str">
        <f>IF(AND($B348=[1]rogério!$A349,[1]rogério!$B349=O$4),"ok","nok")</f>
        <v>nok</v>
      </c>
      <c r="P348" s="60" t="str">
        <f>IF(AND($B348=[1]rogério!$A349,[1]rogério!$B349=P$4),"ok","nok")</f>
        <v>nok</v>
      </c>
      <c r="Q348" s="60" t="str">
        <f>IF(AND($B348=[1]rogério!$A349,[1]rogério!$B349=Q$4),"ok","nok")</f>
        <v>nok</v>
      </c>
      <c r="R348" s="60" t="str">
        <f>IF(AND($B348=[1]rogério!$A349,[1]rogério!$B349=R$4),"ok","nok")</f>
        <v>nok</v>
      </c>
      <c r="S348" s="60" t="str">
        <f>IF(AND($B348=[1]rogério!$A349,[1]rogério!$B349=S$4),"ok","nok")</f>
        <v>nok</v>
      </c>
      <c r="T348" s="60" t="str">
        <f>IF(AND($B348=[1]rogério!$A349,[1]rogério!$B349=T$4),"ok","nok")</f>
        <v>nok</v>
      </c>
      <c r="U348" s="60" t="str">
        <f>IF(AND($B348=[1]rogério!$A349,[1]rogério!$B349=U$4),"ok","nok")</f>
        <v>nok</v>
      </c>
      <c r="V348" s="60" t="str">
        <f>IF(AND($B348=[1]rogério!$A349,[1]rogério!$B349=V$4),"ok","nok")</f>
        <v>nok</v>
      </c>
      <c r="W348" s="60" t="str">
        <f>IF(AND($B348=[1]rogério!$A349,[1]rogério!$B349=W$4),"ok","nok")</f>
        <v>nok</v>
      </c>
      <c r="X348" s="60" t="str">
        <f>IF(AND($B348=[1]rogério!$A349,[1]rogério!$B349=X$4),"ok","nok")</f>
        <v>nok</v>
      </c>
      <c r="Y348" s="105" t="s">
        <v>15</v>
      </c>
      <c r="Z348" s="106"/>
      <c r="AA348" s="106"/>
      <c r="AB348" s="107"/>
      <c r="AC348" s="40"/>
      <c r="AD348" s="40"/>
      <c r="AE348" s="48" t="str">
        <f t="shared" si="90"/>
        <v/>
      </c>
      <c r="AF348" s="48"/>
      <c r="AG348" s="48"/>
      <c r="AH348" s="89"/>
      <c r="AI348" s="49">
        <f t="shared" si="91"/>
        <v>0</v>
      </c>
      <c r="AJ348" s="49" t="str">
        <f t="shared" si="92"/>
        <v/>
      </c>
      <c r="AK348" s="49">
        <f t="shared" si="93"/>
        <v>1</v>
      </c>
      <c r="AL348" s="49" t="str">
        <f t="shared" si="94"/>
        <v/>
      </c>
      <c r="AM348" s="49">
        <f t="shared" si="95"/>
        <v>0</v>
      </c>
      <c r="AN348" s="49" t="str">
        <f t="shared" si="96"/>
        <v/>
      </c>
      <c r="AO348" s="49">
        <f t="shared" si="97"/>
        <v>0</v>
      </c>
      <c r="AP348" s="49" t="str">
        <f t="shared" si="98"/>
        <v/>
      </c>
      <c r="AQ348" s="49">
        <f t="shared" si="99"/>
        <v>0</v>
      </c>
      <c r="AR348" s="49" t="str">
        <f t="shared" si="100"/>
        <v/>
      </c>
    </row>
    <row r="349" spans="1:44" ht="30" customHeight="1" x14ac:dyDescent="0.35">
      <c r="A349" s="25" t="str">
        <f t="shared" si="101"/>
        <v>PT177 - PLATAFORMA DE ACESSO - FORQUILHA 2 - BÁSICO
TORRE B4PROJETO BÁSICO
CIVIL</v>
      </c>
      <c r="B349" s="38" t="s">
        <v>75</v>
      </c>
      <c r="C349" s="60" t="str">
        <f>IF(AND($B349=[1]rogério!$A350,[1]rogério!$B350=C$4),"ok","nok")</f>
        <v>nok</v>
      </c>
      <c r="D349" s="60" t="str">
        <f>IF(AND($B349=[1]rogério!$A350,[1]rogério!$B350=D$4),"ok","nok")</f>
        <v>nok</v>
      </c>
      <c r="E349" s="60" t="str">
        <f>IF(AND($B349=[1]rogério!$A350,[1]rogério!$B350=E$4),"ok","nok")</f>
        <v>nok</v>
      </c>
      <c r="F349" s="60" t="str">
        <f>IF(AND($B349=[1]rogério!$A350,[1]rogério!$B350=F$4),"ok","nok")</f>
        <v>nok</v>
      </c>
      <c r="G349" s="60" t="str">
        <f>IF(AND($B349=[1]rogério!$A350,[1]rogério!$B350=G$4),"ok","nok")</f>
        <v>nok</v>
      </c>
      <c r="H349" s="60" t="str">
        <f>IF(AND($B349=[1]rogério!$A350,[1]rogério!$B350=H$4),"ok","nok")</f>
        <v>nok</v>
      </c>
      <c r="I349" s="60" t="str">
        <f>IF(AND($B349=[1]rogério!$A350,[1]rogério!$B350=I$4),"ok","nok")</f>
        <v>nok</v>
      </c>
      <c r="J349" s="60" t="str">
        <f>IF(AND($B349=[1]rogério!$A350,[1]rogério!$B350=J$4),"ok","nok")</f>
        <v>nok</v>
      </c>
      <c r="K349" s="60" t="str">
        <f>IF(AND($B349=[1]rogério!$A350,[1]rogério!$B350=K$4),"ok","nok")</f>
        <v>nok</v>
      </c>
      <c r="L349" s="60" t="str">
        <f>IF(AND($B349=[1]rogério!$A350,[1]rogério!$B350=L$4),"ok","nok")</f>
        <v>nok</v>
      </c>
      <c r="M349" s="60" t="str">
        <f>IF(AND($B349=[1]rogério!$A350,[1]rogério!$B350=M$4),"ok","nok")</f>
        <v>ok</v>
      </c>
      <c r="N349" s="60" t="str">
        <f>IF(AND($B349=[1]rogério!$A350,[1]rogério!$B350=N$4),"ok","nok")</f>
        <v>nok</v>
      </c>
      <c r="O349" s="60" t="str">
        <f>IF(AND($B349=[1]rogério!$A350,[1]rogério!$B350=O$4),"ok","nok")</f>
        <v>nok</v>
      </c>
      <c r="P349" s="60" t="str">
        <f>IF(AND($B349=[1]rogério!$A350,[1]rogério!$B350=P$4),"ok","nok")</f>
        <v>nok</v>
      </c>
      <c r="Q349" s="60" t="str">
        <f>IF(AND($B349=[1]rogério!$A350,[1]rogério!$B350=Q$4),"ok","nok")</f>
        <v>nok</v>
      </c>
      <c r="R349" s="60" t="str">
        <f>IF(AND($B349=[1]rogério!$A350,[1]rogério!$B350=R$4),"ok","nok")</f>
        <v>nok</v>
      </c>
      <c r="S349" s="60" t="str">
        <f>IF(AND($B349=[1]rogério!$A350,[1]rogério!$B350=S$4),"ok","nok")</f>
        <v>nok</v>
      </c>
      <c r="T349" s="60" t="str">
        <f>IF(AND($B349=[1]rogério!$A350,[1]rogério!$B350=T$4),"ok","nok")</f>
        <v>nok</v>
      </c>
      <c r="U349" s="60" t="str">
        <f>IF(AND($B349=[1]rogério!$A350,[1]rogério!$B350=U$4),"ok","nok")</f>
        <v>nok</v>
      </c>
      <c r="V349" s="60" t="str">
        <f>IF(AND($B349=[1]rogério!$A350,[1]rogério!$B350=V$4),"ok","nok")</f>
        <v>nok</v>
      </c>
      <c r="W349" s="60" t="str">
        <f>IF(AND($B349=[1]rogério!$A350,[1]rogério!$B350=W$4),"ok","nok")</f>
        <v>nok</v>
      </c>
      <c r="X349" s="60" t="str">
        <f>IF(AND($B349=[1]rogério!$A350,[1]rogério!$B350=X$4),"ok","nok")</f>
        <v>nok</v>
      </c>
      <c r="Y349" s="105" t="s">
        <v>15</v>
      </c>
      <c r="Z349" s="106"/>
      <c r="AA349" s="106"/>
      <c r="AB349" s="107"/>
      <c r="AC349" s="40"/>
      <c r="AD349" s="40"/>
      <c r="AE349" s="48" t="str">
        <f t="shared" si="90"/>
        <v/>
      </c>
      <c r="AF349" s="48"/>
      <c r="AG349" s="48"/>
      <c r="AH349" s="89"/>
      <c r="AI349" s="49">
        <f t="shared" si="91"/>
        <v>0</v>
      </c>
      <c r="AJ349" s="49" t="str">
        <f t="shared" si="92"/>
        <v/>
      </c>
      <c r="AK349" s="49">
        <f t="shared" si="93"/>
        <v>0</v>
      </c>
      <c r="AL349" s="49" t="str">
        <f t="shared" si="94"/>
        <v/>
      </c>
      <c r="AM349" s="49">
        <f t="shared" si="95"/>
        <v>1</v>
      </c>
      <c r="AN349" s="49" t="str">
        <f t="shared" si="96"/>
        <v/>
      </c>
      <c r="AO349" s="49">
        <f t="shared" si="97"/>
        <v>0</v>
      </c>
      <c r="AP349" s="49" t="str">
        <f t="shared" si="98"/>
        <v/>
      </c>
      <c r="AQ349" s="49">
        <f t="shared" si="99"/>
        <v>0</v>
      </c>
      <c r="AR349" s="49" t="str">
        <f t="shared" si="100"/>
        <v/>
      </c>
    </row>
    <row r="350" spans="1:44" ht="30" customHeight="1" x14ac:dyDescent="0.35">
      <c r="A350" s="25"/>
      <c r="B350" s="39" t="s">
        <v>62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108"/>
      <c r="Z350" s="109"/>
      <c r="AA350" s="109"/>
      <c r="AB350" s="110"/>
      <c r="AC350" s="40"/>
      <c r="AD350" s="40"/>
      <c r="AE350" s="48" t="str">
        <f t="shared" si="90"/>
        <v/>
      </c>
      <c r="AF350" s="48"/>
      <c r="AG350" s="48"/>
      <c r="AH350" s="89"/>
      <c r="AI350" s="49">
        <f t="shared" si="91"/>
        <v>0</v>
      </c>
      <c r="AJ350" s="49" t="str">
        <f t="shared" si="92"/>
        <v/>
      </c>
      <c r="AK350" s="49">
        <f t="shared" si="93"/>
        <v>0</v>
      </c>
      <c r="AL350" s="49" t="str">
        <f t="shared" si="94"/>
        <v/>
      </c>
      <c r="AM350" s="49">
        <f t="shared" si="95"/>
        <v>0</v>
      </c>
      <c r="AN350" s="49" t="str">
        <f t="shared" si="96"/>
        <v/>
      </c>
      <c r="AO350" s="49">
        <f t="shared" si="97"/>
        <v>0</v>
      </c>
      <c r="AP350" s="49" t="str">
        <f t="shared" si="98"/>
        <v/>
      </c>
      <c r="AQ350" s="49">
        <f t="shared" si="99"/>
        <v>0</v>
      </c>
      <c r="AR350" s="49" t="str">
        <f t="shared" si="100"/>
        <v/>
      </c>
    </row>
    <row r="351" spans="1:44" ht="30" customHeight="1" x14ac:dyDescent="0.35">
      <c r="A351" s="25" t="str">
        <f t="shared" si="101"/>
        <v>PT177 - PLATAFORMA DE ACESSO - FORQUILHA 2 - BÁSICO
TORRE B4PROJETO BÁSICO
CIVIL</v>
      </c>
      <c r="B351" s="40" t="s">
        <v>49</v>
      </c>
      <c r="C351" s="60" t="str">
        <f>IF(AND($B351=[1]rogério!$A352,[1]rogério!$B352=C$4),"ok","nok")</f>
        <v>nok</v>
      </c>
      <c r="D351" s="60" t="str">
        <f>IF(AND($B351=[1]rogério!$A352,[1]rogério!$B352=D$4),"ok","nok")</f>
        <v>nok</v>
      </c>
      <c r="E351" s="60" t="str">
        <f>IF(AND($B351=[1]rogério!$A352,[1]rogério!$B352=E$4),"ok","nok")</f>
        <v>nok</v>
      </c>
      <c r="F351" s="60" t="str">
        <f>IF(AND($B351=[1]rogério!$A352,[1]rogério!$B352=F$4),"ok","nok")</f>
        <v>nok</v>
      </c>
      <c r="G351" s="60" t="str">
        <f>IF(AND($B351=[1]rogério!$A352,[1]rogério!$B352=G$4),"ok","nok")</f>
        <v>nok</v>
      </c>
      <c r="H351" s="60" t="str">
        <f>IF(AND($B351=[1]rogério!$A352,[1]rogério!$B352=H$4),"ok","nok")</f>
        <v>nok</v>
      </c>
      <c r="I351" s="60" t="str">
        <f>IF(AND($B351=[1]rogério!$A352,[1]rogério!$B352=I$4),"ok","nok")</f>
        <v>nok</v>
      </c>
      <c r="J351" s="60" t="str">
        <f>IF(AND($B351=[1]rogério!$A352,[1]rogério!$B352=J$4),"ok","nok")</f>
        <v>nok</v>
      </c>
      <c r="K351" s="60" t="str">
        <f>IF(AND($B351=[1]rogério!$A352,[1]rogério!$B352=K$4),"ok","nok")</f>
        <v>nok</v>
      </c>
      <c r="L351" s="60" t="str">
        <f>IF(AND($B351=[1]rogério!$A352,[1]rogério!$B352=L$4),"ok","nok")</f>
        <v>nok</v>
      </c>
      <c r="M351" s="60" t="str">
        <f>IF(AND($B351=[1]rogério!$A352,[1]rogério!$B352=M$4),"ok","nok")</f>
        <v>ok</v>
      </c>
      <c r="N351" s="60" t="str">
        <f>IF(AND($B351=[1]rogério!$A352,[1]rogério!$B352=N$4),"ok","nok")</f>
        <v>nok</v>
      </c>
      <c r="O351" s="60" t="str">
        <f>IF(AND($B351=[1]rogério!$A352,[1]rogério!$B352=O$4),"ok","nok")</f>
        <v>nok</v>
      </c>
      <c r="P351" s="60" t="str">
        <f>IF(AND($B351=[1]rogério!$A352,[1]rogério!$B352=P$4),"ok","nok")</f>
        <v>nok</v>
      </c>
      <c r="Q351" s="60" t="str">
        <f>IF(AND($B351=[1]rogério!$A352,[1]rogério!$B352=Q$4),"ok","nok")</f>
        <v>nok</v>
      </c>
      <c r="R351" s="60" t="str">
        <f>IF(AND($B351=[1]rogério!$A352,[1]rogério!$B352=R$4),"ok","nok")</f>
        <v>nok</v>
      </c>
      <c r="S351" s="60" t="str">
        <f>IF(AND($B351=[1]rogério!$A352,[1]rogério!$B352=S$4),"ok","nok")</f>
        <v>nok</v>
      </c>
      <c r="T351" s="60" t="str">
        <f>IF(AND($B351=[1]rogério!$A352,[1]rogério!$B352=T$4),"ok","nok")</f>
        <v>nok</v>
      </c>
      <c r="U351" s="60" t="str">
        <f>IF(AND($B351=[1]rogério!$A352,[1]rogério!$B352=U$4),"ok","nok")</f>
        <v>nok</v>
      </c>
      <c r="V351" s="60" t="str">
        <f>IF(AND($B351=[1]rogério!$A352,[1]rogério!$B352=V$4),"ok","nok")</f>
        <v>nok</v>
      </c>
      <c r="W351" s="60" t="str">
        <f>IF(AND($B351=[1]rogério!$A352,[1]rogério!$B352=W$4),"ok","nok")</f>
        <v>nok</v>
      </c>
      <c r="X351" s="60" t="str">
        <f>IF(AND($B351=[1]rogério!$A352,[1]rogério!$B352=X$4),"ok","nok")</f>
        <v>nok</v>
      </c>
      <c r="Y351" s="105" t="s">
        <v>15</v>
      </c>
      <c r="Z351" s="106"/>
      <c r="AA351" s="106"/>
      <c r="AB351" s="107"/>
      <c r="AC351" s="40"/>
      <c r="AD351" s="40"/>
      <c r="AE351" s="48" t="str">
        <f t="shared" si="90"/>
        <v/>
      </c>
      <c r="AF351" s="48"/>
      <c r="AG351" s="48"/>
      <c r="AH351" s="89"/>
      <c r="AI351" s="49">
        <f t="shared" si="91"/>
        <v>0</v>
      </c>
      <c r="AJ351" s="49" t="str">
        <f t="shared" si="92"/>
        <v/>
      </c>
      <c r="AK351" s="49">
        <f t="shared" si="93"/>
        <v>0</v>
      </c>
      <c r="AL351" s="49" t="str">
        <f t="shared" si="94"/>
        <v/>
      </c>
      <c r="AM351" s="49">
        <f t="shared" si="95"/>
        <v>1</v>
      </c>
      <c r="AN351" s="49" t="str">
        <f t="shared" si="96"/>
        <v/>
      </c>
      <c r="AO351" s="49">
        <f t="shared" si="97"/>
        <v>0</v>
      </c>
      <c r="AP351" s="49" t="str">
        <f t="shared" si="98"/>
        <v/>
      </c>
      <c r="AQ351" s="49">
        <f t="shared" si="99"/>
        <v>0</v>
      </c>
      <c r="AR351" s="49" t="str">
        <f t="shared" si="100"/>
        <v/>
      </c>
    </row>
    <row r="352" spans="1:44" ht="30" customHeight="1" x14ac:dyDescent="0.35">
      <c r="A352" s="25" t="str">
        <f t="shared" si="101"/>
        <v>PT177 - PLATAFORMA DE ACESSO - FORQUILHA 2 - BÁSICO
TORRE B4PROJETO BÁSICO
CIVIL</v>
      </c>
      <c r="B352" s="40" t="s">
        <v>19</v>
      </c>
      <c r="C352" s="60" t="str">
        <f>IF(AND($B352=[1]rogério!$A353,[1]rogério!$B353=C$4),"ok","nok")</f>
        <v>nok</v>
      </c>
      <c r="D352" s="60" t="str">
        <f>IF(AND($B352=[1]rogério!$A353,[1]rogério!$B353=D$4),"ok","nok")</f>
        <v>nok</v>
      </c>
      <c r="E352" s="60" t="str">
        <f>IF(AND($B352=[1]rogério!$A353,[1]rogério!$B353=E$4),"ok","nok")</f>
        <v>nok</v>
      </c>
      <c r="F352" s="60" t="str">
        <f>IF(AND($B352=[1]rogério!$A353,[1]rogério!$B353=F$4),"ok","nok")</f>
        <v>nok</v>
      </c>
      <c r="G352" s="60" t="str">
        <f>IF(AND($B352=[1]rogério!$A353,[1]rogério!$B353=G$4),"ok","nok")</f>
        <v>nok</v>
      </c>
      <c r="H352" s="60" t="str">
        <f>IF(AND($B352=[1]rogério!$A353,[1]rogério!$B353=H$4),"ok","nok")</f>
        <v>nok</v>
      </c>
      <c r="I352" s="60" t="str">
        <f>IF(AND($B352=[1]rogério!$A353,[1]rogério!$B353=I$4),"ok","nok")</f>
        <v>nok</v>
      </c>
      <c r="J352" s="60" t="str">
        <f>IF(AND($B352=[1]rogério!$A353,[1]rogério!$B353=J$4),"ok","nok")</f>
        <v>nok</v>
      </c>
      <c r="K352" s="60" t="str">
        <f>IF(AND($B352=[1]rogério!$A353,[1]rogério!$B353=K$4),"ok","nok")</f>
        <v>nok</v>
      </c>
      <c r="L352" s="60" t="str">
        <f>IF(AND($B352=[1]rogério!$A353,[1]rogério!$B353=L$4),"ok","nok")</f>
        <v>nok</v>
      </c>
      <c r="M352" s="60" t="str">
        <f>IF(AND($B352=[1]rogério!$A353,[1]rogério!$B353=M$4),"ok","nok")</f>
        <v>nok</v>
      </c>
      <c r="N352" s="60" t="str">
        <f>IF(AND($B352=[1]rogério!$A353,[1]rogério!$B353=N$4),"ok","nok")</f>
        <v>nok</v>
      </c>
      <c r="O352" s="60" t="str">
        <f>IF(AND($B352=[1]rogério!$A353,[1]rogério!$B353=O$4),"ok","nok")</f>
        <v>nok</v>
      </c>
      <c r="P352" s="60" t="str">
        <f>IF(AND($B352=[1]rogério!$A353,[1]rogério!$B353=P$4),"ok","nok")</f>
        <v>nok</v>
      </c>
      <c r="Q352" s="60" t="str">
        <f>IF(AND($B352=[1]rogério!$A353,[1]rogério!$B353=Q$4),"ok","nok")</f>
        <v>nok</v>
      </c>
      <c r="R352" s="60" t="str">
        <f>IF(AND($B352=[1]rogério!$A353,[1]rogério!$B353=R$4),"ok","nok")</f>
        <v>ok</v>
      </c>
      <c r="S352" s="60" t="str">
        <f>IF(AND($B352=[1]rogério!$A353,[1]rogério!$B353=S$4),"ok","nok")</f>
        <v>nok</v>
      </c>
      <c r="T352" s="60" t="str">
        <f>IF(AND($B352=[1]rogério!$A353,[1]rogério!$B353=T$4),"ok","nok")</f>
        <v>nok</v>
      </c>
      <c r="U352" s="60" t="str">
        <f>IF(AND($B352=[1]rogério!$A353,[1]rogério!$B353=U$4),"ok","nok")</f>
        <v>nok</v>
      </c>
      <c r="V352" s="60" t="str">
        <f>IF(AND($B352=[1]rogério!$A353,[1]rogério!$B353=V$4),"ok","nok")</f>
        <v>nok</v>
      </c>
      <c r="W352" s="60" t="str">
        <f>IF(AND($B352=[1]rogério!$A353,[1]rogério!$B353=W$4),"ok","nok")</f>
        <v>nok</v>
      </c>
      <c r="X352" s="60" t="str">
        <f>IF(AND($B352=[1]rogério!$A353,[1]rogério!$B353=X$4),"ok","nok")</f>
        <v>nok</v>
      </c>
      <c r="Y352" s="105" t="s">
        <v>15</v>
      </c>
      <c r="Z352" s="106"/>
      <c r="AA352" s="106"/>
      <c r="AB352" s="107"/>
      <c r="AC352" s="40"/>
      <c r="AD352" s="40"/>
      <c r="AE352" s="48" t="str">
        <f t="shared" si="90"/>
        <v/>
      </c>
      <c r="AF352" s="48"/>
      <c r="AG352" s="48"/>
      <c r="AH352" s="89"/>
      <c r="AI352" s="49">
        <f t="shared" si="91"/>
        <v>0</v>
      </c>
      <c r="AJ352" s="49" t="str">
        <f t="shared" si="92"/>
        <v/>
      </c>
      <c r="AK352" s="49">
        <f t="shared" si="93"/>
        <v>0</v>
      </c>
      <c r="AL352" s="49" t="str">
        <f t="shared" si="94"/>
        <v/>
      </c>
      <c r="AM352" s="49">
        <f t="shared" si="95"/>
        <v>0</v>
      </c>
      <c r="AN352" s="49" t="str">
        <f t="shared" si="96"/>
        <v/>
      </c>
      <c r="AO352" s="49">
        <f t="shared" si="97"/>
        <v>1</v>
      </c>
      <c r="AP352" s="49" t="str">
        <f t="shared" si="98"/>
        <v/>
      </c>
      <c r="AQ352" s="49">
        <f t="shared" si="99"/>
        <v>0</v>
      </c>
      <c r="AR352" s="49" t="str">
        <f t="shared" si="100"/>
        <v/>
      </c>
    </row>
    <row r="353" spans="1:44" ht="30" customHeight="1" x14ac:dyDescent="0.35">
      <c r="A353" s="25" t="str">
        <f t="shared" si="101"/>
        <v>PT177 - PLATAFORMA DE ACESSO - FORQUILHA 2 - BÁSICO
TORRE B4PROJETO BÁSICO
CIVIL</v>
      </c>
      <c r="B353" s="40" t="s">
        <v>42</v>
      </c>
      <c r="C353" s="60" t="str">
        <f>IF(AND($B353=[1]rogério!$A354,[1]rogério!$B354=C$4),"ok","nok")</f>
        <v>nok</v>
      </c>
      <c r="D353" s="60" t="str">
        <f>IF(AND($B353=[1]rogério!$A354,[1]rogério!$B354=D$4),"ok","nok")</f>
        <v>nok</v>
      </c>
      <c r="E353" s="60" t="str">
        <f>IF(AND($B353=[1]rogério!$A354,[1]rogério!$B354=E$4),"ok","nok")</f>
        <v>nok</v>
      </c>
      <c r="F353" s="60" t="str">
        <f>IF(AND($B353=[1]rogério!$A354,[1]rogério!$B354=F$4),"ok","nok")</f>
        <v>nok</v>
      </c>
      <c r="G353" s="60" t="str">
        <f>IF(AND($B353=[1]rogério!$A354,[1]rogério!$B354=G$4),"ok","nok")</f>
        <v>nok</v>
      </c>
      <c r="H353" s="60" t="str">
        <f>IF(AND($B353=[1]rogério!$A354,[1]rogério!$B354=H$4),"ok","nok")</f>
        <v>nok</v>
      </c>
      <c r="I353" s="60" t="str">
        <f>IF(AND($B353=[1]rogério!$A354,[1]rogério!$B354=I$4),"ok","nok")</f>
        <v>nok</v>
      </c>
      <c r="J353" s="60" t="str">
        <f>IF(AND($B353=[1]rogério!$A354,[1]rogério!$B354=J$4),"ok","nok")</f>
        <v>nok</v>
      </c>
      <c r="K353" s="60" t="str">
        <f>IF(AND($B353=[1]rogério!$A354,[1]rogério!$B354=K$4),"ok","nok")</f>
        <v>nok</v>
      </c>
      <c r="L353" s="60" t="str">
        <f>IF(AND($B353=[1]rogério!$A354,[1]rogério!$B354=L$4),"ok","nok")</f>
        <v>nok</v>
      </c>
      <c r="M353" s="60" t="str">
        <f>IF(AND($B353=[1]rogério!$A354,[1]rogério!$B354=M$4),"ok","nok")</f>
        <v>nok</v>
      </c>
      <c r="N353" s="60" t="str">
        <f>IF(AND($B353=[1]rogério!$A354,[1]rogério!$B354=N$4),"ok","nok")</f>
        <v>nok</v>
      </c>
      <c r="O353" s="60" t="str">
        <f>IF(AND($B353=[1]rogério!$A354,[1]rogério!$B354=O$4),"ok","nok")</f>
        <v>nok</v>
      </c>
      <c r="P353" s="60" t="str">
        <f>IF(AND($B353=[1]rogério!$A354,[1]rogério!$B354=P$4),"ok","nok")</f>
        <v>nok</v>
      </c>
      <c r="Q353" s="60" t="str">
        <f>IF(AND($B353=[1]rogério!$A354,[1]rogério!$B354=Q$4),"ok","nok")</f>
        <v>nok</v>
      </c>
      <c r="R353" s="60" t="str">
        <f>IF(AND($B353=[1]rogério!$A354,[1]rogério!$B354=R$4),"ok","nok")</f>
        <v>nok</v>
      </c>
      <c r="S353" s="60" t="str">
        <f>IF(AND($B353=[1]rogério!$A354,[1]rogério!$B354=S$4),"ok","nok")</f>
        <v>nok</v>
      </c>
      <c r="T353" s="60" t="str">
        <f>IF(AND($B353=[1]rogério!$A354,[1]rogério!$B354=T$4),"ok","nok")</f>
        <v>nok</v>
      </c>
      <c r="U353" s="60" t="str">
        <f>IF(AND($B353=[1]rogério!$A354,[1]rogério!$B354=U$4),"ok","nok")</f>
        <v>ok</v>
      </c>
      <c r="V353" s="60" t="str">
        <f>IF(AND($B353=[1]rogério!$A354,[1]rogério!$B354=V$4),"ok","nok")</f>
        <v>nok</v>
      </c>
      <c r="W353" s="60" t="str">
        <f>IF(AND($B353=[1]rogério!$A354,[1]rogério!$B354=W$4),"ok","nok")</f>
        <v>nok</v>
      </c>
      <c r="X353" s="60" t="str">
        <f>IF(AND($B353=[1]rogério!$A354,[1]rogério!$B354=X$4),"ok","nok")</f>
        <v>nok</v>
      </c>
      <c r="Y353" s="105" t="s">
        <v>15</v>
      </c>
      <c r="Z353" s="106"/>
      <c r="AA353" s="106"/>
      <c r="AB353" s="107"/>
      <c r="AC353" s="40"/>
      <c r="AD353" s="40"/>
      <c r="AE353" s="48" t="str">
        <f t="shared" si="90"/>
        <v/>
      </c>
      <c r="AF353" s="48"/>
      <c r="AG353" s="48"/>
      <c r="AH353" s="89"/>
      <c r="AI353" s="49">
        <f t="shared" si="91"/>
        <v>0</v>
      </c>
      <c r="AJ353" s="49" t="str">
        <f t="shared" si="92"/>
        <v/>
      </c>
      <c r="AK353" s="49">
        <f t="shared" si="93"/>
        <v>0</v>
      </c>
      <c r="AL353" s="49" t="str">
        <f t="shared" si="94"/>
        <v/>
      </c>
      <c r="AM353" s="49">
        <f t="shared" si="95"/>
        <v>0</v>
      </c>
      <c r="AN353" s="49" t="str">
        <f t="shared" si="96"/>
        <v/>
      </c>
      <c r="AO353" s="49">
        <f t="shared" si="97"/>
        <v>1</v>
      </c>
      <c r="AP353" s="49" t="str">
        <f t="shared" si="98"/>
        <v/>
      </c>
      <c r="AQ353" s="49">
        <f t="shared" si="99"/>
        <v>0</v>
      </c>
      <c r="AR353" s="49" t="str">
        <f t="shared" si="100"/>
        <v/>
      </c>
    </row>
    <row r="354" spans="1:44" ht="30" customHeight="1" x14ac:dyDescent="0.35">
      <c r="A354" s="25" t="str">
        <f t="shared" si="101"/>
        <v>PT177 - PLATAFORMA DE ACESSO - FORQUILHA 2 - BÁSICO
TORRE B4PROJETO BÁSICO
CIVIL</v>
      </c>
      <c r="B354" s="40" t="s">
        <v>43</v>
      </c>
      <c r="C354" s="60" t="str">
        <f>IF(AND($B354=[1]rogério!$A355,[1]rogério!$B355=C$4),"ok","nok")</f>
        <v>nok</v>
      </c>
      <c r="D354" s="60" t="str">
        <f>IF(AND($B354=[1]rogério!$A355,[1]rogério!$B355=D$4),"ok","nok")</f>
        <v>nok</v>
      </c>
      <c r="E354" s="60" t="str">
        <f>IF(AND($B354=[1]rogério!$A355,[1]rogério!$B355=E$4),"ok","nok")</f>
        <v>nok</v>
      </c>
      <c r="F354" s="60" t="str">
        <f>IF(AND($B354=[1]rogério!$A355,[1]rogério!$B355=F$4),"ok","nok")</f>
        <v>nok</v>
      </c>
      <c r="G354" s="60" t="str">
        <f>IF(AND($B354=[1]rogério!$A355,[1]rogério!$B355=G$4),"ok","nok")</f>
        <v>nok</v>
      </c>
      <c r="H354" s="60" t="str">
        <f>IF(AND($B354=[1]rogério!$A355,[1]rogério!$B355=H$4),"ok","nok")</f>
        <v>nok</v>
      </c>
      <c r="I354" s="60" t="str">
        <f>IF(AND($B354=[1]rogério!$A355,[1]rogério!$B355=I$4),"ok","nok")</f>
        <v>nok</v>
      </c>
      <c r="J354" s="60" t="str">
        <f>IF(AND($B354=[1]rogério!$A355,[1]rogério!$B355=J$4),"ok","nok")</f>
        <v>nok</v>
      </c>
      <c r="K354" s="60" t="str">
        <f>IF(AND($B354=[1]rogério!$A355,[1]rogério!$B355=K$4),"ok","nok")</f>
        <v>nok</v>
      </c>
      <c r="L354" s="60" t="str">
        <f>IF(AND($B354=[1]rogério!$A355,[1]rogério!$B355=L$4),"ok","nok")</f>
        <v>nok</v>
      </c>
      <c r="M354" s="60" t="str">
        <f>IF(AND($B354=[1]rogério!$A355,[1]rogério!$B355=M$4),"ok","nok")</f>
        <v>nok</v>
      </c>
      <c r="N354" s="60" t="str">
        <f>IF(AND($B354=[1]rogério!$A355,[1]rogério!$B355=N$4),"ok","nok")</f>
        <v>nok</v>
      </c>
      <c r="O354" s="60" t="str">
        <f>IF(AND($B354=[1]rogério!$A355,[1]rogério!$B355=O$4),"ok","nok")</f>
        <v>nok</v>
      </c>
      <c r="P354" s="60" t="str">
        <f>IF(AND($B354=[1]rogério!$A355,[1]rogério!$B355=P$4),"ok","nok")</f>
        <v>nok</v>
      </c>
      <c r="Q354" s="60" t="str">
        <f>IF(AND($B354=[1]rogério!$A355,[1]rogério!$B355=Q$4),"ok","nok")</f>
        <v>nok</v>
      </c>
      <c r="R354" s="60" t="str">
        <f>IF(AND($B354=[1]rogério!$A355,[1]rogério!$B355=R$4),"ok","nok")</f>
        <v>nok</v>
      </c>
      <c r="S354" s="60" t="str">
        <f>IF(AND($B354=[1]rogério!$A355,[1]rogério!$B355=S$4),"ok","nok")</f>
        <v>nok</v>
      </c>
      <c r="T354" s="60" t="str">
        <f>IF(AND($B354=[1]rogério!$A355,[1]rogério!$B355=T$4),"ok","nok")</f>
        <v>nok</v>
      </c>
      <c r="U354" s="60" t="str">
        <f>IF(AND($B354=[1]rogério!$A355,[1]rogério!$B355=U$4),"ok","nok")</f>
        <v>ok</v>
      </c>
      <c r="V354" s="60" t="str">
        <f>IF(AND($B354=[1]rogério!$A355,[1]rogério!$B355=V$4),"ok","nok")</f>
        <v>nok</v>
      </c>
      <c r="W354" s="60" t="str">
        <f>IF(AND($B354=[1]rogério!$A355,[1]rogério!$B355=W$4),"ok","nok")</f>
        <v>nok</v>
      </c>
      <c r="X354" s="60" t="str">
        <f>IF(AND($B354=[1]rogério!$A355,[1]rogério!$B355=X$4),"ok","nok")</f>
        <v>nok</v>
      </c>
      <c r="Y354" s="105" t="s">
        <v>15</v>
      </c>
      <c r="Z354" s="106"/>
      <c r="AA354" s="106"/>
      <c r="AB354" s="107"/>
      <c r="AC354" s="40"/>
      <c r="AD354" s="40"/>
      <c r="AE354" s="48" t="str">
        <f t="shared" si="90"/>
        <v/>
      </c>
      <c r="AF354" s="48"/>
      <c r="AG354" s="48"/>
      <c r="AH354" s="89"/>
      <c r="AI354" s="49">
        <f t="shared" si="91"/>
        <v>0</v>
      </c>
      <c r="AJ354" s="49" t="str">
        <f t="shared" si="92"/>
        <v/>
      </c>
      <c r="AK354" s="49">
        <f t="shared" si="93"/>
        <v>0</v>
      </c>
      <c r="AL354" s="49" t="str">
        <f t="shared" si="94"/>
        <v/>
      </c>
      <c r="AM354" s="49">
        <f t="shared" si="95"/>
        <v>0</v>
      </c>
      <c r="AN354" s="49" t="str">
        <f t="shared" si="96"/>
        <v/>
      </c>
      <c r="AO354" s="49">
        <f t="shared" si="97"/>
        <v>1</v>
      </c>
      <c r="AP354" s="49" t="str">
        <f t="shared" si="98"/>
        <v/>
      </c>
      <c r="AQ354" s="49">
        <f t="shared" si="99"/>
        <v>0</v>
      </c>
      <c r="AR354" s="49" t="str">
        <f t="shared" si="100"/>
        <v/>
      </c>
    </row>
    <row r="355" spans="1:44" ht="30" customHeight="1" x14ac:dyDescent="0.35">
      <c r="A355" s="25"/>
      <c r="B355" s="36" t="s">
        <v>85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123"/>
      <c r="Z355" s="124"/>
      <c r="AA355" s="124"/>
      <c r="AB355" s="125"/>
      <c r="AC355" s="40"/>
      <c r="AD355" s="40"/>
      <c r="AE355" s="48" t="str">
        <f t="shared" si="90"/>
        <v/>
      </c>
      <c r="AF355" s="48"/>
      <c r="AG355" s="48"/>
      <c r="AH355" s="89"/>
      <c r="AI355" s="49">
        <f t="shared" si="91"/>
        <v>0</v>
      </c>
      <c r="AJ355" s="49" t="str">
        <f t="shared" si="92"/>
        <v/>
      </c>
      <c r="AK355" s="49">
        <f t="shared" si="93"/>
        <v>0</v>
      </c>
      <c r="AL355" s="49" t="str">
        <f t="shared" si="94"/>
        <v/>
      </c>
      <c r="AM355" s="49">
        <f t="shared" si="95"/>
        <v>0</v>
      </c>
      <c r="AN355" s="49" t="str">
        <f t="shared" si="96"/>
        <v/>
      </c>
      <c r="AO355" s="49">
        <f t="shared" si="97"/>
        <v>0</v>
      </c>
      <c r="AP355" s="49" t="str">
        <f t="shared" si="98"/>
        <v/>
      </c>
      <c r="AQ355" s="49">
        <f t="shared" si="99"/>
        <v>0</v>
      </c>
      <c r="AR355" s="49" t="str">
        <f t="shared" si="100"/>
        <v/>
      </c>
    </row>
    <row r="356" spans="1:44" ht="30" customHeight="1" x14ac:dyDescent="0.35">
      <c r="A356" s="25"/>
      <c r="B356" s="37" t="s">
        <v>52</v>
      </c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120"/>
      <c r="Z356" s="121"/>
      <c r="AA356" s="121"/>
      <c r="AB356" s="122"/>
      <c r="AC356" s="40"/>
      <c r="AD356" s="40"/>
      <c r="AE356" s="48" t="str">
        <f t="shared" si="90"/>
        <v/>
      </c>
      <c r="AF356" s="48"/>
      <c r="AG356" s="48"/>
      <c r="AH356" s="89"/>
      <c r="AI356" s="49">
        <f t="shared" si="91"/>
        <v>0</v>
      </c>
      <c r="AJ356" s="49" t="str">
        <f t="shared" si="92"/>
        <v/>
      </c>
      <c r="AK356" s="49">
        <f t="shared" si="93"/>
        <v>0</v>
      </c>
      <c r="AL356" s="49" t="str">
        <f t="shared" si="94"/>
        <v/>
      </c>
      <c r="AM356" s="49">
        <f t="shared" si="95"/>
        <v>0</v>
      </c>
      <c r="AN356" s="49" t="str">
        <f t="shared" si="96"/>
        <v/>
      </c>
      <c r="AO356" s="49">
        <f t="shared" si="97"/>
        <v>0</v>
      </c>
      <c r="AP356" s="49" t="str">
        <f t="shared" si="98"/>
        <v/>
      </c>
      <c r="AQ356" s="49">
        <f t="shared" si="99"/>
        <v>0</v>
      </c>
      <c r="AR356" s="49" t="str">
        <f t="shared" si="100"/>
        <v/>
      </c>
    </row>
    <row r="357" spans="1:44" ht="30" customHeight="1" x14ac:dyDescent="0.35">
      <c r="A357" s="25"/>
      <c r="B357" s="42" t="s">
        <v>83</v>
      </c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111"/>
      <c r="Z357" s="112"/>
      <c r="AA357" s="112"/>
      <c r="AB357" s="113"/>
      <c r="AC357" s="40"/>
      <c r="AD357" s="40"/>
      <c r="AE357" s="48" t="str">
        <f t="shared" si="90"/>
        <v/>
      </c>
      <c r="AF357" s="48"/>
      <c r="AG357" s="48"/>
      <c r="AH357" s="89"/>
      <c r="AI357" s="49">
        <f t="shared" si="91"/>
        <v>0</v>
      </c>
      <c r="AJ357" s="49" t="str">
        <f t="shared" si="92"/>
        <v/>
      </c>
      <c r="AK357" s="49">
        <f t="shared" si="93"/>
        <v>0</v>
      </c>
      <c r="AL357" s="49" t="str">
        <f t="shared" si="94"/>
        <v/>
      </c>
      <c r="AM357" s="49">
        <f t="shared" si="95"/>
        <v>0</v>
      </c>
      <c r="AN357" s="49" t="str">
        <f t="shared" si="96"/>
        <v/>
      </c>
      <c r="AO357" s="49">
        <f t="shared" si="97"/>
        <v>0</v>
      </c>
      <c r="AP357" s="49" t="str">
        <f t="shared" si="98"/>
        <v/>
      </c>
      <c r="AQ357" s="49">
        <f t="shared" si="99"/>
        <v>0</v>
      </c>
      <c r="AR357" s="49" t="str">
        <f t="shared" si="100"/>
        <v/>
      </c>
    </row>
    <row r="358" spans="1:44" ht="30" customHeight="1" x14ac:dyDescent="0.35">
      <c r="A358" s="25"/>
      <c r="B358" s="61" t="s">
        <v>70</v>
      </c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117"/>
      <c r="Z358" s="118"/>
      <c r="AA358" s="118"/>
      <c r="AB358" s="119"/>
      <c r="AC358" s="40"/>
      <c r="AD358" s="40"/>
      <c r="AE358" s="48" t="str">
        <f t="shared" si="90"/>
        <v/>
      </c>
      <c r="AF358" s="48"/>
      <c r="AG358" s="48"/>
      <c r="AH358" s="89"/>
      <c r="AI358" s="49">
        <f t="shared" si="91"/>
        <v>0</v>
      </c>
      <c r="AJ358" s="49" t="str">
        <f t="shared" si="92"/>
        <v/>
      </c>
      <c r="AK358" s="49">
        <f t="shared" si="93"/>
        <v>0</v>
      </c>
      <c r="AL358" s="49" t="str">
        <f t="shared" si="94"/>
        <v/>
      </c>
      <c r="AM358" s="49">
        <f t="shared" si="95"/>
        <v>0</v>
      </c>
      <c r="AN358" s="49" t="str">
        <f t="shared" si="96"/>
        <v/>
      </c>
      <c r="AO358" s="49">
        <f t="shared" si="97"/>
        <v>0</v>
      </c>
      <c r="AP358" s="49" t="str">
        <f t="shared" si="98"/>
        <v/>
      </c>
      <c r="AQ358" s="49">
        <f t="shared" si="99"/>
        <v>0</v>
      </c>
      <c r="AR358" s="49" t="str">
        <f t="shared" si="100"/>
        <v/>
      </c>
    </row>
    <row r="359" spans="1:44" ht="30" customHeight="1" x14ac:dyDescent="0.35">
      <c r="A359" s="25"/>
      <c r="B359" s="62" t="s">
        <v>58</v>
      </c>
      <c r="C359" s="62"/>
      <c r="D359" s="62"/>
      <c r="E359" s="62"/>
      <c r="F359" s="62"/>
      <c r="G359" s="62"/>
      <c r="H359" s="62"/>
      <c r="I359" s="62"/>
      <c r="J359" s="62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114"/>
      <c r="Z359" s="115"/>
      <c r="AA359" s="115"/>
      <c r="AB359" s="116"/>
      <c r="AC359" s="40"/>
      <c r="AD359" s="40"/>
      <c r="AE359" s="48" t="str">
        <f t="shared" si="90"/>
        <v/>
      </c>
      <c r="AF359" s="48"/>
      <c r="AG359" s="48"/>
      <c r="AH359" s="89"/>
      <c r="AI359" s="49">
        <f t="shared" si="91"/>
        <v>0</v>
      </c>
      <c r="AJ359" s="49" t="str">
        <f t="shared" si="92"/>
        <v/>
      </c>
      <c r="AK359" s="49">
        <f t="shared" si="93"/>
        <v>0</v>
      </c>
      <c r="AL359" s="49" t="str">
        <f t="shared" si="94"/>
        <v/>
      </c>
      <c r="AM359" s="49">
        <f t="shared" si="95"/>
        <v>0</v>
      </c>
      <c r="AN359" s="49" t="str">
        <f t="shared" si="96"/>
        <v/>
      </c>
      <c r="AO359" s="49">
        <f t="shared" si="97"/>
        <v>0</v>
      </c>
      <c r="AP359" s="49" t="str">
        <f t="shared" si="98"/>
        <v/>
      </c>
      <c r="AQ359" s="49">
        <f t="shared" si="99"/>
        <v>0</v>
      </c>
      <c r="AR359" s="49" t="str">
        <f t="shared" si="100"/>
        <v/>
      </c>
    </row>
    <row r="360" spans="1:44" ht="30" customHeight="1" x14ac:dyDescent="0.35">
      <c r="A360" s="25"/>
      <c r="B360" s="39" t="s">
        <v>41</v>
      </c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108"/>
      <c r="Z360" s="109"/>
      <c r="AA360" s="109"/>
      <c r="AB360" s="110"/>
      <c r="AC360" s="40"/>
      <c r="AD360" s="40"/>
      <c r="AE360" s="48" t="str">
        <f t="shared" si="90"/>
        <v/>
      </c>
      <c r="AF360" s="48"/>
      <c r="AG360" s="48"/>
      <c r="AH360" s="89"/>
      <c r="AI360" s="49">
        <f t="shared" si="91"/>
        <v>0</v>
      </c>
      <c r="AJ360" s="49" t="str">
        <f t="shared" si="92"/>
        <v/>
      </c>
      <c r="AK360" s="49">
        <f t="shared" si="93"/>
        <v>0</v>
      </c>
      <c r="AL360" s="49" t="str">
        <f t="shared" si="94"/>
        <v/>
      </c>
      <c r="AM360" s="49">
        <f t="shared" si="95"/>
        <v>0</v>
      </c>
      <c r="AN360" s="49" t="str">
        <f t="shared" si="96"/>
        <v/>
      </c>
      <c r="AO360" s="49">
        <f t="shared" si="97"/>
        <v>0</v>
      </c>
      <c r="AP360" s="49" t="str">
        <f t="shared" si="98"/>
        <v/>
      </c>
      <c r="AQ360" s="49">
        <f t="shared" si="99"/>
        <v>0</v>
      </c>
      <c r="AR360" s="49" t="str">
        <f t="shared" si="100"/>
        <v/>
      </c>
    </row>
    <row r="361" spans="1:44" ht="30" customHeight="1" x14ac:dyDescent="0.35">
      <c r="A361" s="25" t="str">
        <f>CONCATENATE($B$355,"
",$B$357,"",$B$358,"
",$B$359)</f>
        <v>PT177 - PLATAFORMA DE ACESSO - FORQUILHA 2 - DETALHADO
TORRE B3PROJETO DETALHADO
ESTRUTURAS METÁLICAS</v>
      </c>
      <c r="B361" s="40" t="s">
        <v>19</v>
      </c>
      <c r="C361" s="60" t="str">
        <f>IF(AND($B361=[1]rogério!$A362,[1]rogério!$B362=C$4),"ok","nok")</f>
        <v>nok</v>
      </c>
      <c r="D361" s="60" t="str">
        <f>IF(AND($B361=[1]rogério!$A362,[1]rogério!$B362=D$4),"ok","nok")</f>
        <v>nok</v>
      </c>
      <c r="E361" s="60" t="str">
        <f>IF(AND($B361=[1]rogério!$A362,[1]rogério!$B362=E$4),"ok","nok")</f>
        <v>nok</v>
      </c>
      <c r="F361" s="60" t="str">
        <f>IF(AND($B361=[1]rogério!$A362,[1]rogério!$B362=F$4),"ok","nok")</f>
        <v>nok</v>
      </c>
      <c r="G361" s="60" t="str">
        <f>IF(AND($B361=[1]rogério!$A362,[1]rogério!$B362=G$4),"ok","nok")</f>
        <v>nok</v>
      </c>
      <c r="H361" s="60" t="str">
        <f>IF(AND($B361=[1]rogério!$A362,[1]rogério!$B362=H$4),"ok","nok")</f>
        <v>nok</v>
      </c>
      <c r="I361" s="60" t="str">
        <f>IF(AND($B361=[1]rogério!$A362,[1]rogério!$B362=I$4),"ok","nok")</f>
        <v>ok</v>
      </c>
      <c r="J361" s="60" t="str">
        <f>IF(AND($B361=[1]rogério!$A362,[1]rogério!$B362=J$4),"ok","nok")</f>
        <v>nok</v>
      </c>
      <c r="K361" s="60" t="str">
        <f>IF(AND($B361=[1]rogério!$A362,[1]rogério!$B362=K$4),"ok","nok")</f>
        <v>nok</v>
      </c>
      <c r="L361" s="60" t="str">
        <f>IF(AND($B361=[1]rogério!$A362,[1]rogério!$B362=L$4),"ok","nok")</f>
        <v>nok</v>
      </c>
      <c r="M361" s="60" t="str">
        <f>IF(AND($B361=[1]rogério!$A362,[1]rogério!$B362=M$4),"ok","nok")</f>
        <v>nok</v>
      </c>
      <c r="N361" s="60" t="str">
        <f>IF(AND($B361=[1]rogério!$A362,[1]rogério!$B362=N$4),"ok","nok")</f>
        <v>nok</v>
      </c>
      <c r="O361" s="60" t="str">
        <f>IF(AND($B361=[1]rogério!$A362,[1]rogério!$B362=O$4),"ok","nok")</f>
        <v>nok</v>
      </c>
      <c r="P361" s="60" t="str">
        <f>IF(AND($B361=[1]rogério!$A362,[1]rogério!$B362=P$4),"ok","nok")</f>
        <v>nok</v>
      </c>
      <c r="Q361" s="60" t="str">
        <f>IF(AND($B361=[1]rogério!$A362,[1]rogério!$B362=Q$4),"ok","nok")</f>
        <v>nok</v>
      </c>
      <c r="R361" s="60" t="str">
        <f>IF(AND($B361=[1]rogério!$A362,[1]rogério!$B362=R$4),"ok","nok")</f>
        <v>nok</v>
      </c>
      <c r="S361" s="60" t="str">
        <f>IF(AND($B361=[1]rogério!$A362,[1]rogério!$B362=S$4),"ok","nok")</f>
        <v>nok</v>
      </c>
      <c r="T361" s="60" t="str">
        <f>IF(AND($B361=[1]rogério!$A362,[1]rogério!$B362=T$4),"ok","nok")</f>
        <v>nok</v>
      </c>
      <c r="U361" s="60" t="str">
        <f>IF(AND($B361=[1]rogério!$A362,[1]rogério!$B362=U$4),"ok","nok")</f>
        <v>nok</v>
      </c>
      <c r="V361" s="60" t="str">
        <f>IF(AND($B361=[1]rogério!$A362,[1]rogério!$B362=V$4),"ok","nok")</f>
        <v>nok</v>
      </c>
      <c r="W361" s="60" t="str">
        <f>IF(AND($B361=[1]rogério!$A362,[1]rogério!$B362=W$4),"ok","nok")</f>
        <v>nok</v>
      </c>
      <c r="X361" s="60" t="str">
        <f>IF(AND($B361=[1]rogério!$A362,[1]rogério!$B362=X$4),"ok","nok")</f>
        <v>nok</v>
      </c>
      <c r="Y361" s="105" t="s">
        <v>15</v>
      </c>
      <c r="Z361" s="106"/>
      <c r="AA361" s="106"/>
      <c r="AB361" s="107"/>
      <c r="AC361" s="40"/>
      <c r="AD361" s="40"/>
      <c r="AE361" s="48" t="str">
        <f t="shared" si="90"/>
        <v/>
      </c>
      <c r="AF361" s="48"/>
      <c r="AG361" s="48"/>
      <c r="AH361" s="89"/>
      <c r="AI361" s="49">
        <f t="shared" si="91"/>
        <v>0</v>
      </c>
      <c r="AJ361" s="49" t="str">
        <f t="shared" si="92"/>
        <v/>
      </c>
      <c r="AK361" s="49">
        <f t="shared" si="93"/>
        <v>1</v>
      </c>
      <c r="AL361" s="49" t="str">
        <f t="shared" si="94"/>
        <v/>
      </c>
      <c r="AM361" s="49">
        <f t="shared" si="95"/>
        <v>0</v>
      </c>
      <c r="AN361" s="49" t="str">
        <f t="shared" si="96"/>
        <v/>
      </c>
      <c r="AO361" s="49">
        <f t="shared" si="97"/>
        <v>0</v>
      </c>
      <c r="AP361" s="49" t="str">
        <f t="shared" si="98"/>
        <v/>
      </c>
      <c r="AQ361" s="49">
        <f t="shared" si="99"/>
        <v>0</v>
      </c>
      <c r="AR361" s="49" t="str">
        <f t="shared" si="100"/>
        <v/>
      </c>
    </row>
    <row r="362" spans="1:44" ht="30" customHeight="1" x14ac:dyDescent="0.35">
      <c r="A362" s="25" t="str">
        <f t="shared" ref="A362:A368" si="102">CONCATENATE($B$355,"
",$B$357,"",$B$358,"
",$B$359)</f>
        <v>PT177 - PLATAFORMA DE ACESSO - FORQUILHA 2 - DETALHADO
TORRE B3PROJETO DETALHADO
ESTRUTURAS METÁLICAS</v>
      </c>
      <c r="B362" s="40" t="s">
        <v>42</v>
      </c>
      <c r="C362" s="60" t="str">
        <f>IF(AND($B362=[1]rogério!$A363,[1]rogério!$B363=C$4),"ok","nok")</f>
        <v>nok</v>
      </c>
      <c r="D362" s="60" t="str">
        <f>IF(AND($B362=[1]rogério!$A363,[1]rogério!$B363=D$4),"ok","nok")</f>
        <v>nok</v>
      </c>
      <c r="E362" s="60" t="str">
        <f>IF(AND($B362=[1]rogério!$A363,[1]rogério!$B363=E$4),"ok","nok")</f>
        <v>nok</v>
      </c>
      <c r="F362" s="60" t="str">
        <f>IF(AND($B362=[1]rogério!$A363,[1]rogério!$B363=F$4),"ok","nok")</f>
        <v>nok</v>
      </c>
      <c r="G362" s="60" t="str">
        <f>IF(AND($B362=[1]rogério!$A363,[1]rogério!$B363=G$4),"ok","nok")</f>
        <v>nok</v>
      </c>
      <c r="H362" s="60" t="str">
        <f>IF(AND($B362=[1]rogério!$A363,[1]rogério!$B363=H$4),"ok","nok")</f>
        <v>nok</v>
      </c>
      <c r="I362" s="60" t="str">
        <f>IF(AND($B362=[1]rogério!$A363,[1]rogério!$B363=I$4),"ok","nok")</f>
        <v>nok</v>
      </c>
      <c r="J362" s="60" t="str">
        <f>IF(AND($B362=[1]rogério!$A363,[1]rogério!$B363=J$4),"ok","nok")</f>
        <v>nok</v>
      </c>
      <c r="K362" s="60" t="str">
        <f>IF(AND($B362=[1]rogério!$A363,[1]rogério!$B363=K$4),"ok","nok")</f>
        <v>nok</v>
      </c>
      <c r="L362" s="60" t="str">
        <f>IF(AND($B362=[1]rogério!$A363,[1]rogério!$B363=L$4),"ok","nok")</f>
        <v>ok</v>
      </c>
      <c r="M362" s="60" t="str">
        <f>IF(AND($B362=[1]rogério!$A363,[1]rogério!$B363=M$4),"ok","nok")</f>
        <v>nok</v>
      </c>
      <c r="N362" s="60" t="str">
        <f>IF(AND($B362=[1]rogério!$A363,[1]rogério!$B363=N$4),"ok","nok")</f>
        <v>nok</v>
      </c>
      <c r="O362" s="60" t="str">
        <f>IF(AND($B362=[1]rogério!$A363,[1]rogério!$B363=O$4),"ok","nok")</f>
        <v>nok</v>
      </c>
      <c r="P362" s="60" t="str">
        <f>IF(AND($B362=[1]rogério!$A363,[1]rogério!$B363=P$4),"ok","nok")</f>
        <v>nok</v>
      </c>
      <c r="Q362" s="60" t="str">
        <f>IF(AND($B362=[1]rogério!$A363,[1]rogério!$B363=Q$4),"ok","nok")</f>
        <v>nok</v>
      </c>
      <c r="R362" s="60" t="str">
        <f>IF(AND($B362=[1]rogério!$A363,[1]rogério!$B363=R$4),"ok","nok")</f>
        <v>nok</v>
      </c>
      <c r="S362" s="60" t="str">
        <f>IF(AND($B362=[1]rogério!$A363,[1]rogério!$B363=S$4),"ok","nok")</f>
        <v>nok</v>
      </c>
      <c r="T362" s="60" t="str">
        <f>IF(AND($B362=[1]rogério!$A363,[1]rogério!$B363=T$4),"ok","nok")</f>
        <v>nok</v>
      </c>
      <c r="U362" s="60" t="str">
        <f>IF(AND($B362=[1]rogério!$A363,[1]rogério!$B363=U$4),"ok","nok")</f>
        <v>nok</v>
      </c>
      <c r="V362" s="60" t="str">
        <f>IF(AND($B362=[1]rogério!$A363,[1]rogério!$B363=V$4),"ok","nok")</f>
        <v>nok</v>
      </c>
      <c r="W362" s="60" t="str">
        <f>IF(AND($B362=[1]rogério!$A363,[1]rogério!$B363=W$4),"ok","nok")</f>
        <v>nok</v>
      </c>
      <c r="X362" s="60" t="str">
        <f>IF(AND($B362=[1]rogério!$A363,[1]rogério!$B363=X$4),"ok","nok")</f>
        <v>nok</v>
      </c>
      <c r="Y362" s="105" t="s">
        <v>15</v>
      </c>
      <c r="Z362" s="106"/>
      <c r="AA362" s="106"/>
      <c r="AB362" s="107"/>
      <c r="AC362" s="40"/>
      <c r="AD362" s="40"/>
      <c r="AE362" s="48" t="str">
        <f t="shared" si="90"/>
        <v/>
      </c>
      <c r="AF362" s="48"/>
      <c r="AG362" s="48"/>
      <c r="AH362" s="89"/>
      <c r="AI362" s="49">
        <f t="shared" si="91"/>
        <v>0</v>
      </c>
      <c r="AJ362" s="49" t="str">
        <f t="shared" si="92"/>
        <v/>
      </c>
      <c r="AK362" s="49">
        <f t="shared" si="93"/>
        <v>1</v>
      </c>
      <c r="AL362" s="49" t="str">
        <f t="shared" si="94"/>
        <v/>
      </c>
      <c r="AM362" s="49">
        <f t="shared" si="95"/>
        <v>0</v>
      </c>
      <c r="AN362" s="49" t="str">
        <f t="shared" si="96"/>
        <v/>
      </c>
      <c r="AO362" s="49">
        <f t="shared" si="97"/>
        <v>0</v>
      </c>
      <c r="AP362" s="49" t="str">
        <f t="shared" si="98"/>
        <v/>
      </c>
      <c r="AQ362" s="49">
        <f t="shared" si="99"/>
        <v>0</v>
      </c>
      <c r="AR362" s="49" t="str">
        <f t="shared" si="100"/>
        <v/>
      </c>
    </row>
    <row r="363" spans="1:44" ht="30" customHeight="1" x14ac:dyDescent="0.35">
      <c r="A363" s="25" t="str">
        <f t="shared" si="102"/>
        <v>PT177 - PLATAFORMA DE ACESSO - FORQUILHA 2 - DETALHADO
TORRE B3PROJETO DETALHADO
ESTRUTURAS METÁLICAS</v>
      </c>
      <c r="B363" s="40" t="s">
        <v>43</v>
      </c>
      <c r="C363" s="60" t="str">
        <f>IF(AND($B363=[1]rogério!$A364,[1]rogério!$B364=C$4),"ok","nok")</f>
        <v>nok</v>
      </c>
      <c r="D363" s="60" t="str">
        <f>IF(AND($B363=[1]rogério!$A364,[1]rogério!$B364=D$4),"ok","nok")</f>
        <v>nok</v>
      </c>
      <c r="E363" s="60" t="str">
        <f>IF(AND($B363=[1]rogério!$A364,[1]rogério!$B364=E$4),"ok","nok")</f>
        <v>nok</v>
      </c>
      <c r="F363" s="60" t="str">
        <f>IF(AND($B363=[1]rogério!$A364,[1]rogério!$B364=F$4),"ok","nok")</f>
        <v>nok</v>
      </c>
      <c r="G363" s="60" t="str">
        <f>IF(AND($B363=[1]rogério!$A364,[1]rogério!$B364=G$4),"ok","nok")</f>
        <v>nok</v>
      </c>
      <c r="H363" s="60" t="str">
        <f>IF(AND($B363=[1]rogério!$A364,[1]rogério!$B364=H$4),"ok","nok")</f>
        <v>nok</v>
      </c>
      <c r="I363" s="60" t="str">
        <f>IF(AND($B363=[1]rogério!$A364,[1]rogério!$B364=I$4),"ok","nok")</f>
        <v>nok</v>
      </c>
      <c r="J363" s="60" t="str">
        <f>IF(AND($B363=[1]rogério!$A364,[1]rogério!$B364=J$4),"ok","nok")</f>
        <v>nok</v>
      </c>
      <c r="K363" s="60" t="str">
        <f>IF(AND($B363=[1]rogério!$A364,[1]rogério!$B364=K$4),"ok","nok")</f>
        <v>nok</v>
      </c>
      <c r="L363" s="60" t="str">
        <f>IF(AND($B363=[1]rogério!$A364,[1]rogério!$B364=L$4),"ok","nok")</f>
        <v>ok</v>
      </c>
      <c r="M363" s="60" t="str">
        <f>IF(AND($B363=[1]rogério!$A364,[1]rogério!$B364=M$4),"ok","nok")</f>
        <v>nok</v>
      </c>
      <c r="N363" s="60" t="str">
        <f>IF(AND($B363=[1]rogério!$A364,[1]rogério!$B364=N$4),"ok","nok")</f>
        <v>nok</v>
      </c>
      <c r="O363" s="60" t="str">
        <f>IF(AND($B363=[1]rogério!$A364,[1]rogério!$B364=O$4),"ok","nok")</f>
        <v>nok</v>
      </c>
      <c r="P363" s="60" t="str">
        <f>IF(AND($B363=[1]rogério!$A364,[1]rogério!$B364=P$4),"ok","nok")</f>
        <v>nok</v>
      </c>
      <c r="Q363" s="60" t="str">
        <f>IF(AND($B363=[1]rogério!$A364,[1]rogério!$B364=Q$4),"ok","nok")</f>
        <v>nok</v>
      </c>
      <c r="R363" s="60" t="str">
        <f>IF(AND($B363=[1]rogério!$A364,[1]rogério!$B364=R$4),"ok","nok")</f>
        <v>nok</v>
      </c>
      <c r="S363" s="60" t="str">
        <f>IF(AND($B363=[1]rogério!$A364,[1]rogério!$B364=S$4),"ok","nok")</f>
        <v>nok</v>
      </c>
      <c r="T363" s="60" t="str">
        <f>IF(AND($B363=[1]rogério!$A364,[1]rogério!$B364=T$4),"ok","nok")</f>
        <v>nok</v>
      </c>
      <c r="U363" s="60" t="str">
        <f>IF(AND($B363=[1]rogério!$A364,[1]rogério!$B364=U$4),"ok","nok")</f>
        <v>nok</v>
      </c>
      <c r="V363" s="60" t="str">
        <f>IF(AND($B363=[1]rogério!$A364,[1]rogério!$B364=V$4),"ok","nok")</f>
        <v>nok</v>
      </c>
      <c r="W363" s="60" t="str">
        <f>IF(AND($B363=[1]rogério!$A364,[1]rogério!$B364=W$4),"ok","nok")</f>
        <v>nok</v>
      </c>
      <c r="X363" s="60" t="str">
        <f>IF(AND($B363=[1]rogério!$A364,[1]rogério!$B364=X$4),"ok","nok")</f>
        <v>nok</v>
      </c>
      <c r="Y363" s="105" t="s">
        <v>15</v>
      </c>
      <c r="Z363" s="106"/>
      <c r="AA363" s="106"/>
      <c r="AB363" s="107"/>
      <c r="AC363" s="40"/>
      <c r="AD363" s="40"/>
      <c r="AE363" s="48" t="str">
        <f t="shared" si="90"/>
        <v/>
      </c>
      <c r="AF363" s="48"/>
      <c r="AG363" s="48"/>
      <c r="AH363" s="89"/>
      <c r="AI363" s="49">
        <f t="shared" si="91"/>
        <v>0</v>
      </c>
      <c r="AJ363" s="49" t="str">
        <f t="shared" si="92"/>
        <v/>
      </c>
      <c r="AK363" s="49">
        <f t="shared" si="93"/>
        <v>1</v>
      </c>
      <c r="AL363" s="49" t="str">
        <f t="shared" si="94"/>
        <v/>
      </c>
      <c r="AM363" s="49">
        <f t="shared" si="95"/>
        <v>0</v>
      </c>
      <c r="AN363" s="49" t="str">
        <f t="shared" si="96"/>
        <v/>
      </c>
      <c r="AO363" s="49">
        <f t="shared" si="97"/>
        <v>0</v>
      </c>
      <c r="AP363" s="49" t="str">
        <f t="shared" si="98"/>
        <v/>
      </c>
      <c r="AQ363" s="49">
        <f t="shared" si="99"/>
        <v>0</v>
      </c>
      <c r="AR363" s="49" t="str">
        <f t="shared" si="100"/>
        <v/>
      </c>
    </row>
    <row r="364" spans="1:44" ht="30" customHeight="1" x14ac:dyDescent="0.35">
      <c r="A364" s="25" t="str">
        <f t="shared" si="102"/>
        <v>PT177 - PLATAFORMA DE ACESSO - FORQUILHA 2 - DETALHADO
TORRE B3PROJETO DETALHADO
ESTRUTURAS METÁLICAS</v>
      </c>
      <c r="B364" s="38" t="s">
        <v>72</v>
      </c>
      <c r="C364" s="60" t="str">
        <f>IF(AND($B364=[1]rogério!$A365,[1]rogério!$B365=C$4),"ok","nok")</f>
        <v>nok</v>
      </c>
      <c r="D364" s="60" t="str">
        <f>IF(AND($B364=[1]rogério!$A365,[1]rogério!$B365=D$4),"ok","nok")</f>
        <v>nok</v>
      </c>
      <c r="E364" s="60" t="str">
        <f>IF(AND($B364=[1]rogério!$A365,[1]rogério!$B365=E$4),"ok","nok")</f>
        <v>nok</v>
      </c>
      <c r="F364" s="60" t="str">
        <f>IF(AND($B364=[1]rogério!$A365,[1]rogério!$B365=F$4),"ok","nok")</f>
        <v>nok</v>
      </c>
      <c r="G364" s="60" t="str">
        <f>IF(AND($B364=[1]rogério!$A365,[1]rogério!$B365=G$4),"ok","nok")</f>
        <v>nok</v>
      </c>
      <c r="H364" s="60" t="str">
        <f>IF(AND($B364=[1]rogério!$A365,[1]rogério!$B365=H$4),"ok","nok")</f>
        <v>nok</v>
      </c>
      <c r="I364" s="60" t="str">
        <f>IF(AND($B364=[1]rogério!$A365,[1]rogério!$B365=I$4),"ok","nok")</f>
        <v>nok</v>
      </c>
      <c r="J364" s="60" t="str">
        <f>IF(AND($B364=[1]rogério!$A365,[1]rogério!$B365=J$4),"ok","nok")</f>
        <v>nok</v>
      </c>
      <c r="K364" s="60" t="str">
        <f>IF(AND($B364=[1]rogério!$A365,[1]rogério!$B365=K$4),"ok","nok")</f>
        <v>nok</v>
      </c>
      <c r="L364" s="60" t="str">
        <f>IF(AND($B364=[1]rogério!$A365,[1]rogério!$B365=L$4),"ok","nok")</f>
        <v>nok</v>
      </c>
      <c r="M364" s="60" t="str">
        <f>IF(AND($B364=[1]rogério!$A365,[1]rogério!$B365=M$4),"ok","nok")</f>
        <v>nok</v>
      </c>
      <c r="N364" s="60" t="str">
        <f>IF(AND($B364=[1]rogério!$A365,[1]rogério!$B365=N$4),"ok","nok")</f>
        <v>nok</v>
      </c>
      <c r="O364" s="60" t="str">
        <f>IF(AND($B364=[1]rogério!$A365,[1]rogério!$B365=O$4),"ok","nok")</f>
        <v>nok</v>
      </c>
      <c r="P364" s="60" t="str">
        <f>IF(AND($B364=[1]rogério!$A365,[1]rogério!$B365=P$4),"ok","nok")</f>
        <v>nok</v>
      </c>
      <c r="Q364" s="60" t="str">
        <f>IF(AND($B364=[1]rogério!$A365,[1]rogério!$B365=Q$4),"ok","nok")</f>
        <v>nok</v>
      </c>
      <c r="R364" s="60" t="str">
        <f>IF(AND($B364=[1]rogério!$A365,[1]rogério!$B365=R$4),"ok","nok")</f>
        <v>nok</v>
      </c>
      <c r="S364" s="60" t="str">
        <f>IF(AND($B364=[1]rogério!$A365,[1]rogério!$B365=S$4),"ok","nok")</f>
        <v>nok</v>
      </c>
      <c r="T364" s="60" t="str">
        <f>IF(AND($B364=[1]rogério!$A365,[1]rogério!$B365=T$4),"ok","nok")</f>
        <v>nok</v>
      </c>
      <c r="U364" s="60" t="str">
        <f>IF(AND($B364=[1]rogério!$A365,[1]rogério!$B365=U$4),"ok","nok")</f>
        <v>ok</v>
      </c>
      <c r="V364" s="60" t="str">
        <f>IF(AND($B364=[1]rogério!$A365,[1]rogério!$B365=V$4),"ok","nok")</f>
        <v>nok</v>
      </c>
      <c r="W364" s="60" t="str">
        <f>IF(AND($B364=[1]rogério!$A365,[1]rogério!$B365=W$4),"ok","nok")</f>
        <v>nok</v>
      </c>
      <c r="X364" s="60" t="str">
        <f>IF(AND($B364=[1]rogério!$A365,[1]rogério!$B365=X$4),"ok","nok")</f>
        <v>nok</v>
      </c>
      <c r="Y364" s="105" t="s">
        <v>15</v>
      </c>
      <c r="Z364" s="106"/>
      <c r="AA364" s="106"/>
      <c r="AB364" s="107"/>
      <c r="AC364" s="40"/>
      <c r="AD364" s="40"/>
      <c r="AE364" s="48" t="str">
        <f t="shared" si="90"/>
        <v/>
      </c>
      <c r="AF364" s="48"/>
      <c r="AG364" s="48"/>
      <c r="AH364" s="89"/>
      <c r="AI364" s="49">
        <f t="shared" si="91"/>
        <v>0</v>
      </c>
      <c r="AJ364" s="49" t="str">
        <f t="shared" si="92"/>
        <v/>
      </c>
      <c r="AK364" s="49">
        <f t="shared" si="93"/>
        <v>0</v>
      </c>
      <c r="AL364" s="49" t="str">
        <f t="shared" si="94"/>
        <v/>
      </c>
      <c r="AM364" s="49">
        <f t="shared" si="95"/>
        <v>0</v>
      </c>
      <c r="AN364" s="49" t="str">
        <f t="shared" si="96"/>
        <v/>
      </c>
      <c r="AO364" s="49">
        <f t="shared" si="97"/>
        <v>1</v>
      </c>
      <c r="AP364" s="49" t="str">
        <f t="shared" si="98"/>
        <v/>
      </c>
      <c r="AQ364" s="49">
        <f t="shared" si="99"/>
        <v>0</v>
      </c>
      <c r="AR364" s="49" t="str">
        <f t="shared" si="100"/>
        <v/>
      </c>
    </row>
    <row r="365" spans="1:44" ht="30" customHeight="1" x14ac:dyDescent="0.35">
      <c r="A365" s="25" t="str">
        <f t="shared" si="102"/>
        <v>PT177 - PLATAFORMA DE ACESSO - FORQUILHA 2 - DETALHADO
TORRE B3PROJETO DETALHADO
ESTRUTURAS METÁLICAS</v>
      </c>
      <c r="B365" s="38" t="s">
        <v>74</v>
      </c>
      <c r="C365" s="60" t="str">
        <f>IF(AND($B365=[1]rogério!$A366,[1]rogério!$B366=C$4),"ok","nok")</f>
        <v>nok</v>
      </c>
      <c r="D365" s="60" t="str">
        <f>IF(AND($B365=[1]rogério!$A366,[1]rogério!$B366=D$4),"ok","nok")</f>
        <v>nok</v>
      </c>
      <c r="E365" s="60" t="str">
        <f>IF(AND($B365=[1]rogério!$A366,[1]rogério!$B366=E$4),"ok","nok")</f>
        <v>nok</v>
      </c>
      <c r="F365" s="60" t="str">
        <f>IF(AND($B365=[1]rogério!$A366,[1]rogério!$B366=F$4),"ok","nok")</f>
        <v>nok</v>
      </c>
      <c r="G365" s="60" t="str">
        <f>IF(AND($B365=[1]rogério!$A366,[1]rogério!$B366=G$4),"ok","nok")</f>
        <v>nok</v>
      </c>
      <c r="H365" s="60" t="str">
        <f>IF(AND($B365=[1]rogério!$A366,[1]rogério!$B366=H$4),"ok","nok")</f>
        <v>nok</v>
      </c>
      <c r="I365" s="60" t="str">
        <f>IF(AND($B365=[1]rogério!$A366,[1]rogério!$B366=I$4),"ok","nok")</f>
        <v>nok</v>
      </c>
      <c r="J365" s="60" t="str">
        <f>IF(AND($B365=[1]rogério!$A366,[1]rogério!$B366=J$4),"ok","nok")</f>
        <v>nok</v>
      </c>
      <c r="K365" s="60" t="str">
        <f>IF(AND($B365=[1]rogério!$A366,[1]rogério!$B366=K$4),"ok","nok")</f>
        <v>nok</v>
      </c>
      <c r="L365" s="60" t="str">
        <f>IF(AND($B365=[1]rogério!$A366,[1]rogério!$B366=L$4),"ok","nok")</f>
        <v>nok</v>
      </c>
      <c r="M365" s="60" t="str">
        <f>IF(AND($B365=[1]rogério!$A366,[1]rogério!$B366=M$4),"ok","nok")</f>
        <v>nok</v>
      </c>
      <c r="N365" s="60" t="str">
        <f>IF(AND($B365=[1]rogério!$A366,[1]rogério!$B366=N$4),"ok","nok")</f>
        <v>nok</v>
      </c>
      <c r="O365" s="60" t="str">
        <f>IF(AND($B365=[1]rogério!$A366,[1]rogério!$B366=O$4),"ok","nok")</f>
        <v>nok</v>
      </c>
      <c r="P365" s="60" t="str">
        <f>IF(AND($B365=[1]rogério!$A366,[1]rogério!$B366=P$4),"ok","nok")</f>
        <v>nok</v>
      </c>
      <c r="Q365" s="60" t="str">
        <f>IF(AND($B365=[1]rogério!$A366,[1]rogério!$B366=Q$4),"ok","nok")</f>
        <v>nok</v>
      </c>
      <c r="R365" s="60" t="str">
        <f>IF(AND($B365=[1]rogério!$A366,[1]rogério!$B366=R$4),"ok","nok")</f>
        <v>nok</v>
      </c>
      <c r="S365" s="60" t="str">
        <f>IF(AND($B365=[1]rogério!$A366,[1]rogério!$B366=S$4),"ok","nok")</f>
        <v>nok</v>
      </c>
      <c r="T365" s="60" t="str">
        <f>IF(AND($B365=[1]rogério!$A366,[1]rogério!$B366=T$4),"ok","nok")</f>
        <v>nok</v>
      </c>
      <c r="U365" s="60" t="str">
        <f>IF(AND($B365=[1]rogério!$A366,[1]rogério!$B366=U$4),"ok","nok")</f>
        <v>nok</v>
      </c>
      <c r="V365" s="60" t="str">
        <f>IF(AND($B365=[1]rogério!$A366,[1]rogério!$B366=V$4),"ok","nok")</f>
        <v>nok</v>
      </c>
      <c r="W365" s="60" t="str">
        <f>IF(AND($B365=[1]rogério!$A366,[1]rogério!$B366=W$4),"ok","nok")</f>
        <v>ok</v>
      </c>
      <c r="X365" s="60" t="str">
        <f>IF(AND($B365=[1]rogério!$A366,[1]rogério!$B366=X$4),"ok","nok")</f>
        <v>nok</v>
      </c>
      <c r="Y365" s="105" t="s">
        <v>15</v>
      </c>
      <c r="Z365" s="106"/>
      <c r="AA365" s="106"/>
      <c r="AB365" s="107"/>
      <c r="AC365" s="40"/>
      <c r="AD365" s="40"/>
      <c r="AE365" s="48" t="str">
        <f t="shared" si="90"/>
        <v/>
      </c>
      <c r="AF365" s="48"/>
      <c r="AG365" s="48"/>
      <c r="AH365" s="89"/>
      <c r="AI365" s="49">
        <f t="shared" si="91"/>
        <v>0</v>
      </c>
      <c r="AJ365" s="49" t="str">
        <f t="shared" si="92"/>
        <v/>
      </c>
      <c r="AK365" s="49">
        <f t="shared" si="93"/>
        <v>0</v>
      </c>
      <c r="AL365" s="49" t="str">
        <f t="shared" si="94"/>
        <v/>
      </c>
      <c r="AM365" s="49">
        <f t="shared" si="95"/>
        <v>0</v>
      </c>
      <c r="AN365" s="49" t="str">
        <f t="shared" si="96"/>
        <v/>
      </c>
      <c r="AO365" s="49">
        <f t="shared" si="97"/>
        <v>0</v>
      </c>
      <c r="AP365" s="49" t="str">
        <f t="shared" si="98"/>
        <v/>
      </c>
      <c r="AQ365" s="49">
        <f t="shared" si="99"/>
        <v>1</v>
      </c>
      <c r="AR365" s="49" t="str">
        <f t="shared" si="100"/>
        <v/>
      </c>
    </row>
    <row r="366" spans="1:44" ht="30" customHeight="1" x14ac:dyDescent="0.35">
      <c r="A366" s="25" t="str">
        <f t="shared" si="102"/>
        <v>PT177 - PLATAFORMA DE ACESSO - FORQUILHA 2 - DETALHADO
TORRE B3PROJETO DETALHADO
ESTRUTURAS METÁLICAS</v>
      </c>
      <c r="B366" s="38" t="s">
        <v>75</v>
      </c>
      <c r="C366" s="60" t="str">
        <f>IF(AND($B366=[1]rogério!$A367,[1]rogério!$B367=C$4),"ok","nok")</f>
        <v>nok</v>
      </c>
      <c r="D366" s="60" t="str">
        <f>IF(AND($B366=[1]rogério!$A367,[1]rogério!$B367=D$4),"ok","nok")</f>
        <v>nok</v>
      </c>
      <c r="E366" s="60" t="str">
        <f>IF(AND($B366=[1]rogério!$A367,[1]rogério!$B367=E$4),"ok","nok")</f>
        <v>nok</v>
      </c>
      <c r="F366" s="60" t="str">
        <f>IF(AND($B366=[1]rogério!$A367,[1]rogério!$B367=F$4),"ok","nok")</f>
        <v>nok</v>
      </c>
      <c r="G366" s="60" t="str">
        <f>IF(AND($B366=[1]rogério!$A367,[1]rogério!$B367=G$4),"ok","nok")</f>
        <v>nok</v>
      </c>
      <c r="H366" s="60" t="str">
        <f>IF(AND($B366=[1]rogério!$A367,[1]rogério!$B367=H$4),"ok","nok")</f>
        <v>nok</v>
      </c>
      <c r="I366" s="60" t="str">
        <f>IF(AND($B366=[1]rogério!$A367,[1]rogério!$B367=I$4),"ok","nok")</f>
        <v>nok</v>
      </c>
      <c r="J366" s="60" t="str">
        <f>IF(AND($B366=[1]rogério!$A367,[1]rogério!$B367=J$4),"ok","nok")</f>
        <v>nok</v>
      </c>
      <c r="K366" s="60" t="str">
        <f>IF(AND($B366=[1]rogério!$A367,[1]rogério!$B367=K$4),"ok","nok")</f>
        <v>nok</v>
      </c>
      <c r="L366" s="60" t="str">
        <f>IF(AND($B366=[1]rogério!$A367,[1]rogério!$B367=L$4),"ok","nok")</f>
        <v>nok</v>
      </c>
      <c r="M366" s="60" t="str">
        <f>IF(AND($B366=[1]rogério!$A367,[1]rogério!$B367=M$4),"ok","nok")</f>
        <v>nok</v>
      </c>
      <c r="N366" s="60" t="str">
        <f>IF(AND($B366=[1]rogério!$A367,[1]rogério!$B367=N$4),"ok","nok")</f>
        <v>nok</v>
      </c>
      <c r="O366" s="60" t="str">
        <f>IF(AND($B366=[1]rogério!$A367,[1]rogério!$B367=O$4),"ok","nok")</f>
        <v>nok</v>
      </c>
      <c r="P366" s="60" t="str">
        <f>IF(AND($B366=[1]rogério!$A367,[1]rogério!$B367=P$4),"ok","nok")</f>
        <v>nok</v>
      </c>
      <c r="Q366" s="60" t="str">
        <f>IF(AND($B366=[1]rogério!$A367,[1]rogério!$B367=Q$4),"ok","nok")</f>
        <v>nok</v>
      </c>
      <c r="R366" s="60" t="str">
        <f>IF(AND($B366=[1]rogério!$A367,[1]rogério!$B367=R$4),"ok","nok")</f>
        <v>nok</v>
      </c>
      <c r="S366" s="60" t="str">
        <f>IF(AND($B366=[1]rogério!$A367,[1]rogério!$B367=S$4),"ok","nok")</f>
        <v>nok</v>
      </c>
      <c r="T366" s="60" t="str">
        <f>IF(AND($B366=[1]rogério!$A367,[1]rogério!$B367=T$4),"ok","nok")</f>
        <v>nok</v>
      </c>
      <c r="U366" s="60" t="str">
        <f>IF(AND($B366=[1]rogério!$A367,[1]rogério!$B367=U$4),"ok","nok")</f>
        <v>nok</v>
      </c>
      <c r="V366" s="60" t="str">
        <f>IF(AND($B366=[1]rogério!$A367,[1]rogério!$B367=V$4),"ok","nok")</f>
        <v>nok</v>
      </c>
      <c r="W366" s="60" t="str">
        <f>IF(AND($B366=[1]rogério!$A367,[1]rogério!$B367=W$4),"ok","nok")</f>
        <v>nok</v>
      </c>
      <c r="X366" s="60" t="str">
        <f>IF(AND($B366=[1]rogério!$A367,[1]rogério!$B367=X$4),"ok","nok")</f>
        <v>ok</v>
      </c>
      <c r="Y366" s="105" t="s">
        <v>15</v>
      </c>
      <c r="Z366" s="106"/>
      <c r="AA366" s="106"/>
      <c r="AB366" s="107"/>
      <c r="AC366" s="40"/>
      <c r="AD366" s="40"/>
      <c r="AE366" s="48" t="str">
        <f t="shared" si="90"/>
        <v/>
      </c>
      <c r="AF366" s="48"/>
      <c r="AG366" s="48"/>
      <c r="AH366" s="89"/>
      <c r="AI366" s="49">
        <f t="shared" si="91"/>
        <v>0</v>
      </c>
      <c r="AJ366" s="49" t="str">
        <f t="shared" si="92"/>
        <v/>
      </c>
      <c r="AK366" s="49">
        <f t="shared" si="93"/>
        <v>0</v>
      </c>
      <c r="AL366" s="49" t="str">
        <f t="shared" si="94"/>
        <v/>
      </c>
      <c r="AM366" s="49">
        <f t="shared" si="95"/>
        <v>0</v>
      </c>
      <c r="AN366" s="49" t="str">
        <f t="shared" si="96"/>
        <v/>
      </c>
      <c r="AO366" s="49">
        <f t="shared" si="97"/>
        <v>0</v>
      </c>
      <c r="AP366" s="49" t="str">
        <f t="shared" si="98"/>
        <v/>
      </c>
      <c r="AQ366" s="49">
        <f t="shared" si="99"/>
        <v>1</v>
      </c>
      <c r="AR366" s="49" t="str">
        <f t="shared" si="100"/>
        <v/>
      </c>
    </row>
    <row r="367" spans="1:44" ht="30" customHeight="1" x14ac:dyDescent="0.35">
      <c r="A367" s="25"/>
      <c r="B367" s="39" t="s">
        <v>62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108"/>
      <c r="Z367" s="109"/>
      <c r="AA367" s="109"/>
      <c r="AB367" s="110"/>
      <c r="AC367" s="40"/>
      <c r="AD367" s="40"/>
      <c r="AE367" s="48" t="str">
        <f t="shared" si="90"/>
        <v/>
      </c>
      <c r="AF367" s="48"/>
      <c r="AG367" s="48"/>
      <c r="AH367" s="89"/>
      <c r="AI367" s="49">
        <f t="shared" si="91"/>
        <v>0</v>
      </c>
      <c r="AJ367" s="49" t="str">
        <f t="shared" si="92"/>
        <v/>
      </c>
      <c r="AK367" s="49">
        <f t="shared" si="93"/>
        <v>0</v>
      </c>
      <c r="AL367" s="49" t="str">
        <f t="shared" si="94"/>
        <v/>
      </c>
      <c r="AM367" s="49">
        <f t="shared" si="95"/>
        <v>0</v>
      </c>
      <c r="AN367" s="49" t="str">
        <f t="shared" si="96"/>
        <v/>
      </c>
      <c r="AO367" s="49">
        <f t="shared" si="97"/>
        <v>0</v>
      </c>
      <c r="AP367" s="49" t="str">
        <f t="shared" si="98"/>
        <v/>
      </c>
      <c r="AQ367" s="49">
        <f t="shared" si="99"/>
        <v>0</v>
      </c>
      <c r="AR367" s="49" t="str">
        <f t="shared" si="100"/>
        <v/>
      </c>
    </row>
    <row r="368" spans="1:44" ht="30" customHeight="1" x14ac:dyDescent="0.35">
      <c r="A368" s="25" t="str">
        <f t="shared" si="102"/>
        <v>PT177 - PLATAFORMA DE ACESSO - FORQUILHA 2 - DETALHADO
TORRE B3PROJETO DETALHADO
ESTRUTURAS METÁLICAS</v>
      </c>
      <c r="B368" s="40" t="s">
        <v>49</v>
      </c>
      <c r="C368" s="60" t="str">
        <f>IF(AND($B368=[1]rogério!$A369,[1]rogério!$B369=C$4),"ok","nok")</f>
        <v>nok</v>
      </c>
      <c r="D368" s="60" t="str">
        <f>IF(AND($B368=[1]rogério!$A369,[1]rogério!$B369=D$4),"ok","nok")</f>
        <v>nok</v>
      </c>
      <c r="E368" s="60" t="str">
        <f>IF(AND($B368=[1]rogério!$A369,[1]rogério!$B369=E$4),"ok","nok")</f>
        <v>nok</v>
      </c>
      <c r="F368" s="60" t="str">
        <f>IF(AND($B368=[1]rogério!$A369,[1]rogério!$B369=F$4),"ok","nok")</f>
        <v>nok</v>
      </c>
      <c r="G368" s="60" t="str">
        <f>IF(AND($B368=[1]rogério!$A369,[1]rogério!$B369=G$4),"ok","nok")</f>
        <v>nok</v>
      </c>
      <c r="H368" s="60" t="str">
        <f>IF(AND($B368=[1]rogério!$A369,[1]rogério!$B369=H$4),"ok","nok")</f>
        <v>nok</v>
      </c>
      <c r="I368" s="60" t="str">
        <f>IF(AND($B368=[1]rogério!$A369,[1]rogério!$B369=I$4),"ok","nok")</f>
        <v>nok</v>
      </c>
      <c r="J368" s="60" t="str">
        <f>IF(AND($B368=[1]rogério!$A369,[1]rogério!$B369=J$4),"ok","nok")</f>
        <v>nok</v>
      </c>
      <c r="K368" s="60" t="str">
        <f>IF(AND($B368=[1]rogério!$A369,[1]rogério!$B369=K$4),"ok","nok")</f>
        <v>nok</v>
      </c>
      <c r="L368" s="60" t="str">
        <f>IF(AND($B368=[1]rogério!$A369,[1]rogério!$B369=L$4),"ok","nok")</f>
        <v>nok</v>
      </c>
      <c r="M368" s="60" t="str">
        <f>IF(AND($B368=[1]rogério!$A369,[1]rogério!$B369=M$4),"ok","nok")</f>
        <v>nok</v>
      </c>
      <c r="N368" s="60" t="str">
        <f>IF(AND($B368=[1]rogério!$A369,[1]rogério!$B369=N$4),"ok","nok")</f>
        <v>nok</v>
      </c>
      <c r="O368" s="60" t="str">
        <f>IF(AND($B368=[1]rogério!$A369,[1]rogério!$B369=O$4),"ok","nok")</f>
        <v>nok</v>
      </c>
      <c r="P368" s="60" t="str">
        <f>IF(AND($B368=[1]rogério!$A369,[1]rogério!$B369=P$4),"ok","nok")</f>
        <v>nok</v>
      </c>
      <c r="Q368" s="60" t="str">
        <f>IF(AND($B368=[1]rogério!$A369,[1]rogério!$B369=Q$4),"ok","nok")</f>
        <v>nok</v>
      </c>
      <c r="R368" s="60" t="str">
        <f>IF(AND($B368=[1]rogério!$A369,[1]rogério!$B369=R$4),"ok","nok")</f>
        <v>nok</v>
      </c>
      <c r="S368" s="60" t="str">
        <f>IF(AND($B368=[1]rogério!$A369,[1]rogério!$B369=S$4),"ok","nok")</f>
        <v>nok</v>
      </c>
      <c r="T368" s="60" t="str">
        <f>IF(AND($B368=[1]rogério!$A369,[1]rogério!$B369=T$4),"ok","nok")</f>
        <v>nok</v>
      </c>
      <c r="U368" s="60" t="str">
        <f>IF(AND($B368=[1]rogério!$A369,[1]rogério!$B369=U$4),"ok","nok")</f>
        <v>nok</v>
      </c>
      <c r="V368" s="60" t="str">
        <f>IF(AND($B368=[1]rogério!$A369,[1]rogério!$B369=V$4),"ok","nok")</f>
        <v>nok</v>
      </c>
      <c r="W368" s="60" t="str">
        <f>IF(AND($B368=[1]rogério!$A369,[1]rogério!$B369=W$4),"ok","nok")</f>
        <v>nok</v>
      </c>
      <c r="X368" s="60" t="str">
        <f>IF(AND($B368=[1]rogério!$A369,[1]rogério!$B369=X$4),"ok","nok")</f>
        <v>ok</v>
      </c>
      <c r="Y368" s="105" t="s">
        <v>15</v>
      </c>
      <c r="Z368" s="106"/>
      <c r="AA368" s="106"/>
      <c r="AB368" s="107"/>
      <c r="AC368" s="40"/>
      <c r="AD368" s="40"/>
      <c r="AE368" s="48" t="str">
        <f t="shared" si="90"/>
        <v/>
      </c>
      <c r="AF368" s="48"/>
      <c r="AG368" s="48"/>
      <c r="AH368" s="89"/>
      <c r="AI368" s="49">
        <f t="shared" si="91"/>
        <v>0</v>
      </c>
      <c r="AJ368" s="49" t="str">
        <f t="shared" si="92"/>
        <v/>
      </c>
      <c r="AK368" s="49">
        <f t="shared" si="93"/>
        <v>0</v>
      </c>
      <c r="AL368" s="49" t="str">
        <f t="shared" si="94"/>
        <v/>
      </c>
      <c r="AM368" s="49">
        <f t="shared" si="95"/>
        <v>0</v>
      </c>
      <c r="AN368" s="49" t="str">
        <f t="shared" si="96"/>
        <v/>
      </c>
      <c r="AO368" s="49">
        <f t="shared" si="97"/>
        <v>0</v>
      </c>
      <c r="AP368" s="49" t="str">
        <f t="shared" si="98"/>
        <v/>
      </c>
      <c r="AQ368" s="49">
        <f t="shared" si="99"/>
        <v>1</v>
      </c>
      <c r="AR368" s="49" t="str">
        <f t="shared" si="100"/>
        <v/>
      </c>
    </row>
    <row r="369" spans="1:44" ht="30" customHeight="1" x14ac:dyDescent="0.35">
      <c r="A369" s="25"/>
      <c r="B369" s="62" t="s">
        <v>64</v>
      </c>
      <c r="C369" s="62"/>
      <c r="D369" s="62"/>
      <c r="E369" s="62"/>
      <c r="F369" s="62"/>
      <c r="G369" s="62"/>
      <c r="H369" s="62"/>
      <c r="I369" s="62"/>
      <c r="J369" s="62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114"/>
      <c r="Z369" s="115"/>
      <c r="AA369" s="115"/>
      <c r="AB369" s="116"/>
      <c r="AC369" s="40"/>
      <c r="AD369" s="40"/>
      <c r="AE369" s="48" t="str">
        <f t="shared" si="90"/>
        <v/>
      </c>
      <c r="AF369" s="48"/>
      <c r="AG369" s="48"/>
      <c r="AH369" s="89"/>
      <c r="AI369" s="49">
        <f t="shared" si="91"/>
        <v>0</v>
      </c>
      <c r="AJ369" s="49" t="str">
        <f t="shared" si="92"/>
        <v/>
      </c>
      <c r="AK369" s="49">
        <f t="shared" si="93"/>
        <v>0</v>
      </c>
      <c r="AL369" s="49" t="str">
        <f t="shared" si="94"/>
        <v/>
      </c>
      <c r="AM369" s="49">
        <f t="shared" si="95"/>
        <v>0</v>
      </c>
      <c r="AN369" s="49" t="str">
        <f t="shared" si="96"/>
        <v/>
      </c>
      <c r="AO369" s="49">
        <f t="shared" si="97"/>
        <v>0</v>
      </c>
      <c r="AP369" s="49" t="str">
        <f t="shared" si="98"/>
        <v/>
      </c>
      <c r="AQ369" s="49">
        <f t="shared" si="99"/>
        <v>0</v>
      </c>
      <c r="AR369" s="49" t="str">
        <f t="shared" si="100"/>
        <v/>
      </c>
    </row>
    <row r="370" spans="1:44" ht="30" customHeight="1" x14ac:dyDescent="0.35">
      <c r="A370" s="25" t="str">
        <f>CONCATENATE($B$355,"
",$B$357,"",$B$358,"
",$B$369)</f>
        <v>PT177 - PLATAFORMA DE ACESSO - FORQUILHA 2 - DETALHADO
TORRE B3PROJETO DETALHADO
CIVIL</v>
      </c>
      <c r="B370" s="38" t="s">
        <v>71</v>
      </c>
      <c r="C370" s="60" t="str">
        <f>IF(AND($B370=[1]rogério!$A371,[1]rogério!$B371=C$4),"ok","nok")</f>
        <v>nok</v>
      </c>
      <c r="D370" s="60" t="str">
        <f>IF(AND($B370=[1]rogério!$A371,[1]rogério!$B371=D$4),"ok","nok")</f>
        <v>nok</v>
      </c>
      <c r="E370" s="60" t="str">
        <f>IF(AND($B370=[1]rogério!$A371,[1]rogério!$B371=E$4),"ok","nok")</f>
        <v>nok</v>
      </c>
      <c r="F370" s="60" t="str">
        <f>IF(AND($B370=[1]rogério!$A371,[1]rogério!$B371=F$4),"ok","nok")</f>
        <v>nok</v>
      </c>
      <c r="G370" s="60" t="str">
        <f>IF(AND($B370=[1]rogério!$A371,[1]rogério!$B371=G$4),"ok","nok")</f>
        <v>nok</v>
      </c>
      <c r="H370" s="60" t="str">
        <f>IF(AND($B370=[1]rogério!$A371,[1]rogério!$B371=H$4),"ok","nok")</f>
        <v>nok</v>
      </c>
      <c r="I370" s="60" t="str">
        <f>IF(AND($B370=[1]rogério!$A371,[1]rogério!$B371=I$4),"ok","nok")</f>
        <v>ok</v>
      </c>
      <c r="J370" s="60" t="str">
        <f>IF(AND($B370=[1]rogério!$A371,[1]rogério!$B371=J$4),"ok","nok")</f>
        <v>nok</v>
      </c>
      <c r="K370" s="60" t="str">
        <f>IF(AND($B370=[1]rogério!$A371,[1]rogério!$B371=K$4),"ok","nok")</f>
        <v>nok</v>
      </c>
      <c r="L370" s="60" t="str">
        <f>IF(AND($B370=[1]rogério!$A371,[1]rogério!$B371=L$4),"ok","nok")</f>
        <v>nok</v>
      </c>
      <c r="M370" s="60" t="str">
        <f>IF(AND($B370=[1]rogério!$A371,[1]rogério!$B371=M$4),"ok","nok")</f>
        <v>nok</v>
      </c>
      <c r="N370" s="60" t="str">
        <f>IF(AND($B370=[1]rogério!$A371,[1]rogério!$B371=N$4),"ok","nok")</f>
        <v>nok</v>
      </c>
      <c r="O370" s="60" t="str">
        <f>IF(AND($B370=[1]rogério!$A371,[1]rogério!$B371=O$4),"ok","nok")</f>
        <v>nok</v>
      </c>
      <c r="P370" s="60" t="str">
        <f>IF(AND($B370=[1]rogério!$A371,[1]rogério!$B371=P$4),"ok","nok")</f>
        <v>nok</v>
      </c>
      <c r="Q370" s="60" t="str">
        <f>IF(AND($B370=[1]rogério!$A371,[1]rogério!$B371=Q$4),"ok","nok")</f>
        <v>nok</v>
      </c>
      <c r="R370" s="60" t="str">
        <f>IF(AND($B370=[1]rogério!$A371,[1]rogério!$B371=R$4),"ok","nok")</f>
        <v>nok</v>
      </c>
      <c r="S370" s="60" t="str">
        <f>IF(AND($B370=[1]rogério!$A371,[1]rogério!$B371=S$4),"ok","nok")</f>
        <v>nok</v>
      </c>
      <c r="T370" s="60" t="str">
        <f>IF(AND($B370=[1]rogério!$A371,[1]rogério!$B371=T$4),"ok","nok")</f>
        <v>nok</v>
      </c>
      <c r="U370" s="60" t="str">
        <f>IF(AND($B370=[1]rogério!$A371,[1]rogério!$B371=U$4),"ok","nok")</f>
        <v>nok</v>
      </c>
      <c r="V370" s="60" t="str">
        <f>IF(AND($B370=[1]rogério!$A371,[1]rogério!$B371=V$4),"ok","nok")</f>
        <v>nok</v>
      </c>
      <c r="W370" s="60" t="str">
        <f>IF(AND($B370=[1]rogério!$A371,[1]rogério!$B371=W$4),"ok","nok")</f>
        <v>nok</v>
      </c>
      <c r="X370" s="60" t="str">
        <f>IF(AND($B370=[1]rogério!$A371,[1]rogério!$B371=X$4),"ok","nok")</f>
        <v>nok</v>
      </c>
      <c r="Y370" s="105" t="s">
        <v>15</v>
      </c>
      <c r="Z370" s="106"/>
      <c r="AA370" s="106"/>
      <c r="AB370" s="107"/>
      <c r="AC370" s="40"/>
      <c r="AD370" s="40"/>
      <c r="AE370" s="48" t="str">
        <f t="shared" si="90"/>
        <v/>
      </c>
      <c r="AF370" s="48"/>
      <c r="AG370" s="48"/>
      <c r="AH370" s="89"/>
      <c r="AI370" s="49">
        <f t="shared" si="91"/>
        <v>0</v>
      </c>
      <c r="AJ370" s="49" t="str">
        <f t="shared" si="92"/>
        <v/>
      </c>
      <c r="AK370" s="49">
        <f t="shared" si="93"/>
        <v>1</v>
      </c>
      <c r="AL370" s="49" t="str">
        <f t="shared" si="94"/>
        <v/>
      </c>
      <c r="AM370" s="49">
        <f t="shared" si="95"/>
        <v>0</v>
      </c>
      <c r="AN370" s="49" t="str">
        <f t="shared" si="96"/>
        <v/>
      </c>
      <c r="AO370" s="49">
        <f t="shared" si="97"/>
        <v>0</v>
      </c>
      <c r="AP370" s="49" t="str">
        <f t="shared" si="98"/>
        <v/>
      </c>
      <c r="AQ370" s="49">
        <f t="shared" si="99"/>
        <v>0</v>
      </c>
      <c r="AR370" s="49" t="str">
        <f t="shared" si="100"/>
        <v/>
      </c>
    </row>
    <row r="371" spans="1:44" ht="30" customHeight="1" x14ac:dyDescent="0.35">
      <c r="A371" s="25"/>
      <c r="B371" s="39" t="s">
        <v>41</v>
      </c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108"/>
      <c r="Z371" s="109"/>
      <c r="AA371" s="109"/>
      <c r="AB371" s="110"/>
      <c r="AC371" s="40"/>
      <c r="AD371" s="40"/>
      <c r="AE371" s="48" t="str">
        <f t="shared" si="90"/>
        <v/>
      </c>
      <c r="AF371" s="48"/>
      <c r="AG371" s="48"/>
      <c r="AH371" s="89"/>
      <c r="AI371" s="49">
        <f t="shared" si="91"/>
        <v>0</v>
      </c>
      <c r="AJ371" s="49" t="str">
        <f t="shared" si="92"/>
        <v/>
      </c>
      <c r="AK371" s="49">
        <f t="shared" si="93"/>
        <v>0</v>
      </c>
      <c r="AL371" s="49" t="str">
        <f t="shared" si="94"/>
        <v/>
      </c>
      <c r="AM371" s="49">
        <f t="shared" si="95"/>
        <v>0</v>
      </c>
      <c r="AN371" s="49" t="str">
        <f t="shared" si="96"/>
        <v/>
      </c>
      <c r="AO371" s="49">
        <f t="shared" si="97"/>
        <v>0</v>
      </c>
      <c r="AP371" s="49" t="str">
        <f t="shared" si="98"/>
        <v/>
      </c>
      <c r="AQ371" s="49">
        <f t="shared" si="99"/>
        <v>0</v>
      </c>
      <c r="AR371" s="49" t="str">
        <f t="shared" si="100"/>
        <v/>
      </c>
    </row>
    <row r="372" spans="1:44" ht="30" customHeight="1" x14ac:dyDescent="0.35">
      <c r="A372" s="25" t="str">
        <f t="shared" ref="A372:A402" si="103">CONCATENATE($B$355,"
",$B$357,"",$B$358,"
",$B$369)</f>
        <v>PT177 - PLATAFORMA DE ACESSO - FORQUILHA 2 - DETALHADO
TORRE B3PROJETO DETALHADO
CIVIL</v>
      </c>
      <c r="B372" s="40" t="s">
        <v>49</v>
      </c>
      <c r="C372" s="60" t="str">
        <f>IF(AND($B372=[1]rogério!$A373,[1]rogério!$B373=C$4),"ok","nok")</f>
        <v>nok</v>
      </c>
      <c r="D372" s="60" t="str">
        <f>IF(AND($B372=[1]rogério!$A373,[1]rogério!$B373=D$4),"ok","nok")</f>
        <v>nok</v>
      </c>
      <c r="E372" s="60" t="str">
        <f>IF(AND($B372=[1]rogério!$A373,[1]rogério!$B373=E$4),"ok","nok")</f>
        <v>nok</v>
      </c>
      <c r="F372" s="60" t="str">
        <f>IF(AND($B372=[1]rogério!$A373,[1]rogério!$B373=F$4),"ok","nok")</f>
        <v>nok</v>
      </c>
      <c r="G372" s="60" t="str">
        <f>IF(AND($B372=[1]rogério!$A373,[1]rogério!$B373=G$4),"ok","nok")</f>
        <v>nok</v>
      </c>
      <c r="H372" s="60" t="str">
        <f>IF(AND($B372=[1]rogério!$A373,[1]rogério!$B373=H$4),"ok","nok")</f>
        <v>nok</v>
      </c>
      <c r="I372" s="60" t="str">
        <f>IF(AND($B372=[1]rogério!$A373,[1]rogério!$B373=I$4),"ok","nok")</f>
        <v>ok</v>
      </c>
      <c r="J372" s="60" t="str">
        <f>IF(AND($B372=[1]rogério!$A373,[1]rogério!$B373=J$4),"ok","nok")</f>
        <v>nok</v>
      </c>
      <c r="K372" s="60" t="str">
        <f>IF(AND($B372=[1]rogério!$A373,[1]rogério!$B373=K$4),"ok","nok")</f>
        <v>nok</v>
      </c>
      <c r="L372" s="60" t="str">
        <f>IF(AND($B372=[1]rogério!$A373,[1]rogério!$B373=L$4),"ok","nok")</f>
        <v>nok</v>
      </c>
      <c r="M372" s="60" t="str">
        <f>IF(AND($B372=[1]rogério!$A373,[1]rogério!$B373=M$4),"ok","nok")</f>
        <v>nok</v>
      </c>
      <c r="N372" s="60" t="str">
        <f>IF(AND($B372=[1]rogério!$A373,[1]rogério!$B373=N$4),"ok","nok")</f>
        <v>nok</v>
      </c>
      <c r="O372" s="60" t="str">
        <f>IF(AND($B372=[1]rogério!$A373,[1]rogério!$B373=O$4),"ok","nok")</f>
        <v>nok</v>
      </c>
      <c r="P372" s="60" t="str">
        <f>IF(AND($B372=[1]rogério!$A373,[1]rogério!$B373=P$4),"ok","nok")</f>
        <v>nok</v>
      </c>
      <c r="Q372" s="60" t="str">
        <f>IF(AND($B372=[1]rogério!$A373,[1]rogério!$B373=Q$4),"ok","nok")</f>
        <v>nok</v>
      </c>
      <c r="R372" s="60" t="str">
        <f>IF(AND($B372=[1]rogério!$A373,[1]rogério!$B373=R$4),"ok","nok")</f>
        <v>nok</v>
      </c>
      <c r="S372" s="60" t="str">
        <f>IF(AND($B372=[1]rogério!$A373,[1]rogério!$B373=S$4),"ok","nok")</f>
        <v>nok</v>
      </c>
      <c r="T372" s="60" t="str">
        <f>IF(AND($B372=[1]rogério!$A373,[1]rogério!$B373=T$4),"ok","nok")</f>
        <v>nok</v>
      </c>
      <c r="U372" s="60" t="str">
        <f>IF(AND($B372=[1]rogério!$A373,[1]rogério!$B373=U$4),"ok","nok")</f>
        <v>nok</v>
      </c>
      <c r="V372" s="60" t="str">
        <f>IF(AND($B372=[1]rogério!$A373,[1]rogério!$B373=V$4),"ok","nok")</f>
        <v>nok</v>
      </c>
      <c r="W372" s="60" t="str">
        <f>IF(AND($B372=[1]rogério!$A373,[1]rogério!$B373=W$4),"ok","nok")</f>
        <v>nok</v>
      </c>
      <c r="X372" s="60" t="str">
        <f>IF(AND($B372=[1]rogério!$A373,[1]rogério!$B373=X$4),"ok","nok")</f>
        <v>nok</v>
      </c>
      <c r="Y372" s="105" t="s">
        <v>15</v>
      </c>
      <c r="Z372" s="106"/>
      <c r="AA372" s="106"/>
      <c r="AB372" s="107"/>
      <c r="AC372" s="40"/>
      <c r="AD372" s="40"/>
      <c r="AE372" s="48" t="str">
        <f t="shared" si="90"/>
        <v/>
      </c>
      <c r="AF372" s="48"/>
      <c r="AG372" s="48"/>
      <c r="AH372" s="89"/>
      <c r="AI372" s="49">
        <f t="shared" si="91"/>
        <v>0</v>
      </c>
      <c r="AJ372" s="49" t="str">
        <f t="shared" si="92"/>
        <v/>
      </c>
      <c r="AK372" s="49">
        <f t="shared" si="93"/>
        <v>1</v>
      </c>
      <c r="AL372" s="49" t="str">
        <f t="shared" si="94"/>
        <v/>
      </c>
      <c r="AM372" s="49">
        <f t="shared" si="95"/>
        <v>0</v>
      </c>
      <c r="AN372" s="49" t="str">
        <f t="shared" si="96"/>
        <v/>
      </c>
      <c r="AO372" s="49">
        <f t="shared" si="97"/>
        <v>0</v>
      </c>
      <c r="AP372" s="49" t="str">
        <f t="shared" si="98"/>
        <v/>
      </c>
      <c r="AQ372" s="49">
        <f t="shared" si="99"/>
        <v>0</v>
      </c>
      <c r="AR372" s="49" t="str">
        <f t="shared" si="100"/>
        <v/>
      </c>
    </row>
    <row r="373" spans="1:44" ht="30" customHeight="1" x14ac:dyDescent="0.35">
      <c r="A373" s="25" t="str">
        <f t="shared" si="103"/>
        <v>PT177 - PLATAFORMA DE ACESSO - FORQUILHA 2 - DETALHADO
TORRE B3PROJETO DETALHADO
CIVIL</v>
      </c>
      <c r="B373" s="40" t="s">
        <v>19</v>
      </c>
      <c r="C373" s="60" t="str">
        <f>IF(AND($B373=[1]rogério!$A374,[1]rogério!$B374=C$4),"ok","nok")</f>
        <v>nok</v>
      </c>
      <c r="D373" s="60" t="str">
        <f>IF(AND($B373=[1]rogério!$A374,[1]rogério!$B374=D$4),"ok","nok")</f>
        <v>nok</v>
      </c>
      <c r="E373" s="60" t="str">
        <f>IF(AND($B373=[1]rogério!$A374,[1]rogério!$B374=E$4),"ok","nok")</f>
        <v>nok</v>
      </c>
      <c r="F373" s="60" t="str">
        <f>IF(AND($B373=[1]rogério!$A374,[1]rogério!$B374=F$4),"ok","nok")</f>
        <v>nok</v>
      </c>
      <c r="G373" s="60" t="str">
        <f>IF(AND($B373=[1]rogério!$A374,[1]rogério!$B374=G$4),"ok","nok")</f>
        <v>nok</v>
      </c>
      <c r="H373" s="60" t="str">
        <f>IF(AND($B373=[1]rogério!$A374,[1]rogério!$B374=H$4),"ok","nok")</f>
        <v>nok</v>
      </c>
      <c r="I373" s="60" t="str">
        <f>IF(AND($B373=[1]rogério!$A374,[1]rogério!$B374=I$4),"ok","nok")</f>
        <v>nok</v>
      </c>
      <c r="J373" s="60" t="str">
        <f>IF(AND($B373=[1]rogério!$A374,[1]rogério!$B374=J$4),"ok","nok")</f>
        <v>nok</v>
      </c>
      <c r="K373" s="60" t="str">
        <f>IF(AND($B373=[1]rogério!$A374,[1]rogério!$B374=K$4),"ok","nok")</f>
        <v>nok</v>
      </c>
      <c r="L373" s="60" t="str">
        <f>IF(AND($B373=[1]rogério!$A374,[1]rogério!$B374=L$4),"ok","nok")</f>
        <v>nok</v>
      </c>
      <c r="M373" s="60" t="str">
        <f>IF(AND($B373=[1]rogério!$A374,[1]rogério!$B374=M$4),"ok","nok")</f>
        <v>nok</v>
      </c>
      <c r="N373" s="60" t="str">
        <f>IF(AND($B373=[1]rogério!$A374,[1]rogério!$B374=N$4),"ok","nok")</f>
        <v>ok</v>
      </c>
      <c r="O373" s="60" t="str">
        <f>IF(AND($B373=[1]rogério!$A374,[1]rogério!$B374=O$4),"ok","nok")</f>
        <v>nok</v>
      </c>
      <c r="P373" s="60" t="str">
        <f>IF(AND($B373=[1]rogério!$A374,[1]rogério!$B374=P$4),"ok","nok")</f>
        <v>nok</v>
      </c>
      <c r="Q373" s="60" t="str">
        <f>IF(AND($B373=[1]rogério!$A374,[1]rogério!$B374=Q$4),"ok","nok")</f>
        <v>nok</v>
      </c>
      <c r="R373" s="60" t="str">
        <f>IF(AND($B373=[1]rogério!$A374,[1]rogério!$B374=R$4),"ok","nok")</f>
        <v>nok</v>
      </c>
      <c r="S373" s="60" t="str">
        <f>IF(AND($B373=[1]rogério!$A374,[1]rogério!$B374=S$4),"ok","nok")</f>
        <v>nok</v>
      </c>
      <c r="T373" s="60" t="str">
        <f>IF(AND($B373=[1]rogério!$A374,[1]rogério!$B374=T$4),"ok","nok")</f>
        <v>nok</v>
      </c>
      <c r="U373" s="60" t="str">
        <f>IF(AND($B373=[1]rogério!$A374,[1]rogério!$B374=U$4),"ok","nok")</f>
        <v>nok</v>
      </c>
      <c r="V373" s="60" t="str">
        <f>IF(AND($B373=[1]rogério!$A374,[1]rogério!$B374=V$4),"ok","nok")</f>
        <v>nok</v>
      </c>
      <c r="W373" s="60" t="str">
        <f>IF(AND($B373=[1]rogério!$A374,[1]rogério!$B374=W$4),"ok","nok")</f>
        <v>nok</v>
      </c>
      <c r="X373" s="60" t="str">
        <f>IF(AND($B373=[1]rogério!$A374,[1]rogério!$B374=X$4),"ok","nok")</f>
        <v>nok</v>
      </c>
      <c r="Y373" s="105" t="s">
        <v>15</v>
      </c>
      <c r="Z373" s="106"/>
      <c r="AA373" s="106"/>
      <c r="AB373" s="107"/>
      <c r="AC373" s="40"/>
      <c r="AD373" s="40"/>
      <c r="AE373" s="48" t="str">
        <f t="shared" si="90"/>
        <v/>
      </c>
      <c r="AF373" s="48"/>
      <c r="AG373" s="48"/>
      <c r="AH373" s="89"/>
      <c r="AI373" s="49">
        <f t="shared" si="91"/>
        <v>0</v>
      </c>
      <c r="AJ373" s="49" t="str">
        <f t="shared" si="92"/>
        <v/>
      </c>
      <c r="AK373" s="49">
        <f t="shared" si="93"/>
        <v>0</v>
      </c>
      <c r="AL373" s="49" t="str">
        <f t="shared" si="94"/>
        <v/>
      </c>
      <c r="AM373" s="49">
        <f t="shared" si="95"/>
        <v>1</v>
      </c>
      <c r="AN373" s="49" t="str">
        <f t="shared" si="96"/>
        <v/>
      </c>
      <c r="AO373" s="49">
        <f t="shared" si="97"/>
        <v>0</v>
      </c>
      <c r="AP373" s="49" t="str">
        <f t="shared" si="98"/>
        <v/>
      </c>
      <c r="AQ373" s="49">
        <f t="shared" si="99"/>
        <v>0</v>
      </c>
      <c r="AR373" s="49" t="str">
        <f t="shared" si="100"/>
        <v/>
      </c>
    </row>
    <row r="374" spans="1:44" ht="30" customHeight="1" x14ac:dyDescent="0.35">
      <c r="A374" s="25" t="str">
        <f t="shared" si="103"/>
        <v>PT177 - PLATAFORMA DE ACESSO - FORQUILHA 2 - DETALHADO
TORRE B3PROJETO DETALHADO
CIVIL</v>
      </c>
      <c r="B374" s="40" t="s">
        <v>42</v>
      </c>
      <c r="C374" s="60" t="str">
        <f>IF(AND($B374=[1]rogério!$A375,[1]rogério!$B375=C$4),"ok","nok")</f>
        <v>nok</v>
      </c>
      <c r="D374" s="60" t="str">
        <f>IF(AND($B374=[1]rogério!$A375,[1]rogério!$B375=D$4),"ok","nok")</f>
        <v>nok</v>
      </c>
      <c r="E374" s="60" t="str">
        <f>IF(AND($B374=[1]rogério!$A375,[1]rogério!$B375=E$4),"ok","nok")</f>
        <v>nok</v>
      </c>
      <c r="F374" s="60" t="str">
        <f>IF(AND($B374=[1]rogério!$A375,[1]rogério!$B375=F$4),"ok","nok")</f>
        <v>nok</v>
      </c>
      <c r="G374" s="60" t="str">
        <f>IF(AND($B374=[1]rogério!$A375,[1]rogério!$B375=G$4),"ok","nok")</f>
        <v>nok</v>
      </c>
      <c r="H374" s="60" t="str">
        <f>IF(AND($B374=[1]rogério!$A375,[1]rogério!$B375=H$4),"ok","nok")</f>
        <v>nok</v>
      </c>
      <c r="I374" s="60" t="str">
        <f>IF(AND($B374=[1]rogério!$A375,[1]rogério!$B375=I$4),"ok","nok")</f>
        <v>nok</v>
      </c>
      <c r="J374" s="60" t="str">
        <f>IF(AND($B374=[1]rogério!$A375,[1]rogério!$B375=J$4),"ok","nok")</f>
        <v>nok</v>
      </c>
      <c r="K374" s="60" t="str">
        <f>IF(AND($B374=[1]rogério!$A375,[1]rogério!$B375=K$4),"ok","nok")</f>
        <v>nok</v>
      </c>
      <c r="L374" s="60" t="str">
        <f>IF(AND($B374=[1]rogério!$A375,[1]rogério!$B375=L$4),"ok","nok")</f>
        <v>nok</v>
      </c>
      <c r="M374" s="60" t="str">
        <f>IF(AND($B374=[1]rogério!$A375,[1]rogério!$B375=M$4),"ok","nok")</f>
        <v>nok</v>
      </c>
      <c r="N374" s="60" t="str">
        <f>IF(AND($B374=[1]rogério!$A375,[1]rogério!$B375=N$4),"ok","nok")</f>
        <v>nok</v>
      </c>
      <c r="O374" s="60" t="str">
        <f>IF(AND($B374=[1]rogério!$A375,[1]rogério!$B375=O$4),"ok","nok")</f>
        <v>nok</v>
      </c>
      <c r="P374" s="60" t="str">
        <f>IF(AND($B374=[1]rogério!$A375,[1]rogério!$B375=P$4),"ok","nok")</f>
        <v>nok</v>
      </c>
      <c r="Q374" s="60" t="str">
        <f>IF(AND($B374=[1]rogério!$A375,[1]rogério!$B375=Q$4),"ok","nok")</f>
        <v>ok</v>
      </c>
      <c r="R374" s="60" t="str">
        <f>IF(AND($B374=[1]rogério!$A375,[1]rogério!$B375=R$4),"ok","nok")</f>
        <v>nok</v>
      </c>
      <c r="S374" s="60" t="str">
        <f>IF(AND($B374=[1]rogério!$A375,[1]rogério!$B375=S$4),"ok","nok")</f>
        <v>nok</v>
      </c>
      <c r="T374" s="60" t="str">
        <f>IF(AND($B374=[1]rogério!$A375,[1]rogério!$B375=T$4),"ok","nok")</f>
        <v>nok</v>
      </c>
      <c r="U374" s="60" t="str">
        <f>IF(AND($B374=[1]rogério!$A375,[1]rogério!$B375=U$4),"ok","nok")</f>
        <v>nok</v>
      </c>
      <c r="V374" s="60" t="str">
        <f>IF(AND($B374=[1]rogério!$A375,[1]rogério!$B375=V$4),"ok","nok")</f>
        <v>nok</v>
      </c>
      <c r="W374" s="60" t="str">
        <f>IF(AND($B374=[1]rogério!$A375,[1]rogério!$B375=W$4),"ok","nok")</f>
        <v>nok</v>
      </c>
      <c r="X374" s="60" t="str">
        <f>IF(AND($B374=[1]rogério!$A375,[1]rogério!$B375=X$4),"ok","nok")</f>
        <v>nok</v>
      </c>
      <c r="Y374" s="105" t="s">
        <v>15</v>
      </c>
      <c r="Z374" s="106"/>
      <c r="AA374" s="106"/>
      <c r="AB374" s="107"/>
      <c r="AC374" s="40"/>
      <c r="AD374" s="40"/>
      <c r="AE374" s="48" t="str">
        <f t="shared" si="90"/>
        <v/>
      </c>
      <c r="AF374" s="48"/>
      <c r="AG374" s="48"/>
      <c r="AH374" s="89"/>
      <c r="AI374" s="49">
        <f t="shared" si="91"/>
        <v>0</v>
      </c>
      <c r="AJ374" s="49" t="str">
        <f t="shared" si="92"/>
        <v/>
      </c>
      <c r="AK374" s="49">
        <f t="shared" si="93"/>
        <v>0</v>
      </c>
      <c r="AL374" s="49" t="str">
        <f t="shared" si="94"/>
        <v/>
      </c>
      <c r="AM374" s="49">
        <f t="shared" si="95"/>
        <v>1</v>
      </c>
      <c r="AN374" s="49" t="str">
        <f t="shared" si="96"/>
        <v/>
      </c>
      <c r="AO374" s="49">
        <f t="shared" si="97"/>
        <v>0</v>
      </c>
      <c r="AP374" s="49" t="str">
        <f t="shared" si="98"/>
        <v/>
      </c>
      <c r="AQ374" s="49">
        <f t="shared" si="99"/>
        <v>0</v>
      </c>
      <c r="AR374" s="49" t="str">
        <f t="shared" si="100"/>
        <v/>
      </c>
    </row>
    <row r="375" spans="1:44" ht="30" customHeight="1" x14ac:dyDescent="0.35">
      <c r="A375" s="25" t="str">
        <f t="shared" si="103"/>
        <v>PT177 - PLATAFORMA DE ACESSO - FORQUILHA 2 - DETALHADO
TORRE B3PROJETO DETALHADO
CIVIL</v>
      </c>
      <c r="B375" s="40" t="s">
        <v>43</v>
      </c>
      <c r="C375" s="60" t="str">
        <f>IF(AND($B375=[1]rogério!$A376,[1]rogério!$B376=C$4),"ok","nok")</f>
        <v>nok</v>
      </c>
      <c r="D375" s="60" t="str">
        <f>IF(AND($B375=[1]rogério!$A376,[1]rogério!$B376=D$4),"ok","nok")</f>
        <v>nok</v>
      </c>
      <c r="E375" s="60" t="str">
        <f>IF(AND($B375=[1]rogério!$A376,[1]rogério!$B376=E$4),"ok","nok")</f>
        <v>nok</v>
      </c>
      <c r="F375" s="60" t="str">
        <f>IF(AND($B375=[1]rogério!$A376,[1]rogério!$B376=F$4),"ok","nok")</f>
        <v>nok</v>
      </c>
      <c r="G375" s="60" t="str">
        <f>IF(AND($B375=[1]rogério!$A376,[1]rogério!$B376=G$4),"ok","nok")</f>
        <v>nok</v>
      </c>
      <c r="H375" s="60" t="str">
        <f>IF(AND($B375=[1]rogério!$A376,[1]rogério!$B376=H$4),"ok","nok")</f>
        <v>nok</v>
      </c>
      <c r="I375" s="60" t="str">
        <f>IF(AND($B375=[1]rogério!$A376,[1]rogério!$B376=I$4),"ok","nok")</f>
        <v>nok</v>
      </c>
      <c r="J375" s="60" t="str">
        <f>IF(AND($B375=[1]rogério!$A376,[1]rogério!$B376=J$4),"ok","nok")</f>
        <v>nok</v>
      </c>
      <c r="K375" s="60" t="str">
        <f>IF(AND($B375=[1]rogério!$A376,[1]rogério!$B376=K$4),"ok","nok")</f>
        <v>nok</v>
      </c>
      <c r="L375" s="60" t="str">
        <f>IF(AND($B375=[1]rogério!$A376,[1]rogério!$B376=L$4),"ok","nok")</f>
        <v>nok</v>
      </c>
      <c r="M375" s="60" t="str">
        <f>IF(AND($B375=[1]rogério!$A376,[1]rogério!$B376=M$4),"ok","nok")</f>
        <v>nok</v>
      </c>
      <c r="N375" s="60" t="str">
        <f>IF(AND($B375=[1]rogério!$A376,[1]rogério!$B376=N$4),"ok","nok")</f>
        <v>nok</v>
      </c>
      <c r="O375" s="60" t="str">
        <f>IF(AND($B375=[1]rogério!$A376,[1]rogério!$B376=O$4),"ok","nok")</f>
        <v>nok</v>
      </c>
      <c r="P375" s="60" t="str">
        <f>IF(AND($B375=[1]rogério!$A376,[1]rogério!$B376=P$4),"ok","nok")</f>
        <v>nok</v>
      </c>
      <c r="Q375" s="60" t="str">
        <f>IF(AND($B375=[1]rogério!$A376,[1]rogério!$B376=Q$4),"ok","nok")</f>
        <v>ok</v>
      </c>
      <c r="R375" s="60" t="str">
        <f>IF(AND($B375=[1]rogério!$A376,[1]rogério!$B376=R$4),"ok","nok")</f>
        <v>nok</v>
      </c>
      <c r="S375" s="60" t="str">
        <f>IF(AND($B375=[1]rogério!$A376,[1]rogério!$B376=S$4),"ok","nok")</f>
        <v>nok</v>
      </c>
      <c r="T375" s="60" t="str">
        <f>IF(AND($B375=[1]rogério!$A376,[1]rogério!$B376=T$4),"ok","nok")</f>
        <v>nok</v>
      </c>
      <c r="U375" s="60" t="str">
        <f>IF(AND($B375=[1]rogério!$A376,[1]rogério!$B376=U$4),"ok","nok")</f>
        <v>nok</v>
      </c>
      <c r="V375" s="60" t="str">
        <f>IF(AND($B375=[1]rogério!$A376,[1]rogério!$B376=V$4),"ok","nok")</f>
        <v>nok</v>
      </c>
      <c r="W375" s="60" t="str">
        <f>IF(AND($B375=[1]rogério!$A376,[1]rogério!$B376=W$4),"ok","nok")</f>
        <v>nok</v>
      </c>
      <c r="X375" s="60" t="str">
        <f>IF(AND($B375=[1]rogério!$A376,[1]rogério!$B376=X$4),"ok","nok")</f>
        <v>nok</v>
      </c>
      <c r="Y375" s="105" t="s">
        <v>15</v>
      </c>
      <c r="Z375" s="106"/>
      <c r="AA375" s="106"/>
      <c r="AB375" s="107"/>
      <c r="AC375" s="40"/>
      <c r="AD375" s="40"/>
      <c r="AE375" s="48" t="str">
        <f t="shared" si="90"/>
        <v/>
      </c>
      <c r="AF375" s="48"/>
      <c r="AG375" s="48"/>
      <c r="AH375" s="89"/>
      <c r="AI375" s="49">
        <f t="shared" si="91"/>
        <v>0</v>
      </c>
      <c r="AJ375" s="49" t="str">
        <f t="shared" si="92"/>
        <v/>
      </c>
      <c r="AK375" s="49">
        <f t="shared" si="93"/>
        <v>0</v>
      </c>
      <c r="AL375" s="49" t="str">
        <f t="shared" si="94"/>
        <v/>
      </c>
      <c r="AM375" s="49">
        <f t="shared" si="95"/>
        <v>1</v>
      </c>
      <c r="AN375" s="49" t="str">
        <f t="shared" si="96"/>
        <v/>
      </c>
      <c r="AO375" s="49">
        <f t="shared" si="97"/>
        <v>0</v>
      </c>
      <c r="AP375" s="49" t="str">
        <f t="shared" si="98"/>
        <v/>
      </c>
      <c r="AQ375" s="49">
        <f t="shared" si="99"/>
        <v>0</v>
      </c>
      <c r="AR375" s="49" t="str">
        <f t="shared" si="100"/>
        <v/>
      </c>
    </row>
    <row r="376" spans="1:44" ht="30" customHeight="1" x14ac:dyDescent="0.35">
      <c r="A376" s="25" t="str">
        <f t="shared" si="103"/>
        <v>PT177 - PLATAFORMA DE ACESSO - FORQUILHA 2 - DETALHADO
TORRE B3PROJETO DETALHADO
CIVIL</v>
      </c>
      <c r="B376" s="38" t="s">
        <v>74</v>
      </c>
      <c r="C376" s="60" t="str">
        <f>IF(AND($B376=[1]rogério!$A377,[1]rogério!$B377=C$4),"ok","nok")</f>
        <v>nok</v>
      </c>
      <c r="D376" s="60" t="str">
        <f>IF(AND($B376=[1]rogério!$A377,[1]rogério!$B377=D$4),"ok","nok")</f>
        <v>nok</v>
      </c>
      <c r="E376" s="60" t="str">
        <f>IF(AND($B376=[1]rogério!$A377,[1]rogério!$B377=E$4),"ok","nok")</f>
        <v>nok</v>
      </c>
      <c r="F376" s="60" t="str">
        <f>IF(AND($B376=[1]rogério!$A377,[1]rogério!$B377=F$4),"ok","nok")</f>
        <v>nok</v>
      </c>
      <c r="G376" s="60" t="str">
        <f>IF(AND($B376=[1]rogério!$A377,[1]rogério!$B377=G$4),"ok","nok")</f>
        <v>nok</v>
      </c>
      <c r="H376" s="60" t="str">
        <f>IF(AND($B376=[1]rogério!$A377,[1]rogério!$B377=H$4),"ok","nok")</f>
        <v>nok</v>
      </c>
      <c r="I376" s="60" t="str">
        <f>IF(AND($B376=[1]rogério!$A377,[1]rogério!$B377=I$4),"ok","nok")</f>
        <v>nok</v>
      </c>
      <c r="J376" s="60" t="str">
        <f>IF(AND($B376=[1]rogério!$A377,[1]rogério!$B377=J$4),"ok","nok")</f>
        <v>nok</v>
      </c>
      <c r="K376" s="60" t="str">
        <f>IF(AND($B376=[1]rogério!$A377,[1]rogério!$B377=K$4),"ok","nok")</f>
        <v>nok</v>
      </c>
      <c r="L376" s="60" t="str">
        <f>IF(AND($B376=[1]rogério!$A377,[1]rogério!$B377=L$4),"ok","nok")</f>
        <v>ok</v>
      </c>
      <c r="M376" s="60" t="str">
        <f>IF(AND($B376=[1]rogério!$A377,[1]rogério!$B377=M$4),"ok","nok")</f>
        <v>nok</v>
      </c>
      <c r="N376" s="60" t="str">
        <f>IF(AND($B376=[1]rogério!$A377,[1]rogério!$B377=N$4),"ok","nok")</f>
        <v>nok</v>
      </c>
      <c r="O376" s="60" t="str">
        <f>IF(AND($B376=[1]rogério!$A377,[1]rogério!$B377=O$4),"ok","nok")</f>
        <v>nok</v>
      </c>
      <c r="P376" s="60" t="str">
        <f>IF(AND($B376=[1]rogério!$A377,[1]rogério!$B377=P$4),"ok","nok")</f>
        <v>nok</v>
      </c>
      <c r="Q376" s="60" t="str">
        <f>IF(AND($B376=[1]rogério!$A377,[1]rogério!$B377=Q$4),"ok","nok")</f>
        <v>nok</v>
      </c>
      <c r="R376" s="60" t="str">
        <f>IF(AND($B376=[1]rogério!$A377,[1]rogério!$B377=R$4),"ok","nok")</f>
        <v>nok</v>
      </c>
      <c r="S376" s="60" t="str">
        <f>IF(AND($B376=[1]rogério!$A377,[1]rogério!$B377=S$4),"ok","nok")</f>
        <v>nok</v>
      </c>
      <c r="T376" s="60" t="str">
        <f>IF(AND($B376=[1]rogério!$A377,[1]rogério!$B377=T$4),"ok","nok")</f>
        <v>nok</v>
      </c>
      <c r="U376" s="60" t="str">
        <f>IF(AND($B376=[1]rogério!$A377,[1]rogério!$B377=U$4),"ok","nok")</f>
        <v>nok</v>
      </c>
      <c r="V376" s="60" t="str">
        <f>IF(AND($B376=[1]rogério!$A377,[1]rogério!$B377=V$4),"ok","nok")</f>
        <v>nok</v>
      </c>
      <c r="W376" s="60" t="str">
        <f>IF(AND($B376=[1]rogério!$A377,[1]rogério!$B377=W$4),"ok","nok")</f>
        <v>nok</v>
      </c>
      <c r="X376" s="60" t="str">
        <f>IF(AND($B376=[1]rogério!$A377,[1]rogério!$B377=X$4),"ok","nok")</f>
        <v>nok</v>
      </c>
      <c r="Y376" s="105" t="s">
        <v>15</v>
      </c>
      <c r="Z376" s="106"/>
      <c r="AA376" s="106"/>
      <c r="AB376" s="107"/>
      <c r="AC376" s="40"/>
      <c r="AD376" s="40"/>
      <c r="AE376" s="48" t="str">
        <f t="shared" si="90"/>
        <v/>
      </c>
      <c r="AF376" s="48"/>
      <c r="AG376" s="48"/>
      <c r="AH376" s="89"/>
      <c r="AI376" s="49">
        <f t="shared" si="91"/>
        <v>0</v>
      </c>
      <c r="AJ376" s="49" t="str">
        <f t="shared" si="92"/>
        <v/>
      </c>
      <c r="AK376" s="49">
        <f t="shared" si="93"/>
        <v>1</v>
      </c>
      <c r="AL376" s="49" t="str">
        <f t="shared" si="94"/>
        <v/>
      </c>
      <c r="AM376" s="49">
        <f t="shared" si="95"/>
        <v>0</v>
      </c>
      <c r="AN376" s="49" t="str">
        <f t="shared" si="96"/>
        <v/>
      </c>
      <c r="AO376" s="49">
        <f t="shared" si="97"/>
        <v>0</v>
      </c>
      <c r="AP376" s="49" t="str">
        <f t="shared" si="98"/>
        <v/>
      </c>
      <c r="AQ376" s="49">
        <f t="shared" si="99"/>
        <v>0</v>
      </c>
      <c r="AR376" s="49" t="str">
        <f t="shared" si="100"/>
        <v/>
      </c>
    </row>
    <row r="377" spans="1:44" ht="30" customHeight="1" x14ac:dyDescent="0.35">
      <c r="A377" s="25" t="str">
        <f t="shared" si="103"/>
        <v>PT177 - PLATAFORMA DE ACESSO - FORQUILHA 2 - DETALHADO
TORRE B3PROJETO DETALHADO
CIVIL</v>
      </c>
      <c r="B377" s="38" t="s">
        <v>75</v>
      </c>
      <c r="C377" s="60" t="str">
        <f>IF(AND($B377=[1]rogério!$A378,[1]rogério!$B378=C$4),"ok","nok")</f>
        <v>nok</v>
      </c>
      <c r="D377" s="60" t="str">
        <f>IF(AND($B377=[1]rogério!$A378,[1]rogério!$B378=D$4),"ok","nok")</f>
        <v>nok</v>
      </c>
      <c r="E377" s="60" t="str">
        <f>IF(AND($B377=[1]rogério!$A378,[1]rogério!$B378=E$4),"ok","nok")</f>
        <v>nok</v>
      </c>
      <c r="F377" s="60" t="str">
        <f>IF(AND($B377=[1]rogério!$A378,[1]rogério!$B378=F$4),"ok","nok")</f>
        <v>nok</v>
      </c>
      <c r="G377" s="60" t="str">
        <f>IF(AND($B377=[1]rogério!$A378,[1]rogério!$B378=G$4),"ok","nok")</f>
        <v>nok</v>
      </c>
      <c r="H377" s="60" t="str">
        <f>IF(AND($B377=[1]rogério!$A378,[1]rogério!$B378=H$4),"ok","nok")</f>
        <v>nok</v>
      </c>
      <c r="I377" s="60" t="str">
        <f>IF(AND($B377=[1]rogério!$A378,[1]rogério!$B378=I$4),"ok","nok")</f>
        <v>nok</v>
      </c>
      <c r="J377" s="60" t="str">
        <f>IF(AND($B377=[1]rogério!$A378,[1]rogério!$B378=J$4),"ok","nok")</f>
        <v>nok</v>
      </c>
      <c r="K377" s="60" t="str">
        <f>IF(AND($B377=[1]rogério!$A378,[1]rogério!$B378=K$4),"ok","nok")</f>
        <v>nok</v>
      </c>
      <c r="L377" s="60" t="str">
        <f>IF(AND($B377=[1]rogério!$A378,[1]rogério!$B378=L$4),"ok","nok")</f>
        <v>nok</v>
      </c>
      <c r="M377" s="60" t="str">
        <f>IF(AND($B377=[1]rogério!$A378,[1]rogério!$B378=M$4),"ok","nok")</f>
        <v>ok</v>
      </c>
      <c r="N377" s="60" t="str">
        <f>IF(AND($B377=[1]rogério!$A378,[1]rogério!$B378=N$4),"ok","nok")</f>
        <v>nok</v>
      </c>
      <c r="O377" s="60" t="str">
        <f>IF(AND($B377=[1]rogério!$A378,[1]rogério!$B378=O$4),"ok","nok")</f>
        <v>nok</v>
      </c>
      <c r="P377" s="60" t="str">
        <f>IF(AND($B377=[1]rogério!$A378,[1]rogério!$B378=P$4),"ok","nok")</f>
        <v>nok</v>
      </c>
      <c r="Q377" s="60" t="str">
        <f>IF(AND($B377=[1]rogério!$A378,[1]rogério!$B378=Q$4),"ok","nok")</f>
        <v>nok</v>
      </c>
      <c r="R377" s="60" t="str">
        <f>IF(AND($B377=[1]rogério!$A378,[1]rogério!$B378=R$4),"ok","nok")</f>
        <v>nok</v>
      </c>
      <c r="S377" s="60" t="str">
        <f>IF(AND($B377=[1]rogério!$A378,[1]rogério!$B378=S$4),"ok","nok")</f>
        <v>nok</v>
      </c>
      <c r="T377" s="60" t="str">
        <f>IF(AND($B377=[1]rogério!$A378,[1]rogério!$B378=T$4),"ok","nok")</f>
        <v>nok</v>
      </c>
      <c r="U377" s="60" t="str">
        <f>IF(AND($B377=[1]rogério!$A378,[1]rogério!$B378=U$4),"ok","nok")</f>
        <v>nok</v>
      </c>
      <c r="V377" s="60" t="str">
        <f>IF(AND($B377=[1]rogério!$A378,[1]rogério!$B378=V$4),"ok","nok")</f>
        <v>nok</v>
      </c>
      <c r="W377" s="60" t="str">
        <f>IF(AND($B377=[1]rogério!$A378,[1]rogério!$B378=W$4),"ok","nok")</f>
        <v>nok</v>
      </c>
      <c r="X377" s="60" t="str">
        <f>IF(AND($B377=[1]rogério!$A378,[1]rogério!$B378=X$4),"ok","nok")</f>
        <v>nok</v>
      </c>
      <c r="Y377" s="105" t="s">
        <v>15</v>
      </c>
      <c r="Z377" s="106"/>
      <c r="AA377" s="106"/>
      <c r="AB377" s="107"/>
      <c r="AC377" s="40"/>
      <c r="AD377" s="40"/>
      <c r="AE377" s="48" t="str">
        <f t="shared" si="90"/>
        <v/>
      </c>
      <c r="AF377" s="48"/>
      <c r="AG377" s="48"/>
      <c r="AH377" s="89"/>
      <c r="AI377" s="49">
        <f t="shared" si="91"/>
        <v>0</v>
      </c>
      <c r="AJ377" s="49" t="str">
        <f t="shared" si="92"/>
        <v/>
      </c>
      <c r="AK377" s="49">
        <f t="shared" si="93"/>
        <v>0</v>
      </c>
      <c r="AL377" s="49" t="str">
        <f t="shared" si="94"/>
        <v/>
      </c>
      <c r="AM377" s="49">
        <f t="shared" si="95"/>
        <v>1</v>
      </c>
      <c r="AN377" s="49" t="str">
        <f t="shared" si="96"/>
        <v/>
      </c>
      <c r="AO377" s="49">
        <f t="shared" si="97"/>
        <v>0</v>
      </c>
      <c r="AP377" s="49" t="str">
        <f t="shared" si="98"/>
        <v/>
      </c>
      <c r="AQ377" s="49">
        <f t="shared" si="99"/>
        <v>0</v>
      </c>
      <c r="AR377" s="49" t="str">
        <f t="shared" si="100"/>
        <v/>
      </c>
    </row>
    <row r="378" spans="1:44" ht="30" customHeight="1" x14ac:dyDescent="0.35">
      <c r="A378" s="25"/>
      <c r="B378" s="39" t="s">
        <v>62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108"/>
      <c r="Z378" s="109"/>
      <c r="AA378" s="109"/>
      <c r="AB378" s="110"/>
      <c r="AC378" s="40"/>
      <c r="AD378" s="40"/>
      <c r="AE378" s="48" t="str">
        <f t="shared" si="90"/>
        <v/>
      </c>
      <c r="AF378" s="48"/>
      <c r="AG378" s="48"/>
      <c r="AH378" s="89"/>
      <c r="AI378" s="49">
        <f t="shared" si="91"/>
        <v>0</v>
      </c>
      <c r="AJ378" s="49" t="str">
        <f t="shared" si="92"/>
        <v/>
      </c>
      <c r="AK378" s="49">
        <f t="shared" si="93"/>
        <v>0</v>
      </c>
      <c r="AL378" s="49" t="str">
        <f t="shared" si="94"/>
        <v/>
      </c>
      <c r="AM378" s="49">
        <f t="shared" si="95"/>
        <v>0</v>
      </c>
      <c r="AN378" s="49" t="str">
        <f t="shared" si="96"/>
        <v/>
      </c>
      <c r="AO378" s="49">
        <f t="shared" si="97"/>
        <v>0</v>
      </c>
      <c r="AP378" s="49" t="str">
        <f t="shared" si="98"/>
        <v/>
      </c>
      <c r="AQ378" s="49">
        <f t="shared" si="99"/>
        <v>0</v>
      </c>
      <c r="AR378" s="49" t="str">
        <f t="shared" si="100"/>
        <v/>
      </c>
    </row>
    <row r="379" spans="1:44" ht="30" customHeight="1" x14ac:dyDescent="0.35">
      <c r="A379" s="25" t="str">
        <f t="shared" si="103"/>
        <v>PT177 - PLATAFORMA DE ACESSO - FORQUILHA 2 - DETALHADO
TORRE B3PROJETO DETALHADO
CIVIL</v>
      </c>
      <c r="B379" s="40" t="s">
        <v>49</v>
      </c>
      <c r="C379" s="60" t="str">
        <f>IF(AND($B379=[1]rogério!$A380,[1]rogério!$B380=C$4),"ok","nok")</f>
        <v>nok</v>
      </c>
      <c r="D379" s="60" t="str">
        <f>IF(AND($B379=[1]rogério!$A380,[1]rogério!$B380=D$4),"ok","nok")</f>
        <v>nok</v>
      </c>
      <c r="E379" s="60" t="str">
        <f>IF(AND($B379=[1]rogério!$A380,[1]rogério!$B380=E$4),"ok","nok")</f>
        <v>nok</v>
      </c>
      <c r="F379" s="60" t="str">
        <f>IF(AND($B379=[1]rogério!$A380,[1]rogério!$B380=F$4),"ok","nok")</f>
        <v>nok</v>
      </c>
      <c r="G379" s="60" t="str">
        <f>IF(AND($B379=[1]rogério!$A380,[1]rogério!$B380=G$4),"ok","nok")</f>
        <v>nok</v>
      </c>
      <c r="H379" s="60" t="str">
        <f>IF(AND($B379=[1]rogério!$A380,[1]rogério!$B380=H$4),"ok","nok")</f>
        <v>nok</v>
      </c>
      <c r="I379" s="60" t="str">
        <f>IF(AND($B379=[1]rogério!$A380,[1]rogério!$B380=I$4),"ok","nok")</f>
        <v>nok</v>
      </c>
      <c r="J379" s="60" t="str">
        <f>IF(AND($B379=[1]rogério!$A380,[1]rogério!$B380=J$4),"ok","nok")</f>
        <v>nok</v>
      </c>
      <c r="K379" s="60" t="str">
        <f>IF(AND($B379=[1]rogério!$A380,[1]rogério!$B380=K$4),"ok","nok")</f>
        <v>nok</v>
      </c>
      <c r="L379" s="60" t="str">
        <f>IF(AND($B379=[1]rogério!$A380,[1]rogério!$B380=L$4),"ok","nok")</f>
        <v>nok</v>
      </c>
      <c r="M379" s="60" t="str">
        <f>IF(AND($B379=[1]rogério!$A380,[1]rogério!$B380=M$4),"ok","nok")</f>
        <v>ok</v>
      </c>
      <c r="N379" s="60" t="str">
        <f>IF(AND($B379=[1]rogério!$A380,[1]rogério!$B380=N$4),"ok","nok")</f>
        <v>nok</v>
      </c>
      <c r="O379" s="60" t="str">
        <f>IF(AND($B379=[1]rogério!$A380,[1]rogério!$B380=O$4),"ok","nok")</f>
        <v>nok</v>
      </c>
      <c r="P379" s="60" t="str">
        <f>IF(AND($B379=[1]rogério!$A380,[1]rogério!$B380=P$4),"ok","nok")</f>
        <v>nok</v>
      </c>
      <c r="Q379" s="60" t="str">
        <f>IF(AND($B379=[1]rogério!$A380,[1]rogério!$B380=Q$4),"ok","nok")</f>
        <v>nok</v>
      </c>
      <c r="R379" s="60" t="str">
        <f>IF(AND($B379=[1]rogério!$A380,[1]rogério!$B380=R$4),"ok","nok")</f>
        <v>nok</v>
      </c>
      <c r="S379" s="60" t="str">
        <f>IF(AND($B379=[1]rogério!$A380,[1]rogério!$B380=S$4),"ok","nok")</f>
        <v>nok</v>
      </c>
      <c r="T379" s="60" t="str">
        <f>IF(AND($B379=[1]rogério!$A380,[1]rogério!$B380=T$4),"ok","nok")</f>
        <v>nok</v>
      </c>
      <c r="U379" s="60" t="str">
        <f>IF(AND($B379=[1]rogério!$A380,[1]rogério!$B380=U$4),"ok","nok")</f>
        <v>nok</v>
      </c>
      <c r="V379" s="60" t="str">
        <f>IF(AND($B379=[1]rogério!$A380,[1]rogério!$B380=V$4),"ok","nok")</f>
        <v>nok</v>
      </c>
      <c r="W379" s="60" t="str">
        <f>IF(AND($B379=[1]rogério!$A380,[1]rogério!$B380=W$4),"ok","nok")</f>
        <v>nok</v>
      </c>
      <c r="X379" s="60" t="str">
        <f>IF(AND($B379=[1]rogério!$A380,[1]rogério!$B380=X$4),"ok","nok")</f>
        <v>nok</v>
      </c>
      <c r="Y379" s="105" t="s">
        <v>15</v>
      </c>
      <c r="Z379" s="106"/>
      <c r="AA379" s="106"/>
      <c r="AB379" s="107"/>
      <c r="AC379" s="40"/>
      <c r="AD379" s="40"/>
      <c r="AE379" s="48" t="str">
        <f t="shared" si="90"/>
        <v/>
      </c>
      <c r="AF379" s="48"/>
      <c r="AG379" s="48"/>
      <c r="AH379" s="89"/>
      <c r="AI379" s="49">
        <f t="shared" si="91"/>
        <v>0</v>
      </c>
      <c r="AJ379" s="49" t="str">
        <f t="shared" si="92"/>
        <v/>
      </c>
      <c r="AK379" s="49">
        <f t="shared" si="93"/>
        <v>0</v>
      </c>
      <c r="AL379" s="49" t="str">
        <f t="shared" si="94"/>
        <v/>
      </c>
      <c r="AM379" s="49">
        <f t="shared" si="95"/>
        <v>1</v>
      </c>
      <c r="AN379" s="49" t="str">
        <f t="shared" si="96"/>
        <v/>
      </c>
      <c r="AO379" s="49">
        <f t="shared" si="97"/>
        <v>0</v>
      </c>
      <c r="AP379" s="49" t="str">
        <f t="shared" si="98"/>
        <v/>
      </c>
      <c r="AQ379" s="49">
        <f t="shared" si="99"/>
        <v>0</v>
      </c>
      <c r="AR379" s="49" t="str">
        <f t="shared" si="100"/>
        <v/>
      </c>
    </row>
    <row r="380" spans="1:44" ht="30" customHeight="1" x14ac:dyDescent="0.35">
      <c r="A380" s="25" t="str">
        <f t="shared" si="103"/>
        <v>PT177 - PLATAFORMA DE ACESSO - FORQUILHA 2 - DETALHADO
TORRE B3PROJETO DETALHADO
CIVIL</v>
      </c>
      <c r="B380" s="40" t="s">
        <v>19</v>
      </c>
      <c r="C380" s="60" t="str">
        <f>IF(AND($B380=[1]rogério!$A381,[1]rogério!$B381=C$4),"ok","nok")</f>
        <v>nok</v>
      </c>
      <c r="D380" s="60" t="str">
        <f>IF(AND($B380=[1]rogério!$A381,[1]rogério!$B381=D$4),"ok","nok")</f>
        <v>nok</v>
      </c>
      <c r="E380" s="60" t="str">
        <f>IF(AND($B380=[1]rogério!$A381,[1]rogério!$B381=E$4),"ok","nok")</f>
        <v>nok</v>
      </c>
      <c r="F380" s="60" t="str">
        <f>IF(AND($B380=[1]rogério!$A381,[1]rogério!$B381=F$4),"ok","nok")</f>
        <v>nok</v>
      </c>
      <c r="G380" s="60" t="str">
        <f>IF(AND($B380=[1]rogério!$A381,[1]rogério!$B381=G$4),"ok","nok")</f>
        <v>nok</v>
      </c>
      <c r="H380" s="60" t="str">
        <f>IF(AND($B380=[1]rogério!$A381,[1]rogério!$B381=H$4),"ok","nok")</f>
        <v>nok</v>
      </c>
      <c r="I380" s="60" t="str">
        <f>IF(AND($B380=[1]rogério!$A381,[1]rogério!$B381=I$4),"ok","nok")</f>
        <v>nok</v>
      </c>
      <c r="J380" s="60" t="str">
        <f>IF(AND($B380=[1]rogério!$A381,[1]rogério!$B381=J$4),"ok","nok")</f>
        <v>nok</v>
      </c>
      <c r="K380" s="60" t="str">
        <f>IF(AND($B380=[1]rogério!$A381,[1]rogério!$B381=K$4),"ok","nok")</f>
        <v>nok</v>
      </c>
      <c r="L380" s="60" t="str">
        <f>IF(AND($B380=[1]rogério!$A381,[1]rogério!$B381=L$4),"ok","nok")</f>
        <v>nok</v>
      </c>
      <c r="M380" s="60" t="str">
        <f>IF(AND($B380=[1]rogério!$A381,[1]rogério!$B381=M$4),"ok","nok")</f>
        <v>nok</v>
      </c>
      <c r="N380" s="60" t="str">
        <f>IF(AND($B380=[1]rogério!$A381,[1]rogério!$B381=N$4),"ok","nok")</f>
        <v>nok</v>
      </c>
      <c r="O380" s="60" t="str">
        <f>IF(AND($B380=[1]rogério!$A381,[1]rogério!$B381=O$4),"ok","nok")</f>
        <v>nok</v>
      </c>
      <c r="P380" s="60" t="str">
        <f>IF(AND($B380=[1]rogério!$A381,[1]rogério!$B381=P$4),"ok","nok")</f>
        <v>nok</v>
      </c>
      <c r="Q380" s="60" t="str">
        <f>IF(AND($B380=[1]rogério!$A381,[1]rogério!$B381=Q$4),"ok","nok")</f>
        <v>nok</v>
      </c>
      <c r="R380" s="60" t="str">
        <f>IF(AND($B380=[1]rogério!$A381,[1]rogério!$B381=R$4),"ok","nok")</f>
        <v>ok</v>
      </c>
      <c r="S380" s="60" t="str">
        <f>IF(AND($B380=[1]rogério!$A381,[1]rogério!$B381=S$4),"ok","nok")</f>
        <v>nok</v>
      </c>
      <c r="T380" s="60" t="str">
        <f>IF(AND($B380=[1]rogério!$A381,[1]rogério!$B381=T$4),"ok","nok")</f>
        <v>nok</v>
      </c>
      <c r="U380" s="60" t="str">
        <f>IF(AND($B380=[1]rogério!$A381,[1]rogério!$B381=U$4),"ok","nok")</f>
        <v>nok</v>
      </c>
      <c r="V380" s="60" t="str">
        <f>IF(AND($B380=[1]rogério!$A381,[1]rogério!$B381=V$4),"ok","nok")</f>
        <v>nok</v>
      </c>
      <c r="W380" s="60" t="str">
        <f>IF(AND($B380=[1]rogério!$A381,[1]rogério!$B381=W$4),"ok","nok")</f>
        <v>nok</v>
      </c>
      <c r="X380" s="60" t="str">
        <f>IF(AND($B380=[1]rogério!$A381,[1]rogério!$B381=X$4),"ok","nok")</f>
        <v>nok</v>
      </c>
      <c r="Y380" s="105" t="s">
        <v>15</v>
      </c>
      <c r="Z380" s="106"/>
      <c r="AA380" s="106"/>
      <c r="AB380" s="107"/>
      <c r="AC380" s="40"/>
      <c r="AD380" s="40"/>
      <c r="AE380" s="48" t="str">
        <f t="shared" si="90"/>
        <v/>
      </c>
      <c r="AF380" s="48"/>
      <c r="AG380" s="48"/>
      <c r="AH380" s="89"/>
      <c r="AI380" s="49">
        <f t="shared" si="91"/>
        <v>0</v>
      </c>
      <c r="AJ380" s="49" t="str">
        <f t="shared" si="92"/>
        <v/>
      </c>
      <c r="AK380" s="49">
        <f t="shared" si="93"/>
        <v>0</v>
      </c>
      <c r="AL380" s="49" t="str">
        <f t="shared" si="94"/>
        <v/>
      </c>
      <c r="AM380" s="49">
        <f t="shared" si="95"/>
        <v>0</v>
      </c>
      <c r="AN380" s="49" t="str">
        <f t="shared" si="96"/>
        <v/>
      </c>
      <c r="AO380" s="49">
        <f t="shared" si="97"/>
        <v>1</v>
      </c>
      <c r="AP380" s="49" t="str">
        <f t="shared" si="98"/>
        <v/>
      </c>
      <c r="AQ380" s="49">
        <f t="shared" si="99"/>
        <v>0</v>
      </c>
      <c r="AR380" s="49" t="str">
        <f t="shared" si="100"/>
        <v/>
      </c>
    </row>
    <row r="381" spans="1:44" ht="30" customHeight="1" x14ac:dyDescent="0.35">
      <c r="A381" s="25" t="str">
        <f t="shared" si="103"/>
        <v>PT177 - PLATAFORMA DE ACESSO - FORQUILHA 2 - DETALHADO
TORRE B3PROJETO DETALHADO
CIVIL</v>
      </c>
      <c r="B381" s="40" t="s">
        <v>42</v>
      </c>
      <c r="C381" s="60" t="str">
        <f>IF(AND($B381=[1]rogério!$A382,[1]rogério!$B382=C$4),"ok","nok")</f>
        <v>nok</v>
      </c>
      <c r="D381" s="60" t="str">
        <f>IF(AND($B381=[1]rogério!$A382,[1]rogério!$B382=D$4),"ok","nok")</f>
        <v>nok</v>
      </c>
      <c r="E381" s="60" t="str">
        <f>IF(AND($B381=[1]rogério!$A382,[1]rogério!$B382=E$4),"ok","nok")</f>
        <v>nok</v>
      </c>
      <c r="F381" s="60" t="str">
        <f>IF(AND($B381=[1]rogério!$A382,[1]rogério!$B382=F$4),"ok","nok")</f>
        <v>nok</v>
      </c>
      <c r="G381" s="60" t="str">
        <f>IF(AND($B381=[1]rogério!$A382,[1]rogério!$B382=G$4),"ok","nok")</f>
        <v>nok</v>
      </c>
      <c r="H381" s="60" t="str">
        <f>IF(AND($B381=[1]rogério!$A382,[1]rogério!$B382=H$4),"ok","nok")</f>
        <v>nok</v>
      </c>
      <c r="I381" s="60" t="str">
        <f>IF(AND($B381=[1]rogério!$A382,[1]rogério!$B382=I$4),"ok","nok")</f>
        <v>nok</v>
      </c>
      <c r="J381" s="60" t="str">
        <f>IF(AND($B381=[1]rogério!$A382,[1]rogério!$B382=J$4),"ok","nok")</f>
        <v>nok</v>
      </c>
      <c r="K381" s="60" t="str">
        <f>IF(AND($B381=[1]rogério!$A382,[1]rogério!$B382=K$4),"ok","nok")</f>
        <v>nok</v>
      </c>
      <c r="L381" s="60" t="str">
        <f>IF(AND($B381=[1]rogério!$A382,[1]rogério!$B382=L$4),"ok","nok")</f>
        <v>nok</v>
      </c>
      <c r="M381" s="60" t="str">
        <f>IF(AND($B381=[1]rogério!$A382,[1]rogério!$B382=M$4),"ok","nok")</f>
        <v>nok</v>
      </c>
      <c r="N381" s="60" t="str">
        <f>IF(AND($B381=[1]rogério!$A382,[1]rogério!$B382=N$4),"ok","nok")</f>
        <v>nok</v>
      </c>
      <c r="O381" s="60" t="str">
        <f>IF(AND($B381=[1]rogério!$A382,[1]rogério!$B382=O$4),"ok","nok")</f>
        <v>nok</v>
      </c>
      <c r="P381" s="60" t="str">
        <f>IF(AND($B381=[1]rogério!$A382,[1]rogério!$B382=P$4),"ok","nok")</f>
        <v>nok</v>
      </c>
      <c r="Q381" s="60" t="str">
        <f>IF(AND($B381=[1]rogério!$A382,[1]rogério!$B382=Q$4),"ok","nok")</f>
        <v>nok</v>
      </c>
      <c r="R381" s="60" t="str">
        <f>IF(AND($B381=[1]rogério!$A382,[1]rogério!$B382=R$4),"ok","nok")</f>
        <v>nok</v>
      </c>
      <c r="S381" s="60" t="str">
        <f>IF(AND($B381=[1]rogério!$A382,[1]rogério!$B382=S$4),"ok","nok")</f>
        <v>nok</v>
      </c>
      <c r="T381" s="60" t="str">
        <f>IF(AND($B381=[1]rogério!$A382,[1]rogério!$B382=T$4),"ok","nok")</f>
        <v>nok</v>
      </c>
      <c r="U381" s="60" t="str">
        <f>IF(AND($B381=[1]rogério!$A382,[1]rogério!$B382=U$4),"ok","nok")</f>
        <v>ok</v>
      </c>
      <c r="V381" s="60" t="str">
        <f>IF(AND($B381=[1]rogério!$A382,[1]rogério!$B382=V$4),"ok","nok")</f>
        <v>nok</v>
      </c>
      <c r="W381" s="60" t="str">
        <f>IF(AND($B381=[1]rogério!$A382,[1]rogério!$B382=W$4),"ok","nok")</f>
        <v>nok</v>
      </c>
      <c r="X381" s="60" t="str">
        <f>IF(AND($B381=[1]rogério!$A382,[1]rogério!$B382=X$4),"ok","nok")</f>
        <v>nok</v>
      </c>
      <c r="Y381" s="105" t="s">
        <v>15</v>
      </c>
      <c r="Z381" s="106"/>
      <c r="AA381" s="106"/>
      <c r="AB381" s="107"/>
      <c r="AC381" s="40"/>
      <c r="AD381" s="40"/>
      <c r="AE381" s="48" t="str">
        <f t="shared" si="90"/>
        <v/>
      </c>
      <c r="AF381" s="48"/>
      <c r="AG381" s="48"/>
      <c r="AH381" s="89"/>
      <c r="AI381" s="49">
        <f t="shared" si="91"/>
        <v>0</v>
      </c>
      <c r="AJ381" s="49" t="str">
        <f t="shared" si="92"/>
        <v/>
      </c>
      <c r="AK381" s="49">
        <f t="shared" si="93"/>
        <v>0</v>
      </c>
      <c r="AL381" s="49" t="str">
        <f t="shared" si="94"/>
        <v/>
      </c>
      <c r="AM381" s="49">
        <f t="shared" si="95"/>
        <v>0</v>
      </c>
      <c r="AN381" s="49" t="str">
        <f t="shared" si="96"/>
        <v/>
      </c>
      <c r="AO381" s="49">
        <f t="shared" si="97"/>
        <v>1</v>
      </c>
      <c r="AP381" s="49" t="str">
        <f t="shared" si="98"/>
        <v/>
      </c>
      <c r="AQ381" s="49">
        <f t="shared" si="99"/>
        <v>0</v>
      </c>
      <c r="AR381" s="49" t="str">
        <f t="shared" si="100"/>
        <v/>
      </c>
    </row>
    <row r="382" spans="1:44" ht="30" customHeight="1" x14ac:dyDescent="0.35">
      <c r="A382" s="25" t="str">
        <f t="shared" si="103"/>
        <v>PT177 - PLATAFORMA DE ACESSO - FORQUILHA 2 - DETALHADO
TORRE B3PROJETO DETALHADO
CIVIL</v>
      </c>
      <c r="B382" s="40" t="s">
        <v>43</v>
      </c>
      <c r="C382" s="60" t="str">
        <f>IF(AND($B382=[1]rogério!$A383,[1]rogério!$B383=C$4),"ok","nok")</f>
        <v>nok</v>
      </c>
      <c r="D382" s="60" t="str">
        <f>IF(AND($B382=[1]rogério!$A383,[1]rogério!$B383=D$4),"ok","nok")</f>
        <v>nok</v>
      </c>
      <c r="E382" s="60" t="str">
        <f>IF(AND($B382=[1]rogério!$A383,[1]rogério!$B383=E$4),"ok","nok")</f>
        <v>nok</v>
      </c>
      <c r="F382" s="60" t="str">
        <f>IF(AND($B382=[1]rogério!$A383,[1]rogério!$B383=F$4),"ok","nok")</f>
        <v>nok</v>
      </c>
      <c r="G382" s="60" t="str">
        <f>IF(AND($B382=[1]rogério!$A383,[1]rogério!$B383=G$4),"ok","nok")</f>
        <v>nok</v>
      </c>
      <c r="H382" s="60" t="str">
        <f>IF(AND($B382=[1]rogério!$A383,[1]rogério!$B383=H$4),"ok","nok")</f>
        <v>nok</v>
      </c>
      <c r="I382" s="60" t="str">
        <f>IF(AND($B382=[1]rogério!$A383,[1]rogério!$B383=I$4),"ok","nok")</f>
        <v>nok</v>
      </c>
      <c r="J382" s="60" t="str">
        <f>IF(AND($B382=[1]rogério!$A383,[1]rogério!$B383=J$4),"ok","nok")</f>
        <v>nok</v>
      </c>
      <c r="K382" s="60" t="str">
        <f>IF(AND($B382=[1]rogério!$A383,[1]rogério!$B383=K$4),"ok","nok")</f>
        <v>nok</v>
      </c>
      <c r="L382" s="60" t="str">
        <f>IF(AND($B382=[1]rogério!$A383,[1]rogério!$B383=L$4),"ok","nok")</f>
        <v>nok</v>
      </c>
      <c r="M382" s="60" t="str">
        <f>IF(AND($B382=[1]rogério!$A383,[1]rogério!$B383=M$4),"ok","nok")</f>
        <v>nok</v>
      </c>
      <c r="N382" s="60" t="str">
        <f>IF(AND($B382=[1]rogério!$A383,[1]rogério!$B383=N$4),"ok","nok")</f>
        <v>nok</v>
      </c>
      <c r="O382" s="60" t="str">
        <f>IF(AND($B382=[1]rogério!$A383,[1]rogério!$B383=O$4),"ok","nok")</f>
        <v>nok</v>
      </c>
      <c r="P382" s="60" t="str">
        <f>IF(AND($B382=[1]rogério!$A383,[1]rogério!$B383=P$4),"ok","nok")</f>
        <v>nok</v>
      </c>
      <c r="Q382" s="60" t="str">
        <f>IF(AND($B382=[1]rogério!$A383,[1]rogério!$B383=Q$4),"ok","nok")</f>
        <v>nok</v>
      </c>
      <c r="R382" s="60" t="str">
        <f>IF(AND($B382=[1]rogério!$A383,[1]rogério!$B383=R$4),"ok","nok")</f>
        <v>nok</v>
      </c>
      <c r="S382" s="60" t="str">
        <f>IF(AND($B382=[1]rogério!$A383,[1]rogério!$B383=S$4),"ok","nok")</f>
        <v>nok</v>
      </c>
      <c r="T382" s="60" t="str">
        <f>IF(AND($B382=[1]rogério!$A383,[1]rogério!$B383=T$4),"ok","nok")</f>
        <v>nok</v>
      </c>
      <c r="U382" s="60" t="str">
        <f>IF(AND($B382=[1]rogério!$A383,[1]rogério!$B383=U$4),"ok","nok")</f>
        <v>ok</v>
      </c>
      <c r="V382" s="60" t="str">
        <f>IF(AND($B382=[1]rogério!$A383,[1]rogério!$B383=V$4),"ok","nok")</f>
        <v>nok</v>
      </c>
      <c r="W382" s="60" t="str">
        <f>IF(AND($B382=[1]rogério!$A383,[1]rogério!$B383=W$4),"ok","nok")</f>
        <v>nok</v>
      </c>
      <c r="X382" s="60" t="str">
        <f>IF(AND($B382=[1]rogério!$A383,[1]rogério!$B383=X$4),"ok","nok")</f>
        <v>nok</v>
      </c>
      <c r="Y382" s="105" t="s">
        <v>15</v>
      </c>
      <c r="Z382" s="106"/>
      <c r="AA382" s="106"/>
      <c r="AB382" s="107"/>
      <c r="AC382" s="40"/>
      <c r="AD382" s="40"/>
      <c r="AE382" s="48" t="str">
        <f t="shared" si="90"/>
        <v/>
      </c>
      <c r="AF382" s="48"/>
      <c r="AG382" s="48"/>
      <c r="AH382" s="89"/>
      <c r="AI382" s="49">
        <f t="shared" si="91"/>
        <v>0</v>
      </c>
      <c r="AJ382" s="49" t="str">
        <f t="shared" si="92"/>
        <v/>
      </c>
      <c r="AK382" s="49">
        <f t="shared" si="93"/>
        <v>0</v>
      </c>
      <c r="AL382" s="49" t="str">
        <f t="shared" si="94"/>
        <v/>
      </c>
      <c r="AM382" s="49">
        <f t="shared" si="95"/>
        <v>0</v>
      </c>
      <c r="AN382" s="49" t="str">
        <f t="shared" si="96"/>
        <v/>
      </c>
      <c r="AO382" s="49">
        <f t="shared" si="97"/>
        <v>1</v>
      </c>
      <c r="AP382" s="49" t="str">
        <f t="shared" si="98"/>
        <v/>
      </c>
      <c r="AQ382" s="49">
        <f t="shared" si="99"/>
        <v>0</v>
      </c>
      <c r="AR382" s="49" t="str">
        <f t="shared" si="100"/>
        <v/>
      </c>
    </row>
    <row r="383" spans="1:44" ht="30" customHeight="1" x14ac:dyDescent="0.35">
      <c r="A383" s="25" t="str">
        <f t="shared" si="103"/>
        <v>PT177 - PLATAFORMA DE ACESSO - FORQUILHA 2 - DETALHADO
TORRE B3PROJETO DETALHADO
CIVIL</v>
      </c>
      <c r="B383" s="38" t="s">
        <v>76</v>
      </c>
      <c r="C383" s="60" t="str">
        <f>IF(AND($B383=[1]rogério!$A384,[1]rogério!$B384=C$4),"ok","nok")</f>
        <v>nok</v>
      </c>
      <c r="D383" s="60" t="str">
        <f>IF(AND($B383=[1]rogério!$A384,[1]rogério!$B384=D$4),"ok","nok")</f>
        <v>nok</v>
      </c>
      <c r="E383" s="60" t="str">
        <f>IF(AND($B383=[1]rogério!$A384,[1]rogério!$B384=E$4),"ok","nok")</f>
        <v>nok</v>
      </c>
      <c r="F383" s="60" t="str">
        <f>IF(AND($B383=[1]rogério!$A384,[1]rogério!$B384=F$4),"ok","nok")</f>
        <v>nok</v>
      </c>
      <c r="G383" s="60" t="str">
        <f>IF(AND($B383=[1]rogério!$A384,[1]rogério!$B384=G$4),"ok","nok")</f>
        <v>nok</v>
      </c>
      <c r="H383" s="60" t="str">
        <f>IF(AND($B383=[1]rogério!$A384,[1]rogério!$B384=H$4),"ok","nok")</f>
        <v>nok</v>
      </c>
      <c r="I383" s="60" t="str">
        <f>IF(AND($B383=[1]rogério!$A384,[1]rogério!$B384=I$4),"ok","nok")</f>
        <v>nok</v>
      </c>
      <c r="J383" s="60" t="str">
        <f>IF(AND($B383=[1]rogério!$A384,[1]rogério!$B384=J$4),"ok","nok")</f>
        <v>nok</v>
      </c>
      <c r="K383" s="60" t="str">
        <f>IF(AND($B383=[1]rogério!$A384,[1]rogério!$B384=K$4),"ok","nok")</f>
        <v>nok</v>
      </c>
      <c r="L383" s="60" t="str">
        <f>IF(AND($B383=[1]rogério!$A384,[1]rogério!$B384=L$4),"ok","nok")</f>
        <v>nok</v>
      </c>
      <c r="M383" s="60" t="str">
        <f>IF(AND($B383=[1]rogério!$A384,[1]rogério!$B384=M$4),"ok","nok")</f>
        <v>nok</v>
      </c>
      <c r="N383" s="60" t="str">
        <f>IF(AND($B383=[1]rogério!$A384,[1]rogério!$B384=N$4),"ok","nok")</f>
        <v>ok</v>
      </c>
      <c r="O383" s="60" t="str">
        <f>IF(AND($B383=[1]rogério!$A384,[1]rogério!$B384=O$4),"ok","nok")</f>
        <v>nok</v>
      </c>
      <c r="P383" s="60" t="str">
        <f>IF(AND($B383=[1]rogério!$A384,[1]rogério!$B384=P$4),"ok","nok")</f>
        <v>nok</v>
      </c>
      <c r="Q383" s="60" t="str">
        <f>IF(AND($B383=[1]rogério!$A384,[1]rogério!$B384=Q$4),"ok","nok")</f>
        <v>nok</v>
      </c>
      <c r="R383" s="60" t="str">
        <f>IF(AND($B383=[1]rogério!$A384,[1]rogério!$B384=R$4),"ok","nok")</f>
        <v>nok</v>
      </c>
      <c r="S383" s="60" t="str">
        <f>IF(AND($B383=[1]rogério!$A384,[1]rogério!$B384=S$4),"ok","nok")</f>
        <v>nok</v>
      </c>
      <c r="T383" s="60" t="str">
        <f>IF(AND($B383=[1]rogério!$A384,[1]rogério!$B384=T$4),"ok","nok")</f>
        <v>nok</v>
      </c>
      <c r="U383" s="60" t="str">
        <f>IF(AND($B383=[1]rogério!$A384,[1]rogério!$B384=U$4),"ok","nok")</f>
        <v>nok</v>
      </c>
      <c r="V383" s="60" t="str">
        <f>IF(AND($B383=[1]rogério!$A384,[1]rogério!$B384=V$4),"ok","nok")</f>
        <v>nok</v>
      </c>
      <c r="W383" s="60" t="str">
        <f>IF(AND($B383=[1]rogério!$A384,[1]rogério!$B384=W$4),"ok","nok")</f>
        <v>nok</v>
      </c>
      <c r="X383" s="60" t="str">
        <f>IF(AND($B383=[1]rogério!$A384,[1]rogério!$B384=X$4),"ok","nok")</f>
        <v>nok</v>
      </c>
      <c r="Y383" s="105" t="s">
        <v>15</v>
      </c>
      <c r="Z383" s="106"/>
      <c r="AA383" s="106"/>
      <c r="AB383" s="107"/>
      <c r="AC383" s="40"/>
      <c r="AD383" s="40"/>
      <c r="AE383" s="48" t="str">
        <f t="shared" si="90"/>
        <v/>
      </c>
      <c r="AF383" s="48"/>
      <c r="AG383" s="48"/>
      <c r="AH383" s="89"/>
      <c r="AI383" s="49">
        <f t="shared" si="91"/>
        <v>0</v>
      </c>
      <c r="AJ383" s="49" t="str">
        <f t="shared" si="92"/>
        <v/>
      </c>
      <c r="AK383" s="49">
        <f t="shared" si="93"/>
        <v>0</v>
      </c>
      <c r="AL383" s="49" t="str">
        <f t="shared" si="94"/>
        <v/>
      </c>
      <c r="AM383" s="49">
        <f t="shared" si="95"/>
        <v>1</v>
      </c>
      <c r="AN383" s="49" t="str">
        <f t="shared" si="96"/>
        <v/>
      </c>
      <c r="AO383" s="49">
        <f t="shared" si="97"/>
        <v>0</v>
      </c>
      <c r="AP383" s="49" t="str">
        <f t="shared" si="98"/>
        <v/>
      </c>
      <c r="AQ383" s="49">
        <f t="shared" si="99"/>
        <v>0</v>
      </c>
      <c r="AR383" s="49" t="str">
        <f t="shared" si="100"/>
        <v/>
      </c>
    </row>
    <row r="384" spans="1:44" ht="30" customHeight="1" x14ac:dyDescent="0.35">
      <c r="A384" s="25" t="str">
        <f t="shared" si="103"/>
        <v>PT177 - PLATAFORMA DE ACESSO - FORQUILHA 2 - DETALHADO
TORRE B3PROJETO DETALHADO
CIVIL</v>
      </c>
      <c r="B384" s="38" t="s">
        <v>77</v>
      </c>
      <c r="C384" s="60" t="str">
        <f>IF(AND($B384=[1]rogério!$A385,[1]rogério!$B385=C$4),"ok","nok")</f>
        <v>nok</v>
      </c>
      <c r="D384" s="60" t="str">
        <f>IF(AND($B384=[1]rogério!$A385,[1]rogério!$B385=D$4),"ok","nok")</f>
        <v>nok</v>
      </c>
      <c r="E384" s="60" t="str">
        <f>IF(AND($B384=[1]rogério!$A385,[1]rogério!$B385=E$4),"ok","nok")</f>
        <v>nok</v>
      </c>
      <c r="F384" s="60" t="str">
        <f>IF(AND($B384=[1]rogério!$A385,[1]rogério!$B385=F$4),"ok","nok")</f>
        <v>nok</v>
      </c>
      <c r="G384" s="60" t="str">
        <f>IF(AND($B384=[1]rogério!$A385,[1]rogério!$B385=G$4),"ok","nok")</f>
        <v>nok</v>
      </c>
      <c r="H384" s="60" t="str">
        <f>IF(AND($B384=[1]rogério!$A385,[1]rogério!$B385=H$4),"ok","nok")</f>
        <v>nok</v>
      </c>
      <c r="I384" s="60" t="str">
        <f>IF(AND($B384=[1]rogério!$A385,[1]rogério!$B385=I$4),"ok","nok")</f>
        <v>nok</v>
      </c>
      <c r="J384" s="60" t="str">
        <f>IF(AND($B384=[1]rogério!$A385,[1]rogério!$B385=J$4),"ok","nok")</f>
        <v>nok</v>
      </c>
      <c r="K384" s="60" t="str">
        <f>IF(AND($B384=[1]rogério!$A385,[1]rogério!$B385=K$4),"ok","nok")</f>
        <v>nok</v>
      </c>
      <c r="L384" s="60" t="str">
        <f>IF(AND($B384=[1]rogério!$A385,[1]rogério!$B385=L$4),"ok","nok")</f>
        <v>nok</v>
      </c>
      <c r="M384" s="60" t="str">
        <f>IF(AND($B384=[1]rogério!$A385,[1]rogério!$B385=M$4),"ok","nok")</f>
        <v>nok</v>
      </c>
      <c r="N384" s="60" t="str">
        <f>IF(AND($B384=[1]rogério!$A385,[1]rogério!$B385=N$4),"ok","nok")</f>
        <v>nok</v>
      </c>
      <c r="O384" s="60" t="str">
        <f>IF(AND($B384=[1]rogério!$A385,[1]rogério!$B385=O$4),"ok","nok")</f>
        <v>ok</v>
      </c>
      <c r="P384" s="60" t="str">
        <f>IF(AND($B384=[1]rogério!$A385,[1]rogério!$B385=P$4),"ok","nok")</f>
        <v>nok</v>
      </c>
      <c r="Q384" s="60" t="str">
        <f>IF(AND($B384=[1]rogério!$A385,[1]rogério!$B385=Q$4),"ok","nok")</f>
        <v>nok</v>
      </c>
      <c r="R384" s="60" t="str">
        <f>IF(AND($B384=[1]rogério!$A385,[1]rogério!$B385=R$4),"ok","nok")</f>
        <v>nok</v>
      </c>
      <c r="S384" s="60" t="str">
        <f>IF(AND($B384=[1]rogério!$A385,[1]rogério!$B385=S$4),"ok","nok")</f>
        <v>nok</v>
      </c>
      <c r="T384" s="60" t="str">
        <f>IF(AND($B384=[1]rogério!$A385,[1]rogério!$B385=T$4),"ok","nok")</f>
        <v>nok</v>
      </c>
      <c r="U384" s="60" t="str">
        <f>IF(AND($B384=[1]rogério!$A385,[1]rogério!$B385=U$4),"ok","nok")</f>
        <v>nok</v>
      </c>
      <c r="V384" s="60" t="str">
        <f>IF(AND($B384=[1]rogério!$A385,[1]rogério!$B385=V$4),"ok","nok")</f>
        <v>nok</v>
      </c>
      <c r="W384" s="60" t="str">
        <f>IF(AND($B384=[1]rogério!$A385,[1]rogério!$B385=W$4),"ok","nok")</f>
        <v>nok</v>
      </c>
      <c r="X384" s="60" t="str">
        <f>IF(AND($B384=[1]rogério!$A385,[1]rogério!$B385=X$4),"ok","nok")</f>
        <v>nok</v>
      </c>
      <c r="Y384" s="105" t="s">
        <v>15</v>
      </c>
      <c r="Z384" s="106"/>
      <c r="AA384" s="106"/>
      <c r="AB384" s="107"/>
      <c r="AC384" s="40"/>
      <c r="AD384" s="40"/>
      <c r="AE384" s="48" t="str">
        <f t="shared" si="90"/>
        <v/>
      </c>
      <c r="AF384" s="48"/>
      <c r="AG384" s="48"/>
      <c r="AH384" s="89"/>
      <c r="AI384" s="49">
        <f t="shared" si="91"/>
        <v>0</v>
      </c>
      <c r="AJ384" s="49" t="str">
        <f t="shared" si="92"/>
        <v/>
      </c>
      <c r="AK384" s="49">
        <f t="shared" si="93"/>
        <v>0</v>
      </c>
      <c r="AL384" s="49" t="str">
        <f t="shared" si="94"/>
        <v/>
      </c>
      <c r="AM384" s="49">
        <f t="shared" si="95"/>
        <v>1</v>
      </c>
      <c r="AN384" s="49" t="str">
        <f t="shared" si="96"/>
        <v/>
      </c>
      <c r="AO384" s="49">
        <f t="shared" si="97"/>
        <v>0</v>
      </c>
      <c r="AP384" s="49" t="str">
        <f t="shared" si="98"/>
        <v/>
      </c>
      <c r="AQ384" s="49">
        <f t="shared" si="99"/>
        <v>0</v>
      </c>
      <c r="AR384" s="49" t="str">
        <f t="shared" si="100"/>
        <v/>
      </c>
    </row>
    <row r="385" spans="1:44" ht="30" customHeight="1" x14ac:dyDescent="0.35">
      <c r="A385" s="25"/>
      <c r="B385" s="39" t="s">
        <v>78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108"/>
      <c r="Z385" s="109"/>
      <c r="AA385" s="109"/>
      <c r="AB385" s="110"/>
      <c r="AC385" s="40"/>
      <c r="AD385" s="40"/>
      <c r="AE385" s="48" t="str">
        <f t="shared" si="90"/>
        <v/>
      </c>
      <c r="AF385" s="48"/>
      <c r="AG385" s="48"/>
      <c r="AH385" s="89"/>
      <c r="AI385" s="49">
        <f t="shared" si="91"/>
        <v>0</v>
      </c>
      <c r="AJ385" s="49" t="str">
        <f t="shared" si="92"/>
        <v/>
      </c>
      <c r="AK385" s="49">
        <f t="shared" si="93"/>
        <v>0</v>
      </c>
      <c r="AL385" s="49" t="str">
        <f t="shared" si="94"/>
        <v/>
      </c>
      <c r="AM385" s="49">
        <f t="shared" si="95"/>
        <v>0</v>
      </c>
      <c r="AN385" s="49" t="str">
        <f t="shared" si="96"/>
        <v/>
      </c>
      <c r="AO385" s="49">
        <f t="shared" si="97"/>
        <v>0</v>
      </c>
      <c r="AP385" s="49" t="str">
        <f t="shared" si="98"/>
        <v/>
      </c>
      <c r="AQ385" s="49">
        <f t="shared" si="99"/>
        <v>0</v>
      </c>
      <c r="AR385" s="49" t="str">
        <f t="shared" si="100"/>
        <v/>
      </c>
    </row>
    <row r="386" spans="1:44" ht="30" customHeight="1" x14ac:dyDescent="0.35">
      <c r="A386" s="25" t="str">
        <f t="shared" si="103"/>
        <v>PT177 - PLATAFORMA DE ACESSO - FORQUILHA 2 - DETALHADO
TORRE B3PROJETO DETALHADO
CIVIL</v>
      </c>
      <c r="B386" s="40" t="s">
        <v>49</v>
      </c>
      <c r="C386" s="60" t="str">
        <f>IF(AND($B386=[1]rogério!$A387,[1]rogério!$B387=C$4),"ok","nok")</f>
        <v>nok</v>
      </c>
      <c r="D386" s="60" t="str">
        <f>IF(AND($B386=[1]rogério!$A387,[1]rogério!$B387=D$4),"ok","nok")</f>
        <v>nok</v>
      </c>
      <c r="E386" s="60" t="str">
        <f>IF(AND($B386=[1]rogério!$A387,[1]rogério!$B387=E$4),"ok","nok")</f>
        <v>nok</v>
      </c>
      <c r="F386" s="60" t="str">
        <f>IF(AND($B386=[1]rogério!$A387,[1]rogério!$B387=F$4),"ok","nok")</f>
        <v>nok</v>
      </c>
      <c r="G386" s="60" t="str">
        <f>IF(AND($B386=[1]rogério!$A387,[1]rogério!$B387=G$4),"ok","nok")</f>
        <v>nok</v>
      </c>
      <c r="H386" s="60" t="str">
        <f>IF(AND($B386=[1]rogério!$A387,[1]rogério!$B387=H$4),"ok","nok")</f>
        <v>nok</v>
      </c>
      <c r="I386" s="60" t="str">
        <f>IF(AND($B386=[1]rogério!$A387,[1]rogério!$B387=I$4),"ok","nok")</f>
        <v>nok</v>
      </c>
      <c r="J386" s="60" t="str">
        <f>IF(AND($B386=[1]rogério!$A387,[1]rogério!$B387=J$4),"ok","nok")</f>
        <v>nok</v>
      </c>
      <c r="K386" s="60" t="str">
        <f>IF(AND($B386=[1]rogério!$A387,[1]rogério!$B387=K$4),"ok","nok")</f>
        <v>nok</v>
      </c>
      <c r="L386" s="60" t="str">
        <f>IF(AND($B386=[1]rogério!$A387,[1]rogério!$B387=L$4),"ok","nok")</f>
        <v>nok</v>
      </c>
      <c r="M386" s="60" t="str">
        <f>IF(AND($B386=[1]rogério!$A387,[1]rogério!$B387=M$4),"ok","nok")</f>
        <v>nok</v>
      </c>
      <c r="N386" s="60" t="str">
        <f>IF(AND($B386=[1]rogério!$A387,[1]rogério!$B387=N$4),"ok","nok")</f>
        <v>nok</v>
      </c>
      <c r="O386" s="60" t="str">
        <f>IF(AND($B386=[1]rogério!$A387,[1]rogério!$B387=O$4),"ok","nok")</f>
        <v>ok</v>
      </c>
      <c r="P386" s="60" t="str">
        <f>IF(AND($B386=[1]rogério!$A387,[1]rogério!$B387=P$4),"ok","nok")</f>
        <v>nok</v>
      </c>
      <c r="Q386" s="60" t="str">
        <f>IF(AND($B386=[1]rogério!$A387,[1]rogério!$B387=Q$4),"ok","nok")</f>
        <v>nok</v>
      </c>
      <c r="R386" s="60" t="str">
        <f>IF(AND($B386=[1]rogério!$A387,[1]rogério!$B387=R$4),"ok","nok")</f>
        <v>nok</v>
      </c>
      <c r="S386" s="60" t="str">
        <f>IF(AND($B386=[1]rogério!$A387,[1]rogério!$B387=S$4),"ok","nok")</f>
        <v>nok</v>
      </c>
      <c r="T386" s="60" t="str">
        <f>IF(AND($B386=[1]rogério!$A387,[1]rogério!$B387=T$4),"ok","nok")</f>
        <v>nok</v>
      </c>
      <c r="U386" s="60" t="str">
        <f>IF(AND($B386=[1]rogério!$A387,[1]rogério!$B387=U$4),"ok","nok")</f>
        <v>nok</v>
      </c>
      <c r="V386" s="60" t="str">
        <f>IF(AND($B386=[1]rogério!$A387,[1]rogério!$B387=V$4),"ok","nok")</f>
        <v>nok</v>
      </c>
      <c r="W386" s="60" t="str">
        <f>IF(AND($B386=[1]rogério!$A387,[1]rogério!$B387=W$4),"ok","nok")</f>
        <v>nok</v>
      </c>
      <c r="X386" s="60" t="str">
        <f>IF(AND($B386=[1]rogério!$A387,[1]rogério!$B387=X$4),"ok","nok")</f>
        <v>nok</v>
      </c>
      <c r="Y386" s="105" t="s">
        <v>15</v>
      </c>
      <c r="Z386" s="106"/>
      <c r="AA386" s="106"/>
      <c r="AB386" s="107"/>
      <c r="AC386" s="40"/>
      <c r="AD386" s="40"/>
      <c r="AE386" s="48" t="str">
        <f t="shared" si="90"/>
        <v/>
      </c>
      <c r="AF386" s="48"/>
      <c r="AG386" s="48"/>
      <c r="AH386" s="89"/>
      <c r="AI386" s="49">
        <f t="shared" si="91"/>
        <v>0</v>
      </c>
      <c r="AJ386" s="49" t="str">
        <f t="shared" si="92"/>
        <v/>
      </c>
      <c r="AK386" s="49">
        <f t="shared" si="93"/>
        <v>0</v>
      </c>
      <c r="AL386" s="49" t="str">
        <f t="shared" si="94"/>
        <v/>
      </c>
      <c r="AM386" s="49">
        <f t="shared" si="95"/>
        <v>1</v>
      </c>
      <c r="AN386" s="49" t="str">
        <f t="shared" si="96"/>
        <v/>
      </c>
      <c r="AO386" s="49">
        <f t="shared" si="97"/>
        <v>0</v>
      </c>
      <c r="AP386" s="49" t="str">
        <f t="shared" si="98"/>
        <v/>
      </c>
      <c r="AQ386" s="49">
        <f t="shared" si="99"/>
        <v>0</v>
      </c>
      <c r="AR386" s="49" t="str">
        <f t="shared" si="100"/>
        <v/>
      </c>
    </row>
    <row r="387" spans="1:44" ht="30" customHeight="1" x14ac:dyDescent="0.35">
      <c r="A387" s="25" t="str">
        <f t="shared" si="103"/>
        <v>PT177 - PLATAFORMA DE ACESSO - FORQUILHA 2 - DETALHADO
TORRE B3PROJETO DETALHADO
CIVIL</v>
      </c>
      <c r="B387" s="40" t="s">
        <v>19</v>
      </c>
      <c r="C387" s="60" t="str">
        <f>IF(AND($B387=[1]rogério!$A388,[1]rogério!$B388=C$4),"ok","nok")</f>
        <v>nok</v>
      </c>
      <c r="D387" s="60" t="str">
        <f>IF(AND($B387=[1]rogério!$A388,[1]rogério!$B388=D$4),"ok","nok")</f>
        <v>nok</v>
      </c>
      <c r="E387" s="60" t="str">
        <f>IF(AND($B387=[1]rogério!$A388,[1]rogério!$B388=E$4),"ok","nok")</f>
        <v>nok</v>
      </c>
      <c r="F387" s="60" t="str">
        <f>IF(AND($B387=[1]rogério!$A388,[1]rogério!$B388=F$4),"ok","nok")</f>
        <v>nok</v>
      </c>
      <c r="G387" s="60" t="str">
        <f>IF(AND($B387=[1]rogério!$A388,[1]rogério!$B388=G$4),"ok","nok")</f>
        <v>nok</v>
      </c>
      <c r="H387" s="60" t="str">
        <f>IF(AND($B387=[1]rogério!$A388,[1]rogério!$B388=H$4),"ok","nok")</f>
        <v>nok</v>
      </c>
      <c r="I387" s="60" t="str">
        <f>IF(AND($B387=[1]rogério!$A388,[1]rogério!$B388=I$4),"ok","nok")</f>
        <v>nok</v>
      </c>
      <c r="J387" s="60" t="str">
        <f>IF(AND($B387=[1]rogério!$A388,[1]rogério!$B388=J$4),"ok","nok")</f>
        <v>nok</v>
      </c>
      <c r="K387" s="60" t="str">
        <f>IF(AND($B387=[1]rogério!$A388,[1]rogério!$B388=K$4),"ok","nok")</f>
        <v>nok</v>
      </c>
      <c r="L387" s="60" t="str">
        <f>IF(AND($B387=[1]rogério!$A388,[1]rogério!$B388=L$4),"ok","nok")</f>
        <v>nok</v>
      </c>
      <c r="M387" s="60" t="str">
        <f>IF(AND($B387=[1]rogério!$A388,[1]rogério!$B388=M$4),"ok","nok")</f>
        <v>nok</v>
      </c>
      <c r="N387" s="60" t="str">
        <f>IF(AND($B387=[1]rogério!$A388,[1]rogério!$B388=N$4),"ok","nok")</f>
        <v>nok</v>
      </c>
      <c r="O387" s="60" t="str">
        <f>IF(AND($B387=[1]rogério!$A388,[1]rogério!$B388=O$4),"ok","nok")</f>
        <v>nok</v>
      </c>
      <c r="P387" s="60" t="str">
        <f>IF(AND($B387=[1]rogério!$A388,[1]rogério!$B388=P$4),"ok","nok")</f>
        <v>nok</v>
      </c>
      <c r="Q387" s="60" t="str">
        <f>IF(AND($B387=[1]rogério!$A388,[1]rogério!$B388=Q$4),"ok","nok")</f>
        <v>nok</v>
      </c>
      <c r="R387" s="60" t="str">
        <f>IF(AND($B387=[1]rogério!$A388,[1]rogério!$B388=R$4),"ok","nok")</f>
        <v>nok</v>
      </c>
      <c r="S387" s="60" t="str">
        <f>IF(AND($B387=[1]rogério!$A388,[1]rogério!$B388=S$4),"ok","nok")</f>
        <v>nok</v>
      </c>
      <c r="T387" s="60" t="str">
        <f>IF(AND($B387=[1]rogério!$A388,[1]rogério!$B388=T$4),"ok","nok")</f>
        <v>ok</v>
      </c>
      <c r="U387" s="60" t="str">
        <f>IF(AND($B387=[1]rogério!$A388,[1]rogério!$B388=U$4),"ok","nok")</f>
        <v>nok</v>
      </c>
      <c r="V387" s="60" t="str">
        <f>IF(AND($B387=[1]rogério!$A388,[1]rogério!$B388=V$4),"ok","nok")</f>
        <v>nok</v>
      </c>
      <c r="W387" s="60" t="str">
        <f>IF(AND($B387=[1]rogério!$A388,[1]rogério!$B388=W$4),"ok","nok")</f>
        <v>nok</v>
      </c>
      <c r="X387" s="60" t="str">
        <f>IF(AND($B387=[1]rogério!$A388,[1]rogério!$B388=X$4),"ok","nok")</f>
        <v>nok</v>
      </c>
      <c r="Y387" s="105" t="s">
        <v>15</v>
      </c>
      <c r="Z387" s="106"/>
      <c r="AA387" s="106"/>
      <c r="AB387" s="107"/>
      <c r="AC387" s="40"/>
      <c r="AD387" s="40"/>
      <c r="AE387" s="48" t="str">
        <f t="shared" ref="AE387:AE450" si="104">IF(Y387="ATRASADO",B387,"")</f>
        <v/>
      </c>
      <c r="AF387" s="48"/>
      <c r="AG387" s="48"/>
      <c r="AH387" s="89"/>
      <c r="AI387" s="49">
        <f t="shared" ref="AI387:AI450" si="105">COUNTIF(C387:G387,"ok")</f>
        <v>0</v>
      </c>
      <c r="AJ387" s="49" t="str">
        <f t="shared" ref="AJ387:AJ450" si="106">IF(AND(AI387=1,OR($Y387="entregue",$Y387="efprazo")),$Y387,"")</f>
        <v/>
      </c>
      <c r="AK387" s="49">
        <f t="shared" ref="AK387:AK450" si="107">COUNTIF(H387:L387,"ok")</f>
        <v>0</v>
      </c>
      <c r="AL387" s="49" t="str">
        <f t="shared" ref="AL387:AL450" si="108">IF(AND(AK387=1,OR($Y387="entregue",$Y387="efprazo")),$Y387,"")</f>
        <v/>
      </c>
      <c r="AM387" s="49">
        <f t="shared" ref="AM387:AM450" si="109">COUNTIF(M387:Q387,"ok")</f>
        <v>0</v>
      </c>
      <c r="AN387" s="49" t="str">
        <f t="shared" ref="AN387:AN450" si="110">IF(AND(AM387=1,OR($Y387="entregue",$Y387="efprazo")),$Y387,"")</f>
        <v/>
      </c>
      <c r="AO387" s="49">
        <f t="shared" ref="AO387:AO450" si="111">COUNTIF(R387:V387,"ok")</f>
        <v>1</v>
      </c>
      <c r="AP387" s="49" t="str">
        <f t="shared" ref="AP387:AP450" si="112">IF(AND(AO387=1,OR($Y387="entregue",$Y387="efprazo")),$Y387,"")</f>
        <v/>
      </c>
      <c r="AQ387" s="49">
        <f t="shared" ref="AQ387:AQ450" si="113">COUNTIF(W387:X387,"ok")</f>
        <v>0</v>
      </c>
      <c r="AR387" s="49" t="str">
        <f t="shared" ref="AR387:AR450" si="114">IF(AND(AQ387=1,OR($Y387="entregue",$Y387="efprazo")),$Y387,"")</f>
        <v/>
      </c>
    </row>
    <row r="388" spans="1:44" ht="30" customHeight="1" x14ac:dyDescent="0.35">
      <c r="A388" s="25" t="str">
        <f t="shared" si="103"/>
        <v>PT177 - PLATAFORMA DE ACESSO - FORQUILHA 2 - DETALHADO
TORRE B3PROJETO DETALHADO
CIVIL</v>
      </c>
      <c r="B388" s="40" t="s">
        <v>42</v>
      </c>
      <c r="C388" s="60" t="str">
        <f>IF(AND($B388=[1]rogério!$A389,[1]rogério!$B389=C$4),"ok","nok")</f>
        <v>nok</v>
      </c>
      <c r="D388" s="60" t="str">
        <f>IF(AND($B388=[1]rogério!$A389,[1]rogério!$B389=D$4),"ok","nok")</f>
        <v>nok</v>
      </c>
      <c r="E388" s="60" t="str">
        <f>IF(AND($B388=[1]rogério!$A389,[1]rogério!$B389=E$4),"ok","nok")</f>
        <v>nok</v>
      </c>
      <c r="F388" s="60" t="str">
        <f>IF(AND($B388=[1]rogério!$A389,[1]rogério!$B389=F$4),"ok","nok")</f>
        <v>nok</v>
      </c>
      <c r="G388" s="60" t="str">
        <f>IF(AND($B388=[1]rogério!$A389,[1]rogério!$B389=G$4),"ok","nok")</f>
        <v>nok</v>
      </c>
      <c r="H388" s="60" t="str">
        <f>IF(AND($B388=[1]rogério!$A389,[1]rogério!$B389=H$4),"ok","nok")</f>
        <v>nok</v>
      </c>
      <c r="I388" s="60" t="str">
        <f>IF(AND($B388=[1]rogério!$A389,[1]rogério!$B389=I$4),"ok","nok")</f>
        <v>nok</v>
      </c>
      <c r="J388" s="60" t="str">
        <f>IF(AND($B388=[1]rogério!$A389,[1]rogério!$B389=J$4),"ok","nok")</f>
        <v>nok</v>
      </c>
      <c r="K388" s="60" t="str">
        <f>IF(AND($B388=[1]rogério!$A389,[1]rogério!$B389=K$4),"ok","nok")</f>
        <v>nok</v>
      </c>
      <c r="L388" s="60" t="str">
        <f>IF(AND($B388=[1]rogério!$A389,[1]rogério!$B389=L$4),"ok","nok")</f>
        <v>nok</v>
      </c>
      <c r="M388" s="60" t="str">
        <f>IF(AND($B388=[1]rogério!$A389,[1]rogério!$B389=M$4),"ok","nok")</f>
        <v>nok</v>
      </c>
      <c r="N388" s="60" t="str">
        <f>IF(AND($B388=[1]rogério!$A389,[1]rogério!$B389=N$4),"ok","nok")</f>
        <v>nok</v>
      </c>
      <c r="O388" s="60" t="str">
        <f>IF(AND($B388=[1]rogério!$A389,[1]rogério!$B389=O$4),"ok","nok")</f>
        <v>nok</v>
      </c>
      <c r="P388" s="60" t="str">
        <f>IF(AND($B388=[1]rogério!$A389,[1]rogério!$B389=P$4),"ok","nok")</f>
        <v>nok</v>
      </c>
      <c r="Q388" s="60" t="str">
        <f>IF(AND($B388=[1]rogério!$A389,[1]rogério!$B389=Q$4),"ok","nok")</f>
        <v>nok</v>
      </c>
      <c r="R388" s="60" t="str">
        <f>IF(AND($B388=[1]rogério!$A389,[1]rogério!$B389=R$4),"ok","nok")</f>
        <v>nok</v>
      </c>
      <c r="S388" s="60" t="str">
        <f>IF(AND($B388=[1]rogério!$A389,[1]rogério!$B389=S$4),"ok","nok")</f>
        <v>nok</v>
      </c>
      <c r="T388" s="60" t="str">
        <f>IF(AND($B388=[1]rogério!$A389,[1]rogério!$B389=T$4),"ok","nok")</f>
        <v>nok</v>
      </c>
      <c r="U388" s="60" t="str">
        <f>IF(AND($B388=[1]rogério!$A389,[1]rogério!$B389=U$4),"ok","nok")</f>
        <v>nok</v>
      </c>
      <c r="V388" s="60" t="str">
        <f>IF(AND($B388=[1]rogério!$A389,[1]rogério!$B389=V$4),"ok","nok")</f>
        <v>nok</v>
      </c>
      <c r="W388" s="60" t="str">
        <f>IF(AND($B388=[1]rogério!$A389,[1]rogério!$B389=W$4),"ok","nok")</f>
        <v>ok</v>
      </c>
      <c r="X388" s="60" t="str">
        <f>IF(AND($B388=[1]rogério!$A389,[1]rogério!$B389=X$4),"ok","nok")</f>
        <v>nok</v>
      </c>
      <c r="Y388" s="105" t="s">
        <v>15</v>
      </c>
      <c r="Z388" s="106"/>
      <c r="AA388" s="106"/>
      <c r="AB388" s="107"/>
      <c r="AC388" s="40"/>
      <c r="AD388" s="40"/>
      <c r="AE388" s="48" t="str">
        <f t="shared" si="104"/>
        <v/>
      </c>
      <c r="AF388" s="48"/>
      <c r="AG388" s="48"/>
      <c r="AH388" s="89"/>
      <c r="AI388" s="49">
        <f t="shared" si="105"/>
        <v>0</v>
      </c>
      <c r="AJ388" s="49" t="str">
        <f t="shared" si="106"/>
        <v/>
      </c>
      <c r="AK388" s="49">
        <f t="shared" si="107"/>
        <v>0</v>
      </c>
      <c r="AL388" s="49" t="str">
        <f t="shared" si="108"/>
        <v/>
      </c>
      <c r="AM388" s="49">
        <f t="shared" si="109"/>
        <v>0</v>
      </c>
      <c r="AN388" s="49" t="str">
        <f t="shared" si="110"/>
        <v/>
      </c>
      <c r="AO388" s="49">
        <f t="shared" si="111"/>
        <v>0</v>
      </c>
      <c r="AP388" s="49" t="str">
        <f t="shared" si="112"/>
        <v/>
      </c>
      <c r="AQ388" s="49">
        <f t="shared" si="113"/>
        <v>1</v>
      </c>
      <c r="AR388" s="49" t="str">
        <f t="shared" si="114"/>
        <v/>
      </c>
    </row>
    <row r="389" spans="1:44" ht="30" customHeight="1" x14ac:dyDescent="0.35">
      <c r="A389" s="25" t="str">
        <f t="shared" si="103"/>
        <v>PT177 - PLATAFORMA DE ACESSO - FORQUILHA 2 - DETALHADO
TORRE B3PROJETO DETALHADO
CIVIL</v>
      </c>
      <c r="B389" s="40" t="s">
        <v>43</v>
      </c>
      <c r="C389" s="60" t="str">
        <f>IF(AND($B389=[1]rogério!$A390,[1]rogério!$B390=C$4),"ok","nok")</f>
        <v>nok</v>
      </c>
      <c r="D389" s="60" t="str">
        <f>IF(AND($B389=[1]rogério!$A390,[1]rogério!$B390=D$4),"ok","nok")</f>
        <v>nok</v>
      </c>
      <c r="E389" s="60" t="str">
        <f>IF(AND($B389=[1]rogério!$A390,[1]rogério!$B390=E$4),"ok","nok")</f>
        <v>nok</v>
      </c>
      <c r="F389" s="60" t="str">
        <f>IF(AND($B389=[1]rogério!$A390,[1]rogério!$B390=F$4),"ok","nok")</f>
        <v>nok</v>
      </c>
      <c r="G389" s="60" t="str">
        <f>IF(AND($B389=[1]rogério!$A390,[1]rogério!$B390=G$4),"ok","nok")</f>
        <v>nok</v>
      </c>
      <c r="H389" s="60" t="str">
        <f>IF(AND($B389=[1]rogério!$A390,[1]rogério!$B390=H$4),"ok","nok")</f>
        <v>nok</v>
      </c>
      <c r="I389" s="60" t="str">
        <f>IF(AND($B389=[1]rogério!$A390,[1]rogério!$B390=I$4),"ok","nok")</f>
        <v>nok</v>
      </c>
      <c r="J389" s="60" t="str">
        <f>IF(AND($B389=[1]rogério!$A390,[1]rogério!$B390=J$4),"ok","nok")</f>
        <v>nok</v>
      </c>
      <c r="K389" s="60" t="str">
        <f>IF(AND($B389=[1]rogério!$A390,[1]rogério!$B390=K$4),"ok","nok")</f>
        <v>nok</v>
      </c>
      <c r="L389" s="60" t="str">
        <f>IF(AND($B389=[1]rogério!$A390,[1]rogério!$B390=L$4),"ok","nok")</f>
        <v>nok</v>
      </c>
      <c r="M389" s="60" t="str">
        <f>IF(AND($B389=[1]rogério!$A390,[1]rogério!$B390=M$4),"ok","nok")</f>
        <v>nok</v>
      </c>
      <c r="N389" s="60" t="str">
        <f>IF(AND($B389=[1]rogério!$A390,[1]rogério!$B390=N$4),"ok","nok")</f>
        <v>nok</v>
      </c>
      <c r="O389" s="60" t="str">
        <f>IF(AND($B389=[1]rogério!$A390,[1]rogério!$B390=O$4),"ok","nok")</f>
        <v>nok</v>
      </c>
      <c r="P389" s="60" t="str">
        <f>IF(AND($B389=[1]rogério!$A390,[1]rogério!$B390=P$4),"ok","nok")</f>
        <v>nok</v>
      </c>
      <c r="Q389" s="60" t="str">
        <f>IF(AND($B389=[1]rogério!$A390,[1]rogério!$B390=Q$4),"ok","nok")</f>
        <v>nok</v>
      </c>
      <c r="R389" s="60" t="str">
        <f>IF(AND($B389=[1]rogério!$A390,[1]rogério!$B390=R$4),"ok","nok")</f>
        <v>nok</v>
      </c>
      <c r="S389" s="60" t="str">
        <f>IF(AND($B389=[1]rogério!$A390,[1]rogério!$B390=S$4),"ok","nok")</f>
        <v>nok</v>
      </c>
      <c r="T389" s="60" t="str">
        <f>IF(AND($B389=[1]rogério!$A390,[1]rogério!$B390=T$4),"ok","nok")</f>
        <v>nok</v>
      </c>
      <c r="U389" s="60" t="str">
        <f>IF(AND($B389=[1]rogério!$A390,[1]rogério!$B390=U$4),"ok","nok")</f>
        <v>nok</v>
      </c>
      <c r="V389" s="60" t="str">
        <f>IF(AND($B389=[1]rogério!$A390,[1]rogério!$B390=V$4),"ok","nok")</f>
        <v>nok</v>
      </c>
      <c r="W389" s="60" t="str">
        <f>IF(AND($B389=[1]rogério!$A390,[1]rogério!$B390=W$4),"ok","nok")</f>
        <v>ok</v>
      </c>
      <c r="X389" s="60" t="str">
        <f>IF(AND($B389=[1]rogério!$A390,[1]rogério!$B390=X$4),"ok","nok")</f>
        <v>nok</v>
      </c>
      <c r="Y389" s="105" t="s">
        <v>15</v>
      </c>
      <c r="Z389" s="106"/>
      <c r="AA389" s="106"/>
      <c r="AB389" s="107"/>
      <c r="AC389" s="40"/>
      <c r="AD389" s="40"/>
      <c r="AE389" s="48" t="str">
        <f t="shared" si="104"/>
        <v/>
      </c>
      <c r="AF389" s="48"/>
      <c r="AG389" s="48"/>
      <c r="AH389" s="89"/>
      <c r="AI389" s="49">
        <f t="shared" si="105"/>
        <v>0</v>
      </c>
      <c r="AJ389" s="49" t="str">
        <f t="shared" si="106"/>
        <v/>
      </c>
      <c r="AK389" s="49">
        <f t="shared" si="107"/>
        <v>0</v>
      </c>
      <c r="AL389" s="49" t="str">
        <f t="shared" si="108"/>
        <v/>
      </c>
      <c r="AM389" s="49">
        <f t="shared" si="109"/>
        <v>0</v>
      </c>
      <c r="AN389" s="49" t="str">
        <f t="shared" si="110"/>
        <v/>
      </c>
      <c r="AO389" s="49">
        <f t="shared" si="111"/>
        <v>0</v>
      </c>
      <c r="AP389" s="49" t="str">
        <f t="shared" si="112"/>
        <v/>
      </c>
      <c r="AQ389" s="49">
        <f t="shared" si="113"/>
        <v>1</v>
      </c>
      <c r="AR389" s="49" t="str">
        <f t="shared" si="114"/>
        <v/>
      </c>
    </row>
    <row r="390" spans="1:44" ht="30" customHeight="1" x14ac:dyDescent="0.35">
      <c r="A390" s="25" t="str">
        <f t="shared" si="103"/>
        <v>PT177 - PLATAFORMA DE ACESSO - FORQUILHA 2 - DETALHADO
TORRE B3PROJETO DETALHADO
CIVIL</v>
      </c>
      <c r="B390" s="38" t="s">
        <v>79</v>
      </c>
      <c r="C390" s="60" t="str">
        <f>IF(AND($B390=[1]rogério!$A391,[1]rogério!$B391=C$4),"ok","nok")</f>
        <v>nok</v>
      </c>
      <c r="D390" s="60" t="str">
        <f>IF(AND($B390=[1]rogério!$A391,[1]rogério!$B391=D$4),"ok","nok")</f>
        <v>nok</v>
      </c>
      <c r="E390" s="60" t="str">
        <f>IF(AND($B390=[1]rogério!$A391,[1]rogério!$B391=E$4),"ok","nok")</f>
        <v>nok</v>
      </c>
      <c r="F390" s="60" t="str">
        <f>IF(AND($B390=[1]rogério!$A391,[1]rogério!$B391=F$4),"ok","nok")</f>
        <v>nok</v>
      </c>
      <c r="G390" s="60" t="str">
        <f>IF(AND($B390=[1]rogério!$A391,[1]rogério!$B391=G$4),"ok","nok")</f>
        <v>nok</v>
      </c>
      <c r="H390" s="60" t="str">
        <f>IF(AND($B390=[1]rogério!$A391,[1]rogério!$B391=H$4),"ok","nok")</f>
        <v>nok</v>
      </c>
      <c r="I390" s="60" t="str">
        <f>IF(AND($B390=[1]rogério!$A391,[1]rogério!$B391=I$4),"ok","nok")</f>
        <v>nok</v>
      </c>
      <c r="J390" s="60" t="str">
        <f>IF(AND($B390=[1]rogério!$A391,[1]rogério!$B391=J$4),"ok","nok")</f>
        <v>nok</v>
      </c>
      <c r="K390" s="60" t="str">
        <f>IF(AND($B390=[1]rogério!$A391,[1]rogério!$B391=K$4),"ok","nok")</f>
        <v>nok</v>
      </c>
      <c r="L390" s="60" t="str">
        <f>IF(AND($B390=[1]rogério!$A391,[1]rogério!$B391=L$4),"ok","nok")</f>
        <v>nok</v>
      </c>
      <c r="M390" s="60" t="str">
        <f>IF(AND($B390=[1]rogério!$A391,[1]rogério!$B391=M$4),"ok","nok")</f>
        <v>nok</v>
      </c>
      <c r="N390" s="60" t="str">
        <f>IF(AND($B390=[1]rogério!$A391,[1]rogério!$B391=N$4),"ok","nok")</f>
        <v>nok</v>
      </c>
      <c r="O390" s="60" t="str">
        <f>IF(AND($B390=[1]rogério!$A391,[1]rogério!$B391=O$4),"ok","nok")</f>
        <v>nok</v>
      </c>
      <c r="P390" s="60" t="str">
        <f>IF(AND($B390=[1]rogério!$A391,[1]rogério!$B391=P$4),"ok","nok")</f>
        <v>nok</v>
      </c>
      <c r="Q390" s="60" t="str">
        <f>IF(AND($B390=[1]rogério!$A391,[1]rogério!$B391=Q$4),"ok","nok")</f>
        <v>ok</v>
      </c>
      <c r="R390" s="60" t="str">
        <f>IF(AND($B390=[1]rogério!$A391,[1]rogério!$B391=R$4),"ok","nok")</f>
        <v>nok</v>
      </c>
      <c r="S390" s="60" t="str">
        <f>IF(AND($B390=[1]rogério!$A391,[1]rogério!$B391=S$4),"ok","nok")</f>
        <v>nok</v>
      </c>
      <c r="T390" s="60" t="str">
        <f>IF(AND($B390=[1]rogério!$A391,[1]rogério!$B391=T$4),"ok","nok")</f>
        <v>nok</v>
      </c>
      <c r="U390" s="60" t="str">
        <f>IF(AND($B390=[1]rogério!$A391,[1]rogério!$B391=U$4),"ok","nok")</f>
        <v>nok</v>
      </c>
      <c r="V390" s="60" t="str">
        <f>IF(AND($B390=[1]rogério!$A391,[1]rogério!$B391=V$4),"ok","nok")</f>
        <v>nok</v>
      </c>
      <c r="W390" s="60" t="str">
        <f>IF(AND($B390=[1]rogério!$A391,[1]rogério!$B391=W$4),"ok","nok")</f>
        <v>nok</v>
      </c>
      <c r="X390" s="60" t="str">
        <f>IF(AND($B390=[1]rogério!$A391,[1]rogério!$B391=X$4),"ok","nok")</f>
        <v>nok</v>
      </c>
      <c r="Y390" s="105" t="s">
        <v>15</v>
      </c>
      <c r="Z390" s="106"/>
      <c r="AA390" s="106"/>
      <c r="AB390" s="107"/>
      <c r="AC390" s="40"/>
      <c r="AD390" s="40"/>
      <c r="AE390" s="48" t="str">
        <f t="shared" si="104"/>
        <v/>
      </c>
      <c r="AF390" s="48"/>
      <c r="AG390" s="48"/>
      <c r="AH390" s="89"/>
      <c r="AI390" s="49">
        <f t="shared" si="105"/>
        <v>0</v>
      </c>
      <c r="AJ390" s="49" t="str">
        <f t="shared" si="106"/>
        <v/>
      </c>
      <c r="AK390" s="49">
        <f t="shared" si="107"/>
        <v>0</v>
      </c>
      <c r="AL390" s="49" t="str">
        <f t="shared" si="108"/>
        <v/>
      </c>
      <c r="AM390" s="49">
        <f t="shared" si="109"/>
        <v>1</v>
      </c>
      <c r="AN390" s="49" t="str">
        <f t="shared" si="110"/>
        <v/>
      </c>
      <c r="AO390" s="49">
        <f t="shared" si="111"/>
        <v>0</v>
      </c>
      <c r="AP390" s="49" t="str">
        <f t="shared" si="112"/>
        <v/>
      </c>
      <c r="AQ390" s="49">
        <f t="shared" si="113"/>
        <v>0</v>
      </c>
      <c r="AR390" s="49" t="str">
        <f t="shared" si="114"/>
        <v/>
      </c>
    </row>
    <row r="391" spans="1:44" ht="30" customHeight="1" x14ac:dyDescent="0.35">
      <c r="A391" s="25" t="str">
        <f t="shared" si="103"/>
        <v>PT177 - PLATAFORMA DE ACESSO - FORQUILHA 2 - DETALHADO
TORRE B3PROJETO DETALHADO
CIVIL</v>
      </c>
      <c r="B391" s="38" t="s">
        <v>80</v>
      </c>
      <c r="C391" s="60" t="str">
        <f>IF(AND($B391=[1]rogério!$A392,[1]rogério!$B392=C$4),"ok","nok")</f>
        <v>nok</v>
      </c>
      <c r="D391" s="60" t="str">
        <f>IF(AND($B391=[1]rogério!$A392,[1]rogério!$B392=D$4),"ok","nok")</f>
        <v>nok</v>
      </c>
      <c r="E391" s="60" t="str">
        <f>IF(AND($B391=[1]rogério!$A392,[1]rogério!$B392=E$4),"ok","nok")</f>
        <v>nok</v>
      </c>
      <c r="F391" s="60" t="str">
        <f>IF(AND($B391=[1]rogério!$A392,[1]rogério!$B392=F$4),"ok","nok")</f>
        <v>nok</v>
      </c>
      <c r="G391" s="60" t="str">
        <f>IF(AND($B391=[1]rogério!$A392,[1]rogério!$B392=G$4),"ok","nok")</f>
        <v>nok</v>
      </c>
      <c r="H391" s="60" t="str">
        <f>IF(AND($B391=[1]rogério!$A392,[1]rogério!$B392=H$4),"ok","nok")</f>
        <v>nok</v>
      </c>
      <c r="I391" s="60" t="str">
        <f>IF(AND($B391=[1]rogério!$A392,[1]rogério!$B392=I$4),"ok","nok")</f>
        <v>nok</v>
      </c>
      <c r="J391" s="60" t="str">
        <f>IF(AND($B391=[1]rogério!$A392,[1]rogério!$B392=J$4),"ok","nok")</f>
        <v>nok</v>
      </c>
      <c r="K391" s="60" t="str">
        <f>IF(AND($B391=[1]rogério!$A392,[1]rogério!$B392=K$4),"ok","nok")</f>
        <v>nok</v>
      </c>
      <c r="L391" s="60" t="str">
        <f>IF(AND($B391=[1]rogério!$A392,[1]rogério!$B392=L$4),"ok","nok")</f>
        <v>nok</v>
      </c>
      <c r="M391" s="60" t="str">
        <f>IF(AND($B391=[1]rogério!$A392,[1]rogério!$B392=M$4),"ok","nok")</f>
        <v>nok</v>
      </c>
      <c r="N391" s="60" t="str">
        <f>IF(AND($B391=[1]rogério!$A392,[1]rogério!$B392=N$4),"ok","nok")</f>
        <v>nok</v>
      </c>
      <c r="O391" s="60" t="str">
        <f>IF(AND($B391=[1]rogério!$A392,[1]rogério!$B392=O$4),"ok","nok")</f>
        <v>nok</v>
      </c>
      <c r="P391" s="60" t="str">
        <f>IF(AND($B391=[1]rogério!$A392,[1]rogério!$B392=P$4),"ok","nok")</f>
        <v>nok</v>
      </c>
      <c r="Q391" s="60" t="str">
        <f>IF(AND($B391=[1]rogério!$A392,[1]rogério!$B392=Q$4),"ok","nok")</f>
        <v>nok</v>
      </c>
      <c r="R391" s="60" t="str">
        <f>IF(AND($B391=[1]rogério!$A392,[1]rogério!$B392=R$4),"ok","nok")</f>
        <v>ok</v>
      </c>
      <c r="S391" s="60" t="str">
        <f>IF(AND($B391=[1]rogério!$A392,[1]rogério!$B392=S$4),"ok","nok")</f>
        <v>nok</v>
      </c>
      <c r="T391" s="60" t="str">
        <f>IF(AND($B391=[1]rogério!$A392,[1]rogério!$B392=T$4),"ok","nok")</f>
        <v>nok</v>
      </c>
      <c r="U391" s="60" t="str">
        <f>IF(AND($B391=[1]rogério!$A392,[1]rogério!$B392=U$4),"ok","nok")</f>
        <v>nok</v>
      </c>
      <c r="V391" s="60" t="str">
        <f>IF(AND($B391=[1]rogério!$A392,[1]rogério!$B392=V$4),"ok","nok")</f>
        <v>nok</v>
      </c>
      <c r="W391" s="60" t="str">
        <f>IF(AND($B391=[1]rogério!$A392,[1]rogério!$B392=W$4),"ok","nok")</f>
        <v>nok</v>
      </c>
      <c r="X391" s="60" t="str">
        <f>IF(AND($B391=[1]rogério!$A392,[1]rogério!$B392=X$4),"ok","nok")</f>
        <v>nok</v>
      </c>
      <c r="Y391" s="105" t="s">
        <v>15</v>
      </c>
      <c r="Z391" s="106"/>
      <c r="AA391" s="106"/>
      <c r="AB391" s="107"/>
      <c r="AC391" s="40"/>
      <c r="AD391" s="40"/>
      <c r="AE391" s="48" t="str">
        <f t="shared" si="104"/>
        <v/>
      </c>
      <c r="AF391" s="48"/>
      <c r="AG391" s="48"/>
      <c r="AH391" s="89"/>
      <c r="AI391" s="49">
        <f t="shared" si="105"/>
        <v>0</v>
      </c>
      <c r="AJ391" s="49" t="str">
        <f t="shared" si="106"/>
        <v/>
      </c>
      <c r="AK391" s="49">
        <f t="shared" si="107"/>
        <v>0</v>
      </c>
      <c r="AL391" s="49" t="str">
        <f t="shared" si="108"/>
        <v/>
      </c>
      <c r="AM391" s="49">
        <f t="shared" si="109"/>
        <v>0</v>
      </c>
      <c r="AN391" s="49" t="str">
        <f t="shared" si="110"/>
        <v/>
      </c>
      <c r="AO391" s="49">
        <f t="shared" si="111"/>
        <v>1</v>
      </c>
      <c r="AP391" s="49" t="str">
        <f t="shared" si="112"/>
        <v/>
      </c>
      <c r="AQ391" s="49">
        <f t="shared" si="113"/>
        <v>0</v>
      </c>
      <c r="AR391" s="49" t="str">
        <f t="shared" si="114"/>
        <v/>
      </c>
    </row>
    <row r="392" spans="1:44" ht="30" customHeight="1" x14ac:dyDescent="0.35">
      <c r="A392" s="25"/>
      <c r="B392" s="39" t="s">
        <v>81</v>
      </c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108"/>
      <c r="Z392" s="109"/>
      <c r="AA392" s="109"/>
      <c r="AB392" s="110"/>
      <c r="AC392" s="40"/>
      <c r="AD392" s="40"/>
      <c r="AE392" s="48" t="str">
        <f t="shared" si="104"/>
        <v/>
      </c>
      <c r="AF392" s="48"/>
      <c r="AG392" s="48"/>
      <c r="AH392" s="89"/>
      <c r="AI392" s="49">
        <f t="shared" si="105"/>
        <v>0</v>
      </c>
      <c r="AJ392" s="49" t="str">
        <f t="shared" si="106"/>
        <v/>
      </c>
      <c r="AK392" s="49">
        <f t="shared" si="107"/>
        <v>0</v>
      </c>
      <c r="AL392" s="49" t="str">
        <f t="shared" si="108"/>
        <v/>
      </c>
      <c r="AM392" s="49">
        <f t="shared" si="109"/>
        <v>0</v>
      </c>
      <c r="AN392" s="49" t="str">
        <f t="shared" si="110"/>
        <v/>
      </c>
      <c r="AO392" s="49">
        <f t="shared" si="111"/>
        <v>0</v>
      </c>
      <c r="AP392" s="49" t="str">
        <f t="shared" si="112"/>
        <v/>
      </c>
      <c r="AQ392" s="49">
        <f t="shared" si="113"/>
        <v>0</v>
      </c>
      <c r="AR392" s="49" t="str">
        <f t="shared" si="114"/>
        <v/>
      </c>
    </row>
    <row r="393" spans="1:44" ht="30" customHeight="1" x14ac:dyDescent="0.35">
      <c r="A393" s="25" t="str">
        <f t="shared" si="103"/>
        <v>PT177 - PLATAFORMA DE ACESSO - FORQUILHA 2 - DETALHADO
TORRE B3PROJETO DETALHADO
CIVIL</v>
      </c>
      <c r="B393" s="40" t="s">
        <v>49</v>
      </c>
      <c r="C393" s="60" t="str">
        <f>IF(AND($B393=[1]rogério!$A394,[1]rogério!$B394=C$4),"ok","nok")</f>
        <v>nok</v>
      </c>
      <c r="D393" s="60" t="str">
        <f>IF(AND($B393=[1]rogério!$A394,[1]rogério!$B394=D$4),"ok","nok")</f>
        <v>nok</v>
      </c>
      <c r="E393" s="60" t="str">
        <f>IF(AND($B393=[1]rogério!$A394,[1]rogério!$B394=E$4),"ok","nok")</f>
        <v>nok</v>
      </c>
      <c r="F393" s="60" t="str">
        <f>IF(AND($B393=[1]rogério!$A394,[1]rogério!$B394=F$4),"ok","nok")</f>
        <v>nok</v>
      </c>
      <c r="G393" s="60" t="str">
        <f>IF(AND($B393=[1]rogério!$A394,[1]rogério!$B394=G$4),"ok","nok")</f>
        <v>nok</v>
      </c>
      <c r="H393" s="60" t="str">
        <f>IF(AND($B393=[1]rogério!$A394,[1]rogério!$B394=H$4),"ok","nok")</f>
        <v>nok</v>
      </c>
      <c r="I393" s="60" t="str">
        <f>IF(AND($B393=[1]rogério!$A394,[1]rogério!$B394=I$4),"ok","nok")</f>
        <v>nok</v>
      </c>
      <c r="J393" s="60" t="str">
        <f>IF(AND($B393=[1]rogério!$A394,[1]rogério!$B394=J$4),"ok","nok")</f>
        <v>nok</v>
      </c>
      <c r="K393" s="60" t="str">
        <f>IF(AND($B393=[1]rogério!$A394,[1]rogério!$B394=K$4),"ok","nok")</f>
        <v>nok</v>
      </c>
      <c r="L393" s="60" t="str">
        <f>IF(AND($B393=[1]rogério!$A394,[1]rogério!$B394=L$4),"ok","nok")</f>
        <v>nok</v>
      </c>
      <c r="M393" s="60" t="str">
        <f>IF(AND($B393=[1]rogério!$A394,[1]rogério!$B394=M$4),"ok","nok")</f>
        <v>nok</v>
      </c>
      <c r="N393" s="60" t="str">
        <f>IF(AND($B393=[1]rogério!$A394,[1]rogério!$B394=N$4),"ok","nok")</f>
        <v>nok</v>
      </c>
      <c r="O393" s="60" t="str">
        <f>IF(AND($B393=[1]rogério!$A394,[1]rogério!$B394=O$4),"ok","nok")</f>
        <v>nok</v>
      </c>
      <c r="P393" s="60" t="str">
        <f>IF(AND($B393=[1]rogério!$A394,[1]rogério!$B394=P$4),"ok","nok")</f>
        <v>nok</v>
      </c>
      <c r="Q393" s="60" t="str">
        <f>IF(AND($B393=[1]rogério!$A394,[1]rogério!$B394=Q$4),"ok","nok")</f>
        <v>nok</v>
      </c>
      <c r="R393" s="60" t="str">
        <f>IF(AND($B393=[1]rogério!$A394,[1]rogério!$B394=R$4),"ok","nok")</f>
        <v>ok</v>
      </c>
      <c r="S393" s="60" t="str">
        <f>IF(AND($B393=[1]rogério!$A394,[1]rogério!$B394=S$4),"ok","nok")</f>
        <v>nok</v>
      </c>
      <c r="T393" s="60" t="str">
        <f>IF(AND($B393=[1]rogério!$A394,[1]rogério!$B394=T$4),"ok","nok")</f>
        <v>nok</v>
      </c>
      <c r="U393" s="60" t="str">
        <f>IF(AND($B393=[1]rogério!$A394,[1]rogério!$B394=U$4),"ok","nok")</f>
        <v>nok</v>
      </c>
      <c r="V393" s="60" t="str">
        <f>IF(AND($B393=[1]rogério!$A394,[1]rogério!$B394=V$4),"ok","nok")</f>
        <v>nok</v>
      </c>
      <c r="W393" s="60" t="str">
        <f>IF(AND($B393=[1]rogério!$A394,[1]rogério!$B394=W$4),"ok","nok")</f>
        <v>nok</v>
      </c>
      <c r="X393" s="60" t="str">
        <f>IF(AND($B393=[1]rogério!$A394,[1]rogério!$B394=X$4),"ok","nok")</f>
        <v>nok</v>
      </c>
      <c r="Y393" s="105" t="s">
        <v>15</v>
      </c>
      <c r="Z393" s="106"/>
      <c r="AA393" s="106"/>
      <c r="AB393" s="107"/>
      <c r="AC393" s="40"/>
      <c r="AD393" s="40"/>
      <c r="AE393" s="48" t="str">
        <f t="shared" si="104"/>
        <v/>
      </c>
      <c r="AF393" s="48"/>
      <c r="AG393" s="48"/>
      <c r="AH393" s="89"/>
      <c r="AI393" s="49">
        <f t="shared" si="105"/>
        <v>0</v>
      </c>
      <c r="AJ393" s="49" t="str">
        <f t="shared" si="106"/>
        <v/>
      </c>
      <c r="AK393" s="49">
        <f t="shared" si="107"/>
        <v>0</v>
      </c>
      <c r="AL393" s="49" t="str">
        <f t="shared" si="108"/>
        <v/>
      </c>
      <c r="AM393" s="49">
        <f t="shared" si="109"/>
        <v>0</v>
      </c>
      <c r="AN393" s="49" t="str">
        <f t="shared" si="110"/>
        <v/>
      </c>
      <c r="AO393" s="49">
        <f t="shared" si="111"/>
        <v>1</v>
      </c>
      <c r="AP393" s="49" t="str">
        <f t="shared" si="112"/>
        <v/>
      </c>
      <c r="AQ393" s="49">
        <f t="shared" si="113"/>
        <v>0</v>
      </c>
      <c r="AR393" s="49" t="str">
        <f t="shared" si="114"/>
        <v/>
      </c>
    </row>
    <row r="394" spans="1:44" ht="30" customHeight="1" x14ac:dyDescent="0.35">
      <c r="A394" s="25" t="str">
        <f t="shared" si="103"/>
        <v>PT177 - PLATAFORMA DE ACESSO - FORQUILHA 2 - DETALHADO
TORRE B3PROJETO DETALHADO
CIVIL</v>
      </c>
      <c r="B394" s="40" t="s">
        <v>19</v>
      </c>
      <c r="C394" s="60" t="str">
        <f>IF(AND($B394=[1]rogério!$A395,[1]rogério!$B395=C$4),"ok","nok")</f>
        <v>nok</v>
      </c>
      <c r="D394" s="60" t="str">
        <f>IF(AND($B394=[1]rogério!$A395,[1]rogério!$B395=D$4),"ok","nok")</f>
        <v>nok</v>
      </c>
      <c r="E394" s="60" t="str">
        <f>IF(AND($B394=[1]rogério!$A395,[1]rogério!$B395=E$4),"ok","nok")</f>
        <v>nok</v>
      </c>
      <c r="F394" s="60" t="str">
        <f>IF(AND($B394=[1]rogério!$A395,[1]rogério!$B395=F$4),"ok","nok")</f>
        <v>nok</v>
      </c>
      <c r="G394" s="60" t="str">
        <f>IF(AND($B394=[1]rogério!$A395,[1]rogério!$B395=G$4),"ok","nok")</f>
        <v>nok</v>
      </c>
      <c r="H394" s="60" t="str">
        <f>IF(AND($B394=[1]rogério!$A395,[1]rogério!$B395=H$4),"ok","nok")</f>
        <v>nok</v>
      </c>
      <c r="I394" s="60" t="str">
        <f>IF(AND($B394=[1]rogério!$A395,[1]rogério!$B395=I$4),"ok","nok")</f>
        <v>nok</v>
      </c>
      <c r="J394" s="60" t="str">
        <f>IF(AND($B394=[1]rogério!$A395,[1]rogério!$B395=J$4),"ok","nok")</f>
        <v>nok</v>
      </c>
      <c r="K394" s="60" t="str">
        <f>IF(AND($B394=[1]rogério!$A395,[1]rogério!$B395=K$4),"ok","nok")</f>
        <v>nok</v>
      </c>
      <c r="L394" s="60" t="str">
        <f>IF(AND($B394=[1]rogério!$A395,[1]rogério!$B395=L$4),"ok","nok")</f>
        <v>nok</v>
      </c>
      <c r="M394" s="60" t="str">
        <f>IF(AND($B394=[1]rogério!$A395,[1]rogério!$B395=M$4),"ok","nok")</f>
        <v>nok</v>
      </c>
      <c r="N394" s="60" t="str">
        <f>IF(AND($B394=[1]rogério!$A395,[1]rogério!$B395=N$4),"ok","nok")</f>
        <v>nok</v>
      </c>
      <c r="O394" s="60" t="str">
        <f>IF(AND($B394=[1]rogério!$A395,[1]rogério!$B395=O$4),"ok","nok")</f>
        <v>nok</v>
      </c>
      <c r="P394" s="60" t="str">
        <f>IF(AND($B394=[1]rogério!$A395,[1]rogério!$B395=P$4),"ok","nok")</f>
        <v>nok</v>
      </c>
      <c r="Q394" s="60" t="str">
        <f>IF(AND($B394=[1]rogério!$A395,[1]rogério!$B395=Q$4),"ok","nok")</f>
        <v>nok</v>
      </c>
      <c r="R394" s="60" t="str">
        <f>IF(AND($B394=[1]rogério!$A395,[1]rogério!$B395=R$4),"ok","nok")</f>
        <v>nok</v>
      </c>
      <c r="S394" s="60" t="str">
        <f>IF(AND($B394=[1]rogério!$A395,[1]rogério!$B395=S$4),"ok","nok")</f>
        <v>nok</v>
      </c>
      <c r="T394" s="60" t="str">
        <f>IF(AND($B394=[1]rogério!$A395,[1]rogério!$B395=T$4),"ok","nok")</f>
        <v>nok</v>
      </c>
      <c r="U394" s="60" t="str">
        <f>IF(AND($B394=[1]rogério!$A395,[1]rogério!$B395=U$4),"ok","nok")</f>
        <v>nok</v>
      </c>
      <c r="V394" s="60" t="str">
        <f>IF(AND($B394=[1]rogério!$A395,[1]rogério!$B395=V$4),"ok","nok")</f>
        <v>nok</v>
      </c>
      <c r="W394" s="60" t="str">
        <f>IF(AND($B394=[1]rogério!$A395,[1]rogério!$B395=W$4),"ok","nok")</f>
        <v>ok</v>
      </c>
      <c r="X394" s="60" t="str">
        <f>IF(AND($B394=[1]rogério!$A395,[1]rogério!$B395=X$4),"ok","nok")</f>
        <v>nok</v>
      </c>
      <c r="Y394" s="105" t="s">
        <v>15</v>
      </c>
      <c r="Z394" s="106"/>
      <c r="AA394" s="106"/>
      <c r="AB394" s="107"/>
      <c r="AC394" s="40"/>
      <c r="AD394" s="40"/>
      <c r="AE394" s="48" t="str">
        <f t="shared" si="104"/>
        <v/>
      </c>
      <c r="AF394" s="48"/>
      <c r="AG394" s="48"/>
      <c r="AH394" s="89"/>
      <c r="AI394" s="49">
        <f t="shared" si="105"/>
        <v>0</v>
      </c>
      <c r="AJ394" s="49" t="str">
        <f t="shared" si="106"/>
        <v/>
      </c>
      <c r="AK394" s="49">
        <f t="shared" si="107"/>
        <v>0</v>
      </c>
      <c r="AL394" s="49" t="str">
        <f t="shared" si="108"/>
        <v/>
      </c>
      <c r="AM394" s="49">
        <f t="shared" si="109"/>
        <v>0</v>
      </c>
      <c r="AN394" s="49" t="str">
        <f t="shared" si="110"/>
        <v/>
      </c>
      <c r="AO394" s="49">
        <f t="shared" si="111"/>
        <v>0</v>
      </c>
      <c r="AP394" s="49" t="str">
        <f t="shared" si="112"/>
        <v/>
      </c>
      <c r="AQ394" s="49">
        <f t="shared" si="113"/>
        <v>1</v>
      </c>
      <c r="AR394" s="49" t="str">
        <f t="shared" si="114"/>
        <v/>
      </c>
    </row>
    <row r="395" spans="1:44" ht="30" customHeight="1" x14ac:dyDescent="0.35">
      <c r="A395" s="25" t="str">
        <f t="shared" si="103"/>
        <v>PT177 - PLATAFORMA DE ACESSO - FORQUILHA 2 - DETALHADO
TORRE B3PROJETO DETALHADO
CIVIL</v>
      </c>
      <c r="B395" s="38" t="s">
        <v>65</v>
      </c>
      <c r="C395" s="60" t="str">
        <f>IF(AND($B395=[1]rogério!$A396,[1]rogério!$B396=C$4),"ok","nok")</f>
        <v>nok</v>
      </c>
      <c r="D395" s="60" t="str">
        <f>IF(AND($B395=[1]rogério!$A396,[1]rogério!$B396=D$4),"ok","nok")</f>
        <v>nok</v>
      </c>
      <c r="E395" s="60" t="str">
        <f>IF(AND($B395=[1]rogério!$A396,[1]rogério!$B396=E$4),"ok","nok")</f>
        <v>nok</v>
      </c>
      <c r="F395" s="60" t="str">
        <f>IF(AND($B395=[1]rogério!$A396,[1]rogério!$B396=F$4),"ok","nok")</f>
        <v>nok</v>
      </c>
      <c r="G395" s="60" t="str">
        <f>IF(AND($B395=[1]rogério!$A396,[1]rogério!$B396=G$4),"ok","nok")</f>
        <v>nok</v>
      </c>
      <c r="H395" s="60" t="str">
        <f>IF(AND($B395=[1]rogério!$A396,[1]rogério!$B396=H$4),"ok","nok")</f>
        <v>nok</v>
      </c>
      <c r="I395" s="60" t="str">
        <f>IF(AND($B395=[1]rogério!$A396,[1]rogério!$B396=I$4),"ok","nok")</f>
        <v>nok</v>
      </c>
      <c r="J395" s="60" t="str">
        <f>IF(AND($B395=[1]rogério!$A396,[1]rogério!$B396=J$4),"ok","nok")</f>
        <v>nok</v>
      </c>
      <c r="K395" s="60" t="str">
        <f>IF(AND($B395=[1]rogério!$A396,[1]rogério!$B396=K$4),"ok","nok")</f>
        <v>nok</v>
      </c>
      <c r="L395" s="60" t="str">
        <f>IF(AND($B395=[1]rogério!$A396,[1]rogério!$B396=L$4),"ok","nok")</f>
        <v>nok</v>
      </c>
      <c r="M395" s="60" t="str">
        <f>IF(AND($B395=[1]rogério!$A396,[1]rogério!$B396=M$4),"ok","nok")</f>
        <v>nok</v>
      </c>
      <c r="N395" s="60" t="str">
        <f>IF(AND($B395=[1]rogério!$A396,[1]rogério!$B396=N$4),"ok","nok")</f>
        <v>nok</v>
      </c>
      <c r="O395" s="60" t="str">
        <f>IF(AND($B395=[1]rogério!$A396,[1]rogério!$B396=O$4),"ok","nok")</f>
        <v>nok</v>
      </c>
      <c r="P395" s="60" t="str">
        <f>IF(AND($B395=[1]rogério!$A396,[1]rogério!$B396=P$4),"ok","nok")</f>
        <v>nok</v>
      </c>
      <c r="Q395" s="60" t="str">
        <f>IF(AND($B395=[1]rogério!$A396,[1]rogério!$B396=Q$4),"ok","nok")</f>
        <v>nok</v>
      </c>
      <c r="R395" s="60" t="str">
        <f>IF(AND($B395=[1]rogério!$A396,[1]rogério!$B396=R$4),"ok","nok")</f>
        <v>nok</v>
      </c>
      <c r="S395" s="60" t="str">
        <f>IF(AND($B395=[1]rogério!$A396,[1]rogério!$B396=S$4),"ok","nok")</f>
        <v>ok</v>
      </c>
      <c r="T395" s="60" t="str">
        <f>IF(AND($B395=[1]rogério!$A396,[1]rogério!$B396=T$4),"ok","nok")</f>
        <v>nok</v>
      </c>
      <c r="U395" s="60" t="str">
        <f>IF(AND($B395=[1]rogério!$A396,[1]rogério!$B396=U$4),"ok","nok")</f>
        <v>nok</v>
      </c>
      <c r="V395" s="60" t="str">
        <f>IF(AND($B395=[1]rogério!$A396,[1]rogério!$B396=V$4),"ok","nok")</f>
        <v>nok</v>
      </c>
      <c r="W395" s="60" t="str">
        <f>IF(AND($B395=[1]rogério!$A396,[1]rogério!$B396=W$4),"ok","nok")</f>
        <v>nok</v>
      </c>
      <c r="X395" s="60" t="str">
        <f>IF(AND($B395=[1]rogério!$A396,[1]rogério!$B396=X$4),"ok","nok")</f>
        <v>nok</v>
      </c>
      <c r="Y395" s="105" t="s">
        <v>15</v>
      </c>
      <c r="Z395" s="106"/>
      <c r="AA395" s="106"/>
      <c r="AB395" s="107"/>
      <c r="AC395" s="40"/>
      <c r="AD395" s="40"/>
      <c r="AE395" s="48" t="str">
        <f t="shared" si="104"/>
        <v/>
      </c>
      <c r="AF395" s="48"/>
      <c r="AG395" s="48"/>
      <c r="AH395" s="89"/>
      <c r="AI395" s="49">
        <f t="shared" si="105"/>
        <v>0</v>
      </c>
      <c r="AJ395" s="49" t="str">
        <f t="shared" si="106"/>
        <v/>
      </c>
      <c r="AK395" s="49">
        <f t="shared" si="107"/>
        <v>0</v>
      </c>
      <c r="AL395" s="49" t="str">
        <f t="shared" si="108"/>
        <v/>
      </c>
      <c r="AM395" s="49">
        <f t="shared" si="109"/>
        <v>0</v>
      </c>
      <c r="AN395" s="49" t="str">
        <f t="shared" si="110"/>
        <v/>
      </c>
      <c r="AO395" s="49">
        <f t="shared" si="111"/>
        <v>1</v>
      </c>
      <c r="AP395" s="49" t="str">
        <f t="shared" si="112"/>
        <v/>
      </c>
      <c r="AQ395" s="49">
        <f t="shared" si="113"/>
        <v>0</v>
      </c>
      <c r="AR395" s="49" t="str">
        <f t="shared" si="114"/>
        <v/>
      </c>
    </row>
    <row r="396" spans="1:44" ht="30" customHeight="1" x14ac:dyDescent="0.35">
      <c r="A396" s="25" t="str">
        <f t="shared" si="103"/>
        <v>PT177 - PLATAFORMA DE ACESSO - FORQUILHA 2 - DETALHADO
TORRE B3PROJETO DETALHADO
CIVIL</v>
      </c>
      <c r="B396" s="38" t="s">
        <v>66</v>
      </c>
      <c r="C396" s="60" t="str">
        <f>IF(AND($B396=[1]rogério!$A397,[1]rogério!$B397=C$4),"ok","nok")</f>
        <v>nok</v>
      </c>
      <c r="D396" s="60" t="str">
        <f>IF(AND($B396=[1]rogério!$A397,[1]rogério!$B397=D$4),"ok","nok")</f>
        <v>nok</v>
      </c>
      <c r="E396" s="60" t="str">
        <f>IF(AND($B396=[1]rogério!$A397,[1]rogério!$B397=E$4),"ok","nok")</f>
        <v>nok</v>
      </c>
      <c r="F396" s="60" t="str">
        <f>IF(AND($B396=[1]rogério!$A397,[1]rogério!$B397=F$4),"ok","nok")</f>
        <v>nok</v>
      </c>
      <c r="G396" s="60" t="str">
        <f>IF(AND($B396=[1]rogério!$A397,[1]rogério!$B397=G$4),"ok","nok")</f>
        <v>nok</v>
      </c>
      <c r="H396" s="60" t="str">
        <f>IF(AND($B396=[1]rogério!$A397,[1]rogério!$B397=H$4),"ok","nok")</f>
        <v>nok</v>
      </c>
      <c r="I396" s="60" t="str">
        <f>IF(AND($B396=[1]rogério!$A397,[1]rogério!$B397=I$4),"ok","nok")</f>
        <v>nok</v>
      </c>
      <c r="J396" s="60" t="str">
        <f>IF(AND($B396=[1]rogério!$A397,[1]rogério!$B397=J$4),"ok","nok")</f>
        <v>nok</v>
      </c>
      <c r="K396" s="60" t="str">
        <f>IF(AND($B396=[1]rogério!$A397,[1]rogério!$B397=K$4),"ok","nok")</f>
        <v>nok</v>
      </c>
      <c r="L396" s="60" t="str">
        <f>IF(AND($B396=[1]rogério!$A397,[1]rogério!$B397=L$4),"ok","nok")</f>
        <v>nok</v>
      </c>
      <c r="M396" s="60" t="str">
        <f>IF(AND($B396=[1]rogério!$A397,[1]rogério!$B397=M$4),"ok","nok")</f>
        <v>nok</v>
      </c>
      <c r="N396" s="60" t="str">
        <f>IF(AND($B396=[1]rogério!$A397,[1]rogério!$B397=N$4),"ok","nok")</f>
        <v>nok</v>
      </c>
      <c r="O396" s="60" t="str">
        <f>IF(AND($B396=[1]rogério!$A397,[1]rogério!$B397=O$4),"ok","nok")</f>
        <v>nok</v>
      </c>
      <c r="P396" s="60" t="str">
        <f>IF(AND($B396=[1]rogério!$A397,[1]rogério!$B397=P$4),"ok","nok")</f>
        <v>nok</v>
      </c>
      <c r="Q396" s="60" t="str">
        <f>IF(AND($B396=[1]rogério!$A397,[1]rogério!$B397=Q$4),"ok","nok")</f>
        <v>nok</v>
      </c>
      <c r="R396" s="60" t="str">
        <f>IF(AND($B396=[1]rogério!$A397,[1]rogério!$B397=R$4),"ok","nok")</f>
        <v>nok</v>
      </c>
      <c r="S396" s="60" t="str">
        <f>IF(AND($B396=[1]rogério!$A397,[1]rogério!$B397=S$4),"ok","nok")</f>
        <v>nok</v>
      </c>
      <c r="T396" s="60" t="str">
        <f>IF(AND($B396=[1]rogério!$A397,[1]rogério!$B397=T$4),"ok","nok")</f>
        <v>ok</v>
      </c>
      <c r="U396" s="60" t="str">
        <f>IF(AND($B396=[1]rogério!$A397,[1]rogério!$B397=U$4),"ok","nok")</f>
        <v>nok</v>
      </c>
      <c r="V396" s="60" t="str">
        <f>IF(AND($B396=[1]rogério!$A397,[1]rogério!$B397=V$4),"ok","nok")</f>
        <v>nok</v>
      </c>
      <c r="W396" s="60" t="str">
        <f>IF(AND($B396=[1]rogério!$A397,[1]rogério!$B397=W$4),"ok","nok")</f>
        <v>nok</v>
      </c>
      <c r="X396" s="60" t="str">
        <f>IF(AND($B396=[1]rogério!$A397,[1]rogério!$B397=X$4),"ok","nok")</f>
        <v>nok</v>
      </c>
      <c r="Y396" s="105" t="s">
        <v>15</v>
      </c>
      <c r="Z396" s="106"/>
      <c r="AA396" s="106"/>
      <c r="AB396" s="107"/>
      <c r="AC396" s="40"/>
      <c r="AD396" s="40"/>
      <c r="AE396" s="48" t="str">
        <f t="shared" si="104"/>
        <v/>
      </c>
      <c r="AF396" s="48"/>
      <c r="AG396" s="48"/>
      <c r="AH396" s="89"/>
      <c r="AI396" s="49">
        <f t="shared" si="105"/>
        <v>0</v>
      </c>
      <c r="AJ396" s="49" t="str">
        <f t="shared" si="106"/>
        <v/>
      </c>
      <c r="AK396" s="49">
        <f t="shared" si="107"/>
        <v>0</v>
      </c>
      <c r="AL396" s="49" t="str">
        <f t="shared" si="108"/>
        <v/>
      </c>
      <c r="AM396" s="49">
        <f t="shared" si="109"/>
        <v>0</v>
      </c>
      <c r="AN396" s="49" t="str">
        <f t="shared" si="110"/>
        <v/>
      </c>
      <c r="AO396" s="49">
        <f t="shared" si="111"/>
        <v>1</v>
      </c>
      <c r="AP396" s="49" t="str">
        <f t="shared" si="112"/>
        <v/>
      </c>
      <c r="AQ396" s="49">
        <f t="shared" si="113"/>
        <v>0</v>
      </c>
      <c r="AR396" s="49" t="str">
        <f t="shared" si="114"/>
        <v/>
      </c>
    </row>
    <row r="397" spans="1:44" ht="30" customHeight="1" x14ac:dyDescent="0.35">
      <c r="A397" s="25"/>
      <c r="B397" s="39" t="s">
        <v>67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108"/>
      <c r="Z397" s="109"/>
      <c r="AA397" s="109"/>
      <c r="AB397" s="110"/>
      <c r="AC397" s="40"/>
      <c r="AD397" s="40"/>
      <c r="AE397" s="48" t="str">
        <f t="shared" si="104"/>
        <v/>
      </c>
      <c r="AF397" s="48"/>
      <c r="AG397" s="48"/>
      <c r="AH397" s="89"/>
      <c r="AI397" s="49">
        <f t="shared" si="105"/>
        <v>0</v>
      </c>
      <c r="AJ397" s="49" t="str">
        <f t="shared" si="106"/>
        <v/>
      </c>
      <c r="AK397" s="49">
        <f t="shared" si="107"/>
        <v>0</v>
      </c>
      <c r="AL397" s="49" t="str">
        <f t="shared" si="108"/>
        <v/>
      </c>
      <c r="AM397" s="49">
        <f t="shared" si="109"/>
        <v>0</v>
      </c>
      <c r="AN397" s="49" t="str">
        <f t="shared" si="110"/>
        <v/>
      </c>
      <c r="AO397" s="49">
        <f t="shared" si="111"/>
        <v>0</v>
      </c>
      <c r="AP397" s="49" t="str">
        <f t="shared" si="112"/>
        <v/>
      </c>
      <c r="AQ397" s="49">
        <f t="shared" si="113"/>
        <v>0</v>
      </c>
      <c r="AR397" s="49" t="str">
        <f t="shared" si="114"/>
        <v/>
      </c>
    </row>
    <row r="398" spans="1:44" ht="30" customHeight="1" x14ac:dyDescent="0.35">
      <c r="A398" s="25" t="str">
        <f t="shared" si="103"/>
        <v>PT177 - PLATAFORMA DE ACESSO - FORQUILHA 2 - DETALHADO
TORRE B3PROJETO DETALHADO
CIVIL</v>
      </c>
      <c r="B398" s="40" t="s">
        <v>49</v>
      </c>
      <c r="C398" s="60" t="str">
        <f>IF(AND($B398=[1]rogério!$A399,[1]rogério!$B399=C$4),"ok","nok")</f>
        <v>nok</v>
      </c>
      <c r="D398" s="60" t="str">
        <f>IF(AND($B398=[1]rogério!$A399,[1]rogério!$B399=D$4),"ok","nok")</f>
        <v>nok</v>
      </c>
      <c r="E398" s="60" t="str">
        <f>IF(AND($B398=[1]rogério!$A399,[1]rogério!$B399=E$4),"ok","nok")</f>
        <v>nok</v>
      </c>
      <c r="F398" s="60" t="str">
        <f>IF(AND($B398=[1]rogério!$A399,[1]rogério!$B399=F$4),"ok","nok")</f>
        <v>nok</v>
      </c>
      <c r="G398" s="60" t="str">
        <f>IF(AND($B398=[1]rogério!$A399,[1]rogério!$B399=G$4),"ok","nok")</f>
        <v>nok</v>
      </c>
      <c r="H398" s="60" t="str">
        <f>IF(AND($B398=[1]rogério!$A399,[1]rogério!$B399=H$4),"ok","nok")</f>
        <v>nok</v>
      </c>
      <c r="I398" s="60" t="str">
        <f>IF(AND($B398=[1]rogério!$A399,[1]rogério!$B399=I$4),"ok","nok")</f>
        <v>nok</v>
      </c>
      <c r="J398" s="60" t="str">
        <f>IF(AND($B398=[1]rogério!$A399,[1]rogério!$B399=J$4),"ok","nok")</f>
        <v>nok</v>
      </c>
      <c r="K398" s="60" t="str">
        <f>IF(AND($B398=[1]rogério!$A399,[1]rogério!$B399=K$4),"ok","nok")</f>
        <v>nok</v>
      </c>
      <c r="L398" s="60" t="str">
        <f>IF(AND($B398=[1]rogério!$A399,[1]rogério!$B399=L$4),"ok","nok")</f>
        <v>nok</v>
      </c>
      <c r="M398" s="60" t="str">
        <f>IF(AND($B398=[1]rogério!$A399,[1]rogério!$B399=M$4),"ok","nok")</f>
        <v>nok</v>
      </c>
      <c r="N398" s="60" t="str">
        <f>IF(AND($B398=[1]rogério!$A399,[1]rogério!$B399=N$4),"ok","nok")</f>
        <v>nok</v>
      </c>
      <c r="O398" s="60" t="str">
        <f>IF(AND($B398=[1]rogério!$A399,[1]rogério!$B399=O$4),"ok","nok")</f>
        <v>nok</v>
      </c>
      <c r="P398" s="60" t="str">
        <f>IF(AND($B398=[1]rogério!$A399,[1]rogério!$B399=P$4),"ok","nok")</f>
        <v>nok</v>
      </c>
      <c r="Q398" s="60" t="str">
        <f>IF(AND($B398=[1]rogério!$A399,[1]rogério!$B399=Q$4),"ok","nok")</f>
        <v>nok</v>
      </c>
      <c r="R398" s="60" t="str">
        <f>IF(AND($B398=[1]rogério!$A399,[1]rogério!$B399=R$4),"ok","nok")</f>
        <v>nok</v>
      </c>
      <c r="S398" s="60" t="str">
        <f>IF(AND($B398=[1]rogério!$A399,[1]rogério!$B399=S$4),"ok","nok")</f>
        <v>nok</v>
      </c>
      <c r="T398" s="60" t="str">
        <f>IF(AND($B398=[1]rogério!$A399,[1]rogério!$B399=T$4),"ok","nok")</f>
        <v>ok</v>
      </c>
      <c r="U398" s="60" t="str">
        <f>IF(AND($B398=[1]rogério!$A399,[1]rogério!$B399=U$4),"ok","nok")</f>
        <v>nok</v>
      </c>
      <c r="V398" s="60" t="str">
        <f>IF(AND($B398=[1]rogério!$A399,[1]rogério!$B399=V$4),"ok","nok")</f>
        <v>nok</v>
      </c>
      <c r="W398" s="60" t="str">
        <f>IF(AND($B398=[1]rogério!$A399,[1]rogério!$B399=W$4),"ok","nok")</f>
        <v>nok</v>
      </c>
      <c r="X398" s="60" t="str">
        <f>IF(AND($B398=[1]rogério!$A399,[1]rogério!$B399=X$4),"ok","nok")</f>
        <v>nok</v>
      </c>
      <c r="Y398" s="105" t="s">
        <v>15</v>
      </c>
      <c r="Z398" s="106"/>
      <c r="AA398" s="106"/>
      <c r="AB398" s="107"/>
      <c r="AC398" s="40"/>
      <c r="AD398" s="40"/>
      <c r="AE398" s="48" t="str">
        <f t="shared" si="104"/>
        <v/>
      </c>
      <c r="AF398" s="48"/>
      <c r="AG398" s="48"/>
      <c r="AH398" s="89"/>
      <c r="AI398" s="49">
        <f t="shared" si="105"/>
        <v>0</v>
      </c>
      <c r="AJ398" s="49" t="str">
        <f t="shared" si="106"/>
        <v/>
      </c>
      <c r="AK398" s="49">
        <f t="shared" si="107"/>
        <v>0</v>
      </c>
      <c r="AL398" s="49" t="str">
        <f t="shared" si="108"/>
        <v/>
      </c>
      <c r="AM398" s="49">
        <f t="shared" si="109"/>
        <v>0</v>
      </c>
      <c r="AN398" s="49" t="str">
        <f t="shared" si="110"/>
        <v/>
      </c>
      <c r="AO398" s="49">
        <f t="shared" si="111"/>
        <v>1</v>
      </c>
      <c r="AP398" s="49" t="str">
        <f t="shared" si="112"/>
        <v/>
      </c>
      <c r="AQ398" s="49">
        <f t="shared" si="113"/>
        <v>0</v>
      </c>
      <c r="AR398" s="49" t="str">
        <f t="shared" si="114"/>
        <v/>
      </c>
    </row>
    <row r="399" spans="1:44" ht="30" customHeight="1" x14ac:dyDescent="0.35">
      <c r="A399" s="25" t="str">
        <f t="shared" si="103"/>
        <v>PT177 - PLATAFORMA DE ACESSO - FORQUILHA 2 - DETALHADO
TORRE B3PROJETO DETALHADO
CIVIL</v>
      </c>
      <c r="B399" s="38" t="s">
        <v>92</v>
      </c>
      <c r="C399" s="60" t="str">
        <f>IF(AND($B399=[1]rogério!$A400,[1]rogério!$B400=C$4),"ok","nok")</f>
        <v>nok</v>
      </c>
      <c r="D399" s="60" t="str">
        <f>IF(AND($B399=[1]rogério!$A400,[1]rogério!$B400=D$4),"ok","nok")</f>
        <v>nok</v>
      </c>
      <c r="E399" s="60" t="str">
        <f>IF(AND($B399=[1]rogério!$A400,[1]rogério!$B400=E$4),"ok","nok")</f>
        <v>nok</v>
      </c>
      <c r="F399" s="60" t="str">
        <f>IF(AND($B399=[1]rogério!$A400,[1]rogério!$B400=F$4),"ok","nok")</f>
        <v>nok</v>
      </c>
      <c r="G399" s="60" t="str">
        <f>IF(AND($B399=[1]rogério!$A400,[1]rogério!$B400=G$4),"ok","nok")</f>
        <v>nok</v>
      </c>
      <c r="H399" s="60" t="str">
        <f>IF(AND($B399=[1]rogério!$A400,[1]rogério!$B400=H$4),"ok","nok")</f>
        <v>nok</v>
      </c>
      <c r="I399" s="60" t="str">
        <f>IF(AND($B399=[1]rogério!$A400,[1]rogério!$B400=I$4),"ok","nok")</f>
        <v>nok</v>
      </c>
      <c r="J399" s="60" t="str">
        <f>IF(AND($B399=[1]rogério!$A400,[1]rogério!$B400=J$4),"ok","nok")</f>
        <v>nok</v>
      </c>
      <c r="K399" s="60" t="str">
        <f>IF(AND($B399=[1]rogério!$A400,[1]rogério!$B400=K$4),"ok","nok")</f>
        <v>nok</v>
      </c>
      <c r="L399" s="60" t="str">
        <f>IF(AND($B399=[1]rogério!$A400,[1]rogério!$B400=L$4),"ok","nok")</f>
        <v>nok</v>
      </c>
      <c r="M399" s="60" t="str">
        <f>IF(AND($B399=[1]rogério!$A400,[1]rogério!$B400=M$4),"ok","nok")</f>
        <v>nok</v>
      </c>
      <c r="N399" s="60" t="str">
        <f>IF(AND($B399=[1]rogério!$A400,[1]rogério!$B400=N$4),"ok","nok")</f>
        <v>nok</v>
      </c>
      <c r="O399" s="60" t="str">
        <f>IF(AND($B399=[1]rogério!$A400,[1]rogério!$B400=O$4),"ok","nok")</f>
        <v>nok</v>
      </c>
      <c r="P399" s="60" t="str">
        <f>IF(AND($B399=[1]rogério!$A400,[1]rogério!$B400=P$4),"ok","nok")</f>
        <v>nok</v>
      </c>
      <c r="Q399" s="60" t="str">
        <f>IF(AND($B399=[1]rogério!$A400,[1]rogério!$B400=Q$4),"ok","nok")</f>
        <v>nok</v>
      </c>
      <c r="R399" s="60" t="str">
        <f>IF(AND($B399=[1]rogério!$A400,[1]rogério!$B400=R$4),"ok","nok")</f>
        <v>nok</v>
      </c>
      <c r="S399" s="60" t="str">
        <f>IF(AND($B399=[1]rogério!$A400,[1]rogério!$B400=S$4),"ok","nok")</f>
        <v>nok</v>
      </c>
      <c r="T399" s="60" t="str">
        <f>IF(AND($B399=[1]rogério!$A400,[1]rogério!$B400=T$4),"ok","nok")</f>
        <v>nok</v>
      </c>
      <c r="U399" s="60" t="str">
        <f>IF(AND($B399=[1]rogério!$A400,[1]rogério!$B400=U$4),"ok","nok")</f>
        <v>ok</v>
      </c>
      <c r="V399" s="60" t="str">
        <f>IF(AND($B399=[1]rogério!$A400,[1]rogério!$B400=V$4),"ok","nok")</f>
        <v>nok</v>
      </c>
      <c r="W399" s="60" t="str">
        <f>IF(AND($B399=[1]rogério!$A400,[1]rogério!$B400=W$4),"ok","nok")</f>
        <v>nok</v>
      </c>
      <c r="X399" s="60" t="str">
        <f>IF(AND($B399=[1]rogério!$A400,[1]rogério!$B400=X$4),"ok","nok")</f>
        <v>nok</v>
      </c>
      <c r="Y399" s="105" t="s">
        <v>15</v>
      </c>
      <c r="Z399" s="106"/>
      <c r="AA399" s="106"/>
      <c r="AB399" s="107"/>
      <c r="AC399" s="40"/>
      <c r="AD399" s="40"/>
      <c r="AE399" s="48" t="str">
        <f t="shared" si="104"/>
        <v/>
      </c>
      <c r="AF399" s="48"/>
      <c r="AG399" s="48"/>
      <c r="AH399" s="89"/>
      <c r="AI399" s="49">
        <f t="shared" si="105"/>
        <v>0</v>
      </c>
      <c r="AJ399" s="49" t="str">
        <f t="shared" si="106"/>
        <v/>
      </c>
      <c r="AK399" s="49">
        <f t="shared" si="107"/>
        <v>0</v>
      </c>
      <c r="AL399" s="49" t="str">
        <f t="shared" si="108"/>
        <v/>
      </c>
      <c r="AM399" s="49">
        <f t="shared" si="109"/>
        <v>0</v>
      </c>
      <c r="AN399" s="49" t="str">
        <f t="shared" si="110"/>
        <v/>
      </c>
      <c r="AO399" s="49">
        <f t="shared" si="111"/>
        <v>1</v>
      </c>
      <c r="AP399" s="49" t="str">
        <f t="shared" si="112"/>
        <v/>
      </c>
      <c r="AQ399" s="49">
        <f t="shared" si="113"/>
        <v>0</v>
      </c>
      <c r="AR399" s="49" t="str">
        <f t="shared" si="114"/>
        <v/>
      </c>
    </row>
    <row r="400" spans="1:44" ht="30" customHeight="1" x14ac:dyDescent="0.35">
      <c r="A400" s="25" t="str">
        <f t="shared" si="103"/>
        <v>PT177 - PLATAFORMA DE ACESSO - FORQUILHA 2 - DETALHADO
TORRE B3PROJETO DETALHADO
CIVIL</v>
      </c>
      <c r="B400" s="38" t="s">
        <v>93</v>
      </c>
      <c r="C400" s="60" t="str">
        <f>IF(AND($B400=[1]rogério!$A401,[1]rogério!$B401=C$4),"ok","nok")</f>
        <v>nok</v>
      </c>
      <c r="D400" s="60" t="str">
        <f>IF(AND($B400=[1]rogério!$A401,[1]rogério!$B401=D$4),"ok","nok")</f>
        <v>nok</v>
      </c>
      <c r="E400" s="60" t="str">
        <f>IF(AND($B400=[1]rogério!$A401,[1]rogério!$B401=E$4),"ok","nok")</f>
        <v>nok</v>
      </c>
      <c r="F400" s="60" t="str">
        <f>IF(AND($B400=[1]rogério!$A401,[1]rogério!$B401=F$4),"ok","nok")</f>
        <v>nok</v>
      </c>
      <c r="G400" s="60" t="str">
        <f>IF(AND($B400=[1]rogério!$A401,[1]rogério!$B401=G$4),"ok","nok")</f>
        <v>nok</v>
      </c>
      <c r="H400" s="60" t="str">
        <f>IF(AND($B400=[1]rogério!$A401,[1]rogério!$B401=H$4),"ok","nok")</f>
        <v>nok</v>
      </c>
      <c r="I400" s="60" t="str">
        <f>IF(AND($B400=[1]rogério!$A401,[1]rogério!$B401=I$4),"ok","nok")</f>
        <v>nok</v>
      </c>
      <c r="J400" s="60" t="str">
        <f>IF(AND($B400=[1]rogério!$A401,[1]rogério!$B401=J$4),"ok","nok")</f>
        <v>nok</v>
      </c>
      <c r="K400" s="60" t="str">
        <f>IF(AND($B400=[1]rogério!$A401,[1]rogério!$B401=K$4),"ok","nok")</f>
        <v>nok</v>
      </c>
      <c r="L400" s="60" t="str">
        <f>IF(AND($B400=[1]rogério!$A401,[1]rogério!$B401=L$4),"ok","nok")</f>
        <v>nok</v>
      </c>
      <c r="M400" s="60" t="str">
        <f>IF(AND($B400=[1]rogério!$A401,[1]rogério!$B401=M$4),"ok","nok")</f>
        <v>nok</v>
      </c>
      <c r="N400" s="60" t="str">
        <f>IF(AND($B400=[1]rogério!$A401,[1]rogério!$B401=N$4),"ok","nok")</f>
        <v>nok</v>
      </c>
      <c r="O400" s="60" t="str">
        <f>IF(AND($B400=[1]rogério!$A401,[1]rogério!$B401=O$4),"ok","nok")</f>
        <v>nok</v>
      </c>
      <c r="P400" s="60" t="str">
        <f>IF(AND($B400=[1]rogério!$A401,[1]rogério!$B401=P$4),"ok","nok")</f>
        <v>nok</v>
      </c>
      <c r="Q400" s="60" t="str">
        <f>IF(AND($B400=[1]rogério!$A401,[1]rogério!$B401=Q$4),"ok","nok")</f>
        <v>nok</v>
      </c>
      <c r="R400" s="60" t="str">
        <f>IF(AND($B400=[1]rogério!$A401,[1]rogério!$B401=R$4),"ok","nok")</f>
        <v>nok</v>
      </c>
      <c r="S400" s="60" t="str">
        <f>IF(AND($B400=[1]rogério!$A401,[1]rogério!$B401=S$4),"ok","nok")</f>
        <v>nok</v>
      </c>
      <c r="T400" s="60" t="str">
        <f>IF(AND($B400=[1]rogério!$A401,[1]rogério!$B401=T$4),"ok","nok")</f>
        <v>nok</v>
      </c>
      <c r="U400" s="60" t="str">
        <f>IF(AND($B400=[1]rogério!$A401,[1]rogério!$B401=U$4),"ok","nok")</f>
        <v>nok</v>
      </c>
      <c r="V400" s="60" t="str">
        <f>IF(AND($B400=[1]rogério!$A401,[1]rogério!$B401=V$4),"ok","nok")</f>
        <v>ok</v>
      </c>
      <c r="W400" s="60" t="str">
        <f>IF(AND($B400=[1]rogério!$A401,[1]rogério!$B401=W$4),"ok","nok")</f>
        <v>nok</v>
      </c>
      <c r="X400" s="60" t="str">
        <f>IF(AND($B400=[1]rogério!$A401,[1]rogério!$B401=X$4),"ok","nok")</f>
        <v>nok</v>
      </c>
      <c r="Y400" s="105" t="s">
        <v>15</v>
      </c>
      <c r="Z400" s="106"/>
      <c r="AA400" s="106"/>
      <c r="AB400" s="107"/>
      <c r="AC400" s="40"/>
      <c r="AD400" s="40"/>
      <c r="AE400" s="48" t="str">
        <f t="shared" si="104"/>
        <v/>
      </c>
      <c r="AF400" s="48"/>
      <c r="AG400" s="48"/>
      <c r="AH400" s="89"/>
      <c r="AI400" s="49">
        <f t="shared" si="105"/>
        <v>0</v>
      </c>
      <c r="AJ400" s="49" t="str">
        <f t="shared" si="106"/>
        <v/>
      </c>
      <c r="AK400" s="49">
        <f t="shared" si="107"/>
        <v>0</v>
      </c>
      <c r="AL400" s="49" t="str">
        <f t="shared" si="108"/>
        <v/>
      </c>
      <c r="AM400" s="49">
        <f t="shared" si="109"/>
        <v>0</v>
      </c>
      <c r="AN400" s="49" t="str">
        <f t="shared" si="110"/>
        <v/>
      </c>
      <c r="AO400" s="49">
        <f t="shared" si="111"/>
        <v>1</v>
      </c>
      <c r="AP400" s="49" t="str">
        <f t="shared" si="112"/>
        <v/>
      </c>
      <c r="AQ400" s="49">
        <f t="shared" si="113"/>
        <v>0</v>
      </c>
      <c r="AR400" s="49" t="str">
        <f t="shared" si="114"/>
        <v/>
      </c>
    </row>
    <row r="401" spans="1:44" ht="30" customHeight="1" x14ac:dyDescent="0.35">
      <c r="A401" s="25"/>
      <c r="B401" s="39" t="s">
        <v>94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108"/>
      <c r="Z401" s="109"/>
      <c r="AA401" s="109"/>
      <c r="AB401" s="110"/>
      <c r="AC401" s="40"/>
      <c r="AD401" s="40"/>
      <c r="AE401" s="48" t="str">
        <f t="shared" si="104"/>
        <v/>
      </c>
      <c r="AF401" s="48"/>
      <c r="AG401" s="48"/>
      <c r="AH401" s="89"/>
      <c r="AI401" s="49">
        <f t="shared" si="105"/>
        <v>0</v>
      </c>
      <c r="AJ401" s="49" t="str">
        <f t="shared" si="106"/>
        <v/>
      </c>
      <c r="AK401" s="49">
        <f t="shared" si="107"/>
        <v>0</v>
      </c>
      <c r="AL401" s="49" t="str">
        <f t="shared" si="108"/>
        <v/>
      </c>
      <c r="AM401" s="49">
        <f t="shared" si="109"/>
        <v>0</v>
      </c>
      <c r="AN401" s="49" t="str">
        <f t="shared" si="110"/>
        <v/>
      </c>
      <c r="AO401" s="49">
        <f t="shared" si="111"/>
        <v>0</v>
      </c>
      <c r="AP401" s="49" t="str">
        <f t="shared" si="112"/>
        <v/>
      </c>
      <c r="AQ401" s="49">
        <f t="shared" si="113"/>
        <v>0</v>
      </c>
      <c r="AR401" s="49" t="str">
        <f t="shared" si="114"/>
        <v/>
      </c>
    </row>
    <row r="402" spans="1:44" ht="30" customHeight="1" x14ac:dyDescent="0.35">
      <c r="A402" s="25" t="str">
        <f t="shared" si="103"/>
        <v>PT177 - PLATAFORMA DE ACESSO - FORQUILHA 2 - DETALHADO
TORRE B3PROJETO DETALHADO
CIVIL</v>
      </c>
      <c r="B402" s="40" t="s">
        <v>49</v>
      </c>
      <c r="C402" s="60" t="str">
        <f>IF(AND($B402=[1]rogério!$A403,[1]rogério!$B403=C$4),"ok","nok")</f>
        <v>nok</v>
      </c>
      <c r="D402" s="60" t="str">
        <f>IF(AND($B402=[1]rogério!$A403,[1]rogério!$B403=D$4),"ok","nok")</f>
        <v>nok</v>
      </c>
      <c r="E402" s="60" t="str">
        <f>IF(AND($B402=[1]rogério!$A403,[1]rogério!$B403=E$4),"ok","nok")</f>
        <v>nok</v>
      </c>
      <c r="F402" s="60" t="str">
        <f>IF(AND($B402=[1]rogério!$A403,[1]rogério!$B403=F$4),"ok","nok")</f>
        <v>nok</v>
      </c>
      <c r="G402" s="60" t="str">
        <f>IF(AND($B402=[1]rogério!$A403,[1]rogério!$B403=G$4),"ok","nok")</f>
        <v>nok</v>
      </c>
      <c r="H402" s="60" t="str">
        <f>IF(AND($B402=[1]rogério!$A403,[1]rogério!$B403=H$4),"ok","nok")</f>
        <v>nok</v>
      </c>
      <c r="I402" s="60" t="str">
        <f>IF(AND($B402=[1]rogério!$A403,[1]rogério!$B403=I$4),"ok","nok")</f>
        <v>nok</v>
      </c>
      <c r="J402" s="60" t="str">
        <f>IF(AND($B402=[1]rogério!$A403,[1]rogério!$B403=J$4),"ok","nok")</f>
        <v>nok</v>
      </c>
      <c r="K402" s="60" t="str">
        <f>IF(AND($B402=[1]rogério!$A403,[1]rogério!$B403=K$4),"ok","nok")</f>
        <v>nok</v>
      </c>
      <c r="L402" s="60" t="str">
        <f>IF(AND($B402=[1]rogério!$A403,[1]rogério!$B403=L$4),"ok","nok")</f>
        <v>nok</v>
      </c>
      <c r="M402" s="60" t="str">
        <f>IF(AND($B402=[1]rogério!$A403,[1]rogério!$B403=M$4),"ok","nok")</f>
        <v>nok</v>
      </c>
      <c r="N402" s="60" t="str">
        <f>IF(AND($B402=[1]rogério!$A403,[1]rogério!$B403=N$4),"ok","nok")</f>
        <v>nok</v>
      </c>
      <c r="O402" s="60" t="str">
        <f>IF(AND($B402=[1]rogério!$A403,[1]rogério!$B403=O$4),"ok","nok")</f>
        <v>nok</v>
      </c>
      <c r="P402" s="60" t="str">
        <f>IF(AND($B402=[1]rogério!$A403,[1]rogério!$B403=P$4),"ok","nok")</f>
        <v>nok</v>
      </c>
      <c r="Q402" s="60" t="str">
        <f>IF(AND($B402=[1]rogério!$A403,[1]rogério!$B403=Q$4),"ok","nok")</f>
        <v>nok</v>
      </c>
      <c r="R402" s="60" t="str">
        <f>IF(AND($B402=[1]rogério!$A403,[1]rogério!$B403=R$4),"ok","nok")</f>
        <v>nok</v>
      </c>
      <c r="S402" s="60" t="str">
        <f>IF(AND($B402=[1]rogério!$A403,[1]rogério!$B403=S$4),"ok","nok")</f>
        <v>nok</v>
      </c>
      <c r="T402" s="60" t="str">
        <f>IF(AND($B402=[1]rogério!$A403,[1]rogério!$B403=T$4),"ok","nok")</f>
        <v>nok</v>
      </c>
      <c r="U402" s="60" t="str">
        <f>IF(AND($B402=[1]rogério!$A403,[1]rogério!$B403=U$4),"ok","nok")</f>
        <v>nok</v>
      </c>
      <c r="V402" s="60" t="str">
        <f>IF(AND($B402=[1]rogério!$A403,[1]rogério!$B403=V$4),"ok","nok")</f>
        <v>ok</v>
      </c>
      <c r="W402" s="60" t="str">
        <f>IF(AND($B402=[1]rogério!$A403,[1]rogério!$B403=W$4),"ok","nok")</f>
        <v>nok</v>
      </c>
      <c r="X402" s="60" t="str">
        <f>IF(AND($B402=[1]rogério!$A403,[1]rogério!$B403=X$4),"ok","nok")</f>
        <v>nok</v>
      </c>
      <c r="Y402" s="105" t="s">
        <v>15</v>
      </c>
      <c r="Z402" s="106"/>
      <c r="AA402" s="106"/>
      <c r="AB402" s="107"/>
      <c r="AC402" s="40"/>
      <c r="AD402" s="40"/>
      <c r="AE402" s="48" t="str">
        <f t="shared" si="104"/>
        <v/>
      </c>
      <c r="AF402" s="48"/>
      <c r="AG402" s="48"/>
      <c r="AH402" s="89"/>
      <c r="AI402" s="49">
        <f t="shared" si="105"/>
        <v>0</v>
      </c>
      <c r="AJ402" s="49" t="str">
        <f t="shared" si="106"/>
        <v/>
      </c>
      <c r="AK402" s="49">
        <f t="shared" si="107"/>
        <v>0</v>
      </c>
      <c r="AL402" s="49" t="str">
        <f t="shared" si="108"/>
        <v/>
      </c>
      <c r="AM402" s="49">
        <f t="shared" si="109"/>
        <v>0</v>
      </c>
      <c r="AN402" s="49" t="str">
        <f t="shared" si="110"/>
        <v/>
      </c>
      <c r="AO402" s="49">
        <f t="shared" si="111"/>
        <v>1</v>
      </c>
      <c r="AP402" s="49" t="str">
        <f t="shared" si="112"/>
        <v/>
      </c>
      <c r="AQ402" s="49">
        <f t="shared" si="113"/>
        <v>0</v>
      </c>
      <c r="AR402" s="49" t="str">
        <f t="shared" si="114"/>
        <v/>
      </c>
    </row>
    <row r="403" spans="1:44" ht="30" customHeight="1" x14ac:dyDescent="0.35">
      <c r="A403" s="25"/>
      <c r="B403" s="62" t="s">
        <v>86</v>
      </c>
      <c r="C403" s="62"/>
      <c r="D403" s="62"/>
      <c r="E403" s="62"/>
      <c r="F403" s="62"/>
      <c r="G403" s="62"/>
      <c r="H403" s="62"/>
      <c r="I403" s="62"/>
      <c r="J403" s="62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114"/>
      <c r="Z403" s="115"/>
      <c r="AA403" s="115"/>
      <c r="AB403" s="116"/>
      <c r="AC403" s="40"/>
      <c r="AD403" s="40"/>
      <c r="AE403" s="48" t="str">
        <f t="shared" si="104"/>
        <v/>
      </c>
      <c r="AF403" s="48"/>
      <c r="AG403" s="48"/>
      <c r="AH403" s="89"/>
      <c r="AI403" s="49">
        <f t="shared" si="105"/>
        <v>0</v>
      </c>
      <c r="AJ403" s="49" t="str">
        <f t="shared" si="106"/>
        <v/>
      </c>
      <c r="AK403" s="49">
        <f t="shared" si="107"/>
        <v>0</v>
      </c>
      <c r="AL403" s="49" t="str">
        <f t="shared" si="108"/>
        <v/>
      </c>
      <c r="AM403" s="49">
        <f t="shared" si="109"/>
        <v>0</v>
      </c>
      <c r="AN403" s="49" t="str">
        <f t="shared" si="110"/>
        <v/>
      </c>
      <c r="AO403" s="49">
        <f t="shared" si="111"/>
        <v>0</v>
      </c>
      <c r="AP403" s="49" t="str">
        <f t="shared" si="112"/>
        <v/>
      </c>
      <c r="AQ403" s="49">
        <f t="shared" si="113"/>
        <v>0</v>
      </c>
      <c r="AR403" s="49" t="str">
        <f t="shared" si="114"/>
        <v/>
      </c>
    </row>
    <row r="404" spans="1:44" ht="30" customHeight="1" x14ac:dyDescent="0.35">
      <c r="A404" s="25"/>
      <c r="B404" s="39" t="s">
        <v>95</v>
      </c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108"/>
      <c r="Z404" s="109"/>
      <c r="AA404" s="109"/>
      <c r="AB404" s="110"/>
      <c r="AC404" s="40"/>
      <c r="AD404" s="40"/>
      <c r="AE404" s="48" t="str">
        <f t="shared" si="104"/>
        <v/>
      </c>
      <c r="AF404" s="48"/>
      <c r="AG404" s="48"/>
      <c r="AH404" s="89"/>
      <c r="AI404" s="49">
        <f t="shared" si="105"/>
        <v>0</v>
      </c>
      <c r="AJ404" s="49" t="str">
        <f t="shared" si="106"/>
        <v/>
      </c>
      <c r="AK404" s="49">
        <f t="shared" si="107"/>
        <v>0</v>
      </c>
      <c r="AL404" s="49" t="str">
        <f t="shared" si="108"/>
        <v/>
      </c>
      <c r="AM404" s="49">
        <f t="shared" si="109"/>
        <v>0</v>
      </c>
      <c r="AN404" s="49" t="str">
        <f t="shared" si="110"/>
        <v/>
      </c>
      <c r="AO404" s="49">
        <f t="shared" si="111"/>
        <v>0</v>
      </c>
      <c r="AP404" s="49" t="str">
        <f t="shared" si="112"/>
        <v/>
      </c>
      <c r="AQ404" s="49">
        <f t="shared" si="113"/>
        <v>0</v>
      </c>
      <c r="AR404" s="49" t="str">
        <f t="shared" si="114"/>
        <v/>
      </c>
    </row>
    <row r="405" spans="1:44" ht="30" customHeight="1" x14ac:dyDescent="0.35">
      <c r="A405" s="25" t="str">
        <f>CONCATENATE($B$355,"
",$B$357,"",$B$358,"
",$B$403)</f>
        <v>PT177 - PLATAFORMA DE ACESSO - FORQUILHA 2 - DETALHADO
TORRE B3PROJETO DETALHADO
ELÉTRICA</v>
      </c>
      <c r="B405" s="40" t="s">
        <v>19</v>
      </c>
      <c r="C405" s="60" t="str">
        <f>IF(AND($B405=[1]rogério!$A406,[1]rogério!$B406=C$4),"ok","nok")</f>
        <v>nok</v>
      </c>
      <c r="D405" s="60" t="str">
        <f>IF(AND($B405=[1]rogério!$A406,[1]rogério!$B406=D$4),"ok","nok")</f>
        <v>nok</v>
      </c>
      <c r="E405" s="60" t="str">
        <f>IF(AND($B405=[1]rogério!$A406,[1]rogério!$B406=E$4),"ok","nok")</f>
        <v>nok</v>
      </c>
      <c r="F405" s="60" t="str">
        <f>IF(AND($B405=[1]rogério!$A406,[1]rogério!$B406=F$4),"ok","nok")</f>
        <v>nok</v>
      </c>
      <c r="G405" s="60" t="str">
        <f>IF(AND($B405=[1]rogério!$A406,[1]rogério!$B406=G$4),"ok","nok")</f>
        <v>nok</v>
      </c>
      <c r="H405" s="60" t="str">
        <f>IF(AND($B405=[1]rogério!$A406,[1]rogério!$B406=H$4),"ok","nok")</f>
        <v>nok</v>
      </c>
      <c r="I405" s="60" t="str">
        <f>IF(AND($B405=[1]rogério!$A406,[1]rogério!$B406=I$4),"ok","nok")</f>
        <v>ok</v>
      </c>
      <c r="J405" s="60" t="str">
        <f>IF(AND($B405=[1]rogério!$A406,[1]rogério!$B406=J$4),"ok","nok")</f>
        <v>nok</v>
      </c>
      <c r="K405" s="60" t="str">
        <f>IF(AND($B405=[1]rogério!$A406,[1]rogério!$B406=K$4),"ok","nok")</f>
        <v>nok</v>
      </c>
      <c r="L405" s="60" t="str">
        <f>IF(AND($B405=[1]rogério!$A406,[1]rogério!$B406=L$4),"ok","nok")</f>
        <v>nok</v>
      </c>
      <c r="M405" s="60" t="str">
        <f>IF(AND($B405=[1]rogério!$A406,[1]rogério!$B406=M$4),"ok","nok")</f>
        <v>nok</v>
      </c>
      <c r="N405" s="60" t="str">
        <f>IF(AND($B405=[1]rogério!$A406,[1]rogério!$B406=N$4),"ok","nok")</f>
        <v>nok</v>
      </c>
      <c r="O405" s="60" t="str">
        <f>IF(AND($B405=[1]rogério!$A406,[1]rogério!$B406=O$4),"ok","nok")</f>
        <v>nok</v>
      </c>
      <c r="P405" s="60" t="str">
        <f>IF(AND($B405=[1]rogério!$A406,[1]rogério!$B406=P$4),"ok","nok")</f>
        <v>nok</v>
      </c>
      <c r="Q405" s="60" t="str">
        <f>IF(AND($B405=[1]rogério!$A406,[1]rogério!$B406=Q$4),"ok","nok")</f>
        <v>nok</v>
      </c>
      <c r="R405" s="60" t="str">
        <f>IF(AND($B405=[1]rogério!$A406,[1]rogério!$B406=R$4),"ok","nok")</f>
        <v>nok</v>
      </c>
      <c r="S405" s="60" t="str">
        <f>IF(AND($B405=[1]rogério!$A406,[1]rogério!$B406=S$4),"ok","nok")</f>
        <v>nok</v>
      </c>
      <c r="T405" s="60" t="str">
        <f>IF(AND($B405=[1]rogério!$A406,[1]rogério!$B406=T$4),"ok","nok")</f>
        <v>nok</v>
      </c>
      <c r="U405" s="60" t="str">
        <f>IF(AND($B405=[1]rogério!$A406,[1]rogério!$B406=U$4),"ok","nok")</f>
        <v>nok</v>
      </c>
      <c r="V405" s="60" t="str">
        <f>IF(AND($B405=[1]rogério!$A406,[1]rogério!$B406=V$4),"ok","nok")</f>
        <v>nok</v>
      </c>
      <c r="W405" s="60" t="str">
        <f>IF(AND($B405=[1]rogério!$A406,[1]rogério!$B406=W$4),"ok","nok")</f>
        <v>nok</v>
      </c>
      <c r="X405" s="60" t="str">
        <f>IF(AND($B405=[1]rogério!$A406,[1]rogério!$B406=X$4),"ok","nok")</f>
        <v>nok</v>
      </c>
      <c r="Y405" s="105" t="s">
        <v>15</v>
      </c>
      <c r="Z405" s="106"/>
      <c r="AA405" s="106"/>
      <c r="AB405" s="107"/>
      <c r="AC405" s="40"/>
      <c r="AD405" s="40"/>
      <c r="AE405" s="48" t="str">
        <f t="shared" si="104"/>
        <v/>
      </c>
      <c r="AF405" s="48"/>
      <c r="AG405" s="48"/>
      <c r="AH405" s="89"/>
      <c r="AI405" s="49">
        <f t="shared" si="105"/>
        <v>0</v>
      </c>
      <c r="AJ405" s="49" t="str">
        <f t="shared" si="106"/>
        <v/>
      </c>
      <c r="AK405" s="49">
        <f t="shared" si="107"/>
        <v>1</v>
      </c>
      <c r="AL405" s="49" t="str">
        <f t="shared" si="108"/>
        <v/>
      </c>
      <c r="AM405" s="49">
        <f t="shared" si="109"/>
        <v>0</v>
      </c>
      <c r="AN405" s="49" t="str">
        <f t="shared" si="110"/>
        <v/>
      </c>
      <c r="AO405" s="49">
        <f t="shared" si="111"/>
        <v>0</v>
      </c>
      <c r="AP405" s="49" t="str">
        <f t="shared" si="112"/>
        <v/>
      </c>
      <c r="AQ405" s="49">
        <f t="shared" si="113"/>
        <v>0</v>
      </c>
      <c r="AR405" s="49" t="str">
        <f t="shared" si="114"/>
        <v/>
      </c>
    </row>
    <row r="406" spans="1:44" ht="30" customHeight="1" x14ac:dyDescent="0.35">
      <c r="A406" s="25" t="str">
        <f t="shared" ref="A406:A407" si="115">CONCATENATE($B$355,"
",$B$357,"",$B$358,"
",$B$403)</f>
        <v>PT177 - PLATAFORMA DE ACESSO - FORQUILHA 2 - DETALHADO
TORRE B3PROJETO DETALHADO
ELÉTRICA</v>
      </c>
      <c r="B406" s="40" t="s">
        <v>42</v>
      </c>
      <c r="C406" s="60" t="str">
        <f>IF(AND($B406=[1]rogério!$A407,[1]rogério!$B407=C$4),"ok","nok")</f>
        <v>nok</v>
      </c>
      <c r="D406" s="60" t="str">
        <f>IF(AND($B406=[1]rogério!$A407,[1]rogério!$B407=D$4),"ok","nok")</f>
        <v>nok</v>
      </c>
      <c r="E406" s="60" t="str">
        <f>IF(AND($B406=[1]rogério!$A407,[1]rogério!$B407=E$4),"ok","nok")</f>
        <v>nok</v>
      </c>
      <c r="F406" s="60" t="str">
        <f>IF(AND($B406=[1]rogério!$A407,[1]rogério!$B407=F$4),"ok","nok")</f>
        <v>nok</v>
      </c>
      <c r="G406" s="60" t="str">
        <f>IF(AND($B406=[1]rogério!$A407,[1]rogério!$B407=G$4),"ok","nok")</f>
        <v>nok</v>
      </c>
      <c r="H406" s="60" t="str">
        <f>IF(AND($B406=[1]rogério!$A407,[1]rogério!$B407=H$4),"ok","nok")</f>
        <v>nok</v>
      </c>
      <c r="I406" s="60" t="str">
        <f>IF(AND($B406=[1]rogério!$A407,[1]rogério!$B407=I$4),"ok","nok")</f>
        <v>nok</v>
      </c>
      <c r="J406" s="60" t="str">
        <f>IF(AND($B406=[1]rogério!$A407,[1]rogério!$B407=J$4),"ok","nok")</f>
        <v>nok</v>
      </c>
      <c r="K406" s="60" t="str">
        <f>IF(AND($B406=[1]rogério!$A407,[1]rogério!$B407=K$4),"ok","nok")</f>
        <v>nok</v>
      </c>
      <c r="L406" s="60" t="str">
        <f>IF(AND($B406=[1]rogério!$A407,[1]rogério!$B407=L$4),"ok","nok")</f>
        <v>ok</v>
      </c>
      <c r="M406" s="60" t="str">
        <f>IF(AND($B406=[1]rogério!$A407,[1]rogério!$B407=M$4),"ok","nok")</f>
        <v>nok</v>
      </c>
      <c r="N406" s="60" t="str">
        <f>IF(AND($B406=[1]rogério!$A407,[1]rogério!$B407=N$4),"ok","nok")</f>
        <v>nok</v>
      </c>
      <c r="O406" s="60" t="str">
        <f>IF(AND($B406=[1]rogério!$A407,[1]rogério!$B407=O$4),"ok","nok")</f>
        <v>nok</v>
      </c>
      <c r="P406" s="60" t="str">
        <f>IF(AND($B406=[1]rogério!$A407,[1]rogério!$B407=P$4),"ok","nok")</f>
        <v>nok</v>
      </c>
      <c r="Q406" s="60" t="str">
        <f>IF(AND($B406=[1]rogério!$A407,[1]rogério!$B407=Q$4),"ok","nok")</f>
        <v>nok</v>
      </c>
      <c r="R406" s="60" t="str">
        <f>IF(AND($B406=[1]rogério!$A407,[1]rogério!$B407=R$4),"ok","nok")</f>
        <v>nok</v>
      </c>
      <c r="S406" s="60" t="str">
        <f>IF(AND($B406=[1]rogério!$A407,[1]rogério!$B407=S$4),"ok","nok")</f>
        <v>nok</v>
      </c>
      <c r="T406" s="60" t="str">
        <f>IF(AND($B406=[1]rogério!$A407,[1]rogério!$B407=T$4),"ok","nok")</f>
        <v>nok</v>
      </c>
      <c r="U406" s="60" t="str">
        <f>IF(AND($B406=[1]rogério!$A407,[1]rogério!$B407=U$4),"ok","nok")</f>
        <v>nok</v>
      </c>
      <c r="V406" s="60" t="str">
        <f>IF(AND($B406=[1]rogério!$A407,[1]rogério!$B407=V$4),"ok","nok")</f>
        <v>nok</v>
      </c>
      <c r="W406" s="60" t="str">
        <f>IF(AND($B406=[1]rogério!$A407,[1]rogério!$B407=W$4),"ok","nok")</f>
        <v>nok</v>
      </c>
      <c r="X406" s="60" t="str">
        <f>IF(AND($B406=[1]rogério!$A407,[1]rogério!$B407=X$4),"ok","nok")</f>
        <v>nok</v>
      </c>
      <c r="Y406" s="105" t="s">
        <v>15</v>
      </c>
      <c r="Z406" s="106"/>
      <c r="AA406" s="106"/>
      <c r="AB406" s="107"/>
      <c r="AC406" s="40"/>
      <c r="AD406" s="40"/>
      <c r="AE406" s="48" t="str">
        <f t="shared" si="104"/>
        <v/>
      </c>
      <c r="AF406" s="48"/>
      <c r="AG406" s="48"/>
      <c r="AH406" s="89"/>
      <c r="AI406" s="49">
        <f t="shared" si="105"/>
        <v>0</v>
      </c>
      <c r="AJ406" s="49" t="str">
        <f t="shared" si="106"/>
        <v/>
      </c>
      <c r="AK406" s="49">
        <f t="shared" si="107"/>
        <v>1</v>
      </c>
      <c r="AL406" s="49" t="str">
        <f t="shared" si="108"/>
        <v/>
      </c>
      <c r="AM406" s="49">
        <f t="shared" si="109"/>
        <v>0</v>
      </c>
      <c r="AN406" s="49" t="str">
        <f t="shared" si="110"/>
        <v/>
      </c>
      <c r="AO406" s="49">
        <f t="shared" si="111"/>
        <v>0</v>
      </c>
      <c r="AP406" s="49" t="str">
        <f t="shared" si="112"/>
        <v/>
      </c>
      <c r="AQ406" s="49">
        <f t="shared" si="113"/>
        <v>0</v>
      </c>
      <c r="AR406" s="49" t="str">
        <f t="shared" si="114"/>
        <v/>
      </c>
    </row>
    <row r="407" spans="1:44" ht="30" customHeight="1" x14ac:dyDescent="0.35">
      <c r="A407" s="25" t="str">
        <f t="shared" si="115"/>
        <v>PT177 - PLATAFORMA DE ACESSO - FORQUILHA 2 - DETALHADO
TORRE B3PROJETO DETALHADO
ELÉTRICA</v>
      </c>
      <c r="B407" s="40" t="s">
        <v>43</v>
      </c>
      <c r="C407" s="60" t="str">
        <f>IF(AND($B407=[1]rogério!$A408,[1]rogério!$B408=C$4),"ok","nok")</f>
        <v>nok</v>
      </c>
      <c r="D407" s="60" t="str">
        <f>IF(AND($B407=[1]rogério!$A408,[1]rogério!$B408=D$4),"ok","nok")</f>
        <v>nok</v>
      </c>
      <c r="E407" s="60" t="str">
        <f>IF(AND($B407=[1]rogério!$A408,[1]rogério!$B408=E$4),"ok","nok")</f>
        <v>nok</v>
      </c>
      <c r="F407" s="60" t="str">
        <f>IF(AND($B407=[1]rogério!$A408,[1]rogério!$B408=F$4),"ok","nok")</f>
        <v>nok</v>
      </c>
      <c r="G407" s="60" t="str">
        <f>IF(AND($B407=[1]rogério!$A408,[1]rogério!$B408=G$4),"ok","nok")</f>
        <v>nok</v>
      </c>
      <c r="H407" s="60" t="str">
        <f>IF(AND($B407=[1]rogério!$A408,[1]rogério!$B408=H$4),"ok","nok")</f>
        <v>nok</v>
      </c>
      <c r="I407" s="60" t="str">
        <f>IF(AND($B407=[1]rogério!$A408,[1]rogério!$B408=I$4),"ok","nok")</f>
        <v>nok</v>
      </c>
      <c r="J407" s="60" t="str">
        <f>IF(AND($B407=[1]rogério!$A408,[1]rogério!$B408=J$4),"ok","nok")</f>
        <v>nok</v>
      </c>
      <c r="K407" s="60" t="str">
        <f>IF(AND($B407=[1]rogério!$A408,[1]rogério!$B408=K$4),"ok","nok")</f>
        <v>nok</v>
      </c>
      <c r="L407" s="60" t="str">
        <f>IF(AND($B407=[1]rogério!$A408,[1]rogério!$B408=L$4),"ok","nok")</f>
        <v>ok</v>
      </c>
      <c r="M407" s="60" t="str">
        <f>IF(AND($B407=[1]rogério!$A408,[1]rogério!$B408=M$4),"ok","nok")</f>
        <v>nok</v>
      </c>
      <c r="N407" s="60" t="str">
        <f>IF(AND($B407=[1]rogério!$A408,[1]rogério!$B408=N$4),"ok","nok")</f>
        <v>nok</v>
      </c>
      <c r="O407" s="60" t="str">
        <f>IF(AND($B407=[1]rogério!$A408,[1]rogério!$B408=O$4),"ok","nok")</f>
        <v>nok</v>
      </c>
      <c r="P407" s="60" t="str">
        <f>IF(AND($B407=[1]rogério!$A408,[1]rogério!$B408=P$4),"ok","nok")</f>
        <v>nok</v>
      </c>
      <c r="Q407" s="60" t="str">
        <f>IF(AND($B407=[1]rogério!$A408,[1]rogério!$B408=Q$4),"ok","nok")</f>
        <v>nok</v>
      </c>
      <c r="R407" s="60" t="str">
        <f>IF(AND($B407=[1]rogério!$A408,[1]rogério!$B408=R$4),"ok","nok")</f>
        <v>nok</v>
      </c>
      <c r="S407" s="60" t="str">
        <f>IF(AND($B407=[1]rogério!$A408,[1]rogério!$B408=S$4),"ok","nok")</f>
        <v>nok</v>
      </c>
      <c r="T407" s="60" t="str">
        <f>IF(AND($B407=[1]rogério!$A408,[1]rogério!$B408=T$4),"ok","nok")</f>
        <v>nok</v>
      </c>
      <c r="U407" s="60" t="str">
        <f>IF(AND($B407=[1]rogério!$A408,[1]rogério!$B408=U$4),"ok","nok")</f>
        <v>nok</v>
      </c>
      <c r="V407" s="60" t="str">
        <f>IF(AND($B407=[1]rogério!$A408,[1]rogério!$B408=V$4),"ok","nok")</f>
        <v>nok</v>
      </c>
      <c r="W407" s="60" t="str">
        <f>IF(AND($B407=[1]rogério!$A408,[1]rogério!$B408=W$4),"ok","nok")</f>
        <v>nok</v>
      </c>
      <c r="X407" s="60" t="str">
        <f>IF(AND($B407=[1]rogério!$A408,[1]rogério!$B408=X$4),"ok","nok")</f>
        <v>nok</v>
      </c>
      <c r="Y407" s="105" t="s">
        <v>15</v>
      </c>
      <c r="Z407" s="106"/>
      <c r="AA407" s="106"/>
      <c r="AB407" s="107"/>
      <c r="AC407" s="40"/>
      <c r="AD407" s="40"/>
      <c r="AE407" s="48" t="str">
        <f t="shared" si="104"/>
        <v/>
      </c>
      <c r="AF407" s="48"/>
      <c r="AG407" s="48"/>
      <c r="AH407" s="89"/>
      <c r="AI407" s="49">
        <f t="shared" si="105"/>
        <v>0</v>
      </c>
      <c r="AJ407" s="49" t="str">
        <f t="shared" si="106"/>
        <v/>
      </c>
      <c r="AK407" s="49">
        <f t="shared" si="107"/>
        <v>1</v>
      </c>
      <c r="AL407" s="49" t="str">
        <f t="shared" si="108"/>
        <v/>
      </c>
      <c r="AM407" s="49">
        <f t="shared" si="109"/>
        <v>0</v>
      </c>
      <c r="AN407" s="49" t="str">
        <f t="shared" si="110"/>
        <v/>
      </c>
      <c r="AO407" s="49">
        <f t="shared" si="111"/>
        <v>0</v>
      </c>
      <c r="AP407" s="49" t="str">
        <f t="shared" si="112"/>
        <v/>
      </c>
      <c r="AQ407" s="49">
        <f t="shared" si="113"/>
        <v>0</v>
      </c>
      <c r="AR407" s="49" t="str">
        <f t="shared" si="114"/>
        <v/>
      </c>
    </row>
    <row r="408" spans="1:44" ht="30" customHeight="1" x14ac:dyDescent="0.35">
      <c r="A408" s="25"/>
      <c r="B408" s="42" t="s">
        <v>84</v>
      </c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111"/>
      <c r="Z408" s="112"/>
      <c r="AA408" s="112"/>
      <c r="AB408" s="113"/>
      <c r="AC408" s="40"/>
      <c r="AD408" s="40"/>
      <c r="AE408" s="48" t="str">
        <f t="shared" si="104"/>
        <v/>
      </c>
      <c r="AF408" s="48"/>
      <c r="AG408" s="48"/>
      <c r="AH408" s="89"/>
      <c r="AI408" s="49">
        <f>COUNTIF(C408:G408,"ok")</f>
        <v>0</v>
      </c>
      <c r="AJ408" s="49" t="str">
        <f t="shared" si="106"/>
        <v/>
      </c>
      <c r="AK408" s="49">
        <f t="shared" si="107"/>
        <v>0</v>
      </c>
      <c r="AL408" s="49" t="str">
        <f t="shared" si="108"/>
        <v/>
      </c>
      <c r="AM408" s="49">
        <f t="shared" si="109"/>
        <v>0</v>
      </c>
      <c r="AN408" s="49" t="str">
        <f t="shared" si="110"/>
        <v/>
      </c>
      <c r="AO408" s="49">
        <f t="shared" si="111"/>
        <v>0</v>
      </c>
      <c r="AP408" s="49" t="str">
        <f t="shared" si="112"/>
        <v/>
      </c>
      <c r="AQ408" s="49">
        <f t="shared" si="113"/>
        <v>0</v>
      </c>
      <c r="AR408" s="49" t="str">
        <f t="shared" si="114"/>
        <v/>
      </c>
    </row>
    <row r="409" spans="1:44" ht="30" customHeight="1" x14ac:dyDescent="0.35">
      <c r="A409" s="25"/>
      <c r="B409" s="61" t="s">
        <v>70</v>
      </c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117"/>
      <c r="Z409" s="118"/>
      <c r="AA409" s="118"/>
      <c r="AB409" s="119"/>
      <c r="AC409" s="40"/>
      <c r="AD409" s="40"/>
      <c r="AE409" s="48" t="str">
        <f t="shared" si="104"/>
        <v/>
      </c>
      <c r="AF409" s="48"/>
      <c r="AG409" s="48"/>
      <c r="AH409" s="89"/>
      <c r="AI409" s="49">
        <f t="shared" si="105"/>
        <v>0</v>
      </c>
      <c r="AJ409" s="49" t="str">
        <f t="shared" si="106"/>
        <v/>
      </c>
      <c r="AK409" s="49">
        <f t="shared" si="107"/>
        <v>0</v>
      </c>
      <c r="AL409" s="49" t="str">
        <f t="shared" si="108"/>
        <v/>
      </c>
      <c r="AM409" s="49">
        <f t="shared" si="109"/>
        <v>0</v>
      </c>
      <c r="AN409" s="49" t="str">
        <f t="shared" si="110"/>
        <v/>
      </c>
      <c r="AO409" s="49">
        <f t="shared" si="111"/>
        <v>0</v>
      </c>
      <c r="AP409" s="49" t="str">
        <f t="shared" si="112"/>
        <v/>
      </c>
      <c r="AQ409" s="49">
        <f t="shared" si="113"/>
        <v>0</v>
      </c>
      <c r="AR409" s="49" t="str">
        <f t="shared" si="114"/>
        <v/>
      </c>
    </row>
    <row r="410" spans="1:44" ht="30" customHeight="1" x14ac:dyDescent="0.35">
      <c r="A410" s="25"/>
      <c r="B410" s="62" t="s">
        <v>58</v>
      </c>
      <c r="C410" s="62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114"/>
      <c r="Z410" s="115"/>
      <c r="AA410" s="115"/>
      <c r="AB410" s="116"/>
      <c r="AC410" s="40"/>
      <c r="AD410" s="40"/>
      <c r="AE410" s="48" t="str">
        <f t="shared" si="104"/>
        <v/>
      </c>
      <c r="AF410" s="48"/>
      <c r="AG410" s="48"/>
      <c r="AH410" s="89"/>
      <c r="AI410" s="49">
        <f t="shared" si="105"/>
        <v>0</v>
      </c>
      <c r="AJ410" s="49" t="str">
        <f t="shared" si="106"/>
        <v/>
      </c>
      <c r="AK410" s="49">
        <f t="shared" si="107"/>
        <v>0</v>
      </c>
      <c r="AL410" s="49" t="str">
        <f t="shared" si="108"/>
        <v/>
      </c>
      <c r="AM410" s="49">
        <f t="shared" si="109"/>
        <v>0</v>
      </c>
      <c r="AN410" s="49" t="str">
        <f t="shared" si="110"/>
        <v/>
      </c>
      <c r="AO410" s="49">
        <f t="shared" si="111"/>
        <v>0</v>
      </c>
      <c r="AP410" s="49" t="str">
        <f t="shared" si="112"/>
        <v/>
      </c>
      <c r="AQ410" s="49">
        <f t="shared" si="113"/>
        <v>0</v>
      </c>
      <c r="AR410" s="49" t="str">
        <f t="shared" si="114"/>
        <v/>
      </c>
    </row>
    <row r="411" spans="1:44" ht="30" customHeight="1" x14ac:dyDescent="0.35">
      <c r="A411" s="25"/>
      <c r="B411" s="39" t="s">
        <v>41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108"/>
      <c r="Z411" s="109"/>
      <c r="AA411" s="109"/>
      <c r="AB411" s="110"/>
      <c r="AC411" s="40"/>
      <c r="AD411" s="40"/>
      <c r="AE411" s="48" t="str">
        <f t="shared" si="104"/>
        <v/>
      </c>
      <c r="AF411" s="48"/>
      <c r="AG411" s="48"/>
      <c r="AH411" s="89"/>
      <c r="AI411" s="49">
        <f t="shared" si="105"/>
        <v>0</v>
      </c>
      <c r="AJ411" s="49" t="str">
        <f t="shared" si="106"/>
        <v/>
      </c>
      <c r="AK411" s="49">
        <f t="shared" si="107"/>
        <v>0</v>
      </c>
      <c r="AL411" s="49" t="str">
        <f t="shared" si="108"/>
        <v/>
      </c>
      <c r="AM411" s="49">
        <f t="shared" si="109"/>
        <v>0</v>
      </c>
      <c r="AN411" s="49" t="str">
        <f t="shared" si="110"/>
        <v/>
      </c>
      <c r="AO411" s="49">
        <f t="shared" si="111"/>
        <v>0</v>
      </c>
      <c r="AP411" s="49" t="str">
        <f t="shared" si="112"/>
        <v/>
      </c>
      <c r="AQ411" s="49">
        <f t="shared" si="113"/>
        <v>0</v>
      </c>
      <c r="AR411" s="49" t="str">
        <f t="shared" si="114"/>
        <v/>
      </c>
    </row>
    <row r="412" spans="1:44" ht="30" customHeight="1" x14ac:dyDescent="0.35">
      <c r="A412" s="25" t="str">
        <f>CONCATENATE($B$355,"
",$B$408,"",$B$409,"
",$B$410)</f>
        <v>PT177 - PLATAFORMA DE ACESSO - FORQUILHA 2 - DETALHADO
TORRE B4PROJETO DETALHADO
ESTRUTURAS METÁLICAS</v>
      </c>
      <c r="B412" s="40" t="s">
        <v>19</v>
      </c>
      <c r="C412" s="60" t="str">
        <f>IF(AND($B412=[1]rogério!$A413,[1]rogério!$B413=C$4),"ok","nok")</f>
        <v>nok</v>
      </c>
      <c r="D412" s="60" t="str">
        <f>IF(AND($B412=[1]rogério!$A413,[1]rogério!$B413=D$4),"ok","nok")</f>
        <v>nok</v>
      </c>
      <c r="E412" s="60" t="str">
        <f>IF(AND($B412=[1]rogério!$A413,[1]rogério!$B413=E$4),"ok","nok")</f>
        <v>nok</v>
      </c>
      <c r="F412" s="60" t="str">
        <f>IF(AND($B412=[1]rogério!$A413,[1]rogério!$B413=F$4),"ok","nok")</f>
        <v>nok</v>
      </c>
      <c r="G412" s="60" t="str">
        <f>IF(AND($B412=[1]rogério!$A413,[1]rogério!$B413=G$4),"ok","nok")</f>
        <v>nok</v>
      </c>
      <c r="H412" s="60" t="str">
        <f>IF(AND($B412=[1]rogério!$A413,[1]rogério!$B413=H$4),"ok","nok")</f>
        <v>nok</v>
      </c>
      <c r="I412" s="60" t="str">
        <f>IF(AND($B412=[1]rogério!$A413,[1]rogério!$B413=I$4),"ok","nok")</f>
        <v>ok</v>
      </c>
      <c r="J412" s="60" t="str">
        <f>IF(AND($B412=[1]rogério!$A413,[1]rogério!$B413=J$4),"ok","nok")</f>
        <v>nok</v>
      </c>
      <c r="K412" s="60" t="str">
        <f>IF(AND($B412=[1]rogério!$A413,[1]rogério!$B413=K$4),"ok","nok")</f>
        <v>nok</v>
      </c>
      <c r="L412" s="60" t="str">
        <f>IF(AND($B412=[1]rogério!$A413,[1]rogério!$B413=L$4),"ok","nok")</f>
        <v>nok</v>
      </c>
      <c r="M412" s="60" t="str">
        <f>IF(AND($B412=[1]rogério!$A413,[1]rogério!$B413=M$4),"ok","nok")</f>
        <v>nok</v>
      </c>
      <c r="N412" s="60" t="str">
        <f>IF(AND($B412=[1]rogério!$A413,[1]rogério!$B413=N$4),"ok","nok")</f>
        <v>nok</v>
      </c>
      <c r="O412" s="60" t="str">
        <f>IF(AND($B412=[1]rogério!$A413,[1]rogério!$B413=O$4),"ok","nok")</f>
        <v>nok</v>
      </c>
      <c r="P412" s="60" t="str">
        <f>IF(AND($B412=[1]rogério!$A413,[1]rogério!$B413=P$4),"ok","nok")</f>
        <v>nok</v>
      </c>
      <c r="Q412" s="60" t="str">
        <f>IF(AND($B412=[1]rogério!$A413,[1]rogério!$B413=Q$4),"ok","nok")</f>
        <v>nok</v>
      </c>
      <c r="R412" s="60" t="str">
        <f>IF(AND($B412=[1]rogério!$A413,[1]rogério!$B413=R$4),"ok","nok")</f>
        <v>nok</v>
      </c>
      <c r="S412" s="60" t="str">
        <f>IF(AND($B412=[1]rogério!$A413,[1]rogério!$B413=S$4),"ok","nok")</f>
        <v>nok</v>
      </c>
      <c r="T412" s="60" t="str">
        <f>IF(AND($B412=[1]rogério!$A413,[1]rogério!$B413=T$4),"ok","nok")</f>
        <v>nok</v>
      </c>
      <c r="U412" s="60" t="str">
        <f>IF(AND($B412=[1]rogério!$A413,[1]rogério!$B413=U$4),"ok","nok")</f>
        <v>nok</v>
      </c>
      <c r="V412" s="60" t="str">
        <f>IF(AND($B412=[1]rogério!$A413,[1]rogério!$B413=V$4),"ok","nok")</f>
        <v>nok</v>
      </c>
      <c r="W412" s="60" t="str">
        <f>IF(AND($B412=[1]rogério!$A413,[1]rogério!$B413=W$4),"ok","nok")</f>
        <v>nok</v>
      </c>
      <c r="X412" s="60" t="str">
        <f>IF(AND($B412=[1]rogério!$A413,[1]rogério!$B413=X$4),"ok","nok")</f>
        <v>nok</v>
      </c>
      <c r="Y412" s="105" t="s">
        <v>15</v>
      </c>
      <c r="Z412" s="106"/>
      <c r="AA412" s="106"/>
      <c r="AB412" s="107"/>
      <c r="AC412" s="40"/>
      <c r="AD412" s="40"/>
      <c r="AE412" s="48" t="str">
        <f t="shared" si="104"/>
        <v/>
      </c>
      <c r="AF412" s="48"/>
      <c r="AG412" s="48"/>
      <c r="AH412" s="89"/>
      <c r="AI412" s="49">
        <f t="shared" si="105"/>
        <v>0</v>
      </c>
      <c r="AJ412" s="49" t="str">
        <f t="shared" si="106"/>
        <v/>
      </c>
      <c r="AK412" s="49">
        <f t="shared" si="107"/>
        <v>1</v>
      </c>
      <c r="AL412" s="49" t="str">
        <f t="shared" si="108"/>
        <v/>
      </c>
      <c r="AM412" s="49">
        <f t="shared" si="109"/>
        <v>0</v>
      </c>
      <c r="AN412" s="49" t="str">
        <f t="shared" si="110"/>
        <v/>
      </c>
      <c r="AO412" s="49">
        <f t="shared" si="111"/>
        <v>0</v>
      </c>
      <c r="AP412" s="49" t="str">
        <f t="shared" si="112"/>
        <v/>
      </c>
      <c r="AQ412" s="49">
        <f t="shared" si="113"/>
        <v>0</v>
      </c>
      <c r="AR412" s="49" t="str">
        <f t="shared" si="114"/>
        <v/>
      </c>
    </row>
    <row r="413" spans="1:44" ht="30" customHeight="1" x14ac:dyDescent="0.35">
      <c r="A413" s="25" t="str">
        <f t="shared" ref="A413:A428" si="116">CONCATENATE($B$355,"
",$B$408,"",$B$409,"
",$B$410)</f>
        <v>PT177 - PLATAFORMA DE ACESSO - FORQUILHA 2 - DETALHADO
TORRE B4PROJETO DETALHADO
ESTRUTURAS METÁLICAS</v>
      </c>
      <c r="B413" s="40" t="s">
        <v>42</v>
      </c>
      <c r="C413" s="60" t="str">
        <f>IF(AND($B413=[1]rogério!$A414,[1]rogério!$B414=C$4),"ok","nok")</f>
        <v>nok</v>
      </c>
      <c r="D413" s="60" t="str">
        <f>IF(AND($B413=[1]rogério!$A414,[1]rogério!$B414=D$4),"ok","nok")</f>
        <v>nok</v>
      </c>
      <c r="E413" s="60" t="str">
        <f>IF(AND($B413=[1]rogério!$A414,[1]rogério!$B414=E$4),"ok","nok")</f>
        <v>nok</v>
      </c>
      <c r="F413" s="60" t="str">
        <f>IF(AND($B413=[1]rogério!$A414,[1]rogério!$B414=F$4),"ok","nok")</f>
        <v>nok</v>
      </c>
      <c r="G413" s="60" t="str">
        <f>IF(AND($B413=[1]rogério!$A414,[1]rogério!$B414=G$4),"ok","nok")</f>
        <v>nok</v>
      </c>
      <c r="H413" s="60" t="str">
        <f>IF(AND($B413=[1]rogério!$A414,[1]rogério!$B414=H$4),"ok","nok")</f>
        <v>nok</v>
      </c>
      <c r="I413" s="60" t="str">
        <f>IF(AND($B413=[1]rogério!$A414,[1]rogério!$B414=I$4),"ok","nok")</f>
        <v>nok</v>
      </c>
      <c r="J413" s="60" t="str">
        <f>IF(AND($B413=[1]rogério!$A414,[1]rogério!$B414=J$4),"ok","nok")</f>
        <v>nok</v>
      </c>
      <c r="K413" s="60" t="str">
        <f>IF(AND($B413=[1]rogério!$A414,[1]rogério!$B414=K$4),"ok","nok")</f>
        <v>nok</v>
      </c>
      <c r="L413" s="60" t="str">
        <f>IF(AND($B413=[1]rogério!$A414,[1]rogério!$B414=L$4),"ok","nok")</f>
        <v>ok</v>
      </c>
      <c r="M413" s="60" t="str">
        <f>IF(AND($B413=[1]rogério!$A414,[1]rogério!$B414=M$4),"ok","nok")</f>
        <v>nok</v>
      </c>
      <c r="N413" s="60" t="str">
        <f>IF(AND($B413=[1]rogério!$A414,[1]rogério!$B414=N$4),"ok","nok")</f>
        <v>nok</v>
      </c>
      <c r="O413" s="60" t="str">
        <f>IF(AND($B413=[1]rogério!$A414,[1]rogério!$B414=O$4),"ok","nok")</f>
        <v>nok</v>
      </c>
      <c r="P413" s="60" t="str">
        <f>IF(AND($B413=[1]rogério!$A414,[1]rogério!$B414=P$4),"ok","nok")</f>
        <v>nok</v>
      </c>
      <c r="Q413" s="60" t="str">
        <f>IF(AND($B413=[1]rogério!$A414,[1]rogério!$B414=Q$4),"ok","nok")</f>
        <v>nok</v>
      </c>
      <c r="R413" s="60" t="str">
        <f>IF(AND($B413=[1]rogério!$A414,[1]rogério!$B414=R$4),"ok","nok")</f>
        <v>nok</v>
      </c>
      <c r="S413" s="60" t="str">
        <f>IF(AND($B413=[1]rogério!$A414,[1]rogério!$B414=S$4),"ok","nok")</f>
        <v>nok</v>
      </c>
      <c r="T413" s="60" t="str">
        <f>IF(AND($B413=[1]rogério!$A414,[1]rogério!$B414=T$4),"ok","nok")</f>
        <v>nok</v>
      </c>
      <c r="U413" s="60" t="str">
        <f>IF(AND($B413=[1]rogério!$A414,[1]rogério!$B414=U$4),"ok","nok")</f>
        <v>nok</v>
      </c>
      <c r="V413" s="60" t="str">
        <f>IF(AND($B413=[1]rogério!$A414,[1]rogério!$B414=V$4),"ok","nok")</f>
        <v>nok</v>
      </c>
      <c r="W413" s="60" t="str">
        <f>IF(AND($B413=[1]rogério!$A414,[1]rogério!$B414=W$4),"ok","nok")</f>
        <v>nok</v>
      </c>
      <c r="X413" s="60" t="str">
        <f>IF(AND($B413=[1]rogério!$A414,[1]rogério!$B414=X$4),"ok","nok")</f>
        <v>nok</v>
      </c>
      <c r="Y413" s="105" t="s">
        <v>15</v>
      </c>
      <c r="Z413" s="106"/>
      <c r="AA413" s="106"/>
      <c r="AB413" s="107"/>
      <c r="AC413" s="40"/>
      <c r="AD413" s="40"/>
      <c r="AE413" s="48" t="str">
        <f t="shared" si="104"/>
        <v/>
      </c>
      <c r="AF413" s="48"/>
      <c r="AG413" s="48"/>
      <c r="AH413" s="89"/>
      <c r="AI413" s="49">
        <f t="shared" si="105"/>
        <v>0</v>
      </c>
      <c r="AJ413" s="49" t="str">
        <f t="shared" si="106"/>
        <v/>
      </c>
      <c r="AK413" s="49">
        <f t="shared" si="107"/>
        <v>1</v>
      </c>
      <c r="AL413" s="49" t="str">
        <f t="shared" si="108"/>
        <v/>
      </c>
      <c r="AM413" s="49">
        <f t="shared" si="109"/>
        <v>0</v>
      </c>
      <c r="AN413" s="49" t="str">
        <f t="shared" si="110"/>
        <v/>
      </c>
      <c r="AO413" s="49">
        <f t="shared" si="111"/>
        <v>0</v>
      </c>
      <c r="AP413" s="49" t="str">
        <f t="shared" si="112"/>
        <v/>
      </c>
      <c r="AQ413" s="49">
        <f t="shared" si="113"/>
        <v>0</v>
      </c>
      <c r="AR413" s="49" t="str">
        <f t="shared" si="114"/>
        <v/>
      </c>
    </row>
    <row r="414" spans="1:44" ht="30" customHeight="1" x14ac:dyDescent="0.35">
      <c r="A414" s="25" t="str">
        <f t="shared" si="116"/>
        <v>PT177 - PLATAFORMA DE ACESSO - FORQUILHA 2 - DETALHADO
TORRE B4PROJETO DETALHADO
ESTRUTURAS METÁLICAS</v>
      </c>
      <c r="B414" s="40" t="s">
        <v>43</v>
      </c>
      <c r="C414" s="60" t="str">
        <f>IF(AND($B414=[1]rogério!$A415,[1]rogério!$B415=C$4),"ok","nok")</f>
        <v>nok</v>
      </c>
      <c r="D414" s="60" t="str">
        <f>IF(AND($B414=[1]rogério!$A415,[1]rogério!$B415=D$4),"ok","nok")</f>
        <v>nok</v>
      </c>
      <c r="E414" s="60" t="str">
        <f>IF(AND($B414=[1]rogério!$A415,[1]rogério!$B415=E$4),"ok","nok")</f>
        <v>nok</v>
      </c>
      <c r="F414" s="60" t="str">
        <f>IF(AND($B414=[1]rogério!$A415,[1]rogério!$B415=F$4),"ok","nok")</f>
        <v>nok</v>
      </c>
      <c r="G414" s="60" t="str">
        <f>IF(AND($B414=[1]rogério!$A415,[1]rogério!$B415=G$4),"ok","nok")</f>
        <v>nok</v>
      </c>
      <c r="H414" s="60" t="str">
        <f>IF(AND($B414=[1]rogério!$A415,[1]rogério!$B415=H$4),"ok","nok")</f>
        <v>nok</v>
      </c>
      <c r="I414" s="60" t="str">
        <f>IF(AND($B414=[1]rogério!$A415,[1]rogério!$B415=I$4),"ok","nok")</f>
        <v>nok</v>
      </c>
      <c r="J414" s="60" t="str">
        <f>IF(AND($B414=[1]rogério!$A415,[1]rogério!$B415=J$4),"ok","nok")</f>
        <v>nok</v>
      </c>
      <c r="K414" s="60" t="str">
        <f>IF(AND($B414=[1]rogério!$A415,[1]rogério!$B415=K$4),"ok","nok")</f>
        <v>nok</v>
      </c>
      <c r="L414" s="60" t="str">
        <f>IF(AND($B414=[1]rogério!$A415,[1]rogério!$B415=L$4),"ok","nok")</f>
        <v>ok</v>
      </c>
      <c r="M414" s="60" t="str">
        <f>IF(AND($B414=[1]rogério!$A415,[1]rogério!$B415=M$4),"ok","nok")</f>
        <v>nok</v>
      </c>
      <c r="N414" s="60" t="str">
        <f>IF(AND($B414=[1]rogério!$A415,[1]rogério!$B415=N$4),"ok","nok")</f>
        <v>nok</v>
      </c>
      <c r="O414" s="60" t="str">
        <f>IF(AND($B414=[1]rogério!$A415,[1]rogério!$B415=O$4),"ok","nok")</f>
        <v>nok</v>
      </c>
      <c r="P414" s="60" t="str">
        <f>IF(AND($B414=[1]rogério!$A415,[1]rogério!$B415=P$4),"ok","nok")</f>
        <v>nok</v>
      </c>
      <c r="Q414" s="60" t="str">
        <f>IF(AND($B414=[1]rogério!$A415,[1]rogério!$B415=Q$4),"ok","nok")</f>
        <v>nok</v>
      </c>
      <c r="R414" s="60" t="str">
        <f>IF(AND($B414=[1]rogério!$A415,[1]rogério!$B415=R$4),"ok","nok")</f>
        <v>nok</v>
      </c>
      <c r="S414" s="60" t="str">
        <f>IF(AND($B414=[1]rogério!$A415,[1]rogério!$B415=S$4),"ok","nok")</f>
        <v>nok</v>
      </c>
      <c r="T414" s="60" t="str">
        <f>IF(AND($B414=[1]rogério!$A415,[1]rogério!$B415=T$4),"ok","nok")</f>
        <v>nok</v>
      </c>
      <c r="U414" s="60" t="str">
        <f>IF(AND($B414=[1]rogério!$A415,[1]rogério!$B415=U$4),"ok","nok")</f>
        <v>nok</v>
      </c>
      <c r="V414" s="60" t="str">
        <f>IF(AND($B414=[1]rogério!$A415,[1]rogério!$B415=V$4),"ok","nok")</f>
        <v>nok</v>
      </c>
      <c r="W414" s="60" t="str">
        <f>IF(AND($B414=[1]rogério!$A415,[1]rogério!$B415=W$4),"ok","nok")</f>
        <v>nok</v>
      </c>
      <c r="X414" s="60" t="str">
        <f>IF(AND($B414=[1]rogério!$A415,[1]rogério!$B415=X$4),"ok","nok")</f>
        <v>nok</v>
      </c>
      <c r="Y414" s="105" t="s">
        <v>15</v>
      </c>
      <c r="Z414" s="106"/>
      <c r="AA414" s="106"/>
      <c r="AB414" s="107"/>
      <c r="AC414" s="40"/>
      <c r="AD414" s="40"/>
      <c r="AE414" s="48" t="str">
        <f t="shared" si="104"/>
        <v/>
      </c>
      <c r="AF414" s="48"/>
      <c r="AG414" s="48"/>
      <c r="AH414" s="89"/>
      <c r="AI414" s="49">
        <f t="shared" si="105"/>
        <v>0</v>
      </c>
      <c r="AJ414" s="49" t="str">
        <f t="shared" si="106"/>
        <v/>
      </c>
      <c r="AK414" s="49">
        <f t="shared" si="107"/>
        <v>1</v>
      </c>
      <c r="AL414" s="49" t="str">
        <f t="shared" si="108"/>
        <v/>
      </c>
      <c r="AM414" s="49">
        <f t="shared" si="109"/>
        <v>0</v>
      </c>
      <c r="AN414" s="49" t="str">
        <f t="shared" si="110"/>
        <v/>
      </c>
      <c r="AO414" s="49">
        <f t="shared" si="111"/>
        <v>0</v>
      </c>
      <c r="AP414" s="49" t="str">
        <f t="shared" si="112"/>
        <v/>
      </c>
      <c r="AQ414" s="49">
        <f t="shared" si="113"/>
        <v>0</v>
      </c>
      <c r="AR414" s="49" t="str">
        <f t="shared" si="114"/>
        <v/>
      </c>
    </row>
    <row r="415" spans="1:44" ht="30" customHeight="1" x14ac:dyDescent="0.35">
      <c r="A415" s="25" t="str">
        <f t="shared" si="116"/>
        <v>PT177 - PLATAFORMA DE ACESSO - FORQUILHA 2 - DETALHADO
TORRE B4PROJETO DETALHADO
ESTRUTURAS METÁLICAS</v>
      </c>
      <c r="B415" s="38" t="s">
        <v>72</v>
      </c>
      <c r="C415" s="60" t="str">
        <f>IF(AND($B415=[1]rogério!$A416,[1]rogério!$B416=C$4),"ok","nok")</f>
        <v>nok</v>
      </c>
      <c r="D415" s="60" t="str">
        <f>IF(AND($B415=[1]rogério!$A416,[1]rogério!$B416=D$4),"ok","nok")</f>
        <v>nok</v>
      </c>
      <c r="E415" s="60" t="str">
        <f>IF(AND($B415=[1]rogério!$A416,[1]rogério!$B416=E$4),"ok","nok")</f>
        <v>nok</v>
      </c>
      <c r="F415" s="60" t="str">
        <f>IF(AND($B415=[1]rogério!$A416,[1]rogério!$B416=F$4),"ok","nok")</f>
        <v>nok</v>
      </c>
      <c r="G415" s="60" t="str">
        <f>IF(AND($B415=[1]rogério!$A416,[1]rogério!$B416=G$4),"ok","nok")</f>
        <v>nok</v>
      </c>
      <c r="H415" s="60" t="str">
        <f>IF(AND($B415=[1]rogério!$A416,[1]rogério!$B416=H$4),"ok","nok")</f>
        <v>nok</v>
      </c>
      <c r="I415" s="60" t="str">
        <f>IF(AND($B415=[1]rogério!$A416,[1]rogério!$B416=I$4),"ok","nok")</f>
        <v>nok</v>
      </c>
      <c r="J415" s="60" t="str">
        <f>IF(AND($B415=[1]rogério!$A416,[1]rogério!$B416=J$4),"ok","nok")</f>
        <v>nok</v>
      </c>
      <c r="K415" s="60" t="str">
        <f>IF(AND($B415=[1]rogério!$A416,[1]rogério!$B416=K$4),"ok","nok")</f>
        <v>nok</v>
      </c>
      <c r="L415" s="60" t="str">
        <f>IF(AND($B415=[1]rogério!$A416,[1]rogério!$B416=L$4),"ok","nok")</f>
        <v>nok</v>
      </c>
      <c r="M415" s="60" t="str">
        <f>IF(AND($B415=[1]rogério!$A416,[1]rogério!$B416=M$4),"ok","nok")</f>
        <v>ok</v>
      </c>
      <c r="N415" s="60" t="str">
        <f>IF(AND($B415=[1]rogério!$A416,[1]rogério!$B416=N$4),"ok","nok")</f>
        <v>nok</v>
      </c>
      <c r="O415" s="60" t="str">
        <f>IF(AND($B415=[1]rogério!$A416,[1]rogério!$B416=O$4),"ok","nok")</f>
        <v>nok</v>
      </c>
      <c r="P415" s="60" t="str">
        <f>IF(AND($B415=[1]rogério!$A416,[1]rogério!$B416=P$4),"ok","nok")</f>
        <v>nok</v>
      </c>
      <c r="Q415" s="60" t="str">
        <f>IF(AND($B415=[1]rogério!$A416,[1]rogério!$B416=Q$4),"ok","nok")</f>
        <v>nok</v>
      </c>
      <c r="R415" s="60" t="str">
        <f>IF(AND($B415=[1]rogério!$A416,[1]rogério!$B416=R$4),"ok","nok")</f>
        <v>nok</v>
      </c>
      <c r="S415" s="60" t="str">
        <f>IF(AND($B415=[1]rogério!$A416,[1]rogério!$B416=S$4),"ok","nok")</f>
        <v>nok</v>
      </c>
      <c r="T415" s="60" t="str">
        <f>IF(AND($B415=[1]rogério!$A416,[1]rogério!$B416=T$4),"ok","nok")</f>
        <v>nok</v>
      </c>
      <c r="U415" s="60" t="str">
        <f>IF(AND($B415=[1]rogério!$A416,[1]rogério!$B416=U$4),"ok","nok")</f>
        <v>nok</v>
      </c>
      <c r="V415" s="60" t="str">
        <f>IF(AND($B415=[1]rogério!$A416,[1]rogério!$B416=V$4),"ok","nok")</f>
        <v>nok</v>
      </c>
      <c r="W415" s="60" t="str">
        <f>IF(AND($B415=[1]rogério!$A416,[1]rogério!$B416=W$4),"ok","nok")</f>
        <v>nok</v>
      </c>
      <c r="X415" s="60" t="str">
        <f>IF(AND($B415=[1]rogério!$A416,[1]rogério!$B416=X$4),"ok","nok")</f>
        <v>nok</v>
      </c>
      <c r="Y415" s="105" t="s">
        <v>15</v>
      </c>
      <c r="Z415" s="106"/>
      <c r="AA415" s="106"/>
      <c r="AB415" s="107"/>
      <c r="AC415" s="40"/>
      <c r="AD415" s="40"/>
      <c r="AE415" s="48" t="str">
        <f t="shared" si="104"/>
        <v/>
      </c>
      <c r="AF415" s="48"/>
      <c r="AG415" s="48"/>
      <c r="AH415" s="89"/>
      <c r="AI415" s="49">
        <f t="shared" si="105"/>
        <v>0</v>
      </c>
      <c r="AJ415" s="49" t="str">
        <f t="shared" si="106"/>
        <v/>
      </c>
      <c r="AK415" s="49">
        <f t="shared" si="107"/>
        <v>0</v>
      </c>
      <c r="AL415" s="49" t="str">
        <f t="shared" si="108"/>
        <v/>
      </c>
      <c r="AM415" s="49">
        <f t="shared" si="109"/>
        <v>1</v>
      </c>
      <c r="AN415" s="49" t="str">
        <f t="shared" si="110"/>
        <v/>
      </c>
      <c r="AO415" s="49">
        <f t="shared" si="111"/>
        <v>0</v>
      </c>
      <c r="AP415" s="49" t="str">
        <f t="shared" si="112"/>
        <v/>
      </c>
      <c r="AQ415" s="49">
        <f t="shared" si="113"/>
        <v>0</v>
      </c>
      <c r="AR415" s="49" t="str">
        <f t="shared" si="114"/>
        <v/>
      </c>
    </row>
    <row r="416" spans="1:44" ht="30" customHeight="1" x14ac:dyDescent="0.35">
      <c r="A416" s="25" t="str">
        <f t="shared" si="116"/>
        <v>PT177 - PLATAFORMA DE ACESSO - FORQUILHA 2 - DETALHADO
TORRE B4PROJETO DETALHADO
ESTRUTURAS METÁLICAS</v>
      </c>
      <c r="B416" s="38" t="s">
        <v>73</v>
      </c>
      <c r="C416" s="60" t="str">
        <f>IF(AND($B416=[1]rogério!$A417,[1]rogério!$B417=C$4),"ok","nok")</f>
        <v>nok</v>
      </c>
      <c r="D416" s="60" t="str">
        <f>IF(AND($B416=[1]rogério!$A417,[1]rogério!$B417=D$4),"ok","nok")</f>
        <v>nok</v>
      </c>
      <c r="E416" s="60" t="str">
        <f>IF(AND($B416=[1]rogério!$A417,[1]rogério!$B417=E$4),"ok","nok")</f>
        <v>nok</v>
      </c>
      <c r="F416" s="60" t="str">
        <f>IF(AND($B416=[1]rogério!$A417,[1]rogério!$B417=F$4),"ok","nok")</f>
        <v>nok</v>
      </c>
      <c r="G416" s="60" t="str">
        <f>IF(AND($B416=[1]rogério!$A417,[1]rogério!$B417=G$4),"ok","nok")</f>
        <v>nok</v>
      </c>
      <c r="H416" s="60" t="str">
        <f>IF(AND($B416=[1]rogério!$A417,[1]rogério!$B417=H$4),"ok","nok")</f>
        <v>nok</v>
      </c>
      <c r="I416" s="60" t="str">
        <f>IF(AND($B416=[1]rogério!$A417,[1]rogério!$B417=I$4),"ok","nok")</f>
        <v>nok</v>
      </c>
      <c r="J416" s="60" t="str">
        <f>IF(AND($B416=[1]rogério!$A417,[1]rogério!$B417=J$4),"ok","nok")</f>
        <v>nok</v>
      </c>
      <c r="K416" s="60" t="str">
        <f>IF(AND($B416=[1]rogério!$A417,[1]rogério!$B417=K$4),"ok","nok")</f>
        <v>nok</v>
      </c>
      <c r="L416" s="60" t="str">
        <f>IF(AND($B416=[1]rogério!$A417,[1]rogério!$B417=L$4),"ok","nok")</f>
        <v>nok</v>
      </c>
      <c r="M416" s="60" t="str">
        <f>IF(AND($B416=[1]rogério!$A417,[1]rogério!$B417=M$4),"ok","nok")</f>
        <v>nok</v>
      </c>
      <c r="N416" s="60" t="str">
        <f>IF(AND($B416=[1]rogério!$A417,[1]rogério!$B417=N$4),"ok","nok")</f>
        <v>nok</v>
      </c>
      <c r="O416" s="60" t="str">
        <f>IF(AND($B416=[1]rogério!$A417,[1]rogério!$B417=O$4),"ok","nok")</f>
        <v>nok</v>
      </c>
      <c r="P416" s="60" t="str">
        <f>IF(AND($B416=[1]rogério!$A417,[1]rogério!$B417=P$4),"ok","nok")</f>
        <v>nok</v>
      </c>
      <c r="Q416" s="60" t="str">
        <f>IF(AND($B416=[1]rogério!$A417,[1]rogério!$B417=Q$4),"ok","nok")</f>
        <v>nok</v>
      </c>
      <c r="R416" s="60" t="str">
        <f>IF(AND($B416=[1]rogério!$A417,[1]rogério!$B417=R$4),"ok","nok")</f>
        <v>ok</v>
      </c>
      <c r="S416" s="60" t="str">
        <f>IF(AND($B416=[1]rogério!$A417,[1]rogério!$B417=S$4),"ok","nok")</f>
        <v>nok</v>
      </c>
      <c r="T416" s="60" t="str">
        <f>IF(AND($B416=[1]rogério!$A417,[1]rogério!$B417=T$4),"ok","nok")</f>
        <v>nok</v>
      </c>
      <c r="U416" s="60" t="str">
        <f>IF(AND($B416=[1]rogério!$A417,[1]rogério!$B417=U$4),"ok","nok")</f>
        <v>nok</v>
      </c>
      <c r="V416" s="60" t="str">
        <f>IF(AND($B416=[1]rogério!$A417,[1]rogério!$B417=V$4),"ok","nok")</f>
        <v>nok</v>
      </c>
      <c r="W416" s="60" t="str">
        <f>IF(AND($B416=[1]rogério!$A417,[1]rogério!$B417=W$4),"ok","nok")</f>
        <v>nok</v>
      </c>
      <c r="X416" s="60" t="str">
        <f>IF(AND($B416=[1]rogério!$A417,[1]rogério!$B417=X$4),"ok","nok")</f>
        <v>nok</v>
      </c>
      <c r="Y416" s="105" t="s">
        <v>15</v>
      </c>
      <c r="Z416" s="106"/>
      <c r="AA416" s="106"/>
      <c r="AB416" s="107"/>
      <c r="AC416" s="40"/>
      <c r="AD416" s="40"/>
      <c r="AE416" s="48" t="str">
        <f t="shared" si="104"/>
        <v/>
      </c>
      <c r="AF416" s="48"/>
      <c r="AG416" s="48"/>
      <c r="AH416" s="89"/>
      <c r="AI416" s="49">
        <f t="shared" si="105"/>
        <v>0</v>
      </c>
      <c r="AJ416" s="49" t="str">
        <f t="shared" si="106"/>
        <v/>
      </c>
      <c r="AK416" s="49">
        <f t="shared" si="107"/>
        <v>0</v>
      </c>
      <c r="AL416" s="49" t="str">
        <f t="shared" si="108"/>
        <v/>
      </c>
      <c r="AM416" s="49">
        <f t="shared" si="109"/>
        <v>0</v>
      </c>
      <c r="AN416" s="49" t="str">
        <f t="shared" si="110"/>
        <v/>
      </c>
      <c r="AO416" s="49">
        <f t="shared" si="111"/>
        <v>1</v>
      </c>
      <c r="AP416" s="49" t="str">
        <f t="shared" si="112"/>
        <v/>
      </c>
      <c r="AQ416" s="49">
        <f t="shared" si="113"/>
        <v>0</v>
      </c>
      <c r="AR416" s="49" t="str">
        <f t="shared" si="114"/>
        <v/>
      </c>
    </row>
    <row r="417" spans="1:45" ht="30" customHeight="1" x14ac:dyDescent="0.35">
      <c r="A417" s="25"/>
      <c r="B417" s="39" t="s">
        <v>53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108"/>
      <c r="Z417" s="109"/>
      <c r="AA417" s="109"/>
      <c r="AB417" s="110"/>
      <c r="AC417" s="40"/>
      <c r="AD417" s="40"/>
      <c r="AE417" s="48" t="str">
        <f t="shared" si="104"/>
        <v/>
      </c>
      <c r="AF417" s="48"/>
      <c r="AG417" s="48"/>
      <c r="AH417" s="89"/>
      <c r="AI417" s="49">
        <f t="shared" si="105"/>
        <v>0</v>
      </c>
      <c r="AJ417" s="49" t="str">
        <f t="shared" si="106"/>
        <v/>
      </c>
      <c r="AK417" s="49">
        <f t="shared" si="107"/>
        <v>0</v>
      </c>
      <c r="AL417" s="49" t="str">
        <f t="shared" si="108"/>
        <v/>
      </c>
      <c r="AM417" s="49">
        <f t="shared" si="109"/>
        <v>0</v>
      </c>
      <c r="AN417" s="49" t="str">
        <f t="shared" si="110"/>
        <v/>
      </c>
      <c r="AO417" s="49">
        <f t="shared" si="111"/>
        <v>0</v>
      </c>
      <c r="AP417" s="49" t="str">
        <f t="shared" si="112"/>
        <v/>
      </c>
      <c r="AQ417" s="49">
        <f t="shared" si="113"/>
        <v>0</v>
      </c>
      <c r="AR417" s="49" t="str">
        <f t="shared" si="114"/>
        <v/>
      </c>
    </row>
    <row r="418" spans="1:45" ht="30" customHeight="1" x14ac:dyDescent="0.35">
      <c r="A418" s="25" t="str">
        <f t="shared" si="116"/>
        <v>PT177 - PLATAFORMA DE ACESSO - FORQUILHA 2 - DETALHADO
TORRE B4PROJETO DETALHADO
ESTRUTURAS METÁLICAS</v>
      </c>
      <c r="B418" s="40" t="s">
        <v>49</v>
      </c>
      <c r="C418" s="60" t="str">
        <f>IF(AND($B418=[1]rogério!$A419,[1]rogério!$B419=C$4),"ok","nok")</f>
        <v>nok</v>
      </c>
      <c r="D418" s="60" t="str">
        <f>IF(AND($B418=[1]rogério!$A419,[1]rogério!$B419=D$4),"ok","nok")</f>
        <v>nok</v>
      </c>
      <c r="E418" s="60" t="str">
        <f>IF(AND($B418=[1]rogério!$A419,[1]rogério!$B419=E$4),"ok","nok")</f>
        <v>nok</v>
      </c>
      <c r="F418" s="60" t="str">
        <f>IF(AND($B418=[1]rogério!$A419,[1]rogério!$B419=F$4),"ok","nok")</f>
        <v>nok</v>
      </c>
      <c r="G418" s="60" t="str">
        <f>IF(AND($B418=[1]rogério!$A419,[1]rogério!$B419=G$4),"ok","nok")</f>
        <v>nok</v>
      </c>
      <c r="H418" s="60" t="str">
        <f>IF(AND($B418=[1]rogério!$A419,[1]rogério!$B419=H$4),"ok","nok")</f>
        <v>nok</v>
      </c>
      <c r="I418" s="60" t="str">
        <f>IF(AND($B418=[1]rogério!$A419,[1]rogério!$B419=I$4),"ok","nok")</f>
        <v>nok</v>
      </c>
      <c r="J418" s="60" t="str">
        <f>IF(AND($B418=[1]rogério!$A419,[1]rogério!$B419=J$4),"ok","nok")</f>
        <v>nok</v>
      </c>
      <c r="K418" s="60" t="str">
        <f>IF(AND($B418=[1]rogério!$A419,[1]rogério!$B419=K$4),"ok","nok")</f>
        <v>nok</v>
      </c>
      <c r="L418" s="60" t="str">
        <f>IF(AND($B418=[1]rogério!$A419,[1]rogério!$B419=L$4),"ok","nok")</f>
        <v>nok</v>
      </c>
      <c r="M418" s="60" t="str">
        <f>IF(AND($B418=[1]rogério!$A419,[1]rogério!$B419=M$4),"ok","nok")</f>
        <v>nok</v>
      </c>
      <c r="N418" s="60" t="str">
        <f>IF(AND($B418=[1]rogério!$A419,[1]rogério!$B419=N$4),"ok","nok")</f>
        <v>nok</v>
      </c>
      <c r="O418" s="60" t="str">
        <f>IF(AND($B418=[1]rogério!$A419,[1]rogério!$B419=O$4),"ok","nok")</f>
        <v>nok</v>
      </c>
      <c r="P418" s="60" t="str">
        <f>IF(AND($B418=[1]rogério!$A419,[1]rogério!$B419=P$4),"ok","nok")</f>
        <v>nok</v>
      </c>
      <c r="Q418" s="60" t="str">
        <f>IF(AND($B418=[1]rogério!$A419,[1]rogério!$B419=Q$4),"ok","nok")</f>
        <v>nok</v>
      </c>
      <c r="R418" s="60" t="str">
        <f>IF(AND($B418=[1]rogério!$A419,[1]rogério!$B419=R$4),"ok","nok")</f>
        <v>ok</v>
      </c>
      <c r="S418" s="60" t="str">
        <f>IF(AND($B418=[1]rogério!$A419,[1]rogério!$B419=S$4),"ok","nok")</f>
        <v>nok</v>
      </c>
      <c r="T418" s="60" t="str">
        <f>IF(AND($B418=[1]rogério!$A419,[1]rogério!$B419=T$4),"ok","nok")</f>
        <v>nok</v>
      </c>
      <c r="U418" s="60" t="str">
        <f>IF(AND($B418=[1]rogério!$A419,[1]rogério!$B419=U$4),"ok","nok")</f>
        <v>nok</v>
      </c>
      <c r="V418" s="60" t="str">
        <f>IF(AND($B418=[1]rogério!$A419,[1]rogério!$B419=V$4),"ok","nok")</f>
        <v>nok</v>
      </c>
      <c r="W418" s="60" t="str">
        <f>IF(AND($B418=[1]rogério!$A419,[1]rogério!$B419=W$4),"ok","nok")</f>
        <v>nok</v>
      </c>
      <c r="X418" s="60" t="str">
        <f>IF(AND($B418=[1]rogério!$A419,[1]rogério!$B419=X$4),"ok","nok")</f>
        <v>nok</v>
      </c>
      <c r="Y418" s="105" t="s">
        <v>15</v>
      </c>
      <c r="Z418" s="106"/>
      <c r="AA418" s="106"/>
      <c r="AB418" s="107"/>
      <c r="AC418" s="40"/>
      <c r="AD418" s="40"/>
      <c r="AE418" s="48" t="str">
        <f t="shared" si="104"/>
        <v/>
      </c>
      <c r="AF418" s="48"/>
      <c r="AG418" s="48"/>
      <c r="AH418" s="89"/>
      <c r="AI418" s="49">
        <f t="shared" si="105"/>
        <v>0</v>
      </c>
      <c r="AJ418" s="49" t="str">
        <f t="shared" si="106"/>
        <v/>
      </c>
      <c r="AK418" s="49">
        <f t="shared" si="107"/>
        <v>0</v>
      </c>
      <c r="AL418" s="49" t="str">
        <f t="shared" si="108"/>
        <v/>
      </c>
      <c r="AM418" s="49">
        <f t="shared" si="109"/>
        <v>0</v>
      </c>
      <c r="AN418" s="49" t="str">
        <f t="shared" si="110"/>
        <v/>
      </c>
      <c r="AO418" s="49">
        <f t="shared" si="111"/>
        <v>1</v>
      </c>
      <c r="AP418" s="49" t="str">
        <f t="shared" si="112"/>
        <v/>
      </c>
      <c r="AQ418" s="49">
        <f t="shared" si="113"/>
        <v>0</v>
      </c>
      <c r="AR418" s="49" t="str">
        <f t="shared" si="114"/>
        <v/>
      </c>
    </row>
    <row r="419" spans="1:45" ht="30" customHeight="1" x14ac:dyDescent="0.35">
      <c r="A419" s="25" t="str">
        <f t="shared" si="116"/>
        <v>PT177 - PLATAFORMA DE ACESSO - FORQUILHA 2 - DETALHADO
TORRE B4PROJETO DETALHADO
ESTRUTURAS METÁLICAS</v>
      </c>
      <c r="B419" s="40" t="s">
        <v>19</v>
      </c>
      <c r="C419" s="60" t="str">
        <f>IF(AND($B419=[1]rogério!$A420,[1]rogério!$B420=C$4),"ok","nok")</f>
        <v>nok</v>
      </c>
      <c r="D419" s="60" t="str">
        <f>IF(AND($B419=[1]rogério!$A420,[1]rogério!$B420=D$4),"ok","nok")</f>
        <v>nok</v>
      </c>
      <c r="E419" s="60" t="str">
        <f>IF(AND($B419=[1]rogério!$A420,[1]rogério!$B420=E$4),"ok","nok")</f>
        <v>nok</v>
      </c>
      <c r="F419" s="60" t="str">
        <f>IF(AND($B419=[1]rogério!$A420,[1]rogério!$B420=F$4),"ok","nok")</f>
        <v>nok</v>
      </c>
      <c r="G419" s="60" t="str">
        <f>IF(AND($B419=[1]rogério!$A420,[1]rogério!$B420=G$4),"ok","nok")</f>
        <v>nok</v>
      </c>
      <c r="H419" s="60" t="str">
        <f>IF(AND($B419=[1]rogério!$A420,[1]rogério!$B420=H$4),"ok","nok")</f>
        <v>nok</v>
      </c>
      <c r="I419" s="60" t="str">
        <f>IF(AND($B419=[1]rogério!$A420,[1]rogério!$B420=I$4),"ok","nok")</f>
        <v>nok</v>
      </c>
      <c r="J419" s="60" t="str">
        <f>IF(AND($B419=[1]rogério!$A420,[1]rogério!$B420=J$4),"ok","nok")</f>
        <v>nok</v>
      </c>
      <c r="K419" s="60" t="str">
        <f>IF(AND($B419=[1]rogério!$A420,[1]rogério!$B420=K$4),"ok","nok")</f>
        <v>nok</v>
      </c>
      <c r="L419" s="60" t="str">
        <f>IF(AND($B419=[1]rogério!$A420,[1]rogério!$B420=L$4),"ok","nok")</f>
        <v>nok</v>
      </c>
      <c r="M419" s="60" t="str">
        <f>IF(AND($B419=[1]rogério!$A420,[1]rogério!$B420=M$4),"ok","nok")</f>
        <v>nok</v>
      </c>
      <c r="N419" s="60" t="str">
        <f>IF(AND($B419=[1]rogério!$A420,[1]rogério!$B420=N$4),"ok","nok")</f>
        <v>nok</v>
      </c>
      <c r="O419" s="60" t="str">
        <f>IF(AND($B419=[1]rogério!$A420,[1]rogério!$B420=O$4),"ok","nok")</f>
        <v>nok</v>
      </c>
      <c r="P419" s="60" t="str">
        <f>IF(AND($B419=[1]rogério!$A420,[1]rogério!$B420=P$4),"ok","nok")</f>
        <v>nok</v>
      </c>
      <c r="Q419" s="60" t="str">
        <f>IF(AND($B419=[1]rogério!$A420,[1]rogério!$B420=Q$4),"ok","nok")</f>
        <v>nok</v>
      </c>
      <c r="R419" s="60" t="str">
        <f>IF(AND($B419=[1]rogério!$A420,[1]rogério!$B420=R$4),"ok","nok")</f>
        <v>nok</v>
      </c>
      <c r="S419" s="60" t="str">
        <f>IF(AND($B419=[1]rogério!$A420,[1]rogério!$B420=S$4),"ok","nok")</f>
        <v>nok</v>
      </c>
      <c r="T419" s="60" t="str">
        <f>IF(AND($B419=[1]rogério!$A420,[1]rogério!$B420=T$4),"ok","nok")</f>
        <v>nok</v>
      </c>
      <c r="U419" s="60" t="str">
        <f>IF(AND($B419=[1]rogério!$A420,[1]rogério!$B420=U$4),"ok","nok")</f>
        <v>nok</v>
      </c>
      <c r="V419" s="60" t="str">
        <f>IF(AND($B419=[1]rogério!$A420,[1]rogério!$B420=V$4),"ok","nok")</f>
        <v>nok</v>
      </c>
      <c r="W419" s="60" t="str">
        <f>IF(AND($B419=[1]rogério!$A420,[1]rogério!$B420=W$4),"ok","nok")</f>
        <v>ok</v>
      </c>
      <c r="X419" s="60" t="str">
        <f>IF(AND($B419=[1]rogério!$A420,[1]rogério!$B420=X$4),"ok","nok")</f>
        <v>nok</v>
      </c>
      <c r="Y419" s="105" t="s">
        <v>15</v>
      </c>
      <c r="Z419" s="106"/>
      <c r="AA419" s="106"/>
      <c r="AB419" s="107"/>
      <c r="AC419" s="40"/>
      <c r="AD419" s="40"/>
      <c r="AE419" s="48" t="str">
        <f t="shared" si="104"/>
        <v/>
      </c>
      <c r="AF419" s="48"/>
      <c r="AG419" s="48"/>
      <c r="AH419" s="89"/>
      <c r="AI419" s="49">
        <f t="shared" si="105"/>
        <v>0</v>
      </c>
      <c r="AJ419" s="49" t="str">
        <f t="shared" si="106"/>
        <v/>
      </c>
      <c r="AK419" s="49">
        <f t="shared" si="107"/>
        <v>0</v>
      </c>
      <c r="AL419" s="49" t="str">
        <f t="shared" si="108"/>
        <v/>
      </c>
      <c r="AM419" s="49">
        <f t="shared" si="109"/>
        <v>0</v>
      </c>
      <c r="AN419" s="49" t="str">
        <f t="shared" si="110"/>
        <v/>
      </c>
      <c r="AO419" s="49">
        <f t="shared" si="111"/>
        <v>0</v>
      </c>
      <c r="AP419" s="49" t="str">
        <f t="shared" si="112"/>
        <v/>
      </c>
      <c r="AQ419" s="49">
        <f t="shared" si="113"/>
        <v>1</v>
      </c>
      <c r="AR419" s="49" t="str">
        <f t="shared" si="114"/>
        <v/>
      </c>
    </row>
    <row r="420" spans="1:45" ht="30" customHeight="1" x14ac:dyDescent="0.35">
      <c r="A420" s="25" t="str">
        <f t="shared" si="116"/>
        <v>PT177 - PLATAFORMA DE ACESSO - FORQUILHA 2 - DETALHADO
TORRE B4PROJETO DETALHADO
ESTRUTURAS METÁLICAS</v>
      </c>
      <c r="B420" s="38" t="s">
        <v>74</v>
      </c>
      <c r="C420" s="60" t="str">
        <f>IF(AND($B420=[1]rogério!$A421,[1]rogério!$B421=C$4),"ok","nok")</f>
        <v>nok</v>
      </c>
      <c r="D420" s="60" t="str">
        <f>IF(AND($B420=[1]rogério!$A421,[1]rogério!$B421=D$4),"ok","nok")</f>
        <v>nok</v>
      </c>
      <c r="E420" s="60" t="str">
        <f>IF(AND($B420=[1]rogério!$A421,[1]rogério!$B421=E$4),"ok","nok")</f>
        <v>nok</v>
      </c>
      <c r="F420" s="60" t="str">
        <f>IF(AND($B420=[1]rogério!$A421,[1]rogério!$B421=F$4),"ok","nok")</f>
        <v>nok</v>
      </c>
      <c r="G420" s="60" t="str">
        <f>IF(AND($B420=[1]rogério!$A421,[1]rogério!$B421=G$4),"ok","nok")</f>
        <v>nok</v>
      </c>
      <c r="H420" s="60" t="str">
        <f>IF(AND($B420=[1]rogério!$A421,[1]rogério!$B421=H$4),"ok","nok")</f>
        <v>nok</v>
      </c>
      <c r="I420" s="60" t="str">
        <f>IF(AND($B420=[1]rogério!$A421,[1]rogério!$B421=I$4),"ok","nok")</f>
        <v>nok</v>
      </c>
      <c r="J420" s="60" t="str">
        <f>IF(AND($B420=[1]rogério!$A421,[1]rogério!$B421=J$4),"ok","nok")</f>
        <v>nok</v>
      </c>
      <c r="K420" s="60" t="str">
        <f>IF(AND($B420=[1]rogério!$A421,[1]rogério!$B421=K$4),"ok","nok")</f>
        <v>nok</v>
      </c>
      <c r="L420" s="60" t="str">
        <f>IF(AND($B420=[1]rogério!$A421,[1]rogério!$B421=L$4),"ok","nok")</f>
        <v>nok</v>
      </c>
      <c r="M420" s="60" t="str">
        <f>IF(AND($B420=[1]rogério!$A421,[1]rogério!$B421=M$4),"ok","nok")</f>
        <v>nok</v>
      </c>
      <c r="N420" s="60" t="str">
        <f>IF(AND($B420=[1]rogério!$A421,[1]rogério!$B421=N$4),"ok","nok")</f>
        <v>nok</v>
      </c>
      <c r="O420" s="60" t="str">
        <f>IF(AND($B420=[1]rogério!$A421,[1]rogério!$B421=O$4),"ok","nok")</f>
        <v>nok</v>
      </c>
      <c r="P420" s="60" t="str">
        <f>IF(AND($B420=[1]rogério!$A421,[1]rogério!$B421=P$4),"ok","nok")</f>
        <v>nok</v>
      </c>
      <c r="Q420" s="60" t="str">
        <f>IF(AND($B420=[1]rogério!$A421,[1]rogério!$B421=Q$4),"ok","nok")</f>
        <v>ok</v>
      </c>
      <c r="R420" s="60" t="str">
        <f>IF(AND($B420=[1]rogério!$A421,[1]rogério!$B421=R$4),"ok","nok")</f>
        <v>nok</v>
      </c>
      <c r="S420" s="60" t="str">
        <f>IF(AND($B420=[1]rogério!$A421,[1]rogério!$B421=S$4),"ok","nok")</f>
        <v>nok</v>
      </c>
      <c r="T420" s="60" t="str">
        <f>IF(AND($B420=[1]rogério!$A421,[1]rogério!$B421=T$4),"ok","nok")</f>
        <v>nok</v>
      </c>
      <c r="U420" s="60" t="str">
        <f>IF(AND($B420=[1]rogério!$A421,[1]rogério!$B421=U$4),"ok","nok")</f>
        <v>nok</v>
      </c>
      <c r="V420" s="60" t="str">
        <f>IF(AND($B420=[1]rogério!$A421,[1]rogério!$B421=V$4),"ok","nok")</f>
        <v>nok</v>
      </c>
      <c r="W420" s="60" t="str">
        <f>IF(AND($B420=[1]rogério!$A421,[1]rogério!$B421=W$4),"ok","nok")</f>
        <v>nok</v>
      </c>
      <c r="X420" s="60" t="str">
        <f>IF(AND($B420=[1]rogério!$A421,[1]rogério!$B421=X$4),"ok","nok")</f>
        <v>nok</v>
      </c>
      <c r="Y420" s="105" t="s">
        <v>15</v>
      </c>
      <c r="Z420" s="106"/>
      <c r="AA420" s="106"/>
      <c r="AB420" s="107"/>
      <c r="AC420" s="40"/>
      <c r="AD420" s="40"/>
      <c r="AE420" s="48" t="str">
        <f t="shared" si="104"/>
        <v/>
      </c>
      <c r="AF420" s="48"/>
      <c r="AG420" s="48"/>
      <c r="AH420" s="89"/>
      <c r="AI420" s="49">
        <f t="shared" si="105"/>
        <v>0</v>
      </c>
      <c r="AJ420" s="49" t="str">
        <f t="shared" si="106"/>
        <v/>
      </c>
      <c r="AK420" s="49">
        <f t="shared" si="107"/>
        <v>0</v>
      </c>
      <c r="AL420" s="49" t="str">
        <f t="shared" si="108"/>
        <v/>
      </c>
      <c r="AM420" s="49">
        <f t="shared" si="109"/>
        <v>1</v>
      </c>
      <c r="AN420" s="49" t="str">
        <f t="shared" si="110"/>
        <v/>
      </c>
      <c r="AO420" s="49">
        <f t="shared" si="111"/>
        <v>0</v>
      </c>
      <c r="AP420" s="49" t="str">
        <f t="shared" si="112"/>
        <v/>
      </c>
      <c r="AQ420" s="49">
        <f t="shared" si="113"/>
        <v>0</v>
      </c>
      <c r="AR420" s="49" t="str">
        <f t="shared" si="114"/>
        <v/>
      </c>
    </row>
    <row r="421" spans="1:45" ht="30" customHeight="1" x14ac:dyDescent="0.35">
      <c r="A421" s="25" t="str">
        <f t="shared" si="116"/>
        <v>PT177 - PLATAFORMA DE ACESSO - FORQUILHA 2 - DETALHADO
TORRE B4PROJETO DETALHADO
ESTRUTURAS METÁLICAS</v>
      </c>
      <c r="B421" s="38" t="s">
        <v>75</v>
      </c>
      <c r="C421" s="60" t="str">
        <f>IF(AND($B421=[1]rogério!$A422,[1]rogério!$B422=C$4),"ok","nok")</f>
        <v>nok</v>
      </c>
      <c r="D421" s="60" t="str">
        <f>IF(AND($B421=[1]rogério!$A422,[1]rogério!$B422=D$4),"ok","nok")</f>
        <v>nok</v>
      </c>
      <c r="E421" s="60" t="str">
        <f>IF(AND($B421=[1]rogério!$A422,[1]rogério!$B422=E$4),"ok","nok")</f>
        <v>nok</v>
      </c>
      <c r="F421" s="60" t="str">
        <f>IF(AND($B421=[1]rogério!$A422,[1]rogério!$B422=F$4),"ok","nok")</f>
        <v>nok</v>
      </c>
      <c r="G421" s="60" t="str">
        <f>IF(AND($B421=[1]rogério!$A422,[1]rogério!$B422=G$4),"ok","nok")</f>
        <v>nok</v>
      </c>
      <c r="H421" s="60" t="str">
        <f>IF(AND($B421=[1]rogério!$A422,[1]rogério!$B422=H$4),"ok","nok")</f>
        <v>nok</v>
      </c>
      <c r="I421" s="60" t="str">
        <f>IF(AND($B421=[1]rogério!$A422,[1]rogério!$B422=I$4),"ok","nok")</f>
        <v>nok</v>
      </c>
      <c r="J421" s="60" t="str">
        <f>IF(AND($B421=[1]rogério!$A422,[1]rogério!$B422=J$4),"ok","nok")</f>
        <v>nok</v>
      </c>
      <c r="K421" s="60" t="str">
        <f>IF(AND($B421=[1]rogério!$A422,[1]rogério!$B422=K$4),"ok","nok")</f>
        <v>nok</v>
      </c>
      <c r="L421" s="60" t="str">
        <f>IF(AND($B421=[1]rogério!$A422,[1]rogério!$B422=L$4),"ok","nok")</f>
        <v>nok</v>
      </c>
      <c r="M421" s="60" t="str">
        <f>IF(AND($B421=[1]rogério!$A422,[1]rogério!$B422=M$4),"ok","nok")</f>
        <v>nok</v>
      </c>
      <c r="N421" s="60" t="str">
        <f>IF(AND($B421=[1]rogério!$A422,[1]rogério!$B422=N$4),"ok","nok")</f>
        <v>nok</v>
      </c>
      <c r="O421" s="60" t="str">
        <f>IF(AND($B421=[1]rogério!$A422,[1]rogério!$B422=O$4),"ok","nok")</f>
        <v>nok</v>
      </c>
      <c r="P421" s="60" t="str">
        <f>IF(AND($B421=[1]rogério!$A422,[1]rogério!$B422=P$4),"ok","nok")</f>
        <v>nok</v>
      </c>
      <c r="Q421" s="60" t="str">
        <f>IF(AND($B421=[1]rogério!$A422,[1]rogério!$B422=Q$4),"ok","nok")</f>
        <v>nok</v>
      </c>
      <c r="R421" s="60" t="str">
        <f>IF(AND($B421=[1]rogério!$A422,[1]rogério!$B422=R$4),"ok","nok")</f>
        <v>nok</v>
      </c>
      <c r="S421" s="60" t="str">
        <f>IF(AND($B421=[1]rogério!$A422,[1]rogério!$B422=S$4),"ok","nok")</f>
        <v>ok</v>
      </c>
      <c r="T421" s="60" t="str">
        <f>IF(AND($B421=[1]rogério!$A422,[1]rogério!$B422=T$4),"ok","nok")</f>
        <v>nok</v>
      </c>
      <c r="U421" s="60" t="str">
        <f>IF(AND($B421=[1]rogério!$A422,[1]rogério!$B422=U$4),"ok","nok")</f>
        <v>nok</v>
      </c>
      <c r="V421" s="60" t="str">
        <f>IF(AND($B421=[1]rogério!$A422,[1]rogério!$B422=V$4),"ok","nok")</f>
        <v>nok</v>
      </c>
      <c r="W421" s="60" t="str">
        <f>IF(AND($B421=[1]rogério!$A422,[1]rogério!$B422=W$4),"ok","nok")</f>
        <v>nok</v>
      </c>
      <c r="X421" s="60" t="str">
        <f>IF(AND($B421=[1]rogério!$A422,[1]rogério!$B422=X$4),"ok","nok")</f>
        <v>nok</v>
      </c>
      <c r="Y421" s="105" t="s">
        <v>15</v>
      </c>
      <c r="Z421" s="106"/>
      <c r="AA421" s="106"/>
      <c r="AB421" s="107"/>
      <c r="AC421" s="40"/>
      <c r="AD421" s="40"/>
      <c r="AE421" s="48" t="str">
        <f t="shared" si="104"/>
        <v/>
      </c>
      <c r="AF421" s="48"/>
      <c r="AG421" s="48"/>
      <c r="AH421" s="89"/>
      <c r="AI421" s="49">
        <f t="shared" si="105"/>
        <v>0</v>
      </c>
      <c r="AJ421" s="49" t="str">
        <f t="shared" si="106"/>
        <v/>
      </c>
      <c r="AK421" s="49">
        <f t="shared" si="107"/>
        <v>0</v>
      </c>
      <c r="AL421" s="49" t="str">
        <f t="shared" si="108"/>
        <v/>
      </c>
      <c r="AM421" s="49">
        <f t="shared" si="109"/>
        <v>0</v>
      </c>
      <c r="AN421" s="49" t="str">
        <f t="shared" si="110"/>
        <v/>
      </c>
      <c r="AO421" s="49">
        <f t="shared" si="111"/>
        <v>1</v>
      </c>
      <c r="AP421" s="49" t="str">
        <f t="shared" si="112"/>
        <v/>
      </c>
      <c r="AQ421" s="49">
        <f t="shared" si="113"/>
        <v>0</v>
      </c>
      <c r="AR421" s="49" t="str">
        <f t="shared" si="114"/>
        <v/>
      </c>
    </row>
    <row r="422" spans="1:45" ht="30" customHeight="1" x14ac:dyDescent="0.35">
      <c r="A422" s="25"/>
      <c r="B422" s="39" t="s">
        <v>62</v>
      </c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108"/>
      <c r="Z422" s="109"/>
      <c r="AA422" s="109"/>
      <c r="AB422" s="110"/>
      <c r="AC422" s="40"/>
      <c r="AD422" s="40"/>
      <c r="AE422" s="48" t="str">
        <f t="shared" si="104"/>
        <v/>
      </c>
      <c r="AF422" s="48"/>
      <c r="AG422" s="48"/>
      <c r="AH422" s="89"/>
      <c r="AI422" s="49">
        <f t="shared" si="105"/>
        <v>0</v>
      </c>
      <c r="AJ422" s="49" t="str">
        <f t="shared" si="106"/>
        <v/>
      </c>
      <c r="AK422" s="49">
        <f t="shared" si="107"/>
        <v>0</v>
      </c>
      <c r="AL422" s="49" t="str">
        <f t="shared" si="108"/>
        <v/>
      </c>
      <c r="AM422" s="49">
        <f t="shared" si="109"/>
        <v>0</v>
      </c>
      <c r="AN422" s="49" t="str">
        <f t="shared" si="110"/>
        <v/>
      </c>
      <c r="AO422" s="49">
        <f t="shared" si="111"/>
        <v>0</v>
      </c>
      <c r="AP422" s="49" t="str">
        <f t="shared" si="112"/>
        <v/>
      </c>
      <c r="AQ422" s="49">
        <f t="shared" si="113"/>
        <v>0</v>
      </c>
      <c r="AR422" s="49" t="str">
        <f t="shared" si="114"/>
        <v/>
      </c>
    </row>
    <row r="423" spans="1:45" ht="30" customHeight="1" x14ac:dyDescent="0.35">
      <c r="A423" s="25" t="str">
        <f t="shared" si="116"/>
        <v>PT177 - PLATAFORMA DE ACESSO - FORQUILHA 2 - DETALHADO
TORRE B4PROJETO DETALHADO
ESTRUTURAS METÁLICAS</v>
      </c>
      <c r="B423" s="40" t="s">
        <v>49</v>
      </c>
      <c r="C423" s="60" t="str">
        <f>IF(AND($B423=[1]rogério!$A424,[1]rogério!$B424=C$4),"ok","nok")</f>
        <v>nok</v>
      </c>
      <c r="D423" s="60" t="str">
        <f>IF(AND($B423=[1]rogério!$A424,[1]rogério!$B424=D$4),"ok","nok")</f>
        <v>nok</v>
      </c>
      <c r="E423" s="60" t="str">
        <f>IF(AND($B423=[1]rogério!$A424,[1]rogério!$B424=E$4),"ok","nok")</f>
        <v>nok</v>
      </c>
      <c r="F423" s="60" t="str">
        <f>IF(AND($B423=[1]rogério!$A424,[1]rogério!$B424=F$4),"ok","nok")</f>
        <v>nok</v>
      </c>
      <c r="G423" s="60" t="str">
        <f>IF(AND($B423=[1]rogério!$A424,[1]rogério!$B424=G$4),"ok","nok")</f>
        <v>nok</v>
      </c>
      <c r="H423" s="60" t="str">
        <f>IF(AND($B423=[1]rogério!$A424,[1]rogério!$B424=H$4),"ok","nok")</f>
        <v>nok</v>
      </c>
      <c r="I423" s="60" t="str">
        <f>IF(AND($B423=[1]rogério!$A424,[1]rogério!$B424=I$4),"ok","nok")</f>
        <v>nok</v>
      </c>
      <c r="J423" s="60" t="str">
        <f>IF(AND($B423=[1]rogério!$A424,[1]rogério!$B424=J$4),"ok","nok")</f>
        <v>nok</v>
      </c>
      <c r="K423" s="60" t="str">
        <f>IF(AND($B423=[1]rogério!$A424,[1]rogério!$B424=K$4),"ok","nok")</f>
        <v>nok</v>
      </c>
      <c r="L423" s="60" t="str">
        <f>IF(AND($B423=[1]rogério!$A424,[1]rogério!$B424=L$4),"ok","nok")</f>
        <v>nok</v>
      </c>
      <c r="M423" s="60" t="str">
        <f>IF(AND($B423=[1]rogério!$A424,[1]rogério!$B424=M$4),"ok","nok")</f>
        <v>nok</v>
      </c>
      <c r="N423" s="60" t="str">
        <f>IF(AND($B423=[1]rogério!$A424,[1]rogério!$B424=N$4),"ok","nok")</f>
        <v>nok</v>
      </c>
      <c r="O423" s="60" t="str">
        <f>IF(AND($B423=[1]rogério!$A424,[1]rogério!$B424=O$4),"ok","nok")</f>
        <v>nok</v>
      </c>
      <c r="P423" s="60" t="str">
        <f>IF(AND($B423=[1]rogério!$A424,[1]rogério!$B424=P$4),"ok","nok")</f>
        <v>nok</v>
      </c>
      <c r="Q423" s="60" t="str">
        <f>IF(AND($B423=[1]rogério!$A424,[1]rogério!$B424=Q$4),"ok","nok")</f>
        <v>nok</v>
      </c>
      <c r="R423" s="60" t="str">
        <f>IF(AND($B423=[1]rogério!$A424,[1]rogério!$B424=R$4),"ok","nok")</f>
        <v>nok</v>
      </c>
      <c r="S423" s="60" t="str">
        <f>IF(AND($B423=[1]rogério!$A424,[1]rogério!$B424=S$4),"ok","nok")</f>
        <v>ok</v>
      </c>
      <c r="T423" s="60" t="str">
        <f>IF(AND($B423=[1]rogério!$A424,[1]rogério!$B424=T$4),"ok","nok")</f>
        <v>nok</v>
      </c>
      <c r="U423" s="60" t="str">
        <f>IF(AND($B423=[1]rogério!$A424,[1]rogério!$B424=U$4),"ok","nok")</f>
        <v>nok</v>
      </c>
      <c r="V423" s="60" t="str">
        <f>IF(AND($B423=[1]rogério!$A424,[1]rogério!$B424=V$4),"ok","nok")</f>
        <v>nok</v>
      </c>
      <c r="W423" s="60" t="str">
        <f>IF(AND($B423=[1]rogério!$A424,[1]rogério!$B424=W$4),"ok","nok")</f>
        <v>nok</v>
      </c>
      <c r="X423" s="60" t="str">
        <f>IF(AND($B423=[1]rogério!$A424,[1]rogério!$B424=X$4),"ok","nok")</f>
        <v>nok</v>
      </c>
      <c r="Y423" s="105" t="s">
        <v>15</v>
      </c>
      <c r="Z423" s="106"/>
      <c r="AA423" s="106"/>
      <c r="AB423" s="107"/>
      <c r="AC423" s="40"/>
      <c r="AD423" s="40"/>
      <c r="AE423" s="48" t="str">
        <f t="shared" si="104"/>
        <v/>
      </c>
      <c r="AF423" s="48"/>
      <c r="AG423" s="48"/>
      <c r="AH423" s="89"/>
      <c r="AI423" s="49">
        <f t="shared" si="105"/>
        <v>0</v>
      </c>
      <c r="AJ423" s="49" t="str">
        <f t="shared" si="106"/>
        <v/>
      </c>
      <c r="AK423" s="49">
        <f t="shared" si="107"/>
        <v>0</v>
      </c>
      <c r="AL423" s="49" t="str">
        <f t="shared" si="108"/>
        <v/>
      </c>
      <c r="AM423" s="49">
        <f t="shared" si="109"/>
        <v>0</v>
      </c>
      <c r="AN423" s="49" t="str">
        <f t="shared" si="110"/>
        <v/>
      </c>
      <c r="AO423" s="49">
        <f t="shared" si="111"/>
        <v>1</v>
      </c>
      <c r="AP423" s="49" t="str">
        <f t="shared" si="112"/>
        <v/>
      </c>
      <c r="AQ423" s="49">
        <f t="shared" si="113"/>
        <v>0</v>
      </c>
      <c r="AR423" s="49" t="str">
        <f t="shared" si="114"/>
        <v/>
      </c>
    </row>
    <row r="424" spans="1:45" ht="30" customHeight="1" x14ac:dyDescent="0.35">
      <c r="A424" s="25" t="str">
        <f t="shared" si="116"/>
        <v>PT177 - PLATAFORMA DE ACESSO - FORQUILHA 2 - DETALHADO
TORRE B4PROJETO DETALHADO
ESTRUTURAS METÁLICAS</v>
      </c>
      <c r="B424" s="40" t="s">
        <v>19</v>
      </c>
      <c r="C424" s="60" t="str">
        <f>IF(AND($B424=[1]rogério!$A425,[1]rogério!$B425=C$4),"ok","nok")</f>
        <v>nok</v>
      </c>
      <c r="D424" s="60" t="str">
        <f>IF(AND($B424=[1]rogério!$A425,[1]rogério!$B425=D$4),"ok","nok")</f>
        <v>nok</v>
      </c>
      <c r="E424" s="60" t="str">
        <f>IF(AND($B424=[1]rogério!$A425,[1]rogério!$B425=E$4),"ok","nok")</f>
        <v>nok</v>
      </c>
      <c r="F424" s="60" t="str">
        <f>IF(AND($B424=[1]rogério!$A425,[1]rogério!$B425=F$4),"ok","nok")</f>
        <v>nok</v>
      </c>
      <c r="G424" s="60" t="str">
        <f>IF(AND($B424=[1]rogério!$A425,[1]rogério!$B425=G$4),"ok","nok")</f>
        <v>nok</v>
      </c>
      <c r="H424" s="60" t="str">
        <f>IF(AND($B424=[1]rogério!$A425,[1]rogério!$B425=H$4),"ok","nok")</f>
        <v>nok</v>
      </c>
      <c r="I424" s="60" t="str">
        <f>IF(AND($B424=[1]rogério!$A425,[1]rogério!$B425=I$4),"ok","nok")</f>
        <v>nok</v>
      </c>
      <c r="J424" s="60" t="str">
        <f>IF(AND($B424=[1]rogério!$A425,[1]rogério!$B425=J$4),"ok","nok")</f>
        <v>nok</v>
      </c>
      <c r="K424" s="60" t="str">
        <f>IF(AND($B424=[1]rogério!$A425,[1]rogério!$B425=K$4),"ok","nok")</f>
        <v>nok</v>
      </c>
      <c r="L424" s="60" t="str">
        <f>IF(AND($B424=[1]rogério!$A425,[1]rogério!$B425=L$4),"ok","nok")</f>
        <v>nok</v>
      </c>
      <c r="M424" s="60" t="str">
        <f>IF(AND($B424=[1]rogério!$A425,[1]rogério!$B425=M$4),"ok","nok")</f>
        <v>nok</v>
      </c>
      <c r="N424" s="60" t="str">
        <f>IF(AND($B424=[1]rogério!$A425,[1]rogério!$B425=N$4),"ok","nok")</f>
        <v>nok</v>
      </c>
      <c r="O424" s="60" t="str">
        <f>IF(AND($B424=[1]rogério!$A425,[1]rogério!$B425=O$4),"ok","nok")</f>
        <v>nok</v>
      </c>
      <c r="P424" s="60" t="str">
        <f>IF(AND($B424=[1]rogério!$A425,[1]rogério!$B425=P$4),"ok","nok")</f>
        <v>nok</v>
      </c>
      <c r="Q424" s="60" t="str">
        <f>IF(AND($B424=[1]rogério!$A425,[1]rogério!$B425=Q$4),"ok","nok")</f>
        <v>nok</v>
      </c>
      <c r="R424" s="60" t="str">
        <f>IF(AND($B424=[1]rogério!$A425,[1]rogério!$B425=R$4),"ok","nok")</f>
        <v>nok</v>
      </c>
      <c r="S424" s="60" t="str">
        <f>IF(AND($B424=[1]rogério!$A425,[1]rogério!$B425=S$4),"ok","nok")</f>
        <v>nok</v>
      </c>
      <c r="T424" s="60" t="str">
        <f>IF(AND($B424=[1]rogério!$A425,[1]rogério!$B425=T$4),"ok","nok")</f>
        <v>nok</v>
      </c>
      <c r="U424" s="60" t="str">
        <f>IF(AND($B424=[1]rogério!$A425,[1]rogério!$B425=U$4),"ok","nok")</f>
        <v>nok</v>
      </c>
      <c r="V424" s="60" t="str">
        <f>IF(AND($B424=[1]rogério!$A425,[1]rogério!$B425=V$4),"ok","nok")</f>
        <v>nok</v>
      </c>
      <c r="W424" s="60" t="str">
        <f>IF(AND($B424=[1]rogério!$A425,[1]rogério!$B425=W$4),"ok","nok")</f>
        <v>nok</v>
      </c>
      <c r="X424" s="60" t="str">
        <f>IF(AND($B424=[1]rogério!$A425,[1]rogério!$B425=X$4),"ok","nok")</f>
        <v>ok</v>
      </c>
      <c r="Y424" s="105" t="s">
        <v>15</v>
      </c>
      <c r="Z424" s="106"/>
      <c r="AA424" s="106"/>
      <c r="AB424" s="107"/>
      <c r="AC424" s="40"/>
      <c r="AD424" s="40"/>
      <c r="AE424" s="48" t="str">
        <f t="shared" si="104"/>
        <v/>
      </c>
      <c r="AF424" s="48"/>
      <c r="AG424" s="48"/>
      <c r="AH424" s="89"/>
      <c r="AI424" s="49">
        <f t="shared" si="105"/>
        <v>0</v>
      </c>
      <c r="AJ424" s="49" t="str">
        <f t="shared" si="106"/>
        <v/>
      </c>
      <c r="AK424" s="49">
        <f t="shared" si="107"/>
        <v>0</v>
      </c>
      <c r="AL424" s="49" t="str">
        <f t="shared" si="108"/>
        <v/>
      </c>
      <c r="AM424" s="49">
        <f t="shared" si="109"/>
        <v>0</v>
      </c>
      <c r="AN424" s="49" t="str">
        <f t="shared" si="110"/>
        <v/>
      </c>
      <c r="AO424" s="49">
        <f t="shared" si="111"/>
        <v>0</v>
      </c>
      <c r="AP424" s="49" t="str">
        <f t="shared" si="112"/>
        <v/>
      </c>
      <c r="AQ424" s="49">
        <f t="shared" si="113"/>
        <v>1</v>
      </c>
      <c r="AR424" s="49" t="str">
        <f t="shared" si="114"/>
        <v/>
      </c>
    </row>
    <row r="425" spans="1:45" ht="30" customHeight="1" x14ac:dyDescent="0.35">
      <c r="A425" s="25" t="str">
        <f t="shared" si="116"/>
        <v>PT177 - PLATAFORMA DE ACESSO - FORQUILHA 2 - DETALHADO
TORRE B4PROJETO DETALHADO
ESTRUTURAS METÁLICAS</v>
      </c>
      <c r="B425" s="38" t="s">
        <v>79</v>
      </c>
      <c r="C425" s="60" t="str">
        <f>IF(AND($B425=[1]rogério!$A426,[1]rogério!$B426=C$4),"ok","nok")</f>
        <v>nok</v>
      </c>
      <c r="D425" s="60" t="str">
        <f>IF(AND($B425=[1]rogério!$A426,[1]rogério!$B426=D$4),"ok","nok")</f>
        <v>nok</v>
      </c>
      <c r="E425" s="60" t="str">
        <f>IF(AND($B425=[1]rogério!$A426,[1]rogério!$B426=E$4),"ok","nok")</f>
        <v>nok</v>
      </c>
      <c r="F425" s="60" t="str">
        <f>IF(AND($B425=[1]rogério!$A426,[1]rogério!$B426=F$4),"ok","nok")</f>
        <v>nok</v>
      </c>
      <c r="G425" s="60" t="str">
        <f>IF(AND($B425=[1]rogério!$A426,[1]rogério!$B426=G$4),"ok","nok")</f>
        <v>nok</v>
      </c>
      <c r="H425" s="60" t="str">
        <f>IF(AND($B425=[1]rogério!$A426,[1]rogério!$B426=H$4),"ok","nok")</f>
        <v>nok</v>
      </c>
      <c r="I425" s="60" t="str">
        <f>IF(AND($B425=[1]rogério!$A426,[1]rogério!$B426=I$4),"ok","nok")</f>
        <v>nok</v>
      </c>
      <c r="J425" s="60" t="str">
        <f>IF(AND($B425=[1]rogério!$A426,[1]rogério!$B426=J$4),"ok","nok")</f>
        <v>nok</v>
      </c>
      <c r="K425" s="60" t="str">
        <f>IF(AND($B425=[1]rogério!$A426,[1]rogério!$B426=K$4),"ok","nok")</f>
        <v>nok</v>
      </c>
      <c r="L425" s="60" t="str">
        <f>IF(AND($B425=[1]rogério!$A426,[1]rogério!$B426=L$4),"ok","nok")</f>
        <v>nok</v>
      </c>
      <c r="M425" s="60" t="str">
        <f>IF(AND($B425=[1]rogério!$A426,[1]rogério!$B426=M$4),"ok","nok")</f>
        <v>nok</v>
      </c>
      <c r="N425" s="60" t="str">
        <f>IF(AND($B425=[1]rogério!$A426,[1]rogério!$B426=N$4),"ok","nok")</f>
        <v>nok</v>
      </c>
      <c r="O425" s="60" t="str">
        <f>IF(AND($B425=[1]rogério!$A426,[1]rogério!$B426=O$4),"ok","nok")</f>
        <v>nok</v>
      </c>
      <c r="P425" s="60" t="str">
        <f>IF(AND($B425=[1]rogério!$A426,[1]rogério!$B426=P$4),"ok","nok")</f>
        <v>nok</v>
      </c>
      <c r="Q425" s="60" t="str">
        <f>IF(AND($B425=[1]rogério!$A426,[1]rogério!$B426=Q$4),"ok","nok")</f>
        <v>nok</v>
      </c>
      <c r="R425" s="60" t="str">
        <f>IF(AND($B425=[1]rogério!$A426,[1]rogério!$B426=R$4),"ok","nok")</f>
        <v>nok</v>
      </c>
      <c r="S425" s="60" t="str">
        <f>IF(AND($B425=[1]rogério!$A426,[1]rogério!$B426=S$4),"ok","nok")</f>
        <v>nok</v>
      </c>
      <c r="T425" s="60" t="str">
        <f>IF(AND($B425=[1]rogério!$A426,[1]rogério!$B426=T$4),"ok","nok")</f>
        <v>nok</v>
      </c>
      <c r="U425" s="60" t="str">
        <f>IF(AND($B425=[1]rogério!$A426,[1]rogério!$B426=U$4),"ok","nok")</f>
        <v>nok</v>
      </c>
      <c r="V425" s="60" t="str">
        <f>IF(AND($B425=[1]rogério!$A426,[1]rogério!$B426=V$4),"ok","nok")</f>
        <v>ok</v>
      </c>
      <c r="W425" s="60" t="str">
        <f>IF(AND($B425=[1]rogério!$A426,[1]rogério!$B426=W$4),"ok","nok")</f>
        <v>nok</v>
      </c>
      <c r="X425" s="60" t="str">
        <f>IF(AND($B425=[1]rogério!$A426,[1]rogério!$B426=X$4),"ok","nok")</f>
        <v>nok</v>
      </c>
      <c r="Y425" s="105" t="s">
        <v>15</v>
      </c>
      <c r="Z425" s="106"/>
      <c r="AA425" s="106"/>
      <c r="AB425" s="107"/>
      <c r="AC425" s="40"/>
      <c r="AD425" s="40"/>
      <c r="AE425" s="48" t="str">
        <f t="shared" si="104"/>
        <v/>
      </c>
      <c r="AF425" s="48"/>
      <c r="AG425" s="48"/>
      <c r="AH425" s="89"/>
      <c r="AI425" s="49">
        <f t="shared" si="105"/>
        <v>0</v>
      </c>
      <c r="AJ425" s="49" t="str">
        <f t="shared" si="106"/>
        <v/>
      </c>
      <c r="AK425" s="49">
        <f t="shared" si="107"/>
        <v>0</v>
      </c>
      <c r="AL425" s="49" t="str">
        <f t="shared" si="108"/>
        <v/>
      </c>
      <c r="AM425" s="49">
        <f t="shared" si="109"/>
        <v>0</v>
      </c>
      <c r="AN425" s="49" t="str">
        <f t="shared" si="110"/>
        <v/>
      </c>
      <c r="AO425" s="49">
        <f t="shared" si="111"/>
        <v>1</v>
      </c>
      <c r="AP425" s="49" t="str">
        <f t="shared" si="112"/>
        <v/>
      </c>
      <c r="AQ425" s="49">
        <f t="shared" si="113"/>
        <v>0</v>
      </c>
      <c r="AR425" s="49" t="str">
        <f t="shared" si="114"/>
        <v/>
      </c>
    </row>
    <row r="426" spans="1:45" ht="30" customHeight="1" x14ac:dyDescent="0.35">
      <c r="A426" s="25" t="str">
        <f t="shared" si="116"/>
        <v>PT177 - PLATAFORMA DE ACESSO - FORQUILHA 2 - DETALHADO
TORRE B4PROJETO DETALHADO
ESTRUTURAS METÁLICAS</v>
      </c>
      <c r="B426" s="38" t="s">
        <v>80</v>
      </c>
      <c r="C426" s="60" t="str">
        <f>IF(AND($B426=[1]rogério!$A427,[1]rogério!$B427=C$4),"ok","nok")</f>
        <v>nok</v>
      </c>
      <c r="D426" s="60" t="str">
        <f>IF(AND($B426=[1]rogério!$A427,[1]rogério!$B427=D$4),"ok","nok")</f>
        <v>nok</v>
      </c>
      <c r="E426" s="60" t="str">
        <f>IF(AND($B426=[1]rogério!$A427,[1]rogério!$B427=E$4),"ok","nok")</f>
        <v>nok</v>
      </c>
      <c r="F426" s="60" t="str">
        <f>IF(AND($B426=[1]rogério!$A427,[1]rogério!$B427=F$4),"ok","nok")</f>
        <v>nok</v>
      </c>
      <c r="G426" s="60" t="str">
        <f>IF(AND($B426=[1]rogério!$A427,[1]rogério!$B427=G$4),"ok","nok")</f>
        <v>nok</v>
      </c>
      <c r="H426" s="60" t="str">
        <f>IF(AND($B426=[1]rogério!$A427,[1]rogério!$B427=H$4),"ok","nok")</f>
        <v>nok</v>
      </c>
      <c r="I426" s="60" t="str">
        <f>IF(AND($B426=[1]rogério!$A427,[1]rogério!$B427=I$4),"ok","nok")</f>
        <v>nok</v>
      </c>
      <c r="J426" s="60" t="str">
        <f>IF(AND($B426=[1]rogério!$A427,[1]rogério!$B427=J$4),"ok","nok")</f>
        <v>nok</v>
      </c>
      <c r="K426" s="60" t="str">
        <f>IF(AND($B426=[1]rogério!$A427,[1]rogério!$B427=K$4),"ok","nok")</f>
        <v>nok</v>
      </c>
      <c r="L426" s="60" t="str">
        <f>IF(AND($B426=[1]rogério!$A427,[1]rogério!$B427=L$4),"ok","nok")</f>
        <v>nok</v>
      </c>
      <c r="M426" s="60" t="str">
        <f>IF(AND($B426=[1]rogério!$A427,[1]rogério!$B427=M$4),"ok","nok")</f>
        <v>nok</v>
      </c>
      <c r="N426" s="60" t="str">
        <f>IF(AND($B426=[1]rogério!$A427,[1]rogério!$B427=N$4),"ok","nok")</f>
        <v>nok</v>
      </c>
      <c r="O426" s="60" t="str">
        <f>IF(AND($B426=[1]rogério!$A427,[1]rogério!$B427=O$4),"ok","nok")</f>
        <v>nok</v>
      </c>
      <c r="P426" s="60" t="str">
        <f>IF(AND($B426=[1]rogério!$A427,[1]rogério!$B427=P$4),"ok","nok")</f>
        <v>nok</v>
      </c>
      <c r="Q426" s="60" t="str">
        <f>IF(AND($B426=[1]rogério!$A427,[1]rogério!$B427=Q$4),"ok","nok")</f>
        <v>nok</v>
      </c>
      <c r="R426" s="60" t="str">
        <f>IF(AND($B426=[1]rogério!$A427,[1]rogério!$B427=R$4),"ok","nok")</f>
        <v>nok</v>
      </c>
      <c r="S426" s="60" t="str">
        <f>IF(AND($B426=[1]rogério!$A427,[1]rogério!$B427=S$4),"ok","nok")</f>
        <v>nok</v>
      </c>
      <c r="T426" s="60" t="str">
        <f>IF(AND($B426=[1]rogério!$A427,[1]rogério!$B427=T$4),"ok","nok")</f>
        <v>nok</v>
      </c>
      <c r="U426" s="60" t="str">
        <f>IF(AND($B426=[1]rogério!$A427,[1]rogério!$B427=U$4),"ok","nok")</f>
        <v>nok</v>
      </c>
      <c r="V426" s="60" t="str">
        <f>IF(AND($B426=[1]rogério!$A427,[1]rogério!$B427=V$4),"ok","nok")</f>
        <v>nok</v>
      </c>
      <c r="W426" s="60" t="str">
        <f>IF(AND($B426=[1]rogério!$A427,[1]rogério!$B427=W$4),"ok","nok")</f>
        <v>nok</v>
      </c>
      <c r="X426" s="60" t="str">
        <f>IF(AND($B426=[1]rogério!$A427,[1]rogério!$B427=X$4),"ok","nok")</f>
        <v>ok</v>
      </c>
      <c r="Y426" s="105" t="s">
        <v>15</v>
      </c>
      <c r="Z426" s="106"/>
      <c r="AA426" s="106"/>
      <c r="AB426" s="107"/>
      <c r="AC426" s="40"/>
      <c r="AD426" s="40"/>
      <c r="AE426" s="48" t="str">
        <f t="shared" si="104"/>
        <v/>
      </c>
      <c r="AF426" s="48"/>
      <c r="AG426" s="48"/>
      <c r="AH426" s="89"/>
      <c r="AI426" s="49">
        <f t="shared" si="105"/>
        <v>0</v>
      </c>
      <c r="AJ426" s="49" t="str">
        <f t="shared" si="106"/>
        <v/>
      </c>
      <c r="AK426" s="49">
        <f t="shared" si="107"/>
        <v>0</v>
      </c>
      <c r="AL426" s="49" t="str">
        <f t="shared" si="108"/>
        <v/>
      </c>
      <c r="AM426" s="49">
        <f t="shared" si="109"/>
        <v>0</v>
      </c>
      <c r="AN426" s="49" t="str">
        <f t="shared" si="110"/>
        <v/>
      </c>
      <c r="AO426" s="49">
        <f t="shared" si="111"/>
        <v>0</v>
      </c>
      <c r="AP426" s="49" t="str">
        <f t="shared" si="112"/>
        <v/>
      </c>
      <c r="AQ426" s="49">
        <f t="shared" si="113"/>
        <v>1</v>
      </c>
      <c r="AR426" s="49" t="str">
        <f t="shared" si="114"/>
        <v/>
      </c>
    </row>
    <row r="427" spans="1:45" ht="30" customHeight="1" x14ac:dyDescent="0.35">
      <c r="A427" s="25"/>
      <c r="B427" s="39" t="s">
        <v>81</v>
      </c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108"/>
      <c r="Z427" s="109"/>
      <c r="AA427" s="109"/>
      <c r="AB427" s="110"/>
      <c r="AC427" s="40"/>
      <c r="AD427" s="40"/>
      <c r="AE427" s="48" t="str">
        <f t="shared" si="104"/>
        <v/>
      </c>
      <c r="AF427" s="48"/>
      <c r="AG427" s="48"/>
      <c r="AH427" s="89"/>
      <c r="AI427" s="49">
        <f t="shared" si="105"/>
        <v>0</v>
      </c>
      <c r="AJ427" s="49" t="str">
        <f t="shared" si="106"/>
        <v/>
      </c>
      <c r="AK427" s="49">
        <f t="shared" si="107"/>
        <v>0</v>
      </c>
      <c r="AL427" s="49" t="str">
        <f t="shared" si="108"/>
        <v/>
      </c>
      <c r="AM427" s="49">
        <f t="shared" si="109"/>
        <v>0</v>
      </c>
      <c r="AN427" s="49" t="str">
        <f t="shared" si="110"/>
        <v/>
      </c>
      <c r="AO427" s="49">
        <f t="shared" si="111"/>
        <v>0</v>
      </c>
      <c r="AP427" s="49" t="str">
        <f t="shared" si="112"/>
        <v/>
      </c>
      <c r="AQ427" s="49">
        <f t="shared" si="113"/>
        <v>0</v>
      </c>
      <c r="AR427" s="49" t="str">
        <f t="shared" si="114"/>
        <v/>
      </c>
    </row>
    <row r="428" spans="1:45" ht="30" customHeight="1" x14ac:dyDescent="0.35">
      <c r="A428" s="25" t="str">
        <f t="shared" si="116"/>
        <v>PT177 - PLATAFORMA DE ACESSO - FORQUILHA 2 - DETALHADO
TORRE B4PROJETO DETALHADO
ESTRUTURAS METÁLICAS</v>
      </c>
      <c r="B428" s="40" t="s">
        <v>49</v>
      </c>
      <c r="C428" s="60" t="str">
        <f>IF(AND($B428=[1]rogério!$A429,[1]rogério!$B429=C$4),"ok","nok")</f>
        <v>nok</v>
      </c>
      <c r="D428" s="60" t="str">
        <f>IF(AND($B428=[1]rogério!$A429,[1]rogério!$B429=D$4),"ok","nok")</f>
        <v>nok</v>
      </c>
      <c r="E428" s="60" t="str">
        <f>IF(AND($B428=[1]rogério!$A429,[1]rogério!$B429=E$4),"ok","nok")</f>
        <v>nok</v>
      </c>
      <c r="F428" s="60" t="str">
        <f>IF(AND($B428=[1]rogério!$A429,[1]rogério!$B429=F$4),"ok","nok")</f>
        <v>nok</v>
      </c>
      <c r="G428" s="60" t="str">
        <f>IF(AND($B428=[1]rogério!$A429,[1]rogério!$B429=G$4),"ok","nok")</f>
        <v>nok</v>
      </c>
      <c r="H428" s="60" t="str">
        <f>IF(AND($B428=[1]rogério!$A429,[1]rogério!$B429=H$4),"ok","nok")</f>
        <v>nok</v>
      </c>
      <c r="I428" s="60" t="str">
        <f>IF(AND($B428=[1]rogério!$A429,[1]rogério!$B429=I$4),"ok","nok")</f>
        <v>nok</v>
      </c>
      <c r="J428" s="60" t="str">
        <f>IF(AND($B428=[1]rogério!$A429,[1]rogério!$B429=J$4),"ok","nok")</f>
        <v>nok</v>
      </c>
      <c r="K428" s="60" t="str">
        <f>IF(AND($B428=[1]rogério!$A429,[1]rogério!$B429=K$4),"ok","nok")</f>
        <v>nok</v>
      </c>
      <c r="L428" s="60" t="str">
        <f>IF(AND($B428=[1]rogério!$A429,[1]rogério!$B429=L$4),"ok","nok")</f>
        <v>nok</v>
      </c>
      <c r="M428" s="60" t="str">
        <f>IF(AND($B428=[1]rogério!$A429,[1]rogério!$B429=M$4),"ok","nok")</f>
        <v>nok</v>
      </c>
      <c r="N428" s="60" t="str">
        <f>IF(AND($B428=[1]rogério!$A429,[1]rogério!$B429=N$4),"ok","nok")</f>
        <v>nok</v>
      </c>
      <c r="O428" s="60" t="str">
        <f>IF(AND($B428=[1]rogério!$A429,[1]rogério!$B429=O$4),"ok","nok")</f>
        <v>nok</v>
      </c>
      <c r="P428" s="60" t="str">
        <f>IF(AND($B428=[1]rogério!$A429,[1]rogério!$B429=P$4),"ok","nok")</f>
        <v>nok</v>
      </c>
      <c r="Q428" s="60" t="str">
        <f>IF(AND($B428=[1]rogério!$A429,[1]rogério!$B429=Q$4),"ok","nok")</f>
        <v>nok</v>
      </c>
      <c r="R428" s="60" t="str">
        <f>IF(AND($B428=[1]rogério!$A429,[1]rogério!$B429=R$4),"ok","nok")</f>
        <v>nok</v>
      </c>
      <c r="S428" s="60" t="str">
        <f>IF(AND($B428=[1]rogério!$A429,[1]rogério!$B429=S$4),"ok","nok")</f>
        <v>nok</v>
      </c>
      <c r="T428" s="60" t="str">
        <f>IF(AND($B428=[1]rogério!$A429,[1]rogério!$B429=T$4),"ok","nok")</f>
        <v>nok</v>
      </c>
      <c r="U428" s="60" t="str">
        <f>IF(AND($B428=[1]rogério!$A429,[1]rogério!$B429=U$4),"ok","nok")</f>
        <v>nok</v>
      </c>
      <c r="V428" s="60" t="str">
        <f>IF(AND($B428=[1]rogério!$A429,[1]rogério!$B429=V$4),"ok","nok")</f>
        <v>nok</v>
      </c>
      <c r="W428" s="60" t="str">
        <f>IF(AND($B428=[1]rogério!$A429,[1]rogério!$B429=W$4),"ok","nok")</f>
        <v>nok</v>
      </c>
      <c r="X428" s="60" t="str">
        <f>IF(AND($B428=[1]rogério!$A429,[1]rogério!$B429=X$4),"ok","nok")</f>
        <v>ok</v>
      </c>
      <c r="Y428" s="105" t="s">
        <v>15</v>
      </c>
      <c r="Z428" s="106"/>
      <c r="AA428" s="106"/>
      <c r="AB428" s="107"/>
      <c r="AC428" s="40"/>
      <c r="AD428" s="40"/>
      <c r="AE428" s="48" t="str">
        <f t="shared" si="104"/>
        <v/>
      </c>
      <c r="AF428" s="48"/>
      <c r="AG428" s="48"/>
      <c r="AH428" s="89"/>
      <c r="AI428" s="49">
        <f t="shared" si="105"/>
        <v>0</v>
      </c>
      <c r="AJ428" s="49" t="str">
        <f t="shared" si="106"/>
        <v/>
      </c>
      <c r="AK428" s="49">
        <f t="shared" si="107"/>
        <v>0</v>
      </c>
      <c r="AL428" s="49" t="str">
        <f t="shared" si="108"/>
        <v/>
      </c>
      <c r="AM428" s="49">
        <f t="shared" si="109"/>
        <v>0</v>
      </c>
      <c r="AN428" s="49" t="str">
        <f t="shared" si="110"/>
        <v/>
      </c>
      <c r="AO428" s="49">
        <f t="shared" si="111"/>
        <v>0</v>
      </c>
      <c r="AP428" s="49" t="str">
        <f t="shared" si="112"/>
        <v/>
      </c>
      <c r="AQ428" s="49">
        <f t="shared" si="113"/>
        <v>1</v>
      </c>
      <c r="AR428" s="49" t="str">
        <f t="shared" si="114"/>
        <v/>
      </c>
    </row>
    <row r="429" spans="1:45" ht="30" customHeight="1" x14ac:dyDescent="0.35">
      <c r="A429" s="25"/>
      <c r="B429" s="62" t="s">
        <v>64</v>
      </c>
      <c r="C429" s="62"/>
      <c r="D429" s="62"/>
      <c r="E429" s="62"/>
      <c r="F429" s="62"/>
      <c r="G429" s="62"/>
      <c r="H429" s="62"/>
      <c r="I429" s="62"/>
      <c r="J429" s="62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114"/>
      <c r="Z429" s="115"/>
      <c r="AA429" s="115"/>
      <c r="AB429" s="116"/>
      <c r="AC429" s="40"/>
      <c r="AD429" s="40"/>
      <c r="AE429" s="48" t="str">
        <f t="shared" si="104"/>
        <v/>
      </c>
      <c r="AF429" s="48"/>
      <c r="AG429" s="48"/>
      <c r="AH429" s="89"/>
      <c r="AI429" s="49">
        <f t="shared" si="105"/>
        <v>0</v>
      </c>
      <c r="AJ429" s="49" t="str">
        <f t="shared" si="106"/>
        <v/>
      </c>
      <c r="AK429" s="49">
        <f t="shared" si="107"/>
        <v>0</v>
      </c>
      <c r="AL429" s="49" t="str">
        <f t="shared" si="108"/>
        <v/>
      </c>
      <c r="AM429" s="49">
        <f t="shared" si="109"/>
        <v>0</v>
      </c>
      <c r="AN429" s="49" t="str">
        <f t="shared" si="110"/>
        <v/>
      </c>
      <c r="AO429" s="49">
        <f t="shared" si="111"/>
        <v>0</v>
      </c>
      <c r="AP429" s="49" t="str">
        <f t="shared" si="112"/>
        <v/>
      </c>
      <c r="AQ429" s="49">
        <f t="shared" si="113"/>
        <v>0</v>
      </c>
      <c r="AR429" s="49" t="str">
        <f t="shared" si="114"/>
        <v/>
      </c>
    </row>
    <row r="430" spans="1:45" ht="30" customHeight="1" x14ac:dyDescent="0.35">
      <c r="A430" s="25"/>
      <c r="B430" s="39" t="s">
        <v>41</v>
      </c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108"/>
      <c r="Z430" s="109"/>
      <c r="AA430" s="109"/>
      <c r="AB430" s="110"/>
      <c r="AC430" s="40"/>
      <c r="AD430" s="40"/>
      <c r="AE430" s="48" t="str">
        <f t="shared" si="104"/>
        <v/>
      </c>
      <c r="AF430" s="48"/>
      <c r="AG430" s="48"/>
      <c r="AH430" s="89"/>
      <c r="AI430" s="49">
        <f t="shared" si="105"/>
        <v>0</v>
      </c>
      <c r="AJ430" s="49" t="str">
        <f t="shared" si="106"/>
        <v/>
      </c>
      <c r="AK430" s="49">
        <f t="shared" si="107"/>
        <v>0</v>
      </c>
      <c r="AL430" s="49" t="str">
        <f t="shared" si="108"/>
        <v/>
      </c>
      <c r="AM430" s="49">
        <f t="shared" si="109"/>
        <v>0</v>
      </c>
      <c r="AN430" s="49" t="str">
        <f t="shared" si="110"/>
        <v/>
      </c>
      <c r="AO430" s="49">
        <f t="shared" si="111"/>
        <v>0</v>
      </c>
      <c r="AP430" s="49" t="str">
        <f t="shared" si="112"/>
        <v/>
      </c>
      <c r="AQ430" s="49">
        <f t="shared" si="113"/>
        <v>0</v>
      </c>
      <c r="AR430" s="49" t="str">
        <f t="shared" si="114"/>
        <v/>
      </c>
    </row>
    <row r="431" spans="1:45" ht="30" customHeight="1" x14ac:dyDescent="0.35">
      <c r="A431" s="25" t="str">
        <f>CONCATENATE($B$355,"
",$B$408,"",$B$409,"
",$B$429)</f>
        <v>PT177 - PLATAFORMA DE ACESSO - FORQUILHA 2 - DETALHADO
TORRE B4PROJETO DETALHADO
CIVIL</v>
      </c>
      <c r="B431" s="40" t="s">
        <v>49</v>
      </c>
      <c r="C431" s="60" t="str">
        <f>IF(AND($B431=[1]rogério!$A432,[1]rogério!$B432=C$4),"ok","nok")</f>
        <v>nok</v>
      </c>
      <c r="D431" s="60" t="str">
        <f>IF(AND($B431=[1]rogério!$A432,[1]rogério!$B432=D$4),"ok","nok")</f>
        <v>nok</v>
      </c>
      <c r="E431" s="60" t="str">
        <f>IF(AND($B431=[1]rogério!$A432,[1]rogério!$B432=E$4),"ok","nok")</f>
        <v>nok</v>
      </c>
      <c r="F431" s="60" t="str">
        <f>IF(AND($B431=[1]rogério!$A432,[1]rogério!$B432=F$4),"ok","nok")</f>
        <v>nok</v>
      </c>
      <c r="G431" s="60" t="str">
        <f>IF(AND($B431=[1]rogério!$A432,[1]rogério!$B432=G$4),"ok","nok")</f>
        <v>nok</v>
      </c>
      <c r="H431" s="60" t="str">
        <f>IF(AND($B431=[1]rogério!$A432,[1]rogério!$B432=H$4),"ok","nok")</f>
        <v>nok</v>
      </c>
      <c r="I431" s="60" t="str">
        <f>IF(AND($B431=[1]rogério!$A432,[1]rogério!$B432=I$4),"ok","nok")</f>
        <v>ok</v>
      </c>
      <c r="J431" s="60" t="str">
        <f>IF(AND($B431=[1]rogério!$A432,[1]rogério!$B432=J$4),"ok","nok")</f>
        <v>nok</v>
      </c>
      <c r="K431" s="60" t="str">
        <f>IF(AND($B431=[1]rogério!$A432,[1]rogério!$B432=K$4),"ok","nok")</f>
        <v>nok</v>
      </c>
      <c r="L431" s="60" t="str">
        <f>IF(AND($B431=[1]rogério!$A432,[1]rogério!$B432=L$4),"ok","nok")</f>
        <v>nok</v>
      </c>
      <c r="M431" s="60" t="str">
        <f>IF(AND($B431=[1]rogério!$A432,[1]rogério!$B432=M$4),"ok","nok")</f>
        <v>nok</v>
      </c>
      <c r="N431" s="60" t="str">
        <f>IF(AND($B431=[1]rogério!$A432,[1]rogério!$B432=N$4),"ok","nok")</f>
        <v>nok</v>
      </c>
      <c r="O431" s="60" t="str">
        <f>IF(AND($B431=[1]rogério!$A432,[1]rogério!$B432=O$4),"ok","nok")</f>
        <v>nok</v>
      </c>
      <c r="P431" s="60" t="str">
        <f>IF(AND($B431=[1]rogério!$A432,[1]rogério!$B432=P$4),"ok","nok")</f>
        <v>nok</v>
      </c>
      <c r="Q431" s="60" t="str">
        <f>IF(AND($B431=[1]rogério!$A432,[1]rogério!$B432=Q$4),"ok","nok")</f>
        <v>nok</v>
      </c>
      <c r="R431" s="60" t="str">
        <f>IF(AND($B431=[1]rogério!$A432,[1]rogério!$B432=R$4),"ok","nok")</f>
        <v>nok</v>
      </c>
      <c r="S431" s="60" t="str">
        <f>IF(AND($B431=[1]rogério!$A432,[1]rogério!$B432=S$4),"ok","nok")</f>
        <v>nok</v>
      </c>
      <c r="T431" s="60" t="str">
        <f>IF(AND($B431=[1]rogério!$A432,[1]rogério!$B432=T$4),"ok","nok")</f>
        <v>nok</v>
      </c>
      <c r="U431" s="60" t="str">
        <f>IF(AND($B431=[1]rogério!$A432,[1]rogério!$B432=U$4),"ok","nok")</f>
        <v>nok</v>
      </c>
      <c r="V431" s="60" t="str">
        <f>IF(AND($B431=[1]rogério!$A432,[1]rogério!$B432=V$4),"ok","nok")</f>
        <v>nok</v>
      </c>
      <c r="W431" s="60" t="str">
        <f>IF(AND($B431=[1]rogério!$A432,[1]rogério!$B432=W$4),"ok","nok")</f>
        <v>nok</v>
      </c>
      <c r="X431" s="60" t="str">
        <f>IF(AND($B431=[1]rogério!$A432,[1]rogério!$B432=X$4),"ok","nok")</f>
        <v>nok</v>
      </c>
      <c r="Y431" s="105" t="s">
        <v>15</v>
      </c>
      <c r="Z431" s="106"/>
      <c r="AA431" s="106"/>
      <c r="AB431" s="107"/>
      <c r="AC431" s="40"/>
      <c r="AD431" s="40"/>
      <c r="AE431" s="48" t="str">
        <f t="shared" si="104"/>
        <v/>
      </c>
      <c r="AF431" s="48"/>
      <c r="AG431" s="48"/>
      <c r="AH431" s="89"/>
      <c r="AI431" s="49">
        <f t="shared" si="105"/>
        <v>0</v>
      </c>
      <c r="AJ431" s="49" t="str">
        <f t="shared" si="106"/>
        <v/>
      </c>
      <c r="AK431" s="49">
        <f t="shared" si="107"/>
        <v>1</v>
      </c>
      <c r="AL431" s="49" t="str">
        <f t="shared" si="108"/>
        <v/>
      </c>
      <c r="AM431" s="49">
        <f t="shared" si="109"/>
        <v>0</v>
      </c>
      <c r="AN431" s="49" t="str">
        <f t="shared" si="110"/>
        <v/>
      </c>
      <c r="AO431" s="49">
        <f t="shared" si="111"/>
        <v>0</v>
      </c>
      <c r="AP431" s="49" t="str">
        <f t="shared" si="112"/>
        <v/>
      </c>
      <c r="AQ431" s="49">
        <f t="shared" si="113"/>
        <v>0</v>
      </c>
      <c r="AR431" s="49" t="str">
        <f t="shared" si="114"/>
        <v/>
      </c>
    </row>
    <row r="432" spans="1:45" s="56" customFormat="1" ht="30" customHeight="1" x14ac:dyDescent="0.35">
      <c r="A432" s="25" t="str">
        <f t="shared" ref="A432:A463" si="117">CONCATENATE($B$355,"
",$B$408,"",$B$409,"
",$B$429)</f>
        <v>PT177 - PLATAFORMA DE ACESSO - FORQUILHA 2 - DETALHADO
TORRE B4PROJETO DETALHADO
CIVIL</v>
      </c>
      <c r="B432" s="102" t="s">
        <v>19</v>
      </c>
      <c r="C432" s="60" t="str">
        <f>IF(AND($B432=[1]rogério!$A433,[1]rogério!$B433=C$4),"ok","nok")</f>
        <v>nok</v>
      </c>
      <c r="D432" s="60" t="str">
        <f>IF(AND($B432=[1]rogério!$A433,[1]rogério!$B433=D$4),"ok","nok")</f>
        <v>nok</v>
      </c>
      <c r="E432" s="60" t="str">
        <f>IF(AND($B432=[1]rogério!$A433,[1]rogério!$B433=E$4),"ok","nok")</f>
        <v>nok</v>
      </c>
      <c r="F432" s="60" t="str">
        <f>IF(AND($B432=[1]rogério!$A433,[1]rogério!$B433=F$4),"ok","nok")</f>
        <v>nok</v>
      </c>
      <c r="G432" s="60" t="str">
        <f>IF(AND($B432=[1]rogério!$A433,[1]rogério!$B433=G$4),"ok","nok")</f>
        <v>nok</v>
      </c>
      <c r="H432" s="60" t="str">
        <f>IF(AND($B432=[1]rogério!$A433,[1]rogério!$B433=H$4),"ok","nok")</f>
        <v>nok</v>
      </c>
      <c r="I432" s="60" t="str">
        <f>IF(AND($B432=[1]rogério!$A433,[1]rogério!$B433=I$4),"ok","nok")</f>
        <v>nok</v>
      </c>
      <c r="J432" s="60" t="str">
        <f>IF(AND($B432=[1]rogério!$A433,[1]rogério!$B433=J$4),"ok","nok")</f>
        <v>nok</v>
      </c>
      <c r="K432" s="60" t="str">
        <f>IF(AND($B432=[1]rogério!$A433,[1]rogério!$B433=K$4),"ok","nok")</f>
        <v>nok</v>
      </c>
      <c r="L432" s="60" t="str">
        <f>IF(AND($B432=[1]rogério!$A433,[1]rogério!$B433=L$4),"ok","nok")</f>
        <v>nok</v>
      </c>
      <c r="M432" s="60" t="str">
        <f>IF(AND($B432=[1]rogério!$A433,[1]rogério!$B433=M$4),"ok","nok")</f>
        <v>ok</v>
      </c>
      <c r="N432" s="60" t="str">
        <f>IF(AND($B432=[1]rogério!$A433,[1]rogério!$B433=N$4),"ok","nok")</f>
        <v>nok</v>
      </c>
      <c r="O432" s="60" t="str">
        <f>IF(AND($B432=[1]rogério!$A433,[1]rogério!$B433=O$4),"ok","nok")</f>
        <v>nok</v>
      </c>
      <c r="P432" s="60" t="str">
        <f>IF(AND($B432=[1]rogério!$A433,[1]rogério!$B433=P$4),"ok","nok")</f>
        <v>nok</v>
      </c>
      <c r="Q432" s="60" t="str">
        <f>IF(AND($B432=[1]rogério!$A433,[1]rogério!$B433=Q$4),"ok","nok")</f>
        <v>nok</v>
      </c>
      <c r="R432" s="60" t="str">
        <f>IF(AND($B432=[1]rogério!$A433,[1]rogério!$B433=R$4),"ok","nok")</f>
        <v>nok</v>
      </c>
      <c r="S432" s="60" t="str">
        <f>IF(AND($B432=[1]rogério!$A433,[1]rogério!$B433=S$4),"ok","nok")</f>
        <v>nok</v>
      </c>
      <c r="T432" s="60" t="str">
        <f>IF(AND($B432=[1]rogério!$A433,[1]rogério!$B433=T$4),"ok","nok")</f>
        <v>nok</v>
      </c>
      <c r="U432" s="60" t="str">
        <f>IF(AND($B432=[1]rogério!$A433,[1]rogério!$B433=U$4),"ok","nok")</f>
        <v>nok</v>
      </c>
      <c r="V432" s="60" t="str">
        <f>IF(AND($B432=[1]rogério!$A433,[1]rogério!$B433=V$4),"ok","nok")</f>
        <v>nok</v>
      </c>
      <c r="W432" s="60" t="str">
        <f>IF(AND($B432=[1]rogério!$A433,[1]rogério!$B433=W$4),"ok","nok")</f>
        <v>nok</v>
      </c>
      <c r="X432" s="60" t="str">
        <f>IF(AND($B432=[1]rogério!$A433,[1]rogério!$B433=X$4),"ok","nok")</f>
        <v>nok</v>
      </c>
      <c r="Y432" s="105" t="s">
        <v>15</v>
      </c>
      <c r="Z432" s="106"/>
      <c r="AA432" s="106"/>
      <c r="AB432" s="107"/>
      <c r="AC432" s="41"/>
      <c r="AD432" s="41"/>
      <c r="AE432" s="48" t="str">
        <f t="shared" si="104"/>
        <v/>
      </c>
      <c r="AF432" s="48"/>
      <c r="AG432" s="48"/>
      <c r="AH432" s="89"/>
      <c r="AI432" s="49">
        <f t="shared" si="105"/>
        <v>0</v>
      </c>
      <c r="AJ432" s="49" t="str">
        <f t="shared" si="106"/>
        <v/>
      </c>
      <c r="AK432" s="49">
        <f t="shared" si="107"/>
        <v>0</v>
      </c>
      <c r="AL432" s="49" t="str">
        <f t="shared" si="108"/>
        <v/>
      </c>
      <c r="AM432" s="49">
        <f t="shared" si="109"/>
        <v>1</v>
      </c>
      <c r="AN432" s="49" t="str">
        <f t="shared" si="110"/>
        <v/>
      </c>
      <c r="AO432" s="49">
        <f t="shared" si="111"/>
        <v>0</v>
      </c>
      <c r="AP432" s="49" t="str">
        <f t="shared" si="112"/>
        <v/>
      </c>
      <c r="AQ432" s="49">
        <f t="shared" si="113"/>
        <v>0</v>
      </c>
      <c r="AR432" s="49" t="str">
        <f t="shared" si="114"/>
        <v/>
      </c>
      <c r="AS432" s="101"/>
    </row>
    <row r="433" spans="1:44" ht="30" customHeight="1" x14ac:dyDescent="0.35">
      <c r="A433" s="25" t="str">
        <f t="shared" si="117"/>
        <v>PT177 - PLATAFORMA DE ACESSO - FORQUILHA 2 - DETALHADO
TORRE B4PROJETO DETALHADO
CIVIL</v>
      </c>
      <c r="B433" s="40" t="s">
        <v>42</v>
      </c>
      <c r="C433" s="60" t="str">
        <f>IF(AND($B433=[1]rogério!$A434,[1]rogério!$B434=C$4),"ok","nok")</f>
        <v>nok</v>
      </c>
      <c r="D433" s="60" t="str">
        <f>IF(AND($B433=[1]rogério!$A434,[1]rogério!$B434=D$4),"ok","nok")</f>
        <v>nok</v>
      </c>
      <c r="E433" s="60" t="str">
        <f>IF(AND($B433=[1]rogério!$A434,[1]rogério!$B434=E$4),"ok","nok")</f>
        <v>nok</v>
      </c>
      <c r="F433" s="60" t="str">
        <f>IF(AND($B433=[1]rogério!$A434,[1]rogério!$B434=F$4),"ok","nok")</f>
        <v>nok</v>
      </c>
      <c r="G433" s="60" t="str">
        <f>IF(AND($B433=[1]rogério!$A434,[1]rogério!$B434=G$4),"ok","nok")</f>
        <v>nok</v>
      </c>
      <c r="H433" s="60" t="str">
        <f>IF(AND($B433=[1]rogério!$A434,[1]rogério!$B434=H$4),"ok","nok")</f>
        <v>nok</v>
      </c>
      <c r="I433" s="60" t="str">
        <f>IF(AND($B433=[1]rogério!$A434,[1]rogério!$B434=I$4),"ok","nok")</f>
        <v>nok</v>
      </c>
      <c r="J433" s="60" t="str">
        <f>IF(AND($B433=[1]rogério!$A434,[1]rogério!$B434=J$4),"ok","nok")</f>
        <v>nok</v>
      </c>
      <c r="K433" s="60" t="str">
        <f>IF(AND($B433=[1]rogério!$A434,[1]rogério!$B434=K$4),"ok","nok")</f>
        <v>nok</v>
      </c>
      <c r="L433" s="60" t="str">
        <f>IF(AND($B433=[1]rogério!$A434,[1]rogério!$B434=L$4),"ok","nok")</f>
        <v>nok</v>
      </c>
      <c r="M433" s="60" t="str">
        <f>IF(AND($B433=[1]rogério!$A434,[1]rogério!$B434=M$4),"ok","nok")</f>
        <v>nok</v>
      </c>
      <c r="N433" s="60" t="str">
        <f>IF(AND($B433=[1]rogério!$A434,[1]rogério!$B434=N$4),"ok","nok")</f>
        <v>nok</v>
      </c>
      <c r="O433" s="60" t="str">
        <f>IF(AND($B433=[1]rogério!$A434,[1]rogério!$B434=O$4),"ok","nok")</f>
        <v>nok</v>
      </c>
      <c r="P433" s="60" t="str">
        <f>IF(AND($B433=[1]rogério!$A434,[1]rogério!$B434=P$4),"ok","nok")</f>
        <v>ok</v>
      </c>
      <c r="Q433" s="60" t="str">
        <f>IF(AND($B433=[1]rogério!$A434,[1]rogério!$B434=Q$4),"ok","nok")</f>
        <v>nok</v>
      </c>
      <c r="R433" s="60" t="str">
        <f>IF(AND($B433=[1]rogério!$A434,[1]rogério!$B434=R$4),"ok","nok")</f>
        <v>nok</v>
      </c>
      <c r="S433" s="60" t="str">
        <f>IF(AND($B433=[1]rogério!$A434,[1]rogério!$B434=S$4),"ok","nok")</f>
        <v>nok</v>
      </c>
      <c r="T433" s="60" t="str">
        <f>IF(AND($B433=[1]rogério!$A434,[1]rogério!$B434=T$4),"ok","nok")</f>
        <v>nok</v>
      </c>
      <c r="U433" s="60" t="str">
        <f>IF(AND($B433=[1]rogério!$A434,[1]rogério!$B434=U$4),"ok","nok")</f>
        <v>nok</v>
      </c>
      <c r="V433" s="60" t="str">
        <f>IF(AND($B433=[1]rogério!$A434,[1]rogério!$B434=V$4),"ok","nok")</f>
        <v>nok</v>
      </c>
      <c r="W433" s="60" t="str">
        <f>IF(AND($B433=[1]rogério!$A434,[1]rogério!$B434=W$4),"ok","nok")</f>
        <v>nok</v>
      </c>
      <c r="X433" s="60" t="str">
        <f>IF(AND($B433=[1]rogério!$A434,[1]rogério!$B434=X$4),"ok","nok")</f>
        <v>nok</v>
      </c>
      <c r="Y433" s="105" t="s">
        <v>15</v>
      </c>
      <c r="Z433" s="106"/>
      <c r="AA433" s="106"/>
      <c r="AB433" s="107"/>
      <c r="AC433" s="46"/>
      <c r="AD433" s="46"/>
      <c r="AE433" s="48" t="str">
        <f t="shared" si="104"/>
        <v/>
      </c>
      <c r="AF433" s="48"/>
      <c r="AG433" s="48"/>
      <c r="AH433" s="89"/>
      <c r="AI433" s="49">
        <f t="shared" si="105"/>
        <v>0</v>
      </c>
      <c r="AJ433" s="49" t="str">
        <f t="shared" si="106"/>
        <v/>
      </c>
      <c r="AK433" s="49">
        <f t="shared" si="107"/>
        <v>0</v>
      </c>
      <c r="AL433" s="49" t="str">
        <f t="shared" si="108"/>
        <v/>
      </c>
      <c r="AM433" s="49">
        <f t="shared" si="109"/>
        <v>1</v>
      </c>
      <c r="AN433" s="49" t="str">
        <f t="shared" si="110"/>
        <v/>
      </c>
      <c r="AO433" s="49">
        <f t="shared" si="111"/>
        <v>0</v>
      </c>
      <c r="AP433" s="49" t="str">
        <f t="shared" si="112"/>
        <v/>
      </c>
      <c r="AQ433" s="49">
        <f t="shared" si="113"/>
        <v>0</v>
      </c>
      <c r="AR433" s="49" t="str">
        <f t="shared" si="114"/>
        <v/>
      </c>
    </row>
    <row r="434" spans="1:44" ht="30" customHeight="1" x14ac:dyDescent="0.35">
      <c r="A434" s="25" t="str">
        <f t="shared" si="117"/>
        <v>PT177 - PLATAFORMA DE ACESSO - FORQUILHA 2 - DETALHADO
TORRE B4PROJETO DETALHADO
CIVIL</v>
      </c>
      <c r="B434" s="40" t="s">
        <v>43</v>
      </c>
      <c r="C434" s="60" t="str">
        <f>IF(AND($B434=[1]rogério!$A435,[1]rogério!$B435=C$4),"ok","nok")</f>
        <v>nok</v>
      </c>
      <c r="D434" s="60" t="str">
        <f>IF(AND($B434=[1]rogério!$A435,[1]rogério!$B435=D$4),"ok","nok")</f>
        <v>nok</v>
      </c>
      <c r="E434" s="60" t="str">
        <f>IF(AND($B434=[1]rogério!$A435,[1]rogério!$B435=E$4),"ok","nok")</f>
        <v>nok</v>
      </c>
      <c r="F434" s="60" t="str">
        <f>IF(AND($B434=[1]rogério!$A435,[1]rogério!$B435=F$4),"ok","nok")</f>
        <v>nok</v>
      </c>
      <c r="G434" s="60" t="str">
        <f>IF(AND($B434=[1]rogério!$A435,[1]rogério!$B435=G$4),"ok","nok")</f>
        <v>nok</v>
      </c>
      <c r="H434" s="60" t="str">
        <f>IF(AND($B434=[1]rogério!$A435,[1]rogério!$B435=H$4),"ok","nok")</f>
        <v>nok</v>
      </c>
      <c r="I434" s="60" t="str">
        <f>IF(AND($B434=[1]rogério!$A435,[1]rogério!$B435=I$4),"ok","nok")</f>
        <v>nok</v>
      </c>
      <c r="J434" s="60" t="str">
        <f>IF(AND($B434=[1]rogério!$A435,[1]rogério!$B435=J$4),"ok","nok")</f>
        <v>nok</v>
      </c>
      <c r="K434" s="60" t="str">
        <f>IF(AND($B434=[1]rogério!$A435,[1]rogério!$B435=K$4),"ok","nok")</f>
        <v>nok</v>
      </c>
      <c r="L434" s="60" t="str">
        <f>IF(AND($B434=[1]rogério!$A435,[1]rogério!$B435=L$4),"ok","nok")</f>
        <v>nok</v>
      </c>
      <c r="M434" s="60" t="str">
        <f>IF(AND($B434=[1]rogério!$A435,[1]rogério!$B435=M$4),"ok","nok")</f>
        <v>nok</v>
      </c>
      <c r="N434" s="60" t="str">
        <f>IF(AND($B434=[1]rogério!$A435,[1]rogério!$B435=N$4),"ok","nok")</f>
        <v>nok</v>
      </c>
      <c r="O434" s="60" t="str">
        <f>IF(AND($B434=[1]rogério!$A435,[1]rogério!$B435=O$4),"ok","nok")</f>
        <v>nok</v>
      </c>
      <c r="P434" s="60" t="str">
        <f>IF(AND($B434=[1]rogério!$A435,[1]rogério!$B435=P$4),"ok","nok")</f>
        <v>ok</v>
      </c>
      <c r="Q434" s="60" t="str">
        <f>IF(AND($B434=[1]rogério!$A435,[1]rogério!$B435=Q$4),"ok","nok")</f>
        <v>nok</v>
      </c>
      <c r="R434" s="60" t="str">
        <f>IF(AND($B434=[1]rogério!$A435,[1]rogério!$B435=R$4),"ok","nok")</f>
        <v>nok</v>
      </c>
      <c r="S434" s="60" t="str">
        <f>IF(AND($B434=[1]rogério!$A435,[1]rogério!$B435=S$4),"ok","nok")</f>
        <v>nok</v>
      </c>
      <c r="T434" s="60" t="str">
        <f>IF(AND($B434=[1]rogério!$A435,[1]rogério!$B435=T$4),"ok","nok")</f>
        <v>nok</v>
      </c>
      <c r="U434" s="60" t="str">
        <f>IF(AND($B434=[1]rogério!$A435,[1]rogério!$B435=U$4),"ok","nok")</f>
        <v>nok</v>
      </c>
      <c r="V434" s="60" t="str">
        <f>IF(AND($B434=[1]rogério!$A435,[1]rogério!$B435=V$4),"ok","nok")</f>
        <v>nok</v>
      </c>
      <c r="W434" s="60" t="str">
        <f>IF(AND($B434=[1]rogério!$A435,[1]rogério!$B435=W$4),"ok","nok")</f>
        <v>nok</v>
      </c>
      <c r="X434" s="60" t="str">
        <f>IF(AND($B434=[1]rogério!$A435,[1]rogério!$B435=X$4),"ok","nok")</f>
        <v>nok</v>
      </c>
      <c r="Y434" s="105" t="s">
        <v>15</v>
      </c>
      <c r="Z434" s="106"/>
      <c r="AA434" s="106"/>
      <c r="AB434" s="107"/>
      <c r="AC434" s="40"/>
      <c r="AD434" s="40"/>
      <c r="AE434" s="48" t="str">
        <f t="shared" si="104"/>
        <v/>
      </c>
      <c r="AF434" s="48"/>
      <c r="AG434" s="48"/>
      <c r="AH434" s="89"/>
      <c r="AI434" s="49">
        <f t="shared" si="105"/>
        <v>0</v>
      </c>
      <c r="AJ434" s="49" t="str">
        <f t="shared" si="106"/>
        <v/>
      </c>
      <c r="AK434" s="49">
        <f t="shared" si="107"/>
        <v>0</v>
      </c>
      <c r="AL434" s="49" t="str">
        <f t="shared" si="108"/>
        <v/>
      </c>
      <c r="AM434" s="49">
        <f t="shared" si="109"/>
        <v>1</v>
      </c>
      <c r="AN434" s="49" t="str">
        <f t="shared" si="110"/>
        <v/>
      </c>
      <c r="AO434" s="49">
        <f t="shared" si="111"/>
        <v>0</v>
      </c>
      <c r="AP434" s="49" t="str">
        <f t="shared" si="112"/>
        <v/>
      </c>
      <c r="AQ434" s="49">
        <f t="shared" si="113"/>
        <v>0</v>
      </c>
      <c r="AR434" s="49" t="str">
        <f t="shared" si="114"/>
        <v/>
      </c>
    </row>
    <row r="435" spans="1:44" ht="30" customHeight="1" x14ac:dyDescent="0.35">
      <c r="A435" s="25" t="str">
        <f t="shared" si="117"/>
        <v>PT177 - PLATAFORMA DE ACESSO - FORQUILHA 2 - DETALHADO
TORRE B4PROJETO DETALHADO
CIVIL</v>
      </c>
      <c r="B435" s="38" t="s">
        <v>73</v>
      </c>
      <c r="C435" s="60" t="str">
        <f>IF(AND($B435=[1]rogério!$A436,[1]rogério!$B436=C$4),"ok","nok")</f>
        <v>nok</v>
      </c>
      <c r="D435" s="60" t="str">
        <f>IF(AND($B435=[1]rogério!$A436,[1]rogério!$B436=D$4),"ok","nok")</f>
        <v>nok</v>
      </c>
      <c r="E435" s="60" t="str">
        <f>IF(AND($B435=[1]rogério!$A436,[1]rogério!$B436=E$4),"ok","nok")</f>
        <v>nok</v>
      </c>
      <c r="F435" s="60" t="str">
        <f>IF(AND($B435=[1]rogério!$A436,[1]rogério!$B436=F$4),"ok","nok")</f>
        <v>nok</v>
      </c>
      <c r="G435" s="60" t="str">
        <f>IF(AND($B435=[1]rogério!$A436,[1]rogério!$B436=G$4),"ok","nok")</f>
        <v>nok</v>
      </c>
      <c r="H435" s="60" t="str">
        <f>IF(AND($B435=[1]rogério!$A436,[1]rogério!$B436=H$4),"ok","nok")</f>
        <v>nok</v>
      </c>
      <c r="I435" s="60" t="str">
        <f>IF(AND($B435=[1]rogério!$A436,[1]rogério!$B436=I$4),"ok","nok")</f>
        <v>ok</v>
      </c>
      <c r="J435" s="60" t="str">
        <f>IF(AND($B435=[1]rogério!$A436,[1]rogério!$B436=J$4),"ok","nok")</f>
        <v>nok</v>
      </c>
      <c r="K435" s="60" t="str">
        <f>IF(AND($B435=[1]rogério!$A436,[1]rogério!$B436=K$4),"ok","nok")</f>
        <v>nok</v>
      </c>
      <c r="L435" s="60" t="str">
        <f>IF(AND($B435=[1]rogério!$A436,[1]rogério!$B436=L$4),"ok","nok")</f>
        <v>nok</v>
      </c>
      <c r="M435" s="60" t="str">
        <f>IF(AND($B435=[1]rogério!$A436,[1]rogério!$B436=M$4),"ok","nok")</f>
        <v>nok</v>
      </c>
      <c r="N435" s="60" t="str">
        <f>IF(AND($B435=[1]rogério!$A436,[1]rogério!$B436=N$4),"ok","nok")</f>
        <v>nok</v>
      </c>
      <c r="O435" s="60" t="str">
        <f>IF(AND($B435=[1]rogério!$A436,[1]rogério!$B436=O$4),"ok","nok")</f>
        <v>nok</v>
      </c>
      <c r="P435" s="60" t="str">
        <f>IF(AND($B435=[1]rogério!$A436,[1]rogério!$B436=P$4),"ok","nok")</f>
        <v>nok</v>
      </c>
      <c r="Q435" s="60" t="str">
        <f>IF(AND($B435=[1]rogério!$A436,[1]rogério!$B436=Q$4),"ok","nok")</f>
        <v>nok</v>
      </c>
      <c r="R435" s="60" t="str">
        <f>IF(AND($B435=[1]rogério!$A436,[1]rogério!$B436=R$4),"ok","nok")</f>
        <v>nok</v>
      </c>
      <c r="S435" s="60" t="str">
        <f>IF(AND($B435=[1]rogério!$A436,[1]rogério!$B436=S$4),"ok","nok")</f>
        <v>nok</v>
      </c>
      <c r="T435" s="60" t="str">
        <f>IF(AND($B435=[1]rogério!$A436,[1]rogério!$B436=T$4),"ok","nok")</f>
        <v>nok</v>
      </c>
      <c r="U435" s="60" t="str">
        <f>IF(AND($B435=[1]rogério!$A436,[1]rogério!$B436=U$4),"ok","nok")</f>
        <v>nok</v>
      </c>
      <c r="V435" s="60" t="str">
        <f>IF(AND($B435=[1]rogério!$A436,[1]rogério!$B436=V$4),"ok","nok")</f>
        <v>nok</v>
      </c>
      <c r="W435" s="60" t="str">
        <f>IF(AND($B435=[1]rogério!$A436,[1]rogério!$B436=W$4),"ok","nok")</f>
        <v>nok</v>
      </c>
      <c r="X435" s="60" t="str">
        <f>IF(AND($B435=[1]rogério!$A436,[1]rogério!$B436=X$4),"ok","nok")</f>
        <v>nok</v>
      </c>
      <c r="Y435" s="105" t="s">
        <v>15</v>
      </c>
      <c r="Z435" s="106"/>
      <c r="AA435" s="106"/>
      <c r="AB435" s="107"/>
      <c r="AC435" s="40"/>
      <c r="AD435" s="40"/>
      <c r="AE435" s="48" t="str">
        <f t="shared" si="104"/>
        <v/>
      </c>
      <c r="AF435" s="48"/>
      <c r="AG435" s="48"/>
      <c r="AH435" s="89"/>
      <c r="AI435" s="49">
        <f t="shared" si="105"/>
        <v>0</v>
      </c>
      <c r="AJ435" s="49" t="str">
        <f t="shared" si="106"/>
        <v/>
      </c>
      <c r="AK435" s="49">
        <f t="shared" si="107"/>
        <v>1</v>
      </c>
      <c r="AL435" s="49" t="str">
        <f t="shared" si="108"/>
        <v/>
      </c>
      <c r="AM435" s="49">
        <f t="shared" si="109"/>
        <v>0</v>
      </c>
      <c r="AN435" s="49" t="str">
        <f t="shared" si="110"/>
        <v/>
      </c>
      <c r="AO435" s="49">
        <f t="shared" si="111"/>
        <v>0</v>
      </c>
      <c r="AP435" s="49" t="str">
        <f t="shared" si="112"/>
        <v/>
      </c>
      <c r="AQ435" s="49">
        <f t="shared" si="113"/>
        <v>0</v>
      </c>
      <c r="AR435" s="49" t="str">
        <f t="shared" si="114"/>
        <v/>
      </c>
    </row>
    <row r="436" spans="1:44" ht="30" customHeight="1" x14ac:dyDescent="0.35">
      <c r="A436" s="25"/>
      <c r="B436" s="39" t="s">
        <v>53</v>
      </c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108"/>
      <c r="Z436" s="109"/>
      <c r="AA436" s="109"/>
      <c r="AB436" s="110"/>
      <c r="AC436" s="41"/>
      <c r="AD436" s="41"/>
      <c r="AE436" s="48" t="str">
        <f t="shared" si="104"/>
        <v/>
      </c>
      <c r="AF436" s="48"/>
      <c r="AG436" s="48"/>
      <c r="AH436" s="89"/>
      <c r="AI436" s="49">
        <f t="shared" si="105"/>
        <v>0</v>
      </c>
      <c r="AJ436" s="49" t="str">
        <f t="shared" si="106"/>
        <v/>
      </c>
      <c r="AK436" s="49">
        <f t="shared" si="107"/>
        <v>0</v>
      </c>
      <c r="AL436" s="49" t="str">
        <f t="shared" si="108"/>
        <v/>
      </c>
      <c r="AM436" s="49">
        <f t="shared" si="109"/>
        <v>0</v>
      </c>
      <c r="AN436" s="49" t="str">
        <f t="shared" si="110"/>
        <v/>
      </c>
      <c r="AO436" s="49">
        <f t="shared" si="111"/>
        <v>0</v>
      </c>
      <c r="AP436" s="49" t="str">
        <f t="shared" si="112"/>
        <v/>
      </c>
      <c r="AQ436" s="49">
        <f t="shared" si="113"/>
        <v>0</v>
      </c>
      <c r="AR436" s="49" t="str">
        <f t="shared" si="114"/>
        <v/>
      </c>
    </row>
    <row r="437" spans="1:44" ht="30" customHeight="1" x14ac:dyDescent="0.35">
      <c r="A437" s="25" t="str">
        <f t="shared" si="117"/>
        <v>PT177 - PLATAFORMA DE ACESSO - FORQUILHA 2 - DETALHADO
TORRE B4PROJETO DETALHADO
CIVIL</v>
      </c>
      <c r="B437" s="40" t="s">
        <v>49</v>
      </c>
      <c r="C437" s="60" t="str">
        <f>IF(AND($B437=[1]rogério!$A438,[1]rogério!$B438=C$4),"ok","nok")</f>
        <v>nok</v>
      </c>
      <c r="D437" s="60" t="str">
        <f>IF(AND($B437=[1]rogério!$A438,[1]rogério!$B438=D$4),"ok","nok")</f>
        <v>nok</v>
      </c>
      <c r="E437" s="60" t="str">
        <f>IF(AND($B437=[1]rogério!$A438,[1]rogério!$B438=E$4),"ok","nok")</f>
        <v>nok</v>
      </c>
      <c r="F437" s="60" t="str">
        <f>IF(AND($B437=[1]rogério!$A438,[1]rogério!$B438=F$4),"ok","nok")</f>
        <v>nok</v>
      </c>
      <c r="G437" s="60" t="str">
        <f>IF(AND($B437=[1]rogério!$A438,[1]rogério!$B438=G$4),"ok","nok")</f>
        <v>nok</v>
      </c>
      <c r="H437" s="60" t="str">
        <f>IF(AND($B437=[1]rogério!$A438,[1]rogério!$B438=H$4),"ok","nok")</f>
        <v>nok</v>
      </c>
      <c r="I437" s="60" t="str">
        <f>IF(AND($B437=[1]rogério!$A438,[1]rogério!$B438=I$4),"ok","nok")</f>
        <v>ok</v>
      </c>
      <c r="J437" s="60" t="str">
        <f>IF(AND($B437=[1]rogério!$A438,[1]rogério!$B438=J$4),"ok","nok")</f>
        <v>nok</v>
      </c>
      <c r="K437" s="60" t="str">
        <f>IF(AND($B437=[1]rogério!$A438,[1]rogério!$B438=K$4),"ok","nok")</f>
        <v>nok</v>
      </c>
      <c r="L437" s="60" t="str">
        <f>IF(AND($B437=[1]rogério!$A438,[1]rogério!$B438=L$4),"ok","nok")</f>
        <v>nok</v>
      </c>
      <c r="M437" s="60" t="str">
        <f>IF(AND($B437=[1]rogério!$A438,[1]rogério!$B438=M$4),"ok","nok")</f>
        <v>nok</v>
      </c>
      <c r="N437" s="60" t="str">
        <f>IF(AND($B437=[1]rogério!$A438,[1]rogério!$B438=N$4),"ok","nok")</f>
        <v>nok</v>
      </c>
      <c r="O437" s="60" t="str">
        <f>IF(AND($B437=[1]rogério!$A438,[1]rogério!$B438=O$4),"ok","nok")</f>
        <v>nok</v>
      </c>
      <c r="P437" s="60" t="str">
        <f>IF(AND($B437=[1]rogério!$A438,[1]rogério!$B438=P$4),"ok","nok")</f>
        <v>nok</v>
      </c>
      <c r="Q437" s="60" t="str">
        <f>IF(AND($B437=[1]rogério!$A438,[1]rogério!$B438=Q$4),"ok","nok")</f>
        <v>nok</v>
      </c>
      <c r="R437" s="60" t="str">
        <f>IF(AND($B437=[1]rogério!$A438,[1]rogério!$B438=R$4),"ok","nok")</f>
        <v>nok</v>
      </c>
      <c r="S437" s="60" t="str">
        <f>IF(AND($B437=[1]rogério!$A438,[1]rogério!$B438=S$4),"ok","nok")</f>
        <v>nok</v>
      </c>
      <c r="T437" s="60" t="str">
        <f>IF(AND($B437=[1]rogério!$A438,[1]rogério!$B438=T$4),"ok","nok")</f>
        <v>nok</v>
      </c>
      <c r="U437" s="60" t="str">
        <f>IF(AND($B437=[1]rogério!$A438,[1]rogério!$B438=U$4),"ok","nok")</f>
        <v>nok</v>
      </c>
      <c r="V437" s="60" t="str">
        <f>IF(AND($B437=[1]rogério!$A438,[1]rogério!$B438=V$4),"ok","nok")</f>
        <v>nok</v>
      </c>
      <c r="W437" s="60" t="str">
        <f>IF(AND($B437=[1]rogério!$A438,[1]rogério!$B438=W$4),"ok","nok")</f>
        <v>nok</v>
      </c>
      <c r="X437" s="60" t="str">
        <f>IF(AND($B437=[1]rogério!$A438,[1]rogério!$B438=X$4),"ok","nok")</f>
        <v>nok</v>
      </c>
      <c r="Y437" s="105" t="s">
        <v>15</v>
      </c>
      <c r="Z437" s="106"/>
      <c r="AA437" s="106"/>
      <c r="AB437" s="107"/>
      <c r="AC437" s="46"/>
      <c r="AD437" s="46"/>
      <c r="AE437" s="48" t="str">
        <f t="shared" si="104"/>
        <v/>
      </c>
      <c r="AF437" s="48"/>
      <c r="AG437" s="48"/>
      <c r="AH437" s="89"/>
      <c r="AI437" s="49">
        <f t="shared" si="105"/>
        <v>0</v>
      </c>
      <c r="AJ437" s="49" t="str">
        <f t="shared" si="106"/>
        <v/>
      </c>
      <c r="AK437" s="49">
        <f t="shared" si="107"/>
        <v>1</v>
      </c>
      <c r="AL437" s="49" t="str">
        <f t="shared" si="108"/>
        <v/>
      </c>
      <c r="AM437" s="49">
        <f t="shared" si="109"/>
        <v>0</v>
      </c>
      <c r="AN437" s="49" t="str">
        <f t="shared" si="110"/>
        <v/>
      </c>
      <c r="AO437" s="49">
        <f t="shared" si="111"/>
        <v>0</v>
      </c>
      <c r="AP437" s="49" t="str">
        <f t="shared" si="112"/>
        <v/>
      </c>
      <c r="AQ437" s="49">
        <f t="shared" si="113"/>
        <v>0</v>
      </c>
      <c r="AR437" s="49" t="str">
        <f t="shared" si="114"/>
        <v/>
      </c>
    </row>
    <row r="438" spans="1:44" ht="30" customHeight="1" x14ac:dyDescent="0.35">
      <c r="A438" s="25" t="str">
        <f t="shared" si="117"/>
        <v>PT177 - PLATAFORMA DE ACESSO - FORQUILHA 2 - DETALHADO
TORRE B4PROJETO DETALHADO
CIVIL</v>
      </c>
      <c r="B438" s="40" t="s">
        <v>19</v>
      </c>
      <c r="C438" s="60" t="str">
        <f>IF(AND($B438=[1]rogério!$A439,[1]rogério!$B439=C$4),"ok","nok")</f>
        <v>nok</v>
      </c>
      <c r="D438" s="60" t="str">
        <f>IF(AND($B438=[1]rogério!$A439,[1]rogério!$B439=D$4),"ok","nok")</f>
        <v>nok</v>
      </c>
      <c r="E438" s="60" t="str">
        <f>IF(AND($B438=[1]rogério!$A439,[1]rogério!$B439=E$4),"ok","nok")</f>
        <v>nok</v>
      </c>
      <c r="F438" s="60" t="str">
        <f>IF(AND($B438=[1]rogério!$A439,[1]rogério!$B439=F$4),"ok","nok")</f>
        <v>nok</v>
      </c>
      <c r="G438" s="60" t="str">
        <f>IF(AND($B438=[1]rogério!$A439,[1]rogério!$B439=G$4),"ok","nok")</f>
        <v>nok</v>
      </c>
      <c r="H438" s="60" t="str">
        <f>IF(AND($B438=[1]rogério!$A439,[1]rogério!$B439=H$4),"ok","nok")</f>
        <v>nok</v>
      </c>
      <c r="I438" s="60" t="str">
        <f>IF(AND($B438=[1]rogério!$A439,[1]rogério!$B439=I$4),"ok","nok")</f>
        <v>nok</v>
      </c>
      <c r="J438" s="60" t="str">
        <f>IF(AND($B438=[1]rogério!$A439,[1]rogério!$B439=J$4),"ok","nok")</f>
        <v>nok</v>
      </c>
      <c r="K438" s="60" t="str">
        <f>IF(AND($B438=[1]rogério!$A439,[1]rogério!$B439=K$4),"ok","nok")</f>
        <v>nok</v>
      </c>
      <c r="L438" s="60" t="str">
        <f>IF(AND($B438=[1]rogério!$A439,[1]rogério!$B439=L$4),"ok","nok")</f>
        <v>nok</v>
      </c>
      <c r="M438" s="60" t="str">
        <f>IF(AND($B438=[1]rogério!$A439,[1]rogério!$B439=M$4),"ok","nok")</f>
        <v>nok</v>
      </c>
      <c r="N438" s="60" t="str">
        <f>IF(AND($B438=[1]rogério!$A439,[1]rogério!$B439=N$4),"ok","nok")</f>
        <v>ok</v>
      </c>
      <c r="O438" s="60" t="str">
        <f>IF(AND($B438=[1]rogério!$A439,[1]rogério!$B439=O$4),"ok","nok")</f>
        <v>nok</v>
      </c>
      <c r="P438" s="60" t="str">
        <f>IF(AND($B438=[1]rogério!$A439,[1]rogério!$B439=P$4),"ok","nok")</f>
        <v>nok</v>
      </c>
      <c r="Q438" s="60" t="str">
        <f>IF(AND($B438=[1]rogério!$A439,[1]rogério!$B439=Q$4),"ok","nok")</f>
        <v>nok</v>
      </c>
      <c r="R438" s="60" t="str">
        <f>IF(AND($B438=[1]rogério!$A439,[1]rogério!$B439=R$4),"ok","nok")</f>
        <v>nok</v>
      </c>
      <c r="S438" s="60" t="str">
        <f>IF(AND($B438=[1]rogério!$A439,[1]rogério!$B439=S$4),"ok","nok")</f>
        <v>nok</v>
      </c>
      <c r="T438" s="60" t="str">
        <f>IF(AND($B438=[1]rogério!$A439,[1]rogério!$B439=T$4),"ok","nok")</f>
        <v>nok</v>
      </c>
      <c r="U438" s="60" t="str">
        <f>IF(AND($B438=[1]rogério!$A439,[1]rogério!$B439=U$4),"ok","nok")</f>
        <v>nok</v>
      </c>
      <c r="V438" s="60" t="str">
        <f>IF(AND($B438=[1]rogério!$A439,[1]rogério!$B439=V$4),"ok","nok")</f>
        <v>nok</v>
      </c>
      <c r="W438" s="60" t="str">
        <f>IF(AND($B438=[1]rogério!$A439,[1]rogério!$B439=W$4),"ok","nok")</f>
        <v>nok</v>
      </c>
      <c r="X438" s="60" t="str">
        <f>IF(AND($B438=[1]rogério!$A439,[1]rogério!$B439=X$4),"ok","nok")</f>
        <v>nok</v>
      </c>
      <c r="Y438" s="105" t="s">
        <v>15</v>
      </c>
      <c r="Z438" s="106"/>
      <c r="AA438" s="106"/>
      <c r="AB438" s="107"/>
      <c r="AC438" s="40"/>
      <c r="AD438" s="40"/>
      <c r="AE438" s="48" t="str">
        <f t="shared" si="104"/>
        <v/>
      </c>
      <c r="AF438" s="48"/>
      <c r="AG438" s="48"/>
      <c r="AH438" s="89"/>
      <c r="AI438" s="49">
        <f t="shared" si="105"/>
        <v>0</v>
      </c>
      <c r="AJ438" s="49" t="str">
        <f t="shared" si="106"/>
        <v/>
      </c>
      <c r="AK438" s="49">
        <f t="shared" si="107"/>
        <v>0</v>
      </c>
      <c r="AL438" s="49" t="str">
        <f t="shared" si="108"/>
        <v/>
      </c>
      <c r="AM438" s="49">
        <f t="shared" si="109"/>
        <v>1</v>
      </c>
      <c r="AN438" s="49" t="str">
        <f t="shared" si="110"/>
        <v/>
      </c>
      <c r="AO438" s="49">
        <f t="shared" si="111"/>
        <v>0</v>
      </c>
      <c r="AP438" s="49" t="str">
        <f t="shared" si="112"/>
        <v/>
      </c>
      <c r="AQ438" s="49">
        <f t="shared" si="113"/>
        <v>0</v>
      </c>
      <c r="AR438" s="49" t="str">
        <f t="shared" si="114"/>
        <v/>
      </c>
    </row>
    <row r="439" spans="1:44" ht="30" customHeight="1" x14ac:dyDescent="0.35">
      <c r="A439" s="25" t="str">
        <f t="shared" si="117"/>
        <v>PT177 - PLATAFORMA DE ACESSO - FORQUILHA 2 - DETALHADO
TORRE B4PROJETO DETALHADO
CIVIL</v>
      </c>
      <c r="B439" s="40" t="s">
        <v>42</v>
      </c>
      <c r="C439" s="60" t="str">
        <f>IF(AND($B439=[1]rogério!$A440,[1]rogério!$B440=C$4),"ok","nok")</f>
        <v>nok</v>
      </c>
      <c r="D439" s="60" t="str">
        <f>IF(AND($B439=[1]rogério!$A440,[1]rogério!$B440=D$4),"ok","nok")</f>
        <v>nok</v>
      </c>
      <c r="E439" s="60" t="str">
        <f>IF(AND($B439=[1]rogério!$A440,[1]rogério!$B440=E$4),"ok","nok")</f>
        <v>nok</v>
      </c>
      <c r="F439" s="60" t="str">
        <f>IF(AND($B439=[1]rogério!$A440,[1]rogério!$B440=F$4),"ok","nok")</f>
        <v>nok</v>
      </c>
      <c r="G439" s="60" t="str">
        <f>IF(AND($B439=[1]rogério!$A440,[1]rogério!$B440=G$4),"ok","nok")</f>
        <v>nok</v>
      </c>
      <c r="H439" s="60" t="str">
        <f>IF(AND($B439=[1]rogério!$A440,[1]rogério!$B440=H$4),"ok","nok")</f>
        <v>nok</v>
      </c>
      <c r="I439" s="60" t="str">
        <f>IF(AND($B439=[1]rogério!$A440,[1]rogério!$B440=I$4),"ok","nok")</f>
        <v>nok</v>
      </c>
      <c r="J439" s="60" t="str">
        <f>IF(AND($B439=[1]rogério!$A440,[1]rogério!$B440=J$4),"ok","nok")</f>
        <v>nok</v>
      </c>
      <c r="K439" s="60" t="str">
        <f>IF(AND($B439=[1]rogério!$A440,[1]rogério!$B440=K$4),"ok","nok")</f>
        <v>nok</v>
      </c>
      <c r="L439" s="60" t="str">
        <f>IF(AND($B439=[1]rogério!$A440,[1]rogério!$B440=L$4),"ok","nok")</f>
        <v>nok</v>
      </c>
      <c r="M439" s="60" t="str">
        <f>IF(AND($B439=[1]rogério!$A440,[1]rogério!$B440=M$4),"ok","nok")</f>
        <v>nok</v>
      </c>
      <c r="N439" s="60" t="str">
        <f>IF(AND($B439=[1]rogério!$A440,[1]rogério!$B440=N$4),"ok","nok")</f>
        <v>nok</v>
      </c>
      <c r="O439" s="60" t="str">
        <f>IF(AND($B439=[1]rogério!$A440,[1]rogério!$B440=O$4),"ok","nok")</f>
        <v>nok</v>
      </c>
      <c r="P439" s="60" t="str">
        <f>IF(AND($B439=[1]rogério!$A440,[1]rogério!$B440=P$4),"ok","nok")</f>
        <v>nok</v>
      </c>
      <c r="Q439" s="60" t="str">
        <f>IF(AND($B439=[1]rogério!$A440,[1]rogério!$B440=Q$4),"ok","nok")</f>
        <v>ok</v>
      </c>
      <c r="R439" s="60" t="str">
        <f>IF(AND($B439=[1]rogério!$A440,[1]rogério!$B440=R$4),"ok","nok")</f>
        <v>nok</v>
      </c>
      <c r="S439" s="60" t="str">
        <f>IF(AND($B439=[1]rogério!$A440,[1]rogério!$B440=S$4),"ok","nok")</f>
        <v>nok</v>
      </c>
      <c r="T439" s="60" t="str">
        <f>IF(AND($B439=[1]rogério!$A440,[1]rogério!$B440=T$4),"ok","nok")</f>
        <v>nok</v>
      </c>
      <c r="U439" s="60" t="str">
        <f>IF(AND($B439=[1]rogério!$A440,[1]rogério!$B440=U$4),"ok","nok")</f>
        <v>nok</v>
      </c>
      <c r="V439" s="60" t="str">
        <f>IF(AND($B439=[1]rogério!$A440,[1]rogério!$B440=V$4),"ok","nok")</f>
        <v>nok</v>
      </c>
      <c r="W439" s="60" t="str">
        <f>IF(AND($B439=[1]rogério!$A440,[1]rogério!$B440=W$4),"ok","nok")</f>
        <v>nok</v>
      </c>
      <c r="X439" s="60" t="str">
        <f>IF(AND($B439=[1]rogério!$A440,[1]rogério!$B440=X$4),"ok","nok")</f>
        <v>nok</v>
      </c>
      <c r="Y439" s="105" t="s">
        <v>15</v>
      </c>
      <c r="Z439" s="106"/>
      <c r="AA439" s="106"/>
      <c r="AB439" s="107"/>
      <c r="AC439" s="40"/>
      <c r="AD439" s="40"/>
      <c r="AE439" s="48" t="str">
        <f t="shared" si="104"/>
        <v/>
      </c>
      <c r="AF439" s="48"/>
      <c r="AG439" s="48"/>
      <c r="AH439" s="89"/>
      <c r="AI439" s="49">
        <f t="shared" si="105"/>
        <v>0</v>
      </c>
      <c r="AJ439" s="49" t="str">
        <f t="shared" si="106"/>
        <v/>
      </c>
      <c r="AK439" s="49">
        <f t="shared" si="107"/>
        <v>0</v>
      </c>
      <c r="AL439" s="49" t="str">
        <f t="shared" si="108"/>
        <v/>
      </c>
      <c r="AM439" s="49">
        <f t="shared" si="109"/>
        <v>1</v>
      </c>
      <c r="AN439" s="49" t="str">
        <f t="shared" si="110"/>
        <v/>
      </c>
      <c r="AO439" s="49">
        <f t="shared" si="111"/>
        <v>0</v>
      </c>
      <c r="AP439" s="49" t="str">
        <f t="shared" si="112"/>
        <v/>
      </c>
      <c r="AQ439" s="49">
        <f t="shared" si="113"/>
        <v>0</v>
      </c>
      <c r="AR439" s="49" t="str">
        <f t="shared" si="114"/>
        <v/>
      </c>
    </row>
    <row r="440" spans="1:44" ht="30" customHeight="1" x14ac:dyDescent="0.35">
      <c r="A440" s="25" t="str">
        <f t="shared" si="117"/>
        <v>PT177 - PLATAFORMA DE ACESSO - FORQUILHA 2 - DETALHADO
TORRE B4PROJETO DETALHADO
CIVIL</v>
      </c>
      <c r="B440" s="40" t="s">
        <v>43</v>
      </c>
      <c r="C440" s="60" t="str">
        <f>IF(AND($B440=[1]rogério!$A441,[1]rogério!$B441=C$4),"ok","nok")</f>
        <v>nok</v>
      </c>
      <c r="D440" s="60" t="str">
        <f>IF(AND($B440=[1]rogério!$A441,[1]rogério!$B441=D$4),"ok","nok")</f>
        <v>nok</v>
      </c>
      <c r="E440" s="60" t="str">
        <f>IF(AND($B440=[1]rogério!$A441,[1]rogério!$B441=E$4),"ok","nok")</f>
        <v>nok</v>
      </c>
      <c r="F440" s="60" t="str">
        <f>IF(AND($B440=[1]rogério!$A441,[1]rogério!$B441=F$4),"ok","nok")</f>
        <v>nok</v>
      </c>
      <c r="G440" s="60" t="str">
        <f>IF(AND($B440=[1]rogério!$A441,[1]rogério!$B441=G$4),"ok","nok")</f>
        <v>nok</v>
      </c>
      <c r="H440" s="60" t="str">
        <f>IF(AND($B440=[1]rogério!$A441,[1]rogério!$B441=H$4),"ok","nok")</f>
        <v>nok</v>
      </c>
      <c r="I440" s="60" t="str">
        <f>IF(AND($B440=[1]rogério!$A441,[1]rogério!$B441=I$4),"ok","nok")</f>
        <v>nok</v>
      </c>
      <c r="J440" s="60" t="str">
        <f>IF(AND($B440=[1]rogério!$A441,[1]rogério!$B441=J$4),"ok","nok")</f>
        <v>nok</v>
      </c>
      <c r="K440" s="60" t="str">
        <f>IF(AND($B440=[1]rogério!$A441,[1]rogério!$B441=K$4),"ok","nok")</f>
        <v>nok</v>
      </c>
      <c r="L440" s="60" t="str">
        <f>IF(AND($B440=[1]rogério!$A441,[1]rogério!$B441=L$4),"ok","nok")</f>
        <v>nok</v>
      </c>
      <c r="M440" s="60" t="str">
        <f>IF(AND($B440=[1]rogério!$A441,[1]rogério!$B441=M$4),"ok","nok")</f>
        <v>nok</v>
      </c>
      <c r="N440" s="60" t="str">
        <f>IF(AND($B440=[1]rogério!$A441,[1]rogério!$B441=N$4),"ok","nok")</f>
        <v>nok</v>
      </c>
      <c r="O440" s="60" t="str">
        <f>IF(AND($B440=[1]rogério!$A441,[1]rogério!$B441=O$4),"ok","nok")</f>
        <v>nok</v>
      </c>
      <c r="P440" s="60" t="str">
        <f>IF(AND($B440=[1]rogério!$A441,[1]rogério!$B441=P$4),"ok","nok")</f>
        <v>nok</v>
      </c>
      <c r="Q440" s="60" t="str">
        <f>IF(AND($B440=[1]rogério!$A441,[1]rogério!$B441=Q$4),"ok","nok")</f>
        <v>ok</v>
      </c>
      <c r="R440" s="60" t="str">
        <f>IF(AND($B440=[1]rogério!$A441,[1]rogério!$B441=R$4),"ok","nok")</f>
        <v>nok</v>
      </c>
      <c r="S440" s="60" t="str">
        <f>IF(AND($B440=[1]rogério!$A441,[1]rogério!$B441=S$4),"ok","nok")</f>
        <v>nok</v>
      </c>
      <c r="T440" s="60" t="str">
        <f>IF(AND($B440=[1]rogério!$A441,[1]rogério!$B441=T$4),"ok","nok")</f>
        <v>nok</v>
      </c>
      <c r="U440" s="60" t="str">
        <f>IF(AND($B440=[1]rogério!$A441,[1]rogério!$B441=U$4),"ok","nok")</f>
        <v>nok</v>
      </c>
      <c r="V440" s="60" t="str">
        <f>IF(AND($B440=[1]rogério!$A441,[1]rogério!$B441=V$4),"ok","nok")</f>
        <v>nok</v>
      </c>
      <c r="W440" s="60" t="str">
        <f>IF(AND($B440=[1]rogério!$A441,[1]rogério!$B441=W$4),"ok","nok")</f>
        <v>nok</v>
      </c>
      <c r="X440" s="60" t="str">
        <f>IF(AND($B440=[1]rogério!$A441,[1]rogério!$B441=X$4),"ok","nok")</f>
        <v>nok</v>
      </c>
      <c r="Y440" s="105" t="s">
        <v>15</v>
      </c>
      <c r="Z440" s="106"/>
      <c r="AA440" s="106"/>
      <c r="AB440" s="107"/>
      <c r="AC440" s="40"/>
      <c r="AD440" s="40"/>
      <c r="AE440" s="48" t="str">
        <f t="shared" si="104"/>
        <v/>
      </c>
      <c r="AF440" s="48"/>
      <c r="AG440" s="48"/>
      <c r="AH440" s="89"/>
      <c r="AI440" s="49">
        <f t="shared" si="105"/>
        <v>0</v>
      </c>
      <c r="AJ440" s="49" t="str">
        <f t="shared" si="106"/>
        <v/>
      </c>
      <c r="AK440" s="49">
        <f t="shared" si="107"/>
        <v>0</v>
      </c>
      <c r="AL440" s="49" t="str">
        <f t="shared" si="108"/>
        <v/>
      </c>
      <c r="AM440" s="49">
        <f t="shared" si="109"/>
        <v>1</v>
      </c>
      <c r="AN440" s="49" t="str">
        <f t="shared" si="110"/>
        <v/>
      </c>
      <c r="AO440" s="49">
        <f t="shared" si="111"/>
        <v>0</v>
      </c>
      <c r="AP440" s="49" t="str">
        <f t="shared" si="112"/>
        <v/>
      </c>
      <c r="AQ440" s="49">
        <f t="shared" si="113"/>
        <v>0</v>
      </c>
      <c r="AR440" s="49" t="str">
        <f t="shared" si="114"/>
        <v/>
      </c>
    </row>
    <row r="441" spans="1:44" ht="30" customHeight="1" x14ac:dyDescent="0.35">
      <c r="A441" s="25" t="str">
        <f t="shared" si="117"/>
        <v>PT177 - PLATAFORMA DE ACESSO - FORQUILHA 2 - DETALHADO
TORRE B4PROJETO DETALHADO
CIVIL</v>
      </c>
      <c r="B441" s="38" t="s">
        <v>74</v>
      </c>
      <c r="C441" s="60" t="str">
        <f>IF(AND($B441=[1]rogério!$A442,[1]rogério!$B442=C$4),"ok","nok")</f>
        <v>nok</v>
      </c>
      <c r="D441" s="60" t="str">
        <f>IF(AND($B441=[1]rogério!$A442,[1]rogério!$B442=D$4),"ok","nok")</f>
        <v>nok</v>
      </c>
      <c r="E441" s="60" t="str">
        <f>IF(AND($B441=[1]rogério!$A442,[1]rogério!$B442=E$4),"ok","nok")</f>
        <v>nok</v>
      </c>
      <c r="F441" s="60" t="str">
        <f>IF(AND($B441=[1]rogério!$A442,[1]rogério!$B442=F$4),"ok","nok")</f>
        <v>nok</v>
      </c>
      <c r="G441" s="60" t="str">
        <f>IF(AND($B441=[1]rogério!$A442,[1]rogério!$B442=G$4),"ok","nok")</f>
        <v>nok</v>
      </c>
      <c r="H441" s="60" t="str">
        <f>IF(AND($B441=[1]rogério!$A442,[1]rogério!$B442=H$4),"ok","nok")</f>
        <v>nok</v>
      </c>
      <c r="I441" s="60" t="str">
        <f>IF(AND($B441=[1]rogério!$A442,[1]rogério!$B442=I$4),"ok","nok")</f>
        <v>ok</v>
      </c>
      <c r="J441" s="60" t="str">
        <f>IF(AND($B441=[1]rogério!$A442,[1]rogério!$B442=J$4),"ok","nok")</f>
        <v>nok</v>
      </c>
      <c r="K441" s="60" t="str">
        <f>IF(AND($B441=[1]rogério!$A442,[1]rogério!$B442=K$4),"ok","nok")</f>
        <v>nok</v>
      </c>
      <c r="L441" s="60" t="str">
        <f>IF(AND($B441=[1]rogério!$A442,[1]rogério!$B442=L$4),"ok","nok")</f>
        <v>nok</v>
      </c>
      <c r="M441" s="60" t="str">
        <f>IF(AND($B441=[1]rogério!$A442,[1]rogério!$B442=M$4),"ok","nok")</f>
        <v>nok</v>
      </c>
      <c r="N441" s="60" t="str">
        <f>IF(AND($B441=[1]rogério!$A442,[1]rogério!$B442=N$4),"ok","nok")</f>
        <v>nok</v>
      </c>
      <c r="O441" s="60" t="str">
        <f>IF(AND($B441=[1]rogério!$A442,[1]rogério!$B442=O$4),"ok","nok")</f>
        <v>nok</v>
      </c>
      <c r="P441" s="60" t="str">
        <f>IF(AND($B441=[1]rogério!$A442,[1]rogério!$B442=P$4),"ok","nok")</f>
        <v>nok</v>
      </c>
      <c r="Q441" s="60" t="str">
        <f>IF(AND($B441=[1]rogério!$A442,[1]rogério!$B442=Q$4),"ok","nok")</f>
        <v>nok</v>
      </c>
      <c r="R441" s="60" t="str">
        <f>IF(AND($B441=[1]rogério!$A442,[1]rogério!$B442=R$4),"ok","nok")</f>
        <v>nok</v>
      </c>
      <c r="S441" s="60" t="str">
        <f>IF(AND($B441=[1]rogério!$A442,[1]rogério!$B442=S$4),"ok","nok")</f>
        <v>nok</v>
      </c>
      <c r="T441" s="60" t="str">
        <f>IF(AND($B441=[1]rogério!$A442,[1]rogério!$B442=T$4),"ok","nok")</f>
        <v>nok</v>
      </c>
      <c r="U441" s="60" t="str">
        <f>IF(AND($B441=[1]rogério!$A442,[1]rogério!$B442=U$4),"ok","nok")</f>
        <v>nok</v>
      </c>
      <c r="V441" s="60" t="str">
        <f>IF(AND($B441=[1]rogério!$A442,[1]rogério!$B442=V$4),"ok","nok")</f>
        <v>nok</v>
      </c>
      <c r="W441" s="60" t="str">
        <f>IF(AND($B441=[1]rogério!$A442,[1]rogério!$B442=W$4),"ok","nok")</f>
        <v>nok</v>
      </c>
      <c r="X441" s="60" t="str">
        <f>IF(AND($B441=[1]rogério!$A442,[1]rogério!$B442=X$4),"ok","nok")</f>
        <v>nok</v>
      </c>
      <c r="Y441" s="105" t="s">
        <v>15</v>
      </c>
      <c r="Z441" s="106"/>
      <c r="AA441" s="106"/>
      <c r="AB441" s="107"/>
      <c r="AC441" s="41"/>
      <c r="AD441" s="41"/>
      <c r="AE441" s="48" t="str">
        <f t="shared" si="104"/>
        <v/>
      </c>
      <c r="AF441" s="48"/>
      <c r="AG441" s="48"/>
      <c r="AH441" s="89"/>
      <c r="AI441" s="49">
        <f t="shared" si="105"/>
        <v>0</v>
      </c>
      <c r="AJ441" s="49" t="str">
        <f t="shared" si="106"/>
        <v/>
      </c>
      <c r="AK441" s="49">
        <f t="shared" si="107"/>
        <v>1</v>
      </c>
      <c r="AL441" s="49" t="str">
        <f t="shared" si="108"/>
        <v/>
      </c>
      <c r="AM441" s="49">
        <f t="shared" si="109"/>
        <v>0</v>
      </c>
      <c r="AN441" s="49" t="str">
        <f t="shared" si="110"/>
        <v/>
      </c>
      <c r="AO441" s="49">
        <f t="shared" si="111"/>
        <v>0</v>
      </c>
      <c r="AP441" s="49" t="str">
        <f t="shared" si="112"/>
        <v/>
      </c>
      <c r="AQ441" s="49">
        <f t="shared" si="113"/>
        <v>0</v>
      </c>
      <c r="AR441" s="49" t="str">
        <f t="shared" si="114"/>
        <v/>
      </c>
    </row>
    <row r="442" spans="1:44" ht="30" customHeight="1" x14ac:dyDescent="0.35">
      <c r="A442" s="25" t="str">
        <f t="shared" si="117"/>
        <v>PT177 - PLATAFORMA DE ACESSO - FORQUILHA 2 - DETALHADO
TORRE B4PROJETO DETALHADO
CIVIL</v>
      </c>
      <c r="B442" s="38" t="s">
        <v>75</v>
      </c>
      <c r="C442" s="60" t="str">
        <f>IF(AND($B442=[1]rogério!$A443,[1]rogério!$B443=C$4),"ok","nok")</f>
        <v>nok</v>
      </c>
      <c r="D442" s="60" t="str">
        <f>IF(AND($B442=[1]rogério!$A443,[1]rogério!$B443=D$4),"ok","nok")</f>
        <v>nok</v>
      </c>
      <c r="E442" s="60" t="str">
        <f>IF(AND($B442=[1]rogério!$A443,[1]rogério!$B443=E$4),"ok","nok")</f>
        <v>nok</v>
      </c>
      <c r="F442" s="60" t="str">
        <f>IF(AND($B442=[1]rogério!$A443,[1]rogério!$B443=F$4),"ok","nok")</f>
        <v>nok</v>
      </c>
      <c r="G442" s="60" t="str">
        <f>IF(AND($B442=[1]rogério!$A443,[1]rogério!$B443=G$4),"ok","nok")</f>
        <v>nok</v>
      </c>
      <c r="H442" s="60" t="str">
        <f>IF(AND($B442=[1]rogério!$A443,[1]rogério!$B443=H$4),"ok","nok")</f>
        <v>nok</v>
      </c>
      <c r="I442" s="60" t="str">
        <f>IF(AND($B442=[1]rogério!$A443,[1]rogério!$B443=I$4),"ok","nok")</f>
        <v>nok</v>
      </c>
      <c r="J442" s="60" t="str">
        <f>IF(AND($B442=[1]rogério!$A443,[1]rogério!$B443=J$4),"ok","nok")</f>
        <v>ok</v>
      </c>
      <c r="K442" s="60" t="str">
        <f>IF(AND($B442=[1]rogério!$A443,[1]rogério!$B443=K$4),"ok","nok")</f>
        <v>nok</v>
      </c>
      <c r="L442" s="60" t="str">
        <f>IF(AND($B442=[1]rogério!$A443,[1]rogério!$B443=L$4),"ok","nok")</f>
        <v>nok</v>
      </c>
      <c r="M442" s="60" t="str">
        <f>IF(AND($B442=[1]rogério!$A443,[1]rogério!$B443=M$4),"ok","nok")</f>
        <v>nok</v>
      </c>
      <c r="N442" s="60" t="str">
        <f>IF(AND($B442=[1]rogério!$A443,[1]rogério!$B443=N$4),"ok","nok")</f>
        <v>nok</v>
      </c>
      <c r="O442" s="60" t="str">
        <f>IF(AND($B442=[1]rogério!$A443,[1]rogério!$B443=O$4),"ok","nok")</f>
        <v>nok</v>
      </c>
      <c r="P442" s="60" t="str">
        <f>IF(AND($B442=[1]rogério!$A443,[1]rogério!$B443=P$4),"ok","nok")</f>
        <v>nok</v>
      </c>
      <c r="Q442" s="60" t="str">
        <f>IF(AND($B442=[1]rogério!$A443,[1]rogério!$B443=Q$4),"ok","nok")</f>
        <v>nok</v>
      </c>
      <c r="R442" s="60" t="str">
        <f>IF(AND($B442=[1]rogério!$A443,[1]rogério!$B443=R$4),"ok","nok")</f>
        <v>nok</v>
      </c>
      <c r="S442" s="60" t="str">
        <f>IF(AND($B442=[1]rogério!$A443,[1]rogério!$B443=S$4),"ok","nok")</f>
        <v>nok</v>
      </c>
      <c r="T442" s="60" t="str">
        <f>IF(AND($B442=[1]rogério!$A443,[1]rogério!$B443=T$4),"ok","nok")</f>
        <v>nok</v>
      </c>
      <c r="U442" s="60" t="str">
        <f>IF(AND($B442=[1]rogério!$A443,[1]rogério!$B443=U$4),"ok","nok")</f>
        <v>nok</v>
      </c>
      <c r="V442" s="60" t="str">
        <f>IF(AND($B442=[1]rogério!$A443,[1]rogério!$B443=V$4),"ok","nok")</f>
        <v>nok</v>
      </c>
      <c r="W442" s="60" t="str">
        <f>IF(AND($B442=[1]rogério!$A443,[1]rogério!$B443=W$4),"ok","nok")</f>
        <v>nok</v>
      </c>
      <c r="X442" s="60" t="str">
        <f>IF(AND($B442=[1]rogério!$A443,[1]rogério!$B443=X$4),"ok","nok")</f>
        <v>nok</v>
      </c>
      <c r="Y442" s="105" t="s">
        <v>15</v>
      </c>
      <c r="Z442" s="106"/>
      <c r="AA442" s="106"/>
      <c r="AB442" s="107"/>
      <c r="AC442" s="46"/>
      <c r="AD442" s="46"/>
      <c r="AE442" s="48" t="str">
        <f t="shared" si="104"/>
        <v/>
      </c>
      <c r="AF442" s="48"/>
      <c r="AG442" s="48"/>
      <c r="AH442" s="89"/>
      <c r="AI442" s="49">
        <f t="shared" si="105"/>
        <v>0</v>
      </c>
      <c r="AJ442" s="49" t="str">
        <f t="shared" si="106"/>
        <v/>
      </c>
      <c r="AK442" s="49">
        <f t="shared" si="107"/>
        <v>1</v>
      </c>
      <c r="AL442" s="49" t="str">
        <f t="shared" si="108"/>
        <v/>
      </c>
      <c r="AM442" s="49">
        <f t="shared" si="109"/>
        <v>0</v>
      </c>
      <c r="AN442" s="49" t="str">
        <f t="shared" si="110"/>
        <v/>
      </c>
      <c r="AO442" s="49">
        <f t="shared" si="111"/>
        <v>0</v>
      </c>
      <c r="AP442" s="49" t="str">
        <f t="shared" si="112"/>
        <v/>
      </c>
      <c r="AQ442" s="49">
        <f t="shared" si="113"/>
        <v>0</v>
      </c>
      <c r="AR442" s="49" t="str">
        <f t="shared" si="114"/>
        <v/>
      </c>
    </row>
    <row r="443" spans="1:44" ht="30" customHeight="1" x14ac:dyDescent="0.35">
      <c r="A443" s="25"/>
      <c r="B443" s="39" t="s">
        <v>62</v>
      </c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108"/>
      <c r="Z443" s="109"/>
      <c r="AA443" s="109"/>
      <c r="AB443" s="110"/>
      <c r="AC443" s="40"/>
      <c r="AD443" s="40"/>
      <c r="AE443" s="48" t="str">
        <f t="shared" si="104"/>
        <v/>
      </c>
      <c r="AF443" s="48"/>
      <c r="AG443" s="48"/>
      <c r="AH443" s="89"/>
      <c r="AI443" s="49">
        <f t="shared" si="105"/>
        <v>0</v>
      </c>
      <c r="AJ443" s="49" t="str">
        <f t="shared" si="106"/>
        <v/>
      </c>
      <c r="AK443" s="49">
        <f t="shared" si="107"/>
        <v>0</v>
      </c>
      <c r="AL443" s="49" t="str">
        <f t="shared" si="108"/>
        <v/>
      </c>
      <c r="AM443" s="49">
        <f t="shared" si="109"/>
        <v>0</v>
      </c>
      <c r="AN443" s="49" t="str">
        <f t="shared" si="110"/>
        <v/>
      </c>
      <c r="AO443" s="49">
        <f t="shared" si="111"/>
        <v>0</v>
      </c>
      <c r="AP443" s="49" t="str">
        <f t="shared" si="112"/>
        <v/>
      </c>
      <c r="AQ443" s="49">
        <f t="shared" si="113"/>
        <v>0</v>
      </c>
      <c r="AR443" s="49" t="str">
        <f t="shared" si="114"/>
        <v/>
      </c>
    </row>
    <row r="444" spans="1:44" ht="30" customHeight="1" x14ac:dyDescent="0.35">
      <c r="A444" s="25" t="str">
        <f t="shared" si="117"/>
        <v>PT177 - PLATAFORMA DE ACESSO - FORQUILHA 2 - DETALHADO
TORRE B4PROJETO DETALHADO
CIVIL</v>
      </c>
      <c r="B444" s="40" t="s">
        <v>49</v>
      </c>
      <c r="C444" s="60" t="str">
        <f>IF(AND($B444=[1]rogério!$A445,[1]rogério!$B445=C$4),"ok","nok")</f>
        <v>nok</v>
      </c>
      <c r="D444" s="60" t="str">
        <f>IF(AND($B444=[1]rogério!$A445,[1]rogério!$B445=D$4),"ok","nok")</f>
        <v>nok</v>
      </c>
      <c r="E444" s="60" t="str">
        <f>IF(AND($B444=[1]rogério!$A445,[1]rogério!$B445=E$4),"ok","nok")</f>
        <v>nok</v>
      </c>
      <c r="F444" s="60" t="str">
        <f>IF(AND($B444=[1]rogério!$A445,[1]rogério!$B445=F$4),"ok","nok")</f>
        <v>nok</v>
      </c>
      <c r="G444" s="60" t="str">
        <f>IF(AND($B444=[1]rogério!$A445,[1]rogério!$B445=G$4),"ok","nok")</f>
        <v>nok</v>
      </c>
      <c r="H444" s="60" t="str">
        <f>IF(AND($B444=[1]rogério!$A445,[1]rogério!$B445=H$4),"ok","nok")</f>
        <v>nok</v>
      </c>
      <c r="I444" s="60" t="str">
        <f>IF(AND($B444=[1]rogério!$A445,[1]rogério!$B445=I$4),"ok","nok")</f>
        <v>nok</v>
      </c>
      <c r="J444" s="60" t="str">
        <f>IF(AND($B444=[1]rogério!$A445,[1]rogério!$B445=J$4),"ok","nok")</f>
        <v>ok</v>
      </c>
      <c r="K444" s="60" t="str">
        <f>IF(AND($B444=[1]rogério!$A445,[1]rogério!$B445=K$4),"ok","nok")</f>
        <v>nok</v>
      </c>
      <c r="L444" s="60" t="str">
        <f>IF(AND($B444=[1]rogério!$A445,[1]rogério!$B445=L$4),"ok","nok")</f>
        <v>nok</v>
      </c>
      <c r="M444" s="60" t="str">
        <f>IF(AND($B444=[1]rogério!$A445,[1]rogério!$B445=M$4),"ok","nok")</f>
        <v>nok</v>
      </c>
      <c r="N444" s="60" t="str">
        <f>IF(AND($B444=[1]rogério!$A445,[1]rogério!$B445=N$4),"ok","nok")</f>
        <v>nok</v>
      </c>
      <c r="O444" s="60" t="str">
        <f>IF(AND($B444=[1]rogério!$A445,[1]rogério!$B445=O$4),"ok","nok")</f>
        <v>nok</v>
      </c>
      <c r="P444" s="60" t="str">
        <f>IF(AND($B444=[1]rogério!$A445,[1]rogério!$B445=P$4),"ok","nok")</f>
        <v>nok</v>
      </c>
      <c r="Q444" s="60" t="str">
        <f>IF(AND($B444=[1]rogério!$A445,[1]rogério!$B445=Q$4),"ok","nok")</f>
        <v>nok</v>
      </c>
      <c r="R444" s="60" t="str">
        <f>IF(AND($B444=[1]rogério!$A445,[1]rogério!$B445=R$4),"ok","nok")</f>
        <v>nok</v>
      </c>
      <c r="S444" s="60" t="str">
        <f>IF(AND($B444=[1]rogério!$A445,[1]rogério!$B445=S$4),"ok","nok")</f>
        <v>nok</v>
      </c>
      <c r="T444" s="60" t="str">
        <f>IF(AND($B444=[1]rogério!$A445,[1]rogério!$B445=T$4),"ok","nok")</f>
        <v>nok</v>
      </c>
      <c r="U444" s="60" t="str">
        <f>IF(AND($B444=[1]rogério!$A445,[1]rogério!$B445=U$4),"ok","nok")</f>
        <v>nok</v>
      </c>
      <c r="V444" s="60" t="str">
        <f>IF(AND($B444=[1]rogério!$A445,[1]rogério!$B445=V$4),"ok","nok")</f>
        <v>nok</v>
      </c>
      <c r="W444" s="60" t="str">
        <f>IF(AND($B444=[1]rogério!$A445,[1]rogério!$B445=W$4),"ok","nok")</f>
        <v>nok</v>
      </c>
      <c r="X444" s="60" t="str">
        <f>IF(AND($B444=[1]rogério!$A445,[1]rogério!$B445=X$4),"ok","nok")</f>
        <v>nok</v>
      </c>
      <c r="Y444" s="105" t="s">
        <v>15</v>
      </c>
      <c r="Z444" s="106"/>
      <c r="AA444" s="106"/>
      <c r="AB444" s="107"/>
      <c r="AC444" s="40"/>
      <c r="AD444" s="40"/>
      <c r="AE444" s="48" t="str">
        <f t="shared" si="104"/>
        <v/>
      </c>
      <c r="AF444" s="48"/>
      <c r="AG444" s="48"/>
      <c r="AH444" s="89"/>
      <c r="AI444" s="49">
        <f t="shared" si="105"/>
        <v>0</v>
      </c>
      <c r="AJ444" s="49" t="str">
        <f t="shared" si="106"/>
        <v/>
      </c>
      <c r="AK444" s="49">
        <f t="shared" si="107"/>
        <v>1</v>
      </c>
      <c r="AL444" s="49" t="str">
        <f t="shared" si="108"/>
        <v/>
      </c>
      <c r="AM444" s="49">
        <f t="shared" si="109"/>
        <v>0</v>
      </c>
      <c r="AN444" s="49" t="str">
        <f t="shared" si="110"/>
        <v/>
      </c>
      <c r="AO444" s="49">
        <f t="shared" si="111"/>
        <v>0</v>
      </c>
      <c r="AP444" s="49" t="str">
        <f t="shared" si="112"/>
        <v/>
      </c>
      <c r="AQ444" s="49">
        <f t="shared" si="113"/>
        <v>0</v>
      </c>
      <c r="AR444" s="49" t="str">
        <f t="shared" si="114"/>
        <v/>
      </c>
    </row>
    <row r="445" spans="1:44" ht="30" customHeight="1" x14ac:dyDescent="0.35">
      <c r="A445" s="25" t="str">
        <f t="shared" si="117"/>
        <v>PT177 - PLATAFORMA DE ACESSO - FORQUILHA 2 - DETALHADO
TORRE B4PROJETO DETALHADO
CIVIL</v>
      </c>
      <c r="B445" s="40" t="s">
        <v>19</v>
      </c>
      <c r="C445" s="60" t="str">
        <f>IF(AND($B445=[1]rogério!$A446,[1]rogério!$B446=C$4),"ok","nok")</f>
        <v>nok</v>
      </c>
      <c r="D445" s="60" t="str">
        <f>IF(AND($B445=[1]rogério!$A446,[1]rogério!$B446=D$4),"ok","nok")</f>
        <v>nok</v>
      </c>
      <c r="E445" s="60" t="str">
        <f>IF(AND($B445=[1]rogério!$A446,[1]rogério!$B446=E$4),"ok","nok")</f>
        <v>nok</v>
      </c>
      <c r="F445" s="60" t="str">
        <f>IF(AND($B445=[1]rogério!$A446,[1]rogério!$B446=F$4),"ok","nok")</f>
        <v>nok</v>
      </c>
      <c r="G445" s="60" t="str">
        <f>IF(AND($B445=[1]rogério!$A446,[1]rogério!$B446=G$4),"ok","nok")</f>
        <v>nok</v>
      </c>
      <c r="H445" s="60" t="str">
        <f>IF(AND($B445=[1]rogério!$A446,[1]rogério!$B446=H$4),"ok","nok")</f>
        <v>nok</v>
      </c>
      <c r="I445" s="60" t="str">
        <f>IF(AND($B445=[1]rogério!$A446,[1]rogério!$B446=I$4),"ok","nok")</f>
        <v>nok</v>
      </c>
      <c r="J445" s="60" t="str">
        <f>IF(AND($B445=[1]rogério!$A446,[1]rogério!$B446=J$4),"ok","nok")</f>
        <v>nok</v>
      </c>
      <c r="K445" s="60" t="str">
        <f>IF(AND($B445=[1]rogério!$A446,[1]rogério!$B446=K$4),"ok","nok")</f>
        <v>nok</v>
      </c>
      <c r="L445" s="60" t="str">
        <f>IF(AND($B445=[1]rogério!$A446,[1]rogério!$B446=L$4),"ok","nok")</f>
        <v>nok</v>
      </c>
      <c r="M445" s="60" t="str">
        <f>IF(AND($B445=[1]rogério!$A446,[1]rogério!$B446=M$4),"ok","nok")</f>
        <v>nok</v>
      </c>
      <c r="N445" s="60" t="str">
        <f>IF(AND($B445=[1]rogério!$A446,[1]rogério!$B446=N$4),"ok","nok")</f>
        <v>nok</v>
      </c>
      <c r="O445" s="60" t="str">
        <f>IF(AND($B445=[1]rogério!$A446,[1]rogério!$B446=O$4),"ok","nok")</f>
        <v>ok</v>
      </c>
      <c r="P445" s="60" t="str">
        <f>IF(AND($B445=[1]rogério!$A446,[1]rogério!$B446=P$4),"ok","nok")</f>
        <v>nok</v>
      </c>
      <c r="Q445" s="60" t="str">
        <f>IF(AND($B445=[1]rogério!$A446,[1]rogério!$B446=Q$4),"ok","nok")</f>
        <v>nok</v>
      </c>
      <c r="R445" s="60" t="str">
        <f>IF(AND($B445=[1]rogério!$A446,[1]rogério!$B446=R$4),"ok","nok")</f>
        <v>nok</v>
      </c>
      <c r="S445" s="60" t="str">
        <f>IF(AND($B445=[1]rogério!$A446,[1]rogério!$B446=S$4),"ok","nok")</f>
        <v>nok</v>
      </c>
      <c r="T445" s="60" t="str">
        <f>IF(AND($B445=[1]rogério!$A446,[1]rogério!$B446=T$4),"ok","nok")</f>
        <v>nok</v>
      </c>
      <c r="U445" s="60" t="str">
        <f>IF(AND($B445=[1]rogério!$A446,[1]rogério!$B446=U$4),"ok","nok")</f>
        <v>nok</v>
      </c>
      <c r="V445" s="60" t="str">
        <f>IF(AND($B445=[1]rogério!$A446,[1]rogério!$B446=V$4),"ok","nok")</f>
        <v>nok</v>
      </c>
      <c r="W445" s="60" t="str">
        <f>IF(AND($B445=[1]rogério!$A446,[1]rogério!$B446=W$4),"ok","nok")</f>
        <v>nok</v>
      </c>
      <c r="X445" s="60" t="str">
        <f>IF(AND($B445=[1]rogério!$A446,[1]rogério!$B446=X$4),"ok","nok")</f>
        <v>nok</v>
      </c>
      <c r="Y445" s="105" t="s">
        <v>15</v>
      </c>
      <c r="Z445" s="106"/>
      <c r="AA445" s="106"/>
      <c r="AB445" s="107"/>
      <c r="AC445" s="40"/>
      <c r="AD445" s="40"/>
      <c r="AE445" s="48" t="str">
        <f t="shared" si="104"/>
        <v/>
      </c>
      <c r="AF445" s="48"/>
      <c r="AG445" s="48"/>
      <c r="AH445" s="89"/>
      <c r="AI445" s="49">
        <f t="shared" si="105"/>
        <v>0</v>
      </c>
      <c r="AJ445" s="49" t="str">
        <f t="shared" si="106"/>
        <v/>
      </c>
      <c r="AK445" s="49">
        <f t="shared" si="107"/>
        <v>0</v>
      </c>
      <c r="AL445" s="49" t="str">
        <f t="shared" si="108"/>
        <v/>
      </c>
      <c r="AM445" s="49">
        <f t="shared" si="109"/>
        <v>1</v>
      </c>
      <c r="AN445" s="49" t="str">
        <f t="shared" si="110"/>
        <v/>
      </c>
      <c r="AO445" s="49">
        <f t="shared" si="111"/>
        <v>0</v>
      </c>
      <c r="AP445" s="49" t="str">
        <f t="shared" si="112"/>
        <v/>
      </c>
      <c r="AQ445" s="49">
        <f t="shared" si="113"/>
        <v>0</v>
      </c>
      <c r="AR445" s="49" t="str">
        <f t="shared" si="114"/>
        <v/>
      </c>
    </row>
    <row r="446" spans="1:44" ht="30" customHeight="1" x14ac:dyDescent="0.35">
      <c r="A446" s="25" t="str">
        <f t="shared" si="117"/>
        <v>PT177 - PLATAFORMA DE ACESSO - FORQUILHA 2 - DETALHADO
TORRE B4PROJETO DETALHADO
CIVIL</v>
      </c>
      <c r="B446" s="40" t="s">
        <v>42</v>
      </c>
      <c r="C446" s="60" t="str">
        <f>IF(AND($B446=[1]rogério!$A447,[1]rogério!$B447=C$4),"ok","nok")</f>
        <v>nok</v>
      </c>
      <c r="D446" s="60" t="str">
        <f>IF(AND($B446=[1]rogério!$A447,[1]rogério!$B447=D$4),"ok","nok")</f>
        <v>nok</v>
      </c>
      <c r="E446" s="60" t="str">
        <f>IF(AND($B446=[1]rogério!$A447,[1]rogério!$B447=E$4),"ok","nok")</f>
        <v>nok</v>
      </c>
      <c r="F446" s="60" t="str">
        <f>IF(AND($B446=[1]rogério!$A447,[1]rogério!$B447=F$4),"ok","nok")</f>
        <v>nok</v>
      </c>
      <c r="G446" s="60" t="str">
        <f>IF(AND($B446=[1]rogério!$A447,[1]rogério!$B447=G$4),"ok","nok")</f>
        <v>nok</v>
      </c>
      <c r="H446" s="60" t="str">
        <f>IF(AND($B446=[1]rogério!$A447,[1]rogério!$B447=H$4),"ok","nok")</f>
        <v>nok</v>
      </c>
      <c r="I446" s="60" t="str">
        <f>IF(AND($B446=[1]rogério!$A447,[1]rogério!$B447=I$4),"ok","nok")</f>
        <v>nok</v>
      </c>
      <c r="J446" s="60" t="str">
        <f>IF(AND($B446=[1]rogério!$A447,[1]rogério!$B447=J$4),"ok","nok")</f>
        <v>nok</v>
      </c>
      <c r="K446" s="60" t="str">
        <f>IF(AND($B446=[1]rogério!$A447,[1]rogério!$B447=K$4),"ok","nok")</f>
        <v>nok</v>
      </c>
      <c r="L446" s="60" t="str">
        <f>IF(AND($B446=[1]rogério!$A447,[1]rogério!$B447=L$4),"ok","nok")</f>
        <v>nok</v>
      </c>
      <c r="M446" s="60" t="str">
        <f>IF(AND($B446=[1]rogério!$A447,[1]rogério!$B447=M$4),"ok","nok")</f>
        <v>nok</v>
      </c>
      <c r="N446" s="60" t="str">
        <f>IF(AND($B446=[1]rogério!$A447,[1]rogério!$B447=N$4),"ok","nok")</f>
        <v>nok</v>
      </c>
      <c r="O446" s="60" t="str">
        <f>IF(AND($B446=[1]rogério!$A447,[1]rogério!$B447=O$4),"ok","nok")</f>
        <v>nok</v>
      </c>
      <c r="P446" s="60" t="str">
        <f>IF(AND($B446=[1]rogério!$A447,[1]rogério!$B447=P$4),"ok","nok")</f>
        <v>nok</v>
      </c>
      <c r="Q446" s="60" t="str">
        <f>IF(AND($B446=[1]rogério!$A447,[1]rogério!$B447=Q$4),"ok","nok")</f>
        <v>nok</v>
      </c>
      <c r="R446" s="60" t="str">
        <f>IF(AND($B446=[1]rogério!$A447,[1]rogério!$B447=R$4),"ok","nok")</f>
        <v>ok</v>
      </c>
      <c r="S446" s="60" t="str">
        <f>IF(AND($B446=[1]rogério!$A447,[1]rogério!$B447=S$4),"ok","nok")</f>
        <v>nok</v>
      </c>
      <c r="T446" s="60" t="str">
        <f>IF(AND($B446=[1]rogério!$A447,[1]rogério!$B447=T$4),"ok","nok")</f>
        <v>nok</v>
      </c>
      <c r="U446" s="60" t="str">
        <f>IF(AND($B446=[1]rogério!$A447,[1]rogério!$B447=U$4),"ok","nok")</f>
        <v>nok</v>
      </c>
      <c r="V446" s="60" t="str">
        <f>IF(AND($B446=[1]rogério!$A447,[1]rogério!$B447=V$4),"ok","nok")</f>
        <v>nok</v>
      </c>
      <c r="W446" s="60" t="str">
        <f>IF(AND($B446=[1]rogério!$A447,[1]rogério!$B447=W$4),"ok","nok")</f>
        <v>nok</v>
      </c>
      <c r="X446" s="60" t="str">
        <f>IF(AND($B446=[1]rogério!$A447,[1]rogério!$B447=X$4),"ok","nok")</f>
        <v>nok</v>
      </c>
      <c r="Y446" s="105" t="s">
        <v>15</v>
      </c>
      <c r="Z446" s="106"/>
      <c r="AA446" s="106"/>
      <c r="AB446" s="107"/>
      <c r="AC446" s="37"/>
      <c r="AD446" s="37"/>
      <c r="AE446" s="48" t="str">
        <f t="shared" si="104"/>
        <v/>
      </c>
      <c r="AF446" s="48"/>
      <c r="AG446" s="48"/>
      <c r="AH446" s="89"/>
      <c r="AI446" s="49">
        <f t="shared" si="105"/>
        <v>0</v>
      </c>
      <c r="AJ446" s="49" t="str">
        <f t="shared" si="106"/>
        <v/>
      </c>
      <c r="AK446" s="49">
        <f t="shared" si="107"/>
        <v>0</v>
      </c>
      <c r="AL446" s="49" t="str">
        <f t="shared" si="108"/>
        <v/>
      </c>
      <c r="AM446" s="49">
        <f t="shared" si="109"/>
        <v>0</v>
      </c>
      <c r="AN446" s="49" t="str">
        <f t="shared" si="110"/>
        <v/>
      </c>
      <c r="AO446" s="49">
        <f t="shared" si="111"/>
        <v>1</v>
      </c>
      <c r="AP446" s="49" t="str">
        <f t="shared" si="112"/>
        <v/>
      </c>
      <c r="AQ446" s="49">
        <f t="shared" si="113"/>
        <v>0</v>
      </c>
      <c r="AR446" s="49" t="str">
        <f t="shared" si="114"/>
        <v/>
      </c>
    </row>
    <row r="447" spans="1:44" ht="30" customHeight="1" x14ac:dyDescent="0.35">
      <c r="A447" s="25" t="str">
        <f t="shared" si="117"/>
        <v>PT177 - PLATAFORMA DE ACESSO - FORQUILHA 2 - DETALHADO
TORRE B4PROJETO DETALHADO
CIVIL</v>
      </c>
      <c r="B447" s="40" t="s">
        <v>43</v>
      </c>
      <c r="C447" s="60" t="str">
        <f>IF(AND($B447=[1]rogério!$A448,[1]rogério!$B448=C$4),"ok","nok")</f>
        <v>nok</v>
      </c>
      <c r="D447" s="60" t="str">
        <f>IF(AND($B447=[1]rogério!$A448,[1]rogério!$B448=D$4),"ok","nok")</f>
        <v>nok</v>
      </c>
      <c r="E447" s="60" t="str">
        <f>IF(AND($B447=[1]rogério!$A448,[1]rogério!$B448=E$4),"ok","nok")</f>
        <v>nok</v>
      </c>
      <c r="F447" s="60" t="str">
        <f>IF(AND($B447=[1]rogério!$A448,[1]rogério!$B448=F$4),"ok","nok")</f>
        <v>nok</v>
      </c>
      <c r="G447" s="60" t="str">
        <f>IF(AND($B447=[1]rogério!$A448,[1]rogério!$B448=G$4),"ok","nok")</f>
        <v>nok</v>
      </c>
      <c r="H447" s="60" t="str">
        <f>IF(AND($B447=[1]rogério!$A448,[1]rogério!$B448=H$4),"ok","nok")</f>
        <v>nok</v>
      </c>
      <c r="I447" s="60" t="str">
        <f>IF(AND($B447=[1]rogério!$A448,[1]rogério!$B448=I$4),"ok","nok")</f>
        <v>nok</v>
      </c>
      <c r="J447" s="60" t="str">
        <f>IF(AND($B447=[1]rogério!$A448,[1]rogério!$B448=J$4),"ok","nok")</f>
        <v>nok</v>
      </c>
      <c r="K447" s="60" t="str">
        <f>IF(AND($B447=[1]rogério!$A448,[1]rogério!$B448=K$4),"ok","nok")</f>
        <v>nok</v>
      </c>
      <c r="L447" s="60" t="str">
        <f>IF(AND($B447=[1]rogério!$A448,[1]rogério!$B448=L$4),"ok","nok")</f>
        <v>nok</v>
      </c>
      <c r="M447" s="60" t="str">
        <f>IF(AND($B447=[1]rogério!$A448,[1]rogério!$B448=M$4),"ok","nok")</f>
        <v>nok</v>
      </c>
      <c r="N447" s="60" t="str">
        <f>IF(AND($B447=[1]rogério!$A448,[1]rogério!$B448=N$4),"ok","nok")</f>
        <v>nok</v>
      </c>
      <c r="O447" s="60" t="str">
        <f>IF(AND($B447=[1]rogério!$A448,[1]rogério!$B448=O$4),"ok","nok")</f>
        <v>nok</v>
      </c>
      <c r="P447" s="60" t="str">
        <f>IF(AND($B447=[1]rogério!$A448,[1]rogério!$B448=P$4),"ok","nok")</f>
        <v>nok</v>
      </c>
      <c r="Q447" s="60" t="str">
        <f>IF(AND($B447=[1]rogério!$A448,[1]rogério!$B448=Q$4),"ok","nok")</f>
        <v>nok</v>
      </c>
      <c r="R447" s="60" t="str">
        <f>IF(AND($B447=[1]rogério!$A448,[1]rogério!$B448=R$4),"ok","nok")</f>
        <v>ok</v>
      </c>
      <c r="S447" s="60" t="str">
        <f>IF(AND($B447=[1]rogério!$A448,[1]rogério!$B448=S$4),"ok","nok")</f>
        <v>nok</v>
      </c>
      <c r="T447" s="60" t="str">
        <f>IF(AND($B447=[1]rogério!$A448,[1]rogério!$B448=T$4),"ok","nok")</f>
        <v>nok</v>
      </c>
      <c r="U447" s="60" t="str">
        <f>IF(AND($B447=[1]rogério!$A448,[1]rogério!$B448=U$4),"ok","nok")</f>
        <v>nok</v>
      </c>
      <c r="V447" s="60" t="str">
        <f>IF(AND($B447=[1]rogério!$A448,[1]rogério!$B448=V$4),"ok","nok")</f>
        <v>nok</v>
      </c>
      <c r="W447" s="60" t="str">
        <f>IF(AND($B447=[1]rogério!$A448,[1]rogério!$B448=W$4),"ok","nok")</f>
        <v>nok</v>
      </c>
      <c r="X447" s="60" t="str">
        <f>IF(AND($B447=[1]rogério!$A448,[1]rogério!$B448=X$4),"ok","nok")</f>
        <v>nok</v>
      </c>
      <c r="Y447" s="105" t="s">
        <v>15</v>
      </c>
      <c r="Z447" s="106"/>
      <c r="AA447" s="106"/>
      <c r="AB447" s="107"/>
      <c r="AC447" s="41"/>
      <c r="AD447" s="41"/>
      <c r="AE447" s="48" t="str">
        <f t="shared" si="104"/>
        <v/>
      </c>
      <c r="AF447" s="48"/>
      <c r="AG447" s="48"/>
      <c r="AH447" s="89"/>
      <c r="AI447" s="49">
        <f t="shared" si="105"/>
        <v>0</v>
      </c>
      <c r="AJ447" s="49" t="str">
        <f t="shared" si="106"/>
        <v/>
      </c>
      <c r="AK447" s="49">
        <f t="shared" si="107"/>
        <v>0</v>
      </c>
      <c r="AL447" s="49" t="str">
        <f t="shared" si="108"/>
        <v/>
      </c>
      <c r="AM447" s="49">
        <f t="shared" si="109"/>
        <v>0</v>
      </c>
      <c r="AN447" s="49" t="str">
        <f t="shared" si="110"/>
        <v/>
      </c>
      <c r="AO447" s="49">
        <f t="shared" si="111"/>
        <v>1</v>
      </c>
      <c r="AP447" s="49" t="str">
        <f t="shared" si="112"/>
        <v/>
      </c>
      <c r="AQ447" s="49">
        <f t="shared" si="113"/>
        <v>0</v>
      </c>
      <c r="AR447" s="49" t="str">
        <f t="shared" si="114"/>
        <v/>
      </c>
    </row>
    <row r="448" spans="1:44" ht="30" customHeight="1" x14ac:dyDescent="0.35">
      <c r="A448" s="25" t="str">
        <f t="shared" si="117"/>
        <v>PT177 - PLATAFORMA DE ACESSO - FORQUILHA 2 - DETALHADO
TORRE B4PROJETO DETALHADO
CIVIL</v>
      </c>
      <c r="B448" s="38" t="s">
        <v>76</v>
      </c>
      <c r="C448" s="60" t="str">
        <f>IF(AND($B448=[1]rogério!$A449,[1]rogério!$B449=C$4),"ok","nok")</f>
        <v>nok</v>
      </c>
      <c r="D448" s="60" t="str">
        <f>IF(AND($B448=[1]rogério!$A449,[1]rogério!$B449=D$4),"ok","nok")</f>
        <v>nok</v>
      </c>
      <c r="E448" s="60" t="str">
        <f>IF(AND($B448=[1]rogério!$A449,[1]rogério!$B449=E$4),"ok","nok")</f>
        <v>nok</v>
      </c>
      <c r="F448" s="60" t="str">
        <f>IF(AND($B448=[1]rogério!$A449,[1]rogério!$B449=F$4),"ok","nok")</f>
        <v>nok</v>
      </c>
      <c r="G448" s="60" t="str">
        <f>IF(AND($B448=[1]rogério!$A449,[1]rogério!$B449=G$4),"ok","nok")</f>
        <v>nok</v>
      </c>
      <c r="H448" s="60" t="str">
        <f>IF(AND($B448=[1]rogério!$A449,[1]rogério!$B449=H$4),"ok","nok")</f>
        <v>nok</v>
      </c>
      <c r="I448" s="60" t="str">
        <f>IF(AND($B448=[1]rogério!$A449,[1]rogério!$B449=I$4),"ok","nok")</f>
        <v>nok</v>
      </c>
      <c r="J448" s="60" t="str">
        <f>IF(AND($B448=[1]rogério!$A449,[1]rogério!$B449=J$4),"ok","nok")</f>
        <v>nok</v>
      </c>
      <c r="K448" s="60" t="str">
        <f>IF(AND($B448=[1]rogério!$A449,[1]rogério!$B449=K$4),"ok","nok")</f>
        <v>nok</v>
      </c>
      <c r="L448" s="60" t="str">
        <f>IF(AND($B448=[1]rogério!$A449,[1]rogério!$B449=L$4),"ok","nok")</f>
        <v>nok</v>
      </c>
      <c r="M448" s="60" t="str">
        <f>IF(AND($B448=[1]rogério!$A449,[1]rogério!$B449=M$4),"ok","nok")</f>
        <v>ok</v>
      </c>
      <c r="N448" s="60" t="str">
        <f>IF(AND($B448=[1]rogério!$A449,[1]rogério!$B449=N$4),"ok","nok")</f>
        <v>nok</v>
      </c>
      <c r="O448" s="60" t="str">
        <f>IF(AND($B448=[1]rogério!$A449,[1]rogério!$B449=O$4),"ok","nok")</f>
        <v>nok</v>
      </c>
      <c r="P448" s="60" t="str">
        <f>IF(AND($B448=[1]rogério!$A449,[1]rogério!$B449=P$4),"ok","nok")</f>
        <v>nok</v>
      </c>
      <c r="Q448" s="60" t="str">
        <f>IF(AND($B448=[1]rogério!$A449,[1]rogério!$B449=Q$4),"ok","nok")</f>
        <v>nok</v>
      </c>
      <c r="R448" s="60" t="str">
        <f>IF(AND($B448=[1]rogério!$A449,[1]rogério!$B449=R$4),"ok","nok")</f>
        <v>nok</v>
      </c>
      <c r="S448" s="60" t="str">
        <f>IF(AND($B448=[1]rogério!$A449,[1]rogério!$B449=S$4),"ok","nok")</f>
        <v>nok</v>
      </c>
      <c r="T448" s="60" t="str">
        <f>IF(AND($B448=[1]rogério!$A449,[1]rogério!$B449=T$4),"ok","nok")</f>
        <v>nok</v>
      </c>
      <c r="U448" s="60" t="str">
        <f>IF(AND($B448=[1]rogério!$A449,[1]rogério!$B449=U$4),"ok","nok")</f>
        <v>nok</v>
      </c>
      <c r="V448" s="60" t="str">
        <f>IF(AND($B448=[1]rogério!$A449,[1]rogério!$B449=V$4),"ok","nok")</f>
        <v>nok</v>
      </c>
      <c r="W448" s="60" t="str">
        <f>IF(AND($B448=[1]rogério!$A449,[1]rogério!$B449=W$4),"ok","nok")</f>
        <v>nok</v>
      </c>
      <c r="X448" s="60" t="str">
        <f>IF(AND($B448=[1]rogério!$A449,[1]rogério!$B449=X$4),"ok","nok")</f>
        <v>nok</v>
      </c>
      <c r="Y448" s="105" t="s">
        <v>15</v>
      </c>
      <c r="Z448" s="106"/>
      <c r="AA448" s="106"/>
      <c r="AB448" s="107"/>
      <c r="AC448" s="40"/>
      <c r="AD448" s="40"/>
      <c r="AE448" s="48" t="str">
        <f t="shared" si="104"/>
        <v/>
      </c>
      <c r="AF448" s="48"/>
      <c r="AG448" s="48"/>
      <c r="AH448" s="89"/>
      <c r="AI448" s="49">
        <f t="shared" si="105"/>
        <v>0</v>
      </c>
      <c r="AJ448" s="49" t="str">
        <f t="shared" si="106"/>
        <v/>
      </c>
      <c r="AK448" s="49">
        <f t="shared" si="107"/>
        <v>0</v>
      </c>
      <c r="AL448" s="49" t="str">
        <f t="shared" si="108"/>
        <v/>
      </c>
      <c r="AM448" s="49">
        <f t="shared" si="109"/>
        <v>1</v>
      </c>
      <c r="AN448" s="49" t="str">
        <f t="shared" si="110"/>
        <v/>
      </c>
      <c r="AO448" s="49">
        <f t="shared" si="111"/>
        <v>0</v>
      </c>
      <c r="AP448" s="49" t="str">
        <f t="shared" si="112"/>
        <v/>
      </c>
      <c r="AQ448" s="49">
        <f t="shared" si="113"/>
        <v>0</v>
      </c>
      <c r="AR448" s="49" t="str">
        <f t="shared" si="114"/>
        <v/>
      </c>
    </row>
    <row r="449" spans="1:44" ht="30" customHeight="1" x14ac:dyDescent="0.35">
      <c r="A449" s="25" t="str">
        <f t="shared" si="117"/>
        <v>PT177 - PLATAFORMA DE ACESSO - FORQUILHA 2 - DETALHADO
TORRE B4PROJETO DETALHADO
CIVIL</v>
      </c>
      <c r="B449" s="38" t="s">
        <v>77</v>
      </c>
      <c r="C449" s="60" t="str">
        <f>IF(AND($B449=[1]rogério!$A450,[1]rogério!$B450=C$4),"ok","nok")</f>
        <v>nok</v>
      </c>
      <c r="D449" s="60" t="str">
        <f>IF(AND($B449=[1]rogério!$A450,[1]rogério!$B450=D$4),"ok","nok")</f>
        <v>nok</v>
      </c>
      <c r="E449" s="60" t="str">
        <f>IF(AND($B449=[1]rogério!$A450,[1]rogério!$B450=E$4),"ok","nok")</f>
        <v>nok</v>
      </c>
      <c r="F449" s="60" t="str">
        <f>IF(AND($B449=[1]rogério!$A450,[1]rogério!$B450=F$4),"ok","nok")</f>
        <v>nok</v>
      </c>
      <c r="G449" s="60" t="str">
        <f>IF(AND($B449=[1]rogério!$A450,[1]rogério!$B450=G$4),"ok","nok")</f>
        <v>nok</v>
      </c>
      <c r="H449" s="60" t="str">
        <f>IF(AND($B449=[1]rogério!$A450,[1]rogério!$B450=H$4),"ok","nok")</f>
        <v>nok</v>
      </c>
      <c r="I449" s="60" t="str">
        <f>IF(AND($B449=[1]rogério!$A450,[1]rogério!$B450=I$4),"ok","nok")</f>
        <v>nok</v>
      </c>
      <c r="J449" s="60" t="str">
        <f>IF(AND($B449=[1]rogério!$A450,[1]rogério!$B450=J$4),"ok","nok")</f>
        <v>nok</v>
      </c>
      <c r="K449" s="60" t="str">
        <f>IF(AND($B449=[1]rogério!$A450,[1]rogério!$B450=K$4),"ok","nok")</f>
        <v>nok</v>
      </c>
      <c r="L449" s="60" t="str">
        <f>IF(AND($B449=[1]rogério!$A450,[1]rogério!$B450=L$4),"ok","nok")</f>
        <v>nok</v>
      </c>
      <c r="M449" s="60" t="str">
        <f>IF(AND($B449=[1]rogério!$A450,[1]rogério!$B450=M$4),"ok","nok")</f>
        <v>nok</v>
      </c>
      <c r="N449" s="60" t="str">
        <f>IF(AND($B449=[1]rogério!$A450,[1]rogério!$B450=N$4),"ok","nok")</f>
        <v>ok</v>
      </c>
      <c r="O449" s="60" t="str">
        <f>IF(AND($B449=[1]rogério!$A450,[1]rogério!$B450=O$4),"ok","nok")</f>
        <v>nok</v>
      </c>
      <c r="P449" s="60" t="str">
        <f>IF(AND($B449=[1]rogério!$A450,[1]rogério!$B450=P$4),"ok","nok")</f>
        <v>nok</v>
      </c>
      <c r="Q449" s="60" t="str">
        <f>IF(AND($B449=[1]rogério!$A450,[1]rogério!$B450=Q$4),"ok","nok")</f>
        <v>nok</v>
      </c>
      <c r="R449" s="60" t="str">
        <f>IF(AND($B449=[1]rogério!$A450,[1]rogério!$B450=R$4),"ok","nok")</f>
        <v>nok</v>
      </c>
      <c r="S449" s="60" t="str">
        <f>IF(AND($B449=[1]rogério!$A450,[1]rogério!$B450=S$4),"ok","nok")</f>
        <v>nok</v>
      </c>
      <c r="T449" s="60" t="str">
        <f>IF(AND($B449=[1]rogério!$A450,[1]rogério!$B450=T$4),"ok","nok")</f>
        <v>nok</v>
      </c>
      <c r="U449" s="60" t="str">
        <f>IF(AND($B449=[1]rogério!$A450,[1]rogério!$B450=U$4),"ok","nok")</f>
        <v>nok</v>
      </c>
      <c r="V449" s="60" t="str">
        <f>IF(AND($B449=[1]rogério!$A450,[1]rogério!$B450=V$4),"ok","nok")</f>
        <v>nok</v>
      </c>
      <c r="W449" s="60" t="str">
        <f>IF(AND($B449=[1]rogério!$A450,[1]rogério!$B450=W$4),"ok","nok")</f>
        <v>nok</v>
      </c>
      <c r="X449" s="60" t="str">
        <f>IF(AND($B449=[1]rogério!$A450,[1]rogério!$B450=X$4),"ok","nok")</f>
        <v>nok</v>
      </c>
      <c r="Y449" s="105" t="s">
        <v>15</v>
      </c>
      <c r="Z449" s="106"/>
      <c r="AA449" s="106"/>
      <c r="AB449" s="107"/>
      <c r="AC449" s="40"/>
      <c r="AD449" s="40"/>
      <c r="AE449" s="48" t="str">
        <f t="shared" si="104"/>
        <v/>
      </c>
      <c r="AF449" s="48"/>
      <c r="AG449" s="48"/>
      <c r="AH449" s="89"/>
      <c r="AI449" s="49">
        <f t="shared" si="105"/>
        <v>0</v>
      </c>
      <c r="AJ449" s="49" t="str">
        <f t="shared" si="106"/>
        <v/>
      </c>
      <c r="AK449" s="49">
        <f t="shared" si="107"/>
        <v>0</v>
      </c>
      <c r="AL449" s="49" t="str">
        <f t="shared" si="108"/>
        <v/>
      </c>
      <c r="AM449" s="49">
        <f t="shared" si="109"/>
        <v>1</v>
      </c>
      <c r="AN449" s="49" t="str">
        <f t="shared" si="110"/>
        <v/>
      </c>
      <c r="AO449" s="49">
        <f t="shared" si="111"/>
        <v>0</v>
      </c>
      <c r="AP449" s="49" t="str">
        <f t="shared" si="112"/>
        <v/>
      </c>
      <c r="AQ449" s="49">
        <f t="shared" si="113"/>
        <v>0</v>
      </c>
      <c r="AR449" s="49" t="str">
        <f t="shared" si="114"/>
        <v/>
      </c>
    </row>
    <row r="450" spans="1:44" ht="30" customHeight="1" x14ac:dyDescent="0.35">
      <c r="A450" s="25"/>
      <c r="B450" s="39" t="s">
        <v>78</v>
      </c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108"/>
      <c r="Z450" s="109"/>
      <c r="AA450" s="109"/>
      <c r="AB450" s="110"/>
      <c r="AC450" s="41"/>
      <c r="AD450" s="41"/>
      <c r="AE450" s="48" t="str">
        <f t="shared" si="104"/>
        <v/>
      </c>
      <c r="AF450" s="48"/>
      <c r="AG450" s="48"/>
      <c r="AH450" s="89"/>
      <c r="AI450" s="49">
        <f t="shared" si="105"/>
        <v>0</v>
      </c>
      <c r="AJ450" s="49" t="str">
        <f t="shared" si="106"/>
        <v/>
      </c>
      <c r="AK450" s="49">
        <f t="shared" si="107"/>
        <v>0</v>
      </c>
      <c r="AL450" s="49" t="str">
        <f t="shared" si="108"/>
        <v/>
      </c>
      <c r="AM450" s="49">
        <f t="shared" si="109"/>
        <v>0</v>
      </c>
      <c r="AN450" s="49" t="str">
        <f t="shared" si="110"/>
        <v/>
      </c>
      <c r="AO450" s="49">
        <f t="shared" si="111"/>
        <v>0</v>
      </c>
      <c r="AP450" s="49" t="str">
        <f t="shared" si="112"/>
        <v/>
      </c>
      <c r="AQ450" s="49">
        <f t="shared" si="113"/>
        <v>0</v>
      </c>
      <c r="AR450" s="49" t="str">
        <f t="shared" si="114"/>
        <v/>
      </c>
    </row>
    <row r="451" spans="1:44" ht="30" customHeight="1" x14ac:dyDescent="0.35">
      <c r="A451" s="25" t="str">
        <f t="shared" si="117"/>
        <v>PT177 - PLATAFORMA DE ACESSO - FORQUILHA 2 - DETALHADO
TORRE B4PROJETO DETALHADO
CIVIL</v>
      </c>
      <c r="B451" s="40" t="s">
        <v>49</v>
      </c>
      <c r="C451" s="60" t="str">
        <f>IF(AND($B451=[1]rogério!$A452,[1]rogério!$B452=C$4),"ok","nok")</f>
        <v>nok</v>
      </c>
      <c r="D451" s="60" t="str">
        <f>IF(AND($B451=[1]rogério!$A452,[1]rogério!$B452=D$4),"ok","nok")</f>
        <v>nok</v>
      </c>
      <c r="E451" s="60" t="str">
        <f>IF(AND($B451=[1]rogério!$A452,[1]rogério!$B452=E$4),"ok","nok")</f>
        <v>nok</v>
      </c>
      <c r="F451" s="60" t="str">
        <f>IF(AND($B451=[1]rogério!$A452,[1]rogério!$B452=F$4),"ok","nok")</f>
        <v>nok</v>
      </c>
      <c r="G451" s="60" t="str">
        <f>IF(AND($B451=[1]rogério!$A452,[1]rogério!$B452=G$4),"ok","nok")</f>
        <v>nok</v>
      </c>
      <c r="H451" s="60" t="str">
        <f>IF(AND($B451=[1]rogério!$A452,[1]rogério!$B452=H$4),"ok","nok")</f>
        <v>nok</v>
      </c>
      <c r="I451" s="60" t="str">
        <f>IF(AND($B451=[1]rogério!$A452,[1]rogério!$B452=I$4),"ok","nok")</f>
        <v>nok</v>
      </c>
      <c r="J451" s="60" t="str">
        <f>IF(AND($B451=[1]rogério!$A452,[1]rogério!$B452=J$4),"ok","nok")</f>
        <v>nok</v>
      </c>
      <c r="K451" s="60" t="str">
        <f>IF(AND($B451=[1]rogério!$A452,[1]rogério!$B452=K$4),"ok","nok")</f>
        <v>nok</v>
      </c>
      <c r="L451" s="60" t="str">
        <f>IF(AND($B451=[1]rogério!$A452,[1]rogério!$B452=L$4),"ok","nok")</f>
        <v>nok</v>
      </c>
      <c r="M451" s="60" t="str">
        <f>IF(AND($B451=[1]rogério!$A452,[1]rogério!$B452=M$4),"ok","nok")</f>
        <v>nok</v>
      </c>
      <c r="N451" s="60" t="str">
        <f>IF(AND($B451=[1]rogério!$A452,[1]rogério!$B452=N$4),"ok","nok")</f>
        <v>ok</v>
      </c>
      <c r="O451" s="60" t="str">
        <f>IF(AND($B451=[1]rogério!$A452,[1]rogério!$B452=O$4),"ok","nok")</f>
        <v>nok</v>
      </c>
      <c r="P451" s="60" t="str">
        <f>IF(AND($B451=[1]rogério!$A452,[1]rogério!$B452=P$4),"ok","nok")</f>
        <v>nok</v>
      </c>
      <c r="Q451" s="60" t="str">
        <f>IF(AND($B451=[1]rogério!$A452,[1]rogério!$B452=Q$4),"ok","nok")</f>
        <v>nok</v>
      </c>
      <c r="R451" s="60" t="str">
        <f>IF(AND($B451=[1]rogério!$A452,[1]rogério!$B452=R$4),"ok","nok")</f>
        <v>nok</v>
      </c>
      <c r="S451" s="60" t="str">
        <f>IF(AND($B451=[1]rogério!$A452,[1]rogério!$B452=S$4),"ok","nok")</f>
        <v>nok</v>
      </c>
      <c r="T451" s="60" t="str">
        <f>IF(AND($B451=[1]rogério!$A452,[1]rogério!$B452=T$4),"ok","nok")</f>
        <v>nok</v>
      </c>
      <c r="U451" s="60" t="str">
        <f>IF(AND($B451=[1]rogério!$A452,[1]rogério!$B452=U$4),"ok","nok")</f>
        <v>nok</v>
      </c>
      <c r="V451" s="60" t="str">
        <f>IF(AND($B451=[1]rogério!$A452,[1]rogério!$B452=V$4),"ok","nok")</f>
        <v>nok</v>
      </c>
      <c r="W451" s="60" t="str">
        <f>IF(AND($B451=[1]rogério!$A452,[1]rogério!$B452=W$4),"ok","nok")</f>
        <v>nok</v>
      </c>
      <c r="X451" s="60" t="str">
        <f>IF(AND($B451=[1]rogério!$A452,[1]rogério!$B452=X$4),"ok","nok")</f>
        <v>nok</v>
      </c>
      <c r="Y451" s="105" t="s">
        <v>15</v>
      </c>
      <c r="Z451" s="106"/>
      <c r="AA451" s="106"/>
      <c r="AB451" s="107"/>
      <c r="AC451" s="46"/>
      <c r="AD451" s="46"/>
      <c r="AE451" s="48" t="str">
        <f t="shared" ref="AE451:AE514" si="118">IF(Y451="ATRASADO",B451,"")</f>
        <v/>
      </c>
      <c r="AF451" s="48"/>
      <c r="AG451" s="48"/>
      <c r="AH451" s="89"/>
      <c r="AI451" s="49">
        <f t="shared" ref="AI451:AI514" si="119">COUNTIF(C451:G451,"ok")</f>
        <v>0</v>
      </c>
      <c r="AJ451" s="49" t="str">
        <f t="shared" ref="AJ451:AJ514" si="120">IF(AND(AI451=1,OR($Y451="entregue",$Y451="efprazo")),$Y451,"")</f>
        <v/>
      </c>
      <c r="AK451" s="49">
        <f t="shared" ref="AK451:AK514" si="121">COUNTIF(H451:L451,"ok")</f>
        <v>0</v>
      </c>
      <c r="AL451" s="49" t="str">
        <f t="shared" ref="AL451:AL514" si="122">IF(AND(AK451=1,OR($Y451="entregue",$Y451="efprazo")),$Y451,"")</f>
        <v/>
      </c>
      <c r="AM451" s="49">
        <f t="shared" ref="AM451:AM514" si="123">COUNTIF(M451:Q451,"ok")</f>
        <v>1</v>
      </c>
      <c r="AN451" s="49" t="str">
        <f t="shared" ref="AN451:AN514" si="124">IF(AND(AM451=1,OR($Y451="entregue",$Y451="efprazo")),$Y451,"")</f>
        <v/>
      </c>
      <c r="AO451" s="49">
        <f t="shared" ref="AO451:AO514" si="125">COUNTIF(R451:V451,"ok")</f>
        <v>0</v>
      </c>
      <c r="AP451" s="49" t="str">
        <f t="shared" ref="AP451:AP514" si="126">IF(AND(AO451=1,OR($Y451="entregue",$Y451="efprazo")),$Y451,"")</f>
        <v/>
      </c>
      <c r="AQ451" s="49">
        <f t="shared" ref="AQ451:AQ514" si="127">COUNTIF(W451:X451,"ok")</f>
        <v>0</v>
      </c>
      <c r="AR451" s="49" t="str">
        <f t="shared" ref="AR451:AR514" si="128">IF(AND(AQ451=1,OR($Y451="entregue",$Y451="efprazo")),$Y451,"")</f>
        <v/>
      </c>
    </row>
    <row r="452" spans="1:44" ht="30" customHeight="1" x14ac:dyDescent="0.35">
      <c r="A452" s="25" t="str">
        <f t="shared" si="117"/>
        <v>PT177 - PLATAFORMA DE ACESSO - FORQUILHA 2 - DETALHADO
TORRE B4PROJETO DETALHADO
CIVIL</v>
      </c>
      <c r="B452" s="40" t="s">
        <v>19</v>
      </c>
      <c r="C452" s="60" t="str">
        <f>IF(AND($B452=[1]rogério!$A453,[1]rogério!$B453=C$4),"ok","nok")</f>
        <v>nok</v>
      </c>
      <c r="D452" s="60" t="str">
        <f>IF(AND($B452=[1]rogério!$A453,[1]rogério!$B453=D$4),"ok","nok")</f>
        <v>nok</v>
      </c>
      <c r="E452" s="60" t="str">
        <f>IF(AND($B452=[1]rogério!$A453,[1]rogério!$B453=E$4),"ok","nok")</f>
        <v>nok</v>
      </c>
      <c r="F452" s="60" t="str">
        <f>IF(AND($B452=[1]rogério!$A453,[1]rogério!$B453=F$4),"ok","nok")</f>
        <v>nok</v>
      </c>
      <c r="G452" s="60" t="str">
        <f>IF(AND($B452=[1]rogério!$A453,[1]rogério!$B453=G$4),"ok","nok")</f>
        <v>nok</v>
      </c>
      <c r="H452" s="60" t="str">
        <f>IF(AND($B452=[1]rogério!$A453,[1]rogério!$B453=H$4),"ok","nok")</f>
        <v>nok</v>
      </c>
      <c r="I452" s="60" t="str">
        <f>IF(AND($B452=[1]rogério!$A453,[1]rogério!$B453=I$4),"ok","nok")</f>
        <v>nok</v>
      </c>
      <c r="J452" s="60" t="str">
        <f>IF(AND($B452=[1]rogério!$A453,[1]rogério!$B453=J$4),"ok","nok")</f>
        <v>nok</v>
      </c>
      <c r="K452" s="60" t="str">
        <f>IF(AND($B452=[1]rogério!$A453,[1]rogério!$B453=K$4),"ok","nok")</f>
        <v>nok</v>
      </c>
      <c r="L452" s="60" t="str">
        <f>IF(AND($B452=[1]rogério!$A453,[1]rogério!$B453=L$4),"ok","nok")</f>
        <v>nok</v>
      </c>
      <c r="M452" s="60" t="str">
        <f>IF(AND($B452=[1]rogério!$A453,[1]rogério!$B453=M$4),"ok","nok")</f>
        <v>nok</v>
      </c>
      <c r="N452" s="60" t="str">
        <f>IF(AND($B452=[1]rogério!$A453,[1]rogério!$B453=N$4),"ok","nok")</f>
        <v>nok</v>
      </c>
      <c r="O452" s="60" t="str">
        <f>IF(AND($B452=[1]rogério!$A453,[1]rogério!$B453=O$4),"ok","nok")</f>
        <v>nok</v>
      </c>
      <c r="P452" s="60" t="str">
        <f>IF(AND($B452=[1]rogério!$A453,[1]rogério!$B453=P$4),"ok","nok")</f>
        <v>nok</v>
      </c>
      <c r="Q452" s="60" t="str">
        <f>IF(AND($B452=[1]rogério!$A453,[1]rogério!$B453=Q$4),"ok","nok")</f>
        <v>nok</v>
      </c>
      <c r="R452" s="60" t="str">
        <f>IF(AND($B452=[1]rogério!$A453,[1]rogério!$B453=R$4),"ok","nok")</f>
        <v>nok</v>
      </c>
      <c r="S452" s="60" t="str">
        <f>IF(AND($B452=[1]rogério!$A453,[1]rogério!$B453=S$4),"ok","nok")</f>
        <v>ok</v>
      </c>
      <c r="T452" s="60" t="str">
        <f>IF(AND($B452=[1]rogério!$A453,[1]rogério!$B453=T$4),"ok","nok")</f>
        <v>nok</v>
      </c>
      <c r="U452" s="60" t="str">
        <f>IF(AND($B452=[1]rogério!$A453,[1]rogério!$B453=U$4),"ok","nok")</f>
        <v>nok</v>
      </c>
      <c r="V452" s="60" t="str">
        <f>IF(AND($B452=[1]rogério!$A453,[1]rogério!$B453=V$4),"ok","nok")</f>
        <v>nok</v>
      </c>
      <c r="W452" s="60" t="str">
        <f>IF(AND($B452=[1]rogério!$A453,[1]rogério!$B453=W$4),"ok","nok")</f>
        <v>nok</v>
      </c>
      <c r="X452" s="60" t="str">
        <f>IF(AND($B452=[1]rogério!$A453,[1]rogério!$B453=X$4),"ok","nok")</f>
        <v>nok</v>
      </c>
      <c r="Y452" s="105" t="s">
        <v>15</v>
      </c>
      <c r="Z452" s="106"/>
      <c r="AA452" s="106"/>
      <c r="AB452" s="107"/>
      <c r="AC452" s="40"/>
      <c r="AD452" s="40"/>
      <c r="AE452" s="48" t="str">
        <f t="shared" si="118"/>
        <v/>
      </c>
      <c r="AF452" s="48"/>
      <c r="AG452" s="48"/>
      <c r="AH452" s="89"/>
      <c r="AI452" s="49">
        <f t="shared" si="119"/>
        <v>0</v>
      </c>
      <c r="AJ452" s="49" t="str">
        <f t="shared" si="120"/>
        <v/>
      </c>
      <c r="AK452" s="49">
        <f t="shared" si="121"/>
        <v>0</v>
      </c>
      <c r="AL452" s="49" t="str">
        <f t="shared" si="122"/>
        <v/>
      </c>
      <c r="AM452" s="49">
        <f t="shared" si="123"/>
        <v>0</v>
      </c>
      <c r="AN452" s="49" t="str">
        <f t="shared" si="124"/>
        <v/>
      </c>
      <c r="AO452" s="49">
        <f t="shared" si="125"/>
        <v>1</v>
      </c>
      <c r="AP452" s="49" t="str">
        <f t="shared" si="126"/>
        <v/>
      </c>
      <c r="AQ452" s="49">
        <f t="shared" si="127"/>
        <v>0</v>
      </c>
      <c r="AR452" s="49" t="str">
        <f t="shared" si="128"/>
        <v/>
      </c>
    </row>
    <row r="453" spans="1:44" ht="30" customHeight="1" x14ac:dyDescent="0.35">
      <c r="A453" s="25" t="str">
        <f t="shared" si="117"/>
        <v>PT177 - PLATAFORMA DE ACESSO - FORQUILHA 2 - DETALHADO
TORRE B4PROJETO DETALHADO
CIVIL</v>
      </c>
      <c r="B453" s="40" t="s">
        <v>42</v>
      </c>
      <c r="C453" s="60" t="str">
        <f>IF(AND($B453=[1]rogério!$A454,[1]rogério!$B454=C$4),"ok","nok")</f>
        <v>nok</v>
      </c>
      <c r="D453" s="60" t="str">
        <f>IF(AND($B453=[1]rogério!$A454,[1]rogério!$B454=D$4),"ok","nok")</f>
        <v>nok</v>
      </c>
      <c r="E453" s="60" t="str">
        <f>IF(AND($B453=[1]rogério!$A454,[1]rogério!$B454=E$4),"ok","nok")</f>
        <v>nok</v>
      </c>
      <c r="F453" s="60" t="str">
        <f>IF(AND($B453=[1]rogério!$A454,[1]rogério!$B454=F$4),"ok","nok")</f>
        <v>nok</v>
      </c>
      <c r="G453" s="60" t="str">
        <f>IF(AND($B453=[1]rogério!$A454,[1]rogério!$B454=G$4),"ok","nok")</f>
        <v>nok</v>
      </c>
      <c r="H453" s="60" t="str">
        <f>IF(AND($B453=[1]rogério!$A454,[1]rogério!$B454=H$4),"ok","nok")</f>
        <v>nok</v>
      </c>
      <c r="I453" s="60" t="str">
        <f>IF(AND($B453=[1]rogério!$A454,[1]rogério!$B454=I$4),"ok","nok")</f>
        <v>nok</v>
      </c>
      <c r="J453" s="60" t="str">
        <f>IF(AND($B453=[1]rogério!$A454,[1]rogério!$B454=J$4),"ok","nok")</f>
        <v>nok</v>
      </c>
      <c r="K453" s="60" t="str">
        <f>IF(AND($B453=[1]rogério!$A454,[1]rogério!$B454=K$4),"ok","nok")</f>
        <v>nok</v>
      </c>
      <c r="L453" s="60" t="str">
        <f>IF(AND($B453=[1]rogério!$A454,[1]rogério!$B454=L$4),"ok","nok")</f>
        <v>nok</v>
      </c>
      <c r="M453" s="60" t="str">
        <f>IF(AND($B453=[1]rogério!$A454,[1]rogério!$B454=M$4),"ok","nok")</f>
        <v>nok</v>
      </c>
      <c r="N453" s="60" t="str">
        <f>IF(AND($B453=[1]rogério!$A454,[1]rogério!$B454=N$4),"ok","nok")</f>
        <v>nok</v>
      </c>
      <c r="O453" s="60" t="str">
        <f>IF(AND($B453=[1]rogério!$A454,[1]rogério!$B454=O$4),"ok","nok")</f>
        <v>nok</v>
      </c>
      <c r="P453" s="60" t="str">
        <f>IF(AND($B453=[1]rogério!$A454,[1]rogério!$B454=P$4),"ok","nok")</f>
        <v>nok</v>
      </c>
      <c r="Q453" s="60" t="str">
        <f>IF(AND($B453=[1]rogério!$A454,[1]rogério!$B454=Q$4),"ok","nok")</f>
        <v>nok</v>
      </c>
      <c r="R453" s="60" t="str">
        <f>IF(AND($B453=[1]rogério!$A454,[1]rogério!$B454=R$4),"ok","nok")</f>
        <v>nok</v>
      </c>
      <c r="S453" s="60" t="str">
        <f>IF(AND($B453=[1]rogério!$A454,[1]rogério!$B454=S$4),"ok","nok")</f>
        <v>nok</v>
      </c>
      <c r="T453" s="60" t="str">
        <f>IF(AND($B453=[1]rogério!$A454,[1]rogério!$B454=T$4),"ok","nok")</f>
        <v>nok</v>
      </c>
      <c r="U453" s="60" t="str">
        <f>IF(AND($B453=[1]rogério!$A454,[1]rogério!$B454=U$4),"ok","nok")</f>
        <v>nok</v>
      </c>
      <c r="V453" s="60" t="str">
        <f>IF(AND($B453=[1]rogério!$A454,[1]rogério!$B454=V$4),"ok","nok")</f>
        <v>ok</v>
      </c>
      <c r="W453" s="60" t="str">
        <f>IF(AND($B453=[1]rogério!$A454,[1]rogério!$B454=W$4),"ok","nok")</f>
        <v>nok</v>
      </c>
      <c r="X453" s="60" t="str">
        <f>IF(AND($B453=[1]rogério!$A454,[1]rogério!$B454=X$4),"ok","nok")</f>
        <v>nok</v>
      </c>
      <c r="Y453" s="105" t="s">
        <v>15</v>
      </c>
      <c r="Z453" s="106"/>
      <c r="AA453" s="106"/>
      <c r="AB453" s="107"/>
      <c r="AC453" s="40"/>
      <c r="AD453" s="40"/>
      <c r="AE453" s="48" t="str">
        <f t="shared" si="118"/>
        <v/>
      </c>
      <c r="AF453" s="48"/>
      <c r="AG453" s="48"/>
      <c r="AH453" s="89"/>
      <c r="AI453" s="49">
        <f t="shared" si="119"/>
        <v>0</v>
      </c>
      <c r="AJ453" s="49" t="str">
        <f t="shared" si="120"/>
        <v/>
      </c>
      <c r="AK453" s="49">
        <f t="shared" si="121"/>
        <v>0</v>
      </c>
      <c r="AL453" s="49" t="str">
        <f t="shared" si="122"/>
        <v/>
      </c>
      <c r="AM453" s="49">
        <f t="shared" si="123"/>
        <v>0</v>
      </c>
      <c r="AN453" s="49" t="str">
        <f t="shared" si="124"/>
        <v/>
      </c>
      <c r="AO453" s="49">
        <f t="shared" si="125"/>
        <v>1</v>
      </c>
      <c r="AP453" s="49" t="str">
        <f t="shared" si="126"/>
        <v/>
      </c>
      <c r="AQ453" s="49">
        <f t="shared" si="127"/>
        <v>0</v>
      </c>
      <c r="AR453" s="49" t="str">
        <f t="shared" si="128"/>
        <v/>
      </c>
    </row>
    <row r="454" spans="1:44" ht="30" customHeight="1" x14ac:dyDescent="0.35">
      <c r="A454" s="25" t="str">
        <f t="shared" si="117"/>
        <v>PT177 - PLATAFORMA DE ACESSO - FORQUILHA 2 - DETALHADO
TORRE B4PROJETO DETALHADO
CIVIL</v>
      </c>
      <c r="B454" s="40" t="s">
        <v>43</v>
      </c>
      <c r="C454" s="60" t="str">
        <f>IF(AND($B454=[1]rogério!$A455,[1]rogério!$B455=C$4),"ok","nok")</f>
        <v>nok</v>
      </c>
      <c r="D454" s="60" t="str">
        <f>IF(AND($B454=[1]rogério!$A455,[1]rogério!$B455=D$4),"ok","nok")</f>
        <v>nok</v>
      </c>
      <c r="E454" s="60" t="str">
        <f>IF(AND($B454=[1]rogério!$A455,[1]rogério!$B455=E$4),"ok","nok")</f>
        <v>nok</v>
      </c>
      <c r="F454" s="60" t="str">
        <f>IF(AND($B454=[1]rogério!$A455,[1]rogério!$B455=F$4),"ok","nok")</f>
        <v>nok</v>
      </c>
      <c r="G454" s="60" t="str">
        <f>IF(AND($B454=[1]rogério!$A455,[1]rogério!$B455=G$4),"ok","nok")</f>
        <v>nok</v>
      </c>
      <c r="H454" s="60" t="str">
        <f>IF(AND($B454=[1]rogério!$A455,[1]rogério!$B455=H$4),"ok","nok")</f>
        <v>nok</v>
      </c>
      <c r="I454" s="60" t="str">
        <f>IF(AND($B454=[1]rogério!$A455,[1]rogério!$B455=I$4),"ok","nok")</f>
        <v>nok</v>
      </c>
      <c r="J454" s="60" t="str">
        <f>IF(AND($B454=[1]rogério!$A455,[1]rogério!$B455=J$4),"ok","nok")</f>
        <v>nok</v>
      </c>
      <c r="K454" s="60" t="str">
        <f>IF(AND($B454=[1]rogério!$A455,[1]rogério!$B455=K$4),"ok","nok")</f>
        <v>nok</v>
      </c>
      <c r="L454" s="60" t="str">
        <f>IF(AND($B454=[1]rogério!$A455,[1]rogério!$B455=L$4),"ok","nok")</f>
        <v>nok</v>
      </c>
      <c r="M454" s="60" t="str">
        <f>IF(AND($B454=[1]rogério!$A455,[1]rogério!$B455=M$4),"ok","nok")</f>
        <v>nok</v>
      </c>
      <c r="N454" s="60" t="str">
        <f>IF(AND($B454=[1]rogério!$A455,[1]rogério!$B455=N$4),"ok","nok")</f>
        <v>nok</v>
      </c>
      <c r="O454" s="60" t="str">
        <f>IF(AND($B454=[1]rogério!$A455,[1]rogério!$B455=O$4),"ok","nok")</f>
        <v>nok</v>
      </c>
      <c r="P454" s="60" t="str">
        <f>IF(AND($B454=[1]rogério!$A455,[1]rogério!$B455=P$4),"ok","nok")</f>
        <v>nok</v>
      </c>
      <c r="Q454" s="60" t="str">
        <f>IF(AND($B454=[1]rogério!$A455,[1]rogério!$B455=Q$4),"ok","nok")</f>
        <v>nok</v>
      </c>
      <c r="R454" s="60" t="str">
        <f>IF(AND($B454=[1]rogério!$A455,[1]rogério!$B455=R$4),"ok","nok")</f>
        <v>nok</v>
      </c>
      <c r="S454" s="60" t="str">
        <f>IF(AND($B454=[1]rogério!$A455,[1]rogério!$B455=S$4),"ok","nok")</f>
        <v>nok</v>
      </c>
      <c r="T454" s="60" t="str">
        <f>IF(AND($B454=[1]rogério!$A455,[1]rogério!$B455=T$4),"ok","nok")</f>
        <v>nok</v>
      </c>
      <c r="U454" s="60" t="str">
        <f>IF(AND($B454=[1]rogério!$A455,[1]rogério!$B455=U$4),"ok","nok")</f>
        <v>nok</v>
      </c>
      <c r="V454" s="60" t="str">
        <f>IF(AND($B454=[1]rogério!$A455,[1]rogério!$B455=V$4),"ok","nok")</f>
        <v>ok</v>
      </c>
      <c r="W454" s="60" t="str">
        <f>IF(AND($B454=[1]rogério!$A455,[1]rogério!$B455=W$4),"ok","nok")</f>
        <v>nok</v>
      </c>
      <c r="X454" s="60" t="str">
        <f>IF(AND($B454=[1]rogério!$A455,[1]rogério!$B455=X$4),"ok","nok")</f>
        <v>nok</v>
      </c>
      <c r="Y454" s="105" t="s">
        <v>15</v>
      </c>
      <c r="Z454" s="106"/>
      <c r="AA454" s="106"/>
      <c r="AB454" s="107"/>
      <c r="AC454" s="40"/>
      <c r="AD454" s="40"/>
      <c r="AE454" s="48" t="str">
        <f t="shared" si="118"/>
        <v/>
      </c>
      <c r="AF454" s="48"/>
      <c r="AG454" s="48"/>
      <c r="AH454" s="89"/>
      <c r="AI454" s="49">
        <f t="shared" si="119"/>
        <v>0</v>
      </c>
      <c r="AJ454" s="49" t="str">
        <f t="shared" si="120"/>
        <v/>
      </c>
      <c r="AK454" s="49">
        <f t="shared" si="121"/>
        <v>0</v>
      </c>
      <c r="AL454" s="49" t="str">
        <f t="shared" si="122"/>
        <v/>
      </c>
      <c r="AM454" s="49">
        <f t="shared" si="123"/>
        <v>0</v>
      </c>
      <c r="AN454" s="49" t="str">
        <f t="shared" si="124"/>
        <v/>
      </c>
      <c r="AO454" s="49">
        <f t="shared" si="125"/>
        <v>1</v>
      </c>
      <c r="AP454" s="49" t="str">
        <f t="shared" si="126"/>
        <v/>
      </c>
      <c r="AQ454" s="49">
        <f t="shared" si="127"/>
        <v>0</v>
      </c>
      <c r="AR454" s="49" t="str">
        <f t="shared" si="128"/>
        <v/>
      </c>
    </row>
    <row r="455" spans="1:44" ht="30" customHeight="1" x14ac:dyDescent="0.35">
      <c r="A455" s="25" t="str">
        <f t="shared" si="117"/>
        <v>PT177 - PLATAFORMA DE ACESSO - FORQUILHA 2 - DETALHADO
TORRE B4PROJETO DETALHADO
CIVIL</v>
      </c>
      <c r="B455" s="38" t="s">
        <v>79</v>
      </c>
      <c r="C455" s="60" t="str">
        <f>IF(AND($B455=[1]rogério!$A456,[1]rogério!$B456=C$4),"ok","nok")</f>
        <v>nok</v>
      </c>
      <c r="D455" s="60" t="str">
        <f>IF(AND($B455=[1]rogério!$A456,[1]rogério!$B456=D$4),"ok","nok")</f>
        <v>nok</v>
      </c>
      <c r="E455" s="60" t="str">
        <f>IF(AND($B455=[1]rogério!$A456,[1]rogério!$B456=E$4),"ok","nok")</f>
        <v>nok</v>
      </c>
      <c r="F455" s="60" t="str">
        <f>IF(AND($B455=[1]rogério!$A456,[1]rogério!$B456=F$4),"ok","nok")</f>
        <v>nok</v>
      </c>
      <c r="G455" s="60" t="str">
        <f>IF(AND($B455=[1]rogério!$A456,[1]rogério!$B456=G$4),"ok","nok")</f>
        <v>nok</v>
      </c>
      <c r="H455" s="60" t="str">
        <f>IF(AND($B455=[1]rogério!$A456,[1]rogério!$B456=H$4),"ok","nok")</f>
        <v>nok</v>
      </c>
      <c r="I455" s="60" t="str">
        <f>IF(AND($B455=[1]rogério!$A456,[1]rogério!$B456=I$4),"ok","nok")</f>
        <v>nok</v>
      </c>
      <c r="J455" s="60" t="str">
        <f>IF(AND($B455=[1]rogério!$A456,[1]rogério!$B456=J$4),"ok","nok")</f>
        <v>nok</v>
      </c>
      <c r="K455" s="60" t="str">
        <f>IF(AND($B455=[1]rogério!$A456,[1]rogério!$B456=K$4),"ok","nok")</f>
        <v>nok</v>
      </c>
      <c r="L455" s="60" t="str">
        <f>IF(AND($B455=[1]rogério!$A456,[1]rogério!$B456=L$4),"ok","nok")</f>
        <v>nok</v>
      </c>
      <c r="M455" s="60" t="str">
        <f>IF(AND($B455=[1]rogério!$A456,[1]rogério!$B456=M$4),"ok","nok")</f>
        <v>nok</v>
      </c>
      <c r="N455" s="60" t="str">
        <f>IF(AND($B455=[1]rogério!$A456,[1]rogério!$B456=N$4),"ok","nok")</f>
        <v>nok</v>
      </c>
      <c r="O455" s="60" t="str">
        <f>IF(AND($B455=[1]rogério!$A456,[1]rogério!$B456=O$4),"ok","nok")</f>
        <v>nok</v>
      </c>
      <c r="P455" s="60" t="str">
        <f>IF(AND($B455=[1]rogério!$A456,[1]rogério!$B456=P$4),"ok","nok")</f>
        <v>nok</v>
      </c>
      <c r="Q455" s="60" t="str">
        <f>IF(AND($B455=[1]rogério!$A456,[1]rogério!$B456=Q$4),"ok","nok")</f>
        <v>nok</v>
      </c>
      <c r="R455" s="60" t="str">
        <f>IF(AND($B455=[1]rogério!$A456,[1]rogério!$B456=R$4),"ok","nok")</f>
        <v>ok</v>
      </c>
      <c r="S455" s="60" t="str">
        <f>IF(AND($B455=[1]rogério!$A456,[1]rogério!$B456=S$4),"ok","nok")</f>
        <v>nok</v>
      </c>
      <c r="T455" s="60" t="str">
        <f>IF(AND($B455=[1]rogério!$A456,[1]rogério!$B456=T$4),"ok","nok")</f>
        <v>nok</v>
      </c>
      <c r="U455" s="60" t="str">
        <f>IF(AND($B455=[1]rogério!$A456,[1]rogério!$B456=U$4),"ok","nok")</f>
        <v>nok</v>
      </c>
      <c r="V455" s="60" t="str">
        <f>IF(AND($B455=[1]rogério!$A456,[1]rogério!$B456=V$4),"ok","nok")</f>
        <v>nok</v>
      </c>
      <c r="W455" s="60" t="str">
        <f>IF(AND($B455=[1]rogério!$A456,[1]rogério!$B456=W$4),"ok","nok")</f>
        <v>nok</v>
      </c>
      <c r="X455" s="60" t="str">
        <f>IF(AND($B455=[1]rogério!$A456,[1]rogério!$B456=X$4),"ok","nok")</f>
        <v>nok</v>
      </c>
      <c r="Y455" s="105" t="s">
        <v>15</v>
      </c>
      <c r="Z455" s="106"/>
      <c r="AA455" s="106"/>
      <c r="AB455" s="107"/>
      <c r="AC455" s="41"/>
      <c r="AD455" s="41"/>
      <c r="AE455" s="48" t="str">
        <f t="shared" si="118"/>
        <v/>
      </c>
      <c r="AF455" s="48"/>
      <c r="AG455" s="48"/>
      <c r="AH455" s="89"/>
      <c r="AI455" s="49">
        <f t="shared" si="119"/>
        <v>0</v>
      </c>
      <c r="AJ455" s="49" t="str">
        <f t="shared" si="120"/>
        <v/>
      </c>
      <c r="AK455" s="49">
        <f t="shared" si="121"/>
        <v>0</v>
      </c>
      <c r="AL455" s="49" t="str">
        <f t="shared" si="122"/>
        <v/>
      </c>
      <c r="AM455" s="49">
        <f t="shared" si="123"/>
        <v>0</v>
      </c>
      <c r="AN455" s="49" t="str">
        <f t="shared" si="124"/>
        <v/>
      </c>
      <c r="AO455" s="49">
        <f t="shared" si="125"/>
        <v>1</v>
      </c>
      <c r="AP455" s="49" t="str">
        <f t="shared" si="126"/>
        <v/>
      </c>
      <c r="AQ455" s="49">
        <f t="shared" si="127"/>
        <v>0</v>
      </c>
      <c r="AR455" s="49" t="str">
        <f t="shared" si="128"/>
        <v/>
      </c>
    </row>
    <row r="456" spans="1:44" ht="30" customHeight="1" x14ac:dyDescent="0.35">
      <c r="A456" s="25" t="str">
        <f t="shared" si="117"/>
        <v>PT177 - PLATAFORMA DE ACESSO - FORQUILHA 2 - DETALHADO
TORRE B4PROJETO DETALHADO
CIVIL</v>
      </c>
      <c r="B456" s="38" t="s">
        <v>80</v>
      </c>
      <c r="C456" s="60" t="str">
        <f>IF(AND($B456=[1]rogério!$A457,[1]rogério!$B457=C$4),"ok","nok")</f>
        <v>nok</v>
      </c>
      <c r="D456" s="60" t="str">
        <f>IF(AND($B456=[1]rogério!$A457,[1]rogério!$B457=D$4),"ok","nok")</f>
        <v>nok</v>
      </c>
      <c r="E456" s="60" t="str">
        <f>IF(AND($B456=[1]rogério!$A457,[1]rogério!$B457=E$4),"ok","nok")</f>
        <v>nok</v>
      </c>
      <c r="F456" s="60" t="str">
        <f>IF(AND($B456=[1]rogério!$A457,[1]rogério!$B457=F$4),"ok","nok")</f>
        <v>nok</v>
      </c>
      <c r="G456" s="60" t="str">
        <f>IF(AND($B456=[1]rogério!$A457,[1]rogério!$B457=G$4),"ok","nok")</f>
        <v>nok</v>
      </c>
      <c r="H456" s="60" t="str">
        <f>IF(AND($B456=[1]rogério!$A457,[1]rogério!$B457=H$4),"ok","nok")</f>
        <v>nok</v>
      </c>
      <c r="I456" s="60" t="str">
        <f>IF(AND($B456=[1]rogério!$A457,[1]rogério!$B457=I$4),"ok","nok")</f>
        <v>nok</v>
      </c>
      <c r="J456" s="60" t="str">
        <f>IF(AND($B456=[1]rogério!$A457,[1]rogério!$B457=J$4),"ok","nok")</f>
        <v>nok</v>
      </c>
      <c r="K456" s="60" t="str">
        <f>IF(AND($B456=[1]rogério!$A457,[1]rogério!$B457=K$4),"ok","nok")</f>
        <v>nok</v>
      </c>
      <c r="L456" s="60" t="str">
        <f>IF(AND($B456=[1]rogério!$A457,[1]rogério!$B457=L$4),"ok","nok")</f>
        <v>nok</v>
      </c>
      <c r="M456" s="60" t="str">
        <f>IF(AND($B456=[1]rogério!$A457,[1]rogério!$B457=M$4),"ok","nok")</f>
        <v>nok</v>
      </c>
      <c r="N456" s="60" t="str">
        <f>IF(AND($B456=[1]rogério!$A457,[1]rogério!$B457=N$4),"ok","nok")</f>
        <v>nok</v>
      </c>
      <c r="O456" s="60" t="str">
        <f>IF(AND($B456=[1]rogério!$A457,[1]rogério!$B457=O$4),"ok","nok")</f>
        <v>nok</v>
      </c>
      <c r="P456" s="60" t="str">
        <f>IF(AND($B456=[1]rogério!$A457,[1]rogério!$B457=P$4),"ok","nok")</f>
        <v>nok</v>
      </c>
      <c r="Q456" s="60" t="str">
        <f>IF(AND($B456=[1]rogério!$A457,[1]rogério!$B457=Q$4),"ok","nok")</f>
        <v>nok</v>
      </c>
      <c r="R456" s="60" t="str">
        <f>IF(AND($B456=[1]rogério!$A457,[1]rogério!$B457=R$4),"ok","nok")</f>
        <v>nok</v>
      </c>
      <c r="S456" s="60" t="str">
        <f>IF(AND($B456=[1]rogério!$A457,[1]rogério!$B457=S$4),"ok","nok")</f>
        <v>ok</v>
      </c>
      <c r="T456" s="60" t="str">
        <f>IF(AND($B456=[1]rogério!$A457,[1]rogério!$B457=T$4),"ok","nok")</f>
        <v>nok</v>
      </c>
      <c r="U456" s="60" t="str">
        <f>IF(AND($B456=[1]rogério!$A457,[1]rogério!$B457=U$4),"ok","nok")</f>
        <v>nok</v>
      </c>
      <c r="V456" s="60" t="str">
        <f>IF(AND($B456=[1]rogério!$A457,[1]rogério!$B457=V$4),"ok","nok")</f>
        <v>nok</v>
      </c>
      <c r="W456" s="60" t="str">
        <f>IF(AND($B456=[1]rogério!$A457,[1]rogério!$B457=W$4),"ok","nok")</f>
        <v>nok</v>
      </c>
      <c r="X456" s="60" t="str">
        <f>IF(AND($B456=[1]rogério!$A457,[1]rogério!$B457=X$4),"ok","nok")</f>
        <v>nok</v>
      </c>
      <c r="Y456" s="105" t="s">
        <v>15</v>
      </c>
      <c r="Z456" s="106"/>
      <c r="AA456" s="106"/>
      <c r="AB456" s="107"/>
      <c r="AC456" s="46"/>
      <c r="AD456" s="46"/>
      <c r="AE456" s="48" t="str">
        <f t="shared" si="118"/>
        <v/>
      </c>
      <c r="AF456" s="48"/>
      <c r="AG456" s="48"/>
      <c r="AH456" s="89"/>
      <c r="AI456" s="49">
        <f t="shared" si="119"/>
        <v>0</v>
      </c>
      <c r="AJ456" s="49" t="str">
        <f t="shared" si="120"/>
        <v/>
      </c>
      <c r="AK456" s="49">
        <f t="shared" si="121"/>
        <v>0</v>
      </c>
      <c r="AL456" s="49" t="str">
        <f t="shared" si="122"/>
        <v/>
      </c>
      <c r="AM456" s="49">
        <f t="shared" si="123"/>
        <v>0</v>
      </c>
      <c r="AN456" s="49" t="str">
        <f t="shared" si="124"/>
        <v/>
      </c>
      <c r="AO456" s="49">
        <f t="shared" si="125"/>
        <v>1</v>
      </c>
      <c r="AP456" s="49" t="str">
        <f t="shared" si="126"/>
        <v/>
      </c>
      <c r="AQ456" s="49">
        <f t="shared" si="127"/>
        <v>0</v>
      </c>
      <c r="AR456" s="49" t="str">
        <f t="shared" si="128"/>
        <v/>
      </c>
    </row>
    <row r="457" spans="1:44" ht="30" customHeight="1" x14ac:dyDescent="0.35">
      <c r="A457" s="25"/>
      <c r="B457" s="39" t="s">
        <v>81</v>
      </c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108"/>
      <c r="Z457" s="109"/>
      <c r="AA457" s="109"/>
      <c r="AB457" s="110"/>
      <c r="AC457" s="40"/>
      <c r="AD457" s="40"/>
      <c r="AE457" s="48" t="str">
        <f t="shared" si="118"/>
        <v/>
      </c>
      <c r="AF457" s="48"/>
      <c r="AG457" s="48"/>
      <c r="AH457" s="89"/>
      <c r="AI457" s="49">
        <f t="shared" si="119"/>
        <v>0</v>
      </c>
      <c r="AJ457" s="49" t="str">
        <f t="shared" si="120"/>
        <v/>
      </c>
      <c r="AK457" s="49">
        <f t="shared" si="121"/>
        <v>0</v>
      </c>
      <c r="AL457" s="49" t="str">
        <f t="shared" si="122"/>
        <v/>
      </c>
      <c r="AM457" s="49">
        <f t="shared" si="123"/>
        <v>0</v>
      </c>
      <c r="AN457" s="49" t="str">
        <f t="shared" si="124"/>
        <v/>
      </c>
      <c r="AO457" s="49">
        <f t="shared" si="125"/>
        <v>0</v>
      </c>
      <c r="AP457" s="49" t="str">
        <f t="shared" si="126"/>
        <v/>
      </c>
      <c r="AQ457" s="49">
        <f t="shared" si="127"/>
        <v>0</v>
      </c>
      <c r="AR457" s="49" t="str">
        <f t="shared" si="128"/>
        <v/>
      </c>
    </row>
    <row r="458" spans="1:44" ht="30" customHeight="1" x14ac:dyDescent="0.35">
      <c r="A458" s="25" t="str">
        <f t="shared" si="117"/>
        <v>PT177 - PLATAFORMA DE ACESSO - FORQUILHA 2 - DETALHADO
TORRE B4PROJETO DETALHADO
CIVIL</v>
      </c>
      <c r="B458" s="40" t="s">
        <v>49</v>
      </c>
      <c r="C458" s="60" t="str">
        <f>IF(AND($B458=[1]rogério!$A459,[1]rogério!$B459=C$4),"ok","nok")</f>
        <v>nok</v>
      </c>
      <c r="D458" s="60" t="str">
        <f>IF(AND($B458=[1]rogério!$A459,[1]rogério!$B459=D$4),"ok","nok")</f>
        <v>nok</v>
      </c>
      <c r="E458" s="60" t="str">
        <f>IF(AND($B458=[1]rogério!$A459,[1]rogério!$B459=E$4),"ok","nok")</f>
        <v>nok</v>
      </c>
      <c r="F458" s="60" t="str">
        <f>IF(AND($B458=[1]rogério!$A459,[1]rogério!$B459=F$4),"ok","nok")</f>
        <v>nok</v>
      </c>
      <c r="G458" s="60" t="str">
        <f>IF(AND($B458=[1]rogério!$A459,[1]rogério!$B459=G$4),"ok","nok")</f>
        <v>nok</v>
      </c>
      <c r="H458" s="60" t="str">
        <f>IF(AND($B458=[1]rogério!$A459,[1]rogério!$B459=H$4),"ok","nok")</f>
        <v>nok</v>
      </c>
      <c r="I458" s="60" t="str">
        <f>IF(AND($B458=[1]rogério!$A459,[1]rogério!$B459=I$4),"ok","nok")</f>
        <v>nok</v>
      </c>
      <c r="J458" s="60" t="str">
        <f>IF(AND($B458=[1]rogério!$A459,[1]rogério!$B459=J$4),"ok","nok")</f>
        <v>nok</v>
      </c>
      <c r="K458" s="60" t="str">
        <f>IF(AND($B458=[1]rogério!$A459,[1]rogério!$B459=K$4),"ok","nok")</f>
        <v>nok</v>
      </c>
      <c r="L458" s="60" t="str">
        <f>IF(AND($B458=[1]rogério!$A459,[1]rogério!$B459=L$4),"ok","nok")</f>
        <v>nok</v>
      </c>
      <c r="M458" s="60" t="str">
        <f>IF(AND($B458=[1]rogério!$A459,[1]rogério!$B459=M$4),"ok","nok")</f>
        <v>nok</v>
      </c>
      <c r="N458" s="60" t="str">
        <f>IF(AND($B458=[1]rogério!$A459,[1]rogério!$B459=N$4),"ok","nok")</f>
        <v>nok</v>
      </c>
      <c r="O458" s="60" t="str">
        <f>IF(AND($B458=[1]rogério!$A459,[1]rogério!$B459=O$4),"ok","nok")</f>
        <v>nok</v>
      </c>
      <c r="P458" s="60" t="str">
        <f>IF(AND($B458=[1]rogério!$A459,[1]rogério!$B459=P$4),"ok","nok")</f>
        <v>nok</v>
      </c>
      <c r="Q458" s="60" t="str">
        <f>IF(AND($B458=[1]rogério!$A459,[1]rogério!$B459=Q$4),"ok","nok")</f>
        <v>nok</v>
      </c>
      <c r="R458" s="60" t="str">
        <f>IF(AND($B458=[1]rogério!$A459,[1]rogério!$B459=R$4),"ok","nok")</f>
        <v>nok</v>
      </c>
      <c r="S458" s="60" t="str">
        <f>IF(AND($B458=[1]rogério!$A459,[1]rogério!$B459=S$4),"ok","nok")</f>
        <v>ok</v>
      </c>
      <c r="T458" s="60" t="str">
        <f>IF(AND($B458=[1]rogério!$A459,[1]rogério!$B459=T$4),"ok","nok")</f>
        <v>nok</v>
      </c>
      <c r="U458" s="60" t="str">
        <f>IF(AND($B458=[1]rogério!$A459,[1]rogério!$B459=U$4),"ok","nok")</f>
        <v>nok</v>
      </c>
      <c r="V458" s="60" t="str">
        <f>IF(AND($B458=[1]rogério!$A459,[1]rogério!$B459=V$4),"ok","nok")</f>
        <v>nok</v>
      </c>
      <c r="W458" s="60" t="str">
        <f>IF(AND($B458=[1]rogério!$A459,[1]rogério!$B459=W$4),"ok","nok")</f>
        <v>nok</v>
      </c>
      <c r="X458" s="60" t="str">
        <f>IF(AND($B458=[1]rogério!$A459,[1]rogério!$B459=X$4),"ok","nok")</f>
        <v>nok</v>
      </c>
      <c r="Y458" s="105" t="s">
        <v>15</v>
      </c>
      <c r="Z458" s="106"/>
      <c r="AA458" s="106"/>
      <c r="AB458" s="107"/>
      <c r="AC458" s="40"/>
      <c r="AD458" s="40"/>
      <c r="AE458" s="48" t="str">
        <f t="shared" si="118"/>
        <v/>
      </c>
      <c r="AF458" s="48"/>
      <c r="AG458" s="48"/>
      <c r="AH458" s="89"/>
      <c r="AI458" s="49">
        <f t="shared" si="119"/>
        <v>0</v>
      </c>
      <c r="AJ458" s="49" t="str">
        <f t="shared" si="120"/>
        <v/>
      </c>
      <c r="AK458" s="49">
        <f t="shared" si="121"/>
        <v>0</v>
      </c>
      <c r="AL458" s="49" t="str">
        <f t="shared" si="122"/>
        <v/>
      </c>
      <c r="AM458" s="49">
        <f t="shared" si="123"/>
        <v>0</v>
      </c>
      <c r="AN458" s="49" t="str">
        <f t="shared" si="124"/>
        <v/>
      </c>
      <c r="AO458" s="49">
        <f t="shared" si="125"/>
        <v>1</v>
      </c>
      <c r="AP458" s="49" t="str">
        <f t="shared" si="126"/>
        <v/>
      </c>
      <c r="AQ458" s="49">
        <f t="shared" si="127"/>
        <v>0</v>
      </c>
      <c r="AR458" s="49" t="str">
        <f t="shared" si="128"/>
        <v/>
      </c>
    </row>
    <row r="459" spans="1:44" ht="30" customHeight="1" x14ac:dyDescent="0.35">
      <c r="A459" s="25" t="str">
        <f t="shared" si="117"/>
        <v>PT177 - PLATAFORMA DE ACESSO - FORQUILHA 2 - DETALHADO
TORRE B4PROJETO DETALHADO
CIVIL</v>
      </c>
      <c r="B459" s="40" t="s">
        <v>19</v>
      </c>
      <c r="C459" s="60" t="str">
        <f>IF(AND($B459=[1]rogério!$A460,[1]rogério!$B460=C$4),"ok","nok")</f>
        <v>nok</v>
      </c>
      <c r="D459" s="60" t="str">
        <f>IF(AND($B459=[1]rogério!$A460,[1]rogério!$B460=D$4),"ok","nok")</f>
        <v>nok</v>
      </c>
      <c r="E459" s="60" t="str">
        <f>IF(AND($B459=[1]rogério!$A460,[1]rogério!$B460=E$4),"ok","nok")</f>
        <v>nok</v>
      </c>
      <c r="F459" s="60" t="str">
        <f>IF(AND($B459=[1]rogério!$A460,[1]rogério!$B460=F$4),"ok","nok")</f>
        <v>nok</v>
      </c>
      <c r="G459" s="60" t="str">
        <f>IF(AND($B459=[1]rogério!$A460,[1]rogério!$B460=G$4),"ok","nok")</f>
        <v>nok</v>
      </c>
      <c r="H459" s="60" t="str">
        <f>IF(AND($B459=[1]rogério!$A460,[1]rogério!$B460=H$4),"ok","nok")</f>
        <v>nok</v>
      </c>
      <c r="I459" s="60" t="str">
        <f>IF(AND($B459=[1]rogério!$A460,[1]rogério!$B460=I$4),"ok","nok")</f>
        <v>nok</v>
      </c>
      <c r="J459" s="60" t="str">
        <f>IF(AND($B459=[1]rogério!$A460,[1]rogério!$B460=J$4),"ok","nok")</f>
        <v>nok</v>
      </c>
      <c r="K459" s="60" t="str">
        <f>IF(AND($B459=[1]rogério!$A460,[1]rogério!$B460=K$4),"ok","nok")</f>
        <v>nok</v>
      </c>
      <c r="L459" s="60" t="str">
        <f>IF(AND($B459=[1]rogério!$A460,[1]rogério!$B460=L$4),"ok","nok")</f>
        <v>nok</v>
      </c>
      <c r="M459" s="60" t="str">
        <f>IF(AND($B459=[1]rogério!$A460,[1]rogério!$B460=M$4),"ok","nok")</f>
        <v>nok</v>
      </c>
      <c r="N459" s="60" t="str">
        <f>IF(AND($B459=[1]rogério!$A460,[1]rogério!$B460=N$4),"ok","nok")</f>
        <v>nok</v>
      </c>
      <c r="O459" s="60" t="str">
        <f>IF(AND($B459=[1]rogério!$A460,[1]rogério!$B460=O$4),"ok","nok")</f>
        <v>nok</v>
      </c>
      <c r="P459" s="60" t="str">
        <f>IF(AND($B459=[1]rogério!$A460,[1]rogério!$B460=P$4),"ok","nok")</f>
        <v>nok</v>
      </c>
      <c r="Q459" s="60" t="str">
        <f>IF(AND($B459=[1]rogério!$A460,[1]rogério!$B460=Q$4),"ok","nok")</f>
        <v>nok</v>
      </c>
      <c r="R459" s="60" t="str">
        <f>IF(AND($B459=[1]rogério!$A460,[1]rogério!$B460=R$4),"ok","nok")</f>
        <v>nok</v>
      </c>
      <c r="S459" s="60" t="str">
        <f>IF(AND($B459=[1]rogério!$A460,[1]rogério!$B460=S$4),"ok","nok")</f>
        <v>nok</v>
      </c>
      <c r="T459" s="60" t="str">
        <f>IF(AND($B459=[1]rogério!$A460,[1]rogério!$B460=T$4),"ok","nok")</f>
        <v>nok</v>
      </c>
      <c r="U459" s="60" t="str">
        <f>IF(AND($B459=[1]rogério!$A460,[1]rogério!$B460=U$4),"ok","nok")</f>
        <v>nok</v>
      </c>
      <c r="V459" s="60" t="str">
        <f>IF(AND($B459=[1]rogério!$A460,[1]rogério!$B460=V$4),"ok","nok")</f>
        <v>nok</v>
      </c>
      <c r="W459" s="60" t="str">
        <f>IF(AND($B459=[1]rogério!$A460,[1]rogério!$B460=W$4),"ok","nok")</f>
        <v>nok</v>
      </c>
      <c r="X459" s="60" t="str">
        <f>IF(AND($B459=[1]rogério!$A460,[1]rogério!$B460=X$4),"ok","nok")</f>
        <v>ok</v>
      </c>
      <c r="Y459" s="105" t="s">
        <v>15</v>
      </c>
      <c r="Z459" s="106"/>
      <c r="AA459" s="106"/>
      <c r="AB459" s="107"/>
      <c r="AC459" s="41"/>
      <c r="AD459" s="41"/>
      <c r="AE459" s="48" t="str">
        <f t="shared" si="118"/>
        <v/>
      </c>
      <c r="AF459" s="48"/>
      <c r="AG459" s="48"/>
      <c r="AH459" s="89"/>
      <c r="AI459" s="49">
        <f t="shared" si="119"/>
        <v>0</v>
      </c>
      <c r="AJ459" s="49" t="str">
        <f t="shared" si="120"/>
        <v/>
      </c>
      <c r="AK459" s="49">
        <f t="shared" si="121"/>
        <v>0</v>
      </c>
      <c r="AL459" s="49" t="str">
        <f t="shared" si="122"/>
        <v/>
      </c>
      <c r="AM459" s="49">
        <f t="shared" si="123"/>
        <v>0</v>
      </c>
      <c r="AN459" s="49" t="str">
        <f t="shared" si="124"/>
        <v/>
      </c>
      <c r="AO459" s="49">
        <f t="shared" si="125"/>
        <v>0</v>
      </c>
      <c r="AP459" s="49" t="str">
        <f t="shared" si="126"/>
        <v/>
      </c>
      <c r="AQ459" s="49">
        <f t="shared" si="127"/>
        <v>1</v>
      </c>
      <c r="AR459" s="49" t="str">
        <f t="shared" si="128"/>
        <v/>
      </c>
    </row>
    <row r="460" spans="1:44" ht="30" customHeight="1" x14ac:dyDescent="0.35">
      <c r="A460" s="25" t="str">
        <f t="shared" si="117"/>
        <v>PT177 - PLATAFORMA DE ACESSO - FORQUILHA 2 - DETALHADO
TORRE B4PROJETO DETALHADO
CIVIL</v>
      </c>
      <c r="B460" s="38" t="s">
        <v>65</v>
      </c>
      <c r="C460" s="60" t="str">
        <f>IF(AND($B460=[1]rogério!$A461,[1]rogério!$B461=C$4),"ok","nok")</f>
        <v>nok</v>
      </c>
      <c r="D460" s="60" t="str">
        <f>IF(AND($B460=[1]rogério!$A461,[1]rogério!$B461=D$4),"ok","nok")</f>
        <v>nok</v>
      </c>
      <c r="E460" s="60" t="str">
        <f>IF(AND($B460=[1]rogério!$A461,[1]rogério!$B461=E$4),"ok","nok")</f>
        <v>nok</v>
      </c>
      <c r="F460" s="60" t="str">
        <f>IF(AND($B460=[1]rogério!$A461,[1]rogério!$B461=F$4),"ok","nok")</f>
        <v>nok</v>
      </c>
      <c r="G460" s="60" t="str">
        <f>IF(AND($B460=[1]rogério!$A461,[1]rogério!$B461=G$4),"ok","nok")</f>
        <v>nok</v>
      </c>
      <c r="H460" s="60" t="str">
        <f>IF(AND($B460=[1]rogério!$A461,[1]rogério!$B461=H$4),"ok","nok")</f>
        <v>nok</v>
      </c>
      <c r="I460" s="60" t="str">
        <f>IF(AND($B460=[1]rogério!$A461,[1]rogério!$B461=I$4),"ok","nok")</f>
        <v>nok</v>
      </c>
      <c r="J460" s="60" t="str">
        <f>IF(AND($B460=[1]rogério!$A461,[1]rogério!$B461=J$4),"ok","nok")</f>
        <v>nok</v>
      </c>
      <c r="K460" s="60" t="str">
        <f>IF(AND($B460=[1]rogério!$A461,[1]rogério!$B461=K$4),"ok","nok")</f>
        <v>nok</v>
      </c>
      <c r="L460" s="60" t="str">
        <f>IF(AND($B460=[1]rogério!$A461,[1]rogério!$B461=L$4),"ok","nok")</f>
        <v>nok</v>
      </c>
      <c r="M460" s="60" t="str">
        <f>IF(AND($B460=[1]rogério!$A461,[1]rogério!$B461=M$4),"ok","nok")</f>
        <v>nok</v>
      </c>
      <c r="N460" s="60" t="str">
        <f>IF(AND($B460=[1]rogério!$A461,[1]rogério!$B461=N$4),"ok","nok")</f>
        <v>nok</v>
      </c>
      <c r="O460" s="60" t="str">
        <f>IF(AND($B460=[1]rogério!$A461,[1]rogério!$B461=O$4),"ok","nok")</f>
        <v>nok</v>
      </c>
      <c r="P460" s="60" t="str">
        <f>IF(AND($B460=[1]rogério!$A461,[1]rogério!$B461=P$4),"ok","nok")</f>
        <v>nok</v>
      </c>
      <c r="Q460" s="60" t="str">
        <f>IF(AND($B460=[1]rogério!$A461,[1]rogério!$B461=Q$4),"ok","nok")</f>
        <v>nok</v>
      </c>
      <c r="R460" s="60" t="str">
        <f>IF(AND($B460=[1]rogério!$A461,[1]rogério!$B461=R$4),"ok","nok")</f>
        <v>nok</v>
      </c>
      <c r="S460" s="60" t="str">
        <f>IF(AND($B460=[1]rogério!$A461,[1]rogério!$B461=S$4),"ok","nok")</f>
        <v>nok</v>
      </c>
      <c r="T460" s="60" t="str">
        <f>IF(AND($B460=[1]rogério!$A461,[1]rogério!$B461=T$4),"ok","nok")</f>
        <v>nok</v>
      </c>
      <c r="U460" s="60" t="str">
        <f>IF(AND($B460=[1]rogério!$A461,[1]rogério!$B461=U$4),"ok","nok")</f>
        <v>nok</v>
      </c>
      <c r="V460" s="60" t="str">
        <f>IF(AND($B460=[1]rogério!$A461,[1]rogério!$B461=V$4),"ok","nok")</f>
        <v>ok</v>
      </c>
      <c r="W460" s="60" t="str">
        <f>IF(AND($B460=[1]rogério!$A461,[1]rogério!$B461=W$4),"ok","nok")</f>
        <v>nok</v>
      </c>
      <c r="X460" s="60" t="str">
        <f>IF(AND($B460=[1]rogério!$A461,[1]rogério!$B461=X$4),"ok","nok")</f>
        <v>nok</v>
      </c>
      <c r="Y460" s="105" t="s">
        <v>15</v>
      </c>
      <c r="Z460" s="106"/>
      <c r="AA460" s="106"/>
      <c r="AB460" s="107"/>
      <c r="AC460" s="46"/>
      <c r="AD460" s="46"/>
      <c r="AE460" s="48" t="str">
        <f t="shared" si="118"/>
        <v/>
      </c>
      <c r="AF460" s="48"/>
      <c r="AG460" s="48"/>
      <c r="AH460" s="89"/>
      <c r="AI460" s="49">
        <f t="shared" si="119"/>
        <v>0</v>
      </c>
      <c r="AJ460" s="49" t="str">
        <f t="shared" si="120"/>
        <v/>
      </c>
      <c r="AK460" s="49">
        <f t="shared" si="121"/>
        <v>0</v>
      </c>
      <c r="AL460" s="49" t="str">
        <f t="shared" si="122"/>
        <v/>
      </c>
      <c r="AM460" s="49">
        <f t="shared" si="123"/>
        <v>0</v>
      </c>
      <c r="AN460" s="49" t="str">
        <f t="shared" si="124"/>
        <v/>
      </c>
      <c r="AO460" s="49">
        <f t="shared" si="125"/>
        <v>1</v>
      </c>
      <c r="AP460" s="49" t="str">
        <f t="shared" si="126"/>
        <v/>
      </c>
      <c r="AQ460" s="49">
        <f t="shared" si="127"/>
        <v>0</v>
      </c>
      <c r="AR460" s="49" t="str">
        <f t="shared" si="128"/>
        <v/>
      </c>
    </row>
    <row r="461" spans="1:44" ht="30" customHeight="1" x14ac:dyDescent="0.35">
      <c r="A461" s="25" t="str">
        <f t="shared" si="117"/>
        <v>PT177 - PLATAFORMA DE ACESSO - FORQUILHA 2 - DETALHADO
TORRE B4PROJETO DETALHADO
CIVIL</v>
      </c>
      <c r="B461" s="38" t="s">
        <v>66</v>
      </c>
      <c r="C461" s="60" t="str">
        <f>IF(AND($B461=[1]rogério!$A462,[1]rogério!$B462=C$4),"ok","nok")</f>
        <v>nok</v>
      </c>
      <c r="D461" s="60" t="str">
        <f>IF(AND($B461=[1]rogério!$A462,[1]rogério!$B462=D$4),"ok","nok")</f>
        <v>nok</v>
      </c>
      <c r="E461" s="60" t="str">
        <f>IF(AND($B461=[1]rogério!$A462,[1]rogério!$B462=E$4),"ok","nok")</f>
        <v>nok</v>
      </c>
      <c r="F461" s="60" t="str">
        <f>IF(AND($B461=[1]rogério!$A462,[1]rogério!$B462=F$4),"ok","nok")</f>
        <v>nok</v>
      </c>
      <c r="G461" s="60" t="str">
        <f>IF(AND($B461=[1]rogério!$A462,[1]rogério!$B462=G$4),"ok","nok")</f>
        <v>nok</v>
      </c>
      <c r="H461" s="60" t="str">
        <f>IF(AND($B461=[1]rogério!$A462,[1]rogério!$B462=H$4),"ok","nok")</f>
        <v>nok</v>
      </c>
      <c r="I461" s="60" t="str">
        <f>IF(AND($B461=[1]rogério!$A462,[1]rogério!$B462=I$4),"ok","nok")</f>
        <v>nok</v>
      </c>
      <c r="J461" s="60" t="str">
        <f>IF(AND($B461=[1]rogério!$A462,[1]rogério!$B462=J$4),"ok","nok")</f>
        <v>nok</v>
      </c>
      <c r="K461" s="60" t="str">
        <f>IF(AND($B461=[1]rogério!$A462,[1]rogério!$B462=K$4),"ok","nok")</f>
        <v>nok</v>
      </c>
      <c r="L461" s="60" t="str">
        <f>IF(AND($B461=[1]rogério!$A462,[1]rogério!$B462=L$4),"ok","nok")</f>
        <v>nok</v>
      </c>
      <c r="M461" s="60" t="str">
        <f>IF(AND($B461=[1]rogério!$A462,[1]rogério!$B462=M$4),"ok","nok")</f>
        <v>nok</v>
      </c>
      <c r="N461" s="60" t="str">
        <f>IF(AND($B461=[1]rogério!$A462,[1]rogério!$B462=N$4),"ok","nok")</f>
        <v>nok</v>
      </c>
      <c r="O461" s="60" t="str">
        <f>IF(AND($B461=[1]rogério!$A462,[1]rogério!$B462=O$4),"ok","nok")</f>
        <v>nok</v>
      </c>
      <c r="P461" s="60" t="str">
        <f>IF(AND($B461=[1]rogério!$A462,[1]rogério!$B462=P$4),"ok","nok")</f>
        <v>nok</v>
      </c>
      <c r="Q461" s="60" t="str">
        <f>IF(AND($B461=[1]rogério!$A462,[1]rogério!$B462=Q$4),"ok","nok")</f>
        <v>nok</v>
      </c>
      <c r="R461" s="60" t="str">
        <f>IF(AND($B461=[1]rogério!$A462,[1]rogério!$B462=R$4),"ok","nok")</f>
        <v>nok</v>
      </c>
      <c r="S461" s="60" t="str">
        <f>IF(AND($B461=[1]rogério!$A462,[1]rogério!$B462=S$4),"ok","nok")</f>
        <v>nok</v>
      </c>
      <c r="T461" s="60" t="str">
        <f>IF(AND($B461=[1]rogério!$A462,[1]rogério!$B462=T$4),"ok","nok")</f>
        <v>nok</v>
      </c>
      <c r="U461" s="60" t="str">
        <f>IF(AND($B461=[1]rogério!$A462,[1]rogério!$B462=U$4),"ok","nok")</f>
        <v>nok</v>
      </c>
      <c r="V461" s="60" t="str">
        <f>IF(AND($B461=[1]rogério!$A462,[1]rogério!$B462=V$4),"ok","nok")</f>
        <v>nok</v>
      </c>
      <c r="W461" s="60" t="str">
        <f>IF(AND($B461=[1]rogério!$A462,[1]rogério!$B462=W$4),"ok","nok")</f>
        <v>ok</v>
      </c>
      <c r="X461" s="60" t="str">
        <f>IF(AND($B461=[1]rogério!$A462,[1]rogério!$B462=X$4),"ok","nok")</f>
        <v>nok</v>
      </c>
      <c r="Y461" s="105" t="s">
        <v>15</v>
      </c>
      <c r="Z461" s="106"/>
      <c r="AA461" s="106"/>
      <c r="AB461" s="107"/>
      <c r="AC461" s="40"/>
      <c r="AD461" s="40"/>
      <c r="AE461" s="48" t="str">
        <f t="shared" si="118"/>
        <v/>
      </c>
      <c r="AF461" s="48"/>
      <c r="AG461" s="48"/>
      <c r="AH461" s="89"/>
      <c r="AI461" s="49">
        <f t="shared" si="119"/>
        <v>0</v>
      </c>
      <c r="AJ461" s="49" t="str">
        <f t="shared" si="120"/>
        <v/>
      </c>
      <c r="AK461" s="49">
        <f t="shared" si="121"/>
        <v>0</v>
      </c>
      <c r="AL461" s="49" t="str">
        <f t="shared" si="122"/>
        <v/>
      </c>
      <c r="AM461" s="49">
        <f t="shared" si="123"/>
        <v>0</v>
      </c>
      <c r="AN461" s="49" t="str">
        <f t="shared" si="124"/>
        <v/>
      </c>
      <c r="AO461" s="49">
        <f t="shared" si="125"/>
        <v>0</v>
      </c>
      <c r="AP461" s="49" t="str">
        <f t="shared" si="126"/>
        <v/>
      </c>
      <c r="AQ461" s="49">
        <f t="shared" si="127"/>
        <v>1</v>
      </c>
      <c r="AR461" s="49" t="str">
        <f t="shared" si="128"/>
        <v/>
      </c>
    </row>
    <row r="462" spans="1:44" ht="30" customHeight="1" x14ac:dyDescent="0.35">
      <c r="A462" s="25"/>
      <c r="B462" s="39" t="s">
        <v>67</v>
      </c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108"/>
      <c r="Z462" s="109"/>
      <c r="AA462" s="109"/>
      <c r="AB462" s="110"/>
      <c r="AC462" s="40"/>
      <c r="AD462" s="40"/>
      <c r="AE462" s="48" t="str">
        <f t="shared" si="118"/>
        <v/>
      </c>
      <c r="AF462" s="48"/>
      <c r="AG462" s="48"/>
      <c r="AH462" s="89"/>
      <c r="AI462" s="49">
        <f t="shared" si="119"/>
        <v>0</v>
      </c>
      <c r="AJ462" s="49" t="str">
        <f t="shared" si="120"/>
        <v/>
      </c>
      <c r="AK462" s="49">
        <f t="shared" si="121"/>
        <v>0</v>
      </c>
      <c r="AL462" s="49" t="str">
        <f t="shared" si="122"/>
        <v/>
      </c>
      <c r="AM462" s="49">
        <f t="shared" si="123"/>
        <v>0</v>
      </c>
      <c r="AN462" s="49" t="str">
        <f t="shared" si="124"/>
        <v/>
      </c>
      <c r="AO462" s="49">
        <f t="shared" si="125"/>
        <v>0</v>
      </c>
      <c r="AP462" s="49" t="str">
        <f t="shared" si="126"/>
        <v/>
      </c>
      <c r="AQ462" s="49">
        <f t="shared" si="127"/>
        <v>0</v>
      </c>
      <c r="AR462" s="49" t="str">
        <f t="shared" si="128"/>
        <v/>
      </c>
    </row>
    <row r="463" spans="1:44" ht="30" customHeight="1" x14ac:dyDescent="0.35">
      <c r="A463" s="25" t="str">
        <f t="shared" si="117"/>
        <v>PT177 - PLATAFORMA DE ACESSO - FORQUILHA 2 - DETALHADO
TORRE B4PROJETO DETALHADO
CIVIL</v>
      </c>
      <c r="B463" s="40" t="s">
        <v>49</v>
      </c>
      <c r="C463" s="60" t="str">
        <f>IF(AND($B463=[1]rogério!$A464,[1]rogério!$B464=C$4),"ok","nok")</f>
        <v>nok</v>
      </c>
      <c r="D463" s="60" t="str">
        <f>IF(AND($B463=[1]rogério!$A464,[1]rogério!$B464=D$4),"ok","nok")</f>
        <v>nok</v>
      </c>
      <c r="E463" s="60" t="str">
        <f>IF(AND($B463=[1]rogério!$A464,[1]rogério!$B464=E$4),"ok","nok")</f>
        <v>nok</v>
      </c>
      <c r="F463" s="60" t="str">
        <f>IF(AND($B463=[1]rogério!$A464,[1]rogério!$B464=F$4),"ok","nok")</f>
        <v>nok</v>
      </c>
      <c r="G463" s="60" t="str">
        <f>IF(AND($B463=[1]rogério!$A464,[1]rogério!$B464=G$4),"ok","nok")</f>
        <v>nok</v>
      </c>
      <c r="H463" s="60" t="str">
        <f>IF(AND($B463=[1]rogério!$A464,[1]rogério!$B464=H$4),"ok","nok")</f>
        <v>nok</v>
      </c>
      <c r="I463" s="60" t="str">
        <f>IF(AND($B463=[1]rogério!$A464,[1]rogério!$B464=I$4),"ok","nok")</f>
        <v>nok</v>
      </c>
      <c r="J463" s="60" t="str">
        <f>IF(AND($B463=[1]rogério!$A464,[1]rogério!$B464=J$4),"ok","nok")</f>
        <v>nok</v>
      </c>
      <c r="K463" s="60" t="str">
        <f>IF(AND($B463=[1]rogério!$A464,[1]rogério!$B464=K$4),"ok","nok")</f>
        <v>nok</v>
      </c>
      <c r="L463" s="60" t="str">
        <f>IF(AND($B463=[1]rogério!$A464,[1]rogério!$B464=L$4),"ok","nok")</f>
        <v>nok</v>
      </c>
      <c r="M463" s="60" t="str">
        <f>IF(AND($B463=[1]rogério!$A464,[1]rogério!$B464=M$4),"ok","nok")</f>
        <v>nok</v>
      </c>
      <c r="N463" s="60" t="str">
        <f>IF(AND($B463=[1]rogério!$A464,[1]rogério!$B464=N$4),"ok","nok")</f>
        <v>nok</v>
      </c>
      <c r="O463" s="60" t="str">
        <f>IF(AND($B463=[1]rogério!$A464,[1]rogério!$B464=O$4),"ok","nok")</f>
        <v>nok</v>
      </c>
      <c r="P463" s="60" t="str">
        <f>IF(AND($B463=[1]rogério!$A464,[1]rogério!$B464=P$4),"ok","nok")</f>
        <v>nok</v>
      </c>
      <c r="Q463" s="60" t="str">
        <f>IF(AND($B463=[1]rogério!$A464,[1]rogério!$B464=Q$4),"ok","nok")</f>
        <v>nok</v>
      </c>
      <c r="R463" s="60" t="str">
        <f>IF(AND($B463=[1]rogério!$A464,[1]rogério!$B464=R$4),"ok","nok")</f>
        <v>nok</v>
      </c>
      <c r="S463" s="60" t="str">
        <f>IF(AND($B463=[1]rogério!$A464,[1]rogério!$B464=S$4),"ok","nok")</f>
        <v>nok</v>
      </c>
      <c r="T463" s="60" t="str">
        <f>IF(AND($B463=[1]rogério!$A464,[1]rogério!$B464=T$4),"ok","nok")</f>
        <v>nok</v>
      </c>
      <c r="U463" s="60" t="str">
        <f>IF(AND($B463=[1]rogério!$A464,[1]rogério!$B464=U$4),"ok","nok")</f>
        <v>nok</v>
      </c>
      <c r="V463" s="60" t="str">
        <f>IF(AND($B463=[1]rogério!$A464,[1]rogério!$B464=V$4),"ok","nok")</f>
        <v>nok</v>
      </c>
      <c r="W463" s="60" t="str">
        <f>IF(AND($B463=[1]rogério!$A464,[1]rogério!$B464=W$4),"ok","nok")</f>
        <v>ok</v>
      </c>
      <c r="X463" s="60" t="str">
        <f>IF(AND($B463=[1]rogério!$A464,[1]rogério!$B464=X$4),"ok","nok")</f>
        <v>nok</v>
      </c>
      <c r="Y463" s="105" t="s">
        <v>15</v>
      </c>
      <c r="Z463" s="106"/>
      <c r="AA463" s="106"/>
      <c r="AB463" s="107"/>
      <c r="AC463" s="40"/>
      <c r="AD463" s="40"/>
      <c r="AE463" s="48" t="str">
        <f t="shared" si="118"/>
        <v/>
      </c>
      <c r="AF463" s="48"/>
      <c r="AG463" s="48"/>
      <c r="AH463" s="89"/>
      <c r="AI463" s="49">
        <f t="shared" si="119"/>
        <v>0</v>
      </c>
      <c r="AJ463" s="49" t="str">
        <f t="shared" si="120"/>
        <v/>
      </c>
      <c r="AK463" s="49">
        <f t="shared" si="121"/>
        <v>0</v>
      </c>
      <c r="AL463" s="49" t="str">
        <f t="shared" si="122"/>
        <v/>
      </c>
      <c r="AM463" s="49">
        <f t="shared" si="123"/>
        <v>0</v>
      </c>
      <c r="AN463" s="49" t="str">
        <f t="shared" si="124"/>
        <v/>
      </c>
      <c r="AO463" s="49">
        <f t="shared" si="125"/>
        <v>0</v>
      </c>
      <c r="AP463" s="49" t="str">
        <f t="shared" si="126"/>
        <v/>
      </c>
      <c r="AQ463" s="49">
        <f t="shared" si="127"/>
        <v>1</v>
      </c>
      <c r="AR463" s="49" t="str">
        <f t="shared" si="128"/>
        <v/>
      </c>
    </row>
    <row r="464" spans="1:44" ht="30" customHeight="1" x14ac:dyDescent="0.35">
      <c r="A464" s="25"/>
      <c r="B464" s="62" t="s">
        <v>86</v>
      </c>
      <c r="C464" s="62"/>
      <c r="D464" s="62"/>
      <c r="E464" s="62"/>
      <c r="F464" s="62"/>
      <c r="G464" s="62"/>
      <c r="H464" s="62"/>
      <c r="I464" s="62"/>
      <c r="J464" s="62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114"/>
      <c r="Z464" s="115"/>
      <c r="AA464" s="115"/>
      <c r="AB464" s="116"/>
      <c r="AC464" s="41"/>
      <c r="AD464" s="41"/>
      <c r="AE464" s="48" t="str">
        <f t="shared" si="118"/>
        <v/>
      </c>
      <c r="AF464" s="48"/>
      <c r="AG464" s="48"/>
      <c r="AH464" s="89"/>
      <c r="AI464" s="49">
        <f t="shared" si="119"/>
        <v>0</v>
      </c>
      <c r="AJ464" s="49" t="str">
        <f t="shared" si="120"/>
        <v/>
      </c>
      <c r="AK464" s="49">
        <f t="shared" si="121"/>
        <v>0</v>
      </c>
      <c r="AL464" s="49" t="str">
        <f t="shared" si="122"/>
        <v/>
      </c>
      <c r="AM464" s="49">
        <f t="shared" si="123"/>
        <v>0</v>
      </c>
      <c r="AN464" s="49" t="str">
        <f t="shared" si="124"/>
        <v/>
      </c>
      <c r="AO464" s="49">
        <f t="shared" si="125"/>
        <v>0</v>
      </c>
      <c r="AP464" s="49" t="str">
        <f t="shared" si="126"/>
        <v/>
      </c>
      <c r="AQ464" s="49">
        <f t="shared" si="127"/>
        <v>0</v>
      </c>
      <c r="AR464" s="49" t="str">
        <f t="shared" si="128"/>
        <v/>
      </c>
    </row>
    <row r="465" spans="1:44" ht="30" customHeight="1" x14ac:dyDescent="0.35">
      <c r="A465" s="25"/>
      <c r="B465" s="39" t="s">
        <v>95</v>
      </c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108"/>
      <c r="Z465" s="109"/>
      <c r="AA465" s="109"/>
      <c r="AB465" s="110"/>
      <c r="AC465" s="46"/>
      <c r="AD465" s="46"/>
      <c r="AE465" s="48" t="str">
        <f t="shared" si="118"/>
        <v/>
      </c>
      <c r="AF465" s="48"/>
      <c r="AG465" s="48"/>
      <c r="AH465" s="89"/>
      <c r="AI465" s="49">
        <f t="shared" si="119"/>
        <v>0</v>
      </c>
      <c r="AJ465" s="49" t="str">
        <f t="shared" si="120"/>
        <v/>
      </c>
      <c r="AK465" s="49">
        <f t="shared" si="121"/>
        <v>0</v>
      </c>
      <c r="AL465" s="49" t="str">
        <f t="shared" si="122"/>
        <v/>
      </c>
      <c r="AM465" s="49">
        <f t="shared" si="123"/>
        <v>0</v>
      </c>
      <c r="AN465" s="49" t="str">
        <f t="shared" si="124"/>
        <v/>
      </c>
      <c r="AO465" s="49">
        <f t="shared" si="125"/>
        <v>0</v>
      </c>
      <c r="AP465" s="49" t="str">
        <f t="shared" si="126"/>
        <v/>
      </c>
      <c r="AQ465" s="49">
        <f t="shared" si="127"/>
        <v>0</v>
      </c>
      <c r="AR465" s="49" t="str">
        <f t="shared" si="128"/>
        <v/>
      </c>
    </row>
    <row r="466" spans="1:44" ht="30" customHeight="1" x14ac:dyDescent="0.35">
      <c r="A466" s="25" t="str">
        <f>CONCATENATE($B$355,"
",$B$408,"",$B$409,"
",$B$464)</f>
        <v>PT177 - PLATAFORMA DE ACESSO - FORQUILHA 2 - DETALHADO
TORRE B4PROJETO DETALHADO
ELÉTRICA</v>
      </c>
      <c r="B466" s="40" t="s">
        <v>19</v>
      </c>
      <c r="C466" s="60" t="str">
        <f>IF(AND($B466=[1]rogério!$A467,[1]rogério!$B467=C$4),"ok","nok")</f>
        <v>nok</v>
      </c>
      <c r="D466" s="60" t="str">
        <f>IF(AND($B466=[1]rogério!$A467,[1]rogério!$B467=D$4),"ok","nok")</f>
        <v>nok</v>
      </c>
      <c r="E466" s="60" t="str">
        <f>IF(AND($B466=[1]rogério!$A467,[1]rogério!$B467=E$4),"ok","nok")</f>
        <v>nok</v>
      </c>
      <c r="F466" s="60" t="str">
        <f>IF(AND($B466=[1]rogério!$A467,[1]rogério!$B467=F$4),"ok","nok")</f>
        <v>nok</v>
      </c>
      <c r="G466" s="60" t="str">
        <f>IF(AND($B466=[1]rogério!$A467,[1]rogério!$B467=G$4),"ok","nok")</f>
        <v>nok</v>
      </c>
      <c r="H466" s="60" t="str">
        <f>IF(AND($B466=[1]rogério!$A467,[1]rogério!$B467=H$4),"ok","nok")</f>
        <v>nok</v>
      </c>
      <c r="I466" s="60" t="str">
        <f>IF(AND($B466=[1]rogério!$A467,[1]rogério!$B467=I$4),"ok","nok")</f>
        <v>ok</v>
      </c>
      <c r="J466" s="60" t="str">
        <f>IF(AND($B466=[1]rogério!$A467,[1]rogério!$B467=J$4),"ok","nok")</f>
        <v>nok</v>
      </c>
      <c r="K466" s="60" t="str">
        <f>IF(AND($B466=[1]rogério!$A467,[1]rogério!$B467=K$4),"ok","nok")</f>
        <v>nok</v>
      </c>
      <c r="L466" s="60" t="str">
        <f>IF(AND($B466=[1]rogério!$A467,[1]rogério!$B467=L$4),"ok","nok")</f>
        <v>nok</v>
      </c>
      <c r="M466" s="60" t="str">
        <f>IF(AND($B466=[1]rogério!$A467,[1]rogério!$B467=M$4),"ok","nok")</f>
        <v>nok</v>
      </c>
      <c r="N466" s="60" t="str">
        <f>IF(AND($B466=[1]rogério!$A467,[1]rogério!$B467=N$4),"ok","nok")</f>
        <v>nok</v>
      </c>
      <c r="O466" s="60" t="str">
        <f>IF(AND($B466=[1]rogério!$A467,[1]rogério!$B467=O$4),"ok","nok")</f>
        <v>nok</v>
      </c>
      <c r="P466" s="60" t="str">
        <f>IF(AND($B466=[1]rogério!$A467,[1]rogério!$B467=P$4),"ok","nok")</f>
        <v>nok</v>
      </c>
      <c r="Q466" s="60" t="str">
        <f>IF(AND($B466=[1]rogério!$A467,[1]rogério!$B467=Q$4),"ok","nok")</f>
        <v>nok</v>
      </c>
      <c r="R466" s="60" t="str">
        <f>IF(AND($B466=[1]rogério!$A467,[1]rogério!$B467=R$4),"ok","nok")</f>
        <v>nok</v>
      </c>
      <c r="S466" s="60" t="str">
        <f>IF(AND($B466=[1]rogério!$A467,[1]rogério!$B467=S$4),"ok","nok")</f>
        <v>nok</v>
      </c>
      <c r="T466" s="60" t="str">
        <f>IF(AND($B466=[1]rogério!$A467,[1]rogério!$B467=T$4),"ok","nok")</f>
        <v>nok</v>
      </c>
      <c r="U466" s="60" t="str">
        <f>IF(AND($B466=[1]rogério!$A467,[1]rogério!$B467=U$4),"ok","nok")</f>
        <v>nok</v>
      </c>
      <c r="V466" s="60" t="str">
        <f>IF(AND($B466=[1]rogério!$A467,[1]rogério!$B467=V$4),"ok","nok")</f>
        <v>nok</v>
      </c>
      <c r="W466" s="60" t="str">
        <f>IF(AND($B466=[1]rogério!$A467,[1]rogério!$B467=W$4),"ok","nok")</f>
        <v>nok</v>
      </c>
      <c r="X466" s="60" t="str">
        <f>IF(AND($B466=[1]rogério!$A467,[1]rogério!$B467=X$4),"ok","nok")</f>
        <v>nok</v>
      </c>
      <c r="Y466" s="105" t="s">
        <v>15</v>
      </c>
      <c r="Z466" s="106"/>
      <c r="AA466" s="106"/>
      <c r="AB466" s="107"/>
      <c r="AC466" s="40"/>
      <c r="AD466" s="40"/>
      <c r="AE466" s="48" t="str">
        <f t="shared" si="118"/>
        <v/>
      </c>
      <c r="AF466" s="48"/>
      <c r="AG466" s="48"/>
      <c r="AH466" s="89"/>
      <c r="AI466" s="49">
        <f t="shared" si="119"/>
        <v>0</v>
      </c>
      <c r="AJ466" s="49" t="str">
        <f t="shared" si="120"/>
        <v/>
      </c>
      <c r="AK466" s="49">
        <f t="shared" si="121"/>
        <v>1</v>
      </c>
      <c r="AL466" s="49" t="str">
        <f t="shared" si="122"/>
        <v/>
      </c>
      <c r="AM466" s="49">
        <f t="shared" si="123"/>
        <v>0</v>
      </c>
      <c r="AN466" s="49" t="str">
        <f t="shared" si="124"/>
        <v/>
      </c>
      <c r="AO466" s="49">
        <f t="shared" si="125"/>
        <v>0</v>
      </c>
      <c r="AP466" s="49" t="str">
        <f t="shared" si="126"/>
        <v/>
      </c>
      <c r="AQ466" s="49">
        <f t="shared" si="127"/>
        <v>0</v>
      </c>
      <c r="AR466" s="49" t="str">
        <f t="shared" si="128"/>
        <v/>
      </c>
    </row>
    <row r="467" spans="1:44" ht="30" customHeight="1" x14ac:dyDescent="0.35">
      <c r="A467" s="25" t="str">
        <f t="shared" ref="A467:A468" si="129">CONCATENATE($B$355,"
",$B$408,"",$B$409,"
",$B$464)</f>
        <v>PT177 - PLATAFORMA DE ACESSO - FORQUILHA 2 - DETALHADO
TORRE B4PROJETO DETALHADO
ELÉTRICA</v>
      </c>
      <c r="B467" s="40" t="s">
        <v>42</v>
      </c>
      <c r="C467" s="60" t="str">
        <f>IF(AND($B467=[1]rogério!$A468,[1]rogério!$B468=C$4),"ok","nok")</f>
        <v>nok</v>
      </c>
      <c r="D467" s="60" t="str">
        <f>IF(AND($B467=[1]rogério!$A468,[1]rogério!$B468=D$4),"ok","nok")</f>
        <v>nok</v>
      </c>
      <c r="E467" s="60" t="str">
        <f>IF(AND($B467=[1]rogério!$A468,[1]rogério!$B468=E$4),"ok","nok")</f>
        <v>nok</v>
      </c>
      <c r="F467" s="60" t="str">
        <f>IF(AND($B467=[1]rogério!$A468,[1]rogério!$B468=F$4),"ok","nok")</f>
        <v>nok</v>
      </c>
      <c r="G467" s="60" t="str">
        <f>IF(AND($B467=[1]rogério!$A468,[1]rogério!$B468=G$4),"ok","nok")</f>
        <v>nok</v>
      </c>
      <c r="H467" s="60" t="str">
        <f>IF(AND($B467=[1]rogério!$A468,[1]rogério!$B468=H$4),"ok","nok")</f>
        <v>nok</v>
      </c>
      <c r="I467" s="60" t="str">
        <f>IF(AND($B467=[1]rogério!$A468,[1]rogério!$B468=I$4),"ok","nok")</f>
        <v>nok</v>
      </c>
      <c r="J467" s="60" t="str">
        <f>IF(AND($B467=[1]rogério!$A468,[1]rogério!$B468=J$4),"ok","nok")</f>
        <v>nok</v>
      </c>
      <c r="K467" s="60" t="str">
        <f>IF(AND($B467=[1]rogério!$A468,[1]rogério!$B468=K$4),"ok","nok")</f>
        <v>nok</v>
      </c>
      <c r="L467" s="60" t="str">
        <f>IF(AND($B467=[1]rogério!$A468,[1]rogério!$B468=L$4),"ok","nok")</f>
        <v>ok</v>
      </c>
      <c r="M467" s="60" t="str">
        <f>IF(AND($B467=[1]rogério!$A468,[1]rogério!$B468=M$4),"ok","nok")</f>
        <v>nok</v>
      </c>
      <c r="N467" s="60" t="str">
        <f>IF(AND($B467=[1]rogério!$A468,[1]rogério!$B468=N$4),"ok","nok")</f>
        <v>nok</v>
      </c>
      <c r="O467" s="60" t="str">
        <f>IF(AND($B467=[1]rogério!$A468,[1]rogério!$B468=O$4),"ok","nok")</f>
        <v>nok</v>
      </c>
      <c r="P467" s="60" t="str">
        <f>IF(AND($B467=[1]rogério!$A468,[1]rogério!$B468=P$4),"ok","nok")</f>
        <v>nok</v>
      </c>
      <c r="Q467" s="60" t="str">
        <f>IF(AND($B467=[1]rogério!$A468,[1]rogério!$B468=Q$4),"ok","nok")</f>
        <v>nok</v>
      </c>
      <c r="R467" s="60" t="str">
        <f>IF(AND($B467=[1]rogério!$A468,[1]rogério!$B468=R$4),"ok","nok")</f>
        <v>nok</v>
      </c>
      <c r="S467" s="60" t="str">
        <f>IF(AND($B467=[1]rogério!$A468,[1]rogério!$B468=S$4),"ok","nok")</f>
        <v>nok</v>
      </c>
      <c r="T467" s="60" t="str">
        <f>IF(AND($B467=[1]rogério!$A468,[1]rogério!$B468=T$4),"ok","nok")</f>
        <v>nok</v>
      </c>
      <c r="U467" s="60" t="str">
        <f>IF(AND($B467=[1]rogério!$A468,[1]rogério!$B468=U$4),"ok","nok")</f>
        <v>nok</v>
      </c>
      <c r="V467" s="60" t="str">
        <f>IF(AND($B467=[1]rogério!$A468,[1]rogério!$B468=V$4),"ok","nok")</f>
        <v>nok</v>
      </c>
      <c r="W467" s="60" t="str">
        <f>IF(AND($B467=[1]rogério!$A468,[1]rogério!$B468=W$4),"ok","nok")</f>
        <v>nok</v>
      </c>
      <c r="X467" s="60" t="str">
        <f>IF(AND($B467=[1]rogério!$A468,[1]rogério!$B468=X$4),"ok","nok")</f>
        <v>nok</v>
      </c>
      <c r="Y467" s="105" t="s">
        <v>15</v>
      </c>
      <c r="Z467" s="106"/>
      <c r="AA467" s="106"/>
      <c r="AB467" s="107"/>
      <c r="AC467" s="40"/>
      <c r="AD467" s="40"/>
      <c r="AE467" s="48" t="str">
        <f t="shared" si="118"/>
        <v/>
      </c>
      <c r="AF467" s="48"/>
      <c r="AG467" s="48"/>
      <c r="AH467" s="89"/>
      <c r="AI467" s="49">
        <f t="shared" si="119"/>
        <v>0</v>
      </c>
      <c r="AJ467" s="49" t="str">
        <f t="shared" si="120"/>
        <v/>
      </c>
      <c r="AK467" s="49">
        <f t="shared" si="121"/>
        <v>1</v>
      </c>
      <c r="AL467" s="49" t="str">
        <f t="shared" si="122"/>
        <v/>
      </c>
      <c r="AM467" s="49">
        <f t="shared" si="123"/>
        <v>0</v>
      </c>
      <c r="AN467" s="49" t="str">
        <f t="shared" si="124"/>
        <v/>
      </c>
      <c r="AO467" s="49">
        <f t="shared" si="125"/>
        <v>0</v>
      </c>
      <c r="AP467" s="49" t="str">
        <f t="shared" si="126"/>
        <v/>
      </c>
      <c r="AQ467" s="49">
        <f t="shared" si="127"/>
        <v>0</v>
      </c>
      <c r="AR467" s="49" t="str">
        <f t="shared" si="128"/>
        <v/>
      </c>
    </row>
    <row r="468" spans="1:44" ht="30" customHeight="1" x14ac:dyDescent="0.35">
      <c r="A468" s="25" t="str">
        <f t="shared" si="129"/>
        <v>PT177 - PLATAFORMA DE ACESSO - FORQUILHA 2 - DETALHADO
TORRE B4PROJETO DETALHADO
ELÉTRICA</v>
      </c>
      <c r="B468" s="40" t="s">
        <v>43</v>
      </c>
      <c r="C468" s="60" t="str">
        <f>IF(AND($B468=[1]rogério!$A469,[1]rogério!$B469=C$4),"ok","nok")</f>
        <v>nok</v>
      </c>
      <c r="D468" s="60" t="str">
        <f>IF(AND($B468=[1]rogério!$A469,[1]rogério!$B469=D$4),"ok","nok")</f>
        <v>nok</v>
      </c>
      <c r="E468" s="60" t="str">
        <f>IF(AND($B468=[1]rogério!$A469,[1]rogério!$B469=E$4),"ok","nok")</f>
        <v>nok</v>
      </c>
      <c r="F468" s="60" t="str">
        <f>IF(AND($B468=[1]rogério!$A469,[1]rogério!$B469=F$4),"ok","nok")</f>
        <v>nok</v>
      </c>
      <c r="G468" s="60" t="str">
        <f>IF(AND($B468=[1]rogério!$A469,[1]rogério!$B469=G$4),"ok","nok")</f>
        <v>nok</v>
      </c>
      <c r="H468" s="60" t="str">
        <f>IF(AND($B468=[1]rogério!$A469,[1]rogério!$B469=H$4),"ok","nok")</f>
        <v>nok</v>
      </c>
      <c r="I468" s="60" t="str">
        <f>IF(AND($B468=[1]rogério!$A469,[1]rogério!$B469=I$4),"ok","nok")</f>
        <v>nok</v>
      </c>
      <c r="J468" s="60" t="str">
        <f>IF(AND($B468=[1]rogério!$A469,[1]rogério!$B469=J$4),"ok","nok")</f>
        <v>nok</v>
      </c>
      <c r="K468" s="60" t="str">
        <f>IF(AND($B468=[1]rogério!$A469,[1]rogério!$B469=K$4),"ok","nok")</f>
        <v>nok</v>
      </c>
      <c r="L468" s="60" t="str">
        <f>IF(AND($B468=[1]rogério!$A469,[1]rogério!$B469=L$4),"ok","nok")</f>
        <v>ok</v>
      </c>
      <c r="M468" s="60" t="str">
        <f>IF(AND($B468=[1]rogério!$A469,[1]rogério!$B469=M$4),"ok","nok")</f>
        <v>nok</v>
      </c>
      <c r="N468" s="60" t="str">
        <f>IF(AND($B468=[1]rogério!$A469,[1]rogério!$B469=N$4),"ok","nok")</f>
        <v>nok</v>
      </c>
      <c r="O468" s="60" t="str">
        <f>IF(AND($B468=[1]rogério!$A469,[1]rogério!$B469=O$4),"ok","nok")</f>
        <v>nok</v>
      </c>
      <c r="P468" s="60" t="str">
        <f>IF(AND($B468=[1]rogério!$A469,[1]rogério!$B469=P$4),"ok","nok")</f>
        <v>nok</v>
      </c>
      <c r="Q468" s="60" t="str">
        <f>IF(AND($B468=[1]rogério!$A469,[1]rogério!$B469=Q$4),"ok","nok")</f>
        <v>nok</v>
      </c>
      <c r="R468" s="60" t="str">
        <f>IF(AND($B468=[1]rogério!$A469,[1]rogério!$B469=R$4),"ok","nok")</f>
        <v>nok</v>
      </c>
      <c r="S468" s="60" t="str">
        <f>IF(AND($B468=[1]rogério!$A469,[1]rogério!$B469=S$4),"ok","nok")</f>
        <v>nok</v>
      </c>
      <c r="T468" s="60" t="str">
        <f>IF(AND($B468=[1]rogério!$A469,[1]rogério!$B469=T$4),"ok","nok")</f>
        <v>nok</v>
      </c>
      <c r="U468" s="60" t="str">
        <f>IF(AND($B468=[1]rogério!$A469,[1]rogério!$B469=U$4),"ok","nok")</f>
        <v>nok</v>
      </c>
      <c r="V468" s="60" t="str">
        <f>IF(AND($B468=[1]rogério!$A469,[1]rogério!$B469=V$4),"ok","nok")</f>
        <v>nok</v>
      </c>
      <c r="W468" s="60" t="str">
        <f>IF(AND($B468=[1]rogério!$A469,[1]rogério!$B469=W$4),"ok","nok")</f>
        <v>nok</v>
      </c>
      <c r="X468" s="60" t="str">
        <f>IF(AND($B468=[1]rogério!$A469,[1]rogério!$B469=X$4),"ok","nok")</f>
        <v>nok</v>
      </c>
      <c r="Y468" s="105" t="s">
        <v>15</v>
      </c>
      <c r="Z468" s="106"/>
      <c r="AA468" s="106"/>
      <c r="AB468" s="107"/>
      <c r="AC468" s="36"/>
      <c r="AD468" s="36"/>
      <c r="AE468" s="48" t="str">
        <f t="shared" si="118"/>
        <v/>
      </c>
      <c r="AF468" s="48"/>
      <c r="AG468" s="48"/>
      <c r="AH468" s="89"/>
      <c r="AI468" s="49">
        <f t="shared" si="119"/>
        <v>0</v>
      </c>
      <c r="AJ468" s="49" t="str">
        <f t="shared" si="120"/>
        <v/>
      </c>
      <c r="AK468" s="49">
        <f t="shared" si="121"/>
        <v>1</v>
      </c>
      <c r="AL468" s="49" t="str">
        <f t="shared" si="122"/>
        <v/>
      </c>
      <c r="AM468" s="49">
        <f t="shared" si="123"/>
        <v>0</v>
      </c>
      <c r="AN468" s="49" t="str">
        <f t="shared" si="124"/>
        <v/>
      </c>
      <c r="AO468" s="49">
        <f t="shared" si="125"/>
        <v>0</v>
      </c>
      <c r="AP468" s="49" t="str">
        <f t="shared" si="126"/>
        <v/>
      </c>
      <c r="AQ468" s="49">
        <f t="shared" si="127"/>
        <v>0</v>
      </c>
      <c r="AR468" s="49" t="str">
        <f t="shared" si="128"/>
        <v/>
      </c>
    </row>
    <row r="469" spans="1:44" ht="30" customHeight="1" x14ac:dyDescent="0.35">
      <c r="A469" s="25"/>
      <c r="B469" s="36" t="s">
        <v>87</v>
      </c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123"/>
      <c r="Z469" s="124"/>
      <c r="AA469" s="124"/>
      <c r="AB469" s="125"/>
      <c r="AC469" s="37"/>
      <c r="AD469" s="37"/>
      <c r="AE469" s="48" t="str">
        <f t="shared" si="118"/>
        <v/>
      </c>
      <c r="AF469" s="48"/>
      <c r="AG469" s="48"/>
      <c r="AH469" s="89"/>
      <c r="AI469" s="49">
        <f t="shared" si="119"/>
        <v>0</v>
      </c>
      <c r="AJ469" s="49" t="str">
        <f t="shared" si="120"/>
        <v/>
      </c>
      <c r="AK469" s="49">
        <f t="shared" si="121"/>
        <v>0</v>
      </c>
      <c r="AL469" s="49" t="str">
        <f t="shared" si="122"/>
        <v/>
      </c>
      <c r="AM469" s="49">
        <f t="shared" si="123"/>
        <v>0</v>
      </c>
      <c r="AN469" s="49" t="str">
        <f t="shared" si="124"/>
        <v/>
      </c>
      <c r="AO469" s="49">
        <f t="shared" si="125"/>
        <v>0</v>
      </c>
      <c r="AP469" s="49" t="str">
        <f t="shared" si="126"/>
        <v/>
      </c>
      <c r="AQ469" s="49">
        <f t="shared" si="127"/>
        <v>0</v>
      </c>
      <c r="AR469" s="49" t="str">
        <f t="shared" si="128"/>
        <v/>
      </c>
    </row>
    <row r="470" spans="1:44" ht="30" customHeight="1" x14ac:dyDescent="0.35">
      <c r="A470" s="25"/>
      <c r="B470" s="37" t="s">
        <v>52</v>
      </c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120"/>
      <c r="Z470" s="121"/>
      <c r="AA470" s="121"/>
      <c r="AB470" s="122"/>
      <c r="AC470" s="41"/>
      <c r="AD470" s="41"/>
      <c r="AE470" s="48" t="str">
        <f t="shared" si="118"/>
        <v/>
      </c>
      <c r="AF470" s="48"/>
      <c r="AG470" s="48"/>
      <c r="AH470" s="89"/>
      <c r="AI470" s="49">
        <f t="shared" si="119"/>
        <v>0</v>
      </c>
      <c r="AJ470" s="49" t="str">
        <f t="shared" si="120"/>
        <v/>
      </c>
      <c r="AK470" s="49">
        <f t="shared" si="121"/>
        <v>0</v>
      </c>
      <c r="AL470" s="49" t="str">
        <f t="shared" si="122"/>
        <v/>
      </c>
      <c r="AM470" s="49">
        <f t="shared" si="123"/>
        <v>0</v>
      </c>
      <c r="AN470" s="49" t="str">
        <f t="shared" si="124"/>
        <v/>
      </c>
      <c r="AO470" s="49">
        <f t="shared" si="125"/>
        <v>0</v>
      </c>
      <c r="AP470" s="49" t="str">
        <f t="shared" si="126"/>
        <v/>
      </c>
      <c r="AQ470" s="49">
        <f t="shared" si="127"/>
        <v>0</v>
      </c>
      <c r="AR470" s="49" t="str">
        <f t="shared" si="128"/>
        <v/>
      </c>
    </row>
    <row r="471" spans="1:44" ht="30" customHeight="1" x14ac:dyDescent="0.35">
      <c r="A471" s="25"/>
      <c r="B471" s="42" t="s">
        <v>88</v>
      </c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111"/>
      <c r="Z471" s="112"/>
      <c r="AA471" s="112"/>
      <c r="AB471" s="113"/>
      <c r="AC471" s="38"/>
      <c r="AD471" s="38"/>
      <c r="AE471" s="48" t="str">
        <f t="shared" si="118"/>
        <v/>
      </c>
      <c r="AF471" s="48"/>
      <c r="AG471" s="48"/>
      <c r="AH471" s="89"/>
      <c r="AI471" s="49">
        <f t="shared" si="119"/>
        <v>0</v>
      </c>
      <c r="AJ471" s="49" t="str">
        <f t="shared" si="120"/>
        <v/>
      </c>
      <c r="AK471" s="49">
        <f t="shared" si="121"/>
        <v>0</v>
      </c>
      <c r="AL471" s="49" t="str">
        <f t="shared" si="122"/>
        <v/>
      </c>
      <c r="AM471" s="49">
        <f t="shared" si="123"/>
        <v>0</v>
      </c>
      <c r="AN471" s="49" t="str">
        <f t="shared" si="124"/>
        <v/>
      </c>
      <c r="AO471" s="49">
        <f t="shared" si="125"/>
        <v>0</v>
      </c>
      <c r="AP471" s="49" t="str">
        <f t="shared" si="126"/>
        <v/>
      </c>
      <c r="AQ471" s="49">
        <f t="shared" si="127"/>
        <v>0</v>
      </c>
      <c r="AR471" s="49" t="str">
        <f t="shared" si="128"/>
        <v/>
      </c>
    </row>
    <row r="472" spans="1:44" ht="30" customHeight="1" x14ac:dyDescent="0.35">
      <c r="A472" s="25"/>
      <c r="B472" s="61" t="s">
        <v>57</v>
      </c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117"/>
      <c r="Z472" s="118"/>
      <c r="AA472" s="118"/>
      <c r="AB472" s="119"/>
      <c r="AC472" s="46"/>
      <c r="AD472" s="46"/>
      <c r="AE472" s="48" t="str">
        <f t="shared" si="118"/>
        <v/>
      </c>
      <c r="AF472" s="48"/>
      <c r="AG472" s="48"/>
      <c r="AH472" s="89"/>
      <c r="AI472" s="49">
        <f t="shared" si="119"/>
        <v>0</v>
      </c>
      <c r="AJ472" s="49" t="str">
        <f t="shared" si="120"/>
        <v/>
      </c>
      <c r="AK472" s="49">
        <f t="shared" si="121"/>
        <v>0</v>
      </c>
      <c r="AL472" s="49" t="str">
        <f t="shared" si="122"/>
        <v/>
      </c>
      <c r="AM472" s="49">
        <f t="shared" si="123"/>
        <v>0</v>
      </c>
      <c r="AN472" s="49" t="str">
        <f t="shared" si="124"/>
        <v/>
      </c>
      <c r="AO472" s="49">
        <f t="shared" si="125"/>
        <v>0</v>
      </c>
      <c r="AP472" s="49" t="str">
        <f t="shared" si="126"/>
        <v/>
      </c>
      <c r="AQ472" s="49">
        <f t="shared" si="127"/>
        <v>0</v>
      </c>
      <c r="AR472" s="49" t="str">
        <f t="shared" si="128"/>
        <v/>
      </c>
    </row>
    <row r="473" spans="1:44" ht="30" customHeight="1" x14ac:dyDescent="0.35">
      <c r="A473" s="25"/>
      <c r="B473" s="62" t="s">
        <v>58</v>
      </c>
      <c r="C473" s="62"/>
      <c r="D473" s="62"/>
      <c r="E473" s="62"/>
      <c r="F473" s="62"/>
      <c r="G473" s="62"/>
      <c r="H473" s="62"/>
      <c r="I473" s="62"/>
      <c r="J473" s="62"/>
      <c r="K473" s="62"/>
      <c r="L473" s="62"/>
      <c r="M473" s="62"/>
      <c r="N473" s="62"/>
      <c r="O473" s="62"/>
      <c r="P473" s="62"/>
      <c r="Q473" s="62"/>
      <c r="R473" s="62"/>
      <c r="S473" s="62"/>
      <c r="T473" s="62"/>
      <c r="U473" s="62"/>
      <c r="V473" s="62"/>
      <c r="W473" s="62"/>
      <c r="X473" s="62"/>
      <c r="Y473" s="114"/>
      <c r="Z473" s="115"/>
      <c r="AA473" s="115"/>
      <c r="AB473" s="116"/>
      <c r="AC473" s="40"/>
      <c r="AD473" s="40"/>
      <c r="AE473" s="48" t="str">
        <f t="shared" si="118"/>
        <v/>
      </c>
      <c r="AF473" s="48"/>
      <c r="AG473" s="48"/>
      <c r="AH473" s="89"/>
      <c r="AI473" s="49">
        <f t="shared" si="119"/>
        <v>0</v>
      </c>
      <c r="AJ473" s="49" t="str">
        <f t="shared" si="120"/>
        <v/>
      </c>
      <c r="AK473" s="49">
        <f t="shared" si="121"/>
        <v>0</v>
      </c>
      <c r="AL473" s="49" t="str">
        <f t="shared" si="122"/>
        <v/>
      </c>
      <c r="AM473" s="49">
        <f t="shared" si="123"/>
        <v>0</v>
      </c>
      <c r="AN473" s="49" t="str">
        <f t="shared" si="124"/>
        <v/>
      </c>
      <c r="AO473" s="49">
        <f t="shared" si="125"/>
        <v>0</v>
      </c>
      <c r="AP473" s="49" t="str">
        <f t="shared" si="126"/>
        <v/>
      </c>
      <c r="AQ473" s="49">
        <f t="shared" si="127"/>
        <v>0</v>
      </c>
      <c r="AR473" s="49" t="str">
        <f t="shared" si="128"/>
        <v/>
      </c>
    </row>
    <row r="474" spans="1:44" ht="30" customHeight="1" x14ac:dyDescent="0.35">
      <c r="A474" s="25"/>
      <c r="B474" s="39" t="s">
        <v>59</v>
      </c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108"/>
      <c r="Z474" s="109"/>
      <c r="AA474" s="109"/>
      <c r="AB474" s="110"/>
      <c r="AC474" s="40"/>
      <c r="AD474" s="40"/>
      <c r="AE474" s="48" t="str">
        <f t="shared" si="118"/>
        <v/>
      </c>
      <c r="AF474" s="48"/>
      <c r="AG474" s="48"/>
      <c r="AH474" s="89"/>
      <c r="AI474" s="49">
        <f t="shared" si="119"/>
        <v>0</v>
      </c>
      <c r="AJ474" s="49" t="str">
        <f t="shared" si="120"/>
        <v/>
      </c>
      <c r="AK474" s="49">
        <f t="shared" si="121"/>
        <v>0</v>
      </c>
      <c r="AL474" s="49" t="str">
        <f t="shared" si="122"/>
        <v/>
      </c>
      <c r="AM474" s="49">
        <f t="shared" si="123"/>
        <v>0</v>
      </c>
      <c r="AN474" s="49" t="str">
        <f t="shared" si="124"/>
        <v/>
      </c>
      <c r="AO474" s="49">
        <f t="shared" si="125"/>
        <v>0</v>
      </c>
      <c r="AP474" s="49" t="str">
        <f t="shared" si="126"/>
        <v/>
      </c>
      <c r="AQ474" s="49">
        <f t="shared" si="127"/>
        <v>0</v>
      </c>
      <c r="AR474" s="49" t="str">
        <f t="shared" si="128"/>
        <v/>
      </c>
    </row>
    <row r="475" spans="1:44" ht="30" customHeight="1" x14ac:dyDescent="0.35">
      <c r="A475" s="25" t="str">
        <f>CONCATENATE($B$469,"
",$B$471,"",$B$472,"
",$B$473)</f>
        <v>PT177 - PLATAFORMA DE ACESSO - GRUPO - BÁSICO
COLUNA 2PROJETO BÁSICO
ESTRUTURAS METÁLICAS</v>
      </c>
      <c r="B475" s="40" t="s">
        <v>19</v>
      </c>
      <c r="C475" s="60" t="str">
        <f>IF(AND($B475=[1]rogério!$A476,[1]rogério!$B476=C$4),"ok","nok")</f>
        <v>nok</v>
      </c>
      <c r="D475" s="60" t="str">
        <f>IF(AND($B475=[1]rogério!$A476,[1]rogério!$B476=D$4),"ok","nok")</f>
        <v>nok</v>
      </c>
      <c r="E475" s="60" t="str">
        <f>IF(AND($B475=[1]rogério!$A476,[1]rogério!$B476=E$4),"ok","nok")</f>
        <v>nok</v>
      </c>
      <c r="F475" s="60" t="str">
        <f>IF(AND($B475=[1]rogério!$A476,[1]rogério!$B476=F$4),"ok","nok")</f>
        <v>nok</v>
      </c>
      <c r="G475" s="60" t="str">
        <f>IF(AND($B475=[1]rogério!$A476,[1]rogério!$B476=G$4),"ok","nok")</f>
        <v>nok</v>
      </c>
      <c r="H475" s="60" t="str">
        <f>IF(AND($B475=[1]rogério!$A476,[1]rogério!$B476=H$4),"ok","nok")</f>
        <v>nok</v>
      </c>
      <c r="I475" s="60" t="str">
        <f>IF(AND($B475=[1]rogério!$A476,[1]rogério!$B476=I$4),"ok","nok")</f>
        <v>ok</v>
      </c>
      <c r="J475" s="60" t="str">
        <f>IF(AND($B475=[1]rogério!$A476,[1]rogério!$B476=J$4),"ok","nok")</f>
        <v>nok</v>
      </c>
      <c r="K475" s="60" t="str">
        <f>IF(AND($B475=[1]rogério!$A476,[1]rogério!$B476=K$4),"ok","nok")</f>
        <v>nok</v>
      </c>
      <c r="L475" s="60" t="str">
        <f>IF(AND($B475=[1]rogério!$A476,[1]rogério!$B476=L$4),"ok","nok")</f>
        <v>nok</v>
      </c>
      <c r="M475" s="60" t="str">
        <f>IF(AND($B475=[1]rogério!$A476,[1]rogério!$B476=M$4),"ok","nok")</f>
        <v>nok</v>
      </c>
      <c r="N475" s="60" t="str">
        <f>IF(AND($B475=[1]rogério!$A476,[1]rogério!$B476=N$4),"ok","nok")</f>
        <v>nok</v>
      </c>
      <c r="O475" s="60" t="str">
        <f>IF(AND($B475=[1]rogério!$A476,[1]rogério!$B476=O$4),"ok","nok")</f>
        <v>nok</v>
      </c>
      <c r="P475" s="60" t="str">
        <f>IF(AND($B475=[1]rogério!$A476,[1]rogério!$B476=P$4),"ok","nok")</f>
        <v>nok</v>
      </c>
      <c r="Q475" s="60" t="str">
        <f>IF(AND($B475=[1]rogério!$A476,[1]rogério!$B476=Q$4),"ok","nok")</f>
        <v>nok</v>
      </c>
      <c r="R475" s="60" t="str">
        <f>IF(AND($B475=[1]rogério!$A476,[1]rogério!$B476=R$4),"ok","nok")</f>
        <v>nok</v>
      </c>
      <c r="S475" s="60" t="str">
        <f>IF(AND($B475=[1]rogério!$A476,[1]rogério!$B476=S$4),"ok","nok")</f>
        <v>nok</v>
      </c>
      <c r="T475" s="60" t="str">
        <f>IF(AND($B475=[1]rogério!$A476,[1]rogério!$B476=T$4),"ok","nok")</f>
        <v>nok</v>
      </c>
      <c r="U475" s="60" t="str">
        <f>IF(AND($B475=[1]rogério!$A476,[1]rogério!$B476=U$4),"ok","nok")</f>
        <v>nok</v>
      </c>
      <c r="V475" s="60" t="str">
        <f>IF(AND($B475=[1]rogério!$A476,[1]rogério!$B476=V$4),"ok","nok")</f>
        <v>nok</v>
      </c>
      <c r="W475" s="60" t="str">
        <f>IF(AND($B475=[1]rogério!$A476,[1]rogério!$B476=W$4),"ok","nok")</f>
        <v>nok</v>
      </c>
      <c r="X475" s="60" t="str">
        <f>IF(AND($B475=[1]rogério!$A476,[1]rogério!$B476=X$4),"ok","nok")</f>
        <v>nok</v>
      </c>
      <c r="Y475" s="105" t="s">
        <v>15</v>
      </c>
      <c r="Z475" s="106"/>
      <c r="AA475" s="106"/>
      <c r="AB475" s="107"/>
      <c r="AC475" s="37"/>
      <c r="AD475" s="37"/>
      <c r="AE475" s="48" t="str">
        <f t="shared" si="118"/>
        <v/>
      </c>
      <c r="AF475" s="48"/>
      <c r="AG475" s="48"/>
      <c r="AH475" s="89"/>
      <c r="AI475" s="49">
        <f t="shared" si="119"/>
        <v>0</v>
      </c>
      <c r="AJ475" s="49" t="str">
        <f t="shared" si="120"/>
        <v/>
      </c>
      <c r="AK475" s="49">
        <f t="shared" si="121"/>
        <v>1</v>
      </c>
      <c r="AL475" s="49" t="str">
        <f t="shared" si="122"/>
        <v/>
      </c>
      <c r="AM475" s="49">
        <f t="shared" si="123"/>
        <v>0</v>
      </c>
      <c r="AN475" s="49" t="str">
        <f t="shared" si="124"/>
        <v/>
      </c>
      <c r="AO475" s="49">
        <f t="shared" si="125"/>
        <v>0</v>
      </c>
      <c r="AP475" s="49" t="str">
        <f t="shared" si="126"/>
        <v/>
      </c>
      <c r="AQ475" s="49">
        <f t="shared" si="127"/>
        <v>0</v>
      </c>
      <c r="AR475" s="49" t="str">
        <f t="shared" si="128"/>
        <v/>
      </c>
    </row>
    <row r="476" spans="1:44" ht="30" customHeight="1" x14ac:dyDescent="0.35">
      <c r="A476" s="25" t="str">
        <f t="shared" ref="A476:A483" si="130">CONCATENATE($B$469,"
",$B$471,"",$B$472,"
",$B$473)</f>
        <v>PT177 - PLATAFORMA DE ACESSO - GRUPO - BÁSICO
COLUNA 2PROJETO BÁSICO
ESTRUTURAS METÁLICAS</v>
      </c>
      <c r="B476" s="40" t="s">
        <v>42</v>
      </c>
      <c r="C476" s="60" t="str">
        <f>IF(AND($B476=[1]rogério!$A477,[1]rogério!$B477=C$4),"ok","nok")</f>
        <v>nok</v>
      </c>
      <c r="D476" s="60" t="str">
        <f>IF(AND($B476=[1]rogério!$A477,[1]rogério!$B477=D$4),"ok","nok")</f>
        <v>nok</v>
      </c>
      <c r="E476" s="60" t="str">
        <f>IF(AND($B476=[1]rogério!$A477,[1]rogério!$B477=E$4),"ok","nok")</f>
        <v>nok</v>
      </c>
      <c r="F476" s="60" t="str">
        <f>IF(AND($B476=[1]rogério!$A477,[1]rogério!$B477=F$4),"ok","nok")</f>
        <v>nok</v>
      </c>
      <c r="G476" s="60" t="str">
        <f>IF(AND($B476=[1]rogério!$A477,[1]rogério!$B477=G$4),"ok","nok")</f>
        <v>nok</v>
      </c>
      <c r="H476" s="60" t="str">
        <f>IF(AND($B476=[1]rogério!$A477,[1]rogério!$B477=H$4),"ok","nok")</f>
        <v>nok</v>
      </c>
      <c r="I476" s="60" t="str">
        <f>IF(AND($B476=[1]rogério!$A477,[1]rogério!$B477=I$4),"ok","nok")</f>
        <v>nok</v>
      </c>
      <c r="J476" s="60" t="str">
        <f>IF(AND($B476=[1]rogério!$A477,[1]rogério!$B477=J$4),"ok","nok")</f>
        <v>nok</v>
      </c>
      <c r="K476" s="60" t="str">
        <f>IF(AND($B476=[1]rogério!$A477,[1]rogério!$B477=K$4),"ok","nok")</f>
        <v>nok</v>
      </c>
      <c r="L476" s="60" t="str">
        <f>IF(AND($B476=[1]rogério!$A477,[1]rogério!$B477=L$4),"ok","nok")</f>
        <v>ok</v>
      </c>
      <c r="M476" s="60" t="str">
        <f>IF(AND($B476=[1]rogério!$A477,[1]rogério!$B477=M$4),"ok","nok")</f>
        <v>nok</v>
      </c>
      <c r="N476" s="60" t="str">
        <f>IF(AND($B476=[1]rogério!$A477,[1]rogério!$B477=N$4),"ok","nok")</f>
        <v>nok</v>
      </c>
      <c r="O476" s="60" t="str">
        <f>IF(AND($B476=[1]rogério!$A477,[1]rogério!$B477=O$4),"ok","nok")</f>
        <v>nok</v>
      </c>
      <c r="P476" s="60" t="str">
        <f>IF(AND($B476=[1]rogério!$A477,[1]rogério!$B477=P$4),"ok","nok")</f>
        <v>nok</v>
      </c>
      <c r="Q476" s="60" t="str">
        <f>IF(AND($B476=[1]rogério!$A477,[1]rogério!$B477=Q$4),"ok","nok")</f>
        <v>nok</v>
      </c>
      <c r="R476" s="60" t="str">
        <f>IF(AND($B476=[1]rogério!$A477,[1]rogério!$B477=R$4),"ok","nok")</f>
        <v>nok</v>
      </c>
      <c r="S476" s="60" t="str">
        <f>IF(AND($B476=[1]rogério!$A477,[1]rogério!$B477=S$4),"ok","nok")</f>
        <v>nok</v>
      </c>
      <c r="T476" s="60" t="str">
        <f>IF(AND($B476=[1]rogério!$A477,[1]rogério!$B477=T$4),"ok","nok")</f>
        <v>nok</v>
      </c>
      <c r="U476" s="60" t="str">
        <f>IF(AND($B476=[1]rogério!$A477,[1]rogério!$B477=U$4),"ok","nok")</f>
        <v>nok</v>
      </c>
      <c r="V476" s="60" t="str">
        <f>IF(AND($B476=[1]rogério!$A477,[1]rogério!$B477=V$4),"ok","nok")</f>
        <v>nok</v>
      </c>
      <c r="W476" s="60" t="str">
        <f>IF(AND($B476=[1]rogério!$A477,[1]rogério!$B477=W$4),"ok","nok")</f>
        <v>nok</v>
      </c>
      <c r="X476" s="60" t="str">
        <f>IF(AND($B476=[1]rogério!$A477,[1]rogério!$B477=X$4),"ok","nok")</f>
        <v>nok</v>
      </c>
      <c r="Y476" s="105" t="s">
        <v>15</v>
      </c>
      <c r="Z476" s="106"/>
      <c r="AA476" s="106"/>
      <c r="AB476" s="107"/>
      <c r="AC476" s="41"/>
      <c r="AD476" s="41"/>
      <c r="AE476" s="48" t="str">
        <f t="shared" si="118"/>
        <v/>
      </c>
      <c r="AF476" s="48"/>
      <c r="AG476" s="48"/>
      <c r="AH476" s="89"/>
      <c r="AI476" s="49">
        <f t="shared" si="119"/>
        <v>0</v>
      </c>
      <c r="AJ476" s="49" t="str">
        <f t="shared" si="120"/>
        <v/>
      </c>
      <c r="AK476" s="49">
        <f t="shared" si="121"/>
        <v>1</v>
      </c>
      <c r="AL476" s="49" t="str">
        <f t="shared" si="122"/>
        <v/>
      </c>
      <c r="AM476" s="49">
        <f t="shared" si="123"/>
        <v>0</v>
      </c>
      <c r="AN476" s="49" t="str">
        <f t="shared" si="124"/>
        <v/>
      </c>
      <c r="AO476" s="49">
        <f t="shared" si="125"/>
        <v>0</v>
      </c>
      <c r="AP476" s="49" t="str">
        <f t="shared" si="126"/>
        <v/>
      </c>
      <c r="AQ476" s="49">
        <f t="shared" si="127"/>
        <v>0</v>
      </c>
      <c r="AR476" s="49" t="str">
        <f t="shared" si="128"/>
        <v/>
      </c>
    </row>
    <row r="477" spans="1:44" ht="30" customHeight="1" x14ac:dyDescent="0.35">
      <c r="A477" s="25" t="str">
        <f t="shared" si="130"/>
        <v>PT177 - PLATAFORMA DE ACESSO - GRUPO - BÁSICO
COLUNA 2PROJETO BÁSICO
ESTRUTURAS METÁLICAS</v>
      </c>
      <c r="B477" s="40" t="s">
        <v>43</v>
      </c>
      <c r="C477" s="60" t="str">
        <f>IF(AND($B477=[1]rogério!$A478,[1]rogério!$B478=C$4),"ok","nok")</f>
        <v>nok</v>
      </c>
      <c r="D477" s="60" t="str">
        <f>IF(AND($B477=[1]rogério!$A478,[1]rogério!$B478=D$4),"ok","nok")</f>
        <v>nok</v>
      </c>
      <c r="E477" s="60" t="str">
        <f>IF(AND($B477=[1]rogério!$A478,[1]rogério!$B478=E$4),"ok","nok")</f>
        <v>nok</v>
      </c>
      <c r="F477" s="60" t="str">
        <f>IF(AND($B477=[1]rogério!$A478,[1]rogério!$B478=F$4),"ok","nok")</f>
        <v>nok</v>
      </c>
      <c r="G477" s="60" t="str">
        <f>IF(AND($B477=[1]rogério!$A478,[1]rogério!$B478=G$4),"ok","nok")</f>
        <v>nok</v>
      </c>
      <c r="H477" s="60" t="str">
        <f>IF(AND($B477=[1]rogério!$A478,[1]rogério!$B478=H$4),"ok","nok")</f>
        <v>nok</v>
      </c>
      <c r="I477" s="60" t="str">
        <f>IF(AND($B477=[1]rogério!$A478,[1]rogério!$B478=I$4),"ok","nok")</f>
        <v>nok</v>
      </c>
      <c r="J477" s="60" t="str">
        <f>IF(AND($B477=[1]rogério!$A478,[1]rogério!$B478=J$4),"ok","nok")</f>
        <v>nok</v>
      </c>
      <c r="K477" s="60" t="str">
        <f>IF(AND($B477=[1]rogério!$A478,[1]rogério!$B478=K$4),"ok","nok")</f>
        <v>nok</v>
      </c>
      <c r="L477" s="60" t="str">
        <f>IF(AND($B477=[1]rogério!$A478,[1]rogério!$B478=L$4),"ok","nok")</f>
        <v>ok</v>
      </c>
      <c r="M477" s="60" t="str">
        <f>IF(AND($B477=[1]rogério!$A478,[1]rogério!$B478=M$4),"ok","nok")</f>
        <v>nok</v>
      </c>
      <c r="N477" s="60" t="str">
        <f>IF(AND($B477=[1]rogério!$A478,[1]rogério!$B478=N$4),"ok","nok")</f>
        <v>nok</v>
      </c>
      <c r="O477" s="60" t="str">
        <f>IF(AND($B477=[1]rogério!$A478,[1]rogério!$B478=O$4),"ok","nok")</f>
        <v>nok</v>
      </c>
      <c r="P477" s="60" t="str">
        <f>IF(AND($B477=[1]rogério!$A478,[1]rogério!$B478=P$4),"ok","nok")</f>
        <v>nok</v>
      </c>
      <c r="Q477" s="60" t="str">
        <f>IF(AND($B477=[1]rogério!$A478,[1]rogério!$B478=Q$4),"ok","nok")</f>
        <v>nok</v>
      </c>
      <c r="R477" s="60" t="str">
        <f>IF(AND($B477=[1]rogério!$A478,[1]rogério!$B478=R$4),"ok","nok")</f>
        <v>nok</v>
      </c>
      <c r="S477" s="60" t="str">
        <f>IF(AND($B477=[1]rogério!$A478,[1]rogério!$B478=S$4),"ok","nok")</f>
        <v>nok</v>
      </c>
      <c r="T477" s="60" t="str">
        <f>IF(AND($B477=[1]rogério!$A478,[1]rogério!$B478=T$4),"ok","nok")</f>
        <v>nok</v>
      </c>
      <c r="U477" s="60" t="str">
        <f>IF(AND($B477=[1]rogério!$A478,[1]rogério!$B478=U$4),"ok","nok")</f>
        <v>nok</v>
      </c>
      <c r="V477" s="60" t="str">
        <f>IF(AND($B477=[1]rogério!$A478,[1]rogério!$B478=V$4),"ok","nok")</f>
        <v>nok</v>
      </c>
      <c r="W477" s="60" t="str">
        <f>IF(AND($B477=[1]rogério!$A478,[1]rogério!$B478=W$4),"ok","nok")</f>
        <v>nok</v>
      </c>
      <c r="X477" s="60" t="str">
        <f>IF(AND($B477=[1]rogério!$A478,[1]rogério!$B478=X$4),"ok","nok")</f>
        <v>nok</v>
      </c>
      <c r="Y477" s="105" t="s">
        <v>15</v>
      </c>
      <c r="Z477" s="106"/>
      <c r="AA477" s="106"/>
      <c r="AB477" s="107"/>
      <c r="AC477" s="38"/>
      <c r="AD477" s="38"/>
      <c r="AE477" s="48" t="str">
        <f t="shared" si="118"/>
        <v/>
      </c>
      <c r="AF477" s="48"/>
      <c r="AG477" s="48"/>
      <c r="AH477" s="89"/>
      <c r="AI477" s="49">
        <f t="shared" si="119"/>
        <v>0</v>
      </c>
      <c r="AJ477" s="49" t="str">
        <f t="shared" si="120"/>
        <v/>
      </c>
      <c r="AK477" s="49">
        <f t="shared" si="121"/>
        <v>1</v>
      </c>
      <c r="AL477" s="49" t="str">
        <f t="shared" si="122"/>
        <v/>
      </c>
      <c r="AM477" s="49">
        <f t="shared" si="123"/>
        <v>0</v>
      </c>
      <c r="AN477" s="49" t="str">
        <f t="shared" si="124"/>
        <v/>
      </c>
      <c r="AO477" s="49">
        <f t="shared" si="125"/>
        <v>0</v>
      </c>
      <c r="AP477" s="49" t="str">
        <f t="shared" si="126"/>
        <v/>
      </c>
      <c r="AQ477" s="49">
        <f t="shared" si="127"/>
        <v>0</v>
      </c>
      <c r="AR477" s="49" t="str">
        <f t="shared" si="128"/>
        <v/>
      </c>
    </row>
    <row r="478" spans="1:44" ht="30" customHeight="1" x14ac:dyDescent="0.35">
      <c r="A478" s="25"/>
      <c r="B478" s="39" t="s">
        <v>62</v>
      </c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108"/>
      <c r="Z478" s="109"/>
      <c r="AA478" s="109"/>
      <c r="AB478" s="110"/>
      <c r="AC478" s="38"/>
      <c r="AD478" s="38"/>
      <c r="AE478" s="48" t="str">
        <f t="shared" si="118"/>
        <v/>
      </c>
      <c r="AF478" s="48"/>
      <c r="AG478" s="48"/>
      <c r="AH478" s="89"/>
      <c r="AI478" s="49">
        <f t="shared" si="119"/>
        <v>0</v>
      </c>
      <c r="AJ478" s="49" t="str">
        <f t="shared" si="120"/>
        <v/>
      </c>
      <c r="AK478" s="49">
        <f t="shared" si="121"/>
        <v>0</v>
      </c>
      <c r="AL478" s="49" t="str">
        <f t="shared" si="122"/>
        <v/>
      </c>
      <c r="AM478" s="49">
        <f t="shared" si="123"/>
        <v>0</v>
      </c>
      <c r="AN478" s="49" t="str">
        <f t="shared" si="124"/>
        <v/>
      </c>
      <c r="AO478" s="49">
        <f t="shared" si="125"/>
        <v>0</v>
      </c>
      <c r="AP478" s="49" t="str">
        <f t="shared" si="126"/>
        <v/>
      </c>
      <c r="AQ478" s="49">
        <f t="shared" si="127"/>
        <v>0</v>
      </c>
      <c r="AR478" s="49" t="str">
        <f t="shared" si="128"/>
        <v/>
      </c>
    </row>
    <row r="479" spans="1:44" ht="30" customHeight="1" x14ac:dyDescent="0.35">
      <c r="A479" s="25" t="str">
        <f t="shared" si="130"/>
        <v>PT177 - PLATAFORMA DE ACESSO - GRUPO - BÁSICO
COLUNA 2PROJETO BÁSICO
ESTRUTURAS METÁLICAS</v>
      </c>
      <c r="B479" s="40" t="s">
        <v>42</v>
      </c>
      <c r="C479" s="60" t="str">
        <f>IF(AND($B479=[1]rogério!$A480,[1]rogério!$B480=C$4),"ok","nok")</f>
        <v>nok</v>
      </c>
      <c r="D479" s="60" t="str">
        <f>IF(AND($B479=[1]rogério!$A480,[1]rogério!$B480=D$4),"ok","nok")</f>
        <v>nok</v>
      </c>
      <c r="E479" s="60" t="str">
        <f>IF(AND($B479=[1]rogério!$A480,[1]rogério!$B480=E$4),"ok","nok")</f>
        <v>nok</v>
      </c>
      <c r="F479" s="60" t="str">
        <f>IF(AND($B479=[1]rogério!$A480,[1]rogério!$B480=F$4),"ok","nok")</f>
        <v>nok</v>
      </c>
      <c r="G479" s="60" t="str">
        <f>IF(AND($B479=[1]rogério!$A480,[1]rogério!$B480=G$4),"ok","nok")</f>
        <v>ok</v>
      </c>
      <c r="H479" s="60" t="str">
        <f>IF(AND($B479=[1]rogério!$A480,[1]rogério!$B480=H$4),"ok","nok")</f>
        <v>nok</v>
      </c>
      <c r="I479" s="60" t="str">
        <f>IF(AND($B479=[1]rogério!$A480,[1]rogério!$B480=I$4),"ok","nok")</f>
        <v>nok</v>
      </c>
      <c r="J479" s="60" t="str">
        <f>IF(AND($B479=[1]rogério!$A480,[1]rogério!$B480=J$4),"ok","nok")</f>
        <v>nok</v>
      </c>
      <c r="K479" s="60" t="str">
        <f>IF(AND($B479=[1]rogério!$A480,[1]rogério!$B480=K$4),"ok","nok")</f>
        <v>nok</v>
      </c>
      <c r="L479" s="60" t="str">
        <f>IF(AND($B479=[1]rogério!$A480,[1]rogério!$B480=L$4),"ok","nok")</f>
        <v>nok</v>
      </c>
      <c r="M479" s="60" t="str">
        <f>IF(AND($B479=[1]rogério!$A480,[1]rogério!$B480=M$4),"ok","nok")</f>
        <v>nok</v>
      </c>
      <c r="N479" s="60" t="str">
        <f>IF(AND($B479=[1]rogério!$A480,[1]rogério!$B480=N$4),"ok","nok")</f>
        <v>nok</v>
      </c>
      <c r="O479" s="60" t="str">
        <f>IF(AND($B479=[1]rogério!$A480,[1]rogério!$B480=O$4),"ok","nok")</f>
        <v>nok</v>
      </c>
      <c r="P479" s="60" t="str">
        <f>IF(AND($B479=[1]rogério!$A480,[1]rogério!$B480=P$4),"ok","nok")</f>
        <v>nok</v>
      </c>
      <c r="Q479" s="60" t="str">
        <f>IF(AND($B479=[1]rogério!$A480,[1]rogério!$B480=Q$4),"ok","nok")</f>
        <v>nok</v>
      </c>
      <c r="R479" s="60" t="str">
        <f>IF(AND($B479=[1]rogério!$A480,[1]rogério!$B480=R$4),"ok","nok")</f>
        <v>nok</v>
      </c>
      <c r="S479" s="60" t="str">
        <f>IF(AND($B479=[1]rogério!$A480,[1]rogério!$B480=S$4),"ok","nok")</f>
        <v>nok</v>
      </c>
      <c r="T479" s="60" t="str">
        <f>IF(AND($B479=[1]rogério!$A480,[1]rogério!$B480=T$4),"ok","nok")</f>
        <v>nok</v>
      </c>
      <c r="U479" s="60" t="str">
        <f>IF(AND($B479=[1]rogério!$A480,[1]rogério!$B480=U$4),"ok","nok")</f>
        <v>nok</v>
      </c>
      <c r="V479" s="60" t="str">
        <f>IF(AND($B479=[1]rogério!$A480,[1]rogério!$B480=V$4),"ok","nok")</f>
        <v>nok</v>
      </c>
      <c r="W479" s="60" t="str">
        <f>IF(AND($B479=[1]rogério!$A480,[1]rogério!$B480=W$4),"ok","nok")</f>
        <v>nok</v>
      </c>
      <c r="X479" s="60" t="str">
        <f>IF(AND($B479=[1]rogério!$A480,[1]rogério!$B480=X$4),"ok","nok")</f>
        <v>nok</v>
      </c>
      <c r="Y479" s="105" t="s">
        <v>15</v>
      </c>
      <c r="Z479" s="106"/>
      <c r="AA479" s="106"/>
      <c r="AB479" s="107"/>
      <c r="AC479" s="38"/>
      <c r="AD479" s="38"/>
      <c r="AE479" s="48" t="str">
        <f t="shared" si="118"/>
        <v/>
      </c>
      <c r="AF479" s="48"/>
      <c r="AG479" s="48"/>
      <c r="AH479" s="89"/>
      <c r="AI479" s="49">
        <f t="shared" si="119"/>
        <v>1</v>
      </c>
      <c r="AJ479" s="49" t="str">
        <f t="shared" si="120"/>
        <v/>
      </c>
      <c r="AK479" s="49">
        <f t="shared" si="121"/>
        <v>0</v>
      </c>
      <c r="AL479" s="49" t="str">
        <f t="shared" si="122"/>
        <v/>
      </c>
      <c r="AM479" s="49">
        <f t="shared" si="123"/>
        <v>0</v>
      </c>
      <c r="AN479" s="49" t="str">
        <f t="shared" si="124"/>
        <v/>
      </c>
      <c r="AO479" s="49">
        <f t="shared" si="125"/>
        <v>0</v>
      </c>
      <c r="AP479" s="49" t="str">
        <f t="shared" si="126"/>
        <v/>
      </c>
      <c r="AQ479" s="49">
        <f t="shared" si="127"/>
        <v>0</v>
      </c>
      <c r="AR479" s="49" t="str">
        <f t="shared" si="128"/>
        <v/>
      </c>
    </row>
    <row r="480" spans="1:44" ht="30" customHeight="1" x14ac:dyDescent="0.35">
      <c r="A480" s="25" t="str">
        <f t="shared" si="130"/>
        <v>PT177 - PLATAFORMA DE ACESSO - GRUPO - BÁSICO
COLUNA 2PROJETO BÁSICO
ESTRUTURAS METÁLICAS</v>
      </c>
      <c r="B480" s="40" t="s">
        <v>43</v>
      </c>
      <c r="C480" s="60" t="str">
        <f>IF(AND($B480=[1]rogério!$A481,[1]rogério!$B481=C$4),"ok","nok")</f>
        <v>nok</v>
      </c>
      <c r="D480" s="60" t="str">
        <f>IF(AND($B480=[1]rogério!$A481,[1]rogério!$B481=D$4),"ok","nok")</f>
        <v>nok</v>
      </c>
      <c r="E480" s="60" t="str">
        <f>IF(AND($B480=[1]rogério!$A481,[1]rogério!$B481=E$4),"ok","nok")</f>
        <v>nok</v>
      </c>
      <c r="F480" s="60" t="str">
        <f>IF(AND($B480=[1]rogério!$A481,[1]rogério!$B481=F$4),"ok","nok")</f>
        <v>nok</v>
      </c>
      <c r="G480" s="60" t="str">
        <f>IF(AND($B480=[1]rogério!$A481,[1]rogério!$B481=G$4),"ok","nok")</f>
        <v>ok</v>
      </c>
      <c r="H480" s="60" t="str">
        <f>IF(AND($B480=[1]rogério!$A481,[1]rogério!$B481=H$4),"ok","nok")</f>
        <v>nok</v>
      </c>
      <c r="I480" s="60" t="str">
        <f>IF(AND($B480=[1]rogério!$A481,[1]rogério!$B481=I$4),"ok","nok")</f>
        <v>nok</v>
      </c>
      <c r="J480" s="60" t="str">
        <f>IF(AND($B480=[1]rogério!$A481,[1]rogério!$B481=J$4),"ok","nok")</f>
        <v>nok</v>
      </c>
      <c r="K480" s="60" t="str">
        <f>IF(AND($B480=[1]rogério!$A481,[1]rogério!$B481=K$4),"ok","nok")</f>
        <v>nok</v>
      </c>
      <c r="L480" s="60" t="str">
        <f>IF(AND($B480=[1]rogério!$A481,[1]rogério!$B481=L$4),"ok","nok")</f>
        <v>nok</v>
      </c>
      <c r="M480" s="60" t="str">
        <f>IF(AND($B480=[1]rogério!$A481,[1]rogério!$B481=M$4),"ok","nok")</f>
        <v>nok</v>
      </c>
      <c r="N480" s="60" t="str">
        <f>IF(AND($B480=[1]rogério!$A481,[1]rogério!$B481=N$4),"ok","nok")</f>
        <v>nok</v>
      </c>
      <c r="O480" s="60" t="str">
        <f>IF(AND($B480=[1]rogério!$A481,[1]rogério!$B481=O$4),"ok","nok")</f>
        <v>nok</v>
      </c>
      <c r="P480" s="60" t="str">
        <f>IF(AND($B480=[1]rogério!$A481,[1]rogério!$B481=P$4),"ok","nok")</f>
        <v>nok</v>
      </c>
      <c r="Q480" s="60" t="str">
        <f>IF(AND($B480=[1]rogério!$A481,[1]rogério!$B481=Q$4),"ok","nok")</f>
        <v>nok</v>
      </c>
      <c r="R480" s="60" t="str">
        <f>IF(AND($B480=[1]rogério!$A481,[1]rogério!$B481=R$4),"ok","nok")</f>
        <v>nok</v>
      </c>
      <c r="S480" s="60" t="str">
        <f>IF(AND($B480=[1]rogério!$A481,[1]rogério!$B481=S$4),"ok","nok")</f>
        <v>nok</v>
      </c>
      <c r="T480" s="60" t="str">
        <f>IF(AND($B480=[1]rogério!$A481,[1]rogério!$B481=T$4),"ok","nok")</f>
        <v>nok</v>
      </c>
      <c r="U480" s="60" t="str">
        <f>IF(AND($B480=[1]rogério!$A481,[1]rogério!$B481=U$4),"ok","nok")</f>
        <v>nok</v>
      </c>
      <c r="V480" s="60" t="str">
        <f>IF(AND($B480=[1]rogério!$A481,[1]rogério!$B481=V$4),"ok","nok")</f>
        <v>nok</v>
      </c>
      <c r="W480" s="60" t="str">
        <f>IF(AND($B480=[1]rogério!$A481,[1]rogério!$B481=W$4),"ok","nok")</f>
        <v>nok</v>
      </c>
      <c r="X480" s="60" t="str">
        <f>IF(AND($B480=[1]rogério!$A481,[1]rogério!$B481=X$4),"ok","nok")</f>
        <v>nok</v>
      </c>
      <c r="Y480" s="105" t="s">
        <v>15</v>
      </c>
      <c r="Z480" s="106"/>
      <c r="AA480" s="106"/>
      <c r="AB480" s="107"/>
      <c r="AC480" s="38"/>
      <c r="AD480" s="38"/>
      <c r="AE480" s="48" t="str">
        <f t="shared" si="118"/>
        <v/>
      </c>
      <c r="AF480" s="48"/>
      <c r="AG480" s="48"/>
      <c r="AH480" s="89"/>
      <c r="AI480" s="49">
        <f t="shared" si="119"/>
        <v>1</v>
      </c>
      <c r="AJ480" s="49" t="str">
        <f t="shared" si="120"/>
        <v/>
      </c>
      <c r="AK480" s="49">
        <f t="shared" si="121"/>
        <v>0</v>
      </c>
      <c r="AL480" s="49" t="str">
        <f t="shared" si="122"/>
        <v/>
      </c>
      <c r="AM480" s="49">
        <f t="shared" si="123"/>
        <v>0</v>
      </c>
      <c r="AN480" s="49" t="str">
        <f t="shared" si="124"/>
        <v/>
      </c>
      <c r="AO480" s="49">
        <f t="shared" si="125"/>
        <v>0</v>
      </c>
      <c r="AP480" s="49" t="str">
        <f t="shared" si="126"/>
        <v/>
      </c>
      <c r="AQ480" s="49">
        <f t="shared" si="127"/>
        <v>0</v>
      </c>
      <c r="AR480" s="49" t="str">
        <f t="shared" si="128"/>
        <v/>
      </c>
    </row>
    <row r="481" spans="1:44" ht="30" customHeight="1" x14ac:dyDescent="0.35">
      <c r="A481" s="25"/>
      <c r="B481" s="39" t="s">
        <v>63</v>
      </c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108"/>
      <c r="Z481" s="109"/>
      <c r="AA481" s="109"/>
      <c r="AB481" s="110"/>
      <c r="AC481" s="38"/>
      <c r="AD481" s="38"/>
      <c r="AE481" s="48" t="str">
        <f t="shared" si="118"/>
        <v/>
      </c>
      <c r="AF481" s="48"/>
      <c r="AG481" s="48"/>
      <c r="AH481" s="89"/>
      <c r="AI481" s="49">
        <f t="shared" si="119"/>
        <v>0</v>
      </c>
      <c r="AJ481" s="49" t="str">
        <f t="shared" si="120"/>
        <v/>
      </c>
      <c r="AK481" s="49">
        <f t="shared" si="121"/>
        <v>0</v>
      </c>
      <c r="AL481" s="49" t="str">
        <f t="shared" si="122"/>
        <v/>
      </c>
      <c r="AM481" s="49">
        <f t="shared" si="123"/>
        <v>0</v>
      </c>
      <c r="AN481" s="49" t="str">
        <f t="shared" si="124"/>
        <v/>
      </c>
      <c r="AO481" s="49">
        <f t="shared" si="125"/>
        <v>0</v>
      </c>
      <c r="AP481" s="49" t="str">
        <f t="shared" si="126"/>
        <v/>
      </c>
      <c r="AQ481" s="49">
        <f t="shared" si="127"/>
        <v>0</v>
      </c>
      <c r="AR481" s="49" t="str">
        <f t="shared" si="128"/>
        <v/>
      </c>
    </row>
    <row r="482" spans="1:44" ht="30" customHeight="1" x14ac:dyDescent="0.35">
      <c r="A482" s="25" t="str">
        <f t="shared" si="130"/>
        <v>PT177 - PLATAFORMA DE ACESSO - GRUPO - BÁSICO
COLUNA 2PROJETO BÁSICO
ESTRUTURAS METÁLICAS</v>
      </c>
      <c r="B482" s="40" t="s">
        <v>42</v>
      </c>
      <c r="C482" s="60" t="str">
        <f>IF(AND($B482=[1]rogério!$A483,[1]rogério!$B483=C$4),"ok","nok")</f>
        <v>nok</v>
      </c>
      <c r="D482" s="60" t="str">
        <f>IF(AND($B482=[1]rogério!$A483,[1]rogério!$B483=D$4),"ok","nok")</f>
        <v>nok</v>
      </c>
      <c r="E482" s="60" t="str">
        <f>IF(AND($B482=[1]rogério!$A483,[1]rogério!$B483=E$4),"ok","nok")</f>
        <v>nok</v>
      </c>
      <c r="F482" s="60" t="str">
        <f>IF(AND($B482=[1]rogério!$A483,[1]rogério!$B483=F$4),"ok","nok")</f>
        <v>nok</v>
      </c>
      <c r="G482" s="60" t="str">
        <f>IF(AND($B482=[1]rogério!$A483,[1]rogério!$B483=G$4),"ok","nok")</f>
        <v>ok</v>
      </c>
      <c r="H482" s="60" t="str">
        <f>IF(AND($B482=[1]rogério!$A483,[1]rogério!$B483=H$4),"ok","nok")</f>
        <v>nok</v>
      </c>
      <c r="I482" s="60" t="str">
        <f>IF(AND($B482=[1]rogério!$A483,[1]rogério!$B483=I$4),"ok","nok")</f>
        <v>nok</v>
      </c>
      <c r="J482" s="60" t="str">
        <f>IF(AND($B482=[1]rogério!$A483,[1]rogério!$B483=J$4),"ok","nok")</f>
        <v>nok</v>
      </c>
      <c r="K482" s="60" t="str">
        <f>IF(AND($B482=[1]rogério!$A483,[1]rogério!$B483=K$4),"ok","nok")</f>
        <v>nok</v>
      </c>
      <c r="L482" s="60" t="str">
        <f>IF(AND($B482=[1]rogério!$A483,[1]rogério!$B483=L$4),"ok","nok")</f>
        <v>nok</v>
      </c>
      <c r="M482" s="60" t="str">
        <f>IF(AND($B482=[1]rogério!$A483,[1]rogério!$B483=M$4),"ok","nok")</f>
        <v>nok</v>
      </c>
      <c r="N482" s="60" t="str">
        <f>IF(AND($B482=[1]rogério!$A483,[1]rogério!$B483=N$4),"ok","nok")</f>
        <v>nok</v>
      </c>
      <c r="O482" s="60" t="str">
        <f>IF(AND($B482=[1]rogério!$A483,[1]rogério!$B483=O$4),"ok","nok")</f>
        <v>nok</v>
      </c>
      <c r="P482" s="60" t="str">
        <f>IF(AND($B482=[1]rogério!$A483,[1]rogério!$B483=P$4),"ok","nok")</f>
        <v>nok</v>
      </c>
      <c r="Q482" s="60" t="str">
        <f>IF(AND($B482=[1]rogério!$A483,[1]rogério!$B483=Q$4),"ok","nok")</f>
        <v>nok</v>
      </c>
      <c r="R482" s="60" t="str">
        <f>IF(AND($B482=[1]rogério!$A483,[1]rogério!$B483=R$4),"ok","nok")</f>
        <v>nok</v>
      </c>
      <c r="S482" s="60" t="str">
        <f>IF(AND($B482=[1]rogério!$A483,[1]rogério!$B483=S$4),"ok","nok")</f>
        <v>nok</v>
      </c>
      <c r="T482" s="60" t="str">
        <f>IF(AND($B482=[1]rogério!$A483,[1]rogério!$B483=T$4),"ok","nok")</f>
        <v>nok</v>
      </c>
      <c r="U482" s="60" t="str">
        <f>IF(AND($B482=[1]rogério!$A483,[1]rogério!$B483=U$4),"ok","nok")</f>
        <v>nok</v>
      </c>
      <c r="V482" s="60" t="str">
        <f>IF(AND($B482=[1]rogério!$A483,[1]rogério!$B483=V$4),"ok","nok")</f>
        <v>nok</v>
      </c>
      <c r="W482" s="60" t="str">
        <f>IF(AND($B482=[1]rogério!$A483,[1]rogério!$B483=W$4),"ok","nok")</f>
        <v>nok</v>
      </c>
      <c r="X482" s="60" t="str">
        <f>IF(AND($B482=[1]rogério!$A483,[1]rogério!$B483=X$4),"ok","nok")</f>
        <v>nok</v>
      </c>
      <c r="Y482" s="105" t="s">
        <v>15</v>
      </c>
      <c r="Z482" s="106"/>
      <c r="AA482" s="106"/>
      <c r="AB482" s="107"/>
      <c r="AC482" s="38"/>
      <c r="AD482" s="38"/>
      <c r="AE482" s="48" t="str">
        <f t="shared" si="118"/>
        <v/>
      </c>
      <c r="AF482" s="48"/>
      <c r="AG482" s="48"/>
      <c r="AH482" s="89"/>
      <c r="AI482" s="49">
        <f t="shared" si="119"/>
        <v>1</v>
      </c>
      <c r="AJ482" s="49" t="str">
        <f t="shared" si="120"/>
        <v/>
      </c>
      <c r="AK482" s="49">
        <f t="shared" si="121"/>
        <v>0</v>
      </c>
      <c r="AL482" s="49" t="str">
        <f t="shared" si="122"/>
        <v/>
      </c>
      <c r="AM482" s="49">
        <f t="shared" si="123"/>
        <v>0</v>
      </c>
      <c r="AN482" s="49" t="str">
        <f t="shared" si="124"/>
        <v/>
      </c>
      <c r="AO482" s="49">
        <f t="shared" si="125"/>
        <v>0</v>
      </c>
      <c r="AP482" s="49" t="str">
        <f t="shared" si="126"/>
        <v/>
      </c>
      <c r="AQ482" s="49">
        <f t="shared" si="127"/>
        <v>0</v>
      </c>
      <c r="AR482" s="49" t="str">
        <f t="shared" si="128"/>
        <v/>
      </c>
    </row>
    <row r="483" spans="1:44" ht="30" customHeight="1" x14ac:dyDescent="0.35">
      <c r="A483" s="25" t="str">
        <f t="shared" si="130"/>
        <v>PT177 - PLATAFORMA DE ACESSO - GRUPO - BÁSICO
COLUNA 2PROJETO BÁSICO
ESTRUTURAS METÁLICAS</v>
      </c>
      <c r="B483" s="40" t="s">
        <v>43</v>
      </c>
      <c r="C483" s="60" t="str">
        <f>IF(AND($B483=[1]rogério!$A484,[1]rogério!$B484=C$4),"ok","nok")</f>
        <v>nok</v>
      </c>
      <c r="D483" s="60" t="str">
        <f>IF(AND($B483=[1]rogério!$A484,[1]rogério!$B484=D$4),"ok","nok")</f>
        <v>nok</v>
      </c>
      <c r="E483" s="60" t="str">
        <f>IF(AND($B483=[1]rogério!$A484,[1]rogério!$B484=E$4),"ok","nok")</f>
        <v>nok</v>
      </c>
      <c r="F483" s="60" t="str">
        <f>IF(AND($B483=[1]rogério!$A484,[1]rogério!$B484=F$4),"ok","nok")</f>
        <v>nok</v>
      </c>
      <c r="G483" s="60" t="str">
        <f>IF(AND($B483=[1]rogério!$A484,[1]rogério!$B484=G$4),"ok","nok")</f>
        <v>ok</v>
      </c>
      <c r="H483" s="60" t="str">
        <f>IF(AND($B483=[1]rogério!$A484,[1]rogério!$B484=H$4),"ok","nok")</f>
        <v>nok</v>
      </c>
      <c r="I483" s="60" t="str">
        <f>IF(AND($B483=[1]rogério!$A484,[1]rogério!$B484=I$4),"ok","nok")</f>
        <v>nok</v>
      </c>
      <c r="J483" s="60" t="str">
        <f>IF(AND($B483=[1]rogério!$A484,[1]rogério!$B484=J$4),"ok","nok")</f>
        <v>nok</v>
      </c>
      <c r="K483" s="60" t="str">
        <f>IF(AND($B483=[1]rogério!$A484,[1]rogério!$B484=K$4),"ok","nok")</f>
        <v>nok</v>
      </c>
      <c r="L483" s="60" t="str">
        <f>IF(AND($B483=[1]rogério!$A484,[1]rogério!$B484=L$4),"ok","nok")</f>
        <v>nok</v>
      </c>
      <c r="M483" s="60" t="str">
        <f>IF(AND($B483=[1]rogério!$A484,[1]rogério!$B484=M$4),"ok","nok")</f>
        <v>nok</v>
      </c>
      <c r="N483" s="60" t="str">
        <f>IF(AND($B483=[1]rogério!$A484,[1]rogério!$B484=N$4),"ok","nok")</f>
        <v>nok</v>
      </c>
      <c r="O483" s="60" t="str">
        <f>IF(AND($B483=[1]rogério!$A484,[1]rogério!$B484=O$4),"ok","nok")</f>
        <v>nok</v>
      </c>
      <c r="P483" s="60" t="str">
        <f>IF(AND($B483=[1]rogério!$A484,[1]rogério!$B484=P$4),"ok","nok")</f>
        <v>nok</v>
      </c>
      <c r="Q483" s="60" t="str">
        <f>IF(AND($B483=[1]rogério!$A484,[1]rogério!$B484=Q$4),"ok","nok")</f>
        <v>nok</v>
      </c>
      <c r="R483" s="60" t="str">
        <f>IF(AND($B483=[1]rogério!$A484,[1]rogério!$B484=R$4),"ok","nok")</f>
        <v>nok</v>
      </c>
      <c r="S483" s="60" t="str">
        <f>IF(AND($B483=[1]rogério!$A484,[1]rogério!$B484=S$4),"ok","nok")</f>
        <v>nok</v>
      </c>
      <c r="T483" s="60" t="str">
        <f>IF(AND($B483=[1]rogério!$A484,[1]rogério!$B484=T$4),"ok","nok")</f>
        <v>nok</v>
      </c>
      <c r="U483" s="60" t="str">
        <f>IF(AND($B483=[1]rogério!$A484,[1]rogério!$B484=U$4),"ok","nok")</f>
        <v>nok</v>
      </c>
      <c r="V483" s="60" t="str">
        <f>IF(AND($B483=[1]rogério!$A484,[1]rogério!$B484=V$4),"ok","nok")</f>
        <v>nok</v>
      </c>
      <c r="W483" s="60" t="str">
        <f>IF(AND($B483=[1]rogério!$A484,[1]rogério!$B484=W$4),"ok","nok")</f>
        <v>nok</v>
      </c>
      <c r="X483" s="60" t="str">
        <f>IF(AND($B483=[1]rogério!$A484,[1]rogério!$B484=X$4),"ok","nok")</f>
        <v>nok</v>
      </c>
      <c r="Y483" s="105" t="s">
        <v>15</v>
      </c>
      <c r="Z483" s="106"/>
      <c r="AA483" s="106"/>
      <c r="AB483" s="107"/>
      <c r="AC483" s="46"/>
      <c r="AD483" s="46"/>
      <c r="AE483" s="48" t="str">
        <f t="shared" si="118"/>
        <v/>
      </c>
      <c r="AF483" s="48"/>
      <c r="AG483" s="48"/>
      <c r="AH483" s="89"/>
      <c r="AI483" s="49">
        <f t="shared" si="119"/>
        <v>1</v>
      </c>
      <c r="AJ483" s="49" t="str">
        <f t="shared" si="120"/>
        <v/>
      </c>
      <c r="AK483" s="49">
        <f t="shared" si="121"/>
        <v>0</v>
      </c>
      <c r="AL483" s="49" t="str">
        <f t="shared" si="122"/>
        <v/>
      </c>
      <c r="AM483" s="49">
        <f t="shared" si="123"/>
        <v>0</v>
      </c>
      <c r="AN483" s="49" t="str">
        <f t="shared" si="124"/>
        <v/>
      </c>
      <c r="AO483" s="49">
        <f t="shared" si="125"/>
        <v>0</v>
      </c>
      <c r="AP483" s="49" t="str">
        <f t="shared" si="126"/>
        <v/>
      </c>
      <c r="AQ483" s="49">
        <f t="shared" si="127"/>
        <v>0</v>
      </c>
      <c r="AR483" s="49" t="str">
        <f t="shared" si="128"/>
        <v/>
      </c>
    </row>
    <row r="484" spans="1:44" ht="30" customHeight="1" x14ac:dyDescent="0.35">
      <c r="A484" s="25"/>
      <c r="B484" s="62" t="s">
        <v>64</v>
      </c>
      <c r="C484" s="62"/>
      <c r="D484" s="62"/>
      <c r="E484" s="62"/>
      <c r="F484" s="62"/>
      <c r="G484" s="62"/>
      <c r="H484" s="62"/>
      <c r="I484" s="62"/>
      <c r="J484" s="62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114"/>
      <c r="Z484" s="115"/>
      <c r="AA484" s="115"/>
      <c r="AB484" s="116"/>
      <c r="AC484" s="40"/>
      <c r="AD484" s="40"/>
      <c r="AE484" s="48" t="str">
        <f t="shared" si="118"/>
        <v/>
      </c>
      <c r="AF484" s="48"/>
      <c r="AG484" s="48"/>
      <c r="AH484" s="89"/>
      <c r="AI484" s="49">
        <f t="shared" si="119"/>
        <v>0</v>
      </c>
      <c r="AJ484" s="49" t="str">
        <f t="shared" si="120"/>
        <v/>
      </c>
      <c r="AK484" s="49">
        <f t="shared" si="121"/>
        <v>0</v>
      </c>
      <c r="AL484" s="49" t="str">
        <f t="shared" si="122"/>
        <v/>
      </c>
      <c r="AM484" s="49">
        <f t="shared" si="123"/>
        <v>0</v>
      </c>
      <c r="AN484" s="49" t="str">
        <f t="shared" si="124"/>
        <v/>
      </c>
      <c r="AO484" s="49">
        <f t="shared" si="125"/>
        <v>0</v>
      </c>
      <c r="AP484" s="49" t="str">
        <f t="shared" si="126"/>
        <v/>
      </c>
      <c r="AQ484" s="49">
        <f t="shared" si="127"/>
        <v>0</v>
      </c>
      <c r="AR484" s="49" t="str">
        <f t="shared" si="128"/>
        <v/>
      </c>
    </row>
    <row r="485" spans="1:44" ht="30" customHeight="1" x14ac:dyDescent="0.35">
      <c r="A485" s="25"/>
      <c r="B485" s="39" t="s">
        <v>59</v>
      </c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108"/>
      <c r="Z485" s="109"/>
      <c r="AA485" s="109"/>
      <c r="AB485" s="110"/>
      <c r="AC485" s="38"/>
      <c r="AD485" s="38"/>
      <c r="AE485" s="48" t="str">
        <f t="shared" si="118"/>
        <v/>
      </c>
      <c r="AF485" s="48"/>
      <c r="AG485" s="48"/>
      <c r="AH485" s="89"/>
      <c r="AI485" s="49">
        <f t="shared" si="119"/>
        <v>0</v>
      </c>
      <c r="AJ485" s="49" t="str">
        <f t="shared" si="120"/>
        <v/>
      </c>
      <c r="AK485" s="49">
        <f t="shared" si="121"/>
        <v>0</v>
      </c>
      <c r="AL485" s="49" t="str">
        <f t="shared" si="122"/>
        <v/>
      </c>
      <c r="AM485" s="49">
        <f t="shared" si="123"/>
        <v>0</v>
      </c>
      <c r="AN485" s="49" t="str">
        <f t="shared" si="124"/>
        <v/>
      </c>
      <c r="AO485" s="49">
        <f t="shared" si="125"/>
        <v>0</v>
      </c>
      <c r="AP485" s="49" t="str">
        <f t="shared" si="126"/>
        <v/>
      </c>
      <c r="AQ485" s="49">
        <f t="shared" si="127"/>
        <v>0</v>
      </c>
      <c r="AR485" s="49" t="str">
        <f t="shared" si="128"/>
        <v/>
      </c>
    </row>
    <row r="486" spans="1:44" ht="30" customHeight="1" x14ac:dyDescent="0.35">
      <c r="A486" s="25" t="str">
        <f>CONCATENATE($B$469,"
",$B$471,"",$B$472,"
",$B$484)</f>
        <v>PT177 - PLATAFORMA DE ACESSO - GRUPO - BÁSICO
COLUNA 2PROJETO BÁSICO
CIVIL</v>
      </c>
      <c r="B486" s="40" t="s">
        <v>49</v>
      </c>
      <c r="C486" s="60" t="str">
        <f>IF(AND($B486=[1]rogério!$A487,[1]rogério!$B487=C$4),"ok","nok")</f>
        <v>nok</v>
      </c>
      <c r="D486" s="60" t="str">
        <f>IF(AND($B486=[1]rogério!$A487,[1]rogério!$B487=D$4),"ok","nok")</f>
        <v>nok</v>
      </c>
      <c r="E486" s="60" t="str">
        <f>IF(AND($B486=[1]rogério!$A487,[1]rogério!$B487=E$4),"ok","nok")</f>
        <v>nok</v>
      </c>
      <c r="F486" s="60" t="str">
        <f>IF(AND($B486=[1]rogério!$A487,[1]rogério!$B487=F$4),"ok","nok")</f>
        <v>nok</v>
      </c>
      <c r="G486" s="60" t="str">
        <f>IF(AND($B486=[1]rogério!$A487,[1]rogério!$B487=G$4),"ok","nok")</f>
        <v>nok</v>
      </c>
      <c r="H486" s="60" t="str">
        <f>IF(AND($B486=[1]rogério!$A487,[1]rogério!$B487=H$4),"ok","nok")</f>
        <v>nok</v>
      </c>
      <c r="I486" s="60" t="str">
        <f>IF(AND($B486=[1]rogério!$A487,[1]rogério!$B487=I$4),"ok","nok")</f>
        <v>nok</v>
      </c>
      <c r="J486" s="60" t="str">
        <f>IF(AND($B486=[1]rogério!$A487,[1]rogério!$B487=J$4),"ok","nok")</f>
        <v>ok</v>
      </c>
      <c r="K486" s="60" t="str">
        <f>IF(AND($B486=[1]rogério!$A487,[1]rogério!$B487=K$4),"ok","nok")</f>
        <v>nok</v>
      </c>
      <c r="L486" s="60" t="str">
        <f>IF(AND($B486=[1]rogério!$A487,[1]rogério!$B487=L$4),"ok","nok")</f>
        <v>nok</v>
      </c>
      <c r="M486" s="60" t="str">
        <f>IF(AND($B486=[1]rogério!$A487,[1]rogério!$B487=M$4),"ok","nok")</f>
        <v>nok</v>
      </c>
      <c r="N486" s="60" t="str">
        <f>IF(AND($B486=[1]rogério!$A487,[1]rogério!$B487=N$4),"ok","nok")</f>
        <v>nok</v>
      </c>
      <c r="O486" s="60" t="str">
        <f>IF(AND($B486=[1]rogério!$A487,[1]rogério!$B487=O$4),"ok","nok")</f>
        <v>nok</v>
      </c>
      <c r="P486" s="60" t="str">
        <f>IF(AND($B486=[1]rogério!$A487,[1]rogério!$B487=P$4),"ok","nok")</f>
        <v>nok</v>
      </c>
      <c r="Q486" s="60" t="str">
        <f>IF(AND($B486=[1]rogério!$A487,[1]rogério!$B487=Q$4),"ok","nok")</f>
        <v>nok</v>
      </c>
      <c r="R486" s="60" t="str">
        <f>IF(AND($B486=[1]rogério!$A487,[1]rogério!$B487=R$4),"ok","nok")</f>
        <v>nok</v>
      </c>
      <c r="S486" s="60" t="str">
        <f>IF(AND($B486=[1]rogério!$A487,[1]rogério!$B487=S$4),"ok","nok")</f>
        <v>nok</v>
      </c>
      <c r="T486" s="60" t="str">
        <f>IF(AND($B486=[1]rogério!$A487,[1]rogério!$B487=T$4),"ok","nok")</f>
        <v>nok</v>
      </c>
      <c r="U486" s="60" t="str">
        <f>IF(AND($B486=[1]rogério!$A487,[1]rogério!$B487=U$4),"ok","nok")</f>
        <v>nok</v>
      </c>
      <c r="V486" s="60" t="str">
        <f>IF(AND($B486=[1]rogério!$A487,[1]rogério!$B487=V$4),"ok","nok")</f>
        <v>nok</v>
      </c>
      <c r="W486" s="60" t="str">
        <f>IF(AND($B486=[1]rogério!$A487,[1]rogério!$B487=W$4),"ok","nok")</f>
        <v>nok</v>
      </c>
      <c r="X486" s="60" t="str">
        <f>IF(AND($B486=[1]rogério!$A487,[1]rogério!$B487=X$4),"ok","nok")</f>
        <v>nok</v>
      </c>
      <c r="Y486" s="105" t="s">
        <v>15</v>
      </c>
      <c r="Z486" s="106"/>
      <c r="AA486" s="106"/>
      <c r="AB486" s="107"/>
      <c r="AC486" s="46"/>
      <c r="AD486" s="46"/>
      <c r="AE486" s="48" t="str">
        <f t="shared" si="118"/>
        <v/>
      </c>
      <c r="AF486" s="48"/>
      <c r="AG486" s="48"/>
      <c r="AH486" s="89"/>
      <c r="AI486" s="49">
        <f t="shared" si="119"/>
        <v>0</v>
      </c>
      <c r="AJ486" s="49" t="str">
        <f t="shared" si="120"/>
        <v/>
      </c>
      <c r="AK486" s="49">
        <f t="shared" si="121"/>
        <v>1</v>
      </c>
      <c r="AL486" s="49" t="str">
        <f t="shared" si="122"/>
        <v/>
      </c>
      <c r="AM486" s="49">
        <f t="shared" si="123"/>
        <v>0</v>
      </c>
      <c r="AN486" s="49" t="str">
        <f t="shared" si="124"/>
        <v/>
      </c>
      <c r="AO486" s="49">
        <f t="shared" si="125"/>
        <v>0</v>
      </c>
      <c r="AP486" s="49" t="str">
        <f t="shared" si="126"/>
        <v/>
      </c>
      <c r="AQ486" s="49">
        <f t="shared" si="127"/>
        <v>0</v>
      </c>
      <c r="AR486" s="49" t="str">
        <f t="shared" si="128"/>
        <v/>
      </c>
    </row>
    <row r="487" spans="1:44" ht="30" customHeight="1" x14ac:dyDescent="0.35">
      <c r="A487" s="25" t="str">
        <f t="shared" ref="A487:A503" si="131">CONCATENATE($B$469,"
",$B$471,"",$B$472,"
",$B$484)</f>
        <v>PT177 - PLATAFORMA DE ACESSO - GRUPO - BÁSICO
COLUNA 2PROJETO BÁSICO
CIVIL</v>
      </c>
      <c r="B487" s="40" t="s">
        <v>19</v>
      </c>
      <c r="C487" s="60" t="str">
        <f>IF(AND($B487=[1]rogério!$A488,[1]rogério!$B488=C$4),"ok","nok")</f>
        <v>nok</v>
      </c>
      <c r="D487" s="60" t="str">
        <f>IF(AND($B487=[1]rogério!$A488,[1]rogério!$B488=D$4),"ok","nok")</f>
        <v>nok</v>
      </c>
      <c r="E487" s="60" t="str">
        <f>IF(AND($B487=[1]rogério!$A488,[1]rogério!$B488=E$4),"ok","nok")</f>
        <v>nok</v>
      </c>
      <c r="F487" s="60" t="str">
        <f>IF(AND($B487=[1]rogério!$A488,[1]rogério!$B488=F$4),"ok","nok")</f>
        <v>nok</v>
      </c>
      <c r="G487" s="60" t="str">
        <f>IF(AND($B487=[1]rogério!$A488,[1]rogério!$B488=G$4),"ok","nok")</f>
        <v>nok</v>
      </c>
      <c r="H487" s="60" t="str">
        <f>IF(AND($B487=[1]rogério!$A488,[1]rogério!$B488=H$4),"ok","nok")</f>
        <v>nok</v>
      </c>
      <c r="I487" s="60" t="str">
        <f>IF(AND($B487=[1]rogério!$A488,[1]rogério!$B488=I$4),"ok","nok")</f>
        <v>nok</v>
      </c>
      <c r="J487" s="60" t="str">
        <f>IF(AND($B487=[1]rogério!$A488,[1]rogério!$B488=J$4),"ok","nok")</f>
        <v>nok</v>
      </c>
      <c r="K487" s="60" t="str">
        <f>IF(AND($B487=[1]rogério!$A488,[1]rogério!$B488=K$4),"ok","nok")</f>
        <v>nok</v>
      </c>
      <c r="L487" s="60" t="str">
        <f>IF(AND($B487=[1]rogério!$A488,[1]rogério!$B488=L$4),"ok","nok")</f>
        <v>nok</v>
      </c>
      <c r="M487" s="60" t="str">
        <f>IF(AND($B487=[1]rogério!$A488,[1]rogério!$B488=M$4),"ok","nok")</f>
        <v>nok</v>
      </c>
      <c r="N487" s="60" t="str">
        <f>IF(AND($B487=[1]rogério!$A488,[1]rogério!$B488=N$4),"ok","nok")</f>
        <v>nok</v>
      </c>
      <c r="O487" s="60" t="str">
        <f>IF(AND($B487=[1]rogério!$A488,[1]rogério!$B488=O$4),"ok","nok")</f>
        <v>ok</v>
      </c>
      <c r="P487" s="60" t="str">
        <f>IF(AND($B487=[1]rogério!$A488,[1]rogério!$B488=P$4),"ok","nok")</f>
        <v>nok</v>
      </c>
      <c r="Q487" s="60" t="str">
        <f>IF(AND($B487=[1]rogério!$A488,[1]rogério!$B488=Q$4),"ok","nok")</f>
        <v>nok</v>
      </c>
      <c r="R487" s="60" t="str">
        <f>IF(AND($B487=[1]rogério!$A488,[1]rogério!$B488=R$4),"ok","nok")</f>
        <v>nok</v>
      </c>
      <c r="S487" s="60" t="str">
        <f>IF(AND($B487=[1]rogério!$A488,[1]rogério!$B488=S$4),"ok","nok")</f>
        <v>nok</v>
      </c>
      <c r="T487" s="60" t="str">
        <f>IF(AND($B487=[1]rogério!$A488,[1]rogério!$B488=T$4),"ok","nok")</f>
        <v>nok</v>
      </c>
      <c r="U487" s="60" t="str">
        <f>IF(AND($B487=[1]rogério!$A488,[1]rogério!$B488=U$4),"ok","nok")</f>
        <v>nok</v>
      </c>
      <c r="V487" s="60" t="str">
        <f>IF(AND($B487=[1]rogério!$A488,[1]rogério!$B488=V$4),"ok","nok")</f>
        <v>nok</v>
      </c>
      <c r="W487" s="60" t="str">
        <f>IF(AND($B487=[1]rogério!$A488,[1]rogério!$B488=W$4),"ok","nok")</f>
        <v>nok</v>
      </c>
      <c r="X487" s="60" t="str">
        <f>IF(AND($B487=[1]rogério!$A488,[1]rogério!$B488=X$4),"ok","nok")</f>
        <v>nok</v>
      </c>
      <c r="Y487" s="105" t="s">
        <v>15</v>
      </c>
      <c r="Z487" s="106"/>
      <c r="AA487" s="106"/>
      <c r="AB487" s="107"/>
      <c r="AC487" s="40"/>
      <c r="AD487" s="40"/>
      <c r="AE487" s="48" t="str">
        <f t="shared" si="118"/>
        <v/>
      </c>
      <c r="AF487" s="48"/>
      <c r="AG487" s="48"/>
      <c r="AH487" s="89"/>
      <c r="AI487" s="49">
        <f t="shared" si="119"/>
        <v>0</v>
      </c>
      <c r="AJ487" s="49" t="str">
        <f t="shared" si="120"/>
        <v/>
      </c>
      <c r="AK487" s="49">
        <f t="shared" si="121"/>
        <v>0</v>
      </c>
      <c r="AL487" s="49" t="str">
        <f t="shared" si="122"/>
        <v/>
      </c>
      <c r="AM487" s="49">
        <f t="shared" si="123"/>
        <v>1</v>
      </c>
      <c r="AN487" s="49" t="str">
        <f t="shared" si="124"/>
        <v/>
      </c>
      <c r="AO487" s="49">
        <f t="shared" si="125"/>
        <v>0</v>
      </c>
      <c r="AP487" s="49" t="str">
        <f t="shared" si="126"/>
        <v/>
      </c>
      <c r="AQ487" s="49">
        <f t="shared" si="127"/>
        <v>0</v>
      </c>
      <c r="AR487" s="49" t="str">
        <f t="shared" si="128"/>
        <v/>
      </c>
    </row>
    <row r="488" spans="1:44" ht="30" customHeight="1" x14ac:dyDescent="0.35">
      <c r="A488" s="25" t="str">
        <f t="shared" si="131"/>
        <v>PT177 - PLATAFORMA DE ACESSO - GRUPO - BÁSICO
COLUNA 2PROJETO BÁSICO
CIVIL</v>
      </c>
      <c r="B488" s="40" t="s">
        <v>42</v>
      </c>
      <c r="C488" s="60" t="str">
        <f>IF(AND($B488=[1]rogério!$A489,[1]rogério!$B489=C$4),"ok","nok")</f>
        <v>nok</v>
      </c>
      <c r="D488" s="60" t="str">
        <f>IF(AND($B488=[1]rogério!$A489,[1]rogério!$B489=D$4),"ok","nok")</f>
        <v>nok</v>
      </c>
      <c r="E488" s="60" t="str">
        <f>IF(AND($B488=[1]rogério!$A489,[1]rogério!$B489=E$4),"ok","nok")</f>
        <v>nok</v>
      </c>
      <c r="F488" s="60" t="str">
        <f>IF(AND($B488=[1]rogério!$A489,[1]rogério!$B489=F$4),"ok","nok")</f>
        <v>nok</v>
      </c>
      <c r="G488" s="60" t="str">
        <f>IF(AND($B488=[1]rogério!$A489,[1]rogério!$B489=G$4),"ok","nok")</f>
        <v>nok</v>
      </c>
      <c r="H488" s="60" t="str">
        <f>IF(AND($B488=[1]rogério!$A489,[1]rogério!$B489=H$4),"ok","nok")</f>
        <v>nok</v>
      </c>
      <c r="I488" s="60" t="str">
        <f>IF(AND($B488=[1]rogério!$A489,[1]rogério!$B489=I$4),"ok","nok")</f>
        <v>nok</v>
      </c>
      <c r="J488" s="60" t="str">
        <f>IF(AND($B488=[1]rogério!$A489,[1]rogério!$B489=J$4),"ok","nok")</f>
        <v>nok</v>
      </c>
      <c r="K488" s="60" t="str">
        <f>IF(AND($B488=[1]rogério!$A489,[1]rogério!$B489=K$4),"ok","nok")</f>
        <v>nok</v>
      </c>
      <c r="L488" s="60" t="str">
        <f>IF(AND($B488=[1]rogério!$A489,[1]rogério!$B489=L$4),"ok","nok")</f>
        <v>nok</v>
      </c>
      <c r="M488" s="60" t="str">
        <f>IF(AND($B488=[1]rogério!$A489,[1]rogério!$B489=M$4),"ok","nok")</f>
        <v>nok</v>
      </c>
      <c r="N488" s="60" t="str">
        <f>IF(AND($B488=[1]rogério!$A489,[1]rogério!$B489=N$4),"ok","nok")</f>
        <v>nok</v>
      </c>
      <c r="O488" s="60" t="str">
        <f>IF(AND($B488=[1]rogério!$A489,[1]rogério!$B489=O$4),"ok","nok")</f>
        <v>nok</v>
      </c>
      <c r="P488" s="60" t="str">
        <f>IF(AND($B488=[1]rogério!$A489,[1]rogério!$B489=P$4),"ok","nok")</f>
        <v>nok</v>
      </c>
      <c r="Q488" s="60" t="str">
        <f>IF(AND($B488=[1]rogério!$A489,[1]rogério!$B489=Q$4),"ok","nok")</f>
        <v>nok</v>
      </c>
      <c r="R488" s="60" t="str">
        <f>IF(AND($B488=[1]rogério!$A489,[1]rogério!$B489=R$4),"ok","nok")</f>
        <v>ok</v>
      </c>
      <c r="S488" s="60" t="str">
        <f>IF(AND($B488=[1]rogério!$A489,[1]rogério!$B489=S$4),"ok","nok")</f>
        <v>nok</v>
      </c>
      <c r="T488" s="60" t="str">
        <f>IF(AND($B488=[1]rogério!$A489,[1]rogério!$B489=T$4),"ok","nok")</f>
        <v>nok</v>
      </c>
      <c r="U488" s="60" t="str">
        <f>IF(AND($B488=[1]rogério!$A489,[1]rogério!$B489=U$4),"ok","nok")</f>
        <v>nok</v>
      </c>
      <c r="V488" s="60" t="str">
        <f>IF(AND($B488=[1]rogério!$A489,[1]rogério!$B489=V$4),"ok","nok")</f>
        <v>nok</v>
      </c>
      <c r="W488" s="60" t="str">
        <f>IF(AND($B488=[1]rogério!$A489,[1]rogério!$B489=W$4),"ok","nok")</f>
        <v>nok</v>
      </c>
      <c r="X488" s="60" t="str">
        <f>IF(AND($B488=[1]rogério!$A489,[1]rogério!$B489=X$4),"ok","nok")</f>
        <v>nok</v>
      </c>
      <c r="Y488" s="105" t="s">
        <v>15</v>
      </c>
      <c r="Z488" s="106"/>
      <c r="AA488" s="106"/>
      <c r="AB488" s="107"/>
      <c r="AC488" s="40"/>
      <c r="AD488" s="40"/>
      <c r="AE488" s="48" t="str">
        <f t="shared" si="118"/>
        <v/>
      </c>
      <c r="AF488" s="48"/>
      <c r="AG488" s="48"/>
      <c r="AH488" s="89"/>
      <c r="AI488" s="49">
        <f t="shared" si="119"/>
        <v>0</v>
      </c>
      <c r="AJ488" s="49" t="str">
        <f t="shared" si="120"/>
        <v/>
      </c>
      <c r="AK488" s="49">
        <f t="shared" si="121"/>
        <v>0</v>
      </c>
      <c r="AL488" s="49" t="str">
        <f t="shared" si="122"/>
        <v/>
      </c>
      <c r="AM488" s="49">
        <f t="shared" si="123"/>
        <v>0</v>
      </c>
      <c r="AN488" s="49" t="str">
        <f t="shared" si="124"/>
        <v/>
      </c>
      <c r="AO488" s="49">
        <f t="shared" si="125"/>
        <v>1</v>
      </c>
      <c r="AP488" s="49" t="str">
        <f t="shared" si="126"/>
        <v/>
      </c>
      <c r="AQ488" s="49">
        <f t="shared" si="127"/>
        <v>0</v>
      </c>
      <c r="AR488" s="49" t="str">
        <f t="shared" si="128"/>
        <v/>
      </c>
    </row>
    <row r="489" spans="1:44" ht="30" customHeight="1" x14ac:dyDescent="0.35">
      <c r="A489" s="25" t="str">
        <f t="shared" si="131"/>
        <v>PT177 - PLATAFORMA DE ACESSO - GRUPO - BÁSICO
COLUNA 2PROJETO BÁSICO
CIVIL</v>
      </c>
      <c r="B489" s="40" t="s">
        <v>43</v>
      </c>
      <c r="C489" s="60" t="str">
        <f>IF(AND($B489=[1]rogério!$A490,[1]rogério!$B490=C$4),"ok","nok")</f>
        <v>nok</v>
      </c>
      <c r="D489" s="60" t="str">
        <f>IF(AND($B489=[1]rogério!$A490,[1]rogério!$B490=D$4),"ok","nok")</f>
        <v>nok</v>
      </c>
      <c r="E489" s="60" t="str">
        <f>IF(AND($B489=[1]rogério!$A490,[1]rogério!$B490=E$4),"ok","nok")</f>
        <v>nok</v>
      </c>
      <c r="F489" s="60" t="str">
        <f>IF(AND($B489=[1]rogério!$A490,[1]rogério!$B490=F$4),"ok","nok")</f>
        <v>nok</v>
      </c>
      <c r="G489" s="60" t="str">
        <f>IF(AND($B489=[1]rogério!$A490,[1]rogério!$B490=G$4),"ok","nok")</f>
        <v>nok</v>
      </c>
      <c r="H489" s="60" t="str">
        <f>IF(AND($B489=[1]rogério!$A490,[1]rogério!$B490=H$4),"ok","nok")</f>
        <v>nok</v>
      </c>
      <c r="I489" s="60" t="str">
        <f>IF(AND($B489=[1]rogério!$A490,[1]rogério!$B490=I$4),"ok","nok")</f>
        <v>nok</v>
      </c>
      <c r="J489" s="60" t="str">
        <f>IF(AND($B489=[1]rogério!$A490,[1]rogério!$B490=J$4),"ok","nok")</f>
        <v>nok</v>
      </c>
      <c r="K489" s="60" t="str">
        <f>IF(AND($B489=[1]rogério!$A490,[1]rogério!$B490=K$4),"ok","nok")</f>
        <v>nok</v>
      </c>
      <c r="L489" s="60" t="str">
        <f>IF(AND($B489=[1]rogério!$A490,[1]rogério!$B490=L$4),"ok","nok")</f>
        <v>nok</v>
      </c>
      <c r="M489" s="60" t="str">
        <f>IF(AND($B489=[1]rogério!$A490,[1]rogério!$B490=M$4),"ok","nok")</f>
        <v>nok</v>
      </c>
      <c r="N489" s="60" t="str">
        <f>IF(AND($B489=[1]rogério!$A490,[1]rogério!$B490=N$4),"ok","nok")</f>
        <v>nok</v>
      </c>
      <c r="O489" s="60" t="str">
        <f>IF(AND($B489=[1]rogério!$A490,[1]rogério!$B490=O$4),"ok","nok")</f>
        <v>nok</v>
      </c>
      <c r="P489" s="60" t="str">
        <f>IF(AND($B489=[1]rogério!$A490,[1]rogério!$B490=P$4),"ok","nok")</f>
        <v>nok</v>
      </c>
      <c r="Q489" s="60" t="str">
        <f>IF(AND($B489=[1]rogério!$A490,[1]rogério!$B490=Q$4),"ok","nok")</f>
        <v>nok</v>
      </c>
      <c r="R489" s="60" t="str">
        <f>IF(AND($B489=[1]rogério!$A490,[1]rogério!$B490=R$4),"ok","nok")</f>
        <v>ok</v>
      </c>
      <c r="S489" s="60" t="str">
        <f>IF(AND($B489=[1]rogério!$A490,[1]rogério!$B490=S$4),"ok","nok")</f>
        <v>nok</v>
      </c>
      <c r="T489" s="60" t="str">
        <f>IF(AND($B489=[1]rogério!$A490,[1]rogério!$B490=T$4),"ok","nok")</f>
        <v>nok</v>
      </c>
      <c r="U489" s="60" t="str">
        <f>IF(AND($B489=[1]rogério!$A490,[1]rogério!$B490=U$4),"ok","nok")</f>
        <v>nok</v>
      </c>
      <c r="V489" s="60" t="str">
        <f>IF(AND($B489=[1]rogério!$A490,[1]rogério!$B490=V$4),"ok","nok")</f>
        <v>nok</v>
      </c>
      <c r="W489" s="60" t="str">
        <f>IF(AND($B489=[1]rogério!$A490,[1]rogério!$B490=W$4),"ok","nok")</f>
        <v>nok</v>
      </c>
      <c r="X489" s="60" t="str">
        <f>IF(AND($B489=[1]rogério!$A490,[1]rogério!$B490=X$4),"ok","nok")</f>
        <v>nok</v>
      </c>
      <c r="Y489" s="105" t="s">
        <v>15</v>
      </c>
      <c r="Z489" s="106"/>
      <c r="AA489" s="106"/>
      <c r="AB489" s="107"/>
      <c r="AC489" s="41"/>
      <c r="AD489" s="41"/>
      <c r="AE489" s="48" t="str">
        <f t="shared" si="118"/>
        <v/>
      </c>
      <c r="AF489" s="48"/>
      <c r="AG489" s="48"/>
      <c r="AH489" s="89"/>
      <c r="AI489" s="49">
        <f t="shared" si="119"/>
        <v>0</v>
      </c>
      <c r="AJ489" s="49" t="str">
        <f t="shared" si="120"/>
        <v/>
      </c>
      <c r="AK489" s="49">
        <f t="shared" si="121"/>
        <v>0</v>
      </c>
      <c r="AL489" s="49" t="str">
        <f t="shared" si="122"/>
        <v/>
      </c>
      <c r="AM489" s="49">
        <f t="shared" si="123"/>
        <v>0</v>
      </c>
      <c r="AN489" s="49" t="str">
        <f t="shared" si="124"/>
        <v/>
      </c>
      <c r="AO489" s="49">
        <f t="shared" si="125"/>
        <v>1</v>
      </c>
      <c r="AP489" s="49" t="str">
        <f t="shared" si="126"/>
        <v/>
      </c>
      <c r="AQ489" s="49">
        <f t="shared" si="127"/>
        <v>0</v>
      </c>
      <c r="AR489" s="49" t="str">
        <f t="shared" si="128"/>
        <v/>
      </c>
    </row>
    <row r="490" spans="1:44" ht="30" customHeight="1" x14ac:dyDescent="0.35">
      <c r="A490" s="25" t="str">
        <f t="shared" si="131"/>
        <v>PT177 - PLATAFORMA DE ACESSO - GRUPO - BÁSICO
COLUNA 2PROJETO BÁSICO
CIVIL</v>
      </c>
      <c r="B490" s="38" t="s">
        <v>65</v>
      </c>
      <c r="C490" s="60" t="str">
        <f>IF(AND($B490=[1]rogério!$A491,[1]rogério!$B491=C$4),"ok","nok")</f>
        <v>nok</v>
      </c>
      <c r="D490" s="60" t="str">
        <f>IF(AND($B490=[1]rogério!$A491,[1]rogério!$B491=D$4),"ok","nok")</f>
        <v>nok</v>
      </c>
      <c r="E490" s="60" t="str">
        <f>IF(AND($B490=[1]rogério!$A491,[1]rogério!$B491=E$4),"ok","nok")</f>
        <v>nok</v>
      </c>
      <c r="F490" s="60" t="str">
        <f>IF(AND($B490=[1]rogério!$A491,[1]rogério!$B491=F$4),"ok","nok")</f>
        <v>nok</v>
      </c>
      <c r="G490" s="60" t="str">
        <f>IF(AND($B490=[1]rogério!$A491,[1]rogério!$B491=G$4),"ok","nok")</f>
        <v>nok</v>
      </c>
      <c r="H490" s="60" t="str">
        <f>IF(AND($B490=[1]rogério!$A491,[1]rogério!$B491=H$4),"ok","nok")</f>
        <v>nok</v>
      </c>
      <c r="I490" s="60" t="str">
        <f>IF(AND($B490=[1]rogério!$A491,[1]rogério!$B491=I$4),"ok","nok")</f>
        <v>ok</v>
      </c>
      <c r="J490" s="60" t="str">
        <f>IF(AND($B490=[1]rogério!$A491,[1]rogério!$B491=J$4),"ok","nok")</f>
        <v>nok</v>
      </c>
      <c r="K490" s="60" t="str">
        <f>IF(AND($B490=[1]rogério!$A491,[1]rogério!$B491=K$4),"ok","nok")</f>
        <v>nok</v>
      </c>
      <c r="L490" s="60" t="str">
        <f>IF(AND($B490=[1]rogério!$A491,[1]rogério!$B491=L$4),"ok","nok")</f>
        <v>nok</v>
      </c>
      <c r="M490" s="60" t="str">
        <f>IF(AND($B490=[1]rogério!$A491,[1]rogério!$B491=M$4),"ok","nok")</f>
        <v>nok</v>
      </c>
      <c r="N490" s="60" t="str">
        <f>IF(AND($B490=[1]rogério!$A491,[1]rogério!$B491=N$4),"ok","nok")</f>
        <v>nok</v>
      </c>
      <c r="O490" s="60" t="str">
        <f>IF(AND($B490=[1]rogério!$A491,[1]rogério!$B491=O$4),"ok","nok")</f>
        <v>nok</v>
      </c>
      <c r="P490" s="60" t="str">
        <f>IF(AND($B490=[1]rogério!$A491,[1]rogério!$B491=P$4),"ok","nok")</f>
        <v>nok</v>
      </c>
      <c r="Q490" s="60" t="str">
        <f>IF(AND($B490=[1]rogério!$A491,[1]rogério!$B491=Q$4),"ok","nok")</f>
        <v>nok</v>
      </c>
      <c r="R490" s="60" t="str">
        <f>IF(AND($B490=[1]rogério!$A491,[1]rogério!$B491=R$4),"ok","nok")</f>
        <v>nok</v>
      </c>
      <c r="S490" s="60" t="str">
        <f>IF(AND($B490=[1]rogério!$A491,[1]rogério!$B491=S$4),"ok","nok")</f>
        <v>nok</v>
      </c>
      <c r="T490" s="60" t="str">
        <f>IF(AND($B490=[1]rogério!$A491,[1]rogério!$B491=T$4),"ok","nok")</f>
        <v>nok</v>
      </c>
      <c r="U490" s="60" t="str">
        <f>IF(AND($B490=[1]rogério!$A491,[1]rogério!$B491=U$4),"ok","nok")</f>
        <v>nok</v>
      </c>
      <c r="V490" s="60" t="str">
        <f>IF(AND($B490=[1]rogério!$A491,[1]rogério!$B491=V$4),"ok","nok")</f>
        <v>nok</v>
      </c>
      <c r="W490" s="60" t="str">
        <f>IF(AND($B490=[1]rogério!$A491,[1]rogério!$B491=W$4),"ok","nok")</f>
        <v>nok</v>
      </c>
      <c r="X490" s="60" t="str">
        <f>IF(AND($B490=[1]rogério!$A491,[1]rogério!$B491=X$4),"ok","nok")</f>
        <v>nok</v>
      </c>
      <c r="Y490" s="105" t="s">
        <v>15</v>
      </c>
      <c r="Z490" s="106"/>
      <c r="AA490" s="106"/>
      <c r="AB490" s="107"/>
      <c r="AC490" s="46"/>
      <c r="AD490" s="46"/>
      <c r="AE490" s="48" t="str">
        <f t="shared" si="118"/>
        <v/>
      </c>
      <c r="AF490" s="48"/>
      <c r="AG490" s="48"/>
      <c r="AH490" s="89"/>
      <c r="AI490" s="49">
        <f t="shared" si="119"/>
        <v>0</v>
      </c>
      <c r="AJ490" s="49" t="str">
        <f t="shared" si="120"/>
        <v/>
      </c>
      <c r="AK490" s="49">
        <f t="shared" si="121"/>
        <v>1</v>
      </c>
      <c r="AL490" s="49" t="str">
        <f t="shared" si="122"/>
        <v/>
      </c>
      <c r="AM490" s="49">
        <f t="shared" si="123"/>
        <v>0</v>
      </c>
      <c r="AN490" s="49" t="str">
        <f t="shared" si="124"/>
        <v/>
      </c>
      <c r="AO490" s="49">
        <f t="shared" si="125"/>
        <v>0</v>
      </c>
      <c r="AP490" s="49" t="str">
        <f t="shared" si="126"/>
        <v/>
      </c>
      <c r="AQ490" s="49">
        <f t="shared" si="127"/>
        <v>0</v>
      </c>
      <c r="AR490" s="49" t="str">
        <f t="shared" si="128"/>
        <v/>
      </c>
    </row>
    <row r="491" spans="1:44" ht="30" customHeight="1" x14ac:dyDescent="0.35">
      <c r="A491" s="25" t="str">
        <f t="shared" si="131"/>
        <v>PT177 - PLATAFORMA DE ACESSO - GRUPO - BÁSICO
COLUNA 2PROJETO BÁSICO
CIVIL</v>
      </c>
      <c r="B491" s="38" t="s">
        <v>66</v>
      </c>
      <c r="C491" s="60" t="str">
        <f>IF(AND($B491=[1]rogério!$A492,[1]rogério!$B492=C$4),"ok","nok")</f>
        <v>nok</v>
      </c>
      <c r="D491" s="60" t="str">
        <f>IF(AND($B491=[1]rogério!$A492,[1]rogério!$B492=D$4),"ok","nok")</f>
        <v>nok</v>
      </c>
      <c r="E491" s="60" t="str">
        <f>IF(AND($B491=[1]rogério!$A492,[1]rogério!$B492=E$4),"ok","nok")</f>
        <v>nok</v>
      </c>
      <c r="F491" s="60" t="str">
        <f>IF(AND($B491=[1]rogério!$A492,[1]rogério!$B492=F$4),"ok","nok")</f>
        <v>nok</v>
      </c>
      <c r="G491" s="60" t="str">
        <f>IF(AND($B491=[1]rogério!$A492,[1]rogério!$B492=G$4),"ok","nok")</f>
        <v>nok</v>
      </c>
      <c r="H491" s="60" t="str">
        <f>IF(AND($B491=[1]rogério!$A492,[1]rogério!$B492=H$4),"ok","nok")</f>
        <v>nok</v>
      </c>
      <c r="I491" s="60" t="str">
        <f>IF(AND($B491=[1]rogério!$A492,[1]rogério!$B492=I$4),"ok","nok")</f>
        <v>nok</v>
      </c>
      <c r="J491" s="60" t="str">
        <f>IF(AND($B491=[1]rogério!$A492,[1]rogério!$B492=J$4),"ok","nok")</f>
        <v>ok</v>
      </c>
      <c r="K491" s="60" t="str">
        <f>IF(AND($B491=[1]rogério!$A492,[1]rogério!$B492=K$4),"ok","nok")</f>
        <v>nok</v>
      </c>
      <c r="L491" s="60" t="str">
        <f>IF(AND($B491=[1]rogério!$A492,[1]rogério!$B492=L$4),"ok","nok")</f>
        <v>nok</v>
      </c>
      <c r="M491" s="60" t="str">
        <f>IF(AND($B491=[1]rogério!$A492,[1]rogério!$B492=M$4),"ok","nok")</f>
        <v>nok</v>
      </c>
      <c r="N491" s="60" t="str">
        <f>IF(AND($B491=[1]rogério!$A492,[1]rogério!$B492=N$4),"ok","nok")</f>
        <v>nok</v>
      </c>
      <c r="O491" s="60" t="str">
        <f>IF(AND($B491=[1]rogério!$A492,[1]rogério!$B492=O$4),"ok","nok")</f>
        <v>nok</v>
      </c>
      <c r="P491" s="60" t="str">
        <f>IF(AND($B491=[1]rogério!$A492,[1]rogério!$B492=P$4),"ok","nok")</f>
        <v>nok</v>
      </c>
      <c r="Q491" s="60" t="str">
        <f>IF(AND($B491=[1]rogério!$A492,[1]rogério!$B492=Q$4),"ok","nok")</f>
        <v>nok</v>
      </c>
      <c r="R491" s="60" t="str">
        <f>IF(AND($B491=[1]rogério!$A492,[1]rogério!$B492=R$4),"ok","nok")</f>
        <v>nok</v>
      </c>
      <c r="S491" s="60" t="str">
        <f>IF(AND($B491=[1]rogério!$A492,[1]rogério!$B492=S$4),"ok","nok")</f>
        <v>nok</v>
      </c>
      <c r="T491" s="60" t="str">
        <f>IF(AND($B491=[1]rogério!$A492,[1]rogério!$B492=T$4),"ok","nok")</f>
        <v>nok</v>
      </c>
      <c r="U491" s="60" t="str">
        <f>IF(AND($B491=[1]rogério!$A492,[1]rogério!$B492=U$4),"ok","nok")</f>
        <v>nok</v>
      </c>
      <c r="V491" s="60" t="str">
        <f>IF(AND($B491=[1]rogério!$A492,[1]rogério!$B492=V$4),"ok","nok")</f>
        <v>nok</v>
      </c>
      <c r="W491" s="60" t="str">
        <f>IF(AND($B491=[1]rogério!$A492,[1]rogério!$B492=W$4),"ok","nok")</f>
        <v>nok</v>
      </c>
      <c r="X491" s="60" t="str">
        <f>IF(AND($B491=[1]rogério!$A492,[1]rogério!$B492=X$4),"ok","nok")</f>
        <v>nok</v>
      </c>
      <c r="Y491" s="105" t="s">
        <v>15</v>
      </c>
      <c r="Z491" s="106"/>
      <c r="AA491" s="106"/>
      <c r="AB491" s="107"/>
      <c r="AC491" s="40"/>
      <c r="AD491" s="40"/>
      <c r="AE491" s="48" t="str">
        <f t="shared" si="118"/>
        <v/>
      </c>
      <c r="AF491" s="48"/>
      <c r="AG491" s="48"/>
      <c r="AH491" s="89"/>
      <c r="AI491" s="49">
        <f t="shared" si="119"/>
        <v>0</v>
      </c>
      <c r="AJ491" s="49" t="str">
        <f t="shared" si="120"/>
        <v/>
      </c>
      <c r="AK491" s="49">
        <f t="shared" si="121"/>
        <v>1</v>
      </c>
      <c r="AL491" s="49" t="str">
        <f t="shared" si="122"/>
        <v/>
      </c>
      <c r="AM491" s="49">
        <f t="shared" si="123"/>
        <v>0</v>
      </c>
      <c r="AN491" s="49" t="str">
        <f t="shared" si="124"/>
        <v/>
      </c>
      <c r="AO491" s="49">
        <f t="shared" si="125"/>
        <v>0</v>
      </c>
      <c r="AP491" s="49" t="str">
        <f t="shared" si="126"/>
        <v/>
      </c>
      <c r="AQ491" s="49">
        <f t="shared" si="127"/>
        <v>0</v>
      </c>
      <c r="AR491" s="49" t="str">
        <f t="shared" si="128"/>
        <v/>
      </c>
    </row>
    <row r="492" spans="1:44" ht="30" customHeight="1" x14ac:dyDescent="0.35">
      <c r="A492" s="25"/>
      <c r="B492" s="39" t="s">
        <v>67</v>
      </c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108"/>
      <c r="Z492" s="109"/>
      <c r="AA492" s="109"/>
      <c r="AB492" s="110"/>
      <c r="AC492" s="40"/>
      <c r="AD492" s="40"/>
      <c r="AE492" s="48" t="str">
        <f t="shared" si="118"/>
        <v/>
      </c>
      <c r="AF492" s="48"/>
      <c r="AG492" s="48"/>
      <c r="AH492" s="89"/>
      <c r="AI492" s="49">
        <f t="shared" si="119"/>
        <v>0</v>
      </c>
      <c r="AJ492" s="49" t="str">
        <f t="shared" si="120"/>
        <v/>
      </c>
      <c r="AK492" s="49">
        <f t="shared" si="121"/>
        <v>0</v>
      </c>
      <c r="AL492" s="49" t="str">
        <f t="shared" si="122"/>
        <v/>
      </c>
      <c r="AM492" s="49">
        <f t="shared" si="123"/>
        <v>0</v>
      </c>
      <c r="AN492" s="49" t="str">
        <f t="shared" si="124"/>
        <v/>
      </c>
      <c r="AO492" s="49">
        <f t="shared" si="125"/>
        <v>0</v>
      </c>
      <c r="AP492" s="49" t="str">
        <f t="shared" si="126"/>
        <v/>
      </c>
      <c r="AQ492" s="49">
        <f t="shared" si="127"/>
        <v>0</v>
      </c>
      <c r="AR492" s="49" t="str">
        <f t="shared" si="128"/>
        <v/>
      </c>
    </row>
    <row r="493" spans="1:44" ht="30" customHeight="1" x14ac:dyDescent="0.35">
      <c r="A493" s="25" t="str">
        <f t="shared" si="131"/>
        <v>PT177 - PLATAFORMA DE ACESSO - GRUPO - BÁSICO
COLUNA 2PROJETO BÁSICO
CIVIL</v>
      </c>
      <c r="B493" s="40" t="s">
        <v>49</v>
      </c>
      <c r="C493" s="60" t="str">
        <f>IF(AND($B493=[1]rogério!$A494,[1]rogério!$B494=C$4),"ok","nok")</f>
        <v>nok</v>
      </c>
      <c r="D493" s="60" t="str">
        <f>IF(AND($B493=[1]rogério!$A494,[1]rogério!$B494=D$4),"ok","nok")</f>
        <v>nok</v>
      </c>
      <c r="E493" s="60" t="str">
        <f>IF(AND($B493=[1]rogério!$A494,[1]rogério!$B494=E$4),"ok","nok")</f>
        <v>nok</v>
      </c>
      <c r="F493" s="60" t="str">
        <f>IF(AND($B493=[1]rogério!$A494,[1]rogério!$B494=F$4),"ok","nok")</f>
        <v>nok</v>
      </c>
      <c r="G493" s="60" t="str">
        <f>IF(AND($B493=[1]rogério!$A494,[1]rogério!$B494=G$4),"ok","nok")</f>
        <v>nok</v>
      </c>
      <c r="H493" s="60" t="str">
        <f>IF(AND($B493=[1]rogério!$A494,[1]rogério!$B494=H$4),"ok","nok")</f>
        <v>nok</v>
      </c>
      <c r="I493" s="60" t="str">
        <f>IF(AND($B493=[1]rogério!$A494,[1]rogério!$B494=I$4),"ok","nok")</f>
        <v>nok</v>
      </c>
      <c r="J493" s="60" t="str">
        <f>IF(AND($B493=[1]rogério!$A494,[1]rogério!$B494=J$4),"ok","nok")</f>
        <v>ok</v>
      </c>
      <c r="K493" s="60" t="str">
        <f>IF(AND($B493=[1]rogério!$A494,[1]rogério!$B494=K$4),"ok","nok")</f>
        <v>nok</v>
      </c>
      <c r="L493" s="60" t="str">
        <f>IF(AND($B493=[1]rogério!$A494,[1]rogério!$B494=L$4),"ok","nok")</f>
        <v>nok</v>
      </c>
      <c r="M493" s="60" t="str">
        <f>IF(AND($B493=[1]rogério!$A494,[1]rogério!$B494=M$4),"ok","nok")</f>
        <v>nok</v>
      </c>
      <c r="N493" s="60" t="str">
        <f>IF(AND($B493=[1]rogério!$A494,[1]rogério!$B494=N$4),"ok","nok")</f>
        <v>nok</v>
      </c>
      <c r="O493" s="60" t="str">
        <f>IF(AND($B493=[1]rogério!$A494,[1]rogério!$B494=O$4),"ok","nok")</f>
        <v>nok</v>
      </c>
      <c r="P493" s="60" t="str">
        <f>IF(AND($B493=[1]rogério!$A494,[1]rogério!$B494=P$4),"ok","nok")</f>
        <v>nok</v>
      </c>
      <c r="Q493" s="60" t="str">
        <f>IF(AND($B493=[1]rogério!$A494,[1]rogério!$B494=Q$4),"ok","nok")</f>
        <v>nok</v>
      </c>
      <c r="R493" s="60" t="str">
        <f>IF(AND($B493=[1]rogério!$A494,[1]rogério!$B494=R$4),"ok","nok")</f>
        <v>nok</v>
      </c>
      <c r="S493" s="60" t="str">
        <f>IF(AND($B493=[1]rogério!$A494,[1]rogério!$B494=S$4),"ok","nok")</f>
        <v>nok</v>
      </c>
      <c r="T493" s="60" t="str">
        <f>IF(AND($B493=[1]rogério!$A494,[1]rogério!$B494=T$4),"ok","nok")</f>
        <v>nok</v>
      </c>
      <c r="U493" s="60" t="str">
        <f>IF(AND($B493=[1]rogério!$A494,[1]rogério!$B494=U$4),"ok","nok")</f>
        <v>nok</v>
      </c>
      <c r="V493" s="60" t="str">
        <f>IF(AND($B493=[1]rogério!$A494,[1]rogério!$B494=V$4),"ok","nok")</f>
        <v>nok</v>
      </c>
      <c r="W493" s="60" t="str">
        <f>IF(AND($B493=[1]rogério!$A494,[1]rogério!$B494=W$4),"ok","nok")</f>
        <v>nok</v>
      </c>
      <c r="X493" s="60" t="str">
        <f>IF(AND($B493=[1]rogério!$A494,[1]rogério!$B494=X$4),"ok","nok")</f>
        <v>nok</v>
      </c>
      <c r="Y493" s="105" t="s">
        <v>15</v>
      </c>
      <c r="Z493" s="106"/>
      <c r="AA493" s="106"/>
      <c r="AB493" s="107"/>
      <c r="AC493" s="41"/>
      <c r="AD493" s="41"/>
      <c r="AE493" s="48" t="str">
        <f t="shared" si="118"/>
        <v/>
      </c>
      <c r="AF493" s="48"/>
      <c r="AG493" s="48"/>
      <c r="AH493" s="89"/>
      <c r="AI493" s="49">
        <f t="shared" si="119"/>
        <v>0</v>
      </c>
      <c r="AJ493" s="49" t="str">
        <f t="shared" si="120"/>
        <v/>
      </c>
      <c r="AK493" s="49">
        <f t="shared" si="121"/>
        <v>1</v>
      </c>
      <c r="AL493" s="49" t="str">
        <f t="shared" si="122"/>
        <v/>
      </c>
      <c r="AM493" s="49">
        <f t="shared" si="123"/>
        <v>0</v>
      </c>
      <c r="AN493" s="49" t="str">
        <f t="shared" si="124"/>
        <v/>
      </c>
      <c r="AO493" s="49">
        <f t="shared" si="125"/>
        <v>0</v>
      </c>
      <c r="AP493" s="49" t="str">
        <f t="shared" si="126"/>
        <v/>
      </c>
      <c r="AQ493" s="49">
        <f t="shared" si="127"/>
        <v>0</v>
      </c>
      <c r="AR493" s="49" t="str">
        <f t="shared" si="128"/>
        <v/>
      </c>
    </row>
    <row r="494" spans="1:44" ht="30" customHeight="1" x14ac:dyDescent="0.35">
      <c r="A494" s="25" t="str">
        <f t="shared" si="131"/>
        <v>PT177 - PLATAFORMA DE ACESSO - GRUPO - BÁSICO
COLUNA 2PROJETO BÁSICO
CIVIL</v>
      </c>
      <c r="B494" s="40" t="s">
        <v>19</v>
      </c>
      <c r="C494" s="60" t="str">
        <f>IF(AND($B494=[1]rogério!$A495,[1]rogério!$B495=C$4),"ok","nok")</f>
        <v>nok</v>
      </c>
      <c r="D494" s="60" t="str">
        <f>IF(AND($B494=[1]rogério!$A495,[1]rogério!$B495=D$4),"ok","nok")</f>
        <v>nok</v>
      </c>
      <c r="E494" s="60" t="str">
        <f>IF(AND($B494=[1]rogério!$A495,[1]rogério!$B495=E$4),"ok","nok")</f>
        <v>nok</v>
      </c>
      <c r="F494" s="60" t="str">
        <f>IF(AND($B494=[1]rogério!$A495,[1]rogério!$B495=F$4),"ok","nok")</f>
        <v>nok</v>
      </c>
      <c r="G494" s="60" t="str">
        <f>IF(AND($B494=[1]rogério!$A495,[1]rogério!$B495=G$4),"ok","nok")</f>
        <v>nok</v>
      </c>
      <c r="H494" s="60" t="str">
        <f>IF(AND($B494=[1]rogério!$A495,[1]rogério!$B495=H$4),"ok","nok")</f>
        <v>nok</v>
      </c>
      <c r="I494" s="60" t="str">
        <f>IF(AND($B494=[1]rogério!$A495,[1]rogério!$B495=I$4),"ok","nok")</f>
        <v>nok</v>
      </c>
      <c r="J494" s="60" t="str">
        <f>IF(AND($B494=[1]rogério!$A495,[1]rogério!$B495=J$4),"ok","nok")</f>
        <v>nok</v>
      </c>
      <c r="K494" s="60" t="str">
        <f>IF(AND($B494=[1]rogério!$A495,[1]rogério!$B495=K$4),"ok","nok")</f>
        <v>nok</v>
      </c>
      <c r="L494" s="60" t="str">
        <f>IF(AND($B494=[1]rogério!$A495,[1]rogério!$B495=L$4),"ok","nok")</f>
        <v>nok</v>
      </c>
      <c r="M494" s="60" t="str">
        <f>IF(AND($B494=[1]rogério!$A495,[1]rogério!$B495=M$4),"ok","nok")</f>
        <v>nok</v>
      </c>
      <c r="N494" s="60" t="str">
        <f>IF(AND($B494=[1]rogério!$A495,[1]rogério!$B495=N$4),"ok","nok")</f>
        <v>nok</v>
      </c>
      <c r="O494" s="60" t="str">
        <f>IF(AND($B494=[1]rogério!$A495,[1]rogério!$B495=O$4),"ok","nok")</f>
        <v>ok</v>
      </c>
      <c r="P494" s="60" t="str">
        <f>IF(AND($B494=[1]rogério!$A495,[1]rogério!$B495=P$4),"ok","nok")</f>
        <v>nok</v>
      </c>
      <c r="Q494" s="60" t="str">
        <f>IF(AND($B494=[1]rogério!$A495,[1]rogério!$B495=Q$4),"ok","nok")</f>
        <v>nok</v>
      </c>
      <c r="R494" s="60" t="str">
        <f>IF(AND($B494=[1]rogério!$A495,[1]rogério!$B495=R$4),"ok","nok")</f>
        <v>nok</v>
      </c>
      <c r="S494" s="60" t="str">
        <f>IF(AND($B494=[1]rogério!$A495,[1]rogério!$B495=S$4),"ok","nok")</f>
        <v>nok</v>
      </c>
      <c r="T494" s="60" t="str">
        <f>IF(AND($B494=[1]rogério!$A495,[1]rogério!$B495=T$4),"ok","nok")</f>
        <v>nok</v>
      </c>
      <c r="U494" s="60" t="str">
        <f>IF(AND($B494=[1]rogério!$A495,[1]rogério!$B495=U$4),"ok","nok")</f>
        <v>nok</v>
      </c>
      <c r="V494" s="60" t="str">
        <f>IF(AND($B494=[1]rogério!$A495,[1]rogério!$B495=V$4),"ok","nok")</f>
        <v>nok</v>
      </c>
      <c r="W494" s="60" t="str">
        <f>IF(AND($B494=[1]rogério!$A495,[1]rogério!$B495=W$4),"ok","nok")</f>
        <v>nok</v>
      </c>
      <c r="X494" s="60" t="str">
        <f>IF(AND($B494=[1]rogério!$A495,[1]rogério!$B495=X$4),"ok","nok")</f>
        <v>nok</v>
      </c>
      <c r="Y494" s="105" t="s">
        <v>15</v>
      </c>
      <c r="Z494" s="106"/>
      <c r="AA494" s="106"/>
      <c r="AB494" s="107"/>
      <c r="AC494" s="46"/>
      <c r="AD494" s="46"/>
      <c r="AE494" s="48" t="str">
        <f t="shared" si="118"/>
        <v/>
      </c>
      <c r="AF494" s="48"/>
      <c r="AG494" s="48"/>
      <c r="AH494" s="89"/>
      <c r="AI494" s="49">
        <f t="shared" si="119"/>
        <v>0</v>
      </c>
      <c r="AJ494" s="49" t="str">
        <f t="shared" si="120"/>
        <v/>
      </c>
      <c r="AK494" s="49">
        <f t="shared" si="121"/>
        <v>0</v>
      </c>
      <c r="AL494" s="49" t="str">
        <f t="shared" si="122"/>
        <v/>
      </c>
      <c r="AM494" s="49">
        <f t="shared" si="123"/>
        <v>1</v>
      </c>
      <c r="AN494" s="49" t="str">
        <f t="shared" si="124"/>
        <v/>
      </c>
      <c r="AO494" s="49">
        <f t="shared" si="125"/>
        <v>0</v>
      </c>
      <c r="AP494" s="49" t="str">
        <f t="shared" si="126"/>
        <v/>
      </c>
      <c r="AQ494" s="49">
        <f t="shared" si="127"/>
        <v>0</v>
      </c>
      <c r="AR494" s="49" t="str">
        <f t="shared" si="128"/>
        <v/>
      </c>
    </row>
    <row r="495" spans="1:44" ht="30" customHeight="1" x14ac:dyDescent="0.35">
      <c r="A495" s="25" t="str">
        <f t="shared" si="131"/>
        <v>PT177 - PLATAFORMA DE ACESSO - GRUPO - BÁSICO
COLUNA 2PROJETO BÁSICO
CIVIL</v>
      </c>
      <c r="B495" s="40" t="s">
        <v>42</v>
      </c>
      <c r="C495" s="60" t="str">
        <f>IF(AND($B495=[1]rogério!$A496,[1]rogério!$B496=C$4),"ok","nok")</f>
        <v>nok</v>
      </c>
      <c r="D495" s="60" t="str">
        <f>IF(AND($B495=[1]rogério!$A496,[1]rogério!$B496=D$4),"ok","nok")</f>
        <v>nok</v>
      </c>
      <c r="E495" s="60" t="str">
        <f>IF(AND($B495=[1]rogério!$A496,[1]rogério!$B496=E$4),"ok","nok")</f>
        <v>nok</v>
      </c>
      <c r="F495" s="60" t="str">
        <f>IF(AND($B495=[1]rogério!$A496,[1]rogério!$B496=F$4),"ok","nok")</f>
        <v>nok</v>
      </c>
      <c r="G495" s="60" t="str">
        <f>IF(AND($B495=[1]rogério!$A496,[1]rogério!$B496=G$4),"ok","nok")</f>
        <v>nok</v>
      </c>
      <c r="H495" s="60" t="str">
        <f>IF(AND($B495=[1]rogério!$A496,[1]rogério!$B496=H$4),"ok","nok")</f>
        <v>nok</v>
      </c>
      <c r="I495" s="60" t="str">
        <f>IF(AND($B495=[1]rogério!$A496,[1]rogério!$B496=I$4),"ok","nok")</f>
        <v>nok</v>
      </c>
      <c r="J495" s="60" t="str">
        <f>IF(AND($B495=[1]rogério!$A496,[1]rogério!$B496=J$4),"ok","nok")</f>
        <v>nok</v>
      </c>
      <c r="K495" s="60" t="str">
        <f>IF(AND($B495=[1]rogério!$A496,[1]rogério!$B496=K$4),"ok","nok")</f>
        <v>nok</v>
      </c>
      <c r="L495" s="60" t="str">
        <f>IF(AND($B495=[1]rogério!$A496,[1]rogério!$B496=L$4),"ok","nok")</f>
        <v>nok</v>
      </c>
      <c r="M495" s="60" t="str">
        <f>IF(AND($B495=[1]rogério!$A496,[1]rogério!$B496=M$4),"ok","nok")</f>
        <v>nok</v>
      </c>
      <c r="N495" s="60" t="str">
        <f>IF(AND($B495=[1]rogério!$A496,[1]rogério!$B496=N$4),"ok","nok")</f>
        <v>nok</v>
      </c>
      <c r="O495" s="60" t="str">
        <f>IF(AND($B495=[1]rogério!$A496,[1]rogério!$B496=O$4),"ok","nok")</f>
        <v>nok</v>
      </c>
      <c r="P495" s="60" t="str">
        <f>IF(AND($B495=[1]rogério!$A496,[1]rogério!$B496=P$4),"ok","nok")</f>
        <v>nok</v>
      </c>
      <c r="Q495" s="60" t="str">
        <f>IF(AND($B495=[1]rogério!$A496,[1]rogério!$B496=Q$4),"ok","nok")</f>
        <v>nok</v>
      </c>
      <c r="R495" s="60" t="str">
        <f>IF(AND($B495=[1]rogério!$A496,[1]rogério!$B496=R$4),"ok","nok")</f>
        <v>ok</v>
      </c>
      <c r="S495" s="60" t="str">
        <f>IF(AND($B495=[1]rogério!$A496,[1]rogério!$B496=S$4),"ok","nok")</f>
        <v>nok</v>
      </c>
      <c r="T495" s="60" t="str">
        <f>IF(AND($B495=[1]rogério!$A496,[1]rogério!$B496=T$4),"ok","nok")</f>
        <v>nok</v>
      </c>
      <c r="U495" s="60" t="str">
        <f>IF(AND($B495=[1]rogério!$A496,[1]rogério!$B496=U$4),"ok","nok")</f>
        <v>nok</v>
      </c>
      <c r="V495" s="60" t="str">
        <f>IF(AND($B495=[1]rogério!$A496,[1]rogério!$B496=V$4),"ok","nok")</f>
        <v>nok</v>
      </c>
      <c r="W495" s="60" t="str">
        <f>IF(AND($B495=[1]rogério!$A496,[1]rogério!$B496=W$4),"ok","nok")</f>
        <v>nok</v>
      </c>
      <c r="X495" s="60" t="str">
        <f>IF(AND($B495=[1]rogério!$A496,[1]rogério!$B496=X$4),"ok","nok")</f>
        <v>nok</v>
      </c>
      <c r="Y495" s="105" t="s">
        <v>15</v>
      </c>
      <c r="Z495" s="106"/>
      <c r="AA495" s="106"/>
      <c r="AB495" s="107"/>
      <c r="AC495" s="40"/>
      <c r="AD495" s="40"/>
      <c r="AE495" s="48" t="str">
        <f t="shared" si="118"/>
        <v/>
      </c>
      <c r="AF495" s="48"/>
      <c r="AG495" s="48"/>
      <c r="AH495" s="89"/>
      <c r="AI495" s="49">
        <f t="shared" si="119"/>
        <v>0</v>
      </c>
      <c r="AJ495" s="49" t="str">
        <f t="shared" si="120"/>
        <v/>
      </c>
      <c r="AK495" s="49">
        <f t="shared" si="121"/>
        <v>0</v>
      </c>
      <c r="AL495" s="49" t="str">
        <f t="shared" si="122"/>
        <v/>
      </c>
      <c r="AM495" s="49">
        <f t="shared" si="123"/>
        <v>0</v>
      </c>
      <c r="AN495" s="49" t="str">
        <f t="shared" si="124"/>
        <v/>
      </c>
      <c r="AO495" s="49">
        <f t="shared" si="125"/>
        <v>1</v>
      </c>
      <c r="AP495" s="49" t="str">
        <f t="shared" si="126"/>
        <v/>
      </c>
      <c r="AQ495" s="49">
        <f t="shared" si="127"/>
        <v>0</v>
      </c>
      <c r="AR495" s="49" t="str">
        <f t="shared" si="128"/>
        <v/>
      </c>
    </row>
    <row r="496" spans="1:44" ht="30" customHeight="1" x14ac:dyDescent="0.35">
      <c r="A496" s="25" t="str">
        <f t="shared" si="131"/>
        <v>PT177 - PLATAFORMA DE ACESSO - GRUPO - BÁSICO
COLUNA 2PROJETO BÁSICO
CIVIL</v>
      </c>
      <c r="B496" s="40" t="s">
        <v>43</v>
      </c>
      <c r="C496" s="60" t="str">
        <f>IF(AND($B496=[1]rogério!$A497,[1]rogério!$B497=C$4),"ok","nok")</f>
        <v>nok</v>
      </c>
      <c r="D496" s="60" t="str">
        <f>IF(AND($B496=[1]rogério!$A497,[1]rogério!$B497=D$4),"ok","nok")</f>
        <v>nok</v>
      </c>
      <c r="E496" s="60" t="str">
        <f>IF(AND($B496=[1]rogério!$A497,[1]rogério!$B497=E$4),"ok","nok")</f>
        <v>nok</v>
      </c>
      <c r="F496" s="60" t="str">
        <f>IF(AND($B496=[1]rogério!$A497,[1]rogério!$B497=F$4),"ok","nok")</f>
        <v>nok</v>
      </c>
      <c r="G496" s="60" t="str">
        <f>IF(AND($B496=[1]rogério!$A497,[1]rogério!$B497=G$4),"ok","nok")</f>
        <v>nok</v>
      </c>
      <c r="H496" s="60" t="str">
        <f>IF(AND($B496=[1]rogério!$A497,[1]rogério!$B497=H$4),"ok","nok")</f>
        <v>nok</v>
      </c>
      <c r="I496" s="60" t="str">
        <f>IF(AND($B496=[1]rogério!$A497,[1]rogério!$B497=I$4),"ok","nok")</f>
        <v>nok</v>
      </c>
      <c r="J496" s="60" t="str">
        <f>IF(AND($B496=[1]rogério!$A497,[1]rogério!$B497=J$4),"ok","nok")</f>
        <v>nok</v>
      </c>
      <c r="K496" s="60" t="str">
        <f>IF(AND($B496=[1]rogério!$A497,[1]rogério!$B497=K$4),"ok","nok")</f>
        <v>nok</v>
      </c>
      <c r="L496" s="60" t="str">
        <f>IF(AND($B496=[1]rogério!$A497,[1]rogério!$B497=L$4),"ok","nok")</f>
        <v>nok</v>
      </c>
      <c r="M496" s="60" t="str">
        <f>IF(AND($B496=[1]rogério!$A497,[1]rogério!$B497=M$4),"ok","nok")</f>
        <v>nok</v>
      </c>
      <c r="N496" s="60" t="str">
        <f>IF(AND($B496=[1]rogério!$A497,[1]rogério!$B497=N$4),"ok","nok")</f>
        <v>nok</v>
      </c>
      <c r="O496" s="60" t="str">
        <f>IF(AND($B496=[1]rogério!$A497,[1]rogério!$B497=O$4),"ok","nok")</f>
        <v>nok</v>
      </c>
      <c r="P496" s="60" t="str">
        <f>IF(AND($B496=[1]rogério!$A497,[1]rogério!$B497=P$4),"ok","nok")</f>
        <v>nok</v>
      </c>
      <c r="Q496" s="60" t="str">
        <f>IF(AND($B496=[1]rogério!$A497,[1]rogério!$B497=Q$4),"ok","nok")</f>
        <v>nok</v>
      </c>
      <c r="R496" s="60" t="str">
        <f>IF(AND($B496=[1]rogério!$A497,[1]rogério!$B497=R$4),"ok","nok")</f>
        <v>ok</v>
      </c>
      <c r="S496" s="60" t="str">
        <f>IF(AND($B496=[1]rogério!$A497,[1]rogério!$B497=S$4),"ok","nok")</f>
        <v>nok</v>
      </c>
      <c r="T496" s="60" t="str">
        <f>IF(AND($B496=[1]rogério!$A497,[1]rogério!$B497=T$4),"ok","nok")</f>
        <v>nok</v>
      </c>
      <c r="U496" s="60" t="str">
        <f>IF(AND($B496=[1]rogério!$A497,[1]rogério!$B497=U$4),"ok","nok")</f>
        <v>nok</v>
      </c>
      <c r="V496" s="60" t="str">
        <f>IF(AND($B496=[1]rogério!$A497,[1]rogério!$B497=V$4),"ok","nok")</f>
        <v>nok</v>
      </c>
      <c r="W496" s="60" t="str">
        <f>IF(AND($B496=[1]rogério!$A497,[1]rogério!$B497=W$4),"ok","nok")</f>
        <v>nok</v>
      </c>
      <c r="X496" s="60" t="str">
        <f>IF(AND($B496=[1]rogério!$A497,[1]rogério!$B497=X$4),"ok","nok")</f>
        <v>nok</v>
      </c>
      <c r="Y496" s="105" t="s">
        <v>15</v>
      </c>
      <c r="Z496" s="106"/>
      <c r="AA496" s="106"/>
      <c r="AB496" s="107"/>
      <c r="AC496" s="40"/>
      <c r="AD496" s="40"/>
      <c r="AE496" s="48" t="str">
        <f t="shared" si="118"/>
        <v/>
      </c>
      <c r="AF496" s="48"/>
      <c r="AG496" s="48"/>
      <c r="AH496" s="89"/>
      <c r="AI496" s="49">
        <f t="shared" si="119"/>
        <v>0</v>
      </c>
      <c r="AJ496" s="49" t="str">
        <f t="shared" si="120"/>
        <v/>
      </c>
      <c r="AK496" s="49">
        <f t="shared" si="121"/>
        <v>0</v>
      </c>
      <c r="AL496" s="49" t="str">
        <f t="shared" si="122"/>
        <v/>
      </c>
      <c r="AM496" s="49">
        <f t="shared" si="123"/>
        <v>0</v>
      </c>
      <c r="AN496" s="49" t="str">
        <f t="shared" si="124"/>
        <v/>
      </c>
      <c r="AO496" s="49">
        <f t="shared" si="125"/>
        <v>1</v>
      </c>
      <c r="AP496" s="49" t="str">
        <f t="shared" si="126"/>
        <v/>
      </c>
      <c r="AQ496" s="49">
        <f t="shared" si="127"/>
        <v>0</v>
      </c>
      <c r="AR496" s="49" t="str">
        <f t="shared" si="128"/>
        <v/>
      </c>
    </row>
    <row r="497" spans="1:44" ht="30" customHeight="1" x14ac:dyDescent="0.35">
      <c r="A497" s="25" t="str">
        <f t="shared" si="131"/>
        <v>PT177 - PLATAFORMA DE ACESSO - GRUPO - BÁSICO
COLUNA 2PROJETO BÁSICO
CIVIL</v>
      </c>
      <c r="B497" s="38" t="s">
        <v>74</v>
      </c>
      <c r="C497" s="60" t="str">
        <f>IF(AND($B497=[1]rogério!$A498,[1]rogério!$B498=C$4),"ok","nok")</f>
        <v>nok</v>
      </c>
      <c r="D497" s="60" t="str">
        <f>IF(AND($B497=[1]rogério!$A498,[1]rogério!$B498=D$4),"ok","nok")</f>
        <v>nok</v>
      </c>
      <c r="E497" s="60" t="str">
        <f>IF(AND($B497=[1]rogério!$A498,[1]rogério!$B498=E$4),"ok","nok")</f>
        <v>nok</v>
      </c>
      <c r="F497" s="60" t="str">
        <f>IF(AND($B497=[1]rogério!$A498,[1]rogério!$B498=F$4),"ok","nok")</f>
        <v>nok</v>
      </c>
      <c r="G497" s="60" t="str">
        <f>IF(AND($B497=[1]rogério!$A498,[1]rogério!$B498=G$4),"ok","nok")</f>
        <v>nok</v>
      </c>
      <c r="H497" s="60" t="str">
        <f>IF(AND($B497=[1]rogério!$A498,[1]rogério!$B498=H$4),"ok","nok")</f>
        <v>nok</v>
      </c>
      <c r="I497" s="60" t="str">
        <f>IF(AND($B497=[1]rogério!$A498,[1]rogério!$B498=I$4),"ok","nok")</f>
        <v>ok</v>
      </c>
      <c r="J497" s="60" t="str">
        <f>IF(AND($B497=[1]rogério!$A498,[1]rogério!$B498=J$4),"ok","nok")</f>
        <v>nok</v>
      </c>
      <c r="K497" s="60" t="str">
        <f>IF(AND($B497=[1]rogério!$A498,[1]rogério!$B498=K$4),"ok","nok")</f>
        <v>nok</v>
      </c>
      <c r="L497" s="60" t="str">
        <f>IF(AND($B497=[1]rogério!$A498,[1]rogério!$B498=L$4),"ok","nok")</f>
        <v>nok</v>
      </c>
      <c r="M497" s="60" t="str">
        <f>IF(AND($B497=[1]rogério!$A498,[1]rogério!$B498=M$4),"ok","nok")</f>
        <v>nok</v>
      </c>
      <c r="N497" s="60" t="str">
        <f>IF(AND($B497=[1]rogério!$A498,[1]rogério!$B498=N$4),"ok","nok")</f>
        <v>nok</v>
      </c>
      <c r="O497" s="60" t="str">
        <f>IF(AND($B497=[1]rogério!$A498,[1]rogério!$B498=O$4),"ok","nok")</f>
        <v>nok</v>
      </c>
      <c r="P497" s="60" t="str">
        <f>IF(AND($B497=[1]rogério!$A498,[1]rogério!$B498=P$4),"ok","nok")</f>
        <v>nok</v>
      </c>
      <c r="Q497" s="60" t="str">
        <f>IF(AND($B497=[1]rogério!$A498,[1]rogério!$B498=Q$4),"ok","nok")</f>
        <v>nok</v>
      </c>
      <c r="R497" s="60" t="str">
        <f>IF(AND($B497=[1]rogério!$A498,[1]rogério!$B498=R$4),"ok","nok")</f>
        <v>nok</v>
      </c>
      <c r="S497" s="60" t="str">
        <f>IF(AND($B497=[1]rogério!$A498,[1]rogério!$B498=S$4),"ok","nok")</f>
        <v>nok</v>
      </c>
      <c r="T497" s="60" t="str">
        <f>IF(AND($B497=[1]rogério!$A498,[1]rogério!$B498=T$4),"ok","nok")</f>
        <v>nok</v>
      </c>
      <c r="U497" s="60" t="str">
        <f>IF(AND($B497=[1]rogério!$A498,[1]rogério!$B498=U$4),"ok","nok")</f>
        <v>nok</v>
      </c>
      <c r="V497" s="60" t="str">
        <f>IF(AND($B497=[1]rogério!$A498,[1]rogério!$B498=V$4),"ok","nok")</f>
        <v>nok</v>
      </c>
      <c r="W497" s="60" t="str">
        <f>IF(AND($B497=[1]rogério!$A498,[1]rogério!$B498=W$4),"ok","nok")</f>
        <v>nok</v>
      </c>
      <c r="X497" s="60" t="str">
        <f>IF(AND($B497=[1]rogério!$A498,[1]rogério!$B498=X$4),"ok","nok")</f>
        <v>nok</v>
      </c>
      <c r="Y497" s="105" t="s">
        <v>15</v>
      </c>
      <c r="Z497" s="106"/>
      <c r="AA497" s="106"/>
      <c r="AB497" s="107"/>
      <c r="AC497" s="46"/>
      <c r="AD497" s="46"/>
      <c r="AE497" s="48" t="str">
        <f t="shared" si="118"/>
        <v/>
      </c>
      <c r="AF497" s="48"/>
      <c r="AG497" s="48"/>
      <c r="AH497" s="89"/>
      <c r="AI497" s="49">
        <f t="shared" si="119"/>
        <v>0</v>
      </c>
      <c r="AJ497" s="49" t="str">
        <f t="shared" si="120"/>
        <v/>
      </c>
      <c r="AK497" s="49">
        <f t="shared" si="121"/>
        <v>1</v>
      </c>
      <c r="AL497" s="49" t="str">
        <f t="shared" si="122"/>
        <v/>
      </c>
      <c r="AM497" s="49">
        <f t="shared" si="123"/>
        <v>0</v>
      </c>
      <c r="AN497" s="49" t="str">
        <f t="shared" si="124"/>
        <v/>
      </c>
      <c r="AO497" s="49">
        <f t="shared" si="125"/>
        <v>0</v>
      </c>
      <c r="AP497" s="49" t="str">
        <f t="shared" si="126"/>
        <v/>
      </c>
      <c r="AQ497" s="49">
        <f t="shared" si="127"/>
        <v>0</v>
      </c>
      <c r="AR497" s="49" t="str">
        <f t="shared" si="128"/>
        <v/>
      </c>
    </row>
    <row r="498" spans="1:44" ht="30" customHeight="1" x14ac:dyDescent="0.35">
      <c r="A498" s="25" t="str">
        <f t="shared" si="131"/>
        <v>PT177 - PLATAFORMA DE ACESSO - GRUPO - BÁSICO
COLUNA 2PROJETO BÁSICO
CIVIL</v>
      </c>
      <c r="B498" s="38" t="s">
        <v>75</v>
      </c>
      <c r="C498" s="60" t="str">
        <f>IF(AND($B498=[1]rogério!$A499,[1]rogério!$B499=C$4),"ok","nok")</f>
        <v>nok</v>
      </c>
      <c r="D498" s="60" t="str">
        <f>IF(AND($B498=[1]rogério!$A499,[1]rogério!$B499=D$4),"ok","nok")</f>
        <v>nok</v>
      </c>
      <c r="E498" s="60" t="str">
        <f>IF(AND($B498=[1]rogério!$A499,[1]rogério!$B499=E$4),"ok","nok")</f>
        <v>nok</v>
      </c>
      <c r="F498" s="60" t="str">
        <f>IF(AND($B498=[1]rogério!$A499,[1]rogério!$B499=F$4),"ok","nok")</f>
        <v>nok</v>
      </c>
      <c r="G498" s="60" t="str">
        <f>IF(AND($B498=[1]rogério!$A499,[1]rogério!$B499=G$4),"ok","nok")</f>
        <v>nok</v>
      </c>
      <c r="H498" s="60" t="str">
        <f>IF(AND($B498=[1]rogério!$A499,[1]rogério!$B499=H$4),"ok","nok")</f>
        <v>nok</v>
      </c>
      <c r="I498" s="60" t="str">
        <f>IF(AND($B498=[1]rogério!$A499,[1]rogério!$B499=I$4),"ok","nok")</f>
        <v>nok</v>
      </c>
      <c r="J498" s="60" t="str">
        <f>IF(AND($B498=[1]rogério!$A499,[1]rogério!$B499=J$4),"ok","nok")</f>
        <v>ok</v>
      </c>
      <c r="K498" s="60" t="str">
        <f>IF(AND($B498=[1]rogério!$A499,[1]rogério!$B499=K$4),"ok","nok")</f>
        <v>nok</v>
      </c>
      <c r="L498" s="60" t="str">
        <f>IF(AND($B498=[1]rogério!$A499,[1]rogério!$B499=L$4),"ok","nok")</f>
        <v>nok</v>
      </c>
      <c r="M498" s="60" t="str">
        <f>IF(AND($B498=[1]rogério!$A499,[1]rogério!$B499=M$4),"ok","nok")</f>
        <v>nok</v>
      </c>
      <c r="N498" s="60" t="str">
        <f>IF(AND($B498=[1]rogério!$A499,[1]rogério!$B499=N$4),"ok","nok")</f>
        <v>nok</v>
      </c>
      <c r="O498" s="60" t="str">
        <f>IF(AND($B498=[1]rogério!$A499,[1]rogério!$B499=O$4),"ok","nok")</f>
        <v>nok</v>
      </c>
      <c r="P498" s="60" t="str">
        <f>IF(AND($B498=[1]rogério!$A499,[1]rogério!$B499=P$4),"ok","nok")</f>
        <v>nok</v>
      </c>
      <c r="Q498" s="60" t="str">
        <f>IF(AND($B498=[1]rogério!$A499,[1]rogério!$B499=Q$4),"ok","nok")</f>
        <v>nok</v>
      </c>
      <c r="R498" s="60" t="str">
        <f>IF(AND($B498=[1]rogério!$A499,[1]rogério!$B499=R$4),"ok","nok")</f>
        <v>nok</v>
      </c>
      <c r="S498" s="60" t="str">
        <f>IF(AND($B498=[1]rogério!$A499,[1]rogério!$B499=S$4),"ok","nok")</f>
        <v>nok</v>
      </c>
      <c r="T498" s="60" t="str">
        <f>IF(AND($B498=[1]rogério!$A499,[1]rogério!$B499=T$4),"ok","nok")</f>
        <v>nok</v>
      </c>
      <c r="U498" s="60" t="str">
        <f>IF(AND($B498=[1]rogério!$A499,[1]rogério!$B499=U$4),"ok","nok")</f>
        <v>nok</v>
      </c>
      <c r="V498" s="60" t="str">
        <f>IF(AND($B498=[1]rogério!$A499,[1]rogério!$B499=V$4),"ok","nok")</f>
        <v>nok</v>
      </c>
      <c r="W498" s="60" t="str">
        <f>IF(AND($B498=[1]rogério!$A499,[1]rogério!$B499=W$4),"ok","nok")</f>
        <v>nok</v>
      </c>
      <c r="X498" s="60" t="str">
        <f>IF(AND($B498=[1]rogério!$A499,[1]rogério!$B499=X$4),"ok","nok")</f>
        <v>nok</v>
      </c>
      <c r="Y498" s="105" t="s">
        <v>15</v>
      </c>
      <c r="Z498" s="106"/>
      <c r="AA498" s="106"/>
      <c r="AB498" s="107"/>
      <c r="AC498" s="40"/>
      <c r="AD498" s="40"/>
      <c r="AE498" s="48" t="str">
        <f t="shared" si="118"/>
        <v/>
      </c>
      <c r="AF498" s="48"/>
      <c r="AG498" s="48"/>
      <c r="AH498" s="89"/>
      <c r="AI498" s="49">
        <f t="shared" si="119"/>
        <v>0</v>
      </c>
      <c r="AJ498" s="49" t="str">
        <f t="shared" si="120"/>
        <v/>
      </c>
      <c r="AK498" s="49">
        <f t="shared" si="121"/>
        <v>1</v>
      </c>
      <c r="AL498" s="49" t="str">
        <f t="shared" si="122"/>
        <v/>
      </c>
      <c r="AM498" s="49">
        <f t="shared" si="123"/>
        <v>0</v>
      </c>
      <c r="AN498" s="49" t="str">
        <f t="shared" si="124"/>
        <v/>
      </c>
      <c r="AO498" s="49">
        <f t="shared" si="125"/>
        <v>0</v>
      </c>
      <c r="AP498" s="49" t="str">
        <f t="shared" si="126"/>
        <v/>
      </c>
      <c r="AQ498" s="49">
        <f t="shared" si="127"/>
        <v>0</v>
      </c>
      <c r="AR498" s="49" t="str">
        <f t="shared" si="128"/>
        <v/>
      </c>
    </row>
    <row r="499" spans="1:44" ht="30" customHeight="1" x14ac:dyDescent="0.35">
      <c r="A499" s="25"/>
      <c r="B499" s="39" t="s">
        <v>62</v>
      </c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108"/>
      <c r="Z499" s="109"/>
      <c r="AA499" s="109"/>
      <c r="AB499" s="110"/>
      <c r="AC499" s="40"/>
      <c r="AD499" s="40"/>
      <c r="AE499" s="48" t="str">
        <f t="shared" si="118"/>
        <v/>
      </c>
      <c r="AF499" s="48"/>
      <c r="AG499" s="48"/>
      <c r="AH499" s="89"/>
      <c r="AI499" s="49">
        <f t="shared" si="119"/>
        <v>0</v>
      </c>
      <c r="AJ499" s="49" t="str">
        <f t="shared" si="120"/>
        <v/>
      </c>
      <c r="AK499" s="49">
        <f t="shared" si="121"/>
        <v>0</v>
      </c>
      <c r="AL499" s="49" t="str">
        <f t="shared" si="122"/>
        <v/>
      </c>
      <c r="AM499" s="49">
        <f t="shared" si="123"/>
        <v>0</v>
      </c>
      <c r="AN499" s="49" t="str">
        <f t="shared" si="124"/>
        <v/>
      </c>
      <c r="AO499" s="49">
        <f t="shared" si="125"/>
        <v>0</v>
      </c>
      <c r="AP499" s="49" t="str">
        <f t="shared" si="126"/>
        <v/>
      </c>
      <c r="AQ499" s="49">
        <f t="shared" si="127"/>
        <v>0</v>
      </c>
      <c r="AR499" s="49" t="str">
        <f t="shared" si="128"/>
        <v/>
      </c>
    </row>
    <row r="500" spans="1:44" ht="30" customHeight="1" x14ac:dyDescent="0.35">
      <c r="A500" s="25" t="str">
        <f t="shared" si="131"/>
        <v>PT177 - PLATAFORMA DE ACESSO - GRUPO - BÁSICO
COLUNA 2PROJETO BÁSICO
CIVIL</v>
      </c>
      <c r="B500" s="40" t="s">
        <v>49</v>
      </c>
      <c r="C500" s="60" t="str">
        <f>IF(AND($B500=[1]rogério!$A501,[1]rogério!$B501=C$4),"ok","nok")</f>
        <v>nok</v>
      </c>
      <c r="D500" s="60" t="str">
        <f>IF(AND($B500=[1]rogério!$A501,[1]rogério!$B501=D$4),"ok","nok")</f>
        <v>nok</v>
      </c>
      <c r="E500" s="60" t="str">
        <f>IF(AND($B500=[1]rogério!$A501,[1]rogério!$B501=E$4),"ok","nok")</f>
        <v>nok</v>
      </c>
      <c r="F500" s="60" t="str">
        <f>IF(AND($B500=[1]rogério!$A501,[1]rogério!$B501=F$4),"ok","nok")</f>
        <v>nok</v>
      </c>
      <c r="G500" s="60" t="str">
        <f>IF(AND($B500=[1]rogério!$A501,[1]rogério!$B501=G$4),"ok","nok")</f>
        <v>nok</v>
      </c>
      <c r="H500" s="60" t="str">
        <f>IF(AND($B500=[1]rogério!$A501,[1]rogério!$B501=H$4),"ok","nok")</f>
        <v>nok</v>
      </c>
      <c r="I500" s="60" t="str">
        <f>IF(AND($B500=[1]rogério!$A501,[1]rogério!$B501=I$4),"ok","nok")</f>
        <v>nok</v>
      </c>
      <c r="J500" s="60" t="str">
        <f>IF(AND($B500=[1]rogério!$A501,[1]rogério!$B501=J$4),"ok","nok")</f>
        <v>ok</v>
      </c>
      <c r="K500" s="60" t="str">
        <f>IF(AND($B500=[1]rogério!$A501,[1]rogério!$B501=K$4),"ok","nok")</f>
        <v>nok</v>
      </c>
      <c r="L500" s="60" t="str">
        <f>IF(AND($B500=[1]rogério!$A501,[1]rogério!$B501=L$4),"ok","nok")</f>
        <v>nok</v>
      </c>
      <c r="M500" s="60" t="str">
        <f>IF(AND($B500=[1]rogério!$A501,[1]rogério!$B501=M$4),"ok","nok")</f>
        <v>nok</v>
      </c>
      <c r="N500" s="60" t="str">
        <f>IF(AND($B500=[1]rogério!$A501,[1]rogério!$B501=N$4),"ok","nok")</f>
        <v>nok</v>
      </c>
      <c r="O500" s="60" t="str">
        <f>IF(AND($B500=[1]rogério!$A501,[1]rogério!$B501=O$4),"ok","nok")</f>
        <v>nok</v>
      </c>
      <c r="P500" s="60" t="str">
        <f>IF(AND($B500=[1]rogério!$A501,[1]rogério!$B501=P$4),"ok","nok")</f>
        <v>nok</v>
      </c>
      <c r="Q500" s="60" t="str">
        <f>IF(AND($B500=[1]rogério!$A501,[1]rogério!$B501=Q$4),"ok","nok")</f>
        <v>nok</v>
      </c>
      <c r="R500" s="60" t="str">
        <f>IF(AND($B500=[1]rogério!$A501,[1]rogério!$B501=R$4),"ok","nok")</f>
        <v>nok</v>
      </c>
      <c r="S500" s="60" t="str">
        <f>IF(AND($B500=[1]rogério!$A501,[1]rogério!$B501=S$4),"ok","nok")</f>
        <v>nok</v>
      </c>
      <c r="T500" s="60" t="str">
        <f>IF(AND($B500=[1]rogério!$A501,[1]rogério!$B501=T$4),"ok","nok")</f>
        <v>nok</v>
      </c>
      <c r="U500" s="60" t="str">
        <f>IF(AND($B500=[1]rogério!$A501,[1]rogério!$B501=U$4),"ok","nok")</f>
        <v>nok</v>
      </c>
      <c r="V500" s="60" t="str">
        <f>IF(AND($B500=[1]rogério!$A501,[1]rogério!$B501=V$4),"ok","nok")</f>
        <v>nok</v>
      </c>
      <c r="W500" s="60" t="str">
        <f>IF(AND($B500=[1]rogério!$A501,[1]rogério!$B501=W$4),"ok","nok")</f>
        <v>nok</v>
      </c>
      <c r="X500" s="60" t="str">
        <f>IF(AND($B500=[1]rogério!$A501,[1]rogério!$B501=X$4),"ok","nok")</f>
        <v>nok</v>
      </c>
      <c r="Y500" s="105" t="s">
        <v>15</v>
      </c>
      <c r="Z500" s="106"/>
      <c r="AA500" s="106"/>
      <c r="AB500" s="107"/>
      <c r="AC500" s="46"/>
      <c r="AD500" s="46"/>
      <c r="AE500" s="48" t="str">
        <f t="shared" si="118"/>
        <v/>
      </c>
      <c r="AF500" s="48"/>
      <c r="AG500" s="48"/>
      <c r="AH500" s="89"/>
      <c r="AI500" s="49">
        <f t="shared" si="119"/>
        <v>0</v>
      </c>
      <c r="AJ500" s="49" t="str">
        <f t="shared" si="120"/>
        <v/>
      </c>
      <c r="AK500" s="49">
        <f t="shared" si="121"/>
        <v>1</v>
      </c>
      <c r="AL500" s="49" t="str">
        <f t="shared" si="122"/>
        <v/>
      </c>
      <c r="AM500" s="49">
        <f t="shared" si="123"/>
        <v>0</v>
      </c>
      <c r="AN500" s="49" t="str">
        <f t="shared" si="124"/>
        <v/>
      </c>
      <c r="AO500" s="49">
        <f t="shared" si="125"/>
        <v>0</v>
      </c>
      <c r="AP500" s="49" t="str">
        <f t="shared" si="126"/>
        <v/>
      </c>
      <c r="AQ500" s="49">
        <f t="shared" si="127"/>
        <v>0</v>
      </c>
      <c r="AR500" s="49" t="str">
        <f t="shared" si="128"/>
        <v/>
      </c>
    </row>
    <row r="501" spans="1:44" ht="30" customHeight="1" x14ac:dyDescent="0.35">
      <c r="A501" s="25" t="str">
        <f t="shared" si="131"/>
        <v>PT177 - PLATAFORMA DE ACESSO - GRUPO - BÁSICO
COLUNA 2PROJETO BÁSICO
CIVIL</v>
      </c>
      <c r="B501" s="40" t="s">
        <v>19</v>
      </c>
      <c r="C501" s="60" t="str">
        <f>IF(AND($B501=[1]rogério!$A502,[1]rogério!$B502=C$4),"ok","nok")</f>
        <v>nok</v>
      </c>
      <c r="D501" s="60" t="str">
        <f>IF(AND($B501=[1]rogério!$A502,[1]rogério!$B502=D$4),"ok","nok")</f>
        <v>nok</v>
      </c>
      <c r="E501" s="60" t="str">
        <f>IF(AND($B501=[1]rogério!$A502,[1]rogério!$B502=E$4),"ok","nok")</f>
        <v>nok</v>
      </c>
      <c r="F501" s="60" t="str">
        <f>IF(AND($B501=[1]rogério!$A502,[1]rogério!$B502=F$4),"ok","nok")</f>
        <v>nok</v>
      </c>
      <c r="G501" s="60" t="str">
        <f>IF(AND($B501=[1]rogério!$A502,[1]rogério!$B502=G$4),"ok","nok")</f>
        <v>nok</v>
      </c>
      <c r="H501" s="60" t="str">
        <f>IF(AND($B501=[1]rogério!$A502,[1]rogério!$B502=H$4),"ok","nok")</f>
        <v>nok</v>
      </c>
      <c r="I501" s="60" t="str">
        <f>IF(AND($B501=[1]rogério!$A502,[1]rogério!$B502=I$4),"ok","nok")</f>
        <v>nok</v>
      </c>
      <c r="J501" s="60" t="str">
        <f>IF(AND($B501=[1]rogério!$A502,[1]rogério!$B502=J$4),"ok","nok")</f>
        <v>nok</v>
      </c>
      <c r="K501" s="60" t="str">
        <f>IF(AND($B501=[1]rogério!$A502,[1]rogério!$B502=K$4),"ok","nok")</f>
        <v>nok</v>
      </c>
      <c r="L501" s="60" t="str">
        <f>IF(AND($B501=[1]rogério!$A502,[1]rogério!$B502=L$4),"ok","nok")</f>
        <v>nok</v>
      </c>
      <c r="M501" s="60" t="str">
        <f>IF(AND($B501=[1]rogério!$A502,[1]rogério!$B502=M$4),"ok","nok")</f>
        <v>nok</v>
      </c>
      <c r="N501" s="60" t="str">
        <f>IF(AND($B501=[1]rogério!$A502,[1]rogério!$B502=N$4),"ok","nok")</f>
        <v>nok</v>
      </c>
      <c r="O501" s="60" t="str">
        <f>IF(AND($B501=[1]rogério!$A502,[1]rogério!$B502=O$4),"ok","nok")</f>
        <v>ok</v>
      </c>
      <c r="P501" s="60" t="str">
        <f>IF(AND($B501=[1]rogério!$A502,[1]rogério!$B502=P$4),"ok","nok")</f>
        <v>nok</v>
      </c>
      <c r="Q501" s="60" t="str">
        <f>IF(AND($B501=[1]rogério!$A502,[1]rogério!$B502=Q$4),"ok","nok")</f>
        <v>nok</v>
      </c>
      <c r="R501" s="60" t="str">
        <f>IF(AND($B501=[1]rogério!$A502,[1]rogério!$B502=R$4),"ok","nok")</f>
        <v>nok</v>
      </c>
      <c r="S501" s="60" t="str">
        <f>IF(AND($B501=[1]rogério!$A502,[1]rogério!$B502=S$4),"ok","nok")</f>
        <v>nok</v>
      </c>
      <c r="T501" s="60" t="str">
        <f>IF(AND($B501=[1]rogério!$A502,[1]rogério!$B502=T$4),"ok","nok")</f>
        <v>nok</v>
      </c>
      <c r="U501" s="60" t="str">
        <f>IF(AND($B501=[1]rogério!$A502,[1]rogério!$B502=U$4),"ok","nok")</f>
        <v>nok</v>
      </c>
      <c r="V501" s="60" t="str">
        <f>IF(AND($B501=[1]rogério!$A502,[1]rogério!$B502=V$4),"ok","nok")</f>
        <v>nok</v>
      </c>
      <c r="W501" s="60" t="str">
        <f>IF(AND($B501=[1]rogério!$A502,[1]rogério!$B502=W$4),"ok","nok")</f>
        <v>nok</v>
      </c>
      <c r="X501" s="60" t="str">
        <f>IF(AND($B501=[1]rogério!$A502,[1]rogério!$B502=X$4),"ok","nok")</f>
        <v>nok</v>
      </c>
      <c r="Y501" s="105" t="s">
        <v>15</v>
      </c>
      <c r="Z501" s="106"/>
      <c r="AA501" s="106"/>
      <c r="AB501" s="107"/>
      <c r="AC501" s="40"/>
      <c r="AD501" s="40"/>
      <c r="AE501" s="48" t="str">
        <f t="shared" si="118"/>
        <v/>
      </c>
      <c r="AF501" s="48"/>
      <c r="AG501" s="48"/>
      <c r="AH501" s="89"/>
      <c r="AI501" s="49">
        <f t="shared" si="119"/>
        <v>0</v>
      </c>
      <c r="AJ501" s="49" t="str">
        <f t="shared" si="120"/>
        <v/>
      </c>
      <c r="AK501" s="49">
        <f t="shared" si="121"/>
        <v>0</v>
      </c>
      <c r="AL501" s="49" t="str">
        <f t="shared" si="122"/>
        <v/>
      </c>
      <c r="AM501" s="49">
        <f t="shared" si="123"/>
        <v>1</v>
      </c>
      <c r="AN501" s="49" t="str">
        <f t="shared" si="124"/>
        <v/>
      </c>
      <c r="AO501" s="49">
        <f t="shared" si="125"/>
        <v>0</v>
      </c>
      <c r="AP501" s="49" t="str">
        <f t="shared" si="126"/>
        <v/>
      </c>
      <c r="AQ501" s="49">
        <f t="shared" si="127"/>
        <v>0</v>
      </c>
      <c r="AR501" s="49" t="str">
        <f t="shared" si="128"/>
        <v/>
      </c>
    </row>
    <row r="502" spans="1:44" ht="30" customHeight="1" x14ac:dyDescent="0.35">
      <c r="A502" s="25" t="str">
        <f t="shared" si="131"/>
        <v>PT177 - PLATAFORMA DE ACESSO - GRUPO - BÁSICO
COLUNA 2PROJETO BÁSICO
CIVIL</v>
      </c>
      <c r="B502" s="40" t="s">
        <v>42</v>
      </c>
      <c r="C502" s="60" t="str">
        <f>IF(AND($B502=[1]rogério!$A503,[1]rogério!$B503=C$4),"ok","nok")</f>
        <v>nok</v>
      </c>
      <c r="D502" s="60" t="str">
        <f>IF(AND($B502=[1]rogério!$A503,[1]rogério!$B503=D$4),"ok","nok")</f>
        <v>nok</v>
      </c>
      <c r="E502" s="60" t="str">
        <f>IF(AND($B502=[1]rogério!$A503,[1]rogério!$B503=E$4),"ok","nok")</f>
        <v>nok</v>
      </c>
      <c r="F502" s="60" t="str">
        <f>IF(AND($B502=[1]rogério!$A503,[1]rogério!$B503=F$4),"ok","nok")</f>
        <v>nok</v>
      </c>
      <c r="G502" s="60" t="str">
        <f>IF(AND($B502=[1]rogério!$A503,[1]rogério!$B503=G$4),"ok","nok")</f>
        <v>nok</v>
      </c>
      <c r="H502" s="60" t="str">
        <f>IF(AND($B502=[1]rogério!$A503,[1]rogério!$B503=H$4),"ok","nok")</f>
        <v>nok</v>
      </c>
      <c r="I502" s="60" t="str">
        <f>IF(AND($B502=[1]rogério!$A503,[1]rogério!$B503=I$4),"ok","nok")</f>
        <v>nok</v>
      </c>
      <c r="J502" s="60" t="str">
        <f>IF(AND($B502=[1]rogério!$A503,[1]rogério!$B503=J$4),"ok","nok")</f>
        <v>nok</v>
      </c>
      <c r="K502" s="60" t="str">
        <f>IF(AND($B502=[1]rogério!$A503,[1]rogério!$B503=K$4),"ok","nok")</f>
        <v>nok</v>
      </c>
      <c r="L502" s="60" t="str">
        <f>IF(AND($B502=[1]rogério!$A503,[1]rogério!$B503=L$4),"ok","nok")</f>
        <v>nok</v>
      </c>
      <c r="M502" s="60" t="str">
        <f>IF(AND($B502=[1]rogério!$A503,[1]rogério!$B503=M$4),"ok","nok")</f>
        <v>nok</v>
      </c>
      <c r="N502" s="60" t="str">
        <f>IF(AND($B502=[1]rogério!$A503,[1]rogério!$B503=N$4),"ok","nok")</f>
        <v>nok</v>
      </c>
      <c r="O502" s="60" t="str">
        <f>IF(AND($B502=[1]rogério!$A503,[1]rogério!$B503=O$4),"ok","nok")</f>
        <v>nok</v>
      </c>
      <c r="P502" s="60" t="str">
        <f>IF(AND($B502=[1]rogério!$A503,[1]rogério!$B503=P$4),"ok","nok")</f>
        <v>nok</v>
      </c>
      <c r="Q502" s="60" t="str">
        <f>IF(AND($B502=[1]rogério!$A503,[1]rogério!$B503=Q$4),"ok","nok")</f>
        <v>nok</v>
      </c>
      <c r="R502" s="60" t="str">
        <f>IF(AND($B502=[1]rogério!$A503,[1]rogério!$B503=R$4),"ok","nok")</f>
        <v>ok</v>
      </c>
      <c r="S502" s="60" t="str">
        <f>IF(AND($B502=[1]rogério!$A503,[1]rogério!$B503=S$4),"ok","nok")</f>
        <v>nok</v>
      </c>
      <c r="T502" s="60" t="str">
        <f>IF(AND($B502=[1]rogério!$A503,[1]rogério!$B503=T$4),"ok","nok")</f>
        <v>nok</v>
      </c>
      <c r="U502" s="60" t="str">
        <f>IF(AND($B502=[1]rogério!$A503,[1]rogério!$B503=U$4),"ok","nok")</f>
        <v>nok</v>
      </c>
      <c r="V502" s="60" t="str">
        <f>IF(AND($B502=[1]rogério!$A503,[1]rogério!$B503=V$4),"ok","nok")</f>
        <v>nok</v>
      </c>
      <c r="W502" s="60" t="str">
        <f>IF(AND($B502=[1]rogério!$A503,[1]rogério!$B503=W$4),"ok","nok")</f>
        <v>nok</v>
      </c>
      <c r="X502" s="60" t="str">
        <f>IF(AND($B502=[1]rogério!$A503,[1]rogério!$B503=X$4),"ok","nok")</f>
        <v>nok</v>
      </c>
      <c r="Y502" s="105" t="s">
        <v>15</v>
      </c>
      <c r="Z502" s="106"/>
      <c r="AA502" s="106"/>
      <c r="AB502" s="107"/>
      <c r="AC502" s="40"/>
      <c r="AD502" s="40"/>
      <c r="AE502" s="48" t="str">
        <f t="shared" si="118"/>
        <v/>
      </c>
      <c r="AF502" s="48"/>
      <c r="AG502" s="48"/>
      <c r="AH502" s="89"/>
      <c r="AI502" s="49">
        <f t="shared" si="119"/>
        <v>0</v>
      </c>
      <c r="AJ502" s="49" t="str">
        <f t="shared" si="120"/>
        <v/>
      </c>
      <c r="AK502" s="49">
        <f t="shared" si="121"/>
        <v>0</v>
      </c>
      <c r="AL502" s="49" t="str">
        <f t="shared" si="122"/>
        <v/>
      </c>
      <c r="AM502" s="49">
        <f t="shared" si="123"/>
        <v>0</v>
      </c>
      <c r="AN502" s="49" t="str">
        <f t="shared" si="124"/>
        <v/>
      </c>
      <c r="AO502" s="49">
        <f t="shared" si="125"/>
        <v>1</v>
      </c>
      <c r="AP502" s="49" t="str">
        <f t="shared" si="126"/>
        <v/>
      </c>
      <c r="AQ502" s="49">
        <f t="shared" si="127"/>
        <v>0</v>
      </c>
      <c r="AR502" s="49" t="str">
        <f t="shared" si="128"/>
        <v/>
      </c>
    </row>
    <row r="503" spans="1:44" ht="30" customHeight="1" x14ac:dyDescent="0.35">
      <c r="A503" s="25" t="str">
        <f t="shared" si="131"/>
        <v>PT177 - PLATAFORMA DE ACESSO - GRUPO - BÁSICO
COLUNA 2PROJETO BÁSICO
CIVIL</v>
      </c>
      <c r="B503" s="40" t="s">
        <v>43</v>
      </c>
      <c r="C503" s="60" t="str">
        <f>IF(AND($B503=[1]rogério!$A504,[1]rogério!$B504=C$4),"ok","nok")</f>
        <v>nok</v>
      </c>
      <c r="D503" s="60" t="str">
        <f>IF(AND($B503=[1]rogério!$A504,[1]rogério!$B504=D$4),"ok","nok")</f>
        <v>nok</v>
      </c>
      <c r="E503" s="60" t="str">
        <f>IF(AND($B503=[1]rogério!$A504,[1]rogério!$B504=E$4),"ok","nok")</f>
        <v>nok</v>
      </c>
      <c r="F503" s="60" t="str">
        <f>IF(AND($B503=[1]rogério!$A504,[1]rogério!$B504=F$4),"ok","nok")</f>
        <v>nok</v>
      </c>
      <c r="G503" s="60" t="str">
        <f>IF(AND($B503=[1]rogério!$A504,[1]rogério!$B504=G$4),"ok","nok")</f>
        <v>nok</v>
      </c>
      <c r="H503" s="60" t="str">
        <f>IF(AND($B503=[1]rogério!$A504,[1]rogério!$B504=H$4),"ok","nok")</f>
        <v>nok</v>
      </c>
      <c r="I503" s="60" t="str">
        <f>IF(AND($B503=[1]rogério!$A504,[1]rogério!$B504=I$4),"ok","nok")</f>
        <v>nok</v>
      </c>
      <c r="J503" s="60" t="str">
        <f>IF(AND($B503=[1]rogério!$A504,[1]rogério!$B504=J$4),"ok","nok")</f>
        <v>nok</v>
      </c>
      <c r="K503" s="60" t="str">
        <f>IF(AND($B503=[1]rogério!$A504,[1]rogério!$B504=K$4),"ok","nok")</f>
        <v>nok</v>
      </c>
      <c r="L503" s="60" t="str">
        <f>IF(AND($B503=[1]rogério!$A504,[1]rogério!$B504=L$4),"ok","nok")</f>
        <v>nok</v>
      </c>
      <c r="M503" s="60" t="str">
        <f>IF(AND($B503=[1]rogério!$A504,[1]rogério!$B504=M$4),"ok","nok")</f>
        <v>nok</v>
      </c>
      <c r="N503" s="60" t="str">
        <f>IF(AND($B503=[1]rogério!$A504,[1]rogério!$B504=N$4),"ok","nok")</f>
        <v>nok</v>
      </c>
      <c r="O503" s="60" t="str">
        <f>IF(AND($B503=[1]rogério!$A504,[1]rogério!$B504=O$4),"ok","nok")</f>
        <v>nok</v>
      </c>
      <c r="P503" s="60" t="str">
        <f>IF(AND($B503=[1]rogério!$A504,[1]rogério!$B504=P$4),"ok","nok")</f>
        <v>nok</v>
      </c>
      <c r="Q503" s="60" t="str">
        <f>IF(AND($B503=[1]rogério!$A504,[1]rogério!$B504=Q$4),"ok","nok")</f>
        <v>nok</v>
      </c>
      <c r="R503" s="60" t="str">
        <f>IF(AND($B503=[1]rogério!$A504,[1]rogério!$B504=R$4),"ok","nok")</f>
        <v>ok</v>
      </c>
      <c r="S503" s="60" t="str">
        <f>IF(AND($B503=[1]rogério!$A504,[1]rogério!$B504=S$4),"ok","nok")</f>
        <v>nok</v>
      </c>
      <c r="T503" s="60" t="str">
        <f>IF(AND($B503=[1]rogério!$A504,[1]rogério!$B504=T$4),"ok","nok")</f>
        <v>nok</v>
      </c>
      <c r="U503" s="60" t="str">
        <f>IF(AND($B503=[1]rogério!$A504,[1]rogério!$B504=U$4),"ok","nok")</f>
        <v>nok</v>
      </c>
      <c r="V503" s="60" t="str">
        <f>IF(AND($B503=[1]rogério!$A504,[1]rogério!$B504=V$4),"ok","nok")</f>
        <v>nok</v>
      </c>
      <c r="W503" s="60" t="str">
        <f>IF(AND($B503=[1]rogério!$A504,[1]rogério!$B504=W$4),"ok","nok")</f>
        <v>nok</v>
      </c>
      <c r="X503" s="60" t="str">
        <f>IF(AND($B503=[1]rogério!$A504,[1]rogério!$B504=X$4),"ok","nok")</f>
        <v>nok</v>
      </c>
      <c r="Y503" s="105" t="s">
        <v>15</v>
      </c>
      <c r="Z503" s="106"/>
      <c r="AA503" s="106"/>
      <c r="AB503" s="107"/>
      <c r="AC503" s="46"/>
      <c r="AD503" s="46"/>
      <c r="AE503" s="48" t="str">
        <f t="shared" si="118"/>
        <v/>
      </c>
      <c r="AF503" s="48"/>
      <c r="AG503" s="48"/>
      <c r="AH503" s="89"/>
      <c r="AI503" s="49">
        <f t="shared" si="119"/>
        <v>0</v>
      </c>
      <c r="AJ503" s="49" t="str">
        <f t="shared" si="120"/>
        <v/>
      </c>
      <c r="AK503" s="49">
        <f t="shared" si="121"/>
        <v>0</v>
      </c>
      <c r="AL503" s="49" t="str">
        <f t="shared" si="122"/>
        <v/>
      </c>
      <c r="AM503" s="49">
        <f t="shared" si="123"/>
        <v>0</v>
      </c>
      <c r="AN503" s="49" t="str">
        <f t="shared" si="124"/>
        <v/>
      </c>
      <c r="AO503" s="49">
        <f t="shared" si="125"/>
        <v>1</v>
      </c>
      <c r="AP503" s="49" t="str">
        <f t="shared" si="126"/>
        <v/>
      </c>
      <c r="AQ503" s="49">
        <f t="shared" si="127"/>
        <v>0</v>
      </c>
      <c r="AR503" s="49" t="str">
        <f t="shared" si="128"/>
        <v/>
      </c>
    </row>
    <row r="504" spans="1:44" ht="30" customHeight="1" x14ac:dyDescent="0.35">
      <c r="A504" s="25"/>
      <c r="B504" s="42" t="s">
        <v>90</v>
      </c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111"/>
      <c r="Z504" s="112"/>
      <c r="AA504" s="112"/>
      <c r="AB504" s="113"/>
      <c r="AC504" s="40"/>
      <c r="AD504" s="40"/>
      <c r="AE504" s="48" t="str">
        <f t="shared" si="118"/>
        <v/>
      </c>
      <c r="AF504" s="48"/>
      <c r="AG504" s="48"/>
      <c r="AH504" s="89"/>
      <c r="AI504" s="49">
        <f t="shared" si="119"/>
        <v>0</v>
      </c>
      <c r="AJ504" s="49" t="str">
        <f t="shared" si="120"/>
        <v/>
      </c>
      <c r="AK504" s="49">
        <f t="shared" si="121"/>
        <v>0</v>
      </c>
      <c r="AL504" s="49" t="str">
        <f t="shared" si="122"/>
        <v/>
      </c>
      <c r="AM504" s="49">
        <f t="shared" si="123"/>
        <v>0</v>
      </c>
      <c r="AN504" s="49" t="str">
        <f t="shared" si="124"/>
        <v/>
      </c>
      <c r="AO504" s="49">
        <f t="shared" si="125"/>
        <v>0</v>
      </c>
      <c r="AP504" s="49" t="str">
        <f t="shared" si="126"/>
        <v/>
      </c>
      <c r="AQ504" s="49">
        <f t="shared" si="127"/>
        <v>0</v>
      </c>
      <c r="AR504" s="49" t="str">
        <f t="shared" si="128"/>
        <v/>
      </c>
    </row>
    <row r="505" spans="1:44" ht="30" customHeight="1" x14ac:dyDescent="0.35">
      <c r="A505" s="25"/>
      <c r="B505" s="61" t="s">
        <v>57</v>
      </c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117"/>
      <c r="Z505" s="118"/>
      <c r="AA505" s="118"/>
      <c r="AB505" s="119"/>
      <c r="AC505" s="40"/>
      <c r="AD505" s="40"/>
      <c r="AE505" s="48" t="str">
        <f t="shared" si="118"/>
        <v/>
      </c>
      <c r="AF505" s="48"/>
      <c r="AG505" s="48"/>
      <c r="AH505" s="89"/>
      <c r="AI505" s="49">
        <f t="shared" si="119"/>
        <v>0</v>
      </c>
      <c r="AJ505" s="49" t="str">
        <f t="shared" si="120"/>
        <v/>
      </c>
      <c r="AK505" s="49">
        <f t="shared" si="121"/>
        <v>0</v>
      </c>
      <c r="AL505" s="49" t="str">
        <f t="shared" si="122"/>
        <v/>
      </c>
      <c r="AM505" s="49">
        <f t="shared" si="123"/>
        <v>0</v>
      </c>
      <c r="AN505" s="49" t="str">
        <f t="shared" si="124"/>
        <v/>
      </c>
      <c r="AO505" s="49">
        <f t="shared" si="125"/>
        <v>0</v>
      </c>
      <c r="AP505" s="49" t="str">
        <f t="shared" si="126"/>
        <v/>
      </c>
      <c r="AQ505" s="49">
        <f t="shared" si="127"/>
        <v>0</v>
      </c>
      <c r="AR505" s="49" t="str">
        <f t="shared" si="128"/>
        <v/>
      </c>
    </row>
    <row r="506" spans="1:44" ht="30" customHeight="1" x14ac:dyDescent="0.35">
      <c r="A506" s="25"/>
      <c r="B506" s="62" t="s">
        <v>58</v>
      </c>
      <c r="C506" s="62"/>
      <c r="D506" s="62"/>
      <c r="E506" s="62"/>
      <c r="F506" s="62"/>
      <c r="G506" s="62"/>
      <c r="H506" s="62"/>
      <c r="I506" s="62"/>
      <c r="J506" s="62"/>
      <c r="K506" s="62"/>
      <c r="L506" s="62"/>
      <c r="M506" s="62"/>
      <c r="N506" s="62"/>
      <c r="O506" s="62"/>
      <c r="P506" s="62"/>
      <c r="Q506" s="62"/>
      <c r="R506" s="62"/>
      <c r="S506" s="62"/>
      <c r="T506" s="62"/>
      <c r="U506" s="62"/>
      <c r="V506" s="62"/>
      <c r="W506" s="62"/>
      <c r="X506" s="62"/>
      <c r="Y506" s="114"/>
      <c r="Z506" s="115"/>
      <c r="AA506" s="115"/>
      <c r="AB506" s="116"/>
      <c r="AC506" s="41"/>
      <c r="AD506" s="41"/>
      <c r="AE506" s="48" t="str">
        <f t="shared" si="118"/>
        <v/>
      </c>
      <c r="AF506" s="48"/>
      <c r="AG506" s="48"/>
      <c r="AH506" s="89"/>
      <c r="AI506" s="49">
        <f t="shared" si="119"/>
        <v>0</v>
      </c>
      <c r="AJ506" s="49" t="str">
        <f t="shared" si="120"/>
        <v/>
      </c>
      <c r="AK506" s="49">
        <f t="shared" si="121"/>
        <v>0</v>
      </c>
      <c r="AL506" s="49" t="str">
        <f t="shared" si="122"/>
        <v/>
      </c>
      <c r="AM506" s="49">
        <f t="shared" si="123"/>
        <v>0</v>
      </c>
      <c r="AN506" s="49" t="str">
        <f t="shared" si="124"/>
        <v/>
      </c>
      <c r="AO506" s="49">
        <f t="shared" si="125"/>
        <v>0</v>
      </c>
      <c r="AP506" s="49" t="str">
        <f t="shared" si="126"/>
        <v/>
      </c>
      <c r="AQ506" s="49">
        <f t="shared" si="127"/>
        <v>0</v>
      </c>
      <c r="AR506" s="49" t="str">
        <f t="shared" si="128"/>
        <v/>
      </c>
    </row>
    <row r="507" spans="1:44" ht="30" customHeight="1" x14ac:dyDescent="0.35">
      <c r="A507" s="25"/>
      <c r="B507" s="39" t="s">
        <v>62</v>
      </c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108"/>
      <c r="Z507" s="109"/>
      <c r="AA507" s="109"/>
      <c r="AB507" s="110"/>
      <c r="AC507" s="46"/>
      <c r="AD507" s="46"/>
      <c r="AE507" s="48" t="str">
        <f t="shared" si="118"/>
        <v/>
      </c>
      <c r="AF507" s="48"/>
      <c r="AG507" s="48"/>
      <c r="AH507" s="89"/>
      <c r="AI507" s="49">
        <f t="shared" si="119"/>
        <v>0</v>
      </c>
      <c r="AJ507" s="49" t="str">
        <f t="shared" si="120"/>
        <v/>
      </c>
      <c r="AK507" s="49">
        <f t="shared" si="121"/>
        <v>0</v>
      </c>
      <c r="AL507" s="49" t="str">
        <f t="shared" si="122"/>
        <v/>
      </c>
      <c r="AM507" s="49">
        <f t="shared" si="123"/>
        <v>0</v>
      </c>
      <c r="AN507" s="49" t="str">
        <f t="shared" si="124"/>
        <v/>
      </c>
      <c r="AO507" s="49">
        <f t="shared" si="125"/>
        <v>0</v>
      </c>
      <c r="AP507" s="49" t="str">
        <f t="shared" si="126"/>
        <v/>
      </c>
      <c r="AQ507" s="49">
        <f t="shared" si="127"/>
        <v>0</v>
      </c>
      <c r="AR507" s="49" t="str">
        <f t="shared" si="128"/>
        <v/>
      </c>
    </row>
    <row r="508" spans="1:44" ht="30" customHeight="1" x14ac:dyDescent="0.35">
      <c r="A508" s="25" t="str">
        <f>CONCATENATE($B$469,"
",$B$504,"",$B$505,"
",$B$506)</f>
        <v>PT177 - PLATAFORMA DE ACESSO - GRUPO - BÁSICO
COLUNA 4PROJETO BÁSICO
ESTRUTURAS METÁLICAS</v>
      </c>
      <c r="B508" s="40" t="s">
        <v>42</v>
      </c>
      <c r="C508" s="60" t="str">
        <f>IF(AND($B508=[1]rogério!$A509,[1]rogério!$B509=C$4),"ok","nok")</f>
        <v>nok</v>
      </c>
      <c r="D508" s="60" t="str">
        <f>IF(AND($B508=[1]rogério!$A509,[1]rogério!$B509=D$4),"ok","nok")</f>
        <v>nok</v>
      </c>
      <c r="E508" s="60" t="str">
        <f>IF(AND($B508=[1]rogério!$A509,[1]rogério!$B509=E$4),"ok","nok")</f>
        <v>nok</v>
      </c>
      <c r="F508" s="60" t="str">
        <f>IF(AND($B508=[1]rogério!$A509,[1]rogério!$B509=F$4),"ok","nok")</f>
        <v>nok</v>
      </c>
      <c r="G508" s="60" t="str">
        <f>IF(AND($B508=[1]rogério!$A509,[1]rogério!$B509=G$4),"ok","nok")</f>
        <v>ok</v>
      </c>
      <c r="H508" s="60" t="str">
        <f>IF(AND($B508=[1]rogério!$A509,[1]rogério!$B509=H$4),"ok","nok")</f>
        <v>nok</v>
      </c>
      <c r="I508" s="60" t="str">
        <f>IF(AND($B508=[1]rogério!$A509,[1]rogério!$B509=I$4),"ok","nok")</f>
        <v>nok</v>
      </c>
      <c r="J508" s="60" t="str">
        <f>IF(AND($B508=[1]rogério!$A509,[1]rogério!$B509=J$4),"ok","nok")</f>
        <v>nok</v>
      </c>
      <c r="K508" s="60" t="str">
        <f>IF(AND($B508=[1]rogério!$A509,[1]rogério!$B509=K$4),"ok","nok")</f>
        <v>nok</v>
      </c>
      <c r="L508" s="60" t="str">
        <f>IF(AND($B508=[1]rogério!$A509,[1]rogério!$B509=L$4),"ok","nok")</f>
        <v>nok</v>
      </c>
      <c r="M508" s="60" t="str">
        <f>IF(AND($B508=[1]rogério!$A509,[1]rogério!$B509=M$4),"ok","nok")</f>
        <v>nok</v>
      </c>
      <c r="N508" s="60" t="str">
        <f>IF(AND($B508=[1]rogério!$A509,[1]rogério!$B509=N$4),"ok","nok")</f>
        <v>nok</v>
      </c>
      <c r="O508" s="60" t="str">
        <f>IF(AND($B508=[1]rogério!$A509,[1]rogério!$B509=O$4),"ok","nok")</f>
        <v>nok</v>
      </c>
      <c r="P508" s="60" t="str">
        <f>IF(AND($B508=[1]rogério!$A509,[1]rogério!$B509=P$4),"ok","nok")</f>
        <v>nok</v>
      </c>
      <c r="Q508" s="60" t="str">
        <f>IF(AND($B508=[1]rogério!$A509,[1]rogério!$B509=Q$4),"ok","nok")</f>
        <v>nok</v>
      </c>
      <c r="R508" s="60" t="str">
        <f>IF(AND($B508=[1]rogério!$A509,[1]rogério!$B509=R$4),"ok","nok")</f>
        <v>nok</v>
      </c>
      <c r="S508" s="60" t="str">
        <f>IF(AND($B508=[1]rogério!$A509,[1]rogério!$B509=S$4),"ok","nok")</f>
        <v>nok</v>
      </c>
      <c r="T508" s="60" t="str">
        <f>IF(AND($B508=[1]rogério!$A509,[1]rogério!$B509=T$4),"ok","nok")</f>
        <v>nok</v>
      </c>
      <c r="U508" s="60" t="str">
        <f>IF(AND($B508=[1]rogério!$A509,[1]rogério!$B509=U$4),"ok","nok")</f>
        <v>nok</v>
      </c>
      <c r="V508" s="60" t="str">
        <f>IF(AND($B508=[1]rogério!$A509,[1]rogério!$B509=V$4),"ok","nok")</f>
        <v>nok</v>
      </c>
      <c r="W508" s="60" t="str">
        <f>IF(AND($B508=[1]rogério!$A509,[1]rogério!$B509=W$4),"ok","nok")</f>
        <v>nok</v>
      </c>
      <c r="X508" s="60" t="str">
        <f>IF(AND($B508=[1]rogério!$A509,[1]rogério!$B509=X$4),"ok","nok")</f>
        <v>nok</v>
      </c>
      <c r="Y508" s="105" t="s">
        <v>15</v>
      </c>
      <c r="Z508" s="106"/>
      <c r="AA508" s="106"/>
      <c r="AB508" s="107"/>
      <c r="AC508" s="40"/>
      <c r="AD508" s="40"/>
      <c r="AE508" s="48" t="str">
        <f t="shared" si="118"/>
        <v/>
      </c>
      <c r="AF508" s="48"/>
      <c r="AG508" s="48"/>
      <c r="AH508" s="89"/>
      <c r="AI508" s="49">
        <f t="shared" si="119"/>
        <v>1</v>
      </c>
      <c r="AJ508" s="49" t="str">
        <f t="shared" si="120"/>
        <v/>
      </c>
      <c r="AK508" s="49">
        <f t="shared" si="121"/>
        <v>0</v>
      </c>
      <c r="AL508" s="49" t="str">
        <f t="shared" si="122"/>
        <v/>
      </c>
      <c r="AM508" s="49">
        <f t="shared" si="123"/>
        <v>0</v>
      </c>
      <c r="AN508" s="49" t="str">
        <f t="shared" si="124"/>
        <v/>
      </c>
      <c r="AO508" s="49">
        <f t="shared" si="125"/>
        <v>0</v>
      </c>
      <c r="AP508" s="49" t="str">
        <f t="shared" si="126"/>
        <v/>
      </c>
      <c r="AQ508" s="49">
        <f t="shared" si="127"/>
        <v>0</v>
      </c>
      <c r="AR508" s="49" t="str">
        <f t="shared" si="128"/>
        <v/>
      </c>
    </row>
    <row r="509" spans="1:44" ht="30" customHeight="1" x14ac:dyDescent="0.35">
      <c r="A509" s="25" t="str">
        <f t="shared" ref="A509:A512" si="132">CONCATENATE($B$469,"
",$B$504,"",$B$505,"
",$B$506)</f>
        <v>PT177 - PLATAFORMA DE ACESSO - GRUPO - BÁSICO
COLUNA 4PROJETO BÁSICO
ESTRUTURAS METÁLICAS</v>
      </c>
      <c r="B509" s="40" t="s">
        <v>43</v>
      </c>
      <c r="C509" s="60" t="str">
        <f>IF(AND($B509=[1]rogério!$A510,[1]rogério!$B510=C$4),"ok","nok")</f>
        <v>nok</v>
      </c>
      <c r="D509" s="60" t="str">
        <f>IF(AND($B509=[1]rogério!$A510,[1]rogério!$B510=D$4),"ok","nok")</f>
        <v>nok</v>
      </c>
      <c r="E509" s="60" t="str">
        <f>IF(AND($B509=[1]rogério!$A510,[1]rogério!$B510=E$4),"ok","nok")</f>
        <v>nok</v>
      </c>
      <c r="F509" s="60" t="str">
        <f>IF(AND($B509=[1]rogério!$A510,[1]rogério!$B510=F$4),"ok","nok")</f>
        <v>nok</v>
      </c>
      <c r="G509" s="60" t="str">
        <f>IF(AND($B509=[1]rogério!$A510,[1]rogério!$B510=G$4),"ok","nok")</f>
        <v>ok</v>
      </c>
      <c r="H509" s="60" t="str">
        <f>IF(AND($B509=[1]rogério!$A510,[1]rogério!$B510=H$4),"ok","nok")</f>
        <v>nok</v>
      </c>
      <c r="I509" s="60" t="str">
        <f>IF(AND($B509=[1]rogério!$A510,[1]rogério!$B510=I$4),"ok","nok")</f>
        <v>nok</v>
      </c>
      <c r="J509" s="60" t="str">
        <f>IF(AND($B509=[1]rogério!$A510,[1]rogério!$B510=J$4),"ok","nok")</f>
        <v>nok</v>
      </c>
      <c r="K509" s="60" t="str">
        <f>IF(AND($B509=[1]rogério!$A510,[1]rogério!$B510=K$4),"ok","nok")</f>
        <v>nok</v>
      </c>
      <c r="L509" s="60" t="str">
        <f>IF(AND($B509=[1]rogério!$A510,[1]rogério!$B510=L$4),"ok","nok")</f>
        <v>nok</v>
      </c>
      <c r="M509" s="60" t="str">
        <f>IF(AND($B509=[1]rogério!$A510,[1]rogério!$B510=M$4),"ok","nok")</f>
        <v>nok</v>
      </c>
      <c r="N509" s="60" t="str">
        <f>IF(AND($B509=[1]rogério!$A510,[1]rogério!$B510=N$4),"ok","nok")</f>
        <v>nok</v>
      </c>
      <c r="O509" s="60" t="str">
        <f>IF(AND($B509=[1]rogério!$A510,[1]rogério!$B510=O$4),"ok","nok")</f>
        <v>nok</v>
      </c>
      <c r="P509" s="60" t="str">
        <f>IF(AND($B509=[1]rogério!$A510,[1]rogério!$B510=P$4),"ok","nok")</f>
        <v>nok</v>
      </c>
      <c r="Q509" s="60" t="str">
        <f>IF(AND($B509=[1]rogério!$A510,[1]rogério!$B510=Q$4),"ok","nok")</f>
        <v>nok</v>
      </c>
      <c r="R509" s="60" t="str">
        <f>IF(AND($B509=[1]rogério!$A510,[1]rogério!$B510=R$4),"ok","nok")</f>
        <v>nok</v>
      </c>
      <c r="S509" s="60" t="str">
        <f>IF(AND($B509=[1]rogério!$A510,[1]rogério!$B510=S$4),"ok","nok")</f>
        <v>nok</v>
      </c>
      <c r="T509" s="60" t="str">
        <f>IF(AND($B509=[1]rogério!$A510,[1]rogério!$B510=T$4),"ok","nok")</f>
        <v>nok</v>
      </c>
      <c r="U509" s="60" t="str">
        <f>IF(AND($B509=[1]rogério!$A510,[1]rogério!$B510=U$4),"ok","nok")</f>
        <v>nok</v>
      </c>
      <c r="V509" s="60" t="str">
        <f>IF(AND($B509=[1]rogério!$A510,[1]rogério!$B510=V$4),"ok","nok")</f>
        <v>nok</v>
      </c>
      <c r="W509" s="60" t="str">
        <f>IF(AND($B509=[1]rogério!$A510,[1]rogério!$B510=W$4),"ok","nok")</f>
        <v>nok</v>
      </c>
      <c r="X509" s="60" t="str">
        <f>IF(AND($B509=[1]rogério!$A510,[1]rogério!$B510=X$4),"ok","nok")</f>
        <v>nok</v>
      </c>
      <c r="Y509" s="105" t="s">
        <v>15</v>
      </c>
      <c r="Z509" s="106"/>
      <c r="AA509" s="106"/>
      <c r="AB509" s="107"/>
      <c r="AC509" s="40"/>
      <c r="AD509" s="40"/>
      <c r="AE509" s="48" t="str">
        <f t="shared" si="118"/>
        <v/>
      </c>
      <c r="AF509" s="48"/>
      <c r="AG509" s="48"/>
      <c r="AH509" s="89"/>
      <c r="AI509" s="49">
        <f t="shared" si="119"/>
        <v>1</v>
      </c>
      <c r="AJ509" s="49" t="str">
        <f t="shared" si="120"/>
        <v/>
      </c>
      <c r="AK509" s="49">
        <f t="shared" si="121"/>
        <v>0</v>
      </c>
      <c r="AL509" s="49" t="str">
        <f t="shared" si="122"/>
        <v/>
      </c>
      <c r="AM509" s="49">
        <f t="shared" si="123"/>
        <v>0</v>
      </c>
      <c r="AN509" s="49" t="str">
        <f t="shared" si="124"/>
        <v/>
      </c>
      <c r="AO509" s="49">
        <f t="shared" si="125"/>
        <v>0</v>
      </c>
      <c r="AP509" s="49" t="str">
        <f t="shared" si="126"/>
        <v/>
      </c>
      <c r="AQ509" s="49">
        <f t="shared" si="127"/>
        <v>0</v>
      </c>
      <c r="AR509" s="49" t="str">
        <f t="shared" si="128"/>
        <v/>
      </c>
    </row>
    <row r="510" spans="1:44" ht="30" customHeight="1" x14ac:dyDescent="0.35">
      <c r="A510" s="25"/>
      <c r="B510" s="39" t="s">
        <v>63</v>
      </c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108"/>
      <c r="Z510" s="109"/>
      <c r="AA510" s="109"/>
      <c r="AB510" s="110"/>
      <c r="AC510" s="46"/>
      <c r="AD510" s="46"/>
      <c r="AE510" s="48" t="str">
        <f t="shared" si="118"/>
        <v/>
      </c>
      <c r="AF510" s="48"/>
      <c r="AG510" s="48"/>
      <c r="AH510" s="89"/>
      <c r="AI510" s="49">
        <f t="shared" si="119"/>
        <v>0</v>
      </c>
      <c r="AJ510" s="49" t="str">
        <f t="shared" si="120"/>
        <v/>
      </c>
      <c r="AK510" s="49">
        <f t="shared" si="121"/>
        <v>0</v>
      </c>
      <c r="AL510" s="49" t="str">
        <f t="shared" si="122"/>
        <v/>
      </c>
      <c r="AM510" s="49">
        <f t="shared" si="123"/>
        <v>0</v>
      </c>
      <c r="AN510" s="49" t="str">
        <f t="shared" si="124"/>
        <v/>
      </c>
      <c r="AO510" s="49">
        <f t="shared" si="125"/>
        <v>0</v>
      </c>
      <c r="AP510" s="49" t="str">
        <f t="shared" si="126"/>
        <v/>
      </c>
      <c r="AQ510" s="49">
        <f t="shared" si="127"/>
        <v>0</v>
      </c>
      <c r="AR510" s="49" t="str">
        <f t="shared" si="128"/>
        <v/>
      </c>
    </row>
    <row r="511" spans="1:44" ht="30" customHeight="1" x14ac:dyDescent="0.35">
      <c r="A511" s="25" t="str">
        <f t="shared" si="132"/>
        <v>PT177 - PLATAFORMA DE ACESSO - GRUPO - BÁSICO
COLUNA 4PROJETO BÁSICO
ESTRUTURAS METÁLICAS</v>
      </c>
      <c r="B511" s="40" t="s">
        <v>42</v>
      </c>
      <c r="C511" s="60" t="str">
        <f>IF(AND($B511=[1]rogério!$A512,[1]rogério!$B512=C$4),"ok","nok")</f>
        <v>nok</v>
      </c>
      <c r="D511" s="60" t="str">
        <f>IF(AND($B511=[1]rogério!$A512,[1]rogério!$B512=D$4),"ok","nok")</f>
        <v>nok</v>
      </c>
      <c r="E511" s="60" t="str">
        <f>IF(AND($B511=[1]rogério!$A512,[1]rogério!$B512=E$4),"ok","nok")</f>
        <v>nok</v>
      </c>
      <c r="F511" s="60" t="str">
        <f>IF(AND($B511=[1]rogério!$A512,[1]rogério!$B512=F$4),"ok","nok")</f>
        <v>nok</v>
      </c>
      <c r="G511" s="60" t="str">
        <f>IF(AND($B511=[1]rogério!$A512,[1]rogério!$B512=G$4),"ok","nok")</f>
        <v>ok</v>
      </c>
      <c r="H511" s="60" t="str">
        <f>IF(AND($B511=[1]rogério!$A512,[1]rogério!$B512=H$4),"ok","nok")</f>
        <v>nok</v>
      </c>
      <c r="I511" s="60" t="str">
        <f>IF(AND($B511=[1]rogério!$A512,[1]rogério!$B512=I$4),"ok","nok")</f>
        <v>nok</v>
      </c>
      <c r="J511" s="60" t="str">
        <f>IF(AND($B511=[1]rogério!$A512,[1]rogério!$B512=J$4),"ok","nok")</f>
        <v>nok</v>
      </c>
      <c r="K511" s="60" t="str">
        <f>IF(AND($B511=[1]rogério!$A512,[1]rogério!$B512=K$4),"ok","nok")</f>
        <v>nok</v>
      </c>
      <c r="L511" s="60" t="str">
        <f>IF(AND($B511=[1]rogério!$A512,[1]rogério!$B512=L$4),"ok","nok")</f>
        <v>nok</v>
      </c>
      <c r="M511" s="60" t="str">
        <f>IF(AND($B511=[1]rogério!$A512,[1]rogério!$B512=M$4),"ok","nok")</f>
        <v>nok</v>
      </c>
      <c r="N511" s="60" t="str">
        <f>IF(AND($B511=[1]rogério!$A512,[1]rogério!$B512=N$4),"ok","nok")</f>
        <v>nok</v>
      </c>
      <c r="O511" s="60" t="str">
        <f>IF(AND($B511=[1]rogério!$A512,[1]rogério!$B512=O$4),"ok","nok")</f>
        <v>nok</v>
      </c>
      <c r="P511" s="60" t="str">
        <f>IF(AND($B511=[1]rogério!$A512,[1]rogério!$B512=P$4),"ok","nok")</f>
        <v>nok</v>
      </c>
      <c r="Q511" s="60" t="str">
        <f>IF(AND($B511=[1]rogério!$A512,[1]rogério!$B512=Q$4),"ok","nok")</f>
        <v>nok</v>
      </c>
      <c r="R511" s="60" t="str">
        <f>IF(AND($B511=[1]rogério!$A512,[1]rogério!$B512=R$4),"ok","nok")</f>
        <v>nok</v>
      </c>
      <c r="S511" s="60" t="str">
        <f>IF(AND($B511=[1]rogério!$A512,[1]rogério!$B512=S$4),"ok","nok")</f>
        <v>nok</v>
      </c>
      <c r="T511" s="60" t="str">
        <f>IF(AND($B511=[1]rogério!$A512,[1]rogério!$B512=T$4),"ok","nok")</f>
        <v>nok</v>
      </c>
      <c r="U511" s="60" t="str">
        <f>IF(AND($B511=[1]rogério!$A512,[1]rogério!$B512=U$4),"ok","nok")</f>
        <v>nok</v>
      </c>
      <c r="V511" s="60" t="str">
        <f>IF(AND($B511=[1]rogério!$A512,[1]rogério!$B512=V$4),"ok","nok")</f>
        <v>nok</v>
      </c>
      <c r="W511" s="60" t="str">
        <f>IF(AND($B511=[1]rogério!$A512,[1]rogério!$B512=W$4),"ok","nok")</f>
        <v>nok</v>
      </c>
      <c r="X511" s="60" t="str">
        <f>IF(AND($B511=[1]rogério!$A512,[1]rogério!$B512=X$4),"ok","nok")</f>
        <v>nok</v>
      </c>
      <c r="Y511" s="105" t="s">
        <v>15</v>
      </c>
      <c r="Z511" s="106"/>
      <c r="AA511" s="106"/>
      <c r="AB511" s="107"/>
      <c r="AC511" s="40"/>
      <c r="AD511" s="40"/>
      <c r="AE511" s="48" t="str">
        <f t="shared" si="118"/>
        <v/>
      </c>
      <c r="AF511" s="48"/>
      <c r="AG511" s="48"/>
      <c r="AH511" s="89"/>
      <c r="AI511" s="49">
        <f t="shared" si="119"/>
        <v>1</v>
      </c>
      <c r="AJ511" s="49" t="str">
        <f t="shared" si="120"/>
        <v/>
      </c>
      <c r="AK511" s="49">
        <f t="shared" si="121"/>
        <v>0</v>
      </c>
      <c r="AL511" s="49" t="str">
        <f t="shared" si="122"/>
        <v/>
      </c>
      <c r="AM511" s="49">
        <f t="shared" si="123"/>
        <v>0</v>
      </c>
      <c r="AN511" s="49" t="str">
        <f t="shared" si="124"/>
        <v/>
      </c>
      <c r="AO511" s="49">
        <f t="shared" si="125"/>
        <v>0</v>
      </c>
      <c r="AP511" s="49" t="str">
        <f t="shared" si="126"/>
        <v/>
      </c>
      <c r="AQ511" s="49">
        <f t="shared" si="127"/>
        <v>0</v>
      </c>
      <c r="AR511" s="49" t="str">
        <f t="shared" si="128"/>
        <v/>
      </c>
    </row>
    <row r="512" spans="1:44" ht="30" customHeight="1" x14ac:dyDescent="0.35">
      <c r="A512" s="25" t="str">
        <f t="shared" si="132"/>
        <v>PT177 - PLATAFORMA DE ACESSO - GRUPO - BÁSICO
COLUNA 4PROJETO BÁSICO
ESTRUTURAS METÁLICAS</v>
      </c>
      <c r="B512" s="40" t="s">
        <v>43</v>
      </c>
      <c r="C512" s="60" t="str">
        <f>IF(AND($B512=[1]rogério!$A513,[1]rogério!$B513=C$4),"ok","nok")</f>
        <v>nok</v>
      </c>
      <c r="D512" s="60" t="str">
        <f>IF(AND($B512=[1]rogério!$A513,[1]rogério!$B513=D$4),"ok","nok")</f>
        <v>nok</v>
      </c>
      <c r="E512" s="60" t="str">
        <f>IF(AND($B512=[1]rogério!$A513,[1]rogério!$B513=E$4),"ok","nok")</f>
        <v>nok</v>
      </c>
      <c r="F512" s="60" t="str">
        <f>IF(AND($B512=[1]rogério!$A513,[1]rogério!$B513=F$4),"ok","nok")</f>
        <v>nok</v>
      </c>
      <c r="G512" s="60" t="str">
        <f>IF(AND($B512=[1]rogério!$A513,[1]rogério!$B513=G$4),"ok","nok")</f>
        <v>ok</v>
      </c>
      <c r="H512" s="60" t="str">
        <f>IF(AND($B512=[1]rogério!$A513,[1]rogério!$B513=H$4),"ok","nok")</f>
        <v>nok</v>
      </c>
      <c r="I512" s="60" t="str">
        <f>IF(AND($B512=[1]rogério!$A513,[1]rogério!$B513=I$4),"ok","nok")</f>
        <v>nok</v>
      </c>
      <c r="J512" s="60" t="str">
        <f>IF(AND($B512=[1]rogério!$A513,[1]rogério!$B513=J$4),"ok","nok")</f>
        <v>nok</v>
      </c>
      <c r="K512" s="60" t="str">
        <f>IF(AND($B512=[1]rogério!$A513,[1]rogério!$B513=K$4),"ok","nok")</f>
        <v>nok</v>
      </c>
      <c r="L512" s="60" t="str">
        <f>IF(AND($B512=[1]rogério!$A513,[1]rogério!$B513=L$4),"ok","nok")</f>
        <v>nok</v>
      </c>
      <c r="M512" s="60" t="str">
        <f>IF(AND($B512=[1]rogério!$A513,[1]rogério!$B513=M$4),"ok","nok")</f>
        <v>nok</v>
      </c>
      <c r="N512" s="60" t="str">
        <f>IF(AND($B512=[1]rogério!$A513,[1]rogério!$B513=N$4),"ok","nok")</f>
        <v>nok</v>
      </c>
      <c r="O512" s="60" t="str">
        <f>IF(AND($B512=[1]rogério!$A513,[1]rogério!$B513=O$4),"ok","nok")</f>
        <v>nok</v>
      </c>
      <c r="P512" s="60" t="str">
        <f>IF(AND($B512=[1]rogério!$A513,[1]rogério!$B513=P$4),"ok","nok")</f>
        <v>nok</v>
      </c>
      <c r="Q512" s="60" t="str">
        <f>IF(AND($B512=[1]rogério!$A513,[1]rogério!$B513=Q$4),"ok","nok")</f>
        <v>nok</v>
      </c>
      <c r="R512" s="60" t="str">
        <f>IF(AND($B512=[1]rogério!$A513,[1]rogério!$B513=R$4),"ok","nok")</f>
        <v>nok</v>
      </c>
      <c r="S512" s="60" t="str">
        <f>IF(AND($B512=[1]rogério!$A513,[1]rogério!$B513=S$4),"ok","nok")</f>
        <v>nok</v>
      </c>
      <c r="T512" s="60" t="str">
        <f>IF(AND($B512=[1]rogério!$A513,[1]rogério!$B513=T$4),"ok","nok")</f>
        <v>nok</v>
      </c>
      <c r="U512" s="60" t="str">
        <f>IF(AND($B512=[1]rogério!$A513,[1]rogério!$B513=U$4),"ok","nok")</f>
        <v>nok</v>
      </c>
      <c r="V512" s="60" t="str">
        <f>IF(AND($B512=[1]rogério!$A513,[1]rogério!$B513=V$4),"ok","nok")</f>
        <v>nok</v>
      </c>
      <c r="W512" s="60" t="str">
        <f>IF(AND($B512=[1]rogério!$A513,[1]rogério!$B513=W$4),"ok","nok")</f>
        <v>nok</v>
      </c>
      <c r="X512" s="60" t="str">
        <f>IF(AND($B512=[1]rogério!$A513,[1]rogério!$B513=X$4),"ok","nok")</f>
        <v>nok</v>
      </c>
      <c r="Y512" s="105" t="s">
        <v>15</v>
      </c>
      <c r="Z512" s="106"/>
      <c r="AA512" s="106"/>
      <c r="AB512" s="107"/>
      <c r="AC512" s="40"/>
      <c r="AD512" s="40"/>
      <c r="AE512" s="48" t="str">
        <f t="shared" si="118"/>
        <v/>
      </c>
      <c r="AF512" s="48"/>
      <c r="AG512" s="48"/>
      <c r="AH512" s="89"/>
      <c r="AI512" s="49">
        <f t="shared" si="119"/>
        <v>1</v>
      </c>
      <c r="AJ512" s="49" t="str">
        <f t="shared" si="120"/>
        <v/>
      </c>
      <c r="AK512" s="49">
        <f t="shared" si="121"/>
        <v>0</v>
      </c>
      <c r="AL512" s="49" t="str">
        <f t="shared" si="122"/>
        <v/>
      </c>
      <c r="AM512" s="49">
        <f t="shared" si="123"/>
        <v>0</v>
      </c>
      <c r="AN512" s="49" t="str">
        <f t="shared" si="124"/>
        <v/>
      </c>
      <c r="AO512" s="49">
        <f t="shared" si="125"/>
        <v>0</v>
      </c>
      <c r="AP512" s="49" t="str">
        <f t="shared" si="126"/>
        <v/>
      </c>
      <c r="AQ512" s="49">
        <f t="shared" si="127"/>
        <v>0</v>
      </c>
      <c r="AR512" s="49" t="str">
        <f t="shared" si="128"/>
        <v/>
      </c>
    </row>
    <row r="513" spans="1:44" ht="30" customHeight="1" x14ac:dyDescent="0.35">
      <c r="A513" s="25"/>
      <c r="B513" s="62" t="s">
        <v>64</v>
      </c>
      <c r="C513" s="62"/>
      <c r="D513" s="62"/>
      <c r="E513" s="62"/>
      <c r="F513" s="62"/>
      <c r="G513" s="62"/>
      <c r="H513" s="62"/>
      <c r="I513" s="62"/>
      <c r="J513" s="62"/>
      <c r="K513" s="62"/>
      <c r="L513" s="62"/>
      <c r="M513" s="62"/>
      <c r="N513" s="62"/>
      <c r="O513" s="62"/>
      <c r="P513" s="62"/>
      <c r="Q513" s="62"/>
      <c r="R513" s="62"/>
      <c r="S513" s="62"/>
      <c r="T513" s="62"/>
      <c r="U513" s="62"/>
      <c r="V513" s="62"/>
      <c r="W513" s="62"/>
      <c r="X513" s="62"/>
      <c r="Y513" s="114"/>
      <c r="Z513" s="115"/>
      <c r="AA513" s="115"/>
      <c r="AB513" s="116"/>
      <c r="AC513" s="36"/>
      <c r="AD513" s="36"/>
      <c r="AE513" s="48" t="str">
        <f t="shared" si="118"/>
        <v/>
      </c>
      <c r="AF513" s="48"/>
      <c r="AG513" s="48"/>
      <c r="AH513" s="89"/>
      <c r="AI513" s="49">
        <f t="shared" si="119"/>
        <v>0</v>
      </c>
      <c r="AJ513" s="49" t="str">
        <f t="shared" si="120"/>
        <v/>
      </c>
      <c r="AK513" s="49">
        <f t="shared" si="121"/>
        <v>0</v>
      </c>
      <c r="AL513" s="49" t="str">
        <f t="shared" si="122"/>
        <v/>
      </c>
      <c r="AM513" s="49">
        <f t="shared" si="123"/>
        <v>0</v>
      </c>
      <c r="AN513" s="49" t="str">
        <f t="shared" si="124"/>
        <v/>
      </c>
      <c r="AO513" s="49">
        <f t="shared" si="125"/>
        <v>0</v>
      </c>
      <c r="AP513" s="49" t="str">
        <f t="shared" si="126"/>
        <v/>
      </c>
      <c r="AQ513" s="49">
        <f t="shared" si="127"/>
        <v>0</v>
      </c>
      <c r="AR513" s="49" t="str">
        <f t="shared" si="128"/>
        <v/>
      </c>
    </row>
    <row r="514" spans="1:44" ht="30" customHeight="1" x14ac:dyDescent="0.35">
      <c r="A514" s="25"/>
      <c r="B514" s="39" t="s">
        <v>59</v>
      </c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108"/>
      <c r="Z514" s="109"/>
      <c r="AA514" s="109"/>
      <c r="AB514" s="110"/>
      <c r="AC514" s="96"/>
      <c r="AD514" s="37"/>
      <c r="AE514" s="48" t="str">
        <f t="shared" si="118"/>
        <v/>
      </c>
      <c r="AF514" s="48"/>
      <c r="AG514" s="48"/>
      <c r="AH514" s="89"/>
      <c r="AI514" s="49">
        <f t="shared" si="119"/>
        <v>0</v>
      </c>
      <c r="AJ514" s="49" t="str">
        <f t="shared" si="120"/>
        <v/>
      </c>
      <c r="AK514" s="49">
        <f t="shared" si="121"/>
        <v>0</v>
      </c>
      <c r="AL514" s="49" t="str">
        <f t="shared" si="122"/>
        <v/>
      </c>
      <c r="AM514" s="49">
        <f t="shared" si="123"/>
        <v>0</v>
      </c>
      <c r="AN514" s="49" t="str">
        <f t="shared" si="124"/>
        <v/>
      </c>
      <c r="AO514" s="49">
        <f t="shared" si="125"/>
        <v>0</v>
      </c>
      <c r="AP514" s="49" t="str">
        <f t="shared" si="126"/>
        <v/>
      </c>
      <c r="AQ514" s="49">
        <f t="shared" si="127"/>
        <v>0</v>
      </c>
      <c r="AR514" s="49" t="str">
        <f t="shared" si="128"/>
        <v/>
      </c>
    </row>
    <row r="515" spans="1:44" ht="30" customHeight="1" x14ac:dyDescent="0.35">
      <c r="A515" s="25" t="str">
        <f>CONCATENATE($B$469,"
",$B$504,"",$B$505,"
",$B$513)</f>
        <v>PT177 - PLATAFORMA DE ACESSO - GRUPO - BÁSICO
COLUNA 4PROJETO BÁSICO
CIVIL</v>
      </c>
      <c r="B515" s="40" t="s">
        <v>60</v>
      </c>
      <c r="C515" s="60" t="str">
        <f>IF(AND($B515=[1]rogério!$A516,[1]rogério!$B516=C$4),"ok","nok")</f>
        <v>nok</v>
      </c>
      <c r="D515" s="60" t="str">
        <f>IF(AND($B515=[1]rogério!$A516,[1]rogério!$B516=D$4),"ok","nok")</f>
        <v>nok</v>
      </c>
      <c r="E515" s="60" t="str">
        <f>IF(AND($B515=[1]rogério!$A516,[1]rogério!$B516=E$4),"ok","nok")</f>
        <v>nok</v>
      </c>
      <c r="F515" s="60" t="str">
        <f>IF(AND($B515=[1]rogério!$A516,[1]rogério!$B516=F$4),"ok","nok")</f>
        <v>nok</v>
      </c>
      <c r="G515" s="60" t="str">
        <f>IF(AND($B515=[1]rogério!$A516,[1]rogério!$B516=G$4),"ok","nok")</f>
        <v>nok</v>
      </c>
      <c r="H515" s="60" t="str">
        <f>IF(AND($B515=[1]rogério!$A516,[1]rogério!$B516=H$4),"ok","nok")</f>
        <v>nok</v>
      </c>
      <c r="I515" s="60" t="str">
        <f>IF(AND($B515=[1]rogério!$A516,[1]rogério!$B516=I$4),"ok","nok")</f>
        <v>nok</v>
      </c>
      <c r="J515" s="60" t="str">
        <f>IF(AND($B515=[1]rogério!$A516,[1]rogério!$B516=J$4),"ok","nok")</f>
        <v>ok</v>
      </c>
      <c r="K515" s="60" t="str">
        <f>IF(AND($B515=[1]rogério!$A516,[1]rogério!$B516=K$4),"ok","nok")</f>
        <v>nok</v>
      </c>
      <c r="L515" s="60" t="str">
        <f>IF(AND($B515=[1]rogério!$A516,[1]rogério!$B516=L$4),"ok","nok")</f>
        <v>nok</v>
      </c>
      <c r="M515" s="60" t="str">
        <f>IF(AND($B515=[1]rogério!$A516,[1]rogério!$B516=M$4),"ok","nok")</f>
        <v>nok</v>
      </c>
      <c r="N515" s="60" t="str">
        <f>IF(AND($B515=[1]rogério!$A516,[1]rogério!$B516=N$4),"ok","nok")</f>
        <v>nok</v>
      </c>
      <c r="O515" s="60" t="str">
        <f>IF(AND($B515=[1]rogério!$A516,[1]rogério!$B516=O$4),"ok","nok")</f>
        <v>nok</v>
      </c>
      <c r="P515" s="60" t="str">
        <f>IF(AND($B515=[1]rogério!$A516,[1]rogério!$B516=P$4),"ok","nok")</f>
        <v>nok</v>
      </c>
      <c r="Q515" s="60" t="str">
        <f>IF(AND($B515=[1]rogério!$A516,[1]rogério!$B516=Q$4),"ok","nok")</f>
        <v>nok</v>
      </c>
      <c r="R515" s="60" t="str">
        <f>IF(AND($B515=[1]rogério!$A516,[1]rogério!$B516=R$4),"ok","nok")</f>
        <v>nok</v>
      </c>
      <c r="S515" s="60" t="str">
        <f>IF(AND($B515=[1]rogério!$A516,[1]rogério!$B516=S$4),"ok","nok")</f>
        <v>nok</v>
      </c>
      <c r="T515" s="60" t="str">
        <f>IF(AND($B515=[1]rogério!$A516,[1]rogério!$B516=T$4),"ok","nok")</f>
        <v>nok</v>
      </c>
      <c r="U515" s="60" t="str">
        <f>IF(AND($B515=[1]rogério!$A516,[1]rogério!$B516=U$4),"ok","nok")</f>
        <v>nok</v>
      </c>
      <c r="V515" s="60" t="str">
        <f>IF(AND($B515=[1]rogério!$A516,[1]rogério!$B516=V$4),"ok","nok")</f>
        <v>nok</v>
      </c>
      <c r="W515" s="60" t="str">
        <f>IF(AND($B515=[1]rogério!$A516,[1]rogério!$B516=W$4),"ok","nok")</f>
        <v>nok</v>
      </c>
      <c r="X515" s="60" t="str">
        <f>IF(AND($B515=[1]rogério!$A516,[1]rogério!$B516=X$4),"ok","nok")</f>
        <v>nok</v>
      </c>
      <c r="Y515" s="105" t="s">
        <v>15</v>
      </c>
      <c r="Z515" s="106"/>
      <c r="AA515" s="106"/>
      <c r="AB515" s="107"/>
      <c r="AC515" s="37"/>
      <c r="AD515" s="37"/>
      <c r="AE515" s="48" t="str">
        <f t="shared" ref="AE515:AE578" si="133">IF(Y515="ATRASADO",B515,"")</f>
        <v/>
      </c>
      <c r="AF515" s="48"/>
      <c r="AG515" s="48"/>
      <c r="AH515" s="89"/>
      <c r="AI515" s="49">
        <f t="shared" ref="AI515:AI578" si="134">COUNTIF(C515:G515,"ok")</f>
        <v>0</v>
      </c>
      <c r="AJ515" s="49" t="str">
        <f t="shared" ref="AJ515:AJ578" si="135">IF(AND(AI515=1,OR($Y515="entregue",$Y515="efprazo")),$Y515,"")</f>
        <v/>
      </c>
      <c r="AK515" s="49">
        <f t="shared" ref="AK515:AK578" si="136">COUNTIF(H515:L515,"ok")</f>
        <v>1</v>
      </c>
      <c r="AL515" s="49" t="str">
        <f t="shared" ref="AL515:AL578" si="137">IF(AND(AK515=1,OR($Y515="entregue",$Y515="efprazo")),$Y515,"")</f>
        <v/>
      </c>
      <c r="AM515" s="49">
        <f t="shared" ref="AM515:AM578" si="138">COUNTIF(M515:Q515,"ok")</f>
        <v>0</v>
      </c>
      <c r="AN515" s="49" t="str">
        <f t="shared" ref="AN515:AN578" si="139">IF(AND(AM515=1,OR($Y515="entregue",$Y515="efprazo")),$Y515,"")</f>
        <v/>
      </c>
      <c r="AO515" s="49">
        <f t="shared" ref="AO515:AO578" si="140">COUNTIF(R515:V515,"ok")</f>
        <v>0</v>
      </c>
      <c r="AP515" s="49" t="str">
        <f t="shared" ref="AP515:AP578" si="141">IF(AND(AO515=1,OR($Y515="entregue",$Y515="efprazo")),$Y515,"")</f>
        <v/>
      </c>
      <c r="AQ515" s="49">
        <f t="shared" ref="AQ515:AQ578" si="142">COUNTIF(W515:X515,"ok")</f>
        <v>0</v>
      </c>
      <c r="AR515" s="49" t="str">
        <f t="shared" ref="AR515:AR578" si="143">IF(AND(AQ515=1,OR($Y515="entregue",$Y515="efprazo")),$Y515,"")</f>
        <v/>
      </c>
    </row>
    <row r="516" spans="1:44" ht="30" customHeight="1" x14ac:dyDescent="0.35">
      <c r="A516" s="25" t="str">
        <f t="shared" ref="A516:A520" si="144">CONCATENATE($B$469,"
",$B$504,"",$B$505,"
",$B$513)</f>
        <v>PT177 - PLATAFORMA DE ACESSO - GRUPO - BÁSICO
COLUNA 4PROJETO BÁSICO
CIVIL</v>
      </c>
      <c r="B516" s="40" t="s">
        <v>89</v>
      </c>
      <c r="C516" s="60" t="str">
        <f>IF(AND($B516=[1]rogério!$A517,[1]rogério!$B517=C$4),"ok","nok")</f>
        <v>nok</v>
      </c>
      <c r="D516" s="60" t="str">
        <f>IF(AND($B516=[1]rogério!$A517,[1]rogério!$B517=D$4),"ok","nok")</f>
        <v>nok</v>
      </c>
      <c r="E516" s="60" t="str">
        <f>IF(AND($B516=[1]rogério!$A517,[1]rogério!$B517=E$4),"ok","nok")</f>
        <v>nok</v>
      </c>
      <c r="F516" s="60" t="str">
        <f>IF(AND($B516=[1]rogério!$A517,[1]rogério!$B517=F$4),"ok","nok")</f>
        <v>nok</v>
      </c>
      <c r="G516" s="60" t="str">
        <f>IF(AND($B516=[1]rogério!$A517,[1]rogério!$B517=G$4),"ok","nok")</f>
        <v>nok</v>
      </c>
      <c r="H516" s="60" t="str">
        <f>IF(AND($B516=[1]rogério!$A517,[1]rogério!$B517=H$4),"ok","nok")</f>
        <v>nok</v>
      </c>
      <c r="I516" s="60" t="str">
        <f>IF(AND($B516=[1]rogério!$A517,[1]rogério!$B517=I$4),"ok","nok")</f>
        <v>nok</v>
      </c>
      <c r="J516" s="60" t="str">
        <f>IF(AND($B516=[1]rogério!$A517,[1]rogério!$B517=J$4),"ok","nok")</f>
        <v>ok</v>
      </c>
      <c r="K516" s="60" t="str">
        <f>IF(AND($B516=[1]rogério!$A517,[1]rogério!$B517=K$4),"ok","nok")</f>
        <v>nok</v>
      </c>
      <c r="L516" s="60" t="str">
        <f>IF(AND($B516=[1]rogério!$A517,[1]rogério!$B517=L$4),"ok","nok")</f>
        <v>nok</v>
      </c>
      <c r="M516" s="60" t="str">
        <f>IF(AND($B516=[1]rogério!$A517,[1]rogério!$B517=M$4),"ok","nok")</f>
        <v>nok</v>
      </c>
      <c r="N516" s="60" t="str">
        <f>IF(AND($B516=[1]rogério!$A517,[1]rogério!$B517=N$4),"ok","nok")</f>
        <v>nok</v>
      </c>
      <c r="O516" s="60" t="str">
        <f>IF(AND($B516=[1]rogério!$A517,[1]rogério!$B517=O$4),"ok","nok")</f>
        <v>nok</v>
      </c>
      <c r="P516" s="60" t="str">
        <f>IF(AND($B516=[1]rogério!$A517,[1]rogério!$B517=P$4),"ok","nok")</f>
        <v>nok</v>
      </c>
      <c r="Q516" s="60" t="str">
        <f>IF(AND($B516=[1]rogério!$A517,[1]rogério!$B517=Q$4),"ok","nok")</f>
        <v>nok</v>
      </c>
      <c r="R516" s="60" t="str">
        <f>IF(AND($B516=[1]rogério!$A517,[1]rogério!$B517=R$4),"ok","nok")</f>
        <v>nok</v>
      </c>
      <c r="S516" s="60" t="str">
        <f>IF(AND($B516=[1]rogério!$A517,[1]rogério!$B517=S$4),"ok","nok")</f>
        <v>nok</v>
      </c>
      <c r="T516" s="60" t="str">
        <f>IF(AND($B516=[1]rogério!$A517,[1]rogério!$B517=T$4),"ok","nok")</f>
        <v>nok</v>
      </c>
      <c r="U516" s="60" t="str">
        <f>IF(AND($B516=[1]rogério!$A517,[1]rogério!$B517=U$4),"ok","nok")</f>
        <v>nok</v>
      </c>
      <c r="V516" s="60" t="str">
        <f>IF(AND($B516=[1]rogério!$A517,[1]rogério!$B517=V$4),"ok","nok")</f>
        <v>nok</v>
      </c>
      <c r="W516" s="60" t="str">
        <f>IF(AND($B516=[1]rogério!$A517,[1]rogério!$B517=W$4),"ok","nok")</f>
        <v>nok</v>
      </c>
      <c r="X516" s="60" t="str">
        <f>IF(AND($B516=[1]rogério!$A517,[1]rogério!$B517=X$4),"ok","nok")</f>
        <v>nok</v>
      </c>
      <c r="Y516" s="105" t="s">
        <v>15</v>
      </c>
      <c r="Z516" s="106"/>
      <c r="AA516" s="106"/>
      <c r="AB516" s="107"/>
      <c r="AC516" s="41"/>
      <c r="AD516" s="41"/>
      <c r="AE516" s="48" t="str">
        <f t="shared" si="133"/>
        <v/>
      </c>
      <c r="AF516" s="48"/>
      <c r="AG516" s="48"/>
      <c r="AH516" s="89"/>
      <c r="AI516" s="49">
        <f t="shared" si="134"/>
        <v>0</v>
      </c>
      <c r="AJ516" s="49" t="str">
        <f t="shared" si="135"/>
        <v/>
      </c>
      <c r="AK516" s="49">
        <f t="shared" si="136"/>
        <v>1</v>
      </c>
      <c r="AL516" s="49" t="str">
        <f t="shared" si="137"/>
        <v/>
      </c>
      <c r="AM516" s="49">
        <f t="shared" si="138"/>
        <v>0</v>
      </c>
      <c r="AN516" s="49" t="str">
        <f t="shared" si="139"/>
        <v/>
      </c>
      <c r="AO516" s="49">
        <f t="shared" si="140"/>
        <v>0</v>
      </c>
      <c r="AP516" s="49" t="str">
        <f t="shared" si="141"/>
        <v/>
      </c>
      <c r="AQ516" s="49">
        <f t="shared" si="142"/>
        <v>0</v>
      </c>
      <c r="AR516" s="49" t="str">
        <f t="shared" si="143"/>
        <v/>
      </c>
    </row>
    <row r="517" spans="1:44" ht="30" customHeight="1" x14ac:dyDescent="0.35">
      <c r="A517" s="25" t="str">
        <f t="shared" si="144"/>
        <v>PT177 - PLATAFORMA DE ACESSO - GRUPO - BÁSICO
COLUNA 4PROJETO BÁSICO
CIVIL</v>
      </c>
      <c r="B517" s="40" t="s">
        <v>42</v>
      </c>
      <c r="C517" s="60" t="str">
        <f>IF(AND($B517=[1]rogério!$A518,[1]rogério!$B518=C$4),"ok","nok")</f>
        <v>nok</v>
      </c>
      <c r="D517" s="60" t="str">
        <f>IF(AND($B517=[1]rogério!$A518,[1]rogério!$B518=D$4),"ok","nok")</f>
        <v>nok</v>
      </c>
      <c r="E517" s="60" t="str">
        <f>IF(AND($B517=[1]rogério!$A518,[1]rogério!$B518=E$4),"ok","nok")</f>
        <v>nok</v>
      </c>
      <c r="F517" s="60" t="str">
        <f>IF(AND($B517=[1]rogério!$A518,[1]rogério!$B518=F$4),"ok","nok")</f>
        <v>nok</v>
      </c>
      <c r="G517" s="60" t="str">
        <f>IF(AND($B517=[1]rogério!$A518,[1]rogério!$B518=G$4),"ok","nok")</f>
        <v>nok</v>
      </c>
      <c r="H517" s="60" t="str">
        <f>IF(AND($B517=[1]rogério!$A518,[1]rogério!$B518=H$4),"ok","nok")</f>
        <v>nok</v>
      </c>
      <c r="I517" s="60" t="str">
        <f>IF(AND($B517=[1]rogério!$A518,[1]rogério!$B518=I$4),"ok","nok")</f>
        <v>nok</v>
      </c>
      <c r="J517" s="60" t="str">
        <f>IF(AND($B517=[1]rogério!$A518,[1]rogério!$B518=J$4),"ok","nok")</f>
        <v>nok</v>
      </c>
      <c r="K517" s="60" t="str">
        <f>IF(AND($B517=[1]rogério!$A518,[1]rogério!$B518=K$4),"ok","nok")</f>
        <v>nok</v>
      </c>
      <c r="L517" s="60" t="str">
        <f>IF(AND($B517=[1]rogério!$A518,[1]rogério!$B518=L$4),"ok","nok")</f>
        <v>nok</v>
      </c>
      <c r="M517" s="60" t="str">
        <f>IF(AND($B517=[1]rogério!$A518,[1]rogério!$B518=M$4),"ok","nok")</f>
        <v>ok</v>
      </c>
      <c r="N517" s="60" t="str">
        <f>IF(AND($B517=[1]rogério!$A518,[1]rogério!$B518=N$4),"ok","nok")</f>
        <v>nok</v>
      </c>
      <c r="O517" s="60" t="str">
        <f>IF(AND($B517=[1]rogério!$A518,[1]rogério!$B518=O$4),"ok","nok")</f>
        <v>nok</v>
      </c>
      <c r="P517" s="60" t="str">
        <f>IF(AND($B517=[1]rogério!$A518,[1]rogério!$B518=P$4),"ok","nok")</f>
        <v>nok</v>
      </c>
      <c r="Q517" s="60" t="str">
        <f>IF(AND($B517=[1]rogério!$A518,[1]rogério!$B518=Q$4),"ok","nok")</f>
        <v>nok</v>
      </c>
      <c r="R517" s="60" t="str">
        <f>IF(AND($B517=[1]rogério!$A518,[1]rogério!$B518=R$4),"ok","nok")</f>
        <v>nok</v>
      </c>
      <c r="S517" s="60" t="str">
        <f>IF(AND($B517=[1]rogério!$A518,[1]rogério!$B518=S$4),"ok","nok")</f>
        <v>nok</v>
      </c>
      <c r="T517" s="60" t="str">
        <f>IF(AND($B517=[1]rogério!$A518,[1]rogério!$B518=T$4),"ok","nok")</f>
        <v>nok</v>
      </c>
      <c r="U517" s="60" t="str">
        <f>IF(AND($B517=[1]rogério!$A518,[1]rogério!$B518=U$4),"ok","nok")</f>
        <v>nok</v>
      </c>
      <c r="V517" s="60" t="str">
        <f>IF(AND($B517=[1]rogério!$A518,[1]rogério!$B518=V$4),"ok","nok")</f>
        <v>nok</v>
      </c>
      <c r="W517" s="60" t="str">
        <f>IF(AND($B517=[1]rogério!$A518,[1]rogério!$B518=W$4),"ok","nok")</f>
        <v>nok</v>
      </c>
      <c r="X517" s="60" t="str">
        <f>IF(AND($B517=[1]rogério!$A518,[1]rogério!$B518=X$4),"ok","nok")</f>
        <v>nok</v>
      </c>
      <c r="Y517" s="105" t="s">
        <v>15</v>
      </c>
      <c r="Z517" s="106"/>
      <c r="AA517" s="106"/>
      <c r="AB517" s="107"/>
      <c r="AC517" s="38"/>
      <c r="AD517" s="38"/>
      <c r="AE517" s="48" t="str">
        <f t="shared" si="133"/>
        <v/>
      </c>
      <c r="AF517" s="48"/>
      <c r="AG517" s="48"/>
      <c r="AH517" s="89"/>
      <c r="AI517" s="49">
        <f t="shared" si="134"/>
        <v>0</v>
      </c>
      <c r="AJ517" s="49" t="str">
        <f t="shared" si="135"/>
        <v/>
      </c>
      <c r="AK517" s="49">
        <f t="shared" si="136"/>
        <v>0</v>
      </c>
      <c r="AL517" s="49" t="str">
        <f t="shared" si="137"/>
        <v/>
      </c>
      <c r="AM517" s="49">
        <f t="shared" si="138"/>
        <v>1</v>
      </c>
      <c r="AN517" s="49" t="str">
        <f t="shared" si="139"/>
        <v/>
      </c>
      <c r="AO517" s="49">
        <f t="shared" si="140"/>
        <v>0</v>
      </c>
      <c r="AP517" s="49" t="str">
        <f t="shared" si="141"/>
        <v/>
      </c>
      <c r="AQ517" s="49">
        <f t="shared" si="142"/>
        <v>0</v>
      </c>
      <c r="AR517" s="49" t="str">
        <f t="shared" si="143"/>
        <v/>
      </c>
    </row>
    <row r="518" spans="1:44" ht="30" customHeight="1" x14ac:dyDescent="0.35">
      <c r="A518" s="25" t="str">
        <f t="shared" si="144"/>
        <v>PT177 - PLATAFORMA DE ACESSO - GRUPO - BÁSICO
COLUNA 4PROJETO BÁSICO
CIVIL</v>
      </c>
      <c r="B518" s="40" t="s">
        <v>43</v>
      </c>
      <c r="C518" s="60" t="str">
        <f>IF(AND($B518=[1]rogério!$A519,[1]rogério!$B519=C$4),"ok","nok")</f>
        <v>nok</v>
      </c>
      <c r="D518" s="60" t="str">
        <f>IF(AND($B518=[1]rogério!$A519,[1]rogério!$B519=D$4),"ok","nok")</f>
        <v>nok</v>
      </c>
      <c r="E518" s="60" t="str">
        <f>IF(AND($B518=[1]rogério!$A519,[1]rogério!$B519=E$4),"ok","nok")</f>
        <v>nok</v>
      </c>
      <c r="F518" s="60" t="str">
        <f>IF(AND($B518=[1]rogério!$A519,[1]rogério!$B519=F$4),"ok","nok")</f>
        <v>nok</v>
      </c>
      <c r="G518" s="60" t="str">
        <f>IF(AND($B518=[1]rogério!$A519,[1]rogério!$B519=G$4),"ok","nok")</f>
        <v>nok</v>
      </c>
      <c r="H518" s="60" t="str">
        <f>IF(AND($B518=[1]rogério!$A519,[1]rogério!$B519=H$4),"ok","nok")</f>
        <v>nok</v>
      </c>
      <c r="I518" s="60" t="str">
        <f>IF(AND($B518=[1]rogério!$A519,[1]rogério!$B519=I$4),"ok","nok")</f>
        <v>nok</v>
      </c>
      <c r="J518" s="60" t="str">
        <f>IF(AND($B518=[1]rogério!$A519,[1]rogério!$B519=J$4),"ok","nok")</f>
        <v>nok</v>
      </c>
      <c r="K518" s="60" t="str">
        <f>IF(AND($B518=[1]rogério!$A519,[1]rogério!$B519=K$4),"ok","nok")</f>
        <v>nok</v>
      </c>
      <c r="L518" s="60" t="str">
        <f>IF(AND($B518=[1]rogério!$A519,[1]rogério!$B519=L$4),"ok","nok")</f>
        <v>nok</v>
      </c>
      <c r="M518" s="60" t="str">
        <f>IF(AND($B518=[1]rogério!$A519,[1]rogério!$B519=M$4),"ok","nok")</f>
        <v>ok</v>
      </c>
      <c r="N518" s="60" t="str">
        <f>IF(AND($B518=[1]rogério!$A519,[1]rogério!$B519=N$4),"ok","nok")</f>
        <v>nok</v>
      </c>
      <c r="O518" s="60" t="str">
        <f>IF(AND($B518=[1]rogério!$A519,[1]rogério!$B519=O$4),"ok","nok")</f>
        <v>nok</v>
      </c>
      <c r="P518" s="60" t="str">
        <f>IF(AND($B518=[1]rogério!$A519,[1]rogério!$B519=P$4),"ok","nok")</f>
        <v>nok</v>
      </c>
      <c r="Q518" s="60" t="str">
        <f>IF(AND($B518=[1]rogério!$A519,[1]rogério!$B519=Q$4),"ok","nok")</f>
        <v>nok</v>
      </c>
      <c r="R518" s="60" t="str">
        <f>IF(AND($B518=[1]rogério!$A519,[1]rogério!$B519=R$4),"ok","nok")</f>
        <v>nok</v>
      </c>
      <c r="S518" s="60" t="str">
        <f>IF(AND($B518=[1]rogério!$A519,[1]rogério!$B519=S$4),"ok","nok")</f>
        <v>nok</v>
      </c>
      <c r="T518" s="60" t="str">
        <f>IF(AND($B518=[1]rogério!$A519,[1]rogério!$B519=T$4),"ok","nok")</f>
        <v>nok</v>
      </c>
      <c r="U518" s="60" t="str">
        <f>IF(AND($B518=[1]rogério!$A519,[1]rogério!$B519=U$4),"ok","nok")</f>
        <v>nok</v>
      </c>
      <c r="V518" s="60" t="str">
        <f>IF(AND($B518=[1]rogério!$A519,[1]rogério!$B519=V$4),"ok","nok")</f>
        <v>nok</v>
      </c>
      <c r="W518" s="60" t="str">
        <f>IF(AND($B518=[1]rogério!$A519,[1]rogério!$B519=W$4),"ok","nok")</f>
        <v>nok</v>
      </c>
      <c r="X518" s="60" t="str">
        <f>IF(AND($B518=[1]rogério!$A519,[1]rogério!$B519=X$4),"ok","nok")</f>
        <v>nok</v>
      </c>
      <c r="Y518" s="105" t="s">
        <v>15</v>
      </c>
      <c r="Z518" s="106"/>
      <c r="AA518" s="106"/>
      <c r="AB518" s="107"/>
      <c r="AC518" s="38"/>
      <c r="AD518" s="38"/>
      <c r="AE518" s="48" t="str">
        <f t="shared" si="133"/>
        <v/>
      </c>
      <c r="AF518" s="48"/>
      <c r="AG518" s="48"/>
      <c r="AH518" s="89"/>
      <c r="AI518" s="49">
        <f t="shared" si="134"/>
        <v>0</v>
      </c>
      <c r="AJ518" s="49" t="str">
        <f t="shared" si="135"/>
        <v/>
      </c>
      <c r="AK518" s="49">
        <f t="shared" si="136"/>
        <v>0</v>
      </c>
      <c r="AL518" s="49" t="str">
        <f t="shared" si="137"/>
        <v/>
      </c>
      <c r="AM518" s="49">
        <f t="shared" si="138"/>
        <v>1</v>
      </c>
      <c r="AN518" s="49" t="str">
        <f t="shared" si="139"/>
        <v/>
      </c>
      <c r="AO518" s="49">
        <f t="shared" si="140"/>
        <v>0</v>
      </c>
      <c r="AP518" s="49" t="str">
        <f t="shared" si="141"/>
        <v/>
      </c>
      <c r="AQ518" s="49">
        <f t="shared" si="142"/>
        <v>0</v>
      </c>
      <c r="AR518" s="49" t="str">
        <f t="shared" si="143"/>
        <v/>
      </c>
    </row>
    <row r="519" spans="1:44" ht="30" customHeight="1" x14ac:dyDescent="0.35">
      <c r="A519" s="25" t="str">
        <f t="shared" si="144"/>
        <v>PT177 - PLATAFORMA DE ACESSO - GRUPO - BÁSICO
COLUNA 4PROJETO BÁSICO
CIVIL</v>
      </c>
      <c r="B519" s="38" t="s">
        <v>65</v>
      </c>
      <c r="C519" s="60" t="str">
        <f>IF(AND($B519=[1]rogério!$A520,[1]rogério!$B520=C$4),"ok","nok")</f>
        <v>nok</v>
      </c>
      <c r="D519" s="60" t="str">
        <f>IF(AND($B519=[1]rogério!$A520,[1]rogério!$B520=D$4),"ok","nok")</f>
        <v>nok</v>
      </c>
      <c r="E519" s="60" t="str">
        <f>IF(AND($B519=[1]rogério!$A520,[1]rogério!$B520=E$4),"ok","nok")</f>
        <v>nok</v>
      </c>
      <c r="F519" s="60" t="str">
        <f>IF(AND($B519=[1]rogério!$A520,[1]rogério!$B520=F$4),"ok","nok")</f>
        <v>nok</v>
      </c>
      <c r="G519" s="60" t="str">
        <f>IF(AND($B519=[1]rogério!$A520,[1]rogério!$B520=G$4),"ok","nok")</f>
        <v>nok</v>
      </c>
      <c r="H519" s="60" t="str">
        <f>IF(AND($B519=[1]rogério!$A520,[1]rogério!$B520=H$4),"ok","nok")</f>
        <v>nok</v>
      </c>
      <c r="I519" s="60" t="str">
        <f>IF(AND($B519=[1]rogério!$A520,[1]rogério!$B520=I$4),"ok","nok")</f>
        <v>nok</v>
      </c>
      <c r="J519" s="60" t="str">
        <f>IF(AND($B519=[1]rogério!$A520,[1]rogério!$B520=J$4),"ok","nok")</f>
        <v>nok</v>
      </c>
      <c r="K519" s="60" t="str">
        <f>IF(AND($B519=[1]rogério!$A520,[1]rogério!$B520=K$4),"ok","nok")</f>
        <v>nok</v>
      </c>
      <c r="L519" s="60" t="str">
        <f>IF(AND($B519=[1]rogério!$A520,[1]rogério!$B520=L$4),"ok","nok")</f>
        <v>ok</v>
      </c>
      <c r="M519" s="60" t="str">
        <f>IF(AND($B519=[1]rogério!$A520,[1]rogério!$B520=M$4),"ok","nok")</f>
        <v>nok</v>
      </c>
      <c r="N519" s="60" t="str">
        <f>IF(AND($B519=[1]rogério!$A520,[1]rogério!$B520=N$4),"ok","nok")</f>
        <v>nok</v>
      </c>
      <c r="O519" s="60" t="str">
        <f>IF(AND($B519=[1]rogério!$A520,[1]rogério!$B520=O$4),"ok","nok")</f>
        <v>nok</v>
      </c>
      <c r="P519" s="60" t="str">
        <f>IF(AND($B519=[1]rogério!$A520,[1]rogério!$B520=P$4),"ok","nok")</f>
        <v>nok</v>
      </c>
      <c r="Q519" s="60" t="str">
        <f>IF(AND($B519=[1]rogério!$A520,[1]rogério!$B520=Q$4),"ok","nok")</f>
        <v>nok</v>
      </c>
      <c r="R519" s="60" t="str">
        <f>IF(AND($B519=[1]rogério!$A520,[1]rogério!$B520=R$4),"ok","nok")</f>
        <v>nok</v>
      </c>
      <c r="S519" s="60" t="str">
        <f>IF(AND($B519=[1]rogério!$A520,[1]rogério!$B520=S$4),"ok","nok")</f>
        <v>nok</v>
      </c>
      <c r="T519" s="60" t="str">
        <f>IF(AND($B519=[1]rogério!$A520,[1]rogério!$B520=T$4),"ok","nok")</f>
        <v>nok</v>
      </c>
      <c r="U519" s="60" t="str">
        <f>IF(AND($B519=[1]rogério!$A520,[1]rogério!$B520=U$4),"ok","nok")</f>
        <v>nok</v>
      </c>
      <c r="V519" s="60" t="str">
        <f>IF(AND($B519=[1]rogério!$A520,[1]rogério!$B520=V$4),"ok","nok")</f>
        <v>nok</v>
      </c>
      <c r="W519" s="60" t="str">
        <f>IF(AND($B519=[1]rogério!$A520,[1]rogério!$B520=W$4),"ok","nok")</f>
        <v>nok</v>
      </c>
      <c r="X519" s="60" t="str">
        <f>IF(AND($B519=[1]rogério!$A520,[1]rogério!$B520=X$4),"ok","nok")</f>
        <v>nok</v>
      </c>
      <c r="Y519" s="105" t="s">
        <v>15</v>
      </c>
      <c r="Z519" s="106"/>
      <c r="AA519" s="106"/>
      <c r="AB519" s="107"/>
      <c r="AC519" s="46"/>
      <c r="AD519" s="46"/>
      <c r="AE519" s="48" t="str">
        <f t="shared" si="133"/>
        <v/>
      </c>
      <c r="AF519" s="48"/>
      <c r="AG519" s="48"/>
      <c r="AH519" s="89"/>
      <c r="AI519" s="49">
        <f t="shared" si="134"/>
        <v>0</v>
      </c>
      <c r="AJ519" s="49" t="str">
        <f t="shared" si="135"/>
        <v/>
      </c>
      <c r="AK519" s="49">
        <f t="shared" si="136"/>
        <v>1</v>
      </c>
      <c r="AL519" s="49" t="str">
        <f t="shared" si="137"/>
        <v/>
      </c>
      <c r="AM519" s="49">
        <f t="shared" si="138"/>
        <v>0</v>
      </c>
      <c r="AN519" s="49" t="str">
        <f t="shared" si="139"/>
        <v/>
      </c>
      <c r="AO519" s="49">
        <f t="shared" si="140"/>
        <v>0</v>
      </c>
      <c r="AP519" s="49" t="str">
        <f t="shared" si="141"/>
        <v/>
      </c>
      <c r="AQ519" s="49">
        <f t="shared" si="142"/>
        <v>0</v>
      </c>
      <c r="AR519" s="49" t="str">
        <f t="shared" si="143"/>
        <v/>
      </c>
    </row>
    <row r="520" spans="1:44" ht="30" customHeight="1" x14ac:dyDescent="0.35">
      <c r="A520" s="25" t="str">
        <f t="shared" si="144"/>
        <v>PT177 - PLATAFORMA DE ACESSO - GRUPO - BÁSICO
COLUNA 4PROJETO BÁSICO
CIVIL</v>
      </c>
      <c r="B520" s="38" t="s">
        <v>66</v>
      </c>
      <c r="C520" s="60" t="str">
        <f>IF(AND($B520=[1]rogério!$A521,[1]rogério!$B521=C$4),"ok","nok")</f>
        <v>nok</v>
      </c>
      <c r="D520" s="60" t="str">
        <f>IF(AND($B520=[1]rogério!$A521,[1]rogério!$B521=D$4),"ok","nok")</f>
        <v>nok</v>
      </c>
      <c r="E520" s="60" t="str">
        <f>IF(AND($B520=[1]rogério!$A521,[1]rogério!$B521=E$4),"ok","nok")</f>
        <v>nok</v>
      </c>
      <c r="F520" s="60" t="str">
        <f>IF(AND($B520=[1]rogério!$A521,[1]rogério!$B521=F$4),"ok","nok")</f>
        <v>nok</v>
      </c>
      <c r="G520" s="60" t="str">
        <f>IF(AND($B520=[1]rogério!$A521,[1]rogério!$B521=G$4),"ok","nok")</f>
        <v>nok</v>
      </c>
      <c r="H520" s="60" t="str">
        <f>IF(AND($B520=[1]rogério!$A521,[1]rogério!$B521=H$4),"ok","nok")</f>
        <v>nok</v>
      </c>
      <c r="I520" s="60" t="str">
        <f>IF(AND($B520=[1]rogério!$A521,[1]rogério!$B521=I$4),"ok","nok")</f>
        <v>nok</v>
      </c>
      <c r="J520" s="60" t="str">
        <f>IF(AND($B520=[1]rogério!$A521,[1]rogério!$B521=J$4),"ok","nok")</f>
        <v>nok</v>
      </c>
      <c r="K520" s="60" t="str">
        <f>IF(AND($B520=[1]rogério!$A521,[1]rogério!$B521=K$4),"ok","nok")</f>
        <v>nok</v>
      </c>
      <c r="L520" s="60" t="str">
        <f>IF(AND($B520=[1]rogério!$A521,[1]rogério!$B521=L$4),"ok","nok")</f>
        <v>nok</v>
      </c>
      <c r="M520" s="60" t="str">
        <f>IF(AND($B520=[1]rogério!$A521,[1]rogério!$B521=M$4),"ok","nok")</f>
        <v>ok</v>
      </c>
      <c r="N520" s="60" t="str">
        <f>IF(AND($B520=[1]rogério!$A521,[1]rogério!$B521=N$4),"ok","nok")</f>
        <v>nok</v>
      </c>
      <c r="O520" s="60" t="str">
        <f>IF(AND($B520=[1]rogério!$A521,[1]rogério!$B521=O$4),"ok","nok")</f>
        <v>nok</v>
      </c>
      <c r="P520" s="60" t="str">
        <f>IF(AND($B520=[1]rogério!$A521,[1]rogério!$B521=P$4),"ok","nok")</f>
        <v>nok</v>
      </c>
      <c r="Q520" s="60" t="str">
        <f>IF(AND($B520=[1]rogério!$A521,[1]rogério!$B521=Q$4),"ok","nok")</f>
        <v>nok</v>
      </c>
      <c r="R520" s="60" t="str">
        <f>IF(AND($B520=[1]rogério!$A521,[1]rogério!$B521=R$4),"ok","nok")</f>
        <v>nok</v>
      </c>
      <c r="S520" s="60" t="str">
        <f>IF(AND($B520=[1]rogério!$A521,[1]rogério!$B521=S$4),"ok","nok")</f>
        <v>nok</v>
      </c>
      <c r="T520" s="60" t="str">
        <f>IF(AND($B520=[1]rogério!$A521,[1]rogério!$B521=T$4),"ok","nok")</f>
        <v>nok</v>
      </c>
      <c r="U520" s="60" t="str">
        <f>IF(AND($B520=[1]rogério!$A521,[1]rogério!$B521=U$4),"ok","nok")</f>
        <v>nok</v>
      </c>
      <c r="V520" s="60" t="str">
        <f>IF(AND($B520=[1]rogério!$A521,[1]rogério!$B521=V$4),"ok","nok")</f>
        <v>nok</v>
      </c>
      <c r="W520" s="60" t="str">
        <f>IF(AND($B520=[1]rogério!$A521,[1]rogério!$B521=W$4),"ok","nok")</f>
        <v>nok</v>
      </c>
      <c r="X520" s="60" t="str">
        <f>IF(AND($B520=[1]rogério!$A521,[1]rogério!$B521=X$4),"ok","nok")</f>
        <v>nok</v>
      </c>
      <c r="Y520" s="105" t="s">
        <v>15</v>
      </c>
      <c r="Z520" s="106"/>
      <c r="AA520" s="106"/>
      <c r="AB520" s="107"/>
      <c r="AC520" s="40"/>
      <c r="AD520" s="40"/>
      <c r="AE520" s="48" t="str">
        <f t="shared" si="133"/>
        <v/>
      </c>
      <c r="AF520" s="48"/>
      <c r="AG520" s="48"/>
      <c r="AH520" s="89"/>
      <c r="AI520" s="49">
        <f t="shared" si="134"/>
        <v>0</v>
      </c>
      <c r="AJ520" s="49" t="str">
        <f t="shared" si="135"/>
        <v/>
      </c>
      <c r="AK520" s="49">
        <f t="shared" si="136"/>
        <v>0</v>
      </c>
      <c r="AL520" s="49" t="str">
        <f t="shared" si="137"/>
        <v/>
      </c>
      <c r="AM520" s="49">
        <f t="shared" si="138"/>
        <v>1</v>
      </c>
      <c r="AN520" s="49" t="str">
        <f t="shared" si="139"/>
        <v/>
      </c>
      <c r="AO520" s="49">
        <f t="shared" si="140"/>
        <v>0</v>
      </c>
      <c r="AP520" s="49" t="str">
        <f t="shared" si="141"/>
        <v/>
      </c>
      <c r="AQ520" s="49">
        <f t="shared" si="142"/>
        <v>0</v>
      </c>
      <c r="AR520" s="49" t="str">
        <f t="shared" si="143"/>
        <v/>
      </c>
    </row>
    <row r="521" spans="1:44" ht="30" customHeight="1" x14ac:dyDescent="0.35">
      <c r="A521" s="25"/>
      <c r="B521" s="39" t="s">
        <v>67</v>
      </c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108"/>
      <c r="Z521" s="109"/>
      <c r="AA521" s="109"/>
      <c r="AB521" s="110"/>
      <c r="AC521" s="46"/>
      <c r="AD521" s="46"/>
      <c r="AE521" s="48" t="str">
        <f t="shared" si="133"/>
        <v/>
      </c>
      <c r="AF521" s="48"/>
      <c r="AG521" s="48"/>
      <c r="AH521" s="89"/>
      <c r="AI521" s="49">
        <f t="shared" si="134"/>
        <v>0</v>
      </c>
      <c r="AJ521" s="49" t="str">
        <f t="shared" si="135"/>
        <v/>
      </c>
      <c r="AK521" s="49">
        <f t="shared" si="136"/>
        <v>0</v>
      </c>
      <c r="AL521" s="49" t="str">
        <f t="shared" si="137"/>
        <v/>
      </c>
      <c r="AM521" s="49">
        <f t="shared" si="138"/>
        <v>0</v>
      </c>
      <c r="AN521" s="49" t="str">
        <f t="shared" si="139"/>
        <v/>
      </c>
      <c r="AO521" s="49">
        <f t="shared" si="140"/>
        <v>0</v>
      </c>
      <c r="AP521" s="49" t="str">
        <f t="shared" si="141"/>
        <v/>
      </c>
      <c r="AQ521" s="49">
        <f t="shared" si="142"/>
        <v>0</v>
      </c>
      <c r="AR521" s="49" t="str">
        <f t="shared" si="143"/>
        <v/>
      </c>
    </row>
    <row r="522" spans="1:44" ht="30" customHeight="1" x14ac:dyDescent="0.35">
      <c r="A522" s="25" t="str">
        <f>CONCATENATE($B$469,"
",$B$504,"",$B$505,"
",$B$513)</f>
        <v>PT177 - PLATAFORMA DE ACESSO - GRUPO - BÁSICO
COLUNA 4PROJETO BÁSICO
CIVIL</v>
      </c>
      <c r="B522" s="40" t="s">
        <v>49</v>
      </c>
      <c r="C522" s="60" t="str">
        <f>IF(AND($B522=[1]rogério!$A523,[1]rogério!$B523=C$4),"ok","nok")</f>
        <v>nok</v>
      </c>
      <c r="D522" s="60" t="str">
        <f>IF(AND($B522=[1]rogério!$A523,[1]rogério!$B523=D$4),"ok","nok")</f>
        <v>nok</v>
      </c>
      <c r="E522" s="60" t="str">
        <f>IF(AND($B522=[1]rogério!$A523,[1]rogério!$B523=E$4),"ok","nok")</f>
        <v>nok</v>
      </c>
      <c r="F522" s="60" t="str">
        <f>IF(AND($B522=[1]rogério!$A523,[1]rogério!$B523=F$4),"ok","nok")</f>
        <v>nok</v>
      </c>
      <c r="G522" s="60" t="str">
        <f>IF(AND($B522=[1]rogério!$A523,[1]rogério!$B523=G$4),"ok","nok")</f>
        <v>nok</v>
      </c>
      <c r="H522" s="60" t="str">
        <f>IF(AND($B522=[1]rogério!$A523,[1]rogério!$B523=H$4),"ok","nok")</f>
        <v>nok</v>
      </c>
      <c r="I522" s="60" t="str">
        <f>IF(AND($B522=[1]rogério!$A523,[1]rogério!$B523=I$4),"ok","nok")</f>
        <v>nok</v>
      </c>
      <c r="J522" s="60" t="str">
        <f>IF(AND($B522=[1]rogério!$A523,[1]rogério!$B523=J$4),"ok","nok")</f>
        <v>nok</v>
      </c>
      <c r="K522" s="60" t="str">
        <f>IF(AND($B522=[1]rogério!$A523,[1]rogério!$B523=K$4),"ok","nok")</f>
        <v>nok</v>
      </c>
      <c r="L522" s="60" t="str">
        <f>IF(AND($B522=[1]rogério!$A523,[1]rogério!$B523=L$4),"ok","nok")</f>
        <v>nok</v>
      </c>
      <c r="M522" s="60" t="str">
        <f>IF(AND($B522=[1]rogério!$A523,[1]rogério!$B523=M$4),"ok","nok")</f>
        <v>ok</v>
      </c>
      <c r="N522" s="60" t="str">
        <f>IF(AND($B522=[1]rogério!$A523,[1]rogério!$B523=N$4),"ok","nok")</f>
        <v>nok</v>
      </c>
      <c r="O522" s="60" t="str">
        <f>IF(AND($B522=[1]rogério!$A523,[1]rogério!$B523=O$4),"ok","nok")</f>
        <v>nok</v>
      </c>
      <c r="P522" s="60" t="str">
        <f>IF(AND($B522=[1]rogério!$A523,[1]rogério!$B523=P$4),"ok","nok")</f>
        <v>nok</v>
      </c>
      <c r="Q522" s="60" t="str">
        <f>IF(AND($B522=[1]rogério!$A523,[1]rogério!$B523=Q$4),"ok","nok")</f>
        <v>nok</v>
      </c>
      <c r="R522" s="60" t="str">
        <f>IF(AND($B522=[1]rogério!$A523,[1]rogério!$B523=R$4),"ok","nok")</f>
        <v>nok</v>
      </c>
      <c r="S522" s="60" t="str">
        <f>IF(AND($B522=[1]rogério!$A523,[1]rogério!$B523=S$4),"ok","nok")</f>
        <v>nok</v>
      </c>
      <c r="T522" s="60" t="str">
        <f>IF(AND($B522=[1]rogério!$A523,[1]rogério!$B523=T$4),"ok","nok")</f>
        <v>nok</v>
      </c>
      <c r="U522" s="60" t="str">
        <f>IF(AND($B522=[1]rogério!$A523,[1]rogério!$B523=U$4),"ok","nok")</f>
        <v>nok</v>
      </c>
      <c r="V522" s="60" t="str">
        <f>IF(AND($B522=[1]rogério!$A523,[1]rogério!$B523=V$4),"ok","nok")</f>
        <v>nok</v>
      </c>
      <c r="W522" s="60" t="str">
        <f>IF(AND($B522=[1]rogério!$A523,[1]rogério!$B523=W$4),"ok","nok")</f>
        <v>nok</v>
      </c>
      <c r="X522" s="60" t="str">
        <f>IF(AND($B522=[1]rogério!$A523,[1]rogério!$B523=X$4),"ok","nok")</f>
        <v>nok</v>
      </c>
      <c r="Y522" s="105" t="s">
        <v>15</v>
      </c>
      <c r="Z522" s="106"/>
      <c r="AA522" s="106"/>
      <c r="AB522" s="107"/>
      <c r="AC522" s="40"/>
      <c r="AD522" s="40"/>
      <c r="AE522" s="48" t="str">
        <f t="shared" si="133"/>
        <v/>
      </c>
      <c r="AF522" s="48"/>
      <c r="AG522" s="48"/>
      <c r="AH522" s="89"/>
      <c r="AI522" s="49">
        <f t="shared" si="134"/>
        <v>0</v>
      </c>
      <c r="AJ522" s="49" t="str">
        <f t="shared" si="135"/>
        <v/>
      </c>
      <c r="AK522" s="49">
        <f t="shared" si="136"/>
        <v>0</v>
      </c>
      <c r="AL522" s="49" t="str">
        <f t="shared" si="137"/>
        <v/>
      </c>
      <c r="AM522" s="49">
        <f t="shared" si="138"/>
        <v>1</v>
      </c>
      <c r="AN522" s="49" t="str">
        <f t="shared" si="139"/>
        <v/>
      </c>
      <c r="AO522" s="49">
        <f t="shared" si="140"/>
        <v>0</v>
      </c>
      <c r="AP522" s="49" t="str">
        <f t="shared" si="141"/>
        <v/>
      </c>
      <c r="AQ522" s="49">
        <f t="shared" si="142"/>
        <v>0</v>
      </c>
      <c r="AR522" s="49" t="str">
        <f t="shared" si="143"/>
        <v/>
      </c>
    </row>
    <row r="523" spans="1:44" ht="30" customHeight="1" x14ac:dyDescent="0.35">
      <c r="A523" s="25" t="str">
        <f t="shared" ref="A523:A532" si="145">CONCATENATE($B$469,"
",$B$504,"",$B$505,"
",$B$513)</f>
        <v>PT177 - PLATAFORMA DE ACESSO - GRUPO - BÁSICO
COLUNA 4PROJETO BÁSICO
CIVIL</v>
      </c>
      <c r="B523" s="40" t="s">
        <v>19</v>
      </c>
      <c r="C523" s="60" t="str">
        <f>IF(AND($B523=[1]rogério!$A524,[1]rogério!$B524=C$4),"ok","nok")</f>
        <v>nok</v>
      </c>
      <c r="D523" s="60" t="str">
        <f>IF(AND($B523=[1]rogério!$A524,[1]rogério!$B524=D$4),"ok","nok")</f>
        <v>nok</v>
      </c>
      <c r="E523" s="60" t="str">
        <f>IF(AND($B523=[1]rogério!$A524,[1]rogério!$B524=E$4),"ok","nok")</f>
        <v>nok</v>
      </c>
      <c r="F523" s="60" t="str">
        <f>IF(AND($B523=[1]rogério!$A524,[1]rogério!$B524=F$4),"ok","nok")</f>
        <v>nok</v>
      </c>
      <c r="G523" s="60" t="str">
        <f>IF(AND($B523=[1]rogério!$A524,[1]rogério!$B524=G$4),"ok","nok")</f>
        <v>nok</v>
      </c>
      <c r="H523" s="60" t="str">
        <f>IF(AND($B523=[1]rogério!$A524,[1]rogério!$B524=H$4),"ok","nok")</f>
        <v>nok</v>
      </c>
      <c r="I523" s="60" t="str">
        <f>IF(AND($B523=[1]rogério!$A524,[1]rogério!$B524=I$4),"ok","nok")</f>
        <v>nok</v>
      </c>
      <c r="J523" s="60" t="str">
        <f>IF(AND($B523=[1]rogério!$A524,[1]rogério!$B524=J$4),"ok","nok")</f>
        <v>nok</v>
      </c>
      <c r="K523" s="60" t="str">
        <f>IF(AND($B523=[1]rogério!$A524,[1]rogério!$B524=K$4),"ok","nok")</f>
        <v>nok</v>
      </c>
      <c r="L523" s="60" t="str">
        <f>IF(AND($B523=[1]rogério!$A524,[1]rogério!$B524=L$4),"ok","nok")</f>
        <v>nok</v>
      </c>
      <c r="M523" s="60" t="str">
        <f>IF(AND($B523=[1]rogério!$A524,[1]rogério!$B524=M$4),"ok","nok")</f>
        <v>nok</v>
      </c>
      <c r="N523" s="60" t="str">
        <f>IF(AND($B523=[1]rogério!$A524,[1]rogério!$B524=N$4),"ok","nok")</f>
        <v>nok</v>
      </c>
      <c r="O523" s="60" t="str">
        <f>IF(AND($B523=[1]rogério!$A524,[1]rogério!$B524=O$4),"ok","nok")</f>
        <v>nok</v>
      </c>
      <c r="P523" s="60" t="str">
        <f>IF(AND($B523=[1]rogério!$A524,[1]rogério!$B524=P$4),"ok","nok")</f>
        <v>nok</v>
      </c>
      <c r="Q523" s="60" t="str">
        <f>IF(AND($B523=[1]rogério!$A524,[1]rogério!$B524=Q$4),"ok","nok")</f>
        <v>nok</v>
      </c>
      <c r="R523" s="60" t="str">
        <f>IF(AND($B523=[1]rogério!$A524,[1]rogério!$B524=R$4),"ok","nok")</f>
        <v>ok</v>
      </c>
      <c r="S523" s="60" t="str">
        <f>IF(AND($B523=[1]rogério!$A524,[1]rogério!$B524=S$4),"ok","nok")</f>
        <v>nok</v>
      </c>
      <c r="T523" s="60" t="str">
        <f>IF(AND($B523=[1]rogério!$A524,[1]rogério!$B524=T$4),"ok","nok")</f>
        <v>nok</v>
      </c>
      <c r="U523" s="60" t="str">
        <f>IF(AND($B523=[1]rogério!$A524,[1]rogério!$B524=U$4),"ok","nok")</f>
        <v>nok</v>
      </c>
      <c r="V523" s="60" t="str">
        <f>IF(AND($B523=[1]rogério!$A524,[1]rogério!$B524=V$4),"ok","nok")</f>
        <v>nok</v>
      </c>
      <c r="W523" s="60" t="str">
        <f>IF(AND($B523=[1]rogério!$A524,[1]rogério!$B524=W$4),"ok","nok")</f>
        <v>nok</v>
      </c>
      <c r="X523" s="60" t="str">
        <f>IF(AND($B523=[1]rogério!$A524,[1]rogério!$B524=X$4),"ok","nok")</f>
        <v>nok</v>
      </c>
      <c r="Y523" s="105" t="s">
        <v>15</v>
      </c>
      <c r="Z523" s="106"/>
      <c r="AA523" s="106"/>
      <c r="AB523" s="107"/>
      <c r="AC523" s="40"/>
      <c r="AD523" s="40"/>
      <c r="AE523" s="48" t="str">
        <f t="shared" si="133"/>
        <v/>
      </c>
      <c r="AF523" s="48"/>
      <c r="AG523" s="48"/>
      <c r="AH523" s="89"/>
      <c r="AI523" s="49">
        <f t="shared" si="134"/>
        <v>0</v>
      </c>
      <c r="AJ523" s="49" t="str">
        <f t="shared" si="135"/>
        <v/>
      </c>
      <c r="AK523" s="49">
        <f t="shared" si="136"/>
        <v>0</v>
      </c>
      <c r="AL523" s="49" t="str">
        <f t="shared" si="137"/>
        <v/>
      </c>
      <c r="AM523" s="49">
        <f t="shared" si="138"/>
        <v>0</v>
      </c>
      <c r="AN523" s="49" t="str">
        <f t="shared" si="139"/>
        <v/>
      </c>
      <c r="AO523" s="49">
        <f t="shared" si="140"/>
        <v>1</v>
      </c>
      <c r="AP523" s="49" t="str">
        <f t="shared" si="141"/>
        <v/>
      </c>
      <c r="AQ523" s="49">
        <f t="shared" si="142"/>
        <v>0</v>
      </c>
      <c r="AR523" s="49" t="str">
        <f t="shared" si="143"/>
        <v/>
      </c>
    </row>
    <row r="524" spans="1:44" ht="30" customHeight="1" x14ac:dyDescent="0.35">
      <c r="A524" s="25" t="str">
        <f t="shared" si="145"/>
        <v>PT177 - PLATAFORMA DE ACESSO - GRUPO - BÁSICO
COLUNA 4PROJETO BÁSICO
CIVIL</v>
      </c>
      <c r="B524" s="40" t="s">
        <v>42</v>
      </c>
      <c r="C524" s="60" t="str">
        <f>IF(AND($B524=[1]rogério!$A525,[1]rogério!$B525=C$4),"ok","nok")</f>
        <v>nok</v>
      </c>
      <c r="D524" s="60" t="str">
        <f>IF(AND($B524=[1]rogério!$A525,[1]rogério!$B525=D$4),"ok","nok")</f>
        <v>nok</v>
      </c>
      <c r="E524" s="60" t="str">
        <f>IF(AND($B524=[1]rogério!$A525,[1]rogério!$B525=E$4),"ok","nok")</f>
        <v>nok</v>
      </c>
      <c r="F524" s="60" t="str">
        <f>IF(AND($B524=[1]rogério!$A525,[1]rogério!$B525=F$4),"ok","nok")</f>
        <v>nok</v>
      </c>
      <c r="G524" s="60" t="str">
        <f>IF(AND($B524=[1]rogério!$A525,[1]rogério!$B525=G$4),"ok","nok")</f>
        <v>nok</v>
      </c>
      <c r="H524" s="60" t="str">
        <f>IF(AND($B524=[1]rogério!$A525,[1]rogério!$B525=H$4),"ok","nok")</f>
        <v>nok</v>
      </c>
      <c r="I524" s="60" t="str">
        <f>IF(AND($B524=[1]rogério!$A525,[1]rogério!$B525=I$4),"ok","nok")</f>
        <v>nok</v>
      </c>
      <c r="J524" s="60" t="str">
        <f>IF(AND($B524=[1]rogério!$A525,[1]rogério!$B525=J$4),"ok","nok")</f>
        <v>nok</v>
      </c>
      <c r="K524" s="60" t="str">
        <f>IF(AND($B524=[1]rogério!$A525,[1]rogério!$B525=K$4),"ok","nok")</f>
        <v>nok</v>
      </c>
      <c r="L524" s="60" t="str">
        <f>IF(AND($B524=[1]rogério!$A525,[1]rogério!$B525=L$4),"ok","nok")</f>
        <v>nok</v>
      </c>
      <c r="M524" s="60" t="str">
        <f>IF(AND($B524=[1]rogério!$A525,[1]rogério!$B525=M$4),"ok","nok")</f>
        <v>nok</v>
      </c>
      <c r="N524" s="60" t="str">
        <f>IF(AND($B524=[1]rogério!$A525,[1]rogério!$B525=N$4),"ok","nok")</f>
        <v>nok</v>
      </c>
      <c r="O524" s="60" t="str">
        <f>IF(AND($B524=[1]rogério!$A525,[1]rogério!$B525=O$4),"ok","nok")</f>
        <v>nok</v>
      </c>
      <c r="P524" s="60" t="str">
        <f>IF(AND($B524=[1]rogério!$A525,[1]rogério!$B525=P$4),"ok","nok")</f>
        <v>nok</v>
      </c>
      <c r="Q524" s="60" t="str">
        <f>IF(AND($B524=[1]rogério!$A525,[1]rogério!$B525=Q$4),"ok","nok")</f>
        <v>nok</v>
      </c>
      <c r="R524" s="60" t="str">
        <f>IF(AND($B524=[1]rogério!$A525,[1]rogério!$B525=R$4),"ok","nok")</f>
        <v>nok</v>
      </c>
      <c r="S524" s="60" t="str">
        <f>IF(AND($B524=[1]rogério!$A525,[1]rogério!$B525=S$4),"ok","nok")</f>
        <v>nok</v>
      </c>
      <c r="T524" s="60" t="str">
        <f>IF(AND($B524=[1]rogério!$A525,[1]rogério!$B525=T$4),"ok","nok")</f>
        <v>nok</v>
      </c>
      <c r="U524" s="60" t="str">
        <f>IF(AND($B524=[1]rogério!$A525,[1]rogério!$B525=U$4),"ok","nok")</f>
        <v>ok</v>
      </c>
      <c r="V524" s="60" t="str">
        <f>IF(AND($B524=[1]rogério!$A525,[1]rogério!$B525=V$4),"ok","nok")</f>
        <v>nok</v>
      </c>
      <c r="W524" s="60" t="str">
        <f>IF(AND($B524=[1]rogério!$A525,[1]rogério!$B525=W$4),"ok","nok")</f>
        <v>nok</v>
      </c>
      <c r="X524" s="60" t="str">
        <f>IF(AND($B524=[1]rogério!$A525,[1]rogério!$B525=X$4),"ok","nok")</f>
        <v>nok</v>
      </c>
      <c r="Y524" s="105" t="s">
        <v>15</v>
      </c>
      <c r="Z524" s="106"/>
      <c r="AA524" s="106"/>
      <c r="AB524" s="107"/>
      <c r="AC524" s="46"/>
      <c r="AD524" s="46"/>
      <c r="AE524" s="48" t="str">
        <f t="shared" si="133"/>
        <v/>
      </c>
      <c r="AF524" s="48"/>
      <c r="AG524" s="48"/>
      <c r="AH524" s="89"/>
      <c r="AI524" s="49">
        <f t="shared" si="134"/>
        <v>0</v>
      </c>
      <c r="AJ524" s="49" t="str">
        <f t="shared" si="135"/>
        <v/>
      </c>
      <c r="AK524" s="49">
        <f t="shared" si="136"/>
        <v>0</v>
      </c>
      <c r="AL524" s="49" t="str">
        <f t="shared" si="137"/>
        <v/>
      </c>
      <c r="AM524" s="49">
        <f t="shared" si="138"/>
        <v>0</v>
      </c>
      <c r="AN524" s="49" t="str">
        <f t="shared" si="139"/>
        <v/>
      </c>
      <c r="AO524" s="49">
        <f t="shared" si="140"/>
        <v>1</v>
      </c>
      <c r="AP524" s="49" t="str">
        <f t="shared" si="141"/>
        <v/>
      </c>
      <c r="AQ524" s="49">
        <f t="shared" si="142"/>
        <v>0</v>
      </c>
      <c r="AR524" s="49" t="str">
        <f t="shared" si="143"/>
        <v/>
      </c>
    </row>
    <row r="525" spans="1:44" ht="30" customHeight="1" x14ac:dyDescent="0.35">
      <c r="A525" s="25" t="str">
        <f t="shared" si="145"/>
        <v>PT177 - PLATAFORMA DE ACESSO - GRUPO - BÁSICO
COLUNA 4PROJETO BÁSICO
CIVIL</v>
      </c>
      <c r="B525" s="40" t="s">
        <v>43</v>
      </c>
      <c r="C525" s="60" t="str">
        <f>IF(AND($B525=[1]rogério!$A526,[1]rogério!$B526=C$4),"ok","nok")</f>
        <v>nok</v>
      </c>
      <c r="D525" s="60" t="str">
        <f>IF(AND($B525=[1]rogério!$A526,[1]rogério!$B526=D$4),"ok","nok")</f>
        <v>nok</v>
      </c>
      <c r="E525" s="60" t="str">
        <f>IF(AND($B525=[1]rogério!$A526,[1]rogério!$B526=E$4),"ok","nok")</f>
        <v>nok</v>
      </c>
      <c r="F525" s="60" t="str">
        <f>IF(AND($B525=[1]rogério!$A526,[1]rogério!$B526=F$4),"ok","nok")</f>
        <v>nok</v>
      </c>
      <c r="G525" s="60" t="str">
        <f>IF(AND($B525=[1]rogério!$A526,[1]rogério!$B526=G$4),"ok","nok")</f>
        <v>nok</v>
      </c>
      <c r="H525" s="60" t="str">
        <f>IF(AND($B525=[1]rogério!$A526,[1]rogério!$B526=H$4),"ok","nok")</f>
        <v>nok</v>
      </c>
      <c r="I525" s="60" t="str">
        <f>IF(AND($B525=[1]rogério!$A526,[1]rogério!$B526=I$4),"ok","nok")</f>
        <v>nok</v>
      </c>
      <c r="J525" s="60" t="str">
        <f>IF(AND($B525=[1]rogério!$A526,[1]rogério!$B526=J$4),"ok","nok")</f>
        <v>nok</v>
      </c>
      <c r="K525" s="60" t="str">
        <f>IF(AND($B525=[1]rogério!$A526,[1]rogério!$B526=K$4),"ok","nok")</f>
        <v>nok</v>
      </c>
      <c r="L525" s="60" t="str">
        <f>IF(AND($B525=[1]rogério!$A526,[1]rogério!$B526=L$4),"ok","nok")</f>
        <v>nok</v>
      </c>
      <c r="M525" s="60" t="str">
        <f>IF(AND($B525=[1]rogério!$A526,[1]rogério!$B526=M$4),"ok","nok")</f>
        <v>nok</v>
      </c>
      <c r="N525" s="60" t="str">
        <f>IF(AND($B525=[1]rogério!$A526,[1]rogério!$B526=N$4),"ok","nok")</f>
        <v>nok</v>
      </c>
      <c r="O525" s="60" t="str">
        <f>IF(AND($B525=[1]rogério!$A526,[1]rogério!$B526=O$4),"ok","nok")</f>
        <v>nok</v>
      </c>
      <c r="P525" s="60" t="str">
        <f>IF(AND($B525=[1]rogério!$A526,[1]rogério!$B526=P$4),"ok","nok")</f>
        <v>nok</v>
      </c>
      <c r="Q525" s="60" t="str">
        <f>IF(AND($B525=[1]rogério!$A526,[1]rogério!$B526=Q$4),"ok","nok")</f>
        <v>nok</v>
      </c>
      <c r="R525" s="60" t="str">
        <f>IF(AND($B525=[1]rogério!$A526,[1]rogério!$B526=R$4),"ok","nok")</f>
        <v>nok</v>
      </c>
      <c r="S525" s="60" t="str">
        <f>IF(AND($B525=[1]rogério!$A526,[1]rogério!$B526=S$4),"ok","nok")</f>
        <v>nok</v>
      </c>
      <c r="T525" s="60" t="str">
        <f>IF(AND($B525=[1]rogério!$A526,[1]rogério!$B526=T$4),"ok","nok")</f>
        <v>nok</v>
      </c>
      <c r="U525" s="60" t="str">
        <f>IF(AND($B525=[1]rogério!$A526,[1]rogério!$B526=U$4),"ok","nok")</f>
        <v>ok</v>
      </c>
      <c r="V525" s="60" t="str">
        <f>IF(AND($B525=[1]rogério!$A526,[1]rogério!$B526=V$4),"ok","nok")</f>
        <v>nok</v>
      </c>
      <c r="W525" s="60" t="str">
        <f>IF(AND($B525=[1]rogério!$A526,[1]rogério!$B526=W$4),"ok","nok")</f>
        <v>nok</v>
      </c>
      <c r="X525" s="60" t="str">
        <f>IF(AND($B525=[1]rogério!$A526,[1]rogério!$B526=X$4),"ok","nok")</f>
        <v>nok</v>
      </c>
      <c r="Y525" s="105" t="s">
        <v>15</v>
      </c>
      <c r="Z525" s="106"/>
      <c r="AA525" s="106"/>
      <c r="AB525" s="107"/>
      <c r="AC525" s="37"/>
      <c r="AD525" s="37"/>
      <c r="AE525" s="48" t="str">
        <f t="shared" si="133"/>
        <v/>
      </c>
      <c r="AF525" s="48"/>
      <c r="AG525" s="48"/>
      <c r="AH525" s="89"/>
      <c r="AI525" s="49">
        <f t="shared" si="134"/>
        <v>0</v>
      </c>
      <c r="AJ525" s="49" t="str">
        <f t="shared" si="135"/>
        <v/>
      </c>
      <c r="AK525" s="49">
        <f t="shared" si="136"/>
        <v>0</v>
      </c>
      <c r="AL525" s="49" t="str">
        <f t="shared" si="137"/>
        <v/>
      </c>
      <c r="AM525" s="49">
        <f t="shared" si="138"/>
        <v>0</v>
      </c>
      <c r="AN525" s="49" t="str">
        <f t="shared" si="139"/>
        <v/>
      </c>
      <c r="AO525" s="49">
        <f t="shared" si="140"/>
        <v>1</v>
      </c>
      <c r="AP525" s="49" t="str">
        <f t="shared" si="141"/>
        <v/>
      </c>
      <c r="AQ525" s="49">
        <f t="shared" si="142"/>
        <v>0</v>
      </c>
      <c r="AR525" s="49" t="str">
        <f t="shared" si="143"/>
        <v/>
      </c>
    </row>
    <row r="526" spans="1:44" ht="30" customHeight="1" x14ac:dyDescent="0.35">
      <c r="A526" s="25" t="str">
        <f t="shared" si="145"/>
        <v>PT177 - PLATAFORMA DE ACESSO - GRUPO - BÁSICO
COLUNA 4PROJETO BÁSICO
CIVIL</v>
      </c>
      <c r="B526" s="38" t="s">
        <v>74</v>
      </c>
      <c r="C526" s="60" t="str">
        <f>IF(AND($B526=[1]rogério!$A527,[1]rogério!$B527=C$4),"ok","nok")</f>
        <v>nok</v>
      </c>
      <c r="D526" s="60" t="str">
        <f>IF(AND($B526=[1]rogério!$A527,[1]rogério!$B527=D$4),"ok","nok")</f>
        <v>nok</v>
      </c>
      <c r="E526" s="60" t="str">
        <f>IF(AND($B526=[1]rogério!$A527,[1]rogério!$B527=E$4),"ok","nok")</f>
        <v>nok</v>
      </c>
      <c r="F526" s="60" t="str">
        <f>IF(AND($B526=[1]rogério!$A527,[1]rogério!$B527=F$4),"ok","nok")</f>
        <v>nok</v>
      </c>
      <c r="G526" s="60" t="str">
        <f>IF(AND($B526=[1]rogério!$A527,[1]rogério!$B527=G$4),"ok","nok")</f>
        <v>nok</v>
      </c>
      <c r="H526" s="60" t="str">
        <f>IF(AND($B526=[1]rogério!$A527,[1]rogério!$B527=H$4),"ok","nok")</f>
        <v>nok</v>
      </c>
      <c r="I526" s="60" t="str">
        <f>IF(AND($B526=[1]rogério!$A527,[1]rogério!$B527=I$4),"ok","nok")</f>
        <v>nok</v>
      </c>
      <c r="J526" s="60" t="str">
        <f>IF(AND($B526=[1]rogério!$A527,[1]rogério!$B527=J$4),"ok","nok")</f>
        <v>nok</v>
      </c>
      <c r="K526" s="60" t="str">
        <f>IF(AND($B526=[1]rogério!$A527,[1]rogério!$B527=K$4),"ok","nok")</f>
        <v>nok</v>
      </c>
      <c r="L526" s="60" t="str">
        <f>IF(AND($B526=[1]rogério!$A527,[1]rogério!$B527=L$4),"ok","nok")</f>
        <v>nok</v>
      </c>
      <c r="M526" s="60" t="str">
        <f>IF(AND($B526=[1]rogério!$A527,[1]rogério!$B527=M$4),"ok","nok")</f>
        <v>nok</v>
      </c>
      <c r="N526" s="60" t="str">
        <f>IF(AND($B526=[1]rogério!$A527,[1]rogério!$B527=N$4),"ok","nok")</f>
        <v>nok</v>
      </c>
      <c r="O526" s="60" t="str">
        <f>IF(AND($B526=[1]rogério!$A527,[1]rogério!$B527=O$4),"ok","nok")</f>
        <v>ok</v>
      </c>
      <c r="P526" s="60" t="str">
        <f>IF(AND($B526=[1]rogério!$A527,[1]rogério!$B527=P$4),"ok","nok")</f>
        <v>nok</v>
      </c>
      <c r="Q526" s="60" t="str">
        <f>IF(AND($B526=[1]rogério!$A527,[1]rogério!$B527=Q$4),"ok","nok")</f>
        <v>nok</v>
      </c>
      <c r="R526" s="60" t="str">
        <f>IF(AND($B526=[1]rogério!$A527,[1]rogério!$B527=R$4),"ok","nok")</f>
        <v>nok</v>
      </c>
      <c r="S526" s="60" t="str">
        <f>IF(AND($B526=[1]rogério!$A527,[1]rogério!$B527=S$4),"ok","nok")</f>
        <v>nok</v>
      </c>
      <c r="T526" s="60" t="str">
        <f>IF(AND($B526=[1]rogério!$A527,[1]rogério!$B527=T$4),"ok","nok")</f>
        <v>nok</v>
      </c>
      <c r="U526" s="60" t="str">
        <f>IF(AND($B526=[1]rogério!$A527,[1]rogério!$B527=U$4),"ok","nok")</f>
        <v>nok</v>
      </c>
      <c r="V526" s="60" t="str">
        <f>IF(AND($B526=[1]rogério!$A527,[1]rogério!$B527=V$4),"ok","nok")</f>
        <v>nok</v>
      </c>
      <c r="W526" s="60" t="str">
        <f>IF(AND($B526=[1]rogério!$A527,[1]rogério!$B527=W$4),"ok","nok")</f>
        <v>nok</v>
      </c>
      <c r="X526" s="60" t="str">
        <f>IF(AND($B526=[1]rogério!$A527,[1]rogério!$B527=X$4),"ok","nok")</f>
        <v>nok</v>
      </c>
      <c r="Y526" s="105" t="s">
        <v>15</v>
      </c>
      <c r="Z526" s="106"/>
      <c r="AA526" s="106"/>
      <c r="AB526" s="107"/>
      <c r="AC526" s="41"/>
      <c r="AD526" s="41"/>
      <c r="AE526" s="48" t="str">
        <f t="shared" si="133"/>
        <v/>
      </c>
      <c r="AF526" s="48"/>
      <c r="AG526" s="48"/>
      <c r="AH526" s="89"/>
      <c r="AI526" s="49">
        <f t="shared" si="134"/>
        <v>0</v>
      </c>
      <c r="AJ526" s="49" t="str">
        <f t="shared" si="135"/>
        <v/>
      </c>
      <c r="AK526" s="49">
        <f t="shared" si="136"/>
        <v>0</v>
      </c>
      <c r="AL526" s="49" t="str">
        <f t="shared" si="137"/>
        <v/>
      </c>
      <c r="AM526" s="49">
        <f t="shared" si="138"/>
        <v>1</v>
      </c>
      <c r="AN526" s="49" t="str">
        <f t="shared" si="139"/>
        <v/>
      </c>
      <c r="AO526" s="49">
        <f t="shared" si="140"/>
        <v>0</v>
      </c>
      <c r="AP526" s="49" t="str">
        <f t="shared" si="141"/>
        <v/>
      </c>
      <c r="AQ526" s="49">
        <f t="shared" si="142"/>
        <v>0</v>
      </c>
      <c r="AR526" s="49" t="str">
        <f t="shared" si="143"/>
        <v/>
      </c>
    </row>
    <row r="527" spans="1:44" ht="30" customHeight="1" x14ac:dyDescent="0.35">
      <c r="A527" s="25" t="str">
        <f t="shared" si="145"/>
        <v>PT177 - PLATAFORMA DE ACESSO - GRUPO - BÁSICO
COLUNA 4PROJETO BÁSICO
CIVIL</v>
      </c>
      <c r="B527" s="38" t="s">
        <v>75</v>
      </c>
      <c r="C527" s="60" t="str">
        <f>IF(AND($B527=[1]rogério!$A528,[1]rogério!$B528=C$4),"ok","nok")</f>
        <v>nok</v>
      </c>
      <c r="D527" s="60" t="str">
        <f>IF(AND($B527=[1]rogério!$A528,[1]rogério!$B528=D$4),"ok","nok")</f>
        <v>nok</v>
      </c>
      <c r="E527" s="60" t="str">
        <f>IF(AND($B527=[1]rogério!$A528,[1]rogério!$B528=E$4),"ok","nok")</f>
        <v>nok</v>
      </c>
      <c r="F527" s="60" t="str">
        <f>IF(AND($B527=[1]rogério!$A528,[1]rogério!$B528=F$4),"ok","nok")</f>
        <v>nok</v>
      </c>
      <c r="G527" s="60" t="str">
        <f>IF(AND($B527=[1]rogério!$A528,[1]rogério!$B528=G$4),"ok","nok")</f>
        <v>nok</v>
      </c>
      <c r="H527" s="60" t="str">
        <f>IF(AND($B527=[1]rogério!$A528,[1]rogério!$B528=H$4),"ok","nok")</f>
        <v>nok</v>
      </c>
      <c r="I527" s="60" t="str">
        <f>IF(AND($B527=[1]rogério!$A528,[1]rogério!$B528=I$4),"ok","nok")</f>
        <v>nok</v>
      </c>
      <c r="J527" s="60" t="str">
        <f>IF(AND($B527=[1]rogério!$A528,[1]rogério!$B528=J$4),"ok","nok")</f>
        <v>nok</v>
      </c>
      <c r="K527" s="60" t="str">
        <f>IF(AND($B527=[1]rogério!$A528,[1]rogério!$B528=K$4),"ok","nok")</f>
        <v>nok</v>
      </c>
      <c r="L527" s="60" t="str">
        <f>IF(AND($B527=[1]rogério!$A528,[1]rogério!$B528=L$4),"ok","nok")</f>
        <v>nok</v>
      </c>
      <c r="M527" s="60" t="str">
        <f>IF(AND($B527=[1]rogério!$A528,[1]rogério!$B528=M$4),"ok","nok")</f>
        <v>nok</v>
      </c>
      <c r="N527" s="60" t="str">
        <f>IF(AND($B527=[1]rogério!$A528,[1]rogério!$B528=N$4),"ok","nok")</f>
        <v>nok</v>
      </c>
      <c r="O527" s="60" t="str">
        <f>IF(AND($B527=[1]rogério!$A528,[1]rogério!$B528=O$4),"ok","nok")</f>
        <v>nok</v>
      </c>
      <c r="P527" s="60" t="str">
        <f>IF(AND($B527=[1]rogério!$A528,[1]rogério!$B528=P$4),"ok","nok")</f>
        <v>ok</v>
      </c>
      <c r="Q527" s="60" t="str">
        <f>IF(AND($B527=[1]rogério!$A528,[1]rogério!$B528=Q$4),"ok","nok")</f>
        <v>nok</v>
      </c>
      <c r="R527" s="60" t="str">
        <f>IF(AND($B527=[1]rogério!$A528,[1]rogério!$B528=R$4),"ok","nok")</f>
        <v>nok</v>
      </c>
      <c r="S527" s="60" t="str">
        <f>IF(AND($B527=[1]rogério!$A528,[1]rogério!$B528=S$4),"ok","nok")</f>
        <v>nok</v>
      </c>
      <c r="T527" s="60" t="str">
        <f>IF(AND($B527=[1]rogério!$A528,[1]rogério!$B528=T$4),"ok","nok")</f>
        <v>nok</v>
      </c>
      <c r="U527" s="60" t="str">
        <f>IF(AND($B527=[1]rogério!$A528,[1]rogério!$B528=U$4),"ok","nok")</f>
        <v>nok</v>
      </c>
      <c r="V527" s="60" t="str">
        <f>IF(AND($B527=[1]rogério!$A528,[1]rogério!$B528=V$4),"ok","nok")</f>
        <v>nok</v>
      </c>
      <c r="W527" s="60" t="str">
        <f>IF(AND($B527=[1]rogério!$A528,[1]rogério!$B528=W$4),"ok","nok")</f>
        <v>nok</v>
      </c>
      <c r="X527" s="60" t="str">
        <f>IF(AND($B527=[1]rogério!$A528,[1]rogério!$B528=X$4),"ok","nok")</f>
        <v>nok</v>
      </c>
      <c r="Y527" s="105" t="s">
        <v>15</v>
      </c>
      <c r="Z527" s="106"/>
      <c r="AA527" s="106"/>
      <c r="AB527" s="107"/>
      <c r="AC527" s="38"/>
      <c r="AD527" s="38"/>
      <c r="AE527" s="48" t="str">
        <f t="shared" si="133"/>
        <v/>
      </c>
      <c r="AF527" s="48"/>
      <c r="AG527" s="48"/>
      <c r="AH527" s="89"/>
      <c r="AI527" s="49">
        <f t="shared" si="134"/>
        <v>0</v>
      </c>
      <c r="AJ527" s="49" t="str">
        <f t="shared" si="135"/>
        <v/>
      </c>
      <c r="AK527" s="49">
        <f t="shared" si="136"/>
        <v>0</v>
      </c>
      <c r="AL527" s="49" t="str">
        <f t="shared" si="137"/>
        <v/>
      </c>
      <c r="AM527" s="49">
        <f t="shared" si="138"/>
        <v>1</v>
      </c>
      <c r="AN527" s="49" t="str">
        <f t="shared" si="139"/>
        <v/>
      </c>
      <c r="AO527" s="49">
        <f t="shared" si="140"/>
        <v>0</v>
      </c>
      <c r="AP527" s="49" t="str">
        <f t="shared" si="141"/>
        <v/>
      </c>
      <c r="AQ527" s="49">
        <f t="shared" si="142"/>
        <v>0</v>
      </c>
      <c r="AR527" s="49" t="str">
        <f t="shared" si="143"/>
        <v/>
      </c>
    </row>
    <row r="528" spans="1:44" ht="30" customHeight="1" x14ac:dyDescent="0.35">
      <c r="A528" s="25"/>
      <c r="B528" s="39" t="s">
        <v>62</v>
      </c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108"/>
      <c r="Z528" s="109"/>
      <c r="AA528" s="109"/>
      <c r="AB528" s="110"/>
      <c r="AC528" s="38"/>
      <c r="AD528" s="38"/>
      <c r="AE528" s="48" t="str">
        <f t="shared" si="133"/>
        <v/>
      </c>
      <c r="AF528" s="48"/>
      <c r="AG528" s="48"/>
      <c r="AH528" s="89"/>
      <c r="AI528" s="49">
        <f t="shared" si="134"/>
        <v>0</v>
      </c>
      <c r="AJ528" s="49" t="str">
        <f t="shared" si="135"/>
        <v/>
      </c>
      <c r="AK528" s="49">
        <f t="shared" si="136"/>
        <v>0</v>
      </c>
      <c r="AL528" s="49" t="str">
        <f t="shared" si="137"/>
        <v/>
      </c>
      <c r="AM528" s="49">
        <f t="shared" si="138"/>
        <v>0</v>
      </c>
      <c r="AN528" s="49" t="str">
        <f t="shared" si="139"/>
        <v/>
      </c>
      <c r="AO528" s="49">
        <f t="shared" si="140"/>
        <v>0</v>
      </c>
      <c r="AP528" s="49" t="str">
        <f t="shared" si="141"/>
        <v/>
      </c>
      <c r="AQ528" s="49">
        <f t="shared" si="142"/>
        <v>0</v>
      </c>
      <c r="AR528" s="49" t="str">
        <f t="shared" si="143"/>
        <v/>
      </c>
    </row>
    <row r="529" spans="1:44" ht="30" customHeight="1" x14ac:dyDescent="0.35">
      <c r="A529" s="25" t="str">
        <f t="shared" si="145"/>
        <v>PT177 - PLATAFORMA DE ACESSO - GRUPO - BÁSICO
COLUNA 4PROJETO BÁSICO
CIVIL</v>
      </c>
      <c r="B529" s="40" t="s">
        <v>49</v>
      </c>
      <c r="C529" s="60" t="str">
        <f>IF(AND($B529=[1]rogério!$A530,[1]rogério!$B530=C$4),"ok","nok")</f>
        <v>nok</v>
      </c>
      <c r="D529" s="60" t="str">
        <f>IF(AND($B529=[1]rogério!$A530,[1]rogério!$B530=D$4),"ok","nok")</f>
        <v>nok</v>
      </c>
      <c r="E529" s="60" t="str">
        <f>IF(AND($B529=[1]rogério!$A530,[1]rogério!$B530=E$4),"ok","nok")</f>
        <v>nok</v>
      </c>
      <c r="F529" s="60" t="str">
        <f>IF(AND($B529=[1]rogério!$A530,[1]rogério!$B530=F$4),"ok","nok")</f>
        <v>nok</v>
      </c>
      <c r="G529" s="60" t="str">
        <f>IF(AND($B529=[1]rogério!$A530,[1]rogério!$B530=G$4),"ok","nok")</f>
        <v>nok</v>
      </c>
      <c r="H529" s="60" t="str">
        <f>IF(AND($B529=[1]rogério!$A530,[1]rogério!$B530=H$4),"ok","nok")</f>
        <v>nok</v>
      </c>
      <c r="I529" s="60" t="str">
        <f>IF(AND($B529=[1]rogério!$A530,[1]rogério!$B530=I$4),"ok","nok")</f>
        <v>nok</v>
      </c>
      <c r="J529" s="60" t="str">
        <f>IF(AND($B529=[1]rogério!$A530,[1]rogério!$B530=J$4),"ok","nok")</f>
        <v>nok</v>
      </c>
      <c r="K529" s="60" t="str">
        <f>IF(AND($B529=[1]rogério!$A530,[1]rogério!$B530=K$4),"ok","nok")</f>
        <v>nok</v>
      </c>
      <c r="L529" s="60" t="str">
        <f>IF(AND($B529=[1]rogério!$A530,[1]rogério!$B530=L$4),"ok","nok")</f>
        <v>nok</v>
      </c>
      <c r="M529" s="60" t="str">
        <f>IF(AND($B529=[1]rogério!$A530,[1]rogério!$B530=M$4),"ok","nok")</f>
        <v>nok</v>
      </c>
      <c r="N529" s="60" t="str">
        <f>IF(AND($B529=[1]rogério!$A530,[1]rogério!$B530=N$4),"ok","nok")</f>
        <v>nok</v>
      </c>
      <c r="O529" s="60" t="str">
        <f>IF(AND($B529=[1]rogério!$A530,[1]rogério!$B530=O$4),"ok","nok")</f>
        <v>nok</v>
      </c>
      <c r="P529" s="60" t="str">
        <f>IF(AND($B529=[1]rogério!$A530,[1]rogério!$B530=P$4),"ok","nok")</f>
        <v>ok</v>
      </c>
      <c r="Q529" s="60" t="str">
        <f>IF(AND($B529=[1]rogério!$A530,[1]rogério!$B530=Q$4),"ok","nok")</f>
        <v>nok</v>
      </c>
      <c r="R529" s="60" t="str">
        <f>IF(AND($B529=[1]rogério!$A530,[1]rogério!$B530=R$4),"ok","nok")</f>
        <v>nok</v>
      </c>
      <c r="S529" s="60" t="str">
        <f>IF(AND($B529=[1]rogério!$A530,[1]rogério!$B530=S$4),"ok","nok")</f>
        <v>nok</v>
      </c>
      <c r="T529" s="60" t="str">
        <f>IF(AND($B529=[1]rogério!$A530,[1]rogério!$B530=T$4),"ok","nok")</f>
        <v>nok</v>
      </c>
      <c r="U529" s="60" t="str">
        <f>IF(AND($B529=[1]rogério!$A530,[1]rogério!$B530=U$4),"ok","nok")</f>
        <v>nok</v>
      </c>
      <c r="V529" s="60" t="str">
        <f>IF(AND($B529=[1]rogério!$A530,[1]rogério!$B530=V$4),"ok","nok")</f>
        <v>nok</v>
      </c>
      <c r="W529" s="60" t="str">
        <f>IF(AND($B529=[1]rogério!$A530,[1]rogério!$B530=W$4),"ok","nok")</f>
        <v>nok</v>
      </c>
      <c r="X529" s="60" t="str">
        <f>IF(AND($B529=[1]rogério!$A530,[1]rogério!$B530=X$4),"ok","nok")</f>
        <v>nok</v>
      </c>
      <c r="Y529" s="105" t="s">
        <v>15</v>
      </c>
      <c r="Z529" s="106"/>
      <c r="AA529" s="106"/>
      <c r="AB529" s="107"/>
      <c r="AC529" s="38"/>
      <c r="AD529" s="38"/>
      <c r="AE529" s="48" t="str">
        <f t="shared" si="133"/>
        <v/>
      </c>
      <c r="AF529" s="48"/>
      <c r="AG529" s="48"/>
      <c r="AH529" s="89"/>
      <c r="AI529" s="49">
        <f t="shared" si="134"/>
        <v>0</v>
      </c>
      <c r="AJ529" s="49" t="str">
        <f t="shared" si="135"/>
        <v/>
      </c>
      <c r="AK529" s="49">
        <f t="shared" si="136"/>
        <v>0</v>
      </c>
      <c r="AL529" s="49" t="str">
        <f t="shared" si="137"/>
        <v/>
      </c>
      <c r="AM529" s="49">
        <f t="shared" si="138"/>
        <v>1</v>
      </c>
      <c r="AN529" s="49" t="str">
        <f t="shared" si="139"/>
        <v/>
      </c>
      <c r="AO529" s="49">
        <f t="shared" si="140"/>
        <v>0</v>
      </c>
      <c r="AP529" s="49" t="str">
        <f t="shared" si="141"/>
        <v/>
      </c>
      <c r="AQ529" s="49">
        <f t="shared" si="142"/>
        <v>0</v>
      </c>
      <c r="AR529" s="49" t="str">
        <f t="shared" si="143"/>
        <v/>
      </c>
    </row>
    <row r="530" spans="1:44" ht="30" customHeight="1" x14ac:dyDescent="0.35">
      <c r="A530" s="25" t="str">
        <f t="shared" si="145"/>
        <v>PT177 - PLATAFORMA DE ACESSO - GRUPO - BÁSICO
COLUNA 4PROJETO BÁSICO
CIVIL</v>
      </c>
      <c r="B530" s="40" t="s">
        <v>19</v>
      </c>
      <c r="C530" s="60" t="str">
        <f>IF(AND($B530=[1]rogério!$A531,[1]rogério!$B531=C$4),"ok","nok")</f>
        <v>nok</v>
      </c>
      <c r="D530" s="60" t="str">
        <f>IF(AND($B530=[1]rogério!$A531,[1]rogério!$B531=D$4),"ok","nok")</f>
        <v>nok</v>
      </c>
      <c r="E530" s="60" t="str">
        <f>IF(AND($B530=[1]rogério!$A531,[1]rogério!$B531=E$4),"ok","nok")</f>
        <v>nok</v>
      </c>
      <c r="F530" s="60" t="str">
        <f>IF(AND($B530=[1]rogério!$A531,[1]rogério!$B531=F$4),"ok","nok")</f>
        <v>nok</v>
      </c>
      <c r="G530" s="60" t="str">
        <f>IF(AND($B530=[1]rogério!$A531,[1]rogério!$B531=G$4),"ok","nok")</f>
        <v>nok</v>
      </c>
      <c r="H530" s="60" t="str">
        <f>IF(AND($B530=[1]rogério!$A531,[1]rogério!$B531=H$4),"ok","nok")</f>
        <v>nok</v>
      </c>
      <c r="I530" s="60" t="str">
        <f>IF(AND($B530=[1]rogério!$A531,[1]rogério!$B531=I$4),"ok","nok")</f>
        <v>nok</v>
      </c>
      <c r="J530" s="60" t="str">
        <f>IF(AND($B530=[1]rogério!$A531,[1]rogério!$B531=J$4),"ok","nok")</f>
        <v>nok</v>
      </c>
      <c r="K530" s="60" t="str">
        <f>IF(AND($B530=[1]rogério!$A531,[1]rogério!$B531=K$4),"ok","nok")</f>
        <v>nok</v>
      </c>
      <c r="L530" s="60" t="str">
        <f>IF(AND($B530=[1]rogério!$A531,[1]rogério!$B531=L$4),"ok","nok")</f>
        <v>nok</v>
      </c>
      <c r="M530" s="60" t="str">
        <f>IF(AND($B530=[1]rogério!$A531,[1]rogério!$B531=M$4),"ok","nok")</f>
        <v>nok</v>
      </c>
      <c r="N530" s="60" t="str">
        <f>IF(AND($B530=[1]rogério!$A531,[1]rogério!$B531=N$4),"ok","nok")</f>
        <v>nok</v>
      </c>
      <c r="O530" s="60" t="str">
        <f>IF(AND($B530=[1]rogério!$A531,[1]rogério!$B531=O$4),"ok","nok")</f>
        <v>nok</v>
      </c>
      <c r="P530" s="60" t="str">
        <f>IF(AND($B530=[1]rogério!$A531,[1]rogério!$B531=P$4),"ok","nok")</f>
        <v>nok</v>
      </c>
      <c r="Q530" s="60" t="str">
        <f>IF(AND($B530=[1]rogério!$A531,[1]rogério!$B531=Q$4),"ok","nok")</f>
        <v>nok</v>
      </c>
      <c r="R530" s="60" t="str">
        <f>IF(AND($B530=[1]rogério!$A531,[1]rogério!$B531=R$4),"ok","nok")</f>
        <v>nok</v>
      </c>
      <c r="S530" s="60" t="str">
        <f>IF(AND($B530=[1]rogério!$A531,[1]rogério!$B531=S$4),"ok","nok")</f>
        <v>nok</v>
      </c>
      <c r="T530" s="60" t="str">
        <f>IF(AND($B530=[1]rogério!$A531,[1]rogério!$B531=T$4),"ok","nok")</f>
        <v>nok</v>
      </c>
      <c r="U530" s="60" t="str">
        <f>IF(AND($B530=[1]rogério!$A531,[1]rogério!$B531=U$4),"ok","nok")</f>
        <v>ok</v>
      </c>
      <c r="V530" s="60" t="str">
        <f>IF(AND($B530=[1]rogério!$A531,[1]rogério!$B531=V$4),"ok","nok")</f>
        <v>nok</v>
      </c>
      <c r="W530" s="60" t="str">
        <f>IF(AND($B530=[1]rogério!$A531,[1]rogério!$B531=W$4),"ok","nok")</f>
        <v>nok</v>
      </c>
      <c r="X530" s="60" t="str">
        <f>IF(AND($B530=[1]rogério!$A531,[1]rogério!$B531=X$4),"ok","nok")</f>
        <v>nok</v>
      </c>
      <c r="Y530" s="105" t="s">
        <v>15</v>
      </c>
      <c r="Z530" s="106"/>
      <c r="AA530" s="106"/>
      <c r="AB530" s="107"/>
      <c r="AC530" s="38"/>
      <c r="AD530" s="38"/>
      <c r="AE530" s="48" t="str">
        <f t="shared" si="133"/>
        <v/>
      </c>
      <c r="AF530" s="48"/>
      <c r="AG530" s="48"/>
      <c r="AH530" s="89"/>
      <c r="AI530" s="49">
        <f t="shared" si="134"/>
        <v>0</v>
      </c>
      <c r="AJ530" s="49" t="str">
        <f t="shared" si="135"/>
        <v/>
      </c>
      <c r="AK530" s="49">
        <f t="shared" si="136"/>
        <v>0</v>
      </c>
      <c r="AL530" s="49" t="str">
        <f t="shared" si="137"/>
        <v/>
      </c>
      <c r="AM530" s="49">
        <f t="shared" si="138"/>
        <v>0</v>
      </c>
      <c r="AN530" s="49" t="str">
        <f t="shared" si="139"/>
        <v/>
      </c>
      <c r="AO530" s="49">
        <f t="shared" si="140"/>
        <v>1</v>
      </c>
      <c r="AP530" s="49" t="str">
        <f t="shared" si="141"/>
        <v/>
      </c>
      <c r="AQ530" s="49">
        <f t="shared" si="142"/>
        <v>0</v>
      </c>
      <c r="AR530" s="49" t="str">
        <f t="shared" si="143"/>
        <v/>
      </c>
    </row>
    <row r="531" spans="1:44" ht="30" customHeight="1" x14ac:dyDescent="0.35">
      <c r="A531" s="25" t="str">
        <f t="shared" si="145"/>
        <v>PT177 - PLATAFORMA DE ACESSO - GRUPO - BÁSICO
COLUNA 4PROJETO BÁSICO
CIVIL</v>
      </c>
      <c r="B531" s="40" t="s">
        <v>42</v>
      </c>
      <c r="C531" s="60" t="str">
        <f>IF(AND($B531=[1]rogério!$A532,[1]rogério!$B532=C$4),"ok","nok")</f>
        <v>nok</v>
      </c>
      <c r="D531" s="60" t="str">
        <f>IF(AND($B531=[1]rogério!$A532,[1]rogério!$B532=D$4),"ok","nok")</f>
        <v>nok</v>
      </c>
      <c r="E531" s="60" t="str">
        <f>IF(AND($B531=[1]rogério!$A532,[1]rogério!$B532=E$4),"ok","nok")</f>
        <v>nok</v>
      </c>
      <c r="F531" s="60" t="str">
        <f>IF(AND($B531=[1]rogério!$A532,[1]rogério!$B532=F$4),"ok","nok")</f>
        <v>nok</v>
      </c>
      <c r="G531" s="60" t="str">
        <f>IF(AND($B531=[1]rogério!$A532,[1]rogério!$B532=G$4),"ok","nok")</f>
        <v>nok</v>
      </c>
      <c r="H531" s="60" t="str">
        <f>IF(AND($B531=[1]rogério!$A532,[1]rogério!$B532=H$4),"ok","nok")</f>
        <v>nok</v>
      </c>
      <c r="I531" s="60" t="str">
        <f>IF(AND($B531=[1]rogério!$A532,[1]rogério!$B532=I$4),"ok","nok")</f>
        <v>nok</v>
      </c>
      <c r="J531" s="60" t="str">
        <f>IF(AND($B531=[1]rogério!$A532,[1]rogério!$B532=J$4),"ok","nok")</f>
        <v>nok</v>
      </c>
      <c r="K531" s="60" t="str">
        <f>IF(AND($B531=[1]rogério!$A532,[1]rogério!$B532=K$4),"ok","nok")</f>
        <v>nok</v>
      </c>
      <c r="L531" s="60" t="str">
        <f>IF(AND($B531=[1]rogério!$A532,[1]rogério!$B532=L$4),"ok","nok")</f>
        <v>nok</v>
      </c>
      <c r="M531" s="60" t="str">
        <f>IF(AND($B531=[1]rogério!$A532,[1]rogério!$B532=M$4),"ok","nok")</f>
        <v>nok</v>
      </c>
      <c r="N531" s="60" t="str">
        <f>IF(AND($B531=[1]rogério!$A532,[1]rogério!$B532=N$4),"ok","nok")</f>
        <v>nok</v>
      </c>
      <c r="O531" s="60" t="str">
        <f>IF(AND($B531=[1]rogério!$A532,[1]rogério!$B532=O$4),"ok","nok")</f>
        <v>nok</v>
      </c>
      <c r="P531" s="60" t="str">
        <f>IF(AND($B531=[1]rogério!$A532,[1]rogério!$B532=P$4),"ok","nok")</f>
        <v>nok</v>
      </c>
      <c r="Q531" s="60" t="str">
        <f>IF(AND($B531=[1]rogério!$A532,[1]rogério!$B532=Q$4),"ok","nok")</f>
        <v>nok</v>
      </c>
      <c r="R531" s="60" t="str">
        <f>IF(AND($B531=[1]rogério!$A532,[1]rogério!$B532=R$4),"ok","nok")</f>
        <v>nok</v>
      </c>
      <c r="S531" s="60" t="str">
        <f>IF(AND($B531=[1]rogério!$A532,[1]rogério!$B532=S$4),"ok","nok")</f>
        <v>nok</v>
      </c>
      <c r="T531" s="60" t="str">
        <f>IF(AND($B531=[1]rogério!$A532,[1]rogério!$B532=T$4),"ok","nok")</f>
        <v>nok</v>
      </c>
      <c r="U531" s="60" t="str">
        <f>IF(AND($B531=[1]rogério!$A532,[1]rogério!$B532=U$4),"ok","nok")</f>
        <v>nok</v>
      </c>
      <c r="V531" s="60" t="str">
        <f>IF(AND($B531=[1]rogério!$A532,[1]rogério!$B532=V$4),"ok","nok")</f>
        <v>nok</v>
      </c>
      <c r="W531" s="60" t="str">
        <f>IF(AND($B531=[1]rogério!$A532,[1]rogério!$B532=W$4),"ok","nok")</f>
        <v>nok</v>
      </c>
      <c r="X531" s="60" t="str">
        <f>IF(AND($B531=[1]rogério!$A532,[1]rogério!$B532=X$4),"ok","nok")</f>
        <v>ok</v>
      </c>
      <c r="Y531" s="105" t="s">
        <v>15</v>
      </c>
      <c r="Z531" s="106"/>
      <c r="AA531" s="106"/>
      <c r="AB531" s="107"/>
      <c r="AC531" s="38"/>
      <c r="AD531" s="38"/>
      <c r="AE531" s="48" t="str">
        <f t="shared" si="133"/>
        <v/>
      </c>
      <c r="AF531" s="48"/>
      <c r="AG531" s="48"/>
      <c r="AH531" s="89"/>
      <c r="AI531" s="49">
        <f t="shared" si="134"/>
        <v>0</v>
      </c>
      <c r="AJ531" s="49" t="str">
        <f t="shared" si="135"/>
        <v/>
      </c>
      <c r="AK531" s="49">
        <f t="shared" si="136"/>
        <v>0</v>
      </c>
      <c r="AL531" s="49" t="str">
        <f t="shared" si="137"/>
        <v/>
      </c>
      <c r="AM531" s="49">
        <f t="shared" si="138"/>
        <v>0</v>
      </c>
      <c r="AN531" s="49" t="str">
        <f t="shared" si="139"/>
        <v/>
      </c>
      <c r="AO531" s="49">
        <f t="shared" si="140"/>
        <v>0</v>
      </c>
      <c r="AP531" s="49" t="str">
        <f t="shared" si="141"/>
        <v/>
      </c>
      <c r="AQ531" s="49">
        <f t="shared" si="142"/>
        <v>1</v>
      </c>
      <c r="AR531" s="49" t="str">
        <f t="shared" si="143"/>
        <v/>
      </c>
    </row>
    <row r="532" spans="1:44" ht="30" customHeight="1" x14ac:dyDescent="0.35">
      <c r="A532" s="25" t="str">
        <f t="shared" si="145"/>
        <v>PT177 - PLATAFORMA DE ACESSO - GRUPO - BÁSICO
COLUNA 4PROJETO BÁSICO
CIVIL</v>
      </c>
      <c r="B532" s="40" t="s">
        <v>43</v>
      </c>
      <c r="C532" s="60" t="str">
        <f>IF(AND($B532=[1]rogério!$A533,[1]rogério!$B533=C$4),"ok","nok")</f>
        <v>nok</v>
      </c>
      <c r="D532" s="60" t="str">
        <f>IF(AND($B532=[1]rogério!$A533,[1]rogério!$B533=D$4),"ok","nok")</f>
        <v>nok</v>
      </c>
      <c r="E532" s="60" t="str">
        <f>IF(AND($B532=[1]rogério!$A533,[1]rogério!$B533=E$4),"ok","nok")</f>
        <v>nok</v>
      </c>
      <c r="F532" s="60" t="str">
        <f>IF(AND($B532=[1]rogério!$A533,[1]rogério!$B533=F$4),"ok","nok")</f>
        <v>nok</v>
      </c>
      <c r="G532" s="60" t="str">
        <f>IF(AND($B532=[1]rogério!$A533,[1]rogério!$B533=G$4),"ok","nok")</f>
        <v>nok</v>
      </c>
      <c r="H532" s="60" t="str">
        <f>IF(AND($B532=[1]rogério!$A533,[1]rogério!$B533=H$4),"ok","nok")</f>
        <v>nok</v>
      </c>
      <c r="I532" s="60" t="str">
        <f>IF(AND($B532=[1]rogério!$A533,[1]rogério!$B533=I$4),"ok","nok")</f>
        <v>nok</v>
      </c>
      <c r="J532" s="60" t="str">
        <f>IF(AND($B532=[1]rogério!$A533,[1]rogério!$B533=J$4),"ok","nok")</f>
        <v>nok</v>
      </c>
      <c r="K532" s="60" t="str">
        <f>IF(AND($B532=[1]rogério!$A533,[1]rogério!$B533=K$4),"ok","nok")</f>
        <v>nok</v>
      </c>
      <c r="L532" s="60" t="str">
        <f>IF(AND($B532=[1]rogério!$A533,[1]rogério!$B533=L$4),"ok","nok")</f>
        <v>nok</v>
      </c>
      <c r="M532" s="60" t="str">
        <f>IF(AND($B532=[1]rogério!$A533,[1]rogério!$B533=M$4),"ok","nok")</f>
        <v>nok</v>
      </c>
      <c r="N532" s="60" t="str">
        <f>IF(AND($B532=[1]rogério!$A533,[1]rogério!$B533=N$4),"ok","nok")</f>
        <v>nok</v>
      </c>
      <c r="O532" s="60" t="str">
        <f>IF(AND($B532=[1]rogério!$A533,[1]rogério!$B533=O$4),"ok","nok")</f>
        <v>nok</v>
      </c>
      <c r="P532" s="60" t="str">
        <f>IF(AND($B532=[1]rogério!$A533,[1]rogério!$B533=P$4),"ok","nok")</f>
        <v>nok</v>
      </c>
      <c r="Q532" s="60" t="str">
        <f>IF(AND($B532=[1]rogério!$A533,[1]rogério!$B533=Q$4),"ok","nok")</f>
        <v>nok</v>
      </c>
      <c r="R532" s="60" t="str">
        <f>IF(AND($B532=[1]rogério!$A533,[1]rogério!$B533=R$4),"ok","nok")</f>
        <v>nok</v>
      </c>
      <c r="S532" s="60" t="str">
        <f>IF(AND($B532=[1]rogério!$A533,[1]rogério!$B533=S$4),"ok","nok")</f>
        <v>nok</v>
      </c>
      <c r="T532" s="60" t="str">
        <f>IF(AND($B532=[1]rogério!$A533,[1]rogério!$B533=T$4),"ok","nok")</f>
        <v>nok</v>
      </c>
      <c r="U532" s="60" t="str">
        <f>IF(AND($B532=[1]rogério!$A533,[1]rogério!$B533=U$4),"ok","nok")</f>
        <v>nok</v>
      </c>
      <c r="V532" s="60" t="str">
        <f>IF(AND($B532=[1]rogério!$A533,[1]rogério!$B533=V$4),"ok","nok")</f>
        <v>nok</v>
      </c>
      <c r="W532" s="60" t="str">
        <f>IF(AND($B532=[1]rogério!$A533,[1]rogério!$B533=W$4),"ok","nok")</f>
        <v>nok</v>
      </c>
      <c r="X532" s="60" t="str">
        <f>IF(AND($B532=[1]rogério!$A533,[1]rogério!$B533=X$4),"ok","nok")</f>
        <v>ok</v>
      </c>
      <c r="Y532" s="105" t="s">
        <v>15</v>
      </c>
      <c r="Z532" s="106"/>
      <c r="AA532" s="106"/>
      <c r="AB532" s="107"/>
      <c r="AC532" s="46"/>
      <c r="AD532" s="46"/>
      <c r="AE532" s="48" t="str">
        <f t="shared" si="133"/>
        <v/>
      </c>
      <c r="AF532" s="48"/>
      <c r="AG532" s="48"/>
      <c r="AH532" s="89"/>
      <c r="AI532" s="49">
        <f t="shared" si="134"/>
        <v>0</v>
      </c>
      <c r="AJ532" s="49" t="str">
        <f t="shared" si="135"/>
        <v/>
      </c>
      <c r="AK532" s="49">
        <f t="shared" si="136"/>
        <v>0</v>
      </c>
      <c r="AL532" s="49" t="str">
        <f t="shared" si="137"/>
        <v/>
      </c>
      <c r="AM532" s="49">
        <f t="shared" si="138"/>
        <v>0</v>
      </c>
      <c r="AN532" s="49" t="str">
        <f t="shared" si="139"/>
        <v/>
      </c>
      <c r="AO532" s="49">
        <f t="shared" si="140"/>
        <v>0</v>
      </c>
      <c r="AP532" s="49" t="str">
        <f t="shared" si="141"/>
        <v/>
      </c>
      <c r="AQ532" s="49">
        <f t="shared" si="142"/>
        <v>1</v>
      </c>
      <c r="AR532" s="49" t="str">
        <f t="shared" si="143"/>
        <v/>
      </c>
    </row>
    <row r="533" spans="1:44" ht="30" customHeight="1" x14ac:dyDescent="0.35">
      <c r="A533" s="25"/>
      <c r="B533" s="36" t="s">
        <v>91</v>
      </c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123"/>
      <c r="Z533" s="124"/>
      <c r="AA533" s="124"/>
      <c r="AB533" s="125"/>
      <c r="AC533" s="40"/>
      <c r="AD533" s="40"/>
      <c r="AE533" s="48" t="str">
        <f t="shared" si="133"/>
        <v/>
      </c>
      <c r="AF533" s="48"/>
      <c r="AG533" s="48"/>
      <c r="AH533" s="89"/>
      <c r="AI533" s="49">
        <f t="shared" si="134"/>
        <v>0</v>
      </c>
      <c r="AJ533" s="49" t="str">
        <f t="shared" si="135"/>
        <v/>
      </c>
      <c r="AK533" s="49">
        <f t="shared" si="136"/>
        <v>0</v>
      </c>
      <c r="AL533" s="49" t="str">
        <f t="shared" si="137"/>
        <v/>
      </c>
      <c r="AM533" s="49">
        <f t="shared" si="138"/>
        <v>0</v>
      </c>
      <c r="AN533" s="49" t="str">
        <f t="shared" si="139"/>
        <v/>
      </c>
      <c r="AO533" s="49">
        <f t="shared" si="140"/>
        <v>0</v>
      </c>
      <c r="AP533" s="49" t="str">
        <f t="shared" si="141"/>
        <v/>
      </c>
      <c r="AQ533" s="49">
        <f t="shared" si="142"/>
        <v>0</v>
      </c>
      <c r="AR533" s="49" t="str">
        <f t="shared" si="143"/>
        <v/>
      </c>
    </row>
    <row r="534" spans="1:44" ht="30" customHeight="1" x14ac:dyDescent="0.35">
      <c r="A534" s="25"/>
      <c r="B534" s="37" t="s">
        <v>52</v>
      </c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120"/>
      <c r="Z534" s="121"/>
      <c r="AA534" s="121"/>
      <c r="AB534" s="122"/>
      <c r="AC534" s="38"/>
      <c r="AD534" s="38"/>
      <c r="AE534" s="48" t="str">
        <f t="shared" si="133"/>
        <v/>
      </c>
      <c r="AF534" s="48"/>
      <c r="AG534" s="48"/>
      <c r="AH534" s="89"/>
      <c r="AI534" s="49">
        <f t="shared" si="134"/>
        <v>0</v>
      </c>
      <c r="AJ534" s="49" t="str">
        <f t="shared" si="135"/>
        <v/>
      </c>
      <c r="AK534" s="49">
        <f t="shared" si="136"/>
        <v>0</v>
      </c>
      <c r="AL534" s="49" t="str">
        <f t="shared" si="137"/>
        <v/>
      </c>
      <c r="AM534" s="49">
        <f t="shared" si="138"/>
        <v>0</v>
      </c>
      <c r="AN534" s="49" t="str">
        <f t="shared" si="139"/>
        <v/>
      </c>
      <c r="AO534" s="49">
        <f t="shared" si="140"/>
        <v>0</v>
      </c>
      <c r="AP534" s="49" t="str">
        <f t="shared" si="141"/>
        <v/>
      </c>
      <c r="AQ534" s="49">
        <f t="shared" si="142"/>
        <v>0</v>
      </c>
      <c r="AR534" s="49" t="str">
        <f t="shared" si="143"/>
        <v/>
      </c>
    </row>
    <row r="535" spans="1:44" ht="30" customHeight="1" x14ac:dyDescent="0.35">
      <c r="A535" s="25"/>
      <c r="B535" s="42" t="s">
        <v>88</v>
      </c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111"/>
      <c r="Z535" s="112"/>
      <c r="AA535" s="112"/>
      <c r="AB535" s="113"/>
      <c r="AC535" s="38"/>
      <c r="AD535" s="38"/>
      <c r="AE535" s="48" t="str">
        <f t="shared" si="133"/>
        <v/>
      </c>
      <c r="AF535" s="48"/>
      <c r="AG535" s="48"/>
      <c r="AH535" s="89"/>
      <c r="AI535" s="49">
        <f t="shared" si="134"/>
        <v>0</v>
      </c>
      <c r="AJ535" s="49" t="str">
        <f t="shared" si="135"/>
        <v/>
      </c>
      <c r="AK535" s="49">
        <f t="shared" si="136"/>
        <v>0</v>
      </c>
      <c r="AL535" s="49" t="str">
        <f t="shared" si="137"/>
        <v/>
      </c>
      <c r="AM535" s="49">
        <f t="shared" si="138"/>
        <v>0</v>
      </c>
      <c r="AN535" s="49" t="str">
        <f t="shared" si="139"/>
        <v/>
      </c>
      <c r="AO535" s="49">
        <f t="shared" si="140"/>
        <v>0</v>
      </c>
      <c r="AP535" s="49" t="str">
        <f t="shared" si="141"/>
        <v/>
      </c>
      <c r="AQ535" s="49">
        <f t="shared" si="142"/>
        <v>0</v>
      </c>
      <c r="AR535" s="49" t="str">
        <f t="shared" si="143"/>
        <v/>
      </c>
    </row>
    <row r="536" spans="1:44" ht="30" customHeight="1" x14ac:dyDescent="0.35">
      <c r="A536" s="25"/>
      <c r="B536" s="61" t="s">
        <v>70</v>
      </c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117"/>
      <c r="Z536" s="118"/>
      <c r="AA536" s="118"/>
      <c r="AB536" s="119"/>
      <c r="AC536" s="46"/>
      <c r="AD536" s="46"/>
      <c r="AE536" s="48" t="str">
        <f t="shared" si="133"/>
        <v/>
      </c>
      <c r="AF536" s="48"/>
      <c r="AG536" s="48"/>
      <c r="AH536" s="89"/>
      <c r="AI536" s="49">
        <f t="shared" si="134"/>
        <v>0</v>
      </c>
      <c r="AJ536" s="49" t="str">
        <f t="shared" si="135"/>
        <v/>
      </c>
      <c r="AK536" s="49">
        <f t="shared" si="136"/>
        <v>0</v>
      </c>
      <c r="AL536" s="49" t="str">
        <f t="shared" si="137"/>
        <v/>
      </c>
      <c r="AM536" s="49">
        <f t="shared" si="138"/>
        <v>0</v>
      </c>
      <c r="AN536" s="49" t="str">
        <f t="shared" si="139"/>
        <v/>
      </c>
      <c r="AO536" s="49">
        <f t="shared" si="140"/>
        <v>0</v>
      </c>
      <c r="AP536" s="49" t="str">
        <f t="shared" si="141"/>
        <v/>
      </c>
      <c r="AQ536" s="49">
        <f t="shared" si="142"/>
        <v>0</v>
      </c>
      <c r="AR536" s="49" t="str">
        <f t="shared" si="143"/>
        <v/>
      </c>
    </row>
    <row r="537" spans="1:44" ht="30" customHeight="1" x14ac:dyDescent="0.35">
      <c r="A537" s="25"/>
      <c r="B537" s="62" t="s">
        <v>58</v>
      </c>
      <c r="C537" s="62"/>
      <c r="D537" s="62"/>
      <c r="E537" s="62"/>
      <c r="F537" s="62"/>
      <c r="G537" s="62"/>
      <c r="H537" s="62"/>
      <c r="I537" s="62"/>
      <c r="J537" s="62"/>
      <c r="K537" s="62"/>
      <c r="L537" s="62"/>
      <c r="M537" s="62"/>
      <c r="N537" s="62"/>
      <c r="O537" s="62"/>
      <c r="P537" s="62"/>
      <c r="Q537" s="62"/>
      <c r="R537" s="62"/>
      <c r="S537" s="62"/>
      <c r="T537" s="62"/>
      <c r="U537" s="62"/>
      <c r="V537" s="62"/>
      <c r="W537" s="62"/>
      <c r="X537" s="62"/>
      <c r="Y537" s="114"/>
      <c r="Z537" s="115"/>
      <c r="AA537" s="115"/>
      <c r="AB537" s="116"/>
      <c r="AC537" s="40"/>
      <c r="AD537" s="40"/>
      <c r="AE537" s="48" t="str">
        <f t="shared" si="133"/>
        <v/>
      </c>
      <c r="AF537" s="48"/>
      <c r="AG537" s="48"/>
      <c r="AH537" s="89"/>
      <c r="AI537" s="49">
        <f t="shared" si="134"/>
        <v>0</v>
      </c>
      <c r="AJ537" s="49" t="str">
        <f t="shared" si="135"/>
        <v/>
      </c>
      <c r="AK537" s="49">
        <f t="shared" si="136"/>
        <v>0</v>
      </c>
      <c r="AL537" s="49" t="str">
        <f t="shared" si="137"/>
        <v/>
      </c>
      <c r="AM537" s="49">
        <f t="shared" si="138"/>
        <v>0</v>
      </c>
      <c r="AN537" s="49" t="str">
        <f t="shared" si="139"/>
        <v/>
      </c>
      <c r="AO537" s="49">
        <f t="shared" si="140"/>
        <v>0</v>
      </c>
      <c r="AP537" s="49" t="str">
        <f t="shared" si="141"/>
        <v/>
      </c>
      <c r="AQ537" s="49">
        <f t="shared" si="142"/>
        <v>0</v>
      </c>
      <c r="AR537" s="49" t="str">
        <f t="shared" si="143"/>
        <v/>
      </c>
    </row>
    <row r="538" spans="1:44" ht="30" customHeight="1" x14ac:dyDescent="0.35">
      <c r="A538" s="25"/>
      <c r="B538" s="39" t="s">
        <v>41</v>
      </c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108"/>
      <c r="Z538" s="109"/>
      <c r="AA538" s="109"/>
      <c r="AB538" s="110"/>
      <c r="AC538" s="38"/>
      <c r="AD538" s="38"/>
      <c r="AE538" s="48" t="str">
        <f t="shared" si="133"/>
        <v/>
      </c>
      <c r="AF538" s="48"/>
      <c r="AG538" s="48"/>
      <c r="AH538" s="89"/>
      <c r="AI538" s="49">
        <f t="shared" si="134"/>
        <v>0</v>
      </c>
      <c r="AJ538" s="49" t="str">
        <f t="shared" si="135"/>
        <v/>
      </c>
      <c r="AK538" s="49">
        <f t="shared" si="136"/>
        <v>0</v>
      </c>
      <c r="AL538" s="49" t="str">
        <f t="shared" si="137"/>
        <v/>
      </c>
      <c r="AM538" s="49">
        <f t="shared" si="138"/>
        <v>0</v>
      </c>
      <c r="AN538" s="49" t="str">
        <f t="shared" si="139"/>
        <v/>
      </c>
      <c r="AO538" s="49">
        <f t="shared" si="140"/>
        <v>0</v>
      </c>
      <c r="AP538" s="49" t="str">
        <f t="shared" si="141"/>
        <v/>
      </c>
      <c r="AQ538" s="49">
        <f t="shared" si="142"/>
        <v>0</v>
      </c>
      <c r="AR538" s="49" t="str">
        <f t="shared" si="143"/>
        <v/>
      </c>
    </row>
    <row r="539" spans="1:44" ht="30" customHeight="1" x14ac:dyDescent="0.35">
      <c r="A539" s="25" t="str">
        <f>CONCATENATE($B$533,"
",$B$535,"",$B$536,"
",$B$537)</f>
        <v>PT177 - PLATAFORMA DE ACESSO - GRUPO - DETALHADO
COLUNA 2PROJETO DETALHADO
ESTRUTURAS METÁLICAS</v>
      </c>
      <c r="B539" s="40" t="s">
        <v>42</v>
      </c>
      <c r="C539" s="60" t="str">
        <f>IF(AND($B539=[1]rogério!$A540,[1]rogério!$B540=C$4),"ok","nok")</f>
        <v>nok</v>
      </c>
      <c r="D539" s="60" t="str">
        <f>IF(AND($B539=[1]rogério!$A540,[1]rogério!$B540=D$4),"ok","nok")</f>
        <v>nok</v>
      </c>
      <c r="E539" s="60" t="str">
        <f>IF(AND($B539=[1]rogério!$A540,[1]rogério!$B540=E$4),"ok","nok")</f>
        <v>nok</v>
      </c>
      <c r="F539" s="60" t="str">
        <f>IF(AND($B539=[1]rogério!$A540,[1]rogério!$B540=F$4),"ok","nok")</f>
        <v>nok</v>
      </c>
      <c r="G539" s="60" t="str">
        <f>IF(AND($B539=[1]rogério!$A540,[1]rogério!$B540=G$4),"ok","nok")</f>
        <v>nok</v>
      </c>
      <c r="H539" s="60" t="str">
        <f>IF(AND($B539=[1]rogério!$A540,[1]rogério!$B540=H$4),"ok","nok")</f>
        <v>nok</v>
      </c>
      <c r="I539" s="60" t="str">
        <f>IF(AND($B539=[1]rogério!$A540,[1]rogério!$B540=I$4),"ok","nok")</f>
        <v>ok</v>
      </c>
      <c r="J539" s="60" t="str">
        <f>IF(AND($B539=[1]rogério!$A540,[1]rogério!$B540=J$4),"ok","nok")</f>
        <v>nok</v>
      </c>
      <c r="K539" s="60" t="str">
        <f>IF(AND($B539=[1]rogério!$A540,[1]rogério!$B540=K$4),"ok","nok")</f>
        <v>nok</v>
      </c>
      <c r="L539" s="60" t="str">
        <f>IF(AND($B539=[1]rogério!$A540,[1]rogério!$B540=L$4),"ok","nok")</f>
        <v>nok</v>
      </c>
      <c r="M539" s="60" t="str">
        <f>IF(AND($B539=[1]rogério!$A540,[1]rogério!$B540=M$4),"ok","nok")</f>
        <v>nok</v>
      </c>
      <c r="N539" s="60" t="str">
        <f>IF(AND($B539=[1]rogério!$A540,[1]rogério!$B540=N$4),"ok","nok")</f>
        <v>nok</v>
      </c>
      <c r="O539" s="60" t="str">
        <f>IF(AND($B539=[1]rogério!$A540,[1]rogério!$B540=O$4),"ok","nok")</f>
        <v>nok</v>
      </c>
      <c r="P539" s="60" t="str">
        <f>IF(AND($B539=[1]rogério!$A540,[1]rogério!$B540=P$4),"ok","nok")</f>
        <v>nok</v>
      </c>
      <c r="Q539" s="60" t="str">
        <f>IF(AND($B539=[1]rogério!$A540,[1]rogério!$B540=Q$4),"ok","nok")</f>
        <v>nok</v>
      </c>
      <c r="R539" s="60" t="str">
        <f>IF(AND($B539=[1]rogério!$A540,[1]rogério!$B540=R$4),"ok","nok")</f>
        <v>nok</v>
      </c>
      <c r="S539" s="60" t="str">
        <f>IF(AND($B539=[1]rogério!$A540,[1]rogério!$B540=S$4),"ok","nok")</f>
        <v>nok</v>
      </c>
      <c r="T539" s="60" t="str">
        <f>IF(AND($B539=[1]rogério!$A540,[1]rogério!$B540=T$4),"ok","nok")</f>
        <v>nok</v>
      </c>
      <c r="U539" s="60" t="str">
        <f>IF(AND($B539=[1]rogério!$A540,[1]rogério!$B540=U$4),"ok","nok")</f>
        <v>nok</v>
      </c>
      <c r="V539" s="60" t="str">
        <f>IF(AND($B539=[1]rogério!$A540,[1]rogério!$B540=V$4),"ok","nok")</f>
        <v>nok</v>
      </c>
      <c r="W539" s="60" t="str">
        <f>IF(AND($B539=[1]rogério!$A540,[1]rogério!$B540=W$4),"ok","nok")</f>
        <v>nok</v>
      </c>
      <c r="X539" s="60" t="str">
        <f>IF(AND($B539=[1]rogério!$A540,[1]rogério!$B540=X$4),"ok","nok")</f>
        <v>nok</v>
      </c>
      <c r="Y539" s="105" t="s">
        <v>15</v>
      </c>
      <c r="Z539" s="106"/>
      <c r="AA539" s="106"/>
      <c r="AB539" s="107"/>
      <c r="AC539" s="38"/>
      <c r="AD539" s="38"/>
      <c r="AE539" s="48" t="str">
        <f t="shared" si="133"/>
        <v/>
      </c>
      <c r="AF539" s="48"/>
      <c r="AG539" s="48"/>
      <c r="AH539" s="89"/>
      <c r="AI539" s="49">
        <f t="shared" si="134"/>
        <v>0</v>
      </c>
      <c r="AJ539" s="49" t="str">
        <f t="shared" si="135"/>
        <v/>
      </c>
      <c r="AK539" s="49">
        <f t="shared" si="136"/>
        <v>1</v>
      </c>
      <c r="AL539" s="49" t="str">
        <f t="shared" si="137"/>
        <v/>
      </c>
      <c r="AM539" s="49">
        <f t="shared" si="138"/>
        <v>0</v>
      </c>
      <c r="AN539" s="49" t="str">
        <f t="shared" si="139"/>
        <v/>
      </c>
      <c r="AO539" s="49">
        <f t="shared" si="140"/>
        <v>0</v>
      </c>
      <c r="AP539" s="49" t="str">
        <f t="shared" si="141"/>
        <v/>
      </c>
      <c r="AQ539" s="49">
        <f t="shared" si="142"/>
        <v>0</v>
      </c>
      <c r="AR539" s="49" t="str">
        <f t="shared" si="143"/>
        <v/>
      </c>
    </row>
    <row r="540" spans="1:44" ht="30" customHeight="1" x14ac:dyDescent="0.35">
      <c r="A540" s="25" t="str">
        <f t="shared" ref="A540:A574" si="146">CONCATENATE($B$533,"
",$B$535,"",$B$536,"
",$B$537)</f>
        <v>PT177 - PLATAFORMA DE ACESSO - GRUPO - DETALHADO
COLUNA 2PROJETO DETALHADO
ESTRUTURAS METÁLICAS</v>
      </c>
      <c r="B540" s="40" t="s">
        <v>43</v>
      </c>
      <c r="C540" s="60" t="str">
        <f>IF(AND($B540=[1]rogério!$A541,[1]rogério!$B541=C$4),"ok","nok")</f>
        <v>nok</v>
      </c>
      <c r="D540" s="60" t="str">
        <f>IF(AND($B540=[1]rogério!$A541,[1]rogério!$B541=D$4),"ok","nok")</f>
        <v>nok</v>
      </c>
      <c r="E540" s="60" t="str">
        <f>IF(AND($B540=[1]rogério!$A541,[1]rogério!$B541=E$4),"ok","nok")</f>
        <v>nok</v>
      </c>
      <c r="F540" s="60" t="str">
        <f>IF(AND($B540=[1]rogério!$A541,[1]rogério!$B541=F$4),"ok","nok")</f>
        <v>nok</v>
      </c>
      <c r="G540" s="60" t="str">
        <f>IF(AND($B540=[1]rogério!$A541,[1]rogério!$B541=G$4),"ok","nok")</f>
        <v>nok</v>
      </c>
      <c r="H540" s="60" t="str">
        <f>IF(AND($B540=[1]rogério!$A541,[1]rogério!$B541=H$4),"ok","nok")</f>
        <v>nok</v>
      </c>
      <c r="I540" s="60" t="str">
        <f>IF(AND($B540=[1]rogério!$A541,[1]rogério!$B541=I$4),"ok","nok")</f>
        <v>ok</v>
      </c>
      <c r="J540" s="60" t="str">
        <f>IF(AND($B540=[1]rogério!$A541,[1]rogério!$B541=J$4),"ok","nok")</f>
        <v>nok</v>
      </c>
      <c r="K540" s="60" t="str">
        <f>IF(AND($B540=[1]rogério!$A541,[1]rogério!$B541=K$4),"ok","nok")</f>
        <v>nok</v>
      </c>
      <c r="L540" s="60" t="str">
        <f>IF(AND($B540=[1]rogério!$A541,[1]rogério!$B541=L$4),"ok","nok")</f>
        <v>nok</v>
      </c>
      <c r="M540" s="60" t="str">
        <f>IF(AND($B540=[1]rogério!$A541,[1]rogério!$B541=M$4),"ok","nok")</f>
        <v>nok</v>
      </c>
      <c r="N540" s="60" t="str">
        <f>IF(AND($B540=[1]rogério!$A541,[1]rogério!$B541=N$4),"ok","nok")</f>
        <v>nok</v>
      </c>
      <c r="O540" s="60" t="str">
        <f>IF(AND($B540=[1]rogério!$A541,[1]rogério!$B541=O$4),"ok","nok")</f>
        <v>nok</v>
      </c>
      <c r="P540" s="60" t="str">
        <f>IF(AND($B540=[1]rogério!$A541,[1]rogério!$B541=P$4),"ok","nok")</f>
        <v>nok</v>
      </c>
      <c r="Q540" s="60" t="str">
        <f>IF(AND($B540=[1]rogério!$A541,[1]rogério!$B541=Q$4),"ok","nok")</f>
        <v>nok</v>
      </c>
      <c r="R540" s="60" t="str">
        <f>IF(AND($B540=[1]rogério!$A541,[1]rogério!$B541=R$4),"ok","nok")</f>
        <v>nok</v>
      </c>
      <c r="S540" s="60" t="str">
        <f>IF(AND($B540=[1]rogério!$A541,[1]rogério!$B541=S$4),"ok","nok")</f>
        <v>nok</v>
      </c>
      <c r="T540" s="60" t="str">
        <f>IF(AND($B540=[1]rogério!$A541,[1]rogério!$B541=T$4),"ok","nok")</f>
        <v>nok</v>
      </c>
      <c r="U540" s="60" t="str">
        <f>IF(AND($B540=[1]rogério!$A541,[1]rogério!$B541=U$4),"ok","nok")</f>
        <v>nok</v>
      </c>
      <c r="V540" s="60" t="str">
        <f>IF(AND($B540=[1]rogério!$A541,[1]rogério!$B541=V$4),"ok","nok")</f>
        <v>nok</v>
      </c>
      <c r="W540" s="60" t="str">
        <f>IF(AND($B540=[1]rogério!$A541,[1]rogério!$B541=W$4),"ok","nok")</f>
        <v>nok</v>
      </c>
      <c r="X540" s="60" t="str">
        <f>IF(AND($B540=[1]rogério!$A541,[1]rogério!$B541=X$4),"ok","nok")</f>
        <v>nok</v>
      </c>
      <c r="Y540" s="105" t="s">
        <v>15</v>
      </c>
      <c r="Z540" s="106"/>
      <c r="AA540" s="106"/>
      <c r="AB540" s="107"/>
      <c r="AC540" s="41"/>
      <c r="AD540" s="41"/>
      <c r="AE540" s="48" t="str">
        <f t="shared" si="133"/>
        <v/>
      </c>
      <c r="AF540" s="48"/>
      <c r="AG540" s="48"/>
      <c r="AH540" s="89"/>
      <c r="AI540" s="49">
        <f t="shared" si="134"/>
        <v>0</v>
      </c>
      <c r="AJ540" s="49" t="str">
        <f t="shared" si="135"/>
        <v/>
      </c>
      <c r="AK540" s="49">
        <f t="shared" si="136"/>
        <v>1</v>
      </c>
      <c r="AL540" s="49" t="str">
        <f t="shared" si="137"/>
        <v/>
      </c>
      <c r="AM540" s="49">
        <f t="shared" si="138"/>
        <v>0</v>
      </c>
      <c r="AN540" s="49" t="str">
        <f t="shared" si="139"/>
        <v/>
      </c>
      <c r="AO540" s="49">
        <f t="shared" si="140"/>
        <v>0</v>
      </c>
      <c r="AP540" s="49" t="str">
        <f t="shared" si="141"/>
        <v/>
      </c>
      <c r="AQ540" s="49">
        <f t="shared" si="142"/>
        <v>0</v>
      </c>
      <c r="AR540" s="49" t="str">
        <f t="shared" si="143"/>
        <v/>
      </c>
    </row>
    <row r="541" spans="1:44" ht="30" customHeight="1" x14ac:dyDescent="0.35">
      <c r="A541" s="25" t="str">
        <f t="shared" si="146"/>
        <v>PT177 - PLATAFORMA DE ACESSO - GRUPO - DETALHADO
COLUNA 2PROJETO DETALHADO
ESTRUTURAS METÁLICAS</v>
      </c>
      <c r="B541" s="38" t="s">
        <v>73</v>
      </c>
      <c r="C541" s="60" t="str">
        <f>IF(AND($B541=[1]rogério!$A542,[1]rogério!$B542=C$4),"ok","nok")</f>
        <v>nok</v>
      </c>
      <c r="D541" s="60" t="str">
        <f>IF(AND($B541=[1]rogério!$A542,[1]rogério!$B542=D$4),"ok","nok")</f>
        <v>nok</v>
      </c>
      <c r="E541" s="60" t="str">
        <f>IF(AND($B541=[1]rogério!$A542,[1]rogério!$B542=E$4),"ok","nok")</f>
        <v>nok</v>
      </c>
      <c r="F541" s="60" t="str">
        <f>IF(AND($B541=[1]rogério!$A542,[1]rogério!$B542=F$4),"ok","nok")</f>
        <v>nok</v>
      </c>
      <c r="G541" s="60" t="str">
        <f>IF(AND($B541=[1]rogério!$A542,[1]rogério!$B542=G$4),"ok","nok")</f>
        <v>ok</v>
      </c>
      <c r="H541" s="60" t="str">
        <f>IF(AND($B541=[1]rogério!$A542,[1]rogério!$B542=H$4),"ok","nok")</f>
        <v>nok</v>
      </c>
      <c r="I541" s="60" t="str">
        <f>IF(AND($B541=[1]rogério!$A542,[1]rogério!$B542=I$4),"ok","nok")</f>
        <v>nok</v>
      </c>
      <c r="J541" s="60" t="str">
        <f>IF(AND($B541=[1]rogério!$A542,[1]rogério!$B542=J$4),"ok","nok")</f>
        <v>nok</v>
      </c>
      <c r="K541" s="60" t="str">
        <f>IF(AND($B541=[1]rogério!$A542,[1]rogério!$B542=K$4),"ok","nok")</f>
        <v>nok</v>
      </c>
      <c r="L541" s="60" t="str">
        <f>IF(AND($B541=[1]rogério!$A542,[1]rogério!$B542=L$4),"ok","nok")</f>
        <v>nok</v>
      </c>
      <c r="M541" s="60" t="str">
        <f>IF(AND($B541=[1]rogério!$A542,[1]rogério!$B542=M$4),"ok","nok")</f>
        <v>nok</v>
      </c>
      <c r="N541" s="60" t="str">
        <f>IF(AND($B541=[1]rogério!$A542,[1]rogério!$B542=N$4),"ok","nok")</f>
        <v>nok</v>
      </c>
      <c r="O541" s="60" t="str">
        <f>IF(AND($B541=[1]rogério!$A542,[1]rogério!$B542=O$4),"ok","nok")</f>
        <v>nok</v>
      </c>
      <c r="P541" s="60" t="str">
        <f>IF(AND($B541=[1]rogério!$A542,[1]rogério!$B542=P$4),"ok","nok")</f>
        <v>nok</v>
      </c>
      <c r="Q541" s="60" t="str">
        <f>IF(AND($B541=[1]rogério!$A542,[1]rogério!$B542=Q$4),"ok","nok")</f>
        <v>nok</v>
      </c>
      <c r="R541" s="60" t="str">
        <f>IF(AND($B541=[1]rogério!$A542,[1]rogério!$B542=R$4),"ok","nok")</f>
        <v>nok</v>
      </c>
      <c r="S541" s="60" t="str">
        <f>IF(AND($B541=[1]rogério!$A542,[1]rogério!$B542=S$4),"ok","nok")</f>
        <v>nok</v>
      </c>
      <c r="T541" s="60" t="str">
        <f>IF(AND($B541=[1]rogério!$A542,[1]rogério!$B542=T$4),"ok","nok")</f>
        <v>nok</v>
      </c>
      <c r="U541" s="60" t="str">
        <f>IF(AND($B541=[1]rogério!$A542,[1]rogério!$B542=U$4),"ok","nok")</f>
        <v>nok</v>
      </c>
      <c r="V541" s="60" t="str">
        <f>IF(AND($B541=[1]rogério!$A542,[1]rogério!$B542=V$4),"ok","nok")</f>
        <v>nok</v>
      </c>
      <c r="W541" s="60" t="str">
        <f>IF(AND($B541=[1]rogério!$A542,[1]rogério!$B542=W$4),"ok","nok")</f>
        <v>nok</v>
      </c>
      <c r="X541" s="60" t="str">
        <f>IF(AND($B541=[1]rogério!$A542,[1]rogério!$B542=X$4),"ok","nok")</f>
        <v>nok</v>
      </c>
      <c r="Y541" s="105" t="s">
        <v>15</v>
      </c>
      <c r="Z541" s="106"/>
      <c r="AA541" s="106"/>
      <c r="AB541" s="107"/>
      <c r="AC541" s="40"/>
      <c r="AD541" s="40"/>
      <c r="AE541" s="48" t="str">
        <f t="shared" si="133"/>
        <v/>
      </c>
      <c r="AF541" s="48"/>
      <c r="AG541" s="48"/>
      <c r="AH541" s="89"/>
      <c r="AI541" s="49">
        <f t="shared" si="134"/>
        <v>1</v>
      </c>
      <c r="AJ541" s="49" t="str">
        <f t="shared" si="135"/>
        <v/>
      </c>
      <c r="AK541" s="49">
        <f t="shared" si="136"/>
        <v>0</v>
      </c>
      <c r="AL541" s="49" t="str">
        <f t="shared" si="137"/>
        <v/>
      </c>
      <c r="AM541" s="49">
        <f t="shared" si="138"/>
        <v>0</v>
      </c>
      <c r="AN541" s="49" t="str">
        <f t="shared" si="139"/>
        <v/>
      </c>
      <c r="AO541" s="49">
        <f t="shared" si="140"/>
        <v>0</v>
      </c>
      <c r="AP541" s="49" t="str">
        <f t="shared" si="141"/>
        <v/>
      </c>
      <c r="AQ541" s="49">
        <f t="shared" si="142"/>
        <v>0</v>
      </c>
      <c r="AR541" s="49" t="str">
        <f t="shared" si="143"/>
        <v/>
      </c>
    </row>
    <row r="542" spans="1:44" ht="30" customHeight="1" x14ac:dyDescent="0.35">
      <c r="A542" s="25"/>
      <c r="B542" s="39" t="s">
        <v>53</v>
      </c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108"/>
      <c r="Z542" s="109"/>
      <c r="AA542" s="109"/>
      <c r="AB542" s="110"/>
      <c r="AC542" s="40"/>
      <c r="AD542" s="40"/>
      <c r="AE542" s="48" t="str">
        <f t="shared" si="133"/>
        <v/>
      </c>
      <c r="AF542" s="48"/>
      <c r="AG542" s="48"/>
      <c r="AH542" s="89"/>
      <c r="AI542" s="49">
        <f t="shared" si="134"/>
        <v>0</v>
      </c>
      <c r="AJ542" s="49" t="str">
        <f t="shared" si="135"/>
        <v/>
      </c>
      <c r="AK542" s="49">
        <f t="shared" si="136"/>
        <v>0</v>
      </c>
      <c r="AL542" s="49" t="str">
        <f t="shared" si="137"/>
        <v/>
      </c>
      <c r="AM542" s="49">
        <f t="shared" si="138"/>
        <v>0</v>
      </c>
      <c r="AN542" s="49" t="str">
        <f t="shared" si="139"/>
        <v/>
      </c>
      <c r="AO542" s="49">
        <f t="shared" si="140"/>
        <v>0</v>
      </c>
      <c r="AP542" s="49" t="str">
        <f t="shared" si="141"/>
        <v/>
      </c>
      <c r="AQ542" s="49">
        <f t="shared" si="142"/>
        <v>0</v>
      </c>
      <c r="AR542" s="49" t="str">
        <f t="shared" si="143"/>
        <v/>
      </c>
    </row>
    <row r="543" spans="1:44" ht="30" customHeight="1" x14ac:dyDescent="0.35">
      <c r="A543" s="25" t="str">
        <f t="shared" si="146"/>
        <v>PT177 - PLATAFORMA DE ACESSO - GRUPO - DETALHADO
COLUNA 2PROJETO DETALHADO
ESTRUTURAS METÁLICAS</v>
      </c>
      <c r="B543" s="40" t="s">
        <v>49</v>
      </c>
      <c r="C543" s="60" t="str">
        <f>IF(AND($B543=[1]rogério!$A544,[1]rogério!$B544=C$4),"ok","nok")</f>
        <v>nok</v>
      </c>
      <c r="D543" s="60" t="str">
        <f>IF(AND($B543=[1]rogério!$A544,[1]rogério!$B544=D$4),"ok","nok")</f>
        <v>nok</v>
      </c>
      <c r="E543" s="60" t="str">
        <f>IF(AND($B543=[1]rogério!$A544,[1]rogério!$B544=E$4),"ok","nok")</f>
        <v>nok</v>
      </c>
      <c r="F543" s="60" t="str">
        <f>IF(AND($B543=[1]rogério!$A544,[1]rogério!$B544=F$4),"ok","nok")</f>
        <v>nok</v>
      </c>
      <c r="G543" s="60" t="str">
        <f>IF(AND($B543=[1]rogério!$A544,[1]rogério!$B544=G$4),"ok","nok")</f>
        <v>nok</v>
      </c>
      <c r="H543" s="60" t="str">
        <f>IF(AND($B543=[1]rogério!$A544,[1]rogério!$B544=H$4),"ok","nok")</f>
        <v>ok</v>
      </c>
      <c r="I543" s="60" t="str">
        <f>IF(AND($B543=[1]rogério!$A544,[1]rogério!$B544=I$4),"ok","nok")</f>
        <v>nok</v>
      </c>
      <c r="J543" s="60" t="str">
        <f>IF(AND($B543=[1]rogério!$A544,[1]rogério!$B544=J$4),"ok","nok")</f>
        <v>nok</v>
      </c>
      <c r="K543" s="60" t="str">
        <f>IF(AND($B543=[1]rogério!$A544,[1]rogério!$B544=K$4),"ok","nok")</f>
        <v>nok</v>
      </c>
      <c r="L543" s="60" t="str">
        <f>IF(AND($B543=[1]rogério!$A544,[1]rogério!$B544=L$4),"ok","nok")</f>
        <v>nok</v>
      </c>
      <c r="M543" s="60" t="str">
        <f>IF(AND($B543=[1]rogério!$A544,[1]rogério!$B544=M$4),"ok","nok")</f>
        <v>nok</v>
      </c>
      <c r="N543" s="60" t="str">
        <f>IF(AND($B543=[1]rogério!$A544,[1]rogério!$B544=N$4),"ok","nok")</f>
        <v>nok</v>
      </c>
      <c r="O543" s="60" t="str">
        <f>IF(AND($B543=[1]rogério!$A544,[1]rogério!$B544=O$4),"ok","nok")</f>
        <v>nok</v>
      </c>
      <c r="P543" s="60" t="str">
        <f>IF(AND($B543=[1]rogério!$A544,[1]rogério!$B544=P$4),"ok","nok")</f>
        <v>nok</v>
      </c>
      <c r="Q543" s="60" t="str">
        <f>IF(AND($B543=[1]rogério!$A544,[1]rogério!$B544=Q$4),"ok","nok")</f>
        <v>nok</v>
      </c>
      <c r="R543" s="60" t="str">
        <f>IF(AND($B543=[1]rogério!$A544,[1]rogério!$B544=R$4),"ok","nok")</f>
        <v>nok</v>
      </c>
      <c r="S543" s="60" t="str">
        <f>IF(AND($B543=[1]rogério!$A544,[1]rogério!$B544=S$4),"ok","nok")</f>
        <v>nok</v>
      </c>
      <c r="T543" s="60" t="str">
        <f>IF(AND($B543=[1]rogério!$A544,[1]rogério!$B544=T$4),"ok","nok")</f>
        <v>nok</v>
      </c>
      <c r="U543" s="60" t="str">
        <f>IF(AND($B543=[1]rogério!$A544,[1]rogério!$B544=U$4),"ok","nok")</f>
        <v>nok</v>
      </c>
      <c r="V543" s="60" t="str">
        <f>IF(AND($B543=[1]rogério!$A544,[1]rogério!$B544=V$4),"ok","nok")</f>
        <v>nok</v>
      </c>
      <c r="W543" s="60" t="str">
        <f>IF(AND($B543=[1]rogério!$A544,[1]rogério!$B544=W$4),"ok","nok")</f>
        <v>nok</v>
      </c>
      <c r="X543" s="60" t="str">
        <f>IF(AND($B543=[1]rogério!$A544,[1]rogério!$B544=X$4),"ok","nok")</f>
        <v>nok</v>
      </c>
      <c r="Y543" s="105" t="s">
        <v>15</v>
      </c>
      <c r="Z543" s="106"/>
      <c r="AA543" s="106"/>
      <c r="AB543" s="107"/>
      <c r="AC543" s="40"/>
      <c r="AD543" s="40"/>
      <c r="AE543" s="48" t="str">
        <f t="shared" si="133"/>
        <v/>
      </c>
      <c r="AF543" s="48"/>
      <c r="AG543" s="48"/>
      <c r="AH543" s="89"/>
      <c r="AI543" s="49">
        <f t="shared" si="134"/>
        <v>0</v>
      </c>
      <c r="AJ543" s="49" t="str">
        <f t="shared" si="135"/>
        <v/>
      </c>
      <c r="AK543" s="49">
        <f t="shared" si="136"/>
        <v>1</v>
      </c>
      <c r="AL543" s="49" t="str">
        <f t="shared" si="137"/>
        <v/>
      </c>
      <c r="AM543" s="49">
        <f t="shared" si="138"/>
        <v>0</v>
      </c>
      <c r="AN543" s="49" t="str">
        <f t="shared" si="139"/>
        <v/>
      </c>
      <c r="AO543" s="49">
        <f t="shared" si="140"/>
        <v>0</v>
      </c>
      <c r="AP543" s="49" t="str">
        <f t="shared" si="141"/>
        <v/>
      </c>
      <c r="AQ543" s="49">
        <f t="shared" si="142"/>
        <v>0</v>
      </c>
      <c r="AR543" s="49" t="str">
        <f t="shared" si="143"/>
        <v/>
      </c>
    </row>
    <row r="544" spans="1:44" ht="30" customHeight="1" x14ac:dyDescent="0.35">
      <c r="A544" s="25" t="str">
        <f t="shared" si="146"/>
        <v>PT177 - PLATAFORMA DE ACESSO - GRUPO - DETALHADO
COLUNA 2PROJETO DETALHADO
ESTRUTURAS METÁLICAS</v>
      </c>
      <c r="B544" s="40" t="s">
        <v>19</v>
      </c>
      <c r="C544" s="60" t="str">
        <f>IF(AND($B544=[1]rogério!$A545,[1]rogério!$B545=C$4),"ok","nok")</f>
        <v>nok</v>
      </c>
      <c r="D544" s="60" t="str">
        <f>IF(AND($B544=[1]rogério!$A545,[1]rogério!$B545=D$4),"ok","nok")</f>
        <v>nok</v>
      </c>
      <c r="E544" s="60" t="str">
        <f>IF(AND($B544=[1]rogério!$A545,[1]rogério!$B545=E$4),"ok","nok")</f>
        <v>nok</v>
      </c>
      <c r="F544" s="60" t="str">
        <f>IF(AND($B544=[1]rogério!$A545,[1]rogério!$B545=F$4),"ok","nok")</f>
        <v>nok</v>
      </c>
      <c r="G544" s="60" t="str">
        <f>IF(AND($B544=[1]rogério!$A545,[1]rogério!$B545=G$4),"ok","nok")</f>
        <v>nok</v>
      </c>
      <c r="H544" s="60" t="str">
        <f>IF(AND($B544=[1]rogério!$A545,[1]rogério!$B545=H$4),"ok","nok")</f>
        <v>nok</v>
      </c>
      <c r="I544" s="60" t="str">
        <f>IF(AND($B544=[1]rogério!$A545,[1]rogério!$B545=I$4),"ok","nok")</f>
        <v>nok</v>
      </c>
      <c r="J544" s="60" t="str">
        <f>IF(AND($B544=[1]rogério!$A545,[1]rogério!$B545=J$4),"ok","nok")</f>
        <v>nok</v>
      </c>
      <c r="K544" s="60" t="str">
        <f>IF(AND($B544=[1]rogério!$A545,[1]rogério!$B545=K$4),"ok","nok")</f>
        <v>nok</v>
      </c>
      <c r="L544" s="60" t="str">
        <f>IF(AND($B544=[1]rogério!$A545,[1]rogério!$B545=L$4),"ok","nok")</f>
        <v>ok</v>
      </c>
      <c r="M544" s="60" t="str">
        <f>IF(AND($B544=[1]rogério!$A545,[1]rogério!$B545=M$4),"ok","nok")</f>
        <v>nok</v>
      </c>
      <c r="N544" s="60" t="str">
        <f>IF(AND($B544=[1]rogério!$A545,[1]rogério!$B545=N$4),"ok","nok")</f>
        <v>nok</v>
      </c>
      <c r="O544" s="60" t="str">
        <f>IF(AND($B544=[1]rogério!$A545,[1]rogério!$B545=O$4),"ok","nok")</f>
        <v>nok</v>
      </c>
      <c r="P544" s="60" t="str">
        <f>IF(AND($B544=[1]rogério!$A545,[1]rogério!$B545=P$4),"ok","nok")</f>
        <v>nok</v>
      </c>
      <c r="Q544" s="60" t="str">
        <f>IF(AND($B544=[1]rogério!$A545,[1]rogério!$B545=Q$4),"ok","nok")</f>
        <v>nok</v>
      </c>
      <c r="R544" s="60" t="str">
        <f>IF(AND($B544=[1]rogério!$A545,[1]rogério!$B545=R$4),"ok","nok")</f>
        <v>nok</v>
      </c>
      <c r="S544" s="60" t="str">
        <f>IF(AND($B544=[1]rogério!$A545,[1]rogério!$B545=S$4),"ok","nok")</f>
        <v>nok</v>
      </c>
      <c r="T544" s="60" t="str">
        <f>IF(AND($B544=[1]rogério!$A545,[1]rogério!$B545=T$4),"ok","nok")</f>
        <v>nok</v>
      </c>
      <c r="U544" s="60" t="str">
        <f>IF(AND($B544=[1]rogério!$A545,[1]rogério!$B545=U$4),"ok","nok")</f>
        <v>nok</v>
      </c>
      <c r="V544" s="60" t="str">
        <f>IF(AND($B544=[1]rogério!$A545,[1]rogério!$B545=V$4),"ok","nok")</f>
        <v>nok</v>
      </c>
      <c r="W544" s="60" t="str">
        <f>IF(AND($B544=[1]rogério!$A545,[1]rogério!$B545=W$4),"ok","nok")</f>
        <v>nok</v>
      </c>
      <c r="X544" s="60" t="str">
        <f>IF(AND($B544=[1]rogério!$A545,[1]rogério!$B545=X$4),"ok","nok")</f>
        <v>nok</v>
      </c>
      <c r="Y544" s="105" t="s">
        <v>15</v>
      </c>
      <c r="Z544" s="106"/>
      <c r="AA544" s="106"/>
      <c r="AB544" s="107"/>
      <c r="AC544" s="40"/>
      <c r="AD544" s="40"/>
      <c r="AE544" s="48" t="str">
        <f t="shared" si="133"/>
        <v/>
      </c>
      <c r="AF544" s="48"/>
      <c r="AG544" s="48"/>
      <c r="AH544" s="89"/>
      <c r="AI544" s="49">
        <f t="shared" si="134"/>
        <v>0</v>
      </c>
      <c r="AJ544" s="49" t="str">
        <f t="shared" si="135"/>
        <v/>
      </c>
      <c r="AK544" s="49">
        <f t="shared" si="136"/>
        <v>1</v>
      </c>
      <c r="AL544" s="49" t="str">
        <f t="shared" si="137"/>
        <v/>
      </c>
      <c r="AM544" s="49">
        <f t="shared" si="138"/>
        <v>0</v>
      </c>
      <c r="AN544" s="49" t="str">
        <f t="shared" si="139"/>
        <v/>
      </c>
      <c r="AO544" s="49">
        <f t="shared" si="140"/>
        <v>0</v>
      </c>
      <c r="AP544" s="49" t="str">
        <f t="shared" si="141"/>
        <v/>
      </c>
      <c r="AQ544" s="49">
        <f t="shared" si="142"/>
        <v>0</v>
      </c>
      <c r="AR544" s="49" t="str">
        <f t="shared" si="143"/>
        <v/>
      </c>
    </row>
    <row r="545" spans="1:44" ht="30" customHeight="1" x14ac:dyDescent="0.35">
      <c r="A545" s="25" t="str">
        <f t="shared" si="146"/>
        <v>PT177 - PLATAFORMA DE ACESSO - GRUPO - DETALHADO
COLUNA 2PROJETO DETALHADO
ESTRUTURAS METÁLICAS</v>
      </c>
      <c r="B545" s="40" t="s">
        <v>42</v>
      </c>
      <c r="C545" s="60" t="str">
        <f>IF(AND($B545=[1]rogério!$A546,[1]rogério!$B546=C$4),"ok","nok")</f>
        <v>nok</v>
      </c>
      <c r="D545" s="60" t="str">
        <f>IF(AND($B545=[1]rogério!$A546,[1]rogério!$B546=D$4),"ok","nok")</f>
        <v>nok</v>
      </c>
      <c r="E545" s="60" t="str">
        <f>IF(AND($B545=[1]rogério!$A546,[1]rogério!$B546=E$4),"ok","nok")</f>
        <v>nok</v>
      </c>
      <c r="F545" s="60" t="str">
        <f>IF(AND($B545=[1]rogério!$A546,[1]rogério!$B546=F$4),"ok","nok")</f>
        <v>nok</v>
      </c>
      <c r="G545" s="60" t="str">
        <f>IF(AND($B545=[1]rogério!$A546,[1]rogério!$B546=G$4),"ok","nok")</f>
        <v>nok</v>
      </c>
      <c r="H545" s="60" t="str">
        <f>IF(AND($B545=[1]rogério!$A546,[1]rogério!$B546=H$4),"ok","nok")</f>
        <v>nok</v>
      </c>
      <c r="I545" s="60" t="str">
        <f>IF(AND($B545=[1]rogério!$A546,[1]rogério!$B546=I$4),"ok","nok")</f>
        <v>nok</v>
      </c>
      <c r="J545" s="60" t="str">
        <f>IF(AND($B545=[1]rogério!$A546,[1]rogério!$B546=J$4),"ok","nok")</f>
        <v>nok</v>
      </c>
      <c r="K545" s="60" t="str">
        <f>IF(AND($B545=[1]rogério!$A546,[1]rogério!$B546=K$4),"ok","nok")</f>
        <v>nok</v>
      </c>
      <c r="L545" s="60" t="str">
        <f>IF(AND($B545=[1]rogério!$A546,[1]rogério!$B546=L$4),"ok","nok")</f>
        <v>nok</v>
      </c>
      <c r="M545" s="60" t="str">
        <f>IF(AND($B545=[1]rogério!$A546,[1]rogério!$B546=M$4),"ok","nok")</f>
        <v>nok</v>
      </c>
      <c r="N545" s="60" t="str">
        <f>IF(AND($B545=[1]rogério!$A546,[1]rogério!$B546=N$4),"ok","nok")</f>
        <v>nok</v>
      </c>
      <c r="O545" s="60" t="str">
        <f>IF(AND($B545=[1]rogério!$A546,[1]rogério!$B546=O$4),"ok","nok")</f>
        <v>ok</v>
      </c>
      <c r="P545" s="60" t="str">
        <f>IF(AND($B545=[1]rogério!$A546,[1]rogério!$B546=P$4),"ok","nok")</f>
        <v>nok</v>
      </c>
      <c r="Q545" s="60" t="str">
        <f>IF(AND($B545=[1]rogério!$A546,[1]rogério!$B546=Q$4),"ok","nok")</f>
        <v>nok</v>
      </c>
      <c r="R545" s="60" t="str">
        <f>IF(AND($B545=[1]rogério!$A546,[1]rogério!$B546=R$4),"ok","nok")</f>
        <v>nok</v>
      </c>
      <c r="S545" s="60" t="str">
        <f>IF(AND($B545=[1]rogério!$A546,[1]rogério!$B546=S$4),"ok","nok")</f>
        <v>nok</v>
      </c>
      <c r="T545" s="60" t="str">
        <f>IF(AND($B545=[1]rogério!$A546,[1]rogério!$B546=T$4),"ok","nok")</f>
        <v>nok</v>
      </c>
      <c r="U545" s="60" t="str">
        <f>IF(AND($B545=[1]rogério!$A546,[1]rogério!$B546=U$4),"ok","nok")</f>
        <v>nok</v>
      </c>
      <c r="V545" s="60" t="str">
        <f>IF(AND($B545=[1]rogério!$A546,[1]rogério!$B546=V$4),"ok","nok")</f>
        <v>nok</v>
      </c>
      <c r="W545" s="60" t="str">
        <f>IF(AND($B545=[1]rogério!$A546,[1]rogério!$B546=W$4),"ok","nok")</f>
        <v>nok</v>
      </c>
      <c r="X545" s="60" t="str">
        <f>IF(AND($B545=[1]rogério!$A546,[1]rogério!$B546=X$4),"ok","nok")</f>
        <v>nok</v>
      </c>
      <c r="Y545" s="105" t="s">
        <v>15</v>
      </c>
      <c r="Z545" s="106"/>
      <c r="AA545" s="106"/>
      <c r="AB545" s="107"/>
      <c r="AC545" s="38"/>
      <c r="AD545" s="38"/>
      <c r="AE545" s="48" t="str">
        <f t="shared" si="133"/>
        <v/>
      </c>
      <c r="AF545" s="48"/>
      <c r="AG545" s="48"/>
      <c r="AH545" s="89"/>
      <c r="AI545" s="49">
        <f t="shared" si="134"/>
        <v>0</v>
      </c>
      <c r="AJ545" s="49" t="str">
        <f t="shared" si="135"/>
        <v/>
      </c>
      <c r="AK545" s="49">
        <f t="shared" si="136"/>
        <v>0</v>
      </c>
      <c r="AL545" s="49" t="str">
        <f t="shared" si="137"/>
        <v/>
      </c>
      <c r="AM545" s="49">
        <f t="shared" si="138"/>
        <v>1</v>
      </c>
      <c r="AN545" s="49" t="str">
        <f t="shared" si="139"/>
        <v/>
      </c>
      <c r="AO545" s="49">
        <f t="shared" si="140"/>
        <v>0</v>
      </c>
      <c r="AP545" s="49" t="str">
        <f t="shared" si="141"/>
        <v/>
      </c>
      <c r="AQ545" s="49">
        <f t="shared" si="142"/>
        <v>0</v>
      </c>
      <c r="AR545" s="49" t="str">
        <f t="shared" si="143"/>
        <v/>
      </c>
    </row>
    <row r="546" spans="1:44" ht="30" customHeight="1" x14ac:dyDescent="0.35">
      <c r="A546" s="25" t="str">
        <f t="shared" si="146"/>
        <v>PT177 - PLATAFORMA DE ACESSO - GRUPO - DETALHADO
COLUNA 2PROJETO DETALHADO
ESTRUTURAS METÁLICAS</v>
      </c>
      <c r="B546" s="40" t="s">
        <v>43</v>
      </c>
      <c r="C546" s="60" t="str">
        <f>IF(AND($B546=[1]rogério!$A547,[1]rogério!$B547=C$4),"ok","nok")</f>
        <v>nok</v>
      </c>
      <c r="D546" s="60" t="str">
        <f>IF(AND($B546=[1]rogério!$A547,[1]rogério!$B547=D$4),"ok","nok")</f>
        <v>nok</v>
      </c>
      <c r="E546" s="60" t="str">
        <f>IF(AND($B546=[1]rogério!$A547,[1]rogério!$B547=E$4),"ok","nok")</f>
        <v>nok</v>
      </c>
      <c r="F546" s="60" t="str">
        <f>IF(AND($B546=[1]rogério!$A547,[1]rogério!$B547=F$4),"ok","nok")</f>
        <v>nok</v>
      </c>
      <c r="G546" s="60" t="str">
        <f>IF(AND($B546=[1]rogério!$A547,[1]rogério!$B547=G$4),"ok","nok")</f>
        <v>nok</v>
      </c>
      <c r="H546" s="60" t="str">
        <f>IF(AND($B546=[1]rogério!$A547,[1]rogério!$B547=H$4),"ok","nok")</f>
        <v>nok</v>
      </c>
      <c r="I546" s="60" t="str">
        <f>IF(AND($B546=[1]rogério!$A547,[1]rogério!$B547=I$4),"ok","nok")</f>
        <v>nok</v>
      </c>
      <c r="J546" s="60" t="str">
        <f>IF(AND($B546=[1]rogério!$A547,[1]rogério!$B547=J$4),"ok","nok")</f>
        <v>nok</v>
      </c>
      <c r="K546" s="60" t="str">
        <f>IF(AND($B546=[1]rogério!$A547,[1]rogério!$B547=K$4),"ok","nok")</f>
        <v>nok</v>
      </c>
      <c r="L546" s="60" t="str">
        <f>IF(AND($B546=[1]rogério!$A547,[1]rogério!$B547=L$4),"ok","nok")</f>
        <v>nok</v>
      </c>
      <c r="M546" s="60" t="str">
        <f>IF(AND($B546=[1]rogério!$A547,[1]rogério!$B547=M$4),"ok","nok")</f>
        <v>nok</v>
      </c>
      <c r="N546" s="60" t="str">
        <f>IF(AND($B546=[1]rogério!$A547,[1]rogério!$B547=N$4),"ok","nok")</f>
        <v>nok</v>
      </c>
      <c r="O546" s="60" t="str">
        <f>IF(AND($B546=[1]rogério!$A547,[1]rogério!$B547=O$4),"ok","nok")</f>
        <v>ok</v>
      </c>
      <c r="P546" s="60" t="str">
        <f>IF(AND($B546=[1]rogério!$A547,[1]rogério!$B547=P$4),"ok","nok")</f>
        <v>nok</v>
      </c>
      <c r="Q546" s="60" t="str">
        <f>IF(AND($B546=[1]rogério!$A547,[1]rogério!$B547=Q$4),"ok","nok")</f>
        <v>nok</v>
      </c>
      <c r="R546" s="60" t="str">
        <f>IF(AND($B546=[1]rogério!$A547,[1]rogério!$B547=R$4),"ok","nok")</f>
        <v>nok</v>
      </c>
      <c r="S546" s="60" t="str">
        <f>IF(AND($B546=[1]rogério!$A547,[1]rogério!$B547=S$4),"ok","nok")</f>
        <v>nok</v>
      </c>
      <c r="T546" s="60" t="str">
        <f>IF(AND($B546=[1]rogério!$A547,[1]rogério!$B547=T$4),"ok","nok")</f>
        <v>nok</v>
      </c>
      <c r="U546" s="60" t="str">
        <f>IF(AND($B546=[1]rogério!$A547,[1]rogério!$B547=U$4),"ok","nok")</f>
        <v>nok</v>
      </c>
      <c r="V546" s="60" t="str">
        <f>IF(AND($B546=[1]rogério!$A547,[1]rogério!$B547=V$4),"ok","nok")</f>
        <v>nok</v>
      </c>
      <c r="W546" s="60" t="str">
        <f>IF(AND($B546=[1]rogério!$A547,[1]rogério!$B547=W$4),"ok","nok")</f>
        <v>nok</v>
      </c>
      <c r="X546" s="60" t="str">
        <f>IF(AND($B546=[1]rogério!$A547,[1]rogério!$B547=X$4),"ok","nok")</f>
        <v>nok</v>
      </c>
      <c r="Y546" s="105" t="s">
        <v>15</v>
      </c>
      <c r="Z546" s="106"/>
      <c r="AA546" s="106"/>
      <c r="AB546" s="107"/>
      <c r="AC546" s="38"/>
      <c r="AD546" s="38"/>
      <c r="AE546" s="48" t="str">
        <f t="shared" si="133"/>
        <v/>
      </c>
      <c r="AF546" s="48"/>
      <c r="AG546" s="48"/>
      <c r="AH546" s="89"/>
      <c r="AI546" s="49">
        <f t="shared" si="134"/>
        <v>0</v>
      </c>
      <c r="AJ546" s="49" t="str">
        <f t="shared" si="135"/>
        <v/>
      </c>
      <c r="AK546" s="49">
        <f t="shared" si="136"/>
        <v>0</v>
      </c>
      <c r="AL546" s="49" t="str">
        <f t="shared" si="137"/>
        <v/>
      </c>
      <c r="AM546" s="49">
        <f t="shared" si="138"/>
        <v>1</v>
      </c>
      <c r="AN546" s="49" t="str">
        <f t="shared" si="139"/>
        <v/>
      </c>
      <c r="AO546" s="49">
        <f t="shared" si="140"/>
        <v>0</v>
      </c>
      <c r="AP546" s="49" t="str">
        <f t="shared" si="141"/>
        <v/>
      </c>
      <c r="AQ546" s="49">
        <f t="shared" si="142"/>
        <v>0</v>
      </c>
      <c r="AR546" s="49" t="str">
        <f t="shared" si="143"/>
        <v/>
      </c>
    </row>
    <row r="547" spans="1:44" ht="30" customHeight="1" x14ac:dyDescent="0.35">
      <c r="A547" s="25" t="str">
        <f t="shared" si="146"/>
        <v>PT177 - PLATAFORMA DE ACESSO - GRUPO - DETALHADO
COLUNA 2PROJETO DETALHADO
ESTRUTURAS METÁLICAS</v>
      </c>
      <c r="B547" s="38" t="s">
        <v>74</v>
      </c>
      <c r="C547" s="60" t="str">
        <f>IF(AND($B547=[1]rogério!$A548,[1]rogério!$B548=C$4),"ok","nok")</f>
        <v>nok</v>
      </c>
      <c r="D547" s="60" t="str">
        <f>IF(AND($B547=[1]rogério!$A548,[1]rogério!$B548=D$4),"ok","nok")</f>
        <v>nok</v>
      </c>
      <c r="E547" s="60" t="str">
        <f>IF(AND($B547=[1]rogério!$A548,[1]rogério!$B548=E$4),"ok","nok")</f>
        <v>nok</v>
      </c>
      <c r="F547" s="60" t="str">
        <f>IF(AND($B547=[1]rogério!$A548,[1]rogério!$B548=F$4),"ok","nok")</f>
        <v>nok</v>
      </c>
      <c r="G547" s="60" t="str">
        <f>IF(AND($B547=[1]rogério!$A548,[1]rogério!$B548=G$4),"ok","nok")</f>
        <v>nok</v>
      </c>
      <c r="H547" s="60" t="str">
        <f>IF(AND($B547=[1]rogério!$A548,[1]rogério!$B548=H$4),"ok","nok")</f>
        <v>nok</v>
      </c>
      <c r="I547" s="60" t="str">
        <f>IF(AND($B547=[1]rogério!$A548,[1]rogério!$B548=I$4),"ok","nok")</f>
        <v>ok</v>
      </c>
      <c r="J547" s="60" t="str">
        <f>IF(AND($B547=[1]rogério!$A548,[1]rogério!$B548=J$4),"ok","nok")</f>
        <v>nok</v>
      </c>
      <c r="K547" s="60" t="str">
        <f>IF(AND($B547=[1]rogério!$A548,[1]rogério!$B548=K$4),"ok","nok")</f>
        <v>nok</v>
      </c>
      <c r="L547" s="60" t="str">
        <f>IF(AND($B547=[1]rogério!$A548,[1]rogério!$B548=L$4),"ok","nok")</f>
        <v>nok</v>
      </c>
      <c r="M547" s="60" t="str">
        <f>IF(AND($B547=[1]rogério!$A548,[1]rogério!$B548=M$4),"ok","nok")</f>
        <v>nok</v>
      </c>
      <c r="N547" s="60" t="str">
        <f>IF(AND($B547=[1]rogério!$A548,[1]rogério!$B548=N$4),"ok","nok")</f>
        <v>nok</v>
      </c>
      <c r="O547" s="60" t="str">
        <f>IF(AND($B547=[1]rogério!$A548,[1]rogério!$B548=O$4),"ok","nok")</f>
        <v>nok</v>
      </c>
      <c r="P547" s="60" t="str">
        <f>IF(AND($B547=[1]rogério!$A548,[1]rogério!$B548=P$4),"ok","nok")</f>
        <v>nok</v>
      </c>
      <c r="Q547" s="60" t="str">
        <f>IF(AND($B547=[1]rogério!$A548,[1]rogério!$B548=Q$4),"ok","nok")</f>
        <v>nok</v>
      </c>
      <c r="R547" s="60" t="str">
        <f>IF(AND($B547=[1]rogério!$A548,[1]rogério!$B548=R$4),"ok","nok")</f>
        <v>nok</v>
      </c>
      <c r="S547" s="60" t="str">
        <f>IF(AND($B547=[1]rogério!$A548,[1]rogério!$B548=S$4),"ok","nok")</f>
        <v>nok</v>
      </c>
      <c r="T547" s="60" t="str">
        <f>IF(AND($B547=[1]rogério!$A548,[1]rogério!$B548=T$4),"ok","nok")</f>
        <v>nok</v>
      </c>
      <c r="U547" s="60" t="str">
        <f>IF(AND($B547=[1]rogério!$A548,[1]rogério!$B548=U$4),"ok","nok")</f>
        <v>nok</v>
      </c>
      <c r="V547" s="60" t="str">
        <f>IF(AND($B547=[1]rogério!$A548,[1]rogério!$B548=V$4),"ok","nok")</f>
        <v>nok</v>
      </c>
      <c r="W547" s="60" t="str">
        <f>IF(AND($B547=[1]rogério!$A548,[1]rogério!$B548=W$4),"ok","nok")</f>
        <v>nok</v>
      </c>
      <c r="X547" s="60" t="str">
        <f>IF(AND($B547=[1]rogério!$A548,[1]rogério!$B548=X$4),"ok","nok")</f>
        <v>nok</v>
      </c>
      <c r="Y547" s="105" t="s">
        <v>15</v>
      </c>
      <c r="Z547" s="106"/>
      <c r="AA547" s="106"/>
      <c r="AB547" s="107"/>
      <c r="AC547" s="46"/>
      <c r="AD547" s="46"/>
      <c r="AE547" s="48" t="str">
        <f t="shared" si="133"/>
        <v/>
      </c>
      <c r="AF547" s="48"/>
      <c r="AG547" s="48"/>
      <c r="AH547" s="89"/>
      <c r="AI547" s="49">
        <f t="shared" si="134"/>
        <v>0</v>
      </c>
      <c r="AJ547" s="49" t="str">
        <f t="shared" si="135"/>
        <v/>
      </c>
      <c r="AK547" s="49">
        <f t="shared" si="136"/>
        <v>1</v>
      </c>
      <c r="AL547" s="49" t="str">
        <f t="shared" si="137"/>
        <v/>
      </c>
      <c r="AM547" s="49">
        <f t="shared" si="138"/>
        <v>0</v>
      </c>
      <c r="AN547" s="49" t="str">
        <f t="shared" si="139"/>
        <v/>
      </c>
      <c r="AO547" s="49">
        <f t="shared" si="140"/>
        <v>0</v>
      </c>
      <c r="AP547" s="49" t="str">
        <f t="shared" si="141"/>
        <v/>
      </c>
      <c r="AQ547" s="49">
        <f t="shared" si="142"/>
        <v>0</v>
      </c>
      <c r="AR547" s="49" t="str">
        <f t="shared" si="143"/>
        <v/>
      </c>
    </row>
    <row r="548" spans="1:44" ht="30" customHeight="1" x14ac:dyDescent="0.35">
      <c r="A548" s="25" t="str">
        <f t="shared" si="146"/>
        <v>PT177 - PLATAFORMA DE ACESSO - GRUPO - DETALHADO
COLUNA 2PROJETO DETALHADO
ESTRUTURAS METÁLICAS</v>
      </c>
      <c r="B548" s="38" t="s">
        <v>75</v>
      </c>
      <c r="C548" s="60" t="str">
        <f>IF(AND($B548=[1]rogério!$A549,[1]rogério!$B549=C$4),"ok","nok")</f>
        <v>nok</v>
      </c>
      <c r="D548" s="60" t="str">
        <f>IF(AND($B548=[1]rogério!$A549,[1]rogério!$B549=D$4),"ok","nok")</f>
        <v>nok</v>
      </c>
      <c r="E548" s="60" t="str">
        <f>IF(AND($B548=[1]rogério!$A549,[1]rogério!$B549=E$4),"ok","nok")</f>
        <v>nok</v>
      </c>
      <c r="F548" s="60" t="str">
        <f>IF(AND($B548=[1]rogério!$A549,[1]rogério!$B549=F$4),"ok","nok")</f>
        <v>nok</v>
      </c>
      <c r="G548" s="60" t="str">
        <f>IF(AND($B548=[1]rogério!$A549,[1]rogério!$B549=G$4),"ok","nok")</f>
        <v>nok</v>
      </c>
      <c r="H548" s="60" t="str">
        <f>IF(AND($B548=[1]rogério!$A549,[1]rogério!$B549=H$4),"ok","nok")</f>
        <v>nok</v>
      </c>
      <c r="I548" s="60" t="str">
        <f>IF(AND($B548=[1]rogério!$A549,[1]rogério!$B549=I$4),"ok","nok")</f>
        <v>nok</v>
      </c>
      <c r="J548" s="60" t="str">
        <f>IF(AND($B548=[1]rogério!$A549,[1]rogério!$B549=J$4),"ok","nok")</f>
        <v>ok</v>
      </c>
      <c r="K548" s="60" t="str">
        <f>IF(AND($B548=[1]rogério!$A549,[1]rogério!$B549=K$4),"ok","nok")</f>
        <v>nok</v>
      </c>
      <c r="L548" s="60" t="str">
        <f>IF(AND($B548=[1]rogério!$A549,[1]rogério!$B549=L$4),"ok","nok")</f>
        <v>nok</v>
      </c>
      <c r="M548" s="60" t="str">
        <f>IF(AND($B548=[1]rogério!$A549,[1]rogério!$B549=M$4),"ok","nok")</f>
        <v>nok</v>
      </c>
      <c r="N548" s="60" t="str">
        <f>IF(AND($B548=[1]rogério!$A549,[1]rogério!$B549=N$4),"ok","nok")</f>
        <v>nok</v>
      </c>
      <c r="O548" s="60" t="str">
        <f>IF(AND($B548=[1]rogério!$A549,[1]rogério!$B549=O$4),"ok","nok")</f>
        <v>nok</v>
      </c>
      <c r="P548" s="60" t="str">
        <f>IF(AND($B548=[1]rogério!$A549,[1]rogério!$B549=P$4),"ok","nok")</f>
        <v>nok</v>
      </c>
      <c r="Q548" s="60" t="str">
        <f>IF(AND($B548=[1]rogério!$A549,[1]rogério!$B549=Q$4),"ok","nok")</f>
        <v>nok</v>
      </c>
      <c r="R548" s="60" t="str">
        <f>IF(AND($B548=[1]rogério!$A549,[1]rogério!$B549=R$4),"ok","nok")</f>
        <v>nok</v>
      </c>
      <c r="S548" s="60" t="str">
        <f>IF(AND($B548=[1]rogério!$A549,[1]rogério!$B549=S$4),"ok","nok")</f>
        <v>nok</v>
      </c>
      <c r="T548" s="60" t="str">
        <f>IF(AND($B548=[1]rogério!$A549,[1]rogério!$B549=T$4),"ok","nok")</f>
        <v>nok</v>
      </c>
      <c r="U548" s="60" t="str">
        <f>IF(AND($B548=[1]rogério!$A549,[1]rogério!$B549=U$4),"ok","nok")</f>
        <v>nok</v>
      </c>
      <c r="V548" s="60" t="str">
        <f>IF(AND($B548=[1]rogério!$A549,[1]rogério!$B549=V$4),"ok","nok")</f>
        <v>nok</v>
      </c>
      <c r="W548" s="60" t="str">
        <f>IF(AND($B548=[1]rogério!$A549,[1]rogério!$B549=W$4),"ok","nok")</f>
        <v>nok</v>
      </c>
      <c r="X548" s="60" t="str">
        <f>IF(AND($B548=[1]rogério!$A549,[1]rogério!$B549=X$4),"ok","nok")</f>
        <v>nok</v>
      </c>
      <c r="Y548" s="105" t="s">
        <v>15</v>
      </c>
      <c r="Z548" s="106"/>
      <c r="AA548" s="106"/>
      <c r="AB548" s="107"/>
      <c r="AC548" s="40"/>
      <c r="AD548" s="40"/>
      <c r="AE548" s="48" t="str">
        <f t="shared" si="133"/>
        <v/>
      </c>
      <c r="AF548" s="48"/>
      <c r="AG548" s="48"/>
      <c r="AH548" s="89"/>
      <c r="AI548" s="49">
        <f t="shared" si="134"/>
        <v>0</v>
      </c>
      <c r="AJ548" s="49" t="str">
        <f t="shared" si="135"/>
        <v/>
      </c>
      <c r="AK548" s="49">
        <f t="shared" si="136"/>
        <v>1</v>
      </c>
      <c r="AL548" s="49" t="str">
        <f t="shared" si="137"/>
        <v/>
      </c>
      <c r="AM548" s="49">
        <f t="shared" si="138"/>
        <v>0</v>
      </c>
      <c r="AN548" s="49" t="str">
        <f t="shared" si="139"/>
        <v/>
      </c>
      <c r="AO548" s="49">
        <f t="shared" si="140"/>
        <v>0</v>
      </c>
      <c r="AP548" s="49" t="str">
        <f t="shared" si="141"/>
        <v/>
      </c>
      <c r="AQ548" s="49">
        <f t="shared" si="142"/>
        <v>0</v>
      </c>
      <c r="AR548" s="49" t="str">
        <f t="shared" si="143"/>
        <v/>
      </c>
    </row>
    <row r="549" spans="1:44" ht="30" customHeight="1" x14ac:dyDescent="0.35">
      <c r="A549" s="25"/>
      <c r="B549" s="39" t="s">
        <v>62</v>
      </c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108"/>
      <c r="Z549" s="109"/>
      <c r="AA549" s="109"/>
      <c r="AB549" s="110"/>
      <c r="AC549" s="40"/>
      <c r="AD549" s="40"/>
      <c r="AE549" s="48" t="str">
        <f t="shared" si="133"/>
        <v/>
      </c>
      <c r="AF549" s="48"/>
      <c r="AG549" s="48"/>
      <c r="AH549" s="89"/>
      <c r="AI549" s="49">
        <f t="shared" si="134"/>
        <v>0</v>
      </c>
      <c r="AJ549" s="49" t="str">
        <f t="shared" si="135"/>
        <v/>
      </c>
      <c r="AK549" s="49">
        <f t="shared" si="136"/>
        <v>0</v>
      </c>
      <c r="AL549" s="49" t="str">
        <f t="shared" si="137"/>
        <v/>
      </c>
      <c r="AM549" s="49">
        <f t="shared" si="138"/>
        <v>0</v>
      </c>
      <c r="AN549" s="49" t="str">
        <f t="shared" si="139"/>
        <v/>
      </c>
      <c r="AO549" s="49">
        <f t="shared" si="140"/>
        <v>0</v>
      </c>
      <c r="AP549" s="49" t="str">
        <f t="shared" si="141"/>
        <v/>
      </c>
      <c r="AQ549" s="49">
        <f t="shared" si="142"/>
        <v>0</v>
      </c>
      <c r="AR549" s="49" t="str">
        <f t="shared" si="143"/>
        <v/>
      </c>
    </row>
    <row r="550" spans="1:44" ht="30" customHeight="1" x14ac:dyDescent="0.35">
      <c r="A550" s="25" t="str">
        <f t="shared" si="146"/>
        <v>PT177 - PLATAFORMA DE ACESSO - GRUPO - DETALHADO
COLUNA 2PROJETO DETALHADO
ESTRUTURAS METÁLICAS</v>
      </c>
      <c r="B550" s="40" t="s">
        <v>49</v>
      </c>
      <c r="C550" s="60" t="str">
        <f>IF(AND($B550=[1]rogério!$A551,[1]rogério!$B551=C$4),"ok","nok")</f>
        <v>nok</v>
      </c>
      <c r="D550" s="60" t="str">
        <f>IF(AND($B550=[1]rogério!$A551,[1]rogério!$B551=D$4),"ok","nok")</f>
        <v>nok</v>
      </c>
      <c r="E550" s="60" t="str">
        <f>IF(AND($B550=[1]rogério!$A551,[1]rogério!$B551=E$4),"ok","nok")</f>
        <v>nok</v>
      </c>
      <c r="F550" s="60" t="str">
        <f>IF(AND($B550=[1]rogério!$A551,[1]rogério!$B551=F$4),"ok","nok")</f>
        <v>nok</v>
      </c>
      <c r="G550" s="60" t="str">
        <f>IF(AND($B550=[1]rogério!$A551,[1]rogério!$B551=G$4),"ok","nok")</f>
        <v>nok</v>
      </c>
      <c r="H550" s="60" t="str">
        <f>IF(AND($B550=[1]rogério!$A551,[1]rogério!$B551=H$4),"ok","nok")</f>
        <v>nok</v>
      </c>
      <c r="I550" s="60" t="str">
        <f>IF(AND($B550=[1]rogério!$A551,[1]rogério!$B551=I$4),"ok","nok")</f>
        <v>nok</v>
      </c>
      <c r="J550" s="60" t="str">
        <f>IF(AND($B550=[1]rogério!$A551,[1]rogério!$B551=J$4),"ok","nok")</f>
        <v>ok</v>
      </c>
      <c r="K550" s="60" t="str">
        <f>IF(AND($B550=[1]rogério!$A551,[1]rogério!$B551=K$4),"ok","nok")</f>
        <v>nok</v>
      </c>
      <c r="L550" s="60" t="str">
        <f>IF(AND($B550=[1]rogério!$A551,[1]rogério!$B551=L$4),"ok","nok")</f>
        <v>nok</v>
      </c>
      <c r="M550" s="60" t="str">
        <f>IF(AND($B550=[1]rogério!$A551,[1]rogério!$B551=M$4),"ok","nok")</f>
        <v>nok</v>
      </c>
      <c r="N550" s="60" t="str">
        <f>IF(AND($B550=[1]rogério!$A551,[1]rogério!$B551=N$4),"ok","nok")</f>
        <v>nok</v>
      </c>
      <c r="O550" s="60" t="str">
        <f>IF(AND($B550=[1]rogério!$A551,[1]rogério!$B551=O$4),"ok","nok")</f>
        <v>nok</v>
      </c>
      <c r="P550" s="60" t="str">
        <f>IF(AND($B550=[1]rogério!$A551,[1]rogério!$B551=P$4),"ok","nok")</f>
        <v>nok</v>
      </c>
      <c r="Q550" s="60" t="str">
        <f>IF(AND($B550=[1]rogério!$A551,[1]rogério!$B551=Q$4),"ok","nok")</f>
        <v>nok</v>
      </c>
      <c r="R550" s="60" t="str">
        <f>IF(AND($B550=[1]rogério!$A551,[1]rogério!$B551=R$4),"ok","nok")</f>
        <v>nok</v>
      </c>
      <c r="S550" s="60" t="str">
        <f>IF(AND($B550=[1]rogério!$A551,[1]rogério!$B551=S$4),"ok","nok")</f>
        <v>nok</v>
      </c>
      <c r="T550" s="60" t="str">
        <f>IF(AND($B550=[1]rogério!$A551,[1]rogério!$B551=T$4),"ok","nok")</f>
        <v>nok</v>
      </c>
      <c r="U550" s="60" t="str">
        <f>IF(AND($B550=[1]rogério!$A551,[1]rogério!$B551=U$4),"ok","nok")</f>
        <v>nok</v>
      </c>
      <c r="V550" s="60" t="str">
        <f>IF(AND($B550=[1]rogério!$A551,[1]rogério!$B551=V$4),"ok","nok")</f>
        <v>nok</v>
      </c>
      <c r="W550" s="60" t="str">
        <f>IF(AND($B550=[1]rogério!$A551,[1]rogério!$B551=W$4),"ok","nok")</f>
        <v>nok</v>
      </c>
      <c r="X550" s="60" t="str">
        <f>IF(AND($B550=[1]rogério!$A551,[1]rogério!$B551=X$4),"ok","nok")</f>
        <v>nok</v>
      </c>
      <c r="Y550" s="105" t="s">
        <v>15</v>
      </c>
      <c r="Z550" s="106"/>
      <c r="AA550" s="106"/>
      <c r="AB550" s="107"/>
      <c r="AC550" s="40"/>
      <c r="AD550" s="40"/>
      <c r="AE550" s="48" t="str">
        <f t="shared" si="133"/>
        <v/>
      </c>
      <c r="AF550" s="48"/>
      <c r="AG550" s="48"/>
      <c r="AH550" s="89"/>
      <c r="AI550" s="49">
        <f t="shared" si="134"/>
        <v>0</v>
      </c>
      <c r="AJ550" s="49" t="str">
        <f t="shared" si="135"/>
        <v/>
      </c>
      <c r="AK550" s="49">
        <f t="shared" si="136"/>
        <v>1</v>
      </c>
      <c r="AL550" s="49" t="str">
        <f t="shared" si="137"/>
        <v/>
      </c>
      <c r="AM550" s="49">
        <f t="shared" si="138"/>
        <v>0</v>
      </c>
      <c r="AN550" s="49" t="str">
        <f t="shared" si="139"/>
        <v/>
      </c>
      <c r="AO550" s="49">
        <f t="shared" si="140"/>
        <v>0</v>
      </c>
      <c r="AP550" s="49" t="str">
        <f t="shared" si="141"/>
        <v/>
      </c>
      <c r="AQ550" s="49">
        <f t="shared" si="142"/>
        <v>0</v>
      </c>
      <c r="AR550" s="49" t="str">
        <f t="shared" si="143"/>
        <v/>
      </c>
    </row>
    <row r="551" spans="1:44" ht="30" customHeight="1" x14ac:dyDescent="0.35">
      <c r="A551" s="25" t="str">
        <f t="shared" si="146"/>
        <v>PT177 - PLATAFORMA DE ACESSO - GRUPO - DETALHADO
COLUNA 2PROJETO DETALHADO
ESTRUTURAS METÁLICAS</v>
      </c>
      <c r="B551" s="40" t="s">
        <v>19</v>
      </c>
      <c r="C551" s="60" t="str">
        <f>IF(AND($B551=[1]rogério!$A552,[1]rogério!$B552=C$4),"ok","nok")</f>
        <v>nok</v>
      </c>
      <c r="D551" s="60" t="str">
        <f>IF(AND($B551=[1]rogério!$A552,[1]rogério!$B552=D$4),"ok","nok")</f>
        <v>nok</v>
      </c>
      <c r="E551" s="60" t="str">
        <f>IF(AND($B551=[1]rogério!$A552,[1]rogério!$B552=E$4),"ok","nok")</f>
        <v>nok</v>
      </c>
      <c r="F551" s="60" t="str">
        <f>IF(AND($B551=[1]rogério!$A552,[1]rogério!$B552=F$4),"ok","nok")</f>
        <v>nok</v>
      </c>
      <c r="G551" s="60" t="str">
        <f>IF(AND($B551=[1]rogério!$A552,[1]rogério!$B552=G$4),"ok","nok")</f>
        <v>nok</v>
      </c>
      <c r="H551" s="60" t="str">
        <f>IF(AND($B551=[1]rogério!$A552,[1]rogério!$B552=H$4),"ok","nok")</f>
        <v>nok</v>
      </c>
      <c r="I551" s="60" t="str">
        <f>IF(AND($B551=[1]rogério!$A552,[1]rogério!$B552=I$4),"ok","nok")</f>
        <v>nok</v>
      </c>
      <c r="J551" s="60" t="str">
        <f>IF(AND($B551=[1]rogério!$A552,[1]rogério!$B552=J$4),"ok","nok")</f>
        <v>nok</v>
      </c>
      <c r="K551" s="60" t="str">
        <f>IF(AND($B551=[1]rogério!$A552,[1]rogério!$B552=K$4),"ok","nok")</f>
        <v>nok</v>
      </c>
      <c r="L551" s="60" t="str">
        <f>IF(AND($B551=[1]rogério!$A552,[1]rogério!$B552=L$4),"ok","nok")</f>
        <v>nok</v>
      </c>
      <c r="M551" s="60" t="str">
        <f>IF(AND($B551=[1]rogério!$A552,[1]rogério!$B552=M$4),"ok","nok")</f>
        <v>nok</v>
      </c>
      <c r="N551" s="60" t="str">
        <f>IF(AND($B551=[1]rogério!$A552,[1]rogério!$B552=N$4),"ok","nok")</f>
        <v>nok</v>
      </c>
      <c r="O551" s="60" t="str">
        <f>IF(AND($B551=[1]rogério!$A552,[1]rogério!$B552=O$4),"ok","nok")</f>
        <v>ok</v>
      </c>
      <c r="P551" s="60" t="str">
        <f>IF(AND($B551=[1]rogério!$A552,[1]rogério!$B552=P$4),"ok","nok")</f>
        <v>nok</v>
      </c>
      <c r="Q551" s="60" t="str">
        <f>IF(AND($B551=[1]rogério!$A552,[1]rogério!$B552=Q$4),"ok","nok")</f>
        <v>nok</v>
      </c>
      <c r="R551" s="60" t="str">
        <f>IF(AND($B551=[1]rogério!$A552,[1]rogério!$B552=R$4),"ok","nok")</f>
        <v>nok</v>
      </c>
      <c r="S551" s="60" t="str">
        <f>IF(AND($B551=[1]rogério!$A552,[1]rogério!$B552=S$4),"ok","nok")</f>
        <v>nok</v>
      </c>
      <c r="T551" s="60" t="str">
        <f>IF(AND($B551=[1]rogério!$A552,[1]rogério!$B552=T$4),"ok","nok")</f>
        <v>nok</v>
      </c>
      <c r="U551" s="60" t="str">
        <f>IF(AND($B551=[1]rogério!$A552,[1]rogério!$B552=U$4),"ok","nok")</f>
        <v>nok</v>
      </c>
      <c r="V551" s="60" t="str">
        <f>IF(AND($B551=[1]rogério!$A552,[1]rogério!$B552=V$4),"ok","nok")</f>
        <v>nok</v>
      </c>
      <c r="W551" s="60" t="str">
        <f>IF(AND($B551=[1]rogério!$A552,[1]rogério!$B552=W$4),"ok","nok")</f>
        <v>nok</v>
      </c>
      <c r="X551" s="60" t="str">
        <f>IF(AND($B551=[1]rogério!$A552,[1]rogério!$B552=X$4),"ok","nok")</f>
        <v>nok</v>
      </c>
      <c r="Y551" s="105" t="s">
        <v>15</v>
      </c>
      <c r="Z551" s="106"/>
      <c r="AA551" s="106"/>
      <c r="AB551" s="107"/>
      <c r="AC551" s="38"/>
      <c r="AD551" s="38"/>
      <c r="AE551" s="48" t="str">
        <f t="shared" si="133"/>
        <v/>
      </c>
      <c r="AF551" s="48"/>
      <c r="AG551" s="48"/>
      <c r="AH551" s="89"/>
      <c r="AI551" s="49">
        <f t="shared" si="134"/>
        <v>0</v>
      </c>
      <c r="AJ551" s="49" t="str">
        <f t="shared" si="135"/>
        <v/>
      </c>
      <c r="AK551" s="49">
        <f t="shared" si="136"/>
        <v>0</v>
      </c>
      <c r="AL551" s="49" t="str">
        <f t="shared" si="137"/>
        <v/>
      </c>
      <c r="AM551" s="49">
        <f t="shared" si="138"/>
        <v>1</v>
      </c>
      <c r="AN551" s="49" t="str">
        <f t="shared" si="139"/>
        <v/>
      </c>
      <c r="AO551" s="49">
        <f t="shared" si="140"/>
        <v>0</v>
      </c>
      <c r="AP551" s="49" t="str">
        <f t="shared" si="141"/>
        <v/>
      </c>
      <c r="AQ551" s="49">
        <f t="shared" si="142"/>
        <v>0</v>
      </c>
      <c r="AR551" s="49" t="str">
        <f t="shared" si="143"/>
        <v/>
      </c>
    </row>
    <row r="552" spans="1:44" ht="30" customHeight="1" x14ac:dyDescent="0.35">
      <c r="A552" s="25" t="str">
        <f t="shared" si="146"/>
        <v>PT177 - PLATAFORMA DE ACESSO - GRUPO - DETALHADO
COLUNA 2PROJETO DETALHADO
ESTRUTURAS METÁLICAS</v>
      </c>
      <c r="B552" s="40" t="s">
        <v>42</v>
      </c>
      <c r="C552" s="60" t="str">
        <f>IF(AND($B552=[1]rogério!$A553,[1]rogério!$B553=C$4),"ok","nok")</f>
        <v>nok</v>
      </c>
      <c r="D552" s="60" t="str">
        <f>IF(AND($B552=[1]rogério!$A553,[1]rogério!$B553=D$4),"ok","nok")</f>
        <v>nok</v>
      </c>
      <c r="E552" s="60" t="str">
        <f>IF(AND($B552=[1]rogério!$A553,[1]rogério!$B553=E$4),"ok","nok")</f>
        <v>nok</v>
      </c>
      <c r="F552" s="60" t="str">
        <f>IF(AND($B552=[1]rogério!$A553,[1]rogério!$B553=F$4),"ok","nok")</f>
        <v>nok</v>
      </c>
      <c r="G552" s="60" t="str">
        <f>IF(AND($B552=[1]rogério!$A553,[1]rogério!$B553=G$4),"ok","nok")</f>
        <v>nok</v>
      </c>
      <c r="H552" s="60" t="str">
        <f>IF(AND($B552=[1]rogério!$A553,[1]rogério!$B553=H$4),"ok","nok")</f>
        <v>nok</v>
      </c>
      <c r="I552" s="60" t="str">
        <f>IF(AND($B552=[1]rogério!$A553,[1]rogério!$B553=I$4),"ok","nok")</f>
        <v>nok</v>
      </c>
      <c r="J552" s="60" t="str">
        <f>IF(AND($B552=[1]rogério!$A553,[1]rogério!$B553=J$4),"ok","nok")</f>
        <v>nok</v>
      </c>
      <c r="K552" s="60" t="str">
        <f>IF(AND($B552=[1]rogério!$A553,[1]rogério!$B553=K$4),"ok","nok")</f>
        <v>nok</v>
      </c>
      <c r="L552" s="60" t="str">
        <f>IF(AND($B552=[1]rogério!$A553,[1]rogério!$B553=L$4),"ok","nok")</f>
        <v>nok</v>
      </c>
      <c r="M552" s="60" t="str">
        <f>IF(AND($B552=[1]rogério!$A553,[1]rogério!$B553=M$4),"ok","nok")</f>
        <v>nok</v>
      </c>
      <c r="N552" s="60" t="str">
        <f>IF(AND($B552=[1]rogério!$A553,[1]rogério!$B553=N$4),"ok","nok")</f>
        <v>nok</v>
      </c>
      <c r="O552" s="60" t="str">
        <f>IF(AND($B552=[1]rogério!$A553,[1]rogério!$B553=O$4),"ok","nok")</f>
        <v>nok</v>
      </c>
      <c r="P552" s="60" t="str">
        <f>IF(AND($B552=[1]rogério!$A553,[1]rogério!$B553=P$4),"ok","nok")</f>
        <v>nok</v>
      </c>
      <c r="Q552" s="60" t="str">
        <f>IF(AND($B552=[1]rogério!$A553,[1]rogério!$B553=Q$4),"ok","nok")</f>
        <v>nok</v>
      </c>
      <c r="R552" s="60" t="str">
        <f>IF(AND($B552=[1]rogério!$A553,[1]rogério!$B553=R$4),"ok","nok")</f>
        <v>ok</v>
      </c>
      <c r="S552" s="60" t="str">
        <f>IF(AND($B552=[1]rogério!$A553,[1]rogério!$B553=S$4),"ok","nok")</f>
        <v>nok</v>
      </c>
      <c r="T552" s="60" t="str">
        <f>IF(AND($B552=[1]rogério!$A553,[1]rogério!$B553=T$4),"ok","nok")</f>
        <v>nok</v>
      </c>
      <c r="U552" s="60" t="str">
        <f>IF(AND($B552=[1]rogério!$A553,[1]rogério!$B553=U$4),"ok","nok")</f>
        <v>nok</v>
      </c>
      <c r="V552" s="60" t="str">
        <f>IF(AND($B552=[1]rogério!$A553,[1]rogério!$B553=V$4),"ok","nok")</f>
        <v>nok</v>
      </c>
      <c r="W552" s="60" t="str">
        <f>IF(AND($B552=[1]rogério!$A553,[1]rogério!$B553=W$4),"ok","nok")</f>
        <v>nok</v>
      </c>
      <c r="X552" s="60" t="str">
        <f>IF(AND($B552=[1]rogério!$A553,[1]rogério!$B553=X$4),"ok","nok")</f>
        <v>nok</v>
      </c>
      <c r="Y552" s="105" t="s">
        <v>15</v>
      </c>
      <c r="Z552" s="106"/>
      <c r="AA552" s="106"/>
      <c r="AB552" s="107"/>
      <c r="AC552" s="38"/>
      <c r="AD552" s="38"/>
      <c r="AE552" s="48" t="str">
        <f t="shared" si="133"/>
        <v/>
      </c>
      <c r="AF552" s="48"/>
      <c r="AG552" s="48"/>
      <c r="AH552" s="89"/>
      <c r="AI552" s="49">
        <f t="shared" si="134"/>
        <v>0</v>
      </c>
      <c r="AJ552" s="49" t="str">
        <f t="shared" si="135"/>
        <v/>
      </c>
      <c r="AK552" s="49">
        <f t="shared" si="136"/>
        <v>0</v>
      </c>
      <c r="AL552" s="49" t="str">
        <f t="shared" si="137"/>
        <v/>
      </c>
      <c r="AM552" s="49">
        <f t="shared" si="138"/>
        <v>0</v>
      </c>
      <c r="AN552" s="49" t="str">
        <f t="shared" si="139"/>
        <v/>
      </c>
      <c r="AO552" s="49">
        <f t="shared" si="140"/>
        <v>1</v>
      </c>
      <c r="AP552" s="49" t="str">
        <f t="shared" si="141"/>
        <v/>
      </c>
      <c r="AQ552" s="49">
        <f t="shared" si="142"/>
        <v>0</v>
      </c>
      <c r="AR552" s="49" t="str">
        <f t="shared" si="143"/>
        <v/>
      </c>
    </row>
    <row r="553" spans="1:44" ht="30" customHeight="1" x14ac:dyDescent="0.35">
      <c r="A553" s="25" t="str">
        <f t="shared" si="146"/>
        <v>PT177 - PLATAFORMA DE ACESSO - GRUPO - DETALHADO
COLUNA 2PROJETO DETALHADO
ESTRUTURAS METÁLICAS</v>
      </c>
      <c r="B553" s="40" t="s">
        <v>43</v>
      </c>
      <c r="C553" s="60" t="str">
        <f>IF(AND($B553=[1]rogério!$A554,[1]rogério!$B554=C$4),"ok","nok")</f>
        <v>nok</v>
      </c>
      <c r="D553" s="60" t="str">
        <f>IF(AND($B553=[1]rogério!$A554,[1]rogério!$B554=D$4),"ok","nok")</f>
        <v>nok</v>
      </c>
      <c r="E553" s="60" t="str">
        <f>IF(AND($B553=[1]rogério!$A554,[1]rogério!$B554=E$4),"ok","nok")</f>
        <v>nok</v>
      </c>
      <c r="F553" s="60" t="str">
        <f>IF(AND($B553=[1]rogério!$A554,[1]rogério!$B554=F$4),"ok","nok")</f>
        <v>nok</v>
      </c>
      <c r="G553" s="60" t="str">
        <f>IF(AND($B553=[1]rogério!$A554,[1]rogério!$B554=G$4),"ok","nok")</f>
        <v>nok</v>
      </c>
      <c r="H553" s="60" t="str">
        <f>IF(AND($B553=[1]rogério!$A554,[1]rogério!$B554=H$4),"ok","nok")</f>
        <v>nok</v>
      </c>
      <c r="I553" s="60" t="str">
        <f>IF(AND($B553=[1]rogério!$A554,[1]rogério!$B554=I$4),"ok","nok")</f>
        <v>nok</v>
      </c>
      <c r="J553" s="60" t="str">
        <f>IF(AND($B553=[1]rogério!$A554,[1]rogério!$B554=J$4),"ok","nok")</f>
        <v>nok</v>
      </c>
      <c r="K553" s="60" t="str">
        <f>IF(AND($B553=[1]rogério!$A554,[1]rogério!$B554=K$4),"ok","nok")</f>
        <v>nok</v>
      </c>
      <c r="L553" s="60" t="str">
        <f>IF(AND($B553=[1]rogério!$A554,[1]rogério!$B554=L$4),"ok","nok")</f>
        <v>nok</v>
      </c>
      <c r="M553" s="60" t="str">
        <f>IF(AND($B553=[1]rogério!$A554,[1]rogério!$B554=M$4),"ok","nok")</f>
        <v>nok</v>
      </c>
      <c r="N553" s="60" t="str">
        <f>IF(AND($B553=[1]rogério!$A554,[1]rogério!$B554=N$4),"ok","nok")</f>
        <v>nok</v>
      </c>
      <c r="O553" s="60" t="str">
        <f>IF(AND($B553=[1]rogério!$A554,[1]rogério!$B554=O$4),"ok","nok")</f>
        <v>nok</v>
      </c>
      <c r="P553" s="60" t="str">
        <f>IF(AND($B553=[1]rogério!$A554,[1]rogério!$B554=P$4),"ok","nok")</f>
        <v>nok</v>
      </c>
      <c r="Q553" s="60" t="str">
        <f>IF(AND($B553=[1]rogério!$A554,[1]rogério!$B554=Q$4),"ok","nok")</f>
        <v>nok</v>
      </c>
      <c r="R553" s="60" t="str">
        <f>IF(AND($B553=[1]rogério!$A554,[1]rogério!$B554=R$4),"ok","nok")</f>
        <v>ok</v>
      </c>
      <c r="S553" s="60" t="str">
        <f>IF(AND($B553=[1]rogério!$A554,[1]rogério!$B554=S$4),"ok","nok")</f>
        <v>nok</v>
      </c>
      <c r="T553" s="60" t="str">
        <f>IF(AND($B553=[1]rogério!$A554,[1]rogério!$B554=T$4),"ok","nok")</f>
        <v>nok</v>
      </c>
      <c r="U553" s="60" t="str">
        <f>IF(AND($B553=[1]rogério!$A554,[1]rogério!$B554=U$4),"ok","nok")</f>
        <v>nok</v>
      </c>
      <c r="V553" s="60" t="str">
        <f>IF(AND($B553=[1]rogério!$A554,[1]rogério!$B554=V$4),"ok","nok")</f>
        <v>nok</v>
      </c>
      <c r="W553" s="60" t="str">
        <f>IF(AND($B553=[1]rogério!$A554,[1]rogério!$B554=W$4),"ok","nok")</f>
        <v>nok</v>
      </c>
      <c r="X553" s="60" t="str">
        <f>IF(AND($B553=[1]rogério!$A554,[1]rogério!$B554=X$4),"ok","nok")</f>
        <v>nok</v>
      </c>
      <c r="Y553" s="105" t="s">
        <v>15</v>
      </c>
      <c r="Z553" s="106"/>
      <c r="AA553" s="106"/>
      <c r="AB553" s="107"/>
      <c r="AC553" s="38"/>
      <c r="AD553" s="38"/>
      <c r="AE553" s="48" t="str">
        <f t="shared" si="133"/>
        <v/>
      </c>
      <c r="AF553" s="48"/>
      <c r="AG553" s="48"/>
      <c r="AH553" s="89"/>
      <c r="AI553" s="49">
        <f t="shared" si="134"/>
        <v>0</v>
      </c>
      <c r="AJ553" s="49" t="str">
        <f t="shared" si="135"/>
        <v/>
      </c>
      <c r="AK553" s="49">
        <f t="shared" si="136"/>
        <v>0</v>
      </c>
      <c r="AL553" s="49" t="str">
        <f t="shared" si="137"/>
        <v/>
      </c>
      <c r="AM553" s="49">
        <f t="shared" si="138"/>
        <v>0</v>
      </c>
      <c r="AN553" s="49" t="str">
        <f t="shared" si="139"/>
        <v/>
      </c>
      <c r="AO553" s="49">
        <f t="shared" si="140"/>
        <v>1</v>
      </c>
      <c r="AP553" s="49" t="str">
        <f t="shared" si="141"/>
        <v/>
      </c>
      <c r="AQ553" s="49">
        <f t="shared" si="142"/>
        <v>0</v>
      </c>
      <c r="AR553" s="49" t="str">
        <f t="shared" si="143"/>
        <v/>
      </c>
    </row>
    <row r="554" spans="1:44" ht="30" customHeight="1" x14ac:dyDescent="0.35">
      <c r="A554" s="25" t="str">
        <f t="shared" si="146"/>
        <v>PT177 - PLATAFORMA DE ACESSO - GRUPO - DETALHADO
COLUNA 2PROJETO DETALHADO
ESTRUTURAS METÁLICAS</v>
      </c>
      <c r="B554" s="38" t="s">
        <v>79</v>
      </c>
      <c r="C554" s="60" t="str">
        <f>IF(AND($B554=[1]rogério!$A555,[1]rogério!$B555=C$4),"ok","nok")</f>
        <v>nok</v>
      </c>
      <c r="D554" s="60" t="str">
        <f>IF(AND($B554=[1]rogério!$A555,[1]rogério!$B555=D$4),"ok","nok")</f>
        <v>nok</v>
      </c>
      <c r="E554" s="60" t="str">
        <f>IF(AND($B554=[1]rogério!$A555,[1]rogério!$B555=E$4),"ok","nok")</f>
        <v>nok</v>
      </c>
      <c r="F554" s="60" t="str">
        <f>IF(AND($B554=[1]rogério!$A555,[1]rogério!$B555=F$4),"ok","nok")</f>
        <v>nok</v>
      </c>
      <c r="G554" s="60" t="str">
        <f>IF(AND($B554=[1]rogério!$A555,[1]rogério!$B555=G$4),"ok","nok")</f>
        <v>nok</v>
      </c>
      <c r="H554" s="60" t="str">
        <f>IF(AND($B554=[1]rogério!$A555,[1]rogério!$B555=H$4),"ok","nok")</f>
        <v>nok</v>
      </c>
      <c r="I554" s="60" t="str">
        <f>IF(AND($B554=[1]rogério!$A555,[1]rogério!$B555=I$4),"ok","nok")</f>
        <v>nok</v>
      </c>
      <c r="J554" s="60" t="str">
        <f>IF(AND($B554=[1]rogério!$A555,[1]rogério!$B555=J$4),"ok","nok")</f>
        <v>nok</v>
      </c>
      <c r="K554" s="60" t="str">
        <f>IF(AND($B554=[1]rogério!$A555,[1]rogério!$B555=K$4),"ok","nok")</f>
        <v>ok</v>
      </c>
      <c r="L554" s="60" t="str">
        <f>IF(AND($B554=[1]rogério!$A555,[1]rogério!$B555=L$4),"ok","nok")</f>
        <v>nok</v>
      </c>
      <c r="M554" s="60" t="str">
        <f>IF(AND($B554=[1]rogério!$A555,[1]rogério!$B555=M$4),"ok","nok")</f>
        <v>nok</v>
      </c>
      <c r="N554" s="60" t="str">
        <f>IF(AND($B554=[1]rogério!$A555,[1]rogério!$B555=N$4),"ok","nok")</f>
        <v>nok</v>
      </c>
      <c r="O554" s="60" t="str">
        <f>IF(AND($B554=[1]rogério!$A555,[1]rogério!$B555=O$4),"ok","nok")</f>
        <v>nok</v>
      </c>
      <c r="P554" s="60" t="str">
        <f>IF(AND($B554=[1]rogério!$A555,[1]rogério!$B555=P$4),"ok","nok")</f>
        <v>nok</v>
      </c>
      <c r="Q554" s="60" t="str">
        <f>IF(AND($B554=[1]rogério!$A555,[1]rogério!$B555=Q$4),"ok","nok")</f>
        <v>nok</v>
      </c>
      <c r="R554" s="60" t="str">
        <f>IF(AND($B554=[1]rogério!$A555,[1]rogério!$B555=R$4),"ok","nok")</f>
        <v>nok</v>
      </c>
      <c r="S554" s="60" t="str">
        <f>IF(AND($B554=[1]rogério!$A555,[1]rogério!$B555=S$4),"ok","nok")</f>
        <v>nok</v>
      </c>
      <c r="T554" s="60" t="str">
        <f>IF(AND($B554=[1]rogério!$A555,[1]rogério!$B555=T$4),"ok","nok")</f>
        <v>nok</v>
      </c>
      <c r="U554" s="60" t="str">
        <f>IF(AND($B554=[1]rogério!$A555,[1]rogério!$B555=U$4),"ok","nok")</f>
        <v>nok</v>
      </c>
      <c r="V554" s="60" t="str">
        <f>IF(AND($B554=[1]rogério!$A555,[1]rogério!$B555=V$4),"ok","nok")</f>
        <v>nok</v>
      </c>
      <c r="W554" s="60" t="str">
        <f>IF(AND($B554=[1]rogério!$A555,[1]rogério!$B555=W$4),"ok","nok")</f>
        <v>nok</v>
      </c>
      <c r="X554" s="60" t="str">
        <f>IF(AND($B554=[1]rogério!$A555,[1]rogério!$B555=X$4),"ok","nok")</f>
        <v>nok</v>
      </c>
      <c r="Y554" s="105" t="s">
        <v>15</v>
      </c>
      <c r="Z554" s="106"/>
      <c r="AA554" s="106"/>
      <c r="AB554" s="107"/>
      <c r="AC554" s="38"/>
      <c r="AD554" s="38"/>
      <c r="AE554" s="48" t="str">
        <f t="shared" si="133"/>
        <v/>
      </c>
      <c r="AF554" s="48"/>
      <c r="AG554" s="48"/>
      <c r="AH554" s="89"/>
      <c r="AI554" s="49">
        <f t="shared" si="134"/>
        <v>0</v>
      </c>
      <c r="AJ554" s="49" t="str">
        <f t="shared" si="135"/>
        <v/>
      </c>
      <c r="AK554" s="49">
        <f t="shared" si="136"/>
        <v>1</v>
      </c>
      <c r="AL554" s="49" t="str">
        <f t="shared" si="137"/>
        <v/>
      </c>
      <c r="AM554" s="49">
        <f t="shared" si="138"/>
        <v>0</v>
      </c>
      <c r="AN554" s="49" t="str">
        <f t="shared" si="139"/>
        <v/>
      </c>
      <c r="AO554" s="49">
        <f t="shared" si="140"/>
        <v>0</v>
      </c>
      <c r="AP554" s="49" t="str">
        <f t="shared" si="141"/>
        <v/>
      </c>
      <c r="AQ554" s="49">
        <f t="shared" si="142"/>
        <v>0</v>
      </c>
      <c r="AR554" s="49" t="str">
        <f t="shared" si="143"/>
        <v/>
      </c>
    </row>
    <row r="555" spans="1:44" ht="30" customHeight="1" x14ac:dyDescent="0.35">
      <c r="A555" s="25" t="str">
        <f t="shared" si="146"/>
        <v>PT177 - PLATAFORMA DE ACESSO - GRUPO - DETALHADO
COLUNA 2PROJETO DETALHADO
ESTRUTURAS METÁLICAS</v>
      </c>
      <c r="B555" s="38" t="s">
        <v>80</v>
      </c>
      <c r="C555" s="60" t="str">
        <f>IF(AND($B555=[1]rogério!$A556,[1]rogério!$B556=C$4),"ok","nok")</f>
        <v>nok</v>
      </c>
      <c r="D555" s="60" t="str">
        <f>IF(AND($B555=[1]rogério!$A556,[1]rogério!$B556=D$4),"ok","nok")</f>
        <v>nok</v>
      </c>
      <c r="E555" s="60" t="str">
        <f>IF(AND($B555=[1]rogério!$A556,[1]rogério!$B556=E$4),"ok","nok")</f>
        <v>nok</v>
      </c>
      <c r="F555" s="60" t="str">
        <f>IF(AND($B555=[1]rogério!$A556,[1]rogério!$B556=F$4),"ok","nok")</f>
        <v>nok</v>
      </c>
      <c r="G555" s="60" t="str">
        <f>IF(AND($B555=[1]rogério!$A556,[1]rogério!$B556=G$4),"ok","nok")</f>
        <v>nok</v>
      </c>
      <c r="H555" s="60" t="str">
        <f>IF(AND($B555=[1]rogério!$A556,[1]rogério!$B556=H$4),"ok","nok")</f>
        <v>nok</v>
      </c>
      <c r="I555" s="60" t="str">
        <f>IF(AND($B555=[1]rogério!$A556,[1]rogério!$B556=I$4),"ok","nok")</f>
        <v>nok</v>
      </c>
      <c r="J555" s="60" t="str">
        <f>IF(AND($B555=[1]rogério!$A556,[1]rogério!$B556=J$4),"ok","nok")</f>
        <v>nok</v>
      </c>
      <c r="K555" s="60" t="str">
        <f>IF(AND($B555=[1]rogério!$A556,[1]rogério!$B556=K$4),"ok","nok")</f>
        <v>nok</v>
      </c>
      <c r="L555" s="60" t="str">
        <f>IF(AND($B555=[1]rogério!$A556,[1]rogério!$B556=L$4),"ok","nok")</f>
        <v>ok</v>
      </c>
      <c r="M555" s="60" t="str">
        <f>IF(AND($B555=[1]rogério!$A556,[1]rogério!$B556=M$4),"ok","nok")</f>
        <v>nok</v>
      </c>
      <c r="N555" s="60" t="str">
        <f>IF(AND($B555=[1]rogério!$A556,[1]rogério!$B556=N$4),"ok","nok")</f>
        <v>nok</v>
      </c>
      <c r="O555" s="60" t="str">
        <f>IF(AND($B555=[1]rogério!$A556,[1]rogério!$B556=O$4),"ok","nok")</f>
        <v>nok</v>
      </c>
      <c r="P555" s="60" t="str">
        <f>IF(AND($B555=[1]rogério!$A556,[1]rogério!$B556=P$4),"ok","nok")</f>
        <v>nok</v>
      </c>
      <c r="Q555" s="60" t="str">
        <f>IF(AND($B555=[1]rogério!$A556,[1]rogério!$B556=Q$4),"ok","nok")</f>
        <v>nok</v>
      </c>
      <c r="R555" s="60" t="str">
        <f>IF(AND($B555=[1]rogério!$A556,[1]rogério!$B556=R$4),"ok","nok")</f>
        <v>nok</v>
      </c>
      <c r="S555" s="60" t="str">
        <f>IF(AND($B555=[1]rogério!$A556,[1]rogério!$B556=S$4),"ok","nok")</f>
        <v>nok</v>
      </c>
      <c r="T555" s="60" t="str">
        <f>IF(AND($B555=[1]rogério!$A556,[1]rogério!$B556=T$4),"ok","nok")</f>
        <v>nok</v>
      </c>
      <c r="U555" s="60" t="str">
        <f>IF(AND($B555=[1]rogério!$A556,[1]rogério!$B556=U$4),"ok","nok")</f>
        <v>nok</v>
      </c>
      <c r="V555" s="60" t="str">
        <f>IF(AND($B555=[1]rogério!$A556,[1]rogério!$B556=V$4),"ok","nok")</f>
        <v>nok</v>
      </c>
      <c r="W555" s="60" t="str">
        <f>IF(AND($B555=[1]rogério!$A556,[1]rogério!$B556=W$4),"ok","nok")</f>
        <v>nok</v>
      </c>
      <c r="X555" s="60" t="str">
        <f>IF(AND($B555=[1]rogério!$A556,[1]rogério!$B556=X$4),"ok","nok")</f>
        <v>nok</v>
      </c>
      <c r="Y555" s="105" t="s">
        <v>15</v>
      </c>
      <c r="Z555" s="106"/>
      <c r="AA555" s="106"/>
      <c r="AB555" s="107"/>
      <c r="AC555" s="38"/>
      <c r="AD555" s="38"/>
      <c r="AE555" s="48" t="str">
        <f t="shared" si="133"/>
        <v/>
      </c>
      <c r="AF555" s="48"/>
      <c r="AG555" s="48"/>
      <c r="AH555" s="89"/>
      <c r="AI555" s="49">
        <f t="shared" si="134"/>
        <v>0</v>
      </c>
      <c r="AJ555" s="49" t="str">
        <f t="shared" si="135"/>
        <v/>
      </c>
      <c r="AK555" s="49">
        <f t="shared" si="136"/>
        <v>1</v>
      </c>
      <c r="AL555" s="49" t="str">
        <f t="shared" si="137"/>
        <v/>
      </c>
      <c r="AM555" s="49">
        <f t="shared" si="138"/>
        <v>0</v>
      </c>
      <c r="AN555" s="49" t="str">
        <f t="shared" si="139"/>
        <v/>
      </c>
      <c r="AO555" s="49">
        <f t="shared" si="140"/>
        <v>0</v>
      </c>
      <c r="AP555" s="49" t="str">
        <f t="shared" si="141"/>
        <v/>
      </c>
      <c r="AQ555" s="49">
        <f t="shared" si="142"/>
        <v>0</v>
      </c>
      <c r="AR555" s="49" t="str">
        <f t="shared" si="143"/>
        <v/>
      </c>
    </row>
    <row r="556" spans="1:44" ht="30" customHeight="1" x14ac:dyDescent="0.35">
      <c r="A556" s="25"/>
      <c r="B556" s="39" t="s">
        <v>81</v>
      </c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108"/>
      <c r="Z556" s="109"/>
      <c r="AA556" s="109"/>
      <c r="AB556" s="110"/>
      <c r="AC556" s="38"/>
      <c r="AD556" s="38"/>
      <c r="AE556" s="48" t="str">
        <f t="shared" si="133"/>
        <v/>
      </c>
      <c r="AF556" s="48"/>
      <c r="AG556" s="48"/>
      <c r="AH556" s="89"/>
      <c r="AI556" s="49">
        <f t="shared" si="134"/>
        <v>0</v>
      </c>
      <c r="AJ556" s="49" t="str">
        <f t="shared" si="135"/>
        <v/>
      </c>
      <c r="AK556" s="49">
        <f t="shared" si="136"/>
        <v>0</v>
      </c>
      <c r="AL556" s="49" t="str">
        <f t="shared" si="137"/>
        <v/>
      </c>
      <c r="AM556" s="49">
        <f t="shared" si="138"/>
        <v>0</v>
      </c>
      <c r="AN556" s="49" t="str">
        <f t="shared" si="139"/>
        <v/>
      </c>
      <c r="AO556" s="49">
        <f t="shared" si="140"/>
        <v>0</v>
      </c>
      <c r="AP556" s="49" t="str">
        <f t="shared" si="141"/>
        <v/>
      </c>
      <c r="AQ556" s="49">
        <f t="shared" si="142"/>
        <v>0</v>
      </c>
      <c r="AR556" s="49" t="str">
        <f t="shared" si="143"/>
        <v/>
      </c>
    </row>
    <row r="557" spans="1:44" ht="30" customHeight="1" x14ac:dyDescent="0.35">
      <c r="A557" s="25" t="str">
        <f t="shared" si="146"/>
        <v>PT177 - PLATAFORMA DE ACESSO - GRUPO - DETALHADO
COLUNA 2PROJETO DETALHADO
ESTRUTURAS METÁLICAS</v>
      </c>
      <c r="B557" s="40" t="s">
        <v>49</v>
      </c>
      <c r="C557" s="60" t="str">
        <f>IF(AND($B557=[1]rogério!$A558,[1]rogério!$B558=C$4),"ok","nok")</f>
        <v>nok</v>
      </c>
      <c r="D557" s="60" t="str">
        <f>IF(AND($B557=[1]rogério!$A558,[1]rogério!$B558=D$4),"ok","nok")</f>
        <v>nok</v>
      </c>
      <c r="E557" s="60" t="str">
        <f>IF(AND($B557=[1]rogério!$A558,[1]rogério!$B558=E$4),"ok","nok")</f>
        <v>nok</v>
      </c>
      <c r="F557" s="60" t="str">
        <f>IF(AND($B557=[1]rogério!$A558,[1]rogério!$B558=F$4),"ok","nok")</f>
        <v>nok</v>
      </c>
      <c r="G557" s="60" t="str">
        <f>IF(AND($B557=[1]rogério!$A558,[1]rogério!$B558=G$4),"ok","nok")</f>
        <v>nok</v>
      </c>
      <c r="H557" s="60" t="str">
        <f>IF(AND($B557=[1]rogério!$A558,[1]rogério!$B558=H$4),"ok","nok")</f>
        <v>nok</v>
      </c>
      <c r="I557" s="60" t="str">
        <f>IF(AND($B557=[1]rogério!$A558,[1]rogério!$B558=I$4),"ok","nok")</f>
        <v>nok</v>
      </c>
      <c r="J557" s="60" t="str">
        <f>IF(AND($B557=[1]rogério!$A558,[1]rogério!$B558=J$4),"ok","nok")</f>
        <v>nok</v>
      </c>
      <c r="K557" s="60" t="str">
        <f>IF(AND($B557=[1]rogério!$A558,[1]rogério!$B558=K$4),"ok","nok")</f>
        <v>nok</v>
      </c>
      <c r="L557" s="60" t="str">
        <f>IF(AND($B557=[1]rogério!$A558,[1]rogério!$B558=L$4),"ok","nok")</f>
        <v>ok</v>
      </c>
      <c r="M557" s="60" t="str">
        <f>IF(AND($B557=[1]rogério!$A558,[1]rogério!$B558=M$4),"ok","nok")</f>
        <v>nok</v>
      </c>
      <c r="N557" s="60" t="str">
        <f>IF(AND($B557=[1]rogério!$A558,[1]rogério!$B558=N$4),"ok","nok")</f>
        <v>nok</v>
      </c>
      <c r="O557" s="60" t="str">
        <f>IF(AND($B557=[1]rogério!$A558,[1]rogério!$B558=O$4),"ok","nok")</f>
        <v>nok</v>
      </c>
      <c r="P557" s="60" t="str">
        <f>IF(AND($B557=[1]rogério!$A558,[1]rogério!$B558=P$4),"ok","nok")</f>
        <v>nok</v>
      </c>
      <c r="Q557" s="60" t="str">
        <f>IF(AND($B557=[1]rogério!$A558,[1]rogério!$B558=Q$4),"ok","nok")</f>
        <v>nok</v>
      </c>
      <c r="R557" s="60" t="str">
        <f>IF(AND($B557=[1]rogério!$A558,[1]rogério!$B558=R$4),"ok","nok")</f>
        <v>nok</v>
      </c>
      <c r="S557" s="60" t="str">
        <f>IF(AND($B557=[1]rogério!$A558,[1]rogério!$B558=S$4),"ok","nok")</f>
        <v>nok</v>
      </c>
      <c r="T557" s="60" t="str">
        <f>IF(AND($B557=[1]rogério!$A558,[1]rogério!$B558=T$4),"ok","nok")</f>
        <v>nok</v>
      </c>
      <c r="U557" s="60" t="str">
        <f>IF(AND($B557=[1]rogério!$A558,[1]rogério!$B558=U$4),"ok","nok")</f>
        <v>nok</v>
      </c>
      <c r="V557" s="60" t="str">
        <f>IF(AND($B557=[1]rogério!$A558,[1]rogério!$B558=V$4),"ok","nok")</f>
        <v>nok</v>
      </c>
      <c r="W557" s="60" t="str">
        <f>IF(AND($B557=[1]rogério!$A558,[1]rogério!$B558=W$4),"ok","nok")</f>
        <v>nok</v>
      </c>
      <c r="X557" s="60" t="str">
        <f>IF(AND($B557=[1]rogério!$A558,[1]rogério!$B558=X$4),"ok","nok")</f>
        <v>nok</v>
      </c>
      <c r="Y557" s="105" t="s">
        <v>15</v>
      </c>
      <c r="Z557" s="106"/>
      <c r="AA557" s="106"/>
      <c r="AB557" s="107"/>
      <c r="AC557" s="38"/>
      <c r="AD557" s="38"/>
      <c r="AE557" s="48" t="str">
        <f t="shared" si="133"/>
        <v/>
      </c>
      <c r="AF557" s="48"/>
      <c r="AG557" s="48"/>
      <c r="AH557" s="89"/>
      <c r="AI557" s="49">
        <f t="shared" si="134"/>
        <v>0</v>
      </c>
      <c r="AJ557" s="49" t="str">
        <f t="shared" si="135"/>
        <v/>
      </c>
      <c r="AK557" s="49">
        <f t="shared" si="136"/>
        <v>1</v>
      </c>
      <c r="AL557" s="49" t="str">
        <f t="shared" si="137"/>
        <v/>
      </c>
      <c r="AM557" s="49">
        <f t="shared" si="138"/>
        <v>0</v>
      </c>
      <c r="AN557" s="49" t="str">
        <f t="shared" si="139"/>
        <v/>
      </c>
      <c r="AO557" s="49">
        <f t="shared" si="140"/>
        <v>0</v>
      </c>
      <c r="AP557" s="49" t="str">
        <f t="shared" si="141"/>
        <v/>
      </c>
      <c r="AQ557" s="49">
        <f t="shared" si="142"/>
        <v>0</v>
      </c>
      <c r="AR557" s="49" t="str">
        <f t="shared" si="143"/>
        <v/>
      </c>
    </row>
    <row r="558" spans="1:44" ht="30" customHeight="1" x14ac:dyDescent="0.35">
      <c r="A558" s="25" t="str">
        <f t="shared" si="146"/>
        <v>PT177 - PLATAFORMA DE ACESSO - GRUPO - DETALHADO
COLUNA 2PROJETO DETALHADO
ESTRUTURAS METÁLICAS</v>
      </c>
      <c r="B558" s="40" t="s">
        <v>19</v>
      </c>
      <c r="C558" s="60" t="str">
        <f>IF(AND($B558=[1]rogério!$A559,[1]rogério!$B559=C$4),"ok","nok")</f>
        <v>nok</v>
      </c>
      <c r="D558" s="60" t="str">
        <f>IF(AND($B558=[1]rogério!$A559,[1]rogério!$B559=D$4),"ok","nok")</f>
        <v>nok</v>
      </c>
      <c r="E558" s="60" t="str">
        <f>IF(AND($B558=[1]rogério!$A559,[1]rogério!$B559=E$4),"ok","nok")</f>
        <v>nok</v>
      </c>
      <c r="F558" s="60" t="str">
        <f>IF(AND($B558=[1]rogério!$A559,[1]rogério!$B559=F$4),"ok","nok")</f>
        <v>nok</v>
      </c>
      <c r="G558" s="60" t="str">
        <f>IF(AND($B558=[1]rogério!$A559,[1]rogério!$B559=G$4),"ok","nok")</f>
        <v>nok</v>
      </c>
      <c r="H558" s="60" t="str">
        <f>IF(AND($B558=[1]rogério!$A559,[1]rogério!$B559=H$4),"ok","nok")</f>
        <v>nok</v>
      </c>
      <c r="I558" s="60" t="str">
        <f>IF(AND($B558=[1]rogério!$A559,[1]rogério!$B559=I$4),"ok","nok")</f>
        <v>nok</v>
      </c>
      <c r="J558" s="60" t="str">
        <f>IF(AND($B558=[1]rogério!$A559,[1]rogério!$B559=J$4),"ok","nok")</f>
        <v>nok</v>
      </c>
      <c r="K558" s="60" t="str">
        <f>IF(AND($B558=[1]rogério!$A559,[1]rogério!$B559=K$4),"ok","nok")</f>
        <v>nok</v>
      </c>
      <c r="L558" s="60" t="str">
        <f>IF(AND($B558=[1]rogério!$A559,[1]rogério!$B559=L$4),"ok","nok")</f>
        <v>nok</v>
      </c>
      <c r="M558" s="60" t="str">
        <f>IF(AND($B558=[1]rogério!$A559,[1]rogério!$B559=M$4),"ok","nok")</f>
        <v>nok</v>
      </c>
      <c r="N558" s="60" t="str">
        <f>IF(AND($B558=[1]rogério!$A559,[1]rogério!$B559=N$4),"ok","nok")</f>
        <v>nok</v>
      </c>
      <c r="O558" s="60" t="str">
        <f>IF(AND($B558=[1]rogério!$A559,[1]rogério!$B559=O$4),"ok","nok")</f>
        <v>nok</v>
      </c>
      <c r="P558" s="60" t="str">
        <f>IF(AND($B558=[1]rogério!$A559,[1]rogério!$B559=P$4),"ok","nok")</f>
        <v>nok</v>
      </c>
      <c r="Q558" s="60" t="str">
        <f>IF(AND($B558=[1]rogério!$A559,[1]rogério!$B559=Q$4),"ok","nok")</f>
        <v>ok</v>
      </c>
      <c r="R558" s="60" t="str">
        <f>IF(AND($B558=[1]rogério!$A559,[1]rogério!$B559=R$4),"ok","nok")</f>
        <v>nok</v>
      </c>
      <c r="S558" s="60" t="str">
        <f>IF(AND($B558=[1]rogério!$A559,[1]rogério!$B559=S$4),"ok","nok")</f>
        <v>nok</v>
      </c>
      <c r="T558" s="60" t="str">
        <f>IF(AND($B558=[1]rogério!$A559,[1]rogério!$B559=T$4),"ok","nok")</f>
        <v>nok</v>
      </c>
      <c r="U558" s="60" t="str">
        <f>IF(AND($B558=[1]rogério!$A559,[1]rogério!$B559=U$4),"ok","nok")</f>
        <v>nok</v>
      </c>
      <c r="V558" s="60" t="str">
        <f>IF(AND($B558=[1]rogério!$A559,[1]rogério!$B559=V$4),"ok","nok")</f>
        <v>nok</v>
      </c>
      <c r="W558" s="60" t="str">
        <f>IF(AND($B558=[1]rogério!$A559,[1]rogério!$B559=W$4),"ok","nok")</f>
        <v>nok</v>
      </c>
      <c r="X558" s="60" t="str">
        <f>IF(AND($B558=[1]rogério!$A559,[1]rogério!$B559=X$4),"ok","nok")</f>
        <v>nok</v>
      </c>
      <c r="Y558" s="105" t="s">
        <v>15</v>
      </c>
      <c r="Z558" s="106"/>
      <c r="AA558" s="106"/>
      <c r="AB558" s="107"/>
      <c r="AC558" s="38"/>
      <c r="AD558" s="38"/>
      <c r="AE558" s="48" t="str">
        <f t="shared" si="133"/>
        <v/>
      </c>
      <c r="AF558" s="48"/>
      <c r="AG558" s="48"/>
      <c r="AH558" s="89"/>
      <c r="AI558" s="49">
        <f t="shared" si="134"/>
        <v>0</v>
      </c>
      <c r="AJ558" s="49" t="str">
        <f t="shared" si="135"/>
        <v/>
      </c>
      <c r="AK558" s="49">
        <f t="shared" si="136"/>
        <v>0</v>
      </c>
      <c r="AL558" s="49" t="str">
        <f t="shared" si="137"/>
        <v/>
      </c>
      <c r="AM558" s="49">
        <f t="shared" si="138"/>
        <v>1</v>
      </c>
      <c r="AN558" s="49" t="str">
        <f t="shared" si="139"/>
        <v/>
      </c>
      <c r="AO558" s="49">
        <f t="shared" si="140"/>
        <v>0</v>
      </c>
      <c r="AP558" s="49" t="str">
        <f t="shared" si="141"/>
        <v/>
      </c>
      <c r="AQ558" s="49">
        <f t="shared" si="142"/>
        <v>0</v>
      </c>
      <c r="AR558" s="49" t="str">
        <f t="shared" si="143"/>
        <v/>
      </c>
    </row>
    <row r="559" spans="1:44" ht="30" customHeight="1" x14ac:dyDescent="0.35">
      <c r="A559" s="25" t="str">
        <f t="shared" si="146"/>
        <v>PT177 - PLATAFORMA DE ACESSO - GRUPO - DETALHADO
COLUNA 2PROJETO DETALHADO
ESTRUTURAS METÁLICAS</v>
      </c>
      <c r="B559" s="40" t="s">
        <v>42</v>
      </c>
      <c r="C559" s="60" t="str">
        <f>IF(AND($B559=[1]rogério!$A560,[1]rogério!$B560=C$4),"ok","nok")</f>
        <v>nok</v>
      </c>
      <c r="D559" s="60" t="str">
        <f>IF(AND($B559=[1]rogério!$A560,[1]rogério!$B560=D$4),"ok","nok")</f>
        <v>nok</v>
      </c>
      <c r="E559" s="60" t="str">
        <f>IF(AND($B559=[1]rogério!$A560,[1]rogério!$B560=E$4),"ok","nok")</f>
        <v>nok</v>
      </c>
      <c r="F559" s="60" t="str">
        <f>IF(AND($B559=[1]rogério!$A560,[1]rogério!$B560=F$4),"ok","nok")</f>
        <v>nok</v>
      </c>
      <c r="G559" s="60" t="str">
        <f>IF(AND($B559=[1]rogério!$A560,[1]rogério!$B560=G$4),"ok","nok")</f>
        <v>nok</v>
      </c>
      <c r="H559" s="60" t="str">
        <f>IF(AND($B559=[1]rogério!$A560,[1]rogério!$B560=H$4),"ok","nok")</f>
        <v>nok</v>
      </c>
      <c r="I559" s="60" t="str">
        <f>IF(AND($B559=[1]rogério!$A560,[1]rogério!$B560=I$4),"ok","nok")</f>
        <v>nok</v>
      </c>
      <c r="J559" s="60" t="str">
        <f>IF(AND($B559=[1]rogério!$A560,[1]rogério!$B560=J$4),"ok","nok")</f>
        <v>nok</v>
      </c>
      <c r="K559" s="60" t="str">
        <f>IF(AND($B559=[1]rogério!$A560,[1]rogério!$B560=K$4),"ok","nok")</f>
        <v>nok</v>
      </c>
      <c r="L559" s="60" t="str">
        <f>IF(AND($B559=[1]rogério!$A560,[1]rogério!$B560=L$4),"ok","nok")</f>
        <v>nok</v>
      </c>
      <c r="M559" s="60" t="str">
        <f>IF(AND($B559=[1]rogério!$A560,[1]rogério!$B560=M$4),"ok","nok")</f>
        <v>nok</v>
      </c>
      <c r="N559" s="60" t="str">
        <f>IF(AND($B559=[1]rogério!$A560,[1]rogério!$B560=N$4),"ok","nok")</f>
        <v>nok</v>
      </c>
      <c r="O559" s="60" t="str">
        <f>IF(AND($B559=[1]rogério!$A560,[1]rogério!$B560=O$4),"ok","nok")</f>
        <v>nok</v>
      </c>
      <c r="P559" s="60" t="str">
        <f>IF(AND($B559=[1]rogério!$A560,[1]rogério!$B560=P$4),"ok","nok")</f>
        <v>nok</v>
      </c>
      <c r="Q559" s="60" t="str">
        <f>IF(AND($B559=[1]rogério!$A560,[1]rogério!$B560=Q$4),"ok","nok")</f>
        <v>nok</v>
      </c>
      <c r="R559" s="60" t="str">
        <f>IF(AND($B559=[1]rogério!$A560,[1]rogério!$B560=R$4),"ok","nok")</f>
        <v>nok</v>
      </c>
      <c r="S559" s="60" t="str">
        <f>IF(AND($B559=[1]rogério!$A560,[1]rogério!$B560=S$4),"ok","nok")</f>
        <v>nok</v>
      </c>
      <c r="T559" s="60" t="str">
        <f>IF(AND($B559=[1]rogério!$A560,[1]rogério!$B560=T$4),"ok","nok")</f>
        <v>ok</v>
      </c>
      <c r="U559" s="60" t="str">
        <f>IF(AND($B559=[1]rogério!$A560,[1]rogério!$B560=U$4),"ok","nok")</f>
        <v>nok</v>
      </c>
      <c r="V559" s="60" t="str">
        <f>IF(AND($B559=[1]rogério!$A560,[1]rogério!$B560=V$4),"ok","nok")</f>
        <v>nok</v>
      </c>
      <c r="W559" s="60" t="str">
        <f>IF(AND($B559=[1]rogério!$A560,[1]rogério!$B560=W$4),"ok","nok")</f>
        <v>nok</v>
      </c>
      <c r="X559" s="60" t="str">
        <f>IF(AND($B559=[1]rogério!$A560,[1]rogério!$B560=X$4),"ok","nok")</f>
        <v>nok</v>
      </c>
      <c r="Y559" s="105" t="s">
        <v>15</v>
      </c>
      <c r="Z559" s="106"/>
      <c r="AA559" s="106"/>
      <c r="AB559" s="107"/>
      <c r="AC559" s="38"/>
      <c r="AD559" s="38"/>
      <c r="AE559" s="48" t="str">
        <f t="shared" si="133"/>
        <v/>
      </c>
      <c r="AF559" s="48"/>
      <c r="AG559" s="48"/>
      <c r="AH559" s="89"/>
      <c r="AI559" s="49">
        <f t="shared" si="134"/>
        <v>0</v>
      </c>
      <c r="AJ559" s="49" t="str">
        <f t="shared" si="135"/>
        <v/>
      </c>
      <c r="AK559" s="49">
        <f t="shared" si="136"/>
        <v>0</v>
      </c>
      <c r="AL559" s="49" t="str">
        <f t="shared" si="137"/>
        <v/>
      </c>
      <c r="AM559" s="49">
        <f t="shared" si="138"/>
        <v>0</v>
      </c>
      <c r="AN559" s="49" t="str">
        <f t="shared" si="139"/>
        <v/>
      </c>
      <c r="AO559" s="49">
        <f t="shared" si="140"/>
        <v>1</v>
      </c>
      <c r="AP559" s="49" t="str">
        <f t="shared" si="141"/>
        <v/>
      </c>
      <c r="AQ559" s="49">
        <f t="shared" si="142"/>
        <v>0</v>
      </c>
      <c r="AR559" s="49" t="str">
        <f t="shared" si="143"/>
        <v/>
      </c>
    </row>
    <row r="560" spans="1:44" ht="30" customHeight="1" x14ac:dyDescent="0.35">
      <c r="A560" s="25" t="str">
        <f t="shared" si="146"/>
        <v>PT177 - PLATAFORMA DE ACESSO - GRUPO - DETALHADO
COLUNA 2PROJETO DETALHADO
ESTRUTURAS METÁLICAS</v>
      </c>
      <c r="B560" s="40" t="s">
        <v>43</v>
      </c>
      <c r="C560" s="60" t="str">
        <f>IF(AND($B560=[1]rogério!$A561,[1]rogério!$B561=C$4),"ok","nok")</f>
        <v>nok</v>
      </c>
      <c r="D560" s="60" t="str">
        <f>IF(AND($B560=[1]rogério!$A561,[1]rogério!$B561=D$4),"ok","nok")</f>
        <v>nok</v>
      </c>
      <c r="E560" s="60" t="str">
        <f>IF(AND($B560=[1]rogério!$A561,[1]rogério!$B561=E$4),"ok","nok")</f>
        <v>nok</v>
      </c>
      <c r="F560" s="60" t="str">
        <f>IF(AND($B560=[1]rogério!$A561,[1]rogério!$B561=F$4),"ok","nok")</f>
        <v>nok</v>
      </c>
      <c r="G560" s="60" t="str">
        <f>IF(AND($B560=[1]rogério!$A561,[1]rogério!$B561=G$4),"ok","nok")</f>
        <v>nok</v>
      </c>
      <c r="H560" s="60" t="str">
        <f>IF(AND($B560=[1]rogério!$A561,[1]rogério!$B561=H$4),"ok","nok")</f>
        <v>nok</v>
      </c>
      <c r="I560" s="60" t="str">
        <f>IF(AND($B560=[1]rogério!$A561,[1]rogério!$B561=I$4),"ok","nok")</f>
        <v>nok</v>
      </c>
      <c r="J560" s="60" t="str">
        <f>IF(AND($B560=[1]rogério!$A561,[1]rogério!$B561=J$4),"ok","nok")</f>
        <v>nok</v>
      </c>
      <c r="K560" s="60" t="str">
        <f>IF(AND($B560=[1]rogério!$A561,[1]rogério!$B561=K$4),"ok","nok")</f>
        <v>nok</v>
      </c>
      <c r="L560" s="60" t="str">
        <f>IF(AND($B560=[1]rogério!$A561,[1]rogério!$B561=L$4),"ok","nok")</f>
        <v>nok</v>
      </c>
      <c r="M560" s="60" t="str">
        <f>IF(AND($B560=[1]rogério!$A561,[1]rogério!$B561=M$4),"ok","nok")</f>
        <v>nok</v>
      </c>
      <c r="N560" s="60" t="str">
        <f>IF(AND($B560=[1]rogério!$A561,[1]rogério!$B561=N$4),"ok","nok")</f>
        <v>nok</v>
      </c>
      <c r="O560" s="60" t="str">
        <f>IF(AND($B560=[1]rogério!$A561,[1]rogério!$B561=O$4),"ok","nok")</f>
        <v>nok</v>
      </c>
      <c r="P560" s="60" t="str">
        <f>IF(AND($B560=[1]rogério!$A561,[1]rogério!$B561=P$4),"ok","nok")</f>
        <v>nok</v>
      </c>
      <c r="Q560" s="60" t="str">
        <f>IF(AND($B560=[1]rogério!$A561,[1]rogério!$B561=Q$4),"ok","nok")</f>
        <v>nok</v>
      </c>
      <c r="R560" s="60" t="str">
        <f>IF(AND($B560=[1]rogério!$A561,[1]rogério!$B561=R$4),"ok","nok")</f>
        <v>nok</v>
      </c>
      <c r="S560" s="60" t="str">
        <f>IF(AND($B560=[1]rogério!$A561,[1]rogério!$B561=S$4),"ok","nok")</f>
        <v>nok</v>
      </c>
      <c r="T560" s="60" t="str">
        <f>IF(AND($B560=[1]rogério!$A561,[1]rogério!$B561=T$4),"ok","nok")</f>
        <v>ok</v>
      </c>
      <c r="U560" s="60" t="str">
        <f>IF(AND($B560=[1]rogério!$A561,[1]rogério!$B561=U$4),"ok","nok")</f>
        <v>nok</v>
      </c>
      <c r="V560" s="60" t="str">
        <f>IF(AND($B560=[1]rogério!$A561,[1]rogério!$B561=V$4),"ok","nok")</f>
        <v>nok</v>
      </c>
      <c r="W560" s="60" t="str">
        <f>IF(AND($B560=[1]rogério!$A561,[1]rogério!$B561=W$4),"ok","nok")</f>
        <v>nok</v>
      </c>
      <c r="X560" s="60" t="str">
        <f>IF(AND($B560=[1]rogério!$A561,[1]rogério!$B561=X$4),"ok","nok")</f>
        <v>nok</v>
      </c>
      <c r="Y560" s="105" t="s">
        <v>15</v>
      </c>
      <c r="Z560" s="106"/>
      <c r="AA560" s="106"/>
      <c r="AB560" s="107"/>
      <c r="AC560" s="38"/>
      <c r="AD560" s="38"/>
      <c r="AE560" s="48" t="str">
        <f t="shared" si="133"/>
        <v/>
      </c>
      <c r="AF560" s="48"/>
      <c r="AG560" s="48"/>
      <c r="AH560" s="89"/>
      <c r="AI560" s="49">
        <f t="shared" si="134"/>
        <v>0</v>
      </c>
      <c r="AJ560" s="49" t="str">
        <f t="shared" si="135"/>
        <v/>
      </c>
      <c r="AK560" s="49">
        <f t="shared" si="136"/>
        <v>0</v>
      </c>
      <c r="AL560" s="49" t="str">
        <f t="shared" si="137"/>
        <v/>
      </c>
      <c r="AM560" s="49">
        <f t="shared" si="138"/>
        <v>0</v>
      </c>
      <c r="AN560" s="49" t="str">
        <f t="shared" si="139"/>
        <v/>
      </c>
      <c r="AO560" s="49">
        <f t="shared" si="140"/>
        <v>1</v>
      </c>
      <c r="AP560" s="49" t="str">
        <f t="shared" si="141"/>
        <v/>
      </c>
      <c r="AQ560" s="49">
        <f t="shared" si="142"/>
        <v>0</v>
      </c>
      <c r="AR560" s="49" t="str">
        <f t="shared" si="143"/>
        <v/>
      </c>
    </row>
    <row r="561" spans="1:44" ht="30" customHeight="1" x14ac:dyDescent="0.35">
      <c r="A561" s="25" t="str">
        <f t="shared" si="146"/>
        <v>PT177 - PLATAFORMA DE ACESSO - GRUPO - DETALHADO
COLUNA 2PROJETO DETALHADO
ESTRUTURAS METÁLICAS</v>
      </c>
      <c r="B561" s="38" t="s">
        <v>65</v>
      </c>
      <c r="C561" s="60" t="str">
        <f>IF(AND($B561=[1]rogério!$A562,[1]rogério!$B562=C$4),"ok","nok")</f>
        <v>nok</v>
      </c>
      <c r="D561" s="60" t="str">
        <f>IF(AND($B561=[1]rogério!$A562,[1]rogério!$B562=D$4),"ok","nok")</f>
        <v>nok</v>
      </c>
      <c r="E561" s="60" t="str">
        <f>IF(AND($B561=[1]rogério!$A562,[1]rogério!$B562=E$4),"ok","nok")</f>
        <v>nok</v>
      </c>
      <c r="F561" s="60" t="str">
        <f>IF(AND($B561=[1]rogério!$A562,[1]rogério!$B562=F$4),"ok","nok")</f>
        <v>nok</v>
      </c>
      <c r="G561" s="60" t="str">
        <f>IF(AND($B561=[1]rogério!$A562,[1]rogério!$B562=G$4),"ok","nok")</f>
        <v>nok</v>
      </c>
      <c r="H561" s="60" t="str">
        <f>IF(AND($B561=[1]rogério!$A562,[1]rogério!$B562=H$4),"ok","nok")</f>
        <v>nok</v>
      </c>
      <c r="I561" s="60" t="str">
        <f>IF(AND($B561=[1]rogério!$A562,[1]rogério!$B562=I$4),"ok","nok")</f>
        <v>nok</v>
      </c>
      <c r="J561" s="60" t="str">
        <f>IF(AND($B561=[1]rogério!$A562,[1]rogério!$B562=J$4),"ok","nok")</f>
        <v>nok</v>
      </c>
      <c r="K561" s="60" t="str">
        <f>IF(AND($B561=[1]rogério!$A562,[1]rogério!$B562=K$4),"ok","nok")</f>
        <v>nok</v>
      </c>
      <c r="L561" s="60" t="str">
        <f>IF(AND($B561=[1]rogério!$A562,[1]rogério!$B562=L$4),"ok","nok")</f>
        <v>nok</v>
      </c>
      <c r="M561" s="60" t="str">
        <f>IF(AND($B561=[1]rogério!$A562,[1]rogério!$B562=M$4),"ok","nok")</f>
        <v>ok</v>
      </c>
      <c r="N561" s="60" t="str">
        <f>IF(AND($B561=[1]rogério!$A562,[1]rogério!$B562=N$4),"ok","nok")</f>
        <v>nok</v>
      </c>
      <c r="O561" s="60" t="str">
        <f>IF(AND($B561=[1]rogério!$A562,[1]rogério!$B562=O$4),"ok","nok")</f>
        <v>nok</v>
      </c>
      <c r="P561" s="60" t="str">
        <f>IF(AND($B561=[1]rogério!$A562,[1]rogério!$B562=P$4),"ok","nok")</f>
        <v>nok</v>
      </c>
      <c r="Q561" s="60" t="str">
        <f>IF(AND($B561=[1]rogério!$A562,[1]rogério!$B562=Q$4),"ok","nok")</f>
        <v>nok</v>
      </c>
      <c r="R561" s="60" t="str">
        <f>IF(AND($B561=[1]rogério!$A562,[1]rogério!$B562=R$4),"ok","nok")</f>
        <v>nok</v>
      </c>
      <c r="S561" s="60" t="str">
        <f>IF(AND($B561=[1]rogério!$A562,[1]rogério!$B562=S$4),"ok","nok")</f>
        <v>nok</v>
      </c>
      <c r="T561" s="60" t="str">
        <f>IF(AND($B561=[1]rogério!$A562,[1]rogério!$B562=T$4),"ok","nok")</f>
        <v>nok</v>
      </c>
      <c r="U561" s="60" t="str">
        <f>IF(AND($B561=[1]rogério!$A562,[1]rogério!$B562=U$4),"ok","nok")</f>
        <v>nok</v>
      </c>
      <c r="V561" s="60" t="str">
        <f>IF(AND($B561=[1]rogério!$A562,[1]rogério!$B562=V$4),"ok","nok")</f>
        <v>nok</v>
      </c>
      <c r="W561" s="60" t="str">
        <f>IF(AND($B561=[1]rogério!$A562,[1]rogério!$B562=W$4),"ok","nok")</f>
        <v>nok</v>
      </c>
      <c r="X561" s="60" t="str">
        <f>IF(AND($B561=[1]rogério!$A562,[1]rogério!$B562=X$4),"ok","nok")</f>
        <v>nok</v>
      </c>
      <c r="Y561" s="105" t="s">
        <v>15</v>
      </c>
      <c r="Z561" s="106"/>
      <c r="AA561" s="106"/>
      <c r="AB561" s="107"/>
      <c r="AC561" s="38"/>
      <c r="AD561" s="38"/>
      <c r="AE561" s="48" t="str">
        <f t="shared" si="133"/>
        <v/>
      </c>
      <c r="AF561" s="48"/>
      <c r="AG561" s="48"/>
      <c r="AH561" s="89"/>
      <c r="AI561" s="49">
        <f t="shared" si="134"/>
        <v>0</v>
      </c>
      <c r="AJ561" s="49" t="str">
        <f t="shared" si="135"/>
        <v/>
      </c>
      <c r="AK561" s="49">
        <f t="shared" si="136"/>
        <v>0</v>
      </c>
      <c r="AL561" s="49" t="str">
        <f t="shared" si="137"/>
        <v/>
      </c>
      <c r="AM561" s="49">
        <f t="shared" si="138"/>
        <v>1</v>
      </c>
      <c r="AN561" s="49" t="str">
        <f t="shared" si="139"/>
        <v/>
      </c>
      <c r="AO561" s="49">
        <f t="shared" si="140"/>
        <v>0</v>
      </c>
      <c r="AP561" s="49" t="str">
        <f t="shared" si="141"/>
        <v/>
      </c>
      <c r="AQ561" s="49">
        <f t="shared" si="142"/>
        <v>0</v>
      </c>
      <c r="AR561" s="49" t="str">
        <f t="shared" si="143"/>
        <v/>
      </c>
    </row>
    <row r="562" spans="1:44" ht="30" customHeight="1" x14ac:dyDescent="0.35">
      <c r="A562" s="25" t="str">
        <f t="shared" si="146"/>
        <v>PT177 - PLATAFORMA DE ACESSO - GRUPO - DETALHADO
COLUNA 2PROJETO DETALHADO
ESTRUTURAS METÁLICAS</v>
      </c>
      <c r="B562" s="38" t="s">
        <v>66</v>
      </c>
      <c r="C562" s="60" t="str">
        <f>IF(AND($B562=[1]rogério!$A563,[1]rogério!$B563=C$4),"ok","nok")</f>
        <v>nok</v>
      </c>
      <c r="D562" s="60" t="str">
        <f>IF(AND($B562=[1]rogério!$A563,[1]rogério!$B563=D$4),"ok","nok")</f>
        <v>nok</v>
      </c>
      <c r="E562" s="60" t="str">
        <f>IF(AND($B562=[1]rogério!$A563,[1]rogério!$B563=E$4),"ok","nok")</f>
        <v>nok</v>
      </c>
      <c r="F562" s="60" t="str">
        <f>IF(AND($B562=[1]rogério!$A563,[1]rogério!$B563=F$4),"ok","nok")</f>
        <v>nok</v>
      </c>
      <c r="G562" s="60" t="str">
        <f>IF(AND($B562=[1]rogério!$A563,[1]rogério!$B563=G$4),"ok","nok")</f>
        <v>nok</v>
      </c>
      <c r="H562" s="60" t="str">
        <f>IF(AND($B562=[1]rogério!$A563,[1]rogério!$B563=H$4),"ok","nok")</f>
        <v>nok</v>
      </c>
      <c r="I562" s="60" t="str">
        <f>IF(AND($B562=[1]rogério!$A563,[1]rogério!$B563=I$4),"ok","nok")</f>
        <v>nok</v>
      </c>
      <c r="J562" s="60" t="str">
        <f>IF(AND($B562=[1]rogério!$A563,[1]rogério!$B563=J$4),"ok","nok")</f>
        <v>nok</v>
      </c>
      <c r="K562" s="60" t="str">
        <f>IF(AND($B562=[1]rogério!$A563,[1]rogério!$B563=K$4),"ok","nok")</f>
        <v>nok</v>
      </c>
      <c r="L562" s="60" t="str">
        <f>IF(AND($B562=[1]rogério!$A563,[1]rogério!$B563=L$4),"ok","nok")</f>
        <v>nok</v>
      </c>
      <c r="M562" s="60" t="str">
        <f>IF(AND($B562=[1]rogério!$A563,[1]rogério!$B563=M$4),"ok","nok")</f>
        <v>nok</v>
      </c>
      <c r="N562" s="60" t="str">
        <f>IF(AND($B562=[1]rogério!$A563,[1]rogério!$B563=N$4),"ok","nok")</f>
        <v>ok</v>
      </c>
      <c r="O562" s="60" t="str">
        <f>IF(AND($B562=[1]rogério!$A563,[1]rogério!$B563=O$4),"ok","nok")</f>
        <v>nok</v>
      </c>
      <c r="P562" s="60" t="str">
        <f>IF(AND($B562=[1]rogério!$A563,[1]rogério!$B563=P$4),"ok","nok")</f>
        <v>nok</v>
      </c>
      <c r="Q562" s="60" t="str">
        <f>IF(AND($B562=[1]rogério!$A563,[1]rogério!$B563=Q$4),"ok","nok")</f>
        <v>nok</v>
      </c>
      <c r="R562" s="60" t="str">
        <f>IF(AND($B562=[1]rogério!$A563,[1]rogério!$B563=R$4),"ok","nok")</f>
        <v>nok</v>
      </c>
      <c r="S562" s="60" t="str">
        <f>IF(AND($B562=[1]rogério!$A563,[1]rogério!$B563=S$4),"ok","nok")</f>
        <v>nok</v>
      </c>
      <c r="T562" s="60" t="str">
        <f>IF(AND($B562=[1]rogério!$A563,[1]rogério!$B563=T$4),"ok","nok")</f>
        <v>nok</v>
      </c>
      <c r="U562" s="60" t="str">
        <f>IF(AND($B562=[1]rogério!$A563,[1]rogério!$B563=U$4),"ok","nok")</f>
        <v>nok</v>
      </c>
      <c r="V562" s="60" t="str">
        <f>IF(AND($B562=[1]rogério!$A563,[1]rogério!$B563=V$4),"ok","nok")</f>
        <v>nok</v>
      </c>
      <c r="W562" s="60" t="str">
        <f>IF(AND($B562=[1]rogério!$A563,[1]rogério!$B563=W$4),"ok","nok")</f>
        <v>nok</v>
      </c>
      <c r="X562" s="60" t="str">
        <f>IF(AND($B562=[1]rogério!$A563,[1]rogério!$B563=X$4),"ok","nok")</f>
        <v>nok</v>
      </c>
      <c r="Y562" s="105" t="s">
        <v>15</v>
      </c>
      <c r="Z562" s="106"/>
      <c r="AA562" s="106"/>
      <c r="AB562" s="107"/>
      <c r="AC562" s="38"/>
      <c r="AD562" s="38"/>
      <c r="AE562" s="48" t="str">
        <f t="shared" si="133"/>
        <v/>
      </c>
      <c r="AF562" s="48"/>
      <c r="AG562" s="48"/>
      <c r="AH562" s="89"/>
      <c r="AI562" s="49">
        <f t="shared" si="134"/>
        <v>0</v>
      </c>
      <c r="AJ562" s="49" t="str">
        <f t="shared" si="135"/>
        <v/>
      </c>
      <c r="AK562" s="49">
        <f t="shared" si="136"/>
        <v>0</v>
      </c>
      <c r="AL562" s="49" t="str">
        <f t="shared" si="137"/>
        <v/>
      </c>
      <c r="AM562" s="49">
        <f t="shared" si="138"/>
        <v>1</v>
      </c>
      <c r="AN562" s="49" t="str">
        <f t="shared" si="139"/>
        <v/>
      </c>
      <c r="AO562" s="49">
        <f t="shared" si="140"/>
        <v>0</v>
      </c>
      <c r="AP562" s="49" t="str">
        <f t="shared" si="141"/>
        <v/>
      </c>
      <c r="AQ562" s="49">
        <f t="shared" si="142"/>
        <v>0</v>
      </c>
      <c r="AR562" s="49" t="str">
        <f t="shared" si="143"/>
        <v/>
      </c>
    </row>
    <row r="563" spans="1:44" ht="30" customHeight="1" x14ac:dyDescent="0.35">
      <c r="A563" s="25"/>
      <c r="B563" s="39" t="s">
        <v>67</v>
      </c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108"/>
      <c r="Z563" s="109"/>
      <c r="AA563" s="109"/>
      <c r="AB563" s="110"/>
      <c r="AC563" s="38"/>
      <c r="AD563" s="38"/>
      <c r="AE563" s="48" t="str">
        <f t="shared" si="133"/>
        <v/>
      </c>
      <c r="AF563" s="48"/>
      <c r="AG563" s="48"/>
      <c r="AH563" s="89"/>
      <c r="AI563" s="49">
        <f t="shared" si="134"/>
        <v>0</v>
      </c>
      <c r="AJ563" s="49" t="str">
        <f t="shared" si="135"/>
        <v/>
      </c>
      <c r="AK563" s="49">
        <f t="shared" si="136"/>
        <v>0</v>
      </c>
      <c r="AL563" s="49" t="str">
        <f t="shared" si="137"/>
        <v/>
      </c>
      <c r="AM563" s="49">
        <f t="shared" si="138"/>
        <v>0</v>
      </c>
      <c r="AN563" s="49" t="str">
        <f t="shared" si="139"/>
        <v/>
      </c>
      <c r="AO563" s="49">
        <f t="shared" si="140"/>
        <v>0</v>
      </c>
      <c r="AP563" s="49" t="str">
        <f t="shared" si="141"/>
        <v/>
      </c>
      <c r="AQ563" s="49">
        <f t="shared" si="142"/>
        <v>0</v>
      </c>
      <c r="AR563" s="49" t="str">
        <f t="shared" si="143"/>
        <v/>
      </c>
    </row>
    <row r="564" spans="1:44" ht="30" customHeight="1" x14ac:dyDescent="0.35">
      <c r="A564" s="25" t="str">
        <f t="shared" si="146"/>
        <v>PT177 - PLATAFORMA DE ACESSO - GRUPO - DETALHADO
COLUNA 2PROJETO DETALHADO
ESTRUTURAS METÁLICAS</v>
      </c>
      <c r="B564" s="40" t="s">
        <v>49</v>
      </c>
      <c r="C564" s="60" t="str">
        <f>IF(AND($B564=[1]rogério!$A565,[1]rogério!$B565=C$4),"ok","nok")</f>
        <v>nok</v>
      </c>
      <c r="D564" s="60" t="str">
        <f>IF(AND($B564=[1]rogério!$A565,[1]rogério!$B565=D$4),"ok","nok")</f>
        <v>nok</v>
      </c>
      <c r="E564" s="60" t="str">
        <f>IF(AND($B564=[1]rogério!$A565,[1]rogério!$B565=E$4),"ok","nok")</f>
        <v>nok</v>
      </c>
      <c r="F564" s="60" t="str">
        <f>IF(AND($B564=[1]rogério!$A565,[1]rogério!$B565=F$4),"ok","nok")</f>
        <v>nok</v>
      </c>
      <c r="G564" s="60" t="str">
        <f>IF(AND($B564=[1]rogério!$A565,[1]rogério!$B565=G$4),"ok","nok")</f>
        <v>nok</v>
      </c>
      <c r="H564" s="60" t="str">
        <f>IF(AND($B564=[1]rogério!$A565,[1]rogério!$B565=H$4),"ok","nok")</f>
        <v>nok</v>
      </c>
      <c r="I564" s="60" t="str">
        <f>IF(AND($B564=[1]rogério!$A565,[1]rogério!$B565=I$4),"ok","nok")</f>
        <v>nok</v>
      </c>
      <c r="J564" s="60" t="str">
        <f>IF(AND($B564=[1]rogério!$A565,[1]rogério!$B565=J$4),"ok","nok")</f>
        <v>nok</v>
      </c>
      <c r="K564" s="60" t="str">
        <f>IF(AND($B564=[1]rogério!$A565,[1]rogério!$B565=K$4),"ok","nok")</f>
        <v>nok</v>
      </c>
      <c r="L564" s="60" t="str">
        <f>IF(AND($B564=[1]rogério!$A565,[1]rogério!$B565=L$4),"ok","nok")</f>
        <v>nok</v>
      </c>
      <c r="M564" s="60" t="str">
        <f>IF(AND($B564=[1]rogério!$A565,[1]rogério!$B565=M$4),"ok","nok")</f>
        <v>nok</v>
      </c>
      <c r="N564" s="60" t="str">
        <f>IF(AND($B564=[1]rogério!$A565,[1]rogério!$B565=N$4),"ok","nok")</f>
        <v>ok</v>
      </c>
      <c r="O564" s="60" t="str">
        <f>IF(AND($B564=[1]rogério!$A565,[1]rogério!$B565=O$4),"ok","nok")</f>
        <v>nok</v>
      </c>
      <c r="P564" s="60" t="str">
        <f>IF(AND($B564=[1]rogério!$A565,[1]rogério!$B565=P$4),"ok","nok")</f>
        <v>nok</v>
      </c>
      <c r="Q564" s="60" t="str">
        <f>IF(AND($B564=[1]rogério!$A565,[1]rogério!$B565=Q$4),"ok","nok")</f>
        <v>nok</v>
      </c>
      <c r="R564" s="60" t="str">
        <f>IF(AND($B564=[1]rogério!$A565,[1]rogério!$B565=R$4),"ok","nok")</f>
        <v>nok</v>
      </c>
      <c r="S564" s="60" t="str">
        <f>IF(AND($B564=[1]rogério!$A565,[1]rogério!$B565=S$4),"ok","nok")</f>
        <v>nok</v>
      </c>
      <c r="T564" s="60" t="str">
        <f>IF(AND($B564=[1]rogério!$A565,[1]rogério!$B565=T$4),"ok","nok")</f>
        <v>nok</v>
      </c>
      <c r="U564" s="60" t="str">
        <f>IF(AND($B564=[1]rogério!$A565,[1]rogério!$B565=U$4),"ok","nok")</f>
        <v>nok</v>
      </c>
      <c r="V564" s="60" t="str">
        <f>IF(AND($B564=[1]rogério!$A565,[1]rogério!$B565=V$4),"ok","nok")</f>
        <v>nok</v>
      </c>
      <c r="W564" s="60" t="str">
        <f>IF(AND($B564=[1]rogério!$A565,[1]rogério!$B565=W$4),"ok","nok")</f>
        <v>nok</v>
      </c>
      <c r="X564" s="60" t="str">
        <f>IF(AND($B564=[1]rogério!$A565,[1]rogério!$B565=X$4),"ok","nok")</f>
        <v>nok</v>
      </c>
      <c r="Y564" s="105" t="s">
        <v>15</v>
      </c>
      <c r="Z564" s="106"/>
      <c r="AA564" s="106"/>
      <c r="AB564" s="107"/>
      <c r="AC564" s="38"/>
      <c r="AD564" s="38"/>
      <c r="AE564" s="48" t="str">
        <f t="shared" si="133"/>
        <v/>
      </c>
      <c r="AF564" s="48"/>
      <c r="AG564" s="48"/>
      <c r="AH564" s="89"/>
      <c r="AI564" s="49">
        <f t="shared" si="134"/>
        <v>0</v>
      </c>
      <c r="AJ564" s="49" t="str">
        <f t="shared" si="135"/>
        <v/>
      </c>
      <c r="AK564" s="49">
        <f t="shared" si="136"/>
        <v>0</v>
      </c>
      <c r="AL564" s="49" t="str">
        <f t="shared" si="137"/>
        <v/>
      </c>
      <c r="AM564" s="49">
        <f t="shared" si="138"/>
        <v>1</v>
      </c>
      <c r="AN564" s="49" t="str">
        <f t="shared" si="139"/>
        <v/>
      </c>
      <c r="AO564" s="49">
        <f t="shared" si="140"/>
        <v>0</v>
      </c>
      <c r="AP564" s="49" t="str">
        <f t="shared" si="141"/>
        <v/>
      </c>
      <c r="AQ564" s="49">
        <f t="shared" si="142"/>
        <v>0</v>
      </c>
      <c r="AR564" s="49" t="str">
        <f t="shared" si="143"/>
        <v/>
      </c>
    </row>
    <row r="565" spans="1:44" ht="30" customHeight="1" x14ac:dyDescent="0.35">
      <c r="A565" s="25" t="str">
        <f t="shared" si="146"/>
        <v>PT177 - PLATAFORMA DE ACESSO - GRUPO - DETALHADO
COLUNA 2PROJETO DETALHADO
ESTRUTURAS METÁLICAS</v>
      </c>
      <c r="B565" s="40" t="s">
        <v>19</v>
      </c>
      <c r="C565" s="60" t="str">
        <f>IF(AND($B565=[1]rogério!$A566,[1]rogério!$B566=C$4),"ok","nok")</f>
        <v>nok</v>
      </c>
      <c r="D565" s="60" t="str">
        <f>IF(AND($B565=[1]rogério!$A566,[1]rogério!$B566=D$4),"ok","nok")</f>
        <v>nok</v>
      </c>
      <c r="E565" s="60" t="str">
        <f>IF(AND($B565=[1]rogério!$A566,[1]rogério!$B566=E$4),"ok","nok")</f>
        <v>nok</v>
      </c>
      <c r="F565" s="60" t="str">
        <f>IF(AND($B565=[1]rogério!$A566,[1]rogério!$B566=F$4),"ok","nok")</f>
        <v>nok</v>
      </c>
      <c r="G565" s="60" t="str">
        <f>IF(AND($B565=[1]rogério!$A566,[1]rogério!$B566=G$4),"ok","nok")</f>
        <v>nok</v>
      </c>
      <c r="H565" s="60" t="str">
        <f>IF(AND($B565=[1]rogério!$A566,[1]rogério!$B566=H$4),"ok","nok")</f>
        <v>nok</v>
      </c>
      <c r="I565" s="60" t="str">
        <f>IF(AND($B565=[1]rogério!$A566,[1]rogério!$B566=I$4),"ok","nok")</f>
        <v>nok</v>
      </c>
      <c r="J565" s="60" t="str">
        <f>IF(AND($B565=[1]rogério!$A566,[1]rogério!$B566=J$4),"ok","nok")</f>
        <v>nok</v>
      </c>
      <c r="K565" s="60" t="str">
        <f>IF(AND($B565=[1]rogério!$A566,[1]rogério!$B566=K$4),"ok","nok")</f>
        <v>nok</v>
      </c>
      <c r="L565" s="60" t="str">
        <f>IF(AND($B565=[1]rogério!$A566,[1]rogério!$B566=L$4),"ok","nok")</f>
        <v>nok</v>
      </c>
      <c r="M565" s="60" t="str">
        <f>IF(AND($B565=[1]rogério!$A566,[1]rogério!$B566=M$4),"ok","nok")</f>
        <v>nok</v>
      </c>
      <c r="N565" s="60" t="str">
        <f>IF(AND($B565=[1]rogério!$A566,[1]rogério!$B566=N$4),"ok","nok")</f>
        <v>nok</v>
      </c>
      <c r="O565" s="60" t="str">
        <f>IF(AND($B565=[1]rogério!$A566,[1]rogério!$B566=O$4),"ok","nok")</f>
        <v>nok</v>
      </c>
      <c r="P565" s="60" t="str">
        <f>IF(AND($B565=[1]rogério!$A566,[1]rogério!$B566=P$4),"ok","nok")</f>
        <v>nok</v>
      </c>
      <c r="Q565" s="60" t="str">
        <f>IF(AND($B565=[1]rogério!$A566,[1]rogério!$B566=Q$4),"ok","nok")</f>
        <v>nok</v>
      </c>
      <c r="R565" s="60" t="str">
        <f>IF(AND($B565=[1]rogério!$A566,[1]rogério!$B566=R$4),"ok","nok")</f>
        <v>nok</v>
      </c>
      <c r="S565" s="60" t="str">
        <f>IF(AND($B565=[1]rogério!$A566,[1]rogério!$B566=S$4),"ok","nok")</f>
        <v>ok</v>
      </c>
      <c r="T565" s="60" t="str">
        <f>IF(AND($B565=[1]rogério!$A566,[1]rogério!$B566=T$4),"ok","nok")</f>
        <v>nok</v>
      </c>
      <c r="U565" s="60" t="str">
        <f>IF(AND($B565=[1]rogério!$A566,[1]rogério!$B566=U$4),"ok","nok")</f>
        <v>nok</v>
      </c>
      <c r="V565" s="60" t="str">
        <f>IF(AND($B565=[1]rogério!$A566,[1]rogério!$B566=V$4),"ok","nok")</f>
        <v>nok</v>
      </c>
      <c r="W565" s="60" t="str">
        <f>IF(AND($B565=[1]rogério!$A566,[1]rogério!$B566=W$4),"ok","nok")</f>
        <v>nok</v>
      </c>
      <c r="X565" s="60" t="str">
        <f>IF(AND($B565=[1]rogério!$A566,[1]rogério!$B566=X$4),"ok","nok")</f>
        <v>nok</v>
      </c>
      <c r="Y565" s="105" t="s">
        <v>15</v>
      </c>
      <c r="Z565" s="106"/>
      <c r="AA565" s="106"/>
      <c r="AB565" s="107"/>
      <c r="AC565" s="38"/>
      <c r="AD565" s="38"/>
      <c r="AE565" s="48" t="str">
        <f t="shared" si="133"/>
        <v/>
      </c>
      <c r="AF565" s="48"/>
      <c r="AG565" s="48"/>
      <c r="AH565" s="89"/>
      <c r="AI565" s="49">
        <f t="shared" si="134"/>
        <v>0</v>
      </c>
      <c r="AJ565" s="49" t="str">
        <f t="shared" si="135"/>
        <v/>
      </c>
      <c r="AK565" s="49">
        <f t="shared" si="136"/>
        <v>0</v>
      </c>
      <c r="AL565" s="49" t="str">
        <f t="shared" si="137"/>
        <v/>
      </c>
      <c r="AM565" s="49">
        <f t="shared" si="138"/>
        <v>0</v>
      </c>
      <c r="AN565" s="49" t="str">
        <f t="shared" si="139"/>
        <v/>
      </c>
      <c r="AO565" s="49">
        <f t="shared" si="140"/>
        <v>1</v>
      </c>
      <c r="AP565" s="49" t="str">
        <f t="shared" si="141"/>
        <v/>
      </c>
      <c r="AQ565" s="49">
        <f t="shared" si="142"/>
        <v>0</v>
      </c>
      <c r="AR565" s="49" t="str">
        <f t="shared" si="143"/>
        <v/>
      </c>
    </row>
    <row r="566" spans="1:44" ht="30" customHeight="1" x14ac:dyDescent="0.35">
      <c r="A566" s="25" t="str">
        <f t="shared" si="146"/>
        <v>PT177 - PLATAFORMA DE ACESSO - GRUPO - DETALHADO
COLUNA 2PROJETO DETALHADO
ESTRUTURAS METÁLICAS</v>
      </c>
      <c r="B566" s="40" t="s">
        <v>42</v>
      </c>
      <c r="C566" s="60" t="str">
        <f>IF(AND($B566=[1]rogério!$A567,[1]rogério!$B567=C$4),"ok","nok")</f>
        <v>nok</v>
      </c>
      <c r="D566" s="60" t="str">
        <f>IF(AND($B566=[1]rogério!$A567,[1]rogério!$B567=D$4),"ok","nok")</f>
        <v>nok</v>
      </c>
      <c r="E566" s="60" t="str">
        <f>IF(AND($B566=[1]rogério!$A567,[1]rogério!$B567=E$4),"ok","nok")</f>
        <v>nok</v>
      </c>
      <c r="F566" s="60" t="str">
        <f>IF(AND($B566=[1]rogério!$A567,[1]rogério!$B567=F$4),"ok","nok")</f>
        <v>nok</v>
      </c>
      <c r="G566" s="60" t="str">
        <f>IF(AND($B566=[1]rogério!$A567,[1]rogério!$B567=G$4),"ok","nok")</f>
        <v>nok</v>
      </c>
      <c r="H566" s="60" t="str">
        <f>IF(AND($B566=[1]rogério!$A567,[1]rogério!$B567=H$4),"ok","nok")</f>
        <v>nok</v>
      </c>
      <c r="I566" s="60" t="str">
        <f>IF(AND($B566=[1]rogério!$A567,[1]rogério!$B567=I$4),"ok","nok")</f>
        <v>nok</v>
      </c>
      <c r="J566" s="60" t="str">
        <f>IF(AND($B566=[1]rogério!$A567,[1]rogério!$B567=J$4),"ok","nok")</f>
        <v>nok</v>
      </c>
      <c r="K566" s="60" t="str">
        <f>IF(AND($B566=[1]rogério!$A567,[1]rogério!$B567=K$4),"ok","nok")</f>
        <v>nok</v>
      </c>
      <c r="L566" s="60" t="str">
        <f>IF(AND($B566=[1]rogério!$A567,[1]rogério!$B567=L$4),"ok","nok")</f>
        <v>nok</v>
      </c>
      <c r="M566" s="60" t="str">
        <f>IF(AND($B566=[1]rogério!$A567,[1]rogério!$B567=M$4),"ok","nok")</f>
        <v>nok</v>
      </c>
      <c r="N566" s="60" t="str">
        <f>IF(AND($B566=[1]rogério!$A567,[1]rogério!$B567=N$4),"ok","nok")</f>
        <v>nok</v>
      </c>
      <c r="O566" s="60" t="str">
        <f>IF(AND($B566=[1]rogério!$A567,[1]rogério!$B567=O$4),"ok","nok")</f>
        <v>nok</v>
      </c>
      <c r="P566" s="60" t="str">
        <f>IF(AND($B566=[1]rogério!$A567,[1]rogério!$B567=P$4),"ok","nok")</f>
        <v>nok</v>
      </c>
      <c r="Q566" s="60" t="str">
        <f>IF(AND($B566=[1]rogério!$A567,[1]rogério!$B567=Q$4),"ok","nok")</f>
        <v>nok</v>
      </c>
      <c r="R566" s="60" t="str">
        <f>IF(AND($B566=[1]rogério!$A567,[1]rogério!$B567=R$4),"ok","nok")</f>
        <v>nok</v>
      </c>
      <c r="S566" s="60" t="str">
        <f>IF(AND($B566=[1]rogério!$A567,[1]rogério!$B567=S$4),"ok","nok")</f>
        <v>nok</v>
      </c>
      <c r="T566" s="60" t="str">
        <f>IF(AND($B566=[1]rogério!$A567,[1]rogério!$B567=T$4),"ok","nok")</f>
        <v>nok</v>
      </c>
      <c r="U566" s="60" t="str">
        <f>IF(AND($B566=[1]rogério!$A567,[1]rogério!$B567=U$4),"ok","nok")</f>
        <v>nok</v>
      </c>
      <c r="V566" s="60" t="str">
        <f>IF(AND($B566=[1]rogério!$A567,[1]rogério!$B567=V$4),"ok","nok")</f>
        <v>ok</v>
      </c>
      <c r="W566" s="60" t="str">
        <f>IF(AND($B566=[1]rogério!$A567,[1]rogério!$B567=W$4),"ok","nok")</f>
        <v>nok</v>
      </c>
      <c r="X566" s="60" t="str">
        <f>IF(AND($B566=[1]rogério!$A567,[1]rogério!$B567=X$4),"ok","nok")</f>
        <v>nok</v>
      </c>
      <c r="Y566" s="105" t="s">
        <v>15</v>
      </c>
      <c r="Z566" s="106"/>
      <c r="AA566" s="106"/>
      <c r="AB566" s="107"/>
      <c r="AC566" s="38"/>
      <c r="AD566" s="38"/>
      <c r="AE566" s="48" t="str">
        <f t="shared" si="133"/>
        <v/>
      </c>
      <c r="AF566" s="48"/>
      <c r="AG566" s="48"/>
      <c r="AH566" s="89"/>
      <c r="AI566" s="49">
        <f t="shared" si="134"/>
        <v>0</v>
      </c>
      <c r="AJ566" s="49" t="str">
        <f t="shared" si="135"/>
        <v/>
      </c>
      <c r="AK566" s="49">
        <f t="shared" si="136"/>
        <v>0</v>
      </c>
      <c r="AL566" s="49" t="str">
        <f t="shared" si="137"/>
        <v/>
      </c>
      <c r="AM566" s="49">
        <f t="shared" si="138"/>
        <v>0</v>
      </c>
      <c r="AN566" s="49" t="str">
        <f t="shared" si="139"/>
        <v/>
      </c>
      <c r="AO566" s="49">
        <f t="shared" si="140"/>
        <v>1</v>
      </c>
      <c r="AP566" s="49" t="str">
        <f t="shared" si="141"/>
        <v/>
      </c>
      <c r="AQ566" s="49">
        <f t="shared" si="142"/>
        <v>0</v>
      </c>
      <c r="AR566" s="49" t="str">
        <f t="shared" si="143"/>
        <v/>
      </c>
    </row>
    <row r="567" spans="1:44" ht="30" customHeight="1" x14ac:dyDescent="0.35">
      <c r="A567" s="25" t="str">
        <f t="shared" si="146"/>
        <v>PT177 - PLATAFORMA DE ACESSO - GRUPO - DETALHADO
COLUNA 2PROJETO DETALHADO
ESTRUTURAS METÁLICAS</v>
      </c>
      <c r="B567" s="40" t="s">
        <v>43</v>
      </c>
      <c r="C567" s="60" t="str">
        <f>IF(AND($B567=[1]rogério!$A568,[1]rogério!$B568=C$4),"ok","nok")</f>
        <v>nok</v>
      </c>
      <c r="D567" s="60" t="str">
        <f>IF(AND($B567=[1]rogério!$A568,[1]rogério!$B568=D$4),"ok","nok")</f>
        <v>nok</v>
      </c>
      <c r="E567" s="60" t="str">
        <f>IF(AND($B567=[1]rogério!$A568,[1]rogério!$B568=E$4),"ok","nok")</f>
        <v>nok</v>
      </c>
      <c r="F567" s="60" t="str">
        <f>IF(AND($B567=[1]rogério!$A568,[1]rogério!$B568=F$4),"ok","nok")</f>
        <v>nok</v>
      </c>
      <c r="G567" s="60" t="str">
        <f>IF(AND($B567=[1]rogério!$A568,[1]rogério!$B568=G$4),"ok","nok")</f>
        <v>nok</v>
      </c>
      <c r="H567" s="60" t="str">
        <f>IF(AND($B567=[1]rogério!$A568,[1]rogério!$B568=H$4),"ok","nok")</f>
        <v>nok</v>
      </c>
      <c r="I567" s="60" t="str">
        <f>IF(AND($B567=[1]rogério!$A568,[1]rogério!$B568=I$4),"ok","nok")</f>
        <v>nok</v>
      </c>
      <c r="J567" s="60" t="str">
        <f>IF(AND($B567=[1]rogério!$A568,[1]rogério!$B568=J$4),"ok","nok")</f>
        <v>nok</v>
      </c>
      <c r="K567" s="60" t="str">
        <f>IF(AND($B567=[1]rogério!$A568,[1]rogério!$B568=K$4),"ok","nok")</f>
        <v>nok</v>
      </c>
      <c r="L567" s="60" t="str">
        <f>IF(AND($B567=[1]rogério!$A568,[1]rogério!$B568=L$4),"ok","nok")</f>
        <v>nok</v>
      </c>
      <c r="M567" s="60" t="str">
        <f>IF(AND($B567=[1]rogério!$A568,[1]rogério!$B568=M$4),"ok","nok")</f>
        <v>nok</v>
      </c>
      <c r="N567" s="60" t="str">
        <f>IF(AND($B567=[1]rogério!$A568,[1]rogério!$B568=N$4),"ok","nok")</f>
        <v>nok</v>
      </c>
      <c r="O567" s="60" t="str">
        <f>IF(AND($B567=[1]rogério!$A568,[1]rogério!$B568=O$4),"ok","nok")</f>
        <v>nok</v>
      </c>
      <c r="P567" s="60" t="str">
        <f>IF(AND($B567=[1]rogério!$A568,[1]rogério!$B568=P$4),"ok","nok")</f>
        <v>nok</v>
      </c>
      <c r="Q567" s="60" t="str">
        <f>IF(AND($B567=[1]rogério!$A568,[1]rogério!$B568=Q$4),"ok","nok")</f>
        <v>nok</v>
      </c>
      <c r="R567" s="60" t="str">
        <f>IF(AND($B567=[1]rogério!$A568,[1]rogério!$B568=R$4),"ok","nok")</f>
        <v>nok</v>
      </c>
      <c r="S567" s="60" t="str">
        <f>IF(AND($B567=[1]rogério!$A568,[1]rogério!$B568=S$4),"ok","nok")</f>
        <v>nok</v>
      </c>
      <c r="T567" s="60" t="str">
        <f>IF(AND($B567=[1]rogério!$A568,[1]rogério!$B568=T$4),"ok","nok")</f>
        <v>nok</v>
      </c>
      <c r="U567" s="60" t="str">
        <f>IF(AND($B567=[1]rogério!$A568,[1]rogério!$B568=U$4),"ok","nok")</f>
        <v>nok</v>
      </c>
      <c r="V567" s="60" t="str">
        <f>IF(AND($B567=[1]rogério!$A568,[1]rogério!$B568=V$4),"ok","nok")</f>
        <v>ok</v>
      </c>
      <c r="W567" s="60" t="str">
        <f>IF(AND($B567=[1]rogério!$A568,[1]rogério!$B568=W$4),"ok","nok")</f>
        <v>nok</v>
      </c>
      <c r="X567" s="60" t="str">
        <f>IF(AND($B567=[1]rogério!$A568,[1]rogério!$B568=X$4),"ok","nok")</f>
        <v>nok</v>
      </c>
      <c r="Y567" s="105" t="s">
        <v>15</v>
      </c>
      <c r="Z567" s="106"/>
      <c r="AA567" s="106"/>
      <c r="AB567" s="107"/>
      <c r="AC567" s="38"/>
      <c r="AD567" s="38"/>
      <c r="AE567" s="48" t="str">
        <f t="shared" si="133"/>
        <v/>
      </c>
      <c r="AF567" s="48"/>
      <c r="AG567" s="48"/>
      <c r="AH567" s="89"/>
      <c r="AI567" s="49">
        <f t="shared" si="134"/>
        <v>0</v>
      </c>
      <c r="AJ567" s="49" t="str">
        <f t="shared" si="135"/>
        <v/>
      </c>
      <c r="AK567" s="49">
        <f t="shared" si="136"/>
        <v>0</v>
      </c>
      <c r="AL567" s="49" t="str">
        <f t="shared" si="137"/>
        <v/>
      </c>
      <c r="AM567" s="49">
        <f t="shared" si="138"/>
        <v>0</v>
      </c>
      <c r="AN567" s="49" t="str">
        <f t="shared" si="139"/>
        <v/>
      </c>
      <c r="AO567" s="49">
        <f t="shared" si="140"/>
        <v>1</v>
      </c>
      <c r="AP567" s="49" t="str">
        <f t="shared" si="141"/>
        <v/>
      </c>
      <c r="AQ567" s="49">
        <f t="shared" si="142"/>
        <v>0</v>
      </c>
      <c r="AR567" s="49" t="str">
        <f t="shared" si="143"/>
        <v/>
      </c>
    </row>
    <row r="568" spans="1:44" ht="30" customHeight="1" x14ac:dyDescent="0.35">
      <c r="A568" s="25" t="str">
        <f t="shared" si="146"/>
        <v>PT177 - PLATAFORMA DE ACESSO - GRUPO - DETALHADO
COLUNA 2PROJETO DETALHADO
ESTRUTURAS METÁLICAS</v>
      </c>
      <c r="B568" s="38" t="s">
        <v>92</v>
      </c>
      <c r="C568" s="60" t="str">
        <f>IF(AND($B568=[1]rogério!$A569,[1]rogério!$B569=C$4),"ok","nok")</f>
        <v>nok</v>
      </c>
      <c r="D568" s="60" t="str">
        <f>IF(AND($B568=[1]rogério!$A569,[1]rogério!$B569=D$4),"ok","nok")</f>
        <v>nok</v>
      </c>
      <c r="E568" s="60" t="str">
        <f>IF(AND($B568=[1]rogério!$A569,[1]rogério!$B569=E$4),"ok","nok")</f>
        <v>nok</v>
      </c>
      <c r="F568" s="60" t="str">
        <f>IF(AND($B568=[1]rogério!$A569,[1]rogério!$B569=F$4),"ok","nok")</f>
        <v>nok</v>
      </c>
      <c r="G568" s="60" t="str">
        <f>IF(AND($B568=[1]rogério!$A569,[1]rogério!$B569=G$4),"ok","nok")</f>
        <v>nok</v>
      </c>
      <c r="H568" s="60" t="str">
        <f>IF(AND($B568=[1]rogério!$A569,[1]rogério!$B569=H$4),"ok","nok")</f>
        <v>nok</v>
      </c>
      <c r="I568" s="60" t="str">
        <f>IF(AND($B568=[1]rogério!$A569,[1]rogério!$B569=I$4),"ok","nok")</f>
        <v>nok</v>
      </c>
      <c r="J568" s="60" t="str">
        <f>IF(AND($B568=[1]rogério!$A569,[1]rogério!$B569=J$4),"ok","nok")</f>
        <v>nok</v>
      </c>
      <c r="K568" s="60" t="str">
        <f>IF(AND($B568=[1]rogério!$A569,[1]rogério!$B569=K$4),"ok","nok")</f>
        <v>nok</v>
      </c>
      <c r="L568" s="60" t="str">
        <f>IF(AND($B568=[1]rogério!$A569,[1]rogério!$B569=L$4),"ok","nok")</f>
        <v>nok</v>
      </c>
      <c r="M568" s="60" t="str">
        <f>IF(AND($B568=[1]rogério!$A569,[1]rogério!$B569=M$4),"ok","nok")</f>
        <v>nok</v>
      </c>
      <c r="N568" s="60" t="str">
        <f>IF(AND($B568=[1]rogério!$A569,[1]rogério!$B569=N$4),"ok","nok")</f>
        <v>nok</v>
      </c>
      <c r="O568" s="60" t="str">
        <f>IF(AND($B568=[1]rogério!$A569,[1]rogério!$B569=O$4),"ok","nok")</f>
        <v>ok</v>
      </c>
      <c r="P568" s="60" t="str">
        <f>IF(AND($B568=[1]rogério!$A569,[1]rogério!$B569=P$4),"ok","nok")</f>
        <v>nok</v>
      </c>
      <c r="Q568" s="60" t="str">
        <f>IF(AND($B568=[1]rogério!$A569,[1]rogério!$B569=Q$4),"ok","nok")</f>
        <v>nok</v>
      </c>
      <c r="R568" s="60" t="str">
        <f>IF(AND($B568=[1]rogério!$A569,[1]rogério!$B569=R$4),"ok","nok")</f>
        <v>nok</v>
      </c>
      <c r="S568" s="60" t="str">
        <f>IF(AND($B568=[1]rogério!$A569,[1]rogério!$B569=S$4),"ok","nok")</f>
        <v>nok</v>
      </c>
      <c r="T568" s="60" t="str">
        <f>IF(AND($B568=[1]rogério!$A569,[1]rogério!$B569=T$4),"ok","nok")</f>
        <v>nok</v>
      </c>
      <c r="U568" s="60" t="str">
        <f>IF(AND($B568=[1]rogério!$A569,[1]rogério!$B569=U$4),"ok","nok")</f>
        <v>nok</v>
      </c>
      <c r="V568" s="60" t="str">
        <f>IF(AND($B568=[1]rogério!$A569,[1]rogério!$B569=V$4),"ok","nok")</f>
        <v>nok</v>
      </c>
      <c r="W568" s="60" t="str">
        <f>IF(AND($B568=[1]rogério!$A569,[1]rogério!$B569=W$4),"ok","nok")</f>
        <v>nok</v>
      </c>
      <c r="X568" s="60" t="str">
        <f>IF(AND($B568=[1]rogério!$A569,[1]rogério!$B569=X$4),"ok","nok")</f>
        <v>nok</v>
      </c>
      <c r="Y568" s="105" t="s">
        <v>15</v>
      </c>
      <c r="Z568" s="106"/>
      <c r="AA568" s="106"/>
      <c r="AB568" s="107"/>
      <c r="AC568" s="38"/>
      <c r="AD568" s="38"/>
      <c r="AE568" s="48" t="str">
        <f t="shared" si="133"/>
        <v/>
      </c>
      <c r="AF568" s="48"/>
      <c r="AG568" s="48"/>
      <c r="AH568" s="89"/>
      <c r="AI568" s="49">
        <f t="shared" si="134"/>
        <v>0</v>
      </c>
      <c r="AJ568" s="49" t="str">
        <f t="shared" si="135"/>
        <v/>
      </c>
      <c r="AK568" s="49">
        <f t="shared" si="136"/>
        <v>0</v>
      </c>
      <c r="AL568" s="49" t="str">
        <f t="shared" si="137"/>
        <v/>
      </c>
      <c r="AM568" s="49">
        <f t="shared" si="138"/>
        <v>1</v>
      </c>
      <c r="AN568" s="49" t="str">
        <f t="shared" si="139"/>
        <v/>
      </c>
      <c r="AO568" s="49">
        <f t="shared" si="140"/>
        <v>0</v>
      </c>
      <c r="AP568" s="49" t="str">
        <f t="shared" si="141"/>
        <v/>
      </c>
      <c r="AQ568" s="49">
        <f t="shared" si="142"/>
        <v>0</v>
      </c>
      <c r="AR568" s="49" t="str">
        <f t="shared" si="143"/>
        <v/>
      </c>
    </row>
    <row r="569" spans="1:44" ht="30" customHeight="1" x14ac:dyDescent="0.35">
      <c r="A569" s="25" t="str">
        <f t="shared" si="146"/>
        <v>PT177 - PLATAFORMA DE ACESSO - GRUPO - DETALHADO
COLUNA 2PROJETO DETALHADO
ESTRUTURAS METÁLICAS</v>
      </c>
      <c r="B569" s="38" t="s">
        <v>93</v>
      </c>
      <c r="C569" s="60" t="str">
        <f>IF(AND($B569=[1]rogério!$A570,[1]rogério!$B570=C$4),"ok","nok")</f>
        <v>nok</v>
      </c>
      <c r="D569" s="60" t="str">
        <f>IF(AND($B569=[1]rogério!$A570,[1]rogério!$B570=D$4),"ok","nok")</f>
        <v>nok</v>
      </c>
      <c r="E569" s="60" t="str">
        <f>IF(AND($B569=[1]rogério!$A570,[1]rogério!$B570=E$4),"ok","nok")</f>
        <v>nok</v>
      </c>
      <c r="F569" s="60" t="str">
        <f>IF(AND($B569=[1]rogério!$A570,[1]rogério!$B570=F$4),"ok","nok")</f>
        <v>nok</v>
      </c>
      <c r="G569" s="60" t="str">
        <f>IF(AND($B569=[1]rogério!$A570,[1]rogério!$B570=G$4),"ok","nok")</f>
        <v>nok</v>
      </c>
      <c r="H569" s="60" t="str">
        <f>IF(AND($B569=[1]rogério!$A570,[1]rogério!$B570=H$4),"ok","nok")</f>
        <v>nok</v>
      </c>
      <c r="I569" s="60" t="str">
        <f>IF(AND($B569=[1]rogério!$A570,[1]rogério!$B570=I$4),"ok","nok")</f>
        <v>nok</v>
      </c>
      <c r="J569" s="60" t="str">
        <f>IF(AND($B569=[1]rogério!$A570,[1]rogério!$B570=J$4),"ok","nok")</f>
        <v>nok</v>
      </c>
      <c r="K569" s="60" t="str">
        <f>IF(AND($B569=[1]rogério!$A570,[1]rogério!$B570=K$4),"ok","nok")</f>
        <v>nok</v>
      </c>
      <c r="L569" s="60" t="str">
        <f>IF(AND($B569=[1]rogério!$A570,[1]rogério!$B570=L$4),"ok","nok")</f>
        <v>nok</v>
      </c>
      <c r="M569" s="60" t="str">
        <f>IF(AND($B569=[1]rogério!$A570,[1]rogério!$B570=M$4),"ok","nok")</f>
        <v>nok</v>
      </c>
      <c r="N569" s="60" t="str">
        <f>IF(AND($B569=[1]rogério!$A570,[1]rogério!$B570=N$4),"ok","nok")</f>
        <v>nok</v>
      </c>
      <c r="O569" s="60" t="str">
        <f>IF(AND($B569=[1]rogério!$A570,[1]rogério!$B570=O$4),"ok","nok")</f>
        <v>nok</v>
      </c>
      <c r="P569" s="60" t="str">
        <f>IF(AND($B569=[1]rogério!$A570,[1]rogério!$B570=P$4),"ok","nok")</f>
        <v>ok</v>
      </c>
      <c r="Q569" s="60" t="str">
        <f>IF(AND($B569=[1]rogério!$A570,[1]rogério!$B570=Q$4),"ok","nok")</f>
        <v>nok</v>
      </c>
      <c r="R569" s="60" t="str">
        <f>IF(AND($B569=[1]rogério!$A570,[1]rogério!$B570=R$4),"ok","nok")</f>
        <v>nok</v>
      </c>
      <c r="S569" s="60" t="str">
        <f>IF(AND($B569=[1]rogério!$A570,[1]rogério!$B570=S$4),"ok","nok")</f>
        <v>nok</v>
      </c>
      <c r="T569" s="60" t="str">
        <f>IF(AND($B569=[1]rogério!$A570,[1]rogério!$B570=T$4),"ok","nok")</f>
        <v>nok</v>
      </c>
      <c r="U569" s="60" t="str">
        <f>IF(AND($B569=[1]rogério!$A570,[1]rogério!$B570=U$4),"ok","nok")</f>
        <v>nok</v>
      </c>
      <c r="V569" s="60" t="str">
        <f>IF(AND($B569=[1]rogério!$A570,[1]rogério!$B570=V$4),"ok","nok")</f>
        <v>nok</v>
      </c>
      <c r="W569" s="60" t="str">
        <f>IF(AND($B569=[1]rogério!$A570,[1]rogério!$B570=W$4),"ok","nok")</f>
        <v>nok</v>
      </c>
      <c r="X569" s="60" t="str">
        <f>IF(AND($B569=[1]rogério!$A570,[1]rogério!$B570=X$4),"ok","nok")</f>
        <v>nok</v>
      </c>
      <c r="Y569" s="105" t="s">
        <v>15</v>
      </c>
      <c r="Z569" s="106"/>
      <c r="AA569" s="106"/>
      <c r="AB569" s="107"/>
      <c r="AC569" s="38"/>
      <c r="AD569" s="38"/>
      <c r="AE569" s="48" t="str">
        <f t="shared" si="133"/>
        <v/>
      </c>
      <c r="AF569" s="48"/>
      <c r="AG569" s="48"/>
      <c r="AH569" s="89"/>
      <c r="AI569" s="49">
        <f t="shared" si="134"/>
        <v>0</v>
      </c>
      <c r="AJ569" s="49" t="str">
        <f t="shared" si="135"/>
        <v/>
      </c>
      <c r="AK569" s="49">
        <f t="shared" si="136"/>
        <v>0</v>
      </c>
      <c r="AL569" s="49" t="str">
        <f t="shared" si="137"/>
        <v/>
      </c>
      <c r="AM569" s="49">
        <f t="shared" si="138"/>
        <v>1</v>
      </c>
      <c r="AN569" s="49" t="str">
        <f t="shared" si="139"/>
        <v/>
      </c>
      <c r="AO569" s="49">
        <f t="shared" si="140"/>
        <v>0</v>
      </c>
      <c r="AP569" s="49" t="str">
        <f t="shared" si="141"/>
        <v/>
      </c>
      <c r="AQ569" s="49">
        <f t="shared" si="142"/>
        <v>0</v>
      </c>
      <c r="AR569" s="49" t="str">
        <f t="shared" si="143"/>
        <v/>
      </c>
    </row>
    <row r="570" spans="1:44" ht="30" customHeight="1" x14ac:dyDescent="0.35">
      <c r="A570" s="25"/>
      <c r="B570" s="39" t="s">
        <v>94</v>
      </c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108"/>
      <c r="Z570" s="109"/>
      <c r="AA570" s="109"/>
      <c r="AB570" s="110"/>
      <c r="AC570" s="38"/>
      <c r="AD570" s="38"/>
      <c r="AE570" s="48" t="str">
        <f t="shared" si="133"/>
        <v/>
      </c>
      <c r="AF570" s="48"/>
      <c r="AG570" s="48"/>
      <c r="AH570" s="89"/>
      <c r="AI570" s="49">
        <f t="shared" si="134"/>
        <v>0</v>
      </c>
      <c r="AJ570" s="49" t="str">
        <f t="shared" si="135"/>
        <v/>
      </c>
      <c r="AK570" s="49">
        <f t="shared" si="136"/>
        <v>0</v>
      </c>
      <c r="AL570" s="49" t="str">
        <f t="shared" si="137"/>
        <v/>
      </c>
      <c r="AM570" s="49">
        <f t="shared" si="138"/>
        <v>0</v>
      </c>
      <c r="AN570" s="49" t="str">
        <f t="shared" si="139"/>
        <v/>
      </c>
      <c r="AO570" s="49">
        <f t="shared" si="140"/>
        <v>0</v>
      </c>
      <c r="AP570" s="49" t="str">
        <f t="shared" si="141"/>
        <v/>
      </c>
      <c r="AQ570" s="49">
        <f t="shared" si="142"/>
        <v>0</v>
      </c>
      <c r="AR570" s="49" t="str">
        <f t="shared" si="143"/>
        <v/>
      </c>
    </row>
    <row r="571" spans="1:44" ht="30" customHeight="1" x14ac:dyDescent="0.35">
      <c r="A571" s="25" t="str">
        <f t="shared" si="146"/>
        <v>PT177 - PLATAFORMA DE ACESSO - GRUPO - DETALHADO
COLUNA 2PROJETO DETALHADO
ESTRUTURAS METÁLICAS</v>
      </c>
      <c r="B571" s="40" t="s">
        <v>49</v>
      </c>
      <c r="C571" s="60" t="str">
        <f>IF(AND($B571=[1]rogério!$A572,[1]rogério!$B572=C$4),"ok","nok")</f>
        <v>nok</v>
      </c>
      <c r="D571" s="60" t="str">
        <f>IF(AND($B571=[1]rogério!$A572,[1]rogério!$B572=D$4),"ok","nok")</f>
        <v>nok</v>
      </c>
      <c r="E571" s="60" t="str">
        <f>IF(AND($B571=[1]rogério!$A572,[1]rogério!$B572=E$4),"ok","nok")</f>
        <v>nok</v>
      </c>
      <c r="F571" s="60" t="str">
        <f>IF(AND($B571=[1]rogério!$A572,[1]rogério!$B572=F$4),"ok","nok")</f>
        <v>nok</v>
      </c>
      <c r="G571" s="60" t="str">
        <f>IF(AND($B571=[1]rogério!$A572,[1]rogério!$B572=G$4),"ok","nok")</f>
        <v>nok</v>
      </c>
      <c r="H571" s="60" t="str">
        <f>IF(AND($B571=[1]rogério!$A572,[1]rogério!$B572=H$4),"ok","nok")</f>
        <v>nok</v>
      </c>
      <c r="I571" s="60" t="str">
        <f>IF(AND($B571=[1]rogério!$A572,[1]rogério!$B572=I$4),"ok","nok")</f>
        <v>nok</v>
      </c>
      <c r="J571" s="60" t="str">
        <f>IF(AND($B571=[1]rogério!$A572,[1]rogério!$B572=J$4),"ok","nok")</f>
        <v>nok</v>
      </c>
      <c r="K571" s="60" t="str">
        <f>IF(AND($B571=[1]rogério!$A572,[1]rogério!$B572=K$4),"ok","nok")</f>
        <v>nok</v>
      </c>
      <c r="L571" s="60" t="str">
        <f>IF(AND($B571=[1]rogério!$A572,[1]rogério!$B572=L$4),"ok","nok")</f>
        <v>nok</v>
      </c>
      <c r="M571" s="60" t="str">
        <f>IF(AND($B571=[1]rogério!$A572,[1]rogério!$B572=M$4),"ok","nok")</f>
        <v>nok</v>
      </c>
      <c r="N571" s="60" t="str">
        <f>IF(AND($B571=[1]rogério!$A572,[1]rogério!$B572=N$4),"ok","nok")</f>
        <v>nok</v>
      </c>
      <c r="O571" s="60" t="str">
        <f>IF(AND($B571=[1]rogério!$A572,[1]rogério!$B572=O$4),"ok","nok")</f>
        <v>nok</v>
      </c>
      <c r="P571" s="60" t="str">
        <f>IF(AND($B571=[1]rogério!$A572,[1]rogério!$B572=P$4),"ok","nok")</f>
        <v>ok</v>
      </c>
      <c r="Q571" s="60" t="str">
        <f>IF(AND($B571=[1]rogério!$A572,[1]rogério!$B572=Q$4),"ok","nok")</f>
        <v>nok</v>
      </c>
      <c r="R571" s="60" t="str">
        <f>IF(AND($B571=[1]rogério!$A572,[1]rogério!$B572=R$4),"ok","nok")</f>
        <v>nok</v>
      </c>
      <c r="S571" s="60" t="str">
        <f>IF(AND($B571=[1]rogério!$A572,[1]rogério!$B572=S$4),"ok","nok")</f>
        <v>nok</v>
      </c>
      <c r="T571" s="60" t="str">
        <f>IF(AND($B571=[1]rogério!$A572,[1]rogério!$B572=T$4),"ok","nok")</f>
        <v>nok</v>
      </c>
      <c r="U571" s="60" t="str">
        <f>IF(AND($B571=[1]rogério!$A572,[1]rogério!$B572=U$4),"ok","nok")</f>
        <v>nok</v>
      </c>
      <c r="V571" s="60" t="str">
        <f>IF(AND($B571=[1]rogério!$A572,[1]rogério!$B572=V$4),"ok","nok")</f>
        <v>nok</v>
      </c>
      <c r="W571" s="60" t="str">
        <f>IF(AND($B571=[1]rogério!$A572,[1]rogério!$B572=W$4),"ok","nok")</f>
        <v>nok</v>
      </c>
      <c r="X571" s="60" t="str">
        <f>IF(AND($B571=[1]rogério!$A572,[1]rogério!$B572=X$4),"ok","nok")</f>
        <v>nok</v>
      </c>
      <c r="Y571" s="105" t="s">
        <v>15</v>
      </c>
      <c r="Z571" s="106"/>
      <c r="AA571" s="106"/>
      <c r="AB571" s="107"/>
      <c r="AC571" s="38"/>
      <c r="AD571" s="38"/>
      <c r="AE571" s="48" t="str">
        <f t="shared" si="133"/>
        <v/>
      </c>
      <c r="AF571" s="48"/>
      <c r="AG571" s="48"/>
      <c r="AH571" s="89"/>
      <c r="AI571" s="49">
        <f t="shared" si="134"/>
        <v>0</v>
      </c>
      <c r="AJ571" s="49" t="str">
        <f t="shared" si="135"/>
        <v/>
      </c>
      <c r="AK571" s="49">
        <f t="shared" si="136"/>
        <v>0</v>
      </c>
      <c r="AL571" s="49" t="str">
        <f t="shared" si="137"/>
        <v/>
      </c>
      <c r="AM571" s="49">
        <f t="shared" si="138"/>
        <v>1</v>
      </c>
      <c r="AN571" s="49" t="str">
        <f t="shared" si="139"/>
        <v/>
      </c>
      <c r="AO571" s="49">
        <f t="shared" si="140"/>
        <v>0</v>
      </c>
      <c r="AP571" s="49" t="str">
        <f t="shared" si="141"/>
        <v/>
      </c>
      <c r="AQ571" s="49">
        <f t="shared" si="142"/>
        <v>0</v>
      </c>
      <c r="AR571" s="49" t="str">
        <f t="shared" si="143"/>
        <v/>
      </c>
    </row>
    <row r="572" spans="1:44" ht="30" customHeight="1" x14ac:dyDescent="0.35">
      <c r="A572" s="25" t="str">
        <f t="shared" si="146"/>
        <v>PT177 - PLATAFORMA DE ACESSO - GRUPO - DETALHADO
COLUNA 2PROJETO DETALHADO
ESTRUTURAS METÁLICAS</v>
      </c>
      <c r="B572" s="40" t="s">
        <v>19</v>
      </c>
      <c r="C572" s="60" t="str">
        <f>IF(AND($B572=[1]rogério!$A573,[1]rogério!$B573=C$4),"ok","nok")</f>
        <v>nok</v>
      </c>
      <c r="D572" s="60" t="str">
        <f>IF(AND($B572=[1]rogério!$A573,[1]rogério!$B573=D$4),"ok","nok")</f>
        <v>nok</v>
      </c>
      <c r="E572" s="60" t="str">
        <f>IF(AND($B572=[1]rogério!$A573,[1]rogério!$B573=E$4),"ok","nok")</f>
        <v>nok</v>
      </c>
      <c r="F572" s="60" t="str">
        <f>IF(AND($B572=[1]rogério!$A573,[1]rogério!$B573=F$4),"ok","nok")</f>
        <v>nok</v>
      </c>
      <c r="G572" s="60" t="str">
        <f>IF(AND($B572=[1]rogério!$A573,[1]rogério!$B573=G$4),"ok","nok")</f>
        <v>nok</v>
      </c>
      <c r="H572" s="60" t="str">
        <f>IF(AND($B572=[1]rogério!$A573,[1]rogério!$B573=H$4),"ok","nok")</f>
        <v>nok</v>
      </c>
      <c r="I572" s="60" t="str">
        <f>IF(AND($B572=[1]rogério!$A573,[1]rogério!$B573=I$4),"ok","nok")</f>
        <v>nok</v>
      </c>
      <c r="J572" s="60" t="str">
        <f>IF(AND($B572=[1]rogério!$A573,[1]rogério!$B573=J$4),"ok","nok")</f>
        <v>nok</v>
      </c>
      <c r="K572" s="60" t="str">
        <f>IF(AND($B572=[1]rogério!$A573,[1]rogério!$B573=K$4),"ok","nok")</f>
        <v>nok</v>
      </c>
      <c r="L572" s="60" t="str">
        <f>IF(AND($B572=[1]rogério!$A573,[1]rogério!$B573=L$4),"ok","nok")</f>
        <v>nok</v>
      </c>
      <c r="M572" s="60" t="str">
        <f>IF(AND($B572=[1]rogério!$A573,[1]rogério!$B573=M$4),"ok","nok")</f>
        <v>nok</v>
      </c>
      <c r="N572" s="60" t="str">
        <f>IF(AND($B572=[1]rogério!$A573,[1]rogério!$B573=N$4),"ok","nok")</f>
        <v>nok</v>
      </c>
      <c r="O572" s="60" t="str">
        <f>IF(AND($B572=[1]rogério!$A573,[1]rogério!$B573=O$4),"ok","nok")</f>
        <v>nok</v>
      </c>
      <c r="P572" s="60" t="str">
        <f>IF(AND($B572=[1]rogério!$A573,[1]rogério!$B573=P$4),"ok","nok")</f>
        <v>nok</v>
      </c>
      <c r="Q572" s="60" t="str">
        <f>IF(AND($B572=[1]rogério!$A573,[1]rogério!$B573=Q$4),"ok","nok")</f>
        <v>nok</v>
      </c>
      <c r="R572" s="60" t="str">
        <f>IF(AND($B572=[1]rogério!$A573,[1]rogério!$B573=R$4),"ok","nok")</f>
        <v>nok</v>
      </c>
      <c r="S572" s="60" t="str">
        <f>IF(AND($B572=[1]rogério!$A573,[1]rogério!$B573=S$4),"ok","nok")</f>
        <v>nok</v>
      </c>
      <c r="T572" s="60" t="str">
        <f>IF(AND($B572=[1]rogério!$A573,[1]rogério!$B573=T$4),"ok","nok")</f>
        <v>nok</v>
      </c>
      <c r="U572" s="60" t="str">
        <f>IF(AND($B572=[1]rogério!$A573,[1]rogério!$B573=U$4),"ok","nok")</f>
        <v>ok</v>
      </c>
      <c r="V572" s="60" t="str">
        <f>IF(AND($B572=[1]rogério!$A573,[1]rogério!$B573=V$4),"ok","nok")</f>
        <v>nok</v>
      </c>
      <c r="W572" s="60" t="str">
        <f>IF(AND($B572=[1]rogério!$A573,[1]rogério!$B573=W$4),"ok","nok")</f>
        <v>nok</v>
      </c>
      <c r="X572" s="60" t="str">
        <f>IF(AND($B572=[1]rogério!$A573,[1]rogério!$B573=X$4),"ok","nok")</f>
        <v>nok</v>
      </c>
      <c r="Y572" s="105" t="s">
        <v>15</v>
      </c>
      <c r="Z572" s="106"/>
      <c r="AA572" s="106"/>
      <c r="AB572" s="107"/>
      <c r="AC572" s="38"/>
      <c r="AD572" s="38"/>
      <c r="AE572" s="48" t="str">
        <f t="shared" si="133"/>
        <v/>
      </c>
      <c r="AF572" s="48"/>
      <c r="AG572" s="48"/>
      <c r="AH572" s="89"/>
      <c r="AI572" s="49">
        <f t="shared" si="134"/>
        <v>0</v>
      </c>
      <c r="AJ572" s="49" t="str">
        <f t="shared" si="135"/>
        <v/>
      </c>
      <c r="AK572" s="49">
        <f t="shared" si="136"/>
        <v>0</v>
      </c>
      <c r="AL572" s="49" t="str">
        <f t="shared" si="137"/>
        <v/>
      </c>
      <c r="AM572" s="49">
        <f t="shared" si="138"/>
        <v>0</v>
      </c>
      <c r="AN572" s="49" t="str">
        <f t="shared" si="139"/>
        <v/>
      </c>
      <c r="AO572" s="49">
        <f t="shared" si="140"/>
        <v>1</v>
      </c>
      <c r="AP572" s="49" t="str">
        <f t="shared" si="141"/>
        <v/>
      </c>
      <c r="AQ572" s="49">
        <f t="shared" si="142"/>
        <v>0</v>
      </c>
      <c r="AR572" s="49" t="str">
        <f t="shared" si="143"/>
        <v/>
      </c>
    </row>
    <row r="573" spans="1:44" ht="30" customHeight="1" x14ac:dyDescent="0.35">
      <c r="A573" s="25" t="str">
        <f t="shared" si="146"/>
        <v>PT177 - PLATAFORMA DE ACESSO - GRUPO - DETALHADO
COLUNA 2PROJETO DETALHADO
ESTRUTURAS METÁLICAS</v>
      </c>
      <c r="B573" s="40" t="s">
        <v>42</v>
      </c>
      <c r="C573" s="60" t="str">
        <f>IF(AND($B573=[1]rogério!$A574,[1]rogério!$B574=C$4),"ok","nok")</f>
        <v>nok</v>
      </c>
      <c r="D573" s="60" t="str">
        <f>IF(AND($B573=[1]rogério!$A574,[1]rogério!$B574=D$4),"ok","nok")</f>
        <v>nok</v>
      </c>
      <c r="E573" s="60" t="str">
        <f>IF(AND($B573=[1]rogério!$A574,[1]rogério!$B574=E$4),"ok","nok")</f>
        <v>nok</v>
      </c>
      <c r="F573" s="60" t="str">
        <f>IF(AND($B573=[1]rogério!$A574,[1]rogério!$B574=F$4),"ok","nok")</f>
        <v>nok</v>
      </c>
      <c r="G573" s="60" t="str">
        <f>IF(AND($B573=[1]rogério!$A574,[1]rogério!$B574=G$4),"ok","nok")</f>
        <v>nok</v>
      </c>
      <c r="H573" s="60" t="str">
        <f>IF(AND($B573=[1]rogério!$A574,[1]rogério!$B574=H$4),"ok","nok")</f>
        <v>nok</v>
      </c>
      <c r="I573" s="60" t="str">
        <f>IF(AND($B573=[1]rogério!$A574,[1]rogério!$B574=I$4),"ok","nok")</f>
        <v>nok</v>
      </c>
      <c r="J573" s="60" t="str">
        <f>IF(AND($B573=[1]rogério!$A574,[1]rogério!$B574=J$4),"ok","nok")</f>
        <v>nok</v>
      </c>
      <c r="K573" s="60" t="str">
        <f>IF(AND($B573=[1]rogério!$A574,[1]rogério!$B574=K$4),"ok","nok")</f>
        <v>nok</v>
      </c>
      <c r="L573" s="60" t="str">
        <f>IF(AND($B573=[1]rogério!$A574,[1]rogério!$B574=L$4),"ok","nok")</f>
        <v>nok</v>
      </c>
      <c r="M573" s="60" t="str">
        <f>IF(AND($B573=[1]rogério!$A574,[1]rogério!$B574=M$4),"ok","nok")</f>
        <v>nok</v>
      </c>
      <c r="N573" s="60" t="str">
        <f>IF(AND($B573=[1]rogério!$A574,[1]rogério!$B574=N$4),"ok","nok")</f>
        <v>nok</v>
      </c>
      <c r="O573" s="60" t="str">
        <f>IF(AND($B573=[1]rogério!$A574,[1]rogério!$B574=O$4),"ok","nok")</f>
        <v>nok</v>
      </c>
      <c r="P573" s="60" t="str">
        <f>IF(AND($B573=[1]rogério!$A574,[1]rogério!$B574=P$4),"ok","nok")</f>
        <v>nok</v>
      </c>
      <c r="Q573" s="60" t="str">
        <f>IF(AND($B573=[1]rogério!$A574,[1]rogério!$B574=Q$4),"ok","nok")</f>
        <v>nok</v>
      </c>
      <c r="R573" s="60" t="str">
        <f>IF(AND($B573=[1]rogério!$A574,[1]rogério!$B574=R$4),"ok","nok")</f>
        <v>nok</v>
      </c>
      <c r="S573" s="60" t="str">
        <f>IF(AND($B573=[1]rogério!$A574,[1]rogério!$B574=S$4),"ok","nok")</f>
        <v>nok</v>
      </c>
      <c r="T573" s="60" t="str">
        <f>IF(AND($B573=[1]rogério!$A574,[1]rogério!$B574=T$4),"ok","nok")</f>
        <v>nok</v>
      </c>
      <c r="U573" s="60" t="str">
        <f>IF(AND($B573=[1]rogério!$A574,[1]rogério!$B574=U$4),"ok","nok")</f>
        <v>nok</v>
      </c>
      <c r="V573" s="60" t="str">
        <f>IF(AND($B573=[1]rogério!$A574,[1]rogério!$B574=V$4),"ok","nok")</f>
        <v>nok</v>
      </c>
      <c r="W573" s="60" t="str">
        <f>IF(AND($B573=[1]rogério!$A574,[1]rogério!$B574=W$4),"ok","nok")</f>
        <v>nok</v>
      </c>
      <c r="X573" s="60" t="str">
        <f>IF(AND($B573=[1]rogério!$A574,[1]rogério!$B574=X$4),"ok","nok")</f>
        <v>ok</v>
      </c>
      <c r="Y573" s="105" t="s">
        <v>15</v>
      </c>
      <c r="Z573" s="106"/>
      <c r="AA573" s="106"/>
      <c r="AB573" s="107"/>
      <c r="AC573" s="38"/>
      <c r="AD573" s="38"/>
      <c r="AE573" s="48" t="str">
        <f t="shared" si="133"/>
        <v/>
      </c>
      <c r="AF573" s="48"/>
      <c r="AG573" s="48"/>
      <c r="AH573" s="89"/>
      <c r="AI573" s="49">
        <f t="shared" si="134"/>
        <v>0</v>
      </c>
      <c r="AJ573" s="49" t="str">
        <f t="shared" si="135"/>
        <v/>
      </c>
      <c r="AK573" s="49">
        <f t="shared" si="136"/>
        <v>0</v>
      </c>
      <c r="AL573" s="49" t="str">
        <f t="shared" si="137"/>
        <v/>
      </c>
      <c r="AM573" s="49">
        <f t="shared" si="138"/>
        <v>0</v>
      </c>
      <c r="AN573" s="49" t="str">
        <f t="shared" si="139"/>
        <v/>
      </c>
      <c r="AO573" s="49">
        <f t="shared" si="140"/>
        <v>0</v>
      </c>
      <c r="AP573" s="49" t="str">
        <f t="shared" si="141"/>
        <v/>
      </c>
      <c r="AQ573" s="49">
        <f t="shared" si="142"/>
        <v>1</v>
      </c>
      <c r="AR573" s="49" t="str">
        <f t="shared" si="143"/>
        <v/>
      </c>
    </row>
    <row r="574" spans="1:44" ht="30" customHeight="1" x14ac:dyDescent="0.35">
      <c r="A574" s="25" t="str">
        <f t="shared" si="146"/>
        <v>PT177 - PLATAFORMA DE ACESSO - GRUPO - DETALHADO
COLUNA 2PROJETO DETALHADO
ESTRUTURAS METÁLICAS</v>
      </c>
      <c r="B574" s="40" t="s">
        <v>43</v>
      </c>
      <c r="C574" s="60" t="str">
        <f>IF(AND($B574=[1]rogério!$A575,[1]rogério!$B575=C$4),"ok","nok")</f>
        <v>nok</v>
      </c>
      <c r="D574" s="60" t="str">
        <f>IF(AND($B574=[1]rogério!$A575,[1]rogério!$B575=D$4),"ok","nok")</f>
        <v>nok</v>
      </c>
      <c r="E574" s="60" t="str">
        <f>IF(AND($B574=[1]rogério!$A575,[1]rogério!$B575=E$4),"ok","nok")</f>
        <v>nok</v>
      </c>
      <c r="F574" s="60" t="str">
        <f>IF(AND($B574=[1]rogério!$A575,[1]rogério!$B575=F$4),"ok","nok")</f>
        <v>nok</v>
      </c>
      <c r="G574" s="60" t="str">
        <f>IF(AND($B574=[1]rogério!$A575,[1]rogério!$B575=G$4),"ok","nok")</f>
        <v>nok</v>
      </c>
      <c r="H574" s="60" t="str">
        <f>IF(AND($B574=[1]rogério!$A575,[1]rogério!$B575=H$4),"ok","nok")</f>
        <v>nok</v>
      </c>
      <c r="I574" s="60" t="str">
        <f>IF(AND($B574=[1]rogério!$A575,[1]rogério!$B575=I$4),"ok","nok")</f>
        <v>nok</v>
      </c>
      <c r="J574" s="60" t="str">
        <f>IF(AND($B574=[1]rogério!$A575,[1]rogério!$B575=J$4),"ok","nok")</f>
        <v>nok</v>
      </c>
      <c r="K574" s="60" t="str">
        <f>IF(AND($B574=[1]rogério!$A575,[1]rogério!$B575=K$4),"ok","nok")</f>
        <v>nok</v>
      </c>
      <c r="L574" s="60" t="str">
        <f>IF(AND($B574=[1]rogério!$A575,[1]rogério!$B575=L$4),"ok","nok")</f>
        <v>nok</v>
      </c>
      <c r="M574" s="60" t="str">
        <f>IF(AND($B574=[1]rogério!$A575,[1]rogério!$B575=M$4),"ok","nok")</f>
        <v>nok</v>
      </c>
      <c r="N574" s="60" t="str">
        <f>IF(AND($B574=[1]rogério!$A575,[1]rogério!$B575=N$4),"ok","nok")</f>
        <v>nok</v>
      </c>
      <c r="O574" s="60" t="str">
        <f>IF(AND($B574=[1]rogério!$A575,[1]rogério!$B575=O$4),"ok","nok")</f>
        <v>nok</v>
      </c>
      <c r="P574" s="60" t="str">
        <f>IF(AND($B574=[1]rogério!$A575,[1]rogério!$B575=P$4),"ok","nok")</f>
        <v>nok</v>
      </c>
      <c r="Q574" s="60" t="str">
        <f>IF(AND($B574=[1]rogério!$A575,[1]rogério!$B575=Q$4),"ok","nok")</f>
        <v>nok</v>
      </c>
      <c r="R574" s="60" t="str">
        <f>IF(AND($B574=[1]rogério!$A575,[1]rogério!$B575=R$4),"ok","nok")</f>
        <v>nok</v>
      </c>
      <c r="S574" s="60" t="str">
        <f>IF(AND($B574=[1]rogério!$A575,[1]rogério!$B575=S$4),"ok","nok")</f>
        <v>nok</v>
      </c>
      <c r="T574" s="60" t="str">
        <f>IF(AND($B574=[1]rogério!$A575,[1]rogério!$B575=T$4),"ok","nok")</f>
        <v>nok</v>
      </c>
      <c r="U574" s="60" t="str">
        <f>IF(AND($B574=[1]rogério!$A575,[1]rogério!$B575=U$4),"ok","nok")</f>
        <v>nok</v>
      </c>
      <c r="V574" s="60" t="str">
        <f>IF(AND($B574=[1]rogério!$A575,[1]rogério!$B575=V$4),"ok","nok")</f>
        <v>nok</v>
      </c>
      <c r="W574" s="60" t="str">
        <f>IF(AND($B574=[1]rogério!$A575,[1]rogério!$B575=W$4),"ok","nok")</f>
        <v>nok</v>
      </c>
      <c r="X574" s="60" t="str">
        <f>IF(AND($B574=[1]rogério!$A575,[1]rogério!$B575=X$4),"ok","nok")</f>
        <v>ok</v>
      </c>
      <c r="Y574" s="105" t="s">
        <v>15</v>
      </c>
      <c r="Z574" s="106"/>
      <c r="AA574" s="106"/>
      <c r="AB574" s="107"/>
      <c r="AC574" s="38"/>
      <c r="AD574" s="38"/>
      <c r="AE574" s="48" t="str">
        <f t="shared" si="133"/>
        <v/>
      </c>
      <c r="AF574" s="48"/>
      <c r="AG574" s="48"/>
      <c r="AH574" s="89"/>
      <c r="AI574" s="49">
        <f t="shared" si="134"/>
        <v>0</v>
      </c>
      <c r="AJ574" s="49" t="str">
        <f t="shared" si="135"/>
        <v/>
      </c>
      <c r="AK574" s="49">
        <f t="shared" si="136"/>
        <v>0</v>
      </c>
      <c r="AL574" s="49" t="str">
        <f t="shared" si="137"/>
        <v/>
      </c>
      <c r="AM574" s="49">
        <f t="shared" si="138"/>
        <v>0</v>
      </c>
      <c r="AN574" s="49" t="str">
        <f t="shared" si="139"/>
        <v/>
      </c>
      <c r="AO574" s="49">
        <f t="shared" si="140"/>
        <v>0</v>
      </c>
      <c r="AP574" s="49" t="str">
        <f t="shared" si="141"/>
        <v/>
      </c>
      <c r="AQ574" s="49">
        <f t="shared" si="142"/>
        <v>1</v>
      </c>
      <c r="AR574" s="49" t="str">
        <f t="shared" si="143"/>
        <v/>
      </c>
    </row>
    <row r="575" spans="1:44" ht="30" customHeight="1" x14ac:dyDescent="0.35">
      <c r="A575" s="25"/>
      <c r="B575" s="62" t="s">
        <v>64</v>
      </c>
      <c r="C575" s="62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114"/>
      <c r="Z575" s="115"/>
      <c r="AA575" s="115"/>
      <c r="AB575" s="116"/>
      <c r="AC575" s="38"/>
      <c r="AD575" s="38"/>
      <c r="AE575" s="48" t="str">
        <f t="shared" si="133"/>
        <v/>
      </c>
      <c r="AF575" s="48"/>
      <c r="AG575" s="48"/>
      <c r="AH575" s="89"/>
      <c r="AI575" s="49">
        <f t="shared" si="134"/>
        <v>0</v>
      </c>
      <c r="AJ575" s="49" t="str">
        <f t="shared" si="135"/>
        <v/>
      </c>
      <c r="AK575" s="49">
        <f t="shared" si="136"/>
        <v>0</v>
      </c>
      <c r="AL575" s="49" t="str">
        <f t="shared" si="137"/>
        <v/>
      </c>
      <c r="AM575" s="49">
        <f t="shared" si="138"/>
        <v>0</v>
      </c>
      <c r="AN575" s="49" t="str">
        <f t="shared" si="139"/>
        <v/>
      </c>
      <c r="AO575" s="49">
        <f t="shared" si="140"/>
        <v>0</v>
      </c>
      <c r="AP575" s="49" t="str">
        <f t="shared" si="141"/>
        <v/>
      </c>
      <c r="AQ575" s="49">
        <f t="shared" si="142"/>
        <v>0</v>
      </c>
      <c r="AR575" s="49" t="str">
        <f t="shared" si="143"/>
        <v/>
      </c>
    </row>
    <row r="576" spans="1:44" ht="30" customHeight="1" x14ac:dyDescent="0.35">
      <c r="A576" s="25" t="str">
        <f>CONCATENATE($B$533,"
",$B$535,"",$B$536,"
",$B$575)</f>
        <v>PT177 - PLATAFORMA DE ACESSO - GRUPO - DETALHADO
COLUNA 2PROJETO DETALHADO
CIVIL</v>
      </c>
      <c r="B576" s="38" t="s">
        <v>71</v>
      </c>
      <c r="C576" s="60" t="str">
        <f>IF(AND($B576=[1]rogério!$A577,[1]rogério!$B577=C$4),"ok","nok")</f>
        <v>nok</v>
      </c>
      <c r="D576" s="60" t="str">
        <f>IF(AND($B576=[1]rogério!$A577,[1]rogério!$B577=D$4),"ok","nok")</f>
        <v>nok</v>
      </c>
      <c r="E576" s="60" t="str">
        <f>IF(AND($B576=[1]rogério!$A577,[1]rogério!$B577=E$4),"ok","nok")</f>
        <v>nok</v>
      </c>
      <c r="F576" s="60" t="str">
        <f>IF(AND($B576=[1]rogério!$A577,[1]rogério!$B577=F$4),"ok","nok")</f>
        <v>nok</v>
      </c>
      <c r="G576" s="60" t="str">
        <f>IF(AND($B576=[1]rogério!$A577,[1]rogério!$B577=G$4),"ok","nok")</f>
        <v>nok</v>
      </c>
      <c r="H576" s="60" t="str">
        <f>IF(AND($B576=[1]rogério!$A577,[1]rogério!$B577=H$4),"ok","nok")</f>
        <v>nok</v>
      </c>
      <c r="I576" s="60" t="str">
        <f>IF(AND($B576=[1]rogério!$A577,[1]rogério!$B577=I$4),"ok","nok")</f>
        <v>nok</v>
      </c>
      <c r="J576" s="60" t="str">
        <f>IF(AND($B576=[1]rogério!$A577,[1]rogério!$B577=J$4),"ok","nok")</f>
        <v>ok</v>
      </c>
      <c r="K576" s="60" t="str">
        <f>IF(AND($B576=[1]rogério!$A577,[1]rogério!$B577=K$4),"ok","nok")</f>
        <v>nok</v>
      </c>
      <c r="L576" s="60" t="str">
        <f>IF(AND($B576=[1]rogério!$A577,[1]rogério!$B577=L$4),"ok","nok")</f>
        <v>nok</v>
      </c>
      <c r="M576" s="60" t="str">
        <f>IF(AND($B576=[1]rogério!$A577,[1]rogério!$B577=M$4),"ok","nok")</f>
        <v>nok</v>
      </c>
      <c r="N576" s="60" t="str">
        <f>IF(AND($B576=[1]rogério!$A577,[1]rogério!$B577=N$4),"ok","nok")</f>
        <v>nok</v>
      </c>
      <c r="O576" s="60" t="str">
        <f>IF(AND($B576=[1]rogério!$A577,[1]rogério!$B577=O$4),"ok","nok")</f>
        <v>nok</v>
      </c>
      <c r="P576" s="60" t="str">
        <f>IF(AND($B576=[1]rogério!$A577,[1]rogério!$B577=P$4),"ok","nok")</f>
        <v>nok</v>
      </c>
      <c r="Q576" s="60" t="str">
        <f>IF(AND($B576=[1]rogério!$A577,[1]rogério!$B577=Q$4),"ok","nok")</f>
        <v>nok</v>
      </c>
      <c r="R576" s="60" t="str">
        <f>IF(AND($B576=[1]rogério!$A577,[1]rogério!$B577=R$4),"ok","nok")</f>
        <v>nok</v>
      </c>
      <c r="S576" s="60" t="str">
        <f>IF(AND($B576=[1]rogério!$A577,[1]rogério!$B577=S$4),"ok","nok")</f>
        <v>nok</v>
      </c>
      <c r="T576" s="60" t="str">
        <f>IF(AND($B576=[1]rogério!$A577,[1]rogério!$B577=T$4),"ok","nok")</f>
        <v>nok</v>
      </c>
      <c r="U576" s="60" t="str">
        <f>IF(AND($B576=[1]rogério!$A577,[1]rogério!$B577=U$4),"ok","nok")</f>
        <v>nok</v>
      </c>
      <c r="V576" s="60" t="str">
        <f>IF(AND($B576=[1]rogério!$A577,[1]rogério!$B577=V$4),"ok","nok")</f>
        <v>nok</v>
      </c>
      <c r="W576" s="60" t="str">
        <f>IF(AND($B576=[1]rogério!$A577,[1]rogério!$B577=W$4),"ok","nok")</f>
        <v>nok</v>
      </c>
      <c r="X576" s="60" t="str">
        <f>IF(AND($B576=[1]rogério!$A577,[1]rogério!$B577=X$4),"ok","nok")</f>
        <v>nok</v>
      </c>
      <c r="Y576" s="105" t="s">
        <v>15</v>
      </c>
      <c r="Z576" s="106"/>
      <c r="AA576" s="106"/>
      <c r="AB576" s="107"/>
      <c r="AC576" s="38"/>
      <c r="AD576" s="38"/>
      <c r="AE576" s="48" t="str">
        <f t="shared" si="133"/>
        <v/>
      </c>
      <c r="AF576" s="48"/>
      <c r="AG576" s="48"/>
      <c r="AH576" s="89"/>
      <c r="AI576" s="49">
        <f t="shared" si="134"/>
        <v>0</v>
      </c>
      <c r="AJ576" s="49" t="str">
        <f t="shared" si="135"/>
        <v/>
      </c>
      <c r="AK576" s="49">
        <f t="shared" si="136"/>
        <v>1</v>
      </c>
      <c r="AL576" s="49" t="str">
        <f t="shared" si="137"/>
        <v/>
      </c>
      <c r="AM576" s="49">
        <f t="shared" si="138"/>
        <v>0</v>
      </c>
      <c r="AN576" s="49" t="str">
        <f t="shared" si="139"/>
        <v/>
      </c>
      <c r="AO576" s="49">
        <f t="shared" si="140"/>
        <v>0</v>
      </c>
      <c r="AP576" s="49" t="str">
        <f t="shared" si="141"/>
        <v/>
      </c>
      <c r="AQ576" s="49">
        <f t="shared" si="142"/>
        <v>0</v>
      </c>
      <c r="AR576" s="49" t="str">
        <f t="shared" si="143"/>
        <v/>
      </c>
    </row>
    <row r="577" spans="1:44" ht="30" customHeight="1" x14ac:dyDescent="0.35">
      <c r="A577" s="25"/>
      <c r="B577" s="39" t="s">
        <v>41</v>
      </c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108"/>
      <c r="Z577" s="109"/>
      <c r="AA577" s="109"/>
      <c r="AB577" s="110"/>
      <c r="AC577" s="38"/>
      <c r="AD577" s="38"/>
      <c r="AE577" s="48" t="str">
        <f t="shared" si="133"/>
        <v/>
      </c>
      <c r="AF577" s="48"/>
      <c r="AG577" s="48"/>
      <c r="AH577" s="89"/>
      <c r="AI577" s="49">
        <f t="shared" si="134"/>
        <v>0</v>
      </c>
      <c r="AJ577" s="49" t="str">
        <f t="shared" si="135"/>
        <v/>
      </c>
      <c r="AK577" s="49">
        <f t="shared" si="136"/>
        <v>0</v>
      </c>
      <c r="AL577" s="49" t="str">
        <f t="shared" si="137"/>
        <v/>
      </c>
      <c r="AM577" s="49">
        <f t="shared" si="138"/>
        <v>0</v>
      </c>
      <c r="AN577" s="49" t="str">
        <f t="shared" si="139"/>
        <v/>
      </c>
      <c r="AO577" s="49">
        <f t="shared" si="140"/>
        <v>0</v>
      </c>
      <c r="AP577" s="49" t="str">
        <f t="shared" si="141"/>
        <v/>
      </c>
      <c r="AQ577" s="49">
        <f t="shared" si="142"/>
        <v>0</v>
      </c>
      <c r="AR577" s="49" t="str">
        <f t="shared" si="143"/>
        <v/>
      </c>
    </row>
    <row r="578" spans="1:44" ht="30" customHeight="1" x14ac:dyDescent="0.35">
      <c r="A578" s="25" t="str">
        <f t="shared" ref="A578:A616" si="147">CONCATENATE($B$533,"
",$B$535,"",$B$536,"
",$B$575)</f>
        <v>PT177 - PLATAFORMA DE ACESSO - GRUPO - DETALHADO
COLUNA 2PROJETO DETALHADO
CIVIL</v>
      </c>
      <c r="B578" s="40" t="s">
        <v>49</v>
      </c>
      <c r="C578" s="60" t="str">
        <f>IF(AND($B578=[1]rogério!$A579,[1]rogério!$B579=C$4),"ok","nok")</f>
        <v>nok</v>
      </c>
      <c r="D578" s="60" t="str">
        <f>IF(AND($B578=[1]rogério!$A579,[1]rogério!$B579=D$4),"ok","nok")</f>
        <v>nok</v>
      </c>
      <c r="E578" s="60" t="str">
        <f>IF(AND($B578=[1]rogério!$A579,[1]rogério!$B579=E$4),"ok","nok")</f>
        <v>nok</v>
      </c>
      <c r="F578" s="60" t="str">
        <f>IF(AND($B578=[1]rogério!$A579,[1]rogério!$B579=F$4),"ok","nok")</f>
        <v>nok</v>
      </c>
      <c r="G578" s="60" t="str">
        <f>IF(AND($B578=[1]rogério!$A579,[1]rogério!$B579=G$4),"ok","nok")</f>
        <v>nok</v>
      </c>
      <c r="H578" s="60" t="str">
        <f>IF(AND($B578=[1]rogério!$A579,[1]rogério!$B579=H$4),"ok","nok")</f>
        <v>nok</v>
      </c>
      <c r="I578" s="60" t="str">
        <f>IF(AND($B578=[1]rogério!$A579,[1]rogério!$B579=I$4),"ok","nok")</f>
        <v>nok</v>
      </c>
      <c r="J578" s="60" t="str">
        <f>IF(AND($B578=[1]rogério!$A579,[1]rogério!$B579=J$4),"ok","nok")</f>
        <v>ok</v>
      </c>
      <c r="K578" s="60" t="str">
        <f>IF(AND($B578=[1]rogério!$A579,[1]rogério!$B579=K$4),"ok","nok")</f>
        <v>nok</v>
      </c>
      <c r="L578" s="60" t="str">
        <f>IF(AND($B578=[1]rogério!$A579,[1]rogério!$B579=L$4),"ok","nok")</f>
        <v>nok</v>
      </c>
      <c r="M578" s="60" t="str">
        <f>IF(AND($B578=[1]rogério!$A579,[1]rogério!$B579=M$4),"ok","nok")</f>
        <v>nok</v>
      </c>
      <c r="N578" s="60" t="str">
        <f>IF(AND($B578=[1]rogério!$A579,[1]rogério!$B579=N$4),"ok","nok")</f>
        <v>nok</v>
      </c>
      <c r="O578" s="60" t="str">
        <f>IF(AND($B578=[1]rogério!$A579,[1]rogério!$B579=O$4),"ok","nok")</f>
        <v>nok</v>
      </c>
      <c r="P578" s="60" t="str">
        <f>IF(AND($B578=[1]rogério!$A579,[1]rogério!$B579=P$4),"ok","nok")</f>
        <v>nok</v>
      </c>
      <c r="Q578" s="60" t="str">
        <f>IF(AND($B578=[1]rogério!$A579,[1]rogério!$B579=Q$4),"ok","nok")</f>
        <v>nok</v>
      </c>
      <c r="R578" s="60" t="str">
        <f>IF(AND($B578=[1]rogério!$A579,[1]rogério!$B579=R$4),"ok","nok")</f>
        <v>nok</v>
      </c>
      <c r="S578" s="60" t="str">
        <f>IF(AND($B578=[1]rogério!$A579,[1]rogério!$B579=S$4),"ok","nok")</f>
        <v>nok</v>
      </c>
      <c r="T578" s="60" t="str">
        <f>IF(AND($B578=[1]rogério!$A579,[1]rogério!$B579=T$4),"ok","nok")</f>
        <v>nok</v>
      </c>
      <c r="U578" s="60" t="str">
        <f>IF(AND($B578=[1]rogério!$A579,[1]rogério!$B579=U$4),"ok","nok")</f>
        <v>nok</v>
      </c>
      <c r="V578" s="60" t="str">
        <f>IF(AND($B578=[1]rogério!$A579,[1]rogério!$B579=V$4),"ok","nok")</f>
        <v>nok</v>
      </c>
      <c r="W578" s="60" t="str">
        <f>IF(AND($B578=[1]rogério!$A579,[1]rogério!$B579=W$4),"ok","nok")</f>
        <v>nok</v>
      </c>
      <c r="X578" s="60" t="str">
        <f>IF(AND($B578=[1]rogério!$A579,[1]rogério!$B579=X$4),"ok","nok")</f>
        <v>nok</v>
      </c>
      <c r="Y578" s="105" t="s">
        <v>15</v>
      </c>
      <c r="Z578" s="106"/>
      <c r="AA578" s="106"/>
      <c r="AB578" s="107"/>
      <c r="AC578" s="38"/>
      <c r="AD578" s="38"/>
      <c r="AE578" s="48" t="str">
        <f t="shared" si="133"/>
        <v/>
      </c>
      <c r="AF578" s="48"/>
      <c r="AG578" s="48"/>
      <c r="AH578" s="89"/>
      <c r="AI578" s="49">
        <f t="shared" si="134"/>
        <v>0</v>
      </c>
      <c r="AJ578" s="49" t="str">
        <f t="shared" si="135"/>
        <v/>
      </c>
      <c r="AK578" s="49">
        <f t="shared" si="136"/>
        <v>1</v>
      </c>
      <c r="AL578" s="49" t="str">
        <f t="shared" si="137"/>
        <v/>
      </c>
      <c r="AM578" s="49">
        <f t="shared" si="138"/>
        <v>0</v>
      </c>
      <c r="AN578" s="49" t="str">
        <f t="shared" si="139"/>
        <v/>
      </c>
      <c r="AO578" s="49">
        <f t="shared" si="140"/>
        <v>0</v>
      </c>
      <c r="AP578" s="49" t="str">
        <f t="shared" si="141"/>
        <v/>
      </c>
      <c r="AQ578" s="49">
        <f t="shared" si="142"/>
        <v>0</v>
      </c>
      <c r="AR578" s="49" t="str">
        <f t="shared" si="143"/>
        <v/>
      </c>
    </row>
    <row r="579" spans="1:44" ht="30" customHeight="1" x14ac:dyDescent="0.35">
      <c r="A579" s="25" t="str">
        <f t="shared" si="147"/>
        <v>PT177 - PLATAFORMA DE ACESSO - GRUPO - DETALHADO
COLUNA 2PROJETO DETALHADO
CIVIL</v>
      </c>
      <c r="B579" s="40" t="s">
        <v>19</v>
      </c>
      <c r="C579" s="60" t="str">
        <f>IF(AND($B579=[1]rogério!$A580,[1]rogério!$B580=C$4),"ok","nok")</f>
        <v>nok</v>
      </c>
      <c r="D579" s="60" t="str">
        <f>IF(AND($B579=[1]rogério!$A580,[1]rogério!$B580=D$4),"ok","nok")</f>
        <v>nok</v>
      </c>
      <c r="E579" s="60" t="str">
        <f>IF(AND($B579=[1]rogério!$A580,[1]rogério!$B580=E$4),"ok","nok")</f>
        <v>nok</v>
      </c>
      <c r="F579" s="60" t="str">
        <f>IF(AND($B579=[1]rogério!$A580,[1]rogério!$B580=F$4),"ok","nok")</f>
        <v>nok</v>
      </c>
      <c r="G579" s="60" t="str">
        <f>IF(AND($B579=[1]rogério!$A580,[1]rogério!$B580=G$4),"ok","nok")</f>
        <v>nok</v>
      </c>
      <c r="H579" s="60" t="str">
        <f>IF(AND($B579=[1]rogério!$A580,[1]rogério!$B580=H$4),"ok","nok")</f>
        <v>nok</v>
      </c>
      <c r="I579" s="60" t="str">
        <f>IF(AND($B579=[1]rogério!$A580,[1]rogério!$B580=I$4),"ok","nok")</f>
        <v>nok</v>
      </c>
      <c r="J579" s="60" t="str">
        <f>IF(AND($B579=[1]rogério!$A580,[1]rogério!$B580=J$4),"ok","nok")</f>
        <v>nok</v>
      </c>
      <c r="K579" s="60" t="str">
        <f>IF(AND($B579=[1]rogério!$A580,[1]rogério!$B580=K$4),"ok","nok")</f>
        <v>nok</v>
      </c>
      <c r="L579" s="60" t="str">
        <f>IF(AND($B579=[1]rogério!$A580,[1]rogério!$B580=L$4),"ok","nok")</f>
        <v>nok</v>
      </c>
      <c r="M579" s="60" t="str">
        <f>IF(AND($B579=[1]rogério!$A580,[1]rogério!$B580=M$4),"ok","nok")</f>
        <v>nok</v>
      </c>
      <c r="N579" s="60" t="str">
        <f>IF(AND($B579=[1]rogério!$A580,[1]rogério!$B580=N$4),"ok","nok")</f>
        <v>nok</v>
      </c>
      <c r="O579" s="60" t="str">
        <f>IF(AND($B579=[1]rogério!$A580,[1]rogério!$B580=O$4),"ok","nok")</f>
        <v>ok</v>
      </c>
      <c r="P579" s="60" t="str">
        <f>IF(AND($B579=[1]rogério!$A580,[1]rogério!$B580=P$4),"ok","nok")</f>
        <v>nok</v>
      </c>
      <c r="Q579" s="60" t="str">
        <f>IF(AND($B579=[1]rogério!$A580,[1]rogério!$B580=Q$4),"ok","nok")</f>
        <v>nok</v>
      </c>
      <c r="R579" s="60" t="str">
        <f>IF(AND($B579=[1]rogério!$A580,[1]rogério!$B580=R$4),"ok","nok")</f>
        <v>nok</v>
      </c>
      <c r="S579" s="60" t="str">
        <f>IF(AND($B579=[1]rogério!$A580,[1]rogério!$B580=S$4),"ok","nok")</f>
        <v>nok</v>
      </c>
      <c r="T579" s="60" t="str">
        <f>IF(AND($B579=[1]rogério!$A580,[1]rogério!$B580=T$4),"ok","nok")</f>
        <v>nok</v>
      </c>
      <c r="U579" s="60" t="str">
        <f>IF(AND($B579=[1]rogério!$A580,[1]rogério!$B580=U$4),"ok","nok")</f>
        <v>nok</v>
      </c>
      <c r="V579" s="60" t="str">
        <f>IF(AND($B579=[1]rogério!$A580,[1]rogério!$B580=V$4),"ok","nok")</f>
        <v>nok</v>
      </c>
      <c r="W579" s="60" t="str">
        <f>IF(AND($B579=[1]rogério!$A580,[1]rogério!$B580=W$4),"ok","nok")</f>
        <v>nok</v>
      </c>
      <c r="X579" s="60" t="str">
        <f>IF(AND($B579=[1]rogério!$A580,[1]rogério!$B580=X$4),"ok","nok")</f>
        <v>nok</v>
      </c>
      <c r="Y579" s="105" t="s">
        <v>15</v>
      </c>
      <c r="Z579" s="106"/>
      <c r="AA579" s="106"/>
      <c r="AB579" s="107"/>
      <c r="AC579" s="38"/>
      <c r="AD579" s="38"/>
      <c r="AE579" s="48" t="str">
        <f t="shared" ref="AE579:AE642" si="148">IF(Y579="ATRASADO",B579,"")</f>
        <v/>
      </c>
      <c r="AF579" s="48"/>
      <c r="AG579" s="48"/>
      <c r="AH579" s="89"/>
      <c r="AI579" s="49">
        <f t="shared" ref="AI579:AI642" si="149">COUNTIF(C579:G579,"ok")</f>
        <v>0</v>
      </c>
      <c r="AJ579" s="49" t="str">
        <f t="shared" ref="AJ579:AJ642" si="150">IF(AND(AI579=1,OR($Y579="entregue",$Y579="efprazo")),$Y579,"")</f>
        <v/>
      </c>
      <c r="AK579" s="49">
        <f t="shared" ref="AK579:AK642" si="151">COUNTIF(H579:L579,"ok")</f>
        <v>0</v>
      </c>
      <c r="AL579" s="49" t="str">
        <f t="shared" ref="AL579:AL642" si="152">IF(AND(AK579=1,OR($Y579="entregue",$Y579="efprazo")),$Y579,"")</f>
        <v/>
      </c>
      <c r="AM579" s="49">
        <f t="shared" ref="AM579:AM642" si="153">COUNTIF(M579:Q579,"ok")</f>
        <v>1</v>
      </c>
      <c r="AN579" s="49" t="str">
        <f t="shared" ref="AN579:AN642" si="154">IF(AND(AM579=1,OR($Y579="entregue",$Y579="efprazo")),$Y579,"")</f>
        <v/>
      </c>
      <c r="AO579" s="49">
        <f t="shared" ref="AO579:AO642" si="155">COUNTIF(R579:V579,"ok")</f>
        <v>0</v>
      </c>
      <c r="AP579" s="49" t="str">
        <f t="shared" ref="AP579:AP642" si="156">IF(AND(AO579=1,OR($Y579="entregue",$Y579="efprazo")),$Y579,"")</f>
        <v/>
      </c>
      <c r="AQ579" s="49">
        <f t="shared" ref="AQ579:AQ642" si="157">COUNTIF(W579:X579,"ok")</f>
        <v>0</v>
      </c>
      <c r="AR579" s="49" t="str">
        <f t="shared" ref="AR579:AR642" si="158">IF(AND(AQ579=1,OR($Y579="entregue",$Y579="efprazo")),$Y579,"")</f>
        <v/>
      </c>
    </row>
    <row r="580" spans="1:44" ht="30" customHeight="1" x14ac:dyDescent="0.35">
      <c r="A580" s="25" t="str">
        <f t="shared" si="147"/>
        <v>PT177 - PLATAFORMA DE ACESSO - GRUPO - DETALHADO
COLUNA 2PROJETO DETALHADO
CIVIL</v>
      </c>
      <c r="B580" s="40" t="s">
        <v>42</v>
      </c>
      <c r="C580" s="60" t="str">
        <f>IF(AND($B580=[1]rogério!$A581,[1]rogério!$B581=C$4),"ok","nok")</f>
        <v>nok</v>
      </c>
      <c r="D580" s="60" t="str">
        <f>IF(AND($B580=[1]rogério!$A581,[1]rogério!$B581=D$4),"ok","nok")</f>
        <v>nok</v>
      </c>
      <c r="E580" s="60" t="str">
        <f>IF(AND($B580=[1]rogério!$A581,[1]rogério!$B581=E$4),"ok","nok")</f>
        <v>nok</v>
      </c>
      <c r="F580" s="60" t="str">
        <f>IF(AND($B580=[1]rogério!$A581,[1]rogério!$B581=F$4),"ok","nok")</f>
        <v>nok</v>
      </c>
      <c r="G580" s="60" t="str">
        <f>IF(AND($B580=[1]rogério!$A581,[1]rogério!$B581=G$4),"ok","nok")</f>
        <v>nok</v>
      </c>
      <c r="H580" s="60" t="str">
        <f>IF(AND($B580=[1]rogério!$A581,[1]rogério!$B581=H$4),"ok","nok")</f>
        <v>nok</v>
      </c>
      <c r="I580" s="60" t="str">
        <f>IF(AND($B580=[1]rogério!$A581,[1]rogério!$B581=I$4),"ok","nok")</f>
        <v>nok</v>
      </c>
      <c r="J580" s="60" t="str">
        <f>IF(AND($B580=[1]rogério!$A581,[1]rogério!$B581=J$4),"ok","nok")</f>
        <v>nok</v>
      </c>
      <c r="K580" s="60" t="str">
        <f>IF(AND($B580=[1]rogério!$A581,[1]rogério!$B581=K$4),"ok","nok")</f>
        <v>nok</v>
      </c>
      <c r="L580" s="60" t="str">
        <f>IF(AND($B580=[1]rogério!$A581,[1]rogério!$B581=L$4),"ok","nok")</f>
        <v>nok</v>
      </c>
      <c r="M580" s="60" t="str">
        <f>IF(AND($B580=[1]rogério!$A581,[1]rogério!$B581=M$4),"ok","nok")</f>
        <v>nok</v>
      </c>
      <c r="N580" s="60" t="str">
        <f>IF(AND($B580=[1]rogério!$A581,[1]rogério!$B581=N$4),"ok","nok")</f>
        <v>nok</v>
      </c>
      <c r="O580" s="60" t="str">
        <f>IF(AND($B580=[1]rogério!$A581,[1]rogério!$B581=O$4),"ok","nok")</f>
        <v>nok</v>
      </c>
      <c r="P580" s="60" t="str">
        <f>IF(AND($B580=[1]rogério!$A581,[1]rogério!$B581=P$4),"ok","nok")</f>
        <v>nok</v>
      </c>
      <c r="Q580" s="60" t="str">
        <f>IF(AND($B580=[1]rogério!$A581,[1]rogério!$B581=Q$4),"ok","nok")</f>
        <v>nok</v>
      </c>
      <c r="R580" s="60" t="str">
        <f>IF(AND($B580=[1]rogério!$A581,[1]rogério!$B581=R$4),"ok","nok")</f>
        <v>ok</v>
      </c>
      <c r="S580" s="60" t="str">
        <f>IF(AND($B580=[1]rogério!$A581,[1]rogério!$B581=S$4),"ok","nok")</f>
        <v>nok</v>
      </c>
      <c r="T580" s="60" t="str">
        <f>IF(AND($B580=[1]rogério!$A581,[1]rogério!$B581=T$4),"ok","nok")</f>
        <v>nok</v>
      </c>
      <c r="U580" s="60" t="str">
        <f>IF(AND($B580=[1]rogério!$A581,[1]rogério!$B581=U$4),"ok","nok")</f>
        <v>nok</v>
      </c>
      <c r="V580" s="60" t="str">
        <f>IF(AND($B580=[1]rogério!$A581,[1]rogério!$B581=V$4),"ok","nok")</f>
        <v>nok</v>
      </c>
      <c r="W580" s="60" t="str">
        <f>IF(AND($B580=[1]rogério!$A581,[1]rogério!$B581=W$4),"ok","nok")</f>
        <v>nok</v>
      </c>
      <c r="X580" s="60" t="str">
        <f>IF(AND($B580=[1]rogério!$A581,[1]rogério!$B581=X$4),"ok","nok")</f>
        <v>nok</v>
      </c>
      <c r="Y580" s="105" t="s">
        <v>15</v>
      </c>
      <c r="Z580" s="106"/>
      <c r="AA580" s="106"/>
      <c r="AB580" s="107"/>
      <c r="AC580" s="38"/>
      <c r="AD580" s="38"/>
      <c r="AE580" s="48" t="str">
        <f t="shared" si="148"/>
        <v/>
      </c>
      <c r="AF580" s="48"/>
      <c r="AG580" s="48"/>
      <c r="AH580" s="89"/>
      <c r="AI580" s="49">
        <f t="shared" si="149"/>
        <v>0</v>
      </c>
      <c r="AJ580" s="49" t="str">
        <f t="shared" si="150"/>
        <v/>
      </c>
      <c r="AK580" s="49">
        <f t="shared" si="151"/>
        <v>0</v>
      </c>
      <c r="AL580" s="49" t="str">
        <f t="shared" si="152"/>
        <v/>
      </c>
      <c r="AM580" s="49">
        <f t="shared" si="153"/>
        <v>0</v>
      </c>
      <c r="AN580" s="49" t="str">
        <f t="shared" si="154"/>
        <v/>
      </c>
      <c r="AO580" s="49">
        <f t="shared" si="155"/>
        <v>1</v>
      </c>
      <c r="AP580" s="49" t="str">
        <f t="shared" si="156"/>
        <v/>
      </c>
      <c r="AQ580" s="49">
        <f t="shared" si="157"/>
        <v>0</v>
      </c>
      <c r="AR580" s="49" t="str">
        <f t="shared" si="158"/>
        <v/>
      </c>
    </row>
    <row r="581" spans="1:44" ht="30" customHeight="1" x14ac:dyDescent="0.35">
      <c r="A581" s="25" t="str">
        <f t="shared" si="147"/>
        <v>PT177 - PLATAFORMA DE ACESSO - GRUPO - DETALHADO
COLUNA 2PROJETO DETALHADO
CIVIL</v>
      </c>
      <c r="B581" s="40" t="s">
        <v>43</v>
      </c>
      <c r="C581" s="60" t="str">
        <f>IF(AND($B581=[1]rogério!$A582,[1]rogério!$B582=C$4),"ok","nok")</f>
        <v>nok</v>
      </c>
      <c r="D581" s="60" t="str">
        <f>IF(AND($B581=[1]rogério!$A582,[1]rogério!$B582=D$4),"ok","nok")</f>
        <v>nok</v>
      </c>
      <c r="E581" s="60" t="str">
        <f>IF(AND($B581=[1]rogério!$A582,[1]rogério!$B582=E$4),"ok","nok")</f>
        <v>nok</v>
      </c>
      <c r="F581" s="60" t="str">
        <f>IF(AND($B581=[1]rogério!$A582,[1]rogério!$B582=F$4),"ok","nok")</f>
        <v>nok</v>
      </c>
      <c r="G581" s="60" t="str">
        <f>IF(AND($B581=[1]rogério!$A582,[1]rogério!$B582=G$4),"ok","nok")</f>
        <v>nok</v>
      </c>
      <c r="H581" s="60" t="str">
        <f>IF(AND($B581=[1]rogério!$A582,[1]rogério!$B582=H$4),"ok","nok")</f>
        <v>nok</v>
      </c>
      <c r="I581" s="60" t="str">
        <f>IF(AND($B581=[1]rogério!$A582,[1]rogério!$B582=I$4),"ok","nok")</f>
        <v>nok</v>
      </c>
      <c r="J581" s="60" t="str">
        <f>IF(AND($B581=[1]rogério!$A582,[1]rogério!$B582=J$4),"ok","nok")</f>
        <v>nok</v>
      </c>
      <c r="K581" s="60" t="str">
        <f>IF(AND($B581=[1]rogério!$A582,[1]rogério!$B582=K$4),"ok","nok")</f>
        <v>nok</v>
      </c>
      <c r="L581" s="60" t="str">
        <f>IF(AND($B581=[1]rogério!$A582,[1]rogério!$B582=L$4),"ok","nok")</f>
        <v>nok</v>
      </c>
      <c r="M581" s="60" t="str">
        <f>IF(AND($B581=[1]rogério!$A582,[1]rogério!$B582=M$4),"ok","nok")</f>
        <v>nok</v>
      </c>
      <c r="N581" s="60" t="str">
        <f>IF(AND($B581=[1]rogério!$A582,[1]rogério!$B582=N$4),"ok","nok")</f>
        <v>nok</v>
      </c>
      <c r="O581" s="60" t="str">
        <f>IF(AND($B581=[1]rogério!$A582,[1]rogério!$B582=O$4),"ok","nok")</f>
        <v>nok</v>
      </c>
      <c r="P581" s="60" t="str">
        <f>IF(AND($B581=[1]rogério!$A582,[1]rogério!$B582=P$4),"ok","nok")</f>
        <v>nok</v>
      </c>
      <c r="Q581" s="60" t="str">
        <f>IF(AND($B581=[1]rogério!$A582,[1]rogério!$B582=Q$4),"ok","nok")</f>
        <v>nok</v>
      </c>
      <c r="R581" s="60" t="str">
        <f>IF(AND($B581=[1]rogério!$A582,[1]rogério!$B582=R$4),"ok","nok")</f>
        <v>ok</v>
      </c>
      <c r="S581" s="60" t="str">
        <f>IF(AND($B581=[1]rogério!$A582,[1]rogério!$B582=S$4),"ok","nok")</f>
        <v>nok</v>
      </c>
      <c r="T581" s="60" t="str">
        <f>IF(AND($B581=[1]rogério!$A582,[1]rogério!$B582=T$4),"ok","nok")</f>
        <v>nok</v>
      </c>
      <c r="U581" s="60" t="str">
        <f>IF(AND($B581=[1]rogério!$A582,[1]rogério!$B582=U$4),"ok","nok")</f>
        <v>nok</v>
      </c>
      <c r="V581" s="60" t="str">
        <f>IF(AND($B581=[1]rogério!$A582,[1]rogério!$B582=V$4),"ok","nok")</f>
        <v>nok</v>
      </c>
      <c r="W581" s="60" t="str">
        <f>IF(AND($B581=[1]rogério!$A582,[1]rogério!$B582=W$4),"ok","nok")</f>
        <v>nok</v>
      </c>
      <c r="X581" s="60" t="str">
        <f>IF(AND($B581=[1]rogério!$A582,[1]rogério!$B582=X$4),"ok","nok")</f>
        <v>nok</v>
      </c>
      <c r="Y581" s="105" t="s">
        <v>15</v>
      </c>
      <c r="Z581" s="106"/>
      <c r="AA581" s="106"/>
      <c r="AB581" s="107"/>
      <c r="AC581" s="38"/>
      <c r="AD581" s="38"/>
      <c r="AE581" s="48" t="str">
        <f t="shared" si="148"/>
        <v/>
      </c>
      <c r="AF581" s="48"/>
      <c r="AG581" s="48"/>
      <c r="AH581" s="89"/>
      <c r="AI581" s="49">
        <f t="shared" si="149"/>
        <v>0</v>
      </c>
      <c r="AJ581" s="49" t="str">
        <f t="shared" si="150"/>
        <v/>
      </c>
      <c r="AK581" s="49">
        <f t="shared" si="151"/>
        <v>0</v>
      </c>
      <c r="AL581" s="49" t="str">
        <f t="shared" si="152"/>
        <v/>
      </c>
      <c r="AM581" s="49">
        <f t="shared" si="153"/>
        <v>0</v>
      </c>
      <c r="AN581" s="49" t="str">
        <f t="shared" si="154"/>
        <v/>
      </c>
      <c r="AO581" s="49">
        <f t="shared" si="155"/>
        <v>1</v>
      </c>
      <c r="AP581" s="49" t="str">
        <f t="shared" si="156"/>
        <v/>
      </c>
      <c r="AQ581" s="49">
        <f t="shared" si="157"/>
        <v>0</v>
      </c>
      <c r="AR581" s="49" t="str">
        <f t="shared" si="158"/>
        <v/>
      </c>
    </row>
    <row r="582" spans="1:44" ht="30" customHeight="1" x14ac:dyDescent="0.35">
      <c r="A582" s="25" t="str">
        <f t="shared" si="147"/>
        <v>PT177 - PLATAFORMA DE ACESSO - GRUPO - DETALHADO
COLUNA 2PROJETO DETALHADO
CIVIL</v>
      </c>
      <c r="B582" s="38" t="s">
        <v>72</v>
      </c>
      <c r="C582" s="60" t="str">
        <f>IF(AND($B582=[1]rogério!$A583,[1]rogério!$B583=C$4),"ok","nok")</f>
        <v>nok</v>
      </c>
      <c r="D582" s="60" t="str">
        <f>IF(AND($B582=[1]rogério!$A583,[1]rogério!$B583=D$4),"ok","nok")</f>
        <v>nok</v>
      </c>
      <c r="E582" s="60" t="str">
        <f>IF(AND($B582=[1]rogério!$A583,[1]rogério!$B583=E$4),"ok","nok")</f>
        <v>nok</v>
      </c>
      <c r="F582" s="60" t="str">
        <f>IF(AND($B582=[1]rogério!$A583,[1]rogério!$B583=F$4),"ok","nok")</f>
        <v>nok</v>
      </c>
      <c r="G582" s="60" t="str">
        <f>IF(AND($B582=[1]rogério!$A583,[1]rogério!$B583=G$4),"ok","nok")</f>
        <v>nok</v>
      </c>
      <c r="H582" s="60" t="str">
        <f>IF(AND($B582=[1]rogério!$A583,[1]rogério!$B583=H$4),"ok","nok")</f>
        <v>nok</v>
      </c>
      <c r="I582" s="60" t="str">
        <f>IF(AND($B582=[1]rogério!$A583,[1]rogério!$B583=I$4),"ok","nok")</f>
        <v>ok</v>
      </c>
      <c r="J582" s="60" t="str">
        <f>IF(AND($B582=[1]rogério!$A583,[1]rogério!$B583=J$4),"ok","nok")</f>
        <v>nok</v>
      </c>
      <c r="K582" s="60" t="str">
        <f>IF(AND($B582=[1]rogério!$A583,[1]rogério!$B583=K$4),"ok","nok")</f>
        <v>nok</v>
      </c>
      <c r="L582" s="60" t="str">
        <f>IF(AND($B582=[1]rogério!$A583,[1]rogério!$B583=L$4),"ok","nok")</f>
        <v>nok</v>
      </c>
      <c r="M582" s="60" t="str">
        <f>IF(AND($B582=[1]rogério!$A583,[1]rogério!$B583=M$4),"ok","nok")</f>
        <v>nok</v>
      </c>
      <c r="N582" s="60" t="str">
        <f>IF(AND($B582=[1]rogério!$A583,[1]rogério!$B583=N$4),"ok","nok")</f>
        <v>nok</v>
      </c>
      <c r="O582" s="60" t="str">
        <f>IF(AND($B582=[1]rogério!$A583,[1]rogério!$B583=O$4),"ok","nok")</f>
        <v>nok</v>
      </c>
      <c r="P582" s="60" t="str">
        <f>IF(AND($B582=[1]rogério!$A583,[1]rogério!$B583=P$4),"ok","nok")</f>
        <v>nok</v>
      </c>
      <c r="Q582" s="60" t="str">
        <f>IF(AND($B582=[1]rogério!$A583,[1]rogério!$B583=Q$4),"ok","nok")</f>
        <v>nok</v>
      </c>
      <c r="R582" s="60" t="str">
        <f>IF(AND($B582=[1]rogério!$A583,[1]rogério!$B583=R$4),"ok","nok")</f>
        <v>nok</v>
      </c>
      <c r="S582" s="60" t="str">
        <f>IF(AND($B582=[1]rogério!$A583,[1]rogério!$B583=S$4),"ok","nok")</f>
        <v>nok</v>
      </c>
      <c r="T582" s="60" t="str">
        <f>IF(AND($B582=[1]rogério!$A583,[1]rogério!$B583=T$4),"ok","nok")</f>
        <v>nok</v>
      </c>
      <c r="U582" s="60" t="str">
        <f>IF(AND($B582=[1]rogério!$A583,[1]rogério!$B583=U$4),"ok","nok")</f>
        <v>nok</v>
      </c>
      <c r="V582" s="60" t="str">
        <f>IF(AND($B582=[1]rogério!$A583,[1]rogério!$B583=V$4),"ok","nok")</f>
        <v>nok</v>
      </c>
      <c r="W582" s="60" t="str">
        <f>IF(AND($B582=[1]rogério!$A583,[1]rogério!$B583=W$4),"ok","nok")</f>
        <v>nok</v>
      </c>
      <c r="X582" s="60" t="str">
        <f>IF(AND($B582=[1]rogério!$A583,[1]rogério!$B583=X$4),"ok","nok")</f>
        <v>nok</v>
      </c>
      <c r="Y582" s="105" t="s">
        <v>15</v>
      </c>
      <c r="Z582" s="106"/>
      <c r="AA582" s="106"/>
      <c r="AB582" s="107"/>
      <c r="AC582" s="38"/>
      <c r="AD582" s="38"/>
      <c r="AE582" s="48" t="str">
        <f t="shared" si="148"/>
        <v/>
      </c>
      <c r="AF582" s="48"/>
      <c r="AG582" s="48"/>
      <c r="AH582" s="89"/>
      <c r="AI582" s="49">
        <f t="shared" si="149"/>
        <v>0</v>
      </c>
      <c r="AJ582" s="49" t="str">
        <f t="shared" si="150"/>
        <v/>
      </c>
      <c r="AK582" s="49">
        <f t="shared" si="151"/>
        <v>1</v>
      </c>
      <c r="AL582" s="49" t="str">
        <f t="shared" si="152"/>
        <v/>
      </c>
      <c r="AM582" s="49">
        <f t="shared" si="153"/>
        <v>0</v>
      </c>
      <c r="AN582" s="49" t="str">
        <f t="shared" si="154"/>
        <v/>
      </c>
      <c r="AO582" s="49">
        <f t="shared" si="155"/>
        <v>0</v>
      </c>
      <c r="AP582" s="49" t="str">
        <f t="shared" si="156"/>
        <v/>
      </c>
      <c r="AQ582" s="49">
        <f t="shared" si="157"/>
        <v>0</v>
      </c>
      <c r="AR582" s="49" t="str">
        <f t="shared" si="158"/>
        <v/>
      </c>
    </row>
    <row r="583" spans="1:44" ht="30" customHeight="1" x14ac:dyDescent="0.35">
      <c r="A583" s="25" t="str">
        <f t="shared" si="147"/>
        <v>PT177 - PLATAFORMA DE ACESSO - GRUPO - DETALHADO
COLUNA 2PROJETO DETALHADO
CIVIL</v>
      </c>
      <c r="B583" s="38" t="s">
        <v>73</v>
      </c>
      <c r="C583" s="60" t="str">
        <f>IF(AND($B583=[1]rogério!$A584,[1]rogério!$B584=C$4),"ok","nok")</f>
        <v>nok</v>
      </c>
      <c r="D583" s="60" t="str">
        <f>IF(AND($B583=[1]rogério!$A584,[1]rogério!$B584=D$4),"ok","nok")</f>
        <v>nok</v>
      </c>
      <c r="E583" s="60" t="str">
        <f>IF(AND($B583=[1]rogério!$A584,[1]rogério!$B584=E$4),"ok","nok")</f>
        <v>nok</v>
      </c>
      <c r="F583" s="60" t="str">
        <f>IF(AND($B583=[1]rogério!$A584,[1]rogério!$B584=F$4),"ok","nok")</f>
        <v>nok</v>
      </c>
      <c r="G583" s="60" t="str">
        <f>IF(AND($B583=[1]rogério!$A584,[1]rogério!$B584=G$4),"ok","nok")</f>
        <v>nok</v>
      </c>
      <c r="H583" s="60" t="str">
        <f>IF(AND($B583=[1]rogério!$A584,[1]rogério!$B584=H$4),"ok","nok")</f>
        <v>nok</v>
      </c>
      <c r="I583" s="60" t="str">
        <f>IF(AND($B583=[1]rogério!$A584,[1]rogério!$B584=I$4),"ok","nok")</f>
        <v>nok</v>
      </c>
      <c r="J583" s="60" t="str">
        <f>IF(AND($B583=[1]rogério!$A584,[1]rogério!$B584=J$4),"ok","nok")</f>
        <v>ok</v>
      </c>
      <c r="K583" s="60" t="str">
        <f>IF(AND($B583=[1]rogério!$A584,[1]rogério!$B584=K$4),"ok","nok")</f>
        <v>nok</v>
      </c>
      <c r="L583" s="60" t="str">
        <f>IF(AND($B583=[1]rogério!$A584,[1]rogério!$B584=L$4),"ok","nok")</f>
        <v>nok</v>
      </c>
      <c r="M583" s="60" t="str">
        <f>IF(AND($B583=[1]rogério!$A584,[1]rogério!$B584=M$4),"ok","nok")</f>
        <v>nok</v>
      </c>
      <c r="N583" s="60" t="str">
        <f>IF(AND($B583=[1]rogério!$A584,[1]rogério!$B584=N$4),"ok","nok")</f>
        <v>nok</v>
      </c>
      <c r="O583" s="60" t="str">
        <f>IF(AND($B583=[1]rogério!$A584,[1]rogério!$B584=O$4),"ok","nok")</f>
        <v>nok</v>
      </c>
      <c r="P583" s="60" t="str">
        <f>IF(AND($B583=[1]rogério!$A584,[1]rogério!$B584=P$4),"ok","nok")</f>
        <v>nok</v>
      </c>
      <c r="Q583" s="60" t="str">
        <f>IF(AND($B583=[1]rogério!$A584,[1]rogério!$B584=Q$4),"ok","nok")</f>
        <v>nok</v>
      </c>
      <c r="R583" s="60" t="str">
        <f>IF(AND($B583=[1]rogério!$A584,[1]rogério!$B584=R$4),"ok","nok")</f>
        <v>nok</v>
      </c>
      <c r="S583" s="60" t="str">
        <f>IF(AND($B583=[1]rogério!$A584,[1]rogério!$B584=S$4),"ok","nok")</f>
        <v>nok</v>
      </c>
      <c r="T583" s="60" t="str">
        <f>IF(AND($B583=[1]rogério!$A584,[1]rogério!$B584=T$4),"ok","nok")</f>
        <v>nok</v>
      </c>
      <c r="U583" s="60" t="str">
        <f>IF(AND($B583=[1]rogério!$A584,[1]rogério!$B584=U$4),"ok","nok")</f>
        <v>nok</v>
      </c>
      <c r="V583" s="60" t="str">
        <f>IF(AND($B583=[1]rogério!$A584,[1]rogério!$B584=V$4),"ok","nok")</f>
        <v>nok</v>
      </c>
      <c r="W583" s="60" t="str">
        <f>IF(AND($B583=[1]rogério!$A584,[1]rogério!$B584=W$4),"ok","nok")</f>
        <v>nok</v>
      </c>
      <c r="X583" s="60" t="str">
        <f>IF(AND($B583=[1]rogério!$A584,[1]rogério!$B584=X$4),"ok","nok")</f>
        <v>nok</v>
      </c>
      <c r="Y583" s="105" t="s">
        <v>15</v>
      </c>
      <c r="Z583" s="106"/>
      <c r="AA583" s="106"/>
      <c r="AB583" s="107"/>
      <c r="AC583" s="38"/>
      <c r="AD583" s="38"/>
      <c r="AE583" s="48" t="str">
        <f t="shared" si="148"/>
        <v/>
      </c>
      <c r="AF583" s="48"/>
      <c r="AG583" s="48"/>
      <c r="AH583" s="89"/>
      <c r="AI583" s="49">
        <f t="shared" si="149"/>
        <v>0</v>
      </c>
      <c r="AJ583" s="49" t="str">
        <f t="shared" si="150"/>
        <v/>
      </c>
      <c r="AK583" s="49">
        <f t="shared" si="151"/>
        <v>1</v>
      </c>
      <c r="AL583" s="49" t="str">
        <f t="shared" si="152"/>
        <v/>
      </c>
      <c r="AM583" s="49">
        <f t="shared" si="153"/>
        <v>0</v>
      </c>
      <c r="AN583" s="49" t="str">
        <f t="shared" si="154"/>
        <v/>
      </c>
      <c r="AO583" s="49">
        <f t="shared" si="155"/>
        <v>0</v>
      </c>
      <c r="AP583" s="49" t="str">
        <f t="shared" si="156"/>
        <v/>
      </c>
      <c r="AQ583" s="49">
        <f t="shared" si="157"/>
        <v>0</v>
      </c>
      <c r="AR583" s="49" t="str">
        <f t="shared" si="158"/>
        <v/>
      </c>
    </row>
    <row r="584" spans="1:44" ht="30" customHeight="1" x14ac:dyDescent="0.35">
      <c r="A584" s="25"/>
      <c r="B584" s="39" t="s">
        <v>53</v>
      </c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108"/>
      <c r="Z584" s="109"/>
      <c r="AA584" s="109"/>
      <c r="AB584" s="110"/>
      <c r="AC584" s="38"/>
      <c r="AD584" s="38"/>
      <c r="AE584" s="48" t="str">
        <f t="shared" si="148"/>
        <v/>
      </c>
      <c r="AF584" s="48"/>
      <c r="AG584" s="48"/>
      <c r="AH584" s="89"/>
      <c r="AI584" s="49">
        <f t="shared" si="149"/>
        <v>0</v>
      </c>
      <c r="AJ584" s="49" t="str">
        <f t="shared" si="150"/>
        <v/>
      </c>
      <c r="AK584" s="49">
        <f t="shared" si="151"/>
        <v>0</v>
      </c>
      <c r="AL584" s="49" t="str">
        <f t="shared" si="152"/>
        <v/>
      </c>
      <c r="AM584" s="49">
        <f t="shared" si="153"/>
        <v>0</v>
      </c>
      <c r="AN584" s="49" t="str">
        <f t="shared" si="154"/>
        <v/>
      </c>
      <c r="AO584" s="49">
        <f t="shared" si="155"/>
        <v>0</v>
      </c>
      <c r="AP584" s="49" t="str">
        <f t="shared" si="156"/>
        <v/>
      </c>
      <c r="AQ584" s="49">
        <f t="shared" si="157"/>
        <v>0</v>
      </c>
      <c r="AR584" s="49" t="str">
        <f t="shared" si="158"/>
        <v/>
      </c>
    </row>
    <row r="585" spans="1:44" ht="30" customHeight="1" x14ac:dyDescent="0.35">
      <c r="A585" s="25" t="str">
        <f t="shared" si="147"/>
        <v>PT177 - PLATAFORMA DE ACESSO - GRUPO - DETALHADO
COLUNA 2PROJETO DETALHADO
CIVIL</v>
      </c>
      <c r="B585" s="40" t="s">
        <v>49</v>
      </c>
      <c r="C585" s="60" t="str">
        <f>IF(AND($B585=[1]rogério!$A586,[1]rogério!$B586=C$4),"ok","nok")</f>
        <v>nok</v>
      </c>
      <c r="D585" s="60" t="str">
        <f>IF(AND($B585=[1]rogério!$A586,[1]rogério!$B586=D$4),"ok","nok")</f>
        <v>nok</v>
      </c>
      <c r="E585" s="60" t="str">
        <f>IF(AND($B585=[1]rogério!$A586,[1]rogério!$B586=E$4),"ok","nok")</f>
        <v>nok</v>
      </c>
      <c r="F585" s="60" t="str">
        <f>IF(AND($B585=[1]rogério!$A586,[1]rogério!$B586=F$4),"ok","nok")</f>
        <v>nok</v>
      </c>
      <c r="G585" s="60" t="str">
        <f>IF(AND($B585=[1]rogério!$A586,[1]rogério!$B586=G$4),"ok","nok")</f>
        <v>nok</v>
      </c>
      <c r="H585" s="60" t="str">
        <f>IF(AND($B585=[1]rogério!$A586,[1]rogério!$B586=H$4),"ok","nok")</f>
        <v>nok</v>
      </c>
      <c r="I585" s="60" t="str">
        <f>IF(AND($B585=[1]rogério!$A586,[1]rogério!$B586=I$4),"ok","nok")</f>
        <v>nok</v>
      </c>
      <c r="J585" s="60" t="str">
        <f>IF(AND($B585=[1]rogério!$A586,[1]rogério!$B586=J$4),"ok","nok")</f>
        <v>ok</v>
      </c>
      <c r="K585" s="60" t="str">
        <f>IF(AND($B585=[1]rogério!$A586,[1]rogério!$B586=K$4),"ok","nok")</f>
        <v>nok</v>
      </c>
      <c r="L585" s="60" t="str">
        <f>IF(AND($B585=[1]rogério!$A586,[1]rogério!$B586=L$4),"ok","nok")</f>
        <v>nok</v>
      </c>
      <c r="M585" s="60" t="str">
        <f>IF(AND($B585=[1]rogério!$A586,[1]rogério!$B586=M$4),"ok","nok")</f>
        <v>nok</v>
      </c>
      <c r="N585" s="60" t="str">
        <f>IF(AND($B585=[1]rogério!$A586,[1]rogério!$B586=N$4),"ok","nok")</f>
        <v>nok</v>
      </c>
      <c r="O585" s="60" t="str">
        <f>IF(AND($B585=[1]rogério!$A586,[1]rogério!$B586=O$4),"ok","nok")</f>
        <v>nok</v>
      </c>
      <c r="P585" s="60" t="str">
        <f>IF(AND($B585=[1]rogério!$A586,[1]rogério!$B586=P$4),"ok","nok")</f>
        <v>nok</v>
      </c>
      <c r="Q585" s="60" t="str">
        <f>IF(AND($B585=[1]rogério!$A586,[1]rogério!$B586=Q$4),"ok","nok")</f>
        <v>nok</v>
      </c>
      <c r="R585" s="60" t="str">
        <f>IF(AND($B585=[1]rogério!$A586,[1]rogério!$B586=R$4),"ok","nok")</f>
        <v>nok</v>
      </c>
      <c r="S585" s="60" t="str">
        <f>IF(AND($B585=[1]rogério!$A586,[1]rogério!$B586=S$4),"ok","nok")</f>
        <v>nok</v>
      </c>
      <c r="T585" s="60" t="str">
        <f>IF(AND($B585=[1]rogério!$A586,[1]rogério!$B586=T$4),"ok","nok")</f>
        <v>nok</v>
      </c>
      <c r="U585" s="60" t="str">
        <f>IF(AND($B585=[1]rogério!$A586,[1]rogério!$B586=U$4),"ok","nok")</f>
        <v>nok</v>
      </c>
      <c r="V585" s="60" t="str">
        <f>IF(AND($B585=[1]rogério!$A586,[1]rogério!$B586=V$4),"ok","nok")</f>
        <v>nok</v>
      </c>
      <c r="W585" s="60" t="str">
        <f>IF(AND($B585=[1]rogério!$A586,[1]rogério!$B586=W$4),"ok","nok")</f>
        <v>nok</v>
      </c>
      <c r="X585" s="60" t="str">
        <f>IF(AND($B585=[1]rogério!$A586,[1]rogério!$B586=X$4),"ok","nok")</f>
        <v>nok</v>
      </c>
      <c r="Y585" s="105" t="s">
        <v>15</v>
      </c>
      <c r="Z585" s="106"/>
      <c r="AA585" s="106"/>
      <c r="AB585" s="107"/>
      <c r="AC585" s="38"/>
      <c r="AD585" s="38"/>
      <c r="AE585" s="48" t="str">
        <f t="shared" si="148"/>
        <v/>
      </c>
      <c r="AF585" s="48"/>
      <c r="AG585" s="48"/>
      <c r="AH585" s="89"/>
      <c r="AI585" s="49">
        <f t="shared" si="149"/>
        <v>0</v>
      </c>
      <c r="AJ585" s="49" t="str">
        <f t="shared" si="150"/>
        <v/>
      </c>
      <c r="AK585" s="49">
        <f t="shared" si="151"/>
        <v>1</v>
      </c>
      <c r="AL585" s="49" t="str">
        <f t="shared" si="152"/>
        <v/>
      </c>
      <c r="AM585" s="49">
        <f t="shared" si="153"/>
        <v>0</v>
      </c>
      <c r="AN585" s="49" t="str">
        <f t="shared" si="154"/>
        <v/>
      </c>
      <c r="AO585" s="49">
        <f t="shared" si="155"/>
        <v>0</v>
      </c>
      <c r="AP585" s="49" t="str">
        <f t="shared" si="156"/>
        <v/>
      </c>
      <c r="AQ585" s="49">
        <f t="shared" si="157"/>
        <v>0</v>
      </c>
      <c r="AR585" s="49" t="str">
        <f t="shared" si="158"/>
        <v/>
      </c>
    </row>
    <row r="586" spans="1:44" ht="30" customHeight="1" x14ac:dyDescent="0.35">
      <c r="A586" s="25" t="str">
        <f t="shared" si="147"/>
        <v>PT177 - PLATAFORMA DE ACESSO - GRUPO - DETALHADO
COLUNA 2PROJETO DETALHADO
CIVIL</v>
      </c>
      <c r="B586" s="40" t="s">
        <v>19</v>
      </c>
      <c r="C586" s="60" t="str">
        <f>IF(AND($B586=[1]rogério!$A587,[1]rogério!$B587=C$4),"ok","nok")</f>
        <v>nok</v>
      </c>
      <c r="D586" s="60" t="str">
        <f>IF(AND($B586=[1]rogério!$A587,[1]rogério!$B587=D$4),"ok","nok")</f>
        <v>nok</v>
      </c>
      <c r="E586" s="60" t="str">
        <f>IF(AND($B586=[1]rogério!$A587,[1]rogério!$B587=E$4),"ok","nok")</f>
        <v>nok</v>
      </c>
      <c r="F586" s="60" t="str">
        <f>IF(AND($B586=[1]rogério!$A587,[1]rogério!$B587=F$4),"ok","nok")</f>
        <v>nok</v>
      </c>
      <c r="G586" s="60" t="str">
        <f>IF(AND($B586=[1]rogério!$A587,[1]rogério!$B587=G$4),"ok","nok")</f>
        <v>nok</v>
      </c>
      <c r="H586" s="60" t="str">
        <f>IF(AND($B586=[1]rogério!$A587,[1]rogério!$B587=H$4),"ok","nok")</f>
        <v>nok</v>
      </c>
      <c r="I586" s="60" t="str">
        <f>IF(AND($B586=[1]rogério!$A587,[1]rogério!$B587=I$4),"ok","nok")</f>
        <v>nok</v>
      </c>
      <c r="J586" s="60" t="str">
        <f>IF(AND($B586=[1]rogério!$A587,[1]rogério!$B587=J$4),"ok","nok")</f>
        <v>nok</v>
      </c>
      <c r="K586" s="60" t="str">
        <f>IF(AND($B586=[1]rogério!$A587,[1]rogério!$B587=K$4),"ok","nok")</f>
        <v>nok</v>
      </c>
      <c r="L586" s="60" t="str">
        <f>IF(AND($B586=[1]rogério!$A587,[1]rogério!$B587=L$4),"ok","nok")</f>
        <v>nok</v>
      </c>
      <c r="M586" s="60" t="str">
        <f>IF(AND($B586=[1]rogério!$A587,[1]rogério!$B587=M$4),"ok","nok")</f>
        <v>nok</v>
      </c>
      <c r="N586" s="60" t="str">
        <f>IF(AND($B586=[1]rogério!$A587,[1]rogério!$B587=N$4),"ok","nok")</f>
        <v>nok</v>
      </c>
      <c r="O586" s="60" t="str">
        <f>IF(AND($B586=[1]rogério!$A587,[1]rogério!$B587=O$4),"ok","nok")</f>
        <v>ok</v>
      </c>
      <c r="P586" s="60" t="str">
        <f>IF(AND($B586=[1]rogério!$A587,[1]rogério!$B587=P$4),"ok","nok")</f>
        <v>nok</v>
      </c>
      <c r="Q586" s="60" t="str">
        <f>IF(AND($B586=[1]rogério!$A587,[1]rogério!$B587=Q$4),"ok","nok")</f>
        <v>nok</v>
      </c>
      <c r="R586" s="60" t="str">
        <f>IF(AND($B586=[1]rogério!$A587,[1]rogério!$B587=R$4),"ok","nok")</f>
        <v>nok</v>
      </c>
      <c r="S586" s="60" t="str">
        <f>IF(AND($B586=[1]rogério!$A587,[1]rogério!$B587=S$4),"ok","nok")</f>
        <v>nok</v>
      </c>
      <c r="T586" s="60" t="str">
        <f>IF(AND($B586=[1]rogério!$A587,[1]rogério!$B587=T$4),"ok","nok")</f>
        <v>nok</v>
      </c>
      <c r="U586" s="60" t="str">
        <f>IF(AND($B586=[1]rogério!$A587,[1]rogério!$B587=U$4),"ok","nok")</f>
        <v>nok</v>
      </c>
      <c r="V586" s="60" t="str">
        <f>IF(AND($B586=[1]rogério!$A587,[1]rogério!$B587=V$4),"ok","nok")</f>
        <v>nok</v>
      </c>
      <c r="W586" s="60" t="str">
        <f>IF(AND($B586=[1]rogério!$A587,[1]rogério!$B587=W$4),"ok","nok")</f>
        <v>nok</v>
      </c>
      <c r="X586" s="60" t="str">
        <f>IF(AND($B586=[1]rogério!$A587,[1]rogério!$B587=X$4),"ok","nok")</f>
        <v>nok</v>
      </c>
      <c r="Y586" s="105" t="s">
        <v>15</v>
      </c>
      <c r="Z586" s="106"/>
      <c r="AA586" s="106"/>
      <c r="AB586" s="107"/>
      <c r="AC586" s="38"/>
      <c r="AD586" s="38"/>
      <c r="AE586" s="48" t="str">
        <f t="shared" si="148"/>
        <v/>
      </c>
      <c r="AF586" s="48"/>
      <c r="AG586" s="48"/>
      <c r="AH586" s="89"/>
      <c r="AI586" s="49">
        <f t="shared" si="149"/>
        <v>0</v>
      </c>
      <c r="AJ586" s="49" t="str">
        <f t="shared" si="150"/>
        <v/>
      </c>
      <c r="AK586" s="49">
        <f t="shared" si="151"/>
        <v>0</v>
      </c>
      <c r="AL586" s="49" t="str">
        <f t="shared" si="152"/>
        <v/>
      </c>
      <c r="AM586" s="49">
        <f t="shared" si="153"/>
        <v>1</v>
      </c>
      <c r="AN586" s="49" t="str">
        <f t="shared" si="154"/>
        <v/>
      </c>
      <c r="AO586" s="49">
        <f t="shared" si="155"/>
        <v>0</v>
      </c>
      <c r="AP586" s="49" t="str">
        <f t="shared" si="156"/>
        <v/>
      </c>
      <c r="AQ586" s="49">
        <f t="shared" si="157"/>
        <v>0</v>
      </c>
      <c r="AR586" s="49" t="str">
        <f t="shared" si="158"/>
        <v/>
      </c>
    </row>
    <row r="587" spans="1:44" ht="30" customHeight="1" x14ac:dyDescent="0.35">
      <c r="A587" s="25" t="str">
        <f t="shared" si="147"/>
        <v>PT177 - PLATAFORMA DE ACESSO - GRUPO - DETALHADO
COLUNA 2PROJETO DETALHADO
CIVIL</v>
      </c>
      <c r="B587" s="40" t="s">
        <v>42</v>
      </c>
      <c r="C587" s="60" t="str">
        <f>IF(AND($B587=[1]rogério!$A588,[1]rogério!$B588=C$4),"ok","nok")</f>
        <v>nok</v>
      </c>
      <c r="D587" s="60" t="str">
        <f>IF(AND($B587=[1]rogério!$A588,[1]rogério!$B588=D$4),"ok","nok")</f>
        <v>nok</v>
      </c>
      <c r="E587" s="60" t="str">
        <f>IF(AND($B587=[1]rogério!$A588,[1]rogério!$B588=E$4),"ok","nok")</f>
        <v>nok</v>
      </c>
      <c r="F587" s="60" t="str">
        <f>IF(AND($B587=[1]rogério!$A588,[1]rogério!$B588=F$4),"ok","nok")</f>
        <v>nok</v>
      </c>
      <c r="G587" s="60" t="str">
        <f>IF(AND($B587=[1]rogério!$A588,[1]rogério!$B588=G$4),"ok","nok")</f>
        <v>nok</v>
      </c>
      <c r="H587" s="60" t="str">
        <f>IF(AND($B587=[1]rogério!$A588,[1]rogério!$B588=H$4),"ok","nok")</f>
        <v>nok</v>
      </c>
      <c r="I587" s="60" t="str">
        <f>IF(AND($B587=[1]rogério!$A588,[1]rogério!$B588=I$4),"ok","nok")</f>
        <v>nok</v>
      </c>
      <c r="J587" s="60" t="str">
        <f>IF(AND($B587=[1]rogério!$A588,[1]rogério!$B588=J$4),"ok","nok")</f>
        <v>nok</v>
      </c>
      <c r="K587" s="60" t="str">
        <f>IF(AND($B587=[1]rogério!$A588,[1]rogério!$B588=K$4),"ok","nok")</f>
        <v>nok</v>
      </c>
      <c r="L587" s="60" t="str">
        <f>IF(AND($B587=[1]rogério!$A588,[1]rogério!$B588=L$4),"ok","nok")</f>
        <v>nok</v>
      </c>
      <c r="M587" s="60" t="str">
        <f>IF(AND($B587=[1]rogério!$A588,[1]rogério!$B588=M$4),"ok","nok")</f>
        <v>nok</v>
      </c>
      <c r="N587" s="60" t="str">
        <f>IF(AND($B587=[1]rogério!$A588,[1]rogério!$B588=N$4),"ok","nok")</f>
        <v>nok</v>
      </c>
      <c r="O587" s="60" t="str">
        <f>IF(AND($B587=[1]rogério!$A588,[1]rogério!$B588=O$4),"ok","nok")</f>
        <v>nok</v>
      </c>
      <c r="P587" s="60" t="str">
        <f>IF(AND($B587=[1]rogério!$A588,[1]rogério!$B588=P$4),"ok","nok")</f>
        <v>nok</v>
      </c>
      <c r="Q587" s="60" t="str">
        <f>IF(AND($B587=[1]rogério!$A588,[1]rogério!$B588=Q$4),"ok","nok")</f>
        <v>nok</v>
      </c>
      <c r="R587" s="60" t="str">
        <f>IF(AND($B587=[1]rogério!$A588,[1]rogério!$B588=R$4),"ok","nok")</f>
        <v>ok</v>
      </c>
      <c r="S587" s="60" t="str">
        <f>IF(AND($B587=[1]rogério!$A588,[1]rogério!$B588=S$4),"ok","nok")</f>
        <v>nok</v>
      </c>
      <c r="T587" s="60" t="str">
        <f>IF(AND($B587=[1]rogério!$A588,[1]rogério!$B588=T$4),"ok","nok")</f>
        <v>nok</v>
      </c>
      <c r="U587" s="60" t="str">
        <f>IF(AND($B587=[1]rogério!$A588,[1]rogério!$B588=U$4),"ok","nok")</f>
        <v>nok</v>
      </c>
      <c r="V587" s="60" t="str">
        <f>IF(AND($B587=[1]rogério!$A588,[1]rogério!$B588=V$4),"ok","nok")</f>
        <v>nok</v>
      </c>
      <c r="W587" s="60" t="str">
        <f>IF(AND($B587=[1]rogério!$A588,[1]rogério!$B588=W$4),"ok","nok")</f>
        <v>nok</v>
      </c>
      <c r="X587" s="60" t="str">
        <f>IF(AND($B587=[1]rogério!$A588,[1]rogério!$B588=X$4),"ok","nok")</f>
        <v>nok</v>
      </c>
      <c r="Y587" s="105" t="s">
        <v>15</v>
      </c>
      <c r="Z587" s="106"/>
      <c r="AA587" s="106"/>
      <c r="AB587" s="107"/>
      <c r="AC587" s="38"/>
      <c r="AD587" s="38"/>
      <c r="AE587" s="48" t="str">
        <f t="shared" si="148"/>
        <v/>
      </c>
      <c r="AF587" s="48"/>
      <c r="AG587" s="48"/>
      <c r="AH587" s="89"/>
      <c r="AI587" s="49">
        <f t="shared" si="149"/>
        <v>0</v>
      </c>
      <c r="AJ587" s="49" t="str">
        <f t="shared" si="150"/>
        <v/>
      </c>
      <c r="AK587" s="49">
        <f t="shared" si="151"/>
        <v>0</v>
      </c>
      <c r="AL587" s="49" t="str">
        <f t="shared" si="152"/>
        <v/>
      </c>
      <c r="AM587" s="49">
        <f t="shared" si="153"/>
        <v>0</v>
      </c>
      <c r="AN587" s="49" t="str">
        <f t="shared" si="154"/>
        <v/>
      </c>
      <c r="AO587" s="49">
        <f t="shared" si="155"/>
        <v>1</v>
      </c>
      <c r="AP587" s="49" t="str">
        <f t="shared" si="156"/>
        <v/>
      </c>
      <c r="AQ587" s="49">
        <f t="shared" si="157"/>
        <v>0</v>
      </c>
      <c r="AR587" s="49" t="str">
        <f t="shared" si="158"/>
        <v/>
      </c>
    </row>
    <row r="588" spans="1:44" ht="30" customHeight="1" x14ac:dyDescent="0.35">
      <c r="A588" s="25" t="str">
        <f t="shared" si="147"/>
        <v>PT177 - PLATAFORMA DE ACESSO - GRUPO - DETALHADO
COLUNA 2PROJETO DETALHADO
CIVIL</v>
      </c>
      <c r="B588" s="40" t="s">
        <v>43</v>
      </c>
      <c r="C588" s="60" t="str">
        <f>IF(AND($B588=[1]rogério!$A589,[1]rogério!$B589=C$4),"ok","nok")</f>
        <v>nok</v>
      </c>
      <c r="D588" s="60" t="str">
        <f>IF(AND($B588=[1]rogério!$A589,[1]rogério!$B589=D$4),"ok","nok")</f>
        <v>nok</v>
      </c>
      <c r="E588" s="60" t="str">
        <f>IF(AND($B588=[1]rogério!$A589,[1]rogério!$B589=E$4),"ok","nok")</f>
        <v>nok</v>
      </c>
      <c r="F588" s="60" t="str">
        <f>IF(AND($B588=[1]rogério!$A589,[1]rogério!$B589=F$4),"ok","nok")</f>
        <v>nok</v>
      </c>
      <c r="G588" s="60" t="str">
        <f>IF(AND($B588=[1]rogério!$A589,[1]rogério!$B589=G$4),"ok","nok")</f>
        <v>nok</v>
      </c>
      <c r="H588" s="60" t="str">
        <f>IF(AND($B588=[1]rogério!$A589,[1]rogério!$B589=H$4),"ok","nok")</f>
        <v>nok</v>
      </c>
      <c r="I588" s="60" t="str">
        <f>IF(AND($B588=[1]rogério!$A589,[1]rogério!$B589=I$4),"ok","nok")</f>
        <v>nok</v>
      </c>
      <c r="J588" s="60" t="str">
        <f>IF(AND($B588=[1]rogério!$A589,[1]rogério!$B589=J$4),"ok","nok")</f>
        <v>nok</v>
      </c>
      <c r="K588" s="60" t="str">
        <f>IF(AND($B588=[1]rogério!$A589,[1]rogério!$B589=K$4),"ok","nok")</f>
        <v>nok</v>
      </c>
      <c r="L588" s="60" t="str">
        <f>IF(AND($B588=[1]rogério!$A589,[1]rogério!$B589=L$4),"ok","nok")</f>
        <v>nok</v>
      </c>
      <c r="M588" s="60" t="str">
        <f>IF(AND($B588=[1]rogério!$A589,[1]rogério!$B589=M$4),"ok","nok")</f>
        <v>nok</v>
      </c>
      <c r="N588" s="60" t="str">
        <f>IF(AND($B588=[1]rogério!$A589,[1]rogério!$B589=N$4),"ok","nok")</f>
        <v>nok</v>
      </c>
      <c r="O588" s="60" t="str">
        <f>IF(AND($B588=[1]rogério!$A589,[1]rogério!$B589=O$4),"ok","nok")</f>
        <v>nok</v>
      </c>
      <c r="P588" s="60" t="str">
        <f>IF(AND($B588=[1]rogério!$A589,[1]rogério!$B589=P$4),"ok","nok")</f>
        <v>nok</v>
      </c>
      <c r="Q588" s="60" t="str">
        <f>IF(AND($B588=[1]rogério!$A589,[1]rogério!$B589=Q$4),"ok","nok")</f>
        <v>nok</v>
      </c>
      <c r="R588" s="60" t="str">
        <f>IF(AND($B588=[1]rogério!$A589,[1]rogério!$B589=R$4),"ok","nok")</f>
        <v>ok</v>
      </c>
      <c r="S588" s="60" t="str">
        <f>IF(AND($B588=[1]rogério!$A589,[1]rogério!$B589=S$4),"ok","nok")</f>
        <v>nok</v>
      </c>
      <c r="T588" s="60" t="str">
        <f>IF(AND($B588=[1]rogério!$A589,[1]rogério!$B589=T$4),"ok","nok")</f>
        <v>nok</v>
      </c>
      <c r="U588" s="60" t="str">
        <f>IF(AND($B588=[1]rogério!$A589,[1]rogério!$B589=U$4),"ok","nok")</f>
        <v>nok</v>
      </c>
      <c r="V588" s="60" t="str">
        <f>IF(AND($B588=[1]rogério!$A589,[1]rogério!$B589=V$4),"ok","nok")</f>
        <v>nok</v>
      </c>
      <c r="W588" s="60" t="str">
        <f>IF(AND($B588=[1]rogério!$A589,[1]rogério!$B589=W$4),"ok","nok")</f>
        <v>nok</v>
      </c>
      <c r="X588" s="60" t="str">
        <f>IF(AND($B588=[1]rogério!$A589,[1]rogério!$B589=X$4),"ok","nok")</f>
        <v>nok</v>
      </c>
      <c r="Y588" s="105" t="s">
        <v>15</v>
      </c>
      <c r="Z588" s="106"/>
      <c r="AA588" s="106"/>
      <c r="AB588" s="107"/>
      <c r="AC588" s="38"/>
      <c r="AD588" s="38"/>
      <c r="AE588" s="48" t="str">
        <f t="shared" si="148"/>
        <v/>
      </c>
      <c r="AF588" s="48"/>
      <c r="AG588" s="48"/>
      <c r="AH588" s="89"/>
      <c r="AI588" s="49">
        <f t="shared" si="149"/>
        <v>0</v>
      </c>
      <c r="AJ588" s="49" t="str">
        <f t="shared" si="150"/>
        <v/>
      </c>
      <c r="AK588" s="49">
        <f t="shared" si="151"/>
        <v>0</v>
      </c>
      <c r="AL588" s="49" t="str">
        <f t="shared" si="152"/>
        <v/>
      </c>
      <c r="AM588" s="49">
        <f t="shared" si="153"/>
        <v>0</v>
      </c>
      <c r="AN588" s="49" t="str">
        <f t="shared" si="154"/>
        <v/>
      </c>
      <c r="AO588" s="49">
        <f t="shared" si="155"/>
        <v>1</v>
      </c>
      <c r="AP588" s="49" t="str">
        <f t="shared" si="156"/>
        <v/>
      </c>
      <c r="AQ588" s="49">
        <f t="shared" si="157"/>
        <v>0</v>
      </c>
      <c r="AR588" s="49" t="str">
        <f t="shared" si="158"/>
        <v/>
      </c>
    </row>
    <row r="589" spans="1:44" ht="30" customHeight="1" x14ac:dyDescent="0.35">
      <c r="A589" s="25" t="str">
        <f t="shared" si="147"/>
        <v>PT177 - PLATAFORMA DE ACESSO - GRUPO - DETALHADO
COLUNA 2PROJETO DETALHADO
CIVIL</v>
      </c>
      <c r="B589" s="38" t="s">
        <v>74</v>
      </c>
      <c r="C589" s="60" t="str">
        <f>IF(AND($B589=[1]rogério!$A590,[1]rogério!$B590=C$4),"ok","nok")</f>
        <v>nok</v>
      </c>
      <c r="D589" s="60" t="str">
        <f>IF(AND($B589=[1]rogério!$A590,[1]rogério!$B590=D$4),"ok","nok")</f>
        <v>nok</v>
      </c>
      <c r="E589" s="60" t="str">
        <f>IF(AND($B589=[1]rogério!$A590,[1]rogério!$B590=E$4),"ok","nok")</f>
        <v>nok</v>
      </c>
      <c r="F589" s="60" t="str">
        <f>IF(AND($B589=[1]rogério!$A590,[1]rogério!$B590=F$4),"ok","nok")</f>
        <v>nok</v>
      </c>
      <c r="G589" s="60" t="str">
        <f>IF(AND($B589=[1]rogério!$A590,[1]rogério!$B590=G$4),"ok","nok")</f>
        <v>nok</v>
      </c>
      <c r="H589" s="60" t="str">
        <f>IF(AND($B589=[1]rogério!$A590,[1]rogério!$B590=H$4),"ok","nok")</f>
        <v>nok</v>
      </c>
      <c r="I589" s="60" t="str">
        <f>IF(AND($B589=[1]rogério!$A590,[1]rogério!$B590=I$4),"ok","nok")</f>
        <v>nok</v>
      </c>
      <c r="J589" s="60" t="str">
        <f>IF(AND($B589=[1]rogério!$A590,[1]rogério!$B590=J$4),"ok","nok")</f>
        <v>nok</v>
      </c>
      <c r="K589" s="60" t="str">
        <f>IF(AND($B589=[1]rogério!$A590,[1]rogério!$B590=K$4),"ok","nok")</f>
        <v>ok</v>
      </c>
      <c r="L589" s="60" t="str">
        <f>IF(AND($B589=[1]rogério!$A590,[1]rogério!$B590=L$4),"ok","nok")</f>
        <v>nok</v>
      </c>
      <c r="M589" s="60" t="str">
        <f>IF(AND($B589=[1]rogério!$A590,[1]rogério!$B590=M$4),"ok","nok")</f>
        <v>nok</v>
      </c>
      <c r="N589" s="60" t="str">
        <f>IF(AND($B589=[1]rogério!$A590,[1]rogério!$B590=N$4),"ok","nok")</f>
        <v>nok</v>
      </c>
      <c r="O589" s="60" t="str">
        <f>IF(AND($B589=[1]rogério!$A590,[1]rogério!$B590=O$4),"ok","nok")</f>
        <v>nok</v>
      </c>
      <c r="P589" s="60" t="str">
        <f>IF(AND($B589=[1]rogério!$A590,[1]rogério!$B590=P$4),"ok","nok")</f>
        <v>nok</v>
      </c>
      <c r="Q589" s="60" t="str">
        <f>IF(AND($B589=[1]rogério!$A590,[1]rogério!$B590=Q$4),"ok","nok")</f>
        <v>nok</v>
      </c>
      <c r="R589" s="60" t="str">
        <f>IF(AND($B589=[1]rogério!$A590,[1]rogério!$B590=R$4),"ok","nok")</f>
        <v>nok</v>
      </c>
      <c r="S589" s="60" t="str">
        <f>IF(AND($B589=[1]rogério!$A590,[1]rogério!$B590=S$4),"ok","nok")</f>
        <v>nok</v>
      </c>
      <c r="T589" s="60" t="str">
        <f>IF(AND($B589=[1]rogério!$A590,[1]rogério!$B590=T$4),"ok","nok")</f>
        <v>nok</v>
      </c>
      <c r="U589" s="60" t="str">
        <f>IF(AND($B589=[1]rogério!$A590,[1]rogério!$B590=U$4),"ok","nok")</f>
        <v>nok</v>
      </c>
      <c r="V589" s="60" t="str">
        <f>IF(AND($B589=[1]rogério!$A590,[1]rogério!$B590=V$4),"ok","nok")</f>
        <v>nok</v>
      </c>
      <c r="W589" s="60" t="str">
        <f>IF(AND($B589=[1]rogério!$A590,[1]rogério!$B590=W$4),"ok","nok")</f>
        <v>nok</v>
      </c>
      <c r="X589" s="60" t="str">
        <f>IF(AND($B589=[1]rogério!$A590,[1]rogério!$B590=X$4),"ok","nok")</f>
        <v>nok</v>
      </c>
      <c r="Y589" s="105" t="s">
        <v>15</v>
      </c>
      <c r="Z589" s="106"/>
      <c r="AA589" s="106"/>
      <c r="AB589" s="107"/>
      <c r="AC589" s="38"/>
      <c r="AD589" s="38"/>
      <c r="AE589" s="48" t="str">
        <f t="shared" si="148"/>
        <v/>
      </c>
      <c r="AF589" s="48"/>
      <c r="AG589" s="48"/>
      <c r="AH589" s="89"/>
      <c r="AI589" s="49">
        <f t="shared" si="149"/>
        <v>0</v>
      </c>
      <c r="AJ589" s="49" t="str">
        <f t="shared" si="150"/>
        <v/>
      </c>
      <c r="AK589" s="49">
        <f t="shared" si="151"/>
        <v>1</v>
      </c>
      <c r="AL589" s="49" t="str">
        <f t="shared" si="152"/>
        <v/>
      </c>
      <c r="AM589" s="49">
        <f t="shared" si="153"/>
        <v>0</v>
      </c>
      <c r="AN589" s="49" t="str">
        <f t="shared" si="154"/>
        <v/>
      </c>
      <c r="AO589" s="49">
        <f t="shared" si="155"/>
        <v>0</v>
      </c>
      <c r="AP589" s="49" t="str">
        <f t="shared" si="156"/>
        <v/>
      </c>
      <c r="AQ589" s="49">
        <f t="shared" si="157"/>
        <v>0</v>
      </c>
      <c r="AR589" s="49" t="str">
        <f t="shared" si="158"/>
        <v/>
      </c>
    </row>
    <row r="590" spans="1:44" ht="30" customHeight="1" x14ac:dyDescent="0.35">
      <c r="A590" s="25" t="str">
        <f t="shared" si="147"/>
        <v>PT177 - PLATAFORMA DE ACESSO - GRUPO - DETALHADO
COLUNA 2PROJETO DETALHADO
CIVIL</v>
      </c>
      <c r="B590" s="38" t="s">
        <v>75</v>
      </c>
      <c r="C590" s="60" t="str">
        <f>IF(AND($B590=[1]rogério!$A591,[1]rogério!$B591=C$4),"ok","nok")</f>
        <v>nok</v>
      </c>
      <c r="D590" s="60" t="str">
        <f>IF(AND($B590=[1]rogério!$A591,[1]rogério!$B591=D$4),"ok","nok")</f>
        <v>nok</v>
      </c>
      <c r="E590" s="60" t="str">
        <f>IF(AND($B590=[1]rogério!$A591,[1]rogério!$B591=E$4),"ok","nok")</f>
        <v>nok</v>
      </c>
      <c r="F590" s="60" t="str">
        <f>IF(AND($B590=[1]rogério!$A591,[1]rogério!$B591=F$4),"ok","nok")</f>
        <v>nok</v>
      </c>
      <c r="G590" s="60" t="str">
        <f>IF(AND($B590=[1]rogério!$A591,[1]rogério!$B591=G$4),"ok","nok")</f>
        <v>nok</v>
      </c>
      <c r="H590" s="60" t="str">
        <f>IF(AND($B590=[1]rogério!$A591,[1]rogério!$B591=H$4),"ok","nok")</f>
        <v>nok</v>
      </c>
      <c r="I590" s="60" t="str">
        <f>IF(AND($B590=[1]rogério!$A591,[1]rogério!$B591=I$4),"ok","nok")</f>
        <v>nok</v>
      </c>
      <c r="J590" s="60" t="str">
        <f>IF(AND($B590=[1]rogério!$A591,[1]rogério!$B591=J$4),"ok","nok")</f>
        <v>nok</v>
      </c>
      <c r="K590" s="60" t="str">
        <f>IF(AND($B590=[1]rogério!$A591,[1]rogério!$B591=K$4),"ok","nok")</f>
        <v>nok</v>
      </c>
      <c r="L590" s="60" t="str">
        <f>IF(AND($B590=[1]rogério!$A591,[1]rogério!$B591=L$4),"ok","nok")</f>
        <v>ok</v>
      </c>
      <c r="M590" s="60" t="str">
        <f>IF(AND($B590=[1]rogério!$A591,[1]rogério!$B591=M$4),"ok","nok")</f>
        <v>nok</v>
      </c>
      <c r="N590" s="60" t="str">
        <f>IF(AND($B590=[1]rogério!$A591,[1]rogério!$B591=N$4),"ok","nok")</f>
        <v>nok</v>
      </c>
      <c r="O590" s="60" t="str">
        <f>IF(AND($B590=[1]rogério!$A591,[1]rogério!$B591=O$4),"ok","nok")</f>
        <v>nok</v>
      </c>
      <c r="P590" s="60" t="str">
        <f>IF(AND($B590=[1]rogério!$A591,[1]rogério!$B591=P$4),"ok","nok")</f>
        <v>nok</v>
      </c>
      <c r="Q590" s="60" t="str">
        <f>IF(AND($B590=[1]rogério!$A591,[1]rogério!$B591=Q$4),"ok","nok")</f>
        <v>nok</v>
      </c>
      <c r="R590" s="60" t="str">
        <f>IF(AND($B590=[1]rogério!$A591,[1]rogério!$B591=R$4),"ok","nok")</f>
        <v>nok</v>
      </c>
      <c r="S590" s="60" t="str">
        <f>IF(AND($B590=[1]rogério!$A591,[1]rogério!$B591=S$4),"ok","nok")</f>
        <v>nok</v>
      </c>
      <c r="T590" s="60" t="str">
        <f>IF(AND($B590=[1]rogério!$A591,[1]rogério!$B591=T$4),"ok","nok")</f>
        <v>nok</v>
      </c>
      <c r="U590" s="60" t="str">
        <f>IF(AND($B590=[1]rogério!$A591,[1]rogério!$B591=U$4),"ok","nok")</f>
        <v>nok</v>
      </c>
      <c r="V590" s="60" t="str">
        <f>IF(AND($B590=[1]rogério!$A591,[1]rogério!$B591=V$4),"ok","nok")</f>
        <v>nok</v>
      </c>
      <c r="W590" s="60" t="str">
        <f>IF(AND($B590=[1]rogério!$A591,[1]rogério!$B591=W$4),"ok","nok")</f>
        <v>nok</v>
      </c>
      <c r="X590" s="60" t="str">
        <f>IF(AND($B590=[1]rogério!$A591,[1]rogério!$B591=X$4),"ok","nok")</f>
        <v>nok</v>
      </c>
      <c r="Y590" s="105" t="s">
        <v>15</v>
      </c>
      <c r="Z590" s="106"/>
      <c r="AA590" s="106"/>
      <c r="AB590" s="107"/>
      <c r="AC590" s="38"/>
      <c r="AD590" s="38"/>
      <c r="AE590" s="48" t="str">
        <f t="shared" si="148"/>
        <v/>
      </c>
      <c r="AF590" s="48"/>
      <c r="AG590" s="48"/>
      <c r="AH590" s="89"/>
      <c r="AI590" s="49">
        <f t="shared" si="149"/>
        <v>0</v>
      </c>
      <c r="AJ590" s="49" t="str">
        <f t="shared" si="150"/>
        <v/>
      </c>
      <c r="AK590" s="49">
        <f t="shared" si="151"/>
        <v>1</v>
      </c>
      <c r="AL590" s="49" t="str">
        <f t="shared" si="152"/>
        <v/>
      </c>
      <c r="AM590" s="49">
        <f t="shared" si="153"/>
        <v>0</v>
      </c>
      <c r="AN590" s="49" t="str">
        <f t="shared" si="154"/>
        <v/>
      </c>
      <c r="AO590" s="49">
        <f t="shared" si="155"/>
        <v>0</v>
      </c>
      <c r="AP590" s="49" t="str">
        <f t="shared" si="156"/>
        <v/>
      </c>
      <c r="AQ590" s="49">
        <f t="shared" si="157"/>
        <v>0</v>
      </c>
      <c r="AR590" s="49" t="str">
        <f t="shared" si="158"/>
        <v/>
      </c>
    </row>
    <row r="591" spans="1:44" ht="30" customHeight="1" x14ac:dyDescent="0.35">
      <c r="A591" s="25"/>
      <c r="B591" s="39" t="s">
        <v>62</v>
      </c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108"/>
      <c r="Z591" s="109"/>
      <c r="AA591" s="109"/>
      <c r="AB591" s="110"/>
      <c r="AC591" s="38"/>
      <c r="AD591" s="38"/>
      <c r="AE591" s="48" t="str">
        <f t="shared" si="148"/>
        <v/>
      </c>
      <c r="AF591" s="48"/>
      <c r="AG591" s="48"/>
      <c r="AH591" s="89"/>
      <c r="AI591" s="49">
        <f t="shared" si="149"/>
        <v>0</v>
      </c>
      <c r="AJ591" s="49" t="str">
        <f t="shared" si="150"/>
        <v/>
      </c>
      <c r="AK591" s="49">
        <f t="shared" si="151"/>
        <v>0</v>
      </c>
      <c r="AL591" s="49" t="str">
        <f t="shared" si="152"/>
        <v/>
      </c>
      <c r="AM591" s="49">
        <f t="shared" si="153"/>
        <v>0</v>
      </c>
      <c r="AN591" s="49" t="str">
        <f t="shared" si="154"/>
        <v/>
      </c>
      <c r="AO591" s="49">
        <f t="shared" si="155"/>
        <v>0</v>
      </c>
      <c r="AP591" s="49" t="str">
        <f t="shared" si="156"/>
        <v/>
      </c>
      <c r="AQ591" s="49">
        <f t="shared" si="157"/>
        <v>0</v>
      </c>
      <c r="AR591" s="49" t="str">
        <f t="shared" si="158"/>
        <v/>
      </c>
    </row>
    <row r="592" spans="1:44" ht="30" customHeight="1" x14ac:dyDescent="0.35">
      <c r="A592" s="25" t="str">
        <f t="shared" si="147"/>
        <v>PT177 - PLATAFORMA DE ACESSO - GRUPO - DETALHADO
COLUNA 2PROJETO DETALHADO
CIVIL</v>
      </c>
      <c r="B592" s="40" t="s">
        <v>49</v>
      </c>
      <c r="C592" s="60" t="str">
        <f>IF(AND($B592=[1]rogério!$A593,[1]rogério!$B593=C$4),"ok","nok")</f>
        <v>nok</v>
      </c>
      <c r="D592" s="60" t="str">
        <f>IF(AND($B592=[1]rogério!$A593,[1]rogério!$B593=D$4),"ok","nok")</f>
        <v>nok</v>
      </c>
      <c r="E592" s="60" t="str">
        <f>IF(AND($B592=[1]rogério!$A593,[1]rogério!$B593=E$4),"ok","nok")</f>
        <v>nok</v>
      </c>
      <c r="F592" s="60" t="str">
        <f>IF(AND($B592=[1]rogério!$A593,[1]rogério!$B593=F$4),"ok","nok")</f>
        <v>nok</v>
      </c>
      <c r="G592" s="60" t="str">
        <f>IF(AND($B592=[1]rogério!$A593,[1]rogério!$B593=G$4),"ok","nok")</f>
        <v>nok</v>
      </c>
      <c r="H592" s="60" t="str">
        <f>IF(AND($B592=[1]rogério!$A593,[1]rogério!$B593=H$4),"ok","nok")</f>
        <v>nok</v>
      </c>
      <c r="I592" s="60" t="str">
        <f>IF(AND($B592=[1]rogério!$A593,[1]rogério!$B593=I$4),"ok","nok")</f>
        <v>nok</v>
      </c>
      <c r="J592" s="60" t="str">
        <f>IF(AND($B592=[1]rogério!$A593,[1]rogério!$B593=J$4),"ok","nok")</f>
        <v>nok</v>
      </c>
      <c r="K592" s="60" t="str">
        <f>IF(AND($B592=[1]rogério!$A593,[1]rogério!$B593=K$4),"ok","nok")</f>
        <v>nok</v>
      </c>
      <c r="L592" s="60" t="str">
        <f>IF(AND($B592=[1]rogério!$A593,[1]rogério!$B593=L$4),"ok","nok")</f>
        <v>ok</v>
      </c>
      <c r="M592" s="60" t="str">
        <f>IF(AND($B592=[1]rogério!$A593,[1]rogério!$B593=M$4),"ok","nok")</f>
        <v>nok</v>
      </c>
      <c r="N592" s="60" t="str">
        <f>IF(AND($B592=[1]rogério!$A593,[1]rogério!$B593=N$4),"ok","nok")</f>
        <v>nok</v>
      </c>
      <c r="O592" s="60" t="str">
        <f>IF(AND($B592=[1]rogério!$A593,[1]rogério!$B593=O$4),"ok","nok")</f>
        <v>nok</v>
      </c>
      <c r="P592" s="60" t="str">
        <f>IF(AND($B592=[1]rogério!$A593,[1]rogério!$B593=P$4),"ok","nok")</f>
        <v>nok</v>
      </c>
      <c r="Q592" s="60" t="str">
        <f>IF(AND($B592=[1]rogério!$A593,[1]rogério!$B593=Q$4),"ok","nok")</f>
        <v>nok</v>
      </c>
      <c r="R592" s="60" t="str">
        <f>IF(AND($B592=[1]rogério!$A593,[1]rogério!$B593=R$4),"ok","nok")</f>
        <v>nok</v>
      </c>
      <c r="S592" s="60" t="str">
        <f>IF(AND($B592=[1]rogério!$A593,[1]rogério!$B593=S$4),"ok","nok")</f>
        <v>nok</v>
      </c>
      <c r="T592" s="60" t="str">
        <f>IF(AND($B592=[1]rogério!$A593,[1]rogério!$B593=T$4),"ok","nok")</f>
        <v>nok</v>
      </c>
      <c r="U592" s="60" t="str">
        <f>IF(AND($B592=[1]rogério!$A593,[1]rogério!$B593=U$4),"ok","nok")</f>
        <v>nok</v>
      </c>
      <c r="V592" s="60" t="str">
        <f>IF(AND($B592=[1]rogério!$A593,[1]rogério!$B593=V$4),"ok","nok")</f>
        <v>nok</v>
      </c>
      <c r="W592" s="60" t="str">
        <f>IF(AND($B592=[1]rogério!$A593,[1]rogério!$B593=W$4),"ok","nok")</f>
        <v>nok</v>
      </c>
      <c r="X592" s="60" t="str">
        <f>IF(AND($B592=[1]rogério!$A593,[1]rogério!$B593=X$4),"ok","nok")</f>
        <v>nok</v>
      </c>
      <c r="Y592" s="105" t="s">
        <v>15</v>
      </c>
      <c r="Z592" s="106"/>
      <c r="AA592" s="106"/>
      <c r="AB592" s="107"/>
      <c r="AC592" s="38"/>
      <c r="AD592" s="38"/>
      <c r="AE592" s="48" t="str">
        <f t="shared" si="148"/>
        <v/>
      </c>
      <c r="AF592" s="48"/>
      <c r="AG592" s="48"/>
      <c r="AH592" s="89"/>
      <c r="AI592" s="49">
        <f t="shared" si="149"/>
        <v>0</v>
      </c>
      <c r="AJ592" s="49" t="str">
        <f t="shared" si="150"/>
        <v/>
      </c>
      <c r="AK592" s="49">
        <f t="shared" si="151"/>
        <v>1</v>
      </c>
      <c r="AL592" s="49" t="str">
        <f t="shared" si="152"/>
        <v/>
      </c>
      <c r="AM592" s="49">
        <f t="shared" si="153"/>
        <v>0</v>
      </c>
      <c r="AN592" s="49" t="str">
        <f t="shared" si="154"/>
        <v/>
      </c>
      <c r="AO592" s="49">
        <f t="shared" si="155"/>
        <v>0</v>
      </c>
      <c r="AP592" s="49" t="str">
        <f t="shared" si="156"/>
        <v/>
      </c>
      <c r="AQ592" s="49">
        <f t="shared" si="157"/>
        <v>0</v>
      </c>
      <c r="AR592" s="49" t="str">
        <f t="shared" si="158"/>
        <v/>
      </c>
    </row>
    <row r="593" spans="1:44" ht="30" customHeight="1" x14ac:dyDescent="0.35">
      <c r="A593" s="25" t="str">
        <f t="shared" si="147"/>
        <v>PT177 - PLATAFORMA DE ACESSO - GRUPO - DETALHADO
COLUNA 2PROJETO DETALHADO
CIVIL</v>
      </c>
      <c r="B593" s="40" t="s">
        <v>19</v>
      </c>
      <c r="C593" s="60" t="str">
        <f>IF(AND($B593=[1]rogério!$A594,[1]rogério!$B594=C$4),"ok","nok")</f>
        <v>nok</v>
      </c>
      <c r="D593" s="60" t="str">
        <f>IF(AND($B593=[1]rogério!$A594,[1]rogério!$B594=D$4),"ok","nok")</f>
        <v>nok</v>
      </c>
      <c r="E593" s="60" t="str">
        <f>IF(AND($B593=[1]rogério!$A594,[1]rogério!$B594=E$4),"ok","nok")</f>
        <v>nok</v>
      </c>
      <c r="F593" s="60" t="str">
        <f>IF(AND($B593=[1]rogério!$A594,[1]rogério!$B594=F$4),"ok","nok")</f>
        <v>nok</v>
      </c>
      <c r="G593" s="60" t="str">
        <f>IF(AND($B593=[1]rogério!$A594,[1]rogério!$B594=G$4),"ok","nok")</f>
        <v>nok</v>
      </c>
      <c r="H593" s="60" t="str">
        <f>IF(AND($B593=[1]rogério!$A594,[1]rogério!$B594=H$4),"ok","nok")</f>
        <v>nok</v>
      </c>
      <c r="I593" s="60" t="str">
        <f>IF(AND($B593=[1]rogério!$A594,[1]rogério!$B594=I$4),"ok","nok")</f>
        <v>nok</v>
      </c>
      <c r="J593" s="60" t="str">
        <f>IF(AND($B593=[1]rogério!$A594,[1]rogério!$B594=J$4),"ok","nok")</f>
        <v>nok</v>
      </c>
      <c r="K593" s="60" t="str">
        <f>IF(AND($B593=[1]rogério!$A594,[1]rogério!$B594=K$4),"ok","nok")</f>
        <v>nok</v>
      </c>
      <c r="L593" s="60" t="str">
        <f>IF(AND($B593=[1]rogério!$A594,[1]rogério!$B594=L$4),"ok","nok")</f>
        <v>nok</v>
      </c>
      <c r="M593" s="60" t="str">
        <f>IF(AND($B593=[1]rogério!$A594,[1]rogério!$B594=M$4),"ok","nok")</f>
        <v>nok</v>
      </c>
      <c r="N593" s="60" t="str">
        <f>IF(AND($B593=[1]rogério!$A594,[1]rogério!$B594=N$4),"ok","nok")</f>
        <v>nok</v>
      </c>
      <c r="O593" s="60" t="str">
        <f>IF(AND($B593=[1]rogério!$A594,[1]rogério!$B594=O$4),"ok","nok")</f>
        <v>nok</v>
      </c>
      <c r="P593" s="60" t="str">
        <f>IF(AND($B593=[1]rogério!$A594,[1]rogério!$B594=P$4),"ok","nok")</f>
        <v>nok</v>
      </c>
      <c r="Q593" s="60" t="str">
        <f>IF(AND($B593=[1]rogério!$A594,[1]rogério!$B594=Q$4),"ok","nok")</f>
        <v>ok</v>
      </c>
      <c r="R593" s="60" t="str">
        <f>IF(AND($B593=[1]rogério!$A594,[1]rogério!$B594=R$4),"ok","nok")</f>
        <v>nok</v>
      </c>
      <c r="S593" s="60" t="str">
        <f>IF(AND($B593=[1]rogério!$A594,[1]rogério!$B594=S$4),"ok","nok")</f>
        <v>nok</v>
      </c>
      <c r="T593" s="60" t="str">
        <f>IF(AND($B593=[1]rogério!$A594,[1]rogério!$B594=T$4),"ok","nok")</f>
        <v>nok</v>
      </c>
      <c r="U593" s="60" t="str">
        <f>IF(AND($B593=[1]rogério!$A594,[1]rogério!$B594=U$4),"ok","nok")</f>
        <v>nok</v>
      </c>
      <c r="V593" s="60" t="str">
        <f>IF(AND($B593=[1]rogério!$A594,[1]rogério!$B594=V$4),"ok","nok")</f>
        <v>nok</v>
      </c>
      <c r="W593" s="60" t="str">
        <f>IF(AND($B593=[1]rogério!$A594,[1]rogério!$B594=W$4),"ok","nok")</f>
        <v>nok</v>
      </c>
      <c r="X593" s="60" t="str">
        <f>IF(AND($B593=[1]rogério!$A594,[1]rogério!$B594=X$4),"ok","nok")</f>
        <v>nok</v>
      </c>
      <c r="Y593" s="105" t="s">
        <v>15</v>
      </c>
      <c r="Z593" s="106"/>
      <c r="AA593" s="106"/>
      <c r="AB593" s="107"/>
      <c r="AC593" s="38"/>
      <c r="AD593" s="38"/>
      <c r="AE593" s="48" t="str">
        <f t="shared" si="148"/>
        <v/>
      </c>
      <c r="AF593" s="48"/>
      <c r="AG593" s="48"/>
      <c r="AH593" s="89"/>
      <c r="AI593" s="49">
        <f t="shared" si="149"/>
        <v>0</v>
      </c>
      <c r="AJ593" s="49" t="str">
        <f t="shared" si="150"/>
        <v/>
      </c>
      <c r="AK593" s="49">
        <f t="shared" si="151"/>
        <v>0</v>
      </c>
      <c r="AL593" s="49" t="str">
        <f t="shared" si="152"/>
        <v/>
      </c>
      <c r="AM593" s="49">
        <f t="shared" si="153"/>
        <v>1</v>
      </c>
      <c r="AN593" s="49" t="str">
        <f t="shared" si="154"/>
        <v/>
      </c>
      <c r="AO593" s="49">
        <f t="shared" si="155"/>
        <v>0</v>
      </c>
      <c r="AP593" s="49" t="str">
        <f t="shared" si="156"/>
        <v/>
      </c>
      <c r="AQ593" s="49">
        <f t="shared" si="157"/>
        <v>0</v>
      </c>
      <c r="AR593" s="49" t="str">
        <f t="shared" si="158"/>
        <v/>
      </c>
    </row>
    <row r="594" spans="1:44" ht="30" customHeight="1" x14ac:dyDescent="0.35">
      <c r="A594" s="25" t="str">
        <f t="shared" si="147"/>
        <v>PT177 - PLATAFORMA DE ACESSO - GRUPO - DETALHADO
COLUNA 2PROJETO DETALHADO
CIVIL</v>
      </c>
      <c r="B594" s="40" t="s">
        <v>42</v>
      </c>
      <c r="C594" s="60" t="str">
        <f>IF(AND($B594=[1]rogério!$A595,[1]rogério!$B595=C$4),"ok","nok")</f>
        <v>nok</v>
      </c>
      <c r="D594" s="60" t="str">
        <f>IF(AND($B594=[1]rogério!$A595,[1]rogério!$B595=D$4),"ok","nok")</f>
        <v>nok</v>
      </c>
      <c r="E594" s="60" t="str">
        <f>IF(AND($B594=[1]rogério!$A595,[1]rogério!$B595=E$4),"ok","nok")</f>
        <v>nok</v>
      </c>
      <c r="F594" s="60" t="str">
        <f>IF(AND($B594=[1]rogério!$A595,[1]rogério!$B595=F$4),"ok","nok")</f>
        <v>nok</v>
      </c>
      <c r="G594" s="60" t="str">
        <f>IF(AND($B594=[1]rogério!$A595,[1]rogério!$B595=G$4),"ok","nok")</f>
        <v>nok</v>
      </c>
      <c r="H594" s="60" t="str">
        <f>IF(AND($B594=[1]rogério!$A595,[1]rogério!$B595=H$4),"ok","nok")</f>
        <v>nok</v>
      </c>
      <c r="I594" s="60" t="str">
        <f>IF(AND($B594=[1]rogério!$A595,[1]rogério!$B595=I$4),"ok","nok")</f>
        <v>nok</v>
      </c>
      <c r="J594" s="60" t="str">
        <f>IF(AND($B594=[1]rogério!$A595,[1]rogério!$B595=J$4),"ok","nok")</f>
        <v>nok</v>
      </c>
      <c r="K594" s="60" t="str">
        <f>IF(AND($B594=[1]rogério!$A595,[1]rogério!$B595=K$4),"ok","nok")</f>
        <v>nok</v>
      </c>
      <c r="L594" s="60" t="str">
        <f>IF(AND($B594=[1]rogério!$A595,[1]rogério!$B595=L$4),"ok","nok")</f>
        <v>nok</v>
      </c>
      <c r="M594" s="60" t="str">
        <f>IF(AND($B594=[1]rogério!$A595,[1]rogério!$B595=M$4),"ok","nok")</f>
        <v>nok</v>
      </c>
      <c r="N594" s="60" t="str">
        <f>IF(AND($B594=[1]rogério!$A595,[1]rogério!$B595=N$4),"ok","nok")</f>
        <v>nok</v>
      </c>
      <c r="O594" s="60" t="str">
        <f>IF(AND($B594=[1]rogério!$A595,[1]rogério!$B595=O$4),"ok","nok")</f>
        <v>nok</v>
      </c>
      <c r="P594" s="60" t="str">
        <f>IF(AND($B594=[1]rogério!$A595,[1]rogério!$B595=P$4),"ok","nok")</f>
        <v>nok</v>
      </c>
      <c r="Q594" s="60" t="str">
        <f>IF(AND($B594=[1]rogério!$A595,[1]rogério!$B595=Q$4),"ok","nok")</f>
        <v>nok</v>
      </c>
      <c r="R594" s="60" t="str">
        <f>IF(AND($B594=[1]rogério!$A595,[1]rogério!$B595=R$4),"ok","nok")</f>
        <v>nok</v>
      </c>
      <c r="S594" s="60" t="str">
        <f>IF(AND($B594=[1]rogério!$A595,[1]rogério!$B595=S$4),"ok","nok")</f>
        <v>nok</v>
      </c>
      <c r="T594" s="60" t="str">
        <f>IF(AND($B594=[1]rogério!$A595,[1]rogério!$B595=T$4),"ok","nok")</f>
        <v>ok</v>
      </c>
      <c r="U594" s="60" t="str">
        <f>IF(AND($B594=[1]rogério!$A595,[1]rogério!$B595=U$4),"ok","nok")</f>
        <v>nok</v>
      </c>
      <c r="V594" s="60" t="str">
        <f>IF(AND($B594=[1]rogério!$A595,[1]rogério!$B595=V$4),"ok","nok")</f>
        <v>nok</v>
      </c>
      <c r="W594" s="60" t="str">
        <f>IF(AND($B594=[1]rogério!$A595,[1]rogério!$B595=W$4),"ok","nok")</f>
        <v>nok</v>
      </c>
      <c r="X594" s="60" t="str">
        <f>IF(AND($B594=[1]rogério!$A595,[1]rogério!$B595=X$4),"ok","nok")</f>
        <v>nok</v>
      </c>
      <c r="Y594" s="105" t="s">
        <v>15</v>
      </c>
      <c r="Z594" s="106"/>
      <c r="AA594" s="106"/>
      <c r="AB594" s="107"/>
      <c r="AC594" s="38"/>
      <c r="AD594" s="38"/>
      <c r="AE594" s="48" t="str">
        <f t="shared" si="148"/>
        <v/>
      </c>
      <c r="AF594" s="48"/>
      <c r="AG594" s="48"/>
      <c r="AH594" s="89"/>
      <c r="AI594" s="49">
        <f t="shared" si="149"/>
        <v>0</v>
      </c>
      <c r="AJ594" s="49" t="str">
        <f t="shared" si="150"/>
        <v/>
      </c>
      <c r="AK594" s="49">
        <f t="shared" si="151"/>
        <v>0</v>
      </c>
      <c r="AL594" s="49" t="str">
        <f t="shared" si="152"/>
        <v/>
      </c>
      <c r="AM594" s="49">
        <f t="shared" si="153"/>
        <v>0</v>
      </c>
      <c r="AN594" s="49" t="str">
        <f t="shared" si="154"/>
        <v/>
      </c>
      <c r="AO594" s="49">
        <f t="shared" si="155"/>
        <v>1</v>
      </c>
      <c r="AP594" s="49" t="str">
        <f t="shared" si="156"/>
        <v/>
      </c>
      <c r="AQ594" s="49">
        <f t="shared" si="157"/>
        <v>0</v>
      </c>
      <c r="AR594" s="49" t="str">
        <f t="shared" si="158"/>
        <v/>
      </c>
    </row>
    <row r="595" spans="1:44" ht="30" customHeight="1" x14ac:dyDescent="0.35">
      <c r="A595" s="25" t="str">
        <f t="shared" si="147"/>
        <v>PT177 - PLATAFORMA DE ACESSO - GRUPO - DETALHADO
COLUNA 2PROJETO DETALHADO
CIVIL</v>
      </c>
      <c r="B595" s="40" t="s">
        <v>43</v>
      </c>
      <c r="C595" s="60" t="str">
        <f>IF(AND($B595=[1]rogério!$A596,[1]rogério!$B596=C$4),"ok","nok")</f>
        <v>nok</v>
      </c>
      <c r="D595" s="60" t="str">
        <f>IF(AND($B595=[1]rogério!$A596,[1]rogério!$B596=D$4),"ok","nok")</f>
        <v>nok</v>
      </c>
      <c r="E595" s="60" t="str">
        <f>IF(AND($B595=[1]rogério!$A596,[1]rogério!$B596=E$4),"ok","nok")</f>
        <v>nok</v>
      </c>
      <c r="F595" s="60" t="str">
        <f>IF(AND($B595=[1]rogério!$A596,[1]rogério!$B596=F$4),"ok","nok")</f>
        <v>nok</v>
      </c>
      <c r="G595" s="60" t="str">
        <f>IF(AND($B595=[1]rogério!$A596,[1]rogério!$B596=G$4),"ok","nok")</f>
        <v>nok</v>
      </c>
      <c r="H595" s="60" t="str">
        <f>IF(AND($B595=[1]rogério!$A596,[1]rogério!$B596=H$4),"ok","nok")</f>
        <v>nok</v>
      </c>
      <c r="I595" s="60" t="str">
        <f>IF(AND($B595=[1]rogério!$A596,[1]rogério!$B596=I$4),"ok","nok")</f>
        <v>nok</v>
      </c>
      <c r="J595" s="60" t="str">
        <f>IF(AND($B595=[1]rogério!$A596,[1]rogério!$B596=J$4),"ok","nok")</f>
        <v>nok</v>
      </c>
      <c r="K595" s="60" t="str">
        <f>IF(AND($B595=[1]rogério!$A596,[1]rogério!$B596=K$4),"ok","nok")</f>
        <v>nok</v>
      </c>
      <c r="L595" s="60" t="str">
        <f>IF(AND($B595=[1]rogério!$A596,[1]rogério!$B596=L$4),"ok","nok")</f>
        <v>nok</v>
      </c>
      <c r="M595" s="60" t="str">
        <f>IF(AND($B595=[1]rogério!$A596,[1]rogério!$B596=M$4),"ok","nok")</f>
        <v>nok</v>
      </c>
      <c r="N595" s="60" t="str">
        <f>IF(AND($B595=[1]rogério!$A596,[1]rogério!$B596=N$4),"ok","nok")</f>
        <v>nok</v>
      </c>
      <c r="O595" s="60" t="str">
        <f>IF(AND($B595=[1]rogério!$A596,[1]rogério!$B596=O$4),"ok","nok")</f>
        <v>nok</v>
      </c>
      <c r="P595" s="60" t="str">
        <f>IF(AND($B595=[1]rogério!$A596,[1]rogério!$B596=P$4),"ok","nok")</f>
        <v>nok</v>
      </c>
      <c r="Q595" s="60" t="str">
        <f>IF(AND($B595=[1]rogério!$A596,[1]rogério!$B596=Q$4),"ok","nok")</f>
        <v>nok</v>
      </c>
      <c r="R595" s="60" t="str">
        <f>IF(AND($B595=[1]rogério!$A596,[1]rogério!$B596=R$4),"ok","nok")</f>
        <v>nok</v>
      </c>
      <c r="S595" s="60" t="str">
        <f>IF(AND($B595=[1]rogério!$A596,[1]rogério!$B596=S$4),"ok","nok")</f>
        <v>nok</v>
      </c>
      <c r="T595" s="60" t="str">
        <f>IF(AND($B595=[1]rogério!$A596,[1]rogério!$B596=T$4),"ok","nok")</f>
        <v>ok</v>
      </c>
      <c r="U595" s="60" t="str">
        <f>IF(AND($B595=[1]rogério!$A596,[1]rogério!$B596=U$4),"ok","nok")</f>
        <v>nok</v>
      </c>
      <c r="V595" s="60" t="str">
        <f>IF(AND($B595=[1]rogério!$A596,[1]rogério!$B596=V$4),"ok","nok")</f>
        <v>nok</v>
      </c>
      <c r="W595" s="60" t="str">
        <f>IF(AND($B595=[1]rogério!$A596,[1]rogério!$B596=W$4),"ok","nok")</f>
        <v>nok</v>
      </c>
      <c r="X595" s="60" t="str">
        <f>IF(AND($B595=[1]rogério!$A596,[1]rogério!$B596=X$4),"ok","nok")</f>
        <v>nok</v>
      </c>
      <c r="Y595" s="105" t="s">
        <v>15</v>
      </c>
      <c r="Z595" s="106"/>
      <c r="AA595" s="106"/>
      <c r="AB595" s="107"/>
      <c r="AC595" s="38"/>
      <c r="AD595" s="38"/>
      <c r="AE595" s="48" t="str">
        <f t="shared" si="148"/>
        <v/>
      </c>
      <c r="AF595" s="48"/>
      <c r="AG595" s="48"/>
      <c r="AH595" s="89"/>
      <c r="AI595" s="49">
        <f t="shared" si="149"/>
        <v>0</v>
      </c>
      <c r="AJ595" s="49" t="str">
        <f t="shared" si="150"/>
        <v/>
      </c>
      <c r="AK595" s="49">
        <f t="shared" si="151"/>
        <v>0</v>
      </c>
      <c r="AL595" s="49" t="str">
        <f t="shared" si="152"/>
        <v/>
      </c>
      <c r="AM595" s="49">
        <f t="shared" si="153"/>
        <v>0</v>
      </c>
      <c r="AN595" s="49" t="str">
        <f t="shared" si="154"/>
        <v/>
      </c>
      <c r="AO595" s="49">
        <f t="shared" si="155"/>
        <v>1</v>
      </c>
      <c r="AP595" s="49" t="str">
        <f t="shared" si="156"/>
        <v/>
      </c>
      <c r="AQ595" s="49">
        <f t="shared" si="157"/>
        <v>0</v>
      </c>
      <c r="AR595" s="49" t="str">
        <f t="shared" si="158"/>
        <v/>
      </c>
    </row>
    <row r="596" spans="1:44" ht="30" customHeight="1" x14ac:dyDescent="0.35">
      <c r="A596" s="25" t="str">
        <f t="shared" si="147"/>
        <v>PT177 - PLATAFORMA DE ACESSO - GRUPO - DETALHADO
COLUNA 2PROJETO DETALHADO
CIVIL</v>
      </c>
      <c r="B596" s="38" t="s">
        <v>76</v>
      </c>
      <c r="C596" s="60" t="str">
        <f>IF(AND($B596=[1]rogério!$A597,[1]rogério!$B597=C$4),"ok","nok")</f>
        <v>nok</v>
      </c>
      <c r="D596" s="60" t="str">
        <f>IF(AND($B596=[1]rogério!$A597,[1]rogério!$B597=D$4),"ok","nok")</f>
        <v>nok</v>
      </c>
      <c r="E596" s="60" t="str">
        <f>IF(AND($B596=[1]rogério!$A597,[1]rogério!$B597=E$4),"ok","nok")</f>
        <v>nok</v>
      </c>
      <c r="F596" s="60" t="str">
        <f>IF(AND($B596=[1]rogério!$A597,[1]rogério!$B597=F$4),"ok","nok")</f>
        <v>nok</v>
      </c>
      <c r="G596" s="60" t="str">
        <f>IF(AND($B596=[1]rogério!$A597,[1]rogério!$B597=G$4),"ok","nok")</f>
        <v>nok</v>
      </c>
      <c r="H596" s="60" t="str">
        <f>IF(AND($B596=[1]rogério!$A597,[1]rogério!$B597=H$4),"ok","nok")</f>
        <v>nok</v>
      </c>
      <c r="I596" s="60" t="str">
        <f>IF(AND($B596=[1]rogério!$A597,[1]rogério!$B597=I$4),"ok","nok")</f>
        <v>nok</v>
      </c>
      <c r="J596" s="60" t="str">
        <f>IF(AND($B596=[1]rogério!$A597,[1]rogério!$B597=J$4),"ok","nok")</f>
        <v>nok</v>
      </c>
      <c r="K596" s="60" t="str">
        <f>IF(AND($B596=[1]rogério!$A597,[1]rogério!$B597=K$4),"ok","nok")</f>
        <v>nok</v>
      </c>
      <c r="L596" s="60" t="str">
        <f>IF(AND($B596=[1]rogério!$A597,[1]rogério!$B597=L$4),"ok","nok")</f>
        <v>nok</v>
      </c>
      <c r="M596" s="60" t="str">
        <f>IF(AND($B596=[1]rogério!$A597,[1]rogério!$B597=M$4),"ok","nok")</f>
        <v>ok</v>
      </c>
      <c r="N596" s="60" t="str">
        <f>IF(AND($B596=[1]rogério!$A597,[1]rogério!$B597=N$4),"ok","nok")</f>
        <v>nok</v>
      </c>
      <c r="O596" s="60" t="str">
        <f>IF(AND($B596=[1]rogério!$A597,[1]rogério!$B597=O$4),"ok","nok")</f>
        <v>nok</v>
      </c>
      <c r="P596" s="60" t="str">
        <f>IF(AND($B596=[1]rogério!$A597,[1]rogério!$B597=P$4),"ok","nok")</f>
        <v>nok</v>
      </c>
      <c r="Q596" s="60" t="str">
        <f>IF(AND($B596=[1]rogério!$A597,[1]rogério!$B597=Q$4),"ok","nok")</f>
        <v>nok</v>
      </c>
      <c r="R596" s="60" t="str">
        <f>IF(AND($B596=[1]rogério!$A597,[1]rogério!$B597=R$4),"ok","nok")</f>
        <v>nok</v>
      </c>
      <c r="S596" s="60" t="str">
        <f>IF(AND($B596=[1]rogério!$A597,[1]rogério!$B597=S$4),"ok","nok")</f>
        <v>nok</v>
      </c>
      <c r="T596" s="60" t="str">
        <f>IF(AND($B596=[1]rogério!$A597,[1]rogério!$B597=T$4),"ok","nok")</f>
        <v>nok</v>
      </c>
      <c r="U596" s="60" t="str">
        <f>IF(AND($B596=[1]rogério!$A597,[1]rogério!$B597=U$4),"ok","nok")</f>
        <v>nok</v>
      </c>
      <c r="V596" s="60" t="str">
        <f>IF(AND($B596=[1]rogério!$A597,[1]rogério!$B597=V$4),"ok","nok")</f>
        <v>nok</v>
      </c>
      <c r="W596" s="60" t="str">
        <f>IF(AND($B596=[1]rogério!$A597,[1]rogério!$B597=W$4),"ok","nok")</f>
        <v>nok</v>
      </c>
      <c r="X596" s="60" t="str">
        <f>IF(AND($B596=[1]rogério!$A597,[1]rogério!$B597=X$4),"ok","nok")</f>
        <v>nok</v>
      </c>
      <c r="Y596" s="105" t="s">
        <v>15</v>
      </c>
      <c r="Z596" s="106"/>
      <c r="AA596" s="106"/>
      <c r="AB596" s="107"/>
      <c r="AC596" s="38"/>
      <c r="AD596" s="38"/>
      <c r="AE596" s="48" t="str">
        <f t="shared" si="148"/>
        <v/>
      </c>
      <c r="AF596" s="48"/>
      <c r="AG596" s="48"/>
      <c r="AH596" s="89"/>
      <c r="AI596" s="49">
        <f t="shared" si="149"/>
        <v>0</v>
      </c>
      <c r="AJ596" s="49" t="str">
        <f t="shared" si="150"/>
        <v/>
      </c>
      <c r="AK596" s="49">
        <f t="shared" si="151"/>
        <v>0</v>
      </c>
      <c r="AL596" s="49" t="str">
        <f t="shared" si="152"/>
        <v/>
      </c>
      <c r="AM596" s="49">
        <f t="shared" si="153"/>
        <v>1</v>
      </c>
      <c r="AN596" s="49" t="str">
        <f t="shared" si="154"/>
        <v/>
      </c>
      <c r="AO596" s="49">
        <f t="shared" si="155"/>
        <v>0</v>
      </c>
      <c r="AP596" s="49" t="str">
        <f t="shared" si="156"/>
        <v/>
      </c>
      <c r="AQ596" s="49">
        <f t="shared" si="157"/>
        <v>0</v>
      </c>
      <c r="AR596" s="49" t="str">
        <f t="shared" si="158"/>
        <v/>
      </c>
    </row>
    <row r="597" spans="1:44" ht="30" customHeight="1" x14ac:dyDescent="0.35">
      <c r="A597" s="25" t="str">
        <f t="shared" si="147"/>
        <v>PT177 - PLATAFORMA DE ACESSO - GRUPO - DETALHADO
COLUNA 2PROJETO DETALHADO
CIVIL</v>
      </c>
      <c r="B597" s="38" t="s">
        <v>77</v>
      </c>
      <c r="C597" s="60" t="str">
        <f>IF(AND($B597=[1]rogério!$A598,[1]rogério!$B598=C$4),"ok","nok")</f>
        <v>nok</v>
      </c>
      <c r="D597" s="60" t="str">
        <f>IF(AND($B597=[1]rogério!$A598,[1]rogério!$B598=D$4),"ok","nok")</f>
        <v>nok</v>
      </c>
      <c r="E597" s="60" t="str">
        <f>IF(AND($B597=[1]rogério!$A598,[1]rogério!$B598=E$4),"ok","nok")</f>
        <v>nok</v>
      </c>
      <c r="F597" s="60" t="str">
        <f>IF(AND($B597=[1]rogério!$A598,[1]rogério!$B598=F$4),"ok","nok")</f>
        <v>nok</v>
      </c>
      <c r="G597" s="60" t="str">
        <f>IF(AND($B597=[1]rogério!$A598,[1]rogério!$B598=G$4),"ok","nok")</f>
        <v>nok</v>
      </c>
      <c r="H597" s="60" t="str">
        <f>IF(AND($B597=[1]rogério!$A598,[1]rogério!$B598=H$4),"ok","nok")</f>
        <v>nok</v>
      </c>
      <c r="I597" s="60" t="str">
        <f>IF(AND($B597=[1]rogério!$A598,[1]rogério!$B598=I$4),"ok","nok")</f>
        <v>nok</v>
      </c>
      <c r="J597" s="60" t="str">
        <f>IF(AND($B597=[1]rogério!$A598,[1]rogério!$B598=J$4),"ok","nok")</f>
        <v>nok</v>
      </c>
      <c r="K597" s="60" t="str">
        <f>IF(AND($B597=[1]rogério!$A598,[1]rogério!$B598=K$4),"ok","nok")</f>
        <v>nok</v>
      </c>
      <c r="L597" s="60" t="str">
        <f>IF(AND($B597=[1]rogério!$A598,[1]rogério!$B598=L$4),"ok","nok")</f>
        <v>nok</v>
      </c>
      <c r="M597" s="60" t="str">
        <f>IF(AND($B597=[1]rogério!$A598,[1]rogério!$B598=M$4),"ok","nok")</f>
        <v>nok</v>
      </c>
      <c r="N597" s="60" t="str">
        <f>IF(AND($B597=[1]rogério!$A598,[1]rogério!$B598=N$4),"ok","nok")</f>
        <v>ok</v>
      </c>
      <c r="O597" s="60" t="str">
        <f>IF(AND($B597=[1]rogério!$A598,[1]rogério!$B598=O$4),"ok","nok")</f>
        <v>nok</v>
      </c>
      <c r="P597" s="60" t="str">
        <f>IF(AND($B597=[1]rogério!$A598,[1]rogério!$B598=P$4),"ok","nok")</f>
        <v>nok</v>
      </c>
      <c r="Q597" s="60" t="str">
        <f>IF(AND($B597=[1]rogério!$A598,[1]rogério!$B598=Q$4),"ok","nok")</f>
        <v>nok</v>
      </c>
      <c r="R597" s="60" t="str">
        <f>IF(AND($B597=[1]rogério!$A598,[1]rogério!$B598=R$4),"ok","nok")</f>
        <v>nok</v>
      </c>
      <c r="S597" s="60" t="str">
        <f>IF(AND($B597=[1]rogério!$A598,[1]rogério!$B598=S$4),"ok","nok")</f>
        <v>nok</v>
      </c>
      <c r="T597" s="60" t="str">
        <f>IF(AND($B597=[1]rogério!$A598,[1]rogério!$B598=T$4),"ok","nok")</f>
        <v>nok</v>
      </c>
      <c r="U597" s="60" t="str">
        <f>IF(AND($B597=[1]rogério!$A598,[1]rogério!$B598=U$4),"ok","nok")</f>
        <v>nok</v>
      </c>
      <c r="V597" s="60" t="str">
        <f>IF(AND($B597=[1]rogério!$A598,[1]rogério!$B598=V$4),"ok","nok")</f>
        <v>nok</v>
      </c>
      <c r="W597" s="60" t="str">
        <f>IF(AND($B597=[1]rogério!$A598,[1]rogério!$B598=W$4),"ok","nok")</f>
        <v>nok</v>
      </c>
      <c r="X597" s="60" t="str">
        <f>IF(AND($B597=[1]rogério!$A598,[1]rogério!$B598=X$4),"ok","nok")</f>
        <v>nok</v>
      </c>
      <c r="Y597" s="105" t="s">
        <v>15</v>
      </c>
      <c r="Z597" s="106"/>
      <c r="AA597" s="106"/>
      <c r="AB597" s="107"/>
      <c r="AC597" s="38"/>
      <c r="AD597" s="38"/>
      <c r="AE597" s="48" t="str">
        <f t="shared" si="148"/>
        <v/>
      </c>
      <c r="AF597" s="48"/>
      <c r="AG597" s="48"/>
      <c r="AH597" s="89"/>
      <c r="AI597" s="49">
        <f t="shared" si="149"/>
        <v>0</v>
      </c>
      <c r="AJ597" s="49" t="str">
        <f t="shared" si="150"/>
        <v/>
      </c>
      <c r="AK597" s="49">
        <f t="shared" si="151"/>
        <v>0</v>
      </c>
      <c r="AL597" s="49" t="str">
        <f t="shared" si="152"/>
        <v/>
      </c>
      <c r="AM597" s="49">
        <f t="shared" si="153"/>
        <v>1</v>
      </c>
      <c r="AN597" s="49" t="str">
        <f t="shared" si="154"/>
        <v/>
      </c>
      <c r="AO597" s="49">
        <f t="shared" si="155"/>
        <v>0</v>
      </c>
      <c r="AP597" s="49" t="str">
        <f t="shared" si="156"/>
        <v/>
      </c>
      <c r="AQ597" s="49">
        <f t="shared" si="157"/>
        <v>0</v>
      </c>
      <c r="AR597" s="49" t="str">
        <f t="shared" si="158"/>
        <v/>
      </c>
    </row>
    <row r="598" spans="1:44" ht="30" customHeight="1" x14ac:dyDescent="0.35">
      <c r="A598" s="25"/>
      <c r="B598" s="39" t="s">
        <v>78</v>
      </c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108"/>
      <c r="Z598" s="109"/>
      <c r="AA598" s="109"/>
      <c r="AB598" s="110"/>
      <c r="AC598" s="38"/>
      <c r="AD598" s="38"/>
      <c r="AE598" s="48" t="str">
        <f t="shared" si="148"/>
        <v/>
      </c>
      <c r="AF598" s="48"/>
      <c r="AG598" s="48"/>
      <c r="AH598" s="89"/>
      <c r="AI598" s="49">
        <f t="shared" si="149"/>
        <v>0</v>
      </c>
      <c r="AJ598" s="49" t="str">
        <f t="shared" si="150"/>
        <v/>
      </c>
      <c r="AK598" s="49">
        <f t="shared" si="151"/>
        <v>0</v>
      </c>
      <c r="AL598" s="49" t="str">
        <f t="shared" si="152"/>
        <v/>
      </c>
      <c r="AM598" s="49">
        <f t="shared" si="153"/>
        <v>0</v>
      </c>
      <c r="AN598" s="49" t="str">
        <f t="shared" si="154"/>
        <v/>
      </c>
      <c r="AO598" s="49">
        <f t="shared" si="155"/>
        <v>0</v>
      </c>
      <c r="AP598" s="49" t="str">
        <f t="shared" si="156"/>
        <v/>
      </c>
      <c r="AQ598" s="49">
        <f t="shared" si="157"/>
        <v>0</v>
      </c>
      <c r="AR598" s="49" t="str">
        <f t="shared" si="158"/>
        <v/>
      </c>
    </row>
    <row r="599" spans="1:44" ht="30" customHeight="1" x14ac:dyDescent="0.35">
      <c r="A599" s="25" t="str">
        <f t="shared" si="147"/>
        <v>PT177 - PLATAFORMA DE ACESSO - GRUPO - DETALHADO
COLUNA 2PROJETO DETALHADO
CIVIL</v>
      </c>
      <c r="B599" s="40" t="s">
        <v>49</v>
      </c>
      <c r="C599" s="60" t="str">
        <f>IF(AND($B599=[1]rogério!$A600,[1]rogério!$B600=C$4),"ok","nok")</f>
        <v>nok</v>
      </c>
      <c r="D599" s="60" t="str">
        <f>IF(AND($B599=[1]rogério!$A600,[1]rogério!$B600=D$4),"ok","nok")</f>
        <v>nok</v>
      </c>
      <c r="E599" s="60" t="str">
        <f>IF(AND($B599=[1]rogério!$A600,[1]rogério!$B600=E$4),"ok","nok")</f>
        <v>nok</v>
      </c>
      <c r="F599" s="60" t="str">
        <f>IF(AND($B599=[1]rogério!$A600,[1]rogério!$B600=F$4),"ok","nok")</f>
        <v>nok</v>
      </c>
      <c r="G599" s="60" t="str">
        <f>IF(AND($B599=[1]rogério!$A600,[1]rogério!$B600=G$4),"ok","nok")</f>
        <v>nok</v>
      </c>
      <c r="H599" s="60" t="str">
        <f>IF(AND($B599=[1]rogério!$A600,[1]rogério!$B600=H$4),"ok","nok")</f>
        <v>nok</v>
      </c>
      <c r="I599" s="60" t="str">
        <f>IF(AND($B599=[1]rogério!$A600,[1]rogério!$B600=I$4),"ok","nok")</f>
        <v>nok</v>
      </c>
      <c r="J599" s="60" t="str">
        <f>IF(AND($B599=[1]rogério!$A600,[1]rogério!$B600=J$4),"ok","nok")</f>
        <v>nok</v>
      </c>
      <c r="K599" s="60" t="str">
        <f>IF(AND($B599=[1]rogério!$A600,[1]rogério!$B600=K$4),"ok","nok")</f>
        <v>nok</v>
      </c>
      <c r="L599" s="60" t="str">
        <f>IF(AND($B599=[1]rogério!$A600,[1]rogério!$B600=L$4),"ok","nok")</f>
        <v>nok</v>
      </c>
      <c r="M599" s="60" t="str">
        <f>IF(AND($B599=[1]rogério!$A600,[1]rogério!$B600=M$4),"ok","nok")</f>
        <v>nok</v>
      </c>
      <c r="N599" s="60" t="str">
        <f>IF(AND($B599=[1]rogério!$A600,[1]rogério!$B600=N$4),"ok","nok")</f>
        <v>ok</v>
      </c>
      <c r="O599" s="60" t="str">
        <f>IF(AND($B599=[1]rogério!$A600,[1]rogério!$B600=O$4),"ok","nok")</f>
        <v>nok</v>
      </c>
      <c r="P599" s="60" t="str">
        <f>IF(AND($B599=[1]rogério!$A600,[1]rogério!$B600=P$4),"ok","nok")</f>
        <v>nok</v>
      </c>
      <c r="Q599" s="60" t="str">
        <f>IF(AND($B599=[1]rogério!$A600,[1]rogério!$B600=Q$4),"ok","nok")</f>
        <v>nok</v>
      </c>
      <c r="R599" s="60" t="str">
        <f>IF(AND($B599=[1]rogério!$A600,[1]rogério!$B600=R$4),"ok","nok")</f>
        <v>nok</v>
      </c>
      <c r="S599" s="60" t="str">
        <f>IF(AND($B599=[1]rogério!$A600,[1]rogério!$B600=S$4),"ok","nok")</f>
        <v>nok</v>
      </c>
      <c r="T599" s="60" t="str">
        <f>IF(AND($B599=[1]rogério!$A600,[1]rogério!$B600=T$4),"ok","nok")</f>
        <v>nok</v>
      </c>
      <c r="U599" s="60" t="str">
        <f>IF(AND($B599=[1]rogério!$A600,[1]rogério!$B600=U$4),"ok","nok")</f>
        <v>nok</v>
      </c>
      <c r="V599" s="60" t="str">
        <f>IF(AND($B599=[1]rogério!$A600,[1]rogério!$B600=V$4),"ok","nok")</f>
        <v>nok</v>
      </c>
      <c r="W599" s="60" t="str">
        <f>IF(AND($B599=[1]rogério!$A600,[1]rogério!$B600=W$4),"ok","nok")</f>
        <v>nok</v>
      </c>
      <c r="X599" s="60" t="str">
        <f>IF(AND($B599=[1]rogério!$A600,[1]rogério!$B600=X$4),"ok","nok")</f>
        <v>nok</v>
      </c>
      <c r="Y599" s="105" t="s">
        <v>15</v>
      </c>
      <c r="Z599" s="106"/>
      <c r="AA599" s="106"/>
      <c r="AB599" s="107"/>
      <c r="AC599" s="38"/>
      <c r="AD599" s="38"/>
      <c r="AE599" s="48" t="str">
        <f t="shared" si="148"/>
        <v/>
      </c>
      <c r="AF599" s="48"/>
      <c r="AG599" s="48"/>
      <c r="AH599" s="89"/>
      <c r="AI599" s="49">
        <f t="shared" si="149"/>
        <v>0</v>
      </c>
      <c r="AJ599" s="49" t="str">
        <f t="shared" si="150"/>
        <v/>
      </c>
      <c r="AK599" s="49">
        <f t="shared" si="151"/>
        <v>0</v>
      </c>
      <c r="AL599" s="49" t="str">
        <f t="shared" si="152"/>
        <v/>
      </c>
      <c r="AM599" s="49">
        <f t="shared" si="153"/>
        <v>1</v>
      </c>
      <c r="AN599" s="49" t="str">
        <f t="shared" si="154"/>
        <v/>
      </c>
      <c r="AO599" s="49">
        <f t="shared" si="155"/>
        <v>0</v>
      </c>
      <c r="AP599" s="49" t="str">
        <f t="shared" si="156"/>
        <v/>
      </c>
      <c r="AQ599" s="49">
        <f t="shared" si="157"/>
        <v>0</v>
      </c>
      <c r="AR599" s="49" t="str">
        <f t="shared" si="158"/>
        <v/>
      </c>
    </row>
    <row r="600" spans="1:44" ht="30" customHeight="1" x14ac:dyDescent="0.35">
      <c r="A600" s="25" t="str">
        <f t="shared" si="147"/>
        <v>PT177 - PLATAFORMA DE ACESSO - GRUPO - DETALHADO
COLUNA 2PROJETO DETALHADO
CIVIL</v>
      </c>
      <c r="B600" s="40" t="s">
        <v>19</v>
      </c>
      <c r="C600" s="60" t="str">
        <f>IF(AND($B600=[1]rogério!$A601,[1]rogério!$B601=C$4),"ok","nok")</f>
        <v>nok</v>
      </c>
      <c r="D600" s="60" t="str">
        <f>IF(AND($B600=[1]rogério!$A601,[1]rogério!$B601=D$4),"ok","nok")</f>
        <v>nok</v>
      </c>
      <c r="E600" s="60" t="str">
        <f>IF(AND($B600=[1]rogério!$A601,[1]rogério!$B601=E$4),"ok","nok")</f>
        <v>nok</v>
      </c>
      <c r="F600" s="60" t="str">
        <f>IF(AND($B600=[1]rogério!$A601,[1]rogério!$B601=F$4),"ok","nok")</f>
        <v>nok</v>
      </c>
      <c r="G600" s="60" t="str">
        <f>IF(AND($B600=[1]rogério!$A601,[1]rogério!$B601=G$4),"ok","nok")</f>
        <v>nok</v>
      </c>
      <c r="H600" s="60" t="str">
        <f>IF(AND($B600=[1]rogério!$A601,[1]rogério!$B601=H$4),"ok","nok")</f>
        <v>nok</v>
      </c>
      <c r="I600" s="60" t="str">
        <f>IF(AND($B600=[1]rogério!$A601,[1]rogério!$B601=I$4),"ok","nok")</f>
        <v>nok</v>
      </c>
      <c r="J600" s="60" t="str">
        <f>IF(AND($B600=[1]rogério!$A601,[1]rogério!$B601=J$4),"ok","nok")</f>
        <v>nok</v>
      </c>
      <c r="K600" s="60" t="str">
        <f>IF(AND($B600=[1]rogério!$A601,[1]rogério!$B601=K$4),"ok","nok")</f>
        <v>nok</v>
      </c>
      <c r="L600" s="60" t="str">
        <f>IF(AND($B600=[1]rogério!$A601,[1]rogério!$B601=L$4),"ok","nok")</f>
        <v>nok</v>
      </c>
      <c r="M600" s="60" t="str">
        <f>IF(AND($B600=[1]rogério!$A601,[1]rogério!$B601=M$4),"ok","nok")</f>
        <v>nok</v>
      </c>
      <c r="N600" s="60" t="str">
        <f>IF(AND($B600=[1]rogério!$A601,[1]rogério!$B601=N$4),"ok","nok")</f>
        <v>nok</v>
      </c>
      <c r="O600" s="60" t="str">
        <f>IF(AND($B600=[1]rogério!$A601,[1]rogério!$B601=O$4),"ok","nok")</f>
        <v>nok</v>
      </c>
      <c r="P600" s="60" t="str">
        <f>IF(AND($B600=[1]rogério!$A601,[1]rogério!$B601=P$4),"ok","nok")</f>
        <v>nok</v>
      </c>
      <c r="Q600" s="60" t="str">
        <f>IF(AND($B600=[1]rogério!$A601,[1]rogério!$B601=Q$4),"ok","nok")</f>
        <v>nok</v>
      </c>
      <c r="R600" s="60" t="str">
        <f>IF(AND($B600=[1]rogério!$A601,[1]rogério!$B601=R$4),"ok","nok")</f>
        <v>nok</v>
      </c>
      <c r="S600" s="60" t="str">
        <f>IF(AND($B600=[1]rogério!$A601,[1]rogério!$B601=S$4),"ok","nok")</f>
        <v>ok</v>
      </c>
      <c r="T600" s="60" t="str">
        <f>IF(AND($B600=[1]rogério!$A601,[1]rogério!$B601=T$4),"ok","nok")</f>
        <v>nok</v>
      </c>
      <c r="U600" s="60" t="str">
        <f>IF(AND($B600=[1]rogério!$A601,[1]rogério!$B601=U$4),"ok","nok")</f>
        <v>nok</v>
      </c>
      <c r="V600" s="60" t="str">
        <f>IF(AND($B600=[1]rogério!$A601,[1]rogério!$B601=V$4),"ok","nok")</f>
        <v>nok</v>
      </c>
      <c r="W600" s="60" t="str">
        <f>IF(AND($B600=[1]rogério!$A601,[1]rogério!$B601=W$4),"ok","nok")</f>
        <v>nok</v>
      </c>
      <c r="X600" s="60" t="str">
        <f>IF(AND($B600=[1]rogério!$A601,[1]rogério!$B601=X$4),"ok","nok")</f>
        <v>nok</v>
      </c>
      <c r="Y600" s="105" t="s">
        <v>15</v>
      </c>
      <c r="Z600" s="106"/>
      <c r="AA600" s="106"/>
      <c r="AB600" s="107"/>
      <c r="AC600" s="38"/>
      <c r="AD600" s="38"/>
      <c r="AE600" s="48" t="str">
        <f t="shared" si="148"/>
        <v/>
      </c>
      <c r="AF600" s="48"/>
      <c r="AG600" s="48"/>
      <c r="AH600" s="89"/>
      <c r="AI600" s="49">
        <f t="shared" si="149"/>
        <v>0</v>
      </c>
      <c r="AJ600" s="49" t="str">
        <f t="shared" si="150"/>
        <v/>
      </c>
      <c r="AK600" s="49">
        <f t="shared" si="151"/>
        <v>0</v>
      </c>
      <c r="AL600" s="49" t="str">
        <f t="shared" si="152"/>
        <v/>
      </c>
      <c r="AM600" s="49">
        <f t="shared" si="153"/>
        <v>0</v>
      </c>
      <c r="AN600" s="49" t="str">
        <f t="shared" si="154"/>
        <v/>
      </c>
      <c r="AO600" s="49">
        <f t="shared" si="155"/>
        <v>1</v>
      </c>
      <c r="AP600" s="49" t="str">
        <f t="shared" si="156"/>
        <v/>
      </c>
      <c r="AQ600" s="49">
        <f t="shared" si="157"/>
        <v>0</v>
      </c>
      <c r="AR600" s="49" t="str">
        <f t="shared" si="158"/>
        <v/>
      </c>
    </row>
    <row r="601" spans="1:44" ht="30" customHeight="1" x14ac:dyDescent="0.35">
      <c r="A601" s="25" t="str">
        <f t="shared" si="147"/>
        <v>PT177 - PLATAFORMA DE ACESSO - GRUPO - DETALHADO
COLUNA 2PROJETO DETALHADO
CIVIL</v>
      </c>
      <c r="B601" s="40" t="s">
        <v>42</v>
      </c>
      <c r="C601" s="60" t="str">
        <f>IF(AND($B601=[1]rogério!$A602,[1]rogério!$B602=C$4),"ok","nok")</f>
        <v>nok</v>
      </c>
      <c r="D601" s="60" t="str">
        <f>IF(AND($B601=[1]rogério!$A602,[1]rogério!$B602=D$4),"ok","nok")</f>
        <v>nok</v>
      </c>
      <c r="E601" s="60" t="str">
        <f>IF(AND($B601=[1]rogério!$A602,[1]rogério!$B602=E$4),"ok","nok")</f>
        <v>nok</v>
      </c>
      <c r="F601" s="60" t="str">
        <f>IF(AND($B601=[1]rogério!$A602,[1]rogério!$B602=F$4),"ok","nok")</f>
        <v>nok</v>
      </c>
      <c r="G601" s="60" t="str">
        <f>IF(AND($B601=[1]rogério!$A602,[1]rogério!$B602=G$4),"ok","nok")</f>
        <v>nok</v>
      </c>
      <c r="H601" s="60" t="str">
        <f>IF(AND($B601=[1]rogério!$A602,[1]rogério!$B602=H$4),"ok","nok")</f>
        <v>nok</v>
      </c>
      <c r="I601" s="60" t="str">
        <f>IF(AND($B601=[1]rogério!$A602,[1]rogério!$B602=I$4),"ok","nok")</f>
        <v>nok</v>
      </c>
      <c r="J601" s="60" t="str">
        <f>IF(AND($B601=[1]rogério!$A602,[1]rogério!$B602=J$4),"ok","nok")</f>
        <v>nok</v>
      </c>
      <c r="K601" s="60" t="str">
        <f>IF(AND($B601=[1]rogério!$A602,[1]rogério!$B602=K$4),"ok","nok")</f>
        <v>nok</v>
      </c>
      <c r="L601" s="60" t="str">
        <f>IF(AND($B601=[1]rogério!$A602,[1]rogério!$B602=L$4),"ok","nok")</f>
        <v>nok</v>
      </c>
      <c r="M601" s="60" t="str">
        <f>IF(AND($B601=[1]rogério!$A602,[1]rogério!$B602=M$4),"ok","nok")</f>
        <v>nok</v>
      </c>
      <c r="N601" s="60" t="str">
        <f>IF(AND($B601=[1]rogério!$A602,[1]rogério!$B602=N$4),"ok","nok")</f>
        <v>nok</v>
      </c>
      <c r="O601" s="60" t="str">
        <f>IF(AND($B601=[1]rogério!$A602,[1]rogério!$B602=O$4),"ok","nok")</f>
        <v>nok</v>
      </c>
      <c r="P601" s="60" t="str">
        <f>IF(AND($B601=[1]rogério!$A602,[1]rogério!$B602=P$4),"ok","nok")</f>
        <v>nok</v>
      </c>
      <c r="Q601" s="60" t="str">
        <f>IF(AND($B601=[1]rogério!$A602,[1]rogério!$B602=Q$4),"ok","nok")</f>
        <v>nok</v>
      </c>
      <c r="R601" s="60" t="str">
        <f>IF(AND($B601=[1]rogério!$A602,[1]rogério!$B602=R$4),"ok","nok")</f>
        <v>nok</v>
      </c>
      <c r="S601" s="60" t="str">
        <f>IF(AND($B601=[1]rogério!$A602,[1]rogério!$B602=S$4),"ok","nok")</f>
        <v>nok</v>
      </c>
      <c r="T601" s="60" t="str">
        <f>IF(AND($B601=[1]rogério!$A602,[1]rogério!$B602=T$4),"ok","nok")</f>
        <v>nok</v>
      </c>
      <c r="U601" s="60" t="str">
        <f>IF(AND($B601=[1]rogério!$A602,[1]rogério!$B602=U$4),"ok","nok")</f>
        <v>nok</v>
      </c>
      <c r="V601" s="60" t="str">
        <f>IF(AND($B601=[1]rogério!$A602,[1]rogério!$B602=V$4),"ok","nok")</f>
        <v>ok</v>
      </c>
      <c r="W601" s="60" t="str">
        <f>IF(AND($B601=[1]rogério!$A602,[1]rogério!$B602=W$4),"ok","nok")</f>
        <v>nok</v>
      </c>
      <c r="X601" s="60" t="str">
        <f>IF(AND($B601=[1]rogério!$A602,[1]rogério!$B602=X$4),"ok","nok")</f>
        <v>nok</v>
      </c>
      <c r="Y601" s="105" t="s">
        <v>15</v>
      </c>
      <c r="Z601" s="106"/>
      <c r="AA601" s="106"/>
      <c r="AB601" s="107"/>
      <c r="AC601" s="38"/>
      <c r="AD601" s="38"/>
      <c r="AE601" s="48" t="str">
        <f t="shared" si="148"/>
        <v/>
      </c>
      <c r="AF601" s="48"/>
      <c r="AG601" s="48"/>
      <c r="AH601" s="89"/>
      <c r="AI601" s="49">
        <f t="shared" si="149"/>
        <v>0</v>
      </c>
      <c r="AJ601" s="49" t="str">
        <f t="shared" si="150"/>
        <v/>
      </c>
      <c r="AK601" s="49">
        <f t="shared" si="151"/>
        <v>0</v>
      </c>
      <c r="AL601" s="49" t="str">
        <f t="shared" si="152"/>
        <v/>
      </c>
      <c r="AM601" s="49">
        <f t="shared" si="153"/>
        <v>0</v>
      </c>
      <c r="AN601" s="49" t="str">
        <f t="shared" si="154"/>
        <v/>
      </c>
      <c r="AO601" s="49">
        <f t="shared" si="155"/>
        <v>1</v>
      </c>
      <c r="AP601" s="49" t="str">
        <f t="shared" si="156"/>
        <v/>
      </c>
      <c r="AQ601" s="49">
        <f t="shared" si="157"/>
        <v>0</v>
      </c>
      <c r="AR601" s="49" t="str">
        <f t="shared" si="158"/>
        <v/>
      </c>
    </row>
    <row r="602" spans="1:44" ht="30" customHeight="1" x14ac:dyDescent="0.35">
      <c r="A602" s="25" t="str">
        <f t="shared" si="147"/>
        <v>PT177 - PLATAFORMA DE ACESSO - GRUPO - DETALHADO
COLUNA 2PROJETO DETALHADO
CIVIL</v>
      </c>
      <c r="B602" s="40" t="s">
        <v>43</v>
      </c>
      <c r="C602" s="60" t="str">
        <f>IF(AND($B602=[1]rogério!$A603,[1]rogério!$B603=C$4),"ok","nok")</f>
        <v>nok</v>
      </c>
      <c r="D602" s="60" t="str">
        <f>IF(AND($B602=[1]rogério!$A603,[1]rogério!$B603=D$4),"ok","nok")</f>
        <v>nok</v>
      </c>
      <c r="E602" s="60" t="str">
        <f>IF(AND($B602=[1]rogério!$A603,[1]rogério!$B603=E$4),"ok","nok")</f>
        <v>nok</v>
      </c>
      <c r="F602" s="60" t="str">
        <f>IF(AND($B602=[1]rogério!$A603,[1]rogério!$B603=F$4),"ok","nok")</f>
        <v>nok</v>
      </c>
      <c r="G602" s="60" t="str">
        <f>IF(AND($B602=[1]rogério!$A603,[1]rogério!$B603=G$4),"ok","nok")</f>
        <v>nok</v>
      </c>
      <c r="H602" s="60" t="str">
        <f>IF(AND($B602=[1]rogério!$A603,[1]rogério!$B603=H$4),"ok","nok")</f>
        <v>nok</v>
      </c>
      <c r="I602" s="60" t="str">
        <f>IF(AND($B602=[1]rogério!$A603,[1]rogério!$B603=I$4),"ok","nok")</f>
        <v>nok</v>
      </c>
      <c r="J602" s="60" t="str">
        <f>IF(AND($B602=[1]rogério!$A603,[1]rogério!$B603=J$4),"ok","nok")</f>
        <v>nok</v>
      </c>
      <c r="K602" s="60" t="str">
        <f>IF(AND($B602=[1]rogério!$A603,[1]rogério!$B603=K$4),"ok","nok")</f>
        <v>nok</v>
      </c>
      <c r="L602" s="60" t="str">
        <f>IF(AND($B602=[1]rogério!$A603,[1]rogério!$B603=L$4),"ok","nok")</f>
        <v>nok</v>
      </c>
      <c r="M602" s="60" t="str">
        <f>IF(AND($B602=[1]rogério!$A603,[1]rogério!$B603=M$4),"ok","nok")</f>
        <v>nok</v>
      </c>
      <c r="N602" s="60" t="str">
        <f>IF(AND($B602=[1]rogério!$A603,[1]rogério!$B603=N$4),"ok","nok")</f>
        <v>nok</v>
      </c>
      <c r="O602" s="60" t="str">
        <f>IF(AND($B602=[1]rogério!$A603,[1]rogério!$B603=O$4),"ok","nok")</f>
        <v>nok</v>
      </c>
      <c r="P602" s="60" t="str">
        <f>IF(AND($B602=[1]rogério!$A603,[1]rogério!$B603=P$4),"ok","nok")</f>
        <v>nok</v>
      </c>
      <c r="Q602" s="60" t="str">
        <f>IF(AND($B602=[1]rogério!$A603,[1]rogério!$B603=Q$4),"ok","nok")</f>
        <v>nok</v>
      </c>
      <c r="R602" s="60" t="str">
        <f>IF(AND($B602=[1]rogério!$A603,[1]rogério!$B603=R$4),"ok","nok")</f>
        <v>nok</v>
      </c>
      <c r="S602" s="60" t="str">
        <f>IF(AND($B602=[1]rogério!$A603,[1]rogério!$B603=S$4),"ok","nok")</f>
        <v>nok</v>
      </c>
      <c r="T602" s="60" t="str">
        <f>IF(AND($B602=[1]rogério!$A603,[1]rogério!$B603=T$4),"ok","nok")</f>
        <v>nok</v>
      </c>
      <c r="U602" s="60" t="str">
        <f>IF(AND($B602=[1]rogério!$A603,[1]rogério!$B603=U$4),"ok","nok")</f>
        <v>nok</v>
      </c>
      <c r="V602" s="60" t="str">
        <f>IF(AND($B602=[1]rogério!$A603,[1]rogério!$B603=V$4),"ok","nok")</f>
        <v>ok</v>
      </c>
      <c r="W602" s="60" t="str">
        <f>IF(AND($B602=[1]rogério!$A603,[1]rogério!$B603=W$4),"ok","nok")</f>
        <v>nok</v>
      </c>
      <c r="X602" s="60" t="str">
        <f>IF(AND($B602=[1]rogério!$A603,[1]rogério!$B603=X$4),"ok","nok")</f>
        <v>nok</v>
      </c>
      <c r="Y602" s="105" t="s">
        <v>15</v>
      </c>
      <c r="Z602" s="106"/>
      <c r="AA602" s="106"/>
      <c r="AB602" s="107"/>
      <c r="AC602" s="38"/>
      <c r="AD602" s="38"/>
      <c r="AE602" s="48" t="str">
        <f t="shared" si="148"/>
        <v/>
      </c>
      <c r="AF602" s="48"/>
      <c r="AG602" s="48"/>
      <c r="AH602" s="89"/>
      <c r="AI602" s="49">
        <f t="shared" si="149"/>
        <v>0</v>
      </c>
      <c r="AJ602" s="49" t="str">
        <f t="shared" si="150"/>
        <v/>
      </c>
      <c r="AK602" s="49">
        <f t="shared" si="151"/>
        <v>0</v>
      </c>
      <c r="AL602" s="49" t="str">
        <f t="shared" si="152"/>
        <v/>
      </c>
      <c r="AM602" s="49">
        <f t="shared" si="153"/>
        <v>0</v>
      </c>
      <c r="AN602" s="49" t="str">
        <f t="shared" si="154"/>
        <v/>
      </c>
      <c r="AO602" s="49">
        <f t="shared" si="155"/>
        <v>1</v>
      </c>
      <c r="AP602" s="49" t="str">
        <f t="shared" si="156"/>
        <v/>
      </c>
      <c r="AQ602" s="49">
        <f t="shared" si="157"/>
        <v>0</v>
      </c>
      <c r="AR602" s="49" t="str">
        <f t="shared" si="158"/>
        <v/>
      </c>
    </row>
    <row r="603" spans="1:44" ht="30" customHeight="1" x14ac:dyDescent="0.35">
      <c r="A603" s="25" t="str">
        <f t="shared" si="147"/>
        <v>PT177 - PLATAFORMA DE ACESSO - GRUPO - DETALHADO
COLUNA 2PROJETO DETALHADO
CIVIL</v>
      </c>
      <c r="B603" s="38" t="s">
        <v>79</v>
      </c>
      <c r="C603" s="60" t="str">
        <f>IF(AND($B603=[1]rogério!$A604,[1]rogério!$B604=C$4),"ok","nok")</f>
        <v>nok</v>
      </c>
      <c r="D603" s="60" t="str">
        <f>IF(AND($B603=[1]rogério!$A604,[1]rogério!$B604=D$4),"ok","nok")</f>
        <v>nok</v>
      </c>
      <c r="E603" s="60" t="str">
        <f>IF(AND($B603=[1]rogério!$A604,[1]rogério!$B604=E$4),"ok","nok")</f>
        <v>nok</v>
      </c>
      <c r="F603" s="60" t="str">
        <f>IF(AND($B603=[1]rogério!$A604,[1]rogério!$B604=F$4),"ok","nok")</f>
        <v>nok</v>
      </c>
      <c r="G603" s="60" t="str">
        <f>IF(AND($B603=[1]rogério!$A604,[1]rogério!$B604=G$4),"ok","nok")</f>
        <v>nok</v>
      </c>
      <c r="H603" s="60" t="str">
        <f>IF(AND($B603=[1]rogério!$A604,[1]rogério!$B604=H$4),"ok","nok")</f>
        <v>nok</v>
      </c>
      <c r="I603" s="60" t="str">
        <f>IF(AND($B603=[1]rogério!$A604,[1]rogério!$B604=I$4),"ok","nok")</f>
        <v>nok</v>
      </c>
      <c r="J603" s="60" t="str">
        <f>IF(AND($B603=[1]rogério!$A604,[1]rogério!$B604=J$4),"ok","nok")</f>
        <v>nok</v>
      </c>
      <c r="K603" s="60" t="str">
        <f>IF(AND($B603=[1]rogério!$A604,[1]rogério!$B604=K$4),"ok","nok")</f>
        <v>nok</v>
      </c>
      <c r="L603" s="60" t="str">
        <f>IF(AND($B603=[1]rogério!$A604,[1]rogério!$B604=L$4),"ok","nok")</f>
        <v>nok</v>
      </c>
      <c r="M603" s="60" t="str">
        <f>IF(AND($B603=[1]rogério!$A604,[1]rogério!$B604=M$4),"ok","nok")</f>
        <v>nok</v>
      </c>
      <c r="N603" s="60" t="str">
        <f>IF(AND($B603=[1]rogério!$A604,[1]rogério!$B604=N$4),"ok","nok")</f>
        <v>nok</v>
      </c>
      <c r="O603" s="60" t="str">
        <f>IF(AND($B603=[1]rogério!$A604,[1]rogério!$B604=O$4),"ok","nok")</f>
        <v>nok</v>
      </c>
      <c r="P603" s="60" t="str">
        <f>IF(AND($B603=[1]rogério!$A604,[1]rogério!$B604=P$4),"ok","nok")</f>
        <v>ok</v>
      </c>
      <c r="Q603" s="60" t="str">
        <f>IF(AND($B603=[1]rogério!$A604,[1]rogério!$B604=Q$4),"ok","nok")</f>
        <v>nok</v>
      </c>
      <c r="R603" s="60" t="str">
        <f>IF(AND($B603=[1]rogério!$A604,[1]rogério!$B604=R$4),"ok","nok")</f>
        <v>nok</v>
      </c>
      <c r="S603" s="60" t="str">
        <f>IF(AND($B603=[1]rogério!$A604,[1]rogério!$B604=S$4),"ok","nok")</f>
        <v>nok</v>
      </c>
      <c r="T603" s="60" t="str">
        <f>IF(AND($B603=[1]rogério!$A604,[1]rogério!$B604=T$4),"ok","nok")</f>
        <v>nok</v>
      </c>
      <c r="U603" s="60" t="str">
        <f>IF(AND($B603=[1]rogério!$A604,[1]rogério!$B604=U$4),"ok","nok")</f>
        <v>nok</v>
      </c>
      <c r="V603" s="60" t="str">
        <f>IF(AND($B603=[1]rogério!$A604,[1]rogério!$B604=V$4),"ok","nok")</f>
        <v>nok</v>
      </c>
      <c r="W603" s="60" t="str">
        <f>IF(AND($B603=[1]rogério!$A604,[1]rogério!$B604=W$4),"ok","nok")</f>
        <v>nok</v>
      </c>
      <c r="X603" s="60" t="str">
        <f>IF(AND($B603=[1]rogério!$A604,[1]rogério!$B604=X$4),"ok","nok")</f>
        <v>nok</v>
      </c>
      <c r="Y603" s="105" t="s">
        <v>15</v>
      </c>
      <c r="Z603" s="106"/>
      <c r="AA603" s="106"/>
      <c r="AB603" s="107"/>
      <c r="AC603" s="38"/>
      <c r="AD603" s="38"/>
      <c r="AE603" s="48" t="str">
        <f t="shared" si="148"/>
        <v/>
      </c>
      <c r="AF603" s="48"/>
      <c r="AG603" s="48"/>
      <c r="AH603" s="89"/>
      <c r="AI603" s="49">
        <f t="shared" si="149"/>
        <v>0</v>
      </c>
      <c r="AJ603" s="49" t="str">
        <f t="shared" si="150"/>
        <v/>
      </c>
      <c r="AK603" s="49">
        <f t="shared" si="151"/>
        <v>0</v>
      </c>
      <c r="AL603" s="49" t="str">
        <f t="shared" si="152"/>
        <v/>
      </c>
      <c r="AM603" s="49">
        <f t="shared" si="153"/>
        <v>1</v>
      </c>
      <c r="AN603" s="49" t="str">
        <f t="shared" si="154"/>
        <v/>
      </c>
      <c r="AO603" s="49">
        <f t="shared" si="155"/>
        <v>0</v>
      </c>
      <c r="AP603" s="49" t="str">
        <f t="shared" si="156"/>
        <v/>
      </c>
      <c r="AQ603" s="49">
        <f t="shared" si="157"/>
        <v>0</v>
      </c>
      <c r="AR603" s="49" t="str">
        <f t="shared" si="158"/>
        <v/>
      </c>
    </row>
    <row r="604" spans="1:44" ht="30" customHeight="1" x14ac:dyDescent="0.35">
      <c r="A604" s="25" t="str">
        <f t="shared" si="147"/>
        <v>PT177 - PLATAFORMA DE ACESSO - GRUPO - DETALHADO
COLUNA 2PROJETO DETALHADO
CIVIL</v>
      </c>
      <c r="B604" s="38" t="s">
        <v>80</v>
      </c>
      <c r="C604" s="60" t="str">
        <f>IF(AND($B604=[1]rogério!$A605,[1]rogério!$B605=C$4),"ok","nok")</f>
        <v>nok</v>
      </c>
      <c r="D604" s="60" t="str">
        <f>IF(AND($B604=[1]rogério!$A605,[1]rogério!$B605=D$4),"ok","nok")</f>
        <v>nok</v>
      </c>
      <c r="E604" s="60" t="str">
        <f>IF(AND($B604=[1]rogério!$A605,[1]rogério!$B605=E$4),"ok","nok")</f>
        <v>nok</v>
      </c>
      <c r="F604" s="60" t="str">
        <f>IF(AND($B604=[1]rogério!$A605,[1]rogério!$B605=F$4),"ok","nok")</f>
        <v>nok</v>
      </c>
      <c r="G604" s="60" t="str">
        <f>IF(AND($B604=[1]rogério!$A605,[1]rogério!$B605=G$4),"ok","nok")</f>
        <v>nok</v>
      </c>
      <c r="H604" s="60" t="str">
        <f>IF(AND($B604=[1]rogério!$A605,[1]rogério!$B605=H$4),"ok","nok")</f>
        <v>nok</v>
      </c>
      <c r="I604" s="60" t="str">
        <f>IF(AND($B604=[1]rogério!$A605,[1]rogério!$B605=I$4),"ok","nok")</f>
        <v>nok</v>
      </c>
      <c r="J604" s="60" t="str">
        <f>IF(AND($B604=[1]rogério!$A605,[1]rogério!$B605=J$4),"ok","nok")</f>
        <v>nok</v>
      </c>
      <c r="K604" s="60" t="str">
        <f>IF(AND($B604=[1]rogério!$A605,[1]rogério!$B605=K$4),"ok","nok")</f>
        <v>nok</v>
      </c>
      <c r="L604" s="60" t="str">
        <f>IF(AND($B604=[1]rogério!$A605,[1]rogério!$B605=L$4),"ok","nok")</f>
        <v>nok</v>
      </c>
      <c r="M604" s="60" t="str">
        <f>IF(AND($B604=[1]rogério!$A605,[1]rogério!$B605=M$4),"ok","nok")</f>
        <v>nok</v>
      </c>
      <c r="N604" s="60" t="str">
        <f>IF(AND($B604=[1]rogério!$A605,[1]rogério!$B605=N$4),"ok","nok")</f>
        <v>nok</v>
      </c>
      <c r="O604" s="60" t="str">
        <f>IF(AND($B604=[1]rogério!$A605,[1]rogério!$B605=O$4),"ok","nok")</f>
        <v>nok</v>
      </c>
      <c r="P604" s="60" t="str">
        <f>IF(AND($B604=[1]rogério!$A605,[1]rogério!$B605=P$4),"ok","nok")</f>
        <v>nok</v>
      </c>
      <c r="Q604" s="60" t="str">
        <f>IF(AND($B604=[1]rogério!$A605,[1]rogério!$B605=Q$4),"ok","nok")</f>
        <v>ok</v>
      </c>
      <c r="R604" s="60" t="str">
        <f>IF(AND($B604=[1]rogério!$A605,[1]rogério!$B605=R$4),"ok","nok")</f>
        <v>nok</v>
      </c>
      <c r="S604" s="60" t="str">
        <f>IF(AND($B604=[1]rogério!$A605,[1]rogério!$B605=S$4),"ok","nok")</f>
        <v>nok</v>
      </c>
      <c r="T604" s="60" t="str">
        <f>IF(AND($B604=[1]rogério!$A605,[1]rogério!$B605=T$4),"ok","nok")</f>
        <v>nok</v>
      </c>
      <c r="U604" s="60" t="str">
        <f>IF(AND($B604=[1]rogério!$A605,[1]rogério!$B605=U$4),"ok","nok")</f>
        <v>nok</v>
      </c>
      <c r="V604" s="60" t="str">
        <f>IF(AND($B604=[1]rogério!$A605,[1]rogério!$B605=V$4),"ok","nok")</f>
        <v>nok</v>
      </c>
      <c r="W604" s="60" t="str">
        <f>IF(AND($B604=[1]rogério!$A605,[1]rogério!$B605=W$4),"ok","nok")</f>
        <v>nok</v>
      </c>
      <c r="X604" s="60" t="str">
        <f>IF(AND($B604=[1]rogério!$A605,[1]rogério!$B605=X$4),"ok","nok")</f>
        <v>nok</v>
      </c>
      <c r="Y604" s="105" t="s">
        <v>15</v>
      </c>
      <c r="Z604" s="106"/>
      <c r="AA604" s="106"/>
      <c r="AB604" s="107"/>
      <c r="AC604" s="38"/>
      <c r="AD604" s="38"/>
      <c r="AE604" s="48" t="str">
        <f t="shared" si="148"/>
        <v/>
      </c>
      <c r="AF604" s="48"/>
      <c r="AG604" s="48"/>
      <c r="AH604" s="89"/>
      <c r="AI604" s="49">
        <f t="shared" si="149"/>
        <v>0</v>
      </c>
      <c r="AJ604" s="49" t="str">
        <f t="shared" si="150"/>
        <v/>
      </c>
      <c r="AK604" s="49">
        <f t="shared" si="151"/>
        <v>0</v>
      </c>
      <c r="AL604" s="49" t="str">
        <f t="shared" si="152"/>
        <v/>
      </c>
      <c r="AM604" s="49">
        <f t="shared" si="153"/>
        <v>1</v>
      </c>
      <c r="AN604" s="49" t="str">
        <f t="shared" si="154"/>
        <v/>
      </c>
      <c r="AO604" s="49">
        <f t="shared" si="155"/>
        <v>0</v>
      </c>
      <c r="AP604" s="49" t="str">
        <f t="shared" si="156"/>
        <v/>
      </c>
      <c r="AQ604" s="49">
        <f t="shared" si="157"/>
        <v>0</v>
      </c>
      <c r="AR604" s="49" t="str">
        <f t="shared" si="158"/>
        <v/>
      </c>
    </row>
    <row r="605" spans="1:44" ht="30" customHeight="1" x14ac:dyDescent="0.35">
      <c r="A605" s="25"/>
      <c r="B605" s="39" t="s">
        <v>81</v>
      </c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108"/>
      <c r="Z605" s="109"/>
      <c r="AA605" s="109"/>
      <c r="AB605" s="110"/>
      <c r="AC605" s="38"/>
      <c r="AD605" s="38"/>
      <c r="AE605" s="48" t="str">
        <f t="shared" si="148"/>
        <v/>
      </c>
      <c r="AF605" s="48"/>
      <c r="AG605" s="48"/>
      <c r="AH605" s="89"/>
      <c r="AI605" s="49">
        <f t="shared" si="149"/>
        <v>0</v>
      </c>
      <c r="AJ605" s="49" t="str">
        <f t="shared" si="150"/>
        <v/>
      </c>
      <c r="AK605" s="49">
        <f t="shared" si="151"/>
        <v>0</v>
      </c>
      <c r="AL605" s="49" t="str">
        <f t="shared" si="152"/>
        <v/>
      </c>
      <c r="AM605" s="49">
        <f t="shared" si="153"/>
        <v>0</v>
      </c>
      <c r="AN605" s="49" t="str">
        <f t="shared" si="154"/>
        <v/>
      </c>
      <c r="AO605" s="49">
        <f t="shared" si="155"/>
        <v>0</v>
      </c>
      <c r="AP605" s="49" t="str">
        <f t="shared" si="156"/>
        <v/>
      </c>
      <c r="AQ605" s="49">
        <f t="shared" si="157"/>
        <v>0</v>
      </c>
      <c r="AR605" s="49" t="str">
        <f t="shared" si="158"/>
        <v/>
      </c>
    </row>
    <row r="606" spans="1:44" ht="30" customHeight="1" x14ac:dyDescent="0.35">
      <c r="A606" s="25" t="str">
        <f t="shared" si="147"/>
        <v>PT177 - PLATAFORMA DE ACESSO - GRUPO - DETALHADO
COLUNA 2PROJETO DETALHADO
CIVIL</v>
      </c>
      <c r="B606" s="40" t="s">
        <v>49</v>
      </c>
      <c r="C606" s="60" t="str">
        <f>IF(AND($B606=[1]rogério!$A607,[1]rogério!$B607=C$4),"ok","nok")</f>
        <v>nok</v>
      </c>
      <c r="D606" s="60" t="str">
        <f>IF(AND($B606=[1]rogério!$A607,[1]rogério!$B607=D$4),"ok","nok")</f>
        <v>nok</v>
      </c>
      <c r="E606" s="60" t="str">
        <f>IF(AND($B606=[1]rogério!$A607,[1]rogério!$B607=E$4),"ok","nok")</f>
        <v>nok</v>
      </c>
      <c r="F606" s="60" t="str">
        <f>IF(AND($B606=[1]rogério!$A607,[1]rogério!$B607=F$4),"ok","nok")</f>
        <v>nok</v>
      </c>
      <c r="G606" s="60" t="str">
        <f>IF(AND($B606=[1]rogério!$A607,[1]rogério!$B607=G$4),"ok","nok")</f>
        <v>nok</v>
      </c>
      <c r="H606" s="60" t="str">
        <f>IF(AND($B606=[1]rogério!$A607,[1]rogério!$B607=H$4),"ok","nok")</f>
        <v>nok</v>
      </c>
      <c r="I606" s="60" t="str">
        <f>IF(AND($B606=[1]rogério!$A607,[1]rogério!$B607=I$4),"ok","nok")</f>
        <v>nok</v>
      </c>
      <c r="J606" s="60" t="str">
        <f>IF(AND($B606=[1]rogério!$A607,[1]rogério!$B607=J$4),"ok","nok")</f>
        <v>nok</v>
      </c>
      <c r="K606" s="60" t="str">
        <f>IF(AND($B606=[1]rogério!$A607,[1]rogério!$B607=K$4),"ok","nok")</f>
        <v>nok</v>
      </c>
      <c r="L606" s="60" t="str">
        <f>IF(AND($B606=[1]rogério!$A607,[1]rogério!$B607=L$4),"ok","nok")</f>
        <v>nok</v>
      </c>
      <c r="M606" s="60" t="str">
        <f>IF(AND($B606=[1]rogério!$A607,[1]rogério!$B607=M$4),"ok","nok")</f>
        <v>nok</v>
      </c>
      <c r="N606" s="60" t="str">
        <f>IF(AND($B606=[1]rogério!$A607,[1]rogério!$B607=N$4),"ok","nok")</f>
        <v>nok</v>
      </c>
      <c r="O606" s="60" t="str">
        <f>IF(AND($B606=[1]rogério!$A607,[1]rogério!$B607=O$4),"ok","nok")</f>
        <v>nok</v>
      </c>
      <c r="P606" s="60" t="str">
        <f>IF(AND($B606=[1]rogério!$A607,[1]rogério!$B607=P$4),"ok","nok")</f>
        <v>nok</v>
      </c>
      <c r="Q606" s="60" t="str">
        <f>IF(AND($B606=[1]rogério!$A607,[1]rogério!$B607=Q$4),"ok","nok")</f>
        <v>ok</v>
      </c>
      <c r="R606" s="60" t="str">
        <f>IF(AND($B606=[1]rogério!$A607,[1]rogério!$B607=R$4),"ok","nok")</f>
        <v>nok</v>
      </c>
      <c r="S606" s="60" t="str">
        <f>IF(AND($B606=[1]rogério!$A607,[1]rogério!$B607=S$4),"ok","nok")</f>
        <v>nok</v>
      </c>
      <c r="T606" s="60" t="str">
        <f>IF(AND($B606=[1]rogério!$A607,[1]rogério!$B607=T$4),"ok","nok")</f>
        <v>nok</v>
      </c>
      <c r="U606" s="60" t="str">
        <f>IF(AND($B606=[1]rogério!$A607,[1]rogério!$B607=U$4),"ok","nok")</f>
        <v>nok</v>
      </c>
      <c r="V606" s="60" t="str">
        <f>IF(AND($B606=[1]rogério!$A607,[1]rogério!$B607=V$4),"ok","nok")</f>
        <v>nok</v>
      </c>
      <c r="W606" s="60" t="str">
        <f>IF(AND($B606=[1]rogério!$A607,[1]rogério!$B607=W$4),"ok","nok")</f>
        <v>nok</v>
      </c>
      <c r="X606" s="60" t="str">
        <f>IF(AND($B606=[1]rogério!$A607,[1]rogério!$B607=X$4),"ok","nok")</f>
        <v>nok</v>
      </c>
      <c r="Y606" s="105" t="s">
        <v>15</v>
      </c>
      <c r="Z606" s="106"/>
      <c r="AA606" s="106"/>
      <c r="AB606" s="107"/>
      <c r="AC606" s="38"/>
      <c r="AD606" s="38"/>
      <c r="AE606" s="48" t="str">
        <f t="shared" si="148"/>
        <v/>
      </c>
      <c r="AF606" s="48"/>
      <c r="AG606" s="48"/>
      <c r="AH606" s="89"/>
      <c r="AI606" s="49">
        <f t="shared" si="149"/>
        <v>0</v>
      </c>
      <c r="AJ606" s="49" t="str">
        <f t="shared" si="150"/>
        <v/>
      </c>
      <c r="AK606" s="49">
        <f t="shared" si="151"/>
        <v>0</v>
      </c>
      <c r="AL606" s="49" t="str">
        <f t="shared" si="152"/>
        <v/>
      </c>
      <c r="AM606" s="49">
        <f t="shared" si="153"/>
        <v>1</v>
      </c>
      <c r="AN606" s="49" t="str">
        <f t="shared" si="154"/>
        <v/>
      </c>
      <c r="AO606" s="49">
        <f t="shared" si="155"/>
        <v>0</v>
      </c>
      <c r="AP606" s="49" t="str">
        <f t="shared" si="156"/>
        <v/>
      </c>
      <c r="AQ606" s="49">
        <f t="shared" si="157"/>
        <v>0</v>
      </c>
      <c r="AR606" s="49" t="str">
        <f t="shared" si="158"/>
        <v/>
      </c>
    </row>
    <row r="607" spans="1:44" ht="30" customHeight="1" x14ac:dyDescent="0.35">
      <c r="A607" s="25" t="str">
        <f t="shared" si="147"/>
        <v>PT177 - PLATAFORMA DE ACESSO - GRUPO - DETALHADO
COLUNA 2PROJETO DETALHADO
CIVIL</v>
      </c>
      <c r="B607" s="40" t="s">
        <v>19</v>
      </c>
      <c r="C607" s="60" t="str">
        <f>IF(AND($B607=[1]rogério!$A608,[1]rogério!$B608=C$4),"ok","nok")</f>
        <v>nok</v>
      </c>
      <c r="D607" s="60" t="str">
        <f>IF(AND($B607=[1]rogério!$A608,[1]rogério!$B608=D$4),"ok","nok")</f>
        <v>nok</v>
      </c>
      <c r="E607" s="60" t="str">
        <f>IF(AND($B607=[1]rogério!$A608,[1]rogério!$B608=E$4),"ok","nok")</f>
        <v>nok</v>
      </c>
      <c r="F607" s="60" t="str">
        <f>IF(AND($B607=[1]rogério!$A608,[1]rogério!$B608=F$4),"ok","nok")</f>
        <v>nok</v>
      </c>
      <c r="G607" s="60" t="str">
        <f>IF(AND($B607=[1]rogério!$A608,[1]rogério!$B608=G$4),"ok","nok")</f>
        <v>nok</v>
      </c>
      <c r="H607" s="60" t="str">
        <f>IF(AND($B607=[1]rogério!$A608,[1]rogério!$B608=H$4),"ok","nok")</f>
        <v>nok</v>
      </c>
      <c r="I607" s="60" t="str">
        <f>IF(AND($B607=[1]rogério!$A608,[1]rogério!$B608=I$4),"ok","nok")</f>
        <v>nok</v>
      </c>
      <c r="J607" s="60" t="str">
        <f>IF(AND($B607=[1]rogério!$A608,[1]rogério!$B608=J$4),"ok","nok")</f>
        <v>nok</v>
      </c>
      <c r="K607" s="60" t="str">
        <f>IF(AND($B607=[1]rogério!$A608,[1]rogério!$B608=K$4),"ok","nok")</f>
        <v>nok</v>
      </c>
      <c r="L607" s="60" t="str">
        <f>IF(AND($B607=[1]rogério!$A608,[1]rogério!$B608=L$4),"ok","nok")</f>
        <v>nok</v>
      </c>
      <c r="M607" s="60" t="str">
        <f>IF(AND($B607=[1]rogério!$A608,[1]rogério!$B608=M$4),"ok","nok")</f>
        <v>nok</v>
      </c>
      <c r="N607" s="60" t="str">
        <f>IF(AND($B607=[1]rogério!$A608,[1]rogério!$B608=N$4),"ok","nok")</f>
        <v>nok</v>
      </c>
      <c r="O607" s="60" t="str">
        <f>IF(AND($B607=[1]rogério!$A608,[1]rogério!$B608=O$4),"ok","nok")</f>
        <v>nok</v>
      </c>
      <c r="P607" s="60" t="str">
        <f>IF(AND($B607=[1]rogério!$A608,[1]rogério!$B608=P$4),"ok","nok")</f>
        <v>nok</v>
      </c>
      <c r="Q607" s="60" t="str">
        <f>IF(AND($B607=[1]rogério!$A608,[1]rogério!$B608=Q$4),"ok","nok")</f>
        <v>nok</v>
      </c>
      <c r="R607" s="60" t="str">
        <f>IF(AND($B607=[1]rogério!$A608,[1]rogério!$B608=R$4),"ok","nok")</f>
        <v>nok</v>
      </c>
      <c r="S607" s="60" t="str">
        <f>IF(AND($B607=[1]rogério!$A608,[1]rogério!$B608=S$4),"ok","nok")</f>
        <v>nok</v>
      </c>
      <c r="T607" s="60" t="str">
        <f>IF(AND($B607=[1]rogério!$A608,[1]rogério!$B608=T$4),"ok","nok")</f>
        <v>nok</v>
      </c>
      <c r="U607" s="60" t="str">
        <f>IF(AND($B607=[1]rogério!$A608,[1]rogério!$B608=U$4),"ok","nok")</f>
        <v>nok</v>
      </c>
      <c r="V607" s="60" t="str">
        <f>IF(AND($B607=[1]rogério!$A608,[1]rogério!$B608=V$4),"ok","nok")</f>
        <v>ok</v>
      </c>
      <c r="W607" s="60" t="str">
        <f>IF(AND($B607=[1]rogério!$A608,[1]rogério!$B608=W$4),"ok","nok")</f>
        <v>nok</v>
      </c>
      <c r="X607" s="60" t="str">
        <f>IF(AND($B607=[1]rogério!$A608,[1]rogério!$B608=X$4),"ok","nok")</f>
        <v>nok</v>
      </c>
      <c r="Y607" s="105" t="s">
        <v>15</v>
      </c>
      <c r="Z607" s="106"/>
      <c r="AA607" s="106"/>
      <c r="AB607" s="107"/>
      <c r="AC607" s="38"/>
      <c r="AD607" s="38"/>
      <c r="AE607" s="48" t="str">
        <f t="shared" si="148"/>
        <v/>
      </c>
      <c r="AF607" s="48"/>
      <c r="AG607" s="48"/>
      <c r="AH607" s="89"/>
      <c r="AI607" s="49">
        <f t="shared" si="149"/>
        <v>0</v>
      </c>
      <c r="AJ607" s="49" t="str">
        <f t="shared" si="150"/>
        <v/>
      </c>
      <c r="AK607" s="49">
        <f t="shared" si="151"/>
        <v>0</v>
      </c>
      <c r="AL607" s="49" t="str">
        <f t="shared" si="152"/>
        <v/>
      </c>
      <c r="AM607" s="49">
        <f t="shared" si="153"/>
        <v>0</v>
      </c>
      <c r="AN607" s="49" t="str">
        <f t="shared" si="154"/>
        <v/>
      </c>
      <c r="AO607" s="49">
        <f t="shared" si="155"/>
        <v>1</v>
      </c>
      <c r="AP607" s="49" t="str">
        <f t="shared" si="156"/>
        <v/>
      </c>
      <c r="AQ607" s="49">
        <f t="shared" si="157"/>
        <v>0</v>
      </c>
      <c r="AR607" s="49" t="str">
        <f t="shared" si="158"/>
        <v/>
      </c>
    </row>
    <row r="608" spans="1:44" ht="30" customHeight="1" x14ac:dyDescent="0.35">
      <c r="A608" s="25" t="str">
        <f t="shared" si="147"/>
        <v>PT177 - PLATAFORMA DE ACESSO - GRUPO - DETALHADO
COLUNA 2PROJETO DETALHADO
CIVIL</v>
      </c>
      <c r="B608" s="38" t="s">
        <v>65</v>
      </c>
      <c r="C608" s="60" t="str">
        <f>IF(AND($B608=[1]rogério!$A609,[1]rogério!$B609=C$4),"ok","nok")</f>
        <v>nok</v>
      </c>
      <c r="D608" s="60" t="str">
        <f>IF(AND($B608=[1]rogério!$A609,[1]rogério!$B609=D$4),"ok","nok")</f>
        <v>nok</v>
      </c>
      <c r="E608" s="60" t="str">
        <f>IF(AND($B608=[1]rogério!$A609,[1]rogério!$B609=E$4),"ok","nok")</f>
        <v>nok</v>
      </c>
      <c r="F608" s="60" t="str">
        <f>IF(AND($B608=[1]rogério!$A609,[1]rogério!$B609=F$4),"ok","nok")</f>
        <v>nok</v>
      </c>
      <c r="G608" s="60" t="str">
        <f>IF(AND($B608=[1]rogério!$A609,[1]rogério!$B609=G$4),"ok","nok")</f>
        <v>nok</v>
      </c>
      <c r="H608" s="60" t="str">
        <f>IF(AND($B608=[1]rogério!$A609,[1]rogério!$B609=H$4),"ok","nok")</f>
        <v>nok</v>
      </c>
      <c r="I608" s="60" t="str">
        <f>IF(AND($B608=[1]rogério!$A609,[1]rogério!$B609=I$4),"ok","nok")</f>
        <v>nok</v>
      </c>
      <c r="J608" s="60" t="str">
        <f>IF(AND($B608=[1]rogério!$A609,[1]rogério!$B609=J$4),"ok","nok")</f>
        <v>nok</v>
      </c>
      <c r="K608" s="60" t="str">
        <f>IF(AND($B608=[1]rogério!$A609,[1]rogério!$B609=K$4),"ok","nok")</f>
        <v>nok</v>
      </c>
      <c r="L608" s="60" t="str">
        <f>IF(AND($B608=[1]rogério!$A609,[1]rogério!$B609=L$4),"ok","nok")</f>
        <v>nok</v>
      </c>
      <c r="M608" s="60" t="str">
        <f>IF(AND($B608=[1]rogério!$A609,[1]rogério!$B609=M$4),"ok","nok")</f>
        <v>nok</v>
      </c>
      <c r="N608" s="60" t="str">
        <f>IF(AND($B608=[1]rogério!$A609,[1]rogério!$B609=N$4),"ok","nok")</f>
        <v>nok</v>
      </c>
      <c r="O608" s="60" t="str">
        <f>IF(AND($B608=[1]rogério!$A609,[1]rogério!$B609=O$4),"ok","nok")</f>
        <v>nok</v>
      </c>
      <c r="P608" s="60" t="str">
        <f>IF(AND($B608=[1]rogério!$A609,[1]rogério!$B609=P$4),"ok","nok")</f>
        <v>nok</v>
      </c>
      <c r="Q608" s="60" t="str">
        <f>IF(AND($B608=[1]rogério!$A609,[1]rogério!$B609=Q$4),"ok","nok")</f>
        <v>nok</v>
      </c>
      <c r="R608" s="60" t="str">
        <f>IF(AND($B608=[1]rogério!$A609,[1]rogério!$B609=R$4),"ok","nok")</f>
        <v>ok</v>
      </c>
      <c r="S608" s="60" t="str">
        <f>IF(AND($B608=[1]rogério!$A609,[1]rogério!$B609=S$4),"ok","nok")</f>
        <v>nok</v>
      </c>
      <c r="T608" s="60" t="str">
        <f>IF(AND($B608=[1]rogério!$A609,[1]rogério!$B609=T$4),"ok","nok")</f>
        <v>nok</v>
      </c>
      <c r="U608" s="60" t="str">
        <f>IF(AND($B608=[1]rogério!$A609,[1]rogério!$B609=U$4),"ok","nok")</f>
        <v>nok</v>
      </c>
      <c r="V608" s="60" t="str">
        <f>IF(AND($B608=[1]rogério!$A609,[1]rogério!$B609=V$4),"ok","nok")</f>
        <v>nok</v>
      </c>
      <c r="W608" s="60" t="str">
        <f>IF(AND($B608=[1]rogério!$A609,[1]rogério!$B609=W$4),"ok","nok")</f>
        <v>nok</v>
      </c>
      <c r="X608" s="60" t="str">
        <f>IF(AND($B608=[1]rogério!$A609,[1]rogério!$B609=X$4),"ok","nok")</f>
        <v>nok</v>
      </c>
      <c r="Y608" s="105" t="s">
        <v>15</v>
      </c>
      <c r="Z608" s="106"/>
      <c r="AA608" s="106"/>
      <c r="AB608" s="107"/>
      <c r="AC608" s="38"/>
      <c r="AD608" s="38"/>
      <c r="AE608" s="48" t="str">
        <f t="shared" si="148"/>
        <v/>
      </c>
      <c r="AF608" s="48"/>
      <c r="AG608" s="48"/>
      <c r="AH608" s="89"/>
      <c r="AI608" s="49">
        <f t="shared" si="149"/>
        <v>0</v>
      </c>
      <c r="AJ608" s="49" t="str">
        <f t="shared" si="150"/>
        <v/>
      </c>
      <c r="AK608" s="49">
        <f t="shared" si="151"/>
        <v>0</v>
      </c>
      <c r="AL608" s="49" t="str">
        <f t="shared" si="152"/>
        <v/>
      </c>
      <c r="AM608" s="49">
        <f t="shared" si="153"/>
        <v>0</v>
      </c>
      <c r="AN608" s="49" t="str">
        <f t="shared" si="154"/>
        <v/>
      </c>
      <c r="AO608" s="49">
        <f t="shared" si="155"/>
        <v>1</v>
      </c>
      <c r="AP608" s="49" t="str">
        <f t="shared" si="156"/>
        <v/>
      </c>
      <c r="AQ608" s="49">
        <f t="shared" si="157"/>
        <v>0</v>
      </c>
      <c r="AR608" s="49" t="str">
        <f t="shared" si="158"/>
        <v/>
      </c>
    </row>
    <row r="609" spans="1:44" ht="30" customHeight="1" x14ac:dyDescent="0.35">
      <c r="A609" s="25" t="str">
        <f t="shared" si="147"/>
        <v>PT177 - PLATAFORMA DE ACESSO - GRUPO - DETALHADO
COLUNA 2PROJETO DETALHADO
CIVIL</v>
      </c>
      <c r="B609" s="38" t="s">
        <v>66</v>
      </c>
      <c r="C609" s="60" t="str">
        <f>IF(AND($B609=[1]rogério!$A610,[1]rogério!$B610=C$4),"ok","nok")</f>
        <v>nok</v>
      </c>
      <c r="D609" s="60" t="str">
        <f>IF(AND($B609=[1]rogério!$A610,[1]rogério!$B610=D$4),"ok","nok")</f>
        <v>nok</v>
      </c>
      <c r="E609" s="60" t="str">
        <f>IF(AND($B609=[1]rogério!$A610,[1]rogério!$B610=E$4),"ok","nok")</f>
        <v>nok</v>
      </c>
      <c r="F609" s="60" t="str">
        <f>IF(AND($B609=[1]rogério!$A610,[1]rogério!$B610=F$4),"ok","nok")</f>
        <v>nok</v>
      </c>
      <c r="G609" s="60" t="str">
        <f>IF(AND($B609=[1]rogério!$A610,[1]rogério!$B610=G$4),"ok","nok")</f>
        <v>nok</v>
      </c>
      <c r="H609" s="60" t="str">
        <f>IF(AND($B609=[1]rogério!$A610,[1]rogério!$B610=H$4),"ok","nok")</f>
        <v>nok</v>
      </c>
      <c r="I609" s="60" t="str">
        <f>IF(AND($B609=[1]rogério!$A610,[1]rogério!$B610=I$4),"ok","nok")</f>
        <v>nok</v>
      </c>
      <c r="J609" s="60" t="str">
        <f>IF(AND($B609=[1]rogério!$A610,[1]rogério!$B610=J$4),"ok","nok")</f>
        <v>nok</v>
      </c>
      <c r="K609" s="60" t="str">
        <f>IF(AND($B609=[1]rogério!$A610,[1]rogério!$B610=K$4),"ok","nok")</f>
        <v>nok</v>
      </c>
      <c r="L609" s="60" t="str">
        <f>IF(AND($B609=[1]rogério!$A610,[1]rogério!$B610=L$4),"ok","nok")</f>
        <v>nok</v>
      </c>
      <c r="M609" s="60" t="str">
        <f>IF(AND($B609=[1]rogério!$A610,[1]rogério!$B610=M$4),"ok","nok")</f>
        <v>nok</v>
      </c>
      <c r="N609" s="60" t="str">
        <f>IF(AND($B609=[1]rogério!$A610,[1]rogério!$B610=N$4),"ok","nok")</f>
        <v>nok</v>
      </c>
      <c r="O609" s="60" t="str">
        <f>IF(AND($B609=[1]rogério!$A610,[1]rogério!$B610=O$4),"ok","nok")</f>
        <v>nok</v>
      </c>
      <c r="P609" s="60" t="str">
        <f>IF(AND($B609=[1]rogério!$A610,[1]rogério!$B610=P$4),"ok","nok")</f>
        <v>nok</v>
      </c>
      <c r="Q609" s="60" t="str">
        <f>IF(AND($B609=[1]rogério!$A610,[1]rogério!$B610=Q$4),"ok","nok")</f>
        <v>nok</v>
      </c>
      <c r="R609" s="60" t="str">
        <f>IF(AND($B609=[1]rogério!$A610,[1]rogério!$B610=R$4),"ok","nok")</f>
        <v>nok</v>
      </c>
      <c r="S609" s="60" t="str">
        <f>IF(AND($B609=[1]rogério!$A610,[1]rogério!$B610=S$4),"ok","nok")</f>
        <v>ok</v>
      </c>
      <c r="T609" s="60" t="str">
        <f>IF(AND($B609=[1]rogério!$A610,[1]rogério!$B610=T$4),"ok","nok")</f>
        <v>nok</v>
      </c>
      <c r="U609" s="60" t="str">
        <f>IF(AND($B609=[1]rogério!$A610,[1]rogério!$B610=U$4),"ok","nok")</f>
        <v>nok</v>
      </c>
      <c r="V609" s="60" t="str">
        <f>IF(AND($B609=[1]rogério!$A610,[1]rogério!$B610=V$4),"ok","nok")</f>
        <v>nok</v>
      </c>
      <c r="W609" s="60" t="str">
        <f>IF(AND($B609=[1]rogério!$A610,[1]rogério!$B610=W$4),"ok","nok")</f>
        <v>nok</v>
      </c>
      <c r="X609" s="60" t="str">
        <f>IF(AND($B609=[1]rogério!$A610,[1]rogério!$B610=X$4),"ok","nok")</f>
        <v>nok</v>
      </c>
      <c r="Y609" s="105" t="s">
        <v>15</v>
      </c>
      <c r="Z609" s="106"/>
      <c r="AA609" s="106"/>
      <c r="AB609" s="107"/>
      <c r="AC609" s="38"/>
      <c r="AD609" s="38"/>
      <c r="AE609" s="48" t="str">
        <f t="shared" si="148"/>
        <v/>
      </c>
      <c r="AF609" s="48"/>
      <c r="AG609" s="48"/>
      <c r="AH609" s="89"/>
      <c r="AI609" s="49">
        <f t="shared" si="149"/>
        <v>0</v>
      </c>
      <c r="AJ609" s="49" t="str">
        <f t="shared" si="150"/>
        <v/>
      </c>
      <c r="AK609" s="49">
        <f t="shared" si="151"/>
        <v>0</v>
      </c>
      <c r="AL609" s="49" t="str">
        <f t="shared" si="152"/>
        <v/>
      </c>
      <c r="AM609" s="49">
        <f t="shared" si="153"/>
        <v>0</v>
      </c>
      <c r="AN609" s="49" t="str">
        <f t="shared" si="154"/>
        <v/>
      </c>
      <c r="AO609" s="49">
        <f t="shared" si="155"/>
        <v>1</v>
      </c>
      <c r="AP609" s="49" t="str">
        <f t="shared" si="156"/>
        <v/>
      </c>
      <c r="AQ609" s="49">
        <f t="shared" si="157"/>
        <v>0</v>
      </c>
      <c r="AR609" s="49" t="str">
        <f t="shared" si="158"/>
        <v/>
      </c>
    </row>
    <row r="610" spans="1:44" ht="30" customHeight="1" x14ac:dyDescent="0.35">
      <c r="A610" s="25"/>
      <c r="B610" s="39" t="s">
        <v>67</v>
      </c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108"/>
      <c r="Z610" s="109"/>
      <c r="AA610" s="109"/>
      <c r="AB610" s="110"/>
      <c r="AC610" s="38"/>
      <c r="AD610" s="38"/>
      <c r="AE610" s="48" t="str">
        <f t="shared" si="148"/>
        <v/>
      </c>
      <c r="AF610" s="48"/>
      <c r="AG610" s="48"/>
      <c r="AH610" s="89"/>
      <c r="AI610" s="49">
        <f t="shared" si="149"/>
        <v>0</v>
      </c>
      <c r="AJ610" s="49" t="str">
        <f t="shared" si="150"/>
        <v/>
      </c>
      <c r="AK610" s="49">
        <f t="shared" si="151"/>
        <v>0</v>
      </c>
      <c r="AL610" s="49" t="str">
        <f t="shared" si="152"/>
        <v/>
      </c>
      <c r="AM610" s="49">
        <f t="shared" si="153"/>
        <v>0</v>
      </c>
      <c r="AN610" s="49" t="str">
        <f t="shared" si="154"/>
        <v/>
      </c>
      <c r="AO610" s="49">
        <f t="shared" si="155"/>
        <v>0</v>
      </c>
      <c r="AP610" s="49" t="str">
        <f t="shared" si="156"/>
        <v/>
      </c>
      <c r="AQ610" s="49">
        <f t="shared" si="157"/>
        <v>0</v>
      </c>
      <c r="AR610" s="49" t="str">
        <f t="shared" si="158"/>
        <v/>
      </c>
    </row>
    <row r="611" spans="1:44" ht="30" customHeight="1" x14ac:dyDescent="0.35">
      <c r="A611" s="25" t="str">
        <f t="shared" si="147"/>
        <v>PT177 - PLATAFORMA DE ACESSO - GRUPO - DETALHADO
COLUNA 2PROJETO DETALHADO
CIVIL</v>
      </c>
      <c r="B611" s="40" t="s">
        <v>49</v>
      </c>
      <c r="C611" s="60" t="str">
        <f>IF(AND($B611=[1]rogério!$A612,[1]rogério!$B612=C$4),"ok","nok")</f>
        <v>nok</v>
      </c>
      <c r="D611" s="60" t="str">
        <f>IF(AND($B611=[1]rogério!$A612,[1]rogério!$B612=D$4),"ok","nok")</f>
        <v>nok</v>
      </c>
      <c r="E611" s="60" t="str">
        <f>IF(AND($B611=[1]rogério!$A612,[1]rogério!$B612=E$4),"ok","nok")</f>
        <v>nok</v>
      </c>
      <c r="F611" s="60" t="str">
        <f>IF(AND($B611=[1]rogério!$A612,[1]rogério!$B612=F$4),"ok","nok")</f>
        <v>nok</v>
      </c>
      <c r="G611" s="60" t="str">
        <f>IF(AND($B611=[1]rogério!$A612,[1]rogério!$B612=G$4),"ok","nok")</f>
        <v>nok</v>
      </c>
      <c r="H611" s="60" t="str">
        <f>IF(AND($B611=[1]rogério!$A612,[1]rogério!$B612=H$4),"ok","nok")</f>
        <v>nok</v>
      </c>
      <c r="I611" s="60" t="str">
        <f>IF(AND($B611=[1]rogério!$A612,[1]rogério!$B612=I$4),"ok","nok")</f>
        <v>nok</v>
      </c>
      <c r="J611" s="60" t="str">
        <f>IF(AND($B611=[1]rogério!$A612,[1]rogério!$B612=J$4),"ok","nok")</f>
        <v>nok</v>
      </c>
      <c r="K611" s="60" t="str">
        <f>IF(AND($B611=[1]rogério!$A612,[1]rogério!$B612=K$4),"ok","nok")</f>
        <v>nok</v>
      </c>
      <c r="L611" s="60" t="str">
        <f>IF(AND($B611=[1]rogério!$A612,[1]rogério!$B612=L$4),"ok","nok")</f>
        <v>nok</v>
      </c>
      <c r="M611" s="60" t="str">
        <f>IF(AND($B611=[1]rogério!$A612,[1]rogério!$B612=M$4),"ok","nok")</f>
        <v>nok</v>
      </c>
      <c r="N611" s="60" t="str">
        <f>IF(AND($B611=[1]rogério!$A612,[1]rogério!$B612=N$4),"ok","nok")</f>
        <v>nok</v>
      </c>
      <c r="O611" s="60" t="str">
        <f>IF(AND($B611=[1]rogério!$A612,[1]rogério!$B612=O$4),"ok","nok")</f>
        <v>nok</v>
      </c>
      <c r="P611" s="60" t="str">
        <f>IF(AND($B611=[1]rogério!$A612,[1]rogério!$B612=P$4),"ok","nok")</f>
        <v>nok</v>
      </c>
      <c r="Q611" s="60" t="str">
        <f>IF(AND($B611=[1]rogério!$A612,[1]rogério!$B612=Q$4),"ok","nok")</f>
        <v>nok</v>
      </c>
      <c r="R611" s="60" t="str">
        <f>IF(AND($B611=[1]rogério!$A612,[1]rogério!$B612=R$4),"ok","nok")</f>
        <v>nok</v>
      </c>
      <c r="S611" s="60" t="str">
        <f>IF(AND($B611=[1]rogério!$A612,[1]rogério!$B612=S$4),"ok","nok")</f>
        <v>ok</v>
      </c>
      <c r="T611" s="60" t="str">
        <f>IF(AND($B611=[1]rogério!$A612,[1]rogério!$B612=T$4),"ok","nok")</f>
        <v>nok</v>
      </c>
      <c r="U611" s="60" t="str">
        <f>IF(AND($B611=[1]rogério!$A612,[1]rogério!$B612=U$4),"ok","nok")</f>
        <v>nok</v>
      </c>
      <c r="V611" s="60" t="str">
        <f>IF(AND($B611=[1]rogério!$A612,[1]rogério!$B612=V$4),"ok","nok")</f>
        <v>nok</v>
      </c>
      <c r="W611" s="60" t="str">
        <f>IF(AND($B611=[1]rogério!$A612,[1]rogério!$B612=W$4),"ok","nok")</f>
        <v>nok</v>
      </c>
      <c r="X611" s="60" t="str">
        <f>IF(AND($B611=[1]rogério!$A612,[1]rogério!$B612=X$4),"ok","nok")</f>
        <v>nok</v>
      </c>
      <c r="Y611" s="105" t="s">
        <v>15</v>
      </c>
      <c r="Z611" s="106"/>
      <c r="AA611" s="106"/>
      <c r="AB611" s="107"/>
      <c r="AC611" s="38"/>
      <c r="AD611" s="38"/>
      <c r="AE611" s="48" t="str">
        <f t="shared" si="148"/>
        <v/>
      </c>
      <c r="AF611" s="48"/>
      <c r="AG611" s="48"/>
      <c r="AH611" s="89"/>
      <c r="AI611" s="49">
        <f t="shared" si="149"/>
        <v>0</v>
      </c>
      <c r="AJ611" s="49" t="str">
        <f t="shared" si="150"/>
        <v/>
      </c>
      <c r="AK611" s="49">
        <f t="shared" si="151"/>
        <v>0</v>
      </c>
      <c r="AL611" s="49" t="str">
        <f t="shared" si="152"/>
        <v/>
      </c>
      <c r="AM611" s="49">
        <f t="shared" si="153"/>
        <v>0</v>
      </c>
      <c r="AN611" s="49" t="str">
        <f t="shared" si="154"/>
        <v/>
      </c>
      <c r="AO611" s="49">
        <f t="shared" si="155"/>
        <v>1</v>
      </c>
      <c r="AP611" s="49" t="str">
        <f t="shared" si="156"/>
        <v/>
      </c>
      <c r="AQ611" s="49">
        <f t="shared" si="157"/>
        <v>0</v>
      </c>
      <c r="AR611" s="49" t="str">
        <f t="shared" si="158"/>
        <v/>
      </c>
    </row>
    <row r="612" spans="1:44" ht="30" customHeight="1" x14ac:dyDescent="0.35">
      <c r="A612" s="25" t="str">
        <f t="shared" si="147"/>
        <v>PT177 - PLATAFORMA DE ACESSO - GRUPO - DETALHADO
COLUNA 2PROJETO DETALHADO
CIVIL</v>
      </c>
      <c r="B612" s="40" t="s">
        <v>19</v>
      </c>
      <c r="C612" s="60" t="str">
        <f>IF(AND($B612=[1]rogério!$A613,[1]rogério!$B613=C$4),"ok","nok")</f>
        <v>nok</v>
      </c>
      <c r="D612" s="60" t="str">
        <f>IF(AND($B612=[1]rogério!$A613,[1]rogério!$B613=D$4),"ok","nok")</f>
        <v>nok</v>
      </c>
      <c r="E612" s="60" t="str">
        <f>IF(AND($B612=[1]rogério!$A613,[1]rogério!$B613=E$4),"ok","nok")</f>
        <v>nok</v>
      </c>
      <c r="F612" s="60" t="str">
        <f>IF(AND($B612=[1]rogério!$A613,[1]rogério!$B613=F$4),"ok","nok")</f>
        <v>nok</v>
      </c>
      <c r="G612" s="60" t="str">
        <f>IF(AND($B612=[1]rogério!$A613,[1]rogério!$B613=G$4),"ok","nok")</f>
        <v>nok</v>
      </c>
      <c r="H612" s="60" t="str">
        <f>IF(AND($B612=[1]rogério!$A613,[1]rogério!$B613=H$4),"ok","nok")</f>
        <v>nok</v>
      </c>
      <c r="I612" s="60" t="str">
        <f>IF(AND($B612=[1]rogério!$A613,[1]rogério!$B613=I$4),"ok","nok")</f>
        <v>nok</v>
      </c>
      <c r="J612" s="60" t="str">
        <f>IF(AND($B612=[1]rogério!$A613,[1]rogério!$B613=J$4),"ok","nok")</f>
        <v>nok</v>
      </c>
      <c r="K612" s="60" t="str">
        <f>IF(AND($B612=[1]rogério!$A613,[1]rogério!$B613=K$4),"ok","nok")</f>
        <v>nok</v>
      </c>
      <c r="L612" s="60" t="str">
        <f>IF(AND($B612=[1]rogério!$A613,[1]rogério!$B613=L$4),"ok","nok")</f>
        <v>nok</v>
      </c>
      <c r="M612" s="60" t="str">
        <f>IF(AND($B612=[1]rogério!$A613,[1]rogério!$B613=M$4),"ok","nok")</f>
        <v>nok</v>
      </c>
      <c r="N612" s="60" t="str">
        <f>IF(AND($B612=[1]rogério!$A613,[1]rogério!$B613=N$4),"ok","nok")</f>
        <v>nok</v>
      </c>
      <c r="O612" s="60" t="str">
        <f>IF(AND($B612=[1]rogério!$A613,[1]rogério!$B613=O$4),"ok","nok")</f>
        <v>nok</v>
      </c>
      <c r="P612" s="60" t="str">
        <f>IF(AND($B612=[1]rogério!$A613,[1]rogério!$B613=P$4),"ok","nok")</f>
        <v>nok</v>
      </c>
      <c r="Q612" s="60" t="str">
        <f>IF(AND($B612=[1]rogério!$A613,[1]rogério!$B613=Q$4),"ok","nok")</f>
        <v>nok</v>
      </c>
      <c r="R612" s="60" t="str">
        <f>IF(AND($B612=[1]rogério!$A613,[1]rogério!$B613=R$4),"ok","nok")</f>
        <v>nok</v>
      </c>
      <c r="S612" s="60" t="str">
        <f>IF(AND($B612=[1]rogério!$A613,[1]rogério!$B613=S$4),"ok","nok")</f>
        <v>nok</v>
      </c>
      <c r="T612" s="60" t="str">
        <f>IF(AND($B612=[1]rogério!$A613,[1]rogério!$B613=T$4),"ok","nok")</f>
        <v>nok</v>
      </c>
      <c r="U612" s="60" t="str">
        <f>IF(AND($B612=[1]rogério!$A613,[1]rogério!$B613=U$4),"ok","nok")</f>
        <v>nok</v>
      </c>
      <c r="V612" s="60" t="str">
        <f>IF(AND($B612=[1]rogério!$A613,[1]rogério!$B613=V$4),"ok","nok")</f>
        <v>nok</v>
      </c>
      <c r="W612" s="60" t="str">
        <f>IF(AND($B612=[1]rogério!$A613,[1]rogério!$B613=W$4),"ok","nok")</f>
        <v>nok</v>
      </c>
      <c r="X612" s="60" t="str">
        <f>IF(AND($B612=[1]rogério!$A613,[1]rogério!$B613=X$4),"ok","nok")</f>
        <v>ok</v>
      </c>
      <c r="Y612" s="105" t="s">
        <v>15</v>
      </c>
      <c r="Z612" s="106"/>
      <c r="AA612" s="106"/>
      <c r="AB612" s="107"/>
      <c r="AC612" s="38"/>
      <c r="AD612" s="38"/>
      <c r="AE612" s="48" t="str">
        <f t="shared" si="148"/>
        <v/>
      </c>
      <c r="AF612" s="48"/>
      <c r="AG612" s="48"/>
      <c r="AH612" s="89"/>
      <c r="AI612" s="49">
        <f t="shared" si="149"/>
        <v>0</v>
      </c>
      <c r="AJ612" s="49" t="str">
        <f t="shared" si="150"/>
        <v/>
      </c>
      <c r="AK612" s="49">
        <f t="shared" si="151"/>
        <v>0</v>
      </c>
      <c r="AL612" s="49" t="str">
        <f t="shared" si="152"/>
        <v/>
      </c>
      <c r="AM612" s="49">
        <f t="shared" si="153"/>
        <v>0</v>
      </c>
      <c r="AN612" s="49" t="str">
        <f t="shared" si="154"/>
        <v/>
      </c>
      <c r="AO612" s="49">
        <f t="shared" si="155"/>
        <v>0</v>
      </c>
      <c r="AP612" s="49" t="str">
        <f t="shared" si="156"/>
        <v/>
      </c>
      <c r="AQ612" s="49">
        <f t="shared" si="157"/>
        <v>1</v>
      </c>
      <c r="AR612" s="49" t="str">
        <f t="shared" si="158"/>
        <v/>
      </c>
    </row>
    <row r="613" spans="1:44" ht="30" customHeight="1" x14ac:dyDescent="0.35">
      <c r="A613" s="25" t="str">
        <f t="shared" si="147"/>
        <v>PT177 - PLATAFORMA DE ACESSO - GRUPO - DETALHADO
COLUNA 2PROJETO DETALHADO
CIVIL</v>
      </c>
      <c r="B613" s="38" t="s">
        <v>92</v>
      </c>
      <c r="C613" s="60" t="str">
        <f>IF(AND($B613=[1]rogério!$A614,[1]rogério!$B614=C$4),"ok","nok")</f>
        <v>nok</v>
      </c>
      <c r="D613" s="60" t="str">
        <f>IF(AND($B613=[1]rogério!$A614,[1]rogério!$B614=D$4),"ok","nok")</f>
        <v>nok</v>
      </c>
      <c r="E613" s="60" t="str">
        <f>IF(AND($B613=[1]rogério!$A614,[1]rogério!$B614=E$4),"ok","nok")</f>
        <v>nok</v>
      </c>
      <c r="F613" s="60" t="str">
        <f>IF(AND($B613=[1]rogério!$A614,[1]rogério!$B614=F$4),"ok","nok")</f>
        <v>nok</v>
      </c>
      <c r="G613" s="60" t="str">
        <f>IF(AND($B613=[1]rogério!$A614,[1]rogério!$B614=G$4),"ok","nok")</f>
        <v>nok</v>
      </c>
      <c r="H613" s="60" t="str">
        <f>IF(AND($B613=[1]rogério!$A614,[1]rogério!$B614=H$4),"ok","nok")</f>
        <v>nok</v>
      </c>
      <c r="I613" s="60" t="str">
        <f>IF(AND($B613=[1]rogério!$A614,[1]rogério!$B614=I$4),"ok","nok")</f>
        <v>nok</v>
      </c>
      <c r="J613" s="60" t="str">
        <f>IF(AND($B613=[1]rogério!$A614,[1]rogério!$B614=J$4),"ok","nok")</f>
        <v>nok</v>
      </c>
      <c r="K613" s="60" t="str">
        <f>IF(AND($B613=[1]rogério!$A614,[1]rogério!$B614=K$4),"ok","nok")</f>
        <v>nok</v>
      </c>
      <c r="L613" s="60" t="str">
        <f>IF(AND($B613=[1]rogério!$A614,[1]rogério!$B614=L$4),"ok","nok")</f>
        <v>nok</v>
      </c>
      <c r="M613" s="60" t="str">
        <f>IF(AND($B613=[1]rogério!$A614,[1]rogério!$B614=M$4),"ok","nok")</f>
        <v>nok</v>
      </c>
      <c r="N613" s="60" t="str">
        <f>IF(AND($B613=[1]rogério!$A614,[1]rogério!$B614=N$4),"ok","nok")</f>
        <v>nok</v>
      </c>
      <c r="O613" s="60" t="str">
        <f>IF(AND($B613=[1]rogério!$A614,[1]rogério!$B614=O$4),"ok","nok")</f>
        <v>nok</v>
      </c>
      <c r="P613" s="60" t="str">
        <f>IF(AND($B613=[1]rogério!$A614,[1]rogério!$B614=P$4),"ok","nok")</f>
        <v>nok</v>
      </c>
      <c r="Q613" s="60" t="str">
        <f>IF(AND($B613=[1]rogério!$A614,[1]rogério!$B614=Q$4),"ok","nok")</f>
        <v>nok</v>
      </c>
      <c r="R613" s="60" t="str">
        <f>IF(AND($B613=[1]rogério!$A614,[1]rogério!$B614=R$4),"ok","nok")</f>
        <v>nok</v>
      </c>
      <c r="S613" s="60" t="str">
        <f>IF(AND($B613=[1]rogério!$A614,[1]rogério!$B614=S$4),"ok","nok")</f>
        <v>nok</v>
      </c>
      <c r="T613" s="60" t="str">
        <f>IF(AND($B613=[1]rogério!$A614,[1]rogério!$B614=T$4),"ok","nok")</f>
        <v>ok</v>
      </c>
      <c r="U613" s="60" t="str">
        <f>IF(AND($B613=[1]rogério!$A614,[1]rogério!$B614=U$4),"ok","nok")</f>
        <v>nok</v>
      </c>
      <c r="V613" s="60" t="str">
        <f>IF(AND($B613=[1]rogério!$A614,[1]rogério!$B614=V$4),"ok","nok")</f>
        <v>nok</v>
      </c>
      <c r="W613" s="60" t="str">
        <f>IF(AND($B613=[1]rogério!$A614,[1]rogério!$B614=W$4),"ok","nok")</f>
        <v>nok</v>
      </c>
      <c r="X613" s="60" t="str">
        <f>IF(AND($B613=[1]rogério!$A614,[1]rogério!$B614=X$4),"ok","nok")</f>
        <v>nok</v>
      </c>
      <c r="Y613" s="105" t="s">
        <v>15</v>
      </c>
      <c r="Z613" s="106"/>
      <c r="AA613" s="106"/>
      <c r="AB613" s="107"/>
      <c r="AC613" s="38"/>
      <c r="AD613" s="38"/>
      <c r="AE613" s="48" t="str">
        <f t="shared" si="148"/>
        <v/>
      </c>
      <c r="AF613" s="48"/>
      <c r="AG613" s="48"/>
      <c r="AH613" s="89"/>
      <c r="AI613" s="49">
        <f t="shared" si="149"/>
        <v>0</v>
      </c>
      <c r="AJ613" s="49" t="str">
        <f t="shared" si="150"/>
        <v/>
      </c>
      <c r="AK613" s="49">
        <f t="shared" si="151"/>
        <v>0</v>
      </c>
      <c r="AL613" s="49" t="str">
        <f t="shared" si="152"/>
        <v/>
      </c>
      <c r="AM613" s="49">
        <f t="shared" si="153"/>
        <v>0</v>
      </c>
      <c r="AN613" s="49" t="str">
        <f t="shared" si="154"/>
        <v/>
      </c>
      <c r="AO613" s="49">
        <f t="shared" si="155"/>
        <v>1</v>
      </c>
      <c r="AP613" s="49" t="str">
        <f t="shared" si="156"/>
        <v/>
      </c>
      <c r="AQ613" s="49">
        <f t="shared" si="157"/>
        <v>0</v>
      </c>
      <c r="AR613" s="49" t="str">
        <f t="shared" si="158"/>
        <v/>
      </c>
    </row>
    <row r="614" spans="1:44" ht="30" customHeight="1" x14ac:dyDescent="0.35">
      <c r="A614" s="25" t="str">
        <f t="shared" si="147"/>
        <v>PT177 - PLATAFORMA DE ACESSO - GRUPO - DETALHADO
COLUNA 2PROJETO DETALHADO
CIVIL</v>
      </c>
      <c r="B614" s="38" t="s">
        <v>93</v>
      </c>
      <c r="C614" s="60" t="str">
        <f>IF(AND($B614=[1]rogério!$A615,[1]rogério!$B615=C$4),"ok","nok")</f>
        <v>nok</v>
      </c>
      <c r="D614" s="60" t="str">
        <f>IF(AND($B614=[1]rogério!$A615,[1]rogério!$B615=D$4),"ok","nok")</f>
        <v>nok</v>
      </c>
      <c r="E614" s="60" t="str">
        <f>IF(AND($B614=[1]rogério!$A615,[1]rogério!$B615=E$4),"ok","nok")</f>
        <v>nok</v>
      </c>
      <c r="F614" s="60" t="str">
        <f>IF(AND($B614=[1]rogério!$A615,[1]rogério!$B615=F$4),"ok","nok")</f>
        <v>nok</v>
      </c>
      <c r="G614" s="60" t="str">
        <f>IF(AND($B614=[1]rogério!$A615,[1]rogério!$B615=G$4),"ok","nok")</f>
        <v>nok</v>
      </c>
      <c r="H614" s="60" t="str">
        <f>IF(AND($B614=[1]rogério!$A615,[1]rogério!$B615=H$4),"ok","nok")</f>
        <v>nok</v>
      </c>
      <c r="I614" s="60" t="str">
        <f>IF(AND($B614=[1]rogério!$A615,[1]rogério!$B615=I$4),"ok","nok")</f>
        <v>nok</v>
      </c>
      <c r="J614" s="60" t="str">
        <f>IF(AND($B614=[1]rogério!$A615,[1]rogério!$B615=J$4),"ok","nok")</f>
        <v>nok</v>
      </c>
      <c r="K614" s="60" t="str">
        <f>IF(AND($B614=[1]rogério!$A615,[1]rogério!$B615=K$4),"ok","nok")</f>
        <v>nok</v>
      </c>
      <c r="L614" s="60" t="str">
        <f>IF(AND($B614=[1]rogério!$A615,[1]rogério!$B615=L$4),"ok","nok")</f>
        <v>nok</v>
      </c>
      <c r="M614" s="60" t="str">
        <f>IF(AND($B614=[1]rogério!$A615,[1]rogério!$B615=M$4),"ok","nok")</f>
        <v>nok</v>
      </c>
      <c r="N614" s="60" t="str">
        <f>IF(AND($B614=[1]rogério!$A615,[1]rogério!$B615=N$4),"ok","nok")</f>
        <v>nok</v>
      </c>
      <c r="O614" s="60" t="str">
        <f>IF(AND($B614=[1]rogério!$A615,[1]rogério!$B615=O$4),"ok","nok")</f>
        <v>nok</v>
      </c>
      <c r="P614" s="60" t="str">
        <f>IF(AND($B614=[1]rogério!$A615,[1]rogério!$B615=P$4),"ok","nok")</f>
        <v>nok</v>
      </c>
      <c r="Q614" s="60" t="str">
        <f>IF(AND($B614=[1]rogério!$A615,[1]rogério!$B615=Q$4),"ok","nok")</f>
        <v>nok</v>
      </c>
      <c r="R614" s="60" t="str">
        <f>IF(AND($B614=[1]rogério!$A615,[1]rogério!$B615=R$4),"ok","nok")</f>
        <v>nok</v>
      </c>
      <c r="S614" s="60" t="str">
        <f>IF(AND($B614=[1]rogério!$A615,[1]rogério!$B615=S$4),"ok","nok")</f>
        <v>nok</v>
      </c>
      <c r="T614" s="60" t="str">
        <f>IF(AND($B614=[1]rogério!$A615,[1]rogério!$B615=T$4),"ok","nok")</f>
        <v>nok</v>
      </c>
      <c r="U614" s="60" t="str">
        <f>IF(AND($B614=[1]rogério!$A615,[1]rogério!$B615=U$4),"ok","nok")</f>
        <v>ok</v>
      </c>
      <c r="V614" s="60" t="str">
        <f>IF(AND($B614=[1]rogério!$A615,[1]rogério!$B615=V$4),"ok","nok")</f>
        <v>nok</v>
      </c>
      <c r="W614" s="60" t="str">
        <f>IF(AND($B614=[1]rogério!$A615,[1]rogério!$B615=W$4),"ok","nok")</f>
        <v>nok</v>
      </c>
      <c r="X614" s="60" t="str">
        <f>IF(AND($B614=[1]rogério!$A615,[1]rogério!$B615=X$4),"ok","nok")</f>
        <v>nok</v>
      </c>
      <c r="Y614" s="105" t="s">
        <v>15</v>
      </c>
      <c r="Z614" s="106"/>
      <c r="AA614" s="106"/>
      <c r="AB614" s="107"/>
      <c r="AC614" s="38"/>
      <c r="AD614" s="38"/>
      <c r="AE614" s="48" t="str">
        <f t="shared" si="148"/>
        <v/>
      </c>
      <c r="AF614" s="48"/>
      <c r="AG614" s="48"/>
      <c r="AH614" s="89"/>
      <c r="AI614" s="49">
        <f t="shared" si="149"/>
        <v>0</v>
      </c>
      <c r="AJ614" s="49" t="str">
        <f t="shared" si="150"/>
        <v/>
      </c>
      <c r="AK614" s="49">
        <f t="shared" si="151"/>
        <v>0</v>
      </c>
      <c r="AL614" s="49" t="str">
        <f t="shared" si="152"/>
        <v/>
      </c>
      <c r="AM614" s="49">
        <f t="shared" si="153"/>
        <v>0</v>
      </c>
      <c r="AN614" s="49" t="str">
        <f t="shared" si="154"/>
        <v/>
      </c>
      <c r="AO614" s="49">
        <f t="shared" si="155"/>
        <v>1</v>
      </c>
      <c r="AP614" s="49" t="str">
        <f t="shared" si="156"/>
        <v/>
      </c>
      <c r="AQ614" s="49">
        <f t="shared" si="157"/>
        <v>0</v>
      </c>
      <c r="AR614" s="49" t="str">
        <f t="shared" si="158"/>
        <v/>
      </c>
    </row>
    <row r="615" spans="1:44" ht="30" customHeight="1" x14ac:dyDescent="0.35">
      <c r="A615" s="25"/>
      <c r="B615" s="39" t="s">
        <v>94</v>
      </c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108"/>
      <c r="Z615" s="109"/>
      <c r="AA615" s="109"/>
      <c r="AB615" s="110"/>
      <c r="AC615" s="38"/>
      <c r="AD615" s="38"/>
      <c r="AE615" s="48" t="str">
        <f t="shared" si="148"/>
        <v/>
      </c>
      <c r="AF615" s="48"/>
      <c r="AG615" s="48"/>
      <c r="AH615" s="89"/>
      <c r="AI615" s="49">
        <f t="shared" si="149"/>
        <v>0</v>
      </c>
      <c r="AJ615" s="49" t="str">
        <f t="shared" si="150"/>
        <v/>
      </c>
      <c r="AK615" s="49">
        <f t="shared" si="151"/>
        <v>0</v>
      </c>
      <c r="AL615" s="49" t="str">
        <f t="shared" si="152"/>
        <v/>
      </c>
      <c r="AM615" s="49">
        <f t="shared" si="153"/>
        <v>0</v>
      </c>
      <c r="AN615" s="49" t="str">
        <f t="shared" si="154"/>
        <v/>
      </c>
      <c r="AO615" s="49">
        <f t="shared" si="155"/>
        <v>0</v>
      </c>
      <c r="AP615" s="49" t="str">
        <f t="shared" si="156"/>
        <v/>
      </c>
      <c r="AQ615" s="49">
        <f t="shared" si="157"/>
        <v>0</v>
      </c>
      <c r="AR615" s="49" t="str">
        <f t="shared" si="158"/>
        <v/>
      </c>
    </row>
    <row r="616" spans="1:44" ht="30" customHeight="1" x14ac:dyDescent="0.35">
      <c r="A616" s="25" t="str">
        <f t="shared" si="147"/>
        <v>PT177 - PLATAFORMA DE ACESSO - GRUPO - DETALHADO
COLUNA 2PROJETO DETALHADO
CIVIL</v>
      </c>
      <c r="B616" s="40" t="s">
        <v>49</v>
      </c>
      <c r="C616" s="60" t="str">
        <f>IF(AND($B616=[1]rogério!$A617,[1]rogério!$B617=C$4),"ok","nok")</f>
        <v>nok</v>
      </c>
      <c r="D616" s="60" t="str">
        <f>IF(AND($B616=[1]rogério!$A617,[1]rogério!$B617=D$4),"ok","nok")</f>
        <v>nok</v>
      </c>
      <c r="E616" s="60" t="str">
        <f>IF(AND($B616=[1]rogério!$A617,[1]rogério!$B617=E$4),"ok","nok")</f>
        <v>nok</v>
      </c>
      <c r="F616" s="60" t="str">
        <f>IF(AND($B616=[1]rogério!$A617,[1]rogério!$B617=F$4),"ok","nok")</f>
        <v>nok</v>
      </c>
      <c r="G616" s="60" t="str">
        <f>IF(AND($B616=[1]rogério!$A617,[1]rogério!$B617=G$4),"ok","nok")</f>
        <v>nok</v>
      </c>
      <c r="H616" s="60" t="str">
        <f>IF(AND($B616=[1]rogério!$A617,[1]rogério!$B617=H$4),"ok","nok")</f>
        <v>nok</v>
      </c>
      <c r="I616" s="60" t="str">
        <f>IF(AND($B616=[1]rogério!$A617,[1]rogério!$B617=I$4),"ok","nok")</f>
        <v>nok</v>
      </c>
      <c r="J616" s="60" t="str">
        <f>IF(AND($B616=[1]rogério!$A617,[1]rogério!$B617=J$4),"ok","nok")</f>
        <v>nok</v>
      </c>
      <c r="K616" s="60" t="str">
        <f>IF(AND($B616=[1]rogério!$A617,[1]rogério!$B617=K$4),"ok","nok")</f>
        <v>nok</v>
      </c>
      <c r="L616" s="60" t="str">
        <f>IF(AND($B616=[1]rogério!$A617,[1]rogério!$B617=L$4),"ok","nok")</f>
        <v>nok</v>
      </c>
      <c r="M616" s="60" t="str">
        <f>IF(AND($B616=[1]rogério!$A617,[1]rogério!$B617=M$4),"ok","nok")</f>
        <v>nok</v>
      </c>
      <c r="N616" s="60" t="str">
        <f>IF(AND($B616=[1]rogério!$A617,[1]rogério!$B617=N$4),"ok","nok")</f>
        <v>nok</v>
      </c>
      <c r="O616" s="60" t="str">
        <f>IF(AND($B616=[1]rogério!$A617,[1]rogério!$B617=O$4),"ok","nok")</f>
        <v>nok</v>
      </c>
      <c r="P616" s="60" t="str">
        <f>IF(AND($B616=[1]rogério!$A617,[1]rogério!$B617=P$4),"ok","nok")</f>
        <v>nok</v>
      </c>
      <c r="Q616" s="60" t="str">
        <f>IF(AND($B616=[1]rogério!$A617,[1]rogério!$B617=Q$4),"ok","nok")</f>
        <v>nok</v>
      </c>
      <c r="R616" s="60" t="str">
        <f>IF(AND($B616=[1]rogério!$A617,[1]rogério!$B617=R$4),"ok","nok")</f>
        <v>nok</v>
      </c>
      <c r="S616" s="60" t="str">
        <f>IF(AND($B616=[1]rogério!$A617,[1]rogério!$B617=S$4),"ok","nok")</f>
        <v>nok</v>
      </c>
      <c r="T616" s="60" t="str">
        <f>IF(AND($B616=[1]rogério!$A617,[1]rogério!$B617=T$4),"ok","nok")</f>
        <v>nok</v>
      </c>
      <c r="U616" s="60" t="str">
        <f>IF(AND($B616=[1]rogério!$A617,[1]rogério!$B617=U$4),"ok","nok")</f>
        <v>ok</v>
      </c>
      <c r="V616" s="60" t="str">
        <f>IF(AND($B616=[1]rogério!$A617,[1]rogério!$B617=V$4),"ok","nok")</f>
        <v>nok</v>
      </c>
      <c r="W616" s="60" t="str">
        <f>IF(AND($B616=[1]rogério!$A617,[1]rogério!$B617=W$4),"ok","nok")</f>
        <v>nok</v>
      </c>
      <c r="X616" s="60" t="str">
        <f>IF(AND($B616=[1]rogério!$A617,[1]rogério!$B617=X$4),"ok","nok")</f>
        <v>nok</v>
      </c>
      <c r="Y616" s="105" t="s">
        <v>15</v>
      </c>
      <c r="Z616" s="106"/>
      <c r="AA616" s="106"/>
      <c r="AB616" s="107"/>
      <c r="AC616" s="38"/>
      <c r="AD616" s="38"/>
      <c r="AE616" s="48" t="str">
        <f t="shared" si="148"/>
        <v/>
      </c>
      <c r="AF616" s="48"/>
      <c r="AG616" s="48"/>
      <c r="AH616" s="89"/>
      <c r="AI616" s="49">
        <f t="shared" si="149"/>
        <v>0</v>
      </c>
      <c r="AJ616" s="49" t="str">
        <f t="shared" si="150"/>
        <v/>
      </c>
      <c r="AK616" s="49">
        <f t="shared" si="151"/>
        <v>0</v>
      </c>
      <c r="AL616" s="49" t="str">
        <f t="shared" si="152"/>
        <v/>
      </c>
      <c r="AM616" s="49">
        <f t="shared" si="153"/>
        <v>0</v>
      </c>
      <c r="AN616" s="49" t="str">
        <f t="shared" si="154"/>
        <v/>
      </c>
      <c r="AO616" s="49">
        <f t="shared" si="155"/>
        <v>1</v>
      </c>
      <c r="AP616" s="49" t="str">
        <f t="shared" si="156"/>
        <v/>
      </c>
      <c r="AQ616" s="49">
        <f t="shared" si="157"/>
        <v>0</v>
      </c>
      <c r="AR616" s="49" t="str">
        <f t="shared" si="158"/>
        <v/>
      </c>
    </row>
    <row r="617" spans="1:44" ht="30" customHeight="1" x14ac:dyDescent="0.35">
      <c r="A617" s="25"/>
      <c r="B617" s="62" t="s">
        <v>86</v>
      </c>
      <c r="C617" s="62"/>
      <c r="D617" s="62"/>
      <c r="E617" s="62"/>
      <c r="F617" s="62"/>
      <c r="G617" s="62"/>
      <c r="H617" s="62"/>
      <c r="I617" s="62"/>
      <c r="J617" s="62"/>
      <c r="K617" s="62"/>
      <c r="L617" s="62"/>
      <c r="M617" s="62"/>
      <c r="N617" s="62"/>
      <c r="O617" s="62"/>
      <c r="P617" s="62"/>
      <c r="Q617" s="62"/>
      <c r="R617" s="62"/>
      <c r="S617" s="62"/>
      <c r="T617" s="62"/>
      <c r="U617" s="62"/>
      <c r="V617" s="62"/>
      <c r="W617" s="62"/>
      <c r="X617" s="62"/>
      <c r="Y617" s="114"/>
      <c r="Z617" s="115"/>
      <c r="AA617" s="115"/>
      <c r="AB617" s="116"/>
      <c r="AC617" s="38"/>
      <c r="AD617" s="38"/>
      <c r="AE617" s="48" t="str">
        <f t="shared" si="148"/>
        <v/>
      </c>
      <c r="AF617" s="48"/>
      <c r="AG617" s="48"/>
      <c r="AH617" s="89"/>
      <c r="AI617" s="49">
        <f t="shared" si="149"/>
        <v>0</v>
      </c>
      <c r="AJ617" s="49" t="str">
        <f t="shared" si="150"/>
        <v/>
      </c>
      <c r="AK617" s="49">
        <f t="shared" si="151"/>
        <v>0</v>
      </c>
      <c r="AL617" s="49" t="str">
        <f t="shared" si="152"/>
        <v/>
      </c>
      <c r="AM617" s="49">
        <f t="shared" si="153"/>
        <v>0</v>
      </c>
      <c r="AN617" s="49" t="str">
        <f t="shared" si="154"/>
        <v/>
      </c>
      <c r="AO617" s="49">
        <f t="shared" si="155"/>
        <v>0</v>
      </c>
      <c r="AP617" s="49" t="str">
        <f t="shared" si="156"/>
        <v/>
      </c>
      <c r="AQ617" s="49">
        <f t="shared" si="157"/>
        <v>0</v>
      </c>
      <c r="AR617" s="49" t="str">
        <f t="shared" si="158"/>
        <v/>
      </c>
    </row>
    <row r="618" spans="1:44" ht="30" customHeight="1" x14ac:dyDescent="0.35">
      <c r="A618" s="25"/>
      <c r="B618" s="39" t="s">
        <v>95</v>
      </c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108"/>
      <c r="Z618" s="109"/>
      <c r="AA618" s="109"/>
      <c r="AB618" s="110"/>
      <c r="AC618" s="38"/>
      <c r="AD618" s="38"/>
      <c r="AE618" s="48" t="str">
        <f t="shared" si="148"/>
        <v/>
      </c>
      <c r="AF618" s="48"/>
      <c r="AG618" s="48"/>
      <c r="AH618" s="89"/>
      <c r="AI618" s="49">
        <f t="shared" si="149"/>
        <v>0</v>
      </c>
      <c r="AJ618" s="49" t="str">
        <f t="shared" si="150"/>
        <v/>
      </c>
      <c r="AK618" s="49">
        <f t="shared" si="151"/>
        <v>0</v>
      </c>
      <c r="AL618" s="49" t="str">
        <f t="shared" si="152"/>
        <v/>
      </c>
      <c r="AM618" s="49">
        <f t="shared" si="153"/>
        <v>0</v>
      </c>
      <c r="AN618" s="49" t="str">
        <f t="shared" si="154"/>
        <v/>
      </c>
      <c r="AO618" s="49">
        <f t="shared" si="155"/>
        <v>0</v>
      </c>
      <c r="AP618" s="49" t="str">
        <f t="shared" si="156"/>
        <v/>
      </c>
      <c r="AQ618" s="49">
        <f t="shared" si="157"/>
        <v>0</v>
      </c>
      <c r="AR618" s="49" t="str">
        <f t="shared" si="158"/>
        <v/>
      </c>
    </row>
    <row r="619" spans="1:44" ht="30" customHeight="1" x14ac:dyDescent="0.35">
      <c r="A619" s="25" t="str">
        <f>CONCATENATE($B$533,"
",$B$535,"",$B$536,"
",$B$617)</f>
        <v>PT177 - PLATAFORMA DE ACESSO - GRUPO - DETALHADO
COLUNA 2PROJETO DETALHADO
ELÉTRICA</v>
      </c>
      <c r="B619" s="40" t="s">
        <v>19</v>
      </c>
      <c r="C619" s="60" t="str">
        <f>IF(AND($B619=[1]rogério!$A620,[1]rogério!$B620=C$4),"ok","nok")</f>
        <v>nok</v>
      </c>
      <c r="D619" s="60" t="str">
        <f>IF(AND($B619=[1]rogério!$A620,[1]rogério!$B620=D$4),"ok","nok")</f>
        <v>nok</v>
      </c>
      <c r="E619" s="60" t="str">
        <f>IF(AND($B619=[1]rogério!$A620,[1]rogério!$B620=E$4),"ok","nok")</f>
        <v>nok</v>
      </c>
      <c r="F619" s="60" t="str">
        <f>IF(AND($B619=[1]rogério!$A620,[1]rogério!$B620=F$4),"ok","nok")</f>
        <v>nok</v>
      </c>
      <c r="G619" s="60" t="str">
        <f>IF(AND($B619=[1]rogério!$A620,[1]rogério!$B620=G$4),"ok","nok")</f>
        <v>nok</v>
      </c>
      <c r="H619" s="60" t="str">
        <f>IF(AND($B619=[1]rogério!$A620,[1]rogério!$B620=H$4),"ok","nok")</f>
        <v>nok</v>
      </c>
      <c r="I619" s="60" t="str">
        <f>IF(AND($B619=[1]rogério!$A620,[1]rogério!$B620=I$4),"ok","nok")</f>
        <v>ok</v>
      </c>
      <c r="J619" s="60" t="str">
        <f>IF(AND($B619=[1]rogério!$A620,[1]rogério!$B620=J$4),"ok","nok")</f>
        <v>nok</v>
      </c>
      <c r="K619" s="60" t="str">
        <f>IF(AND($B619=[1]rogério!$A620,[1]rogério!$B620=K$4),"ok","nok")</f>
        <v>nok</v>
      </c>
      <c r="L619" s="60" t="str">
        <f>IF(AND($B619=[1]rogério!$A620,[1]rogério!$B620=L$4),"ok","nok")</f>
        <v>nok</v>
      </c>
      <c r="M619" s="60" t="str">
        <f>IF(AND($B619=[1]rogério!$A620,[1]rogério!$B620=M$4),"ok","nok")</f>
        <v>nok</v>
      </c>
      <c r="N619" s="60" t="str">
        <f>IF(AND($B619=[1]rogério!$A620,[1]rogério!$B620=N$4),"ok","nok")</f>
        <v>nok</v>
      </c>
      <c r="O619" s="60" t="str">
        <f>IF(AND($B619=[1]rogério!$A620,[1]rogério!$B620=O$4),"ok","nok")</f>
        <v>nok</v>
      </c>
      <c r="P619" s="60" t="str">
        <f>IF(AND($B619=[1]rogério!$A620,[1]rogério!$B620=P$4),"ok","nok")</f>
        <v>nok</v>
      </c>
      <c r="Q619" s="60" t="str">
        <f>IF(AND($B619=[1]rogério!$A620,[1]rogério!$B620=Q$4),"ok","nok")</f>
        <v>nok</v>
      </c>
      <c r="R619" s="60" t="str">
        <f>IF(AND($B619=[1]rogério!$A620,[1]rogério!$B620=R$4),"ok","nok")</f>
        <v>nok</v>
      </c>
      <c r="S619" s="60" t="str">
        <f>IF(AND($B619=[1]rogério!$A620,[1]rogério!$B620=S$4),"ok","nok")</f>
        <v>nok</v>
      </c>
      <c r="T619" s="60" t="str">
        <f>IF(AND($B619=[1]rogério!$A620,[1]rogério!$B620=T$4),"ok","nok")</f>
        <v>nok</v>
      </c>
      <c r="U619" s="60" t="str">
        <f>IF(AND($B619=[1]rogério!$A620,[1]rogério!$B620=U$4),"ok","nok")</f>
        <v>nok</v>
      </c>
      <c r="V619" s="60" t="str">
        <f>IF(AND($B619=[1]rogério!$A620,[1]rogério!$B620=V$4),"ok","nok")</f>
        <v>nok</v>
      </c>
      <c r="W619" s="60" t="str">
        <f>IF(AND($B619=[1]rogério!$A620,[1]rogério!$B620=W$4),"ok","nok")</f>
        <v>nok</v>
      </c>
      <c r="X619" s="60" t="str">
        <f>IF(AND($B619=[1]rogério!$A620,[1]rogério!$B620=X$4),"ok","nok")</f>
        <v>nok</v>
      </c>
      <c r="Y619" s="105" t="s">
        <v>15</v>
      </c>
      <c r="Z619" s="106"/>
      <c r="AA619" s="106"/>
      <c r="AB619" s="107"/>
      <c r="AC619" s="38"/>
      <c r="AD619" s="38"/>
      <c r="AE619" s="48" t="str">
        <f t="shared" si="148"/>
        <v/>
      </c>
      <c r="AF619" s="48"/>
      <c r="AG619" s="48"/>
      <c r="AH619" s="89"/>
      <c r="AI619" s="49">
        <f t="shared" si="149"/>
        <v>0</v>
      </c>
      <c r="AJ619" s="49" t="str">
        <f t="shared" si="150"/>
        <v/>
      </c>
      <c r="AK619" s="49">
        <f t="shared" si="151"/>
        <v>1</v>
      </c>
      <c r="AL619" s="49" t="str">
        <f t="shared" si="152"/>
        <v/>
      </c>
      <c r="AM619" s="49">
        <f t="shared" si="153"/>
        <v>0</v>
      </c>
      <c r="AN619" s="49" t="str">
        <f t="shared" si="154"/>
        <v/>
      </c>
      <c r="AO619" s="49">
        <f t="shared" si="155"/>
        <v>0</v>
      </c>
      <c r="AP619" s="49" t="str">
        <f t="shared" si="156"/>
        <v/>
      </c>
      <c r="AQ619" s="49">
        <f t="shared" si="157"/>
        <v>0</v>
      </c>
      <c r="AR619" s="49" t="str">
        <f t="shared" si="158"/>
        <v/>
      </c>
    </row>
    <row r="620" spans="1:44" ht="30" customHeight="1" x14ac:dyDescent="0.35">
      <c r="A620" s="25" t="str">
        <f t="shared" ref="A620:A621" si="159">CONCATENATE($B$533,"
",$B$535,"",$B$536,"
",$B$617)</f>
        <v>PT177 - PLATAFORMA DE ACESSO - GRUPO - DETALHADO
COLUNA 2PROJETO DETALHADO
ELÉTRICA</v>
      </c>
      <c r="B620" s="40" t="s">
        <v>42</v>
      </c>
      <c r="C620" s="60" t="str">
        <f>IF(AND($B620=[1]rogério!$A621,[1]rogério!$B621=C$4),"ok","nok")</f>
        <v>nok</v>
      </c>
      <c r="D620" s="60" t="str">
        <f>IF(AND($B620=[1]rogério!$A621,[1]rogério!$B621=D$4),"ok","nok")</f>
        <v>nok</v>
      </c>
      <c r="E620" s="60" t="str">
        <f>IF(AND($B620=[1]rogério!$A621,[1]rogério!$B621=E$4),"ok","nok")</f>
        <v>nok</v>
      </c>
      <c r="F620" s="60" t="str">
        <f>IF(AND($B620=[1]rogério!$A621,[1]rogério!$B621=F$4),"ok","nok")</f>
        <v>nok</v>
      </c>
      <c r="G620" s="60" t="str">
        <f>IF(AND($B620=[1]rogério!$A621,[1]rogério!$B621=G$4),"ok","nok")</f>
        <v>nok</v>
      </c>
      <c r="H620" s="60" t="str">
        <f>IF(AND($B620=[1]rogério!$A621,[1]rogério!$B621=H$4),"ok","nok")</f>
        <v>nok</v>
      </c>
      <c r="I620" s="60" t="str">
        <f>IF(AND($B620=[1]rogério!$A621,[1]rogério!$B621=I$4),"ok","nok")</f>
        <v>nok</v>
      </c>
      <c r="J620" s="60" t="str">
        <f>IF(AND($B620=[1]rogério!$A621,[1]rogério!$B621=J$4),"ok","nok")</f>
        <v>nok</v>
      </c>
      <c r="K620" s="60" t="str">
        <f>IF(AND($B620=[1]rogério!$A621,[1]rogério!$B621=K$4),"ok","nok")</f>
        <v>nok</v>
      </c>
      <c r="L620" s="60" t="str">
        <f>IF(AND($B620=[1]rogério!$A621,[1]rogério!$B621=L$4),"ok","nok")</f>
        <v>ok</v>
      </c>
      <c r="M620" s="60" t="str">
        <f>IF(AND($B620=[1]rogério!$A621,[1]rogério!$B621=M$4),"ok","nok")</f>
        <v>nok</v>
      </c>
      <c r="N620" s="60" t="str">
        <f>IF(AND($B620=[1]rogério!$A621,[1]rogério!$B621=N$4),"ok","nok")</f>
        <v>nok</v>
      </c>
      <c r="O620" s="60" t="str">
        <f>IF(AND($B620=[1]rogério!$A621,[1]rogério!$B621=O$4),"ok","nok")</f>
        <v>nok</v>
      </c>
      <c r="P620" s="60" t="str">
        <f>IF(AND($B620=[1]rogério!$A621,[1]rogério!$B621=P$4),"ok","nok")</f>
        <v>nok</v>
      </c>
      <c r="Q620" s="60" t="str">
        <f>IF(AND($B620=[1]rogério!$A621,[1]rogério!$B621=Q$4),"ok","nok")</f>
        <v>nok</v>
      </c>
      <c r="R620" s="60" t="str">
        <f>IF(AND($B620=[1]rogério!$A621,[1]rogério!$B621=R$4),"ok","nok")</f>
        <v>nok</v>
      </c>
      <c r="S620" s="60" t="str">
        <f>IF(AND($B620=[1]rogério!$A621,[1]rogério!$B621=S$4),"ok","nok")</f>
        <v>nok</v>
      </c>
      <c r="T620" s="60" t="str">
        <f>IF(AND($B620=[1]rogério!$A621,[1]rogério!$B621=T$4),"ok","nok")</f>
        <v>nok</v>
      </c>
      <c r="U620" s="60" t="str">
        <f>IF(AND($B620=[1]rogério!$A621,[1]rogério!$B621=U$4),"ok","nok")</f>
        <v>nok</v>
      </c>
      <c r="V620" s="60" t="str">
        <f>IF(AND($B620=[1]rogério!$A621,[1]rogério!$B621=V$4),"ok","nok")</f>
        <v>nok</v>
      </c>
      <c r="W620" s="60" t="str">
        <f>IF(AND($B620=[1]rogério!$A621,[1]rogério!$B621=W$4),"ok","nok")</f>
        <v>nok</v>
      </c>
      <c r="X620" s="60" t="str">
        <f>IF(AND($B620=[1]rogério!$A621,[1]rogério!$B621=X$4),"ok","nok")</f>
        <v>nok</v>
      </c>
      <c r="Y620" s="105" t="s">
        <v>15</v>
      </c>
      <c r="Z620" s="106"/>
      <c r="AA620" s="106"/>
      <c r="AB620" s="107"/>
      <c r="AC620" s="38"/>
      <c r="AD620" s="38"/>
      <c r="AE620" s="48" t="str">
        <f t="shared" si="148"/>
        <v/>
      </c>
      <c r="AF620" s="48"/>
      <c r="AG620" s="48"/>
      <c r="AH620" s="89"/>
      <c r="AI620" s="49">
        <f t="shared" si="149"/>
        <v>0</v>
      </c>
      <c r="AJ620" s="49" t="str">
        <f t="shared" si="150"/>
        <v/>
      </c>
      <c r="AK620" s="49">
        <f t="shared" si="151"/>
        <v>1</v>
      </c>
      <c r="AL620" s="49" t="str">
        <f t="shared" si="152"/>
        <v/>
      </c>
      <c r="AM620" s="49">
        <f t="shared" si="153"/>
        <v>0</v>
      </c>
      <c r="AN620" s="49" t="str">
        <f t="shared" si="154"/>
        <v/>
      </c>
      <c r="AO620" s="49">
        <f t="shared" si="155"/>
        <v>0</v>
      </c>
      <c r="AP620" s="49" t="str">
        <f t="shared" si="156"/>
        <v/>
      </c>
      <c r="AQ620" s="49">
        <f t="shared" si="157"/>
        <v>0</v>
      </c>
      <c r="AR620" s="49" t="str">
        <f t="shared" si="158"/>
        <v/>
      </c>
    </row>
    <row r="621" spans="1:44" ht="30" customHeight="1" x14ac:dyDescent="0.35">
      <c r="A621" s="25" t="str">
        <f t="shared" si="159"/>
        <v>PT177 - PLATAFORMA DE ACESSO - GRUPO - DETALHADO
COLUNA 2PROJETO DETALHADO
ELÉTRICA</v>
      </c>
      <c r="B621" s="40" t="s">
        <v>43</v>
      </c>
      <c r="C621" s="60" t="str">
        <f>IF(AND($B621=[1]rogério!$A622,[1]rogério!$B622=C$4),"ok","nok")</f>
        <v>nok</v>
      </c>
      <c r="D621" s="60" t="str">
        <f>IF(AND($B621=[1]rogério!$A622,[1]rogério!$B622=D$4),"ok","nok")</f>
        <v>nok</v>
      </c>
      <c r="E621" s="60" t="str">
        <f>IF(AND($B621=[1]rogério!$A622,[1]rogério!$B622=E$4),"ok","nok")</f>
        <v>nok</v>
      </c>
      <c r="F621" s="60" t="str">
        <f>IF(AND($B621=[1]rogério!$A622,[1]rogério!$B622=F$4),"ok","nok")</f>
        <v>nok</v>
      </c>
      <c r="G621" s="60" t="str">
        <f>IF(AND($B621=[1]rogério!$A622,[1]rogério!$B622=G$4),"ok","nok")</f>
        <v>nok</v>
      </c>
      <c r="H621" s="60" t="str">
        <f>IF(AND($B621=[1]rogério!$A622,[1]rogério!$B622=H$4),"ok","nok")</f>
        <v>nok</v>
      </c>
      <c r="I621" s="60" t="str">
        <f>IF(AND($B621=[1]rogério!$A622,[1]rogério!$B622=I$4),"ok","nok")</f>
        <v>nok</v>
      </c>
      <c r="J621" s="60" t="str">
        <f>IF(AND($B621=[1]rogério!$A622,[1]rogério!$B622=J$4),"ok","nok")</f>
        <v>nok</v>
      </c>
      <c r="K621" s="60" t="str">
        <f>IF(AND($B621=[1]rogério!$A622,[1]rogério!$B622=K$4),"ok","nok")</f>
        <v>nok</v>
      </c>
      <c r="L621" s="60" t="str">
        <f>IF(AND($B621=[1]rogério!$A622,[1]rogério!$B622=L$4),"ok","nok")</f>
        <v>ok</v>
      </c>
      <c r="M621" s="60" t="str">
        <f>IF(AND($B621=[1]rogério!$A622,[1]rogério!$B622=M$4),"ok","nok")</f>
        <v>nok</v>
      </c>
      <c r="N621" s="60" t="str">
        <f>IF(AND($B621=[1]rogério!$A622,[1]rogério!$B622=N$4),"ok","nok")</f>
        <v>nok</v>
      </c>
      <c r="O621" s="60" t="str">
        <f>IF(AND($B621=[1]rogério!$A622,[1]rogério!$B622=O$4),"ok","nok")</f>
        <v>nok</v>
      </c>
      <c r="P621" s="60" t="str">
        <f>IF(AND($B621=[1]rogério!$A622,[1]rogério!$B622=P$4),"ok","nok")</f>
        <v>nok</v>
      </c>
      <c r="Q621" s="60" t="str">
        <f>IF(AND($B621=[1]rogério!$A622,[1]rogério!$B622=Q$4),"ok","nok")</f>
        <v>nok</v>
      </c>
      <c r="R621" s="60" t="str">
        <f>IF(AND($B621=[1]rogério!$A622,[1]rogério!$B622=R$4),"ok","nok")</f>
        <v>nok</v>
      </c>
      <c r="S621" s="60" t="str">
        <f>IF(AND($B621=[1]rogério!$A622,[1]rogério!$B622=S$4),"ok","nok")</f>
        <v>nok</v>
      </c>
      <c r="T621" s="60" t="str">
        <f>IF(AND($B621=[1]rogério!$A622,[1]rogério!$B622=T$4),"ok","nok")</f>
        <v>nok</v>
      </c>
      <c r="U621" s="60" t="str">
        <f>IF(AND($B621=[1]rogério!$A622,[1]rogério!$B622=U$4),"ok","nok")</f>
        <v>nok</v>
      </c>
      <c r="V621" s="60" t="str">
        <f>IF(AND($B621=[1]rogério!$A622,[1]rogério!$B622=V$4),"ok","nok")</f>
        <v>nok</v>
      </c>
      <c r="W621" s="60" t="str">
        <f>IF(AND($B621=[1]rogério!$A622,[1]rogério!$B622=W$4),"ok","nok")</f>
        <v>nok</v>
      </c>
      <c r="X621" s="60" t="str">
        <f>IF(AND($B621=[1]rogério!$A622,[1]rogério!$B622=X$4),"ok","nok")</f>
        <v>nok</v>
      </c>
      <c r="Y621" s="105" t="s">
        <v>15</v>
      </c>
      <c r="Z621" s="106"/>
      <c r="AA621" s="106"/>
      <c r="AB621" s="107"/>
      <c r="AC621" s="38"/>
      <c r="AD621" s="38"/>
      <c r="AE621" s="48" t="str">
        <f t="shared" si="148"/>
        <v/>
      </c>
      <c r="AF621" s="48"/>
      <c r="AG621" s="48"/>
      <c r="AH621" s="89"/>
      <c r="AI621" s="49">
        <f t="shared" si="149"/>
        <v>0</v>
      </c>
      <c r="AJ621" s="49" t="str">
        <f t="shared" si="150"/>
        <v/>
      </c>
      <c r="AK621" s="49">
        <f t="shared" si="151"/>
        <v>1</v>
      </c>
      <c r="AL621" s="49" t="str">
        <f t="shared" si="152"/>
        <v/>
      </c>
      <c r="AM621" s="49">
        <f t="shared" si="153"/>
        <v>0</v>
      </c>
      <c r="AN621" s="49" t="str">
        <f t="shared" si="154"/>
        <v/>
      </c>
      <c r="AO621" s="49">
        <f t="shared" si="155"/>
        <v>0</v>
      </c>
      <c r="AP621" s="49" t="str">
        <f t="shared" si="156"/>
        <v/>
      </c>
      <c r="AQ621" s="49">
        <f t="shared" si="157"/>
        <v>0</v>
      </c>
      <c r="AR621" s="49" t="str">
        <f t="shared" si="158"/>
        <v/>
      </c>
    </row>
    <row r="622" spans="1:44" ht="30" customHeight="1" x14ac:dyDescent="0.35">
      <c r="A622" s="25"/>
      <c r="B622" s="42" t="s">
        <v>90</v>
      </c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111"/>
      <c r="Z622" s="112"/>
      <c r="AA622" s="112"/>
      <c r="AB622" s="113"/>
      <c r="AC622" s="38"/>
      <c r="AD622" s="38"/>
      <c r="AE622" s="48" t="str">
        <f t="shared" si="148"/>
        <v/>
      </c>
      <c r="AF622" s="48"/>
      <c r="AG622" s="48"/>
      <c r="AH622" s="89"/>
      <c r="AI622" s="49">
        <f t="shared" si="149"/>
        <v>0</v>
      </c>
      <c r="AJ622" s="49" t="str">
        <f t="shared" si="150"/>
        <v/>
      </c>
      <c r="AK622" s="49">
        <f t="shared" si="151"/>
        <v>0</v>
      </c>
      <c r="AL622" s="49" t="str">
        <f t="shared" si="152"/>
        <v/>
      </c>
      <c r="AM622" s="49">
        <f t="shared" si="153"/>
        <v>0</v>
      </c>
      <c r="AN622" s="49" t="str">
        <f t="shared" si="154"/>
        <v/>
      </c>
      <c r="AO622" s="49">
        <f t="shared" si="155"/>
        <v>0</v>
      </c>
      <c r="AP622" s="49" t="str">
        <f t="shared" si="156"/>
        <v/>
      </c>
      <c r="AQ622" s="49">
        <f t="shared" si="157"/>
        <v>0</v>
      </c>
      <c r="AR622" s="49" t="str">
        <f t="shared" si="158"/>
        <v/>
      </c>
    </row>
    <row r="623" spans="1:44" ht="30" customHeight="1" x14ac:dyDescent="0.35">
      <c r="A623" s="25"/>
      <c r="B623" s="61" t="s">
        <v>70</v>
      </c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X623" s="61"/>
      <c r="Y623" s="117"/>
      <c r="Z623" s="118"/>
      <c r="AA623" s="118"/>
      <c r="AB623" s="119"/>
      <c r="AC623" s="38"/>
      <c r="AD623" s="38"/>
      <c r="AE623" s="48" t="str">
        <f t="shared" si="148"/>
        <v/>
      </c>
      <c r="AF623" s="48"/>
      <c r="AG623" s="48"/>
      <c r="AH623" s="89"/>
      <c r="AI623" s="49">
        <f t="shared" si="149"/>
        <v>0</v>
      </c>
      <c r="AJ623" s="49" t="str">
        <f t="shared" si="150"/>
        <v/>
      </c>
      <c r="AK623" s="49">
        <f t="shared" si="151"/>
        <v>0</v>
      </c>
      <c r="AL623" s="49" t="str">
        <f t="shared" si="152"/>
        <v/>
      </c>
      <c r="AM623" s="49">
        <f t="shared" si="153"/>
        <v>0</v>
      </c>
      <c r="AN623" s="49" t="str">
        <f t="shared" si="154"/>
        <v/>
      </c>
      <c r="AO623" s="49">
        <f t="shared" si="155"/>
        <v>0</v>
      </c>
      <c r="AP623" s="49" t="str">
        <f t="shared" si="156"/>
        <v/>
      </c>
      <c r="AQ623" s="49">
        <f t="shared" si="157"/>
        <v>0</v>
      </c>
      <c r="AR623" s="49" t="str">
        <f t="shared" si="158"/>
        <v/>
      </c>
    </row>
    <row r="624" spans="1:44" ht="30" customHeight="1" x14ac:dyDescent="0.35">
      <c r="A624" s="25"/>
      <c r="B624" s="62" t="s">
        <v>58</v>
      </c>
      <c r="C624" s="62"/>
      <c r="D624" s="62"/>
      <c r="E624" s="62"/>
      <c r="F624" s="62"/>
      <c r="G624" s="62"/>
      <c r="H624" s="62"/>
      <c r="I624" s="62"/>
      <c r="J624" s="62"/>
      <c r="K624" s="62"/>
      <c r="L624" s="62"/>
      <c r="M624" s="62"/>
      <c r="N624" s="62"/>
      <c r="O624" s="62"/>
      <c r="P624" s="62"/>
      <c r="Q624" s="62"/>
      <c r="R624" s="62"/>
      <c r="S624" s="62"/>
      <c r="T624" s="62"/>
      <c r="U624" s="62"/>
      <c r="V624" s="62"/>
      <c r="W624" s="62"/>
      <c r="X624" s="62"/>
      <c r="Y624" s="114"/>
      <c r="Z624" s="115"/>
      <c r="AA624" s="115"/>
      <c r="AB624" s="116"/>
      <c r="AC624" s="38"/>
      <c r="AD624" s="38"/>
      <c r="AE624" s="48" t="str">
        <f t="shared" si="148"/>
        <v/>
      </c>
      <c r="AF624" s="48"/>
      <c r="AG624" s="48"/>
      <c r="AH624" s="89"/>
      <c r="AI624" s="49">
        <f t="shared" si="149"/>
        <v>0</v>
      </c>
      <c r="AJ624" s="49" t="str">
        <f t="shared" si="150"/>
        <v/>
      </c>
      <c r="AK624" s="49">
        <f t="shared" si="151"/>
        <v>0</v>
      </c>
      <c r="AL624" s="49" t="str">
        <f t="shared" si="152"/>
        <v/>
      </c>
      <c r="AM624" s="49">
        <f t="shared" si="153"/>
        <v>0</v>
      </c>
      <c r="AN624" s="49" t="str">
        <f t="shared" si="154"/>
        <v/>
      </c>
      <c r="AO624" s="49">
        <f t="shared" si="155"/>
        <v>0</v>
      </c>
      <c r="AP624" s="49" t="str">
        <f t="shared" si="156"/>
        <v/>
      </c>
      <c r="AQ624" s="49">
        <f t="shared" si="157"/>
        <v>0</v>
      </c>
      <c r="AR624" s="49" t="str">
        <f t="shared" si="158"/>
        <v/>
      </c>
    </row>
    <row r="625" spans="1:44" ht="30" customHeight="1" x14ac:dyDescent="0.35">
      <c r="A625" s="25"/>
      <c r="B625" s="39" t="s">
        <v>41</v>
      </c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108"/>
      <c r="Z625" s="109"/>
      <c r="AA625" s="109"/>
      <c r="AB625" s="110"/>
      <c r="AC625" s="38"/>
      <c r="AD625" s="38"/>
      <c r="AE625" s="48" t="str">
        <f t="shared" si="148"/>
        <v/>
      </c>
      <c r="AF625" s="48"/>
      <c r="AG625" s="48"/>
      <c r="AH625" s="89"/>
      <c r="AI625" s="49">
        <f t="shared" si="149"/>
        <v>0</v>
      </c>
      <c r="AJ625" s="49" t="str">
        <f t="shared" si="150"/>
        <v/>
      </c>
      <c r="AK625" s="49">
        <f t="shared" si="151"/>
        <v>0</v>
      </c>
      <c r="AL625" s="49" t="str">
        <f t="shared" si="152"/>
        <v/>
      </c>
      <c r="AM625" s="49">
        <f t="shared" si="153"/>
        <v>0</v>
      </c>
      <c r="AN625" s="49" t="str">
        <f t="shared" si="154"/>
        <v/>
      </c>
      <c r="AO625" s="49">
        <f t="shared" si="155"/>
        <v>0</v>
      </c>
      <c r="AP625" s="49" t="str">
        <f t="shared" si="156"/>
        <v/>
      </c>
      <c r="AQ625" s="49">
        <f t="shared" si="157"/>
        <v>0</v>
      </c>
      <c r="AR625" s="49" t="str">
        <f t="shared" si="158"/>
        <v/>
      </c>
    </row>
    <row r="626" spans="1:44" ht="30" customHeight="1" x14ac:dyDescent="0.35">
      <c r="A626" s="25" t="str">
        <f>CONCATENATE($B$533,"
",$B$622,"",$B$623,"
",$B$624)</f>
        <v>PT177 - PLATAFORMA DE ACESSO - GRUPO - DETALHADO
COLUNA 4PROJETO DETALHADO
ESTRUTURAS METÁLICAS</v>
      </c>
      <c r="B626" s="40" t="s">
        <v>19</v>
      </c>
      <c r="C626" s="60" t="str">
        <f>IF(AND($B626=[1]rogério!$A627,[1]rogério!$B627=C$4),"ok","nok")</f>
        <v>nok</v>
      </c>
      <c r="D626" s="60" t="str">
        <f>IF(AND($B626=[1]rogério!$A627,[1]rogério!$B627=D$4),"ok","nok")</f>
        <v>nok</v>
      </c>
      <c r="E626" s="60" t="str">
        <f>IF(AND($B626=[1]rogério!$A627,[1]rogério!$B627=E$4),"ok","nok")</f>
        <v>nok</v>
      </c>
      <c r="F626" s="60" t="str">
        <f>IF(AND($B626=[1]rogério!$A627,[1]rogério!$B627=F$4),"ok","nok")</f>
        <v>nok</v>
      </c>
      <c r="G626" s="60" t="str">
        <f>IF(AND($B626=[1]rogério!$A627,[1]rogério!$B627=G$4),"ok","nok")</f>
        <v>nok</v>
      </c>
      <c r="H626" s="60" t="str">
        <f>IF(AND($B626=[1]rogério!$A627,[1]rogério!$B627=H$4),"ok","nok")</f>
        <v>ok</v>
      </c>
      <c r="I626" s="60" t="str">
        <f>IF(AND($B626=[1]rogério!$A627,[1]rogério!$B627=I$4),"ok","nok")</f>
        <v>nok</v>
      </c>
      <c r="J626" s="60" t="str">
        <f>IF(AND($B626=[1]rogério!$A627,[1]rogério!$B627=J$4),"ok","nok")</f>
        <v>nok</v>
      </c>
      <c r="K626" s="60" t="str">
        <f>IF(AND($B626=[1]rogério!$A627,[1]rogério!$B627=K$4),"ok","nok")</f>
        <v>nok</v>
      </c>
      <c r="L626" s="60" t="str">
        <f>IF(AND($B626=[1]rogério!$A627,[1]rogério!$B627=L$4),"ok","nok")</f>
        <v>nok</v>
      </c>
      <c r="M626" s="60" t="str">
        <f>IF(AND($B626=[1]rogério!$A627,[1]rogério!$B627=M$4),"ok","nok")</f>
        <v>nok</v>
      </c>
      <c r="N626" s="60" t="str">
        <f>IF(AND($B626=[1]rogério!$A627,[1]rogério!$B627=N$4),"ok","nok")</f>
        <v>nok</v>
      </c>
      <c r="O626" s="60" t="str">
        <f>IF(AND($B626=[1]rogério!$A627,[1]rogério!$B627=O$4),"ok","nok")</f>
        <v>nok</v>
      </c>
      <c r="P626" s="60" t="str">
        <f>IF(AND($B626=[1]rogério!$A627,[1]rogério!$B627=P$4),"ok","nok")</f>
        <v>nok</v>
      </c>
      <c r="Q626" s="60" t="str">
        <f>IF(AND($B626=[1]rogério!$A627,[1]rogério!$B627=Q$4),"ok","nok")</f>
        <v>nok</v>
      </c>
      <c r="R626" s="60" t="str">
        <f>IF(AND($B626=[1]rogério!$A627,[1]rogério!$B627=R$4),"ok","nok")</f>
        <v>nok</v>
      </c>
      <c r="S626" s="60" t="str">
        <f>IF(AND($B626=[1]rogério!$A627,[1]rogério!$B627=S$4),"ok","nok")</f>
        <v>nok</v>
      </c>
      <c r="T626" s="60" t="str">
        <f>IF(AND($B626=[1]rogério!$A627,[1]rogério!$B627=T$4),"ok","nok")</f>
        <v>nok</v>
      </c>
      <c r="U626" s="60" t="str">
        <f>IF(AND($B626=[1]rogério!$A627,[1]rogério!$B627=U$4),"ok","nok")</f>
        <v>nok</v>
      </c>
      <c r="V626" s="60" t="str">
        <f>IF(AND($B626=[1]rogério!$A627,[1]rogério!$B627=V$4),"ok","nok")</f>
        <v>nok</v>
      </c>
      <c r="W626" s="60" t="str">
        <f>IF(AND($B626=[1]rogério!$A627,[1]rogério!$B627=W$4),"ok","nok")</f>
        <v>nok</v>
      </c>
      <c r="X626" s="60" t="str">
        <f>IF(AND($B626=[1]rogério!$A627,[1]rogério!$B627=X$4),"ok","nok")</f>
        <v>nok</v>
      </c>
      <c r="Y626" s="105" t="s">
        <v>15</v>
      </c>
      <c r="Z626" s="106"/>
      <c r="AA626" s="106"/>
      <c r="AB626" s="107"/>
      <c r="AC626" s="38"/>
      <c r="AD626" s="38"/>
      <c r="AE626" s="48" t="str">
        <f t="shared" si="148"/>
        <v/>
      </c>
      <c r="AF626" s="48"/>
      <c r="AG626" s="48"/>
      <c r="AH626" s="89"/>
      <c r="AI626" s="49">
        <f t="shared" si="149"/>
        <v>0</v>
      </c>
      <c r="AJ626" s="49" t="str">
        <f t="shared" si="150"/>
        <v/>
      </c>
      <c r="AK626" s="49">
        <f t="shared" si="151"/>
        <v>1</v>
      </c>
      <c r="AL626" s="49" t="str">
        <f t="shared" si="152"/>
        <v/>
      </c>
      <c r="AM626" s="49">
        <f t="shared" si="153"/>
        <v>0</v>
      </c>
      <c r="AN626" s="49" t="str">
        <f t="shared" si="154"/>
        <v/>
      </c>
      <c r="AO626" s="49">
        <f t="shared" si="155"/>
        <v>0</v>
      </c>
      <c r="AP626" s="49" t="str">
        <f t="shared" si="156"/>
        <v/>
      </c>
      <c r="AQ626" s="49">
        <f t="shared" si="157"/>
        <v>0</v>
      </c>
      <c r="AR626" s="49" t="str">
        <f t="shared" si="158"/>
        <v/>
      </c>
    </row>
    <row r="627" spans="1:44" ht="30" customHeight="1" x14ac:dyDescent="0.35">
      <c r="A627" s="25" t="str">
        <f t="shared" ref="A627:A647" si="160">CONCATENATE($B$533,"
",$B$622,"",$B$623,"
",$B$624)</f>
        <v>PT177 - PLATAFORMA DE ACESSO - GRUPO - DETALHADO
COLUNA 4PROJETO DETALHADO
ESTRUTURAS METÁLICAS</v>
      </c>
      <c r="B627" s="40" t="s">
        <v>42</v>
      </c>
      <c r="C627" s="60" t="str">
        <f>IF(AND($B627=[1]rogério!$A628,[1]rogério!$B628=C$4),"ok","nok")</f>
        <v>nok</v>
      </c>
      <c r="D627" s="60" t="str">
        <f>IF(AND($B627=[1]rogério!$A628,[1]rogério!$B628=D$4),"ok","nok")</f>
        <v>nok</v>
      </c>
      <c r="E627" s="60" t="str">
        <f>IF(AND($B627=[1]rogério!$A628,[1]rogério!$B628=E$4),"ok","nok")</f>
        <v>nok</v>
      </c>
      <c r="F627" s="60" t="str">
        <f>IF(AND($B627=[1]rogério!$A628,[1]rogério!$B628=F$4),"ok","nok")</f>
        <v>nok</v>
      </c>
      <c r="G627" s="60" t="str">
        <f>IF(AND($B627=[1]rogério!$A628,[1]rogério!$B628=G$4),"ok","nok")</f>
        <v>nok</v>
      </c>
      <c r="H627" s="60" t="str">
        <f>IF(AND($B627=[1]rogério!$A628,[1]rogério!$B628=H$4),"ok","nok")</f>
        <v>nok</v>
      </c>
      <c r="I627" s="60" t="str">
        <f>IF(AND($B627=[1]rogério!$A628,[1]rogério!$B628=I$4),"ok","nok")</f>
        <v>nok</v>
      </c>
      <c r="J627" s="60" t="str">
        <f>IF(AND($B627=[1]rogério!$A628,[1]rogério!$B628=J$4),"ok","nok")</f>
        <v>nok</v>
      </c>
      <c r="K627" s="60" t="str">
        <f>IF(AND($B627=[1]rogério!$A628,[1]rogério!$B628=K$4),"ok","nok")</f>
        <v>ok</v>
      </c>
      <c r="L627" s="60" t="str">
        <f>IF(AND($B627=[1]rogério!$A628,[1]rogério!$B628=L$4),"ok","nok")</f>
        <v>nok</v>
      </c>
      <c r="M627" s="60" t="str">
        <f>IF(AND($B627=[1]rogério!$A628,[1]rogério!$B628=M$4),"ok","nok")</f>
        <v>nok</v>
      </c>
      <c r="N627" s="60" t="str">
        <f>IF(AND($B627=[1]rogério!$A628,[1]rogério!$B628=N$4),"ok","nok")</f>
        <v>nok</v>
      </c>
      <c r="O627" s="60" t="str">
        <f>IF(AND($B627=[1]rogério!$A628,[1]rogério!$B628=O$4),"ok","nok")</f>
        <v>nok</v>
      </c>
      <c r="P627" s="60" t="str">
        <f>IF(AND($B627=[1]rogério!$A628,[1]rogério!$B628=P$4),"ok","nok")</f>
        <v>nok</v>
      </c>
      <c r="Q627" s="60" t="str">
        <f>IF(AND($B627=[1]rogério!$A628,[1]rogério!$B628=Q$4),"ok","nok")</f>
        <v>nok</v>
      </c>
      <c r="R627" s="60" t="str">
        <f>IF(AND($B627=[1]rogério!$A628,[1]rogério!$B628=R$4),"ok","nok")</f>
        <v>nok</v>
      </c>
      <c r="S627" s="60" t="str">
        <f>IF(AND($B627=[1]rogério!$A628,[1]rogério!$B628=S$4),"ok","nok")</f>
        <v>nok</v>
      </c>
      <c r="T627" s="60" t="str">
        <f>IF(AND($B627=[1]rogério!$A628,[1]rogério!$B628=T$4),"ok","nok")</f>
        <v>nok</v>
      </c>
      <c r="U627" s="60" t="str">
        <f>IF(AND($B627=[1]rogério!$A628,[1]rogério!$B628=U$4),"ok","nok")</f>
        <v>nok</v>
      </c>
      <c r="V627" s="60" t="str">
        <f>IF(AND($B627=[1]rogério!$A628,[1]rogério!$B628=V$4),"ok","nok")</f>
        <v>nok</v>
      </c>
      <c r="W627" s="60" t="str">
        <f>IF(AND($B627=[1]rogério!$A628,[1]rogério!$B628=W$4),"ok","nok")</f>
        <v>nok</v>
      </c>
      <c r="X627" s="60" t="str">
        <f>IF(AND($B627=[1]rogério!$A628,[1]rogério!$B628=X$4),"ok","nok")</f>
        <v>nok</v>
      </c>
      <c r="Y627" s="105" t="s">
        <v>15</v>
      </c>
      <c r="Z627" s="106"/>
      <c r="AA627" s="106"/>
      <c r="AB627" s="107"/>
      <c r="AC627" s="38"/>
      <c r="AD627" s="38"/>
      <c r="AE627" s="48" t="str">
        <f t="shared" si="148"/>
        <v/>
      </c>
      <c r="AF627" s="48"/>
      <c r="AG627" s="48"/>
      <c r="AH627" s="89"/>
      <c r="AI627" s="49">
        <f t="shared" si="149"/>
        <v>0</v>
      </c>
      <c r="AJ627" s="49" t="str">
        <f t="shared" si="150"/>
        <v/>
      </c>
      <c r="AK627" s="49">
        <f t="shared" si="151"/>
        <v>1</v>
      </c>
      <c r="AL627" s="49" t="str">
        <f t="shared" si="152"/>
        <v/>
      </c>
      <c r="AM627" s="49">
        <f t="shared" si="153"/>
        <v>0</v>
      </c>
      <c r="AN627" s="49" t="str">
        <f t="shared" si="154"/>
        <v/>
      </c>
      <c r="AO627" s="49">
        <f t="shared" si="155"/>
        <v>0</v>
      </c>
      <c r="AP627" s="49" t="str">
        <f t="shared" si="156"/>
        <v/>
      </c>
      <c r="AQ627" s="49">
        <f t="shared" si="157"/>
        <v>0</v>
      </c>
      <c r="AR627" s="49" t="str">
        <f t="shared" si="158"/>
        <v/>
      </c>
    </row>
    <row r="628" spans="1:44" ht="30" customHeight="1" x14ac:dyDescent="0.35">
      <c r="A628" s="25" t="str">
        <f t="shared" si="160"/>
        <v>PT177 - PLATAFORMA DE ACESSO - GRUPO - DETALHADO
COLUNA 4PROJETO DETALHADO
ESTRUTURAS METÁLICAS</v>
      </c>
      <c r="B628" s="40" t="s">
        <v>43</v>
      </c>
      <c r="C628" s="60" t="str">
        <f>IF(AND($B628=[1]rogério!$A629,[1]rogério!$B629=C$4),"ok","nok")</f>
        <v>nok</v>
      </c>
      <c r="D628" s="60" t="str">
        <f>IF(AND($B628=[1]rogério!$A629,[1]rogério!$B629=D$4),"ok","nok")</f>
        <v>nok</v>
      </c>
      <c r="E628" s="60" t="str">
        <f>IF(AND($B628=[1]rogério!$A629,[1]rogério!$B629=E$4),"ok","nok")</f>
        <v>nok</v>
      </c>
      <c r="F628" s="60" t="str">
        <f>IF(AND($B628=[1]rogério!$A629,[1]rogério!$B629=F$4),"ok","nok")</f>
        <v>nok</v>
      </c>
      <c r="G628" s="60" t="str">
        <f>IF(AND($B628=[1]rogério!$A629,[1]rogério!$B629=G$4),"ok","nok")</f>
        <v>nok</v>
      </c>
      <c r="H628" s="60" t="str">
        <f>IF(AND($B628=[1]rogério!$A629,[1]rogério!$B629=H$4),"ok","nok")</f>
        <v>nok</v>
      </c>
      <c r="I628" s="60" t="str">
        <f>IF(AND($B628=[1]rogério!$A629,[1]rogério!$B629=I$4),"ok","nok")</f>
        <v>nok</v>
      </c>
      <c r="J628" s="60" t="str">
        <f>IF(AND($B628=[1]rogério!$A629,[1]rogério!$B629=J$4),"ok","nok")</f>
        <v>nok</v>
      </c>
      <c r="K628" s="60" t="str">
        <f>IF(AND($B628=[1]rogério!$A629,[1]rogério!$B629=K$4),"ok","nok")</f>
        <v>ok</v>
      </c>
      <c r="L628" s="60" t="str">
        <f>IF(AND($B628=[1]rogério!$A629,[1]rogério!$B629=L$4),"ok","nok")</f>
        <v>nok</v>
      </c>
      <c r="M628" s="60" t="str">
        <f>IF(AND($B628=[1]rogério!$A629,[1]rogério!$B629=M$4),"ok","nok")</f>
        <v>nok</v>
      </c>
      <c r="N628" s="60" t="str">
        <f>IF(AND($B628=[1]rogério!$A629,[1]rogério!$B629=N$4),"ok","nok")</f>
        <v>nok</v>
      </c>
      <c r="O628" s="60" t="str">
        <f>IF(AND($B628=[1]rogério!$A629,[1]rogério!$B629=O$4),"ok","nok")</f>
        <v>nok</v>
      </c>
      <c r="P628" s="60" t="str">
        <f>IF(AND($B628=[1]rogério!$A629,[1]rogério!$B629=P$4),"ok","nok")</f>
        <v>nok</v>
      </c>
      <c r="Q628" s="60" t="str">
        <f>IF(AND($B628=[1]rogério!$A629,[1]rogério!$B629=Q$4),"ok","nok")</f>
        <v>nok</v>
      </c>
      <c r="R628" s="60" t="str">
        <f>IF(AND($B628=[1]rogério!$A629,[1]rogério!$B629=R$4),"ok","nok")</f>
        <v>nok</v>
      </c>
      <c r="S628" s="60" t="str">
        <f>IF(AND($B628=[1]rogério!$A629,[1]rogério!$B629=S$4),"ok","nok")</f>
        <v>nok</v>
      </c>
      <c r="T628" s="60" t="str">
        <f>IF(AND($B628=[1]rogério!$A629,[1]rogério!$B629=T$4),"ok","nok")</f>
        <v>nok</v>
      </c>
      <c r="U628" s="60" t="str">
        <f>IF(AND($B628=[1]rogério!$A629,[1]rogério!$B629=U$4),"ok","nok")</f>
        <v>nok</v>
      </c>
      <c r="V628" s="60" t="str">
        <f>IF(AND($B628=[1]rogério!$A629,[1]rogério!$B629=V$4),"ok","nok")</f>
        <v>nok</v>
      </c>
      <c r="W628" s="60" t="str">
        <f>IF(AND($B628=[1]rogério!$A629,[1]rogério!$B629=W$4),"ok","nok")</f>
        <v>nok</v>
      </c>
      <c r="X628" s="60" t="str">
        <f>IF(AND($B628=[1]rogério!$A629,[1]rogério!$B629=X$4),"ok","nok")</f>
        <v>nok</v>
      </c>
      <c r="Y628" s="105" t="s">
        <v>15</v>
      </c>
      <c r="Z628" s="106"/>
      <c r="AA628" s="106"/>
      <c r="AB628" s="107"/>
      <c r="AC628" s="38"/>
      <c r="AD628" s="38"/>
      <c r="AE628" s="48" t="str">
        <f t="shared" si="148"/>
        <v/>
      </c>
      <c r="AF628" s="48"/>
      <c r="AG628" s="48"/>
      <c r="AH628" s="89"/>
      <c r="AI628" s="49">
        <f t="shared" si="149"/>
        <v>0</v>
      </c>
      <c r="AJ628" s="49" t="str">
        <f t="shared" si="150"/>
        <v/>
      </c>
      <c r="AK628" s="49">
        <f t="shared" si="151"/>
        <v>1</v>
      </c>
      <c r="AL628" s="49" t="str">
        <f t="shared" si="152"/>
        <v/>
      </c>
      <c r="AM628" s="49">
        <f t="shared" si="153"/>
        <v>0</v>
      </c>
      <c r="AN628" s="49" t="str">
        <f t="shared" si="154"/>
        <v/>
      </c>
      <c r="AO628" s="49">
        <f t="shared" si="155"/>
        <v>0</v>
      </c>
      <c r="AP628" s="49" t="str">
        <f t="shared" si="156"/>
        <v/>
      </c>
      <c r="AQ628" s="49">
        <f t="shared" si="157"/>
        <v>0</v>
      </c>
      <c r="AR628" s="49" t="str">
        <f t="shared" si="158"/>
        <v/>
      </c>
    </row>
    <row r="629" spans="1:44" ht="30" customHeight="1" x14ac:dyDescent="0.35">
      <c r="A629" s="25" t="str">
        <f t="shared" si="160"/>
        <v>PT177 - PLATAFORMA DE ACESSO - GRUPO - DETALHADO
COLUNA 4PROJETO DETALHADO
ESTRUTURAS METÁLICAS</v>
      </c>
      <c r="B629" s="38" t="s">
        <v>72</v>
      </c>
      <c r="C629" s="60" t="str">
        <f>IF(AND($B629=[1]rogério!$A630,[1]rogério!$B630=C$4),"ok","nok")</f>
        <v>nok</v>
      </c>
      <c r="D629" s="60" t="str">
        <f>IF(AND($B629=[1]rogério!$A630,[1]rogério!$B630=D$4),"ok","nok")</f>
        <v>nok</v>
      </c>
      <c r="E629" s="60" t="str">
        <f>IF(AND($B629=[1]rogério!$A630,[1]rogério!$B630=E$4),"ok","nok")</f>
        <v>nok</v>
      </c>
      <c r="F629" s="60" t="str">
        <f>IF(AND($B629=[1]rogério!$A630,[1]rogério!$B630=F$4),"ok","nok")</f>
        <v>nok</v>
      </c>
      <c r="G629" s="60" t="str">
        <f>IF(AND($B629=[1]rogério!$A630,[1]rogério!$B630=G$4),"ok","nok")</f>
        <v>nok</v>
      </c>
      <c r="H629" s="60" t="str">
        <f>IF(AND($B629=[1]rogério!$A630,[1]rogério!$B630=H$4),"ok","nok")</f>
        <v>nok</v>
      </c>
      <c r="I629" s="60" t="str">
        <f>IF(AND($B629=[1]rogério!$A630,[1]rogério!$B630=I$4),"ok","nok")</f>
        <v>ok</v>
      </c>
      <c r="J629" s="60" t="str">
        <f>IF(AND($B629=[1]rogério!$A630,[1]rogério!$B630=J$4),"ok","nok")</f>
        <v>nok</v>
      </c>
      <c r="K629" s="60" t="str">
        <f>IF(AND($B629=[1]rogério!$A630,[1]rogério!$B630=K$4),"ok","nok")</f>
        <v>nok</v>
      </c>
      <c r="L629" s="60" t="str">
        <f>IF(AND($B629=[1]rogério!$A630,[1]rogério!$B630=L$4),"ok","nok")</f>
        <v>nok</v>
      </c>
      <c r="M629" s="60" t="str">
        <f>IF(AND($B629=[1]rogério!$A630,[1]rogério!$B630=M$4),"ok","nok")</f>
        <v>nok</v>
      </c>
      <c r="N629" s="60" t="str">
        <f>IF(AND($B629=[1]rogério!$A630,[1]rogério!$B630=N$4),"ok","nok")</f>
        <v>nok</v>
      </c>
      <c r="O629" s="60" t="str">
        <f>IF(AND($B629=[1]rogério!$A630,[1]rogério!$B630=O$4),"ok","nok")</f>
        <v>nok</v>
      </c>
      <c r="P629" s="60" t="str">
        <f>IF(AND($B629=[1]rogério!$A630,[1]rogério!$B630=P$4),"ok","nok")</f>
        <v>nok</v>
      </c>
      <c r="Q629" s="60" t="str">
        <f>IF(AND($B629=[1]rogério!$A630,[1]rogério!$B630=Q$4),"ok","nok")</f>
        <v>nok</v>
      </c>
      <c r="R629" s="60" t="str">
        <f>IF(AND($B629=[1]rogério!$A630,[1]rogério!$B630=R$4),"ok","nok")</f>
        <v>nok</v>
      </c>
      <c r="S629" s="60" t="str">
        <f>IF(AND($B629=[1]rogério!$A630,[1]rogério!$B630=S$4),"ok","nok")</f>
        <v>nok</v>
      </c>
      <c r="T629" s="60" t="str">
        <f>IF(AND($B629=[1]rogério!$A630,[1]rogério!$B630=T$4),"ok","nok")</f>
        <v>nok</v>
      </c>
      <c r="U629" s="60" t="str">
        <f>IF(AND($B629=[1]rogério!$A630,[1]rogério!$B630=U$4),"ok","nok")</f>
        <v>nok</v>
      </c>
      <c r="V629" s="60" t="str">
        <f>IF(AND($B629=[1]rogério!$A630,[1]rogério!$B630=V$4),"ok","nok")</f>
        <v>nok</v>
      </c>
      <c r="W629" s="60" t="str">
        <f>IF(AND($B629=[1]rogério!$A630,[1]rogério!$B630=W$4),"ok","nok")</f>
        <v>nok</v>
      </c>
      <c r="X629" s="60" t="str">
        <f>IF(AND($B629=[1]rogério!$A630,[1]rogério!$B630=X$4),"ok","nok")</f>
        <v>nok</v>
      </c>
      <c r="Y629" s="105" t="s">
        <v>15</v>
      </c>
      <c r="Z629" s="106"/>
      <c r="AA629" s="106"/>
      <c r="AB629" s="107"/>
      <c r="AC629" s="38"/>
      <c r="AD629" s="38"/>
      <c r="AE629" s="48" t="str">
        <f t="shared" si="148"/>
        <v/>
      </c>
      <c r="AF629" s="48"/>
      <c r="AG629" s="48"/>
      <c r="AH629" s="89"/>
      <c r="AI629" s="49">
        <f t="shared" si="149"/>
        <v>0</v>
      </c>
      <c r="AJ629" s="49" t="str">
        <f t="shared" si="150"/>
        <v/>
      </c>
      <c r="AK629" s="49">
        <f t="shared" si="151"/>
        <v>1</v>
      </c>
      <c r="AL629" s="49" t="str">
        <f t="shared" si="152"/>
        <v/>
      </c>
      <c r="AM629" s="49">
        <f t="shared" si="153"/>
        <v>0</v>
      </c>
      <c r="AN629" s="49" t="str">
        <f t="shared" si="154"/>
        <v/>
      </c>
      <c r="AO629" s="49">
        <f t="shared" si="155"/>
        <v>0</v>
      </c>
      <c r="AP629" s="49" t="str">
        <f t="shared" si="156"/>
        <v/>
      </c>
      <c r="AQ629" s="49">
        <f t="shared" si="157"/>
        <v>0</v>
      </c>
      <c r="AR629" s="49" t="str">
        <f t="shared" si="158"/>
        <v/>
      </c>
    </row>
    <row r="630" spans="1:44" ht="30" customHeight="1" x14ac:dyDescent="0.35">
      <c r="A630" s="25" t="str">
        <f t="shared" si="160"/>
        <v>PT177 - PLATAFORMA DE ACESSO - GRUPO - DETALHADO
COLUNA 4PROJETO DETALHADO
ESTRUTURAS METÁLICAS</v>
      </c>
      <c r="B630" s="38" t="s">
        <v>73</v>
      </c>
      <c r="C630" s="60" t="str">
        <f>IF(AND($B630=[1]rogério!$A631,[1]rogério!$B631=C$4),"ok","nok")</f>
        <v>nok</v>
      </c>
      <c r="D630" s="60" t="str">
        <f>IF(AND($B630=[1]rogério!$A631,[1]rogério!$B631=D$4),"ok","nok")</f>
        <v>nok</v>
      </c>
      <c r="E630" s="60" t="str">
        <f>IF(AND($B630=[1]rogério!$A631,[1]rogério!$B631=E$4),"ok","nok")</f>
        <v>nok</v>
      </c>
      <c r="F630" s="60" t="str">
        <f>IF(AND($B630=[1]rogério!$A631,[1]rogério!$B631=F$4),"ok","nok")</f>
        <v>nok</v>
      </c>
      <c r="G630" s="60" t="str">
        <f>IF(AND($B630=[1]rogério!$A631,[1]rogério!$B631=G$4),"ok","nok")</f>
        <v>nok</v>
      </c>
      <c r="H630" s="60" t="str">
        <f>IF(AND($B630=[1]rogério!$A631,[1]rogério!$B631=H$4),"ok","nok")</f>
        <v>nok</v>
      </c>
      <c r="I630" s="60" t="str">
        <f>IF(AND($B630=[1]rogério!$A631,[1]rogério!$B631=I$4),"ok","nok")</f>
        <v>nok</v>
      </c>
      <c r="J630" s="60" t="str">
        <f>IF(AND($B630=[1]rogério!$A631,[1]rogério!$B631=J$4),"ok","nok")</f>
        <v>ok</v>
      </c>
      <c r="K630" s="60" t="str">
        <f>IF(AND($B630=[1]rogério!$A631,[1]rogério!$B631=K$4),"ok","nok")</f>
        <v>nok</v>
      </c>
      <c r="L630" s="60" t="str">
        <f>IF(AND($B630=[1]rogério!$A631,[1]rogério!$B631=L$4),"ok","nok")</f>
        <v>nok</v>
      </c>
      <c r="M630" s="60" t="str">
        <f>IF(AND($B630=[1]rogério!$A631,[1]rogério!$B631=M$4),"ok","nok")</f>
        <v>nok</v>
      </c>
      <c r="N630" s="60" t="str">
        <f>IF(AND($B630=[1]rogério!$A631,[1]rogério!$B631=N$4),"ok","nok")</f>
        <v>nok</v>
      </c>
      <c r="O630" s="60" t="str">
        <f>IF(AND($B630=[1]rogério!$A631,[1]rogério!$B631=O$4),"ok","nok")</f>
        <v>nok</v>
      </c>
      <c r="P630" s="60" t="str">
        <f>IF(AND($B630=[1]rogério!$A631,[1]rogério!$B631=P$4),"ok","nok")</f>
        <v>nok</v>
      </c>
      <c r="Q630" s="60" t="str">
        <f>IF(AND($B630=[1]rogério!$A631,[1]rogério!$B631=Q$4),"ok","nok")</f>
        <v>nok</v>
      </c>
      <c r="R630" s="60" t="str">
        <f>IF(AND($B630=[1]rogério!$A631,[1]rogério!$B631=R$4),"ok","nok")</f>
        <v>nok</v>
      </c>
      <c r="S630" s="60" t="str">
        <f>IF(AND($B630=[1]rogério!$A631,[1]rogério!$B631=S$4),"ok","nok")</f>
        <v>nok</v>
      </c>
      <c r="T630" s="60" t="str">
        <f>IF(AND($B630=[1]rogério!$A631,[1]rogério!$B631=T$4),"ok","nok")</f>
        <v>nok</v>
      </c>
      <c r="U630" s="60" t="str">
        <f>IF(AND($B630=[1]rogério!$A631,[1]rogério!$B631=U$4),"ok","nok")</f>
        <v>nok</v>
      </c>
      <c r="V630" s="60" t="str">
        <f>IF(AND($B630=[1]rogério!$A631,[1]rogério!$B631=V$4),"ok","nok")</f>
        <v>nok</v>
      </c>
      <c r="W630" s="60" t="str">
        <f>IF(AND($B630=[1]rogério!$A631,[1]rogério!$B631=W$4),"ok","nok")</f>
        <v>nok</v>
      </c>
      <c r="X630" s="60" t="str">
        <f>IF(AND($B630=[1]rogério!$A631,[1]rogério!$B631=X$4),"ok","nok")</f>
        <v>nok</v>
      </c>
      <c r="Y630" s="105" t="s">
        <v>15</v>
      </c>
      <c r="Z630" s="106"/>
      <c r="AA630" s="106"/>
      <c r="AB630" s="107"/>
      <c r="AC630" s="38"/>
      <c r="AD630" s="38"/>
      <c r="AE630" s="48" t="str">
        <f t="shared" si="148"/>
        <v/>
      </c>
      <c r="AF630" s="48"/>
      <c r="AG630" s="48"/>
      <c r="AH630" s="89"/>
      <c r="AI630" s="49">
        <f t="shared" si="149"/>
        <v>0</v>
      </c>
      <c r="AJ630" s="49" t="str">
        <f t="shared" si="150"/>
        <v/>
      </c>
      <c r="AK630" s="49">
        <f t="shared" si="151"/>
        <v>1</v>
      </c>
      <c r="AL630" s="49" t="str">
        <f t="shared" si="152"/>
        <v/>
      </c>
      <c r="AM630" s="49">
        <f t="shared" si="153"/>
        <v>0</v>
      </c>
      <c r="AN630" s="49" t="str">
        <f t="shared" si="154"/>
        <v/>
      </c>
      <c r="AO630" s="49">
        <f t="shared" si="155"/>
        <v>0</v>
      </c>
      <c r="AP630" s="49" t="str">
        <f t="shared" si="156"/>
        <v/>
      </c>
      <c r="AQ630" s="49">
        <f t="shared" si="157"/>
        <v>0</v>
      </c>
      <c r="AR630" s="49" t="str">
        <f t="shared" si="158"/>
        <v/>
      </c>
    </row>
    <row r="631" spans="1:44" ht="30" customHeight="1" x14ac:dyDescent="0.35">
      <c r="A631" s="25"/>
      <c r="B631" s="39" t="s">
        <v>53</v>
      </c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108"/>
      <c r="Z631" s="109"/>
      <c r="AA631" s="109"/>
      <c r="AB631" s="110"/>
      <c r="AC631" s="38"/>
      <c r="AD631" s="38"/>
      <c r="AE631" s="48" t="str">
        <f t="shared" si="148"/>
        <v/>
      </c>
      <c r="AF631" s="48"/>
      <c r="AG631" s="48"/>
      <c r="AH631" s="89"/>
      <c r="AI631" s="49">
        <f t="shared" si="149"/>
        <v>0</v>
      </c>
      <c r="AJ631" s="49" t="str">
        <f t="shared" si="150"/>
        <v/>
      </c>
      <c r="AK631" s="49">
        <f t="shared" si="151"/>
        <v>0</v>
      </c>
      <c r="AL631" s="49" t="str">
        <f t="shared" si="152"/>
        <v/>
      </c>
      <c r="AM631" s="49">
        <f t="shared" si="153"/>
        <v>0</v>
      </c>
      <c r="AN631" s="49" t="str">
        <f t="shared" si="154"/>
        <v/>
      </c>
      <c r="AO631" s="49">
        <f t="shared" si="155"/>
        <v>0</v>
      </c>
      <c r="AP631" s="49" t="str">
        <f t="shared" si="156"/>
        <v/>
      </c>
      <c r="AQ631" s="49">
        <f t="shared" si="157"/>
        <v>0</v>
      </c>
      <c r="AR631" s="49" t="str">
        <f t="shared" si="158"/>
        <v/>
      </c>
    </row>
    <row r="632" spans="1:44" ht="30" customHeight="1" x14ac:dyDescent="0.35">
      <c r="A632" s="25" t="str">
        <f t="shared" si="160"/>
        <v>PT177 - PLATAFORMA DE ACESSO - GRUPO - DETALHADO
COLUNA 4PROJETO DETALHADO
ESTRUTURAS METÁLICAS</v>
      </c>
      <c r="B632" s="40" t="s">
        <v>49</v>
      </c>
      <c r="C632" s="60" t="str">
        <f>IF(AND($B632=[1]rogério!$A633,[1]rogério!$B633=C$4),"ok","nok")</f>
        <v>nok</v>
      </c>
      <c r="D632" s="60" t="str">
        <f>IF(AND($B632=[1]rogério!$A633,[1]rogério!$B633=D$4),"ok","nok")</f>
        <v>nok</v>
      </c>
      <c r="E632" s="60" t="str">
        <f>IF(AND($B632=[1]rogério!$A633,[1]rogério!$B633=E$4),"ok","nok")</f>
        <v>nok</v>
      </c>
      <c r="F632" s="60" t="str">
        <f>IF(AND($B632=[1]rogério!$A633,[1]rogério!$B633=F$4),"ok","nok")</f>
        <v>nok</v>
      </c>
      <c r="G632" s="60" t="str">
        <f>IF(AND($B632=[1]rogério!$A633,[1]rogério!$B633=G$4),"ok","nok")</f>
        <v>nok</v>
      </c>
      <c r="H632" s="60" t="str">
        <f>IF(AND($B632=[1]rogério!$A633,[1]rogério!$B633=H$4),"ok","nok")</f>
        <v>nok</v>
      </c>
      <c r="I632" s="60" t="str">
        <f>IF(AND($B632=[1]rogério!$A633,[1]rogério!$B633=I$4),"ok","nok")</f>
        <v>nok</v>
      </c>
      <c r="J632" s="60" t="str">
        <f>IF(AND($B632=[1]rogério!$A633,[1]rogério!$B633=J$4),"ok","nok")</f>
        <v>ok</v>
      </c>
      <c r="K632" s="60" t="str">
        <f>IF(AND($B632=[1]rogério!$A633,[1]rogério!$B633=K$4),"ok","nok")</f>
        <v>nok</v>
      </c>
      <c r="L632" s="60" t="str">
        <f>IF(AND($B632=[1]rogério!$A633,[1]rogério!$B633=L$4),"ok","nok")</f>
        <v>nok</v>
      </c>
      <c r="M632" s="60" t="str">
        <f>IF(AND($B632=[1]rogério!$A633,[1]rogério!$B633=M$4),"ok","nok")</f>
        <v>nok</v>
      </c>
      <c r="N632" s="60" t="str">
        <f>IF(AND($B632=[1]rogério!$A633,[1]rogério!$B633=N$4),"ok","nok")</f>
        <v>nok</v>
      </c>
      <c r="O632" s="60" t="str">
        <f>IF(AND($B632=[1]rogério!$A633,[1]rogério!$B633=O$4),"ok","nok")</f>
        <v>nok</v>
      </c>
      <c r="P632" s="60" t="str">
        <f>IF(AND($B632=[1]rogério!$A633,[1]rogério!$B633=P$4),"ok","nok")</f>
        <v>nok</v>
      </c>
      <c r="Q632" s="60" t="str">
        <f>IF(AND($B632=[1]rogério!$A633,[1]rogério!$B633=Q$4),"ok","nok")</f>
        <v>nok</v>
      </c>
      <c r="R632" s="60" t="str">
        <f>IF(AND($B632=[1]rogério!$A633,[1]rogério!$B633=R$4),"ok","nok")</f>
        <v>nok</v>
      </c>
      <c r="S632" s="60" t="str">
        <f>IF(AND($B632=[1]rogério!$A633,[1]rogério!$B633=S$4),"ok","nok")</f>
        <v>nok</v>
      </c>
      <c r="T632" s="60" t="str">
        <f>IF(AND($B632=[1]rogério!$A633,[1]rogério!$B633=T$4),"ok","nok")</f>
        <v>nok</v>
      </c>
      <c r="U632" s="60" t="str">
        <f>IF(AND($B632=[1]rogério!$A633,[1]rogério!$B633=U$4),"ok","nok")</f>
        <v>nok</v>
      </c>
      <c r="V632" s="60" t="str">
        <f>IF(AND($B632=[1]rogério!$A633,[1]rogério!$B633=V$4),"ok","nok")</f>
        <v>nok</v>
      </c>
      <c r="W632" s="60" t="str">
        <f>IF(AND($B632=[1]rogério!$A633,[1]rogério!$B633=W$4),"ok","nok")</f>
        <v>nok</v>
      </c>
      <c r="X632" s="60" t="str">
        <f>IF(AND($B632=[1]rogério!$A633,[1]rogério!$B633=X$4),"ok","nok")</f>
        <v>nok</v>
      </c>
      <c r="Y632" s="105" t="s">
        <v>15</v>
      </c>
      <c r="Z632" s="106"/>
      <c r="AA632" s="106"/>
      <c r="AB632" s="107"/>
      <c r="AC632" s="38"/>
      <c r="AD632" s="38"/>
      <c r="AE632" s="48" t="str">
        <f t="shared" si="148"/>
        <v/>
      </c>
      <c r="AF632" s="48"/>
      <c r="AG632" s="48"/>
      <c r="AH632" s="89"/>
      <c r="AI632" s="49">
        <f t="shared" si="149"/>
        <v>0</v>
      </c>
      <c r="AJ632" s="49" t="str">
        <f t="shared" si="150"/>
        <v/>
      </c>
      <c r="AK632" s="49">
        <f t="shared" si="151"/>
        <v>1</v>
      </c>
      <c r="AL632" s="49" t="str">
        <f t="shared" si="152"/>
        <v/>
      </c>
      <c r="AM632" s="49">
        <f t="shared" si="153"/>
        <v>0</v>
      </c>
      <c r="AN632" s="49" t="str">
        <f t="shared" si="154"/>
        <v/>
      </c>
      <c r="AO632" s="49">
        <f t="shared" si="155"/>
        <v>0</v>
      </c>
      <c r="AP632" s="49" t="str">
        <f t="shared" si="156"/>
        <v/>
      </c>
      <c r="AQ632" s="49">
        <f t="shared" si="157"/>
        <v>0</v>
      </c>
      <c r="AR632" s="49" t="str">
        <f t="shared" si="158"/>
        <v/>
      </c>
    </row>
    <row r="633" spans="1:44" ht="30" customHeight="1" x14ac:dyDescent="0.35">
      <c r="A633" s="25" t="str">
        <f t="shared" si="160"/>
        <v>PT177 - PLATAFORMA DE ACESSO - GRUPO - DETALHADO
COLUNA 4PROJETO DETALHADO
ESTRUTURAS METÁLICAS</v>
      </c>
      <c r="B633" s="40" t="s">
        <v>19</v>
      </c>
      <c r="C633" s="60" t="str">
        <f>IF(AND($B633=[1]rogério!$A634,[1]rogério!$B634=C$4),"ok","nok")</f>
        <v>nok</v>
      </c>
      <c r="D633" s="60" t="str">
        <f>IF(AND($B633=[1]rogério!$A634,[1]rogério!$B634=D$4),"ok","nok")</f>
        <v>nok</v>
      </c>
      <c r="E633" s="60" t="str">
        <f>IF(AND($B633=[1]rogério!$A634,[1]rogério!$B634=E$4),"ok","nok")</f>
        <v>nok</v>
      </c>
      <c r="F633" s="60" t="str">
        <f>IF(AND($B633=[1]rogério!$A634,[1]rogério!$B634=F$4),"ok","nok")</f>
        <v>nok</v>
      </c>
      <c r="G633" s="60" t="str">
        <f>IF(AND($B633=[1]rogério!$A634,[1]rogério!$B634=G$4),"ok","nok")</f>
        <v>nok</v>
      </c>
      <c r="H633" s="60" t="str">
        <f>IF(AND($B633=[1]rogério!$A634,[1]rogério!$B634=H$4),"ok","nok")</f>
        <v>nok</v>
      </c>
      <c r="I633" s="60" t="str">
        <f>IF(AND($B633=[1]rogério!$A634,[1]rogério!$B634=I$4),"ok","nok")</f>
        <v>nok</v>
      </c>
      <c r="J633" s="60" t="str">
        <f>IF(AND($B633=[1]rogério!$A634,[1]rogério!$B634=J$4),"ok","nok")</f>
        <v>nok</v>
      </c>
      <c r="K633" s="60" t="str">
        <f>IF(AND($B633=[1]rogério!$A634,[1]rogério!$B634=K$4),"ok","nok")</f>
        <v>nok</v>
      </c>
      <c r="L633" s="60" t="str">
        <f>IF(AND($B633=[1]rogério!$A634,[1]rogério!$B634=L$4),"ok","nok")</f>
        <v>nok</v>
      </c>
      <c r="M633" s="60" t="str">
        <f>IF(AND($B633=[1]rogério!$A634,[1]rogério!$B634=M$4),"ok","nok")</f>
        <v>nok</v>
      </c>
      <c r="N633" s="60" t="str">
        <f>IF(AND($B633=[1]rogério!$A634,[1]rogério!$B634=N$4),"ok","nok")</f>
        <v>nok</v>
      </c>
      <c r="O633" s="60" t="str">
        <f>IF(AND($B633=[1]rogério!$A634,[1]rogério!$B634=O$4),"ok","nok")</f>
        <v>ok</v>
      </c>
      <c r="P633" s="60" t="str">
        <f>IF(AND($B633=[1]rogério!$A634,[1]rogério!$B634=P$4),"ok","nok")</f>
        <v>nok</v>
      </c>
      <c r="Q633" s="60" t="str">
        <f>IF(AND($B633=[1]rogério!$A634,[1]rogério!$B634=Q$4),"ok","nok")</f>
        <v>nok</v>
      </c>
      <c r="R633" s="60" t="str">
        <f>IF(AND($B633=[1]rogério!$A634,[1]rogério!$B634=R$4),"ok","nok")</f>
        <v>nok</v>
      </c>
      <c r="S633" s="60" t="str">
        <f>IF(AND($B633=[1]rogério!$A634,[1]rogério!$B634=S$4),"ok","nok")</f>
        <v>nok</v>
      </c>
      <c r="T633" s="60" t="str">
        <f>IF(AND($B633=[1]rogério!$A634,[1]rogério!$B634=T$4),"ok","nok")</f>
        <v>nok</v>
      </c>
      <c r="U633" s="60" t="str">
        <f>IF(AND($B633=[1]rogério!$A634,[1]rogério!$B634=U$4),"ok","nok")</f>
        <v>nok</v>
      </c>
      <c r="V633" s="60" t="str">
        <f>IF(AND($B633=[1]rogério!$A634,[1]rogério!$B634=V$4),"ok","nok")</f>
        <v>nok</v>
      </c>
      <c r="W633" s="60" t="str">
        <f>IF(AND($B633=[1]rogério!$A634,[1]rogério!$B634=W$4),"ok","nok")</f>
        <v>nok</v>
      </c>
      <c r="X633" s="60" t="str">
        <f>IF(AND($B633=[1]rogério!$A634,[1]rogério!$B634=X$4),"ok","nok")</f>
        <v>nok</v>
      </c>
      <c r="Y633" s="105" t="s">
        <v>15</v>
      </c>
      <c r="Z633" s="106"/>
      <c r="AA633" s="106"/>
      <c r="AB633" s="107"/>
      <c r="AC633" s="38"/>
      <c r="AD633" s="38"/>
      <c r="AE633" s="48" t="str">
        <f t="shared" si="148"/>
        <v/>
      </c>
      <c r="AF633" s="48"/>
      <c r="AG633" s="48"/>
      <c r="AH633" s="89"/>
      <c r="AI633" s="49">
        <f t="shared" si="149"/>
        <v>0</v>
      </c>
      <c r="AJ633" s="49" t="str">
        <f t="shared" si="150"/>
        <v/>
      </c>
      <c r="AK633" s="49">
        <f t="shared" si="151"/>
        <v>0</v>
      </c>
      <c r="AL633" s="49" t="str">
        <f t="shared" si="152"/>
        <v/>
      </c>
      <c r="AM633" s="49">
        <f t="shared" si="153"/>
        <v>1</v>
      </c>
      <c r="AN633" s="49" t="str">
        <f t="shared" si="154"/>
        <v/>
      </c>
      <c r="AO633" s="49">
        <f t="shared" si="155"/>
        <v>0</v>
      </c>
      <c r="AP633" s="49" t="str">
        <f t="shared" si="156"/>
        <v/>
      </c>
      <c r="AQ633" s="49">
        <f t="shared" si="157"/>
        <v>0</v>
      </c>
      <c r="AR633" s="49" t="str">
        <f t="shared" si="158"/>
        <v/>
      </c>
    </row>
    <row r="634" spans="1:44" ht="30" customHeight="1" x14ac:dyDescent="0.35">
      <c r="A634" s="25" t="str">
        <f t="shared" si="160"/>
        <v>PT177 - PLATAFORMA DE ACESSO - GRUPO - DETALHADO
COLUNA 4PROJETO DETALHADO
ESTRUTURAS METÁLICAS</v>
      </c>
      <c r="B634" s="40" t="s">
        <v>42</v>
      </c>
      <c r="C634" s="60" t="str">
        <f>IF(AND($B634=[1]rogério!$A635,[1]rogério!$B635=C$4),"ok","nok")</f>
        <v>nok</v>
      </c>
      <c r="D634" s="60" t="str">
        <f>IF(AND($B634=[1]rogério!$A635,[1]rogério!$B635=D$4),"ok","nok")</f>
        <v>nok</v>
      </c>
      <c r="E634" s="60" t="str">
        <f>IF(AND($B634=[1]rogério!$A635,[1]rogério!$B635=E$4),"ok","nok")</f>
        <v>nok</v>
      </c>
      <c r="F634" s="60" t="str">
        <f>IF(AND($B634=[1]rogério!$A635,[1]rogério!$B635=F$4),"ok","nok")</f>
        <v>nok</v>
      </c>
      <c r="G634" s="60" t="str">
        <f>IF(AND($B634=[1]rogério!$A635,[1]rogério!$B635=G$4),"ok","nok")</f>
        <v>nok</v>
      </c>
      <c r="H634" s="60" t="str">
        <f>IF(AND($B634=[1]rogério!$A635,[1]rogério!$B635=H$4),"ok","nok")</f>
        <v>nok</v>
      </c>
      <c r="I634" s="60" t="str">
        <f>IF(AND($B634=[1]rogério!$A635,[1]rogério!$B635=I$4),"ok","nok")</f>
        <v>nok</v>
      </c>
      <c r="J634" s="60" t="str">
        <f>IF(AND($B634=[1]rogério!$A635,[1]rogério!$B635=J$4),"ok","nok")</f>
        <v>nok</v>
      </c>
      <c r="K634" s="60" t="str">
        <f>IF(AND($B634=[1]rogério!$A635,[1]rogério!$B635=K$4),"ok","nok")</f>
        <v>nok</v>
      </c>
      <c r="L634" s="60" t="str">
        <f>IF(AND($B634=[1]rogério!$A635,[1]rogério!$B635=L$4),"ok","nok")</f>
        <v>nok</v>
      </c>
      <c r="M634" s="60" t="str">
        <f>IF(AND($B634=[1]rogério!$A635,[1]rogério!$B635=M$4),"ok","nok")</f>
        <v>nok</v>
      </c>
      <c r="N634" s="60" t="str">
        <f>IF(AND($B634=[1]rogério!$A635,[1]rogério!$B635=N$4),"ok","nok")</f>
        <v>nok</v>
      </c>
      <c r="O634" s="60" t="str">
        <f>IF(AND($B634=[1]rogério!$A635,[1]rogério!$B635=O$4),"ok","nok")</f>
        <v>nok</v>
      </c>
      <c r="P634" s="60" t="str">
        <f>IF(AND($B634=[1]rogério!$A635,[1]rogério!$B635=P$4),"ok","nok")</f>
        <v>nok</v>
      </c>
      <c r="Q634" s="60" t="str">
        <f>IF(AND($B634=[1]rogério!$A635,[1]rogério!$B635=Q$4),"ok","nok")</f>
        <v>nok</v>
      </c>
      <c r="R634" s="60" t="str">
        <f>IF(AND($B634=[1]rogério!$A635,[1]rogério!$B635=R$4),"ok","nok")</f>
        <v>ok</v>
      </c>
      <c r="S634" s="60" t="str">
        <f>IF(AND($B634=[1]rogério!$A635,[1]rogério!$B635=S$4),"ok","nok")</f>
        <v>nok</v>
      </c>
      <c r="T634" s="60" t="str">
        <f>IF(AND($B634=[1]rogério!$A635,[1]rogério!$B635=T$4),"ok","nok")</f>
        <v>nok</v>
      </c>
      <c r="U634" s="60" t="str">
        <f>IF(AND($B634=[1]rogério!$A635,[1]rogério!$B635=U$4),"ok","nok")</f>
        <v>nok</v>
      </c>
      <c r="V634" s="60" t="str">
        <f>IF(AND($B634=[1]rogério!$A635,[1]rogério!$B635=V$4),"ok","nok")</f>
        <v>nok</v>
      </c>
      <c r="W634" s="60" t="str">
        <f>IF(AND($B634=[1]rogério!$A635,[1]rogério!$B635=W$4),"ok","nok")</f>
        <v>nok</v>
      </c>
      <c r="X634" s="60" t="str">
        <f>IF(AND($B634=[1]rogério!$A635,[1]rogério!$B635=X$4),"ok","nok")</f>
        <v>nok</v>
      </c>
      <c r="Y634" s="105" t="s">
        <v>15</v>
      </c>
      <c r="Z634" s="106"/>
      <c r="AA634" s="106"/>
      <c r="AB634" s="107"/>
      <c r="AC634" s="38"/>
      <c r="AD634" s="38"/>
      <c r="AE634" s="48" t="str">
        <f t="shared" si="148"/>
        <v/>
      </c>
      <c r="AF634" s="48"/>
      <c r="AG634" s="48"/>
      <c r="AH634" s="89"/>
      <c r="AI634" s="49">
        <f t="shared" si="149"/>
        <v>0</v>
      </c>
      <c r="AJ634" s="49" t="str">
        <f t="shared" si="150"/>
        <v/>
      </c>
      <c r="AK634" s="49">
        <f t="shared" si="151"/>
        <v>0</v>
      </c>
      <c r="AL634" s="49" t="str">
        <f t="shared" si="152"/>
        <v/>
      </c>
      <c r="AM634" s="49">
        <f t="shared" si="153"/>
        <v>0</v>
      </c>
      <c r="AN634" s="49" t="str">
        <f t="shared" si="154"/>
        <v/>
      </c>
      <c r="AO634" s="49">
        <f t="shared" si="155"/>
        <v>1</v>
      </c>
      <c r="AP634" s="49" t="str">
        <f t="shared" si="156"/>
        <v/>
      </c>
      <c r="AQ634" s="49">
        <f t="shared" si="157"/>
        <v>0</v>
      </c>
      <c r="AR634" s="49" t="str">
        <f t="shared" si="158"/>
        <v/>
      </c>
    </row>
    <row r="635" spans="1:44" ht="30" customHeight="1" x14ac:dyDescent="0.35">
      <c r="A635" s="25" t="str">
        <f t="shared" si="160"/>
        <v>PT177 - PLATAFORMA DE ACESSO - GRUPO - DETALHADO
COLUNA 4PROJETO DETALHADO
ESTRUTURAS METÁLICAS</v>
      </c>
      <c r="B635" s="40" t="s">
        <v>43</v>
      </c>
      <c r="C635" s="60" t="str">
        <f>IF(AND($B635=[1]rogério!$A636,[1]rogério!$B636=C$4),"ok","nok")</f>
        <v>nok</v>
      </c>
      <c r="D635" s="60" t="str">
        <f>IF(AND($B635=[1]rogério!$A636,[1]rogério!$B636=D$4),"ok","nok")</f>
        <v>nok</v>
      </c>
      <c r="E635" s="60" t="str">
        <f>IF(AND($B635=[1]rogério!$A636,[1]rogério!$B636=E$4),"ok","nok")</f>
        <v>nok</v>
      </c>
      <c r="F635" s="60" t="str">
        <f>IF(AND($B635=[1]rogério!$A636,[1]rogério!$B636=F$4),"ok","nok")</f>
        <v>nok</v>
      </c>
      <c r="G635" s="60" t="str">
        <f>IF(AND($B635=[1]rogério!$A636,[1]rogério!$B636=G$4),"ok","nok")</f>
        <v>nok</v>
      </c>
      <c r="H635" s="60" t="str">
        <f>IF(AND($B635=[1]rogério!$A636,[1]rogério!$B636=H$4),"ok","nok")</f>
        <v>nok</v>
      </c>
      <c r="I635" s="60" t="str">
        <f>IF(AND($B635=[1]rogério!$A636,[1]rogério!$B636=I$4),"ok","nok")</f>
        <v>nok</v>
      </c>
      <c r="J635" s="60" t="str">
        <f>IF(AND($B635=[1]rogério!$A636,[1]rogério!$B636=J$4),"ok","nok")</f>
        <v>nok</v>
      </c>
      <c r="K635" s="60" t="str">
        <f>IF(AND($B635=[1]rogério!$A636,[1]rogério!$B636=K$4),"ok","nok")</f>
        <v>nok</v>
      </c>
      <c r="L635" s="60" t="str">
        <f>IF(AND($B635=[1]rogério!$A636,[1]rogério!$B636=L$4),"ok","nok")</f>
        <v>nok</v>
      </c>
      <c r="M635" s="60" t="str">
        <f>IF(AND($B635=[1]rogério!$A636,[1]rogério!$B636=M$4),"ok","nok")</f>
        <v>nok</v>
      </c>
      <c r="N635" s="60" t="str">
        <f>IF(AND($B635=[1]rogério!$A636,[1]rogério!$B636=N$4),"ok","nok")</f>
        <v>nok</v>
      </c>
      <c r="O635" s="60" t="str">
        <f>IF(AND($B635=[1]rogério!$A636,[1]rogério!$B636=O$4),"ok","nok")</f>
        <v>nok</v>
      </c>
      <c r="P635" s="60" t="str">
        <f>IF(AND($B635=[1]rogério!$A636,[1]rogério!$B636=P$4),"ok","nok")</f>
        <v>nok</v>
      </c>
      <c r="Q635" s="60" t="str">
        <f>IF(AND($B635=[1]rogério!$A636,[1]rogério!$B636=Q$4),"ok","nok")</f>
        <v>nok</v>
      </c>
      <c r="R635" s="60" t="str">
        <f>IF(AND($B635=[1]rogério!$A636,[1]rogério!$B636=R$4),"ok","nok")</f>
        <v>ok</v>
      </c>
      <c r="S635" s="60" t="str">
        <f>IF(AND($B635=[1]rogério!$A636,[1]rogério!$B636=S$4),"ok","nok")</f>
        <v>nok</v>
      </c>
      <c r="T635" s="60" t="str">
        <f>IF(AND($B635=[1]rogério!$A636,[1]rogério!$B636=T$4),"ok","nok")</f>
        <v>nok</v>
      </c>
      <c r="U635" s="60" t="str">
        <f>IF(AND($B635=[1]rogério!$A636,[1]rogério!$B636=U$4),"ok","nok")</f>
        <v>nok</v>
      </c>
      <c r="V635" s="60" t="str">
        <f>IF(AND($B635=[1]rogério!$A636,[1]rogério!$B636=V$4),"ok","nok")</f>
        <v>nok</v>
      </c>
      <c r="W635" s="60" t="str">
        <f>IF(AND($B635=[1]rogério!$A636,[1]rogério!$B636=W$4),"ok","nok")</f>
        <v>nok</v>
      </c>
      <c r="X635" s="60" t="str">
        <f>IF(AND($B635=[1]rogério!$A636,[1]rogério!$B636=X$4),"ok","nok")</f>
        <v>nok</v>
      </c>
      <c r="Y635" s="105" t="s">
        <v>15</v>
      </c>
      <c r="Z635" s="106"/>
      <c r="AA635" s="106"/>
      <c r="AB635" s="107"/>
      <c r="AC635" s="38"/>
      <c r="AD635" s="38"/>
      <c r="AE635" s="48" t="str">
        <f t="shared" si="148"/>
        <v/>
      </c>
      <c r="AF635" s="48"/>
      <c r="AG635" s="48"/>
      <c r="AH635" s="89"/>
      <c r="AI635" s="49">
        <f t="shared" si="149"/>
        <v>0</v>
      </c>
      <c r="AJ635" s="49" t="str">
        <f t="shared" si="150"/>
        <v/>
      </c>
      <c r="AK635" s="49">
        <f t="shared" si="151"/>
        <v>0</v>
      </c>
      <c r="AL635" s="49" t="str">
        <f t="shared" si="152"/>
        <v/>
      </c>
      <c r="AM635" s="49">
        <f t="shared" si="153"/>
        <v>0</v>
      </c>
      <c r="AN635" s="49" t="str">
        <f t="shared" si="154"/>
        <v/>
      </c>
      <c r="AO635" s="49">
        <f t="shared" si="155"/>
        <v>1</v>
      </c>
      <c r="AP635" s="49" t="str">
        <f t="shared" si="156"/>
        <v/>
      </c>
      <c r="AQ635" s="49">
        <f t="shared" si="157"/>
        <v>0</v>
      </c>
      <c r="AR635" s="49" t="str">
        <f t="shared" si="158"/>
        <v/>
      </c>
    </row>
    <row r="636" spans="1:44" ht="30" customHeight="1" x14ac:dyDescent="0.35">
      <c r="A636" s="25" t="str">
        <f t="shared" si="160"/>
        <v>PT177 - PLATAFORMA DE ACESSO - GRUPO - DETALHADO
COLUNA 4PROJETO DETALHADO
ESTRUTURAS METÁLICAS</v>
      </c>
      <c r="B636" s="38" t="s">
        <v>74</v>
      </c>
      <c r="C636" s="60" t="str">
        <f>IF(AND($B636=[1]rogério!$A637,[1]rogério!$B637=C$4),"ok","nok")</f>
        <v>nok</v>
      </c>
      <c r="D636" s="60" t="str">
        <f>IF(AND($B636=[1]rogério!$A637,[1]rogério!$B637=D$4),"ok","nok")</f>
        <v>nok</v>
      </c>
      <c r="E636" s="60" t="str">
        <f>IF(AND($B636=[1]rogério!$A637,[1]rogério!$B637=E$4),"ok","nok")</f>
        <v>nok</v>
      </c>
      <c r="F636" s="60" t="str">
        <f>IF(AND($B636=[1]rogério!$A637,[1]rogério!$B637=F$4),"ok","nok")</f>
        <v>nok</v>
      </c>
      <c r="G636" s="60" t="str">
        <f>IF(AND($B636=[1]rogério!$A637,[1]rogério!$B637=G$4),"ok","nok")</f>
        <v>nok</v>
      </c>
      <c r="H636" s="60" t="str">
        <f>IF(AND($B636=[1]rogério!$A637,[1]rogério!$B637=H$4),"ok","nok")</f>
        <v>nok</v>
      </c>
      <c r="I636" s="60" t="str">
        <f>IF(AND($B636=[1]rogério!$A637,[1]rogério!$B637=I$4),"ok","nok")</f>
        <v>nok</v>
      </c>
      <c r="J636" s="60" t="str">
        <f>IF(AND($B636=[1]rogério!$A637,[1]rogério!$B637=J$4),"ok","nok")</f>
        <v>nok</v>
      </c>
      <c r="K636" s="60" t="str">
        <f>IF(AND($B636=[1]rogério!$A637,[1]rogério!$B637=K$4),"ok","nok")</f>
        <v>nok</v>
      </c>
      <c r="L636" s="60" t="str">
        <f>IF(AND($B636=[1]rogério!$A637,[1]rogério!$B637=L$4),"ok","nok")</f>
        <v>nok</v>
      </c>
      <c r="M636" s="60" t="str">
        <f>IF(AND($B636=[1]rogério!$A637,[1]rogério!$B637=M$4),"ok","nok")</f>
        <v>ok</v>
      </c>
      <c r="N636" s="60" t="str">
        <f>IF(AND($B636=[1]rogério!$A637,[1]rogério!$B637=N$4),"ok","nok")</f>
        <v>nok</v>
      </c>
      <c r="O636" s="60" t="str">
        <f>IF(AND($B636=[1]rogério!$A637,[1]rogério!$B637=O$4),"ok","nok")</f>
        <v>nok</v>
      </c>
      <c r="P636" s="60" t="str">
        <f>IF(AND($B636=[1]rogério!$A637,[1]rogério!$B637=P$4),"ok","nok")</f>
        <v>nok</v>
      </c>
      <c r="Q636" s="60" t="str">
        <f>IF(AND($B636=[1]rogério!$A637,[1]rogério!$B637=Q$4),"ok","nok")</f>
        <v>nok</v>
      </c>
      <c r="R636" s="60" t="str">
        <f>IF(AND($B636=[1]rogério!$A637,[1]rogério!$B637=R$4),"ok","nok")</f>
        <v>nok</v>
      </c>
      <c r="S636" s="60" t="str">
        <f>IF(AND($B636=[1]rogério!$A637,[1]rogério!$B637=S$4),"ok","nok")</f>
        <v>nok</v>
      </c>
      <c r="T636" s="60" t="str">
        <f>IF(AND($B636=[1]rogério!$A637,[1]rogério!$B637=T$4),"ok","nok")</f>
        <v>nok</v>
      </c>
      <c r="U636" s="60" t="str">
        <f>IF(AND($B636=[1]rogério!$A637,[1]rogério!$B637=U$4),"ok","nok")</f>
        <v>nok</v>
      </c>
      <c r="V636" s="60" t="str">
        <f>IF(AND($B636=[1]rogério!$A637,[1]rogério!$B637=V$4),"ok","nok")</f>
        <v>nok</v>
      </c>
      <c r="W636" s="60" t="str">
        <f>IF(AND($B636=[1]rogério!$A637,[1]rogério!$B637=W$4),"ok","nok")</f>
        <v>nok</v>
      </c>
      <c r="X636" s="60" t="str">
        <f>IF(AND($B636=[1]rogério!$A637,[1]rogério!$B637=X$4),"ok","nok")</f>
        <v>nok</v>
      </c>
      <c r="Y636" s="105" t="s">
        <v>15</v>
      </c>
      <c r="Z636" s="106"/>
      <c r="AA636" s="106"/>
      <c r="AB636" s="107"/>
      <c r="AC636" s="38"/>
      <c r="AD636" s="38"/>
      <c r="AE636" s="48" t="str">
        <f t="shared" si="148"/>
        <v/>
      </c>
      <c r="AF636" s="48"/>
      <c r="AG636" s="48"/>
      <c r="AH636" s="89"/>
      <c r="AI636" s="49">
        <f t="shared" si="149"/>
        <v>0</v>
      </c>
      <c r="AJ636" s="49" t="str">
        <f t="shared" si="150"/>
        <v/>
      </c>
      <c r="AK636" s="49">
        <f t="shared" si="151"/>
        <v>0</v>
      </c>
      <c r="AL636" s="49" t="str">
        <f t="shared" si="152"/>
        <v/>
      </c>
      <c r="AM636" s="49">
        <f t="shared" si="153"/>
        <v>1</v>
      </c>
      <c r="AN636" s="49" t="str">
        <f t="shared" si="154"/>
        <v/>
      </c>
      <c r="AO636" s="49">
        <f t="shared" si="155"/>
        <v>0</v>
      </c>
      <c r="AP636" s="49" t="str">
        <f t="shared" si="156"/>
        <v/>
      </c>
      <c r="AQ636" s="49">
        <f t="shared" si="157"/>
        <v>0</v>
      </c>
      <c r="AR636" s="49" t="str">
        <f t="shared" si="158"/>
        <v/>
      </c>
    </row>
    <row r="637" spans="1:44" ht="30" customHeight="1" x14ac:dyDescent="0.35">
      <c r="A637" s="25" t="str">
        <f t="shared" si="160"/>
        <v>PT177 - PLATAFORMA DE ACESSO - GRUPO - DETALHADO
COLUNA 4PROJETO DETALHADO
ESTRUTURAS METÁLICAS</v>
      </c>
      <c r="B637" s="38" t="s">
        <v>75</v>
      </c>
      <c r="C637" s="60" t="str">
        <f>IF(AND($B637=[1]rogério!$A638,[1]rogério!$B638=C$4),"ok","nok")</f>
        <v>nok</v>
      </c>
      <c r="D637" s="60" t="str">
        <f>IF(AND($B637=[1]rogério!$A638,[1]rogério!$B638=D$4),"ok","nok")</f>
        <v>nok</v>
      </c>
      <c r="E637" s="60" t="str">
        <f>IF(AND($B637=[1]rogério!$A638,[1]rogério!$B638=E$4),"ok","nok")</f>
        <v>nok</v>
      </c>
      <c r="F637" s="60" t="str">
        <f>IF(AND($B637=[1]rogério!$A638,[1]rogério!$B638=F$4),"ok","nok")</f>
        <v>nok</v>
      </c>
      <c r="G637" s="60" t="str">
        <f>IF(AND($B637=[1]rogério!$A638,[1]rogério!$B638=G$4),"ok","nok")</f>
        <v>nok</v>
      </c>
      <c r="H637" s="60" t="str">
        <f>IF(AND($B637=[1]rogério!$A638,[1]rogério!$B638=H$4),"ok","nok")</f>
        <v>nok</v>
      </c>
      <c r="I637" s="60" t="str">
        <f>IF(AND($B637=[1]rogério!$A638,[1]rogério!$B638=I$4),"ok","nok")</f>
        <v>nok</v>
      </c>
      <c r="J637" s="60" t="str">
        <f>IF(AND($B637=[1]rogério!$A638,[1]rogério!$B638=J$4),"ok","nok")</f>
        <v>nok</v>
      </c>
      <c r="K637" s="60" t="str">
        <f>IF(AND($B637=[1]rogério!$A638,[1]rogério!$B638=K$4),"ok","nok")</f>
        <v>nok</v>
      </c>
      <c r="L637" s="60" t="str">
        <f>IF(AND($B637=[1]rogério!$A638,[1]rogério!$B638=L$4),"ok","nok")</f>
        <v>nok</v>
      </c>
      <c r="M637" s="60" t="str">
        <f>IF(AND($B637=[1]rogério!$A638,[1]rogério!$B638=M$4),"ok","nok")</f>
        <v>nok</v>
      </c>
      <c r="N637" s="60" t="str">
        <f>IF(AND($B637=[1]rogério!$A638,[1]rogério!$B638=N$4),"ok","nok")</f>
        <v>nok</v>
      </c>
      <c r="O637" s="60" t="str">
        <f>IF(AND($B637=[1]rogério!$A638,[1]rogério!$B638=O$4),"ok","nok")</f>
        <v>ok</v>
      </c>
      <c r="P637" s="60" t="str">
        <f>IF(AND($B637=[1]rogério!$A638,[1]rogério!$B638=P$4),"ok","nok")</f>
        <v>nok</v>
      </c>
      <c r="Q637" s="60" t="str">
        <f>IF(AND($B637=[1]rogério!$A638,[1]rogério!$B638=Q$4),"ok","nok")</f>
        <v>nok</v>
      </c>
      <c r="R637" s="60" t="str">
        <f>IF(AND($B637=[1]rogério!$A638,[1]rogério!$B638=R$4),"ok","nok")</f>
        <v>nok</v>
      </c>
      <c r="S637" s="60" t="str">
        <f>IF(AND($B637=[1]rogério!$A638,[1]rogério!$B638=S$4),"ok","nok")</f>
        <v>nok</v>
      </c>
      <c r="T637" s="60" t="str">
        <f>IF(AND($B637=[1]rogério!$A638,[1]rogério!$B638=T$4),"ok","nok")</f>
        <v>nok</v>
      </c>
      <c r="U637" s="60" t="str">
        <f>IF(AND($B637=[1]rogério!$A638,[1]rogério!$B638=U$4),"ok","nok")</f>
        <v>nok</v>
      </c>
      <c r="V637" s="60" t="str">
        <f>IF(AND($B637=[1]rogério!$A638,[1]rogério!$B638=V$4),"ok","nok")</f>
        <v>nok</v>
      </c>
      <c r="W637" s="60" t="str">
        <f>IF(AND($B637=[1]rogério!$A638,[1]rogério!$B638=W$4),"ok","nok")</f>
        <v>nok</v>
      </c>
      <c r="X637" s="60" t="str">
        <f>IF(AND($B637=[1]rogério!$A638,[1]rogério!$B638=X$4),"ok","nok")</f>
        <v>nok</v>
      </c>
      <c r="Y637" s="105" t="s">
        <v>15</v>
      </c>
      <c r="Z637" s="106"/>
      <c r="AA637" s="106"/>
      <c r="AB637" s="107"/>
      <c r="AC637" s="38"/>
      <c r="AD637" s="38"/>
      <c r="AE637" s="48" t="str">
        <f t="shared" si="148"/>
        <v/>
      </c>
      <c r="AF637" s="48"/>
      <c r="AG637" s="48"/>
      <c r="AH637" s="89"/>
      <c r="AI637" s="49">
        <f t="shared" si="149"/>
        <v>0</v>
      </c>
      <c r="AJ637" s="49" t="str">
        <f t="shared" si="150"/>
        <v/>
      </c>
      <c r="AK637" s="49">
        <f t="shared" si="151"/>
        <v>0</v>
      </c>
      <c r="AL637" s="49" t="str">
        <f t="shared" si="152"/>
        <v/>
      </c>
      <c r="AM637" s="49">
        <f t="shared" si="153"/>
        <v>1</v>
      </c>
      <c r="AN637" s="49" t="str">
        <f t="shared" si="154"/>
        <v/>
      </c>
      <c r="AO637" s="49">
        <f t="shared" si="155"/>
        <v>0</v>
      </c>
      <c r="AP637" s="49" t="str">
        <f t="shared" si="156"/>
        <v/>
      </c>
      <c r="AQ637" s="49">
        <f t="shared" si="157"/>
        <v>0</v>
      </c>
      <c r="AR637" s="49" t="str">
        <f t="shared" si="158"/>
        <v/>
      </c>
    </row>
    <row r="638" spans="1:44" ht="30" customHeight="1" x14ac:dyDescent="0.35">
      <c r="A638" s="25"/>
      <c r="B638" s="39" t="s">
        <v>62</v>
      </c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108"/>
      <c r="Z638" s="109"/>
      <c r="AA638" s="109"/>
      <c r="AB638" s="110"/>
      <c r="AC638" s="38"/>
      <c r="AD638" s="38"/>
      <c r="AE638" s="48" t="str">
        <f t="shared" si="148"/>
        <v/>
      </c>
      <c r="AF638" s="48"/>
      <c r="AG638" s="48"/>
      <c r="AH638" s="89"/>
      <c r="AI638" s="49">
        <f t="shared" si="149"/>
        <v>0</v>
      </c>
      <c r="AJ638" s="49" t="str">
        <f t="shared" si="150"/>
        <v/>
      </c>
      <c r="AK638" s="49">
        <f t="shared" si="151"/>
        <v>0</v>
      </c>
      <c r="AL638" s="49" t="str">
        <f t="shared" si="152"/>
        <v/>
      </c>
      <c r="AM638" s="49">
        <f t="shared" si="153"/>
        <v>0</v>
      </c>
      <c r="AN638" s="49" t="str">
        <f t="shared" si="154"/>
        <v/>
      </c>
      <c r="AO638" s="49">
        <f t="shared" si="155"/>
        <v>0</v>
      </c>
      <c r="AP638" s="49" t="str">
        <f t="shared" si="156"/>
        <v/>
      </c>
      <c r="AQ638" s="49">
        <f t="shared" si="157"/>
        <v>0</v>
      </c>
      <c r="AR638" s="49" t="str">
        <f t="shared" si="158"/>
        <v/>
      </c>
    </row>
    <row r="639" spans="1:44" ht="30" customHeight="1" x14ac:dyDescent="0.35">
      <c r="A639" s="25" t="str">
        <f t="shared" si="160"/>
        <v>PT177 - PLATAFORMA DE ACESSO - GRUPO - DETALHADO
COLUNA 4PROJETO DETALHADO
ESTRUTURAS METÁLICAS</v>
      </c>
      <c r="B639" s="40" t="s">
        <v>49</v>
      </c>
      <c r="C639" s="60" t="str">
        <f>IF(AND($B639=[1]rogério!$A640,[1]rogério!$B640=C$4),"ok","nok")</f>
        <v>nok</v>
      </c>
      <c r="D639" s="60" t="str">
        <f>IF(AND($B639=[1]rogério!$A640,[1]rogério!$B640=D$4),"ok","nok")</f>
        <v>nok</v>
      </c>
      <c r="E639" s="60" t="str">
        <f>IF(AND($B639=[1]rogério!$A640,[1]rogério!$B640=E$4),"ok","nok")</f>
        <v>nok</v>
      </c>
      <c r="F639" s="60" t="str">
        <f>IF(AND($B639=[1]rogério!$A640,[1]rogério!$B640=F$4),"ok","nok")</f>
        <v>nok</v>
      </c>
      <c r="G639" s="60" t="str">
        <f>IF(AND($B639=[1]rogério!$A640,[1]rogério!$B640=G$4),"ok","nok")</f>
        <v>nok</v>
      </c>
      <c r="H639" s="60" t="str">
        <f>IF(AND($B639=[1]rogério!$A640,[1]rogério!$B640=H$4),"ok","nok")</f>
        <v>nok</v>
      </c>
      <c r="I639" s="60" t="str">
        <f>IF(AND($B639=[1]rogério!$A640,[1]rogério!$B640=I$4),"ok","nok")</f>
        <v>nok</v>
      </c>
      <c r="J639" s="60" t="str">
        <f>IF(AND($B639=[1]rogério!$A640,[1]rogério!$B640=J$4),"ok","nok")</f>
        <v>nok</v>
      </c>
      <c r="K639" s="60" t="str">
        <f>IF(AND($B639=[1]rogério!$A640,[1]rogério!$B640=K$4),"ok","nok")</f>
        <v>nok</v>
      </c>
      <c r="L639" s="60" t="str">
        <f>IF(AND($B639=[1]rogério!$A640,[1]rogério!$B640=L$4),"ok","nok")</f>
        <v>nok</v>
      </c>
      <c r="M639" s="60" t="str">
        <f>IF(AND($B639=[1]rogério!$A640,[1]rogério!$B640=M$4),"ok","nok")</f>
        <v>nok</v>
      </c>
      <c r="N639" s="60" t="str">
        <f>IF(AND($B639=[1]rogério!$A640,[1]rogério!$B640=N$4),"ok","nok")</f>
        <v>nok</v>
      </c>
      <c r="O639" s="60" t="str">
        <f>IF(AND($B639=[1]rogério!$A640,[1]rogério!$B640=O$4),"ok","nok")</f>
        <v>ok</v>
      </c>
      <c r="P639" s="60" t="str">
        <f>IF(AND($B639=[1]rogério!$A640,[1]rogério!$B640=P$4),"ok","nok")</f>
        <v>nok</v>
      </c>
      <c r="Q639" s="60" t="str">
        <f>IF(AND($B639=[1]rogério!$A640,[1]rogério!$B640=Q$4),"ok","nok")</f>
        <v>nok</v>
      </c>
      <c r="R639" s="60" t="str">
        <f>IF(AND($B639=[1]rogério!$A640,[1]rogério!$B640=R$4),"ok","nok")</f>
        <v>nok</v>
      </c>
      <c r="S639" s="60" t="str">
        <f>IF(AND($B639=[1]rogério!$A640,[1]rogério!$B640=S$4),"ok","nok")</f>
        <v>nok</v>
      </c>
      <c r="T639" s="60" t="str">
        <f>IF(AND($B639=[1]rogério!$A640,[1]rogério!$B640=T$4),"ok","nok")</f>
        <v>nok</v>
      </c>
      <c r="U639" s="60" t="str">
        <f>IF(AND($B639=[1]rogério!$A640,[1]rogério!$B640=U$4),"ok","nok")</f>
        <v>nok</v>
      </c>
      <c r="V639" s="60" t="str">
        <f>IF(AND($B639=[1]rogério!$A640,[1]rogério!$B640=V$4),"ok","nok")</f>
        <v>nok</v>
      </c>
      <c r="W639" s="60" t="str">
        <f>IF(AND($B639=[1]rogério!$A640,[1]rogério!$B640=W$4),"ok","nok")</f>
        <v>nok</v>
      </c>
      <c r="X639" s="60" t="str">
        <f>IF(AND($B639=[1]rogério!$A640,[1]rogério!$B640=X$4),"ok","nok")</f>
        <v>nok</v>
      </c>
      <c r="Y639" s="105" t="s">
        <v>15</v>
      </c>
      <c r="Z639" s="106"/>
      <c r="AA639" s="106"/>
      <c r="AB639" s="107"/>
      <c r="AC639" s="38"/>
      <c r="AD639" s="38"/>
      <c r="AE639" s="48" t="str">
        <f t="shared" si="148"/>
        <v/>
      </c>
      <c r="AF639" s="48"/>
      <c r="AG639" s="48"/>
      <c r="AH639" s="89"/>
      <c r="AI639" s="49">
        <f t="shared" si="149"/>
        <v>0</v>
      </c>
      <c r="AJ639" s="49" t="str">
        <f t="shared" si="150"/>
        <v/>
      </c>
      <c r="AK639" s="49">
        <f t="shared" si="151"/>
        <v>0</v>
      </c>
      <c r="AL639" s="49" t="str">
        <f t="shared" si="152"/>
        <v/>
      </c>
      <c r="AM639" s="49">
        <f t="shared" si="153"/>
        <v>1</v>
      </c>
      <c r="AN639" s="49" t="str">
        <f t="shared" si="154"/>
        <v/>
      </c>
      <c r="AO639" s="49">
        <f t="shared" si="155"/>
        <v>0</v>
      </c>
      <c r="AP639" s="49" t="str">
        <f t="shared" si="156"/>
        <v/>
      </c>
      <c r="AQ639" s="49">
        <f t="shared" si="157"/>
        <v>0</v>
      </c>
      <c r="AR639" s="49" t="str">
        <f t="shared" si="158"/>
        <v/>
      </c>
    </row>
    <row r="640" spans="1:44" ht="30" customHeight="1" x14ac:dyDescent="0.35">
      <c r="A640" s="25" t="str">
        <f t="shared" si="160"/>
        <v>PT177 - PLATAFORMA DE ACESSO - GRUPO - DETALHADO
COLUNA 4PROJETO DETALHADO
ESTRUTURAS METÁLICAS</v>
      </c>
      <c r="B640" s="40" t="s">
        <v>19</v>
      </c>
      <c r="C640" s="60" t="str">
        <f>IF(AND($B640=[1]rogério!$A641,[1]rogério!$B641=C$4),"ok","nok")</f>
        <v>nok</v>
      </c>
      <c r="D640" s="60" t="str">
        <f>IF(AND($B640=[1]rogério!$A641,[1]rogério!$B641=D$4),"ok","nok")</f>
        <v>nok</v>
      </c>
      <c r="E640" s="60" t="str">
        <f>IF(AND($B640=[1]rogério!$A641,[1]rogério!$B641=E$4),"ok","nok")</f>
        <v>nok</v>
      </c>
      <c r="F640" s="60" t="str">
        <f>IF(AND($B640=[1]rogério!$A641,[1]rogério!$B641=F$4),"ok","nok")</f>
        <v>nok</v>
      </c>
      <c r="G640" s="60" t="str">
        <f>IF(AND($B640=[1]rogério!$A641,[1]rogério!$B641=G$4),"ok","nok")</f>
        <v>nok</v>
      </c>
      <c r="H640" s="60" t="str">
        <f>IF(AND($B640=[1]rogério!$A641,[1]rogério!$B641=H$4),"ok","nok")</f>
        <v>nok</v>
      </c>
      <c r="I640" s="60" t="str">
        <f>IF(AND($B640=[1]rogério!$A641,[1]rogério!$B641=I$4),"ok","nok")</f>
        <v>nok</v>
      </c>
      <c r="J640" s="60" t="str">
        <f>IF(AND($B640=[1]rogério!$A641,[1]rogério!$B641=J$4),"ok","nok")</f>
        <v>nok</v>
      </c>
      <c r="K640" s="60" t="str">
        <f>IF(AND($B640=[1]rogério!$A641,[1]rogério!$B641=K$4),"ok","nok")</f>
        <v>nok</v>
      </c>
      <c r="L640" s="60" t="str">
        <f>IF(AND($B640=[1]rogério!$A641,[1]rogério!$B641=L$4),"ok","nok")</f>
        <v>nok</v>
      </c>
      <c r="M640" s="60" t="str">
        <f>IF(AND($B640=[1]rogério!$A641,[1]rogério!$B641=M$4),"ok","nok")</f>
        <v>nok</v>
      </c>
      <c r="N640" s="60" t="str">
        <f>IF(AND($B640=[1]rogério!$A641,[1]rogério!$B641=N$4),"ok","nok")</f>
        <v>nok</v>
      </c>
      <c r="O640" s="60" t="str">
        <f>IF(AND($B640=[1]rogério!$A641,[1]rogério!$B641=O$4),"ok","nok")</f>
        <v>nok</v>
      </c>
      <c r="P640" s="60" t="str">
        <f>IF(AND($B640=[1]rogério!$A641,[1]rogério!$B641=P$4),"ok","nok")</f>
        <v>nok</v>
      </c>
      <c r="Q640" s="60" t="str">
        <f>IF(AND($B640=[1]rogério!$A641,[1]rogério!$B641=Q$4),"ok","nok")</f>
        <v>nok</v>
      </c>
      <c r="R640" s="60" t="str">
        <f>IF(AND($B640=[1]rogério!$A641,[1]rogério!$B641=R$4),"ok","nok")</f>
        <v>nok</v>
      </c>
      <c r="S640" s="60" t="str">
        <f>IF(AND($B640=[1]rogério!$A641,[1]rogério!$B641=S$4),"ok","nok")</f>
        <v>nok</v>
      </c>
      <c r="T640" s="60" t="str">
        <f>IF(AND($B640=[1]rogério!$A641,[1]rogério!$B641=T$4),"ok","nok")</f>
        <v>ok</v>
      </c>
      <c r="U640" s="60" t="str">
        <f>IF(AND($B640=[1]rogério!$A641,[1]rogério!$B641=U$4),"ok","nok")</f>
        <v>nok</v>
      </c>
      <c r="V640" s="60" t="str">
        <f>IF(AND($B640=[1]rogério!$A641,[1]rogério!$B641=V$4),"ok","nok")</f>
        <v>nok</v>
      </c>
      <c r="W640" s="60" t="str">
        <f>IF(AND($B640=[1]rogério!$A641,[1]rogério!$B641=W$4),"ok","nok")</f>
        <v>nok</v>
      </c>
      <c r="X640" s="60" t="str">
        <f>IF(AND($B640=[1]rogério!$A641,[1]rogério!$B641=X$4),"ok","nok")</f>
        <v>nok</v>
      </c>
      <c r="Y640" s="105" t="s">
        <v>15</v>
      </c>
      <c r="Z640" s="106"/>
      <c r="AA640" s="106"/>
      <c r="AB640" s="107"/>
      <c r="AC640" s="38"/>
      <c r="AD640" s="38"/>
      <c r="AE640" s="48" t="str">
        <f t="shared" si="148"/>
        <v/>
      </c>
      <c r="AF640" s="48"/>
      <c r="AG640" s="48"/>
      <c r="AH640" s="89"/>
      <c r="AI640" s="49">
        <f t="shared" si="149"/>
        <v>0</v>
      </c>
      <c r="AJ640" s="49" t="str">
        <f t="shared" si="150"/>
        <v/>
      </c>
      <c r="AK640" s="49">
        <f t="shared" si="151"/>
        <v>0</v>
      </c>
      <c r="AL640" s="49" t="str">
        <f t="shared" si="152"/>
        <v/>
      </c>
      <c r="AM640" s="49">
        <f t="shared" si="153"/>
        <v>0</v>
      </c>
      <c r="AN640" s="49" t="str">
        <f t="shared" si="154"/>
        <v/>
      </c>
      <c r="AO640" s="49">
        <f t="shared" si="155"/>
        <v>1</v>
      </c>
      <c r="AP640" s="49" t="str">
        <f t="shared" si="156"/>
        <v/>
      </c>
      <c r="AQ640" s="49">
        <f t="shared" si="157"/>
        <v>0</v>
      </c>
      <c r="AR640" s="49" t="str">
        <f t="shared" si="158"/>
        <v/>
      </c>
    </row>
    <row r="641" spans="1:44" ht="30" customHeight="1" x14ac:dyDescent="0.35">
      <c r="A641" s="25" t="str">
        <f t="shared" si="160"/>
        <v>PT177 - PLATAFORMA DE ACESSO - GRUPO - DETALHADO
COLUNA 4PROJETO DETALHADO
ESTRUTURAS METÁLICAS</v>
      </c>
      <c r="B641" s="40" t="s">
        <v>42</v>
      </c>
      <c r="C641" s="60" t="str">
        <f>IF(AND($B641=[1]rogério!$A642,[1]rogério!$B642=C$4),"ok","nok")</f>
        <v>nok</v>
      </c>
      <c r="D641" s="60" t="str">
        <f>IF(AND($B641=[1]rogério!$A642,[1]rogério!$B642=D$4),"ok","nok")</f>
        <v>nok</v>
      </c>
      <c r="E641" s="60" t="str">
        <f>IF(AND($B641=[1]rogério!$A642,[1]rogério!$B642=E$4),"ok","nok")</f>
        <v>nok</v>
      </c>
      <c r="F641" s="60" t="str">
        <f>IF(AND($B641=[1]rogério!$A642,[1]rogério!$B642=F$4),"ok","nok")</f>
        <v>nok</v>
      </c>
      <c r="G641" s="60" t="str">
        <f>IF(AND($B641=[1]rogério!$A642,[1]rogério!$B642=G$4),"ok","nok")</f>
        <v>nok</v>
      </c>
      <c r="H641" s="60" t="str">
        <f>IF(AND($B641=[1]rogério!$A642,[1]rogério!$B642=H$4),"ok","nok")</f>
        <v>nok</v>
      </c>
      <c r="I641" s="60" t="str">
        <f>IF(AND($B641=[1]rogério!$A642,[1]rogério!$B642=I$4),"ok","nok")</f>
        <v>nok</v>
      </c>
      <c r="J641" s="60" t="str">
        <f>IF(AND($B641=[1]rogério!$A642,[1]rogério!$B642=J$4),"ok","nok")</f>
        <v>nok</v>
      </c>
      <c r="K641" s="60" t="str">
        <f>IF(AND($B641=[1]rogério!$A642,[1]rogério!$B642=K$4),"ok","nok")</f>
        <v>nok</v>
      </c>
      <c r="L641" s="60" t="str">
        <f>IF(AND($B641=[1]rogério!$A642,[1]rogério!$B642=L$4),"ok","nok")</f>
        <v>nok</v>
      </c>
      <c r="M641" s="60" t="str">
        <f>IF(AND($B641=[1]rogério!$A642,[1]rogério!$B642=M$4),"ok","nok")</f>
        <v>nok</v>
      </c>
      <c r="N641" s="60" t="str">
        <f>IF(AND($B641=[1]rogério!$A642,[1]rogério!$B642=N$4),"ok","nok")</f>
        <v>nok</v>
      </c>
      <c r="O641" s="60" t="str">
        <f>IF(AND($B641=[1]rogério!$A642,[1]rogério!$B642=O$4),"ok","nok")</f>
        <v>nok</v>
      </c>
      <c r="P641" s="60" t="str">
        <f>IF(AND($B641=[1]rogério!$A642,[1]rogério!$B642=P$4),"ok","nok")</f>
        <v>nok</v>
      </c>
      <c r="Q641" s="60" t="str">
        <f>IF(AND($B641=[1]rogério!$A642,[1]rogério!$B642=Q$4),"ok","nok")</f>
        <v>nok</v>
      </c>
      <c r="R641" s="60" t="str">
        <f>IF(AND($B641=[1]rogério!$A642,[1]rogério!$B642=R$4),"ok","nok")</f>
        <v>nok</v>
      </c>
      <c r="S641" s="60" t="str">
        <f>IF(AND($B641=[1]rogério!$A642,[1]rogério!$B642=S$4),"ok","nok")</f>
        <v>nok</v>
      </c>
      <c r="T641" s="60" t="str">
        <f>IF(AND($B641=[1]rogério!$A642,[1]rogério!$B642=T$4),"ok","nok")</f>
        <v>nok</v>
      </c>
      <c r="U641" s="60" t="str">
        <f>IF(AND($B641=[1]rogério!$A642,[1]rogério!$B642=U$4),"ok","nok")</f>
        <v>nok</v>
      </c>
      <c r="V641" s="60" t="str">
        <f>IF(AND($B641=[1]rogério!$A642,[1]rogério!$B642=V$4),"ok","nok")</f>
        <v>nok</v>
      </c>
      <c r="W641" s="60" t="str">
        <f>IF(AND($B641=[1]rogério!$A642,[1]rogério!$B642=W$4),"ok","nok")</f>
        <v>ok</v>
      </c>
      <c r="X641" s="60" t="str">
        <f>IF(AND($B641=[1]rogério!$A642,[1]rogério!$B642=X$4),"ok","nok")</f>
        <v>nok</v>
      </c>
      <c r="Y641" s="105" t="s">
        <v>15</v>
      </c>
      <c r="Z641" s="106"/>
      <c r="AA641" s="106"/>
      <c r="AB641" s="107"/>
      <c r="AC641" s="38"/>
      <c r="AD641" s="38"/>
      <c r="AE641" s="48" t="str">
        <f t="shared" si="148"/>
        <v/>
      </c>
      <c r="AF641" s="48"/>
      <c r="AG641" s="48"/>
      <c r="AH641" s="89"/>
      <c r="AI641" s="49">
        <f t="shared" si="149"/>
        <v>0</v>
      </c>
      <c r="AJ641" s="49" t="str">
        <f t="shared" si="150"/>
        <v/>
      </c>
      <c r="AK641" s="49">
        <f t="shared" si="151"/>
        <v>0</v>
      </c>
      <c r="AL641" s="49" t="str">
        <f t="shared" si="152"/>
        <v/>
      </c>
      <c r="AM641" s="49">
        <f t="shared" si="153"/>
        <v>0</v>
      </c>
      <c r="AN641" s="49" t="str">
        <f t="shared" si="154"/>
        <v/>
      </c>
      <c r="AO641" s="49">
        <f t="shared" si="155"/>
        <v>0</v>
      </c>
      <c r="AP641" s="49" t="str">
        <f t="shared" si="156"/>
        <v/>
      </c>
      <c r="AQ641" s="49">
        <f t="shared" si="157"/>
        <v>1</v>
      </c>
      <c r="AR641" s="49" t="str">
        <f t="shared" si="158"/>
        <v/>
      </c>
    </row>
    <row r="642" spans="1:44" ht="30" customHeight="1" x14ac:dyDescent="0.35">
      <c r="A642" s="25" t="str">
        <f t="shared" si="160"/>
        <v>PT177 - PLATAFORMA DE ACESSO - GRUPO - DETALHADO
COLUNA 4PROJETO DETALHADO
ESTRUTURAS METÁLICAS</v>
      </c>
      <c r="B642" s="40" t="s">
        <v>43</v>
      </c>
      <c r="C642" s="60" t="str">
        <f>IF(AND($B642=[1]rogério!$A643,[1]rogério!$B643=C$4),"ok","nok")</f>
        <v>nok</v>
      </c>
      <c r="D642" s="60" t="str">
        <f>IF(AND($B642=[1]rogério!$A643,[1]rogério!$B643=D$4),"ok","nok")</f>
        <v>nok</v>
      </c>
      <c r="E642" s="60" t="str">
        <f>IF(AND($B642=[1]rogério!$A643,[1]rogério!$B643=E$4),"ok","nok")</f>
        <v>nok</v>
      </c>
      <c r="F642" s="60" t="str">
        <f>IF(AND($B642=[1]rogério!$A643,[1]rogério!$B643=F$4),"ok","nok")</f>
        <v>nok</v>
      </c>
      <c r="G642" s="60" t="str">
        <f>IF(AND($B642=[1]rogério!$A643,[1]rogério!$B643=G$4),"ok","nok")</f>
        <v>nok</v>
      </c>
      <c r="H642" s="60" t="str">
        <f>IF(AND($B642=[1]rogério!$A643,[1]rogério!$B643=H$4),"ok","nok")</f>
        <v>nok</v>
      </c>
      <c r="I642" s="60" t="str">
        <f>IF(AND($B642=[1]rogério!$A643,[1]rogério!$B643=I$4),"ok","nok")</f>
        <v>nok</v>
      </c>
      <c r="J642" s="60" t="str">
        <f>IF(AND($B642=[1]rogério!$A643,[1]rogério!$B643=J$4),"ok","nok")</f>
        <v>nok</v>
      </c>
      <c r="K642" s="60" t="str">
        <f>IF(AND($B642=[1]rogério!$A643,[1]rogério!$B643=K$4),"ok","nok")</f>
        <v>nok</v>
      </c>
      <c r="L642" s="60" t="str">
        <f>IF(AND($B642=[1]rogério!$A643,[1]rogério!$B643=L$4),"ok","nok")</f>
        <v>nok</v>
      </c>
      <c r="M642" s="60" t="str">
        <f>IF(AND($B642=[1]rogério!$A643,[1]rogério!$B643=M$4),"ok","nok")</f>
        <v>nok</v>
      </c>
      <c r="N642" s="60" t="str">
        <f>IF(AND($B642=[1]rogério!$A643,[1]rogério!$B643=N$4),"ok","nok")</f>
        <v>nok</v>
      </c>
      <c r="O642" s="60" t="str">
        <f>IF(AND($B642=[1]rogério!$A643,[1]rogério!$B643=O$4),"ok","nok")</f>
        <v>nok</v>
      </c>
      <c r="P642" s="60" t="str">
        <f>IF(AND($B642=[1]rogério!$A643,[1]rogério!$B643=P$4),"ok","nok")</f>
        <v>nok</v>
      </c>
      <c r="Q642" s="60" t="str">
        <f>IF(AND($B642=[1]rogério!$A643,[1]rogério!$B643=Q$4),"ok","nok")</f>
        <v>nok</v>
      </c>
      <c r="R642" s="60" t="str">
        <f>IF(AND($B642=[1]rogério!$A643,[1]rogério!$B643=R$4),"ok","nok")</f>
        <v>nok</v>
      </c>
      <c r="S642" s="60" t="str">
        <f>IF(AND($B642=[1]rogério!$A643,[1]rogério!$B643=S$4),"ok","nok")</f>
        <v>nok</v>
      </c>
      <c r="T642" s="60" t="str">
        <f>IF(AND($B642=[1]rogério!$A643,[1]rogério!$B643=T$4),"ok","nok")</f>
        <v>nok</v>
      </c>
      <c r="U642" s="60" t="str">
        <f>IF(AND($B642=[1]rogério!$A643,[1]rogério!$B643=U$4),"ok","nok")</f>
        <v>nok</v>
      </c>
      <c r="V642" s="60" t="str">
        <f>IF(AND($B642=[1]rogério!$A643,[1]rogério!$B643=V$4),"ok","nok")</f>
        <v>nok</v>
      </c>
      <c r="W642" s="60" t="str">
        <f>IF(AND($B642=[1]rogério!$A643,[1]rogério!$B643=W$4),"ok","nok")</f>
        <v>ok</v>
      </c>
      <c r="X642" s="60" t="str">
        <f>IF(AND($B642=[1]rogério!$A643,[1]rogério!$B643=X$4),"ok","nok")</f>
        <v>nok</v>
      </c>
      <c r="Y642" s="105" t="s">
        <v>15</v>
      </c>
      <c r="Z642" s="106"/>
      <c r="AA642" s="106"/>
      <c r="AB642" s="107"/>
      <c r="AC642" s="38"/>
      <c r="AD642" s="38"/>
      <c r="AE642" s="48" t="str">
        <f t="shared" si="148"/>
        <v/>
      </c>
      <c r="AF642" s="48"/>
      <c r="AG642" s="48"/>
      <c r="AH642" s="89"/>
      <c r="AI642" s="49">
        <f t="shared" si="149"/>
        <v>0</v>
      </c>
      <c r="AJ642" s="49" t="str">
        <f t="shared" si="150"/>
        <v/>
      </c>
      <c r="AK642" s="49">
        <f t="shared" si="151"/>
        <v>0</v>
      </c>
      <c r="AL642" s="49" t="str">
        <f t="shared" si="152"/>
        <v/>
      </c>
      <c r="AM642" s="49">
        <f t="shared" si="153"/>
        <v>0</v>
      </c>
      <c r="AN642" s="49" t="str">
        <f t="shared" si="154"/>
        <v/>
      </c>
      <c r="AO642" s="49">
        <f t="shared" si="155"/>
        <v>0</v>
      </c>
      <c r="AP642" s="49" t="str">
        <f t="shared" si="156"/>
        <v/>
      </c>
      <c r="AQ642" s="49">
        <f t="shared" si="157"/>
        <v>1</v>
      </c>
      <c r="AR642" s="49" t="str">
        <f t="shared" si="158"/>
        <v/>
      </c>
    </row>
    <row r="643" spans="1:44" ht="30" customHeight="1" x14ac:dyDescent="0.35">
      <c r="A643" s="25" t="str">
        <f t="shared" si="160"/>
        <v>PT177 - PLATAFORMA DE ACESSO - GRUPO - DETALHADO
COLUNA 4PROJETO DETALHADO
ESTRUTURAS METÁLICAS</v>
      </c>
      <c r="B643" s="38" t="s">
        <v>79</v>
      </c>
      <c r="C643" s="60" t="str">
        <f>IF(AND($B643=[1]rogério!$A644,[1]rogério!$B644=C$4),"ok","nok")</f>
        <v>nok</v>
      </c>
      <c r="D643" s="60" t="str">
        <f>IF(AND($B643=[1]rogério!$A644,[1]rogério!$B644=D$4),"ok","nok")</f>
        <v>nok</v>
      </c>
      <c r="E643" s="60" t="str">
        <f>IF(AND($B643=[1]rogério!$A644,[1]rogério!$B644=E$4),"ok","nok")</f>
        <v>nok</v>
      </c>
      <c r="F643" s="60" t="str">
        <f>IF(AND($B643=[1]rogério!$A644,[1]rogério!$B644=F$4),"ok","nok")</f>
        <v>nok</v>
      </c>
      <c r="G643" s="60" t="str">
        <f>IF(AND($B643=[1]rogério!$A644,[1]rogério!$B644=G$4),"ok","nok")</f>
        <v>nok</v>
      </c>
      <c r="H643" s="60" t="str">
        <f>IF(AND($B643=[1]rogério!$A644,[1]rogério!$B644=H$4),"ok","nok")</f>
        <v>nok</v>
      </c>
      <c r="I643" s="60" t="str">
        <f>IF(AND($B643=[1]rogério!$A644,[1]rogério!$B644=I$4),"ok","nok")</f>
        <v>nok</v>
      </c>
      <c r="J643" s="60" t="str">
        <f>IF(AND($B643=[1]rogério!$A644,[1]rogério!$B644=J$4),"ok","nok")</f>
        <v>nok</v>
      </c>
      <c r="K643" s="60" t="str">
        <f>IF(AND($B643=[1]rogério!$A644,[1]rogério!$B644=K$4),"ok","nok")</f>
        <v>nok</v>
      </c>
      <c r="L643" s="60" t="str">
        <f>IF(AND($B643=[1]rogério!$A644,[1]rogério!$B644=L$4),"ok","nok")</f>
        <v>nok</v>
      </c>
      <c r="M643" s="60" t="str">
        <f>IF(AND($B643=[1]rogério!$A644,[1]rogério!$B644=M$4),"ok","nok")</f>
        <v>nok</v>
      </c>
      <c r="N643" s="60" t="str">
        <f>IF(AND($B643=[1]rogério!$A644,[1]rogério!$B644=N$4),"ok","nok")</f>
        <v>nok</v>
      </c>
      <c r="O643" s="60" t="str">
        <f>IF(AND($B643=[1]rogério!$A644,[1]rogério!$B644=O$4),"ok","nok")</f>
        <v>nok</v>
      </c>
      <c r="P643" s="60" t="str">
        <f>IF(AND($B643=[1]rogério!$A644,[1]rogério!$B644=P$4),"ok","nok")</f>
        <v>nok</v>
      </c>
      <c r="Q643" s="60" t="str">
        <f>IF(AND($B643=[1]rogério!$A644,[1]rogério!$B644=Q$4),"ok","nok")</f>
        <v>nok</v>
      </c>
      <c r="R643" s="60" t="str">
        <f>IF(AND($B643=[1]rogério!$A644,[1]rogério!$B644=R$4),"ok","nok")</f>
        <v>ok</v>
      </c>
      <c r="S643" s="60" t="str">
        <f>IF(AND($B643=[1]rogério!$A644,[1]rogério!$B644=S$4),"ok","nok")</f>
        <v>nok</v>
      </c>
      <c r="T643" s="60" t="str">
        <f>IF(AND($B643=[1]rogério!$A644,[1]rogério!$B644=T$4),"ok","nok")</f>
        <v>nok</v>
      </c>
      <c r="U643" s="60" t="str">
        <f>IF(AND($B643=[1]rogério!$A644,[1]rogério!$B644=U$4),"ok","nok")</f>
        <v>nok</v>
      </c>
      <c r="V643" s="60" t="str">
        <f>IF(AND($B643=[1]rogério!$A644,[1]rogério!$B644=V$4),"ok","nok")</f>
        <v>nok</v>
      </c>
      <c r="W643" s="60" t="str">
        <f>IF(AND($B643=[1]rogério!$A644,[1]rogério!$B644=W$4),"ok","nok")</f>
        <v>nok</v>
      </c>
      <c r="X643" s="60" t="str">
        <f>IF(AND($B643=[1]rogério!$A644,[1]rogério!$B644=X$4),"ok","nok")</f>
        <v>nok</v>
      </c>
      <c r="Y643" s="105" t="s">
        <v>15</v>
      </c>
      <c r="Z643" s="106"/>
      <c r="AA643" s="106"/>
      <c r="AB643" s="107"/>
      <c r="AC643" s="38"/>
      <c r="AD643" s="38"/>
      <c r="AE643" s="48" t="str">
        <f t="shared" ref="AE643:AE706" si="161">IF(Y643="ATRASADO",B643,"")</f>
        <v/>
      </c>
      <c r="AF643" s="48"/>
      <c r="AG643" s="48"/>
      <c r="AH643" s="89"/>
      <c r="AI643" s="49">
        <f t="shared" ref="AI643:AI706" si="162">COUNTIF(C643:G643,"ok")</f>
        <v>0</v>
      </c>
      <c r="AJ643" s="49" t="str">
        <f t="shared" ref="AJ643:AJ706" si="163">IF(AND(AI643=1,OR($Y643="entregue",$Y643="efprazo")),$Y643,"")</f>
        <v/>
      </c>
      <c r="AK643" s="49">
        <f t="shared" ref="AK643:AK706" si="164">COUNTIF(H643:L643,"ok")</f>
        <v>0</v>
      </c>
      <c r="AL643" s="49" t="str">
        <f t="shared" ref="AL643:AL706" si="165">IF(AND(AK643=1,OR($Y643="entregue",$Y643="efprazo")),$Y643,"")</f>
        <v/>
      </c>
      <c r="AM643" s="49">
        <f t="shared" ref="AM643:AM706" si="166">COUNTIF(M643:Q643,"ok")</f>
        <v>0</v>
      </c>
      <c r="AN643" s="49" t="str">
        <f t="shared" ref="AN643:AN706" si="167">IF(AND(AM643=1,OR($Y643="entregue",$Y643="efprazo")),$Y643,"")</f>
        <v/>
      </c>
      <c r="AO643" s="49">
        <f t="shared" ref="AO643:AO706" si="168">COUNTIF(R643:V643,"ok")</f>
        <v>1</v>
      </c>
      <c r="AP643" s="49" t="str">
        <f t="shared" ref="AP643:AP706" si="169">IF(AND(AO643=1,OR($Y643="entregue",$Y643="efprazo")),$Y643,"")</f>
        <v/>
      </c>
      <c r="AQ643" s="49">
        <f t="shared" ref="AQ643:AQ706" si="170">COUNTIF(W643:X643,"ok")</f>
        <v>0</v>
      </c>
      <c r="AR643" s="49" t="str">
        <f t="shared" ref="AR643:AR706" si="171">IF(AND(AQ643=1,OR($Y643="entregue",$Y643="efprazo")),$Y643,"")</f>
        <v/>
      </c>
    </row>
    <row r="644" spans="1:44" ht="30" customHeight="1" x14ac:dyDescent="0.35">
      <c r="A644" s="25" t="str">
        <f t="shared" si="160"/>
        <v>PT177 - PLATAFORMA DE ACESSO - GRUPO - DETALHADO
COLUNA 4PROJETO DETALHADO
ESTRUTURAS METÁLICAS</v>
      </c>
      <c r="B644" s="38" t="s">
        <v>80</v>
      </c>
      <c r="C644" s="60" t="str">
        <f>IF(AND($B644=[1]rogério!$A645,[1]rogério!$B645=C$4),"ok","nok")</f>
        <v>nok</v>
      </c>
      <c r="D644" s="60" t="str">
        <f>IF(AND($B644=[1]rogério!$A645,[1]rogério!$B645=D$4),"ok","nok")</f>
        <v>nok</v>
      </c>
      <c r="E644" s="60" t="str">
        <f>IF(AND($B644=[1]rogério!$A645,[1]rogério!$B645=E$4),"ok","nok")</f>
        <v>nok</v>
      </c>
      <c r="F644" s="60" t="str">
        <f>IF(AND($B644=[1]rogério!$A645,[1]rogério!$B645=F$4),"ok","nok")</f>
        <v>nok</v>
      </c>
      <c r="G644" s="60" t="str">
        <f>IF(AND($B644=[1]rogério!$A645,[1]rogério!$B645=G$4),"ok","nok")</f>
        <v>nok</v>
      </c>
      <c r="H644" s="60" t="str">
        <f>IF(AND($B644=[1]rogério!$A645,[1]rogério!$B645=H$4),"ok","nok")</f>
        <v>nok</v>
      </c>
      <c r="I644" s="60" t="str">
        <f>IF(AND($B644=[1]rogério!$A645,[1]rogério!$B645=I$4),"ok","nok")</f>
        <v>nok</v>
      </c>
      <c r="J644" s="60" t="str">
        <f>IF(AND($B644=[1]rogério!$A645,[1]rogério!$B645=J$4),"ok","nok")</f>
        <v>nok</v>
      </c>
      <c r="K644" s="60" t="str">
        <f>IF(AND($B644=[1]rogério!$A645,[1]rogério!$B645=K$4),"ok","nok")</f>
        <v>nok</v>
      </c>
      <c r="L644" s="60" t="str">
        <f>IF(AND($B644=[1]rogério!$A645,[1]rogério!$B645=L$4),"ok","nok")</f>
        <v>nok</v>
      </c>
      <c r="M644" s="60" t="str">
        <f>IF(AND($B644=[1]rogério!$A645,[1]rogério!$B645=M$4),"ok","nok")</f>
        <v>nok</v>
      </c>
      <c r="N644" s="60" t="str">
        <f>IF(AND($B644=[1]rogério!$A645,[1]rogério!$B645=N$4),"ok","nok")</f>
        <v>nok</v>
      </c>
      <c r="O644" s="60" t="str">
        <f>IF(AND($B644=[1]rogério!$A645,[1]rogério!$B645=O$4),"ok","nok")</f>
        <v>nok</v>
      </c>
      <c r="P644" s="60" t="str">
        <f>IF(AND($B644=[1]rogério!$A645,[1]rogério!$B645=P$4),"ok","nok")</f>
        <v>nok</v>
      </c>
      <c r="Q644" s="60" t="str">
        <f>IF(AND($B644=[1]rogério!$A645,[1]rogério!$B645=Q$4),"ok","nok")</f>
        <v>nok</v>
      </c>
      <c r="R644" s="60" t="str">
        <f>IF(AND($B644=[1]rogério!$A645,[1]rogério!$B645=R$4),"ok","nok")</f>
        <v>nok</v>
      </c>
      <c r="S644" s="60" t="str">
        <f>IF(AND($B644=[1]rogério!$A645,[1]rogério!$B645=S$4),"ok","nok")</f>
        <v>nok</v>
      </c>
      <c r="T644" s="60" t="str">
        <f>IF(AND($B644=[1]rogério!$A645,[1]rogério!$B645=T$4),"ok","nok")</f>
        <v>ok</v>
      </c>
      <c r="U644" s="60" t="str">
        <f>IF(AND($B644=[1]rogério!$A645,[1]rogério!$B645=U$4),"ok","nok")</f>
        <v>nok</v>
      </c>
      <c r="V644" s="60" t="str">
        <f>IF(AND($B644=[1]rogério!$A645,[1]rogério!$B645=V$4),"ok","nok")</f>
        <v>nok</v>
      </c>
      <c r="W644" s="60" t="str">
        <f>IF(AND($B644=[1]rogério!$A645,[1]rogério!$B645=W$4),"ok","nok")</f>
        <v>nok</v>
      </c>
      <c r="X644" s="60" t="str">
        <f>IF(AND($B644=[1]rogério!$A645,[1]rogério!$B645=X$4),"ok","nok")</f>
        <v>nok</v>
      </c>
      <c r="Y644" s="105" t="s">
        <v>15</v>
      </c>
      <c r="Z644" s="106"/>
      <c r="AA644" s="106"/>
      <c r="AB644" s="107"/>
      <c r="AC644" s="38"/>
      <c r="AD644" s="38"/>
      <c r="AE644" s="48" t="str">
        <f t="shared" si="161"/>
        <v/>
      </c>
      <c r="AF644" s="48"/>
      <c r="AG644" s="48"/>
      <c r="AH644" s="89"/>
      <c r="AI644" s="49">
        <f t="shared" si="162"/>
        <v>0</v>
      </c>
      <c r="AJ644" s="49" t="str">
        <f t="shared" si="163"/>
        <v/>
      </c>
      <c r="AK644" s="49">
        <f t="shared" si="164"/>
        <v>0</v>
      </c>
      <c r="AL644" s="49" t="str">
        <f t="shared" si="165"/>
        <v/>
      </c>
      <c r="AM644" s="49">
        <f t="shared" si="166"/>
        <v>0</v>
      </c>
      <c r="AN644" s="49" t="str">
        <f t="shared" si="167"/>
        <v/>
      </c>
      <c r="AO644" s="49">
        <f t="shared" si="168"/>
        <v>1</v>
      </c>
      <c r="AP644" s="49" t="str">
        <f t="shared" si="169"/>
        <v/>
      </c>
      <c r="AQ644" s="49">
        <f t="shared" si="170"/>
        <v>0</v>
      </c>
      <c r="AR644" s="49" t="str">
        <f t="shared" si="171"/>
        <v/>
      </c>
    </row>
    <row r="645" spans="1:44" ht="30" customHeight="1" x14ac:dyDescent="0.35">
      <c r="A645" s="25"/>
      <c r="B645" s="39" t="s">
        <v>81</v>
      </c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108"/>
      <c r="Z645" s="109"/>
      <c r="AA645" s="109"/>
      <c r="AB645" s="110"/>
      <c r="AC645" s="38"/>
      <c r="AD645" s="38"/>
      <c r="AE645" s="48" t="str">
        <f t="shared" si="161"/>
        <v/>
      </c>
      <c r="AF645" s="48"/>
      <c r="AG645" s="48"/>
      <c r="AH645" s="89"/>
      <c r="AI645" s="49">
        <f t="shared" si="162"/>
        <v>0</v>
      </c>
      <c r="AJ645" s="49" t="str">
        <f t="shared" si="163"/>
        <v/>
      </c>
      <c r="AK645" s="49">
        <f t="shared" si="164"/>
        <v>0</v>
      </c>
      <c r="AL645" s="49" t="str">
        <f t="shared" si="165"/>
        <v/>
      </c>
      <c r="AM645" s="49">
        <f t="shared" si="166"/>
        <v>0</v>
      </c>
      <c r="AN645" s="49" t="str">
        <f t="shared" si="167"/>
        <v/>
      </c>
      <c r="AO645" s="49">
        <f t="shared" si="168"/>
        <v>0</v>
      </c>
      <c r="AP645" s="49" t="str">
        <f t="shared" si="169"/>
        <v/>
      </c>
      <c r="AQ645" s="49">
        <f t="shared" si="170"/>
        <v>0</v>
      </c>
      <c r="AR645" s="49" t="str">
        <f t="shared" si="171"/>
        <v/>
      </c>
    </row>
    <row r="646" spans="1:44" ht="30" customHeight="1" x14ac:dyDescent="0.35">
      <c r="A646" s="25" t="str">
        <f t="shared" si="160"/>
        <v>PT177 - PLATAFORMA DE ACESSO - GRUPO - DETALHADO
COLUNA 4PROJETO DETALHADO
ESTRUTURAS METÁLICAS</v>
      </c>
      <c r="B646" s="40" t="s">
        <v>49</v>
      </c>
      <c r="C646" s="60" t="str">
        <f>IF(AND($B646=[1]rogério!$A647,[1]rogério!$B647=C$4),"ok","nok")</f>
        <v>nok</v>
      </c>
      <c r="D646" s="60" t="str">
        <f>IF(AND($B646=[1]rogério!$A647,[1]rogério!$B647=D$4),"ok","nok")</f>
        <v>nok</v>
      </c>
      <c r="E646" s="60" t="str">
        <f>IF(AND($B646=[1]rogério!$A647,[1]rogério!$B647=E$4),"ok","nok")</f>
        <v>nok</v>
      </c>
      <c r="F646" s="60" t="str">
        <f>IF(AND($B646=[1]rogério!$A647,[1]rogério!$B647=F$4),"ok","nok")</f>
        <v>nok</v>
      </c>
      <c r="G646" s="60" t="str">
        <f>IF(AND($B646=[1]rogério!$A647,[1]rogério!$B647=G$4),"ok","nok")</f>
        <v>nok</v>
      </c>
      <c r="H646" s="60" t="str">
        <f>IF(AND($B646=[1]rogério!$A647,[1]rogério!$B647=H$4),"ok","nok")</f>
        <v>nok</v>
      </c>
      <c r="I646" s="60" t="str">
        <f>IF(AND($B646=[1]rogério!$A647,[1]rogério!$B647=I$4),"ok","nok")</f>
        <v>nok</v>
      </c>
      <c r="J646" s="60" t="str">
        <f>IF(AND($B646=[1]rogério!$A647,[1]rogério!$B647=J$4),"ok","nok")</f>
        <v>nok</v>
      </c>
      <c r="K646" s="60" t="str">
        <f>IF(AND($B646=[1]rogério!$A647,[1]rogério!$B647=K$4),"ok","nok")</f>
        <v>nok</v>
      </c>
      <c r="L646" s="60" t="str">
        <f>IF(AND($B646=[1]rogério!$A647,[1]rogério!$B647=L$4),"ok","nok")</f>
        <v>nok</v>
      </c>
      <c r="M646" s="60" t="str">
        <f>IF(AND($B646=[1]rogério!$A647,[1]rogério!$B647=M$4),"ok","nok")</f>
        <v>nok</v>
      </c>
      <c r="N646" s="60" t="str">
        <f>IF(AND($B646=[1]rogério!$A647,[1]rogério!$B647=N$4),"ok","nok")</f>
        <v>nok</v>
      </c>
      <c r="O646" s="60" t="str">
        <f>IF(AND($B646=[1]rogério!$A647,[1]rogério!$B647=O$4),"ok","nok")</f>
        <v>nok</v>
      </c>
      <c r="P646" s="60" t="str">
        <f>IF(AND($B646=[1]rogério!$A647,[1]rogério!$B647=P$4),"ok","nok")</f>
        <v>nok</v>
      </c>
      <c r="Q646" s="60" t="str">
        <f>IF(AND($B646=[1]rogério!$A647,[1]rogério!$B647=Q$4),"ok","nok")</f>
        <v>nok</v>
      </c>
      <c r="R646" s="60" t="str">
        <f>IF(AND($B646=[1]rogério!$A647,[1]rogério!$B647=R$4),"ok","nok")</f>
        <v>nok</v>
      </c>
      <c r="S646" s="60" t="str">
        <f>IF(AND($B646=[1]rogério!$A647,[1]rogério!$B647=S$4),"ok","nok")</f>
        <v>nok</v>
      </c>
      <c r="T646" s="60" t="str">
        <f>IF(AND($B646=[1]rogério!$A647,[1]rogério!$B647=T$4),"ok","nok")</f>
        <v>ok</v>
      </c>
      <c r="U646" s="60" t="str">
        <f>IF(AND($B646=[1]rogério!$A647,[1]rogério!$B647=U$4),"ok","nok")</f>
        <v>nok</v>
      </c>
      <c r="V646" s="60" t="str">
        <f>IF(AND($B646=[1]rogério!$A647,[1]rogério!$B647=V$4),"ok","nok")</f>
        <v>nok</v>
      </c>
      <c r="W646" s="60" t="str">
        <f>IF(AND($B646=[1]rogério!$A647,[1]rogério!$B647=W$4),"ok","nok")</f>
        <v>nok</v>
      </c>
      <c r="X646" s="60" t="str">
        <f>IF(AND($B646=[1]rogério!$A647,[1]rogério!$B647=X$4),"ok","nok")</f>
        <v>nok</v>
      </c>
      <c r="Y646" s="105" t="s">
        <v>15</v>
      </c>
      <c r="Z646" s="106"/>
      <c r="AA646" s="106"/>
      <c r="AB646" s="107"/>
      <c r="AC646" s="38"/>
      <c r="AD646" s="38"/>
      <c r="AE646" s="48" t="str">
        <f t="shared" si="161"/>
        <v/>
      </c>
      <c r="AF646" s="48"/>
      <c r="AG646" s="48"/>
      <c r="AH646" s="89"/>
      <c r="AI646" s="49">
        <f t="shared" si="162"/>
        <v>0</v>
      </c>
      <c r="AJ646" s="49" t="str">
        <f t="shared" si="163"/>
        <v/>
      </c>
      <c r="AK646" s="49">
        <f t="shared" si="164"/>
        <v>0</v>
      </c>
      <c r="AL646" s="49" t="str">
        <f t="shared" si="165"/>
        <v/>
      </c>
      <c r="AM646" s="49">
        <f t="shared" si="166"/>
        <v>0</v>
      </c>
      <c r="AN646" s="49" t="str">
        <f t="shared" si="167"/>
        <v/>
      </c>
      <c r="AO646" s="49">
        <f t="shared" si="168"/>
        <v>1</v>
      </c>
      <c r="AP646" s="49" t="str">
        <f t="shared" si="169"/>
        <v/>
      </c>
      <c r="AQ646" s="49">
        <f t="shared" si="170"/>
        <v>0</v>
      </c>
      <c r="AR646" s="49" t="str">
        <f t="shared" si="171"/>
        <v/>
      </c>
    </row>
    <row r="647" spans="1:44" ht="30" customHeight="1" x14ac:dyDescent="0.35">
      <c r="A647" s="25" t="str">
        <f t="shared" si="160"/>
        <v>PT177 - PLATAFORMA DE ACESSO - GRUPO - DETALHADO
COLUNA 4PROJETO DETALHADO
ESTRUTURAS METÁLICAS</v>
      </c>
      <c r="B647" s="38" t="s">
        <v>65</v>
      </c>
      <c r="C647" s="60" t="str">
        <f>IF(AND($B647=[1]rogério!$A648,[1]rogério!$B648=C$4),"ok","nok")</f>
        <v>nok</v>
      </c>
      <c r="D647" s="60" t="str">
        <f>IF(AND($B647=[1]rogério!$A648,[1]rogério!$B648=D$4),"ok","nok")</f>
        <v>nok</v>
      </c>
      <c r="E647" s="60" t="str">
        <f>IF(AND($B647=[1]rogério!$A648,[1]rogério!$B648=E$4),"ok","nok")</f>
        <v>nok</v>
      </c>
      <c r="F647" s="60" t="str">
        <f>IF(AND($B647=[1]rogério!$A648,[1]rogério!$B648=F$4),"ok","nok")</f>
        <v>nok</v>
      </c>
      <c r="G647" s="60" t="str">
        <f>IF(AND($B647=[1]rogério!$A648,[1]rogério!$B648=G$4),"ok","nok")</f>
        <v>nok</v>
      </c>
      <c r="H647" s="60" t="str">
        <f>IF(AND($B647=[1]rogério!$A648,[1]rogério!$B648=H$4),"ok","nok")</f>
        <v>nok</v>
      </c>
      <c r="I647" s="60" t="str">
        <f>IF(AND($B647=[1]rogério!$A648,[1]rogério!$B648=I$4),"ok","nok")</f>
        <v>nok</v>
      </c>
      <c r="J647" s="60" t="str">
        <f>IF(AND($B647=[1]rogério!$A648,[1]rogério!$B648=J$4),"ok","nok")</f>
        <v>nok</v>
      </c>
      <c r="K647" s="60" t="str">
        <f>IF(AND($B647=[1]rogério!$A648,[1]rogério!$B648=K$4),"ok","nok")</f>
        <v>nok</v>
      </c>
      <c r="L647" s="60" t="str">
        <f>IF(AND($B647=[1]rogério!$A648,[1]rogério!$B648=L$4),"ok","nok")</f>
        <v>nok</v>
      </c>
      <c r="M647" s="60" t="str">
        <f>IF(AND($B647=[1]rogério!$A648,[1]rogério!$B648=M$4),"ok","nok")</f>
        <v>nok</v>
      </c>
      <c r="N647" s="60" t="str">
        <f>IF(AND($B647=[1]rogério!$A648,[1]rogério!$B648=N$4),"ok","nok")</f>
        <v>nok</v>
      </c>
      <c r="O647" s="60" t="str">
        <f>IF(AND($B647=[1]rogério!$A648,[1]rogério!$B648=O$4),"ok","nok")</f>
        <v>nok</v>
      </c>
      <c r="P647" s="60" t="str">
        <f>IF(AND($B647=[1]rogério!$A648,[1]rogério!$B648=P$4),"ok","nok")</f>
        <v>nok</v>
      </c>
      <c r="Q647" s="60" t="str">
        <f>IF(AND($B647=[1]rogério!$A648,[1]rogério!$B648=Q$4),"ok","nok")</f>
        <v>nok</v>
      </c>
      <c r="R647" s="60" t="str">
        <f>IF(AND($B647=[1]rogério!$A648,[1]rogério!$B648=R$4),"ok","nok")</f>
        <v>nok</v>
      </c>
      <c r="S647" s="60" t="str">
        <f>IF(AND($B647=[1]rogério!$A648,[1]rogério!$B648=S$4),"ok","nok")</f>
        <v>nok</v>
      </c>
      <c r="T647" s="60" t="str">
        <f>IF(AND($B647=[1]rogério!$A648,[1]rogério!$B648=T$4),"ok","nok")</f>
        <v>nok</v>
      </c>
      <c r="U647" s="60" t="str">
        <f>IF(AND($B647=[1]rogério!$A648,[1]rogério!$B648=U$4),"ok","nok")</f>
        <v>nok</v>
      </c>
      <c r="V647" s="60" t="str">
        <f>IF(AND($B647=[1]rogério!$A648,[1]rogério!$B648=V$4),"ok","nok")</f>
        <v>nok</v>
      </c>
      <c r="W647" s="60" t="str">
        <f>IF(AND($B647=[1]rogério!$A648,[1]rogério!$B648=W$4),"ok","nok")</f>
        <v>ok</v>
      </c>
      <c r="X647" s="60" t="str">
        <f>IF(AND($B647=[1]rogério!$A648,[1]rogério!$B648=X$4),"ok","nok")</f>
        <v>nok</v>
      </c>
      <c r="Y647" s="105" t="s">
        <v>15</v>
      </c>
      <c r="Z647" s="106"/>
      <c r="AA647" s="106"/>
      <c r="AB647" s="107"/>
      <c r="AC647" s="38"/>
      <c r="AD647" s="38"/>
      <c r="AE647" s="48" t="str">
        <f t="shared" si="161"/>
        <v/>
      </c>
      <c r="AF647" s="48"/>
      <c r="AG647" s="48"/>
      <c r="AH647" s="89"/>
      <c r="AI647" s="49">
        <f t="shared" si="162"/>
        <v>0</v>
      </c>
      <c r="AJ647" s="49" t="str">
        <f t="shared" si="163"/>
        <v/>
      </c>
      <c r="AK647" s="49">
        <f t="shared" si="164"/>
        <v>0</v>
      </c>
      <c r="AL647" s="49" t="str">
        <f t="shared" si="165"/>
        <v/>
      </c>
      <c r="AM647" s="49">
        <f t="shared" si="166"/>
        <v>0</v>
      </c>
      <c r="AN647" s="49" t="str">
        <f t="shared" si="167"/>
        <v/>
      </c>
      <c r="AO647" s="49">
        <f t="shared" si="168"/>
        <v>0</v>
      </c>
      <c r="AP647" s="49" t="str">
        <f t="shared" si="169"/>
        <v/>
      </c>
      <c r="AQ647" s="49">
        <f t="shared" si="170"/>
        <v>1</v>
      </c>
      <c r="AR647" s="49" t="str">
        <f t="shared" si="171"/>
        <v/>
      </c>
    </row>
    <row r="648" spans="1:44" ht="30" customHeight="1" x14ac:dyDescent="0.35">
      <c r="A648" s="25"/>
      <c r="B648" s="62" t="s">
        <v>64</v>
      </c>
      <c r="C648" s="62"/>
      <c r="D648" s="62"/>
      <c r="E648" s="62"/>
      <c r="F648" s="62"/>
      <c r="G648" s="62"/>
      <c r="H648" s="62"/>
      <c r="I648" s="62"/>
      <c r="J648" s="62"/>
      <c r="K648" s="62"/>
      <c r="L648" s="62"/>
      <c r="M648" s="62"/>
      <c r="N648" s="62"/>
      <c r="O648" s="62"/>
      <c r="P648" s="62"/>
      <c r="Q648" s="62"/>
      <c r="R648" s="62"/>
      <c r="S648" s="62"/>
      <c r="T648" s="62"/>
      <c r="U648" s="62"/>
      <c r="V648" s="62"/>
      <c r="W648" s="62"/>
      <c r="X648" s="62"/>
      <c r="Y648" s="114"/>
      <c r="Z648" s="115"/>
      <c r="AA648" s="115"/>
      <c r="AB648" s="116"/>
      <c r="AC648" s="38"/>
      <c r="AD648" s="38"/>
      <c r="AE648" s="48" t="str">
        <f t="shared" si="161"/>
        <v/>
      </c>
      <c r="AF648" s="48"/>
      <c r="AG648" s="48"/>
      <c r="AH648" s="89"/>
      <c r="AI648" s="49">
        <f t="shared" si="162"/>
        <v>0</v>
      </c>
      <c r="AJ648" s="49" t="str">
        <f t="shared" si="163"/>
        <v/>
      </c>
      <c r="AK648" s="49">
        <f t="shared" si="164"/>
        <v>0</v>
      </c>
      <c r="AL648" s="49" t="str">
        <f t="shared" si="165"/>
        <v/>
      </c>
      <c r="AM648" s="49">
        <f t="shared" si="166"/>
        <v>0</v>
      </c>
      <c r="AN648" s="49" t="str">
        <f t="shared" si="167"/>
        <v/>
      </c>
      <c r="AO648" s="49">
        <f t="shared" si="168"/>
        <v>0</v>
      </c>
      <c r="AP648" s="49" t="str">
        <f t="shared" si="169"/>
        <v/>
      </c>
      <c r="AQ648" s="49">
        <f t="shared" si="170"/>
        <v>0</v>
      </c>
      <c r="AR648" s="49" t="str">
        <f t="shared" si="171"/>
        <v/>
      </c>
    </row>
    <row r="649" spans="1:44" ht="30" customHeight="1" x14ac:dyDescent="0.35">
      <c r="A649" s="25" t="str">
        <f>CONCATENATE($B$533,"
",$B$622,"",$B$623,"
",$B$648)</f>
        <v>PT177 - PLATAFORMA DE ACESSO - GRUPO - DETALHADO
COLUNA 4PROJETO DETALHADO
CIVIL</v>
      </c>
      <c r="B649" s="38" t="s">
        <v>71</v>
      </c>
      <c r="C649" s="60" t="str">
        <f>IF(AND($B649=[1]rogério!$A650,[1]rogério!$B650=C$4),"ok","nok")</f>
        <v>nok</v>
      </c>
      <c r="D649" s="60" t="str">
        <f>IF(AND($B649=[1]rogério!$A650,[1]rogério!$B650=D$4),"ok","nok")</f>
        <v>nok</v>
      </c>
      <c r="E649" s="60" t="str">
        <f>IF(AND($B649=[1]rogério!$A650,[1]rogério!$B650=E$4),"ok","nok")</f>
        <v>nok</v>
      </c>
      <c r="F649" s="60" t="str">
        <f>IF(AND($B649=[1]rogério!$A650,[1]rogério!$B650=F$4),"ok","nok")</f>
        <v>nok</v>
      </c>
      <c r="G649" s="60" t="str">
        <f>IF(AND($B649=[1]rogério!$A650,[1]rogério!$B650=G$4),"ok","nok")</f>
        <v>nok</v>
      </c>
      <c r="H649" s="60" t="str">
        <f>IF(AND($B649=[1]rogério!$A650,[1]rogério!$B650=H$4),"ok","nok")</f>
        <v>nok</v>
      </c>
      <c r="I649" s="60" t="str">
        <f>IF(AND($B649=[1]rogério!$A650,[1]rogério!$B650=I$4),"ok","nok")</f>
        <v>ok</v>
      </c>
      <c r="J649" s="60" t="str">
        <f>IF(AND($B649=[1]rogério!$A650,[1]rogério!$B650=J$4),"ok","nok")</f>
        <v>nok</v>
      </c>
      <c r="K649" s="60" t="str">
        <f>IF(AND($B649=[1]rogério!$A650,[1]rogério!$B650=K$4),"ok","nok")</f>
        <v>nok</v>
      </c>
      <c r="L649" s="60" t="str">
        <f>IF(AND($B649=[1]rogério!$A650,[1]rogério!$B650=L$4),"ok","nok")</f>
        <v>nok</v>
      </c>
      <c r="M649" s="60" t="str">
        <f>IF(AND($B649=[1]rogério!$A650,[1]rogério!$B650=M$4),"ok","nok")</f>
        <v>nok</v>
      </c>
      <c r="N649" s="60" t="str">
        <f>IF(AND($B649=[1]rogério!$A650,[1]rogério!$B650=N$4),"ok","nok")</f>
        <v>nok</v>
      </c>
      <c r="O649" s="60" t="str">
        <f>IF(AND($B649=[1]rogério!$A650,[1]rogério!$B650=O$4),"ok","nok")</f>
        <v>nok</v>
      </c>
      <c r="P649" s="60" t="str">
        <f>IF(AND($B649=[1]rogério!$A650,[1]rogério!$B650=P$4),"ok","nok")</f>
        <v>nok</v>
      </c>
      <c r="Q649" s="60" t="str">
        <f>IF(AND($B649=[1]rogério!$A650,[1]rogério!$B650=Q$4),"ok","nok")</f>
        <v>nok</v>
      </c>
      <c r="R649" s="60" t="str">
        <f>IF(AND($B649=[1]rogério!$A650,[1]rogério!$B650=R$4),"ok","nok")</f>
        <v>nok</v>
      </c>
      <c r="S649" s="60" t="str">
        <f>IF(AND($B649=[1]rogério!$A650,[1]rogério!$B650=S$4),"ok","nok")</f>
        <v>nok</v>
      </c>
      <c r="T649" s="60" t="str">
        <f>IF(AND($B649=[1]rogério!$A650,[1]rogério!$B650=T$4),"ok","nok")</f>
        <v>nok</v>
      </c>
      <c r="U649" s="60" t="str">
        <f>IF(AND($B649=[1]rogério!$A650,[1]rogério!$B650=U$4),"ok","nok")</f>
        <v>nok</v>
      </c>
      <c r="V649" s="60" t="str">
        <f>IF(AND($B649=[1]rogério!$A650,[1]rogério!$B650=V$4),"ok","nok")</f>
        <v>nok</v>
      </c>
      <c r="W649" s="60" t="str">
        <f>IF(AND($B649=[1]rogério!$A650,[1]rogério!$B650=W$4),"ok","nok")</f>
        <v>nok</v>
      </c>
      <c r="X649" s="60" t="str">
        <f>IF(AND($B649=[1]rogério!$A650,[1]rogério!$B650=X$4),"ok","nok")</f>
        <v>nok</v>
      </c>
      <c r="Y649" s="105" t="s">
        <v>15</v>
      </c>
      <c r="Z649" s="106"/>
      <c r="AA649" s="106"/>
      <c r="AB649" s="107"/>
      <c r="AC649" s="38"/>
      <c r="AD649" s="38"/>
      <c r="AE649" s="48" t="str">
        <f t="shared" si="161"/>
        <v/>
      </c>
      <c r="AF649" s="48"/>
      <c r="AG649" s="48"/>
      <c r="AH649" s="89"/>
      <c r="AI649" s="49">
        <f t="shared" si="162"/>
        <v>0</v>
      </c>
      <c r="AJ649" s="49" t="str">
        <f t="shared" si="163"/>
        <v/>
      </c>
      <c r="AK649" s="49">
        <f t="shared" si="164"/>
        <v>1</v>
      </c>
      <c r="AL649" s="49" t="str">
        <f t="shared" si="165"/>
        <v/>
      </c>
      <c r="AM649" s="49">
        <f t="shared" si="166"/>
        <v>0</v>
      </c>
      <c r="AN649" s="49" t="str">
        <f t="shared" si="167"/>
        <v/>
      </c>
      <c r="AO649" s="49">
        <f t="shared" si="168"/>
        <v>0</v>
      </c>
      <c r="AP649" s="49" t="str">
        <f t="shared" si="169"/>
        <v/>
      </c>
      <c r="AQ649" s="49">
        <f t="shared" si="170"/>
        <v>0</v>
      </c>
      <c r="AR649" s="49" t="str">
        <f t="shared" si="171"/>
        <v/>
      </c>
    </row>
    <row r="650" spans="1:44" ht="30" customHeight="1" x14ac:dyDescent="0.35">
      <c r="A650" s="25"/>
      <c r="B650" s="39" t="s">
        <v>41</v>
      </c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108"/>
      <c r="Z650" s="109"/>
      <c r="AA650" s="109"/>
      <c r="AB650" s="110"/>
      <c r="AC650" s="38"/>
      <c r="AD650" s="38"/>
      <c r="AE650" s="48" t="str">
        <f t="shared" si="161"/>
        <v/>
      </c>
      <c r="AF650" s="48"/>
      <c r="AG650" s="48"/>
      <c r="AH650" s="89"/>
      <c r="AI650" s="49">
        <f t="shared" si="162"/>
        <v>0</v>
      </c>
      <c r="AJ650" s="49" t="str">
        <f t="shared" si="163"/>
        <v/>
      </c>
      <c r="AK650" s="49">
        <f t="shared" si="164"/>
        <v>0</v>
      </c>
      <c r="AL650" s="49" t="str">
        <f t="shared" si="165"/>
        <v/>
      </c>
      <c r="AM650" s="49">
        <f t="shared" si="166"/>
        <v>0</v>
      </c>
      <c r="AN650" s="49" t="str">
        <f t="shared" si="167"/>
        <v/>
      </c>
      <c r="AO650" s="49">
        <f t="shared" si="168"/>
        <v>0</v>
      </c>
      <c r="AP650" s="49" t="str">
        <f t="shared" si="169"/>
        <v/>
      </c>
      <c r="AQ650" s="49">
        <f t="shared" si="170"/>
        <v>0</v>
      </c>
      <c r="AR650" s="49" t="str">
        <f t="shared" si="171"/>
        <v/>
      </c>
    </row>
    <row r="651" spans="1:44" ht="30" customHeight="1" x14ac:dyDescent="0.35">
      <c r="A651" s="25" t="str">
        <f t="shared" ref="A651:A670" si="172">CONCATENATE($B$533,"
",$B$622,"",$B$623,"
",$B$648)</f>
        <v>PT177 - PLATAFORMA DE ACESSO - GRUPO - DETALHADO
COLUNA 4PROJETO DETALHADO
CIVIL</v>
      </c>
      <c r="B651" s="40" t="s">
        <v>49</v>
      </c>
      <c r="C651" s="60" t="str">
        <f>IF(AND($B651=[1]rogério!$A652,[1]rogério!$B652=C$4),"ok","nok")</f>
        <v>nok</v>
      </c>
      <c r="D651" s="60" t="str">
        <f>IF(AND($B651=[1]rogério!$A652,[1]rogério!$B652=D$4),"ok","nok")</f>
        <v>nok</v>
      </c>
      <c r="E651" s="60" t="str">
        <f>IF(AND($B651=[1]rogério!$A652,[1]rogério!$B652=E$4),"ok","nok")</f>
        <v>nok</v>
      </c>
      <c r="F651" s="60" t="str">
        <f>IF(AND($B651=[1]rogério!$A652,[1]rogério!$B652=F$4),"ok","nok")</f>
        <v>nok</v>
      </c>
      <c r="G651" s="60" t="str">
        <f>IF(AND($B651=[1]rogério!$A652,[1]rogério!$B652=G$4),"ok","nok")</f>
        <v>nok</v>
      </c>
      <c r="H651" s="60" t="str">
        <f>IF(AND($B651=[1]rogério!$A652,[1]rogério!$B652=H$4),"ok","nok")</f>
        <v>nok</v>
      </c>
      <c r="I651" s="60" t="str">
        <f>IF(AND($B651=[1]rogério!$A652,[1]rogério!$B652=I$4),"ok","nok")</f>
        <v>ok</v>
      </c>
      <c r="J651" s="60" t="str">
        <f>IF(AND($B651=[1]rogério!$A652,[1]rogério!$B652=J$4),"ok","nok")</f>
        <v>nok</v>
      </c>
      <c r="K651" s="60" t="str">
        <f>IF(AND($B651=[1]rogério!$A652,[1]rogério!$B652=K$4),"ok","nok")</f>
        <v>nok</v>
      </c>
      <c r="L651" s="60" t="str">
        <f>IF(AND($B651=[1]rogério!$A652,[1]rogério!$B652=L$4),"ok","nok")</f>
        <v>nok</v>
      </c>
      <c r="M651" s="60" t="str">
        <f>IF(AND($B651=[1]rogério!$A652,[1]rogério!$B652=M$4),"ok","nok")</f>
        <v>nok</v>
      </c>
      <c r="N651" s="60" t="str">
        <f>IF(AND($B651=[1]rogério!$A652,[1]rogério!$B652=N$4),"ok","nok")</f>
        <v>nok</v>
      </c>
      <c r="O651" s="60" t="str">
        <f>IF(AND($B651=[1]rogério!$A652,[1]rogério!$B652=O$4),"ok","nok")</f>
        <v>nok</v>
      </c>
      <c r="P651" s="60" t="str">
        <f>IF(AND($B651=[1]rogério!$A652,[1]rogério!$B652=P$4),"ok","nok")</f>
        <v>nok</v>
      </c>
      <c r="Q651" s="60" t="str">
        <f>IF(AND($B651=[1]rogério!$A652,[1]rogério!$B652=Q$4),"ok","nok")</f>
        <v>nok</v>
      </c>
      <c r="R651" s="60" t="str">
        <f>IF(AND($B651=[1]rogério!$A652,[1]rogério!$B652=R$4),"ok","nok")</f>
        <v>nok</v>
      </c>
      <c r="S651" s="60" t="str">
        <f>IF(AND($B651=[1]rogério!$A652,[1]rogério!$B652=S$4),"ok","nok")</f>
        <v>nok</v>
      </c>
      <c r="T651" s="60" t="str">
        <f>IF(AND($B651=[1]rogério!$A652,[1]rogério!$B652=T$4),"ok","nok")</f>
        <v>nok</v>
      </c>
      <c r="U651" s="60" t="str">
        <f>IF(AND($B651=[1]rogério!$A652,[1]rogério!$B652=U$4),"ok","nok")</f>
        <v>nok</v>
      </c>
      <c r="V651" s="60" t="str">
        <f>IF(AND($B651=[1]rogério!$A652,[1]rogério!$B652=V$4),"ok","nok")</f>
        <v>nok</v>
      </c>
      <c r="W651" s="60" t="str">
        <f>IF(AND($B651=[1]rogério!$A652,[1]rogério!$B652=W$4),"ok","nok")</f>
        <v>nok</v>
      </c>
      <c r="X651" s="60" t="str">
        <f>IF(AND($B651=[1]rogério!$A652,[1]rogério!$B652=X$4),"ok","nok")</f>
        <v>nok</v>
      </c>
      <c r="Y651" s="105" t="s">
        <v>15</v>
      </c>
      <c r="Z651" s="106"/>
      <c r="AA651" s="106"/>
      <c r="AB651" s="107"/>
      <c r="AC651" s="38"/>
      <c r="AD651" s="38"/>
      <c r="AE651" s="48" t="str">
        <f t="shared" si="161"/>
        <v/>
      </c>
      <c r="AF651" s="48"/>
      <c r="AG651" s="48"/>
      <c r="AH651" s="89"/>
      <c r="AI651" s="49">
        <f t="shared" si="162"/>
        <v>0</v>
      </c>
      <c r="AJ651" s="49" t="str">
        <f t="shared" si="163"/>
        <v/>
      </c>
      <c r="AK651" s="49">
        <f t="shared" si="164"/>
        <v>1</v>
      </c>
      <c r="AL651" s="49" t="str">
        <f t="shared" si="165"/>
        <v/>
      </c>
      <c r="AM651" s="49">
        <f t="shared" si="166"/>
        <v>0</v>
      </c>
      <c r="AN651" s="49" t="str">
        <f t="shared" si="167"/>
        <v/>
      </c>
      <c r="AO651" s="49">
        <f t="shared" si="168"/>
        <v>0</v>
      </c>
      <c r="AP651" s="49" t="str">
        <f t="shared" si="169"/>
        <v/>
      </c>
      <c r="AQ651" s="49">
        <f t="shared" si="170"/>
        <v>0</v>
      </c>
      <c r="AR651" s="49" t="str">
        <f t="shared" si="171"/>
        <v/>
      </c>
    </row>
    <row r="652" spans="1:44" ht="30" customHeight="1" x14ac:dyDescent="0.35">
      <c r="A652" s="25" t="str">
        <f t="shared" si="172"/>
        <v>PT177 - PLATAFORMA DE ACESSO - GRUPO - DETALHADO
COLUNA 4PROJETO DETALHADO
CIVIL</v>
      </c>
      <c r="B652" s="40" t="s">
        <v>19</v>
      </c>
      <c r="C652" s="60" t="str">
        <f>IF(AND($B652=[1]rogério!$A653,[1]rogério!$B653=C$4),"ok","nok")</f>
        <v>nok</v>
      </c>
      <c r="D652" s="60" t="str">
        <f>IF(AND($B652=[1]rogério!$A653,[1]rogério!$B653=D$4),"ok","nok")</f>
        <v>nok</v>
      </c>
      <c r="E652" s="60" t="str">
        <f>IF(AND($B652=[1]rogério!$A653,[1]rogério!$B653=E$4),"ok","nok")</f>
        <v>nok</v>
      </c>
      <c r="F652" s="60" t="str">
        <f>IF(AND($B652=[1]rogério!$A653,[1]rogério!$B653=F$4),"ok","nok")</f>
        <v>nok</v>
      </c>
      <c r="G652" s="60" t="str">
        <f>IF(AND($B652=[1]rogério!$A653,[1]rogério!$B653=G$4),"ok","nok")</f>
        <v>nok</v>
      </c>
      <c r="H652" s="60" t="str">
        <f>IF(AND($B652=[1]rogério!$A653,[1]rogério!$B653=H$4),"ok","nok")</f>
        <v>nok</v>
      </c>
      <c r="I652" s="60" t="str">
        <f>IF(AND($B652=[1]rogério!$A653,[1]rogério!$B653=I$4),"ok","nok")</f>
        <v>nok</v>
      </c>
      <c r="J652" s="60" t="str">
        <f>IF(AND($B652=[1]rogério!$A653,[1]rogério!$B653=J$4),"ok","nok")</f>
        <v>nok</v>
      </c>
      <c r="K652" s="60" t="str">
        <f>IF(AND($B652=[1]rogério!$A653,[1]rogério!$B653=K$4),"ok","nok")</f>
        <v>nok</v>
      </c>
      <c r="L652" s="60" t="str">
        <f>IF(AND($B652=[1]rogério!$A653,[1]rogério!$B653=L$4),"ok","nok")</f>
        <v>nok</v>
      </c>
      <c r="M652" s="60" t="str">
        <f>IF(AND($B652=[1]rogério!$A653,[1]rogério!$B653=M$4),"ok","nok")</f>
        <v>nok</v>
      </c>
      <c r="N652" s="60" t="str">
        <f>IF(AND($B652=[1]rogério!$A653,[1]rogério!$B653=N$4),"ok","nok")</f>
        <v>ok</v>
      </c>
      <c r="O652" s="60" t="str">
        <f>IF(AND($B652=[1]rogério!$A653,[1]rogério!$B653=O$4),"ok","nok")</f>
        <v>nok</v>
      </c>
      <c r="P652" s="60" t="str">
        <f>IF(AND($B652=[1]rogério!$A653,[1]rogério!$B653=P$4),"ok","nok")</f>
        <v>nok</v>
      </c>
      <c r="Q652" s="60" t="str">
        <f>IF(AND($B652=[1]rogério!$A653,[1]rogério!$B653=Q$4),"ok","nok")</f>
        <v>nok</v>
      </c>
      <c r="R652" s="60" t="str">
        <f>IF(AND($B652=[1]rogério!$A653,[1]rogério!$B653=R$4),"ok","nok")</f>
        <v>nok</v>
      </c>
      <c r="S652" s="60" t="str">
        <f>IF(AND($B652=[1]rogério!$A653,[1]rogério!$B653=S$4),"ok","nok")</f>
        <v>nok</v>
      </c>
      <c r="T652" s="60" t="str">
        <f>IF(AND($B652=[1]rogério!$A653,[1]rogério!$B653=T$4),"ok","nok")</f>
        <v>nok</v>
      </c>
      <c r="U652" s="60" t="str">
        <f>IF(AND($B652=[1]rogério!$A653,[1]rogério!$B653=U$4),"ok","nok")</f>
        <v>nok</v>
      </c>
      <c r="V652" s="60" t="str">
        <f>IF(AND($B652=[1]rogério!$A653,[1]rogério!$B653=V$4),"ok","nok")</f>
        <v>nok</v>
      </c>
      <c r="W652" s="60" t="str">
        <f>IF(AND($B652=[1]rogério!$A653,[1]rogério!$B653=W$4),"ok","nok")</f>
        <v>nok</v>
      </c>
      <c r="X652" s="60" t="str">
        <f>IF(AND($B652=[1]rogério!$A653,[1]rogério!$B653=X$4),"ok","nok")</f>
        <v>nok</v>
      </c>
      <c r="Y652" s="105" t="s">
        <v>15</v>
      </c>
      <c r="Z652" s="106"/>
      <c r="AA652" s="106"/>
      <c r="AB652" s="107"/>
      <c r="AC652" s="38"/>
      <c r="AD652" s="38"/>
      <c r="AE652" s="48" t="str">
        <f t="shared" si="161"/>
        <v/>
      </c>
      <c r="AF652" s="48"/>
      <c r="AG652" s="48"/>
      <c r="AH652" s="89"/>
      <c r="AI652" s="49">
        <f t="shared" si="162"/>
        <v>0</v>
      </c>
      <c r="AJ652" s="49" t="str">
        <f t="shared" si="163"/>
        <v/>
      </c>
      <c r="AK652" s="49">
        <f t="shared" si="164"/>
        <v>0</v>
      </c>
      <c r="AL652" s="49" t="str">
        <f t="shared" si="165"/>
        <v/>
      </c>
      <c r="AM652" s="49">
        <f t="shared" si="166"/>
        <v>1</v>
      </c>
      <c r="AN652" s="49" t="str">
        <f t="shared" si="167"/>
        <v/>
      </c>
      <c r="AO652" s="49">
        <f t="shared" si="168"/>
        <v>0</v>
      </c>
      <c r="AP652" s="49" t="str">
        <f t="shared" si="169"/>
        <v/>
      </c>
      <c r="AQ652" s="49">
        <f t="shared" si="170"/>
        <v>0</v>
      </c>
      <c r="AR652" s="49" t="str">
        <f t="shared" si="171"/>
        <v/>
      </c>
    </row>
    <row r="653" spans="1:44" ht="30" customHeight="1" x14ac:dyDescent="0.35">
      <c r="A653" s="25" t="str">
        <f t="shared" si="172"/>
        <v>PT177 - PLATAFORMA DE ACESSO - GRUPO - DETALHADO
COLUNA 4PROJETO DETALHADO
CIVIL</v>
      </c>
      <c r="B653" s="40" t="s">
        <v>42</v>
      </c>
      <c r="C653" s="60" t="str">
        <f>IF(AND($B653=[1]rogério!$A654,[1]rogério!$B654=C$4),"ok","nok")</f>
        <v>nok</v>
      </c>
      <c r="D653" s="60" t="str">
        <f>IF(AND($B653=[1]rogério!$A654,[1]rogério!$B654=D$4),"ok","nok")</f>
        <v>nok</v>
      </c>
      <c r="E653" s="60" t="str">
        <f>IF(AND($B653=[1]rogério!$A654,[1]rogério!$B654=E$4),"ok","nok")</f>
        <v>nok</v>
      </c>
      <c r="F653" s="60" t="str">
        <f>IF(AND($B653=[1]rogério!$A654,[1]rogério!$B654=F$4),"ok","nok")</f>
        <v>nok</v>
      </c>
      <c r="G653" s="60" t="str">
        <f>IF(AND($B653=[1]rogério!$A654,[1]rogério!$B654=G$4),"ok","nok")</f>
        <v>nok</v>
      </c>
      <c r="H653" s="60" t="str">
        <f>IF(AND($B653=[1]rogério!$A654,[1]rogério!$B654=H$4),"ok","nok")</f>
        <v>nok</v>
      </c>
      <c r="I653" s="60" t="str">
        <f>IF(AND($B653=[1]rogério!$A654,[1]rogério!$B654=I$4),"ok","nok")</f>
        <v>nok</v>
      </c>
      <c r="J653" s="60" t="str">
        <f>IF(AND($B653=[1]rogério!$A654,[1]rogério!$B654=J$4),"ok","nok")</f>
        <v>nok</v>
      </c>
      <c r="K653" s="60" t="str">
        <f>IF(AND($B653=[1]rogério!$A654,[1]rogério!$B654=K$4),"ok","nok")</f>
        <v>nok</v>
      </c>
      <c r="L653" s="60" t="str">
        <f>IF(AND($B653=[1]rogério!$A654,[1]rogério!$B654=L$4),"ok","nok")</f>
        <v>nok</v>
      </c>
      <c r="M653" s="60" t="str">
        <f>IF(AND($B653=[1]rogério!$A654,[1]rogério!$B654=M$4),"ok","nok")</f>
        <v>nok</v>
      </c>
      <c r="N653" s="60" t="str">
        <f>IF(AND($B653=[1]rogério!$A654,[1]rogério!$B654=N$4),"ok","nok")</f>
        <v>nok</v>
      </c>
      <c r="O653" s="60" t="str">
        <f>IF(AND($B653=[1]rogério!$A654,[1]rogério!$B654=O$4),"ok","nok")</f>
        <v>nok</v>
      </c>
      <c r="P653" s="60" t="str">
        <f>IF(AND($B653=[1]rogério!$A654,[1]rogério!$B654=P$4),"ok","nok")</f>
        <v>nok</v>
      </c>
      <c r="Q653" s="60" t="str">
        <f>IF(AND($B653=[1]rogério!$A654,[1]rogério!$B654=Q$4),"ok","nok")</f>
        <v>ok</v>
      </c>
      <c r="R653" s="60" t="str">
        <f>IF(AND($B653=[1]rogério!$A654,[1]rogério!$B654=R$4),"ok","nok")</f>
        <v>nok</v>
      </c>
      <c r="S653" s="60" t="str">
        <f>IF(AND($B653=[1]rogério!$A654,[1]rogério!$B654=S$4),"ok","nok")</f>
        <v>nok</v>
      </c>
      <c r="T653" s="60" t="str">
        <f>IF(AND($B653=[1]rogério!$A654,[1]rogério!$B654=T$4),"ok","nok")</f>
        <v>nok</v>
      </c>
      <c r="U653" s="60" t="str">
        <f>IF(AND($B653=[1]rogério!$A654,[1]rogério!$B654=U$4),"ok","nok")</f>
        <v>nok</v>
      </c>
      <c r="V653" s="60" t="str">
        <f>IF(AND($B653=[1]rogério!$A654,[1]rogério!$B654=V$4),"ok","nok")</f>
        <v>nok</v>
      </c>
      <c r="W653" s="60" t="str">
        <f>IF(AND($B653=[1]rogério!$A654,[1]rogério!$B654=W$4),"ok","nok")</f>
        <v>nok</v>
      </c>
      <c r="X653" s="60" t="str">
        <f>IF(AND($B653=[1]rogério!$A654,[1]rogério!$B654=X$4),"ok","nok")</f>
        <v>nok</v>
      </c>
      <c r="Y653" s="105" t="s">
        <v>15</v>
      </c>
      <c r="Z653" s="106"/>
      <c r="AA653" s="106"/>
      <c r="AB653" s="107"/>
      <c r="AC653" s="38"/>
      <c r="AD653" s="38"/>
      <c r="AE653" s="48" t="str">
        <f t="shared" si="161"/>
        <v/>
      </c>
      <c r="AF653" s="48"/>
      <c r="AG653" s="48"/>
      <c r="AH653" s="89"/>
      <c r="AI653" s="49">
        <f t="shared" si="162"/>
        <v>0</v>
      </c>
      <c r="AJ653" s="49" t="str">
        <f t="shared" si="163"/>
        <v/>
      </c>
      <c r="AK653" s="49">
        <f t="shared" si="164"/>
        <v>0</v>
      </c>
      <c r="AL653" s="49" t="str">
        <f t="shared" si="165"/>
        <v/>
      </c>
      <c r="AM653" s="49">
        <f t="shared" si="166"/>
        <v>1</v>
      </c>
      <c r="AN653" s="49" t="str">
        <f t="shared" si="167"/>
        <v/>
      </c>
      <c r="AO653" s="49">
        <f t="shared" si="168"/>
        <v>0</v>
      </c>
      <c r="AP653" s="49" t="str">
        <f t="shared" si="169"/>
        <v/>
      </c>
      <c r="AQ653" s="49">
        <f t="shared" si="170"/>
        <v>0</v>
      </c>
      <c r="AR653" s="49" t="str">
        <f t="shared" si="171"/>
        <v/>
      </c>
    </row>
    <row r="654" spans="1:44" ht="30" customHeight="1" x14ac:dyDescent="0.35">
      <c r="A654" s="25" t="str">
        <f t="shared" si="172"/>
        <v>PT177 - PLATAFORMA DE ACESSO - GRUPO - DETALHADO
COLUNA 4PROJETO DETALHADO
CIVIL</v>
      </c>
      <c r="B654" s="40" t="s">
        <v>43</v>
      </c>
      <c r="C654" s="60" t="str">
        <f>IF(AND($B654=[1]rogério!$A655,[1]rogério!$B655=C$4),"ok","nok")</f>
        <v>nok</v>
      </c>
      <c r="D654" s="60" t="str">
        <f>IF(AND($B654=[1]rogério!$A655,[1]rogério!$B655=D$4),"ok","nok")</f>
        <v>nok</v>
      </c>
      <c r="E654" s="60" t="str">
        <f>IF(AND($B654=[1]rogério!$A655,[1]rogério!$B655=E$4),"ok","nok")</f>
        <v>nok</v>
      </c>
      <c r="F654" s="60" t="str">
        <f>IF(AND($B654=[1]rogério!$A655,[1]rogério!$B655=F$4),"ok","nok")</f>
        <v>nok</v>
      </c>
      <c r="G654" s="60" t="str">
        <f>IF(AND($B654=[1]rogério!$A655,[1]rogério!$B655=G$4),"ok","nok")</f>
        <v>nok</v>
      </c>
      <c r="H654" s="60" t="str">
        <f>IF(AND($B654=[1]rogério!$A655,[1]rogério!$B655=H$4),"ok","nok")</f>
        <v>nok</v>
      </c>
      <c r="I654" s="60" t="str">
        <f>IF(AND($B654=[1]rogério!$A655,[1]rogério!$B655=I$4),"ok","nok")</f>
        <v>nok</v>
      </c>
      <c r="J654" s="60" t="str">
        <f>IF(AND($B654=[1]rogério!$A655,[1]rogério!$B655=J$4),"ok","nok")</f>
        <v>nok</v>
      </c>
      <c r="K654" s="60" t="str">
        <f>IF(AND($B654=[1]rogério!$A655,[1]rogério!$B655=K$4),"ok","nok")</f>
        <v>nok</v>
      </c>
      <c r="L654" s="60" t="str">
        <f>IF(AND($B654=[1]rogério!$A655,[1]rogério!$B655=L$4),"ok","nok")</f>
        <v>nok</v>
      </c>
      <c r="M654" s="60" t="str">
        <f>IF(AND($B654=[1]rogério!$A655,[1]rogério!$B655=M$4),"ok","nok")</f>
        <v>nok</v>
      </c>
      <c r="N654" s="60" t="str">
        <f>IF(AND($B654=[1]rogério!$A655,[1]rogério!$B655=N$4),"ok","nok")</f>
        <v>nok</v>
      </c>
      <c r="O654" s="60" t="str">
        <f>IF(AND($B654=[1]rogério!$A655,[1]rogério!$B655=O$4),"ok","nok")</f>
        <v>nok</v>
      </c>
      <c r="P654" s="60" t="str">
        <f>IF(AND($B654=[1]rogério!$A655,[1]rogério!$B655=P$4),"ok","nok")</f>
        <v>nok</v>
      </c>
      <c r="Q654" s="60" t="str">
        <f>IF(AND($B654=[1]rogério!$A655,[1]rogério!$B655=Q$4),"ok","nok")</f>
        <v>ok</v>
      </c>
      <c r="R654" s="60" t="str">
        <f>IF(AND($B654=[1]rogério!$A655,[1]rogério!$B655=R$4),"ok","nok")</f>
        <v>nok</v>
      </c>
      <c r="S654" s="60" t="str">
        <f>IF(AND($B654=[1]rogério!$A655,[1]rogério!$B655=S$4),"ok","nok")</f>
        <v>nok</v>
      </c>
      <c r="T654" s="60" t="str">
        <f>IF(AND($B654=[1]rogério!$A655,[1]rogério!$B655=T$4),"ok","nok")</f>
        <v>nok</v>
      </c>
      <c r="U654" s="60" t="str">
        <f>IF(AND($B654=[1]rogério!$A655,[1]rogério!$B655=U$4),"ok","nok")</f>
        <v>nok</v>
      </c>
      <c r="V654" s="60" t="str">
        <f>IF(AND($B654=[1]rogério!$A655,[1]rogério!$B655=V$4),"ok","nok")</f>
        <v>nok</v>
      </c>
      <c r="W654" s="60" t="str">
        <f>IF(AND($B654=[1]rogério!$A655,[1]rogério!$B655=W$4),"ok","nok")</f>
        <v>nok</v>
      </c>
      <c r="X654" s="60" t="str">
        <f>IF(AND($B654=[1]rogério!$A655,[1]rogério!$B655=X$4),"ok","nok")</f>
        <v>nok</v>
      </c>
      <c r="Y654" s="105" t="s">
        <v>15</v>
      </c>
      <c r="Z654" s="106"/>
      <c r="AA654" s="106"/>
      <c r="AB654" s="107"/>
      <c r="AC654" s="38"/>
      <c r="AD654" s="38"/>
      <c r="AE654" s="48" t="str">
        <f t="shared" si="161"/>
        <v/>
      </c>
      <c r="AF654" s="48"/>
      <c r="AG654" s="48"/>
      <c r="AH654" s="89"/>
      <c r="AI654" s="49">
        <f t="shared" si="162"/>
        <v>0</v>
      </c>
      <c r="AJ654" s="49" t="str">
        <f t="shared" si="163"/>
        <v/>
      </c>
      <c r="AK654" s="49">
        <f t="shared" si="164"/>
        <v>0</v>
      </c>
      <c r="AL654" s="49" t="str">
        <f t="shared" si="165"/>
        <v/>
      </c>
      <c r="AM654" s="49">
        <f t="shared" si="166"/>
        <v>1</v>
      </c>
      <c r="AN654" s="49" t="str">
        <f t="shared" si="167"/>
        <v/>
      </c>
      <c r="AO654" s="49">
        <f t="shared" si="168"/>
        <v>0</v>
      </c>
      <c r="AP654" s="49" t="str">
        <f t="shared" si="169"/>
        <v/>
      </c>
      <c r="AQ654" s="49">
        <f t="shared" si="170"/>
        <v>0</v>
      </c>
      <c r="AR654" s="49" t="str">
        <f t="shared" si="171"/>
        <v/>
      </c>
    </row>
    <row r="655" spans="1:44" ht="30" customHeight="1" x14ac:dyDescent="0.35">
      <c r="A655" s="25" t="str">
        <f t="shared" si="172"/>
        <v>PT177 - PLATAFORMA DE ACESSO - GRUPO - DETALHADO
COLUNA 4PROJETO DETALHADO
CIVIL</v>
      </c>
      <c r="B655" s="38" t="s">
        <v>72</v>
      </c>
      <c r="C655" s="60" t="str">
        <f>IF(AND($B655=[1]rogério!$A656,[1]rogério!$B656=C$4),"ok","nok")</f>
        <v>nok</v>
      </c>
      <c r="D655" s="60" t="str">
        <f>IF(AND($B655=[1]rogério!$A656,[1]rogério!$B656=D$4),"ok","nok")</f>
        <v>nok</v>
      </c>
      <c r="E655" s="60" t="str">
        <f>IF(AND($B655=[1]rogério!$A656,[1]rogério!$B656=E$4),"ok","nok")</f>
        <v>nok</v>
      </c>
      <c r="F655" s="60" t="str">
        <f>IF(AND($B655=[1]rogério!$A656,[1]rogério!$B656=F$4),"ok","nok")</f>
        <v>nok</v>
      </c>
      <c r="G655" s="60" t="str">
        <f>IF(AND($B655=[1]rogério!$A656,[1]rogério!$B656=G$4),"ok","nok")</f>
        <v>nok</v>
      </c>
      <c r="H655" s="60" t="str">
        <f>IF(AND($B655=[1]rogério!$A656,[1]rogério!$B656=H$4),"ok","nok")</f>
        <v>nok</v>
      </c>
      <c r="I655" s="60" t="str">
        <f>IF(AND($B655=[1]rogério!$A656,[1]rogério!$B656=I$4),"ok","nok")</f>
        <v>nok</v>
      </c>
      <c r="J655" s="60" t="str">
        <f>IF(AND($B655=[1]rogério!$A656,[1]rogério!$B656=J$4),"ok","nok")</f>
        <v>nok</v>
      </c>
      <c r="K655" s="60" t="str">
        <f>IF(AND($B655=[1]rogério!$A656,[1]rogério!$B656=K$4),"ok","nok")</f>
        <v>nok</v>
      </c>
      <c r="L655" s="60" t="str">
        <f>IF(AND($B655=[1]rogério!$A656,[1]rogério!$B656=L$4),"ok","nok")</f>
        <v>ok</v>
      </c>
      <c r="M655" s="60" t="str">
        <f>IF(AND($B655=[1]rogério!$A656,[1]rogério!$B656=M$4),"ok","nok")</f>
        <v>nok</v>
      </c>
      <c r="N655" s="60" t="str">
        <f>IF(AND($B655=[1]rogério!$A656,[1]rogério!$B656=N$4),"ok","nok")</f>
        <v>nok</v>
      </c>
      <c r="O655" s="60" t="str">
        <f>IF(AND($B655=[1]rogério!$A656,[1]rogério!$B656=O$4),"ok","nok")</f>
        <v>nok</v>
      </c>
      <c r="P655" s="60" t="str">
        <f>IF(AND($B655=[1]rogério!$A656,[1]rogério!$B656=P$4),"ok","nok")</f>
        <v>nok</v>
      </c>
      <c r="Q655" s="60" t="str">
        <f>IF(AND($B655=[1]rogério!$A656,[1]rogério!$B656=Q$4),"ok","nok")</f>
        <v>nok</v>
      </c>
      <c r="R655" s="60" t="str">
        <f>IF(AND($B655=[1]rogério!$A656,[1]rogério!$B656=R$4),"ok","nok")</f>
        <v>nok</v>
      </c>
      <c r="S655" s="60" t="str">
        <f>IF(AND($B655=[1]rogério!$A656,[1]rogério!$B656=S$4),"ok","nok")</f>
        <v>nok</v>
      </c>
      <c r="T655" s="60" t="str">
        <f>IF(AND($B655=[1]rogério!$A656,[1]rogério!$B656=T$4),"ok","nok")</f>
        <v>nok</v>
      </c>
      <c r="U655" s="60" t="str">
        <f>IF(AND($B655=[1]rogério!$A656,[1]rogério!$B656=U$4),"ok","nok")</f>
        <v>nok</v>
      </c>
      <c r="V655" s="60" t="str">
        <f>IF(AND($B655=[1]rogério!$A656,[1]rogério!$B656=V$4),"ok","nok")</f>
        <v>nok</v>
      </c>
      <c r="W655" s="60" t="str">
        <f>IF(AND($B655=[1]rogério!$A656,[1]rogério!$B656=W$4),"ok","nok")</f>
        <v>nok</v>
      </c>
      <c r="X655" s="60" t="str">
        <f>IF(AND($B655=[1]rogério!$A656,[1]rogério!$B656=X$4),"ok","nok")</f>
        <v>nok</v>
      </c>
      <c r="Y655" s="105" t="s">
        <v>15</v>
      </c>
      <c r="Z655" s="106"/>
      <c r="AA655" s="106"/>
      <c r="AB655" s="107"/>
      <c r="AC655" s="38"/>
      <c r="AD655" s="38"/>
      <c r="AE655" s="48" t="str">
        <f t="shared" si="161"/>
        <v/>
      </c>
      <c r="AF655" s="48"/>
      <c r="AG655" s="48"/>
      <c r="AH655" s="89"/>
      <c r="AI655" s="49">
        <f t="shared" si="162"/>
        <v>0</v>
      </c>
      <c r="AJ655" s="49" t="str">
        <f t="shared" si="163"/>
        <v/>
      </c>
      <c r="AK655" s="49">
        <f t="shared" si="164"/>
        <v>1</v>
      </c>
      <c r="AL655" s="49" t="str">
        <f t="shared" si="165"/>
        <v/>
      </c>
      <c r="AM655" s="49">
        <f t="shared" si="166"/>
        <v>0</v>
      </c>
      <c r="AN655" s="49" t="str">
        <f t="shared" si="167"/>
        <v/>
      </c>
      <c r="AO655" s="49">
        <f t="shared" si="168"/>
        <v>0</v>
      </c>
      <c r="AP655" s="49" t="str">
        <f t="shared" si="169"/>
        <v/>
      </c>
      <c r="AQ655" s="49">
        <f t="shared" si="170"/>
        <v>0</v>
      </c>
      <c r="AR655" s="49" t="str">
        <f t="shared" si="171"/>
        <v/>
      </c>
    </row>
    <row r="656" spans="1:44" ht="30" customHeight="1" x14ac:dyDescent="0.35">
      <c r="A656" s="25" t="str">
        <f t="shared" si="172"/>
        <v>PT177 - PLATAFORMA DE ACESSO - GRUPO - DETALHADO
COLUNA 4PROJETO DETALHADO
CIVIL</v>
      </c>
      <c r="B656" s="38" t="s">
        <v>73</v>
      </c>
      <c r="C656" s="60" t="str">
        <f>IF(AND($B656=[1]rogério!$A657,[1]rogério!$B657=C$4),"ok","nok")</f>
        <v>nok</v>
      </c>
      <c r="D656" s="60" t="str">
        <f>IF(AND($B656=[1]rogério!$A657,[1]rogério!$B657=D$4),"ok","nok")</f>
        <v>nok</v>
      </c>
      <c r="E656" s="60" t="str">
        <f>IF(AND($B656=[1]rogério!$A657,[1]rogério!$B657=E$4),"ok","nok")</f>
        <v>nok</v>
      </c>
      <c r="F656" s="60" t="str">
        <f>IF(AND($B656=[1]rogério!$A657,[1]rogério!$B657=F$4),"ok","nok")</f>
        <v>nok</v>
      </c>
      <c r="G656" s="60" t="str">
        <f>IF(AND($B656=[1]rogério!$A657,[1]rogério!$B657=G$4),"ok","nok")</f>
        <v>nok</v>
      </c>
      <c r="H656" s="60" t="str">
        <f>IF(AND($B656=[1]rogério!$A657,[1]rogério!$B657=H$4),"ok","nok")</f>
        <v>nok</v>
      </c>
      <c r="I656" s="60" t="str">
        <f>IF(AND($B656=[1]rogério!$A657,[1]rogério!$B657=I$4),"ok","nok")</f>
        <v>nok</v>
      </c>
      <c r="J656" s="60" t="str">
        <f>IF(AND($B656=[1]rogério!$A657,[1]rogério!$B657=J$4),"ok","nok")</f>
        <v>nok</v>
      </c>
      <c r="K656" s="60" t="str">
        <f>IF(AND($B656=[1]rogério!$A657,[1]rogério!$B657=K$4),"ok","nok")</f>
        <v>nok</v>
      </c>
      <c r="L656" s="60" t="str">
        <f>IF(AND($B656=[1]rogério!$A657,[1]rogério!$B657=L$4),"ok","nok")</f>
        <v>nok</v>
      </c>
      <c r="M656" s="60" t="str">
        <f>IF(AND($B656=[1]rogério!$A657,[1]rogério!$B657=M$4),"ok","nok")</f>
        <v>ok</v>
      </c>
      <c r="N656" s="60" t="str">
        <f>IF(AND($B656=[1]rogério!$A657,[1]rogério!$B657=N$4),"ok","nok")</f>
        <v>nok</v>
      </c>
      <c r="O656" s="60" t="str">
        <f>IF(AND($B656=[1]rogério!$A657,[1]rogério!$B657=O$4),"ok","nok")</f>
        <v>nok</v>
      </c>
      <c r="P656" s="60" t="str">
        <f>IF(AND($B656=[1]rogério!$A657,[1]rogério!$B657=P$4),"ok","nok")</f>
        <v>nok</v>
      </c>
      <c r="Q656" s="60" t="str">
        <f>IF(AND($B656=[1]rogério!$A657,[1]rogério!$B657=Q$4),"ok","nok")</f>
        <v>nok</v>
      </c>
      <c r="R656" s="60" t="str">
        <f>IF(AND($B656=[1]rogério!$A657,[1]rogério!$B657=R$4),"ok","nok")</f>
        <v>nok</v>
      </c>
      <c r="S656" s="60" t="str">
        <f>IF(AND($B656=[1]rogério!$A657,[1]rogério!$B657=S$4),"ok","nok")</f>
        <v>nok</v>
      </c>
      <c r="T656" s="60" t="str">
        <f>IF(AND($B656=[1]rogério!$A657,[1]rogério!$B657=T$4),"ok","nok")</f>
        <v>nok</v>
      </c>
      <c r="U656" s="60" t="str">
        <f>IF(AND($B656=[1]rogério!$A657,[1]rogério!$B657=U$4),"ok","nok")</f>
        <v>nok</v>
      </c>
      <c r="V656" s="60" t="str">
        <f>IF(AND($B656=[1]rogério!$A657,[1]rogério!$B657=V$4),"ok","nok")</f>
        <v>nok</v>
      </c>
      <c r="W656" s="60" t="str">
        <f>IF(AND($B656=[1]rogério!$A657,[1]rogério!$B657=W$4),"ok","nok")</f>
        <v>nok</v>
      </c>
      <c r="X656" s="60" t="str">
        <f>IF(AND($B656=[1]rogério!$A657,[1]rogério!$B657=X$4),"ok","nok")</f>
        <v>nok</v>
      </c>
      <c r="Y656" s="105" t="s">
        <v>15</v>
      </c>
      <c r="Z656" s="106"/>
      <c r="AA656" s="106"/>
      <c r="AB656" s="107"/>
      <c r="AC656" s="38"/>
      <c r="AD656" s="38"/>
      <c r="AE656" s="48" t="str">
        <f t="shared" si="161"/>
        <v/>
      </c>
      <c r="AF656" s="48"/>
      <c r="AG656" s="48"/>
      <c r="AH656" s="89"/>
      <c r="AI656" s="49">
        <f t="shared" si="162"/>
        <v>0</v>
      </c>
      <c r="AJ656" s="49" t="str">
        <f t="shared" si="163"/>
        <v/>
      </c>
      <c r="AK656" s="49">
        <f t="shared" si="164"/>
        <v>0</v>
      </c>
      <c r="AL656" s="49" t="str">
        <f t="shared" si="165"/>
        <v/>
      </c>
      <c r="AM656" s="49">
        <f t="shared" si="166"/>
        <v>1</v>
      </c>
      <c r="AN656" s="49" t="str">
        <f t="shared" si="167"/>
        <v/>
      </c>
      <c r="AO656" s="49">
        <f t="shared" si="168"/>
        <v>0</v>
      </c>
      <c r="AP656" s="49" t="str">
        <f t="shared" si="169"/>
        <v/>
      </c>
      <c r="AQ656" s="49">
        <f t="shared" si="170"/>
        <v>0</v>
      </c>
      <c r="AR656" s="49" t="str">
        <f t="shared" si="171"/>
        <v/>
      </c>
    </row>
    <row r="657" spans="1:44" ht="30" customHeight="1" x14ac:dyDescent="0.35">
      <c r="A657" s="25"/>
      <c r="B657" s="39" t="s">
        <v>53</v>
      </c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108"/>
      <c r="Z657" s="109"/>
      <c r="AA657" s="109"/>
      <c r="AB657" s="110"/>
      <c r="AC657" s="38"/>
      <c r="AD657" s="38"/>
      <c r="AE657" s="48" t="str">
        <f t="shared" si="161"/>
        <v/>
      </c>
      <c r="AF657" s="48"/>
      <c r="AG657" s="48"/>
      <c r="AH657" s="89"/>
      <c r="AI657" s="49">
        <f t="shared" si="162"/>
        <v>0</v>
      </c>
      <c r="AJ657" s="49" t="str">
        <f t="shared" si="163"/>
        <v/>
      </c>
      <c r="AK657" s="49">
        <f t="shared" si="164"/>
        <v>0</v>
      </c>
      <c r="AL657" s="49" t="str">
        <f t="shared" si="165"/>
        <v/>
      </c>
      <c r="AM657" s="49">
        <f t="shared" si="166"/>
        <v>0</v>
      </c>
      <c r="AN657" s="49" t="str">
        <f t="shared" si="167"/>
        <v/>
      </c>
      <c r="AO657" s="49">
        <f t="shared" si="168"/>
        <v>0</v>
      </c>
      <c r="AP657" s="49" t="str">
        <f t="shared" si="169"/>
        <v/>
      </c>
      <c r="AQ657" s="49">
        <f t="shared" si="170"/>
        <v>0</v>
      </c>
      <c r="AR657" s="49" t="str">
        <f t="shared" si="171"/>
        <v/>
      </c>
    </row>
    <row r="658" spans="1:44" ht="30" customHeight="1" x14ac:dyDescent="0.35">
      <c r="A658" s="25" t="str">
        <f t="shared" si="172"/>
        <v>PT177 - PLATAFORMA DE ACESSO - GRUPO - DETALHADO
COLUNA 4PROJETO DETALHADO
CIVIL</v>
      </c>
      <c r="B658" s="40" t="s">
        <v>49</v>
      </c>
      <c r="C658" s="60" t="str">
        <f>IF(AND($B658=[1]rogério!$A659,[1]rogério!$B659=C$4),"ok","nok")</f>
        <v>nok</v>
      </c>
      <c r="D658" s="60" t="str">
        <f>IF(AND($B658=[1]rogério!$A659,[1]rogério!$B659=D$4),"ok","nok")</f>
        <v>nok</v>
      </c>
      <c r="E658" s="60" t="str">
        <f>IF(AND($B658=[1]rogério!$A659,[1]rogério!$B659=E$4),"ok","nok")</f>
        <v>nok</v>
      </c>
      <c r="F658" s="60" t="str">
        <f>IF(AND($B658=[1]rogério!$A659,[1]rogério!$B659=F$4),"ok","nok")</f>
        <v>nok</v>
      </c>
      <c r="G658" s="60" t="str">
        <f>IF(AND($B658=[1]rogério!$A659,[1]rogério!$B659=G$4),"ok","nok")</f>
        <v>nok</v>
      </c>
      <c r="H658" s="60" t="str">
        <f>IF(AND($B658=[1]rogério!$A659,[1]rogério!$B659=H$4),"ok","nok")</f>
        <v>nok</v>
      </c>
      <c r="I658" s="60" t="str">
        <f>IF(AND($B658=[1]rogério!$A659,[1]rogério!$B659=I$4),"ok","nok")</f>
        <v>nok</v>
      </c>
      <c r="J658" s="60" t="str">
        <f>IF(AND($B658=[1]rogério!$A659,[1]rogério!$B659=J$4),"ok","nok")</f>
        <v>nok</v>
      </c>
      <c r="K658" s="60" t="str">
        <f>IF(AND($B658=[1]rogério!$A659,[1]rogério!$B659=K$4),"ok","nok")</f>
        <v>nok</v>
      </c>
      <c r="L658" s="60" t="str">
        <f>IF(AND($B658=[1]rogério!$A659,[1]rogério!$B659=L$4),"ok","nok")</f>
        <v>nok</v>
      </c>
      <c r="M658" s="60" t="str">
        <f>IF(AND($B658=[1]rogério!$A659,[1]rogério!$B659=M$4),"ok","nok")</f>
        <v>ok</v>
      </c>
      <c r="N658" s="60" t="str">
        <f>IF(AND($B658=[1]rogério!$A659,[1]rogério!$B659=N$4),"ok","nok")</f>
        <v>nok</v>
      </c>
      <c r="O658" s="60" t="str">
        <f>IF(AND($B658=[1]rogério!$A659,[1]rogério!$B659=O$4),"ok","nok")</f>
        <v>nok</v>
      </c>
      <c r="P658" s="60" t="str">
        <f>IF(AND($B658=[1]rogério!$A659,[1]rogério!$B659=P$4),"ok","nok")</f>
        <v>nok</v>
      </c>
      <c r="Q658" s="60" t="str">
        <f>IF(AND($B658=[1]rogério!$A659,[1]rogério!$B659=Q$4),"ok","nok")</f>
        <v>nok</v>
      </c>
      <c r="R658" s="60" t="str">
        <f>IF(AND($B658=[1]rogério!$A659,[1]rogério!$B659=R$4),"ok","nok")</f>
        <v>nok</v>
      </c>
      <c r="S658" s="60" t="str">
        <f>IF(AND($B658=[1]rogério!$A659,[1]rogério!$B659=S$4),"ok","nok")</f>
        <v>nok</v>
      </c>
      <c r="T658" s="60" t="str">
        <f>IF(AND($B658=[1]rogério!$A659,[1]rogério!$B659=T$4),"ok","nok")</f>
        <v>nok</v>
      </c>
      <c r="U658" s="60" t="str">
        <f>IF(AND($B658=[1]rogério!$A659,[1]rogério!$B659=U$4),"ok","nok")</f>
        <v>nok</v>
      </c>
      <c r="V658" s="60" t="str">
        <f>IF(AND($B658=[1]rogério!$A659,[1]rogério!$B659=V$4),"ok","nok")</f>
        <v>nok</v>
      </c>
      <c r="W658" s="60" t="str">
        <f>IF(AND($B658=[1]rogério!$A659,[1]rogério!$B659=W$4),"ok","nok")</f>
        <v>nok</v>
      </c>
      <c r="X658" s="60" t="str">
        <f>IF(AND($B658=[1]rogério!$A659,[1]rogério!$B659=X$4),"ok","nok")</f>
        <v>nok</v>
      </c>
      <c r="Y658" s="105" t="s">
        <v>15</v>
      </c>
      <c r="Z658" s="106"/>
      <c r="AA658" s="106"/>
      <c r="AB658" s="107"/>
      <c r="AC658" s="38"/>
      <c r="AD658" s="38"/>
      <c r="AE658" s="48" t="str">
        <f t="shared" si="161"/>
        <v/>
      </c>
      <c r="AF658" s="48"/>
      <c r="AG658" s="48"/>
      <c r="AH658" s="89"/>
      <c r="AI658" s="49">
        <f t="shared" si="162"/>
        <v>0</v>
      </c>
      <c r="AJ658" s="49" t="str">
        <f t="shared" si="163"/>
        <v/>
      </c>
      <c r="AK658" s="49">
        <f t="shared" si="164"/>
        <v>0</v>
      </c>
      <c r="AL658" s="49" t="str">
        <f t="shared" si="165"/>
        <v/>
      </c>
      <c r="AM658" s="49">
        <f t="shared" si="166"/>
        <v>1</v>
      </c>
      <c r="AN658" s="49" t="str">
        <f t="shared" si="167"/>
        <v/>
      </c>
      <c r="AO658" s="49">
        <f t="shared" si="168"/>
        <v>0</v>
      </c>
      <c r="AP658" s="49" t="str">
        <f t="shared" si="169"/>
        <v/>
      </c>
      <c r="AQ658" s="49">
        <f t="shared" si="170"/>
        <v>0</v>
      </c>
      <c r="AR658" s="49" t="str">
        <f t="shared" si="171"/>
        <v/>
      </c>
    </row>
    <row r="659" spans="1:44" ht="30" customHeight="1" x14ac:dyDescent="0.35">
      <c r="A659" s="25" t="str">
        <f t="shared" si="172"/>
        <v>PT177 - PLATAFORMA DE ACESSO - GRUPO - DETALHADO
COLUNA 4PROJETO DETALHADO
CIVIL</v>
      </c>
      <c r="B659" s="40" t="s">
        <v>19</v>
      </c>
      <c r="C659" s="60" t="str">
        <f>IF(AND($B659=[1]rogério!$A660,[1]rogério!$B660=C$4),"ok","nok")</f>
        <v>nok</v>
      </c>
      <c r="D659" s="60" t="str">
        <f>IF(AND($B659=[1]rogério!$A660,[1]rogério!$B660=D$4),"ok","nok")</f>
        <v>nok</v>
      </c>
      <c r="E659" s="60" t="str">
        <f>IF(AND($B659=[1]rogério!$A660,[1]rogério!$B660=E$4),"ok","nok")</f>
        <v>nok</v>
      </c>
      <c r="F659" s="60" t="str">
        <f>IF(AND($B659=[1]rogério!$A660,[1]rogério!$B660=F$4),"ok","nok")</f>
        <v>nok</v>
      </c>
      <c r="G659" s="60" t="str">
        <f>IF(AND($B659=[1]rogério!$A660,[1]rogério!$B660=G$4),"ok","nok")</f>
        <v>nok</v>
      </c>
      <c r="H659" s="60" t="str">
        <f>IF(AND($B659=[1]rogério!$A660,[1]rogério!$B660=H$4),"ok","nok")</f>
        <v>nok</v>
      </c>
      <c r="I659" s="60" t="str">
        <f>IF(AND($B659=[1]rogério!$A660,[1]rogério!$B660=I$4),"ok","nok")</f>
        <v>nok</v>
      </c>
      <c r="J659" s="60" t="str">
        <f>IF(AND($B659=[1]rogério!$A660,[1]rogério!$B660=J$4),"ok","nok")</f>
        <v>nok</v>
      </c>
      <c r="K659" s="60" t="str">
        <f>IF(AND($B659=[1]rogério!$A660,[1]rogério!$B660=K$4),"ok","nok")</f>
        <v>nok</v>
      </c>
      <c r="L659" s="60" t="str">
        <f>IF(AND($B659=[1]rogério!$A660,[1]rogério!$B660=L$4),"ok","nok")</f>
        <v>nok</v>
      </c>
      <c r="M659" s="60" t="str">
        <f>IF(AND($B659=[1]rogério!$A660,[1]rogério!$B660=M$4),"ok","nok")</f>
        <v>nok</v>
      </c>
      <c r="N659" s="60" t="str">
        <f>IF(AND($B659=[1]rogério!$A660,[1]rogério!$B660=N$4),"ok","nok")</f>
        <v>nok</v>
      </c>
      <c r="O659" s="60" t="str">
        <f>IF(AND($B659=[1]rogério!$A660,[1]rogério!$B660=O$4),"ok","nok")</f>
        <v>nok</v>
      </c>
      <c r="P659" s="60" t="str">
        <f>IF(AND($B659=[1]rogério!$A660,[1]rogério!$B660=P$4),"ok","nok")</f>
        <v>nok</v>
      </c>
      <c r="Q659" s="60" t="str">
        <f>IF(AND($B659=[1]rogério!$A660,[1]rogério!$B660=Q$4),"ok","nok")</f>
        <v>nok</v>
      </c>
      <c r="R659" s="60" t="str">
        <f>IF(AND($B659=[1]rogério!$A660,[1]rogério!$B660=R$4),"ok","nok")</f>
        <v>ok</v>
      </c>
      <c r="S659" s="60" t="str">
        <f>IF(AND($B659=[1]rogério!$A660,[1]rogério!$B660=S$4),"ok","nok")</f>
        <v>nok</v>
      </c>
      <c r="T659" s="60" t="str">
        <f>IF(AND($B659=[1]rogério!$A660,[1]rogério!$B660=T$4),"ok","nok")</f>
        <v>nok</v>
      </c>
      <c r="U659" s="60" t="str">
        <f>IF(AND($B659=[1]rogério!$A660,[1]rogério!$B660=U$4),"ok","nok")</f>
        <v>nok</v>
      </c>
      <c r="V659" s="60" t="str">
        <f>IF(AND($B659=[1]rogério!$A660,[1]rogério!$B660=V$4),"ok","nok")</f>
        <v>nok</v>
      </c>
      <c r="W659" s="60" t="str">
        <f>IF(AND($B659=[1]rogério!$A660,[1]rogério!$B660=W$4),"ok","nok")</f>
        <v>nok</v>
      </c>
      <c r="X659" s="60" t="str">
        <f>IF(AND($B659=[1]rogério!$A660,[1]rogério!$B660=X$4),"ok","nok")</f>
        <v>nok</v>
      </c>
      <c r="Y659" s="105" t="s">
        <v>15</v>
      </c>
      <c r="Z659" s="106"/>
      <c r="AA659" s="106"/>
      <c r="AB659" s="107"/>
      <c r="AC659" s="38"/>
      <c r="AD659" s="38"/>
      <c r="AE659" s="48" t="str">
        <f t="shared" si="161"/>
        <v/>
      </c>
      <c r="AF659" s="48"/>
      <c r="AG659" s="48"/>
      <c r="AH659" s="89"/>
      <c r="AI659" s="49">
        <f t="shared" si="162"/>
        <v>0</v>
      </c>
      <c r="AJ659" s="49" t="str">
        <f t="shared" si="163"/>
        <v/>
      </c>
      <c r="AK659" s="49">
        <f t="shared" si="164"/>
        <v>0</v>
      </c>
      <c r="AL659" s="49" t="str">
        <f t="shared" si="165"/>
        <v/>
      </c>
      <c r="AM659" s="49">
        <f t="shared" si="166"/>
        <v>0</v>
      </c>
      <c r="AN659" s="49" t="str">
        <f t="shared" si="167"/>
        <v/>
      </c>
      <c r="AO659" s="49">
        <f t="shared" si="168"/>
        <v>1</v>
      </c>
      <c r="AP659" s="49" t="str">
        <f t="shared" si="169"/>
        <v/>
      </c>
      <c r="AQ659" s="49">
        <f t="shared" si="170"/>
        <v>0</v>
      </c>
      <c r="AR659" s="49" t="str">
        <f t="shared" si="171"/>
        <v/>
      </c>
    </row>
    <row r="660" spans="1:44" ht="30" customHeight="1" x14ac:dyDescent="0.35">
      <c r="A660" s="25" t="str">
        <f t="shared" si="172"/>
        <v>PT177 - PLATAFORMA DE ACESSO - GRUPO - DETALHADO
COLUNA 4PROJETO DETALHADO
CIVIL</v>
      </c>
      <c r="B660" s="40" t="s">
        <v>42</v>
      </c>
      <c r="C660" s="60" t="str">
        <f>IF(AND($B660=[1]rogério!$A661,[1]rogério!$B661=C$4),"ok","nok")</f>
        <v>nok</v>
      </c>
      <c r="D660" s="60" t="str">
        <f>IF(AND($B660=[1]rogério!$A661,[1]rogério!$B661=D$4),"ok","nok")</f>
        <v>nok</v>
      </c>
      <c r="E660" s="60" t="str">
        <f>IF(AND($B660=[1]rogério!$A661,[1]rogério!$B661=E$4),"ok","nok")</f>
        <v>nok</v>
      </c>
      <c r="F660" s="60" t="str">
        <f>IF(AND($B660=[1]rogério!$A661,[1]rogério!$B661=F$4),"ok","nok")</f>
        <v>nok</v>
      </c>
      <c r="G660" s="60" t="str">
        <f>IF(AND($B660=[1]rogério!$A661,[1]rogério!$B661=G$4),"ok","nok")</f>
        <v>nok</v>
      </c>
      <c r="H660" s="60" t="str">
        <f>IF(AND($B660=[1]rogério!$A661,[1]rogério!$B661=H$4),"ok","nok")</f>
        <v>nok</v>
      </c>
      <c r="I660" s="60" t="str">
        <f>IF(AND($B660=[1]rogério!$A661,[1]rogério!$B661=I$4),"ok","nok")</f>
        <v>nok</v>
      </c>
      <c r="J660" s="60" t="str">
        <f>IF(AND($B660=[1]rogério!$A661,[1]rogério!$B661=J$4),"ok","nok")</f>
        <v>nok</v>
      </c>
      <c r="K660" s="60" t="str">
        <f>IF(AND($B660=[1]rogério!$A661,[1]rogério!$B661=K$4),"ok","nok")</f>
        <v>nok</v>
      </c>
      <c r="L660" s="60" t="str">
        <f>IF(AND($B660=[1]rogério!$A661,[1]rogério!$B661=L$4),"ok","nok")</f>
        <v>nok</v>
      </c>
      <c r="M660" s="60" t="str">
        <f>IF(AND($B660=[1]rogério!$A661,[1]rogério!$B661=M$4),"ok","nok")</f>
        <v>nok</v>
      </c>
      <c r="N660" s="60" t="str">
        <f>IF(AND($B660=[1]rogério!$A661,[1]rogério!$B661=N$4),"ok","nok")</f>
        <v>nok</v>
      </c>
      <c r="O660" s="60" t="str">
        <f>IF(AND($B660=[1]rogério!$A661,[1]rogério!$B661=O$4),"ok","nok")</f>
        <v>nok</v>
      </c>
      <c r="P660" s="60" t="str">
        <f>IF(AND($B660=[1]rogério!$A661,[1]rogério!$B661=P$4),"ok","nok")</f>
        <v>nok</v>
      </c>
      <c r="Q660" s="60" t="str">
        <f>IF(AND($B660=[1]rogério!$A661,[1]rogério!$B661=Q$4),"ok","nok")</f>
        <v>nok</v>
      </c>
      <c r="R660" s="60" t="str">
        <f>IF(AND($B660=[1]rogério!$A661,[1]rogério!$B661=R$4),"ok","nok")</f>
        <v>nok</v>
      </c>
      <c r="S660" s="60" t="str">
        <f>IF(AND($B660=[1]rogério!$A661,[1]rogério!$B661=S$4),"ok","nok")</f>
        <v>nok</v>
      </c>
      <c r="T660" s="60" t="str">
        <f>IF(AND($B660=[1]rogério!$A661,[1]rogério!$B661=T$4),"ok","nok")</f>
        <v>nok</v>
      </c>
      <c r="U660" s="60" t="str">
        <f>IF(AND($B660=[1]rogério!$A661,[1]rogério!$B661=U$4),"ok","nok")</f>
        <v>ok</v>
      </c>
      <c r="V660" s="60" t="str">
        <f>IF(AND($B660=[1]rogério!$A661,[1]rogério!$B661=V$4),"ok","nok")</f>
        <v>nok</v>
      </c>
      <c r="W660" s="60" t="str">
        <f>IF(AND($B660=[1]rogério!$A661,[1]rogério!$B661=W$4),"ok","nok")</f>
        <v>nok</v>
      </c>
      <c r="X660" s="60" t="str">
        <f>IF(AND($B660=[1]rogério!$A661,[1]rogério!$B661=X$4),"ok","nok")</f>
        <v>nok</v>
      </c>
      <c r="Y660" s="105" t="s">
        <v>15</v>
      </c>
      <c r="Z660" s="106"/>
      <c r="AA660" s="106"/>
      <c r="AB660" s="107"/>
      <c r="AC660" s="38"/>
      <c r="AD660" s="38"/>
      <c r="AE660" s="48" t="str">
        <f t="shared" si="161"/>
        <v/>
      </c>
      <c r="AF660" s="48"/>
      <c r="AG660" s="48"/>
      <c r="AH660" s="89"/>
      <c r="AI660" s="49">
        <f t="shared" si="162"/>
        <v>0</v>
      </c>
      <c r="AJ660" s="49" t="str">
        <f t="shared" si="163"/>
        <v/>
      </c>
      <c r="AK660" s="49">
        <f t="shared" si="164"/>
        <v>0</v>
      </c>
      <c r="AL660" s="49" t="str">
        <f t="shared" si="165"/>
        <v/>
      </c>
      <c r="AM660" s="49">
        <f t="shared" si="166"/>
        <v>0</v>
      </c>
      <c r="AN660" s="49" t="str">
        <f t="shared" si="167"/>
        <v/>
      </c>
      <c r="AO660" s="49">
        <f t="shared" si="168"/>
        <v>1</v>
      </c>
      <c r="AP660" s="49" t="str">
        <f t="shared" si="169"/>
        <v/>
      </c>
      <c r="AQ660" s="49">
        <f t="shared" si="170"/>
        <v>0</v>
      </c>
      <c r="AR660" s="49" t="str">
        <f t="shared" si="171"/>
        <v/>
      </c>
    </row>
    <row r="661" spans="1:44" ht="30" customHeight="1" x14ac:dyDescent="0.35">
      <c r="A661" s="25" t="str">
        <f t="shared" si="172"/>
        <v>PT177 - PLATAFORMA DE ACESSO - GRUPO - DETALHADO
COLUNA 4PROJETO DETALHADO
CIVIL</v>
      </c>
      <c r="B661" s="40" t="s">
        <v>43</v>
      </c>
      <c r="C661" s="60" t="str">
        <f>IF(AND($B661=[1]rogério!$A662,[1]rogério!$B662=C$4),"ok","nok")</f>
        <v>nok</v>
      </c>
      <c r="D661" s="60" t="str">
        <f>IF(AND($B661=[1]rogério!$A662,[1]rogério!$B662=D$4),"ok","nok")</f>
        <v>nok</v>
      </c>
      <c r="E661" s="60" t="str">
        <f>IF(AND($B661=[1]rogério!$A662,[1]rogério!$B662=E$4),"ok","nok")</f>
        <v>nok</v>
      </c>
      <c r="F661" s="60" t="str">
        <f>IF(AND($B661=[1]rogério!$A662,[1]rogério!$B662=F$4),"ok","nok")</f>
        <v>nok</v>
      </c>
      <c r="G661" s="60" t="str">
        <f>IF(AND($B661=[1]rogério!$A662,[1]rogério!$B662=G$4),"ok","nok")</f>
        <v>nok</v>
      </c>
      <c r="H661" s="60" t="str">
        <f>IF(AND($B661=[1]rogério!$A662,[1]rogério!$B662=H$4),"ok","nok")</f>
        <v>nok</v>
      </c>
      <c r="I661" s="60" t="str">
        <f>IF(AND($B661=[1]rogério!$A662,[1]rogério!$B662=I$4),"ok","nok")</f>
        <v>nok</v>
      </c>
      <c r="J661" s="60" t="str">
        <f>IF(AND($B661=[1]rogério!$A662,[1]rogério!$B662=J$4),"ok","nok")</f>
        <v>nok</v>
      </c>
      <c r="K661" s="60" t="str">
        <f>IF(AND($B661=[1]rogério!$A662,[1]rogério!$B662=K$4),"ok","nok")</f>
        <v>nok</v>
      </c>
      <c r="L661" s="60" t="str">
        <f>IF(AND($B661=[1]rogério!$A662,[1]rogério!$B662=L$4),"ok","nok")</f>
        <v>nok</v>
      </c>
      <c r="M661" s="60" t="str">
        <f>IF(AND($B661=[1]rogério!$A662,[1]rogério!$B662=M$4),"ok","nok")</f>
        <v>nok</v>
      </c>
      <c r="N661" s="60" t="str">
        <f>IF(AND($B661=[1]rogério!$A662,[1]rogério!$B662=N$4),"ok","nok")</f>
        <v>nok</v>
      </c>
      <c r="O661" s="60" t="str">
        <f>IF(AND($B661=[1]rogério!$A662,[1]rogério!$B662=O$4),"ok","nok")</f>
        <v>nok</v>
      </c>
      <c r="P661" s="60" t="str">
        <f>IF(AND($B661=[1]rogério!$A662,[1]rogério!$B662=P$4),"ok","nok")</f>
        <v>nok</v>
      </c>
      <c r="Q661" s="60" t="str">
        <f>IF(AND($B661=[1]rogério!$A662,[1]rogério!$B662=Q$4),"ok","nok")</f>
        <v>nok</v>
      </c>
      <c r="R661" s="60" t="str">
        <f>IF(AND($B661=[1]rogério!$A662,[1]rogério!$B662=R$4),"ok","nok")</f>
        <v>nok</v>
      </c>
      <c r="S661" s="60" t="str">
        <f>IF(AND($B661=[1]rogério!$A662,[1]rogério!$B662=S$4),"ok","nok")</f>
        <v>nok</v>
      </c>
      <c r="T661" s="60" t="str">
        <f>IF(AND($B661=[1]rogério!$A662,[1]rogério!$B662=T$4),"ok","nok")</f>
        <v>nok</v>
      </c>
      <c r="U661" s="60" t="str">
        <f>IF(AND($B661=[1]rogério!$A662,[1]rogério!$B662=U$4),"ok","nok")</f>
        <v>ok</v>
      </c>
      <c r="V661" s="60" t="str">
        <f>IF(AND($B661=[1]rogério!$A662,[1]rogério!$B662=V$4),"ok","nok")</f>
        <v>nok</v>
      </c>
      <c r="W661" s="60" t="str">
        <f>IF(AND($B661=[1]rogério!$A662,[1]rogério!$B662=W$4),"ok","nok")</f>
        <v>nok</v>
      </c>
      <c r="X661" s="60" t="str">
        <f>IF(AND($B661=[1]rogério!$A662,[1]rogério!$B662=X$4),"ok","nok")</f>
        <v>nok</v>
      </c>
      <c r="Y661" s="105" t="s">
        <v>15</v>
      </c>
      <c r="Z661" s="106"/>
      <c r="AA661" s="106"/>
      <c r="AB661" s="107"/>
      <c r="AC661" s="38"/>
      <c r="AD661" s="38"/>
      <c r="AE661" s="48" t="str">
        <f t="shared" si="161"/>
        <v/>
      </c>
      <c r="AF661" s="48"/>
      <c r="AG661" s="48"/>
      <c r="AH661" s="89"/>
      <c r="AI661" s="49">
        <f t="shared" si="162"/>
        <v>0</v>
      </c>
      <c r="AJ661" s="49" t="str">
        <f t="shared" si="163"/>
        <v/>
      </c>
      <c r="AK661" s="49">
        <f t="shared" si="164"/>
        <v>0</v>
      </c>
      <c r="AL661" s="49" t="str">
        <f t="shared" si="165"/>
        <v/>
      </c>
      <c r="AM661" s="49">
        <f t="shared" si="166"/>
        <v>0</v>
      </c>
      <c r="AN661" s="49" t="str">
        <f t="shared" si="167"/>
        <v/>
      </c>
      <c r="AO661" s="49">
        <f t="shared" si="168"/>
        <v>1</v>
      </c>
      <c r="AP661" s="49" t="str">
        <f t="shared" si="169"/>
        <v/>
      </c>
      <c r="AQ661" s="49">
        <f t="shared" si="170"/>
        <v>0</v>
      </c>
      <c r="AR661" s="49" t="str">
        <f t="shared" si="171"/>
        <v/>
      </c>
    </row>
    <row r="662" spans="1:44" ht="30" customHeight="1" x14ac:dyDescent="0.35">
      <c r="A662" s="25" t="str">
        <f t="shared" si="172"/>
        <v>PT177 - PLATAFORMA DE ACESSO - GRUPO - DETALHADO
COLUNA 4PROJETO DETALHADO
CIVIL</v>
      </c>
      <c r="B662" s="38" t="s">
        <v>74</v>
      </c>
      <c r="C662" s="60" t="str">
        <f>IF(AND($B662=[1]rogério!$A663,[1]rogério!$B663=C$4),"ok","nok")</f>
        <v>nok</v>
      </c>
      <c r="D662" s="60" t="str">
        <f>IF(AND($B662=[1]rogério!$A663,[1]rogério!$B663=D$4),"ok","nok")</f>
        <v>nok</v>
      </c>
      <c r="E662" s="60" t="str">
        <f>IF(AND($B662=[1]rogério!$A663,[1]rogério!$B663=E$4),"ok","nok")</f>
        <v>nok</v>
      </c>
      <c r="F662" s="60" t="str">
        <f>IF(AND($B662=[1]rogério!$A663,[1]rogério!$B663=F$4),"ok","nok")</f>
        <v>nok</v>
      </c>
      <c r="G662" s="60" t="str">
        <f>IF(AND($B662=[1]rogério!$A663,[1]rogério!$B663=G$4),"ok","nok")</f>
        <v>nok</v>
      </c>
      <c r="H662" s="60" t="str">
        <f>IF(AND($B662=[1]rogério!$A663,[1]rogério!$B663=H$4),"ok","nok")</f>
        <v>nok</v>
      </c>
      <c r="I662" s="60" t="str">
        <f>IF(AND($B662=[1]rogério!$A663,[1]rogério!$B663=I$4),"ok","nok")</f>
        <v>nok</v>
      </c>
      <c r="J662" s="60" t="str">
        <f>IF(AND($B662=[1]rogério!$A663,[1]rogério!$B663=J$4),"ok","nok")</f>
        <v>nok</v>
      </c>
      <c r="K662" s="60" t="str">
        <f>IF(AND($B662=[1]rogério!$A663,[1]rogério!$B663=K$4),"ok","nok")</f>
        <v>nok</v>
      </c>
      <c r="L662" s="60" t="str">
        <f>IF(AND($B662=[1]rogério!$A663,[1]rogério!$B663=L$4),"ok","nok")</f>
        <v>nok</v>
      </c>
      <c r="M662" s="60" t="str">
        <f>IF(AND($B662=[1]rogério!$A663,[1]rogério!$B663=M$4),"ok","nok")</f>
        <v>nok</v>
      </c>
      <c r="N662" s="60" t="str">
        <f>IF(AND($B662=[1]rogério!$A663,[1]rogério!$B663=N$4),"ok","nok")</f>
        <v>nok</v>
      </c>
      <c r="O662" s="60" t="str">
        <f>IF(AND($B662=[1]rogério!$A663,[1]rogério!$B663=O$4),"ok","nok")</f>
        <v>nok</v>
      </c>
      <c r="P662" s="60" t="str">
        <f>IF(AND($B662=[1]rogério!$A663,[1]rogério!$B663=P$4),"ok","nok")</f>
        <v>ok</v>
      </c>
      <c r="Q662" s="60" t="str">
        <f>IF(AND($B662=[1]rogério!$A663,[1]rogério!$B663=Q$4),"ok","nok")</f>
        <v>nok</v>
      </c>
      <c r="R662" s="60" t="str">
        <f>IF(AND($B662=[1]rogério!$A663,[1]rogério!$B663=R$4),"ok","nok")</f>
        <v>nok</v>
      </c>
      <c r="S662" s="60" t="str">
        <f>IF(AND($B662=[1]rogério!$A663,[1]rogério!$B663=S$4),"ok","nok")</f>
        <v>nok</v>
      </c>
      <c r="T662" s="60" t="str">
        <f>IF(AND($B662=[1]rogério!$A663,[1]rogério!$B663=T$4),"ok","nok")</f>
        <v>nok</v>
      </c>
      <c r="U662" s="60" t="str">
        <f>IF(AND($B662=[1]rogério!$A663,[1]rogério!$B663=U$4),"ok","nok")</f>
        <v>nok</v>
      </c>
      <c r="V662" s="60" t="str">
        <f>IF(AND($B662=[1]rogério!$A663,[1]rogério!$B663=V$4),"ok","nok")</f>
        <v>nok</v>
      </c>
      <c r="W662" s="60" t="str">
        <f>IF(AND($B662=[1]rogério!$A663,[1]rogério!$B663=W$4),"ok","nok")</f>
        <v>nok</v>
      </c>
      <c r="X662" s="60" t="str">
        <f>IF(AND($B662=[1]rogério!$A663,[1]rogério!$B663=X$4),"ok","nok")</f>
        <v>nok</v>
      </c>
      <c r="Y662" s="105" t="s">
        <v>15</v>
      </c>
      <c r="Z662" s="106"/>
      <c r="AA662" s="106"/>
      <c r="AB662" s="107"/>
      <c r="AC662" s="38"/>
      <c r="AD662" s="38"/>
      <c r="AE662" s="48" t="str">
        <f t="shared" si="161"/>
        <v/>
      </c>
      <c r="AF662" s="48"/>
      <c r="AG662" s="48"/>
      <c r="AH662" s="89"/>
      <c r="AI662" s="49">
        <f t="shared" si="162"/>
        <v>0</v>
      </c>
      <c r="AJ662" s="49" t="str">
        <f t="shared" si="163"/>
        <v/>
      </c>
      <c r="AK662" s="49">
        <f t="shared" si="164"/>
        <v>0</v>
      </c>
      <c r="AL662" s="49" t="str">
        <f t="shared" si="165"/>
        <v/>
      </c>
      <c r="AM662" s="49">
        <f t="shared" si="166"/>
        <v>1</v>
      </c>
      <c r="AN662" s="49" t="str">
        <f t="shared" si="167"/>
        <v/>
      </c>
      <c r="AO662" s="49">
        <f t="shared" si="168"/>
        <v>0</v>
      </c>
      <c r="AP662" s="49" t="str">
        <f t="shared" si="169"/>
        <v/>
      </c>
      <c r="AQ662" s="49">
        <f t="shared" si="170"/>
        <v>0</v>
      </c>
      <c r="AR662" s="49" t="str">
        <f t="shared" si="171"/>
        <v/>
      </c>
    </row>
    <row r="663" spans="1:44" ht="30" customHeight="1" x14ac:dyDescent="0.35">
      <c r="A663" s="25" t="str">
        <f t="shared" si="172"/>
        <v>PT177 - PLATAFORMA DE ACESSO - GRUPO - DETALHADO
COLUNA 4PROJETO DETALHADO
CIVIL</v>
      </c>
      <c r="B663" s="38" t="s">
        <v>75</v>
      </c>
      <c r="C663" s="60" t="str">
        <f>IF(AND($B663=[1]rogério!$A664,[1]rogério!$B664=C$4),"ok","nok")</f>
        <v>nok</v>
      </c>
      <c r="D663" s="60" t="str">
        <f>IF(AND($B663=[1]rogério!$A664,[1]rogério!$B664=D$4),"ok","nok")</f>
        <v>nok</v>
      </c>
      <c r="E663" s="60" t="str">
        <f>IF(AND($B663=[1]rogério!$A664,[1]rogério!$B664=E$4),"ok","nok")</f>
        <v>nok</v>
      </c>
      <c r="F663" s="60" t="str">
        <f>IF(AND($B663=[1]rogério!$A664,[1]rogério!$B664=F$4),"ok","nok")</f>
        <v>nok</v>
      </c>
      <c r="G663" s="60" t="str">
        <f>IF(AND($B663=[1]rogério!$A664,[1]rogério!$B664=G$4),"ok","nok")</f>
        <v>nok</v>
      </c>
      <c r="H663" s="60" t="str">
        <f>IF(AND($B663=[1]rogério!$A664,[1]rogério!$B664=H$4),"ok","nok")</f>
        <v>nok</v>
      </c>
      <c r="I663" s="60" t="str">
        <f>IF(AND($B663=[1]rogério!$A664,[1]rogério!$B664=I$4),"ok","nok")</f>
        <v>nok</v>
      </c>
      <c r="J663" s="60" t="str">
        <f>IF(AND($B663=[1]rogério!$A664,[1]rogério!$B664=J$4),"ok","nok")</f>
        <v>nok</v>
      </c>
      <c r="K663" s="60" t="str">
        <f>IF(AND($B663=[1]rogério!$A664,[1]rogério!$B664=K$4),"ok","nok")</f>
        <v>nok</v>
      </c>
      <c r="L663" s="60" t="str">
        <f>IF(AND($B663=[1]rogério!$A664,[1]rogério!$B664=L$4),"ok","nok")</f>
        <v>nok</v>
      </c>
      <c r="M663" s="60" t="str">
        <f>IF(AND($B663=[1]rogério!$A664,[1]rogério!$B664=M$4),"ok","nok")</f>
        <v>nok</v>
      </c>
      <c r="N663" s="60" t="str">
        <f>IF(AND($B663=[1]rogério!$A664,[1]rogério!$B664=N$4),"ok","nok")</f>
        <v>nok</v>
      </c>
      <c r="O663" s="60" t="str">
        <f>IF(AND($B663=[1]rogério!$A664,[1]rogério!$B664=O$4),"ok","nok")</f>
        <v>nok</v>
      </c>
      <c r="P663" s="60" t="str">
        <f>IF(AND($B663=[1]rogério!$A664,[1]rogério!$B664=P$4),"ok","nok")</f>
        <v>nok</v>
      </c>
      <c r="Q663" s="60" t="str">
        <f>IF(AND($B663=[1]rogério!$A664,[1]rogério!$B664=Q$4),"ok","nok")</f>
        <v>ok</v>
      </c>
      <c r="R663" s="60" t="str">
        <f>IF(AND($B663=[1]rogério!$A664,[1]rogério!$B664=R$4),"ok","nok")</f>
        <v>nok</v>
      </c>
      <c r="S663" s="60" t="str">
        <f>IF(AND($B663=[1]rogério!$A664,[1]rogério!$B664=S$4),"ok","nok")</f>
        <v>nok</v>
      </c>
      <c r="T663" s="60" t="str">
        <f>IF(AND($B663=[1]rogério!$A664,[1]rogério!$B664=T$4),"ok","nok")</f>
        <v>nok</v>
      </c>
      <c r="U663" s="60" t="str">
        <f>IF(AND($B663=[1]rogério!$A664,[1]rogério!$B664=U$4),"ok","nok")</f>
        <v>nok</v>
      </c>
      <c r="V663" s="60" t="str">
        <f>IF(AND($B663=[1]rogério!$A664,[1]rogério!$B664=V$4),"ok","nok")</f>
        <v>nok</v>
      </c>
      <c r="W663" s="60" t="str">
        <f>IF(AND($B663=[1]rogério!$A664,[1]rogério!$B664=W$4),"ok","nok")</f>
        <v>nok</v>
      </c>
      <c r="X663" s="60" t="str">
        <f>IF(AND($B663=[1]rogério!$A664,[1]rogério!$B664=X$4),"ok","nok")</f>
        <v>nok</v>
      </c>
      <c r="Y663" s="105" t="s">
        <v>15</v>
      </c>
      <c r="Z663" s="106"/>
      <c r="AA663" s="106"/>
      <c r="AB663" s="107"/>
      <c r="AC663" s="38"/>
      <c r="AD663" s="38"/>
      <c r="AE663" s="48" t="str">
        <f t="shared" si="161"/>
        <v/>
      </c>
      <c r="AF663" s="48"/>
      <c r="AG663" s="48"/>
      <c r="AH663" s="89"/>
      <c r="AI663" s="49">
        <f t="shared" si="162"/>
        <v>0</v>
      </c>
      <c r="AJ663" s="49" t="str">
        <f t="shared" si="163"/>
        <v/>
      </c>
      <c r="AK663" s="49">
        <f t="shared" si="164"/>
        <v>0</v>
      </c>
      <c r="AL663" s="49" t="str">
        <f t="shared" si="165"/>
        <v/>
      </c>
      <c r="AM663" s="49">
        <f t="shared" si="166"/>
        <v>1</v>
      </c>
      <c r="AN663" s="49" t="str">
        <f t="shared" si="167"/>
        <v/>
      </c>
      <c r="AO663" s="49">
        <f t="shared" si="168"/>
        <v>0</v>
      </c>
      <c r="AP663" s="49" t="str">
        <f t="shared" si="169"/>
        <v/>
      </c>
      <c r="AQ663" s="49">
        <f t="shared" si="170"/>
        <v>0</v>
      </c>
      <c r="AR663" s="49" t="str">
        <f t="shared" si="171"/>
        <v/>
      </c>
    </row>
    <row r="664" spans="1:44" ht="30" customHeight="1" x14ac:dyDescent="0.35">
      <c r="A664" s="25"/>
      <c r="B664" s="39" t="s">
        <v>62</v>
      </c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108"/>
      <c r="Z664" s="109"/>
      <c r="AA664" s="109"/>
      <c r="AB664" s="110"/>
      <c r="AC664" s="38"/>
      <c r="AD664" s="38"/>
      <c r="AE664" s="48" t="str">
        <f t="shared" si="161"/>
        <v/>
      </c>
      <c r="AF664" s="48"/>
      <c r="AG664" s="48"/>
      <c r="AH664" s="89"/>
      <c r="AI664" s="49">
        <f t="shared" si="162"/>
        <v>0</v>
      </c>
      <c r="AJ664" s="49" t="str">
        <f t="shared" si="163"/>
        <v/>
      </c>
      <c r="AK664" s="49">
        <f t="shared" si="164"/>
        <v>0</v>
      </c>
      <c r="AL664" s="49" t="str">
        <f t="shared" si="165"/>
        <v/>
      </c>
      <c r="AM664" s="49">
        <f t="shared" si="166"/>
        <v>0</v>
      </c>
      <c r="AN664" s="49" t="str">
        <f t="shared" si="167"/>
        <v/>
      </c>
      <c r="AO664" s="49">
        <f t="shared" si="168"/>
        <v>0</v>
      </c>
      <c r="AP664" s="49" t="str">
        <f t="shared" si="169"/>
        <v/>
      </c>
      <c r="AQ664" s="49">
        <f t="shared" si="170"/>
        <v>0</v>
      </c>
      <c r="AR664" s="49" t="str">
        <f t="shared" si="171"/>
        <v/>
      </c>
    </row>
    <row r="665" spans="1:44" ht="30" customHeight="1" x14ac:dyDescent="0.35">
      <c r="A665" s="25" t="str">
        <f t="shared" si="172"/>
        <v>PT177 - PLATAFORMA DE ACESSO - GRUPO - DETALHADO
COLUNA 4PROJETO DETALHADO
CIVIL</v>
      </c>
      <c r="B665" s="40" t="s">
        <v>49</v>
      </c>
      <c r="C665" s="60" t="str">
        <f>IF(AND($B665=[1]rogério!$A666,[1]rogério!$B666=C$4),"ok","nok")</f>
        <v>nok</v>
      </c>
      <c r="D665" s="60" t="str">
        <f>IF(AND($B665=[1]rogério!$A666,[1]rogério!$B666=D$4),"ok","nok")</f>
        <v>nok</v>
      </c>
      <c r="E665" s="60" t="str">
        <f>IF(AND($B665=[1]rogério!$A666,[1]rogério!$B666=E$4),"ok","nok")</f>
        <v>nok</v>
      </c>
      <c r="F665" s="60" t="str">
        <f>IF(AND($B665=[1]rogério!$A666,[1]rogério!$B666=F$4),"ok","nok")</f>
        <v>nok</v>
      </c>
      <c r="G665" s="60" t="str">
        <f>IF(AND($B665=[1]rogério!$A666,[1]rogério!$B666=G$4),"ok","nok")</f>
        <v>nok</v>
      </c>
      <c r="H665" s="60" t="str">
        <f>IF(AND($B665=[1]rogério!$A666,[1]rogério!$B666=H$4),"ok","nok")</f>
        <v>nok</v>
      </c>
      <c r="I665" s="60" t="str">
        <f>IF(AND($B665=[1]rogério!$A666,[1]rogério!$B666=I$4),"ok","nok")</f>
        <v>nok</v>
      </c>
      <c r="J665" s="60" t="str">
        <f>IF(AND($B665=[1]rogério!$A666,[1]rogério!$B666=J$4),"ok","nok")</f>
        <v>nok</v>
      </c>
      <c r="K665" s="60" t="str">
        <f>IF(AND($B665=[1]rogério!$A666,[1]rogério!$B666=K$4),"ok","nok")</f>
        <v>nok</v>
      </c>
      <c r="L665" s="60" t="str">
        <f>IF(AND($B665=[1]rogério!$A666,[1]rogério!$B666=L$4),"ok","nok")</f>
        <v>nok</v>
      </c>
      <c r="M665" s="60" t="str">
        <f>IF(AND($B665=[1]rogério!$A666,[1]rogério!$B666=M$4),"ok","nok")</f>
        <v>nok</v>
      </c>
      <c r="N665" s="60" t="str">
        <f>IF(AND($B665=[1]rogério!$A666,[1]rogério!$B666=N$4),"ok","nok")</f>
        <v>nok</v>
      </c>
      <c r="O665" s="60" t="str">
        <f>IF(AND($B665=[1]rogério!$A666,[1]rogério!$B666=O$4),"ok","nok")</f>
        <v>nok</v>
      </c>
      <c r="P665" s="60" t="str">
        <f>IF(AND($B665=[1]rogério!$A666,[1]rogério!$B666=P$4),"ok","nok")</f>
        <v>nok</v>
      </c>
      <c r="Q665" s="60" t="str">
        <f>IF(AND($B665=[1]rogério!$A666,[1]rogério!$B666=Q$4),"ok","nok")</f>
        <v>ok</v>
      </c>
      <c r="R665" s="60" t="str">
        <f>IF(AND($B665=[1]rogério!$A666,[1]rogério!$B666=R$4),"ok","nok")</f>
        <v>nok</v>
      </c>
      <c r="S665" s="60" t="str">
        <f>IF(AND($B665=[1]rogério!$A666,[1]rogério!$B666=S$4),"ok","nok")</f>
        <v>nok</v>
      </c>
      <c r="T665" s="60" t="str">
        <f>IF(AND($B665=[1]rogério!$A666,[1]rogério!$B666=T$4),"ok","nok")</f>
        <v>nok</v>
      </c>
      <c r="U665" s="60" t="str">
        <f>IF(AND($B665=[1]rogério!$A666,[1]rogério!$B666=U$4),"ok","nok")</f>
        <v>nok</v>
      </c>
      <c r="V665" s="60" t="str">
        <f>IF(AND($B665=[1]rogério!$A666,[1]rogério!$B666=V$4),"ok","nok")</f>
        <v>nok</v>
      </c>
      <c r="W665" s="60" t="str">
        <f>IF(AND($B665=[1]rogério!$A666,[1]rogério!$B666=W$4),"ok","nok")</f>
        <v>nok</v>
      </c>
      <c r="X665" s="60" t="str">
        <f>IF(AND($B665=[1]rogério!$A666,[1]rogério!$B666=X$4),"ok","nok")</f>
        <v>nok</v>
      </c>
      <c r="Y665" s="105" t="s">
        <v>15</v>
      </c>
      <c r="Z665" s="106"/>
      <c r="AA665" s="106"/>
      <c r="AB665" s="107"/>
      <c r="AC665" s="38"/>
      <c r="AD665" s="38"/>
      <c r="AE665" s="48" t="str">
        <f t="shared" si="161"/>
        <v/>
      </c>
      <c r="AF665" s="48"/>
      <c r="AG665" s="48"/>
      <c r="AH665" s="89"/>
      <c r="AI665" s="49">
        <f t="shared" si="162"/>
        <v>0</v>
      </c>
      <c r="AJ665" s="49" t="str">
        <f t="shared" si="163"/>
        <v/>
      </c>
      <c r="AK665" s="49">
        <f t="shared" si="164"/>
        <v>0</v>
      </c>
      <c r="AL665" s="49" t="str">
        <f t="shared" si="165"/>
        <v/>
      </c>
      <c r="AM665" s="49">
        <f t="shared" si="166"/>
        <v>1</v>
      </c>
      <c r="AN665" s="49" t="str">
        <f t="shared" si="167"/>
        <v/>
      </c>
      <c r="AO665" s="49">
        <f t="shared" si="168"/>
        <v>0</v>
      </c>
      <c r="AP665" s="49" t="str">
        <f t="shared" si="169"/>
        <v/>
      </c>
      <c r="AQ665" s="49">
        <f t="shared" si="170"/>
        <v>0</v>
      </c>
      <c r="AR665" s="49" t="str">
        <f t="shared" si="171"/>
        <v/>
      </c>
    </row>
    <row r="666" spans="1:44" ht="30" customHeight="1" x14ac:dyDescent="0.35">
      <c r="A666" s="25" t="str">
        <f t="shared" si="172"/>
        <v>PT177 - PLATAFORMA DE ACESSO - GRUPO - DETALHADO
COLUNA 4PROJETO DETALHADO
CIVIL</v>
      </c>
      <c r="B666" s="40" t="s">
        <v>19</v>
      </c>
      <c r="C666" s="60" t="str">
        <f>IF(AND($B666=[1]rogério!$A667,[1]rogério!$B667=C$4),"ok","nok")</f>
        <v>nok</v>
      </c>
      <c r="D666" s="60" t="str">
        <f>IF(AND($B666=[1]rogério!$A667,[1]rogério!$B667=D$4),"ok","nok")</f>
        <v>nok</v>
      </c>
      <c r="E666" s="60" t="str">
        <f>IF(AND($B666=[1]rogério!$A667,[1]rogério!$B667=E$4),"ok","nok")</f>
        <v>nok</v>
      </c>
      <c r="F666" s="60" t="str">
        <f>IF(AND($B666=[1]rogério!$A667,[1]rogério!$B667=F$4),"ok","nok")</f>
        <v>nok</v>
      </c>
      <c r="G666" s="60" t="str">
        <f>IF(AND($B666=[1]rogério!$A667,[1]rogério!$B667=G$4),"ok","nok")</f>
        <v>nok</v>
      </c>
      <c r="H666" s="60" t="str">
        <f>IF(AND($B666=[1]rogério!$A667,[1]rogério!$B667=H$4),"ok","nok")</f>
        <v>nok</v>
      </c>
      <c r="I666" s="60" t="str">
        <f>IF(AND($B666=[1]rogério!$A667,[1]rogério!$B667=I$4),"ok","nok")</f>
        <v>nok</v>
      </c>
      <c r="J666" s="60" t="str">
        <f>IF(AND($B666=[1]rogério!$A667,[1]rogério!$B667=J$4),"ok","nok")</f>
        <v>nok</v>
      </c>
      <c r="K666" s="60" t="str">
        <f>IF(AND($B666=[1]rogério!$A667,[1]rogério!$B667=K$4),"ok","nok")</f>
        <v>nok</v>
      </c>
      <c r="L666" s="60" t="str">
        <f>IF(AND($B666=[1]rogério!$A667,[1]rogério!$B667=L$4),"ok","nok")</f>
        <v>nok</v>
      </c>
      <c r="M666" s="60" t="str">
        <f>IF(AND($B666=[1]rogério!$A667,[1]rogério!$B667=M$4),"ok","nok")</f>
        <v>nok</v>
      </c>
      <c r="N666" s="60" t="str">
        <f>IF(AND($B666=[1]rogério!$A667,[1]rogério!$B667=N$4),"ok","nok")</f>
        <v>nok</v>
      </c>
      <c r="O666" s="60" t="str">
        <f>IF(AND($B666=[1]rogério!$A667,[1]rogério!$B667=O$4),"ok","nok")</f>
        <v>nok</v>
      </c>
      <c r="P666" s="60" t="str">
        <f>IF(AND($B666=[1]rogério!$A667,[1]rogério!$B667=P$4),"ok","nok")</f>
        <v>nok</v>
      </c>
      <c r="Q666" s="60" t="str">
        <f>IF(AND($B666=[1]rogério!$A667,[1]rogério!$B667=Q$4),"ok","nok")</f>
        <v>nok</v>
      </c>
      <c r="R666" s="60" t="str">
        <f>IF(AND($B666=[1]rogério!$A667,[1]rogério!$B667=R$4),"ok","nok")</f>
        <v>nok</v>
      </c>
      <c r="S666" s="60" t="str">
        <f>IF(AND($B666=[1]rogério!$A667,[1]rogério!$B667=S$4),"ok","nok")</f>
        <v>nok</v>
      </c>
      <c r="T666" s="60" t="str">
        <f>IF(AND($B666=[1]rogério!$A667,[1]rogério!$B667=T$4),"ok","nok")</f>
        <v>nok</v>
      </c>
      <c r="U666" s="60" t="str">
        <f>IF(AND($B666=[1]rogério!$A667,[1]rogério!$B667=U$4),"ok","nok")</f>
        <v>nok</v>
      </c>
      <c r="V666" s="60" t="str">
        <f>IF(AND($B666=[1]rogério!$A667,[1]rogério!$B667=V$4),"ok","nok")</f>
        <v>ok</v>
      </c>
      <c r="W666" s="60" t="str">
        <f>IF(AND($B666=[1]rogério!$A667,[1]rogério!$B667=W$4),"ok","nok")</f>
        <v>nok</v>
      </c>
      <c r="X666" s="60" t="str">
        <f>IF(AND($B666=[1]rogério!$A667,[1]rogério!$B667=X$4),"ok","nok")</f>
        <v>nok</v>
      </c>
      <c r="Y666" s="105" t="s">
        <v>15</v>
      </c>
      <c r="Z666" s="106"/>
      <c r="AA666" s="106"/>
      <c r="AB666" s="107"/>
      <c r="AC666" s="38"/>
      <c r="AD666" s="38"/>
      <c r="AE666" s="48" t="str">
        <f t="shared" si="161"/>
        <v/>
      </c>
      <c r="AF666" s="48"/>
      <c r="AG666" s="48"/>
      <c r="AH666" s="89"/>
      <c r="AI666" s="49">
        <f t="shared" si="162"/>
        <v>0</v>
      </c>
      <c r="AJ666" s="49" t="str">
        <f t="shared" si="163"/>
        <v/>
      </c>
      <c r="AK666" s="49">
        <f t="shared" si="164"/>
        <v>0</v>
      </c>
      <c r="AL666" s="49" t="str">
        <f t="shared" si="165"/>
        <v/>
      </c>
      <c r="AM666" s="49">
        <f t="shared" si="166"/>
        <v>0</v>
      </c>
      <c r="AN666" s="49" t="str">
        <f t="shared" si="167"/>
        <v/>
      </c>
      <c r="AO666" s="49">
        <f t="shared" si="168"/>
        <v>1</v>
      </c>
      <c r="AP666" s="49" t="str">
        <f t="shared" si="169"/>
        <v/>
      </c>
      <c r="AQ666" s="49">
        <f t="shared" si="170"/>
        <v>0</v>
      </c>
      <c r="AR666" s="49" t="str">
        <f t="shared" si="171"/>
        <v/>
      </c>
    </row>
    <row r="667" spans="1:44" ht="30" customHeight="1" x14ac:dyDescent="0.35">
      <c r="A667" s="25" t="str">
        <f t="shared" si="172"/>
        <v>PT177 - PLATAFORMA DE ACESSO - GRUPO - DETALHADO
COLUNA 4PROJETO DETALHADO
CIVIL</v>
      </c>
      <c r="B667" s="38" t="s">
        <v>76</v>
      </c>
      <c r="C667" s="60" t="str">
        <f>IF(AND($B667=[1]rogério!$A668,[1]rogério!$B668=C$4),"ok","nok")</f>
        <v>nok</v>
      </c>
      <c r="D667" s="60" t="str">
        <f>IF(AND($B667=[1]rogério!$A668,[1]rogério!$B668=D$4),"ok","nok")</f>
        <v>nok</v>
      </c>
      <c r="E667" s="60" t="str">
        <f>IF(AND($B667=[1]rogério!$A668,[1]rogério!$B668=E$4),"ok","nok")</f>
        <v>nok</v>
      </c>
      <c r="F667" s="60" t="str">
        <f>IF(AND($B667=[1]rogério!$A668,[1]rogério!$B668=F$4),"ok","nok")</f>
        <v>nok</v>
      </c>
      <c r="G667" s="60" t="str">
        <f>IF(AND($B667=[1]rogério!$A668,[1]rogério!$B668=G$4),"ok","nok")</f>
        <v>nok</v>
      </c>
      <c r="H667" s="60" t="str">
        <f>IF(AND($B667=[1]rogério!$A668,[1]rogério!$B668=H$4),"ok","nok")</f>
        <v>nok</v>
      </c>
      <c r="I667" s="60" t="str">
        <f>IF(AND($B667=[1]rogério!$A668,[1]rogério!$B668=I$4),"ok","nok")</f>
        <v>nok</v>
      </c>
      <c r="J667" s="60" t="str">
        <f>IF(AND($B667=[1]rogério!$A668,[1]rogério!$B668=J$4),"ok","nok")</f>
        <v>nok</v>
      </c>
      <c r="K667" s="60" t="str">
        <f>IF(AND($B667=[1]rogério!$A668,[1]rogério!$B668=K$4),"ok","nok")</f>
        <v>nok</v>
      </c>
      <c r="L667" s="60" t="str">
        <f>IF(AND($B667=[1]rogério!$A668,[1]rogério!$B668=L$4),"ok","nok")</f>
        <v>nok</v>
      </c>
      <c r="M667" s="60" t="str">
        <f>IF(AND($B667=[1]rogério!$A668,[1]rogério!$B668=M$4),"ok","nok")</f>
        <v>nok</v>
      </c>
      <c r="N667" s="60" t="str">
        <f>IF(AND($B667=[1]rogério!$A668,[1]rogério!$B668=N$4),"ok","nok")</f>
        <v>nok</v>
      </c>
      <c r="O667" s="60" t="str">
        <f>IF(AND($B667=[1]rogério!$A668,[1]rogério!$B668=O$4),"ok","nok")</f>
        <v>nok</v>
      </c>
      <c r="P667" s="60" t="str">
        <f>IF(AND($B667=[1]rogério!$A668,[1]rogério!$B668=P$4),"ok","nok")</f>
        <v>nok</v>
      </c>
      <c r="Q667" s="60" t="str">
        <f>IF(AND($B667=[1]rogério!$A668,[1]rogério!$B668=Q$4),"ok","nok")</f>
        <v>nok</v>
      </c>
      <c r="R667" s="60" t="str">
        <f>IF(AND($B667=[1]rogério!$A668,[1]rogério!$B668=R$4),"ok","nok")</f>
        <v>nok</v>
      </c>
      <c r="S667" s="60" t="str">
        <f>IF(AND($B667=[1]rogério!$A668,[1]rogério!$B668=S$4),"ok","nok")</f>
        <v>nok</v>
      </c>
      <c r="T667" s="60" t="str">
        <f>IF(AND($B667=[1]rogério!$A668,[1]rogério!$B668=T$4),"ok","nok")</f>
        <v>ok</v>
      </c>
      <c r="U667" s="60" t="str">
        <f>IF(AND($B667=[1]rogério!$A668,[1]rogério!$B668=U$4),"ok","nok")</f>
        <v>nok</v>
      </c>
      <c r="V667" s="60" t="str">
        <f>IF(AND($B667=[1]rogério!$A668,[1]rogério!$B668=V$4),"ok","nok")</f>
        <v>nok</v>
      </c>
      <c r="W667" s="60" t="str">
        <f>IF(AND($B667=[1]rogério!$A668,[1]rogério!$B668=W$4),"ok","nok")</f>
        <v>nok</v>
      </c>
      <c r="X667" s="60" t="str">
        <f>IF(AND($B667=[1]rogério!$A668,[1]rogério!$B668=X$4),"ok","nok")</f>
        <v>nok</v>
      </c>
      <c r="Y667" s="105" t="s">
        <v>15</v>
      </c>
      <c r="Z667" s="106"/>
      <c r="AA667" s="106"/>
      <c r="AB667" s="107"/>
      <c r="AC667" s="38"/>
      <c r="AD667" s="38"/>
      <c r="AE667" s="48" t="str">
        <f t="shared" si="161"/>
        <v/>
      </c>
      <c r="AF667" s="48"/>
      <c r="AG667" s="48"/>
      <c r="AH667" s="89"/>
      <c r="AI667" s="49">
        <f t="shared" si="162"/>
        <v>0</v>
      </c>
      <c r="AJ667" s="49" t="str">
        <f t="shared" si="163"/>
        <v/>
      </c>
      <c r="AK667" s="49">
        <f t="shared" si="164"/>
        <v>0</v>
      </c>
      <c r="AL667" s="49" t="str">
        <f t="shared" si="165"/>
        <v/>
      </c>
      <c r="AM667" s="49">
        <f t="shared" si="166"/>
        <v>0</v>
      </c>
      <c r="AN667" s="49" t="str">
        <f t="shared" si="167"/>
        <v/>
      </c>
      <c r="AO667" s="49">
        <f t="shared" si="168"/>
        <v>1</v>
      </c>
      <c r="AP667" s="49" t="str">
        <f t="shared" si="169"/>
        <v/>
      </c>
      <c r="AQ667" s="49">
        <f t="shared" si="170"/>
        <v>0</v>
      </c>
      <c r="AR667" s="49" t="str">
        <f t="shared" si="171"/>
        <v/>
      </c>
    </row>
    <row r="668" spans="1:44" ht="30" customHeight="1" x14ac:dyDescent="0.35">
      <c r="A668" s="25" t="str">
        <f t="shared" si="172"/>
        <v>PT177 - PLATAFORMA DE ACESSO - GRUPO - DETALHADO
COLUNA 4PROJETO DETALHADO
CIVIL</v>
      </c>
      <c r="B668" s="38" t="s">
        <v>77</v>
      </c>
      <c r="C668" s="60" t="str">
        <f>IF(AND($B668=[1]rogério!$A669,[1]rogério!$B669=C$4),"ok","nok")</f>
        <v>nok</v>
      </c>
      <c r="D668" s="60" t="str">
        <f>IF(AND($B668=[1]rogério!$A669,[1]rogério!$B669=D$4),"ok","nok")</f>
        <v>nok</v>
      </c>
      <c r="E668" s="60" t="str">
        <f>IF(AND($B668=[1]rogério!$A669,[1]rogério!$B669=E$4),"ok","nok")</f>
        <v>nok</v>
      </c>
      <c r="F668" s="60" t="str">
        <f>IF(AND($B668=[1]rogério!$A669,[1]rogério!$B669=F$4),"ok","nok")</f>
        <v>nok</v>
      </c>
      <c r="G668" s="60" t="str">
        <f>IF(AND($B668=[1]rogério!$A669,[1]rogério!$B669=G$4),"ok","nok")</f>
        <v>nok</v>
      </c>
      <c r="H668" s="60" t="str">
        <f>IF(AND($B668=[1]rogério!$A669,[1]rogério!$B669=H$4),"ok","nok")</f>
        <v>nok</v>
      </c>
      <c r="I668" s="60" t="str">
        <f>IF(AND($B668=[1]rogério!$A669,[1]rogério!$B669=I$4),"ok","nok")</f>
        <v>nok</v>
      </c>
      <c r="J668" s="60" t="str">
        <f>IF(AND($B668=[1]rogério!$A669,[1]rogério!$B669=J$4),"ok","nok")</f>
        <v>nok</v>
      </c>
      <c r="K668" s="60" t="str">
        <f>IF(AND($B668=[1]rogério!$A669,[1]rogério!$B669=K$4),"ok","nok")</f>
        <v>nok</v>
      </c>
      <c r="L668" s="60" t="str">
        <f>IF(AND($B668=[1]rogério!$A669,[1]rogério!$B669=L$4),"ok","nok")</f>
        <v>nok</v>
      </c>
      <c r="M668" s="60" t="str">
        <f>IF(AND($B668=[1]rogério!$A669,[1]rogério!$B669=M$4),"ok","nok")</f>
        <v>nok</v>
      </c>
      <c r="N668" s="60" t="str">
        <f>IF(AND($B668=[1]rogério!$A669,[1]rogério!$B669=N$4),"ok","nok")</f>
        <v>nok</v>
      </c>
      <c r="O668" s="60" t="str">
        <f>IF(AND($B668=[1]rogério!$A669,[1]rogério!$B669=O$4),"ok","nok")</f>
        <v>nok</v>
      </c>
      <c r="P668" s="60" t="str">
        <f>IF(AND($B668=[1]rogério!$A669,[1]rogério!$B669=P$4),"ok","nok")</f>
        <v>nok</v>
      </c>
      <c r="Q668" s="60" t="str">
        <f>IF(AND($B668=[1]rogério!$A669,[1]rogério!$B669=Q$4),"ok","nok")</f>
        <v>nok</v>
      </c>
      <c r="R668" s="60" t="str">
        <f>IF(AND($B668=[1]rogério!$A669,[1]rogério!$B669=R$4),"ok","nok")</f>
        <v>nok</v>
      </c>
      <c r="S668" s="60" t="str">
        <f>IF(AND($B668=[1]rogério!$A669,[1]rogério!$B669=S$4),"ok","nok")</f>
        <v>nok</v>
      </c>
      <c r="T668" s="60" t="str">
        <f>IF(AND($B668=[1]rogério!$A669,[1]rogério!$B669=T$4),"ok","nok")</f>
        <v>nok</v>
      </c>
      <c r="U668" s="60" t="str">
        <f>IF(AND($B668=[1]rogério!$A669,[1]rogério!$B669=U$4),"ok","nok")</f>
        <v>ok</v>
      </c>
      <c r="V668" s="60" t="str">
        <f>IF(AND($B668=[1]rogério!$A669,[1]rogério!$B669=V$4),"ok","nok")</f>
        <v>nok</v>
      </c>
      <c r="W668" s="60" t="str">
        <f>IF(AND($B668=[1]rogério!$A669,[1]rogério!$B669=W$4),"ok","nok")</f>
        <v>nok</v>
      </c>
      <c r="X668" s="60" t="str">
        <f>IF(AND($B668=[1]rogério!$A669,[1]rogério!$B669=X$4),"ok","nok")</f>
        <v>nok</v>
      </c>
      <c r="Y668" s="105" t="s">
        <v>15</v>
      </c>
      <c r="Z668" s="106"/>
      <c r="AA668" s="106"/>
      <c r="AB668" s="107"/>
      <c r="AC668" s="38"/>
      <c r="AD668" s="38"/>
      <c r="AE668" s="48" t="str">
        <f t="shared" si="161"/>
        <v/>
      </c>
      <c r="AF668" s="48"/>
      <c r="AG668" s="48"/>
      <c r="AH668" s="89"/>
      <c r="AI668" s="49">
        <f t="shared" si="162"/>
        <v>0</v>
      </c>
      <c r="AJ668" s="49" t="str">
        <f t="shared" si="163"/>
        <v/>
      </c>
      <c r="AK668" s="49">
        <f t="shared" si="164"/>
        <v>0</v>
      </c>
      <c r="AL668" s="49" t="str">
        <f t="shared" si="165"/>
        <v/>
      </c>
      <c r="AM668" s="49">
        <f t="shared" si="166"/>
        <v>0</v>
      </c>
      <c r="AN668" s="49" t="str">
        <f t="shared" si="167"/>
        <v/>
      </c>
      <c r="AO668" s="49">
        <f t="shared" si="168"/>
        <v>1</v>
      </c>
      <c r="AP668" s="49" t="str">
        <f t="shared" si="169"/>
        <v/>
      </c>
      <c r="AQ668" s="49">
        <f t="shared" si="170"/>
        <v>0</v>
      </c>
      <c r="AR668" s="49" t="str">
        <f t="shared" si="171"/>
        <v/>
      </c>
    </row>
    <row r="669" spans="1:44" ht="30" customHeight="1" x14ac:dyDescent="0.35">
      <c r="A669" s="25"/>
      <c r="B669" s="39" t="s">
        <v>78</v>
      </c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108"/>
      <c r="Z669" s="109"/>
      <c r="AA669" s="109"/>
      <c r="AB669" s="110"/>
      <c r="AC669" s="38"/>
      <c r="AD669" s="38"/>
      <c r="AE669" s="48" t="str">
        <f t="shared" si="161"/>
        <v/>
      </c>
      <c r="AF669" s="48"/>
      <c r="AG669" s="48"/>
      <c r="AH669" s="89"/>
      <c r="AI669" s="49">
        <f t="shared" si="162"/>
        <v>0</v>
      </c>
      <c r="AJ669" s="49" t="str">
        <f t="shared" si="163"/>
        <v/>
      </c>
      <c r="AK669" s="49">
        <f t="shared" si="164"/>
        <v>0</v>
      </c>
      <c r="AL669" s="49" t="str">
        <f t="shared" si="165"/>
        <v/>
      </c>
      <c r="AM669" s="49">
        <f t="shared" si="166"/>
        <v>0</v>
      </c>
      <c r="AN669" s="49" t="str">
        <f t="shared" si="167"/>
        <v/>
      </c>
      <c r="AO669" s="49">
        <f t="shared" si="168"/>
        <v>0</v>
      </c>
      <c r="AP669" s="49" t="str">
        <f t="shared" si="169"/>
        <v/>
      </c>
      <c r="AQ669" s="49">
        <f t="shared" si="170"/>
        <v>0</v>
      </c>
      <c r="AR669" s="49" t="str">
        <f t="shared" si="171"/>
        <v/>
      </c>
    </row>
    <row r="670" spans="1:44" ht="30" customHeight="1" x14ac:dyDescent="0.35">
      <c r="A670" s="25" t="str">
        <f t="shared" si="172"/>
        <v>PT177 - PLATAFORMA DE ACESSO - GRUPO - DETALHADO
COLUNA 4PROJETO DETALHADO
CIVIL</v>
      </c>
      <c r="B670" s="40" t="s">
        <v>49</v>
      </c>
      <c r="C670" s="60" t="str">
        <f>IF(AND($B670=[1]rogério!$A671,[1]rogério!$B671=C$4),"ok","nok")</f>
        <v>nok</v>
      </c>
      <c r="D670" s="60" t="str">
        <f>IF(AND($B670=[1]rogério!$A671,[1]rogério!$B671=D$4),"ok","nok")</f>
        <v>nok</v>
      </c>
      <c r="E670" s="60" t="str">
        <f>IF(AND($B670=[1]rogério!$A671,[1]rogério!$B671=E$4),"ok","nok")</f>
        <v>nok</v>
      </c>
      <c r="F670" s="60" t="str">
        <f>IF(AND($B670=[1]rogério!$A671,[1]rogério!$B671=F$4),"ok","nok")</f>
        <v>nok</v>
      </c>
      <c r="G670" s="60" t="str">
        <f>IF(AND($B670=[1]rogério!$A671,[1]rogério!$B671=G$4),"ok","nok")</f>
        <v>nok</v>
      </c>
      <c r="H670" s="60" t="str">
        <f>IF(AND($B670=[1]rogério!$A671,[1]rogério!$B671=H$4),"ok","nok")</f>
        <v>nok</v>
      </c>
      <c r="I670" s="60" t="str">
        <f>IF(AND($B670=[1]rogério!$A671,[1]rogério!$B671=I$4),"ok","nok")</f>
        <v>nok</v>
      </c>
      <c r="J670" s="60" t="str">
        <f>IF(AND($B670=[1]rogério!$A671,[1]rogério!$B671=J$4),"ok","nok")</f>
        <v>nok</v>
      </c>
      <c r="K670" s="60" t="str">
        <f>IF(AND($B670=[1]rogério!$A671,[1]rogério!$B671=K$4),"ok","nok")</f>
        <v>nok</v>
      </c>
      <c r="L670" s="60" t="str">
        <f>IF(AND($B670=[1]rogério!$A671,[1]rogério!$B671=L$4),"ok","nok")</f>
        <v>nok</v>
      </c>
      <c r="M670" s="60" t="str">
        <f>IF(AND($B670=[1]rogério!$A671,[1]rogério!$B671=M$4),"ok","nok")</f>
        <v>nok</v>
      </c>
      <c r="N670" s="60" t="str">
        <f>IF(AND($B670=[1]rogério!$A671,[1]rogério!$B671=N$4),"ok","nok")</f>
        <v>nok</v>
      </c>
      <c r="O670" s="60" t="str">
        <f>IF(AND($B670=[1]rogério!$A671,[1]rogério!$B671=O$4),"ok","nok")</f>
        <v>nok</v>
      </c>
      <c r="P670" s="60" t="str">
        <f>IF(AND($B670=[1]rogério!$A671,[1]rogério!$B671=P$4),"ok","nok")</f>
        <v>nok</v>
      </c>
      <c r="Q670" s="60" t="str">
        <f>IF(AND($B670=[1]rogério!$A671,[1]rogério!$B671=Q$4),"ok","nok")</f>
        <v>nok</v>
      </c>
      <c r="R670" s="60" t="str">
        <f>IF(AND($B670=[1]rogério!$A671,[1]rogério!$B671=R$4),"ok","nok")</f>
        <v>nok</v>
      </c>
      <c r="S670" s="60" t="str">
        <f>IF(AND($B670=[1]rogério!$A671,[1]rogério!$B671=S$4),"ok","nok")</f>
        <v>nok</v>
      </c>
      <c r="T670" s="60" t="str">
        <f>IF(AND($B670=[1]rogério!$A671,[1]rogério!$B671=T$4),"ok","nok")</f>
        <v>nok</v>
      </c>
      <c r="U670" s="60" t="str">
        <f>IF(AND($B670=[1]rogério!$A671,[1]rogério!$B671=U$4),"ok","nok")</f>
        <v>ok</v>
      </c>
      <c r="V670" s="60" t="str">
        <f>IF(AND($B670=[1]rogério!$A671,[1]rogério!$B671=V$4),"ok","nok")</f>
        <v>nok</v>
      </c>
      <c r="W670" s="60" t="str">
        <f>IF(AND($B670=[1]rogério!$A671,[1]rogério!$B671=W$4),"ok","nok")</f>
        <v>nok</v>
      </c>
      <c r="X670" s="60" t="str">
        <f>IF(AND($B670=[1]rogério!$A671,[1]rogério!$B671=X$4),"ok","nok")</f>
        <v>nok</v>
      </c>
      <c r="Y670" s="105" t="s">
        <v>15</v>
      </c>
      <c r="Z670" s="106"/>
      <c r="AA670" s="106"/>
      <c r="AB670" s="107"/>
      <c r="AC670" s="38"/>
      <c r="AD670" s="38"/>
      <c r="AE670" s="48" t="str">
        <f t="shared" si="161"/>
        <v/>
      </c>
      <c r="AF670" s="48"/>
      <c r="AG670" s="48"/>
      <c r="AH670" s="89"/>
      <c r="AI670" s="49">
        <f t="shared" si="162"/>
        <v>0</v>
      </c>
      <c r="AJ670" s="49" t="str">
        <f t="shared" si="163"/>
        <v/>
      </c>
      <c r="AK670" s="49">
        <f t="shared" si="164"/>
        <v>0</v>
      </c>
      <c r="AL670" s="49" t="str">
        <f t="shared" si="165"/>
        <v/>
      </c>
      <c r="AM670" s="49">
        <f t="shared" si="166"/>
        <v>0</v>
      </c>
      <c r="AN670" s="49" t="str">
        <f t="shared" si="167"/>
        <v/>
      </c>
      <c r="AO670" s="49">
        <f t="shared" si="168"/>
        <v>1</v>
      </c>
      <c r="AP670" s="49" t="str">
        <f t="shared" si="169"/>
        <v/>
      </c>
      <c r="AQ670" s="49">
        <f t="shared" si="170"/>
        <v>0</v>
      </c>
      <c r="AR670" s="49" t="str">
        <f t="shared" si="171"/>
        <v/>
      </c>
    </row>
    <row r="671" spans="1:44" ht="30" customHeight="1" x14ac:dyDescent="0.35">
      <c r="A671" s="25"/>
      <c r="B671" s="62" t="s">
        <v>86</v>
      </c>
      <c r="C671" s="62"/>
      <c r="D671" s="62"/>
      <c r="E671" s="62"/>
      <c r="F671" s="62"/>
      <c r="G671" s="62"/>
      <c r="H671" s="62"/>
      <c r="I671" s="62"/>
      <c r="J671" s="62"/>
      <c r="K671" s="62"/>
      <c r="L671" s="62"/>
      <c r="M671" s="62"/>
      <c r="N671" s="62"/>
      <c r="O671" s="62"/>
      <c r="P671" s="62"/>
      <c r="Q671" s="62"/>
      <c r="R671" s="62"/>
      <c r="S671" s="62"/>
      <c r="T671" s="62"/>
      <c r="U671" s="62"/>
      <c r="V671" s="62"/>
      <c r="W671" s="62"/>
      <c r="X671" s="62"/>
      <c r="Y671" s="114"/>
      <c r="Z671" s="115"/>
      <c r="AA671" s="115"/>
      <c r="AB671" s="116"/>
      <c r="AC671" s="38"/>
      <c r="AD671" s="38"/>
      <c r="AE671" s="48" t="str">
        <f t="shared" si="161"/>
        <v/>
      </c>
      <c r="AF671" s="48"/>
      <c r="AG671" s="48"/>
      <c r="AH671" s="89"/>
      <c r="AI671" s="49">
        <f t="shared" si="162"/>
        <v>0</v>
      </c>
      <c r="AJ671" s="49" t="str">
        <f t="shared" si="163"/>
        <v/>
      </c>
      <c r="AK671" s="49">
        <f t="shared" si="164"/>
        <v>0</v>
      </c>
      <c r="AL671" s="49" t="str">
        <f t="shared" si="165"/>
        <v/>
      </c>
      <c r="AM671" s="49">
        <f t="shared" si="166"/>
        <v>0</v>
      </c>
      <c r="AN671" s="49" t="str">
        <f t="shared" si="167"/>
        <v/>
      </c>
      <c r="AO671" s="49">
        <f t="shared" si="168"/>
        <v>0</v>
      </c>
      <c r="AP671" s="49" t="str">
        <f t="shared" si="169"/>
        <v/>
      </c>
      <c r="AQ671" s="49">
        <f t="shared" si="170"/>
        <v>0</v>
      </c>
      <c r="AR671" s="49" t="str">
        <f t="shared" si="171"/>
        <v/>
      </c>
    </row>
    <row r="672" spans="1:44" ht="30" customHeight="1" x14ac:dyDescent="0.35">
      <c r="A672" s="25"/>
      <c r="B672" s="39" t="s">
        <v>95</v>
      </c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108"/>
      <c r="Z672" s="109"/>
      <c r="AA672" s="109"/>
      <c r="AB672" s="110"/>
      <c r="AC672" s="38"/>
      <c r="AD672" s="38"/>
      <c r="AE672" s="48" t="str">
        <f t="shared" si="161"/>
        <v/>
      </c>
      <c r="AF672" s="48"/>
      <c r="AG672" s="48"/>
      <c r="AH672" s="89"/>
      <c r="AI672" s="49">
        <f t="shared" si="162"/>
        <v>0</v>
      </c>
      <c r="AJ672" s="49" t="str">
        <f t="shared" si="163"/>
        <v/>
      </c>
      <c r="AK672" s="49">
        <f t="shared" si="164"/>
        <v>0</v>
      </c>
      <c r="AL672" s="49" t="str">
        <f t="shared" si="165"/>
        <v/>
      </c>
      <c r="AM672" s="49">
        <f t="shared" si="166"/>
        <v>0</v>
      </c>
      <c r="AN672" s="49" t="str">
        <f t="shared" si="167"/>
        <v/>
      </c>
      <c r="AO672" s="49">
        <f t="shared" si="168"/>
        <v>0</v>
      </c>
      <c r="AP672" s="49" t="str">
        <f t="shared" si="169"/>
        <v/>
      </c>
      <c r="AQ672" s="49">
        <f t="shared" si="170"/>
        <v>0</v>
      </c>
      <c r="AR672" s="49" t="str">
        <f t="shared" si="171"/>
        <v/>
      </c>
    </row>
    <row r="673" spans="1:44" ht="30" customHeight="1" x14ac:dyDescent="0.35">
      <c r="A673" s="25" t="str">
        <f>CONCATENATE($B$533,"
",$B$622,"",$B$623,"
",$B$671)</f>
        <v>PT177 - PLATAFORMA DE ACESSO - GRUPO - DETALHADO
COLUNA 4PROJETO DETALHADO
ELÉTRICA</v>
      </c>
      <c r="B673" s="40" t="s">
        <v>19</v>
      </c>
      <c r="C673" s="60" t="str">
        <f>IF(AND($B673=[1]rogério!$A674,[1]rogério!$B674=C$4),"ok","nok")</f>
        <v>nok</v>
      </c>
      <c r="D673" s="60" t="str">
        <f>IF(AND($B673=[1]rogério!$A674,[1]rogério!$B674=D$4),"ok","nok")</f>
        <v>nok</v>
      </c>
      <c r="E673" s="60" t="str">
        <f>IF(AND($B673=[1]rogério!$A674,[1]rogério!$B674=E$4),"ok","nok")</f>
        <v>nok</v>
      </c>
      <c r="F673" s="60" t="str">
        <f>IF(AND($B673=[1]rogério!$A674,[1]rogério!$B674=F$4),"ok","nok")</f>
        <v>nok</v>
      </c>
      <c r="G673" s="60" t="str">
        <f>IF(AND($B673=[1]rogério!$A674,[1]rogério!$B674=G$4),"ok","nok")</f>
        <v>nok</v>
      </c>
      <c r="H673" s="60" t="str">
        <f>IF(AND($B673=[1]rogério!$A674,[1]rogério!$B674=H$4),"ok","nok")</f>
        <v>nok</v>
      </c>
      <c r="I673" s="60" t="str">
        <f>IF(AND($B673=[1]rogério!$A674,[1]rogério!$B674=I$4),"ok","nok")</f>
        <v>ok</v>
      </c>
      <c r="J673" s="60" t="str">
        <f>IF(AND($B673=[1]rogério!$A674,[1]rogério!$B674=J$4),"ok","nok")</f>
        <v>nok</v>
      </c>
      <c r="K673" s="60" t="str">
        <f>IF(AND($B673=[1]rogério!$A674,[1]rogério!$B674=K$4),"ok","nok")</f>
        <v>nok</v>
      </c>
      <c r="L673" s="60" t="str">
        <f>IF(AND($B673=[1]rogério!$A674,[1]rogério!$B674=L$4),"ok","nok")</f>
        <v>nok</v>
      </c>
      <c r="M673" s="60" t="str">
        <f>IF(AND($B673=[1]rogério!$A674,[1]rogério!$B674=M$4),"ok","nok")</f>
        <v>nok</v>
      </c>
      <c r="N673" s="60" t="str">
        <f>IF(AND($B673=[1]rogério!$A674,[1]rogério!$B674=N$4),"ok","nok")</f>
        <v>nok</v>
      </c>
      <c r="O673" s="60" t="str">
        <f>IF(AND($B673=[1]rogério!$A674,[1]rogério!$B674=O$4),"ok","nok")</f>
        <v>nok</v>
      </c>
      <c r="P673" s="60" t="str">
        <f>IF(AND($B673=[1]rogério!$A674,[1]rogério!$B674=P$4),"ok","nok")</f>
        <v>nok</v>
      </c>
      <c r="Q673" s="60" t="str">
        <f>IF(AND($B673=[1]rogério!$A674,[1]rogério!$B674=Q$4),"ok","nok")</f>
        <v>nok</v>
      </c>
      <c r="R673" s="60" t="str">
        <f>IF(AND($B673=[1]rogério!$A674,[1]rogério!$B674=R$4),"ok","nok")</f>
        <v>nok</v>
      </c>
      <c r="S673" s="60" t="str">
        <f>IF(AND($B673=[1]rogério!$A674,[1]rogério!$B674=S$4),"ok","nok")</f>
        <v>nok</v>
      </c>
      <c r="T673" s="60" t="str">
        <f>IF(AND($B673=[1]rogério!$A674,[1]rogério!$B674=T$4),"ok","nok")</f>
        <v>nok</v>
      </c>
      <c r="U673" s="60" t="str">
        <f>IF(AND($B673=[1]rogério!$A674,[1]rogério!$B674=U$4),"ok","nok")</f>
        <v>nok</v>
      </c>
      <c r="V673" s="60" t="str">
        <f>IF(AND($B673=[1]rogério!$A674,[1]rogério!$B674=V$4),"ok","nok")</f>
        <v>nok</v>
      </c>
      <c r="W673" s="60" t="str">
        <f>IF(AND($B673=[1]rogério!$A674,[1]rogério!$B674=W$4),"ok","nok")</f>
        <v>nok</v>
      </c>
      <c r="X673" s="60" t="str">
        <f>IF(AND($B673=[1]rogério!$A674,[1]rogério!$B674=X$4),"ok","nok")</f>
        <v>nok</v>
      </c>
      <c r="Y673" s="105" t="s">
        <v>15</v>
      </c>
      <c r="Z673" s="106"/>
      <c r="AA673" s="106"/>
      <c r="AB673" s="107"/>
      <c r="AC673" s="38"/>
      <c r="AD673" s="38"/>
      <c r="AE673" s="48" t="str">
        <f t="shared" si="161"/>
        <v/>
      </c>
      <c r="AF673" s="48"/>
      <c r="AG673" s="48"/>
      <c r="AH673" s="89"/>
      <c r="AI673" s="49">
        <f t="shared" si="162"/>
        <v>0</v>
      </c>
      <c r="AJ673" s="49" t="str">
        <f t="shared" si="163"/>
        <v/>
      </c>
      <c r="AK673" s="49">
        <f t="shared" si="164"/>
        <v>1</v>
      </c>
      <c r="AL673" s="49" t="str">
        <f t="shared" si="165"/>
        <v/>
      </c>
      <c r="AM673" s="49">
        <f t="shared" si="166"/>
        <v>0</v>
      </c>
      <c r="AN673" s="49" t="str">
        <f t="shared" si="167"/>
        <v/>
      </c>
      <c r="AO673" s="49">
        <f t="shared" si="168"/>
        <v>0</v>
      </c>
      <c r="AP673" s="49" t="str">
        <f t="shared" si="169"/>
        <v/>
      </c>
      <c r="AQ673" s="49">
        <f t="shared" si="170"/>
        <v>0</v>
      </c>
      <c r="AR673" s="49" t="str">
        <f t="shared" si="171"/>
        <v/>
      </c>
    </row>
    <row r="674" spans="1:44" ht="30" customHeight="1" x14ac:dyDescent="0.35">
      <c r="A674" s="25" t="str">
        <f t="shared" ref="A674:A675" si="173">CONCATENATE($B$533,"
",$B$622,"",$B$623,"
",$B$671)</f>
        <v>PT177 - PLATAFORMA DE ACESSO - GRUPO - DETALHADO
COLUNA 4PROJETO DETALHADO
ELÉTRICA</v>
      </c>
      <c r="B674" s="40" t="s">
        <v>42</v>
      </c>
      <c r="C674" s="60" t="str">
        <f>IF(AND($B674=[1]rogério!$A675,[1]rogério!$B675=C$4),"ok","nok")</f>
        <v>nok</v>
      </c>
      <c r="D674" s="60" t="str">
        <f>IF(AND($B674=[1]rogério!$A675,[1]rogério!$B675=D$4),"ok","nok")</f>
        <v>nok</v>
      </c>
      <c r="E674" s="60" t="str">
        <f>IF(AND($B674=[1]rogério!$A675,[1]rogério!$B675=E$4),"ok","nok")</f>
        <v>nok</v>
      </c>
      <c r="F674" s="60" t="str">
        <f>IF(AND($B674=[1]rogério!$A675,[1]rogério!$B675=F$4),"ok","nok")</f>
        <v>nok</v>
      </c>
      <c r="G674" s="60" t="str">
        <f>IF(AND($B674=[1]rogério!$A675,[1]rogério!$B675=G$4),"ok","nok")</f>
        <v>nok</v>
      </c>
      <c r="H674" s="60" t="str">
        <f>IF(AND($B674=[1]rogério!$A675,[1]rogério!$B675=H$4),"ok","nok")</f>
        <v>nok</v>
      </c>
      <c r="I674" s="60" t="str">
        <f>IF(AND($B674=[1]rogério!$A675,[1]rogério!$B675=I$4),"ok","nok")</f>
        <v>nok</v>
      </c>
      <c r="J674" s="60" t="str">
        <f>IF(AND($B674=[1]rogério!$A675,[1]rogério!$B675=J$4),"ok","nok")</f>
        <v>nok</v>
      </c>
      <c r="K674" s="60" t="str">
        <f>IF(AND($B674=[1]rogério!$A675,[1]rogério!$B675=K$4),"ok","nok")</f>
        <v>nok</v>
      </c>
      <c r="L674" s="60" t="str">
        <f>IF(AND($B674=[1]rogério!$A675,[1]rogério!$B675=L$4),"ok","nok")</f>
        <v>ok</v>
      </c>
      <c r="M674" s="60" t="str">
        <f>IF(AND($B674=[1]rogério!$A675,[1]rogério!$B675=M$4),"ok","nok")</f>
        <v>nok</v>
      </c>
      <c r="N674" s="60" t="str">
        <f>IF(AND($B674=[1]rogério!$A675,[1]rogério!$B675=N$4),"ok","nok")</f>
        <v>nok</v>
      </c>
      <c r="O674" s="60" t="str">
        <f>IF(AND($B674=[1]rogério!$A675,[1]rogério!$B675=O$4),"ok","nok")</f>
        <v>nok</v>
      </c>
      <c r="P674" s="60" t="str">
        <f>IF(AND($B674=[1]rogério!$A675,[1]rogério!$B675=P$4),"ok","nok")</f>
        <v>nok</v>
      </c>
      <c r="Q674" s="60" t="str">
        <f>IF(AND($B674=[1]rogério!$A675,[1]rogério!$B675=Q$4),"ok","nok")</f>
        <v>nok</v>
      </c>
      <c r="R674" s="60" t="str">
        <f>IF(AND($B674=[1]rogério!$A675,[1]rogério!$B675=R$4),"ok","nok")</f>
        <v>nok</v>
      </c>
      <c r="S674" s="60" t="str">
        <f>IF(AND($B674=[1]rogério!$A675,[1]rogério!$B675=S$4),"ok","nok")</f>
        <v>nok</v>
      </c>
      <c r="T674" s="60" t="str">
        <f>IF(AND($B674=[1]rogério!$A675,[1]rogério!$B675=T$4),"ok","nok")</f>
        <v>nok</v>
      </c>
      <c r="U674" s="60" t="str">
        <f>IF(AND($B674=[1]rogério!$A675,[1]rogério!$B675=U$4),"ok","nok")</f>
        <v>nok</v>
      </c>
      <c r="V674" s="60" t="str">
        <f>IF(AND($B674=[1]rogério!$A675,[1]rogério!$B675=V$4),"ok","nok")</f>
        <v>nok</v>
      </c>
      <c r="W674" s="60" t="str">
        <f>IF(AND($B674=[1]rogério!$A675,[1]rogério!$B675=W$4),"ok","nok")</f>
        <v>nok</v>
      </c>
      <c r="X674" s="60" t="str">
        <f>IF(AND($B674=[1]rogério!$A675,[1]rogério!$B675=X$4),"ok","nok")</f>
        <v>nok</v>
      </c>
      <c r="Y674" s="105" t="s">
        <v>15</v>
      </c>
      <c r="Z674" s="106"/>
      <c r="AA674" s="106"/>
      <c r="AB674" s="107"/>
      <c r="AC674" s="38"/>
      <c r="AD674" s="38"/>
      <c r="AE674" s="48" t="str">
        <f t="shared" si="161"/>
        <v/>
      </c>
      <c r="AF674" s="48"/>
      <c r="AG674" s="48"/>
      <c r="AH674" s="89"/>
      <c r="AI674" s="49">
        <f t="shared" si="162"/>
        <v>0</v>
      </c>
      <c r="AJ674" s="49" t="str">
        <f t="shared" si="163"/>
        <v/>
      </c>
      <c r="AK674" s="49">
        <f t="shared" si="164"/>
        <v>1</v>
      </c>
      <c r="AL674" s="49" t="str">
        <f t="shared" si="165"/>
        <v/>
      </c>
      <c r="AM674" s="49">
        <f t="shared" si="166"/>
        <v>0</v>
      </c>
      <c r="AN674" s="49" t="str">
        <f t="shared" si="167"/>
        <v/>
      </c>
      <c r="AO674" s="49">
        <f t="shared" si="168"/>
        <v>0</v>
      </c>
      <c r="AP674" s="49" t="str">
        <f t="shared" si="169"/>
        <v/>
      </c>
      <c r="AQ674" s="49">
        <f t="shared" si="170"/>
        <v>0</v>
      </c>
      <c r="AR674" s="49" t="str">
        <f t="shared" si="171"/>
        <v/>
      </c>
    </row>
    <row r="675" spans="1:44" ht="30" customHeight="1" x14ac:dyDescent="0.35">
      <c r="A675" s="25" t="str">
        <f t="shared" si="173"/>
        <v>PT177 - PLATAFORMA DE ACESSO - GRUPO - DETALHADO
COLUNA 4PROJETO DETALHADO
ELÉTRICA</v>
      </c>
      <c r="B675" s="40" t="s">
        <v>43</v>
      </c>
      <c r="C675" s="60" t="str">
        <f>IF(AND($B675=[1]rogério!$A676,[1]rogério!$B676=C$4),"ok","nok")</f>
        <v>nok</v>
      </c>
      <c r="D675" s="60" t="str">
        <f>IF(AND($B675=[1]rogério!$A676,[1]rogério!$B676=D$4),"ok","nok")</f>
        <v>nok</v>
      </c>
      <c r="E675" s="60" t="str">
        <f>IF(AND($B675=[1]rogério!$A676,[1]rogério!$B676=E$4),"ok","nok")</f>
        <v>nok</v>
      </c>
      <c r="F675" s="60" t="str">
        <f>IF(AND($B675=[1]rogério!$A676,[1]rogério!$B676=F$4),"ok","nok")</f>
        <v>nok</v>
      </c>
      <c r="G675" s="60" t="str">
        <f>IF(AND($B675=[1]rogério!$A676,[1]rogério!$B676=G$4),"ok","nok")</f>
        <v>nok</v>
      </c>
      <c r="H675" s="60" t="str">
        <f>IF(AND($B675=[1]rogério!$A676,[1]rogério!$B676=H$4),"ok","nok")</f>
        <v>nok</v>
      </c>
      <c r="I675" s="60" t="str">
        <f>IF(AND($B675=[1]rogério!$A676,[1]rogério!$B676=I$4),"ok","nok")</f>
        <v>nok</v>
      </c>
      <c r="J675" s="60" t="str">
        <f>IF(AND($B675=[1]rogério!$A676,[1]rogério!$B676=J$4),"ok","nok")</f>
        <v>nok</v>
      </c>
      <c r="K675" s="60" t="str">
        <f>IF(AND($B675=[1]rogério!$A676,[1]rogério!$B676=K$4),"ok","nok")</f>
        <v>nok</v>
      </c>
      <c r="L675" s="60" t="str">
        <f>IF(AND($B675=[1]rogério!$A676,[1]rogério!$B676=L$4),"ok","nok")</f>
        <v>ok</v>
      </c>
      <c r="M675" s="60" t="str">
        <f>IF(AND($B675=[1]rogério!$A676,[1]rogério!$B676=M$4),"ok","nok")</f>
        <v>nok</v>
      </c>
      <c r="N675" s="60" t="str">
        <f>IF(AND($B675=[1]rogério!$A676,[1]rogério!$B676=N$4),"ok","nok")</f>
        <v>nok</v>
      </c>
      <c r="O675" s="60" t="str">
        <f>IF(AND($B675=[1]rogério!$A676,[1]rogério!$B676=O$4),"ok","nok")</f>
        <v>nok</v>
      </c>
      <c r="P675" s="60" t="str">
        <f>IF(AND($B675=[1]rogério!$A676,[1]rogério!$B676=P$4),"ok","nok")</f>
        <v>nok</v>
      </c>
      <c r="Q675" s="60" t="str">
        <f>IF(AND($B675=[1]rogério!$A676,[1]rogério!$B676=Q$4),"ok","nok")</f>
        <v>nok</v>
      </c>
      <c r="R675" s="60" t="str">
        <f>IF(AND($B675=[1]rogério!$A676,[1]rogério!$B676=R$4),"ok","nok")</f>
        <v>nok</v>
      </c>
      <c r="S675" s="60" t="str">
        <f>IF(AND($B675=[1]rogério!$A676,[1]rogério!$B676=S$4),"ok","nok")</f>
        <v>nok</v>
      </c>
      <c r="T675" s="60" t="str">
        <f>IF(AND($B675=[1]rogério!$A676,[1]rogério!$B676=T$4),"ok","nok")</f>
        <v>nok</v>
      </c>
      <c r="U675" s="60" t="str">
        <f>IF(AND($B675=[1]rogério!$A676,[1]rogério!$B676=U$4),"ok","nok")</f>
        <v>nok</v>
      </c>
      <c r="V675" s="60" t="str">
        <f>IF(AND($B675=[1]rogério!$A676,[1]rogério!$B676=V$4),"ok","nok")</f>
        <v>nok</v>
      </c>
      <c r="W675" s="60" t="str">
        <f>IF(AND($B675=[1]rogério!$A676,[1]rogério!$B676=W$4),"ok","nok")</f>
        <v>nok</v>
      </c>
      <c r="X675" s="60" t="str">
        <f>IF(AND($B675=[1]rogério!$A676,[1]rogério!$B676=X$4),"ok","nok")</f>
        <v>nok</v>
      </c>
      <c r="Y675" s="105" t="s">
        <v>15</v>
      </c>
      <c r="Z675" s="106"/>
      <c r="AA675" s="106"/>
      <c r="AB675" s="107"/>
      <c r="AC675" s="38"/>
      <c r="AD675" s="38"/>
      <c r="AE675" s="48" t="str">
        <f t="shared" si="161"/>
        <v/>
      </c>
      <c r="AF675" s="48"/>
      <c r="AG675" s="48"/>
      <c r="AH675" s="89"/>
      <c r="AI675" s="49">
        <f t="shared" si="162"/>
        <v>0</v>
      </c>
      <c r="AJ675" s="49" t="str">
        <f t="shared" si="163"/>
        <v/>
      </c>
      <c r="AK675" s="49">
        <f t="shared" si="164"/>
        <v>1</v>
      </c>
      <c r="AL675" s="49" t="str">
        <f t="shared" si="165"/>
        <v/>
      </c>
      <c r="AM675" s="49">
        <f t="shared" si="166"/>
        <v>0</v>
      </c>
      <c r="AN675" s="49" t="str">
        <f t="shared" si="167"/>
        <v/>
      </c>
      <c r="AO675" s="49">
        <f t="shared" si="168"/>
        <v>0</v>
      </c>
      <c r="AP675" s="49" t="str">
        <f t="shared" si="169"/>
        <v/>
      </c>
      <c r="AQ675" s="49">
        <f t="shared" si="170"/>
        <v>0</v>
      </c>
      <c r="AR675" s="49" t="str">
        <f t="shared" si="171"/>
        <v/>
      </c>
    </row>
    <row r="676" spans="1:44" ht="30" customHeight="1" x14ac:dyDescent="0.35">
      <c r="A676" s="25"/>
      <c r="B676" s="36" t="s">
        <v>96</v>
      </c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123"/>
      <c r="Z676" s="124"/>
      <c r="AA676" s="124"/>
      <c r="AB676" s="125"/>
      <c r="AC676" s="38"/>
      <c r="AD676" s="38"/>
      <c r="AE676" s="48" t="str">
        <f t="shared" si="161"/>
        <v/>
      </c>
      <c r="AF676" s="48"/>
      <c r="AG676" s="48"/>
      <c r="AH676" s="89"/>
      <c r="AI676" s="49">
        <f t="shared" si="162"/>
        <v>0</v>
      </c>
      <c r="AJ676" s="49" t="str">
        <f t="shared" si="163"/>
        <v/>
      </c>
      <c r="AK676" s="49">
        <f t="shared" si="164"/>
        <v>0</v>
      </c>
      <c r="AL676" s="49" t="str">
        <f t="shared" si="165"/>
        <v/>
      </c>
      <c r="AM676" s="49">
        <f t="shared" si="166"/>
        <v>0</v>
      </c>
      <c r="AN676" s="49" t="str">
        <f t="shared" si="167"/>
        <v/>
      </c>
      <c r="AO676" s="49">
        <f t="shared" si="168"/>
        <v>0</v>
      </c>
      <c r="AP676" s="49" t="str">
        <f t="shared" si="169"/>
        <v/>
      </c>
      <c r="AQ676" s="49">
        <f t="shared" si="170"/>
        <v>0</v>
      </c>
      <c r="AR676" s="49" t="str">
        <f t="shared" si="171"/>
        <v/>
      </c>
    </row>
    <row r="677" spans="1:44" ht="30" customHeight="1" x14ac:dyDescent="0.35">
      <c r="A677" s="25"/>
      <c r="B677" s="36" t="s">
        <v>97</v>
      </c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123"/>
      <c r="Z677" s="124"/>
      <c r="AA677" s="124"/>
      <c r="AB677" s="125"/>
      <c r="AC677" s="38"/>
      <c r="AD677" s="38"/>
      <c r="AE677" s="48" t="str">
        <f t="shared" si="161"/>
        <v/>
      </c>
      <c r="AF677" s="48"/>
      <c r="AG677" s="48"/>
      <c r="AH677" s="89"/>
      <c r="AI677" s="49">
        <f t="shared" si="162"/>
        <v>0</v>
      </c>
      <c r="AJ677" s="49" t="str">
        <f t="shared" si="163"/>
        <v/>
      </c>
      <c r="AK677" s="49">
        <f t="shared" si="164"/>
        <v>0</v>
      </c>
      <c r="AL677" s="49" t="str">
        <f t="shared" si="165"/>
        <v/>
      </c>
      <c r="AM677" s="49">
        <f t="shared" si="166"/>
        <v>0</v>
      </c>
      <c r="AN677" s="49" t="str">
        <f t="shared" si="167"/>
        <v/>
      </c>
      <c r="AO677" s="49">
        <f t="shared" si="168"/>
        <v>0</v>
      </c>
      <c r="AP677" s="49" t="str">
        <f t="shared" si="169"/>
        <v/>
      </c>
      <c r="AQ677" s="49">
        <f t="shared" si="170"/>
        <v>0</v>
      </c>
      <c r="AR677" s="49" t="str">
        <f t="shared" si="171"/>
        <v/>
      </c>
    </row>
    <row r="678" spans="1:44" ht="30" customHeight="1" x14ac:dyDescent="0.35">
      <c r="A678" s="25"/>
      <c r="B678" s="37" t="s">
        <v>52</v>
      </c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120"/>
      <c r="Z678" s="121"/>
      <c r="AA678" s="121"/>
      <c r="AB678" s="122"/>
      <c r="AC678" s="38"/>
      <c r="AD678" s="38"/>
      <c r="AE678" s="48" t="str">
        <f t="shared" si="161"/>
        <v/>
      </c>
      <c r="AF678" s="48"/>
      <c r="AG678" s="48"/>
      <c r="AH678" s="89"/>
      <c r="AI678" s="49">
        <f t="shared" si="162"/>
        <v>0</v>
      </c>
      <c r="AJ678" s="49" t="str">
        <f t="shared" si="163"/>
        <v/>
      </c>
      <c r="AK678" s="49">
        <f t="shared" si="164"/>
        <v>0</v>
      </c>
      <c r="AL678" s="49" t="str">
        <f t="shared" si="165"/>
        <v/>
      </c>
      <c r="AM678" s="49">
        <f t="shared" si="166"/>
        <v>0</v>
      </c>
      <c r="AN678" s="49" t="str">
        <f t="shared" si="167"/>
        <v/>
      </c>
      <c r="AO678" s="49">
        <f t="shared" si="168"/>
        <v>0</v>
      </c>
      <c r="AP678" s="49" t="str">
        <f t="shared" si="169"/>
        <v/>
      </c>
      <c r="AQ678" s="49">
        <f t="shared" si="170"/>
        <v>0</v>
      </c>
      <c r="AR678" s="49" t="str">
        <f t="shared" si="171"/>
        <v/>
      </c>
    </row>
    <row r="679" spans="1:44" ht="30" customHeight="1" x14ac:dyDescent="0.35">
      <c r="A679" s="25"/>
      <c r="B679" s="42" t="s">
        <v>98</v>
      </c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111"/>
      <c r="Z679" s="112"/>
      <c r="AA679" s="112"/>
      <c r="AB679" s="113"/>
      <c r="AC679" s="38"/>
      <c r="AD679" s="38"/>
      <c r="AE679" s="48" t="str">
        <f t="shared" si="161"/>
        <v/>
      </c>
      <c r="AF679" s="48"/>
      <c r="AG679" s="48"/>
      <c r="AH679" s="89"/>
      <c r="AI679" s="49">
        <f t="shared" si="162"/>
        <v>0</v>
      </c>
      <c r="AJ679" s="49" t="str">
        <f t="shared" si="163"/>
        <v/>
      </c>
      <c r="AK679" s="49">
        <f t="shared" si="164"/>
        <v>0</v>
      </c>
      <c r="AL679" s="49" t="str">
        <f t="shared" si="165"/>
        <v/>
      </c>
      <c r="AM679" s="49">
        <f t="shared" si="166"/>
        <v>0</v>
      </c>
      <c r="AN679" s="49" t="str">
        <f t="shared" si="167"/>
        <v/>
      </c>
      <c r="AO679" s="49">
        <f t="shared" si="168"/>
        <v>0</v>
      </c>
      <c r="AP679" s="49" t="str">
        <f t="shared" si="169"/>
        <v/>
      </c>
      <c r="AQ679" s="49">
        <f t="shared" si="170"/>
        <v>0</v>
      </c>
      <c r="AR679" s="49" t="str">
        <f t="shared" si="171"/>
        <v/>
      </c>
    </row>
    <row r="680" spans="1:44" ht="30" customHeight="1" x14ac:dyDescent="0.35">
      <c r="A680" s="25"/>
      <c r="B680" s="61" t="s">
        <v>57</v>
      </c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X680" s="61"/>
      <c r="Y680" s="117"/>
      <c r="Z680" s="118"/>
      <c r="AA680" s="118"/>
      <c r="AB680" s="119"/>
      <c r="AC680" s="38"/>
      <c r="AD680" s="38"/>
      <c r="AE680" s="48" t="str">
        <f t="shared" si="161"/>
        <v/>
      </c>
      <c r="AF680" s="48"/>
      <c r="AG680" s="48"/>
      <c r="AH680" s="89"/>
      <c r="AI680" s="49">
        <f t="shared" si="162"/>
        <v>0</v>
      </c>
      <c r="AJ680" s="49" t="str">
        <f t="shared" si="163"/>
        <v/>
      </c>
      <c r="AK680" s="49">
        <f t="shared" si="164"/>
        <v>0</v>
      </c>
      <c r="AL680" s="49" t="str">
        <f t="shared" si="165"/>
        <v/>
      </c>
      <c r="AM680" s="49">
        <f t="shared" si="166"/>
        <v>0</v>
      </c>
      <c r="AN680" s="49" t="str">
        <f t="shared" si="167"/>
        <v/>
      </c>
      <c r="AO680" s="49">
        <f t="shared" si="168"/>
        <v>0</v>
      </c>
      <c r="AP680" s="49" t="str">
        <f t="shared" si="169"/>
        <v/>
      </c>
      <c r="AQ680" s="49">
        <f t="shared" si="170"/>
        <v>0</v>
      </c>
      <c r="AR680" s="49" t="str">
        <f t="shared" si="171"/>
        <v/>
      </c>
    </row>
    <row r="681" spans="1:44" ht="30" customHeight="1" x14ac:dyDescent="0.35">
      <c r="A681" s="25"/>
      <c r="B681" s="62" t="s">
        <v>58</v>
      </c>
      <c r="C681" s="62"/>
      <c r="D681" s="62"/>
      <c r="E681" s="62"/>
      <c r="F681" s="62"/>
      <c r="G681" s="62"/>
      <c r="H681" s="62"/>
      <c r="I681" s="62"/>
      <c r="J681" s="62"/>
      <c r="K681" s="62"/>
      <c r="L681" s="62"/>
      <c r="M681" s="62"/>
      <c r="N681" s="62"/>
      <c r="O681" s="62"/>
      <c r="P681" s="62"/>
      <c r="Q681" s="62"/>
      <c r="R681" s="62"/>
      <c r="S681" s="62"/>
      <c r="T681" s="62"/>
      <c r="U681" s="62"/>
      <c r="V681" s="62"/>
      <c r="W681" s="62"/>
      <c r="X681" s="62"/>
      <c r="Y681" s="114"/>
      <c r="Z681" s="115"/>
      <c r="AA681" s="115"/>
      <c r="AB681" s="116"/>
      <c r="AC681" s="38"/>
      <c r="AD681" s="38"/>
      <c r="AE681" s="48" t="str">
        <f t="shared" si="161"/>
        <v/>
      </c>
      <c r="AF681" s="48"/>
      <c r="AG681" s="48"/>
      <c r="AH681" s="89"/>
      <c r="AI681" s="49">
        <f t="shared" si="162"/>
        <v>0</v>
      </c>
      <c r="AJ681" s="49" t="str">
        <f t="shared" si="163"/>
        <v/>
      </c>
      <c r="AK681" s="49">
        <f t="shared" si="164"/>
        <v>0</v>
      </c>
      <c r="AL681" s="49" t="str">
        <f t="shared" si="165"/>
        <v/>
      </c>
      <c r="AM681" s="49">
        <f t="shared" si="166"/>
        <v>0</v>
      </c>
      <c r="AN681" s="49" t="str">
        <f t="shared" si="167"/>
        <v/>
      </c>
      <c r="AO681" s="49">
        <f t="shared" si="168"/>
        <v>0</v>
      </c>
      <c r="AP681" s="49" t="str">
        <f t="shared" si="169"/>
        <v/>
      </c>
      <c r="AQ681" s="49">
        <f t="shared" si="170"/>
        <v>0</v>
      </c>
      <c r="AR681" s="49" t="str">
        <f t="shared" si="171"/>
        <v/>
      </c>
    </row>
    <row r="682" spans="1:44" ht="30" customHeight="1" x14ac:dyDescent="0.35">
      <c r="A682" s="25"/>
      <c r="B682" s="39" t="s">
        <v>62</v>
      </c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108"/>
      <c r="Z682" s="109"/>
      <c r="AA682" s="109"/>
      <c r="AB682" s="110"/>
      <c r="AC682" s="38"/>
      <c r="AD682" s="38"/>
      <c r="AE682" s="48" t="str">
        <f t="shared" si="161"/>
        <v/>
      </c>
      <c r="AF682" s="48"/>
      <c r="AG682" s="48"/>
      <c r="AH682" s="89"/>
      <c r="AI682" s="49">
        <f t="shared" si="162"/>
        <v>0</v>
      </c>
      <c r="AJ682" s="49" t="str">
        <f t="shared" si="163"/>
        <v/>
      </c>
      <c r="AK682" s="49">
        <f t="shared" si="164"/>
        <v>0</v>
      </c>
      <c r="AL682" s="49" t="str">
        <f t="shared" si="165"/>
        <v/>
      </c>
      <c r="AM682" s="49">
        <f t="shared" si="166"/>
        <v>0</v>
      </c>
      <c r="AN682" s="49" t="str">
        <f t="shared" si="167"/>
        <v/>
      </c>
      <c r="AO682" s="49">
        <f t="shared" si="168"/>
        <v>0</v>
      </c>
      <c r="AP682" s="49" t="str">
        <f t="shared" si="169"/>
        <v/>
      </c>
      <c r="AQ682" s="49">
        <f t="shared" si="170"/>
        <v>0</v>
      </c>
      <c r="AR682" s="49" t="str">
        <f t="shared" si="171"/>
        <v/>
      </c>
    </row>
    <row r="683" spans="1:44" ht="30" customHeight="1" x14ac:dyDescent="0.35">
      <c r="A683" s="25" t="str">
        <f>CONCATENATE($B$677,"
",$B$679,"",$B$680,"
",$B$681)</f>
        <v>PT178 - PLATAFORMA DE ACESSO - FORQUILHA 3 - BÁSICO
TORRE B5PROJETO BÁSICO
ESTRUTURAS METÁLICAS</v>
      </c>
      <c r="B683" s="40" t="s">
        <v>113</v>
      </c>
      <c r="C683" s="60" t="str">
        <f>IF(AND($B683=[1]rogério!$A684,[1]rogério!$B684=C$4),"ok","nok")</f>
        <v>nok</v>
      </c>
      <c r="D683" s="60" t="str">
        <f>IF(AND($B683=[1]rogério!$A684,[1]rogério!$B684=D$4),"ok","nok")</f>
        <v>nok</v>
      </c>
      <c r="E683" s="60" t="str">
        <f>IF(AND($B683=[1]rogério!$A684,[1]rogério!$B684=E$4),"ok","nok")</f>
        <v>nok</v>
      </c>
      <c r="F683" s="60" t="str">
        <f>IF(AND($B683=[1]rogério!$A684,[1]rogério!$B684=F$4),"ok","nok")</f>
        <v>nok</v>
      </c>
      <c r="G683" s="60" t="str">
        <f>IF(AND($B683=[1]rogério!$A684,[1]rogério!$B684=G$4),"ok","nok")</f>
        <v>nok</v>
      </c>
      <c r="H683" s="60" t="str">
        <f>IF(AND($B683=[1]rogério!$A684,[1]rogério!$B684=H$4),"ok","nok")</f>
        <v>nok</v>
      </c>
      <c r="I683" s="60" t="str">
        <f>IF(AND($B683=[1]rogério!$A684,[1]rogério!$B684=I$4),"ok","nok")</f>
        <v>nok</v>
      </c>
      <c r="J683" s="60" t="str">
        <f>IF(AND($B683=[1]rogério!$A684,[1]rogério!$B684=J$4),"ok","nok")</f>
        <v>nok</v>
      </c>
      <c r="K683" s="60" t="str">
        <f>IF(AND($B683=[1]rogério!$A684,[1]rogério!$B684=K$4),"ok","nok")</f>
        <v>nok</v>
      </c>
      <c r="L683" s="60" t="str">
        <f>IF(AND($B683=[1]rogério!$A684,[1]rogério!$B684=L$4),"ok","nok")</f>
        <v>nok</v>
      </c>
      <c r="M683" s="60" t="str">
        <f>IF(AND($B683=[1]rogério!$A684,[1]rogério!$B684=M$4),"ok","nok")</f>
        <v>nok</v>
      </c>
      <c r="N683" s="60" t="str">
        <f>IF(AND($B683=[1]rogério!$A684,[1]rogério!$B684=N$4),"ok","nok")</f>
        <v>ok</v>
      </c>
      <c r="O683" s="60" t="str">
        <f>IF(AND($B683=[1]rogério!$A684,[1]rogério!$B684=O$4),"ok","nok")</f>
        <v>nok</v>
      </c>
      <c r="P683" s="60" t="str">
        <f>IF(AND($B683=[1]rogério!$A684,[1]rogério!$B684=P$4),"ok","nok")</f>
        <v>nok</v>
      </c>
      <c r="Q683" s="60" t="str">
        <f>IF(AND($B683=[1]rogério!$A684,[1]rogério!$B684=Q$4),"ok","nok")</f>
        <v>nok</v>
      </c>
      <c r="R683" s="60" t="str">
        <f>IF(AND($B683=[1]rogério!$A684,[1]rogério!$B684=R$4),"ok","nok")</f>
        <v>nok</v>
      </c>
      <c r="S683" s="60" t="str">
        <f>IF(AND($B683=[1]rogério!$A684,[1]rogério!$B684=S$4),"ok","nok")</f>
        <v>nok</v>
      </c>
      <c r="T683" s="60" t="str">
        <f>IF(AND($B683=[1]rogério!$A684,[1]rogério!$B684=T$4),"ok","nok")</f>
        <v>nok</v>
      </c>
      <c r="U683" s="60" t="str">
        <f>IF(AND($B683=[1]rogério!$A684,[1]rogério!$B684=U$4),"ok","nok")</f>
        <v>nok</v>
      </c>
      <c r="V683" s="60" t="str">
        <f>IF(AND($B683=[1]rogério!$A684,[1]rogério!$B684=V$4),"ok","nok")</f>
        <v>nok</v>
      </c>
      <c r="W683" s="60" t="str">
        <f>IF(AND($B683=[1]rogério!$A684,[1]rogério!$B684=W$4),"ok","nok")</f>
        <v>nok</v>
      </c>
      <c r="X683" s="60" t="str">
        <f>IF(AND($B683=[1]rogério!$A684,[1]rogério!$B684=X$4),"ok","nok")</f>
        <v>nok</v>
      </c>
      <c r="Y683" s="105" t="s">
        <v>15</v>
      </c>
      <c r="Z683" s="106"/>
      <c r="AA683" s="106"/>
      <c r="AB683" s="107"/>
      <c r="AC683" s="38"/>
      <c r="AD683" s="38"/>
      <c r="AE683" s="48" t="str">
        <f t="shared" si="161"/>
        <v/>
      </c>
      <c r="AF683" s="48"/>
      <c r="AG683" s="48"/>
      <c r="AH683" s="89"/>
      <c r="AI683" s="49">
        <f t="shared" si="162"/>
        <v>0</v>
      </c>
      <c r="AJ683" s="49" t="str">
        <f t="shared" si="163"/>
        <v/>
      </c>
      <c r="AK683" s="49">
        <f t="shared" si="164"/>
        <v>0</v>
      </c>
      <c r="AL683" s="49" t="str">
        <f t="shared" si="165"/>
        <v/>
      </c>
      <c r="AM683" s="49">
        <f t="shared" si="166"/>
        <v>1</v>
      </c>
      <c r="AN683" s="49" t="str">
        <f t="shared" si="167"/>
        <v/>
      </c>
      <c r="AO683" s="49">
        <f t="shared" si="168"/>
        <v>0</v>
      </c>
      <c r="AP683" s="49" t="str">
        <f t="shared" si="169"/>
        <v/>
      </c>
      <c r="AQ683" s="49">
        <f t="shared" si="170"/>
        <v>0</v>
      </c>
      <c r="AR683" s="49" t="str">
        <f t="shared" si="171"/>
        <v/>
      </c>
    </row>
    <row r="684" spans="1:44" ht="30" customHeight="1" x14ac:dyDescent="0.35">
      <c r="A684" s="25" t="str">
        <f t="shared" ref="A684:A687" si="174">CONCATENATE($B$677,"
",$B$679,"",$B$680,"
",$B$681)</f>
        <v>PT178 - PLATAFORMA DE ACESSO - FORQUILHA 3 - BÁSICO
TORRE B5PROJETO BÁSICO
ESTRUTURAS METÁLICAS</v>
      </c>
      <c r="B684" s="40" t="s">
        <v>89</v>
      </c>
      <c r="C684" s="60" t="str">
        <f>IF(AND($B684=[1]rogério!$A685,[1]rogério!$B685=C$4),"ok","nok")</f>
        <v>nok</v>
      </c>
      <c r="D684" s="60" t="str">
        <f>IF(AND($B684=[1]rogério!$A685,[1]rogério!$B685=D$4),"ok","nok")</f>
        <v>nok</v>
      </c>
      <c r="E684" s="60" t="str">
        <f>IF(AND($B684=[1]rogério!$A685,[1]rogério!$B685=E$4),"ok","nok")</f>
        <v>nok</v>
      </c>
      <c r="F684" s="60" t="str">
        <f>IF(AND($B684=[1]rogério!$A685,[1]rogério!$B685=F$4),"ok","nok")</f>
        <v>nok</v>
      </c>
      <c r="G684" s="60" t="str">
        <f>IF(AND($B684=[1]rogério!$A685,[1]rogério!$B685=G$4),"ok","nok")</f>
        <v>nok</v>
      </c>
      <c r="H684" s="60" t="str">
        <f>IF(AND($B684=[1]rogério!$A685,[1]rogério!$B685=H$4),"ok","nok")</f>
        <v>nok</v>
      </c>
      <c r="I684" s="60" t="str">
        <f>IF(AND($B684=[1]rogério!$A685,[1]rogério!$B685=I$4),"ok","nok")</f>
        <v>nok</v>
      </c>
      <c r="J684" s="60" t="str">
        <f>IF(AND($B684=[1]rogério!$A685,[1]rogério!$B685=J$4),"ok","nok")</f>
        <v>nok</v>
      </c>
      <c r="K684" s="60" t="str">
        <f>IF(AND($B684=[1]rogério!$A685,[1]rogério!$B685=K$4),"ok","nok")</f>
        <v>nok</v>
      </c>
      <c r="L684" s="60" t="str">
        <f>IF(AND($B684=[1]rogério!$A685,[1]rogério!$B685=L$4),"ok","nok")</f>
        <v>nok</v>
      </c>
      <c r="M684" s="60" t="str">
        <f>IF(AND($B684=[1]rogério!$A685,[1]rogério!$B685=M$4),"ok","nok")</f>
        <v>nok</v>
      </c>
      <c r="N684" s="60" t="str">
        <f>IF(AND($B684=[1]rogério!$A685,[1]rogério!$B685=N$4),"ok","nok")</f>
        <v>ok</v>
      </c>
      <c r="O684" s="60" t="str">
        <f>IF(AND($B684=[1]rogério!$A685,[1]rogério!$B685=O$4),"ok","nok")</f>
        <v>nok</v>
      </c>
      <c r="P684" s="60" t="str">
        <f>IF(AND($B684=[1]rogério!$A685,[1]rogério!$B685=P$4),"ok","nok")</f>
        <v>nok</v>
      </c>
      <c r="Q684" s="60" t="str">
        <f>IF(AND($B684=[1]rogério!$A685,[1]rogério!$B685=Q$4),"ok","nok")</f>
        <v>nok</v>
      </c>
      <c r="R684" s="60" t="str">
        <f>IF(AND($B684=[1]rogério!$A685,[1]rogério!$B685=R$4),"ok","nok")</f>
        <v>nok</v>
      </c>
      <c r="S684" s="60" t="str">
        <f>IF(AND($B684=[1]rogério!$A685,[1]rogério!$B685=S$4),"ok","nok")</f>
        <v>nok</v>
      </c>
      <c r="T684" s="60" t="str">
        <f>IF(AND($B684=[1]rogério!$A685,[1]rogério!$B685=T$4),"ok","nok")</f>
        <v>nok</v>
      </c>
      <c r="U684" s="60" t="str">
        <f>IF(AND($B684=[1]rogério!$A685,[1]rogério!$B685=U$4),"ok","nok")</f>
        <v>nok</v>
      </c>
      <c r="V684" s="60" t="str">
        <f>IF(AND($B684=[1]rogério!$A685,[1]rogério!$B685=V$4),"ok","nok")</f>
        <v>nok</v>
      </c>
      <c r="W684" s="60" t="str">
        <f>IF(AND($B684=[1]rogério!$A685,[1]rogério!$B685=W$4),"ok","nok")</f>
        <v>nok</v>
      </c>
      <c r="X684" s="60" t="str">
        <f>IF(AND($B684=[1]rogério!$A685,[1]rogério!$B685=X$4),"ok","nok")</f>
        <v>nok</v>
      </c>
      <c r="Y684" s="105" t="s">
        <v>15</v>
      </c>
      <c r="Z684" s="106"/>
      <c r="AA684" s="106"/>
      <c r="AB684" s="107"/>
      <c r="AC684" s="38"/>
      <c r="AD684" s="38"/>
      <c r="AE684" s="48" t="str">
        <f t="shared" si="161"/>
        <v/>
      </c>
      <c r="AF684" s="48"/>
      <c r="AG684" s="48"/>
      <c r="AH684" s="89"/>
      <c r="AI684" s="49">
        <f t="shared" si="162"/>
        <v>0</v>
      </c>
      <c r="AJ684" s="49" t="str">
        <f t="shared" si="163"/>
        <v/>
      </c>
      <c r="AK684" s="49">
        <f t="shared" si="164"/>
        <v>0</v>
      </c>
      <c r="AL684" s="49" t="str">
        <f t="shared" si="165"/>
        <v/>
      </c>
      <c r="AM684" s="49">
        <f t="shared" si="166"/>
        <v>1</v>
      </c>
      <c r="AN684" s="49" t="str">
        <f t="shared" si="167"/>
        <v/>
      </c>
      <c r="AO684" s="49">
        <f t="shared" si="168"/>
        <v>0</v>
      </c>
      <c r="AP684" s="49" t="str">
        <f t="shared" si="169"/>
        <v/>
      </c>
      <c r="AQ684" s="49">
        <f t="shared" si="170"/>
        <v>0</v>
      </c>
      <c r="AR684" s="49" t="str">
        <f t="shared" si="171"/>
        <v/>
      </c>
    </row>
    <row r="685" spans="1:44" ht="30" customHeight="1" x14ac:dyDescent="0.35">
      <c r="A685" s="25" t="str">
        <f t="shared" si="174"/>
        <v>PT178 - PLATAFORMA DE ACESSO - FORQUILHA 3 - BÁSICO
TORRE B5PROJETO BÁSICO
ESTRUTURAS METÁLICAS</v>
      </c>
      <c r="B685" s="40" t="s">
        <v>19</v>
      </c>
      <c r="C685" s="60" t="str">
        <f>IF(AND($B685=[1]rogério!$A686,[1]rogério!$B686=C$4),"ok","nok")</f>
        <v>nok</v>
      </c>
      <c r="D685" s="60" t="str">
        <f>IF(AND($B685=[1]rogério!$A686,[1]rogério!$B686=D$4),"ok","nok")</f>
        <v>nok</v>
      </c>
      <c r="E685" s="60" t="str">
        <f>IF(AND($B685=[1]rogério!$A686,[1]rogério!$B686=E$4),"ok","nok")</f>
        <v>nok</v>
      </c>
      <c r="F685" s="60" t="str">
        <f>IF(AND($B685=[1]rogério!$A686,[1]rogério!$B686=F$4),"ok","nok")</f>
        <v>nok</v>
      </c>
      <c r="G685" s="60" t="str">
        <f>IF(AND($B685=[1]rogério!$A686,[1]rogério!$B686=G$4),"ok","nok")</f>
        <v>nok</v>
      </c>
      <c r="H685" s="60" t="str">
        <f>IF(AND($B685=[1]rogério!$A686,[1]rogério!$B686=H$4),"ok","nok")</f>
        <v>nok</v>
      </c>
      <c r="I685" s="60" t="str">
        <f>IF(AND($B685=[1]rogério!$A686,[1]rogério!$B686=I$4),"ok","nok")</f>
        <v>nok</v>
      </c>
      <c r="J685" s="60" t="str">
        <f>IF(AND($B685=[1]rogério!$A686,[1]rogério!$B686=J$4),"ok","nok")</f>
        <v>nok</v>
      </c>
      <c r="K685" s="60" t="str">
        <f>IF(AND($B685=[1]rogério!$A686,[1]rogério!$B686=K$4),"ok","nok")</f>
        <v>nok</v>
      </c>
      <c r="L685" s="60" t="str">
        <f>IF(AND($B685=[1]rogério!$A686,[1]rogério!$B686=L$4),"ok","nok")</f>
        <v>nok</v>
      </c>
      <c r="M685" s="60" t="str">
        <f>IF(AND($B685=[1]rogério!$A686,[1]rogério!$B686=M$4),"ok","nok")</f>
        <v>nok</v>
      </c>
      <c r="N685" s="60" t="str">
        <f>IF(AND($B685=[1]rogério!$A686,[1]rogério!$B686=N$4),"ok","nok")</f>
        <v>nok</v>
      </c>
      <c r="O685" s="60" t="str">
        <f>IF(AND($B685=[1]rogério!$A686,[1]rogério!$B686=O$4),"ok","nok")</f>
        <v>nok</v>
      </c>
      <c r="P685" s="60" t="str">
        <f>IF(AND($B685=[1]rogério!$A686,[1]rogério!$B686=P$4),"ok","nok")</f>
        <v>nok</v>
      </c>
      <c r="Q685" s="60" t="str">
        <f>IF(AND($B685=[1]rogério!$A686,[1]rogério!$B686=Q$4),"ok","nok")</f>
        <v>nok</v>
      </c>
      <c r="R685" s="60" t="str">
        <f>IF(AND($B685=[1]rogério!$A686,[1]rogério!$B686=R$4),"ok","nok")</f>
        <v>nok</v>
      </c>
      <c r="S685" s="60" t="str">
        <f>IF(AND($B685=[1]rogério!$A686,[1]rogério!$B686=S$4),"ok","nok")</f>
        <v>nok</v>
      </c>
      <c r="T685" s="60" t="str">
        <f>IF(AND($B685=[1]rogério!$A686,[1]rogério!$B686=T$4),"ok","nok")</f>
        <v>nok</v>
      </c>
      <c r="U685" s="60" t="str">
        <f>IF(AND($B685=[1]rogério!$A686,[1]rogério!$B686=U$4),"ok","nok")</f>
        <v>ok</v>
      </c>
      <c r="V685" s="60" t="str">
        <f>IF(AND($B685=[1]rogério!$A686,[1]rogério!$B686=V$4),"ok","nok")</f>
        <v>nok</v>
      </c>
      <c r="W685" s="60" t="str">
        <f>IF(AND($B685=[1]rogério!$A686,[1]rogério!$B686=W$4),"ok","nok")</f>
        <v>nok</v>
      </c>
      <c r="X685" s="60" t="str">
        <f>IF(AND($B685=[1]rogério!$A686,[1]rogério!$B686=X$4),"ok","nok")</f>
        <v>nok</v>
      </c>
      <c r="Y685" s="105" t="s">
        <v>15</v>
      </c>
      <c r="Z685" s="106"/>
      <c r="AA685" s="106"/>
      <c r="AB685" s="107"/>
      <c r="AC685" s="38"/>
      <c r="AD685" s="38"/>
      <c r="AE685" s="48" t="str">
        <f t="shared" si="161"/>
        <v/>
      </c>
      <c r="AF685" s="48"/>
      <c r="AG685" s="48"/>
      <c r="AH685" s="89"/>
      <c r="AI685" s="49">
        <f t="shared" si="162"/>
        <v>0</v>
      </c>
      <c r="AJ685" s="49" t="str">
        <f t="shared" si="163"/>
        <v/>
      </c>
      <c r="AK685" s="49">
        <f t="shared" si="164"/>
        <v>0</v>
      </c>
      <c r="AL685" s="49" t="str">
        <f t="shared" si="165"/>
        <v/>
      </c>
      <c r="AM685" s="49">
        <f t="shared" si="166"/>
        <v>0</v>
      </c>
      <c r="AN685" s="49" t="str">
        <f t="shared" si="167"/>
        <v/>
      </c>
      <c r="AO685" s="49">
        <f t="shared" si="168"/>
        <v>1</v>
      </c>
      <c r="AP685" s="49" t="str">
        <f t="shared" si="169"/>
        <v/>
      </c>
      <c r="AQ685" s="49">
        <f t="shared" si="170"/>
        <v>0</v>
      </c>
      <c r="AR685" s="49" t="str">
        <f t="shared" si="171"/>
        <v/>
      </c>
    </row>
    <row r="686" spans="1:44" ht="30" customHeight="1" x14ac:dyDescent="0.35">
      <c r="A686" s="25" t="str">
        <f t="shared" si="174"/>
        <v>PT178 - PLATAFORMA DE ACESSO - FORQUILHA 3 - BÁSICO
TORRE B5PROJETO BÁSICO
ESTRUTURAS METÁLICAS</v>
      </c>
      <c r="B686" s="40" t="s">
        <v>42</v>
      </c>
      <c r="C686" s="60" t="str">
        <f>IF(AND($B686=[1]rogério!$A687,[1]rogério!$B687=C$4),"ok","nok")</f>
        <v>nok</v>
      </c>
      <c r="D686" s="60" t="str">
        <f>IF(AND($B686=[1]rogério!$A687,[1]rogério!$B687=D$4),"ok","nok")</f>
        <v>nok</v>
      </c>
      <c r="E686" s="60" t="str">
        <f>IF(AND($B686=[1]rogério!$A687,[1]rogério!$B687=E$4),"ok","nok")</f>
        <v>nok</v>
      </c>
      <c r="F686" s="60" t="str">
        <f>IF(AND($B686=[1]rogério!$A687,[1]rogério!$B687=F$4),"ok","nok")</f>
        <v>nok</v>
      </c>
      <c r="G686" s="60" t="str">
        <f>IF(AND($B686=[1]rogério!$A687,[1]rogério!$B687=G$4),"ok","nok")</f>
        <v>nok</v>
      </c>
      <c r="H686" s="60" t="str">
        <f>IF(AND($B686=[1]rogério!$A687,[1]rogério!$B687=H$4),"ok","nok")</f>
        <v>nok</v>
      </c>
      <c r="I686" s="60" t="str">
        <f>IF(AND($B686=[1]rogério!$A687,[1]rogério!$B687=I$4),"ok","nok")</f>
        <v>nok</v>
      </c>
      <c r="J686" s="60" t="str">
        <f>IF(AND($B686=[1]rogério!$A687,[1]rogério!$B687=J$4),"ok","nok")</f>
        <v>nok</v>
      </c>
      <c r="K686" s="60" t="str">
        <f>IF(AND($B686=[1]rogério!$A687,[1]rogério!$B687=K$4),"ok","nok")</f>
        <v>nok</v>
      </c>
      <c r="L686" s="60" t="str">
        <f>IF(AND($B686=[1]rogério!$A687,[1]rogério!$B687=L$4),"ok","nok")</f>
        <v>nok</v>
      </c>
      <c r="M686" s="60" t="str">
        <f>IF(AND($B686=[1]rogério!$A687,[1]rogério!$B687=M$4),"ok","nok")</f>
        <v>nok</v>
      </c>
      <c r="N686" s="60" t="str">
        <f>IF(AND($B686=[1]rogério!$A687,[1]rogério!$B687=N$4),"ok","nok")</f>
        <v>nok</v>
      </c>
      <c r="O686" s="60" t="str">
        <f>IF(AND($B686=[1]rogério!$A687,[1]rogério!$B687=O$4),"ok","nok")</f>
        <v>nok</v>
      </c>
      <c r="P686" s="60" t="str">
        <f>IF(AND($B686=[1]rogério!$A687,[1]rogério!$B687=P$4),"ok","nok")</f>
        <v>nok</v>
      </c>
      <c r="Q686" s="60" t="str">
        <f>IF(AND($B686=[1]rogério!$A687,[1]rogério!$B687=Q$4),"ok","nok")</f>
        <v>nok</v>
      </c>
      <c r="R686" s="60" t="str">
        <f>IF(AND($B686=[1]rogério!$A687,[1]rogério!$B687=R$4),"ok","nok")</f>
        <v>nok</v>
      </c>
      <c r="S686" s="60" t="str">
        <f>IF(AND($B686=[1]rogério!$A687,[1]rogério!$B687=S$4),"ok","nok")</f>
        <v>nok</v>
      </c>
      <c r="T686" s="60" t="str">
        <f>IF(AND($B686=[1]rogério!$A687,[1]rogério!$B687=T$4),"ok","nok")</f>
        <v>nok</v>
      </c>
      <c r="U686" s="60" t="str">
        <f>IF(AND($B686=[1]rogério!$A687,[1]rogério!$B687=U$4),"ok","nok")</f>
        <v>nok</v>
      </c>
      <c r="V686" s="60" t="str">
        <f>IF(AND($B686=[1]rogério!$A687,[1]rogério!$B687=V$4),"ok","nok")</f>
        <v>nok</v>
      </c>
      <c r="W686" s="60" t="str">
        <f>IF(AND($B686=[1]rogério!$A687,[1]rogério!$B687=W$4),"ok","nok")</f>
        <v>nok</v>
      </c>
      <c r="X686" s="60" t="str">
        <f>IF(AND($B686=[1]rogério!$A687,[1]rogério!$B687=X$4),"ok","nok")</f>
        <v>ok</v>
      </c>
      <c r="Y686" s="105" t="s">
        <v>15</v>
      </c>
      <c r="Z686" s="106"/>
      <c r="AA686" s="106"/>
      <c r="AB686" s="107"/>
      <c r="AC686" s="38"/>
      <c r="AD686" s="38"/>
      <c r="AE686" s="48" t="str">
        <f t="shared" si="161"/>
        <v/>
      </c>
      <c r="AF686" s="48"/>
      <c r="AG686" s="48"/>
      <c r="AH686" s="89"/>
      <c r="AI686" s="49">
        <f t="shared" si="162"/>
        <v>0</v>
      </c>
      <c r="AJ686" s="49" t="str">
        <f t="shared" si="163"/>
        <v/>
      </c>
      <c r="AK686" s="49">
        <f t="shared" si="164"/>
        <v>0</v>
      </c>
      <c r="AL686" s="49" t="str">
        <f t="shared" si="165"/>
        <v/>
      </c>
      <c r="AM686" s="49">
        <f t="shared" si="166"/>
        <v>0</v>
      </c>
      <c r="AN686" s="49" t="str">
        <f t="shared" si="167"/>
        <v/>
      </c>
      <c r="AO686" s="49">
        <f t="shared" si="168"/>
        <v>0</v>
      </c>
      <c r="AP686" s="49" t="str">
        <f t="shared" si="169"/>
        <v/>
      </c>
      <c r="AQ686" s="49">
        <f t="shared" si="170"/>
        <v>1</v>
      </c>
      <c r="AR686" s="49" t="str">
        <f t="shared" si="171"/>
        <v/>
      </c>
    </row>
    <row r="687" spans="1:44" ht="30" customHeight="1" x14ac:dyDescent="0.35">
      <c r="A687" s="25" t="str">
        <f t="shared" si="174"/>
        <v>PT178 - PLATAFORMA DE ACESSO - FORQUILHA 3 - BÁSICO
TORRE B5PROJETO BÁSICO
ESTRUTURAS METÁLICAS</v>
      </c>
      <c r="B687" s="40" t="s">
        <v>43</v>
      </c>
      <c r="C687" s="60" t="str">
        <f>IF(AND($B687=[1]rogério!$A688,[1]rogério!$B688=C$4),"ok","nok")</f>
        <v>nok</v>
      </c>
      <c r="D687" s="60" t="str">
        <f>IF(AND($B687=[1]rogério!$A688,[1]rogério!$B688=D$4),"ok","nok")</f>
        <v>nok</v>
      </c>
      <c r="E687" s="60" t="str">
        <f>IF(AND($B687=[1]rogério!$A688,[1]rogério!$B688=E$4),"ok","nok")</f>
        <v>nok</v>
      </c>
      <c r="F687" s="60" t="str">
        <f>IF(AND($B687=[1]rogério!$A688,[1]rogério!$B688=F$4),"ok","nok")</f>
        <v>nok</v>
      </c>
      <c r="G687" s="60" t="str">
        <f>IF(AND($B687=[1]rogério!$A688,[1]rogério!$B688=G$4),"ok","nok")</f>
        <v>nok</v>
      </c>
      <c r="H687" s="60" t="str">
        <f>IF(AND($B687=[1]rogério!$A688,[1]rogério!$B688=H$4),"ok","nok")</f>
        <v>nok</v>
      </c>
      <c r="I687" s="60" t="str">
        <f>IF(AND($B687=[1]rogério!$A688,[1]rogério!$B688=I$4),"ok","nok")</f>
        <v>nok</v>
      </c>
      <c r="J687" s="60" t="str">
        <f>IF(AND($B687=[1]rogério!$A688,[1]rogério!$B688=J$4),"ok","nok")</f>
        <v>nok</v>
      </c>
      <c r="K687" s="60" t="str">
        <f>IF(AND($B687=[1]rogério!$A688,[1]rogério!$B688=K$4),"ok","nok")</f>
        <v>nok</v>
      </c>
      <c r="L687" s="60" t="str">
        <f>IF(AND($B687=[1]rogério!$A688,[1]rogério!$B688=L$4),"ok","nok")</f>
        <v>nok</v>
      </c>
      <c r="M687" s="60" t="str">
        <f>IF(AND($B687=[1]rogério!$A688,[1]rogério!$B688=M$4),"ok","nok")</f>
        <v>nok</v>
      </c>
      <c r="N687" s="60" t="str">
        <f>IF(AND($B687=[1]rogério!$A688,[1]rogério!$B688=N$4),"ok","nok")</f>
        <v>nok</v>
      </c>
      <c r="O687" s="60" t="str">
        <f>IF(AND($B687=[1]rogério!$A688,[1]rogério!$B688=O$4),"ok","nok")</f>
        <v>nok</v>
      </c>
      <c r="P687" s="60" t="str">
        <f>IF(AND($B687=[1]rogério!$A688,[1]rogério!$B688=P$4),"ok","nok")</f>
        <v>nok</v>
      </c>
      <c r="Q687" s="60" t="str">
        <f>IF(AND($B687=[1]rogério!$A688,[1]rogério!$B688=Q$4),"ok","nok")</f>
        <v>nok</v>
      </c>
      <c r="R687" s="60" t="str">
        <f>IF(AND($B687=[1]rogério!$A688,[1]rogério!$B688=R$4),"ok","nok")</f>
        <v>nok</v>
      </c>
      <c r="S687" s="60" t="str">
        <f>IF(AND($B687=[1]rogério!$A688,[1]rogério!$B688=S$4),"ok","nok")</f>
        <v>nok</v>
      </c>
      <c r="T687" s="60" t="str">
        <f>IF(AND($B687=[1]rogério!$A688,[1]rogério!$B688=T$4),"ok","nok")</f>
        <v>nok</v>
      </c>
      <c r="U687" s="60" t="str">
        <f>IF(AND($B687=[1]rogério!$A688,[1]rogério!$B688=U$4),"ok","nok")</f>
        <v>nok</v>
      </c>
      <c r="V687" s="60" t="str">
        <f>IF(AND($B687=[1]rogério!$A688,[1]rogério!$B688=V$4),"ok","nok")</f>
        <v>nok</v>
      </c>
      <c r="W687" s="60" t="str">
        <f>IF(AND($B687=[1]rogério!$A688,[1]rogério!$B688=W$4),"ok","nok")</f>
        <v>nok</v>
      </c>
      <c r="X687" s="60" t="str">
        <f>IF(AND($B687=[1]rogério!$A688,[1]rogério!$B688=X$4),"ok","nok")</f>
        <v>ok</v>
      </c>
      <c r="Y687" s="105" t="s">
        <v>15</v>
      </c>
      <c r="Z687" s="106"/>
      <c r="AA687" s="106"/>
      <c r="AB687" s="107"/>
      <c r="AC687" s="38"/>
      <c r="AD687" s="38"/>
      <c r="AE687" s="48" t="str">
        <f t="shared" si="161"/>
        <v/>
      </c>
      <c r="AF687" s="48"/>
      <c r="AG687" s="48"/>
      <c r="AH687" s="89"/>
      <c r="AI687" s="49">
        <f t="shared" si="162"/>
        <v>0</v>
      </c>
      <c r="AJ687" s="49" t="str">
        <f t="shared" si="163"/>
        <v/>
      </c>
      <c r="AK687" s="49">
        <f t="shared" si="164"/>
        <v>0</v>
      </c>
      <c r="AL687" s="49" t="str">
        <f t="shared" si="165"/>
        <v/>
      </c>
      <c r="AM687" s="49">
        <f t="shared" si="166"/>
        <v>0</v>
      </c>
      <c r="AN687" s="49" t="str">
        <f t="shared" si="167"/>
        <v/>
      </c>
      <c r="AO687" s="49">
        <f t="shared" si="168"/>
        <v>0</v>
      </c>
      <c r="AP687" s="49" t="str">
        <f t="shared" si="169"/>
        <v/>
      </c>
      <c r="AQ687" s="49">
        <f t="shared" si="170"/>
        <v>1</v>
      </c>
      <c r="AR687" s="49" t="str">
        <f t="shared" si="171"/>
        <v/>
      </c>
    </row>
    <row r="688" spans="1:44" ht="30" customHeight="1" x14ac:dyDescent="0.35">
      <c r="A688" s="25"/>
      <c r="B688" s="62" t="s">
        <v>64</v>
      </c>
      <c r="C688" s="62"/>
      <c r="D688" s="62"/>
      <c r="E688" s="62"/>
      <c r="F688" s="62"/>
      <c r="G688" s="62"/>
      <c r="H688" s="62"/>
      <c r="I688" s="62"/>
      <c r="J688" s="62"/>
      <c r="K688" s="62"/>
      <c r="L688" s="62"/>
      <c r="M688" s="62"/>
      <c r="N688" s="62"/>
      <c r="O688" s="62"/>
      <c r="P688" s="62"/>
      <c r="Q688" s="62"/>
      <c r="R688" s="62"/>
      <c r="S688" s="62"/>
      <c r="T688" s="62"/>
      <c r="U688" s="62"/>
      <c r="V688" s="62"/>
      <c r="W688" s="62"/>
      <c r="X688" s="62"/>
      <c r="Y688" s="114"/>
      <c r="Z688" s="115"/>
      <c r="AA688" s="115"/>
      <c r="AB688" s="116"/>
      <c r="AC688" s="38"/>
      <c r="AD688" s="38"/>
      <c r="AE688" s="48" t="str">
        <f t="shared" si="161"/>
        <v/>
      </c>
      <c r="AF688" s="48"/>
      <c r="AG688" s="48"/>
      <c r="AH688" s="89"/>
      <c r="AI688" s="49">
        <f t="shared" si="162"/>
        <v>0</v>
      </c>
      <c r="AJ688" s="49" t="str">
        <f t="shared" si="163"/>
        <v/>
      </c>
      <c r="AK688" s="49">
        <f t="shared" si="164"/>
        <v>0</v>
      </c>
      <c r="AL688" s="49" t="str">
        <f t="shared" si="165"/>
        <v/>
      </c>
      <c r="AM688" s="49">
        <f t="shared" si="166"/>
        <v>0</v>
      </c>
      <c r="AN688" s="49" t="str">
        <f t="shared" si="167"/>
        <v/>
      </c>
      <c r="AO688" s="49">
        <f t="shared" si="168"/>
        <v>0</v>
      </c>
      <c r="AP688" s="49" t="str">
        <f t="shared" si="169"/>
        <v/>
      </c>
      <c r="AQ688" s="49">
        <f t="shared" si="170"/>
        <v>0</v>
      </c>
      <c r="AR688" s="49" t="str">
        <f t="shared" si="171"/>
        <v/>
      </c>
    </row>
    <row r="689" spans="1:44" ht="30" customHeight="1" x14ac:dyDescent="0.35">
      <c r="A689" s="25"/>
      <c r="B689" s="39" t="s">
        <v>59</v>
      </c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108"/>
      <c r="Z689" s="109"/>
      <c r="AA689" s="109"/>
      <c r="AB689" s="110"/>
      <c r="AC689" s="38"/>
      <c r="AD689" s="38"/>
      <c r="AE689" s="48" t="str">
        <f t="shared" si="161"/>
        <v/>
      </c>
      <c r="AF689" s="48"/>
      <c r="AG689" s="48"/>
      <c r="AH689" s="89"/>
      <c r="AI689" s="49">
        <f t="shared" si="162"/>
        <v>0</v>
      </c>
      <c r="AJ689" s="49" t="str">
        <f t="shared" si="163"/>
        <v/>
      </c>
      <c r="AK689" s="49">
        <f t="shared" si="164"/>
        <v>0</v>
      </c>
      <c r="AL689" s="49" t="str">
        <f t="shared" si="165"/>
        <v/>
      </c>
      <c r="AM689" s="49">
        <f t="shared" si="166"/>
        <v>0</v>
      </c>
      <c r="AN689" s="49" t="str">
        <f t="shared" si="167"/>
        <v/>
      </c>
      <c r="AO689" s="49">
        <f t="shared" si="168"/>
        <v>0</v>
      </c>
      <c r="AP689" s="49" t="str">
        <f t="shared" si="169"/>
        <v/>
      </c>
      <c r="AQ689" s="49">
        <f t="shared" si="170"/>
        <v>0</v>
      </c>
      <c r="AR689" s="49" t="str">
        <f t="shared" si="171"/>
        <v/>
      </c>
    </row>
    <row r="690" spans="1:44" ht="30" customHeight="1" x14ac:dyDescent="0.35">
      <c r="A690" s="25" t="str">
        <f>CONCATENATE($B$677,"
",$B$679,"",$B$680,"
",$B$688)</f>
        <v>PT178 - PLATAFORMA DE ACESSO - FORQUILHA 3 - BÁSICO
TORRE B5PROJETO BÁSICO
CIVIL</v>
      </c>
      <c r="B690" s="40" t="s">
        <v>60</v>
      </c>
      <c r="C690" s="60" t="str">
        <f>IF(AND($B690=[1]rogério!$A691,[1]rogério!$B691=C$4),"ok","nok")</f>
        <v>nok</v>
      </c>
      <c r="D690" s="60" t="str">
        <f>IF(AND($B690=[1]rogério!$A691,[1]rogério!$B691=D$4),"ok","nok")</f>
        <v>nok</v>
      </c>
      <c r="E690" s="60" t="str">
        <f>IF(AND($B690=[1]rogério!$A691,[1]rogério!$B691=E$4),"ok","nok")</f>
        <v>nok</v>
      </c>
      <c r="F690" s="60" t="str">
        <f>IF(AND($B690=[1]rogério!$A691,[1]rogério!$B691=F$4),"ok","nok")</f>
        <v>nok</v>
      </c>
      <c r="G690" s="60" t="str">
        <f>IF(AND($B690=[1]rogério!$A691,[1]rogério!$B691=G$4),"ok","nok")</f>
        <v>nok</v>
      </c>
      <c r="H690" s="60" t="str">
        <f>IF(AND($B690=[1]rogério!$A691,[1]rogério!$B691=H$4),"ok","nok")</f>
        <v>nok</v>
      </c>
      <c r="I690" s="60" t="str">
        <f>IF(AND($B690=[1]rogério!$A691,[1]rogério!$B691=I$4),"ok","nok")</f>
        <v>nok</v>
      </c>
      <c r="J690" s="60" t="str">
        <f>IF(AND($B690=[1]rogério!$A691,[1]rogério!$B691=J$4),"ok","nok")</f>
        <v>ok</v>
      </c>
      <c r="K690" s="60" t="str">
        <f>IF(AND($B690=[1]rogério!$A691,[1]rogério!$B691=K$4),"ok","nok")</f>
        <v>nok</v>
      </c>
      <c r="L690" s="60" t="str">
        <f>IF(AND($B690=[1]rogério!$A691,[1]rogério!$B691=L$4),"ok","nok")</f>
        <v>nok</v>
      </c>
      <c r="M690" s="60" t="str">
        <f>IF(AND($B690=[1]rogério!$A691,[1]rogério!$B691=M$4),"ok","nok")</f>
        <v>nok</v>
      </c>
      <c r="N690" s="60" t="str">
        <f>IF(AND($B690=[1]rogério!$A691,[1]rogério!$B691=N$4),"ok","nok")</f>
        <v>nok</v>
      </c>
      <c r="O690" s="60" t="str">
        <f>IF(AND($B690=[1]rogério!$A691,[1]rogério!$B691=O$4),"ok","nok")</f>
        <v>nok</v>
      </c>
      <c r="P690" s="60" t="str">
        <f>IF(AND($B690=[1]rogério!$A691,[1]rogério!$B691=P$4),"ok","nok")</f>
        <v>nok</v>
      </c>
      <c r="Q690" s="60" t="str">
        <f>IF(AND($B690=[1]rogério!$A691,[1]rogério!$B691=Q$4),"ok","nok")</f>
        <v>nok</v>
      </c>
      <c r="R690" s="60" t="str">
        <f>IF(AND($B690=[1]rogério!$A691,[1]rogério!$B691=R$4),"ok","nok")</f>
        <v>nok</v>
      </c>
      <c r="S690" s="60" t="str">
        <f>IF(AND($B690=[1]rogério!$A691,[1]rogério!$B691=S$4),"ok","nok")</f>
        <v>nok</v>
      </c>
      <c r="T690" s="60" t="str">
        <f>IF(AND($B690=[1]rogério!$A691,[1]rogério!$B691=T$4),"ok","nok")</f>
        <v>nok</v>
      </c>
      <c r="U690" s="60" t="str">
        <f>IF(AND($B690=[1]rogério!$A691,[1]rogério!$B691=U$4),"ok","nok")</f>
        <v>nok</v>
      </c>
      <c r="V690" s="60" t="str">
        <f>IF(AND($B690=[1]rogério!$A691,[1]rogério!$B691=V$4),"ok","nok")</f>
        <v>nok</v>
      </c>
      <c r="W690" s="60" t="str">
        <f>IF(AND($B690=[1]rogério!$A691,[1]rogério!$B691=W$4),"ok","nok")</f>
        <v>nok</v>
      </c>
      <c r="X690" s="60" t="str">
        <f>IF(AND($B690=[1]rogério!$A691,[1]rogério!$B691=X$4),"ok","nok")</f>
        <v>nok</v>
      </c>
      <c r="Y690" s="105" t="s">
        <v>15</v>
      </c>
      <c r="Z690" s="106"/>
      <c r="AA690" s="106"/>
      <c r="AB690" s="107"/>
      <c r="AC690" s="38"/>
      <c r="AD690" s="38"/>
      <c r="AE690" s="48" t="str">
        <f t="shared" si="161"/>
        <v/>
      </c>
      <c r="AF690" s="48"/>
      <c r="AG690" s="48"/>
      <c r="AH690" s="89"/>
      <c r="AI690" s="49">
        <f t="shared" si="162"/>
        <v>0</v>
      </c>
      <c r="AJ690" s="49" t="str">
        <f t="shared" si="163"/>
        <v/>
      </c>
      <c r="AK690" s="49">
        <f t="shared" si="164"/>
        <v>1</v>
      </c>
      <c r="AL690" s="49" t="str">
        <f t="shared" si="165"/>
        <v/>
      </c>
      <c r="AM690" s="49">
        <f t="shared" si="166"/>
        <v>0</v>
      </c>
      <c r="AN690" s="49" t="str">
        <f t="shared" si="167"/>
        <v/>
      </c>
      <c r="AO690" s="49">
        <f t="shared" si="168"/>
        <v>0</v>
      </c>
      <c r="AP690" s="49" t="str">
        <f t="shared" si="169"/>
        <v/>
      </c>
      <c r="AQ690" s="49">
        <f t="shared" si="170"/>
        <v>0</v>
      </c>
      <c r="AR690" s="49" t="str">
        <f t="shared" si="171"/>
        <v/>
      </c>
    </row>
    <row r="691" spans="1:44" ht="30" customHeight="1" x14ac:dyDescent="0.35">
      <c r="A691" s="25" t="str">
        <f t="shared" ref="A691:A708" si="175">CONCATENATE($B$677,"
",$B$679,"",$B$680,"
",$B$688)</f>
        <v>PT178 - PLATAFORMA DE ACESSO - FORQUILHA 3 - BÁSICO
TORRE B5PROJETO BÁSICO
CIVIL</v>
      </c>
      <c r="B691" s="40" t="s">
        <v>61</v>
      </c>
      <c r="C691" s="60" t="str">
        <f>IF(AND($B691=[1]rogério!$A692,[1]rogério!$B692=C$4),"ok","nok")</f>
        <v>nok</v>
      </c>
      <c r="D691" s="60" t="str">
        <f>IF(AND($B691=[1]rogério!$A692,[1]rogério!$B692=D$4),"ok","nok")</f>
        <v>nok</v>
      </c>
      <c r="E691" s="60" t="str">
        <f>IF(AND($B691=[1]rogério!$A692,[1]rogério!$B692=E$4),"ok","nok")</f>
        <v>nok</v>
      </c>
      <c r="F691" s="60" t="str">
        <f>IF(AND($B691=[1]rogério!$A692,[1]rogério!$B692=F$4),"ok","nok")</f>
        <v>nok</v>
      </c>
      <c r="G691" s="60" t="str">
        <f>IF(AND($B691=[1]rogério!$A692,[1]rogério!$B692=G$4),"ok","nok")</f>
        <v>nok</v>
      </c>
      <c r="H691" s="60" t="str">
        <f>IF(AND($B691=[1]rogério!$A692,[1]rogério!$B692=H$4),"ok","nok")</f>
        <v>nok</v>
      </c>
      <c r="I691" s="60" t="str">
        <f>IF(AND($B691=[1]rogério!$A692,[1]rogério!$B692=I$4),"ok","nok")</f>
        <v>nok</v>
      </c>
      <c r="J691" s="60" t="str">
        <f>IF(AND($B691=[1]rogério!$A692,[1]rogério!$B692=J$4),"ok","nok")</f>
        <v>ok</v>
      </c>
      <c r="K691" s="60" t="str">
        <f>IF(AND($B691=[1]rogério!$A692,[1]rogério!$B692=K$4),"ok","nok")</f>
        <v>nok</v>
      </c>
      <c r="L691" s="60" t="str">
        <f>IF(AND($B691=[1]rogério!$A692,[1]rogério!$B692=L$4),"ok","nok")</f>
        <v>nok</v>
      </c>
      <c r="M691" s="60" t="str">
        <f>IF(AND($B691=[1]rogério!$A692,[1]rogério!$B692=M$4),"ok","nok")</f>
        <v>nok</v>
      </c>
      <c r="N691" s="60" t="str">
        <f>IF(AND($B691=[1]rogério!$A692,[1]rogério!$B692=N$4),"ok","nok")</f>
        <v>nok</v>
      </c>
      <c r="O691" s="60" t="str">
        <f>IF(AND($B691=[1]rogério!$A692,[1]rogério!$B692=O$4),"ok","nok")</f>
        <v>nok</v>
      </c>
      <c r="P691" s="60" t="str">
        <f>IF(AND($B691=[1]rogério!$A692,[1]rogério!$B692=P$4),"ok","nok")</f>
        <v>nok</v>
      </c>
      <c r="Q691" s="60" t="str">
        <f>IF(AND($B691=[1]rogério!$A692,[1]rogério!$B692=Q$4),"ok","nok")</f>
        <v>nok</v>
      </c>
      <c r="R691" s="60" t="str">
        <f>IF(AND($B691=[1]rogério!$A692,[1]rogério!$B692=R$4),"ok","nok")</f>
        <v>nok</v>
      </c>
      <c r="S691" s="60" t="str">
        <f>IF(AND($B691=[1]rogério!$A692,[1]rogério!$B692=S$4),"ok","nok")</f>
        <v>nok</v>
      </c>
      <c r="T691" s="60" t="str">
        <f>IF(AND($B691=[1]rogério!$A692,[1]rogério!$B692=T$4),"ok","nok")</f>
        <v>nok</v>
      </c>
      <c r="U691" s="60" t="str">
        <f>IF(AND($B691=[1]rogério!$A692,[1]rogério!$B692=U$4),"ok","nok")</f>
        <v>nok</v>
      </c>
      <c r="V691" s="60" t="str">
        <f>IF(AND($B691=[1]rogério!$A692,[1]rogério!$B692=V$4),"ok","nok")</f>
        <v>nok</v>
      </c>
      <c r="W691" s="60" t="str">
        <f>IF(AND($B691=[1]rogério!$A692,[1]rogério!$B692=W$4),"ok","nok")</f>
        <v>nok</v>
      </c>
      <c r="X691" s="60" t="str">
        <f>IF(AND($B691=[1]rogério!$A692,[1]rogério!$B692=X$4),"ok","nok")</f>
        <v>nok</v>
      </c>
      <c r="Y691" s="105" t="s">
        <v>15</v>
      </c>
      <c r="Z691" s="106"/>
      <c r="AA691" s="106"/>
      <c r="AB691" s="107"/>
      <c r="AC691" s="38"/>
      <c r="AD691" s="38"/>
      <c r="AE691" s="48" t="str">
        <f t="shared" si="161"/>
        <v/>
      </c>
      <c r="AF691" s="48"/>
      <c r="AG691" s="48"/>
      <c r="AH691" s="89"/>
      <c r="AI691" s="49">
        <f t="shared" si="162"/>
        <v>0</v>
      </c>
      <c r="AJ691" s="49" t="str">
        <f t="shared" si="163"/>
        <v/>
      </c>
      <c r="AK691" s="49">
        <f t="shared" si="164"/>
        <v>1</v>
      </c>
      <c r="AL691" s="49" t="str">
        <f t="shared" si="165"/>
        <v/>
      </c>
      <c r="AM691" s="49">
        <f t="shared" si="166"/>
        <v>0</v>
      </c>
      <c r="AN691" s="49" t="str">
        <f t="shared" si="167"/>
        <v/>
      </c>
      <c r="AO691" s="49">
        <f t="shared" si="168"/>
        <v>0</v>
      </c>
      <c r="AP691" s="49" t="str">
        <f t="shared" si="169"/>
        <v/>
      </c>
      <c r="AQ691" s="49">
        <f t="shared" si="170"/>
        <v>0</v>
      </c>
      <c r="AR691" s="49" t="str">
        <f t="shared" si="171"/>
        <v/>
      </c>
    </row>
    <row r="692" spans="1:44" ht="30" customHeight="1" x14ac:dyDescent="0.35">
      <c r="A692" s="25" t="str">
        <f t="shared" si="175"/>
        <v>PT178 - PLATAFORMA DE ACESSO - FORQUILHA 3 - BÁSICO
TORRE B5PROJETO BÁSICO
CIVIL</v>
      </c>
      <c r="B692" s="40" t="s">
        <v>19</v>
      </c>
      <c r="C692" s="60" t="str">
        <f>IF(AND($B692=[1]rogério!$A693,[1]rogério!$B693=C$4),"ok","nok")</f>
        <v>nok</v>
      </c>
      <c r="D692" s="60" t="str">
        <f>IF(AND($B692=[1]rogério!$A693,[1]rogério!$B693=D$4),"ok","nok")</f>
        <v>nok</v>
      </c>
      <c r="E692" s="60" t="str">
        <f>IF(AND($B692=[1]rogério!$A693,[1]rogério!$B693=E$4),"ok","nok")</f>
        <v>nok</v>
      </c>
      <c r="F692" s="60" t="str">
        <f>IF(AND($B692=[1]rogério!$A693,[1]rogério!$B693=F$4),"ok","nok")</f>
        <v>nok</v>
      </c>
      <c r="G692" s="60" t="str">
        <f>IF(AND($B692=[1]rogério!$A693,[1]rogério!$B693=G$4),"ok","nok")</f>
        <v>nok</v>
      </c>
      <c r="H692" s="60" t="str">
        <f>IF(AND($B692=[1]rogério!$A693,[1]rogério!$B693=H$4),"ok","nok")</f>
        <v>nok</v>
      </c>
      <c r="I692" s="60" t="str">
        <f>IF(AND($B692=[1]rogério!$A693,[1]rogério!$B693=I$4),"ok","nok")</f>
        <v>nok</v>
      </c>
      <c r="J692" s="60" t="str">
        <f>IF(AND($B692=[1]rogério!$A693,[1]rogério!$B693=J$4),"ok","nok")</f>
        <v>nok</v>
      </c>
      <c r="K692" s="60" t="str">
        <f>IF(AND($B692=[1]rogério!$A693,[1]rogério!$B693=K$4),"ok","nok")</f>
        <v>nok</v>
      </c>
      <c r="L692" s="60" t="str">
        <f>IF(AND($B692=[1]rogério!$A693,[1]rogério!$B693=L$4),"ok","nok")</f>
        <v>nok</v>
      </c>
      <c r="M692" s="60" t="str">
        <f>IF(AND($B692=[1]rogério!$A693,[1]rogério!$B693=M$4),"ok","nok")</f>
        <v>nok</v>
      </c>
      <c r="N692" s="60" t="str">
        <f>IF(AND($B692=[1]rogério!$A693,[1]rogério!$B693=N$4),"ok","nok")</f>
        <v>nok</v>
      </c>
      <c r="O692" s="60" t="str">
        <f>IF(AND($B692=[1]rogério!$A693,[1]rogério!$B693=O$4),"ok","nok")</f>
        <v>nok</v>
      </c>
      <c r="P692" s="60" t="str">
        <f>IF(AND($B692=[1]rogério!$A693,[1]rogério!$B693=P$4),"ok","nok")</f>
        <v>nok</v>
      </c>
      <c r="Q692" s="60" t="str">
        <f>IF(AND($B692=[1]rogério!$A693,[1]rogério!$B693=Q$4),"ok","nok")</f>
        <v>ok</v>
      </c>
      <c r="R692" s="60" t="str">
        <f>IF(AND($B692=[1]rogério!$A693,[1]rogério!$B693=R$4),"ok","nok")</f>
        <v>nok</v>
      </c>
      <c r="S692" s="60" t="str">
        <f>IF(AND($B692=[1]rogério!$A693,[1]rogério!$B693=S$4),"ok","nok")</f>
        <v>nok</v>
      </c>
      <c r="T692" s="60" t="str">
        <f>IF(AND($B692=[1]rogério!$A693,[1]rogério!$B693=T$4),"ok","nok")</f>
        <v>nok</v>
      </c>
      <c r="U692" s="60" t="str">
        <f>IF(AND($B692=[1]rogério!$A693,[1]rogério!$B693=U$4),"ok","nok")</f>
        <v>nok</v>
      </c>
      <c r="V692" s="60" t="str">
        <f>IF(AND($B692=[1]rogério!$A693,[1]rogério!$B693=V$4),"ok","nok")</f>
        <v>nok</v>
      </c>
      <c r="W692" s="60" t="str">
        <f>IF(AND($B692=[1]rogério!$A693,[1]rogério!$B693=W$4),"ok","nok")</f>
        <v>nok</v>
      </c>
      <c r="X692" s="60" t="str">
        <f>IF(AND($B692=[1]rogério!$A693,[1]rogério!$B693=X$4),"ok","nok")</f>
        <v>nok</v>
      </c>
      <c r="Y692" s="105" t="s">
        <v>15</v>
      </c>
      <c r="Z692" s="106"/>
      <c r="AA692" s="106"/>
      <c r="AB692" s="107"/>
      <c r="AC692" s="38"/>
      <c r="AD692" s="38"/>
      <c r="AE692" s="48" t="str">
        <f t="shared" si="161"/>
        <v/>
      </c>
      <c r="AF692" s="48"/>
      <c r="AG692" s="48"/>
      <c r="AH692" s="89"/>
      <c r="AI692" s="49">
        <f t="shared" si="162"/>
        <v>0</v>
      </c>
      <c r="AJ692" s="49" t="str">
        <f t="shared" si="163"/>
        <v/>
      </c>
      <c r="AK692" s="49">
        <f t="shared" si="164"/>
        <v>0</v>
      </c>
      <c r="AL692" s="49" t="str">
        <f t="shared" si="165"/>
        <v/>
      </c>
      <c r="AM692" s="49">
        <f t="shared" si="166"/>
        <v>1</v>
      </c>
      <c r="AN692" s="49" t="str">
        <f t="shared" si="167"/>
        <v/>
      </c>
      <c r="AO692" s="49">
        <f t="shared" si="168"/>
        <v>0</v>
      </c>
      <c r="AP692" s="49" t="str">
        <f t="shared" si="169"/>
        <v/>
      </c>
      <c r="AQ692" s="49">
        <f t="shared" si="170"/>
        <v>0</v>
      </c>
      <c r="AR692" s="49" t="str">
        <f t="shared" si="171"/>
        <v/>
      </c>
    </row>
    <row r="693" spans="1:44" ht="30" customHeight="1" x14ac:dyDescent="0.35">
      <c r="A693" s="25" t="str">
        <f t="shared" si="175"/>
        <v>PT178 - PLATAFORMA DE ACESSO - FORQUILHA 3 - BÁSICO
TORRE B5PROJETO BÁSICO
CIVIL</v>
      </c>
      <c r="B693" s="40" t="s">
        <v>42</v>
      </c>
      <c r="C693" s="60" t="str">
        <f>IF(AND($B693=[1]rogério!$A694,[1]rogério!$B694=C$4),"ok","nok")</f>
        <v>nok</v>
      </c>
      <c r="D693" s="60" t="str">
        <f>IF(AND($B693=[1]rogério!$A694,[1]rogério!$B694=D$4),"ok","nok")</f>
        <v>nok</v>
      </c>
      <c r="E693" s="60" t="str">
        <f>IF(AND($B693=[1]rogério!$A694,[1]rogério!$B694=E$4),"ok","nok")</f>
        <v>nok</v>
      </c>
      <c r="F693" s="60" t="str">
        <f>IF(AND($B693=[1]rogério!$A694,[1]rogério!$B694=F$4),"ok","nok")</f>
        <v>nok</v>
      </c>
      <c r="G693" s="60" t="str">
        <f>IF(AND($B693=[1]rogério!$A694,[1]rogério!$B694=G$4),"ok","nok")</f>
        <v>nok</v>
      </c>
      <c r="H693" s="60" t="str">
        <f>IF(AND($B693=[1]rogério!$A694,[1]rogério!$B694=H$4),"ok","nok")</f>
        <v>nok</v>
      </c>
      <c r="I693" s="60" t="str">
        <f>IF(AND($B693=[1]rogério!$A694,[1]rogério!$B694=I$4),"ok","nok")</f>
        <v>nok</v>
      </c>
      <c r="J693" s="60" t="str">
        <f>IF(AND($B693=[1]rogério!$A694,[1]rogério!$B694=J$4),"ok","nok")</f>
        <v>nok</v>
      </c>
      <c r="K693" s="60" t="str">
        <f>IF(AND($B693=[1]rogério!$A694,[1]rogério!$B694=K$4),"ok","nok")</f>
        <v>nok</v>
      </c>
      <c r="L693" s="60" t="str">
        <f>IF(AND($B693=[1]rogério!$A694,[1]rogério!$B694=L$4),"ok","nok")</f>
        <v>nok</v>
      </c>
      <c r="M693" s="60" t="str">
        <f>IF(AND($B693=[1]rogério!$A694,[1]rogério!$B694=M$4),"ok","nok")</f>
        <v>nok</v>
      </c>
      <c r="N693" s="60" t="str">
        <f>IF(AND($B693=[1]rogério!$A694,[1]rogério!$B694=N$4),"ok","nok")</f>
        <v>nok</v>
      </c>
      <c r="O693" s="60" t="str">
        <f>IF(AND($B693=[1]rogério!$A694,[1]rogério!$B694=O$4),"ok","nok")</f>
        <v>nok</v>
      </c>
      <c r="P693" s="60" t="str">
        <f>IF(AND($B693=[1]rogério!$A694,[1]rogério!$B694=P$4),"ok","nok")</f>
        <v>nok</v>
      </c>
      <c r="Q693" s="60" t="str">
        <f>IF(AND($B693=[1]rogério!$A694,[1]rogério!$B694=Q$4),"ok","nok")</f>
        <v>nok</v>
      </c>
      <c r="R693" s="60" t="str">
        <f>IF(AND($B693=[1]rogério!$A694,[1]rogério!$B694=R$4),"ok","nok")</f>
        <v>nok</v>
      </c>
      <c r="S693" s="60" t="str">
        <f>IF(AND($B693=[1]rogério!$A694,[1]rogério!$B694=S$4),"ok","nok")</f>
        <v>nok</v>
      </c>
      <c r="T693" s="60" t="str">
        <f>IF(AND($B693=[1]rogério!$A694,[1]rogério!$B694=T$4),"ok","nok")</f>
        <v>ok</v>
      </c>
      <c r="U693" s="60" t="str">
        <f>IF(AND($B693=[1]rogério!$A694,[1]rogério!$B694=U$4),"ok","nok")</f>
        <v>nok</v>
      </c>
      <c r="V693" s="60" t="str">
        <f>IF(AND($B693=[1]rogério!$A694,[1]rogério!$B694=V$4),"ok","nok")</f>
        <v>nok</v>
      </c>
      <c r="W693" s="60" t="str">
        <f>IF(AND($B693=[1]rogério!$A694,[1]rogério!$B694=W$4),"ok","nok")</f>
        <v>nok</v>
      </c>
      <c r="X693" s="60" t="str">
        <f>IF(AND($B693=[1]rogério!$A694,[1]rogério!$B694=X$4),"ok","nok")</f>
        <v>nok</v>
      </c>
      <c r="Y693" s="105" t="s">
        <v>15</v>
      </c>
      <c r="Z693" s="106"/>
      <c r="AA693" s="106"/>
      <c r="AB693" s="107"/>
      <c r="AC693" s="38"/>
      <c r="AD693" s="38"/>
      <c r="AE693" s="48" t="str">
        <f t="shared" si="161"/>
        <v/>
      </c>
      <c r="AF693" s="48"/>
      <c r="AG693" s="48"/>
      <c r="AH693" s="89"/>
      <c r="AI693" s="49">
        <f t="shared" si="162"/>
        <v>0</v>
      </c>
      <c r="AJ693" s="49" t="str">
        <f t="shared" si="163"/>
        <v/>
      </c>
      <c r="AK693" s="49">
        <f t="shared" si="164"/>
        <v>0</v>
      </c>
      <c r="AL693" s="49" t="str">
        <f t="shared" si="165"/>
        <v/>
      </c>
      <c r="AM693" s="49">
        <f t="shared" si="166"/>
        <v>0</v>
      </c>
      <c r="AN693" s="49" t="str">
        <f t="shared" si="167"/>
        <v/>
      </c>
      <c r="AO693" s="49">
        <f t="shared" si="168"/>
        <v>1</v>
      </c>
      <c r="AP693" s="49" t="str">
        <f t="shared" si="169"/>
        <v/>
      </c>
      <c r="AQ693" s="49">
        <f t="shared" si="170"/>
        <v>0</v>
      </c>
      <c r="AR693" s="49" t="str">
        <f t="shared" si="171"/>
        <v/>
      </c>
    </row>
    <row r="694" spans="1:44" ht="30" customHeight="1" x14ac:dyDescent="0.35">
      <c r="A694" s="25" t="str">
        <f t="shared" si="175"/>
        <v>PT178 - PLATAFORMA DE ACESSO - FORQUILHA 3 - BÁSICO
TORRE B5PROJETO BÁSICO
CIVIL</v>
      </c>
      <c r="B694" s="40" t="s">
        <v>43</v>
      </c>
      <c r="C694" s="60" t="str">
        <f>IF(AND($B694=[1]rogério!$A695,[1]rogério!$B695=C$4),"ok","nok")</f>
        <v>nok</v>
      </c>
      <c r="D694" s="60" t="str">
        <f>IF(AND($B694=[1]rogério!$A695,[1]rogério!$B695=D$4),"ok","nok")</f>
        <v>nok</v>
      </c>
      <c r="E694" s="60" t="str">
        <f>IF(AND($B694=[1]rogério!$A695,[1]rogério!$B695=E$4),"ok","nok")</f>
        <v>nok</v>
      </c>
      <c r="F694" s="60" t="str">
        <f>IF(AND($B694=[1]rogério!$A695,[1]rogério!$B695=F$4),"ok","nok")</f>
        <v>nok</v>
      </c>
      <c r="G694" s="60" t="str">
        <f>IF(AND($B694=[1]rogério!$A695,[1]rogério!$B695=G$4),"ok","nok")</f>
        <v>nok</v>
      </c>
      <c r="H694" s="60" t="str">
        <f>IF(AND($B694=[1]rogério!$A695,[1]rogério!$B695=H$4),"ok","nok")</f>
        <v>nok</v>
      </c>
      <c r="I694" s="60" t="str">
        <f>IF(AND($B694=[1]rogério!$A695,[1]rogério!$B695=I$4),"ok","nok")</f>
        <v>nok</v>
      </c>
      <c r="J694" s="60" t="str">
        <f>IF(AND($B694=[1]rogério!$A695,[1]rogério!$B695=J$4),"ok","nok")</f>
        <v>nok</v>
      </c>
      <c r="K694" s="60" t="str">
        <f>IF(AND($B694=[1]rogério!$A695,[1]rogério!$B695=K$4),"ok","nok")</f>
        <v>nok</v>
      </c>
      <c r="L694" s="60" t="str">
        <f>IF(AND($B694=[1]rogério!$A695,[1]rogério!$B695=L$4),"ok","nok")</f>
        <v>nok</v>
      </c>
      <c r="M694" s="60" t="str">
        <f>IF(AND($B694=[1]rogério!$A695,[1]rogério!$B695=M$4),"ok","nok")</f>
        <v>nok</v>
      </c>
      <c r="N694" s="60" t="str">
        <f>IF(AND($B694=[1]rogério!$A695,[1]rogério!$B695=N$4),"ok","nok")</f>
        <v>nok</v>
      </c>
      <c r="O694" s="60" t="str">
        <f>IF(AND($B694=[1]rogério!$A695,[1]rogério!$B695=O$4),"ok","nok")</f>
        <v>nok</v>
      </c>
      <c r="P694" s="60" t="str">
        <f>IF(AND($B694=[1]rogério!$A695,[1]rogério!$B695=P$4),"ok","nok")</f>
        <v>nok</v>
      </c>
      <c r="Q694" s="60" t="str">
        <f>IF(AND($B694=[1]rogério!$A695,[1]rogério!$B695=Q$4),"ok","nok")</f>
        <v>nok</v>
      </c>
      <c r="R694" s="60" t="str">
        <f>IF(AND($B694=[1]rogério!$A695,[1]rogério!$B695=R$4),"ok","nok")</f>
        <v>nok</v>
      </c>
      <c r="S694" s="60" t="str">
        <f>IF(AND($B694=[1]rogério!$A695,[1]rogério!$B695=S$4),"ok","nok")</f>
        <v>nok</v>
      </c>
      <c r="T694" s="60" t="str">
        <f>IF(AND($B694=[1]rogério!$A695,[1]rogério!$B695=T$4),"ok","nok")</f>
        <v>ok</v>
      </c>
      <c r="U694" s="60" t="str">
        <f>IF(AND($B694=[1]rogério!$A695,[1]rogério!$B695=U$4),"ok","nok")</f>
        <v>nok</v>
      </c>
      <c r="V694" s="60" t="str">
        <f>IF(AND($B694=[1]rogério!$A695,[1]rogério!$B695=V$4),"ok","nok")</f>
        <v>nok</v>
      </c>
      <c r="W694" s="60" t="str">
        <f>IF(AND($B694=[1]rogério!$A695,[1]rogério!$B695=W$4),"ok","nok")</f>
        <v>nok</v>
      </c>
      <c r="X694" s="60" t="str">
        <f>IF(AND($B694=[1]rogério!$A695,[1]rogério!$B695=X$4),"ok","nok")</f>
        <v>nok</v>
      </c>
      <c r="Y694" s="105" t="s">
        <v>15</v>
      </c>
      <c r="Z694" s="106"/>
      <c r="AA694" s="106"/>
      <c r="AB694" s="107"/>
      <c r="AC694" s="38"/>
      <c r="AD694" s="38"/>
      <c r="AE694" s="48" t="str">
        <f t="shared" si="161"/>
        <v/>
      </c>
      <c r="AF694" s="48"/>
      <c r="AG694" s="48"/>
      <c r="AH694" s="89"/>
      <c r="AI694" s="49">
        <f t="shared" si="162"/>
        <v>0</v>
      </c>
      <c r="AJ694" s="49" t="str">
        <f t="shared" si="163"/>
        <v/>
      </c>
      <c r="AK694" s="49">
        <f t="shared" si="164"/>
        <v>0</v>
      </c>
      <c r="AL694" s="49" t="str">
        <f t="shared" si="165"/>
        <v/>
      </c>
      <c r="AM694" s="49">
        <f t="shared" si="166"/>
        <v>0</v>
      </c>
      <c r="AN694" s="49" t="str">
        <f t="shared" si="167"/>
        <v/>
      </c>
      <c r="AO694" s="49">
        <f t="shared" si="168"/>
        <v>1</v>
      </c>
      <c r="AP694" s="49" t="str">
        <f t="shared" si="169"/>
        <v/>
      </c>
      <c r="AQ694" s="49">
        <f t="shared" si="170"/>
        <v>0</v>
      </c>
      <c r="AR694" s="49" t="str">
        <f t="shared" si="171"/>
        <v/>
      </c>
    </row>
    <row r="695" spans="1:44" ht="30" customHeight="1" x14ac:dyDescent="0.35">
      <c r="A695" s="25" t="str">
        <f t="shared" si="175"/>
        <v>PT178 - PLATAFORMA DE ACESSO - FORQUILHA 3 - BÁSICO
TORRE B5PROJETO BÁSICO
CIVIL</v>
      </c>
      <c r="B695" s="38" t="s">
        <v>65</v>
      </c>
      <c r="C695" s="60" t="str">
        <f>IF(AND($B695=[1]rogério!$A696,[1]rogério!$B696=C$4),"ok","nok")</f>
        <v>nok</v>
      </c>
      <c r="D695" s="60" t="str">
        <f>IF(AND($B695=[1]rogério!$A696,[1]rogério!$B696=D$4),"ok","nok")</f>
        <v>nok</v>
      </c>
      <c r="E695" s="60" t="str">
        <f>IF(AND($B695=[1]rogério!$A696,[1]rogério!$B696=E$4),"ok","nok")</f>
        <v>nok</v>
      </c>
      <c r="F695" s="60" t="str">
        <f>IF(AND($B695=[1]rogério!$A696,[1]rogério!$B696=F$4),"ok","nok")</f>
        <v>nok</v>
      </c>
      <c r="G695" s="60" t="str">
        <f>IF(AND($B695=[1]rogério!$A696,[1]rogério!$B696=G$4),"ok","nok")</f>
        <v>nok</v>
      </c>
      <c r="H695" s="60" t="str">
        <f>IF(AND($B695=[1]rogério!$A696,[1]rogério!$B696=H$4),"ok","nok")</f>
        <v>nok</v>
      </c>
      <c r="I695" s="60" t="str">
        <f>IF(AND($B695=[1]rogério!$A696,[1]rogério!$B696=I$4),"ok","nok")</f>
        <v>nok</v>
      </c>
      <c r="J695" s="60" t="str">
        <f>IF(AND($B695=[1]rogério!$A696,[1]rogério!$B696=J$4),"ok","nok")</f>
        <v>nok</v>
      </c>
      <c r="K695" s="60" t="str">
        <f>IF(AND($B695=[1]rogério!$A696,[1]rogério!$B696=K$4),"ok","nok")</f>
        <v>nok</v>
      </c>
      <c r="L695" s="60" t="str">
        <f>IF(AND($B695=[1]rogério!$A696,[1]rogério!$B696=L$4),"ok","nok")</f>
        <v>ok</v>
      </c>
      <c r="M695" s="60" t="str">
        <f>IF(AND($B695=[1]rogério!$A696,[1]rogério!$B696=M$4),"ok","nok")</f>
        <v>nok</v>
      </c>
      <c r="N695" s="60" t="str">
        <f>IF(AND($B695=[1]rogério!$A696,[1]rogério!$B696=N$4),"ok","nok")</f>
        <v>nok</v>
      </c>
      <c r="O695" s="60" t="str">
        <f>IF(AND($B695=[1]rogério!$A696,[1]rogério!$B696=O$4),"ok","nok")</f>
        <v>nok</v>
      </c>
      <c r="P695" s="60" t="str">
        <f>IF(AND($B695=[1]rogério!$A696,[1]rogério!$B696=P$4),"ok","nok")</f>
        <v>nok</v>
      </c>
      <c r="Q695" s="60" t="str">
        <f>IF(AND($B695=[1]rogério!$A696,[1]rogério!$B696=Q$4),"ok","nok")</f>
        <v>nok</v>
      </c>
      <c r="R695" s="60" t="str">
        <f>IF(AND($B695=[1]rogério!$A696,[1]rogério!$B696=R$4),"ok","nok")</f>
        <v>nok</v>
      </c>
      <c r="S695" s="60" t="str">
        <f>IF(AND($B695=[1]rogério!$A696,[1]rogério!$B696=S$4),"ok","nok")</f>
        <v>nok</v>
      </c>
      <c r="T695" s="60" t="str">
        <f>IF(AND($B695=[1]rogério!$A696,[1]rogério!$B696=T$4),"ok","nok")</f>
        <v>nok</v>
      </c>
      <c r="U695" s="60" t="str">
        <f>IF(AND($B695=[1]rogério!$A696,[1]rogério!$B696=U$4),"ok","nok")</f>
        <v>nok</v>
      </c>
      <c r="V695" s="60" t="str">
        <f>IF(AND($B695=[1]rogério!$A696,[1]rogério!$B696=V$4),"ok","nok")</f>
        <v>nok</v>
      </c>
      <c r="W695" s="60" t="str">
        <f>IF(AND($B695=[1]rogério!$A696,[1]rogério!$B696=W$4),"ok","nok")</f>
        <v>nok</v>
      </c>
      <c r="X695" s="60" t="str">
        <f>IF(AND($B695=[1]rogério!$A696,[1]rogério!$B696=X$4),"ok","nok")</f>
        <v>nok</v>
      </c>
      <c r="Y695" s="105" t="s">
        <v>15</v>
      </c>
      <c r="Z695" s="106"/>
      <c r="AA695" s="106"/>
      <c r="AB695" s="107"/>
      <c r="AC695" s="38"/>
      <c r="AD695" s="38"/>
      <c r="AE695" s="48" t="str">
        <f t="shared" si="161"/>
        <v/>
      </c>
      <c r="AF695" s="48"/>
      <c r="AG695" s="48"/>
      <c r="AH695" s="89"/>
      <c r="AI695" s="49">
        <f t="shared" si="162"/>
        <v>0</v>
      </c>
      <c r="AJ695" s="49" t="str">
        <f t="shared" si="163"/>
        <v/>
      </c>
      <c r="AK695" s="49">
        <f t="shared" si="164"/>
        <v>1</v>
      </c>
      <c r="AL695" s="49" t="str">
        <f t="shared" si="165"/>
        <v/>
      </c>
      <c r="AM695" s="49">
        <f t="shared" si="166"/>
        <v>0</v>
      </c>
      <c r="AN695" s="49" t="str">
        <f t="shared" si="167"/>
        <v/>
      </c>
      <c r="AO695" s="49">
        <f t="shared" si="168"/>
        <v>0</v>
      </c>
      <c r="AP695" s="49" t="str">
        <f t="shared" si="169"/>
        <v/>
      </c>
      <c r="AQ695" s="49">
        <f t="shared" si="170"/>
        <v>0</v>
      </c>
      <c r="AR695" s="49" t="str">
        <f t="shared" si="171"/>
        <v/>
      </c>
    </row>
    <row r="696" spans="1:44" ht="30" customHeight="1" x14ac:dyDescent="0.35">
      <c r="A696" s="25" t="str">
        <f t="shared" si="175"/>
        <v>PT178 - PLATAFORMA DE ACESSO - FORQUILHA 3 - BÁSICO
TORRE B5PROJETO BÁSICO
CIVIL</v>
      </c>
      <c r="B696" s="38" t="s">
        <v>66</v>
      </c>
      <c r="C696" s="60" t="str">
        <f>IF(AND($B696=[1]rogério!$A697,[1]rogério!$B697=C$4),"ok","nok")</f>
        <v>nok</v>
      </c>
      <c r="D696" s="60" t="str">
        <f>IF(AND($B696=[1]rogério!$A697,[1]rogério!$B697=D$4),"ok","nok")</f>
        <v>nok</v>
      </c>
      <c r="E696" s="60" t="str">
        <f>IF(AND($B696=[1]rogério!$A697,[1]rogério!$B697=E$4),"ok","nok")</f>
        <v>nok</v>
      </c>
      <c r="F696" s="60" t="str">
        <f>IF(AND($B696=[1]rogério!$A697,[1]rogério!$B697=F$4),"ok","nok")</f>
        <v>nok</v>
      </c>
      <c r="G696" s="60" t="str">
        <f>IF(AND($B696=[1]rogério!$A697,[1]rogério!$B697=G$4),"ok","nok")</f>
        <v>nok</v>
      </c>
      <c r="H696" s="60" t="str">
        <f>IF(AND($B696=[1]rogério!$A697,[1]rogério!$B697=H$4),"ok","nok")</f>
        <v>nok</v>
      </c>
      <c r="I696" s="60" t="str">
        <f>IF(AND($B696=[1]rogério!$A697,[1]rogério!$B697=I$4),"ok","nok")</f>
        <v>nok</v>
      </c>
      <c r="J696" s="60" t="str">
        <f>IF(AND($B696=[1]rogério!$A697,[1]rogério!$B697=J$4),"ok","nok")</f>
        <v>nok</v>
      </c>
      <c r="K696" s="60" t="str">
        <f>IF(AND($B696=[1]rogério!$A697,[1]rogério!$B697=K$4),"ok","nok")</f>
        <v>nok</v>
      </c>
      <c r="L696" s="60" t="str">
        <f>IF(AND($B696=[1]rogério!$A697,[1]rogério!$B697=L$4),"ok","nok")</f>
        <v>nok</v>
      </c>
      <c r="M696" s="60" t="str">
        <f>IF(AND($B696=[1]rogério!$A697,[1]rogério!$B697=M$4),"ok","nok")</f>
        <v>ok</v>
      </c>
      <c r="N696" s="60" t="str">
        <f>IF(AND($B696=[1]rogério!$A697,[1]rogério!$B697=N$4),"ok","nok")</f>
        <v>nok</v>
      </c>
      <c r="O696" s="60" t="str">
        <f>IF(AND($B696=[1]rogério!$A697,[1]rogério!$B697=O$4),"ok","nok")</f>
        <v>nok</v>
      </c>
      <c r="P696" s="60" t="str">
        <f>IF(AND($B696=[1]rogério!$A697,[1]rogério!$B697=P$4),"ok","nok")</f>
        <v>nok</v>
      </c>
      <c r="Q696" s="60" t="str">
        <f>IF(AND($B696=[1]rogério!$A697,[1]rogério!$B697=Q$4),"ok","nok")</f>
        <v>nok</v>
      </c>
      <c r="R696" s="60" t="str">
        <f>IF(AND($B696=[1]rogério!$A697,[1]rogério!$B697=R$4),"ok","nok")</f>
        <v>nok</v>
      </c>
      <c r="S696" s="60" t="str">
        <f>IF(AND($B696=[1]rogério!$A697,[1]rogério!$B697=S$4),"ok","nok")</f>
        <v>nok</v>
      </c>
      <c r="T696" s="60" t="str">
        <f>IF(AND($B696=[1]rogério!$A697,[1]rogério!$B697=T$4),"ok","nok")</f>
        <v>nok</v>
      </c>
      <c r="U696" s="60" t="str">
        <f>IF(AND($B696=[1]rogério!$A697,[1]rogério!$B697=U$4),"ok","nok")</f>
        <v>nok</v>
      </c>
      <c r="V696" s="60" t="str">
        <f>IF(AND($B696=[1]rogério!$A697,[1]rogério!$B697=V$4),"ok","nok")</f>
        <v>nok</v>
      </c>
      <c r="W696" s="60" t="str">
        <f>IF(AND($B696=[1]rogério!$A697,[1]rogério!$B697=W$4),"ok","nok")</f>
        <v>nok</v>
      </c>
      <c r="X696" s="60" t="str">
        <f>IF(AND($B696=[1]rogério!$A697,[1]rogério!$B697=X$4),"ok","nok")</f>
        <v>nok</v>
      </c>
      <c r="Y696" s="105" t="s">
        <v>15</v>
      </c>
      <c r="Z696" s="106"/>
      <c r="AA696" s="106"/>
      <c r="AB696" s="107"/>
      <c r="AC696" s="38"/>
      <c r="AD696" s="38"/>
      <c r="AE696" s="48" t="str">
        <f t="shared" si="161"/>
        <v/>
      </c>
      <c r="AF696" s="48"/>
      <c r="AG696" s="48"/>
      <c r="AH696" s="89"/>
      <c r="AI696" s="49">
        <f t="shared" si="162"/>
        <v>0</v>
      </c>
      <c r="AJ696" s="49" t="str">
        <f t="shared" si="163"/>
        <v/>
      </c>
      <c r="AK696" s="49">
        <f t="shared" si="164"/>
        <v>0</v>
      </c>
      <c r="AL696" s="49" t="str">
        <f t="shared" si="165"/>
        <v/>
      </c>
      <c r="AM696" s="49">
        <f t="shared" si="166"/>
        <v>1</v>
      </c>
      <c r="AN696" s="49" t="str">
        <f t="shared" si="167"/>
        <v/>
      </c>
      <c r="AO696" s="49">
        <f t="shared" si="168"/>
        <v>0</v>
      </c>
      <c r="AP696" s="49" t="str">
        <f t="shared" si="169"/>
        <v/>
      </c>
      <c r="AQ696" s="49">
        <f t="shared" si="170"/>
        <v>0</v>
      </c>
      <c r="AR696" s="49" t="str">
        <f t="shared" si="171"/>
        <v/>
      </c>
    </row>
    <row r="697" spans="1:44" ht="30" customHeight="1" x14ac:dyDescent="0.35">
      <c r="A697" s="25"/>
      <c r="B697" s="39" t="s">
        <v>67</v>
      </c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108"/>
      <c r="Z697" s="109"/>
      <c r="AA697" s="109"/>
      <c r="AB697" s="110"/>
      <c r="AC697" s="38"/>
      <c r="AD697" s="38"/>
      <c r="AE697" s="48" t="str">
        <f t="shared" si="161"/>
        <v/>
      </c>
      <c r="AF697" s="48"/>
      <c r="AG697" s="48"/>
      <c r="AH697" s="89"/>
      <c r="AI697" s="49">
        <f t="shared" si="162"/>
        <v>0</v>
      </c>
      <c r="AJ697" s="49" t="str">
        <f t="shared" si="163"/>
        <v/>
      </c>
      <c r="AK697" s="49">
        <f t="shared" si="164"/>
        <v>0</v>
      </c>
      <c r="AL697" s="49" t="str">
        <f t="shared" si="165"/>
        <v/>
      </c>
      <c r="AM697" s="49">
        <f t="shared" si="166"/>
        <v>0</v>
      </c>
      <c r="AN697" s="49" t="str">
        <f t="shared" si="167"/>
        <v/>
      </c>
      <c r="AO697" s="49">
        <f t="shared" si="168"/>
        <v>0</v>
      </c>
      <c r="AP697" s="49" t="str">
        <f t="shared" si="169"/>
        <v/>
      </c>
      <c r="AQ697" s="49">
        <f t="shared" si="170"/>
        <v>0</v>
      </c>
      <c r="AR697" s="49" t="str">
        <f t="shared" si="171"/>
        <v/>
      </c>
    </row>
    <row r="698" spans="1:44" ht="30" customHeight="1" x14ac:dyDescent="0.35">
      <c r="A698" s="25" t="str">
        <f t="shared" si="175"/>
        <v>PT178 - PLATAFORMA DE ACESSO - FORQUILHA 3 - BÁSICO
TORRE B5PROJETO BÁSICO
CIVIL</v>
      </c>
      <c r="B698" s="40" t="s">
        <v>49</v>
      </c>
      <c r="C698" s="60" t="str">
        <f>IF(AND($B698=[1]rogério!$A699,[1]rogério!$B699=C$4),"ok","nok")</f>
        <v>nok</v>
      </c>
      <c r="D698" s="60" t="str">
        <f>IF(AND($B698=[1]rogério!$A699,[1]rogério!$B699=D$4),"ok","nok")</f>
        <v>nok</v>
      </c>
      <c r="E698" s="60" t="str">
        <f>IF(AND($B698=[1]rogério!$A699,[1]rogério!$B699=E$4),"ok","nok")</f>
        <v>nok</v>
      </c>
      <c r="F698" s="60" t="str">
        <f>IF(AND($B698=[1]rogério!$A699,[1]rogério!$B699=F$4),"ok","nok")</f>
        <v>nok</v>
      </c>
      <c r="G698" s="60" t="str">
        <f>IF(AND($B698=[1]rogério!$A699,[1]rogério!$B699=G$4),"ok","nok")</f>
        <v>nok</v>
      </c>
      <c r="H698" s="60" t="str">
        <f>IF(AND($B698=[1]rogério!$A699,[1]rogério!$B699=H$4),"ok","nok")</f>
        <v>nok</v>
      </c>
      <c r="I698" s="60" t="str">
        <f>IF(AND($B698=[1]rogério!$A699,[1]rogério!$B699=I$4),"ok","nok")</f>
        <v>nok</v>
      </c>
      <c r="J698" s="60" t="str">
        <f>IF(AND($B698=[1]rogério!$A699,[1]rogério!$B699=J$4),"ok","nok")</f>
        <v>nok</v>
      </c>
      <c r="K698" s="60" t="str">
        <f>IF(AND($B698=[1]rogério!$A699,[1]rogério!$B699=K$4),"ok","nok")</f>
        <v>nok</v>
      </c>
      <c r="L698" s="60" t="str">
        <f>IF(AND($B698=[1]rogério!$A699,[1]rogério!$B699=L$4),"ok","nok")</f>
        <v>nok</v>
      </c>
      <c r="M698" s="60" t="str">
        <f>IF(AND($B698=[1]rogério!$A699,[1]rogério!$B699=M$4),"ok","nok")</f>
        <v>ok</v>
      </c>
      <c r="N698" s="60" t="str">
        <f>IF(AND($B698=[1]rogério!$A699,[1]rogério!$B699=N$4),"ok","nok")</f>
        <v>nok</v>
      </c>
      <c r="O698" s="60" t="str">
        <f>IF(AND($B698=[1]rogério!$A699,[1]rogério!$B699=O$4),"ok","nok")</f>
        <v>nok</v>
      </c>
      <c r="P698" s="60" t="str">
        <f>IF(AND($B698=[1]rogério!$A699,[1]rogério!$B699=P$4),"ok","nok")</f>
        <v>nok</v>
      </c>
      <c r="Q698" s="60" t="str">
        <f>IF(AND($B698=[1]rogério!$A699,[1]rogério!$B699=Q$4),"ok","nok")</f>
        <v>nok</v>
      </c>
      <c r="R698" s="60" t="str">
        <f>IF(AND($B698=[1]rogério!$A699,[1]rogério!$B699=R$4),"ok","nok")</f>
        <v>nok</v>
      </c>
      <c r="S698" s="60" t="str">
        <f>IF(AND($B698=[1]rogério!$A699,[1]rogério!$B699=S$4),"ok","nok")</f>
        <v>nok</v>
      </c>
      <c r="T698" s="60" t="str">
        <f>IF(AND($B698=[1]rogério!$A699,[1]rogério!$B699=T$4),"ok","nok")</f>
        <v>nok</v>
      </c>
      <c r="U698" s="60" t="str">
        <f>IF(AND($B698=[1]rogério!$A699,[1]rogério!$B699=U$4),"ok","nok")</f>
        <v>nok</v>
      </c>
      <c r="V698" s="60" t="str">
        <f>IF(AND($B698=[1]rogério!$A699,[1]rogério!$B699=V$4),"ok","nok")</f>
        <v>nok</v>
      </c>
      <c r="W698" s="60" t="str">
        <f>IF(AND($B698=[1]rogério!$A699,[1]rogério!$B699=W$4),"ok","nok")</f>
        <v>nok</v>
      </c>
      <c r="X698" s="60" t="str">
        <f>IF(AND($B698=[1]rogério!$A699,[1]rogério!$B699=X$4),"ok","nok")</f>
        <v>nok</v>
      </c>
      <c r="Y698" s="105" t="s">
        <v>15</v>
      </c>
      <c r="Z698" s="106"/>
      <c r="AA698" s="106"/>
      <c r="AB698" s="107"/>
      <c r="AC698" s="38"/>
      <c r="AD698" s="38"/>
      <c r="AE698" s="48" t="str">
        <f t="shared" si="161"/>
        <v/>
      </c>
      <c r="AF698" s="48"/>
      <c r="AG698" s="48"/>
      <c r="AH698" s="89"/>
      <c r="AI698" s="49">
        <f t="shared" si="162"/>
        <v>0</v>
      </c>
      <c r="AJ698" s="49" t="str">
        <f t="shared" si="163"/>
        <v/>
      </c>
      <c r="AK698" s="49">
        <f t="shared" si="164"/>
        <v>0</v>
      </c>
      <c r="AL698" s="49" t="str">
        <f t="shared" si="165"/>
        <v/>
      </c>
      <c r="AM698" s="49">
        <f t="shared" si="166"/>
        <v>1</v>
      </c>
      <c r="AN698" s="49" t="str">
        <f t="shared" si="167"/>
        <v/>
      </c>
      <c r="AO698" s="49">
        <f t="shared" si="168"/>
        <v>0</v>
      </c>
      <c r="AP698" s="49" t="str">
        <f t="shared" si="169"/>
        <v/>
      </c>
      <c r="AQ698" s="49">
        <f t="shared" si="170"/>
        <v>0</v>
      </c>
      <c r="AR698" s="49" t="str">
        <f t="shared" si="171"/>
        <v/>
      </c>
    </row>
    <row r="699" spans="1:44" ht="30" customHeight="1" x14ac:dyDescent="0.35">
      <c r="A699" s="25" t="str">
        <f t="shared" si="175"/>
        <v>PT178 - PLATAFORMA DE ACESSO - FORQUILHA 3 - BÁSICO
TORRE B5PROJETO BÁSICO
CIVIL</v>
      </c>
      <c r="B699" s="40" t="s">
        <v>19</v>
      </c>
      <c r="C699" s="60" t="str">
        <f>IF(AND($B699=[1]rogério!$A700,[1]rogério!$B700=C$4),"ok","nok")</f>
        <v>nok</v>
      </c>
      <c r="D699" s="60" t="str">
        <f>IF(AND($B699=[1]rogério!$A700,[1]rogério!$B700=D$4),"ok","nok")</f>
        <v>nok</v>
      </c>
      <c r="E699" s="60" t="str">
        <f>IF(AND($B699=[1]rogério!$A700,[1]rogério!$B700=E$4),"ok","nok")</f>
        <v>nok</v>
      </c>
      <c r="F699" s="60" t="str">
        <f>IF(AND($B699=[1]rogério!$A700,[1]rogério!$B700=F$4),"ok","nok")</f>
        <v>nok</v>
      </c>
      <c r="G699" s="60" t="str">
        <f>IF(AND($B699=[1]rogério!$A700,[1]rogério!$B700=G$4),"ok","nok")</f>
        <v>nok</v>
      </c>
      <c r="H699" s="60" t="str">
        <f>IF(AND($B699=[1]rogério!$A700,[1]rogério!$B700=H$4),"ok","nok")</f>
        <v>nok</v>
      </c>
      <c r="I699" s="60" t="str">
        <f>IF(AND($B699=[1]rogério!$A700,[1]rogério!$B700=I$4),"ok","nok")</f>
        <v>nok</v>
      </c>
      <c r="J699" s="60" t="str">
        <f>IF(AND($B699=[1]rogério!$A700,[1]rogério!$B700=J$4),"ok","nok")</f>
        <v>nok</v>
      </c>
      <c r="K699" s="60" t="str">
        <f>IF(AND($B699=[1]rogério!$A700,[1]rogério!$B700=K$4),"ok","nok")</f>
        <v>nok</v>
      </c>
      <c r="L699" s="60" t="str">
        <f>IF(AND($B699=[1]rogério!$A700,[1]rogério!$B700=L$4),"ok","nok")</f>
        <v>nok</v>
      </c>
      <c r="M699" s="60" t="str">
        <f>IF(AND($B699=[1]rogério!$A700,[1]rogério!$B700=M$4),"ok","nok")</f>
        <v>nok</v>
      </c>
      <c r="N699" s="60" t="str">
        <f>IF(AND($B699=[1]rogério!$A700,[1]rogério!$B700=N$4),"ok","nok")</f>
        <v>nok</v>
      </c>
      <c r="O699" s="60" t="str">
        <f>IF(AND($B699=[1]rogério!$A700,[1]rogério!$B700=O$4),"ok","nok")</f>
        <v>nok</v>
      </c>
      <c r="P699" s="60" t="str">
        <f>IF(AND($B699=[1]rogério!$A700,[1]rogério!$B700=P$4),"ok","nok")</f>
        <v>nok</v>
      </c>
      <c r="Q699" s="60" t="str">
        <f>IF(AND($B699=[1]rogério!$A700,[1]rogério!$B700=Q$4),"ok","nok")</f>
        <v>nok</v>
      </c>
      <c r="R699" s="60" t="str">
        <f>IF(AND($B699=[1]rogério!$A700,[1]rogério!$B700=R$4),"ok","nok")</f>
        <v>ok</v>
      </c>
      <c r="S699" s="60" t="str">
        <f>IF(AND($B699=[1]rogério!$A700,[1]rogério!$B700=S$4),"ok","nok")</f>
        <v>nok</v>
      </c>
      <c r="T699" s="60" t="str">
        <f>IF(AND($B699=[1]rogério!$A700,[1]rogério!$B700=T$4),"ok","nok")</f>
        <v>nok</v>
      </c>
      <c r="U699" s="60" t="str">
        <f>IF(AND($B699=[1]rogério!$A700,[1]rogério!$B700=U$4),"ok","nok")</f>
        <v>nok</v>
      </c>
      <c r="V699" s="60" t="str">
        <f>IF(AND($B699=[1]rogério!$A700,[1]rogério!$B700=V$4),"ok","nok")</f>
        <v>nok</v>
      </c>
      <c r="W699" s="60" t="str">
        <f>IF(AND($B699=[1]rogério!$A700,[1]rogério!$B700=W$4),"ok","nok")</f>
        <v>nok</v>
      </c>
      <c r="X699" s="60" t="str">
        <f>IF(AND($B699=[1]rogério!$A700,[1]rogério!$B700=X$4),"ok","nok")</f>
        <v>nok</v>
      </c>
      <c r="Y699" s="105" t="s">
        <v>15</v>
      </c>
      <c r="Z699" s="106"/>
      <c r="AA699" s="106"/>
      <c r="AB699" s="107"/>
      <c r="AC699" s="38"/>
      <c r="AD699" s="38"/>
      <c r="AE699" s="48" t="str">
        <f t="shared" si="161"/>
        <v/>
      </c>
      <c r="AF699" s="48"/>
      <c r="AG699" s="48"/>
      <c r="AH699" s="89"/>
      <c r="AI699" s="49">
        <f t="shared" si="162"/>
        <v>0</v>
      </c>
      <c r="AJ699" s="49" t="str">
        <f t="shared" si="163"/>
        <v/>
      </c>
      <c r="AK699" s="49">
        <f t="shared" si="164"/>
        <v>0</v>
      </c>
      <c r="AL699" s="49" t="str">
        <f t="shared" si="165"/>
        <v/>
      </c>
      <c r="AM699" s="49">
        <f t="shared" si="166"/>
        <v>0</v>
      </c>
      <c r="AN699" s="49" t="str">
        <f t="shared" si="167"/>
        <v/>
      </c>
      <c r="AO699" s="49">
        <f t="shared" si="168"/>
        <v>1</v>
      </c>
      <c r="AP699" s="49" t="str">
        <f t="shared" si="169"/>
        <v/>
      </c>
      <c r="AQ699" s="49">
        <f t="shared" si="170"/>
        <v>0</v>
      </c>
      <c r="AR699" s="49" t="str">
        <f t="shared" si="171"/>
        <v/>
      </c>
    </row>
    <row r="700" spans="1:44" ht="30" customHeight="1" x14ac:dyDescent="0.35">
      <c r="A700" s="25" t="str">
        <f t="shared" si="175"/>
        <v>PT178 - PLATAFORMA DE ACESSO - FORQUILHA 3 - BÁSICO
TORRE B5PROJETO BÁSICO
CIVIL</v>
      </c>
      <c r="B700" s="40" t="s">
        <v>42</v>
      </c>
      <c r="C700" s="60" t="str">
        <f>IF(AND($B700=[1]rogério!$A701,[1]rogério!$B701=C$4),"ok","nok")</f>
        <v>nok</v>
      </c>
      <c r="D700" s="60" t="str">
        <f>IF(AND($B700=[1]rogério!$A701,[1]rogério!$B701=D$4),"ok","nok")</f>
        <v>nok</v>
      </c>
      <c r="E700" s="60" t="str">
        <f>IF(AND($B700=[1]rogério!$A701,[1]rogério!$B701=E$4),"ok","nok")</f>
        <v>nok</v>
      </c>
      <c r="F700" s="60" t="str">
        <f>IF(AND($B700=[1]rogério!$A701,[1]rogério!$B701=F$4),"ok","nok")</f>
        <v>nok</v>
      </c>
      <c r="G700" s="60" t="str">
        <f>IF(AND($B700=[1]rogério!$A701,[1]rogério!$B701=G$4),"ok","nok")</f>
        <v>nok</v>
      </c>
      <c r="H700" s="60" t="str">
        <f>IF(AND($B700=[1]rogério!$A701,[1]rogério!$B701=H$4),"ok","nok")</f>
        <v>nok</v>
      </c>
      <c r="I700" s="60" t="str">
        <f>IF(AND($B700=[1]rogério!$A701,[1]rogério!$B701=I$4),"ok","nok")</f>
        <v>nok</v>
      </c>
      <c r="J700" s="60" t="str">
        <f>IF(AND($B700=[1]rogério!$A701,[1]rogério!$B701=J$4),"ok","nok")</f>
        <v>nok</v>
      </c>
      <c r="K700" s="60" t="str">
        <f>IF(AND($B700=[1]rogério!$A701,[1]rogério!$B701=K$4),"ok","nok")</f>
        <v>nok</v>
      </c>
      <c r="L700" s="60" t="str">
        <f>IF(AND($B700=[1]rogério!$A701,[1]rogério!$B701=L$4),"ok","nok")</f>
        <v>nok</v>
      </c>
      <c r="M700" s="60" t="str">
        <f>IF(AND($B700=[1]rogério!$A701,[1]rogério!$B701=M$4),"ok","nok")</f>
        <v>nok</v>
      </c>
      <c r="N700" s="60" t="str">
        <f>IF(AND($B700=[1]rogério!$A701,[1]rogério!$B701=N$4),"ok","nok")</f>
        <v>nok</v>
      </c>
      <c r="O700" s="60" t="str">
        <f>IF(AND($B700=[1]rogério!$A701,[1]rogério!$B701=O$4),"ok","nok")</f>
        <v>nok</v>
      </c>
      <c r="P700" s="60" t="str">
        <f>IF(AND($B700=[1]rogério!$A701,[1]rogério!$B701=P$4),"ok","nok")</f>
        <v>nok</v>
      </c>
      <c r="Q700" s="60" t="str">
        <f>IF(AND($B700=[1]rogério!$A701,[1]rogério!$B701=Q$4),"ok","nok")</f>
        <v>nok</v>
      </c>
      <c r="R700" s="60" t="str">
        <f>IF(AND($B700=[1]rogério!$A701,[1]rogério!$B701=R$4),"ok","nok")</f>
        <v>nok</v>
      </c>
      <c r="S700" s="60" t="str">
        <f>IF(AND($B700=[1]rogério!$A701,[1]rogério!$B701=S$4),"ok","nok")</f>
        <v>nok</v>
      </c>
      <c r="T700" s="60" t="str">
        <f>IF(AND($B700=[1]rogério!$A701,[1]rogério!$B701=T$4),"ok","nok")</f>
        <v>nok</v>
      </c>
      <c r="U700" s="60" t="str">
        <f>IF(AND($B700=[1]rogério!$A701,[1]rogério!$B701=U$4),"ok","nok")</f>
        <v>ok</v>
      </c>
      <c r="V700" s="60" t="str">
        <f>IF(AND($B700=[1]rogério!$A701,[1]rogério!$B701=V$4),"ok","nok")</f>
        <v>nok</v>
      </c>
      <c r="W700" s="60" t="str">
        <f>IF(AND($B700=[1]rogério!$A701,[1]rogério!$B701=W$4),"ok","nok")</f>
        <v>nok</v>
      </c>
      <c r="X700" s="60" t="str">
        <f>IF(AND($B700=[1]rogério!$A701,[1]rogério!$B701=X$4),"ok","nok")</f>
        <v>nok</v>
      </c>
      <c r="Y700" s="105" t="s">
        <v>15</v>
      </c>
      <c r="Z700" s="106"/>
      <c r="AA700" s="106"/>
      <c r="AB700" s="107"/>
      <c r="AC700" s="38"/>
      <c r="AD700" s="38"/>
      <c r="AE700" s="48" t="str">
        <f t="shared" si="161"/>
        <v/>
      </c>
      <c r="AF700" s="48"/>
      <c r="AG700" s="48"/>
      <c r="AH700" s="89"/>
      <c r="AI700" s="49">
        <f t="shared" si="162"/>
        <v>0</v>
      </c>
      <c r="AJ700" s="49" t="str">
        <f t="shared" si="163"/>
        <v/>
      </c>
      <c r="AK700" s="49">
        <f t="shared" si="164"/>
        <v>0</v>
      </c>
      <c r="AL700" s="49" t="str">
        <f t="shared" si="165"/>
        <v/>
      </c>
      <c r="AM700" s="49">
        <f t="shared" si="166"/>
        <v>0</v>
      </c>
      <c r="AN700" s="49" t="str">
        <f t="shared" si="167"/>
        <v/>
      </c>
      <c r="AO700" s="49">
        <f t="shared" si="168"/>
        <v>1</v>
      </c>
      <c r="AP700" s="49" t="str">
        <f t="shared" si="169"/>
        <v/>
      </c>
      <c r="AQ700" s="49">
        <f t="shared" si="170"/>
        <v>0</v>
      </c>
      <c r="AR700" s="49" t="str">
        <f t="shared" si="171"/>
        <v/>
      </c>
    </row>
    <row r="701" spans="1:44" ht="30" customHeight="1" x14ac:dyDescent="0.35">
      <c r="A701" s="25" t="str">
        <f t="shared" si="175"/>
        <v>PT178 - PLATAFORMA DE ACESSO - FORQUILHA 3 - BÁSICO
TORRE B5PROJETO BÁSICO
CIVIL</v>
      </c>
      <c r="B701" s="40" t="s">
        <v>43</v>
      </c>
      <c r="C701" s="60" t="str">
        <f>IF(AND($B701=[1]rogério!$A702,[1]rogério!$B702=C$4),"ok","nok")</f>
        <v>nok</v>
      </c>
      <c r="D701" s="60" t="str">
        <f>IF(AND($B701=[1]rogério!$A702,[1]rogério!$B702=D$4),"ok","nok")</f>
        <v>nok</v>
      </c>
      <c r="E701" s="60" t="str">
        <f>IF(AND($B701=[1]rogério!$A702,[1]rogério!$B702=E$4),"ok","nok")</f>
        <v>nok</v>
      </c>
      <c r="F701" s="60" t="str">
        <f>IF(AND($B701=[1]rogério!$A702,[1]rogério!$B702=F$4),"ok","nok")</f>
        <v>nok</v>
      </c>
      <c r="G701" s="60" t="str">
        <f>IF(AND($B701=[1]rogério!$A702,[1]rogério!$B702=G$4),"ok","nok")</f>
        <v>nok</v>
      </c>
      <c r="H701" s="60" t="str">
        <f>IF(AND($B701=[1]rogério!$A702,[1]rogério!$B702=H$4),"ok","nok")</f>
        <v>nok</v>
      </c>
      <c r="I701" s="60" t="str">
        <f>IF(AND($B701=[1]rogério!$A702,[1]rogério!$B702=I$4),"ok","nok")</f>
        <v>nok</v>
      </c>
      <c r="J701" s="60" t="str">
        <f>IF(AND($B701=[1]rogério!$A702,[1]rogério!$B702=J$4),"ok","nok")</f>
        <v>nok</v>
      </c>
      <c r="K701" s="60" t="str">
        <f>IF(AND($B701=[1]rogério!$A702,[1]rogério!$B702=K$4),"ok","nok")</f>
        <v>nok</v>
      </c>
      <c r="L701" s="60" t="str">
        <f>IF(AND($B701=[1]rogério!$A702,[1]rogério!$B702=L$4),"ok","nok")</f>
        <v>nok</v>
      </c>
      <c r="M701" s="60" t="str">
        <f>IF(AND($B701=[1]rogério!$A702,[1]rogério!$B702=M$4),"ok","nok")</f>
        <v>nok</v>
      </c>
      <c r="N701" s="60" t="str">
        <f>IF(AND($B701=[1]rogério!$A702,[1]rogério!$B702=N$4),"ok","nok")</f>
        <v>nok</v>
      </c>
      <c r="O701" s="60" t="str">
        <f>IF(AND($B701=[1]rogério!$A702,[1]rogério!$B702=O$4),"ok","nok")</f>
        <v>nok</v>
      </c>
      <c r="P701" s="60" t="str">
        <f>IF(AND($B701=[1]rogério!$A702,[1]rogério!$B702=P$4),"ok","nok")</f>
        <v>nok</v>
      </c>
      <c r="Q701" s="60" t="str">
        <f>IF(AND($B701=[1]rogério!$A702,[1]rogério!$B702=Q$4),"ok","nok")</f>
        <v>nok</v>
      </c>
      <c r="R701" s="60" t="str">
        <f>IF(AND($B701=[1]rogério!$A702,[1]rogério!$B702=R$4),"ok","nok")</f>
        <v>nok</v>
      </c>
      <c r="S701" s="60" t="str">
        <f>IF(AND($B701=[1]rogério!$A702,[1]rogério!$B702=S$4),"ok","nok")</f>
        <v>nok</v>
      </c>
      <c r="T701" s="60" t="str">
        <f>IF(AND($B701=[1]rogério!$A702,[1]rogério!$B702=T$4),"ok","nok")</f>
        <v>nok</v>
      </c>
      <c r="U701" s="60" t="str">
        <f>IF(AND($B701=[1]rogério!$A702,[1]rogério!$B702=U$4),"ok","nok")</f>
        <v>ok</v>
      </c>
      <c r="V701" s="60" t="str">
        <f>IF(AND($B701=[1]rogério!$A702,[1]rogério!$B702=V$4),"ok","nok")</f>
        <v>nok</v>
      </c>
      <c r="W701" s="60" t="str">
        <f>IF(AND($B701=[1]rogério!$A702,[1]rogério!$B702=W$4),"ok","nok")</f>
        <v>nok</v>
      </c>
      <c r="X701" s="60" t="str">
        <f>IF(AND($B701=[1]rogério!$A702,[1]rogério!$B702=X$4),"ok","nok")</f>
        <v>nok</v>
      </c>
      <c r="Y701" s="105" t="s">
        <v>15</v>
      </c>
      <c r="Z701" s="106"/>
      <c r="AA701" s="106"/>
      <c r="AB701" s="107"/>
      <c r="AC701" s="38"/>
      <c r="AD701" s="38"/>
      <c r="AE701" s="48" t="str">
        <f t="shared" si="161"/>
        <v/>
      </c>
      <c r="AF701" s="48"/>
      <c r="AG701" s="48"/>
      <c r="AH701" s="89"/>
      <c r="AI701" s="49">
        <f t="shared" si="162"/>
        <v>0</v>
      </c>
      <c r="AJ701" s="49" t="str">
        <f t="shared" si="163"/>
        <v/>
      </c>
      <c r="AK701" s="49">
        <f t="shared" si="164"/>
        <v>0</v>
      </c>
      <c r="AL701" s="49" t="str">
        <f t="shared" si="165"/>
        <v/>
      </c>
      <c r="AM701" s="49">
        <f t="shared" si="166"/>
        <v>0</v>
      </c>
      <c r="AN701" s="49" t="str">
        <f t="shared" si="167"/>
        <v/>
      </c>
      <c r="AO701" s="49">
        <f t="shared" si="168"/>
        <v>1</v>
      </c>
      <c r="AP701" s="49" t="str">
        <f t="shared" si="169"/>
        <v/>
      </c>
      <c r="AQ701" s="49">
        <f t="shared" si="170"/>
        <v>0</v>
      </c>
      <c r="AR701" s="49" t="str">
        <f t="shared" si="171"/>
        <v/>
      </c>
    </row>
    <row r="702" spans="1:44" ht="30" customHeight="1" x14ac:dyDescent="0.35">
      <c r="A702" s="25" t="str">
        <f t="shared" si="175"/>
        <v>PT178 - PLATAFORMA DE ACESSO - FORQUILHA 3 - BÁSICO
TORRE B5PROJETO BÁSICO
CIVIL</v>
      </c>
      <c r="B702" s="38" t="s">
        <v>74</v>
      </c>
      <c r="C702" s="60" t="str">
        <f>IF(AND($B702=[1]rogério!$A703,[1]rogério!$B703=C$4),"ok","nok")</f>
        <v>nok</v>
      </c>
      <c r="D702" s="60" t="str">
        <f>IF(AND($B702=[1]rogério!$A703,[1]rogério!$B703=D$4),"ok","nok")</f>
        <v>nok</v>
      </c>
      <c r="E702" s="60" t="str">
        <f>IF(AND($B702=[1]rogério!$A703,[1]rogério!$B703=E$4),"ok","nok")</f>
        <v>nok</v>
      </c>
      <c r="F702" s="60" t="str">
        <f>IF(AND($B702=[1]rogério!$A703,[1]rogério!$B703=F$4),"ok","nok")</f>
        <v>nok</v>
      </c>
      <c r="G702" s="60" t="str">
        <f>IF(AND($B702=[1]rogério!$A703,[1]rogério!$B703=G$4),"ok","nok")</f>
        <v>nok</v>
      </c>
      <c r="H702" s="60" t="str">
        <f>IF(AND($B702=[1]rogério!$A703,[1]rogério!$B703=H$4),"ok","nok")</f>
        <v>nok</v>
      </c>
      <c r="I702" s="60" t="str">
        <f>IF(AND($B702=[1]rogério!$A703,[1]rogério!$B703=I$4),"ok","nok")</f>
        <v>nok</v>
      </c>
      <c r="J702" s="60" t="str">
        <f>IF(AND($B702=[1]rogério!$A703,[1]rogério!$B703=J$4),"ok","nok")</f>
        <v>nok</v>
      </c>
      <c r="K702" s="60" t="str">
        <f>IF(AND($B702=[1]rogério!$A703,[1]rogério!$B703=K$4),"ok","nok")</f>
        <v>nok</v>
      </c>
      <c r="L702" s="60" t="str">
        <f>IF(AND($B702=[1]rogério!$A703,[1]rogério!$B703=L$4),"ok","nok")</f>
        <v>ok</v>
      </c>
      <c r="M702" s="60" t="str">
        <f>IF(AND($B702=[1]rogério!$A703,[1]rogério!$B703=M$4),"ok","nok")</f>
        <v>nok</v>
      </c>
      <c r="N702" s="60" t="str">
        <f>IF(AND($B702=[1]rogério!$A703,[1]rogério!$B703=N$4),"ok","nok")</f>
        <v>nok</v>
      </c>
      <c r="O702" s="60" t="str">
        <f>IF(AND($B702=[1]rogério!$A703,[1]rogério!$B703=O$4),"ok","nok")</f>
        <v>nok</v>
      </c>
      <c r="P702" s="60" t="str">
        <f>IF(AND($B702=[1]rogério!$A703,[1]rogério!$B703=P$4),"ok","nok")</f>
        <v>nok</v>
      </c>
      <c r="Q702" s="60" t="str">
        <f>IF(AND($B702=[1]rogério!$A703,[1]rogério!$B703=Q$4),"ok","nok")</f>
        <v>nok</v>
      </c>
      <c r="R702" s="60" t="str">
        <f>IF(AND($B702=[1]rogério!$A703,[1]rogério!$B703=R$4),"ok","nok")</f>
        <v>nok</v>
      </c>
      <c r="S702" s="60" t="str">
        <f>IF(AND($B702=[1]rogério!$A703,[1]rogério!$B703=S$4),"ok","nok")</f>
        <v>nok</v>
      </c>
      <c r="T702" s="60" t="str">
        <f>IF(AND($B702=[1]rogério!$A703,[1]rogério!$B703=T$4),"ok","nok")</f>
        <v>nok</v>
      </c>
      <c r="U702" s="60" t="str">
        <f>IF(AND($B702=[1]rogério!$A703,[1]rogério!$B703=U$4),"ok","nok")</f>
        <v>nok</v>
      </c>
      <c r="V702" s="60" t="str">
        <f>IF(AND($B702=[1]rogério!$A703,[1]rogério!$B703=V$4),"ok","nok")</f>
        <v>nok</v>
      </c>
      <c r="W702" s="60" t="str">
        <f>IF(AND($B702=[1]rogério!$A703,[1]rogério!$B703=W$4),"ok","nok")</f>
        <v>nok</v>
      </c>
      <c r="X702" s="60" t="str">
        <f>IF(AND($B702=[1]rogério!$A703,[1]rogério!$B703=X$4),"ok","nok")</f>
        <v>nok</v>
      </c>
      <c r="Y702" s="105" t="s">
        <v>15</v>
      </c>
      <c r="Z702" s="106"/>
      <c r="AA702" s="106"/>
      <c r="AB702" s="107"/>
      <c r="AC702" s="38"/>
      <c r="AD702" s="38"/>
      <c r="AE702" s="48" t="str">
        <f t="shared" si="161"/>
        <v/>
      </c>
      <c r="AF702" s="48"/>
      <c r="AG702" s="48"/>
      <c r="AH702" s="89"/>
      <c r="AI702" s="49">
        <f t="shared" si="162"/>
        <v>0</v>
      </c>
      <c r="AJ702" s="49" t="str">
        <f t="shared" si="163"/>
        <v/>
      </c>
      <c r="AK702" s="49">
        <f t="shared" si="164"/>
        <v>1</v>
      </c>
      <c r="AL702" s="49" t="str">
        <f t="shared" si="165"/>
        <v/>
      </c>
      <c r="AM702" s="49">
        <f t="shared" si="166"/>
        <v>0</v>
      </c>
      <c r="AN702" s="49" t="str">
        <f t="shared" si="167"/>
        <v/>
      </c>
      <c r="AO702" s="49">
        <f t="shared" si="168"/>
        <v>0</v>
      </c>
      <c r="AP702" s="49" t="str">
        <f t="shared" si="169"/>
        <v/>
      </c>
      <c r="AQ702" s="49">
        <f t="shared" si="170"/>
        <v>0</v>
      </c>
      <c r="AR702" s="49" t="str">
        <f t="shared" si="171"/>
        <v/>
      </c>
    </row>
    <row r="703" spans="1:44" ht="30" customHeight="1" x14ac:dyDescent="0.35">
      <c r="A703" s="25" t="str">
        <f t="shared" si="175"/>
        <v>PT178 - PLATAFORMA DE ACESSO - FORQUILHA 3 - BÁSICO
TORRE B5PROJETO BÁSICO
CIVIL</v>
      </c>
      <c r="B703" s="38" t="s">
        <v>75</v>
      </c>
      <c r="C703" s="60" t="str">
        <f>IF(AND($B703=[1]rogério!$A704,[1]rogério!$B704=C$4),"ok","nok")</f>
        <v>nok</v>
      </c>
      <c r="D703" s="60" t="str">
        <f>IF(AND($B703=[1]rogério!$A704,[1]rogério!$B704=D$4),"ok","nok")</f>
        <v>nok</v>
      </c>
      <c r="E703" s="60" t="str">
        <f>IF(AND($B703=[1]rogério!$A704,[1]rogério!$B704=E$4),"ok","nok")</f>
        <v>nok</v>
      </c>
      <c r="F703" s="60" t="str">
        <f>IF(AND($B703=[1]rogério!$A704,[1]rogério!$B704=F$4),"ok","nok")</f>
        <v>nok</v>
      </c>
      <c r="G703" s="60" t="str">
        <f>IF(AND($B703=[1]rogério!$A704,[1]rogério!$B704=G$4),"ok","nok")</f>
        <v>nok</v>
      </c>
      <c r="H703" s="60" t="str">
        <f>IF(AND($B703=[1]rogério!$A704,[1]rogério!$B704=H$4),"ok","nok")</f>
        <v>nok</v>
      </c>
      <c r="I703" s="60" t="str">
        <f>IF(AND($B703=[1]rogério!$A704,[1]rogério!$B704=I$4),"ok","nok")</f>
        <v>nok</v>
      </c>
      <c r="J703" s="60" t="str">
        <f>IF(AND($B703=[1]rogério!$A704,[1]rogério!$B704=J$4),"ok","nok")</f>
        <v>nok</v>
      </c>
      <c r="K703" s="60" t="str">
        <f>IF(AND($B703=[1]rogério!$A704,[1]rogério!$B704=K$4),"ok","nok")</f>
        <v>nok</v>
      </c>
      <c r="L703" s="60" t="str">
        <f>IF(AND($B703=[1]rogério!$A704,[1]rogério!$B704=L$4),"ok","nok")</f>
        <v>nok</v>
      </c>
      <c r="M703" s="60" t="str">
        <f>IF(AND($B703=[1]rogério!$A704,[1]rogério!$B704=M$4),"ok","nok")</f>
        <v>ok</v>
      </c>
      <c r="N703" s="60" t="str">
        <f>IF(AND($B703=[1]rogério!$A704,[1]rogério!$B704=N$4),"ok","nok")</f>
        <v>nok</v>
      </c>
      <c r="O703" s="60" t="str">
        <f>IF(AND($B703=[1]rogério!$A704,[1]rogério!$B704=O$4),"ok","nok")</f>
        <v>nok</v>
      </c>
      <c r="P703" s="60" t="str">
        <f>IF(AND($B703=[1]rogério!$A704,[1]rogério!$B704=P$4),"ok","nok")</f>
        <v>nok</v>
      </c>
      <c r="Q703" s="60" t="str">
        <f>IF(AND($B703=[1]rogério!$A704,[1]rogério!$B704=Q$4),"ok","nok")</f>
        <v>nok</v>
      </c>
      <c r="R703" s="60" t="str">
        <f>IF(AND($B703=[1]rogério!$A704,[1]rogério!$B704=R$4),"ok","nok")</f>
        <v>nok</v>
      </c>
      <c r="S703" s="60" t="str">
        <f>IF(AND($B703=[1]rogério!$A704,[1]rogério!$B704=S$4),"ok","nok")</f>
        <v>nok</v>
      </c>
      <c r="T703" s="60" t="str">
        <f>IF(AND($B703=[1]rogério!$A704,[1]rogério!$B704=T$4),"ok","nok")</f>
        <v>nok</v>
      </c>
      <c r="U703" s="60" t="str">
        <f>IF(AND($B703=[1]rogério!$A704,[1]rogério!$B704=U$4),"ok","nok")</f>
        <v>nok</v>
      </c>
      <c r="V703" s="60" t="str">
        <f>IF(AND($B703=[1]rogério!$A704,[1]rogério!$B704=V$4),"ok","nok")</f>
        <v>nok</v>
      </c>
      <c r="W703" s="60" t="str">
        <f>IF(AND($B703=[1]rogério!$A704,[1]rogério!$B704=W$4),"ok","nok")</f>
        <v>nok</v>
      </c>
      <c r="X703" s="60" t="str">
        <f>IF(AND($B703=[1]rogério!$A704,[1]rogério!$B704=X$4),"ok","nok")</f>
        <v>nok</v>
      </c>
      <c r="Y703" s="105" t="s">
        <v>15</v>
      </c>
      <c r="Z703" s="106"/>
      <c r="AA703" s="106"/>
      <c r="AB703" s="107"/>
      <c r="AC703" s="38"/>
      <c r="AD703" s="38"/>
      <c r="AE703" s="48" t="str">
        <f t="shared" si="161"/>
        <v/>
      </c>
      <c r="AF703" s="48"/>
      <c r="AG703" s="48"/>
      <c r="AH703" s="89"/>
      <c r="AI703" s="49">
        <f t="shared" si="162"/>
        <v>0</v>
      </c>
      <c r="AJ703" s="49" t="str">
        <f t="shared" si="163"/>
        <v/>
      </c>
      <c r="AK703" s="49">
        <f t="shared" si="164"/>
        <v>0</v>
      </c>
      <c r="AL703" s="49" t="str">
        <f t="shared" si="165"/>
        <v/>
      </c>
      <c r="AM703" s="49">
        <f t="shared" si="166"/>
        <v>1</v>
      </c>
      <c r="AN703" s="49" t="str">
        <f t="shared" si="167"/>
        <v/>
      </c>
      <c r="AO703" s="49">
        <f t="shared" si="168"/>
        <v>0</v>
      </c>
      <c r="AP703" s="49" t="str">
        <f t="shared" si="169"/>
        <v/>
      </c>
      <c r="AQ703" s="49">
        <f t="shared" si="170"/>
        <v>0</v>
      </c>
      <c r="AR703" s="49" t="str">
        <f t="shared" si="171"/>
        <v/>
      </c>
    </row>
    <row r="704" spans="1:44" ht="30" customHeight="1" x14ac:dyDescent="0.35">
      <c r="A704" s="25"/>
      <c r="B704" s="39" t="s">
        <v>62</v>
      </c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108"/>
      <c r="Z704" s="109"/>
      <c r="AA704" s="109"/>
      <c r="AB704" s="110"/>
      <c r="AC704" s="38"/>
      <c r="AD704" s="38"/>
      <c r="AE704" s="48" t="str">
        <f t="shared" si="161"/>
        <v/>
      </c>
      <c r="AF704" s="48"/>
      <c r="AG704" s="48"/>
      <c r="AH704" s="89"/>
      <c r="AI704" s="49">
        <f t="shared" si="162"/>
        <v>0</v>
      </c>
      <c r="AJ704" s="49" t="str">
        <f t="shared" si="163"/>
        <v/>
      </c>
      <c r="AK704" s="49">
        <f t="shared" si="164"/>
        <v>0</v>
      </c>
      <c r="AL704" s="49" t="str">
        <f t="shared" si="165"/>
        <v/>
      </c>
      <c r="AM704" s="49">
        <f t="shared" si="166"/>
        <v>0</v>
      </c>
      <c r="AN704" s="49" t="str">
        <f t="shared" si="167"/>
        <v/>
      </c>
      <c r="AO704" s="49">
        <f t="shared" si="168"/>
        <v>0</v>
      </c>
      <c r="AP704" s="49" t="str">
        <f t="shared" si="169"/>
        <v/>
      </c>
      <c r="AQ704" s="49">
        <f t="shared" si="170"/>
        <v>0</v>
      </c>
      <c r="AR704" s="49" t="str">
        <f t="shared" si="171"/>
        <v/>
      </c>
    </row>
    <row r="705" spans="1:44" ht="30" customHeight="1" x14ac:dyDescent="0.35">
      <c r="A705" s="25" t="str">
        <f t="shared" si="175"/>
        <v>PT178 - PLATAFORMA DE ACESSO - FORQUILHA 3 - BÁSICO
TORRE B5PROJETO BÁSICO
CIVIL</v>
      </c>
      <c r="B705" s="40" t="s">
        <v>49</v>
      </c>
      <c r="C705" s="60" t="str">
        <f>IF(AND($B705=[1]rogério!$A706,[1]rogério!$B706=C$4),"ok","nok")</f>
        <v>nok</v>
      </c>
      <c r="D705" s="60" t="str">
        <f>IF(AND($B705=[1]rogério!$A706,[1]rogério!$B706=D$4),"ok","nok")</f>
        <v>nok</v>
      </c>
      <c r="E705" s="60" t="str">
        <f>IF(AND($B705=[1]rogério!$A706,[1]rogério!$B706=E$4),"ok","nok")</f>
        <v>nok</v>
      </c>
      <c r="F705" s="60" t="str">
        <f>IF(AND($B705=[1]rogério!$A706,[1]rogério!$B706=F$4),"ok","nok")</f>
        <v>nok</v>
      </c>
      <c r="G705" s="60" t="str">
        <f>IF(AND($B705=[1]rogério!$A706,[1]rogério!$B706=G$4),"ok","nok")</f>
        <v>nok</v>
      </c>
      <c r="H705" s="60" t="str">
        <f>IF(AND($B705=[1]rogério!$A706,[1]rogério!$B706=H$4),"ok","nok")</f>
        <v>nok</v>
      </c>
      <c r="I705" s="60" t="str">
        <f>IF(AND($B705=[1]rogério!$A706,[1]rogério!$B706=I$4),"ok","nok")</f>
        <v>nok</v>
      </c>
      <c r="J705" s="60" t="str">
        <f>IF(AND($B705=[1]rogério!$A706,[1]rogério!$B706=J$4),"ok","nok")</f>
        <v>nok</v>
      </c>
      <c r="K705" s="60" t="str">
        <f>IF(AND($B705=[1]rogério!$A706,[1]rogério!$B706=K$4),"ok","nok")</f>
        <v>nok</v>
      </c>
      <c r="L705" s="60" t="str">
        <f>IF(AND($B705=[1]rogério!$A706,[1]rogério!$B706=L$4),"ok","nok")</f>
        <v>nok</v>
      </c>
      <c r="M705" s="60" t="str">
        <f>IF(AND($B705=[1]rogério!$A706,[1]rogério!$B706=M$4),"ok","nok")</f>
        <v>ok</v>
      </c>
      <c r="N705" s="60" t="str">
        <f>IF(AND($B705=[1]rogério!$A706,[1]rogério!$B706=N$4),"ok","nok")</f>
        <v>nok</v>
      </c>
      <c r="O705" s="60" t="str">
        <f>IF(AND($B705=[1]rogério!$A706,[1]rogério!$B706=O$4),"ok","nok")</f>
        <v>nok</v>
      </c>
      <c r="P705" s="60" t="str">
        <f>IF(AND($B705=[1]rogério!$A706,[1]rogério!$B706=P$4),"ok","nok")</f>
        <v>nok</v>
      </c>
      <c r="Q705" s="60" t="str">
        <f>IF(AND($B705=[1]rogério!$A706,[1]rogério!$B706=Q$4),"ok","nok")</f>
        <v>nok</v>
      </c>
      <c r="R705" s="60" t="str">
        <f>IF(AND($B705=[1]rogério!$A706,[1]rogério!$B706=R$4),"ok","nok")</f>
        <v>nok</v>
      </c>
      <c r="S705" s="60" t="str">
        <f>IF(AND($B705=[1]rogério!$A706,[1]rogério!$B706=S$4),"ok","nok")</f>
        <v>nok</v>
      </c>
      <c r="T705" s="60" t="str">
        <f>IF(AND($B705=[1]rogério!$A706,[1]rogério!$B706=T$4),"ok","nok")</f>
        <v>nok</v>
      </c>
      <c r="U705" s="60" t="str">
        <f>IF(AND($B705=[1]rogério!$A706,[1]rogério!$B706=U$4),"ok","nok")</f>
        <v>nok</v>
      </c>
      <c r="V705" s="60" t="str">
        <f>IF(AND($B705=[1]rogério!$A706,[1]rogério!$B706=V$4),"ok","nok")</f>
        <v>nok</v>
      </c>
      <c r="W705" s="60" t="str">
        <f>IF(AND($B705=[1]rogério!$A706,[1]rogério!$B706=W$4),"ok","nok")</f>
        <v>nok</v>
      </c>
      <c r="X705" s="60" t="str">
        <f>IF(AND($B705=[1]rogério!$A706,[1]rogério!$B706=X$4),"ok","nok")</f>
        <v>nok</v>
      </c>
      <c r="Y705" s="105" t="s">
        <v>15</v>
      </c>
      <c r="Z705" s="106"/>
      <c r="AA705" s="106"/>
      <c r="AB705" s="107"/>
      <c r="AC705" s="38"/>
      <c r="AD705" s="38"/>
      <c r="AE705" s="48" t="str">
        <f t="shared" si="161"/>
        <v/>
      </c>
      <c r="AF705" s="48"/>
      <c r="AG705" s="48"/>
      <c r="AH705" s="89"/>
      <c r="AI705" s="49">
        <f t="shared" si="162"/>
        <v>0</v>
      </c>
      <c r="AJ705" s="49" t="str">
        <f t="shared" si="163"/>
        <v/>
      </c>
      <c r="AK705" s="49">
        <f t="shared" si="164"/>
        <v>0</v>
      </c>
      <c r="AL705" s="49" t="str">
        <f t="shared" si="165"/>
        <v/>
      </c>
      <c r="AM705" s="49">
        <f t="shared" si="166"/>
        <v>1</v>
      </c>
      <c r="AN705" s="49" t="str">
        <f t="shared" si="167"/>
        <v/>
      </c>
      <c r="AO705" s="49">
        <f t="shared" si="168"/>
        <v>0</v>
      </c>
      <c r="AP705" s="49" t="str">
        <f t="shared" si="169"/>
        <v/>
      </c>
      <c r="AQ705" s="49">
        <f t="shared" si="170"/>
        <v>0</v>
      </c>
      <c r="AR705" s="49" t="str">
        <f t="shared" si="171"/>
        <v/>
      </c>
    </row>
    <row r="706" spans="1:44" ht="30" customHeight="1" x14ac:dyDescent="0.35">
      <c r="A706" s="25" t="str">
        <f t="shared" si="175"/>
        <v>PT178 - PLATAFORMA DE ACESSO - FORQUILHA 3 - BÁSICO
TORRE B5PROJETO BÁSICO
CIVIL</v>
      </c>
      <c r="B706" s="40" t="s">
        <v>19</v>
      </c>
      <c r="C706" s="60" t="str">
        <f>IF(AND($B706=[1]rogério!$A707,[1]rogério!$B707=C$4),"ok","nok")</f>
        <v>nok</v>
      </c>
      <c r="D706" s="60" t="str">
        <f>IF(AND($B706=[1]rogério!$A707,[1]rogério!$B707=D$4),"ok","nok")</f>
        <v>nok</v>
      </c>
      <c r="E706" s="60" t="str">
        <f>IF(AND($B706=[1]rogério!$A707,[1]rogério!$B707=E$4),"ok","nok")</f>
        <v>nok</v>
      </c>
      <c r="F706" s="60" t="str">
        <f>IF(AND($B706=[1]rogério!$A707,[1]rogério!$B707=F$4),"ok","nok")</f>
        <v>nok</v>
      </c>
      <c r="G706" s="60" t="str">
        <f>IF(AND($B706=[1]rogério!$A707,[1]rogério!$B707=G$4),"ok","nok")</f>
        <v>nok</v>
      </c>
      <c r="H706" s="60" t="str">
        <f>IF(AND($B706=[1]rogério!$A707,[1]rogério!$B707=H$4),"ok","nok")</f>
        <v>nok</v>
      </c>
      <c r="I706" s="60" t="str">
        <f>IF(AND($B706=[1]rogério!$A707,[1]rogério!$B707=I$4),"ok","nok")</f>
        <v>nok</v>
      </c>
      <c r="J706" s="60" t="str">
        <f>IF(AND($B706=[1]rogério!$A707,[1]rogério!$B707=J$4),"ok","nok")</f>
        <v>nok</v>
      </c>
      <c r="K706" s="60" t="str">
        <f>IF(AND($B706=[1]rogério!$A707,[1]rogério!$B707=K$4),"ok","nok")</f>
        <v>nok</v>
      </c>
      <c r="L706" s="60" t="str">
        <f>IF(AND($B706=[1]rogério!$A707,[1]rogério!$B707=L$4),"ok","nok")</f>
        <v>nok</v>
      </c>
      <c r="M706" s="60" t="str">
        <f>IF(AND($B706=[1]rogério!$A707,[1]rogério!$B707=M$4),"ok","nok")</f>
        <v>nok</v>
      </c>
      <c r="N706" s="60" t="str">
        <f>IF(AND($B706=[1]rogério!$A707,[1]rogério!$B707=N$4),"ok","nok")</f>
        <v>nok</v>
      </c>
      <c r="O706" s="60" t="str">
        <f>IF(AND($B706=[1]rogério!$A707,[1]rogério!$B707=O$4),"ok","nok")</f>
        <v>nok</v>
      </c>
      <c r="P706" s="60" t="str">
        <f>IF(AND($B706=[1]rogério!$A707,[1]rogério!$B707=P$4),"ok","nok")</f>
        <v>nok</v>
      </c>
      <c r="Q706" s="60" t="str">
        <f>IF(AND($B706=[1]rogério!$A707,[1]rogério!$B707=Q$4),"ok","nok")</f>
        <v>nok</v>
      </c>
      <c r="R706" s="60" t="str">
        <f>IF(AND($B706=[1]rogério!$A707,[1]rogério!$B707=R$4),"ok","nok")</f>
        <v>ok</v>
      </c>
      <c r="S706" s="60" t="str">
        <f>IF(AND($B706=[1]rogério!$A707,[1]rogério!$B707=S$4),"ok","nok")</f>
        <v>nok</v>
      </c>
      <c r="T706" s="60" t="str">
        <f>IF(AND($B706=[1]rogério!$A707,[1]rogério!$B707=T$4),"ok","nok")</f>
        <v>nok</v>
      </c>
      <c r="U706" s="60" t="str">
        <f>IF(AND($B706=[1]rogério!$A707,[1]rogério!$B707=U$4),"ok","nok")</f>
        <v>nok</v>
      </c>
      <c r="V706" s="60" t="str">
        <f>IF(AND($B706=[1]rogério!$A707,[1]rogério!$B707=V$4),"ok","nok")</f>
        <v>nok</v>
      </c>
      <c r="W706" s="60" t="str">
        <f>IF(AND($B706=[1]rogério!$A707,[1]rogério!$B707=W$4),"ok","nok")</f>
        <v>nok</v>
      </c>
      <c r="X706" s="60" t="str">
        <f>IF(AND($B706=[1]rogério!$A707,[1]rogério!$B707=X$4),"ok","nok")</f>
        <v>nok</v>
      </c>
      <c r="Y706" s="105" t="s">
        <v>15</v>
      </c>
      <c r="Z706" s="106"/>
      <c r="AA706" s="106"/>
      <c r="AB706" s="107"/>
      <c r="AC706" s="38"/>
      <c r="AD706" s="38"/>
      <c r="AE706" s="48" t="str">
        <f t="shared" si="161"/>
        <v/>
      </c>
      <c r="AF706" s="48"/>
      <c r="AG706" s="48"/>
      <c r="AH706" s="89"/>
      <c r="AI706" s="49">
        <f t="shared" si="162"/>
        <v>0</v>
      </c>
      <c r="AJ706" s="49" t="str">
        <f t="shared" si="163"/>
        <v/>
      </c>
      <c r="AK706" s="49">
        <f t="shared" si="164"/>
        <v>0</v>
      </c>
      <c r="AL706" s="49" t="str">
        <f t="shared" si="165"/>
        <v/>
      </c>
      <c r="AM706" s="49">
        <f t="shared" si="166"/>
        <v>0</v>
      </c>
      <c r="AN706" s="49" t="str">
        <f t="shared" si="167"/>
        <v/>
      </c>
      <c r="AO706" s="49">
        <f t="shared" si="168"/>
        <v>1</v>
      </c>
      <c r="AP706" s="49" t="str">
        <f t="shared" si="169"/>
        <v/>
      </c>
      <c r="AQ706" s="49">
        <f t="shared" si="170"/>
        <v>0</v>
      </c>
      <c r="AR706" s="49" t="str">
        <f t="shared" si="171"/>
        <v/>
      </c>
    </row>
    <row r="707" spans="1:44" ht="30" customHeight="1" x14ac:dyDescent="0.35">
      <c r="A707" s="25" t="str">
        <f t="shared" si="175"/>
        <v>PT178 - PLATAFORMA DE ACESSO - FORQUILHA 3 - BÁSICO
TORRE B5PROJETO BÁSICO
CIVIL</v>
      </c>
      <c r="B707" s="40" t="s">
        <v>42</v>
      </c>
      <c r="C707" s="60" t="str">
        <f>IF(AND($B707=[1]rogério!$A708,[1]rogério!$B708=C$4),"ok","nok")</f>
        <v>nok</v>
      </c>
      <c r="D707" s="60" t="str">
        <f>IF(AND($B707=[1]rogério!$A708,[1]rogério!$B708=D$4),"ok","nok")</f>
        <v>nok</v>
      </c>
      <c r="E707" s="60" t="str">
        <f>IF(AND($B707=[1]rogério!$A708,[1]rogério!$B708=E$4),"ok","nok")</f>
        <v>nok</v>
      </c>
      <c r="F707" s="60" t="str">
        <f>IF(AND($B707=[1]rogério!$A708,[1]rogério!$B708=F$4),"ok","nok")</f>
        <v>nok</v>
      </c>
      <c r="G707" s="60" t="str">
        <f>IF(AND($B707=[1]rogério!$A708,[1]rogério!$B708=G$4),"ok","nok")</f>
        <v>nok</v>
      </c>
      <c r="H707" s="60" t="str">
        <f>IF(AND($B707=[1]rogério!$A708,[1]rogério!$B708=H$4),"ok","nok")</f>
        <v>nok</v>
      </c>
      <c r="I707" s="60" t="str">
        <f>IF(AND($B707=[1]rogério!$A708,[1]rogério!$B708=I$4),"ok","nok")</f>
        <v>nok</v>
      </c>
      <c r="J707" s="60" t="str">
        <f>IF(AND($B707=[1]rogério!$A708,[1]rogério!$B708=J$4),"ok","nok")</f>
        <v>nok</v>
      </c>
      <c r="K707" s="60" t="str">
        <f>IF(AND($B707=[1]rogério!$A708,[1]rogério!$B708=K$4),"ok","nok")</f>
        <v>nok</v>
      </c>
      <c r="L707" s="60" t="str">
        <f>IF(AND($B707=[1]rogério!$A708,[1]rogério!$B708=L$4),"ok","nok")</f>
        <v>nok</v>
      </c>
      <c r="M707" s="60" t="str">
        <f>IF(AND($B707=[1]rogério!$A708,[1]rogério!$B708=M$4),"ok","nok")</f>
        <v>nok</v>
      </c>
      <c r="N707" s="60" t="str">
        <f>IF(AND($B707=[1]rogério!$A708,[1]rogério!$B708=N$4),"ok","nok")</f>
        <v>nok</v>
      </c>
      <c r="O707" s="60" t="str">
        <f>IF(AND($B707=[1]rogério!$A708,[1]rogério!$B708=O$4),"ok","nok")</f>
        <v>nok</v>
      </c>
      <c r="P707" s="60" t="str">
        <f>IF(AND($B707=[1]rogério!$A708,[1]rogério!$B708=P$4),"ok","nok")</f>
        <v>nok</v>
      </c>
      <c r="Q707" s="60" t="str">
        <f>IF(AND($B707=[1]rogério!$A708,[1]rogério!$B708=Q$4),"ok","nok")</f>
        <v>nok</v>
      </c>
      <c r="R707" s="60" t="str">
        <f>IF(AND($B707=[1]rogério!$A708,[1]rogério!$B708=R$4),"ok","nok")</f>
        <v>nok</v>
      </c>
      <c r="S707" s="60" t="str">
        <f>IF(AND($B707=[1]rogério!$A708,[1]rogério!$B708=S$4),"ok","nok")</f>
        <v>nok</v>
      </c>
      <c r="T707" s="60" t="str">
        <f>IF(AND($B707=[1]rogério!$A708,[1]rogério!$B708=T$4),"ok","nok")</f>
        <v>nok</v>
      </c>
      <c r="U707" s="60" t="str">
        <f>IF(AND($B707=[1]rogério!$A708,[1]rogério!$B708=U$4),"ok","nok")</f>
        <v>ok</v>
      </c>
      <c r="V707" s="60" t="str">
        <f>IF(AND($B707=[1]rogério!$A708,[1]rogério!$B708=V$4),"ok","nok")</f>
        <v>nok</v>
      </c>
      <c r="W707" s="60" t="str">
        <f>IF(AND($B707=[1]rogério!$A708,[1]rogério!$B708=W$4),"ok","nok")</f>
        <v>nok</v>
      </c>
      <c r="X707" s="60" t="str">
        <f>IF(AND($B707=[1]rogério!$A708,[1]rogério!$B708=X$4),"ok","nok")</f>
        <v>nok</v>
      </c>
      <c r="Y707" s="105" t="s">
        <v>15</v>
      </c>
      <c r="Z707" s="106"/>
      <c r="AA707" s="106"/>
      <c r="AB707" s="107"/>
      <c r="AC707" s="38"/>
      <c r="AD707" s="38"/>
      <c r="AE707" s="48" t="str">
        <f t="shared" ref="AE707:AE770" si="176">IF(Y707="ATRASADO",B707,"")</f>
        <v/>
      </c>
      <c r="AF707" s="48"/>
      <c r="AG707" s="48"/>
      <c r="AH707" s="89"/>
      <c r="AI707" s="49">
        <f t="shared" ref="AI707:AI770" si="177">COUNTIF(C707:G707,"ok")</f>
        <v>0</v>
      </c>
      <c r="AJ707" s="49" t="str">
        <f t="shared" ref="AJ707:AJ770" si="178">IF(AND(AI707=1,OR($Y707="entregue",$Y707="efprazo")),$Y707,"")</f>
        <v/>
      </c>
      <c r="AK707" s="49">
        <f t="shared" ref="AK707:AK770" si="179">COUNTIF(H707:L707,"ok")</f>
        <v>0</v>
      </c>
      <c r="AL707" s="49" t="str">
        <f t="shared" ref="AL707:AL770" si="180">IF(AND(AK707=1,OR($Y707="entregue",$Y707="efprazo")),$Y707,"")</f>
        <v/>
      </c>
      <c r="AM707" s="49">
        <f t="shared" ref="AM707:AM770" si="181">COUNTIF(M707:Q707,"ok")</f>
        <v>0</v>
      </c>
      <c r="AN707" s="49" t="str">
        <f t="shared" ref="AN707:AN770" si="182">IF(AND(AM707=1,OR($Y707="entregue",$Y707="efprazo")),$Y707,"")</f>
        <v/>
      </c>
      <c r="AO707" s="49">
        <f t="shared" ref="AO707:AO770" si="183">COUNTIF(R707:V707,"ok")</f>
        <v>1</v>
      </c>
      <c r="AP707" s="49" t="str">
        <f t="shared" ref="AP707:AP770" si="184">IF(AND(AO707=1,OR($Y707="entregue",$Y707="efprazo")),$Y707,"")</f>
        <v/>
      </c>
      <c r="AQ707" s="49">
        <f t="shared" ref="AQ707:AQ770" si="185">COUNTIF(W707:X707,"ok")</f>
        <v>0</v>
      </c>
      <c r="AR707" s="49" t="str">
        <f t="shared" ref="AR707:AR770" si="186">IF(AND(AQ707=1,OR($Y707="entregue",$Y707="efprazo")),$Y707,"")</f>
        <v/>
      </c>
    </row>
    <row r="708" spans="1:44" ht="30" customHeight="1" x14ac:dyDescent="0.35">
      <c r="A708" s="25" t="str">
        <f t="shared" si="175"/>
        <v>PT178 - PLATAFORMA DE ACESSO - FORQUILHA 3 - BÁSICO
TORRE B5PROJETO BÁSICO
CIVIL</v>
      </c>
      <c r="B708" s="40" t="s">
        <v>43</v>
      </c>
      <c r="C708" s="60" t="str">
        <f>IF(AND($B708=[1]rogério!$A709,[1]rogério!$B709=C$4),"ok","nok")</f>
        <v>nok</v>
      </c>
      <c r="D708" s="60" t="str">
        <f>IF(AND($B708=[1]rogério!$A709,[1]rogério!$B709=D$4),"ok","nok")</f>
        <v>nok</v>
      </c>
      <c r="E708" s="60" t="str">
        <f>IF(AND($B708=[1]rogério!$A709,[1]rogério!$B709=E$4),"ok","nok")</f>
        <v>nok</v>
      </c>
      <c r="F708" s="60" t="str">
        <f>IF(AND($B708=[1]rogério!$A709,[1]rogério!$B709=F$4),"ok","nok")</f>
        <v>nok</v>
      </c>
      <c r="G708" s="60" t="str">
        <f>IF(AND($B708=[1]rogério!$A709,[1]rogério!$B709=G$4),"ok","nok")</f>
        <v>nok</v>
      </c>
      <c r="H708" s="60" t="str">
        <f>IF(AND($B708=[1]rogério!$A709,[1]rogério!$B709=H$4),"ok","nok")</f>
        <v>nok</v>
      </c>
      <c r="I708" s="60" t="str">
        <f>IF(AND($B708=[1]rogério!$A709,[1]rogério!$B709=I$4),"ok","nok")</f>
        <v>nok</v>
      </c>
      <c r="J708" s="60" t="str">
        <f>IF(AND($B708=[1]rogério!$A709,[1]rogério!$B709=J$4),"ok","nok")</f>
        <v>nok</v>
      </c>
      <c r="K708" s="60" t="str">
        <f>IF(AND($B708=[1]rogério!$A709,[1]rogério!$B709=K$4),"ok","nok")</f>
        <v>nok</v>
      </c>
      <c r="L708" s="60" t="str">
        <f>IF(AND($B708=[1]rogério!$A709,[1]rogério!$B709=L$4),"ok","nok")</f>
        <v>nok</v>
      </c>
      <c r="M708" s="60" t="str">
        <f>IF(AND($B708=[1]rogério!$A709,[1]rogério!$B709=M$4),"ok","nok")</f>
        <v>nok</v>
      </c>
      <c r="N708" s="60" t="str">
        <f>IF(AND($B708=[1]rogério!$A709,[1]rogério!$B709=N$4),"ok","nok")</f>
        <v>nok</v>
      </c>
      <c r="O708" s="60" t="str">
        <f>IF(AND($B708=[1]rogério!$A709,[1]rogério!$B709=O$4),"ok","nok")</f>
        <v>nok</v>
      </c>
      <c r="P708" s="60" t="str">
        <f>IF(AND($B708=[1]rogério!$A709,[1]rogério!$B709=P$4),"ok","nok")</f>
        <v>nok</v>
      </c>
      <c r="Q708" s="60" t="str">
        <f>IF(AND($B708=[1]rogério!$A709,[1]rogério!$B709=Q$4),"ok","nok")</f>
        <v>nok</v>
      </c>
      <c r="R708" s="60" t="str">
        <f>IF(AND($B708=[1]rogério!$A709,[1]rogério!$B709=R$4),"ok","nok")</f>
        <v>nok</v>
      </c>
      <c r="S708" s="60" t="str">
        <f>IF(AND($B708=[1]rogério!$A709,[1]rogério!$B709=S$4),"ok","nok")</f>
        <v>nok</v>
      </c>
      <c r="T708" s="60" t="str">
        <f>IF(AND($B708=[1]rogério!$A709,[1]rogério!$B709=T$4),"ok","nok")</f>
        <v>nok</v>
      </c>
      <c r="U708" s="60" t="str">
        <f>IF(AND($B708=[1]rogério!$A709,[1]rogério!$B709=U$4),"ok","nok")</f>
        <v>ok</v>
      </c>
      <c r="V708" s="60" t="str">
        <f>IF(AND($B708=[1]rogério!$A709,[1]rogério!$B709=V$4),"ok","nok")</f>
        <v>nok</v>
      </c>
      <c r="W708" s="60" t="str">
        <f>IF(AND($B708=[1]rogério!$A709,[1]rogério!$B709=W$4),"ok","nok")</f>
        <v>nok</v>
      </c>
      <c r="X708" s="60" t="str">
        <f>IF(AND($B708=[1]rogério!$A709,[1]rogério!$B709=X$4),"ok","nok")</f>
        <v>nok</v>
      </c>
      <c r="Y708" s="105" t="s">
        <v>15</v>
      </c>
      <c r="Z708" s="106"/>
      <c r="AA708" s="106"/>
      <c r="AB708" s="107"/>
      <c r="AC708" s="38"/>
      <c r="AD708" s="38"/>
      <c r="AE708" s="48" t="str">
        <f t="shared" si="176"/>
        <v/>
      </c>
      <c r="AF708" s="48"/>
      <c r="AG708" s="48"/>
      <c r="AH708" s="89"/>
      <c r="AI708" s="49">
        <f t="shared" si="177"/>
        <v>0</v>
      </c>
      <c r="AJ708" s="49" t="str">
        <f t="shared" si="178"/>
        <v/>
      </c>
      <c r="AK708" s="49">
        <f t="shared" si="179"/>
        <v>0</v>
      </c>
      <c r="AL708" s="49" t="str">
        <f t="shared" si="180"/>
        <v/>
      </c>
      <c r="AM708" s="49">
        <f t="shared" si="181"/>
        <v>0</v>
      </c>
      <c r="AN708" s="49" t="str">
        <f t="shared" si="182"/>
        <v/>
      </c>
      <c r="AO708" s="49">
        <f t="shared" si="183"/>
        <v>1</v>
      </c>
      <c r="AP708" s="49" t="str">
        <f t="shared" si="184"/>
        <v/>
      </c>
      <c r="AQ708" s="49">
        <f t="shared" si="185"/>
        <v>0</v>
      </c>
      <c r="AR708" s="49" t="str">
        <f t="shared" si="186"/>
        <v/>
      </c>
    </row>
    <row r="709" spans="1:44" ht="30" customHeight="1" x14ac:dyDescent="0.35">
      <c r="A709" s="25"/>
      <c r="B709" s="42" t="s">
        <v>99</v>
      </c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111"/>
      <c r="Z709" s="112"/>
      <c r="AA709" s="112"/>
      <c r="AB709" s="113"/>
      <c r="AC709" s="38"/>
      <c r="AD709" s="38"/>
      <c r="AE709" s="48" t="str">
        <f t="shared" si="176"/>
        <v/>
      </c>
      <c r="AF709" s="48"/>
      <c r="AG709" s="48"/>
      <c r="AH709" s="89"/>
      <c r="AI709" s="49">
        <f t="shared" si="177"/>
        <v>0</v>
      </c>
      <c r="AJ709" s="49" t="str">
        <f t="shared" si="178"/>
        <v/>
      </c>
      <c r="AK709" s="49">
        <f t="shared" si="179"/>
        <v>0</v>
      </c>
      <c r="AL709" s="49" t="str">
        <f t="shared" si="180"/>
        <v/>
      </c>
      <c r="AM709" s="49">
        <f t="shared" si="181"/>
        <v>0</v>
      </c>
      <c r="AN709" s="49" t="str">
        <f t="shared" si="182"/>
        <v/>
      </c>
      <c r="AO709" s="49">
        <f t="shared" si="183"/>
        <v>0</v>
      </c>
      <c r="AP709" s="49" t="str">
        <f t="shared" si="184"/>
        <v/>
      </c>
      <c r="AQ709" s="49">
        <f t="shared" si="185"/>
        <v>0</v>
      </c>
      <c r="AR709" s="49" t="str">
        <f t="shared" si="186"/>
        <v/>
      </c>
    </row>
    <row r="710" spans="1:44" ht="30" customHeight="1" x14ac:dyDescent="0.35">
      <c r="A710" s="25"/>
      <c r="B710" s="61" t="s">
        <v>57</v>
      </c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X710" s="61"/>
      <c r="Y710" s="117"/>
      <c r="Z710" s="118"/>
      <c r="AA710" s="118"/>
      <c r="AB710" s="119"/>
      <c r="AC710" s="38"/>
      <c r="AD710" s="38"/>
      <c r="AE710" s="48" t="str">
        <f t="shared" si="176"/>
        <v/>
      </c>
      <c r="AF710" s="48"/>
      <c r="AG710" s="48"/>
      <c r="AH710" s="89"/>
      <c r="AI710" s="49">
        <f t="shared" si="177"/>
        <v>0</v>
      </c>
      <c r="AJ710" s="49" t="str">
        <f t="shared" si="178"/>
        <v/>
      </c>
      <c r="AK710" s="49">
        <f t="shared" si="179"/>
        <v>0</v>
      </c>
      <c r="AL710" s="49" t="str">
        <f t="shared" si="180"/>
        <v/>
      </c>
      <c r="AM710" s="49">
        <f t="shared" si="181"/>
        <v>0</v>
      </c>
      <c r="AN710" s="49" t="str">
        <f t="shared" si="182"/>
        <v/>
      </c>
      <c r="AO710" s="49">
        <f t="shared" si="183"/>
        <v>0</v>
      </c>
      <c r="AP710" s="49" t="str">
        <f t="shared" si="184"/>
        <v/>
      </c>
      <c r="AQ710" s="49">
        <f t="shared" si="185"/>
        <v>0</v>
      </c>
      <c r="AR710" s="49" t="str">
        <f t="shared" si="186"/>
        <v/>
      </c>
    </row>
    <row r="711" spans="1:44" ht="30" customHeight="1" x14ac:dyDescent="0.35">
      <c r="A711" s="25"/>
      <c r="B711" s="62" t="s">
        <v>64</v>
      </c>
      <c r="C711" s="62"/>
      <c r="D711" s="62"/>
      <c r="E711" s="62"/>
      <c r="F711" s="62"/>
      <c r="G711" s="62"/>
      <c r="H711" s="62"/>
      <c r="I711" s="62"/>
      <c r="J711" s="62"/>
      <c r="K711" s="62"/>
      <c r="L711" s="62"/>
      <c r="M711" s="62"/>
      <c r="N711" s="62"/>
      <c r="O711" s="62"/>
      <c r="P711" s="62"/>
      <c r="Q711" s="62"/>
      <c r="R711" s="62"/>
      <c r="S711" s="62"/>
      <c r="T711" s="62"/>
      <c r="U711" s="62"/>
      <c r="V711" s="62"/>
      <c r="W711" s="62"/>
      <c r="X711" s="62"/>
      <c r="Y711" s="114"/>
      <c r="Z711" s="115"/>
      <c r="AA711" s="115"/>
      <c r="AB711" s="116"/>
      <c r="AC711" s="38"/>
      <c r="AD711" s="38"/>
      <c r="AE711" s="48" t="str">
        <f t="shared" si="176"/>
        <v/>
      </c>
      <c r="AF711" s="48"/>
      <c r="AG711" s="48"/>
      <c r="AH711" s="89"/>
      <c r="AI711" s="49">
        <f t="shared" si="177"/>
        <v>0</v>
      </c>
      <c r="AJ711" s="49" t="str">
        <f t="shared" si="178"/>
        <v/>
      </c>
      <c r="AK711" s="49">
        <f t="shared" si="179"/>
        <v>0</v>
      </c>
      <c r="AL711" s="49" t="str">
        <f t="shared" si="180"/>
        <v/>
      </c>
      <c r="AM711" s="49">
        <f t="shared" si="181"/>
        <v>0</v>
      </c>
      <c r="AN711" s="49" t="str">
        <f t="shared" si="182"/>
        <v/>
      </c>
      <c r="AO711" s="49">
        <f t="shared" si="183"/>
        <v>0</v>
      </c>
      <c r="AP711" s="49" t="str">
        <f t="shared" si="184"/>
        <v/>
      </c>
      <c r="AQ711" s="49">
        <f t="shared" si="185"/>
        <v>0</v>
      </c>
      <c r="AR711" s="49" t="str">
        <f t="shared" si="186"/>
        <v/>
      </c>
    </row>
    <row r="712" spans="1:44" ht="30" customHeight="1" x14ac:dyDescent="0.35">
      <c r="A712" s="25"/>
      <c r="B712" s="39" t="s">
        <v>59</v>
      </c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108"/>
      <c r="Z712" s="109"/>
      <c r="AA712" s="109"/>
      <c r="AB712" s="110"/>
      <c r="AC712" s="38"/>
      <c r="AD712" s="38"/>
      <c r="AE712" s="48" t="str">
        <f t="shared" si="176"/>
        <v/>
      </c>
      <c r="AF712" s="48"/>
      <c r="AG712" s="48"/>
      <c r="AH712" s="89"/>
      <c r="AI712" s="49">
        <f t="shared" si="177"/>
        <v>0</v>
      </c>
      <c r="AJ712" s="49" t="str">
        <f t="shared" si="178"/>
        <v/>
      </c>
      <c r="AK712" s="49">
        <f t="shared" si="179"/>
        <v>0</v>
      </c>
      <c r="AL712" s="49" t="str">
        <f t="shared" si="180"/>
        <v/>
      </c>
      <c r="AM712" s="49">
        <f t="shared" si="181"/>
        <v>0</v>
      </c>
      <c r="AN712" s="49" t="str">
        <f t="shared" si="182"/>
        <v/>
      </c>
      <c r="AO712" s="49">
        <f t="shared" si="183"/>
        <v>0</v>
      </c>
      <c r="AP712" s="49" t="str">
        <f t="shared" si="184"/>
        <v/>
      </c>
      <c r="AQ712" s="49">
        <f t="shared" si="185"/>
        <v>0</v>
      </c>
      <c r="AR712" s="49" t="str">
        <f t="shared" si="186"/>
        <v/>
      </c>
    </row>
    <row r="713" spans="1:44" ht="30" customHeight="1" x14ac:dyDescent="0.35">
      <c r="A713" s="25" t="str">
        <f>CONCATENATE($B$677,"
",$B$709,"",$B$710,"
",$B$711)</f>
        <v>PT178 - PLATAFORMA DE ACESSO - FORQUILHA 3 - BÁSICO
TORRE B6PROJETO BÁSICO
CIVIL</v>
      </c>
      <c r="B713" s="40" t="s">
        <v>61</v>
      </c>
      <c r="C713" s="60" t="str">
        <f>IF(AND($B713=[1]rogério!$A714,[1]rogério!$B714=C$4),"ok","nok")</f>
        <v>nok</v>
      </c>
      <c r="D713" s="60" t="str">
        <f>IF(AND($B713=[1]rogério!$A714,[1]rogério!$B714=D$4),"ok","nok")</f>
        <v>nok</v>
      </c>
      <c r="E713" s="60" t="str">
        <f>IF(AND($B713=[1]rogério!$A714,[1]rogério!$B714=E$4),"ok","nok")</f>
        <v>nok</v>
      </c>
      <c r="F713" s="60" t="str">
        <f>IF(AND($B713=[1]rogério!$A714,[1]rogério!$B714=F$4),"ok","nok")</f>
        <v>nok</v>
      </c>
      <c r="G713" s="60" t="str">
        <f>IF(AND($B713=[1]rogério!$A714,[1]rogério!$B714=G$4),"ok","nok")</f>
        <v>nok</v>
      </c>
      <c r="H713" s="60" t="str">
        <f>IF(AND($B713=[1]rogério!$A714,[1]rogério!$B714=H$4),"ok","nok")</f>
        <v>nok</v>
      </c>
      <c r="I713" s="60" t="str">
        <f>IF(AND($B713=[1]rogério!$A714,[1]rogério!$B714=I$4),"ok","nok")</f>
        <v>nok</v>
      </c>
      <c r="J713" s="60" t="str">
        <f>IF(AND($B713=[1]rogério!$A714,[1]rogério!$B714=J$4),"ok","nok")</f>
        <v>ok</v>
      </c>
      <c r="K713" s="60" t="str">
        <f>IF(AND($B713=[1]rogério!$A714,[1]rogério!$B714=K$4),"ok","nok")</f>
        <v>nok</v>
      </c>
      <c r="L713" s="60" t="str">
        <f>IF(AND($B713=[1]rogério!$A714,[1]rogério!$B714=L$4),"ok","nok")</f>
        <v>nok</v>
      </c>
      <c r="M713" s="60" t="str">
        <f>IF(AND($B713=[1]rogério!$A714,[1]rogério!$B714=M$4),"ok","nok")</f>
        <v>nok</v>
      </c>
      <c r="N713" s="60" t="str">
        <f>IF(AND($B713=[1]rogério!$A714,[1]rogério!$B714=N$4),"ok","nok")</f>
        <v>nok</v>
      </c>
      <c r="O713" s="60" t="str">
        <f>IF(AND($B713=[1]rogério!$A714,[1]rogério!$B714=O$4),"ok","nok")</f>
        <v>nok</v>
      </c>
      <c r="P713" s="60" t="str">
        <f>IF(AND($B713=[1]rogério!$A714,[1]rogério!$B714=P$4),"ok","nok")</f>
        <v>nok</v>
      </c>
      <c r="Q713" s="60" t="str">
        <f>IF(AND($B713=[1]rogério!$A714,[1]rogério!$B714=Q$4),"ok","nok")</f>
        <v>nok</v>
      </c>
      <c r="R713" s="60" t="str">
        <f>IF(AND($B713=[1]rogério!$A714,[1]rogério!$B714=R$4),"ok","nok")</f>
        <v>nok</v>
      </c>
      <c r="S713" s="60" t="str">
        <f>IF(AND($B713=[1]rogério!$A714,[1]rogério!$B714=S$4),"ok","nok")</f>
        <v>nok</v>
      </c>
      <c r="T713" s="60" t="str">
        <f>IF(AND($B713=[1]rogério!$A714,[1]rogério!$B714=T$4),"ok","nok")</f>
        <v>nok</v>
      </c>
      <c r="U713" s="60" t="str">
        <f>IF(AND($B713=[1]rogério!$A714,[1]rogério!$B714=U$4),"ok","nok")</f>
        <v>nok</v>
      </c>
      <c r="V713" s="60" t="str">
        <f>IF(AND($B713=[1]rogério!$A714,[1]rogério!$B714=V$4),"ok","nok")</f>
        <v>nok</v>
      </c>
      <c r="W713" s="60" t="str">
        <f>IF(AND($B713=[1]rogério!$A714,[1]rogério!$B714=W$4),"ok","nok")</f>
        <v>nok</v>
      </c>
      <c r="X713" s="60" t="str">
        <f>IF(AND($B713=[1]rogério!$A714,[1]rogério!$B714=X$4),"ok","nok")</f>
        <v>nok</v>
      </c>
      <c r="Y713" s="105" t="s">
        <v>15</v>
      </c>
      <c r="Z713" s="106"/>
      <c r="AA713" s="106"/>
      <c r="AB713" s="107"/>
      <c r="AC713" s="38"/>
      <c r="AD713" s="38"/>
      <c r="AE713" s="48" t="str">
        <f t="shared" si="176"/>
        <v/>
      </c>
      <c r="AF713" s="48"/>
      <c r="AG713" s="48"/>
      <c r="AH713" s="89"/>
      <c r="AI713" s="49">
        <f t="shared" si="177"/>
        <v>0</v>
      </c>
      <c r="AJ713" s="49" t="str">
        <f t="shared" si="178"/>
        <v/>
      </c>
      <c r="AK713" s="49">
        <f t="shared" si="179"/>
        <v>1</v>
      </c>
      <c r="AL713" s="49" t="str">
        <f t="shared" si="180"/>
        <v/>
      </c>
      <c r="AM713" s="49">
        <f t="shared" si="181"/>
        <v>0</v>
      </c>
      <c r="AN713" s="49" t="str">
        <f t="shared" si="182"/>
        <v/>
      </c>
      <c r="AO713" s="49">
        <f t="shared" si="183"/>
        <v>0</v>
      </c>
      <c r="AP713" s="49" t="str">
        <f t="shared" si="184"/>
        <v/>
      </c>
      <c r="AQ713" s="49">
        <f t="shared" si="185"/>
        <v>0</v>
      </c>
      <c r="AR713" s="49" t="str">
        <f t="shared" si="186"/>
        <v/>
      </c>
    </row>
    <row r="714" spans="1:44" ht="30" customHeight="1" x14ac:dyDescent="0.35">
      <c r="A714" s="25" t="str">
        <f t="shared" ref="A714:A730" si="187">CONCATENATE($B$677,"
",$B$709,"",$B$710,"
",$B$711)</f>
        <v>PT178 - PLATAFORMA DE ACESSO - FORQUILHA 3 - BÁSICO
TORRE B6PROJETO BÁSICO
CIVIL</v>
      </c>
      <c r="B714" s="40" t="s">
        <v>19</v>
      </c>
      <c r="C714" s="60" t="str">
        <f>IF(AND($B714=[1]rogério!$A715,[1]rogério!$B715=C$4),"ok","nok")</f>
        <v>nok</v>
      </c>
      <c r="D714" s="60" t="str">
        <f>IF(AND($B714=[1]rogério!$A715,[1]rogério!$B715=D$4),"ok","nok")</f>
        <v>nok</v>
      </c>
      <c r="E714" s="60" t="str">
        <f>IF(AND($B714=[1]rogério!$A715,[1]rogério!$B715=E$4),"ok","nok")</f>
        <v>nok</v>
      </c>
      <c r="F714" s="60" t="str">
        <f>IF(AND($B714=[1]rogério!$A715,[1]rogério!$B715=F$4),"ok","nok")</f>
        <v>nok</v>
      </c>
      <c r="G714" s="60" t="str">
        <f>IF(AND($B714=[1]rogério!$A715,[1]rogério!$B715=G$4),"ok","nok")</f>
        <v>nok</v>
      </c>
      <c r="H714" s="60" t="str">
        <f>IF(AND($B714=[1]rogério!$A715,[1]rogério!$B715=H$4),"ok","nok")</f>
        <v>nok</v>
      </c>
      <c r="I714" s="60" t="str">
        <f>IF(AND($B714=[1]rogério!$A715,[1]rogério!$B715=I$4),"ok","nok")</f>
        <v>nok</v>
      </c>
      <c r="J714" s="60" t="str">
        <f>IF(AND($B714=[1]rogério!$A715,[1]rogério!$B715=J$4),"ok","nok")</f>
        <v>nok</v>
      </c>
      <c r="K714" s="60" t="str">
        <f>IF(AND($B714=[1]rogério!$A715,[1]rogério!$B715=K$4),"ok","nok")</f>
        <v>nok</v>
      </c>
      <c r="L714" s="60" t="str">
        <f>IF(AND($B714=[1]rogério!$A715,[1]rogério!$B715=L$4),"ok","nok")</f>
        <v>nok</v>
      </c>
      <c r="M714" s="60" t="str">
        <f>IF(AND($B714=[1]rogério!$A715,[1]rogério!$B715=M$4),"ok","nok")</f>
        <v>nok</v>
      </c>
      <c r="N714" s="60" t="str">
        <f>IF(AND($B714=[1]rogério!$A715,[1]rogério!$B715=N$4),"ok","nok")</f>
        <v>nok</v>
      </c>
      <c r="O714" s="60" t="str">
        <f>IF(AND($B714=[1]rogério!$A715,[1]rogério!$B715=O$4),"ok","nok")</f>
        <v>nok</v>
      </c>
      <c r="P714" s="60" t="str">
        <f>IF(AND($B714=[1]rogério!$A715,[1]rogério!$B715=P$4),"ok","nok")</f>
        <v>nok</v>
      </c>
      <c r="Q714" s="60" t="str">
        <f>IF(AND($B714=[1]rogério!$A715,[1]rogério!$B715=Q$4),"ok","nok")</f>
        <v>ok</v>
      </c>
      <c r="R714" s="60" t="str">
        <f>IF(AND($B714=[1]rogério!$A715,[1]rogério!$B715=R$4),"ok","nok")</f>
        <v>nok</v>
      </c>
      <c r="S714" s="60" t="str">
        <f>IF(AND($B714=[1]rogério!$A715,[1]rogério!$B715=S$4),"ok","nok")</f>
        <v>nok</v>
      </c>
      <c r="T714" s="60" t="str">
        <f>IF(AND($B714=[1]rogério!$A715,[1]rogério!$B715=T$4),"ok","nok")</f>
        <v>nok</v>
      </c>
      <c r="U714" s="60" t="str">
        <f>IF(AND($B714=[1]rogério!$A715,[1]rogério!$B715=U$4),"ok","nok")</f>
        <v>nok</v>
      </c>
      <c r="V714" s="60" t="str">
        <f>IF(AND($B714=[1]rogério!$A715,[1]rogério!$B715=V$4),"ok","nok")</f>
        <v>nok</v>
      </c>
      <c r="W714" s="60" t="str">
        <f>IF(AND($B714=[1]rogério!$A715,[1]rogério!$B715=W$4),"ok","nok")</f>
        <v>nok</v>
      </c>
      <c r="X714" s="60" t="str">
        <f>IF(AND($B714=[1]rogério!$A715,[1]rogério!$B715=X$4),"ok","nok")</f>
        <v>nok</v>
      </c>
      <c r="Y714" s="105" t="s">
        <v>15</v>
      </c>
      <c r="Z714" s="106"/>
      <c r="AA714" s="106"/>
      <c r="AB714" s="107"/>
      <c r="AC714" s="38"/>
      <c r="AD714" s="38"/>
      <c r="AE714" s="48" t="str">
        <f t="shared" si="176"/>
        <v/>
      </c>
      <c r="AF714" s="48"/>
      <c r="AG714" s="48"/>
      <c r="AH714" s="89"/>
      <c r="AI714" s="49">
        <f t="shared" si="177"/>
        <v>0</v>
      </c>
      <c r="AJ714" s="49" t="str">
        <f t="shared" si="178"/>
        <v/>
      </c>
      <c r="AK714" s="49">
        <f t="shared" si="179"/>
        <v>0</v>
      </c>
      <c r="AL714" s="49" t="str">
        <f t="shared" si="180"/>
        <v/>
      </c>
      <c r="AM714" s="49">
        <f t="shared" si="181"/>
        <v>1</v>
      </c>
      <c r="AN714" s="49" t="str">
        <f t="shared" si="182"/>
        <v/>
      </c>
      <c r="AO714" s="49">
        <f t="shared" si="183"/>
        <v>0</v>
      </c>
      <c r="AP714" s="49" t="str">
        <f t="shared" si="184"/>
        <v/>
      </c>
      <c r="AQ714" s="49">
        <f t="shared" si="185"/>
        <v>0</v>
      </c>
      <c r="AR714" s="49" t="str">
        <f t="shared" si="186"/>
        <v/>
      </c>
    </row>
    <row r="715" spans="1:44" ht="30" customHeight="1" x14ac:dyDescent="0.35">
      <c r="A715" s="25" t="str">
        <f t="shared" si="187"/>
        <v>PT178 - PLATAFORMA DE ACESSO - FORQUILHA 3 - BÁSICO
TORRE B6PROJETO BÁSICO
CIVIL</v>
      </c>
      <c r="B715" s="40" t="s">
        <v>42</v>
      </c>
      <c r="C715" s="60" t="str">
        <f>IF(AND($B715=[1]rogério!$A716,[1]rogério!$B716=C$4),"ok","nok")</f>
        <v>nok</v>
      </c>
      <c r="D715" s="60" t="str">
        <f>IF(AND($B715=[1]rogério!$A716,[1]rogério!$B716=D$4),"ok","nok")</f>
        <v>nok</v>
      </c>
      <c r="E715" s="60" t="str">
        <f>IF(AND($B715=[1]rogério!$A716,[1]rogério!$B716=E$4),"ok","nok")</f>
        <v>nok</v>
      </c>
      <c r="F715" s="60" t="str">
        <f>IF(AND($B715=[1]rogério!$A716,[1]rogério!$B716=F$4),"ok","nok")</f>
        <v>nok</v>
      </c>
      <c r="G715" s="60" t="str">
        <f>IF(AND($B715=[1]rogério!$A716,[1]rogério!$B716=G$4),"ok","nok")</f>
        <v>nok</v>
      </c>
      <c r="H715" s="60" t="str">
        <f>IF(AND($B715=[1]rogério!$A716,[1]rogério!$B716=H$4),"ok","nok")</f>
        <v>nok</v>
      </c>
      <c r="I715" s="60" t="str">
        <f>IF(AND($B715=[1]rogério!$A716,[1]rogério!$B716=I$4),"ok","nok")</f>
        <v>nok</v>
      </c>
      <c r="J715" s="60" t="str">
        <f>IF(AND($B715=[1]rogério!$A716,[1]rogério!$B716=J$4),"ok","nok")</f>
        <v>nok</v>
      </c>
      <c r="K715" s="60" t="str">
        <f>IF(AND($B715=[1]rogério!$A716,[1]rogério!$B716=K$4),"ok","nok")</f>
        <v>nok</v>
      </c>
      <c r="L715" s="60" t="str">
        <f>IF(AND($B715=[1]rogério!$A716,[1]rogério!$B716=L$4),"ok","nok")</f>
        <v>nok</v>
      </c>
      <c r="M715" s="60" t="str">
        <f>IF(AND($B715=[1]rogério!$A716,[1]rogério!$B716=M$4),"ok","nok")</f>
        <v>nok</v>
      </c>
      <c r="N715" s="60" t="str">
        <f>IF(AND($B715=[1]rogério!$A716,[1]rogério!$B716=N$4),"ok","nok")</f>
        <v>nok</v>
      </c>
      <c r="O715" s="60" t="str">
        <f>IF(AND($B715=[1]rogério!$A716,[1]rogério!$B716=O$4),"ok","nok")</f>
        <v>nok</v>
      </c>
      <c r="P715" s="60" t="str">
        <f>IF(AND($B715=[1]rogério!$A716,[1]rogério!$B716=P$4),"ok","nok")</f>
        <v>nok</v>
      </c>
      <c r="Q715" s="60" t="str">
        <f>IF(AND($B715=[1]rogério!$A716,[1]rogério!$B716=Q$4),"ok","nok")</f>
        <v>nok</v>
      </c>
      <c r="R715" s="60" t="str">
        <f>IF(AND($B715=[1]rogério!$A716,[1]rogério!$B716=R$4),"ok","nok")</f>
        <v>nok</v>
      </c>
      <c r="S715" s="60" t="str">
        <f>IF(AND($B715=[1]rogério!$A716,[1]rogério!$B716=S$4),"ok","nok")</f>
        <v>nok</v>
      </c>
      <c r="T715" s="60" t="str">
        <f>IF(AND($B715=[1]rogério!$A716,[1]rogério!$B716=T$4),"ok","nok")</f>
        <v>ok</v>
      </c>
      <c r="U715" s="60" t="str">
        <f>IF(AND($B715=[1]rogério!$A716,[1]rogério!$B716=U$4),"ok","nok")</f>
        <v>nok</v>
      </c>
      <c r="V715" s="60" t="str">
        <f>IF(AND($B715=[1]rogério!$A716,[1]rogério!$B716=V$4),"ok","nok")</f>
        <v>nok</v>
      </c>
      <c r="W715" s="60" t="str">
        <f>IF(AND($B715=[1]rogério!$A716,[1]rogério!$B716=W$4),"ok","nok")</f>
        <v>nok</v>
      </c>
      <c r="X715" s="60" t="str">
        <f>IF(AND($B715=[1]rogério!$A716,[1]rogério!$B716=X$4),"ok","nok")</f>
        <v>nok</v>
      </c>
      <c r="Y715" s="105" t="s">
        <v>15</v>
      </c>
      <c r="Z715" s="106"/>
      <c r="AA715" s="106"/>
      <c r="AB715" s="107"/>
      <c r="AC715" s="38"/>
      <c r="AD715" s="38"/>
      <c r="AE715" s="48" t="str">
        <f t="shared" si="176"/>
        <v/>
      </c>
      <c r="AF715" s="48"/>
      <c r="AG715" s="48"/>
      <c r="AH715" s="89"/>
      <c r="AI715" s="49">
        <f t="shared" si="177"/>
        <v>0</v>
      </c>
      <c r="AJ715" s="49" t="str">
        <f t="shared" si="178"/>
        <v/>
      </c>
      <c r="AK715" s="49">
        <f t="shared" si="179"/>
        <v>0</v>
      </c>
      <c r="AL715" s="49" t="str">
        <f t="shared" si="180"/>
        <v/>
      </c>
      <c r="AM715" s="49">
        <f t="shared" si="181"/>
        <v>0</v>
      </c>
      <c r="AN715" s="49" t="str">
        <f t="shared" si="182"/>
        <v/>
      </c>
      <c r="AO715" s="49">
        <f t="shared" si="183"/>
        <v>1</v>
      </c>
      <c r="AP715" s="49" t="str">
        <f t="shared" si="184"/>
        <v/>
      </c>
      <c r="AQ715" s="49">
        <f t="shared" si="185"/>
        <v>0</v>
      </c>
      <c r="AR715" s="49" t="str">
        <f t="shared" si="186"/>
        <v/>
      </c>
    </row>
    <row r="716" spans="1:44" ht="30" customHeight="1" x14ac:dyDescent="0.35">
      <c r="A716" s="25" t="str">
        <f t="shared" si="187"/>
        <v>PT178 - PLATAFORMA DE ACESSO - FORQUILHA 3 - BÁSICO
TORRE B6PROJETO BÁSICO
CIVIL</v>
      </c>
      <c r="B716" s="40" t="s">
        <v>43</v>
      </c>
      <c r="C716" s="60" t="str">
        <f>IF(AND($B716=[1]rogério!$A717,[1]rogério!$B717=C$4),"ok","nok")</f>
        <v>nok</v>
      </c>
      <c r="D716" s="60" t="str">
        <f>IF(AND($B716=[1]rogério!$A717,[1]rogério!$B717=D$4),"ok","nok")</f>
        <v>nok</v>
      </c>
      <c r="E716" s="60" t="str">
        <f>IF(AND($B716=[1]rogério!$A717,[1]rogério!$B717=E$4),"ok","nok")</f>
        <v>nok</v>
      </c>
      <c r="F716" s="60" t="str">
        <f>IF(AND($B716=[1]rogério!$A717,[1]rogério!$B717=F$4),"ok","nok")</f>
        <v>nok</v>
      </c>
      <c r="G716" s="60" t="str">
        <f>IF(AND($B716=[1]rogério!$A717,[1]rogério!$B717=G$4),"ok","nok")</f>
        <v>nok</v>
      </c>
      <c r="H716" s="60" t="str">
        <f>IF(AND($B716=[1]rogério!$A717,[1]rogério!$B717=H$4),"ok","nok")</f>
        <v>nok</v>
      </c>
      <c r="I716" s="60" t="str">
        <f>IF(AND($B716=[1]rogério!$A717,[1]rogério!$B717=I$4),"ok","nok")</f>
        <v>nok</v>
      </c>
      <c r="J716" s="60" t="str">
        <f>IF(AND($B716=[1]rogério!$A717,[1]rogério!$B717=J$4),"ok","nok")</f>
        <v>nok</v>
      </c>
      <c r="K716" s="60" t="str">
        <f>IF(AND($B716=[1]rogério!$A717,[1]rogério!$B717=K$4),"ok","nok")</f>
        <v>nok</v>
      </c>
      <c r="L716" s="60" t="str">
        <f>IF(AND($B716=[1]rogério!$A717,[1]rogério!$B717=L$4),"ok","nok")</f>
        <v>nok</v>
      </c>
      <c r="M716" s="60" t="str">
        <f>IF(AND($B716=[1]rogério!$A717,[1]rogério!$B717=M$4),"ok","nok")</f>
        <v>nok</v>
      </c>
      <c r="N716" s="60" t="str">
        <f>IF(AND($B716=[1]rogério!$A717,[1]rogério!$B717=N$4),"ok","nok")</f>
        <v>nok</v>
      </c>
      <c r="O716" s="60" t="str">
        <f>IF(AND($B716=[1]rogério!$A717,[1]rogério!$B717=O$4),"ok","nok")</f>
        <v>nok</v>
      </c>
      <c r="P716" s="60" t="str">
        <f>IF(AND($B716=[1]rogério!$A717,[1]rogério!$B717=P$4),"ok","nok")</f>
        <v>nok</v>
      </c>
      <c r="Q716" s="60" t="str">
        <f>IF(AND($B716=[1]rogério!$A717,[1]rogério!$B717=Q$4),"ok","nok")</f>
        <v>nok</v>
      </c>
      <c r="R716" s="60" t="str">
        <f>IF(AND($B716=[1]rogério!$A717,[1]rogério!$B717=R$4),"ok","nok")</f>
        <v>nok</v>
      </c>
      <c r="S716" s="60" t="str">
        <f>IF(AND($B716=[1]rogério!$A717,[1]rogério!$B717=S$4),"ok","nok")</f>
        <v>nok</v>
      </c>
      <c r="T716" s="60" t="str">
        <f>IF(AND($B716=[1]rogério!$A717,[1]rogério!$B717=T$4),"ok","nok")</f>
        <v>ok</v>
      </c>
      <c r="U716" s="60" t="str">
        <f>IF(AND($B716=[1]rogério!$A717,[1]rogério!$B717=U$4),"ok","nok")</f>
        <v>nok</v>
      </c>
      <c r="V716" s="60" t="str">
        <f>IF(AND($B716=[1]rogério!$A717,[1]rogério!$B717=V$4),"ok","nok")</f>
        <v>nok</v>
      </c>
      <c r="W716" s="60" t="str">
        <f>IF(AND($B716=[1]rogério!$A717,[1]rogério!$B717=W$4),"ok","nok")</f>
        <v>nok</v>
      </c>
      <c r="X716" s="60" t="str">
        <f>IF(AND($B716=[1]rogério!$A717,[1]rogério!$B717=X$4),"ok","nok")</f>
        <v>nok</v>
      </c>
      <c r="Y716" s="105" t="s">
        <v>15</v>
      </c>
      <c r="Z716" s="106"/>
      <c r="AA716" s="106"/>
      <c r="AB716" s="107"/>
      <c r="AC716" s="38"/>
      <c r="AD716" s="38"/>
      <c r="AE716" s="48" t="str">
        <f t="shared" si="176"/>
        <v/>
      </c>
      <c r="AF716" s="48"/>
      <c r="AG716" s="48"/>
      <c r="AH716" s="89"/>
      <c r="AI716" s="49">
        <f t="shared" si="177"/>
        <v>0</v>
      </c>
      <c r="AJ716" s="49" t="str">
        <f t="shared" si="178"/>
        <v/>
      </c>
      <c r="AK716" s="49">
        <f t="shared" si="179"/>
        <v>0</v>
      </c>
      <c r="AL716" s="49" t="str">
        <f t="shared" si="180"/>
        <v/>
      </c>
      <c r="AM716" s="49">
        <f t="shared" si="181"/>
        <v>0</v>
      </c>
      <c r="AN716" s="49" t="str">
        <f t="shared" si="182"/>
        <v/>
      </c>
      <c r="AO716" s="49">
        <f t="shared" si="183"/>
        <v>1</v>
      </c>
      <c r="AP716" s="49" t="str">
        <f t="shared" si="184"/>
        <v/>
      </c>
      <c r="AQ716" s="49">
        <f t="shared" si="185"/>
        <v>0</v>
      </c>
      <c r="AR716" s="49" t="str">
        <f t="shared" si="186"/>
        <v/>
      </c>
    </row>
    <row r="717" spans="1:44" s="19" customFormat="1" ht="30" customHeight="1" x14ac:dyDescent="0.35">
      <c r="A717" s="25" t="str">
        <f t="shared" si="187"/>
        <v>PT178 - PLATAFORMA DE ACESSO - FORQUILHA 3 - BÁSICO
TORRE B6PROJETO BÁSICO
CIVIL</v>
      </c>
      <c r="B717" s="38" t="s">
        <v>65</v>
      </c>
      <c r="C717" s="60" t="str">
        <f>IF(AND($B717=[1]rogério!$A718,[1]rogério!$B718=C$4),"ok","nok")</f>
        <v>nok</v>
      </c>
      <c r="D717" s="60" t="str">
        <f>IF(AND($B717=[1]rogério!$A718,[1]rogério!$B718=D$4),"ok","nok")</f>
        <v>nok</v>
      </c>
      <c r="E717" s="60" t="str">
        <f>IF(AND($B717=[1]rogério!$A718,[1]rogério!$B718=E$4),"ok","nok")</f>
        <v>nok</v>
      </c>
      <c r="F717" s="60" t="str">
        <f>IF(AND($B717=[1]rogério!$A718,[1]rogério!$B718=F$4),"ok","nok")</f>
        <v>nok</v>
      </c>
      <c r="G717" s="60" t="str">
        <f>IF(AND($B717=[1]rogério!$A718,[1]rogério!$B718=G$4),"ok","nok")</f>
        <v>nok</v>
      </c>
      <c r="H717" s="60" t="str">
        <f>IF(AND($B717=[1]rogério!$A718,[1]rogério!$B718=H$4),"ok","nok")</f>
        <v>nok</v>
      </c>
      <c r="I717" s="60" t="str">
        <f>IF(AND($B717=[1]rogério!$A718,[1]rogério!$B718=I$4),"ok","nok")</f>
        <v>nok</v>
      </c>
      <c r="J717" s="60" t="str">
        <f>IF(AND($B717=[1]rogério!$A718,[1]rogério!$B718=J$4),"ok","nok")</f>
        <v>nok</v>
      </c>
      <c r="K717" s="60" t="str">
        <f>IF(AND($B717=[1]rogério!$A718,[1]rogério!$B718=K$4),"ok","nok")</f>
        <v>nok</v>
      </c>
      <c r="L717" s="60" t="str">
        <f>IF(AND($B717=[1]rogério!$A718,[1]rogério!$B718=L$4),"ok","nok")</f>
        <v>ok</v>
      </c>
      <c r="M717" s="60" t="str">
        <f>IF(AND($B717=[1]rogério!$A718,[1]rogério!$B718=M$4),"ok","nok")</f>
        <v>nok</v>
      </c>
      <c r="N717" s="60" t="str">
        <f>IF(AND($B717=[1]rogério!$A718,[1]rogério!$B718=N$4),"ok","nok")</f>
        <v>nok</v>
      </c>
      <c r="O717" s="60" t="str">
        <f>IF(AND($B717=[1]rogério!$A718,[1]rogério!$B718=O$4),"ok","nok")</f>
        <v>nok</v>
      </c>
      <c r="P717" s="60" t="str">
        <f>IF(AND($B717=[1]rogério!$A718,[1]rogério!$B718=P$4),"ok","nok")</f>
        <v>nok</v>
      </c>
      <c r="Q717" s="60" t="str">
        <f>IF(AND($B717=[1]rogério!$A718,[1]rogério!$B718=Q$4),"ok","nok")</f>
        <v>nok</v>
      </c>
      <c r="R717" s="60" t="str">
        <f>IF(AND($B717=[1]rogério!$A718,[1]rogério!$B718=R$4),"ok","nok")</f>
        <v>nok</v>
      </c>
      <c r="S717" s="60" t="str">
        <f>IF(AND($B717=[1]rogério!$A718,[1]rogério!$B718=S$4),"ok","nok")</f>
        <v>nok</v>
      </c>
      <c r="T717" s="60" t="str">
        <f>IF(AND($B717=[1]rogério!$A718,[1]rogério!$B718=T$4),"ok","nok")</f>
        <v>nok</v>
      </c>
      <c r="U717" s="60" t="str">
        <f>IF(AND($B717=[1]rogério!$A718,[1]rogério!$B718=U$4),"ok","nok")</f>
        <v>nok</v>
      </c>
      <c r="V717" s="60" t="str">
        <f>IF(AND($B717=[1]rogério!$A718,[1]rogério!$B718=V$4),"ok","nok")</f>
        <v>nok</v>
      </c>
      <c r="W717" s="60" t="str">
        <f>IF(AND($B717=[1]rogério!$A718,[1]rogério!$B718=W$4),"ok","nok")</f>
        <v>nok</v>
      </c>
      <c r="X717" s="60" t="str">
        <f>IF(AND($B717=[1]rogério!$A718,[1]rogério!$B718=X$4),"ok","nok")</f>
        <v>nok</v>
      </c>
      <c r="Y717" s="105" t="s">
        <v>15</v>
      </c>
      <c r="Z717" s="106"/>
      <c r="AA717" s="106"/>
      <c r="AB717" s="107"/>
      <c r="AD717" s="32"/>
      <c r="AE717" s="48" t="str">
        <f t="shared" si="176"/>
        <v/>
      </c>
      <c r="AF717" s="48"/>
      <c r="AG717" s="48"/>
      <c r="AH717" s="89"/>
      <c r="AI717" s="49">
        <f t="shared" si="177"/>
        <v>0</v>
      </c>
      <c r="AJ717" s="49" t="str">
        <f t="shared" si="178"/>
        <v/>
      </c>
      <c r="AK717" s="49">
        <f t="shared" si="179"/>
        <v>1</v>
      </c>
      <c r="AL717" s="49" t="str">
        <f t="shared" si="180"/>
        <v/>
      </c>
      <c r="AM717" s="49">
        <f t="shared" si="181"/>
        <v>0</v>
      </c>
      <c r="AN717" s="49" t="str">
        <f t="shared" si="182"/>
        <v/>
      </c>
      <c r="AO717" s="49">
        <f t="shared" si="183"/>
        <v>0</v>
      </c>
      <c r="AP717" s="49" t="str">
        <f t="shared" si="184"/>
        <v/>
      </c>
      <c r="AQ717" s="49">
        <f t="shared" si="185"/>
        <v>0</v>
      </c>
      <c r="AR717" s="49" t="str">
        <f t="shared" si="186"/>
        <v/>
      </c>
    </row>
    <row r="718" spans="1:44" ht="30" customHeight="1" x14ac:dyDescent="0.35">
      <c r="A718" s="25" t="str">
        <f t="shared" si="187"/>
        <v>PT178 - PLATAFORMA DE ACESSO - FORQUILHA 3 - BÁSICO
TORRE B6PROJETO BÁSICO
CIVIL</v>
      </c>
      <c r="B718" s="38" t="s">
        <v>66</v>
      </c>
      <c r="C718" s="60" t="str">
        <f>IF(AND($B718=[1]rogério!$A719,[1]rogério!$B719=C$4),"ok","nok")</f>
        <v>nok</v>
      </c>
      <c r="D718" s="60" t="str">
        <f>IF(AND($B718=[1]rogério!$A719,[1]rogério!$B719=D$4),"ok","nok")</f>
        <v>nok</v>
      </c>
      <c r="E718" s="60" t="str">
        <f>IF(AND($B718=[1]rogério!$A719,[1]rogério!$B719=E$4),"ok","nok")</f>
        <v>nok</v>
      </c>
      <c r="F718" s="60" t="str">
        <f>IF(AND($B718=[1]rogério!$A719,[1]rogério!$B719=F$4),"ok","nok")</f>
        <v>nok</v>
      </c>
      <c r="G718" s="60" t="str">
        <f>IF(AND($B718=[1]rogério!$A719,[1]rogério!$B719=G$4),"ok","nok")</f>
        <v>nok</v>
      </c>
      <c r="H718" s="60" t="str">
        <f>IF(AND($B718=[1]rogério!$A719,[1]rogério!$B719=H$4),"ok","nok")</f>
        <v>nok</v>
      </c>
      <c r="I718" s="60" t="str">
        <f>IF(AND($B718=[1]rogério!$A719,[1]rogério!$B719=I$4),"ok","nok")</f>
        <v>nok</v>
      </c>
      <c r="J718" s="60" t="str">
        <f>IF(AND($B718=[1]rogério!$A719,[1]rogério!$B719=J$4),"ok","nok")</f>
        <v>nok</v>
      </c>
      <c r="K718" s="60" t="str">
        <f>IF(AND($B718=[1]rogério!$A719,[1]rogério!$B719=K$4),"ok","nok")</f>
        <v>nok</v>
      </c>
      <c r="L718" s="60" t="str">
        <f>IF(AND($B718=[1]rogério!$A719,[1]rogério!$B719=L$4),"ok","nok")</f>
        <v>nok</v>
      </c>
      <c r="M718" s="60" t="str">
        <f>IF(AND($B718=[1]rogério!$A719,[1]rogério!$B719=M$4),"ok","nok")</f>
        <v>ok</v>
      </c>
      <c r="N718" s="60" t="str">
        <f>IF(AND($B718=[1]rogério!$A719,[1]rogério!$B719=N$4),"ok","nok")</f>
        <v>nok</v>
      </c>
      <c r="O718" s="60" t="str">
        <f>IF(AND($B718=[1]rogério!$A719,[1]rogério!$B719=O$4),"ok","nok")</f>
        <v>nok</v>
      </c>
      <c r="P718" s="60" t="str">
        <f>IF(AND($B718=[1]rogério!$A719,[1]rogério!$B719=P$4),"ok","nok")</f>
        <v>nok</v>
      </c>
      <c r="Q718" s="60" t="str">
        <f>IF(AND($B718=[1]rogério!$A719,[1]rogério!$B719=Q$4),"ok","nok")</f>
        <v>nok</v>
      </c>
      <c r="R718" s="60" t="str">
        <f>IF(AND($B718=[1]rogério!$A719,[1]rogério!$B719=R$4),"ok","nok")</f>
        <v>nok</v>
      </c>
      <c r="S718" s="60" t="str">
        <f>IF(AND($B718=[1]rogério!$A719,[1]rogério!$B719=S$4),"ok","nok")</f>
        <v>nok</v>
      </c>
      <c r="T718" s="60" t="str">
        <f>IF(AND($B718=[1]rogério!$A719,[1]rogério!$B719=T$4),"ok","nok")</f>
        <v>nok</v>
      </c>
      <c r="U718" s="60" t="str">
        <f>IF(AND($B718=[1]rogério!$A719,[1]rogério!$B719=U$4),"ok","nok")</f>
        <v>nok</v>
      </c>
      <c r="V718" s="60" t="str">
        <f>IF(AND($B718=[1]rogério!$A719,[1]rogério!$B719=V$4),"ok","nok")</f>
        <v>nok</v>
      </c>
      <c r="W718" s="60" t="str">
        <f>IF(AND($B718=[1]rogério!$A719,[1]rogério!$B719=W$4),"ok","nok")</f>
        <v>nok</v>
      </c>
      <c r="X718" s="60" t="str">
        <f>IF(AND($B718=[1]rogério!$A719,[1]rogério!$B719=X$4),"ok","nok")</f>
        <v>nok</v>
      </c>
      <c r="Y718" s="105" t="s">
        <v>15</v>
      </c>
      <c r="Z718" s="106"/>
      <c r="AA718" s="106"/>
      <c r="AB718" s="107"/>
      <c r="AE718" s="48" t="str">
        <f t="shared" si="176"/>
        <v/>
      </c>
      <c r="AF718" s="48"/>
      <c r="AG718" s="48"/>
      <c r="AH718" s="89"/>
      <c r="AI718" s="49">
        <f t="shared" si="177"/>
        <v>0</v>
      </c>
      <c r="AJ718" s="49" t="str">
        <f t="shared" si="178"/>
        <v/>
      </c>
      <c r="AK718" s="49">
        <f t="shared" si="179"/>
        <v>0</v>
      </c>
      <c r="AL718" s="49" t="str">
        <f t="shared" si="180"/>
        <v/>
      </c>
      <c r="AM718" s="49">
        <f t="shared" si="181"/>
        <v>1</v>
      </c>
      <c r="AN718" s="49" t="str">
        <f t="shared" si="182"/>
        <v/>
      </c>
      <c r="AO718" s="49">
        <f t="shared" si="183"/>
        <v>0</v>
      </c>
      <c r="AP718" s="49" t="str">
        <f t="shared" si="184"/>
        <v/>
      </c>
      <c r="AQ718" s="49">
        <f t="shared" si="185"/>
        <v>0</v>
      </c>
      <c r="AR718" s="49" t="str">
        <f t="shared" si="186"/>
        <v/>
      </c>
    </row>
    <row r="719" spans="1:44" ht="30" customHeight="1" x14ac:dyDescent="0.35">
      <c r="A719" s="25"/>
      <c r="B719" s="39" t="s">
        <v>67</v>
      </c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108"/>
      <c r="Z719" s="109"/>
      <c r="AA719" s="109"/>
      <c r="AB719" s="110"/>
      <c r="AE719" s="48" t="str">
        <f t="shared" si="176"/>
        <v/>
      </c>
      <c r="AF719" s="48"/>
      <c r="AG719" s="48"/>
      <c r="AH719" s="89"/>
      <c r="AI719" s="49">
        <f t="shared" si="177"/>
        <v>0</v>
      </c>
      <c r="AJ719" s="49" t="str">
        <f t="shared" si="178"/>
        <v/>
      </c>
      <c r="AK719" s="49">
        <f t="shared" si="179"/>
        <v>0</v>
      </c>
      <c r="AL719" s="49" t="str">
        <f t="shared" si="180"/>
        <v/>
      </c>
      <c r="AM719" s="49">
        <f t="shared" si="181"/>
        <v>0</v>
      </c>
      <c r="AN719" s="49" t="str">
        <f t="shared" si="182"/>
        <v/>
      </c>
      <c r="AO719" s="49">
        <f t="shared" si="183"/>
        <v>0</v>
      </c>
      <c r="AP719" s="49" t="str">
        <f t="shared" si="184"/>
        <v/>
      </c>
      <c r="AQ719" s="49">
        <f t="shared" si="185"/>
        <v>0</v>
      </c>
      <c r="AR719" s="49" t="str">
        <f t="shared" si="186"/>
        <v/>
      </c>
    </row>
    <row r="720" spans="1:44" ht="30" customHeight="1" x14ac:dyDescent="0.35">
      <c r="A720" s="25" t="str">
        <f t="shared" si="187"/>
        <v>PT178 - PLATAFORMA DE ACESSO - FORQUILHA 3 - BÁSICO
TORRE B6PROJETO BÁSICO
CIVIL</v>
      </c>
      <c r="B720" s="40" t="s">
        <v>49</v>
      </c>
      <c r="C720" s="60" t="str">
        <f>IF(AND($B720=[1]rogério!$A721,[1]rogério!$B721=C$4),"ok","nok")</f>
        <v>nok</v>
      </c>
      <c r="D720" s="60" t="str">
        <f>IF(AND($B720=[1]rogério!$A721,[1]rogério!$B721=D$4),"ok","nok")</f>
        <v>nok</v>
      </c>
      <c r="E720" s="60" t="str">
        <f>IF(AND($B720=[1]rogério!$A721,[1]rogério!$B721=E$4),"ok","nok")</f>
        <v>nok</v>
      </c>
      <c r="F720" s="60" t="str">
        <f>IF(AND($B720=[1]rogério!$A721,[1]rogério!$B721=F$4),"ok","nok")</f>
        <v>nok</v>
      </c>
      <c r="G720" s="60" t="str">
        <f>IF(AND($B720=[1]rogério!$A721,[1]rogério!$B721=G$4),"ok","nok")</f>
        <v>nok</v>
      </c>
      <c r="H720" s="60" t="str">
        <f>IF(AND($B720=[1]rogério!$A721,[1]rogério!$B721=H$4),"ok","nok")</f>
        <v>nok</v>
      </c>
      <c r="I720" s="60" t="str">
        <f>IF(AND($B720=[1]rogério!$A721,[1]rogério!$B721=I$4),"ok","nok")</f>
        <v>nok</v>
      </c>
      <c r="J720" s="60" t="str">
        <f>IF(AND($B720=[1]rogério!$A721,[1]rogério!$B721=J$4),"ok","nok")</f>
        <v>nok</v>
      </c>
      <c r="K720" s="60" t="str">
        <f>IF(AND($B720=[1]rogério!$A721,[1]rogério!$B721=K$4),"ok","nok")</f>
        <v>nok</v>
      </c>
      <c r="L720" s="60" t="str">
        <f>IF(AND($B720=[1]rogério!$A721,[1]rogério!$B721=L$4),"ok","nok")</f>
        <v>nok</v>
      </c>
      <c r="M720" s="60" t="str">
        <f>IF(AND($B720=[1]rogério!$A721,[1]rogério!$B721=M$4),"ok","nok")</f>
        <v>ok</v>
      </c>
      <c r="N720" s="60" t="str">
        <f>IF(AND($B720=[1]rogério!$A721,[1]rogério!$B721=N$4),"ok","nok")</f>
        <v>nok</v>
      </c>
      <c r="O720" s="60" t="str">
        <f>IF(AND($B720=[1]rogério!$A721,[1]rogério!$B721=O$4),"ok","nok")</f>
        <v>nok</v>
      </c>
      <c r="P720" s="60" t="str">
        <f>IF(AND($B720=[1]rogério!$A721,[1]rogério!$B721=P$4),"ok","nok")</f>
        <v>nok</v>
      </c>
      <c r="Q720" s="60" t="str">
        <f>IF(AND($B720=[1]rogério!$A721,[1]rogério!$B721=Q$4),"ok","nok")</f>
        <v>nok</v>
      </c>
      <c r="R720" s="60" t="str">
        <f>IF(AND($B720=[1]rogério!$A721,[1]rogério!$B721=R$4),"ok","nok")</f>
        <v>nok</v>
      </c>
      <c r="S720" s="60" t="str">
        <f>IF(AND($B720=[1]rogério!$A721,[1]rogério!$B721=S$4),"ok","nok")</f>
        <v>nok</v>
      </c>
      <c r="T720" s="60" t="str">
        <f>IF(AND($B720=[1]rogério!$A721,[1]rogério!$B721=T$4),"ok","nok")</f>
        <v>nok</v>
      </c>
      <c r="U720" s="60" t="str">
        <f>IF(AND($B720=[1]rogério!$A721,[1]rogério!$B721=U$4),"ok","nok")</f>
        <v>nok</v>
      </c>
      <c r="V720" s="60" t="str">
        <f>IF(AND($B720=[1]rogério!$A721,[1]rogério!$B721=V$4),"ok","nok")</f>
        <v>nok</v>
      </c>
      <c r="W720" s="60" t="str">
        <f>IF(AND($B720=[1]rogério!$A721,[1]rogério!$B721=W$4),"ok","nok")</f>
        <v>nok</v>
      </c>
      <c r="X720" s="60" t="str">
        <f>IF(AND($B720=[1]rogério!$A721,[1]rogério!$B721=X$4),"ok","nok")</f>
        <v>nok</v>
      </c>
      <c r="Y720" s="105" t="s">
        <v>15</v>
      </c>
      <c r="Z720" s="106"/>
      <c r="AA720" s="106"/>
      <c r="AB720" s="107"/>
      <c r="AE720" s="48" t="str">
        <f t="shared" si="176"/>
        <v/>
      </c>
      <c r="AF720" s="48"/>
      <c r="AG720" s="48"/>
      <c r="AH720" s="89"/>
      <c r="AI720" s="49">
        <f t="shared" si="177"/>
        <v>0</v>
      </c>
      <c r="AJ720" s="49" t="str">
        <f t="shared" si="178"/>
        <v/>
      </c>
      <c r="AK720" s="49">
        <f t="shared" si="179"/>
        <v>0</v>
      </c>
      <c r="AL720" s="49" t="str">
        <f t="shared" si="180"/>
        <v/>
      </c>
      <c r="AM720" s="49">
        <f t="shared" si="181"/>
        <v>1</v>
      </c>
      <c r="AN720" s="49" t="str">
        <f t="shared" si="182"/>
        <v/>
      </c>
      <c r="AO720" s="49">
        <f t="shared" si="183"/>
        <v>0</v>
      </c>
      <c r="AP720" s="49" t="str">
        <f t="shared" si="184"/>
        <v/>
      </c>
      <c r="AQ720" s="49">
        <f t="shared" si="185"/>
        <v>0</v>
      </c>
      <c r="AR720" s="49" t="str">
        <f t="shared" si="186"/>
        <v/>
      </c>
    </row>
    <row r="721" spans="1:44" ht="30" customHeight="1" x14ac:dyDescent="0.35">
      <c r="A721" s="25" t="str">
        <f t="shared" si="187"/>
        <v>PT178 - PLATAFORMA DE ACESSO - FORQUILHA 3 - BÁSICO
TORRE B6PROJETO BÁSICO
CIVIL</v>
      </c>
      <c r="B721" s="40" t="s">
        <v>19</v>
      </c>
      <c r="C721" s="60" t="str">
        <f>IF(AND($B721=[1]rogério!$A722,[1]rogério!$B722=C$4),"ok","nok")</f>
        <v>nok</v>
      </c>
      <c r="D721" s="60" t="str">
        <f>IF(AND($B721=[1]rogério!$A722,[1]rogério!$B722=D$4),"ok","nok")</f>
        <v>nok</v>
      </c>
      <c r="E721" s="60" t="str">
        <f>IF(AND($B721=[1]rogério!$A722,[1]rogério!$B722=E$4),"ok","nok")</f>
        <v>nok</v>
      </c>
      <c r="F721" s="60" t="str">
        <f>IF(AND($B721=[1]rogério!$A722,[1]rogério!$B722=F$4),"ok","nok")</f>
        <v>nok</v>
      </c>
      <c r="G721" s="60" t="str">
        <f>IF(AND($B721=[1]rogério!$A722,[1]rogério!$B722=G$4),"ok","nok")</f>
        <v>nok</v>
      </c>
      <c r="H721" s="60" t="str">
        <f>IF(AND($B721=[1]rogério!$A722,[1]rogério!$B722=H$4),"ok","nok")</f>
        <v>nok</v>
      </c>
      <c r="I721" s="60" t="str">
        <f>IF(AND($B721=[1]rogério!$A722,[1]rogério!$B722=I$4),"ok","nok")</f>
        <v>nok</v>
      </c>
      <c r="J721" s="60" t="str">
        <f>IF(AND($B721=[1]rogério!$A722,[1]rogério!$B722=J$4),"ok","nok")</f>
        <v>nok</v>
      </c>
      <c r="K721" s="60" t="str">
        <f>IF(AND($B721=[1]rogério!$A722,[1]rogério!$B722=K$4),"ok","nok")</f>
        <v>nok</v>
      </c>
      <c r="L721" s="60" t="str">
        <f>IF(AND($B721=[1]rogério!$A722,[1]rogério!$B722=L$4),"ok","nok")</f>
        <v>nok</v>
      </c>
      <c r="M721" s="60" t="str">
        <f>IF(AND($B721=[1]rogério!$A722,[1]rogério!$B722=M$4),"ok","nok")</f>
        <v>nok</v>
      </c>
      <c r="N721" s="60" t="str">
        <f>IF(AND($B721=[1]rogério!$A722,[1]rogério!$B722=N$4),"ok","nok")</f>
        <v>nok</v>
      </c>
      <c r="O721" s="60" t="str">
        <f>IF(AND($B721=[1]rogério!$A722,[1]rogério!$B722=O$4),"ok","nok")</f>
        <v>nok</v>
      </c>
      <c r="P721" s="60" t="str">
        <f>IF(AND($B721=[1]rogério!$A722,[1]rogério!$B722=P$4),"ok","nok")</f>
        <v>nok</v>
      </c>
      <c r="Q721" s="60" t="str">
        <f>IF(AND($B721=[1]rogério!$A722,[1]rogério!$B722=Q$4),"ok","nok")</f>
        <v>nok</v>
      </c>
      <c r="R721" s="60" t="str">
        <f>IF(AND($B721=[1]rogério!$A722,[1]rogério!$B722=R$4),"ok","nok")</f>
        <v>ok</v>
      </c>
      <c r="S721" s="60" t="str">
        <f>IF(AND($B721=[1]rogério!$A722,[1]rogério!$B722=S$4),"ok","nok")</f>
        <v>nok</v>
      </c>
      <c r="T721" s="60" t="str">
        <f>IF(AND($B721=[1]rogério!$A722,[1]rogério!$B722=T$4),"ok","nok")</f>
        <v>nok</v>
      </c>
      <c r="U721" s="60" t="str">
        <f>IF(AND($B721=[1]rogério!$A722,[1]rogério!$B722=U$4),"ok","nok")</f>
        <v>nok</v>
      </c>
      <c r="V721" s="60" t="str">
        <f>IF(AND($B721=[1]rogério!$A722,[1]rogério!$B722=V$4),"ok","nok")</f>
        <v>nok</v>
      </c>
      <c r="W721" s="60" t="str">
        <f>IF(AND($B721=[1]rogério!$A722,[1]rogério!$B722=W$4),"ok","nok")</f>
        <v>nok</v>
      </c>
      <c r="X721" s="60" t="str">
        <f>IF(AND($B721=[1]rogério!$A722,[1]rogério!$B722=X$4),"ok","nok")</f>
        <v>nok</v>
      </c>
      <c r="Y721" s="105" t="s">
        <v>15</v>
      </c>
      <c r="Z721" s="106"/>
      <c r="AA721" s="106"/>
      <c r="AB721" s="107"/>
      <c r="AE721" s="48" t="str">
        <f t="shared" si="176"/>
        <v/>
      </c>
      <c r="AF721" s="48"/>
      <c r="AG721" s="48"/>
      <c r="AH721" s="89"/>
      <c r="AI721" s="49">
        <f t="shared" si="177"/>
        <v>0</v>
      </c>
      <c r="AJ721" s="49" t="str">
        <f t="shared" si="178"/>
        <v/>
      </c>
      <c r="AK721" s="49">
        <f t="shared" si="179"/>
        <v>0</v>
      </c>
      <c r="AL721" s="49" t="str">
        <f t="shared" si="180"/>
        <v/>
      </c>
      <c r="AM721" s="49">
        <f t="shared" si="181"/>
        <v>0</v>
      </c>
      <c r="AN721" s="49" t="str">
        <f t="shared" si="182"/>
        <v/>
      </c>
      <c r="AO721" s="49">
        <f t="shared" si="183"/>
        <v>1</v>
      </c>
      <c r="AP721" s="49" t="str">
        <f t="shared" si="184"/>
        <v/>
      </c>
      <c r="AQ721" s="49">
        <f t="shared" si="185"/>
        <v>0</v>
      </c>
      <c r="AR721" s="49" t="str">
        <f t="shared" si="186"/>
        <v/>
      </c>
    </row>
    <row r="722" spans="1:44" ht="30" customHeight="1" x14ac:dyDescent="0.35">
      <c r="A722" s="25" t="str">
        <f t="shared" si="187"/>
        <v>PT178 - PLATAFORMA DE ACESSO - FORQUILHA 3 - BÁSICO
TORRE B6PROJETO BÁSICO
CIVIL</v>
      </c>
      <c r="B722" s="40" t="s">
        <v>42</v>
      </c>
      <c r="C722" s="60" t="str">
        <f>IF(AND($B722=[1]rogério!$A723,[1]rogério!$B723=C$4),"ok","nok")</f>
        <v>nok</v>
      </c>
      <c r="D722" s="60" t="str">
        <f>IF(AND($B722=[1]rogério!$A723,[1]rogério!$B723=D$4),"ok","nok")</f>
        <v>nok</v>
      </c>
      <c r="E722" s="60" t="str">
        <f>IF(AND($B722=[1]rogério!$A723,[1]rogério!$B723=E$4),"ok","nok")</f>
        <v>nok</v>
      </c>
      <c r="F722" s="60" t="str">
        <f>IF(AND($B722=[1]rogério!$A723,[1]rogério!$B723=F$4),"ok","nok")</f>
        <v>nok</v>
      </c>
      <c r="G722" s="60" t="str">
        <f>IF(AND($B722=[1]rogério!$A723,[1]rogério!$B723=G$4),"ok","nok")</f>
        <v>nok</v>
      </c>
      <c r="H722" s="60" t="str">
        <f>IF(AND($B722=[1]rogério!$A723,[1]rogério!$B723=H$4),"ok","nok")</f>
        <v>nok</v>
      </c>
      <c r="I722" s="60" t="str">
        <f>IF(AND($B722=[1]rogério!$A723,[1]rogério!$B723=I$4),"ok","nok")</f>
        <v>nok</v>
      </c>
      <c r="J722" s="60" t="str">
        <f>IF(AND($B722=[1]rogério!$A723,[1]rogério!$B723=J$4),"ok","nok")</f>
        <v>nok</v>
      </c>
      <c r="K722" s="60" t="str">
        <f>IF(AND($B722=[1]rogério!$A723,[1]rogério!$B723=K$4),"ok","nok")</f>
        <v>nok</v>
      </c>
      <c r="L722" s="60" t="str">
        <f>IF(AND($B722=[1]rogério!$A723,[1]rogério!$B723=L$4),"ok","nok")</f>
        <v>nok</v>
      </c>
      <c r="M722" s="60" t="str">
        <f>IF(AND($B722=[1]rogério!$A723,[1]rogério!$B723=M$4),"ok","nok")</f>
        <v>nok</v>
      </c>
      <c r="N722" s="60" t="str">
        <f>IF(AND($B722=[1]rogério!$A723,[1]rogério!$B723=N$4),"ok","nok")</f>
        <v>nok</v>
      </c>
      <c r="O722" s="60" t="str">
        <f>IF(AND($B722=[1]rogério!$A723,[1]rogério!$B723=O$4),"ok","nok")</f>
        <v>nok</v>
      </c>
      <c r="P722" s="60" t="str">
        <f>IF(AND($B722=[1]rogério!$A723,[1]rogério!$B723=P$4),"ok","nok")</f>
        <v>nok</v>
      </c>
      <c r="Q722" s="60" t="str">
        <f>IF(AND($B722=[1]rogério!$A723,[1]rogério!$B723=Q$4),"ok","nok")</f>
        <v>nok</v>
      </c>
      <c r="R722" s="60" t="str">
        <f>IF(AND($B722=[1]rogério!$A723,[1]rogério!$B723=R$4),"ok","nok")</f>
        <v>nok</v>
      </c>
      <c r="S722" s="60" t="str">
        <f>IF(AND($B722=[1]rogério!$A723,[1]rogério!$B723=S$4),"ok","nok")</f>
        <v>nok</v>
      </c>
      <c r="T722" s="60" t="str">
        <f>IF(AND($B722=[1]rogério!$A723,[1]rogério!$B723=T$4),"ok","nok")</f>
        <v>nok</v>
      </c>
      <c r="U722" s="60" t="str">
        <f>IF(AND($B722=[1]rogério!$A723,[1]rogério!$B723=U$4),"ok","nok")</f>
        <v>ok</v>
      </c>
      <c r="V722" s="60" t="str">
        <f>IF(AND($B722=[1]rogério!$A723,[1]rogério!$B723=V$4),"ok","nok")</f>
        <v>nok</v>
      </c>
      <c r="W722" s="60" t="str">
        <f>IF(AND($B722=[1]rogério!$A723,[1]rogério!$B723=W$4),"ok","nok")</f>
        <v>nok</v>
      </c>
      <c r="X722" s="60" t="str">
        <f>IF(AND($B722=[1]rogério!$A723,[1]rogério!$B723=X$4),"ok","nok")</f>
        <v>nok</v>
      </c>
      <c r="Y722" s="105" t="s">
        <v>15</v>
      </c>
      <c r="Z722" s="106"/>
      <c r="AA722" s="106"/>
      <c r="AB722" s="107"/>
      <c r="AE722" s="48" t="str">
        <f t="shared" si="176"/>
        <v/>
      </c>
      <c r="AF722" s="48"/>
      <c r="AG722" s="48"/>
      <c r="AH722" s="89"/>
      <c r="AI722" s="49">
        <f t="shared" si="177"/>
        <v>0</v>
      </c>
      <c r="AJ722" s="49" t="str">
        <f t="shared" si="178"/>
        <v/>
      </c>
      <c r="AK722" s="49">
        <f t="shared" si="179"/>
        <v>0</v>
      </c>
      <c r="AL722" s="49" t="str">
        <f t="shared" si="180"/>
        <v/>
      </c>
      <c r="AM722" s="49">
        <f t="shared" si="181"/>
        <v>0</v>
      </c>
      <c r="AN722" s="49" t="str">
        <f t="shared" si="182"/>
        <v/>
      </c>
      <c r="AO722" s="49">
        <f t="shared" si="183"/>
        <v>1</v>
      </c>
      <c r="AP722" s="49" t="str">
        <f t="shared" si="184"/>
        <v/>
      </c>
      <c r="AQ722" s="49">
        <f t="shared" si="185"/>
        <v>0</v>
      </c>
      <c r="AR722" s="49" t="str">
        <f t="shared" si="186"/>
        <v/>
      </c>
    </row>
    <row r="723" spans="1:44" ht="30" customHeight="1" x14ac:dyDescent="0.35">
      <c r="A723" s="25" t="str">
        <f t="shared" si="187"/>
        <v>PT178 - PLATAFORMA DE ACESSO - FORQUILHA 3 - BÁSICO
TORRE B6PROJETO BÁSICO
CIVIL</v>
      </c>
      <c r="B723" s="40" t="s">
        <v>43</v>
      </c>
      <c r="C723" s="60" t="str">
        <f>IF(AND($B723=[1]rogério!$A724,[1]rogério!$B724=C$4),"ok","nok")</f>
        <v>nok</v>
      </c>
      <c r="D723" s="60" t="str">
        <f>IF(AND($B723=[1]rogério!$A724,[1]rogério!$B724=D$4),"ok","nok")</f>
        <v>nok</v>
      </c>
      <c r="E723" s="60" t="str">
        <f>IF(AND($B723=[1]rogério!$A724,[1]rogério!$B724=E$4),"ok","nok")</f>
        <v>nok</v>
      </c>
      <c r="F723" s="60" t="str">
        <f>IF(AND($B723=[1]rogério!$A724,[1]rogério!$B724=F$4),"ok","nok")</f>
        <v>nok</v>
      </c>
      <c r="G723" s="60" t="str">
        <f>IF(AND($B723=[1]rogério!$A724,[1]rogério!$B724=G$4),"ok","nok")</f>
        <v>nok</v>
      </c>
      <c r="H723" s="60" t="str">
        <f>IF(AND($B723=[1]rogério!$A724,[1]rogério!$B724=H$4),"ok","nok")</f>
        <v>nok</v>
      </c>
      <c r="I723" s="60" t="str">
        <f>IF(AND($B723=[1]rogério!$A724,[1]rogério!$B724=I$4),"ok","nok")</f>
        <v>nok</v>
      </c>
      <c r="J723" s="60" t="str">
        <f>IF(AND($B723=[1]rogério!$A724,[1]rogério!$B724=J$4),"ok","nok")</f>
        <v>nok</v>
      </c>
      <c r="K723" s="60" t="str">
        <f>IF(AND($B723=[1]rogério!$A724,[1]rogério!$B724=K$4),"ok","nok")</f>
        <v>nok</v>
      </c>
      <c r="L723" s="60" t="str">
        <f>IF(AND($B723=[1]rogério!$A724,[1]rogério!$B724=L$4),"ok","nok")</f>
        <v>nok</v>
      </c>
      <c r="M723" s="60" t="str">
        <f>IF(AND($B723=[1]rogério!$A724,[1]rogério!$B724=M$4),"ok","nok")</f>
        <v>nok</v>
      </c>
      <c r="N723" s="60" t="str">
        <f>IF(AND($B723=[1]rogério!$A724,[1]rogério!$B724=N$4),"ok","nok")</f>
        <v>nok</v>
      </c>
      <c r="O723" s="60" t="str">
        <f>IF(AND($B723=[1]rogério!$A724,[1]rogério!$B724=O$4),"ok","nok")</f>
        <v>nok</v>
      </c>
      <c r="P723" s="60" t="str">
        <f>IF(AND($B723=[1]rogério!$A724,[1]rogério!$B724=P$4),"ok","nok")</f>
        <v>nok</v>
      </c>
      <c r="Q723" s="60" t="str">
        <f>IF(AND($B723=[1]rogério!$A724,[1]rogério!$B724=Q$4),"ok","nok")</f>
        <v>nok</v>
      </c>
      <c r="R723" s="60" t="str">
        <f>IF(AND($B723=[1]rogério!$A724,[1]rogério!$B724=R$4),"ok","nok")</f>
        <v>nok</v>
      </c>
      <c r="S723" s="60" t="str">
        <f>IF(AND($B723=[1]rogério!$A724,[1]rogério!$B724=S$4),"ok","nok")</f>
        <v>nok</v>
      </c>
      <c r="T723" s="60" t="str">
        <f>IF(AND($B723=[1]rogério!$A724,[1]rogério!$B724=T$4),"ok","nok")</f>
        <v>nok</v>
      </c>
      <c r="U723" s="60" t="str">
        <f>IF(AND($B723=[1]rogério!$A724,[1]rogério!$B724=U$4),"ok","nok")</f>
        <v>ok</v>
      </c>
      <c r="V723" s="60" t="str">
        <f>IF(AND($B723=[1]rogério!$A724,[1]rogério!$B724=V$4),"ok","nok")</f>
        <v>nok</v>
      </c>
      <c r="W723" s="60" t="str">
        <f>IF(AND($B723=[1]rogério!$A724,[1]rogério!$B724=W$4),"ok","nok")</f>
        <v>nok</v>
      </c>
      <c r="X723" s="60" t="str">
        <f>IF(AND($B723=[1]rogério!$A724,[1]rogério!$B724=X$4),"ok","nok")</f>
        <v>nok</v>
      </c>
      <c r="Y723" s="105" t="s">
        <v>15</v>
      </c>
      <c r="Z723" s="106"/>
      <c r="AA723" s="106"/>
      <c r="AB723" s="107"/>
      <c r="AE723" s="48" t="str">
        <f t="shared" si="176"/>
        <v/>
      </c>
      <c r="AF723" s="48"/>
      <c r="AG723" s="48"/>
      <c r="AH723" s="89"/>
      <c r="AI723" s="49">
        <f t="shared" si="177"/>
        <v>0</v>
      </c>
      <c r="AJ723" s="49" t="str">
        <f t="shared" si="178"/>
        <v/>
      </c>
      <c r="AK723" s="49">
        <f t="shared" si="179"/>
        <v>0</v>
      </c>
      <c r="AL723" s="49" t="str">
        <f t="shared" si="180"/>
        <v/>
      </c>
      <c r="AM723" s="49">
        <f t="shared" si="181"/>
        <v>0</v>
      </c>
      <c r="AN723" s="49" t="str">
        <f t="shared" si="182"/>
        <v/>
      </c>
      <c r="AO723" s="49">
        <f t="shared" si="183"/>
        <v>1</v>
      </c>
      <c r="AP723" s="49" t="str">
        <f t="shared" si="184"/>
        <v/>
      </c>
      <c r="AQ723" s="49">
        <f t="shared" si="185"/>
        <v>0</v>
      </c>
      <c r="AR723" s="49" t="str">
        <f t="shared" si="186"/>
        <v/>
      </c>
    </row>
    <row r="724" spans="1:44" ht="30" customHeight="1" x14ac:dyDescent="0.35">
      <c r="A724" s="25" t="str">
        <f t="shared" si="187"/>
        <v>PT178 - PLATAFORMA DE ACESSO - FORQUILHA 3 - BÁSICO
TORRE B6PROJETO BÁSICO
CIVIL</v>
      </c>
      <c r="B724" s="38" t="s">
        <v>74</v>
      </c>
      <c r="C724" s="60" t="str">
        <f>IF(AND($B724=[1]rogério!$A725,[1]rogério!$B725=C$4),"ok","nok")</f>
        <v>nok</v>
      </c>
      <c r="D724" s="60" t="str">
        <f>IF(AND($B724=[1]rogério!$A725,[1]rogério!$B725=D$4),"ok","nok")</f>
        <v>nok</v>
      </c>
      <c r="E724" s="60" t="str">
        <f>IF(AND($B724=[1]rogério!$A725,[1]rogério!$B725=E$4),"ok","nok")</f>
        <v>nok</v>
      </c>
      <c r="F724" s="60" t="str">
        <f>IF(AND($B724=[1]rogério!$A725,[1]rogério!$B725=F$4),"ok","nok")</f>
        <v>nok</v>
      </c>
      <c r="G724" s="60" t="str">
        <f>IF(AND($B724=[1]rogério!$A725,[1]rogério!$B725=G$4),"ok","nok")</f>
        <v>nok</v>
      </c>
      <c r="H724" s="60" t="str">
        <f>IF(AND($B724=[1]rogério!$A725,[1]rogério!$B725=H$4),"ok","nok")</f>
        <v>nok</v>
      </c>
      <c r="I724" s="60" t="str">
        <f>IF(AND($B724=[1]rogério!$A725,[1]rogério!$B725=I$4),"ok","nok")</f>
        <v>nok</v>
      </c>
      <c r="J724" s="60" t="str">
        <f>IF(AND($B724=[1]rogério!$A725,[1]rogério!$B725=J$4),"ok","nok")</f>
        <v>nok</v>
      </c>
      <c r="K724" s="60" t="str">
        <f>IF(AND($B724=[1]rogério!$A725,[1]rogério!$B725=K$4),"ok","nok")</f>
        <v>nok</v>
      </c>
      <c r="L724" s="60" t="str">
        <f>IF(AND($B724=[1]rogério!$A725,[1]rogério!$B725=L$4),"ok","nok")</f>
        <v>nok</v>
      </c>
      <c r="M724" s="60" t="str">
        <f>IF(AND($B724=[1]rogério!$A725,[1]rogério!$B725=M$4),"ok","nok")</f>
        <v>nok</v>
      </c>
      <c r="N724" s="60" t="str">
        <f>IF(AND($B724=[1]rogério!$A725,[1]rogério!$B725=N$4),"ok","nok")</f>
        <v>nok</v>
      </c>
      <c r="O724" s="60" t="str">
        <f>IF(AND($B724=[1]rogério!$A725,[1]rogério!$B725=O$4),"ok","nok")</f>
        <v>ok</v>
      </c>
      <c r="P724" s="60" t="str">
        <f>IF(AND($B724=[1]rogério!$A725,[1]rogério!$B725=P$4),"ok","nok")</f>
        <v>nok</v>
      </c>
      <c r="Q724" s="60" t="str">
        <f>IF(AND($B724=[1]rogério!$A725,[1]rogério!$B725=Q$4),"ok","nok")</f>
        <v>nok</v>
      </c>
      <c r="R724" s="60" t="str">
        <f>IF(AND($B724=[1]rogério!$A725,[1]rogério!$B725=R$4),"ok","nok")</f>
        <v>nok</v>
      </c>
      <c r="S724" s="60" t="str">
        <f>IF(AND($B724=[1]rogério!$A725,[1]rogério!$B725=S$4),"ok","nok")</f>
        <v>nok</v>
      </c>
      <c r="T724" s="60" t="str">
        <f>IF(AND($B724=[1]rogério!$A725,[1]rogério!$B725=T$4),"ok","nok")</f>
        <v>nok</v>
      </c>
      <c r="U724" s="60" t="str">
        <f>IF(AND($B724=[1]rogério!$A725,[1]rogério!$B725=U$4),"ok","nok")</f>
        <v>nok</v>
      </c>
      <c r="V724" s="60" t="str">
        <f>IF(AND($B724=[1]rogério!$A725,[1]rogério!$B725=V$4),"ok","nok")</f>
        <v>nok</v>
      </c>
      <c r="W724" s="60" t="str">
        <f>IF(AND($B724=[1]rogério!$A725,[1]rogério!$B725=W$4),"ok","nok")</f>
        <v>nok</v>
      </c>
      <c r="X724" s="60" t="str">
        <f>IF(AND($B724=[1]rogério!$A725,[1]rogério!$B725=X$4),"ok","nok")</f>
        <v>nok</v>
      </c>
      <c r="Y724" s="105" t="s">
        <v>15</v>
      </c>
      <c r="Z724" s="106"/>
      <c r="AA724" s="106"/>
      <c r="AB724" s="107"/>
      <c r="AE724" s="48" t="str">
        <f t="shared" si="176"/>
        <v/>
      </c>
      <c r="AF724" s="48"/>
      <c r="AG724" s="48"/>
      <c r="AH724" s="89"/>
      <c r="AI724" s="49">
        <f t="shared" si="177"/>
        <v>0</v>
      </c>
      <c r="AJ724" s="49" t="str">
        <f t="shared" si="178"/>
        <v/>
      </c>
      <c r="AK724" s="49">
        <f t="shared" si="179"/>
        <v>0</v>
      </c>
      <c r="AL724" s="49" t="str">
        <f t="shared" si="180"/>
        <v/>
      </c>
      <c r="AM724" s="49">
        <f t="shared" si="181"/>
        <v>1</v>
      </c>
      <c r="AN724" s="49" t="str">
        <f t="shared" si="182"/>
        <v/>
      </c>
      <c r="AO724" s="49">
        <f t="shared" si="183"/>
        <v>0</v>
      </c>
      <c r="AP724" s="49" t="str">
        <f t="shared" si="184"/>
        <v/>
      </c>
      <c r="AQ724" s="49">
        <f t="shared" si="185"/>
        <v>0</v>
      </c>
      <c r="AR724" s="49" t="str">
        <f t="shared" si="186"/>
        <v/>
      </c>
    </row>
    <row r="725" spans="1:44" ht="30" customHeight="1" x14ac:dyDescent="0.35">
      <c r="A725" s="25" t="str">
        <f t="shared" si="187"/>
        <v>PT178 - PLATAFORMA DE ACESSO - FORQUILHA 3 - BÁSICO
TORRE B6PROJETO BÁSICO
CIVIL</v>
      </c>
      <c r="B725" s="38" t="s">
        <v>75</v>
      </c>
      <c r="C725" s="60" t="str">
        <f>IF(AND($B725=[1]rogério!$A726,[1]rogério!$B726=C$4),"ok","nok")</f>
        <v>nok</v>
      </c>
      <c r="D725" s="60" t="str">
        <f>IF(AND($B725=[1]rogério!$A726,[1]rogério!$B726=D$4),"ok","nok")</f>
        <v>nok</v>
      </c>
      <c r="E725" s="60" t="str">
        <f>IF(AND($B725=[1]rogério!$A726,[1]rogério!$B726=E$4),"ok","nok")</f>
        <v>nok</v>
      </c>
      <c r="F725" s="60" t="str">
        <f>IF(AND($B725=[1]rogério!$A726,[1]rogério!$B726=F$4),"ok","nok")</f>
        <v>nok</v>
      </c>
      <c r="G725" s="60" t="str">
        <f>IF(AND($B725=[1]rogério!$A726,[1]rogério!$B726=G$4),"ok","nok")</f>
        <v>nok</v>
      </c>
      <c r="H725" s="60" t="str">
        <f>IF(AND($B725=[1]rogério!$A726,[1]rogério!$B726=H$4),"ok","nok")</f>
        <v>nok</v>
      </c>
      <c r="I725" s="60" t="str">
        <f>IF(AND($B725=[1]rogério!$A726,[1]rogério!$B726=I$4),"ok","nok")</f>
        <v>nok</v>
      </c>
      <c r="J725" s="60" t="str">
        <f>IF(AND($B725=[1]rogério!$A726,[1]rogério!$B726=J$4),"ok","nok")</f>
        <v>nok</v>
      </c>
      <c r="K725" s="60" t="str">
        <f>IF(AND($B725=[1]rogério!$A726,[1]rogério!$B726=K$4),"ok","nok")</f>
        <v>nok</v>
      </c>
      <c r="L725" s="60" t="str">
        <f>IF(AND($B725=[1]rogério!$A726,[1]rogério!$B726=L$4),"ok","nok")</f>
        <v>nok</v>
      </c>
      <c r="M725" s="60" t="str">
        <f>IF(AND($B725=[1]rogério!$A726,[1]rogério!$B726=M$4),"ok","nok")</f>
        <v>nok</v>
      </c>
      <c r="N725" s="60" t="str">
        <f>IF(AND($B725=[1]rogério!$A726,[1]rogério!$B726=N$4),"ok","nok")</f>
        <v>nok</v>
      </c>
      <c r="O725" s="60" t="str">
        <f>IF(AND($B725=[1]rogério!$A726,[1]rogério!$B726=O$4),"ok","nok")</f>
        <v>nok</v>
      </c>
      <c r="P725" s="60" t="str">
        <f>IF(AND($B725=[1]rogério!$A726,[1]rogério!$B726=P$4),"ok","nok")</f>
        <v>ok</v>
      </c>
      <c r="Q725" s="60" t="str">
        <f>IF(AND($B725=[1]rogério!$A726,[1]rogério!$B726=Q$4),"ok","nok")</f>
        <v>nok</v>
      </c>
      <c r="R725" s="60" t="str">
        <f>IF(AND($B725=[1]rogério!$A726,[1]rogério!$B726=R$4),"ok","nok")</f>
        <v>nok</v>
      </c>
      <c r="S725" s="60" t="str">
        <f>IF(AND($B725=[1]rogério!$A726,[1]rogério!$B726=S$4),"ok","nok")</f>
        <v>nok</v>
      </c>
      <c r="T725" s="60" t="str">
        <f>IF(AND($B725=[1]rogério!$A726,[1]rogério!$B726=T$4),"ok","nok")</f>
        <v>nok</v>
      </c>
      <c r="U725" s="60" t="str">
        <f>IF(AND($B725=[1]rogério!$A726,[1]rogério!$B726=U$4),"ok","nok")</f>
        <v>nok</v>
      </c>
      <c r="V725" s="60" t="str">
        <f>IF(AND($B725=[1]rogério!$A726,[1]rogério!$B726=V$4),"ok","nok")</f>
        <v>nok</v>
      </c>
      <c r="W725" s="60" t="str">
        <f>IF(AND($B725=[1]rogério!$A726,[1]rogério!$B726=W$4),"ok","nok")</f>
        <v>nok</v>
      </c>
      <c r="X725" s="60" t="str">
        <f>IF(AND($B725=[1]rogério!$A726,[1]rogério!$B726=X$4),"ok","nok")</f>
        <v>nok</v>
      </c>
      <c r="Y725" s="105" t="s">
        <v>15</v>
      </c>
      <c r="Z725" s="106"/>
      <c r="AA725" s="106"/>
      <c r="AB725" s="107"/>
      <c r="AE725" s="48" t="str">
        <f t="shared" si="176"/>
        <v/>
      </c>
      <c r="AF725" s="48"/>
      <c r="AG725" s="48"/>
      <c r="AH725" s="89"/>
      <c r="AI725" s="49">
        <f t="shared" si="177"/>
        <v>0</v>
      </c>
      <c r="AJ725" s="49" t="str">
        <f t="shared" si="178"/>
        <v/>
      </c>
      <c r="AK725" s="49">
        <f t="shared" si="179"/>
        <v>0</v>
      </c>
      <c r="AL725" s="49" t="str">
        <f t="shared" si="180"/>
        <v/>
      </c>
      <c r="AM725" s="49">
        <f t="shared" si="181"/>
        <v>1</v>
      </c>
      <c r="AN725" s="49" t="str">
        <f t="shared" si="182"/>
        <v/>
      </c>
      <c r="AO725" s="49">
        <f t="shared" si="183"/>
        <v>0</v>
      </c>
      <c r="AP725" s="49" t="str">
        <f t="shared" si="184"/>
        <v/>
      </c>
      <c r="AQ725" s="49">
        <f t="shared" si="185"/>
        <v>0</v>
      </c>
      <c r="AR725" s="49" t="str">
        <f t="shared" si="186"/>
        <v/>
      </c>
    </row>
    <row r="726" spans="1:44" ht="30" customHeight="1" x14ac:dyDescent="0.35">
      <c r="A726" s="25"/>
      <c r="B726" s="39" t="s">
        <v>62</v>
      </c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108"/>
      <c r="Z726" s="109"/>
      <c r="AA726" s="109"/>
      <c r="AB726" s="110"/>
      <c r="AE726" s="48" t="str">
        <f t="shared" si="176"/>
        <v/>
      </c>
      <c r="AF726" s="48"/>
      <c r="AG726" s="48"/>
      <c r="AH726" s="89"/>
      <c r="AI726" s="49">
        <f t="shared" si="177"/>
        <v>0</v>
      </c>
      <c r="AJ726" s="49" t="str">
        <f t="shared" si="178"/>
        <v/>
      </c>
      <c r="AK726" s="49">
        <f t="shared" si="179"/>
        <v>0</v>
      </c>
      <c r="AL726" s="49" t="str">
        <f t="shared" si="180"/>
        <v/>
      </c>
      <c r="AM726" s="49">
        <f t="shared" si="181"/>
        <v>0</v>
      </c>
      <c r="AN726" s="49" t="str">
        <f t="shared" si="182"/>
        <v/>
      </c>
      <c r="AO726" s="49">
        <f t="shared" si="183"/>
        <v>0</v>
      </c>
      <c r="AP726" s="49" t="str">
        <f t="shared" si="184"/>
        <v/>
      </c>
      <c r="AQ726" s="49">
        <f t="shared" si="185"/>
        <v>0</v>
      </c>
      <c r="AR726" s="49" t="str">
        <f t="shared" si="186"/>
        <v/>
      </c>
    </row>
    <row r="727" spans="1:44" ht="30" customHeight="1" x14ac:dyDescent="0.35">
      <c r="A727" s="25" t="str">
        <f t="shared" si="187"/>
        <v>PT178 - PLATAFORMA DE ACESSO - FORQUILHA 3 - BÁSICO
TORRE B6PROJETO BÁSICO
CIVIL</v>
      </c>
      <c r="B727" s="40" t="s">
        <v>49</v>
      </c>
      <c r="C727" s="60" t="str">
        <f>IF(AND($B727=[1]rogério!$A728,[1]rogério!$B728=C$4),"ok","nok")</f>
        <v>nok</v>
      </c>
      <c r="D727" s="60" t="str">
        <f>IF(AND($B727=[1]rogério!$A728,[1]rogério!$B728=D$4),"ok","nok")</f>
        <v>nok</v>
      </c>
      <c r="E727" s="60" t="str">
        <f>IF(AND($B727=[1]rogério!$A728,[1]rogério!$B728=E$4),"ok","nok")</f>
        <v>nok</v>
      </c>
      <c r="F727" s="60" t="str">
        <f>IF(AND($B727=[1]rogério!$A728,[1]rogério!$B728=F$4),"ok","nok")</f>
        <v>nok</v>
      </c>
      <c r="G727" s="60" t="str">
        <f>IF(AND($B727=[1]rogério!$A728,[1]rogério!$B728=G$4),"ok","nok")</f>
        <v>nok</v>
      </c>
      <c r="H727" s="60" t="str">
        <f>IF(AND($B727=[1]rogério!$A728,[1]rogério!$B728=H$4),"ok","nok")</f>
        <v>nok</v>
      </c>
      <c r="I727" s="60" t="str">
        <f>IF(AND($B727=[1]rogério!$A728,[1]rogério!$B728=I$4),"ok","nok")</f>
        <v>nok</v>
      </c>
      <c r="J727" s="60" t="str">
        <f>IF(AND($B727=[1]rogério!$A728,[1]rogério!$B728=J$4),"ok","nok")</f>
        <v>nok</v>
      </c>
      <c r="K727" s="60" t="str">
        <f>IF(AND($B727=[1]rogério!$A728,[1]rogério!$B728=K$4),"ok","nok")</f>
        <v>nok</v>
      </c>
      <c r="L727" s="60" t="str">
        <f>IF(AND($B727=[1]rogério!$A728,[1]rogério!$B728=L$4),"ok","nok")</f>
        <v>nok</v>
      </c>
      <c r="M727" s="60" t="str">
        <f>IF(AND($B727=[1]rogério!$A728,[1]rogério!$B728=M$4),"ok","nok")</f>
        <v>nok</v>
      </c>
      <c r="N727" s="60" t="str">
        <f>IF(AND($B727=[1]rogério!$A728,[1]rogério!$B728=N$4),"ok","nok")</f>
        <v>nok</v>
      </c>
      <c r="O727" s="60" t="str">
        <f>IF(AND($B727=[1]rogério!$A728,[1]rogério!$B728=O$4),"ok","nok")</f>
        <v>nok</v>
      </c>
      <c r="P727" s="60" t="str">
        <f>IF(AND($B727=[1]rogério!$A728,[1]rogério!$B728=P$4),"ok","nok")</f>
        <v>ok</v>
      </c>
      <c r="Q727" s="60" t="str">
        <f>IF(AND($B727=[1]rogério!$A728,[1]rogério!$B728=Q$4),"ok","nok")</f>
        <v>nok</v>
      </c>
      <c r="R727" s="60" t="str">
        <f>IF(AND($B727=[1]rogério!$A728,[1]rogério!$B728=R$4),"ok","nok")</f>
        <v>nok</v>
      </c>
      <c r="S727" s="60" t="str">
        <f>IF(AND($B727=[1]rogério!$A728,[1]rogério!$B728=S$4),"ok","nok")</f>
        <v>nok</v>
      </c>
      <c r="T727" s="60" t="str">
        <f>IF(AND($B727=[1]rogério!$A728,[1]rogério!$B728=T$4),"ok","nok")</f>
        <v>nok</v>
      </c>
      <c r="U727" s="60" t="str">
        <f>IF(AND($B727=[1]rogério!$A728,[1]rogério!$B728=U$4),"ok","nok")</f>
        <v>nok</v>
      </c>
      <c r="V727" s="60" t="str">
        <f>IF(AND($B727=[1]rogério!$A728,[1]rogério!$B728=V$4),"ok","nok")</f>
        <v>nok</v>
      </c>
      <c r="W727" s="60" t="str">
        <f>IF(AND($B727=[1]rogério!$A728,[1]rogério!$B728=W$4),"ok","nok")</f>
        <v>nok</v>
      </c>
      <c r="X727" s="60" t="str">
        <f>IF(AND($B727=[1]rogério!$A728,[1]rogério!$B728=X$4),"ok","nok")</f>
        <v>nok</v>
      </c>
      <c r="Y727" s="105" t="s">
        <v>15</v>
      </c>
      <c r="Z727" s="106"/>
      <c r="AA727" s="106"/>
      <c r="AB727" s="107"/>
      <c r="AE727" s="48" t="str">
        <f t="shared" si="176"/>
        <v/>
      </c>
      <c r="AF727" s="48"/>
      <c r="AG727" s="48"/>
      <c r="AH727" s="89"/>
      <c r="AI727" s="49">
        <f t="shared" si="177"/>
        <v>0</v>
      </c>
      <c r="AJ727" s="49" t="str">
        <f t="shared" si="178"/>
        <v/>
      </c>
      <c r="AK727" s="49">
        <f t="shared" si="179"/>
        <v>0</v>
      </c>
      <c r="AL727" s="49" t="str">
        <f t="shared" si="180"/>
        <v/>
      </c>
      <c r="AM727" s="49">
        <f t="shared" si="181"/>
        <v>1</v>
      </c>
      <c r="AN727" s="49" t="str">
        <f t="shared" si="182"/>
        <v/>
      </c>
      <c r="AO727" s="49">
        <f t="shared" si="183"/>
        <v>0</v>
      </c>
      <c r="AP727" s="49" t="str">
        <f t="shared" si="184"/>
        <v/>
      </c>
      <c r="AQ727" s="49">
        <f t="shared" si="185"/>
        <v>0</v>
      </c>
      <c r="AR727" s="49" t="str">
        <f t="shared" si="186"/>
        <v/>
      </c>
    </row>
    <row r="728" spans="1:44" ht="30" customHeight="1" x14ac:dyDescent="0.35">
      <c r="A728" s="25" t="str">
        <f t="shared" si="187"/>
        <v>PT178 - PLATAFORMA DE ACESSO - FORQUILHA 3 - BÁSICO
TORRE B6PROJETO BÁSICO
CIVIL</v>
      </c>
      <c r="B728" s="40" t="s">
        <v>19</v>
      </c>
      <c r="C728" s="60" t="str">
        <f>IF(AND($B728=[1]rogério!$A729,[1]rogério!$B729=C$4),"ok","nok")</f>
        <v>nok</v>
      </c>
      <c r="D728" s="60" t="str">
        <f>IF(AND($B728=[1]rogério!$A729,[1]rogério!$B729=D$4),"ok","nok")</f>
        <v>nok</v>
      </c>
      <c r="E728" s="60" t="str">
        <f>IF(AND($B728=[1]rogério!$A729,[1]rogério!$B729=E$4),"ok","nok")</f>
        <v>nok</v>
      </c>
      <c r="F728" s="60" t="str">
        <f>IF(AND($B728=[1]rogério!$A729,[1]rogério!$B729=F$4),"ok","nok")</f>
        <v>nok</v>
      </c>
      <c r="G728" s="60" t="str">
        <f>IF(AND($B728=[1]rogério!$A729,[1]rogério!$B729=G$4),"ok","nok")</f>
        <v>nok</v>
      </c>
      <c r="H728" s="60" t="str">
        <f>IF(AND($B728=[1]rogério!$A729,[1]rogério!$B729=H$4),"ok","nok")</f>
        <v>nok</v>
      </c>
      <c r="I728" s="60" t="str">
        <f>IF(AND($B728=[1]rogério!$A729,[1]rogério!$B729=I$4),"ok","nok")</f>
        <v>nok</v>
      </c>
      <c r="J728" s="60" t="str">
        <f>IF(AND($B728=[1]rogério!$A729,[1]rogério!$B729=J$4),"ok","nok")</f>
        <v>nok</v>
      </c>
      <c r="K728" s="60" t="str">
        <f>IF(AND($B728=[1]rogério!$A729,[1]rogério!$B729=K$4),"ok","nok")</f>
        <v>nok</v>
      </c>
      <c r="L728" s="60" t="str">
        <f>IF(AND($B728=[1]rogério!$A729,[1]rogério!$B729=L$4),"ok","nok")</f>
        <v>nok</v>
      </c>
      <c r="M728" s="60" t="str">
        <f>IF(AND($B728=[1]rogério!$A729,[1]rogério!$B729=M$4),"ok","nok")</f>
        <v>nok</v>
      </c>
      <c r="N728" s="60" t="str">
        <f>IF(AND($B728=[1]rogério!$A729,[1]rogério!$B729=N$4),"ok","nok")</f>
        <v>nok</v>
      </c>
      <c r="O728" s="60" t="str">
        <f>IF(AND($B728=[1]rogério!$A729,[1]rogério!$B729=O$4),"ok","nok")</f>
        <v>nok</v>
      </c>
      <c r="P728" s="60" t="str">
        <f>IF(AND($B728=[1]rogério!$A729,[1]rogério!$B729=P$4),"ok","nok")</f>
        <v>nok</v>
      </c>
      <c r="Q728" s="60" t="str">
        <f>IF(AND($B728=[1]rogério!$A729,[1]rogério!$B729=Q$4),"ok","nok")</f>
        <v>nok</v>
      </c>
      <c r="R728" s="60" t="str">
        <f>IF(AND($B728=[1]rogério!$A729,[1]rogério!$B729=R$4),"ok","nok")</f>
        <v>nok</v>
      </c>
      <c r="S728" s="60" t="str">
        <f>IF(AND($B728=[1]rogério!$A729,[1]rogério!$B729=S$4),"ok","nok")</f>
        <v>nok</v>
      </c>
      <c r="T728" s="60" t="str">
        <f>IF(AND($B728=[1]rogério!$A729,[1]rogério!$B729=T$4),"ok","nok")</f>
        <v>nok</v>
      </c>
      <c r="U728" s="60" t="str">
        <f>IF(AND($B728=[1]rogério!$A729,[1]rogério!$B729=U$4),"ok","nok")</f>
        <v>ok</v>
      </c>
      <c r="V728" s="60" t="str">
        <f>IF(AND($B728=[1]rogério!$A729,[1]rogério!$B729=V$4),"ok","nok")</f>
        <v>nok</v>
      </c>
      <c r="W728" s="60" t="str">
        <f>IF(AND($B728=[1]rogério!$A729,[1]rogério!$B729=W$4),"ok","nok")</f>
        <v>nok</v>
      </c>
      <c r="X728" s="60" t="str">
        <f>IF(AND($B728=[1]rogério!$A729,[1]rogério!$B729=X$4),"ok","nok")</f>
        <v>nok</v>
      </c>
      <c r="Y728" s="105" t="s">
        <v>15</v>
      </c>
      <c r="Z728" s="106"/>
      <c r="AA728" s="106"/>
      <c r="AB728" s="107"/>
      <c r="AE728" s="48" t="str">
        <f t="shared" si="176"/>
        <v/>
      </c>
      <c r="AF728" s="48"/>
      <c r="AG728" s="48"/>
      <c r="AH728" s="89"/>
      <c r="AI728" s="49">
        <f t="shared" si="177"/>
        <v>0</v>
      </c>
      <c r="AJ728" s="49" t="str">
        <f t="shared" si="178"/>
        <v/>
      </c>
      <c r="AK728" s="49">
        <f t="shared" si="179"/>
        <v>0</v>
      </c>
      <c r="AL728" s="49" t="str">
        <f t="shared" si="180"/>
        <v/>
      </c>
      <c r="AM728" s="49">
        <f t="shared" si="181"/>
        <v>0</v>
      </c>
      <c r="AN728" s="49" t="str">
        <f t="shared" si="182"/>
        <v/>
      </c>
      <c r="AO728" s="49">
        <f t="shared" si="183"/>
        <v>1</v>
      </c>
      <c r="AP728" s="49" t="str">
        <f t="shared" si="184"/>
        <v/>
      </c>
      <c r="AQ728" s="49">
        <f t="shared" si="185"/>
        <v>0</v>
      </c>
      <c r="AR728" s="49" t="str">
        <f t="shared" si="186"/>
        <v/>
      </c>
    </row>
    <row r="729" spans="1:44" ht="30" customHeight="1" x14ac:dyDescent="0.35">
      <c r="A729" s="25" t="str">
        <f t="shared" si="187"/>
        <v>PT178 - PLATAFORMA DE ACESSO - FORQUILHA 3 - BÁSICO
TORRE B6PROJETO BÁSICO
CIVIL</v>
      </c>
      <c r="B729" s="40" t="s">
        <v>42</v>
      </c>
      <c r="C729" s="60" t="str">
        <f>IF(AND($B729=[1]rogério!$A730,[1]rogério!$B730=C$4),"ok","nok")</f>
        <v>nok</v>
      </c>
      <c r="D729" s="60" t="str">
        <f>IF(AND($B729=[1]rogério!$A730,[1]rogério!$B730=D$4),"ok","nok")</f>
        <v>nok</v>
      </c>
      <c r="E729" s="60" t="str">
        <f>IF(AND($B729=[1]rogério!$A730,[1]rogério!$B730=E$4),"ok","nok")</f>
        <v>nok</v>
      </c>
      <c r="F729" s="60" t="str">
        <f>IF(AND($B729=[1]rogério!$A730,[1]rogério!$B730=F$4),"ok","nok")</f>
        <v>nok</v>
      </c>
      <c r="G729" s="60" t="str">
        <f>IF(AND($B729=[1]rogério!$A730,[1]rogério!$B730=G$4),"ok","nok")</f>
        <v>nok</v>
      </c>
      <c r="H729" s="60" t="str">
        <f>IF(AND($B729=[1]rogério!$A730,[1]rogério!$B730=H$4),"ok","nok")</f>
        <v>nok</v>
      </c>
      <c r="I729" s="60" t="str">
        <f>IF(AND($B729=[1]rogério!$A730,[1]rogério!$B730=I$4),"ok","nok")</f>
        <v>nok</v>
      </c>
      <c r="J729" s="60" t="str">
        <f>IF(AND($B729=[1]rogério!$A730,[1]rogério!$B730=J$4),"ok","nok")</f>
        <v>nok</v>
      </c>
      <c r="K729" s="60" t="str">
        <f>IF(AND($B729=[1]rogério!$A730,[1]rogério!$B730=K$4),"ok","nok")</f>
        <v>nok</v>
      </c>
      <c r="L729" s="60" t="str">
        <f>IF(AND($B729=[1]rogério!$A730,[1]rogério!$B730=L$4),"ok","nok")</f>
        <v>nok</v>
      </c>
      <c r="M729" s="60" t="str">
        <f>IF(AND($B729=[1]rogério!$A730,[1]rogério!$B730=M$4),"ok","nok")</f>
        <v>nok</v>
      </c>
      <c r="N729" s="60" t="str">
        <f>IF(AND($B729=[1]rogério!$A730,[1]rogério!$B730=N$4),"ok","nok")</f>
        <v>nok</v>
      </c>
      <c r="O729" s="60" t="str">
        <f>IF(AND($B729=[1]rogério!$A730,[1]rogério!$B730=O$4),"ok","nok")</f>
        <v>nok</v>
      </c>
      <c r="P729" s="60" t="str">
        <f>IF(AND($B729=[1]rogério!$A730,[1]rogério!$B730=P$4),"ok","nok")</f>
        <v>nok</v>
      </c>
      <c r="Q729" s="60" t="str">
        <f>IF(AND($B729=[1]rogério!$A730,[1]rogério!$B730=Q$4),"ok","nok")</f>
        <v>nok</v>
      </c>
      <c r="R729" s="60" t="str">
        <f>IF(AND($B729=[1]rogério!$A730,[1]rogério!$B730=R$4),"ok","nok")</f>
        <v>nok</v>
      </c>
      <c r="S729" s="60" t="str">
        <f>IF(AND($B729=[1]rogério!$A730,[1]rogério!$B730=S$4),"ok","nok")</f>
        <v>nok</v>
      </c>
      <c r="T729" s="60" t="str">
        <f>IF(AND($B729=[1]rogério!$A730,[1]rogério!$B730=T$4),"ok","nok")</f>
        <v>nok</v>
      </c>
      <c r="U729" s="60" t="str">
        <f>IF(AND($B729=[1]rogério!$A730,[1]rogério!$B730=U$4),"ok","nok")</f>
        <v>nok</v>
      </c>
      <c r="V729" s="60" t="str">
        <f>IF(AND($B729=[1]rogério!$A730,[1]rogério!$B730=V$4),"ok","nok")</f>
        <v>nok</v>
      </c>
      <c r="W729" s="60" t="str">
        <f>IF(AND($B729=[1]rogério!$A730,[1]rogério!$B730=W$4),"ok","nok")</f>
        <v>nok</v>
      </c>
      <c r="X729" s="60" t="str">
        <f>IF(AND($B729=[1]rogério!$A730,[1]rogério!$B730=X$4),"ok","nok")</f>
        <v>ok</v>
      </c>
      <c r="Y729" s="105" t="s">
        <v>15</v>
      </c>
      <c r="Z729" s="106"/>
      <c r="AA729" s="106"/>
      <c r="AB729" s="107"/>
      <c r="AE729" s="48" t="str">
        <f t="shared" si="176"/>
        <v/>
      </c>
      <c r="AF729" s="48"/>
      <c r="AG729" s="48"/>
      <c r="AH729" s="89"/>
      <c r="AI729" s="49">
        <f t="shared" si="177"/>
        <v>0</v>
      </c>
      <c r="AJ729" s="49" t="str">
        <f t="shared" si="178"/>
        <v/>
      </c>
      <c r="AK729" s="49">
        <f t="shared" si="179"/>
        <v>0</v>
      </c>
      <c r="AL729" s="49" t="str">
        <f t="shared" si="180"/>
        <v/>
      </c>
      <c r="AM729" s="49">
        <f t="shared" si="181"/>
        <v>0</v>
      </c>
      <c r="AN729" s="49" t="str">
        <f t="shared" si="182"/>
        <v/>
      </c>
      <c r="AO729" s="49">
        <f t="shared" si="183"/>
        <v>0</v>
      </c>
      <c r="AP729" s="49" t="str">
        <f t="shared" si="184"/>
        <v/>
      </c>
      <c r="AQ729" s="49">
        <f t="shared" si="185"/>
        <v>1</v>
      </c>
      <c r="AR729" s="49" t="str">
        <f t="shared" si="186"/>
        <v/>
      </c>
    </row>
    <row r="730" spans="1:44" ht="30" customHeight="1" x14ac:dyDescent="0.35">
      <c r="A730" s="25" t="str">
        <f t="shared" si="187"/>
        <v>PT178 - PLATAFORMA DE ACESSO - FORQUILHA 3 - BÁSICO
TORRE B6PROJETO BÁSICO
CIVIL</v>
      </c>
      <c r="B730" s="40" t="s">
        <v>43</v>
      </c>
      <c r="C730" s="60" t="str">
        <f>IF(AND($B730=[1]rogério!$A731,[1]rogério!$B731=C$4),"ok","nok")</f>
        <v>nok</v>
      </c>
      <c r="D730" s="60" t="str">
        <f>IF(AND($B730=[1]rogério!$A731,[1]rogério!$B731=D$4),"ok","nok")</f>
        <v>nok</v>
      </c>
      <c r="E730" s="60" t="str">
        <f>IF(AND($B730=[1]rogério!$A731,[1]rogério!$B731=E$4),"ok","nok")</f>
        <v>nok</v>
      </c>
      <c r="F730" s="60" t="str">
        <f>IF(AND($B730=[1]rogério!$A731,[1]rogério!$B731=F$4),"ok","nok")</f>
        <v>nok</v>
      </c>
      <c r="G730" s="60" t="str">
        <f>IF(AND($B730=[1]rogério!$A731,[1]rogério!$B731=G$4),"ok","nok")</f>
        <v>nok</v>
      </c>
      <c r="H730" s="60" t="str">
        <f>IF(AND($B730=[1]rogério!$A731,[1]rogério!$B731=H$4),"ok","nok")</f>
        <v>nok</v>
      </c>
      <c r="I730" s="60" t="str">
        <f>IF(AND($B730=[1]rogério!$A731,[1]rogério!$B731=I$4),"ok","nok")</f>
        <v>nok</v>
      </c>
      <c r="J730" s="60" t="str">
        <f>IF(AND($B730=[1]rogério!$A731,[1]rogério!$B731=J$4),"ok","nok")</f>
        <v>nok</v>
      </c>
      <c r="K730" s="60" t="str">
        <f>IF(AND($B730=[1]rogério!$A731,[1]rogério!$B731=K$4),"ok","nok")</f>
        <v>nok</v>
      </c>
      <c r="L730" s="60" t="str">
        <f>IF(AND($B730=[1]rogério!$A731,[1]rogério!$B731=L$4),"ok","nok")</f>
        <v>nok</v>
      </c>
      <c r="M730" s="60" t="str">
        <f>IF(AND($B730=[1]rogério!$A731,[1]rogério!$B731=M$4),"ok","nok")</f>
        <v>nok</v>
      </c>
      <c r="N730" s="60" t="str">
        <f>IF(AND($B730=[1]rogério!$A731,[1]rogério!$B731=N$4),"ok","nok")</f>
        <v>nok</v>
      </c>
      <c r="O730" s="60" t="str">
        <f>IF(AND($B730=[1]rogério!$A731,[1]rogério!$B731=O$4),"ok","nok")</f>
        <v>nok</v>
      </c>
      <c r="P730" s="60" t="str">
        <f>IF(AND($B730=[1]rogério!$A731,[1]rogério!$B731=P$4),"ok","nok")</f>
        <v>nok</v>
      </c>
      <c r="Q730" s="60" t="str">
        <f>IF(AND($B730=[1]rogério!$A731,[1]rogério!$B731=Q$4),"ok","nok")</f>
        <v>nok</v>
      </c>
      <c r="R730" s="60" t="str">
        <f>IF(AND($B730=[1]rogério!$A731,[1]rogério!$B731=R$4),"ok","nok")</f>
        <v>nok</v>
      </c>
      <c r="S730" s="60" t="str">
        <f>IF(AND($B730=[1]rogério!$A731,[1]rogério!$B731=S$4),"ok","nok")</f>
        <v>nok</v>
      </c>
      <c r="T730" s="60" t="str">
        <f>IF(AND($B730=[1]rogério!$A731,[1]rogério!$B731=T$4),"ok","nok")</f>
        <v>nok</v>
      </c>
      <c r="U730" s="60" t="str">
        <f>IF(AND($B730=[1]rogério!$A731,[1]rogério!$B731=U$4),"ok","nok")</f>
        <v>nok</v>
      </c>
      <c r="V730" s="60" t="str">
        <f>IF(AND($B730=[1]rogério!$A731,[1]rogério!$B731=V$4),"ok","nok")</f>
        <v>nok</v>
      </c>
      <c r="W730" s="60" t="str">
        <f>IF(AND($B730=[1]rogério!$A731,[1]rogério!$B731=W$4),"ok","nok")</f>
        <v>nok</v>
      </c>
      <c r="X730" s="60" t="str">
        <f>IF(AND($B730=[1]rogério!$A731,[1]rogério!$B731=X$4),"ok","nok")</f>
        <v>ok</v>
      </c>
      <c r="Y730" s="105" t="s">
        <v>15</v>
      </c>
      <c r="Z730" s="106"/>
      <c r="AA730" s="106"/>
      <c r="AB730" s="107"/>
      <c r="AE730" s="48" t="str">
        <f t="shared" si="176"/>
        <v/>
      </c>
      <c r="AF730" s="48"/>
      <c r="AG730" s="48"/>
      <c r="AH730" s="89"/>
      <c r="AI730" s="49">
        <f t="shared" si="177"/>
        <v>0</v>
      </c>
      <c r="AJ730" s="49" t="str">
        <f t="shared" si="178"/>
        <v/>
      </c>
      <c r="AK730" s="49">
        <f t="shared" si="179"/>
        <v>0</v>
      </c>
      <c r="AL730" s="49" t="str">
        <f t="shared" si="180"/>
        <v/>
      </c>
      <c r="AM730" s="49">
        <f t="shared" si="181"/>
        <v>0</v>
      </c>
      <c r="AN730" s="49" t="str">
        <f t="shared" si="182"/>
        <v/>
      </c>
      <c r="AO730" s="49">
        <f t="shared" si="183"/>
        <v>0</v>
      </c>
      <c r="AP730" s="49" t="str">
        <f t="shared" si="184"/>
        <v/>
      </c>
      <c r="AQ730" s="49">
        <f t="shared" si="185"/>
        <v>1</v>
      </c>
      <c r="AR730" s="49" t="str">
        <f t="shared" si="186"/>
        <v/>
      </c>
    </row>
    <row r="731" spans="1:44" ht="30" customHeight="1" x14ac:dyDescent="0.35">
      <c r="B731" s="36" t="s">
        <v>100</v>
      </c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123"/>
      <c r="Z731" s="124"/>
      <c r="AA731" s="124"/>
      <c r="AB731" s="125"/>
      <c r="AE731" s="48" t="str">
        <f t="shared" si="176"/>
        <v/>
      </c>
      <c r="AF731" s="48"/>
      <c r="AG731" s="48"/>
      <c r="AH731" s="89"/>
      <c r="AI731" s="49">
        <f t="shared" si="177"/>
        <v>0</v>
      </c>
      <c r="AJ731" s="49" t="str">
        <f t="shared" si="178"/>
        <v/>
      </c>
      <c r="AK731" s="49">
        <f t="shared" si="179"/>
        <v>0</v>
      </c>
      <c r="AL731" s="49" t="str">
        <f t="shared" si="180"/>
        <v/>
      </c>
      <c r="AM731" s="49">
        <f t="shared" si="181"/>
        <v>0</v>
      </c>
      <c r="AN731" s="49" t="str">
        <f t="shared" si="182"/>
        <v/>
      </c>
      <c r="AO731" s="49">
        <f t="shared" si="183"/>
        <v>0</v>
      </c>
      <c r="AP731" s="49" t="str">
        <f t="shared" si="184"/>
        <v/>
      </c>
      <c r="AQ731" s="49">
        <f t="shared" si="185"/>
        <v>0</v>
      </c>
      <c r="AR731" s="49" t="str">
        <f t="shared" si="186"/>
        <v/>
      </c>
    </row>
    <row r="732" spans="1:44" ht="30" customHeight="1" x14ac:dyDescent="0.35">
      <c r="B732" s="37" t="s">
        <v>52</v>
      </c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120"/>
      <c r="Z732" s="121"/>
      <c r="AA732" s="121"/>
      <c r="AB732" s="122"/>
      <c r="AE732" s="48" t="str">
        <f t="shared" si="176"/>
        <v/>
      </c>
      <c r="AF732" s="48"/>
      <c r="AG732" s="48"/>
      <c r="AH732" s="89"/>
      <c r="AI732" s="49">
        <f t="shared" si="177"/>
        <v>0</v>
      </c>
      <c r="AJ732" s="49" t="str">
        <f t="shared" si="178"/>
        <v/>
      </c>
      <c r="AK732" s="49">
        <f t="shared" si="179"/>
        <v>0</v>
      </c>
      <c r="AL732" s="49" t="str">
        <f t="shared" si="180"/>
        <v/>
      </c>
      <c r="AM732" s="49">
        <f t="shared" si="181"/>
        <v>0</v>
      </c>
      <c r="AN732" s="49" t="str">
        <f t="shared" si="182"/>
        <v/>
      </c>
      <c r="AO732" s="49">
        <f t="shared" si="183"/>
        <v>0</v>
      </c>
      <c r="AP732" s="49" t="str">
        <f t="shared" si="184"/>
        <v/>
      </c>
      <c r="AQ732" s="49">
        <f t="shared" si="185"/>
        <v>0</v>
      </c>
      <c r="AR732" s="49" t="str">
        <f t="shared" si="186"/>
        <v/>
      </c>
    </row>
    <row r="733" spans="1:44" ht="30" customHeight="1" x14ac:dyDescent="0.35">
      <c r="B733" s="42" t="s">
        <v>98</v>
      </c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111"/>
      <c r="Z733" s="112"/>
      <c r="AA733" s="112"/>
      <c r="AB733" s="113"/>
      <c r="AE733" s="48" t="str">
        <f t="shared" si="176"/>
        <v/>
      </c>
      <c r="AF733" s="48"/>
      <c r="AG733" s="48"/>
      <c r="AH733" s="89"/>
      <c r="AI733" s="49">
        <f t="shared" si="177"/>
        <v>0</v>
      </c>
      <c r="AJ733" s="49" t="str">
        <f t="shared" si="178"/>
        <v/>
      </c>
      <c r="AK733" s="49">
        <f t="shared" si="179"/>
        <v>0</v>
      </c>
      <c r="AL733" s="49" t="str">
        <f t="shared" si="180"/>
        <v/>
      </c>
      <c r="AM733" s="49">
        <f t="shared" si="181"/>
        <v>0</v>
      </c>
      <c r="AN733" s="49" t="str">
        <f t="shared" si="182"/>
        <v/>
      </c>
      <c r="AO733" s="49">
        <f t="shared" si="183"/>
        <v>0</v>
      </c>
      <c r="AP733" s="49" t="str">
        <f t="shared" si="184"/>
        <v/>
      </c>
      <c r="AQ733" s="49">
        <f t="shared" si="185"/>
        <v>0</v>
      </c>
      <c r="AR733" s="49" t="str">
        <f t="shared" si="186"/>
        <v/>
      </c>
    </row>
    <row r="734" spans="1:44" ht="30" customHeight="1" x14ac:dyDescent="0.35">
      <c r="B734" s="61" t="s">
        <v>70</v>
      </c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X734" s="61"/>
      <c r="Y734" s="117"/>
      <c r="Z734" s="118"/>
      <c r="AA734" s="118"/>
      <c r="AB734" s="119"/>
      <c r="AE734" s="48" t="str">
        <f t="shared" si="176"/>
        <v/>
      </c>
      <c r="AF734" s="48"/>
      <c r="AG734" s="48"/>
      <c r="AH734" s="89"/>
      <c r="AI734" s="49">
        <f t="shared" si="177"/>
        <v>0</v>
      </c>
      <c r="AJ734" s="49" t="str">
        <f t="shared" si="178"/>
        <v/>
      </c>
      <c r="AK734" s="49">
        <f t="shared" si="179"/>
        <v>0</v>
      </c>
      <c r="AL734" s="49" t="str">
        <f t="shared" si="180"/>
        <v/>
      </c>
      <c r="AM734" s="49">
        <f t="shared" si="181"/>
        <v>0</v>
      </c>
      <c r="AN734" s="49" t="str">
        <f t="shared" si="182"/>
        <v/>
      </c>
      <c r="AO734" s="49">
        <f t="shared" si="183"/>
        <v>0</v>
      </c>
      <c r="AP734" s="49" t="str">
        <f t="shared" si="184"/>
        <v/>
      </c>
      <c r="AQ734" s="49">
        <f t="shared" si="185"/>
        <v>0</v>
      </c>
      <c r="AR734" s="49" t="str">
        <f t="shared" si="186"/>
        <v/>
      </c>
    </row>
    <row r="735" spans="1:44" ht="30" customHeight="1" x14ac:dyDescent="0.35">
      <c r="B735" s="62" t="s">
        <v>58</v>
      </c>
      <c r="C735" s="62"/>
      <c r="D735" s="62"/>
      <c r="E735" s="62"/>
      <c r="F735" s="62"/>
      <c r="G735" s="62"/>
      <c r="H735" s="62"/>
      <c r="I735" s="62"/>
      <c r="J735" s="62"/>
      <c r="K735" s="62"/>
      <c r="L735" s="62"/>
      <c r="M735" s="62"/>
      <c r="N735" s="62"/>
      <c r="O735" s="62"/>
      <c r="P735" s="62"/>
      <c r="Q735" s="62"/>
      <c r="R735" s="62"/>
      <c r="S735" s="62"/>
      <c r="T735" s="62"/>
      <c r="U735" s="62"/>
      <c r="V735" s="62"/>
      <c r="W735" s="62"/>
      <c r="X735" s="62"/>
      <c r="Y735" s="114"/>
      <c r="Z735" s="115"/>
      <c r="AA735" s="115"/>
      <c r="AB735" s="116"/>
      <c r="AE735" s="48" t="str">
        <f t="shared" si="176"/>
        <v/>
      </c>
      <c r="AF735" s="48"/>
      <c r="AG735" s="48"/>
      <c r="AH735" s="89"/>
      <c r="AI735" s="49">
        <f t="shared" si="177"/>
        <v>0</v>
      </c>
      <c r="AJ735" s="49" t="str">
        <f t="shared" si="178"/>
        <v/>
      </c>
      <c r="AK735" s="49">
        <f t="shared" si="179"/>
        <v>0</v>
      </c>
      <c r="AL735" s="49" t="str">
        <f t="shared" si="180"/>
        <v/>
      </c>
      <c r="AM735" s="49">
        <f t="shared" si="181"/>
        <v>0</v>
      </c>
      <c r="AN735" s="49" t="str">
        <f t="shared" si="182"/>
        <v/>
      </c>
      <c r="AO735" s="49">
        <f t="shared" si="183"/>
        <v>0</v>
      </c>
      <c r="AP735" s="49" t="str">
        <f t="shared" si="184"/>
        <v/>
      </c>
      <c r="AQ735" s="49">
        <f t="shared" si="185"/>
        <v>0</v>
      </c>
      <c r="AR735" s="49" t="str">
        <f t="shared" si="186"/>
        <v/>
      </c>
    </row>
    <row r="736" spans="1:44" ht="30" customHeight="1" x14ac:dyDescent="0.35">
      <c r="B736" s="39" t="s">
        <v>41</v>
      </c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108"/>
      <c r="Z736" s="109"/>
      <c r="AA736" s="109"/>
      <c r="AB736" s="110"/>
      <c r="AE736" s="48" t="str">
        <f t="shared" si="176"/>
        <v/>
      </c>
      <c r="AF736" s="48"/>
      <c r="AG736" s="48"/>
      <c r="AH736" s="89"/>
      <c r="AI736" s="49">
        <f t="shared" si="177"/>
        <v>0</v>
      </c>
      <c r="AJ736" s="49" t="str">
        <f t="shared" si="178"/>
        <v/>
      </c>
      <c r="AK736" s="49">
        <f t="shared" si="179"/>
        <v>0</v>
      </c>
      <c r="AL736" s="49" t="str">
        <f t="shared" si="180"/>
        <v/>
      </c>
      <c r="AM736" s="49">
        <f t="shared" si="181"/>
        <v>0</v>
      </c>
      <c r="AN736" s="49" t="str">
        <f t="shared" si="182"/>
        <v/>
      </c>
      <c r="AO736" s="49">
        <f t="shared" si="183"/>
        <v>0</v>
      </c>
      <c r="AP736" s="49" t="str">
        <f t="shared" si="184"/>
        <v/>
      </c>
      <c r="AQ736" s="49">
        <f t="shared" si="185"/>
        <v>0</v>
      </c>
      <c r="AR736" s="49" t="str">
        <f t="shared" si="186"/>
        <v/>
      </c>
    </row>
    <row r="737" spans="1:44" ht="30" customHeight="1" x14ac:dyDescent="0.35">
      <c r="A737" s="25" t="str">
        <f>CONCATENATE($B$731,"
",$B$733,"",$B$734,"
",$B$735)</f>
        <v>PT178 - PLATAFORMA DE ACESSO - FORQUILHA 3 - DETALHADO
TORRE B5PROJETO DETALHADO
ESTRUTURAS METÁLICAS</v>
      </c>
      <c r="B737" s="40" t="s">
        <v>89</v>
      </c>
      <c r="C737" s="60" t="str">
        <f>IF(AND($B737=[1]rogério!$A738,[1]rogério!$B738=C$4),"ok","nok")</f>
        <v>nok</v>
      </c>
      <c r="D737" s="60" t="str">
        <f>IF(AND($B737=[1]rogério!$A738,[1]rogério!$B738=D$4),"ok","nok")</f>
        <v>nok</v>
      </c>
      <c r="E737" s="60" t="str">
        <f>IF(AND($B737=[1]rogério!$A738,[1]rogério!$B738=E$4),"ok","nok")</f>
        <v>nok</v>
      </c>
      <c r="F737" s="60" t="str">
        <f>IF(AND($B737=[1]rogério!$A738,[1]rogério!$B738=F$4),"ok","nok")</f>
        <v>nok</v>
      </c>
      <c r="G737" s="60" t="str">
        <f>IF(AND($B737=[1]rogério!$A738,[1]rogério!$B738=G$4),"ok","nok")</f>
        <v>nok</v>
      </c>
      <c r="H737" s="60" t="str">
        <f>IF(AND($B737=[1]rogério!$A738,[1]rogério!$B738=H$4),"ok","nok")</f>
        <v>nok</v>
      </c>
      <c r="I737" s="60" t="str">
        <f>IF(AND($B737=[1]rogério!$A738,[1]rogério!$B738=I$4),"ok","nok")</f>
        <v>ok</v>
      </c>
      <c r="J737" s="60" t="str">
        <f>IF(AND($B737=[1]rogério!$A738,[1]rogério!$B738=J$4),"ok","nok")</f>
        <v>nok</v>
      </c>
      <c r="K737" s="60" t="str">
        <f>IF(AND($B737=[1]rogério!$A738,[1]rogério!$B738=K$4),"ok","nok")</f>
        <v>nok</v>
      </c>
      <c r="L737" s="60" t="str">
        <f>IF(AND($B737=[1]rogério!$A738,[1]rogério!$B738=L$4),"ok","nok")</f>
        <v>nok</v>
      </c>
      <c r="M737" s="60" t="str">
        <f>IF(AND($B737=[1]rogério!$A738,[1]rogério!$B738=M$4),"ok","nok")</f>
        <v>nok</v>
      </c>
      <c r="N737" s="60" t="str">
        <f>IF(AND($B737=[1]rogério!$A738,[1]rogério!$B738=N$4),"ok","nok")</f>
        <v>nok</v>
      </c>
      <c r="O737" s="60" t="str">
        <f>IF(AND($B737=[1]rogério!$A738,[1]rogério!$B738=O$4),"ok","nok")</f>
        <v>nok</v>
      </c>
      <c r="P737" s="60" t="str">
        <f>IF(AND($B737=[1]rogério!$A738,[1]rogério!$B738=P$4),"ok","nok")</f>
        <v>nok</v>
      </c>
      <c r="Q737" s="60" t="str">
        <f>IF(AND($B737=[1]rogério!$A738,[1]rogério!$B738=Q$4),"ok","nok")</f>
        <v>nok</v>
      </c>
      <c r="R737" s="60" t="str">
        <f>IF(AND($B737=[1]rogério!$A738,[1]rogério!$B738=R$4),"ok","nok")</f>
        <v>nok</v>
      </c>
      <c r="S737" s="60" t="str">
        <f>IF(AND($B737=[1]rogério!$A738,[1]rogério!$B738=S$4),"ok","nok")</f>
        <v>nok</v>
      </c>
      <c r="T737" s="60" t="str">
        <f>IF(AND($B737=[1]rogério!$A738,[1]rogério!$B738=T$4),"ok","nok")</f>
        <v>nok</v>
      </c>
      <c r="U737" s="60" t="str">
        <f>IF(AND($B737=[1]rogério!$A738,[1]rogério!$B738=U$4),"ok","nok")</f>
        <v>nok</v>
      </c>
      <c r="V737" s="60" t="str">
        <f>IF(AND($B737=[1]rogério!$A738,[1]rogério!$B738=V$4),"ok","nok")</f>
        <v>nok</v>
      </c>
      <c r="W737" s="60" t="str">
        <f>IF(AND($B737=[1]rogério!$A738,[1]rogério!$B738=W$4),"ok","nok")</f>
        <v>nok</v>
      </c>
      <c r="X737" s="60" t="str">
        <f>IF(AND($B737=[1]rogério!$A738,[1]rogério!$B738=X$4),"ok","nok")</f>
        <v>nok</v>
      </c>
      <c r="Y737" s="105" t="s">
        <v>15</v>
      </c>
      <c r="Z737" s="106"/>
      <c r="AA737" s="106"/>
      <c r="AB737" s="107"/>
      <c r="AE737" s="48" t="str">
        <f t="shared" si="176"/>
        <v/>
      </c>
      <c r="AF737" s="48"/>
      <c r="AG737" s="48"/>
      <c r="AH737" s="89"/>
      <c r="AI737" s="49">
        <f t="shared" si="177"/>
        <v>0</v>
      </c>
      <c r="AJ737" s="49" t="str">
        <f t="shared" si="178"/>
        <v/>
      </c>
      <c r="AK737" s="49">
        <f t="shared" si="179"/>
        <v>1</v>
      </c>
      <c r="AL737" s="49" t="str">
        <f t="shared" si="180"/>
        <v/>
      </c>
      <c r="AM737" s="49">
        <f t="shared" si="181"/>
        <v>0</v>
      </c>
      <c r="AN737" s="49" t="str">
        <f t="shared" si="182"/>
        <v/>
      </c>
      <c r="AO737" s="49">
        <f t="shared" si="183"/>
        <v>0</v>
      </c>
      <c r="AP737" s="49" t="str">
        <f t="shared" si="184"/>
        <v/>
      </c>
      <c r="AQ737" s="49">
        <f t="shared" si="185"/>
        <v>0</v>
      </c>
      <c r="AR737" s="49" t="str">
        <f t="shared" si="186"/>
        <v/>
      </c>
    </row>
    <row r="738" spans="1:44" ht="30" customHeight="1" x14ac:dyDescent="0.35">
      <c r="A738" s="25" t="str">
        <f t="shared" ref="A738:A771" si="188">CONCATENATE($B$731,"
",$B$733,"",$B$734,"
",$B$735)</f>
        <v>PT178 - PLATAFORMA DE ACESSO - FORQUILHA 3 - DETALHADO
TORRE B5PROJETO DETALHADO
ESTRUTURAS METÁLICAS</v>
      </c>
      <c r="B738" s="40" t="s">
        <v>19</v>
      </c>
      <c r="C738" s="60" t="str">
        <f>IF(AND($B738=[1]rogério!$A739,[1]rogério!$B739=C$4),"ok","nok")</f>
        <v>nok</v>
      </c>
      <c r="D738" s="60" t="str">
        <f>IF(AND($B738=[1]rogério!$A739,[1]rogério!$B739=D$4),"ok","nok")</f>
        <v>nok</v>
      </c>
      <c r="E738" s="60" t="str">
        <f>IF(AND($B738=[1]rogério!$A739,[1]rogério!$B739=E$4),"ok","nok")</f>
        <v>nok</v>
      </c>
      <c r="F738" s="60" t="str">
        <f>IF(AND($B738=[1]rogério!$A739,[1]rogério!$B739=F$4),"ok","nok")</f>
        <v>nok</v>
      </c>
      <c r="G738" s="60" t="str">
        <f>IF(AND($B738=[1]rogério!$A739,[1]rogério!$B739=G$4),"ok","nok")</f>
        <v>nok</v>
      </c>
      <c r="H738" s="60" t="str">
        <f>IF(AND($B738=[1]rogério!$A739,[1]rogério!$B739=H$4),"ok","nok")</f>
        <v>nok</v>
      </c>
      <c r="I738" s="60" t="str">
        <f>IF(AND($B738=[1]rogério!$A739,[1]rogério!$B739=I$4),"ok","nok")</f>
        <v>nok</v>
      </c>
      <c r="J738" s="60" t="str">
        <f>IF(AND($B738=[1]rogério!$A739,[1]rogério!$B739=J$4),"ok","nok")</f>
        <v>nok</v>
      </c>
      <c r="K738" s="60" t="str">
        <f>IF(AND($B738=[1]rogério!$A739,[1]rogério!$B739=K$4),"ok","nok")</f>
        <v>nok</v>
      </c>
      <c r="L738" s="60" t="str">
        <f>IF(AND($B738=[1]rogério!$A739,[1]rogério!$B739=L$4),"ok","nok")</f>
        <v>nok</v>
      </c>
      <c r="M738" s="60" t="str">
        <f>IF(AND($B738=[1]rogério!$A739,[1]rogério!$B739=M$4),"ok","nok")</f>
        <v>ok</v>
      </c>
      <c r="N738" s="60" t="str">
        <f>IF(AND($B738=[1]rogério!$A739,[1]rogério!$B739=N$4),"ok","nok")</f>
        <v>nok</v>
      </c>
      <c r="O738" s="60" t="str">
        <f>IF(AND($B738=[1]rogério!$A739,[1]rogério!$B739=O$4),"ok","nok")</f>
        <v>nok</v>
      </c>
      <c r="P738" s="60" t="str">
        <f>IF(AND($B738=[1]rogério!$A739,[1]rogério!$B739=P$4),"ok","nok")</f>
        <v>nok</v>
      </c>
      <c r="Q738" s="60" t="str">
        <f>IF(AND($B738=[1]rogério!$A739,[1]rogério!$B739=Q$4),"ok","nok")</f>
        <v>nok</v>
      </c>
      <c r="R738" s="60" t="str">
        <f>IF(AND($B738=[1]rogério!$A739,[1]rogério!$B739=R$4),"ok","nok")</f>
        <v>nok</v>
      </c>
      <c r="S738" s="60" t="str">
        <f>IF(AND($B738=[1]rogério!$A739,[1]rogério!$B739=S$4),"ok","nok")</f>
        <v>nok</v>
      </c>
      <c r="T738" s="60" t="str">
        <f>IF(AND($B738=[1]rogério!$A739,[1]rogério!$B739=T$4),"ok","nok")</f>
        <v>nok</v>
      </c>
      <c r="U738" s="60" t="str">
        <f>IF(AND($B738=[1]rogério!$A739,[1]rogério!$B739=U$4),"ok","nok")</f>
        <v>nok</v>
      </c>
      <c r="V738" s="60" t="str">
        <f>IF(AND($B738=[1]rogério!$A739,[1]rogério!$B739=V$4),"ok","nok")</f>
        <v>nok</v>
      </c>
      <c r="W738" s="60" t="str">
        <f>IF(AND($B738=[1]rogério!$A739,[1]rogério!$B739=W$4),"ok","nok")</f>
        <v>nok</v>
      </c>
      <c r="X738" s="60" t="str">
        <f>IF(AND($B738=[1]rogério!$A739,[1]rogério!$B739=X$4),"ok","nok")</f>
        <v>nok</v>
      </c>
      <c r="Y738" s="105" t="s">
        <v>15</v>
      </c>
      <c r="Z738" s="106"/>
      <c r="AA738" s="106"/>
      <c r="AB738" s="107"/>
      <c r="AE738" s="48" t="str">
        <f t="shared" si="176"/>
        <v/>
      </c>
      <c r="AF738" s="48"/>
      <c r="AG738" s="48"/>
      <c r="AH738" s="89"/>
      <c r="AI738" s="49">
        <f t="shared" si="177"/>
        <v>0</v>
      </c>
      <c r="AJ738" s="49" t="str">
        <f t="shared" si="178"/>
        <v/>
      </c>
      <c r="AK738" s="49">
        <f t="shared" si="179"/>
        <v>0</v>
      </c>
      <c r="AL738" s="49" t="str">
        <f t="shared" si="180"/>
        <v/>
      </c>
      <c r="AM738" s="49">
        <f t="shared" si="181"/>
        <v>1</v>
      </c>
      <c r="AN738" s="49" t="str">
        <f t="shared" si="182"/>
        <v/>
      </c>
      <c r="AO738" s="49">
        <f t="shared" si="183"/>
        <v>0</v>
      </c>
      <c r="AP738" s="49" t="str">
        <f t="shared" si="184"/>
        <v/>
      </c>
      <c r="AQ738" s="49">
        <f t="shared" si="185"/>
        <v>0</v>
      </c>
      <c r="AR738" s="49" t="str">
        <f t="shared" si="186"/>
        <v/>
      </c>
    </row>
    <row r="739" spans="1:44" ht="30" customHeight="1" x14ac:dyDescent="0.35">
      <c r="A739" s="25" t="str">
        <f t="shared" si="188"/>
        <v>PT178 - PLATAFORMA DE ACESSO - FORQUILHA 3 - DETALHADO
TORRE B5PROJETO DETALHADO
ESTRUTURAS METÁLICAS</v>
      </c>
      <c r="B739" s="40" t="s">
        <v>42</v>
      </c>
      <c r="C739" s="60" t="str">
        <f>IF(AND($B739=[1]rogério!$A740,[1]rogério!$B740=C$4),"ok","nok")</f>
        <v>nok</v>
      </c>
      <c r="D739" s="60" t="str">
        <f>IF(AND($B739=[1]rogério!$A740,[1]rogério!$B740=D$4),"ok","nok")</f>
        <v>nok</v>
      </c>
      <c r="E739" s="60" t="str">
        <f>IF(AND($B739=[1]rogério!$A740,[1]rogério!$B740=E$4),"ok","nok")</f>
        <v>nok</v>
      </c>
      <c r="F739" s="60" t="str">
        <f>IF(AND($B739=[1]rogério!$A740,[1]rogério!$B740=F$4),"ok","nok")</f>
        <v>nok</v>
      </c>
      <c r="G739" s="60" t="str">
        <f>IF(AND($B739=[1]rogério!$A740,[1]rogério!$B740=G$4),"ok","nok")</f>
        <v>nok</v>
      </c>
      <c r="H739" s="60" t="str">
        <f>IF(AND($B739=[1]rogério!$A740,[1]rogério!$B740=H$4),"ok","nok")</f>
        <v>nok</v>
      </c>
      <c r="I739" s="60" t="str">
        <f>IF(AND($B739=[1]rogério!$A740,[1]rogério!$B740=I$4),"ok","nok")</f>
        <v>nok</v>
      </c>
      <c r="J739" s="60" t="str">
        <f>IF(AND($B739=[1]rogério!$A740,[1]rogério!$B740=J$4),"ok","nok")</f>
        <v>nok</v>
      </c>
      <c r="K739" s="60" t="str">
        <f>IF(AND($B739=[1]rogério!$A740,[1]rogério!$B740=K$4),"ok","nok")</f>
        <v>nok</v>
      </c>
      <c r="L739" s="60" t="str">
        <f>IF(AND($B739=[1]rogério!$A740,[1]rogério!$B740=L$4),"ok","nok")</f>
        <v>nok</v>
      </c>
      <c r="M739" s="60" t="str">
        <f>IF(AND($B739=[1]rogério!$A740,[1]rogério!$B740=M$4),"ok","nok")</f>
        <v>nok</v>
      </c>
      <c r="N739" s="60" t="str">
        <f>IF(AND($B739=[1]rogério!$A740,[1]rogério!$B740=N$4),"ok","nok")</f>
        <v>nok</v>
      </c>
      <c r="O739" s="60" t="str">
        <f>IF(AND($B739=[1]rogério!$A740,[1]rogério!$B740=O$4),"ok","nok")</f>
        <v>nok</v>
      </c>
      <c r="P739" s="60" t="str">
        <f>IF(AND($B739=[1]rogério!$A740,[1]rogério!$B740=P$4),"ok","nok")</f>
        <v>ok</v>
      </c>
      <c r="Q739" s="60" t="str">
        <f>IF(AND($B739=[1]rogério!$A740,[1]rogério!$B740=Q$4),"ok","nok")</f>
        <v>nok</v>
      </c>
      <c r="R739" s="60" t="str">
        <f>IF(AND($B739=[1]rogério!$A740,[1]rogério!$B740=R$4),"ok","nok")</f>
        <v>nok</v>
      </c>
      <c r="S739" s="60" t="str">
        <f>IF(AND($B739=[1]rogério!$A740,[1]rogério!$B740=S$4),"ok","nok")</f>
        <v>nok</v>
      </c>
      <c r="T739" s="60" t="str">
        <f>IF(AND($B739=[1]rogério!$A740,[1]rogério!$B740=T$4),"ok","nok")</f>
        <v>nok</v>
      </c>
      <c r="U739" s="60" t="str">
        <f>IF(AND($B739=[1]rogério!$A740,[1]rogério!$B740=U$4),"ok","nok")</f>
        <v>nok</v>
      </c>
      <c r="V739" s="60" t="str">
        <f>IF(AND($B739=[1]rogério!$A740,[1]rogério!$B740=V$4),"ok","nok")</f>
        <v>nok</v>
      </c>
      <c r="W739" s="60" t="str">
        <f>IF(AND($B739=[1]rogério!$A740,[1]rogério!$B740=W$4),"ok","nok")</f>
        <v>nok</v>
      </c>
      <c r="X739" s="60" t="str">
        <f>IF(AND($B739=[1]rogério!$A740,[1]rogério!$B740=X$4),"ok","nok")</f>
        <v>nok</v>
      </c>
      <c r="Y739" s="105" t="s">
        <v>15</v>
      </c>
      <c r="Z739" s="106"/>
      <c r="AA739" s="106"/>
      <c r="AB739" s="107"/>
      <c r="AE739" s="48" t="str">
        <f t="shared" si="176"/>
        <v/>
      </c>
      <c r="AF739" s="48"/>
      <c r="AG739" s="48"/>
      <c r="AH739" s="89"/>
      <c r="AI739" s="49">
        <f t="shared" si="177"/>
        <v>0</v>
      </c>
      <c r="AJ739" s="49" t="str">
        <f t="shared" si="178"/>
        <v/>
      </c>
      <c r="AK739" s="49">
        <f t="shared" si="179"/>
        <v>0</v>
      </c>
      <c r="AL739" s="49" t="str">
        <f t="shared" si="180"/>
        <v/>
      </c>
      <c r="AM739" s="49">
        <f t="shared" si="181"/>
        <v>1</v>
      </c>
      <c r="AN739" s="49" t="str">
        <f t="shared" si="182"/>
        <v/>
      </c>
      <c r="AO739" s="49">
        <f t="shared" si="183"/>
        <v>0</v>
      </c>
      <c r="AP739" s="49" t="str">
        <f t="shared" si="184"/>
        <v/>
      </c>
      <c r="AQ739" s="49">
        <f t="shared" si="185"/>
        <v>0</v>
      </c>
      <c r="AR739" s="49" t="str">
        <f t="shared" si="186"/>
        <v/>
      </c>
    </row>
    <row r="740" spans="1:44" ht="30" customHeight="1" x14ac:dyDescent="0.35">
      <c r="A740" s="25" t="str">
        <f t="shared" si="188"/>
        <v>PT178 - PLATAFORMA DE ACESSO - FORQUILHA 3 - DETALHADO
TORRE B5PROJETO DETALHADO
ESTRUTURAS METÁLICAS</v>
      </c>
      <c r="B740" s="40" t="s">
        <v>43</v>
      </c>
      <c r="C740" s="60" t="str">
        <f>IF(AND($B740=[1]rogério!$A741,[1]rogério!$B741=C$4),"ok","nok")</f>
        <v>nok</v>
      </c>
      <c r="D740" s="60" t="str">
        <f>IF(AND($B740=[1]rogério!$A741,[1]rogério!$B741=D$4),"ok","nok")</f>
        <v>nok</v>
      </c>
      <c r="E740" s="60" t="str">
        <f>IF(AND($B740=[1]rogério!$A741,[1]rogério!$B741=E$4),"ok","nok")</f>
        <v>nok</v>
      </c>
      <c r="F740" s="60" t="str">
        <f>IF(AND($B740=[1]rogério!$A741,[1]rogério!$B741=F$4),"ok","nok")</f>
        <v>nok</v>
      </c>
      <c r="G740" s="60" t="str">
        <f>IF(AND($B740=[1]rogério!$A741,[1]rogério!$B741=G$4),"ok","nok")</f>
        <v>nok</v>
      </c>
      <c r="H740" s="60" t="str">
        <f>IF(AND($B740=[1]rogério!$A741,[1]rogério!$B741=H$4),"ok","nok")</f>
        <v>nok</v>
      </c>
      <c r="I740" s="60" t="str">
        <f>IF(AND($B740=[1]rogério!$A741,[1]rogério!$B741=I$4),"ok","nok")</f>
        <v>nok</v>
      </c>
      <c r="J740" s="60" t="str">
        <f>IF(AND($B740=[1]rogério!$A741,[1]rogério!$B741=J$4),"ok","nok")</f>
        <v>nok</v>
      </c>
      <c r="K740" s="60" t="str">
        <f>IF(AND($B740=[1]rogério!$A741,[1]rogério!$B741=K$4),"ok","nok")</f>
        <v>nok</v>
      </c>
      <c r="L740" s="60" t="str">
        <f>IF(AND($B740=[1]rogério!$A741,[1]rogério!$B741=L$4),"ok","nok")</f>
        <v>nok</v>
      </c>
      <c r="M740" s="60" t="str">
        <f>IF(AND($B740=[1]rogério!$A741,[1]rogério!$B741=M$4),"ok","nok")</f>
        <v>nok</v>
      </c>
      <c r="N740" s="60" t="str">
        <f>IF(AND($B740=[1]rogério!$A741,[1]rogério!$B741=N$4),"ok","nok")</f>
        <v>nok</v>
      </c>
      <c r="O740" s="60" t="str">
        <f>IF(AND($B740=[1]rogério!$A741,[1]rogério!$B741=O$4),"ok","nok")</f>
        <v>nok</v>
      </c>
      <c r="P740" s="60" t="str">
        <f>IF(AND($B740=[1]rogério!$A741,[1]rogério!$B741=P$4),"ok","nok")</f>
        <v>ok</v>
      </c>
      <c r="Q740" s="60" t="str">
        <f>IF(AND($B740=[1]rogério!$A741,[1]rogério!$B741=Q$4),"ok","nok")</f>
        <v>nok</v>
      </c>
      <c r="R740" s="60" t="str">
        <f>IF(AND($B740=[1]rogério!$A741,[1]rogério!$B741=R$4),"ok","nok")</f>
        <v>nok</v>
      </c>
      <c r="S740" s="60" t="str">
        <f>IF(AND($B740=[1]rogério!$A741,[1]rogério!$B741=S$4),"ok","nok")</f>
        <v>nok</v>
      </c>
      <c r="T740" s="60" t="str">
        <f>IF(AND($B740=[1]rogério!$A741,[1]rogério!$B741=T$4),"ok","nok")</f>
        <v>nok</v>
      </c>
      <c r="U740" s="60" t="str">
        <f>IF(AND($B740=[1]rogério!$A741,[1]rogério!$B741=U$4),"ok","nok")</f>
        <v>nok</v>
      </c>
      <c r="V740" s="60" t="str">
        <f>IF(AND($B740=[1]rogério!$A741,[1]rogério!$B741=V$4),"ok","nok")</f>
        <v>nok</v>
      </c>
      <c r="W740" s="60" t="str">
        <f>IF(AND($B740=[1]rogério!$A741,[1]rogério!$B741=W$4),"ok","nok")</f>
        <v>nok</v>
      </c>
      <c r="X740" s="60" t="str">
        <f>IF(AND($B740=[1]rogério!$A741,[1]rogério!$B741=X$4),"ok","nok")</f>
        <v>nok</v>
      </c>
      <c r="Y740" s="105" t="s">
        <v>15</v>
      </c>
      <c r="Z740" s="106"/>
      <c r="AA740" s="106"/>
      <c r="AB740" s="107"/>
      <c r="AE740" s="48" t="str">
        <f t="shared" si="176"/>
        <v/>
      </c>
      <c r="AF740" s="48"/>
      <c r="AG740" s="48"/>
      <c r="AH740" s="89"/>
      <c r="AI740" s="49">
        <f t="shared" si="177"/>
        <v>0</v>
      </c>
      <c r="AJ740" s="49" t="str">
        <f t="shared" si="178"/>
        <v/>
      </c>
      <c r="AK740" s="49">
        <f t="shared" si="179"/>
        <v>0</v>
      </c>
      <c r="AL740" s="49" t="str">
        <f t="shared" si="180"/>
        <v/>
      </c>
      <c r="AM740" s="49">
        <f t="shared" si="181"/>
        <v>1</v>
      </c>
      <c r="AN740" s="49" t="str">
        <f t="shared" si="182"/>
        <v/>
      </c>
      <c r="AO740" s="49">
        <f t="shared" si="183"/>
        <v>0</v>
      </c>
      <c r="AP740" s="49" t="str">
        <f t="shared" si="184"/>
        <v/>
      </c>
      <c r="AQ740" s="49">
        <f t="shared" si="185"/>
        <v>0</v>
      </c>
      <c r="AR740" s="49" t="str">
        <f t="shared" si="186"/>
        <v/>
      </c>
    </row>
    <row r="741" spans="1:44" ht="30" customHeight="1" x14ac:dyDescent="0.35">
      <c r="A741" s="25"/>
      <c r="B741" s="39" t="s">
        <v>53</v>
      </c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108"/>
      <c r="Z741" s="109"/>
      <c r="AA741" s="109"/>
      <c r="AB741" s="110"/>
      <c r="AE741" s="48" t="str">
        <f t="shared" si="176"/>
        <v/>
      </c>
      <c r="AF741" s="48"/>
      <c r="AG741" s="48"/>
      <c r="AH741" s="89"/>
      <c r="AI741" s="49">
        <f t="shared" si="177"/>
        <v>0</v>
      </c>
      <c r="AJ741" s="49" t="str">
        <f t="shared" si="178"/>
        <v/>
      </c>
      <c r="AK741" s="49">
        <f t="shared" si="179"/>
        <v>0</v>
      </c>
      <c r="AL741" s="49" t="str">
        <f t="shared" si="180"/>
        <v/>
      </c>
      <c r="AM741" s="49">
        <f t="shared" si="181"/>
        <v>0</v>
      </c>
      <c r="AN741" s="49" t="str">
        <f t="shared" si="182"/>
        <v/>
      </c>
      <c r="AO741" s="49">
        <f t="shared" si="183"/>
        <v>0</v>
      </c>
      <c r="AP741" s="49" t="str">
        <f t="shared" si="184"/>
        <v/>
      </c>
      <c r="AQ741" s="49">
        <f t="shared" si="185"/>
        <v>0</v>
      </c>
      <c r="AR741" s="49" t="str">
        <f t="shared" si="186"/>
        <v/>
      </c>
    </row>
    <row r="742" spans="1:44" ht="30" customHeight="1" x14ac:dyDescent="0.35">
      <c r="A742" s="25" t="str">
        <f t="shared" si="188"/>
        <v>PT178 - PLATAFORMA DE ACESSO - FORQUILHA 3 - DETALHADO
TORRE B5PROJETO DETALHADO
ESTRUTURAS METÁLICAS</v>
      </c>
      <c r="B742" s="40" t="s">
        <v>89</v>
      </c>
      <c r="C742" s="60" t="str">
        <f>IF(AND($B742=[1]rogério!$A743,[1]rogério!$B743=C$4),"ok","nok")</f>
        <v>nok</v>
      </c>
      <c r="D742" s="60" t="str">
        <f>IF(AND($B742=[1]rogério!$A743,[1]rogério!$B743=D$4),"ok","nok")</f>
        <v>nok</v>
      </c>
      <c r="E742" s="60" t="str">
        <f>IF(AND($B742=[1]rogério!$A743,[1]rogério!$B743=E$4),"ok","nok")</f>
        <v>nok</v>
      </c>
      <c r="F742" s="60" t="str">
        <f>IF(AND($B742=[1]rogério!$A743,[1]rogério!$B743=F$4),"ok","nok")</f>
        <v>nok</v>
      </c>
      <c r="G742" s="60" t="str">
        <f>IF(AND($B742=[1]rogério!$A743,[1]rogério!$B743=G$4),"ok","nok")</f>
        <v>nok</v>
      </c>
      <c r="H742" s="60" t="str">
        <f>IF(AND($B742=[1]rogério!$A743,[1]rogério!$B743=H$4),"ok","nok")</f>
        <v>nok</v>
      </c>
      <c r="I742" s="60" t="str">
        <f>IF(AND($B742=[1]rogério!$A743,[1]rogério!$B743=I$4),"ok","nok")</f>
        <v>ok</v>
      </c>
      <c r="J742" s="60" t="str">
        <f>IF(AND($B742=[1]rogério!$A743,[1]rogério!$B743=J$4),"ok","nok")</f>
        <v>nok</v>
      </c>
      <c r="K742" s="60" t="str">
        <f>IF(AND($B742=[1]rogério!$A743,[1]rogério!$B743=K$4),"ok","nok")</f>
        <v>nok</v>
      </c>
      <c r="L742" s="60" t="str">
        <f>IF(AND($B742=[1]rogério!$A743,[1]rogério!$B743=L$4),"ok","nok")</f>
        <v>nok</v>
      </c>
      <c r="M742" s="60" t="str">
        <f>IF(AND($B742=[1]rogério!$A743,[1]rogério!$B743=M$4),"ok","nok")</f>
        <v>nok</v>
      </c>
      <c r="N742" s="60" t="str">
        <f>IF(AND($B742=[1]rogério!$A743,[1]rogério!$B743=N$4),"ok","nok")</f>
        <v>nok</v>
      </c>
      <c r="O742" s="60" t="str">
        <f>IF(AND($B742=[1]rogério!$A743,[1]rogério!$B743=O$4),"ok","nok")</f>
        <v>nok</v>
      </c>
      <c r="P742" s="60" t="str">
        <f>IF(AND($B742=[1]rogério!$A743,[1]rogério!$B743=P$4),"ok","nok")</f>
        <v>nok</v>
      </c>
      <c r="Q742" s="60" t="str">
        <f>IF(AND($B742=[1]rogério!$A743,[1]rogério!$B743=Q$4),"ok","nok")</f>
        <v>nok</v>
      </c>
      <c r="R742" s="60" t="str">
        <f>IF(AND($B742=[1]rogério!$A743,[1]rogério!$B743=R$4),"ok","nok")</f>
        <v>nok</v>
      </c>
      <c r="S742" s="60" t="str">
        <f>IF(AND($B742=[1]rogério!$A743,[1]rogério!$B743=S$4),"ok","nok")</f>
        <v>nok</v>
      </c>
      <c r="T742" s="60" t="str">
        <f>IF(AND($B742=[1]rogério!$A743,[1]rogério!$B743=T$4),"ok","nok")</f>
        <v>nok</v>
      </c>
      <c r="U742" s="60" t="str">
        <f>IF(AND($B742=[1]rogério!$A743,[1]rogério!$B743=U$4),"ok","nok")</f>
        <v>nok</v>
      </c>
      <c r="V742" s="60" t="str">
        <f>IF(AND($B742=[1]rogério!$A743,[1]rogério!$B743=V$4),"ok","nok")</f>
        <v>nok</v>
      </c>
      <c r="W742" s="60" t="str">
        <f>IF(AND($B742=[1]rogério!$A743,[1]rogério!$B743=W$4),"ok","nok")</f>
        <v>nok</v>
      </c>
      <c r="X742" s="60" t="str">
        <f>IF(AND($B742=[1]rogério!$A743,[1]rogério!$B743=X$4),"ok","nok")</f>
        <v>nok</v>
      </c>
      <c r="Y742" s="105" t="s">
        <v>15</v>
      </c>
      <c r="Z742" s="106"/>
      <c r="AA742" s="106"/>
      <c r="AB742" s="107"/>
      <c r="AE742" s="48" t="str">
        <f t="shared" si="176"/>
        <v/>
      </c>
      <c r="AF742" s="48"/>
      <c r="AG742" s="48"/>
      <c r="AH742" s="89"/>
      <c r="AI742" s="49">
        <f t="shared" si="177"/>
        <v>0</v>
      </c>
      <c r="AJ742" s="49" t="str">
        <f t="shared" si="178"/>
        <v/>
      </c>
      <c r="AK742" s="49">
        <f t="shared" si="179"/>
        <v>1</v>
      </c>
      <c r="AL742" s="49" t="str">
        <f t="shared" si="180"/>
        <v/>
      </c>
      <c r="AM742" s="49">
        <f t="shared" si="181"/>
        <v>0</v>
      </c>
      <c r="AN742" s="49" t="str">
        <f t="shared" si="182"/>
        <v/>
      </c>
      <c r="AO742" s="49">
        <f t="shared" si="183"/>
        <v>0</v>
      </c>
      <c r="AP742" s="49" t="str">
        <f t="shared" si="184"/>
        <v/>
      </c>
      <c r="AQ742" s="49">
        <f t="shared" si="185"/>
        <v>0</v>
      </c>
      <c r="AR742" s="49" t="str">
        <f t="shared" si="186"/>
        <v/>
      </c>
    </row>
    <row r="743" spans="1:44" ht="30" customHeight="1" x14ac:dyDescent="0.35">
      <c r="A743" s="25" t="str">
        <f t="shared" si="188"/>
        <v>PT178 - PLATAFORMA DE ACESSO - FORQUILHA 3 - DETALHADO
TORRE B5PROJETO DETALHADO
ESTRUTURAS METÁLICAS</v>
      </c>
      <c r="B743" s="40" t="s">
        <v>19</v>
      </c>
      <c r="C743" s="60" t="str">
        <f>IF(AND($B743=[1]rogério!$A744,[1]rogério!$B744=C$4),"ok","nok")</f>
        <v>nok</v>
      </c>
      <c r="D743" s="60" t="str">
        <f>IF(AND($B743=[1]rogério!$A744,[1]rogério!$B744=D$4),"ok","nok")</f>
        <v>nok</v>
      </c>
      <c r="E743" s="60" t="str">
        <f>IF(AND($B743=[1]rogério!$A744,[1]rogério!$B744=E$4),"ok","nok")</f>
        <v>nok</v>
      </c>
      <c r="F743" s="60" t="str">
        <f>IF(AND($B743=[1]rogério!$A744,[1]rogério!$B744=F$4),"ok","nok")</f>
        <v>nok</v>
      </c>
      <c r="G743" s="60" t="str">
        <f>IF(AND($B743=[1]rogério!$A744,[1]rogério!$B744=G$4),"ok","nok")</f>
        <v>nok</v>
      </c>
      <c r="H743" s="60" t="str">
        <f>IF(AND($B743=[1]rogério!$A744,[1]rogério!$B744=H$4),"ok","nok")</f>
        <v>nok</v>
      </c>
      <c r="I743" s="60" t="str">
        <f>IF(AND($B743=[1]rogério!$A744,[1]rogério!$B744=I$4),"ok","nok")</f>
        <v>nok</v>
      </c>
      <c r="J743" s="60" t="str">
        <f>IF(AND($B743=[1]rogério!$A744,[1]rogério!$B744=J$4),"ok","nok")</f>
        <v>nok</v>
      </c>
      <c r="K743" s="60" t="str">
        <f>IF(AND($B743=[1]rogério!$A744,[1]rogério!$B744=K$4),"ok","nok")</f>
        <v>nok</v>
      </c>
      <c r="L743" s="60" t="str">
        <f>IF(AND($B743=[1]rogério!$A744,[1]rogério!$B744=L$4),"ok","nok")</f>
        <v>ok</v>
      </c>
      <c r="M743" s="60" t="str">
        <f>IF(AND($B743=[1]rogério!$A744,[1]rogério!$B744=M$4),"ok","nok")</f>
        <v>nok</v>
      </c>
      <c r="N743" s="60" t="str">
        <f>IF(AND($B743=[1]rogério!$A744,[1]rogério!$B744=N$4),"ok","nok")</f>
        <v>nok</v>
      </c>
      <c r="O743" s="60" t="str">
        <f>IF(AND($B743=[1]rogério!$A744,[1]rogério!$B744=O$4),"ok","nok")</f>
        <v>nok</v>
      </c>
      <c r="P743" s="60" t="str">
        <f>IF(AND($B743=[1]rogério!$A744,[1]rogério!$B744=P$4),"ok","nok")</f>
        <v>nok</v>
      </c>
      <c r="Q743" s="60" t="str">
        <f>IF(AND($B743=[1]rogério!$A744,[1]rogério!$B744=Q$4),"ok","nok")</f>
        <v>nok</v>
      </c>
      <c r="R743" s="60" t="str">
        <f>IF(AND($B743=[1]rogério!$A744,[1]rogério!$B744=R$4),"ok","nok")</f>
        <v>nok</v>
      </c>
      <c r="S743" s="60" t="str">
        <f>IF(AND($B743=[1]rogério!$A744,[1]rogério!$B744=S$4),"ok","nok")</f>
        <v>nok</v>
      </c>
      <c r="T743" s="60" t="str">
        <f>IF(AND($B743=[1]rogério!$A744,[1]rogério!$B744=T$4),"ok","nok")</f>
        <v>nok</v>
      </c>
      <c r="U743" s="60" t="str">
        <f>IF(AND($B743=[1]rogério!$A744,[1]rogério!$B744=U$4),"ok","nok")</f>
        <v>nok</v>
      </c>
      <c r="V743" s="60" t="str">
        <f>IF(AND($B743=[1]rogério!$A744,[1]rogério!$B744=V$4),"ok","nok")</f>
        <v>nok</v>
      </c>
      <c r="W743" s="60" t="str">
        <f>IF(AND($B743=[1]rogério!$A744,[1]rogério!$B744=W$4),"ok","nok")</f>
        <v>nok</v>
      </c>
      <c r="X743" s="60" t="str">
        <f>IF(AND($B743=[1]rogério!$A744,[1]rogério!$B744=X$4),"ok","nok")</f>
        <v>nok</v>
      </c>
      <c r="Y743" s="105" t="s">
        <v>15</v>
      </c>
      <c r="Z743" s="106"/>
      <c r="AA743" s="106"/>
      <c r="AB743" s="107"/>
      <c r="AE743" s="48" t="str">
        <f t="shared" si="176"/>
        <v/>
      </c>
      <c r="AF743" s="48"/>
      <c r="AG743" s="48"/>
      <c r="AH743" s="89"/>
      <c r="AI743" s="49">
        <f t="shared" si="177"/>
        <v>0</v>
      </c>
      <c r="AJ743" s="49" t="str">
        <f t="shared" si="178"/>
        <v/>
      </c>
      <c r="AK743" s="49">
        <f t="shared" si="179"/>
        <v>1</v>
      </c>
      <c r="AL743" s="49" t="str">
        <f t="shared" si="180"/>
        <v/>
      </c>
      <c r="AM743" s="49">
        <f t="shared" si="181"/>
        <v>0</v>
      </c>
      <c r="AN743" s="49" t="str">
        <f t="shared" si="182"/>
        <v/>
      </c>
      <c r="AO743" s="49">
        <f t="shared" si="183"/>
        <v>0</v>
      </c>
      <c r="AP743" s="49" t="str">
        <f t="shared" si="184"/>
        <v/>
      </c>
      <c r="AQ743" s="49">
        <f t="shared" si="185"/>
        <v>0</v>
      </c>
      <c r="AR743" s="49" t="str">
        <f t="shared" si="186"/>
        <v/>
      </c>
    </row>
    <row r="744" spans="1:44" ht="30" customHeight="1" x14ac:dyDescent="0.35">
      <c r="A744" s="25" t="str">
        <f t="shared" si="188"/>
        <v>PT178 - PLATAFORMA DE ACESSO - FORQUILHA 3 - DETALHADO
TORRE B5PROJETO DETALHADO
ESTRUTURAS METÁLICAS</v>
      </c>
      <c r="B744" s="40" t="s">
        <v>42</v>
      </c>
      <c r="C744" s="60" t="str">
        <f>IF(AND($B744=[1]rogério!$A745,[1]rogério!$B745=C$4),"ok","nok")</f>
        <v>nok</v>
      </c>
      <c r="D744" s="60" t="str">
        <f>IF(AND($B744=[1]rogério!$A745,[1]rogério!$B745=D$4),"ok","nok")</f>
        <v>nok</v>
      </c>
      <c r="E744" s="60" t="str">
        <f>IF(AND($B744=[1]rogério!$A745,[1]rogério!$B745=E$4),"ok","nok")</f>
        <v>nok</v>
      </c>
      <c r="F744" s="60" t="str">
        <f>IF(AND($B744=[1]rogério!$A745,[1]rogério!$B745=F$4),"ok","nok")</f>
        <v>nok</v>
      </c>
      <c r="G744" s="60" t="str">
        <f>IF(AND($B744=[1]rogério!$A745,[1]rogério!$B745=G$4),"ok","nok")</f>
        <v>nok</v>
      </c>
      <c r="H744" s="60" t="str">
        <f>IF(AND($B744=[1]rogério!$A745,[1]rogério!$B745=H$4),"ok","nok")</f>
        <v>nok</v>
      </c>
      <c r="I744" s="60" t="str">
        <f>IF(AND($B744=[1]rogério!$A745,[1]rogério!$B745=I$4),"ok","nok")</f>
        <v>nok</v>
      </c>
      <c r="J744" s="60" t="str">
        <f>IF(AND($B744=[1]rogério!$A745,[1]rogério!$B745=J$4),"ok","nok")</f>
        <v>nok</v>
      </c>
      <c r="K744" s="60" t="str">
        <f>IF(AND($B744=[1]rogério!$A745,[1]rogério!$B745=K$4),"ok","nok")</f>
        <v>ok</v>
      </c>
      <c r="L744" s="60" t="str">
        <f>IF(AND($B744=[1]rogério!$A745,[1]rogério!$B745=L$4),"ok","nok")</f>
        <v>nok</v>
      </c>
      <c r="M744" s="60" t="str">
        <f>IF(AND($B744=[1]rogério!$A745,[1]rogério!$B745=M$4),"ok","nok")</f>
        <v>nok</v>
      </c>
      <c r="N744" s="60" t="str">
        <f>IF(AND($B744=[1]rogério!$A745,[1]rogério!$B745=N$4),"ok","nok")</f>
        <v>nok</v>
      </c>
      <c r="O744" s="60" t="str">
        <f>IF(AND($B744=[1]rogério!$A745,[1]rogério!$B745=O$4),"ok","nok")</f>
        <v>nok</v>
      </c>
      <c r="P744" s="60" t="str">
        <f>IF(AND($B744=[1]rogério!$A745,[1]rogério!$B745=P$4),"ok","nok")</f>
        <v>nok</v>
      </c>
      <c r="Q744" s="60" t="str">
        <f>IF(AND($B744=[1]rogério!$A745,[1]rogério!$B745=Q$4),"ok","nok")</f>
        <v>nok</v>
      </c>
      <c r="R744" s="60" t="str">
        <f>IF(AND($B744=[1]rogério!$A745,[1]rogério!$B745=R$4),"ok","nok")</f>
        <v>nok</v>
      </c>
      <c r="S744" s="60" t="str">
        <f>IF(AND($B744=[1]rogério!$A745,[1]rogério!$B745=S$4),"ok","nok")</f>
        <v>nok</v>
      </c>
      <c r="T744" s="60" t="str">
        <f>IF(AND($B744=[1]rogério!$A745,[1]rogério!$B745=T$4),"ok","nok")</f>
        <v>nok</v>
      </c>
      <c r="U744" s="60" t="str">
        <f>IF(AND($B744=[1]rogério!$A745,[1]rogério!$B745=U$4),"ok","nok")</f>
        <v>nok</v>
      </c>
      <c r="V744" s="60" t="str">
        <f>IF(AND($B744=[1]rogério!$A745,[1]rogério!$B745=V$4),"ok","nok")</f>
        <v>nok</v>
      </c>
      <c r="W744" s="60" t="str">
        <f>IF(AND($B744=[1]rogério!$A745,[1]rogério!$B745=W$4),"ok","nok")</f>
        <v>nok</v>
      </c>
      <c r="X744" s="60" t="str">
        <f>IF(AND($B744=[1]rogério!$A745,[1]rogério!$B745=X$4),"ok","nok")</f>
        <v>nok</v>
      </c>
      <c r="Y744" s="105" t="s">
        <v>15</v>
      </c>
      <c r="Z744" s="106"/>
      <c r="AA744" s="106"/>
      <c r="AB744" s="107"/>
      <c r="AE744" s="48" t="str">
        <f t="shared" si="176"/>
        <v/>
      </c>
      <c r="AF744" s="48"/>
      <c r="AG744" s="48"/>
      <c r="AH744" s="89"/>
      <c r="AI744" s="49">
        <f t="shared" si="177"/>
        <v>0</v>
      </c>
      <c r="AJ744" s="49" t="str">
        <f t="shared" si="178"/>
        <v/>
      </c>
      <c r="AK744" s="49">
        <f t="shared" si="179"/>
        <v>1</v>
      </c>
      <c r="AL744" s="49" t="str">
        <f t="shared" si="180"/>
        <v/>
      </c>
      <c r="AM744" s="49">
        <f t="shared" si="181"/>
        <v>0</v>
      </c>
      <c r="AN744" s="49" t="str">
        <f t="shared" si="182"/>
        <v/>
      </c>
      <c r="AO744" s="49">
        <f t="shared" si="183"/>
        <v>0</v>
      </c>
      <c r="AP744" s="49" t="str">
        <f t="shared" si="184"/>
        <v/>
      </c>
      <c r="AQ744" s="49">
        <f t="shared" si="185"/>
        <v>0</v>
      </c>
      <c r="AR744" s="49" t="str">
        <f t="shared" si="186"/>
        <v/>
      </c>
    </row>
    <row r="745" spans="1:44" ht="30" customHeight="1" x14ac:dyDescent="0.35">
      <c r="A745" s="25" t="str">
        <f t="shared" si="188"/>
        <v>PT178 - PLATAFORMA DE ACESSO - FORQUILHA 3 - DETALHADO
TORRE B5PROJETO DETALHADO
ESTRUTURAS METÁLICAS</v>
      </c>
      <c r="B745" s="40" t="s">
        <v>43</v>
      </c>
      <c r="C745" s="60" t="str">
        <f>IF(AND($B745=[1]rogério!$A746,[1]rogério!$B746=C$4),"ok","nok")</f>
        <v>nok</v>
      </c>
      <c r="D745" s="60" t="str">
        <f>IF(AND($B745=[1]rogério!$A746,[1]rogério!$B746=D$4),"ok","nok")</f>
        <v>nok</v>
      </c>
      <c r="E745" s="60" t="str">
        <f>IF(AND($B745=[1]rogério!$A746,[1]rogério!$B746=E$4),"ok","nok")</f>
        <v>nok</v>
      </c>
      <c r="F745" s="60" t="str">
        <f>IF(AND($B745=[1]rogério!$A746,[1]rogério!$B746=F$4),"ok","nok")</f>
        <v>nok</v>
      </c>
      <c r="G745" s="60" t="str">
        <f>IF(AND($B745=[1]rogério!$A746,[1]rogério!$B746=G$4),"ok","nok")</f>
        <v>nok</v>
      </c>
      <c r="H745" s="60" t="str">
        <f>IF(AND($B745=[1]rogério!$A746,[1]rogério!$B746=H$4),"ok","nok")</f>
        <v>nok</v>
      </c>
      <c r="I745" s="60" t="str">
        <f>IF(AND($B745=[1]rogério!$A746,[1]rogério!$B746=I$4),"ok","nok")</f>
        <v>nok</v>
      </c>
      <c r="J745" s="60" t="str">
        <f>IF(AND($B745=[1]rogério!$A746,[1]rogério!$B746=J$4),"ok","nok")</f>
        <v>nok</v>
      </c>
      <c r="K745" s="60" t="str">
        <f>IF(AND($B745=[1]rogério!$A746,[1]rogério!$B746=K$4),"ok","nok")</f>
        <v>nok</v>
      </c>
      <c r="L745" s="60" t="str">
        <f>IF(AND($B745=[1]rogério!$A746,[1]rogério!$B746=L$4),"ok","nok")</f>
        <v>ok</v>
      </c>
      <c r="M745" s="60" t="str">
        <f>IF(AND($B745=[1]rogério!$A746,[1]rogério!$B746=M$4),"ok","nok")</f>
        <v>nok</v>
      </c>
      <c r="N745" s="60" t="str">
        <f>IF(AND($B745=[1]rogério!$A746,[1]rogério!$B746=N$4),"ok","nok")</f>
        <v>nok</v>
      </c>
      <c r="O745" s="60" t="str">
        <f>IF(AND($B745=[1]rogério!$A746,[1]rogério!$B746=O$4),"ok","nok")</f>
        <v>nok</v>
      </c>
      <c r="P745" s="60" t="str">
        <f>IF(AND($B745=[1]rogério!$A746,[1]rogério!$B746=P$4),"ok","nok")</f>
        <v>nok</v>
      </c>
      <c r="Q745" s="60" t="str">
        <f>IF(AND($B745=[1]rogério!$A746,[1]rogério!$B746=Q$4),"ok","nok")</f>
        <v>nok</v>
      </c>
      <c r="R745" s="60" t="str">
        <f>IF(AND($B745=[1]rogério!$A746,[1]rogério!$B746=R$4),"ok","nok")</f>
        <v>nok</v>
      </c>
      <c r="S745" s="60" t="str">
        <f>IF(AND($B745=[1]rogério!$A746,[1]rogério!$B746=S$4),"ok","nok")</f>
        <v>nok</v>
      </c>
      <c r="T745" s="60" t="str">
        <f>IF(AND($B745=[1]rogério!$A746,[1]rogério!$B746=T$4),"ok","nok")</f>
        <v>nok</v>
      </c>
      <c r="U745" s="60" t="str">
        <f>IF(AND($B745=[1]rogério!$A746,[1]rogério!$B746=U$4),"ok","nok")</f>
        <v>nok</v>
      </c>
      <c r="V745" s="60" t="str">
        <f>IF(AND($B745=[1]rogério!$A746,[1]rogério!$B746=V$4),"ok","nok")</f>
        <v>nok</v>
      </c>
      <c r="W745" s="60" t="str">
        <f>IF(AND($B745=[1]rogério!$A746,[1]rogério!$B746=W$4),"ok","nok")</f>
        <v>nok</v>
      </c>
      <c r="X745" s="60" t="str">
        <f>IF(AND($B745=[1]rogério!$A746,[1]rogério!$B746=X$4),"ok","nok")</f>
        <v>nok</v>
      </c>
      <c r="Y745" s="105" t="s">
        <v>15</v>
      </c>
      <c r="Z745" s="106"/>
      <c r="AA745" s="106"/>
      <c r="AB745" s="107"/>
      <c r="AE745" s="48" t="str">
        <f t="shared" si="176"/>
        <v/>
      </c>
      <c r="AF745" s="48"/>
      <c r="AG745" s="48"/>
      <c r="AH745" s="89"/>
      <c r="AI745" s="49">
        <f t="shared" si="177"/>
        <v>0</v>
      </c>
      <c r="AJ745" s="49" t="str">
        <f t="shared" si="178"/>
        <v/>
      </c>
      <c r="AK745" s="49">
        <f t="shared" si="179"/>
        <v>1</v>
      </c>
      <c r="AL745" s="49" t="str">
        <f t="shared" si="180"/>
        <v/>
      </c>
      <c r="AM745" s="49">
        <f t="shared" si="181"/>
        <v>0</v>
      </c>
      <c r="AN745" s="49" t="str">
        <f t="shared" si="182"/>
        <v/>
      </c>
      <c r="AO745" s="49">
        <f t="shared" si="183"/>
        <v>0</v>
      </c>
      <c r="AP745" s="49" t="str">
        <f t="shared" si="184"/>
        <v/>
      </c>
      <c r="AQ745" s="49">
        <f t="shared" si="185"/>
        <v>0</v>
      </c>
      <c r="AR745" s="49" t="str">
        <f t="shared" si="186"/>
        <v/>
      </c>
    </row>
    <row r="746" spans="1:44" ht="30" customHeight="1" x14ac:dyDescent="0.35">
      <c r="A746" s="25" t="str">
        <f t="shared" si="188"/>
        <v>PT178 - PLATAFORMA DE ACESSO - FORQUILHA 3 - DETALHADO
TORRE B5PROJETO DETALHADO
ESTRUTURAS METÁLICAS</v>
      </c>
      <c r="B746" s="38" t="s">
        <v>74</v>
      </c>
      <c r="C746" s="60" t="str">
        <f>IF(AND($B746=[1]rogério!$A747,[1]rogério!$B747=C$4),"ok","nok")</f>
        <v>nok</v>
      </c>
      <c r="D746" s="60" t="str">
        <f>IF(AND($B746=[1]rogério!$A747,[1]rogério!$B747=D$4),"ok","nok")</f>
        <v>nok</v>
      </c>
      <c r="E746" s="60" t="str">
        <f>IF(AND($B746=[1]rogério!$A747,[1]rogério!$B747=E$4),"ok","nok")</f>
        <v>nok</v>
      </c>
      <c r="F746" s="60" t="str">
        <f>IF(AND($B746=[1]rogério!$A747,[1]rogério!$B747=F$4),"ok","nok")</f>
        <v>nok</v>
      </c>
      <c r="G746" s="60" t="str">
        <f>IF(AND($B746=[1]rogério!$A747,[1]rogério!$B747=G$4),"ok","nok")</f>
        <v>nok</v>
      </c>
      <c r="H746" s="60" t="str">
        <f>IF(AND($B746=[1]rogério!$A747,[1]rogério!$B747=H$4),"ok","nok")</f>
        <v>nok</v>
      </c>
      <c r="I746" s="60" t="str">
        <f>IF(AND($B746=[1]rogério!$A747,[1]rogério!$B747=I$4),"ok","nok")</f>
        <v>nok</v>
      </c>
      <c r="J746" s="60" t="str">
        <f>IF(AND($B746=[1]rogério!$A747,[1]rogério!$B747=J$4),"ok","nok")</f>
        <v>nok</v>
      </c>
      <c r="K746" s="60" t="str">
        <f>IF(AND($B746=[1]rogério!$A747,[1]rogério!$B747=K$4),"ok","nok")</f>
        <v>nok</v>
      </c>
      <c r="L746" s="60" t="str">
        <f>IF(AND($B746=[1]rogério!$A747,[1]rogério!$B747=L$4),"ok","nok")</f>
        <v>nok</v>
      </c>
      <c r="M746" s="60" t="str">
        <f>IF(AND($B746=[1]rogério!$A747,[1]rogério!$B747=M$4),"ok","nok")</f>
        <v>nok</v>
      </c>
      <c r="N746" s="60" t="str">
        <f>IF(AND($B746=[1]rogério!$A747,[1]rogério!$B747=N$4),"ok","nok")</f>
        <v>nok</v>
      </c>
      <c r="O746" s="60" t="str">
        <f>IF(AND($B746=[1]rogério!$A747,[1]rogério!$B747=O$4),"ok","nok")</f>
        <v>ok</v>
      </c>
      <c r="P746" s="60" t="str">
        <f>IF(AND($B746=[1]rogério!$A747,[1]rogério!$B747=P$4),"ok","nok")</f>
        <v>nok</v>
      </c>
      <c r="Q746" s="60" t="str">
        <f>IF(AND($B746=[1]rogério!$A747,[1]rogério!$B747=Q$4),"ok","nok")</f>
        <v>nok</v>
      </c>
      <c r="R746" s="60" t="str">
        <f>IF(AND($B746=[1]rogério!$A747,[1]rogério!$B747=R$4),"ok","nok")</f>
        <v>nok</v>
      </c>
      <c r="S746" s="60" t="str">
        <f>IF(AND($B746=[1]rogério!$A747,[1]rogério!$B747=S$4),"ok","nok")</f>
        <v>nok</v>
      </c>
      <c r="T746" s="60" t="str">
        <f>IF(AND($B746=[1]rogério!$A747,[1]rogério!$B747=T$4),"ok","nok")</f>
        <v>nok</v>
      </c>
      <c r="U746" s="60" t="str">
        <f>IF(AND($B746=[1]rogério!$A747,[1]rogério!$B747=U$4),"ok","nok")</f>
        <v>nok</v>
      </c>
      <c r="V746" s="60" t="str">
        <f>IF(AND($B746=[1]rogério!$A747,[1]rogério!$B747=V$4),"ok","nok")</f>
        <v>nok</v>
      </c>
      <c r="W746" s="60" t="str">
        <f>IF(AND($B746=[1]rogério!$A747,[1]rogério!$B747=W$4),"ok","nok")</f>
        <v>nok</v>
      </c>
      <c r="X746" s="60" t="str">
        <f>IF(AND($B746=[1]rogério!$A747,[1]rogério!$B747=X$4),"ok","nok")</f>
        <v>nok</v>
      </c>
      <c r="Y746" s="105" t="s">
        <v>15</v>
      </c>
      <c r="Z746" s="106"/>
      <c r="AA746" s="106"/>
      <c r="AB746" s="107"/>
      <c r="AE746" s="48" t="str">
        <f t="shared" si="176"/>
        <v/>
      </c>
      <c r="AF746" s="48"/>
      <c r="AG746" s="48"/>
      <c r="AH746" s="89"/>
      <c r="AI746" s="49">
        <f t="shared" si="177"/>
        <v>0</v>
      </c>
      <c r="AJ746" s="49" t="str">
        <f t="shared" si="178"/>
        <v/>
      </c>
      <c r="AK746" s="49">
        <f t="shared" si="179"/>
        <v>0</v>
      </c>
      <c r="AL746" s="49" t="str">
        <f t="shared" si="180"/>
        <v/>
      </c>
      <c r="AM746" s="49">
        <f t="shared" si="181"/>
        <v>1</v>
      </c>
      <c r="AN746" s="49" t="str">
        <f t="shared" si="182"/>
        <v/>
      </c>
      <c r="AO746" s="49">
        <f t="shared" si="183"/>
        <v>0</v>
      </c>
      <c r="AP746" s="49" t="str">
        <f t="shared" si="184"/>
        <v/>
      </c>
      <c r="AQ746" s="49">
        <f t="shared" si="185"/>
        <v>0</v>
      </c>
      <c r="AR746" s="49" t="str">
        <f t="shared" si="186"/>
        <v/>
      </c>
    </row>
    <row r="747" spans="1:44" ht="30" customHeight="1" x14ac:dyDescent="0.35">
      <c r="A747" s="25" t="str">
        <f t="shared" si="188"/>
        <v>PT178 - PLATAFORMA DE ACESSO - FORQUILHA 3 - DETALHADO
TORRE B5PROJETO DETALHADO
ESTRUTURAS METÁLICAS</v>
      </c>
      <c r="B747" s="38" t="s">
        <v>75</v>
      </c>
      <c r="C747" s="60" t="str">
        <f>IF(AND($B747=[1]rogério!$A748,[1]rogério!$B748=C$4),"ok","nok")</f>
        <v>nok</v>
      </c>
      <c r="D747" s="60" t="str">
        <f>IF(AND($B747=[1]rogério!$A748,[1]rogério!$B748=D$4),"ok","nok")</f>
        <v>nok</v>
      </c>
      <c r="E747" s="60" t="str">
        <f>IF(AND($B747=[1]rogério!$A748,[1]rogério!$B748=E$4),"ok","nok")</f>
        <v>nok</v>
      </c>
      <c r="F747" s="60" t="str">
        <f>IF(AND($B747=[1]rogério!$A748,[1]rogério!$B748=F$4),"ok","nok")</f>
        <v>nok</v>
      </c>
      <c r="G747" s="60" t="str">
        <f>IF(AND($B747=[1]rogério!$A748,[1]rogério!$B748=G$4),"ok","nok")</f>
        <v>nok</v>
      </c>
      <c r="H747" s="60" t="str">
        <f>IF(AND($B747=[1]rogério!$A748,[1]rogério!$B748=H$4),"ok","nok")</f>
        <v>nok</v>
      </c>
      <c r="I747" s="60" t="str">
        <f>IF(AND($B747=[1]rogério!$A748,[1]rogério!$B748=I$4),"ok","nok")</f>
        <v>nok</v>
      </c>
      <c r="J747" s="60" t="str">
        <f>IF(AND($B747=[1]rogério!$A748,[1]rogério!$B748=J$4),"ok","nok")</f>
        <v>nok</v>
      </c>
      <c r="K747" s="60" t="str">
        <f>IF(AND($B747=[1]rogério!$A748,[1]rogério!$B748=K$4),"ok","nok")</f>
        <v>nok</v>
      </c>
      <c r="L747" s="60" t="str">
        <f>IF(AND($B747=[1]rogério!$A748,[1]rogério!$B748=L$4),"ok","nok")</f>
        <v>nok</v>
      </c>
      <c r="M747" s="60" t="str">
        <f>IF(AND($B747=[1]rogério!$A748,[1]rogério!$B748=M$4),"ok","nok")</f>
        <v>nok</v>
      </c>
      <c r="N747" s="60" t="str">
        <f>IF(AND($B747=[1]rogério!$A748,[1]rogério!$B748=N$4),"ok","nok")</f>
        <v>nok</v>
      </c>
      <c r="O747" s="60" t="str">
        <f>IF(AND($B747=[1]rogério!$A748,[1]rogério!$B748=O$4),"ok","nok")</f>
        <v>nok</v>
      </c>
      <c r="P747" s="60" t="str">
        <f>IF(AND($B747=[1]rogério!$A748,[1]rogério!$B748=P$4),"ok","nok")</f>
        <v>ok</v>
      </c>
      <c r="Q747" s="60" t="str">
        <f>IF(AND($B747=[1]rogério!$A748,[1]rogério!$B748=Q$4),"ok","nok")</f>
        <v>nok</v>
      </c>
      <c r="R747" s="60" t="str">
        <f>IF(AND($B747=[1]rogério!$A748,[1]rogério!$B748=R$4),"ok","nok")</f>
        <v>nok</v>
      </c>
      <c r="S747" s="60" t="str">
        <f>IF(AND($B747=[1]rogério!$A748,[1]rogério!$B748=S$4),"ok","nok")</f>
        <v>nok</v>
      </c>
      <c r="T747" s="60" t="str">
        <f>IF(AND($B747=[1]rogério!$A748,[1]rogério!$B748=T$4),"ok","nok")</f>
        <v>nok</v>
      </c>
      <c r="U747" s="60" t="str">
        <f>IF(AND($B747=[1]rogério!$A748,[1]rogério!$B748=U$4),"ok","nok")</f>
        <v>nok</v>
      </c>
      <c r="V747" s="60" t="str">
        <f>IF(AND($B747=[1]rogério!$A748,[1]rogério!$B748=V$4),"ok","nok")</f>
        <v>nok</v>
      </c>
      <c r="W747" s="60" t="str">
        <f>IF(AND($B747=[1]rogério!$A748,[1]rogério!$B748=W$4),"ok","nok")</f>
        <v>nok</v>
      </c>
      <c r="X747" s="60" t="str">
        <f>IF(AND($B747=[1]rogério!$A748,[1]rogério!$B748=X$4),"ok","nok")</f>
        <v>nok</v>
      </c>
      <c r="Y747" s="105" t="s">
        <v>15</v>
      </c>
      <c r="Z747" s="106"/>
      <c r="AA747" s="106"/>
      <c r="AB747" s="107"/>
      <c r="AE747" s="48" t="str">
        <f t="shared" si="176"/>
        <v/>
      </c>
      <c r="AF747" s="48"/>
      <c r="AG747" s="48"/>
      <c r="AH747" s="89"/>
      <c r="AI747" s="49">
        <f t="shared" si="177"/>
        <v>0</v>
      </c>
      <c r="AJ747" s="49" t="str">
        <f t="shared" si="178"/>
        <v/>
      </c>
      <c r="AK747" s="49">
        <f t="shared" si="179"/>
        <v>0</v>
      </c>
      <c r="AL747" s="49" t="str">
        <f t="shared" si="180"/>
        <v/>
      </c>
      <c r="AM747" s="49">
        <f t="shared" si="181"/>
        <v>1</v>
      </c>
      <c r="AN747" s="49" t="str">
        <f t="shared" si="182"/>
        <v/>
      </c>
      <c r="AO747" s="49">
        <f t="shared" si="183"/>
        <v>0</v>
      </c>
      <c r="AP747" s="49" t="str">
        <f t="shared" si="184"/>
        <v/>
      </c>
      <c r="AQ747" s="49">
        <f t="shared" si="185"/>
        <v>0</v>
      </c>
      <c r="AR747" s="49" t="str">
        <f t="shared" si="186"/>
        <v/>
      </c>
    </row>
    <row r="748" spans="1:44" ht="30" customHeight="1" x14ac:dyDescent="0.35">
      <c r="A748" s="25"/>
      <c r="B748" s="39" t="s">
        <v>62</v>
      </c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108"/>
      <c r="Z748" s="109"/>
      <c r="AA748" s="109"/>
      <c r="AB748" s="110"/>
      <c r="AE748" s="48" t="str">
        <f t="shared" si="176"/>
        <v/>
      </c>
      <c r="AF748" s="48"/>
      <c r="AG748" s="48"/>
      <c r="AH748" s="89"/>
      <c r="AI748" s="49">
        <f t="shared" si="177"/>
        <v>0</v>
      </c>
      <c r="AJ748" s="49" t="str">
        <f t="shared" si="178"/>
        <v/>
      </c>
      <c r="AK748" s="49">
        <f t="shared" si="179"/>
        <v>0</v>
      </c>
      <c r="AL748" s="49" t="str">
        <f t="shared" si="180"/>
        <v/>
      </c>
      <c r="AM748" s="49">
        <f t="shared" si="181"/>
        <v>0</v>
      </c>
      <c r="AN748" s="49" t="str">
        <f t="shared" si="182"/>
        <v/>
      </c>
      <c r="AO748" s="49">
        <f t="shared" si="183"/>
        <v>0</v>
      </c>
      <c r="AP748" s="49" t="str">
        <f t="shared" si="184"/>
        <v/>
      </c>
      <c r="AQ748" s="49">
        <f t="shared" si="185"/>
        <v>0</v>
      </c>
      <c r="AR748" s="49" t="str">
        <f t="shared" si="186"/>
        <v/>
      </c>
    </row>
    <row r="749" spans="1:44" ht="30" customHeight="1" x14ac:dyDescent="0.35">
      <c r="A749" s="25" t="str">
        <f t="shared" si="188"/>
        <v>PT178 - PLATAFORMA DE ACESSO - FORQUILHA 3 - DETALHADO
TORRE B5PROJETO DETALHADO
ESTRUTURAS METÁLICAS</v>
      </c>
      <c r="B749" s="40" t="s">
        <v>49</v>
      </c>
      <c r="C749" s="60" t="str">
        <f>IF(AND($B749=[1]rogério!$A750,[1]rogério!$B750=C$4),"ok","nok")</f>
        <v>nok</v>
      </c>
      <c r="D749" s="60" t="str">
        <f>IF(AND($B749=[1]rogério!$A750,[1]rogério!$B750=D$4),"ok","nok")</f>
        <v>nok</v>
      </c>
      <c r="E749" s="60" t="str">
        <f>IF(AND($B749=[1]rogério!$A750,[1]rogério!$B750=E$4),"ok","nok")</f>
        <v>nok</v>
      </c>
      <c r="F749" s="60" t="str">
        <f>IF(AND($B749=[1]rogério!$A750,[1]rogério!$B750=F$4),"ok","nok")</f>
        <v>nok</v>
      </c>
      <c r="G749" s="60" t="str">
        <f>IF(AND($B749=[1]rogério!$A750,[1]rogério!$B750=G$4),"ok","nok")</f>
        <v>nok</v>
      </c>
      <c r="H749" s="60" t="str">
        <f>IF(AND($B749=[1]rogério!$A750,[1]rogério!$B750=H$4),"ok","nok")</f>
        <v>nok</v>
      </c>
      <c r="I749" s="60" t="str">
        <f>IF(AND($B749=[1]rogério!$A750,[1]rogério!$B750=I$4),"ok","nok")</f>
        <v>nok</v>
      </c>
      <c r="J749" s="60" t="str">
        <f>IF(AND($B749=[1]rogério!$A750,[1]rogério!$B750=J$4),"ok","nok")</f>
        <v>nok</v>
      </c>
      <c r="K749" s="60" t="str">
        <f>IF(AND($B749=[1]rogério!$A750,[1]rogério!$B750=K$4),"ok","nok")</f>
        <v>nok</v>
      </c>
      <c r="L749" s="60" t="str">
        <f>IF(AND($B749=[1]rogério!$A750,[1]rogério!$B750=L$4),"ok","nok")</f>
        <v>nok</v>
      </c>
      <c r="M749" s="60" t="str">
        <f>IF(AND($B749=[1]rogério!$A750,[1]rogério!$B750=M$4),"ok","nok")</f>
        <v>nok</v>
      </c>
      <c r="N749" s="60" t="str">
        <f>IF(AND($B749=[1]rogério!$A750,[1]rogério!$B750=N$4),"ok","nok")</f>
        <v>nok</v>
      </c>
      <c r="O749" s="60" t="str">
        <f>IF(AND($B749=[1]rogério!$A750,[1]rogério!$B750=O$4),"ok","nok")</f>
        <v>nok</v>
      </c>
      <c r="P749" s="60" t="str">
        <f>IF(AND($B749=[1]rogério!$A750,[1]rogério!$B750=P$4),"ok","nok")</f>
        <v>ok</v>
      </c>
      <c r="Q749" s="60" t="str">
        <f>IF(AND($B749=[1]rogério!$A750,[1]rogério!$B750=Q$4),"ok","nok")</f>
        <v>nok</v>
      </c>
      <c r="R749" s="60" t="str">
        <f>IF(AND($B749=[1]rogério!$A750,[1]rogério!$B750=R$4),"ok","nok")</f>
        <v>nok</v>
      </c>
      <c r="S749" s="60" t="str">
        <f>IF(AND($B749=[1]rogério!$A750,[1]rogério!$B750=S$4),"ok","nok")</f>
        <v>nok</v>
      </c>
      <c r="T749" s="60" t="str">
        <f>IF(AND($B749=[1]rogério!$A750,[1]rogério!$B750=T$4),"ok","nok")</f>
        <v>nok</v>
      </c>
      <c r="U749" s="60" t="str">
        <f>IF(AND($B749=[1]rogério!$A750,[1]rogério!$B750=U$4),"ok","nok")</f>
        <v>nok</v>
      </c>
      <c r="V749" s="60" t="str">
        <f>IF(AND($B749=[1]rogério!$A750,[1]rogério!$B750=V$4),"ok","nok")</f>
        <v>nok</v>
      </c>
      <c r="W749" s="60" t="str">
        <f>IF(AND($B749=[1]rogério!$A750,[1]rogério!$B750=W$4),"ok","nok")</f>
        <v>nok</v>
      </c>
      <c r="X749" s="60" t="str">
        <f>IF(AND($B749=[1]rogério!$A750,[1]rogério!$B750=X$4),"ok","nok")</f>
        <v>nok</v>
      </c>
      <c r="Y749" s="105" t="s">
        <v>15</v>
      </c>
      <c r="Z749" s="106"/>
      <c r="AA749" s="106"/>
      <c r="AB749" s="107"/>
      <c r="AE749" s="48" t="str">
        <f t="shared" si="176"/>
        <v/>
      </c>
      <c r="AF749" s="48"/>
      <c r="AG749" s="48"/>
      <c r="AH749" s="89"/>
      <c r="AI749" s="49">
        <f t="shared" si="177"/>
        <v>0</v>
      </c>
      <c r="AJ749" s="49" t="str">
        <f t="shared" si="178"/>
        <v/>
      </c>
      <c r="AK749" s="49">
        <f t="shared" si="179"/>
        <v>0</v>
      </c>
      <c r="AL749" s="49" t="str">
        <f t="shared" si="180"/>
        <v/>
      </c>
      <c r="AM749" s="49">
        <f t="shared" si="181"/>
        <v>1</v>
      </c>
      <c r="AN749" s="49" t="str">
        <f t="shared" si="182"/>
        <v/>
      </c>
      <c r="AO749" s="49">
        <f t="shared" si="183"/>
        <v>0</v>
      </c>
      <c r="AP749" s="49" t="str">
        <f t="shared" si="184"/>
        <v/>
      </c>
      <c r="AQ749" s="49">
        <f t="shared" si="185"/>
        <v>0</v>
      </c>
      <c r="AR749" s="49" t="str">
        <f t="shared" si="186"/>
        <v/>
      </c>
    </row>
    <row r="750" spans="1:44" ht="30" customHeight="1" x14ac:dyDescent="0.35">
      <c r="A750" s="25" t="str">
        <f t="shared" si="188"/>
        <v>PT178 - PLATAFORMA DE ACESSO - FORQUILHA 3 - DETALHADO
TORRE B5PROJETO DETALHADO
ESTRUTURAS METÁLICAS</v>
      </c>
      <c r="B750" s="40" t="s">
        <v>19</v>
      </c>
      <c r="C750" s="60" t="str">
        <f>IF(AND($B750=[1]rogério!$A751,[1]rogério!$B751=C$4),"ok","nok")</f>
        <v>nok</v>
      </c>
      <c r="D750" s="60" t="str">
        <f>IF(AND($B750=[1]rogério!$A751,[1]rogério!$B751=D$4),"ok","nok")</f>
        <v>nok</v>
      </c>
      <c r="E750" s="60" t="str">
        <f>IF(AND($B750=[1]rogério!$A751,[1]rogério!$B751=E$4),"ok","nok")</f>
        <v>nok</v>
      </c>
      <c r="F750" s="60" t="str">
        <f>IF(AND($B750=[1]rogério!$A751,[1]rogério!$B751=F$4),"ok","nok")</f>
        <v>nok</v>
      </c>
      <c r="G750" s="60" t="str">
        <f>IF(AND($B750=[1]rogério!$A751,[1]rogério!$B751=G$4),"ok","nok")</f>
        <v>nok</v>
      </c>
      <c r="H750" s="60" t="str">
        <f>IF(AND($B750=[1]rogério!$A751,[1]rogério!$B751=H$4),"ok","nok")</f>
        <v>nok</v>
      </c>
      <c r="I750" s="60" t="str">
        <f>IF(AND($B750=[1]rogério!$A751,[1]rogério!$B751=I$4),"ok","nok")</f>
        <v>nok</v>
      </c>
      <c r="J750" s="60" t="str">
        <f>IF(AND($B750=[1]rogério!$A751,[1]rogério!$B751=J$4),"ok","nok")</f>
        <v>nok</v>
      </c>
      <c r="K750" s="60" t="str">
        <f>IF(AND($B750=[1]rogério!$A751,[1]rogério!$B751=K$4),"ok","nok")</f>
        <v>nok</v>
      </c>
      <c r="L750" s="60" t="str">
        <f>IF(AND($B750=[1]rogério!$A751,[1]rogério!$B751=L$4),"ok","nok")</f>
        <v>nok</v>
      </c>
      <c r="M750" s="60" t="str">
        <f>IF(AND($B750=[1]rogério!$A751,[1]rogério!$B751=M$4),"ok","nok")</f>
        <v>nok</v>
      </c>
      <c r="N750" s="60" t="str">
        <f>IF(AND($B750=[1]rogério!$A751,[1]rogério!$B751=N$4),"ok","nok")</f>
        <v>nok</v>
      </c>
      <c r="O750" s="60" t="str">
        <f>IF(AND($B750=[1]rogério!$A751,[1]rogério!$B751=O$4),"ok","nok")</f>
        <v>nok</v>
      </c>
      <c r="P750" s="60" t="str">
        <f>IF(AND($B750=[1]rogério!$A751,[1]rogério!$B751=P$4),"ok","nok")</f>
        <v>nok</v>
      </c>
      <c r="Q750" s="60" t="str">
        <f>IF(AND($B750=[1]rogério!$A751,[1]rogério!$B751=Q$4),"ok","nok")</f>
        <v>nok</v>
      </c>
      <c r="R750" s="60" t="str">
        <f>IF(AND($B750=[1]rogério!$A751,[1]rogério!$B751=R$4),"ok","nok")</f>
        <v>nok</v>
      </c>
      <c r="S750" s="60" t="str">
        <f>IF(AND($B750=[1]rogério!$A751,[1]rogério!$B751=S$4),"ok","nok")</f>
        <v>nok</v>
      </c>
      <c r="T750" s="60" t="str">
        <f>IF(AND($B750=[1]rogério!$A751,[1]rogério!$B751=T$4),"ok","nok")</f>
        <v>nok</v>
      </c>
      <c r="U750" s="60" t="str">
        <f>IF(AND($B750=[1]rogério!$A751,[1]rogério!$B751=U$4),"ok","nok")</f>
        <v>ok</v>
      </c>
      <c r="V750" s="60" t="str">
        <f>IF(AND($B750=[1]rogério!$A751,[1]rogério!$B751=V$4),"ok","nok")</f>
        <v>nok</v>
      </c>
      <c r="W750" s="60" t="str">
        <f>IF(AND($B750=[1]rogério!$A751,[1]rogério!$B751=W$4),"ok","nok")</f>
        <v>nok</v>
      </c>
      <c r="X750" s="60" t="str">
        <f>IF(AND($B750=[1]rogério!$A751,[1]rogério!$B751=X$4),"ok","nok")</f>
        <v>nok</v>
      </c>
      <c r="Y750" s="105" t="s">
        <v>15</v>
      </c>
      <c r="Z750" s="106"/>
      <c r="AA750" s="106"/>
      <c r="AB750" s="107"/>
      <c r="AE750" s="48" t="str">
        <f t="shared" si="176"/>
        <v/>
      </c>
      <c r="AF750" s="48"/>
      <c r="AG750" s="48"/>
      <c r="AH750" s="89"/>
      <c r="AI750" s="49">
        <f t="shared" si="177"/>
        <v>0</v>
      </c>
      <c r="AJ750" s="49" t="str">
        <f t="shared" si="178"/>
        <v/>
      </c>
      <c r="AK750" s="49">
        <f t="shared" si="179"/>
        <v>0</v>
      </c>
      <c r="AL750" s="49" t="str">
        <f t="shared" si="180"/>
        <v/>
      </c>
      <c r="AM750" s="49">
        <f t="shared" si="181"/>
        <v>0</v>
      </c>
      <c r="AN750" s="49" t="str">
        <f t="shared" si="182"/>
        <v/>
      </c>
      <c r="AO750" s="49">
        <f t="shared" si="183"/>
        <v>1</v>
      </c>
      <c r="AP750" s="49" t="str">
        <f t="shared" si="184"/>
        <v/>
      </c>
      <c r="AQ750" s="49">
        <f t="shared" si="185"/>
        <v>0</v>
      </c>
      <c r="AR750" s="49" t="str">
        <f t="shared" si="186"/>
        <v/>
      </c>
    </row>
    <row r="751" spans="1:44" ht="30" customHeight="1" x14ac:dyDescent="0.35">
      <c r="A751" s="25" t="str">
        <f t="shared" si="188"/>
        <v>PT178 - PLATAFORMA DE ACESSO - FORQUILHA 3 - DETALHADO
TORRE B5PROJETO DETALHADO
ESTRUTURAS METÁLICAS</v>
      </c>
      <c r="B751" s="40" t="s">
        <v>42</v>
      </c>
      <c r="C751" s="60" t="str">
        <f>IF(AND($B751=[1]rogério!$A752,[1]rogério!$B752=C$4),"ok","nok")</f>
        <v>nok</v>
      </c>
      <c r="D751" s="60" t="str">
        <f>IF(AND($B751=[1]rogério!$A752,[1]rogério!$B752=D$4),"ok","nok")</f>
        <v>nok</v>
      </c>
      <c r="E751" s="60" t="str">
        <f>IF(AND($B751=[1]rogério!$A752,[1]rogério!$B752=E$4),"ok","nok")</f>
        <v>nok</v>
      </c>
      <c r="F751" s="60" t="str">
        <f>IF(AND($B751=[1]rogério!$A752,[1]rogério!$B752=F$4),"ok","nok")</f>
        <v>nok</v>
      </c>
      <c r="G751" s="60" t="str">
        <f>IF(AND($B751=[1]rogério!$A752,[1]rogério!$B752=G$4),"ok","nok")</f>
        <v>nok</v>
      </c>
      <c r="H751" s="60" t="str">
        <f>IF(AND($B751=[1]rogério!$A752,[1]rogério!$B752=H$4),"ok","nok")</f>
        <v>nok</v>
      </c>
      <c r="I751" s="60" t="str">
        <f>IF(AND($B751=[1]rogério!$A752,[1]rogério!$B752=I$4),"ok","nok")</f>
        <v>nok</v>
      </c>
      <c r="J751" s="60" t="str">
        <f>IF(AND($B751=[1]rogério!$A752,[1]rogério!$B752=J$4),"ok","nok")</f>
        <v>nok</v>
      </c>
      <c r="K751" s="60" t="str">
        <f>IF(AND($B751=[1]rogério!$A752,[1]rogério!$B752=K$4),"ok","nok")</f>
        <v>nok</v>
      </c>
      <c r="L751" s="60" t="str">
        <f>IF(AND($B751=[1]rogério!$A752,[1]rogério!$B752=L$4),"ok","nok")</f>
        <v>nok</v>
      </c>
      <c r="M751" s="60" t="str">
        <f>IF(AND($B751=[1]rogério!$A752,[1]rogério!$B752=M$4),"ok","nok")</f>
        <v>nok</v>
      </c>
      <c r="N751" s="60" t="str">
        <f>IF(AND($B751=[1]rogério!$A752,[1]rogério!$B752=N$4),"ok","nok")</f>
        <v>nok</v>
      </c>
      <c r="O751" s="60" t="str">
        <f>IF(AND($B751=[1]rogério!$A752,[1]rogério!$B752=O$4),"ok","nok")</f>
        <v>nok</v>
      </c>
      <c r="P751" s="60" t="str">
        <f>IF(AND($B751=[1]rogério!$A752,[1]rogério!$B752=P$4),"ok","nok")</f>
        <v>nok</v>
      </c>
      <c r="Q751" s="60" t="str">
        <f>IF(AND($B751=[1]rogério!$A752,[1]rogério!$B752=Q$4),"ok","nok")</f>
        <v>nok</v>
      </c>
      <c r="R751" s="60" t="str">
        <f>IF(AND($B751=[1]rogério!$A752,[1]rogério!$B752=R$4),"ok","nok")</f>
        <v>nok</v>
      </c>
      <c r="S751" s="60" t="str">
        <f>IF(AND($B751=[1]rogério!$A752,[1]rogério!$B752=S$4),"ok","nok")</f>
        <v>nok</v>
      </c>
      <c r="T751" s="60" t="str">
        <f>IF(AND($B751=[1]rogério!$A752,[1]rogério!$B752=T$4),"ok","nok")</f>
        <v>nok</v>
      </c>
      <c r="U751" s="60" t="str">
        <f>IF(AND($B751=[1]rogério!$A752,[1]rogério!$B752=U$4),"ok","nok")</f>
        <v>nok</v>
      </c>
      <c r="V751" s="60" t="str">
        <f>IF(AND($B751=[1]rogério!$A752,[1]rogério!$B752=V$4),"ok","nok")</f>
        <v>nok</v>
      </c>
      <c r="W751" s="60" t="str">
        <f>IF(AND($B751=[1]rogério!$A752,[1]rogério!$B752=W$4),"ok","nok")</f>
        <v>nok</v>
      </c>
      <c r="X751" s="60" t="str">
        <f>IF(AND($B751=[1]rogério!$A752,[1]rogério!$B752=X$4),"ok","nok")</f>
        <v>ok</v>
      </c>
      <c r="Y751" s="105" t="s">
        <v>15</v>
      </c>
      <c r="Z751" s="106"/>
      <c r="AA751" s="106"/>
      <c r="AB751" s="107"/>
      <c r="AE751" s="48" t="str">
        <f t="shared" si="176"/>
        <v/>
      </c>
      <c r="AF751" s="48"/>
      <c r="AG751" s="48"/>
      <c r="AH751" s="89"/>
      <c r="AI751" s="49">
        <f t="shared" si="177"/>
        <v>0</v>
      </c>
      <c r="AJ751" s="49" t="str">
        <f t="shared" si="178"/>
        <v/>
      </c>
      <c r="AK751" s="49">
        <f t="shared" si="179"/>
        <v>0</v>
      </c>
      <c r="AL751" s="49" t="str">
        <f t="shared" si="180"/>
        <v/>
      </c>
      <c r="AM751" s="49">
        <f t="shared" si="181"/>
        <v>0</v>
      </c>
      <c r="AN751" s="49" t="str">
        <f t="shared" si="182"/>
        <v/>
      </c>
      <c r="AO751" s="49">
        <f t="shared" si="183"/>
        <v>0</v>
      </c>
      <c r="AP751" s="49" t="str">
        <f t="shared" si="184"/>
        <v/>
      </c>
      <c r="AQ751" s="49">
        <f t="shared" si="185"/>
        <v>1</v>
      </c>
      <c r="AR751" s="49" t="str">
        <f t="shared" si="186"/>
        <v/>
      </c>
    </row>
    <row r="752" spans="1:44" ht="30" customHeight="1" x14ac:dyDescent="0.35">
      <c r="A752" s="25" t="str">
        <f t="shared" si="188"/>
        <v>PT178 - PLATAFORMA DE ACESSO - FORQUILHA 3 - DETALHADO
TORRE B5PROJETO DETALHADO
ESTRUTURAS METÁLICAS</v>
      </c>
      <c r="B752" s="40" t="s">
        <v>43</v>
      </c>
      <c r="C752" s="60" t="str">
        <f>IF(AND($B752=[1]rogério!$A753,[1]rogério!$B753=C$4),"ok","nok")</f>
        <v>nok</v>
      </c>
      <c r="D752" s="60" t="str">
        <f>IF(AND($B752=[1]rogério!$A753,[1]rogério!$B753=D$4),"ok","nok")</f>
        <v>nok</v>
      </c>
      <c r="E752" s="60" t="str">
        <f>IF(AND($B752=[1]rogério!$A753,[1]rogério!$B753=E$4),"ok","nok")</f>
        <v>nok</v>
      </c>
      <c r="F752" s="60" t="str">
        <f>IF(AND($B752=[1]rogério!$A753,[1]rogério!$B753=F$4),"ok","nok")</f>
        <v>nok</v>
      </c>
      <c r="G752" s="60" t="str">
        <f>IF(AND($B752=[1]rogério!$A753,[1]rogério!$B753=G$4),"ok","nok")</f>
        <v>nok</v>
      </c>
      <c r="H752" s="60" t="str">
        <f>IF(AND($B752=[1]rogério!$A753,[1]rogério!$B753=H$4),"ok","nok")</f>
        <v>nok</v>
      </c>
      <c r="I752" s="60" t="str">
        <f>IF(AND($B752=[1]rogério!$A753,[1]rogério!$B753=I$4),"ok","nok")</f>
        <v>nok</v>
      </c>
      <c r="J752" s="60" t="str">
        <f>IF(AND($B752=[1]rogério!$A753,[1]rogério!$B753=J$4),"ok","nok")</f>
        <v>nok</v>
      </c>
      <c r="K752" s="60" t="str">
        <f>IF(AND($B752=[1]rogério!$A753,[1]rogério!$B753=K$4),"ok","nok")</f>
        <v>nok</v>
      </c>
      <c r="L752" s="60" t="str">
        <f>IF(AND($B752=[1]rogério!$A753,[1]rogério!$B753=L$4),"ok","nok")</f>
        <v>nok</v>
      </c>
      <c r="M752" s="60" t="str">
        <f>IF(AND($B752=[1]rogério!$A753,[1]rogério!$B753=M$4),"ok","nok")</f>
        <v>nok</v>
      </c>
      <c r="N752" s="60" t="str">
        <f>IF(AND($B752=[1]rogério!$A753,[1]rogério!$B753=N$4),"ok","nok")</f>
        <v>nok</v>
      </c>
      <c r="O752" s="60" t="str">
        <f>IF(AND($B752=[1]rogério!$A753,[1]rogério!$B753=O$4),"ok","nok")</f>
        <v>nok</v>
      </c>
      <c r="P752" s="60" t="str">
        <f>IF(AND($B752=[1]rogério!$A753,[1]rogério!$B753=P$4),"ok","nok")</f>
        <v>nok</v>
      </c>
      <c r="Q752" s="60" t="str">
        <f>IF(AND($B752=[1]rogério!$A753,[1]rogério!$B753=Q$4),"ok","nok")</f>
        <v>nok</v>
      </c>
      <c r="R752" s="60" t="str">
        <f>IF(AND($B752=[1]rogério!$A753,[1]rogério!$B753=R$4),"ok","nok")</f>
        <v>nok</v>
      </c>
      <c r="S752" s="60" t="str">
        <f>IF(AND($B752=[1]rogério!$A753,[1]rogério!$B753=S$4),"ok","nok")</f>
        <v>nok</v>
      </c>
      <c r="T752" s="60" t="str">
        <f>IF(AND($B752=[1]rogério!$A753,[1]rogério!$B753=T$4),"ok","nok")</f>
        <v>nok</v>
      </c>
      <c r="U752" s="60" t="str">
        <f>IF(AND($B752=[1]rogério!$A753,[1]rogério!$B753=U$4),"ok","nok")</f>
        <v>nok</v>
      </c>
      <c r="V752" s="60" t="str">
        <f>IF(AND($B752=[1]rogério!$A753,[1]rogério!$B753=V$4),"ok","nok")</f>
        <v>nok</v>
      </c>
      <c r="W752" s="60" t="str">
        <f>IF(AND($B752=[1]rogério!$A753,[1]rogério!$B753=W$4),"ok","nok")</f>
        <v>nok</v>
      </c>
      <c r="X752" s="60" t="str">
        <f>IF(AND($B752=[1]rogério!$A753,[1]rogério!$B753=X$4),"ok","nok")</f>
        <v>ok</v>
      </c>
      <c r="Y752" s="105" t="s">
        <v>15</v>
      </c>
      <c r="Z752" s="106"/>
      <c r="AA752" s="106"/>
      <c r="AB752" s="107"/>
      <c r="AE752" s="48" t="str">
        <f t="shared" si="176"/>
        <v/>
      </c>
      <c r="AF752" s="48"/>
      <c r="AG752" s="48"/>
      <c r="AH752" s="89"/>
      <c r="AI752" s="49">
        <f t="shared" si="177"/>
        <v>0</v>
      </c>
      <c r="AJ752" s="49" t="str">
        <f t="shared" si="178"/>
        <v/>
      </c>
      <c r="AK752" s="49">
        <f t="shared" si="179"/>
        <v>0</v>
      </c>
      <c r="AL752" s="49" t="str">
        <f t="shared" si="180"/>
        <v/>
      </c>
      <c r="AM752" s="49">
        <f t="shared" si="181"/>
        <v>0</v>
      </c>
      <c r="AN752" s="49" t="str">
        <f t="shared" si="182"/>
        <v/>
      </c>
      <c r="AO752" s="49">
        <f t="shared" si="183"/>
        <v>0</v>
      </c>
      <c r="AP752" s="49" t="str">
        <f t="shared" si="184"/>
        <v/>
      </c>
      <c r="AQ752" s="49">
        <f t="shared" si="185"/>
        <v>1</v>
      </c>
      <c r="AR752" s="49" t="str">
        <f t="shared" si="186"/>
        <v/>
      </c>
    </row>
    <row r="753" spans="1:44" ht="30" customHeight="1" x14ac:dyDescent="0.35">
      <c r="A753" s="25" t="str">
        <f t="shared" si="188"/>
        <v>PT178 - PLATAFORMA DE ACESSO - FORQUILHA 3 - DETALHADO
TORRE B5PROJETO DETALHADO
ESTRUTURAS METÁLICAS</v>
      </c>
      <c r="B753" s="38" t="s">
        <v>79</v>
      </c>
      <c r="C753" s="60" t="str">
        <f>IF(AND($B753=[1]rogério!$A754,[1]rogério!$B754=C$4),"ok","nok")</f>
        <v>nok</v>
      </c>
      <c r="D753" s="60" t="str">
        <f>IF(AND($B753=[1]rogério!$A754,[1]rogério!$B754=D$4),"ok","nok")</f>
        <v>nok</v>
      </c>
      <c r="E753" s="60" t="str">
        <f>IF(AND($B753=[1]rogério!$A754,[1]rogério!$B754=E$4),"ok","nok")</f>
        <v>nok</v>
      </c>
      <c r="F753" s="60" t="str">
        <f>IF(AND($B753=[1]rogério!$A754,[1]rogério!$B754=F$4),"ok","nok")</f>
        <v>nok</v>
      </c>
      <c r="G753" s="60" t="str">
        <f>IF(AND($B753=[1]rogério!$A754,[1]rogério!$B754=G$4),"ok","nok")</f>
        <v>nok</v>
      </c>
      <c r="H753" s="60" t="str">
        <f>IF(AND($B753=[1]rogério!$A754,[1]rogério!$B754=H$4),"ok","nok")</f>
        <v>nok</v>
      </c>
      <c r="I753" s="60" t="str">
        <f>IF(AND($B753=[1]rogério!$A754,[1]rogério!$B754=I$4),"ok","nok")</f>
        <v>nok</v>
      </c>
      <c r="J753" s="60" t="str">
        <f>IF(AND($B753=[1]rogério!$A754,[1]rogério!$B754=J$4),"ok","nok")</f>
        <v>nok</v>
      </c>
      <c r="K753" s="60" t="str">
        <f>IF(AND($B753=[1]rogério!$A754,[1]rogério!$B754=K$4),"ok","nok")</f>
        <v>nok</v>
      </c>
      <c r="L753" s="60" t="str">
        <f>IF(AND($B753=[1]rogério!$A754,[1]rogério!$B754=L$4),"ok","nok")</f>
        <v>nok</v>
      </c>
      <c r="M753" s="60" t="str">
        <f>IF(AND($B753=[1]rogério!$A754,[1]rogério!$B754=M$4),"ok","nok")</f>
        <v>nok</v>
      </c>
      <c r="N753" s="60" t="str">
        <f>IF(AND($B753=[1]rogério!$A754,[1]rogério!$B754=N$4),"ok","nok")</f>
        <v>nok</v>
      </c>
      <c r="O753" s="60" t="str">
        <f>IF(AND($B753=[1]rogério!$A754,[1]rogério!$B754=O$4),"ok","nok")</f>
        <v>nok</v>
      </c>
      <c r="P753" s="60" t="str">
        <f>IF(AND($B753=[1]rogério!$A754,[1]rogério!$B754=P$4),"ok","nok")</f>
        <v>nok</v>
      </c>
      <c r="Q753" s="60" t="str">
        <f>IF(AND($B753=[1]rogério!$A754,[1]rogério!$B754=Q$4),"ok","nok")</f>
        <v>ok</v>
      </c>
      <c r="R753" s="60" t="str">
        <f>IF(AND($B753=[1]rogério!$A754,[1]rogério!$B754=R$4),"ok","nok")</f>
        <v>nok</v>
      </c>
      <c r="S753" s="60" t="str">
        <f>IF(AND($B753=[1]rogério!$A754,[1]rogério!$B754=S$4),"ok","nok")</f>
        <v>nok</v>
      </c>
      <c r="T753" s="60" t="str">
        <f>IF(AND($B753=[1]rogério!$A754,[1]rogério!$B754=T$4),"ok","nok")</f>
        <v>nok</v>
      </c>
      <c r="U753" s="60" t="str">
        <f>IF(AND($B753=[1]rogério!$A754,[1]rogério!$B754=U$4),"ok","nok")</f>
        <v>nok</v>
      </c>
      <c r="V753" s="60" t="str">
        <f>IF(AND($B753=[1]rogério!$A754,[1]rogério!$B754=V$4),"ok","nok")</f>
        <v>nok</v>
      </c>
      <c r="W753" s="60" t="str">
        <f>IF(AND($B753=[1]rogério!$A754,[1]rogério!$B754=W$4),"ok","nok")</f>
        <v>nok</v>
      </c>
      <c r="X753" s="60" t="str">
        <f>IF(AND($B753=[1]rogério!$A754,[1]rogério!$B754=X$4),"ok","nok")</f>
        <v>nok</v>
      </c>
      <c r="Y753" s="105" t="s">
        <v>15</v>
      </c>
      <c r="Z753" s="106"/>
      <c r="AA753" s="106"/>
      <c r="AB753" s="107"/>
      <c r="AE753" s="48" t="str">
        <f t="shared" si="176"/>
        <v/>
      </c>
      <c r="AF753" s="48"/>
      <c r="AG753" s="48"/>
      <c r="AH753" s="89"/>
      <c r="AI753" s="49">
        <f t="shared" si="177"/>
        <v>0</v>
      </c>
      <c r="AJ753" s="49" t="str">
        <f t="shared" si="178"/>
        <v/>
      </c>
      <c r="AK753" s="49">
        <f t="shared" si="179"/>
        <v>0</v>
      </c>
      <c r="AL753" s="49" t="str">
        <f t="shared" si="180"/>
        <v/>
      </c>
      <c r="AM753" s="49">
        <f t="shared" si="181"/>
        <v>1</v>
      </c>
      <c r="AN753" s="49" t="str">
        <f t="shared" si="182"/>
        <v/>
      </c>
      <c r="AO753" s="49">
        <f t="shared" si="183"/>
        <v>0</v>
      </c>
      <c r="AP753" s="49" t="str">
        <f t="shared" si="184"/>
        <v/>
      </c>
      <c r="AQ753" s="49">
        <f t="shared" si="185"/>
        <v>0</v>
      </c>
      <c r="AR753" s="49" t="str">
        <f t="shared" si="186"/>
        <v/>
      </c>
    </row>
    <row r="754" spans="1:44" ht="30" customHeight="1" x14ac:dyDescent="0.35">
      <c r="A754" s="25" t="str">
        <f t="shared" si="188"/>
        <v>PT178 - PLATAFORMA DE ACESSO - FORQUILHA 3 - DETALHADO
TORRE B5PROJETO DETALHADO
ESTRUTURAS METÁLICAS</v>
      </c>
      <c r="B754" s="38" t="s">
        <v>80</v>
      </c>
      <c r="C754" s="60" t="str">
        <f>IF(AND($B754=[1]rogério!$A755,[1]rogério!$B755=C$4),"ok","nok")</f>
        <v>nok</v>
      </c>
      <c r="D754" s="60" t="str">
        <f>IF(AND($B754=[1]rogério!$A755,[1]rogério!$B755=D$4),"ok","nok")</f>
        <v>nok</v>
      </c>
      <c r="E754" s="60" t="str">
        <f>IF(AND($B754=[1]rogério!$A755,[1]rogério!$B755=E$4),"ok","nok")</f>
        <v>nok</v>
      </c>
      <c r="F754" s="60" t="str">
        <f>IF(AND($B754=[1]rogério!$A755,[1]rogério!$B755=F$4),"ok","nok")</f>
        <v>nok</v>
      </c>
      <c r="G754" s="60" t="str">
        <f>IF(AND($B754=[1]rogério!$A755,[1]rogério!$B755=G$4),"ok","nok")</f>
        <v>nok</v>
      </c>
      <c r="H754" s="60" t="str">
        <f>IF(AND($B754=[1]rogério!$A755,[1]rogério!$B755=H$4),"ok","nok")</f>
        <v>nok</v>
      </c>
      <c r="I754" s="60" t="str">
        <f>IF(AND($B754=[1]rogério!$A755,[1]rogério!$B755=I$4),"ok","nok")</f>
        <v>nok</v>
      </c>
      <c r="J754" s="60" t="str">
        <f>IF(AND($B754=[1]rogério!$A755,[1]rogério!$B755=J$4),"ok","nok")</f>
        <v>nok</v>
      </c>
      <c r="K754" s="60" t="str">
        <f>IF(AND($B754=[1]rogério!$A755,[1]rogério!$B755=K$4),"ok","nok")</f>
        <v>nok</v>
      </c>
      <c r="L754" s="60" t="str">
        <f>IF(AND($B754=[1]rogério!$A755,[1]rogério!$B755=L$4),"ok","nok")</f>
        <v>nok</v>
      </c>
      <c r="M754" s="60" t="str">
        <f>IF(AND($B754=[1]rogério!$A755,[1]rogério!$B755=M$4),"ok","nok")</f>
        <v>nok</v>
      </c>
      <c r="N754" s="60" t="str">
        <f>IF(AND($B754=[1]rogério!$A755,[1]rogério!$B755=N$4),"ok","nok")</f>
        <v>nok</v>
      </c>
      <c r="O754" s="60" t="str">
        <f>IF(AND($B754=[1]rogério!$A755,[1]rogério!$B755=O$4),"ok","nok")</f>
        <v>nok</v>
      </c>
      <c r="P754" s="60" t="str">
        <f>IF(AND($B754=[1]rogério!$A755,[1]rogério!$B755=P$4),"ok","nok")</f>
        <v>nok</v>
      </c>
      <c r="Q754" s="60" t="str">
        <f>IF(AND($B754=[1]rogério!$A755,[1]rogério!$B755=Q$4),"ok","nok")</f>
        <v>nok</v>
      </c>
      <c r="R754" s="60" t="str">
        <f>IF(AND($B754=[1]rogério!$A755,[1]rogério!$B755=R$4),"ok","nok")</f>
        <v>ok</v>
      </c>
      <c r="S754" s="60" t="str">
        <f>IF(AND($B754=[1]rogério!$A755,[1]rogério!$B755=S$4),"ok","nok")</f>
        <v>nok</v>
      </c>
      <c r="T754" s="60" t="str">
        <f>IF(AND($B754=[1]rogério!$A755,[1]rogério!$B755=T$4),"ok","nok")</f>
        <v>nok</v>
      </c>
      <c r="U754" s="60" t="str">
        <f>IF(AND($B754=[1]rogério!$A755,[1]rogério!$B755=U$4),"ok","nok")</f>
        <v>nok</v>
      </c>
      <c r="V754" s="60" t="str">
        <f>IF(AND($B754=[1]rogério!$A755,[1]rogério!$B755=V$4),"ok","nok")</f>
        <v>nok</v>
      </c>
      <c r="W754" s="60" t="str">
        <f>IF(AND($B754=[1]rogério!$A755,[1]rogério!$B755=W$4),"ok","nok")</f>
        <v>nok</v>
      </c>
      <c r="X754" s="60" t="str">
        <f>IF(AND($B754=[1]rogério!$A755,[1]rogério!$B755=X$4),"ok","nok")</f>
        <v>nok</v>
      </c>
      <c r="Y754" s="105" t="s">
        <v>15</v>
      </c>
      <c r="Z754" s="106"/>
      <c r="AA754" s="106"/>
      <c r="AB754" s="107"/>
      <c r="AE754" s="48" t="str">
        <f t="shared" si="176"/>
        <v/>
      </c>
      <c r="AF754" s="48"/>
      <c r="AG754" s="48"/>
      <c r="AH754" s="89"/>
      <c r="AI754" s="49">
        <f t="shared" si="177"/>
        <v>0</v>
      </c>
      <c r="AJ754" s="49" t="str">
        <f t="shared" si="178"/>
        <v/>
      </c>
      <c r="AK754" s="49">
        <f t="shared" si="179"/>
        <v>0</v>
      </c>
      <c r="AL754" s="49" t="str">
        <f t="shared" si="180"/>
        <v/>
      </c>
      <c r="AM754" s="49">
        <f t="shared" si="181"/>
        <v>0</v>
      </c>
      <c r="AN754" s="49" t="str">
        <f t="shared" si="182"/>
        <v/>
      </c>
      <c r="AO754" s="49">
        <f t="shared" si="183"/>
        <v>1</v>
      </c>
      <c r="AP754" s="49" t="str">
        <f t="shared" si="184"/>
        <v/>
      </c>
      <c r="AQ754" s="49">
        <f t="shared" si="185"/>
        <v>0</v>
      </c>
      <c r="AR754" s="49" t="str">
        <f t="shared" si="186"/>
        <v/>
      </c>
    </row>
    <row r="755" spans="1:44" ht="30" customHeight="1" x14ac:dyDescent="0.35">
      <c r="A755" s="25"/>
      <c r="B755" s="39" t="s">
        <v>81</v>
      </c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108"/>
      <c r="Z755" s="109"/>
      <c r="AA755" s="109"/>
      <c r="AB755" s="110"/>
      <c r="AE755" s="48" t="str">
        <f t="shared" si="176"/>
        <v/>
      </c>
      <c r="AF755" s="48"/>
      <c r="AG755" s="48"/>
      <c r="AH755" s="89"/>
      <c r="AI755" s="49">
        <f t="shared" si="177"/>
        <v>0</v>
      </c>
      <c r="AJ755" s="49" t="str">
        <f t="shared" si="178"/>
        <v/>
      </c>
      <c r="AK755" s="49">
        <f t="shared" si="179"/>
        <v>0</v>
      </c>
      <c r="AL755" s="49" t="str">
        <f t="shared" si="180"/>
        <v/>
      </c>
      <c r="AM755" s="49">
        <f t="shared" si="181"/>
        <v>0</v>
      </c>
      <c r="AN755" s="49" t="str">
        <f t="shared" si="182"/>
        <v/>
      </c>
      <c r="AO755" s="49">
        <f t="shared" si="183"/>
        <v>0</v>
      </c>
      <c r="AP755" s="49" t="str">
        <f t="shared" si="184"/>
        <v/>
      </c>
      <c r="AQ755" s="49">
        <f t="shared" si="185"/>
        <v>0</v>
      </c>
      <c r="AR755" s="49" t="str">
        <f t="shared" si="186"/>
        <v/>
      </c>
    </row>
    <row r="756" spans="1:44" ht="30" customHeight="1" x14ac:dyDescent="0.35">
      <c r="A756" s="25" t="str">
        <f t="shared" si="188"/>
        <v>PT178 - PLATAFORMA DE ACESSO - FORQUILHA 3 - DETALHADO
TORRE B5PROJETO DETALHADO
ESTRUTURAS METÁLICAS</v>
      </c>
      <c r="B756" s="40" t="s">
        <v>49</v>
      </c>
      <c r="C756" s="60" t="str">
        <f>IF(AND($B756=[1]rogério!$A757,[1]rogério!$B757=C$4),"ok","nok")</f>
        <v>nok</v>
      </c>
      <c r="D756" s="60" t="str">
        <f>IF(AND($B756=[1]rogério!$A757,[1]rogério!$B757=D$4),"ok","nok")</f>
        <v>nok</v>
      </c>
      <c r="E756" s="60" t="str">
        <f>IF(AND($B756=[1]rogério!$A757,[1]rogério!$B757=E$4),"ok","nok")</f>
        <v>nok</v>
      </c>
      <c r="F756" s="60" t="str">
        <f>IF(AND($B756=[1]rogério!$A757,[1]rogério!$B757=F$4),"ok","nok")</f>
        <v>nok</v>
      </c>
      <c r="G756" s="60" t="str">
        <f>IF(AND($B756=[1]rogério!$A757,[1]rogério!$B757=G$4),"ok","nok")</f>
        <v>nok</v>
      </c>
      <c r="H756" s="60" t="str">
        <f>IF(AND($B756=[1]rogério!$A757,[1]rogério!$B757=H$4),"ok","nok")</f>
        <v>nok</v>
      </c>
      <c r="I756" s="60" t="str">
        <f>IF(AND($B756=[1]rogério!$A757,[1]rogério!$B757=I$4),"ok","nok")</f>
        <v>nok</v>
      </c>
      <c r="J756" s="60" t="str">
        <f>IF(AND($B756=[1]rogério!$A757,[1]rogério!$B757=J$4),"ok","nok")</f>
        <v>nok</v>
      </c>
      <c r="K756" s="60" t="str">
        <f>IF(AND($B756=[1]rogério!$A757,[1]rogério!$B757=K$4),"ok","nok")</f>
        <v>nok</v>
      </c>
      <c r="L756" s="60" t="str">
        <f>IF(AND($B756=[1]rogério!$A757,[1]rogério!$B757=L$4),"ok","nok")</f>
        <v>nok</v>
      </c>
      <c r="M756" s="60" t="str">
        <f>IF(AND($B756=[1]rogério!$A757,[1]rogério!$B757=M$4),"ok","nok")</f>
        <v>nok</v>
      </c>
      <c r="N756" s="60" t="str">
        <f>IF(AND($B756=[1]rogério!$A757,[1]rogério!$B757=N$4),"ok","nok")</f>
        <v>nok</v>
      </c>
      <c r="O756" s="60" t="str">
        <f>IF(AND($B756=[1]rogério!$A757,[1]rogério!$B757=O$4),"ok","nok")</f>
        <v>nok</v>
      </c>
      <c r="P756" s="60" t="str">
        <f>IF(AND($B756=[1]rogério!$A757,[1]rogério!$B757=P$4),"ok","nok")</f>
        <v>nok</v>
      </c>
      <c r="Q756" s="60" t="str">
        <f>IF(AND($B756=[1]rogério!$A757,[1]rogério!$B757=Q$4),"ok","nok")</f>
        <v>nok</v>
      </c>
      <c r="R756" s="60" t="str">
        <f>IF(AND($B756=[1]rogério!$A757,[1]rogério!$B757=R$4),"ok","nok")</f>
        <v>ok</v>
      </c>
      <c r="S756" s="60" t="str">
        <f>IF(AND($B756=[1]rogério!$A757,[1]rogério!$B757=S$4),"ok","nok")</f>
        <v>nok</v>
      </c>
      <c r="T756" s="60" t="str">
        <f>IF(AND($B756=[1]rogério!$A757,[1]rogério!$B757=T$4),"ok","nok")</f>
        <v>nok</v>
      </c>
      <c r="U756" s="60" t="str">
        <f>IF(AND($B756=[1]rogério!$A757,[1]rogério!$B757=U$4),"ok","nok")</f>
        <v>nok</v>
      </c>
      <c r="V756" s="60" t="str">
        <f>IF(AND($B756=[1]rogério!$A757,[1]rogério!$B757=V$4),"ok","nok")</f>
        <v>nok</v>
      </c>
      <c r="W756" s="60" t="str">
        <f>IF(AND($B756=[1]rogério!$A757,[1]rogério!$B757=W$4),"ok","nok")</f>
        <v>nok</v>
      </c>
      <c r="X756" s="60" t="str">
        <f>IF(AND($B756=[1]rogério!$A757,[1]rogério!$B757=X$4),"ok","nok")</f>
        <v>nok</v>
      </c>
      <c r="Y756" s="105" t="s">
        <v>15</v>
      </c>
      <c r="Z756" s="106"/>
      <c r="AA756" s="106"/>
      <c r="AB756" s="107"/>
      <c r="AE756" s="48" t="str">
        <f t="shared" si="176"/>
        <v/>
      </c>
      <c r="AF756" s="48"/>
      <c r="AG756" s="48"/>
      <c r="AH756" s="89"/>
      <c r="AI756" s="49">
        <f t="shared" si="177"/>
        <v>0</v>
      </c>
      <c r="AJ756" s="49" t="str">
        <f t="shared" si="178"/>
        <v/>
      </c>
      <c r="AK756" s="49">
        <f t="shared" si="179"/>
        <v>0</v>
      </c>
      <c r="AL756" s="49" t="str">
        <f t="shared" si="180"/>
        <v/>
      </c>
      <c r="AM756" s="49">
        <f t="shared" si="181"/>
        <v>0</v>
      </c>
      <c r="AN756" s="49" t="str">
        <f t="shared" si="182"/>
        <v/>
      </c>
      <c r="AO756" s="49">
        <f t="shared" si="183"/>
        <v>1</v>
      </c>
      <c r="AP756" s="49" t="str">
        <f t="shared" si="184"/>
        <v/>
      </c>
      <c r="AQ756" s="49">
        <f t="shared" si="185"/>
        <v>0</v>
      </c>
      <c r="AR756" s="49" t="str">
        <f t="shared" si="186"/>
        <v/>
      </c>
    </row>
    <row r="757" spans="1:44" ht="30" customHeight="1" x14ac:dyDescent="0.35">
      <c r="A757" s="25" t="str">
        <f t="shared" si="188"/>
        <v>PT178 - PLATAFORMA DE ACESSO - FORQUILHA 3 - DETALHADO
TORRE B5PROJETO DETALHADO
ESTRUTURAS METÁLICAS</v>
      </c>
      <c r="B757" s="40" t="s">
        <v>19</v>
      </c>
      <c r="C757" s="60" t="str">
        <f>IF(AND($B757=[1]rogério!$A758,[1]rogério!$B758=C$4),"ok","nok")</f>
        <v>nok</v>
      </c>
      <c r="D757" s="60" t="str">
        <f>IF(AND($B757=[1]rogério!$A758,[1]rogério!$B758=D$4),"ok","nok")</f>
        <v>nok</v>
      </c>
      <c r="E757" s="60" t="str">
        <f>IF(AND($B757=[1]rogério!$A758,[1]rogério!$B758=E$4),"ok","nok")</f>
        <v>nok</v>
      </c>
      <c r="F757" s="60" t="str">
        <f>IF(AND($B757=[1]rogério!$A758,[1]rogério!$B758=F$4),"ok","nok")</f>
        <v>nok</v>
      </c>
      <c r="G757" s="60" t="str">
        <f>IF(AND($B757=[1]rogério!$A758,[1]rogério!$B758=G$4),"ok","nok")</f>
        <v>nok</v>
      </c>
      <c r="H757" s="60" t="str">
        <f>IF(AND($B757=[1]rogério!$A758,[1]rogério!$B758=H$4),"ok","nok")</f>
        <v>nok</v>
      </c>
      <c r="I757" s="60" t="str">
        <f>IF(AND($B757=[1]rogério!$A758,[1]rogério!$B758=I$4),"ok","nok")</f>
        <v>nok</v>
      </c>
      <c r="J757" s="60" t="str">
        <f>IF(AND($B757=[1]rogério!$A758,[1]rogério!$B758=J$4),"ok","nok")</f>
        <v>nok</v>
      </c>
      <c r="K757" s="60" t="str">
        <f>IF(AND($B757=[1]rogério!$A758,[1]rogério!$B758=K$4),"ok","nok")</f>
        <v>nok</v>
      </c>
      <c r="L757" s="60" t="str">
        <f>IF(AND($B757=[1]rogério!$A758,[1]rogério!$B758=L$4),"ok","nok")</f>
        <v>nok</v>
      </c>
      <c r="M757" s="60" t="str">
        <f>IF(AND($B757=[1]rogério!$A758,[1]rogério!$B758=M$4),"ok","nok")</f>
        <v>nok</v>
      </c>
      <c r="N757" s="60" t="str">
        <f>IF(AND($B757=[1]rogério!$A758,[1]rogério!$B758=N$4),"ok","nok")</f>
        <v>nok</v>
      </c>
      <c r="O757" s="60" t="str">
        <f>IF(AND($B757=[1]rogério!$A758,[1]rogério!$B758=O$4),"ok","nok")</f>
        <v>nok</v>
      </c>
      <c r="P757" s="60" t="str">
        <f>IF(AND($B757=[1]rogério!$A758,[1]rogério!$B758=P$4),"ok","nok")</f>
        <v>nok</v>
      </c>
      <c r="Q757" s="60" t="str">
        <f>IF(AND($B757=[1]rogério!$A758,[1]rogério!$B758=Q$4),"ok","nok")</f>
        <v>nok</v>
      </c>
      <c r="R757" s="60" t="str">
        <f>IF(AND($B757=[1]rogério!$A758,[1]rogério!$B758=R$4),"ok","nok")</f>
        <v>nok</v>
      </c>
      <c r="S757" s="60" t="str">
        <f>IF(AND($B757=[1]rogério!$A758,[1]rogério!$B758=S$4),"ok","nok")</f>
        <v>nok</v>
      </c>
      <c r="T757" s="60" t="str">
        <f>IF(AND($B757=[1]rogério!$A758,[1]rogério!$B758=T$4),"ok","nok")</f>
        <v>nok</v>
      </c>
      <c r="U757" s="60" t="str">
        <f>IF(AND($B757=[1]rogério!$A758,[1]rogério!$B758=U$4),"ok","nok")</f>
        <v>nok</v>
      </c>
      <c r="V757" s="60" t="str">
        <f>IF(AND($B757=[1]rogério!$A758,[1]rogério!$B758=V$4),"ok","nok")</f>
        <v>nok</v>
      </c>
      <c r="W757" s="60" t="str">
        <f>IF(AND($B757=[1]rogério!$A758,[1]rogério!$B758=W$4),"ok","nok")</f>
        <v>ok</v>
      </c>
      <c r="X757" s="60" t="str">
        <f>IF(AND($B757=[1]rogério!$A758,[1]rogério!$B758=X$4),"ok","nok")</f>
        <v>nok</v>
      </c>
      <c r="Y757" s="105" t="s">
        <v>15</v>
      </c>
      <c r="Z757" s="106"/>
      <c r="AA757" s="106"/>
      <c r="AB757" s="107"/>
      <c r="AE757" s="48" t="str">
        <f t="shared" si="176"/>
        <v/>
      </c>
      <c r="AF757" s="48"/>
      <c r="AG757" s="48"/>
      <c r="AH757" s="89"/>
      <c r="AI757" s="49">
        <f t="shared" si="177"/>
        <v>0</v>
      </c>
      <c r="AJ757" s="49" t="str">
        <f t="shared" si="178"/>
        <v/>
      </c>
      <c r="AK757" s="49">
        <f t="shared" si="179"/>
        <v>0</v>
      </c>
      <c r="AL757" s="49" t="str">
        <f t="shared" si="180"/>
        <v/>
      </c>
      <c r="AM757" s="49">
        <f t="shared" si="181"/>
        <v>0</v>
      </c>
      <c r="AN757" s="49" t="str">
        <f t="shared" si="182"/>
        <v/>
      </c>
      <c r="AO757" s="49">
        <f t="shared" si="183"/>
        <v>0</v>
      </c>
      <c r="AP757" s="49" t="str">
        <f t="shared" si="184"/>
        <v/>
      </c>
      <c r="AQ757" s="49">
        <f t="shared" si="185"/>
        <v>1</v>
      </c>
      <c r="AR757" s="49" t="str">
        <f t="shared" si="186"/>
        <v/>
      </c>
    </row>
    <row r="758" spans="1:44" ht="30" customHeight="1" x14ac:dyDescent="0.35">
      <c r="A758" s="25" t="str">
        <f t="shared" si="188"/>
        <v>PT178 - PLATAFORMA DE ACESSO - FORQUILHA 3 - DETALHADO
TORRE B5PROJETO DETALHADO
ESTRUTURAS METÁLICAS</v>
      </c>
      <c r="B758" s="38" t="s">
        <v>65</v>
      </c>
      <c r="C758" s="60" t="str">
        <f>IF(AND($B758=[1]rogério!$A759,[1]rogério!$B759=C$4),"ok","nok")</f>
        <v>nok</v>
      </c>
      <c r="D758" s="60" t="str">
        <f>IF(AND($B758=[1]rogério!$A759,[1]rogério!$B759=D$4),"ok","nok")</f>
        <v>nok</v>
      </c>
      <c r="E758" s="60" t="str">
        <f>IF(AND($B758=[1]rogério!$A759,[1]rogério!$B759=E$4),"ok","nok")</f>
        <v>nok</v>
      </c>
      <c r="F758" s="60" t="str">
        <f>IF(AND($B758=[1]rogério!$A759,[1]rogério!$B759=F$4),"ok","nok")</f>
        <v>nok</v>
      </c>
      <c r="G758" s="60" t="str">
        <f>IF(AND($B758=[1]rogério!$A759,[1]rogério!$B759=G$4),"ok","nok")</f>
        <v>nok</v>
      </c>
      <c r="H758" s="60" t="str">
        <f>IF(AND($B758=[1]rogério!$A759,[1]rogério!$B759=H$4),"ok","nok")</f>
        <v>nok</v>
      </c>
      <c r="I758" s="60" t="str">
        <f>IF(AND($B758=[1]rogério!$A759,[1]rogério!$B759=I$4),"ok","nok")</f>
        <v>nok</v>
      </c>
      <c r="J758" s="60" t="str">
        <f>IF(AND($B758=[1]rogério!$A759,[1]rogério!$B759=J$4),"ok","nok")</f>
        <v>ok</v>
      </c>
      <c r="K758" s="60" t="str">
        <f>IF(AND($B758=[1]rogério!$A759,[1]rogério!$B759=K$4),"ok","nok")</f>
        <v>nok</v>
      </c>
      <c r="L758" s="60" t="str">
        <f>IF(AND($B758=[1]rogério!$A759,[1]rogério!$B759=L$4),"ok","nok")</f>
        <v>nok</v>
      </c>
      <c r="M758" s="60" t="str">
        <f>IF(AND($B758=[1]rogério!$A759,[1]rogério!$B759=M$4),"ok","nok")</f>
        <v>nok</v>
      </c>
      <c r="N758" s="60" t="str">
        <f>IF(AND($B758=[1]rogério!$A759,[1]rogério!$B759=N$4),"ok","nok")</f>
        <v>nok</v>
      </c>
      <c r="O758" s="60" t="str">
        <f>IF(AND($B758=[1]rogério!$A759,[1]rogério!$B759=O$4),"ok","nok")</f>
        <v>nok</v>
      </c>
      <c r="P758" s="60" t="str">
        <f>IF(AND($B758=[1]rogério!$A759,[1]rogério!$B759=P$4),"ok","nok")</f>
        <v>nok</v>
      </c>
      <c r="Q758" s="60" t="str">
        <f>IF(AND($B758=[1]rogério!$A759,[1]rogério!$B759=Q$4),"ok","nok")</f>
        <v>nok</v>
      </c>
      <c r="R758" s="60" t="str">
        <f>IF(AND($B758=[1]rogério!$A759,[1]rogério!$B759=R$4),"ok","nok")</f>
        <v>nok</v>
      </c>
      <c r="S758" s="60" t="str">
        <f>IF(AND($B758=[1]rogério!$A759,[1]rogério!$B759=S$4),"ok","nok")</f>
        <v>nok</v>
      </c>
      <c r="T758" s="60" t="str">
        <f>IF(AND($B758=[1]rogério!$A759,[1]rogério!$B759=T$4),"ok","nok")</f>
        <v>nok</v>
      </c>
      <c r="U758" s="60" t="str">
        <f>IF(AND($B758=[1]rogério!$A759,[1]rogério!$B759=U$4),"ok","nok")</f>
        <v>nok</v>
      </c>
      <c r="V758" s="60" t="str">
        <f>IF(AND($B758=[1]rogério!$A759,[1]rogério!$B759=V$4),"ok","nok")</f>
        <v>nok</v>
      </c>
      <c r="W758" s="60" t="str">
        <f>IF(AND($B758=[1]rogério!$A759,[1]rogério!$B759=W$4),"ok","nok")</f>
        <v>nok</v>
      </c>
      <c r="X758" s="60" t="str">
        <f>IF(AND($B758=[1]rogério!$A759,[1]rogério!$B759=X$4),"ok","nok")</f>
        <v>nok</v>
      </c>
      <c r="Y758" s="105" t="s">
        <v>15</v>
      </c>
      <c r="Z758" s="106"/>
      <c r="AA758" s="106"/>
      <c r="AB758" s="107"/>
      <c r="AE758" s="48" t="str">
        <f t="shared" si="176"/>
        <v/>
      </c>
      <c r="AF758" s="48"/>
      <c r="AG758" s="48"/>
      <c r="AH758" s="89"/>
      <c r="AI758" s="49">
        <f t="shared" si="177"/>
        <v>0</v>
      </c>
      <c r="AJ758" s="49" t="str">
        <f t="shared" si="178"/>
        <v/>
      </c>
      <c r="AK758" s="49">
        <f t="shared" si="179"/>
        <v>1</v>
      </c>
      <c r="AL758" s="49" t="str">
        <f t="shared" si="180"/>
        <v/>
      </c>
      <c r="AM758" s="49">
        <f t="shared" si="181"/>
        <v>0</v>
      </c>
      <c r="AN758" s="49" t="str">
        <f t="shared" si="182"/>
        <v/>
      </c>
      <c r="AO758" s="49">
        <f t="shared" si="183"/>
        <v>0</v>
      </c>
      <c r="AP758" s="49" t="str">
        <f t="shared" si="184"/>
        <v/>
      </c>
      <c r="AQ758" s="49">
        <f t="shared" si="185"/>
        <v>0</v>
      </c>
      <c r="AR758" s="49" t="str">
        <f t="shared" si="186"/>
        <v/>
      </c>
    </row>
    <row r="759" spans="1:44" ht="30" customHeight="1" x14ac:dyDescent="0.35">
      <c r="A759" s="25" t="str">
        <f t="shared" si="188"/>
        <v>PT178 - PLATAFORMA DE ACESSO - FORQUILHA 3 - DETALHADO
TORRE B5PROJETO DETALHADO
ESTRUTURAS METÁLICAS</v>
      </c>
      <c r="B759" s="38" t="s">
        <v>66</v>
      </c>
      <c r="C759" s="60" t="str">
        <f>IF(AND($B759=[1]rogério!$A760,[1]rogério!$B760=C$4),"ok","nok")</f>
        <v>nok</v>
      </c>
      <c r="D759" s="60" t="str">
        <f>IF(AND($B759=[1]rogério!$A760,[1]rogério!$B760=D$4),"ok","nok")</f>
        <v>nok</v>
      </c>
      <c r="E759" s="60" t="str">
        <f>IF(AND($B759=[1]rogério!$A760,[1]rogério!$B760=E$4),"ok","nok")</f>
        <v>nok</v>
      </c>
      <c r="F759" s="60" t="str">
        <f>IF(AND($B759=[1]rogério!$A760,[1]rogério!$B760=F$4),"ok","nok")</f>
        <v>nok</v>
      </c>
      <c r="G759" s="60" t="str">
        <f>IF(AND($B759=[1]rogério!$A760,[1]rogério!$B760=G$4),"ok","nok")</f>
        <v>nok</v>
      </c>
      <c r="H759" s="60" t="str">
        <f>IF(AND($B759=[1]rogério!$A760,[1]rogério!$B760=H$4),"ok","nok")</f>
        <v>nok</v>
      </c>
      <c r="I759" s="60" t="str">
        <f>IF(AND($B759=[1]rogério!$A760,[1]rogério!$B760=I$4),"ok","nok")</f>
        <v>nok</v>
      </c>
      <c r="J759" s="60" t="str">
        <f>IF(AND($B759=[1]rogério!$A760,[1]rogério!$B760=J$4),"ok","nok")</f>
        <v>nok</v>
      </c>
      <c r="K759" s="60" t="str">
        <f>IF(AND($B759=[1]rogério!$A760,[1]rogério!$B760=K$4),"ok","nok")</f>
        <v>ok</v>
      </c>
      <c r="L759" s="60" t="str">
        <f>IF(AND($B759=[1]rogério!$A760,[1]rogério!$B760=L$4),"ok","nok")</f>
        <v>nok</v>
      </c>
      <c r="M759" s="60" t="str">
        <f>IF(AND($B759=[1]rogério!$A760,[1]rogério!$B760=M$4),"ok","nok")</f>
        <v>nok</v>
      </c>
      <c r="N759" s="60" t="str">
        <f>IF(AND($B759=[1]rogério!$A760,[1]rogério!$B760=N$4),"ok","nok")</f>
        <v>nok</v>
      </c>
      <c r="O759" s="60" t="str">
        <f>IF(AND($B759=[1]rogério!$A760,[1]rogério!$B760=O$4),"ok","nok")</f>
        <v>nok</v>
      </c>
      <c r="P759" s="60" t="str">
        <f>IF(AND($B759=[1]rogério!$A760,[1]rogério!$B760=P$4),"ok","nok")</f>
        <v>nok</v>
      </c>
      <c r="Q759" s="60" t="str">
        <f>IF(AND($B759=[1]rogério!$A760,[1]rogério!$B760=Q$4),"ok","nok")</f>
        <v>nok</v>
      </c>
      <c r="R759" s="60" t="str">
        <f>IF(AND($B759=[1]rogério!$A760,[1]rogério!$B760=R$4),"ok","nok")</f>
        <v>nok</v>
      </c>
      <c r="S759" s="60" t="str">
        <f>IF(AND($B759=[1]rogério!$A760,[1]rogério!$B760=S$4),"ok","nok")</f>
        <v>nok</v>
      </c>
      <c r="T759" s="60" t="str">
        <f>IF(AND($B759=[1]rogério!$A760,[1]rogério!$B760=T$4),"ok","nok")</f>
        <v>nok</v>
      </c>
      <c r="U759" s="60" t="str">
        <f>IF(AND($B759=[1]rogério!$A760,[1]rogério!$B760=U$4),"ok","nok")</f>
        <v>nok</v>
      </c>
      <c r="V759" s="60" t="str">
        <f>IF(AND($B759=[1]rogério!$A760,[1]rogério!$B760=V$4),"ok","nok")</f>
        <v>nok</v>
      </c>
      <c r="W759" s="60" t="str">
        <f>IF(AND($B759=[1]rogério!$A760,[1]rogério!$B760=W$4),"ok","nok")</f>
        <v>nok</v>
      </c>
      <c r="X759" s="60" t="str">
        <f>IF(AND($B759=[1]rogério!$A760,[1]rogério!$B760=X$4),"ok","nok")</f>
        <v>nok</v>
      </c>
      <c r="Y759" s="105" t="s">
        <v>15</v>
      </c>
      <c r="Z759" s="106"/>
      <c r="AA759" s="106"/>
      <c r="AB759" s="107"/>
      <c r="AE759" s="48" t="str">
        <f t="shared" si="176"/>
        <v/>
      </c>
      <c r="AF759" s="48"/>
      <c r="AG759" s="48"/>
      <c r="AH759" s="89"/>
      <c r="AI759" s="49">
        <f t="shared" si="177"/>
        <v>0</v>
      </c>
      <c r="AJ759" s="49" t="str">
        <f t="shared" si="178"/>
        <v/>
      </c>
      <c r="AK759" s="49">
        <f t="shared" si="179"/>
        <v>1</v>
      </c>
      <c r="AL759" s="49" t="str">
        <f t="shared" si="180"/>
        <v/>
      </c>
      <c r="AM759" s="49">
        <f t="shared" si="181"/>
        <v>0</v>
      </c>
      <c r="AN759" s="49" t="str">
        <f t="shared" si="182"/>
        <v/>
      </c>
      <c r="AO759" s="49">
        <f t="shared" si="183"/>
        <v>0</v>
      </c>
      <c r="AP759" s="49" t="str">
        <f t="shared" si="184"/>
        <v/>
      </c>
      <c r="AQ759" s="49">
        <f t="shared" si="185"/>
        <v>0</v>
      </c>
      <c r="AR759" s="49" t="str">
        <f t="shared" si="186"/>
        <v/>
      </c>
    </row>
    <row r="760" spans="1:44" ht="30" customHeight="1" x14ac:dyDescent="0.35">
      <c r="A760" s="25"/>
      <c r="B760" s="39" t="s">
        <v>67</v>
      </c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108"/>
      <c r="Z760" s="109"/>
      <c r="AA760" s="109"/>
      <c r="AB760" s="110"/>
      <c r="AE760" s="48" t="str">
        <f t="shared" si="176"/>
        <v/>
      </c>
      <c r="AF760" s="48"/>
      <c r="AG760" s="48"/>
      <c r="AH760" s="89"/>
      <c r="AI760" s="49">
        <f t="shared" si="177"/>
        <v>0</v>
      </c>
      <c r="AJ760" s="49" t="str">
        <f t="shared" si="178"/>
        <v/>
      </c>
      <c r="AK760" s="49">
        <f t="shared" si="179"/>
        <v>0</v>
      </c>
      <c r="AL760" s="49" t="str">
        <f t="shared" si="180"/>
        <v/>
      </c>
      <c r="AM760" s="49">
        <f t="shared" si="181"/>
        <v>0</v>
      </c>
      <c r="AN760" s="49" t="str">
        <f t="shared" si="182"/>
        <v/>
      </c>
      <c r="AO760" s="49">
        <f t="shared" si="183"/>
        <v>0</v>
      </c>
      <c r="AP760" s="49" t="str">
        <f t="shared" si="184"/>
        <v/>
      </c>
      <c r="AQ760" s="49">
        <f t="shared" si="185"/>
        <v>0</v>
      </c>
      <c r="AR760" s="49" t="str">
        <f t="shared" si="186"/>
        <v/>
      </c>
    </row>
    <row r="761" spans="1:44" ht="30" customHeight="1" x14ac:dyDescent="0.35">
      <c r="A761" s="25" t="str">
        <f t="shared" si="188"/>
        <v>PT178 - PLATAFORMA DE ACESSO - FORQUILHA 3 - DETALHADO
TORRE B5PROJETO DETALHADO
ESTRUTURAS METÁLICAS</v>
      </c>
      <c r="B761" s="40" t="s">
        <v>49</v>
      </c>
      <c r="C761" s="60" t="str">
        <f>IF(AND($B761=[1]rogério!$A762,[1]rogério!$B762=C$4),"ok","nok")</f>
        <v>nok</v>
      </c>
      <c r="D761" s="60" t="str">
        <f>IF(AND($B761=[1]rogério!$A762,[1]rogério!$B762=D$4),"ok","nok")</f>
        <v>nok</v>
      </c>
      <c r="E761" s="60" t="str">
        <f>IF(AND($B761=[1]rogério!$A762,[1]rogério!$B762=E$4),"ok","nok")</f>
        <v>nok</v>
      </c>
      <c r="F761" s="60" t="str">
        <f>IF(AND($B761=[1]rogério!$A762,[1]rogério!$B762=F$4),"ok","nok")</f>
        <v>nok</v>
      </c>
      <c r="G761" s="60" t="str">
        <f>IF(AND($B761=[1]rogério!$A762,[1]rogério!$B762=G$4),"ok","nok")</f>
        <v>nok</v>
      </c>
      <c r="H761" s="60" t="str">
        <f>IF(AND($B761=[1]rogério!$A762,[1]rogério!$B762=H$4),"ok","nok")</f>
        <v>nok</v>
      </c>
      <c r="I761" s="60" t="str">
        <f>IF(AND($B761=[1]rogério!$A762,[1]rogério!$B762=I$4),"ok","nok")</f>
        <v>nok</v>
      </c>
      <c r="J761" s="60" t="str">
        <f>IF(AND($B761=[1]rogério!$A762,[1]rogério!$B762=J$4),"ok","nok")</f>
        <v>nok</v>
      </c>
      <c r="K761" s="60" t="str">
        <f>IF(AND($B761=[1]rogério!$A762,[1]rogério!$B762=K$4),"ok","nok")</f>
        <v>ok</v>
      </c>
      <c r="L761" s="60" t="str">
        <f>IF(AND($B761=[1]rogério!$A762,[1]rogério!$B762=L$4),"ok","nok")</f>
        <v>nok</v>
      </c>
      <c r="M761" s="60" t="str">
        <f>IF(AND($B761=[1]rogério!$A762,[1]rogério!$B762=M$4),"ok","nok")</f>
        <v>nok</v>
      </c>
      <c r="N761" s="60" t="str">
        <f>IF(AND($B761=[1]rogério!$A762,[1]rogério!$B762=N$4),"ok","nok")</f>
        <v>nok</v>
      </c>
      <c r="O761" s="60" t="str">
        <f>IF(AND($B761=[1]rogério!$A762,[1]rogério!$B762=O$4),"ok","nok")</f>
        <v>nok</v>
      </c>
      <c r="P761" s="60" t="str">
        <f>IF(AND($B761=[1]rogério!$A762,[1]rogério!$B762=P$4),"ok","nok")</f>
        <v>nok</v>
      </c>
      <c r="Q761" s="60" t="str">
        <f>IF(AND($B761=[1]rogério!$A762,[1]rogério!$B762=Q$4),"ok","nok")</f>
        <v>nok</v>
      </c>
      <c r="R761" s="60" t="str">
        <f>IF(AND($B761=[1]rogério!$A762,[1]rogério!$B762=R$4),"ok","nok")</f>
        <v>nok</v>
      </c>
      <c r="S761" s="60" t="str">
        <f>IF(AND($B761=[1]rogério!$A762,[1]rogério!$B762=S$4),"ok","nok")</f>
        <v>nok</v>
      </c>
      <c r="T761" s="60" t="str">
        <f>IF(AND($B761=[1]rogério!$A762,[1]rogério!$B762=T$4),"ok","nok")</f>
        <v>nok</v>
      </c>
      <c r="U761" s="60" t="str">
        <f>IF(AND($B761=[1]rogério!$A762,[1]rogério!$B762=U$4),"ok","nok")</f>
        <v>nok</v>
      </c>
      <c r="V761" s="60" t="str">
        <f>IF(AND($B761=[1]rogério!$A762,[1]rogério!$B762=V$4),"ok","nok")</f>
        <v>nok</v>
      </c>
      <c r="W761" s="60" t="str">
        <f>IF(AND($B761=[1]rogério!$A762,[1]rogério!$B762=W$4),"ok","nok")</f>
        <v>nok</v>
      </c>
      <c r="X761" s="60" t="str">
        <f>IF(AND($B761=[1]rogério!$A762,[1]rogério!$B762=X$4),"ok","nok")</f>
        <v>nok</v>
      </c>
      <c r="Y761" s="105" t="s">
        <v>15</v>
      </c>
      <c r="Z761" s="106"/>
      <c r="AA761" s="106"/>
      <c r="AB761" s="107"/>
      <c r="AE761" s="48" t="str">
        <f t="shared" si="176"/>
        <v/>
      </c>
      <c r="AF761" s="48"/>
      <c r="AG761" s="48"/>
      <c r="AH761" s="89"/>
      <c r="AI761" s="49">
        <f t="shared" si="177"/>
        <v>0</v>
      </c>
      <c r="AJ761" s="49" t="str">
        <f t="shared" si="178"/>
        <v/>
      </c>
      <c r="AK761" s="49">
        <f t="shared" si="179"/>
        <v>1</v>
      </c>
      <c r="AL761" s="49" t="str">
        <f t="shared" si="180"/>
        <v/>
      </c>
      <c r="AM761" s="49">
        <f t="shared" si="181"/>
        <v>0</v>
      </c>
      <c r="AN761" s="49" t="str">
        <f t="shared" si="182"/>
        <v/>
      </c>
      <c r="AO761" s="49">
        <f t="shared" si="183"/>
        <v>0</v>
      </c>
      <c r="AP761" s="49" t="str">
        <f t="shared" si="184"/>
        <v/>
      </c>
      <c r="AQ761" s="49">
        <f t="shared" si="185"/>
        <v>0</v>
      </c>
      <c r="AR761" s="49" t="str">
        <f t="shared" si="186"/>
        <v/>
      </c>
    </row>
    <row r="762" spans="1:44" ht="30" customHeight="1" x14ac:dyDescent="0.35">
      <c r="A762" s="25" t="str">
        <f t="shared" si="188"/>
        <v>PT178 - PLATAFORMA DE ACESSO - FORQUILHA 3 - DETALHADO
TORRE B5PROJETO DETALHADO
ESTRUTURAS METÁLICAS</v>
      </c>
      <c r="B762" s="40" t="s">
        <v>19</v>
      </c>
      <c r="C762" s="60" t="str">
        <f>IF(AND($B762=[1]rogério!$A763,[1]rogério!$B763=C$4),"ok","nok")</f>
        <v>nok</v>
      </c>
      <c r="D762" s="60" t="str">
        <f>IF(AND($B762=[1]rogério!$A763,[1]rogério!$B763=D$4),"ok","nok")</f>
        <v>nok</v>
      </c>
      <c r="E762" s="60" t="str">
        <f>IF(AND($B762=[1]rogério!$A763,[1]rogério!$B763=E$4),"ok","nok")</f>
        <v>nok</v>
      </c>
      <c r="F762" s="60" t="str">
        <f>IF(AND($B762=[1]rogério!$A763,[1]rogério!$B763=F$4),"ok","nok")</f>
        <v>nok</v>
      </c>
      <c r="G762" s="60" t="str">
        <f>IF(AND($B762=[1]rogério!$A763,[1]rogério!$B763=G$4),"ok","nok")</f>
        <v>nok</v>
      </c>
      <c r="H762" s="60" t="str">
        <f>IF(AND($B762=[1]rogério!$A763,[1]rogério!$B763=H$4),"ok","nok")</f>
        <v>nok</v>
      </c>
      <c r="I762" s="60" t="str">
        <f>IF(AND($B762=[1]rogério!$A763,[1]rogério!$B763=I$4),"ok","nok")</f>
        <v>nok</v>
      </c>
      <c r="J762" s="60" t="str">
        <f>IF(AND($B762=[1]rogério!$A763,[1]rogério!$B763=J$4),"ok","nok")</f>
        <v>nok</v>
      </c>
      <c r="K762" s="60" t="str">
        <f>IF(AND($B762=[1]rogério!$A763,[1]rogério!$B763=K$4),"ok","nok")</f>
        <v>nok</v>
      </c>
      <c r="L762" s="60" t="str">
        <f>IF(AND($B762=[1]rogério!$A763,[1]rogério!$B763=L$4),"ok","nok")</f>
        <v>nok</v>
      </c>
      <c r="M762" s="60" t="str">
        <f>IF(AND($B762=[1]rogério!$A763,[1]rogério!$B763=M$4),"ok","nok")</f>
        <v>nok</v>
      </c>
      <c r="N762" s="60" t="str">
        <f>IF(AND($B762=[1]rogério!$A763,[1]rogério!$B763=N$4),"ok","nok")</f>
        <v>nok</v>
      </c>
      <c r="O762" s="60" t="str">
        <f>IF(AND($B762=[1]rogério!$A763,[1]rogério!$B763=O$4),"ok","nok")</f>
        <v>nok</v>
      </c>
      <c r="P762" s="60" t="str">
        <f>IF(AND($B762=[1]rogério!$A763,[1]rogério!$B763=P$4),"ok","nok")</f>
        <v>ok</v>
      </c>
      <c r="Q762" s="60" t="str">
        <f>IF(AND($B762=[1]rogério!$A763,[1]rogério!$B763=Q$4),"ok","nok")</f>
        <v>nok</v>
      </c>
      <c r="R762" s="60" t="str">
        <f>IF(AND($B762=[1]rogério!$A763,[1]rogério!$B763=R$4),"ok","nok")</f>
        <v>nok</v>
      </c>
      <c r="S762" s="60" t="str">
        <f>IF(AND($B762=[1]rogério!$A763,[1]rogério!$B763=S$4),"ok","nok")</f>
        <v>nok</v>
      </c>
      <c r="T762" s="60" t="str">
        <f>IF(AND($B762=[1]rogério!$A763,[1]rogério!$B763=T$4),"ok","nok")</f>
        <v>nok</v>
      </c>
      <c r="U762" s="60" t="str">
        <f>IF(AND($B762=[1]rogério!$A763,[1]rogério!$B763=U$4),"ok","nok")</f>
        <v>nok</v>
      </c>
      <c r="V762" s="60" t="str">
        <f>IF(AND($B762=[1]rogério!$A763,[1]rogério!$B763=V$4),"ok","nok")</f>
        <v>nok</v>
      </c>
      <c r="W762" s="60" t="str">
        <f>IF(AND($B762=[1]rogério!$A763,[1]rogério!$B763=W$4),"ok","nok")</f>
        <v>nok</v>
      </c>
      <c r="X762" s="60" t="str">
        <f>IF(AND($B762=[1]rogério!$A763,[1]rogério!$B763=X$4),"ok","nok")</f>
        <v>nok</v>
      </c>
      <c r="Y762" s="105" t="s">
        <v>15</v>
      </c>
      <c r="Z762" s="106"/>
      <c r="AA762" s="106"/>
      <c r="AB762" s="107"/>
      <c r="AE762" s="48" t="str">
        <f t="shared" si="176"/>
        <v/>
      </c>
      <c r="AF762" s="48"/>
      <c r="AG762" s="48"/>
      <c r="AH762" s="89"/>
      <c r="AI762" s="49">
        <f t="shared" si="177"/>
        <v>0</v>
      </c>
      <c r="AJ762" s="49" t="str">
        <f t="shared" si="178"/>
        <v/>
      </c>
      <c r="AK762" s="49">
        <f t="shared" si="179"/>
        <v>0</v>
      </c>
      <c r="AL762" s="49" t="str">
        <f t="shared" si="180"/>
        <v/>
      </c>
      <c r="AM762" s="49">
        <f t="shared" si="181"/>
        <v>1</v>
      </c>
      <c r="AN762" s="49" t="str">
        <f t="shared" si="182"/>
        <v/>
      </c>
      <c r="AO762" s="49">
        <f t="shared" si="183"/>
        <v>0</v>
      </c>
      <c r="AP762" s="49" t="str">
        <f t="shared" si="184"/>
        <v/>
      </c>
      <c r="AQ762" s="49">
        <f t="shared" si="185"/>
        <v>0</v>
      </c>
      <c r="AR762" s="49" t="str">
        <f t="shared" si="186"/>
        <v/>
      </c>
    </row>
    <row r="763" spans="1:44" ht="30" customHeight="1" x14ac:dyDescent="0.35">
      <c r="A763" s="25" t="str">
        <f t="shared" si="188"/>
        <v>PT178 - PLATAFORMA DE ACESSO - FORQUILHA 3 - DETALHADO
TORRE B5PROJETO DETALHADO
ESTRUTURAS METÁLICAS</v>
      </c>
      <c r="B763" s="40" t="s">
        <v>42</v>
      </c>
      <c r="C763" s="60" t="str">
        <f>IF(AND($B763=[1]rogério!$A764,[1]rogério!$B764=C$4),"ok","nok")</f>
        <v>nok</v>
      </c>
      <c r="D763" s="60" t="str">
        <f>IF(AND($B763=[1]rogério!$A764,[1]rogério!$B764=D$4),"ok","nok")</f>
        <v>nok</v>
      </c>
      <c r="E763" s="60" t="str">
        <f>IF(AND($B763=[1]rogério!$A764,[1]rogério!$B764=E$4),"ok","nok")</f>
        <v>nok</v>
      </c>
      <c r="F763" s="60" t="str">
        <f>IF(AND($B763=[1]rogério!$A764,[1]rogério!$B764=F$4),"ok","nok")</f>
        <v>nok</v>
      </c>
      <c r="G763" s="60" t="str">
        <f>IF(AND($B763=[1]rogério!$A764,[1]rogério!$B764=G$4),"ok","nok")</f>
        <v>nok</v>
      </c>
      <c r="H763" s="60" t="str">
        <f>IF(AND($B763=[1]rogério!$A764,[1]rogério!$B764=H$4),"ok","nok")</f>
        <v>nok</v>
      </c>
      <c r="I763" s="60" t="str">
        <f>IF(AND($B763=[1]rogério!$A764,[1]rogério!$B764=I$4),"ok","nok")</f>
        <v>nok</v>
      </c>
      <c r="J763" s="60" t="str">
        <f>IF(AND($B763=[1]rogério!$A764,[1]rogério!$B764=J$4),"ok","nok")</f>
        <v>nok</v>
      </c>
      <c r="K763" s="60" t="str">
        <f>IF(AND($B763=[1]rogério!$A764,[1]rogério!$B764=K$4),"ok","nok")</f>
        <v>nok</v>
      </c>
      <c r="L763" s="60" t="str">
        <f>IF(AND($B763=[1]rogério!$A764,[1]rogério!$B764=L$4),"ok","nok")</f>
        <v>nok</v>
      </c>
      <c r="M763" s="60" t="str">
        <f>IF(AND($B763=[1]rogério!$A764,[1]rogério!$B764=M$4),"ok","nok")</f>
        <v>nok</v>
      </c>
      <c r="N763" s="60" t="str">
        <f>IF(AND($B763=[1]rogério!$A764,[1]rogério!$B764=N$4),"ok","nok")</f>
        <v>nok</v>
      </c>
      <c r="O763" s="60" t="str">
        <f>IF(AND($B763=[1]rogério!$A764,[1]rogério!$B764=O$4),"ok","nok")</f>
        <v>nok</v>
      </c>
      <c r="P763" s="60" t="str">
        <f>IF(AND($B763=[1]rogério!$A764,[1]rogério!$B764=P$4),"ok","nok")</f>
        <v>nok</v>
      </c>
      <c r="Q763" s="60" t="str">
        <f>IF(AND($B763=[1]rogério!$A764,[1]rogério!$B764=Q$4),"ok","nok")</f>
        <v>nok</v>
      </c>
      <c r="R763" s="60" t="str">
        <f>IF(AND($B763=[1]rogério!$A764,[1]rogério!$B764=R$4),"ok","nok")</f>
        <v>nok</v>
      </c>
      <c r="S763" s="60" t="str">
        <f>IF(AND($B763=[1]rogério!$A764,[1]rogério!$B764=S$4),"ok","nok")</f>
        <v>ok</v>
      </c>
      <c r="T763" s="60" t="str">
        <f>IF(AND($B763=[1]rogério!$A764,[1]rogério!$B764=T$4),"ok","nok")</f>
        <v>nok</v>
      </c>
      <c r="U763" s="60" t="str">
        <f>IF(AND($B763=[1]rogério!$A764,[1]rogério!$B764=U$4),"ok","nok")</f>
        <v>nok</v>
      </c>
      <c r="V763" s="60" t="str">
        <f>IF(AND($B763=[1]rogério!$A764,[1]rogério!$B764=V$4),"ok","nok")</f>
        <v>nok</v>
      </c>
      <c r="W763" s="60" t="str">
        <f>IF(AND($B763=[1]rogério!$A764,[1]rogério!$B764=W$4),"ok","nok")</f>
        <v>nok</v>
      </c>
      <c r="X763" s="60" t="str">
        <f>IF(AND($B763=[1]rogério!$A764,[1]rogério!$B764=X$4),"ok","nok")</f>
        <v>nok</v>
      </c>
      <c r="Y763" s="105" t="s">
        <v>15</v>
      </c>
      <c r="Z763" s="106"/>
      <c r="AA763" s="106"/>
      <c r="AB763" s="107"/>
      <c r="AE763" s="48" t="str">
        <f t="shared" si="176"/>
        <v/>
      </c>
      <c r="AF763" s="48"/>
      <c r="AG763" s="48"/>
      <c r="AH763" s="89"/>
      <c r="AI763" s="49">
        <f t="shared" si="177"/>
        <v>0</v>
      </c>
      <c r="AJ763" s="49" t="str">
        <f t="shared" si="178"/>
        <v/>
      </c>
      <c r="AK763" s="49">
        <f t="shared" si="179"/>
        <v>0</v>
      </c>
      <c r="AL763" s="49" t="str">
        <f t="shared" si="180"/>
        <v/>
      </c>
      <c r="AM763" s="49">
        <f t="shared" si="181"/>
        <v>0</v>
      </c>
      <c r="AN763" s="49" t="str">
        <f t="shared" si="182"/>
        <v/>
      </c>
      <c r="AO763" s="49">
        <f t="shared" si="183"/>
        <v>1</v>
      </c>
      <c r="AP763" s="49" t="str">
        <f t="shared" si="184"/>
        <v/>
      </c>
      <c r="AQ763" s="49">
        <f t="shared" si="185"/>
        <v>0</v>
      </c>
      <c r="AR763" s="49" t="str">
        <f t="shared" si="186"/>
        <v/>
      </c>
    </row>
    <row r="764" spans="1:44" ht="30" customHeight="1" x14ac:dyDescent="0.35">
      <c r="A764" s="25" t="str">
        <f t="shared" si="188"/>
        <v>PT178 - PLATAFORMA DE ACESSO - FORQUILHA 3 - DETALHADO
TORRE B5PROJETO DETALHADO
ESTRUTURAS METÁLICAS</v>
      </c>
      <c r="B764" s="40" t="s">
        <v>43</v>
      </c>
      <c r="C764" s="60" t="str">
        <f>IF(AND($B764=[1]rogério!$A765,[1]rogério!$B765=C$4),"ok","nok")</f>
        <v>nok</v>
      </c>
      <c r="D764" s="60" t="str">
        <f>IF(AND($B764=[1]rogério!$A765,[1]rogério!$B765=D$4),"ok","nok")</f>
        <v>nok</v>
      </c>
      <c r="E764" s="60" t="str">
        <f>IF(AND($B764=[1]rogério!$A765,[1]rogério!$B765=E$4),"ok","nok")</f>
        <v>nok</v>
      </c>
      <c r="F764" s="60" t="str">
        <f>IF(AND($B764=[1]rogério!$A765,[1]rogério!$B765=F$4),"ok","nok")</f>
        <v>nok</v>
      </c>
      <c r="G764" s="60" t="str">
        <f>IF(AND($B764=[1]rogério!$A765,[1]rogério!$B765=G$4),"ok","nok")</f>
        <v>nok</v>
      </c>
      <c r="H764" s="60" t="str">
        <f>IF(AND($B764=[1]rogério!$A765,[1]rogério!$B765=H$4),"ok","nok")</f>
        <v>nok</v>
      </c>
      <c r="I764" s="60" t="str">
        <f>IF(AND($B764=[1]rogério!$A765,[1]rogério!$B765=I$4),"ok","nok")</f>
        <v>nok</v>
      </c>
      <c r="J764" s="60" t="str">
        <f>IF(AND($B764=[1]rogério!$A765,[1]rogério!$B765=J$4),"ok","nok")</f>
        <v>nok</v>
      </c>
      <c r="K764" s="60" t="str">
        <f>IF(AND($B764=[1]rogério!$A765,[1]rogério!$B765=K$4),"ok","nok")</f>
        <v>nok</v>
      </c>
      <c r="L764" s="60" t="str">
        <f>IF(AND($B764=[1]rogério!$A765,[1]rogério!$B765=L$4),"ok","nok")</f>
        <v>nok</v>
      </c>
      <c r="M764" s="60" t="str">
        <f>IF(AND($B764=[1]rogério!$A765,[1]rogério!$B765=M$4),"ok","nok")</f>
        <v>nok</v>
      </c>
      <c r="N764" s="60" t="str">
        <f>IF(AND($B764=[1]rogério!$A765,[1]rogério!$B765=N$4),"ok","nok")</f>
        <v>nok</v>
      </c>
      <c r="O764" s="60" t="str">
        <f>IF(AND($B764=[1]rogério!$A765,[1]rogério!$B765=O$4),"ok","nok")</f>
        <v>nok</v>
      </c>
      <c r="P764" s="60" t="str">
        <f>IF(AND($B764=[1]rogério!$A765,[1]rogério!$B765=P$4),"ok","nok")</f>
        <v>nok</v>
      </c>
      <c r="Q764" s="60" t="str">
        <f>IF(AND($B764=[1]rogério!$A765,[1]rogério!$B765=Q$4),"ok","nok")</f>
        <v>nok</v>
      </c>
      <c r="R764" s="60" t="str">
        <f>IF(AND($B764=[1]rogério!$A765,[1]rogério!$B765=R$4),"ok","nok")</f>
        <v>nok</v>
      </c>
      <c r="S764" s="60" t="str">
        <f>IF(AND($B764=[1]rogério!$A765,[1]rogério!$B765=S$4),"ok","nok")</f>
        <v>ok</v>
      </c>
      <c r="T764" s="60" t="str">
        <f>IF(AND($B764=[1]rogério!$A765,[1]rogério!$B765=T$4),"ok","nok")</f>
        <v>nok</v>
      </c>
      <c r="U764" s="60" t="str">
        <f>IF(AND($B764=[1]rogério!$A765,[1]rogério!$B765=U$4),"ok","nok")</f>
        <v>nok</v>
      </c>
      <c r="V764" s="60" t="str">
        <f>IF(AND($B764=[1]rogério!$A765,[1]rogério!$B765=V$4),"ok","nok")</f>
        <v>nok</v>
      </c>
      <c r="W764" s="60" t="str">
        <f>IF(AND($B764=[1]rogério!$A765,[1]rogério!$B765=W$4),"ok","nok")</f>
        <v>nok</v>
      </c>
      <c r="X764" s="60" t="str">
        <f>IF(AND($B764=[1]rogério!$A765,[1]rogério!$B765=X$4),"ok","nok")</f>
        <v>nok</v>
      </c>
      <c r="Y764" s="105" t="s">
        <v>15</v>
      </c>
      <c r="Z764" s="106"/>
      <c r="AA764" s="106"/>
      <c r="AB764" s="107"/>
      <c r="AE764" s="48" t="str">
        <f t="shared" si="176"/>
        <v/>
      </c>
      <c r="AF764" s="48"/>
      <c r="AG764" s="48"/>
      <c r="AH764" s="89"/>
      <c r="AI764" s="49">
        <f t="shared" si="177"/>
        <v>0</v>
      </c>
      <c r="AJ764" s="49" t="str">
        <f t="shared" si="178"/>
        <v/>
      </c>
      <c r="AK764" s="49">
        <f t="shared" si="179"/>
        <v>0</v>
      </c>
      <c r="AL764" s="49" t="str">
        <f t="shared" si="180"/>
        <v/>
      </c>
      <c r="AM764" s="49">
        <f t="shared" si="181"/>
        <v>0</v>
      </c>
      <c r="AN764" s="49" t="str">
        <f t="shared" si="182"/>
        <v/>
      </c>
      <c r="AO764" s="49">
        <f t="shared" si="183"/>
        <v>1</v>
      </c>
      <c r="AP764" s="49" t="str">
        <f t="shared" si="184"/>
        <v/>
      </c>
      <c r="AQ764" s="49">
        <f t="shared" si="185"/>
        <v>0</v>
      </c>
      <c r="AR764" s="49" t="str">
        <f t="shared" si="186"/>
        <v/>
      </c>
    </row>
    <row r="765" spans="1:44" ht="30" customHeight="1" x14ac:dyDescent="0.35">
      <c r="A765" s="25" t="str">
        <f t="shared" si="188"/>
        <v>PT178 - PLATAFORMA DE ACESSO - FORQUILHA 3 - DETALHADO
TORRE B5PROJETO DETALHADO
ESTRUTURAS METÁLICAS</v>
      </c>
      <c r="B765" s="38" t="s">
        <v>92</v>
      </c>
      <c r="C765" s="60" t="str">
        <f>IF(AND($B765=[1]rogério!$A766,[1]rogério!$B766=C$4),"ok","nok")</f>
        <v>nok</v>
      </c>
      <c r="D765" s="60" t="str">
        <f>IF(AND($B765=[1]rogério!$A766,[1]rogério!$B766=D$4),"ok","nok")</f>
        <v>nok</v>
      </c>
      <c r="E765" s="60" t="str">
        <f>IF(AND($B765=[1]rogério!$A766,[1]rogério!$B766=E$4),"ok","nok")</f>
        <v>nok</v>
      </c>
      <c r="F765" s="60" t="str">
        <f>IF(AND($B765=[1]rogério!$A766,[1]rogério!$B766=F$4),"ok","nok")</f>
        <v>nok</v>
      </c>
      <c r="G765" s="60" t="str">
        <f>IF(AND($B765=[1]rogério!$A766,[1]rogério!$B766=G$4),"ok","nok")</f>
        <v>nok</v>
      </c>
      <c r="H765" s="60" t="str">
        <f>IF(AND($B765=[1]rogério!$A766,[1]rogério!$B766=H$4),"ok","nok")</f>
        <v>nok</v>
      </c>
      <c r="I765" s="60" t="str">
        <f>IF(AND($B765=[1]rogério!$A766,[1]rogério!$B766=I$4),"ok","nok")</f>
        <v>nok</v>
      </c>
      <c r="J765" s="60" t="str">
        <f>IF(AND($B765=[1]rogério!$A766,[1]rogério!$B766=J$4),"ok","nok")</f>
        <v>nok</v>
      </c>
      <c r="K765" s="60" t="str">
        <f>IF(AND($B765=[1]rogério!$A766,[1]rogério!$B766=K$4),"ok","nok")</f>
        <v>nok</v>
      </c>
      <c r="L765" s="60" t="str">
        <f>IF(AND($B765=[1]rogério!$A766,[1]rogério!$B766=L$4),"ok","nok")</f>
        <v>ok</v>
      </c>
      <c r="M765" s="60" t="str">
        <f>IF(AND($B765=[1]rogério!$A766,[1]rogério!$B766=M$4),"ok","nok")</f>
        <v>nok</v>
      </c>
      <c r="N765" s="60" t="str">
        <f>IF(AND($B765=[1]rogério!$A766,[1]rogério!$B766=N$4),"ok","nok")</f>
        <v>nok</v>
      </c>
      <c r="O765" s="60" t="str">
        <f>IF(AND($B765=[1]rogério!$A766,[1]rogério!$B766=O$4),"ok","nok")</f>
        <v>nok</v>
      </c>
      <c r="P765" s="60" t="str">
        <f>IF(AND($B765=[1]rogério!$A766,[1]rogério!$B766=P$4),"ok","nok")</f>
        <v>nok</v>
      </c>
      <c r="Q765" s="60" t="str">
        <f>IF(AND($B765=[1]rogério!$A766,[1]rogério!$B766=Q$4),"ok","nok")</f>
        <v>nok</v>
      </c>
      <c r="R765" s="60" t="str">
        <f>IF(AND($B765=[1]rogério!$A766,[1]rogério!$B766=R$4),"ok","nok")</f>
        <v>nok</v>
      </c>
      <c r="S765" s="60" t="str">
        <f>IF(AND($B765=[1]rogério!$A766,[1]rogério!$B766=S$4),"ok","nok")</f>
        <v>nok</v>
      </c>
      <c r="T765" s="60" t="str">
        <f>IF(AND($B765=[1]rogério!$A766,[1]rogério!$B766=T$4),"ok","nok")</f>
        <v>nok</v>
      </c>
      <c r="U765" s="60" t="str">
        <f>IF(AND($B765=[1]rogério!$A766,[1]rogério!$B766=U$4),"ok","nok")</f>
        <v>nok</v>
      </c>
      <c r="V765" s="60" t="str">
        <f>IF(AND($B765=[1]rogério!$A766,[1]rogério!$B766=V$4),"ok","nok")</f>
        <v>nok</v>
      </c>
      <c r="W765" s="60" t="str">
        <f>IF(AND($B765=[1]rogério!$A766,[1]rogério!$B766=W$4),"ok","nok")</f>
        <v>nok</v>
      </c>
      <c r="X765" s="60" t="str">
        <f>IF(AND($B765=[1]rogério!$A766,[1]rogério!$B766=X$4),"ok","nok")</f>
        <v>nok</v>
      </c>
      <c r="Y765" s="105" t="s">
        <v>15</v>
      </c>
      <c r="Z765" s="106"/>
      <c r="AA765" s="106"/>
      <c r="AB765" s="107"/>
      <c r="AE765" s="48" t="str">
        <f t="shared" si="176"/>
        <v/>
      </c>
      <c r="AF765" s="48"/>
      <c r="AG765" s="48"/>
      <c r="AH765" s="89"/>
      <c r="AI765" s="49">
        <f t="shared" si="177"/>
        <v>0</v>
      </c>
      <c r="AJ765" s="49" t="str">
        <f t="shared" si="178"/>
        <v/>
      </c>
      <c r="AK765" s="49">
        <f t="shared" si="179"/>
        <v>1</v>
      </c>
      <c r="AL765" s="49" t="str">
        <f t="shared" si="180"/>
        <v/>
      </c>
      <c r="AM765" s="49">
        <f t="shared" si="181"/>
        <v>0</v>
      </c>
      <c r="AN765" s="49" t="str">
        <f t="shared" si="182"/>
        <v/>
      </c>
      <c r="AO765" s="49">
        <f t="shared" si="183"/>
        <v>0</v>
      </c>
      <c r="AP765" s="49" t="str">
        <f t="shared" si="184"/>
        <v/>
      </c>
      <c r="AQ765" s="49">
        <f t="shared" si="185"/>
        <v>0</v>
      </c>
      <c r="AR765" s="49" t="str">
        <f t="shared" si="186"/>
        <v/>
      </c>
    </row>
    <row r="766" spans="1:44" ht="30" customHeight="1" x14ac:dyDescent="0.35">
      <c r="A766" s="25" t="str">
        <f t="shared" si="188"/>
        <v>PT178 - PLATAFORMA DE ACESSO - FORQUILHA 3 - DETALHADO
TORRE B5PROJETO DETALHADO
ESTRUTURAS METÁLICAS</v>
      </c>
      <c r="B766" s="38" t="s">
        <v>93</v>
      </c>
      <c r="C766" s="60" t="str">
        <f>IF(AND($B766=[1]rogério!$A767,[1]rogério!$B767=C$4),"ok","nok")</f>
        <v>nok</v>
      </c>
      <c r="D766" s="60" t="str">
        <f>IF(AND($B766=[1]rogério!$A767,[1]rogério!$B767=D$4),"ok","nok")</f>
        <v>nok</v>
      </c>
      <c r="E766" s="60" t="str">
        <f>IF(AND($B766=[1]rogério!$A767,[1]rogério!$B767=E$4),"ok","nok")</f>
        <v>nok</v>
      </c>
      <c r="F766" s="60" t="str">
        <f>IF(AND($B766=[1]rogério!$A767,[1]rogério!$B767=F$4),"ok","nok")</f>
        <v>nok</v>
      </c>
      <c r="G766" s="60" t="str">
        <f>IF(AND($B766=[1]rogério!$A767,[1]rogério!$B767=G$4),"ok","nok")</f>
        <v>nok</v>
      </c>
      <c r="H766" s="60" t="str">
        <f>IF(AND($B766=[1]rogério!$A767,[1]rogério!$B767=H$4),"ok","nok")</f>
        <v>nok</v>
      </c>
      <c r="I766" s="60" t="str">
        <f>IF(AND($B766=[1]rogério!$A767,[1]rogério!$B767=I$4),"ok","nok")</f>
        <v>nok</v>
      </c>
      <c r="J766" s="60" t="str">
        <f>IF(AND($B766=[1]rogério!$A767,[1]rogério!$B767=J$4),"ok","nok")</f>
        <v>nok</v>
      </c>
      <c r="K766" s="60" t="str">
        <f>IF(AND($B766=[1]rogério!$A767,[1]rogério!$B767=K$4),"ok","nok")</f>
        <v>nok</v>
      </c>
      <c r="L766" s="60" t="str">
        <f>IF(AND($B766=[1]rogério!$A767,[1]rogério!$B767=L$4),"ok","nok")</f>
        <v>nok</v>
      </c>
      <c r="M766" s="60" t="str">
        <f>IF(AND($B766=[1]rogério!$A767,[1]rogério!$B767=M$4),"ok","nok")</f>
        <v>ok</v>
      </c>
      <c r="N766" s="60" t="str">
        <f>IF(AND($B766=[1]rogério!$A767,[1]rogério!$B767=N$4),"ok","nok")</f>
        <v>nok</v>
      </c>
      <c r="O766" s="60" t="str">
        <f>IF(AND($B766=[1]rogério!$A767,[1]rogério!$B767=O$4),"ok","nok")</f>
        <v>nok</v>
      </c>
      <c r="P766" s="60" t="str">
        <f>IF(AND($B766=[1]rogério!$A767,[1]rogério!$B767=P$4),"ok","nok")</f>
        <v>nok</v>
      </c>
      <c r="Q766" s="60" t="str">
        <f>IF(AND($B766=[1]rogério!$A767,[1]rogério!$B767=Q$4),"ok","nok")</f>
        <v>nok</v>
      </c>
      <c r="R766" s="60" t="str">
        <f>IF(AND($B766=[1]rogério!$A767,[1]rogério!$B767=R$4),"ok","nok")</f>
        <v>nok</v>
      </c>
      <c r="S766" s="60" t="str">
        <f>IF(AND($B766=[1]rogério!$A767,[1]rogério!$B767=S$4),"ok","nok")</f>
        <v>nok</v>
      </c>
      <c r="T766" s="60" t="str">
        <f>IF(AND($B766=[1]rogério!$A767,[1]rogério!$B767=T$4),"ok","nok")</f>
        <v>nok</v>
      </c>
      <c r="U766" s="60" t="str">
        <f>IF(AND($B766=[1]rogério!$A767,[1]rogério!$B767=U$4),"ok","nok")</f>
        <v>nok</v>
      </c>
      <c r="V766" s="60" t="str">
        <f>IF(AND($B766=[1]rogério!$A767,[1]rogério!$B767=V$4),"ok","nok")</f>
        <v>nok</v>
      </c>
      <c r="W766" s="60" t="str">
        <f>IF(AND($B766=[1]rogério!$A767,[1]rogério!$B767=W$4),"ok","nok")</f>
        <v>nok</v>
      </c>
      <c r="X766" s="60" t="str">
        <f>IF(AND($B766=[1]rogério!$A767,[1]rogério!$B767=X$4),"ok","nok")</f>
        <v>nok</v>
      </c>
      <c r="Y766" s="105" t="s">
        <v>15</v>
      </c>
      <c r="Z766" s="106"/>
      <c r="AA766" s="106"/>
      <c r="AB766" s="107"/>
      <c r="AE766" s="48" t="str">
        <f t="shared" si="176"/>
        <v/>
      </c>
      <c r="AF766" s="48"/>
      <c r="AG766" s="48"/>
      <c r="AH766" s="89"/>
      <c r="AI766" s="49">
        <f t="shared" si="177"/>
        <v>0</v>
      </c>
      <c r="AJ766" s="49" t="str">
        <f t="shared" si="178"/>
        <v/>
      </c>
      <c r="AK766" s="49">
        <f t="shared" si="179"/>
        <v>0</v>
      </c>
      <c r="AL766" s="49" t="str">
        <f t="shared" si="180"/>
        <v/>
      </c>
      <c r="AM766" s="49">
        <f t="shared" si="181"/>
        <v>1</v>
      </c>
      <c r="AN766" s="49" t="str">
        <f t="shared" si="182"/>
        <v/>
      </c>
      <c r="AO766" s="49">
        <f t="shared" si="183"/>
        <v>0</v>
      </c>
      <c r="AP766" s="49" t="str">
        <f t="shared" si="184"/>
        <v/>
      </c>
      <c r="AQ766" s="49">
        <f t="shared" si="185"/>
        <v>0</v>
      </c>
      <c r="AR766" s="49" t="str">
        <f t="shared" si="186"/>
        <v/>
      </c>
    </row>
    <row r="767" spans="1:44" ht="30" customHeight="1" x14ac:dyDescent="0.35">
      <c r="A767" s="25"/>
      <c r="B767" s="39" t="s">
        <v>94</v>
      </c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108"/>
      <c r="Z767" s="109"/>
      <c r="AA767" s="109"/>
      <c r="AB767" s="110"/>
      <c r="AE767" s="48" t="str">
        <f t="shared" si="176"/>
        <v/>
      </c>
      <c r="AF767" s="48"/>
      <c r="AG767" s="48"/>
      <c r="AH767" s="89"/>
      <c r="AI767" s="49">
        <f t="shared" si="177"/>
        <v>0</v>
      </c>
      <c r="AJ767" s="49" t="str">
        <f t="shared" si="178"/>
        <v/>
      </c>
      <c r="AK767" s="49">
        <f t="shared" si="179"/>
        <v>0</v>
      </c>
      <c r="AL767" s="49" t="str">
        <f t="shared" si="180"/>
        <v/>
      </c>
      <c r="AM767" s="49">
        <f t="shared" si="181"/>
        <v>0</v>
      </c>
      <c r="AN767" s="49" t="str">
        <f t="shared" si="182"/>
        <v/>
      </c>
      <c r="AO767" s="49">
        <f t="shared" si="183"/>
        <v>0</v>
      </c>
      <c r="AP767" s="49" t="str">
        <f t="shared" si="184"/>
        <v/>
      </c>
      <c r="AQ767" s="49">
        <f t="shared" si="185"/>
        <v>0</v>
      </c>
      <c r="AR767" s="49" t="str">
        <f t="shared" si="186"/>
        <v/>
      </c>
    </row>
    <row r="768" spans="1:44" ht="30" customHeight="1" x14ac:dyDescent="0.35">
      <c r="A768" s="25" t="str">
        <f t="shared" si="188"/>
        <v>PT178 - PLATAFORMA DE ACESSO - FORQUILHA 3 - DETALHADO
TORRE B5PROJETO DETALHADO
ESTRUTURAS METÁLICAS</v>
      </c>
      <c r="B768" s="40" t="s">
        <v>49</v>
      </c>
      <c r="C768" s="60" t="str">
        <f>IF(AND($B768=[1]rogério!$A769,[1]rogério!$B769=C$4),"ok","nok")</f>
        <v>nok</v>
      </c>
      <c r="D768" s="60" t="str">
        <f>IF(AND($B768=[1]rogério!$A769,[1]rogério!$B769=D$4),"ok","nok")</f>
        <v>nok</v>
      </c>
      <c r="E768" s="60" t="str">
        <f>IF(AND($B768=[1]rogério!$A769,[1]rogério!$B769=E$4),"ok","nok")</f>
        <v>nok</v>
      </c>
      <c r="F768" s="60" t="str">
        <f>IF(AND($B768=[1]rogério!$A769,[1]rogério!$B769=F$4),"ok","nok")</f>
        <v>nok</v>
      </c>
      <c r="G768" s="60" t="str">
        <f>IF(AND($B768=[1]rogério!$A769,[1]rogério!$B769=G$4),"ok","nok")</f>
        <v>nok</v>
      </c>
      <c r="H768" s="60" t="str">
        <f>IF(AND($B768=[1]rogério!$A769,[1]rogério!$B769=H$4),"ok","nok")</f>
        <v>nok</v>
      </c>
      <c r="I768" s="60" t="str">
        <f>IF(AND($B768=[1]rogério!$A769,[1]rogério!$B769=I$4),"ok","nok")</f>
        <v>nok</v>
      </c>
      <c r="J768" s="60" t="str">
        <f>IF(AND($B768=[1]rogério!$A769,[1]rogério!$B769=J$4),"ok","nok")</f>
        <v>nok</v>
      </c>
      <c r="K768" s="60" t="str">
        <f>IF(AND($B768=[1]rogério!$A769,[1]rogério!$B769=K$4),"ok","nok")</f>
        <v>nok</v>
      </c>
      <c r="L768" s="60" t="str">
        <f>IF(AND($B768=[1]rogério!$A769,[1]rogério!$B769=L$4),"ok","nok")</f>
        <v>nok</v>
      </c>
      <c r="M768" s="60" t="str">
        <f>IF(AND($B768=[1]rogério!$A769,[1]rogério!$B769=M$4),"ok","nok")</f>
        <v>ok</v>
      </c>
      <c r="N768" s="60" t="str">
        <f>IF(AND($B768=[1]rogério!$A769,[1]rogério!$B769=N$4),"ok","nok")</f>
        <v>nok</v>
      </c>
      <c r="O768" s="60" t="str">
        <f>IF(AND($B768=[1]rogério!$A769,[1]rogério!$B769=O$4),"ok","nok")</f>
        <v>nok</v>
      </c>
      <c r="P768" s="60" t="str">
        <f>IF(AND($B768=[1]rogério!$A769,[1]rogério!$B769=P$4),"ok","nok")</f>
        <v>nok</v>
      </c>
      <c r="Q768" s="60" t="str">
        <f>IF(AND($B768=[1]rogério!$A769,[1]rogério!$B769=Q$4),"ok","nok")</f>
        <v>nok</v>
      </c>
      <c r="R768" s="60" t="str">
        <f>IF(AND($B768=[1]rogério!$A769,[1]rogério!$B769=R$4),"ok","nok")</f>
        <v>nok</v>
      </c>
      <c r="S768" s="60" t="str">
        <f>IF(AND($B768=[1]rogério!$A769,[1]rogério!$B769=S$4),"ok","nok")</f>
        <v>nok</v>
      </c>
      <c r="T768" s="60" t="str">
        <f>IF(AND($B768=[1]rogério!$A769,[1]rogério!$B769=T$4),"ok","nok")</f>
        <v>nok</v>
      </c>
      <c r="U768" s="60" t="str">
        <f>IF(AND($B768=[1]rogério!$A769,[1]rogério!$B769=U$4),"ok","nok")</f>
        <v>nok</v>
      </c>
      <c r="V768" s="60" t="str">
        <f>IF(AND($B768=[1]rogério!$A769,[1]rogério!$B769=V$4),"ok","nok")</f>
        <v>nok</v>
      </c>
      <c r="W768" s="60" t="str">
        <f>IF(AND($B768=[1]rogério!$A769,[1]rogério!$B769=W$4),"ok","nok")</f>
        <v>nok</v>
      </c>
      <c r="X768" s="60" t="str">
        <f>IF(AND($B768=[1]rogério!$A769,[1]rogério!$B769=X$4),"ok","nok")</f>
        <v>nok</v>
      </c>
      <c r="Y768" s="105" t="s">
        <v>15</v>
      </c>
      <c r="Z768" s="106"/>
      <c r="AA768" s="106"/>
      <c r="AB768" s="107"/>
      <c r="AE768" s="48" t="str">
        <f t="shared" si="176"/>
        <v/>
      </c>
      <c r="AF768" s="48"/>
      <c r="AG768" s="48"/>
      <c r="AH768" s="89"/>
      <c r="AI768" s="49">
        <f t="shared" si="177"/>
        <v>0</v>
      </c>
      <c r="AJ768" s="49" t="str">
        <f t="shared" si="178"/>
        <v/>
      </c>
      <c r="AK768" s="49">
        <f t="shared" si="179"/>
        <v>0</v>
      </c>
      <c r="AL768" s="49" t="str">
        <f t="shared" si="180"/>
        <v/>
      </c>
      <c r="AM768" s="49">
        <f t="shared" si="181"/>
        <v>1</v>
      </c>
      <c r="AN768" s="49" t="str">
        <f t="shared" si="182"/>
        <v/>
      </c>
      <c r="AO768" s="49">
        <f t="shared" si="183"/>
        <v>0</v>
      </c>
      <c r="AP768" s="49" t="str">
        <f t="shared" si="184"/>
        <v/>
      </c>
      <c r="AQ768" s="49">
        <f t="shared" si="185"/>
        <v>0</v>
      </c>
      <c r="AR768" s="49" t="str">
        <f t="shared" si="186"/>
        <v/>
      </c>
    </row>
    <row r="769" spans="1:44" ht="30" customHeight="1" x14ac:dyDescent="0.35">
      <c r="A769" s="25" t="str">
        <f t="shared" si="188"/>
        <v>PT178 - PLATAFORMA DE ACESSO - FORQUILHA 3 - DETALHADO
TORRE B5PROJETO DETALHADO
ESTRUTURAS METÁLICAS</v>
      </c>
      <c r="B769" s="40" t="s">
        <v>19</v>
      </c>
      <c r="C769" s="60" t="str">
        <f>IF(AND($B769=[1]rogério!$A770,[1]rogério!$B770=C$4),"ok","nok")</f>
        <v>nok</v>
      </c>
      <c r="D769" s="60" t="str">
        <f>IF(AND($B769=[1]rogério!$A770,[1]rogério!$B770=D$4),"ok","nok")</f>
        <v>nok</v>
      </c>
      <c r="E769" s="60" t="str">
        <f>IF(AND($B769=[1]rogério!$A770,[1]rogério!$B770=E$4),"ok","nok")</f>
        <v>nok</v>
      </c>
      <c r="F769" s="60" t="str">
        <f>IF(AND($B769=[1]rogério!$A770,[1]rogério!$B770=F$4),"ok","nok")</f>
        <v>nok</v>
      </c>
      <c r="G769" s="60" t="str">
        <f>IF(AND($B769=[1]rogério!$A770,[1]rogério!$B770=G$4),"ok","nok")</f>
        <v>nok</v>
      </c>
      <c r="H769" s="60" t="str">
        <f>IF(AND($B769=[1]rogério!$A770,[1]rogério!$B770=H$4),"ok","nok")</f>
        <v>nok</v>
      </c>
      <c r="I769" s="60" t="str">
        <f>IF(AND($B769=[1]rogério!$A770,[1]rogério!$B770=I$4),"ok","nok")</f>
        <v>nok</v>
      </c>
      <c r="J769" s="60" t="str">
        <f>IF(AND($B769=[1]rogério!$A770,[1]rogério!$B770=J$4),"ok","nok")</f>
        <v>nok</v>
      </c>
      <c r="K769" s="60" t="str">
        <f>IF(AND($B769=[1]rogério!$A770,[1]rogério!$B770=K$4),"ok","nok")</f>
        <v>nok</v>
      </c>
      <c r="L769" s="60" t="str">
        <f>IF(AND($B769=[1]rogério!$A770,[1]rogério!$B770=L$4),"ok","nok")</f>
        <v>nok</v>
      </c>
      <c r="M769" s="60" t="str">
        <f>IF(AND($B769=[1]rogério!$A770,[1]rogério!$B770=M$4),"ok","nok")</f>
        <v>nok</v>
      </c>
      <c r="N769" s="60" t="str">
        <f>IF(AND($B769=[1]rogério!$A770,[1]rogério!$B770=N$4),"ok","nok")</f>
        <v>nok</v>
      </c>
      <c r="O769" s="60" t="str">
        <f>IF(AND($B769=[1]rogério!$A770,[1]rogério!$B770=O$4),"ok","nok")</f>
        <v>nok</v>
      </c>
      <c r="P769" s="60" t="str">
        <f>IF(AND($B769=[1]rogério!$A770,[1]rogério!$B770=P$4),"ok","nok")</f>
        <v>nok</v>
      </c>
      <c r="Q769" s="60" t="str">
        <f>IF(AND($B769=[1]rogério!$A770,[1]rogério!$B770=Q$4),"ok","nok")</f>
        <v>nok</v>
      </c>
      <c r="R769" s="60" t="str">
        <f>IF(AND($B769=[1]rogério!$A770,[1]rogério!$B770=R$4),"ok","nok")</f>
        <v>ok</v>
      </c>
      <c r="S769" s="60" t="str">
        <f>IF(AND($B769=[1]rogério!$A770,[1]rogério!$B770=S$4),"ok","nok")</f>
        <v>nok</v>
      </c>
      <c r="T769" s="60" t="str">
        <f>IF(AND($B769=[1]rogério!$A770,[1]rogério!$B770=T$4),"ok","nok")</f>
        <v>nok</v>
      </c>
      <c r="U769" s="60" t="str">
        <f>IF(AND($B769=[1]rogério!$A770,[1]rogério!$B770=U$4),"ok","nok")</f>
        <v>nok</v>
      </c>
      <c r="V769" s="60" t="str">
        <f>IF(AND($B769=[1]rogério!$A770,[1]rogério!$B770=V$4),"ok","nok")</f>
        <v>nok</v>
      </c>
      <c r="W769" s="60" t="str">
        <f>IF(AND($B769=[1]rogério!$A770,[1]rogério!$B770=W$4),"ok","nok")</f>
        <v>nok</v>
      </c>
      <c r="X769" s="60" t="str">
        <f>IF(AND($B769=[1]rogério!$A770,[1]rogério!$B770=X$4),"ok","nok")</f>
        <v>nok</v>
      </c>
      <c r="Y769" s="105" t="s">
        <v>15</v>
      </c>
      <c r="Z769" s="106"/>
      <c r="AA769" s="106"/>
      <c r="AB769" s="107"/>
      <c r="AE769" s="48" t="str">
        <f t="shared" si="176"/>
        <v/>
      </c>
      <c r="AF769" s="48"/>
      <c r="AG769" s="48"/>
      <c r="AH769" s="89"/>
      <c r="AI769" s="49">
        <f t="shared" si="177"/>
        <v>0</v>
      </c>
      <c r="AJ769" s="49" t="str">
        <f t="shared" si="178"/>
        <v/>
      </c>
      <c r="AK769" s="49">
        <f t="shared" si="179"/>
        <v>0</v>
      </c>
      <c r="AL769" s="49" t="str">
        <f t="shared" si="180"/>
        <v/>
      </c>
      <c r="AM769" s="49">
        <f t="shared" si="181"/>
        <v>0</v>
      </c>
      <c r="AN769" s="49" t="str">
        <f t="shared" si="182"/>
        <v/>
      </c>
      <c r="AO769" s="49">
        <f t="shared" si="183"/>
        <v>1</v>
      </c>
      <c r="AP769" s="49" t="str">
        <f t="shared" si="184"/>
        <v/>
      </c>
      <c r="AQ769" s="49">
        <f t="shared" si="185"/>
        <v>0</v>
      </c>
      <c r="AR769" s="49" t="str">
        <f t="shared" si="186"/>
        <v/>
      </c>
    </row>
    <row r="770" spans="1:44" ht="30" customHeight="1" x14ac:dyDescent="0.35">
      <c r="A770" s="25" t="str">
        <f t="shared" si="188"/>
        <v>PT178 - PLATAFORMA DE ACESSO - FORQUILHA 3 - DETALHADO
TORRE B5PROJETO DETALHADO
ESTRUTURAS METÁLICAS</v>
      </c>
      <c r="B770" s="40" t="s">
        <v>42</v>
      </c>
      <c r="C770" s="60" t="str">
        <f>IF(AND($B770=[1]rogério!$A771,[1]rogério!$B771=C$4),"ok","nok")</f>
        <v>nok</v>
      </c>
      <c r="D770" s="60" t="str">
        <f>IF(AND($B770=[1]rogério!$A771,[1]rogério!$B771=D$4),"ok","nok")</f>
        <v>nok</v>
      </c>
      <c r="E770" s="60" t="str">
        <f>IF(AND($B770=[1]rogério!$A771,[1]rogério!$B771=E$4),"ok","nok")</f>
        <v>nok</v>
      </c>
      <c r="F770" s="60" t="str">
        <f>IF(AND($B770=[1]rogério!$A771,[1]rogério!$B771=F$4),"ok","nok")</f>
        <v>nok</v>
      </c>
      <c r="G770" s="60" t="str">
        <f>IF(AND($B770=[1]rogério!$A771,[1]rogério!$B771=G$4),"ok","nok")</f>
        <v>nok</v>
      </c>
      <c r="H770" s="60" t="str">
        <f>IF(AND($B770=[1]rogério!$A771,[1]rogério!$B771=H$4),"ok","nok")</f>
        <v>nok</v>
      </c>
      <c r="I770" s="60" t="str">
        <f>IF(AND($B770=[1]rogério!$A771,[1]rogério!$B771=I$4),"ok","nok")</f>
        <v>nok</v>
      </c>
      <c r="J770" s="60" t="str">
        <f>IF(AND($B770=[1]rogério!$A771,[1]rogério!$B771=J$4),"ok","nok")</f>
        <v>nok</v>
      </c>
      <c r="K770" s="60" t="str">
        <f>IF(AND($B770=[1]rogério!$A771,[1]rogério!$B771=K$4),"ok","nok")</f>
        <v>nok</v>
      </c>
      <c r="L770" s="60" t="str">
        <f>IF(AND($B770=[1]rogério!$A771,[1]rogério!$B771=L$4),"ok","nok")</f>
        <v>nok</v>
      </c>
      <c r="M770" s="60" t="str">
        <f>IF(AND($B770=[1]rogério!$A771,[1]rogério!$B771=M$4),"ok","nok")</f>
        <v>nok</v>
      </c>
      <c r="N770" s="60" t="str">
        <f>IF(AND($B770=[1]rogério!$A771,[1]rogério!$B771=N$4),"ok","nok")</f>
        <v>nok</v>
      </c>
      <c r="O770" s="60" t="str">
        <f>IF(AND($B770=[1]rogério!$A771,[1]rogério!$B771=O$4),"ok","nok")</f>
        <v>nok</v>
      </c>
      <c r="P770" s="60" t="str">
        <f>IF(AND($B770=[1]rogério!$A771,[1]rogério!$B771=P$4),"ok","nok")</f>
        <v>nok</v>
      </c>
      <c r="Q770" s="60" t="str">
        <f>IF(AND($B770=[1]rogério!$A771,[1]rogério!$B771=Q$4),"ok","nok")</f>
        <v>nok</v>
      </c>
      <c r="R770" s="60" t="str">
        <f>IF(AND($B770=[1]rogério!$A771,[1]rogério!$B771=R$4),"ok","nok")</f>
        <v>nok</v>
      </c>
      <c r="S770" s="60" t="str">
        <f>IF(AND($B770=[1]rogério!$A771,[1]rogério!$B771=S$4),"ok","nok")</f>
        <v>nok</v>
      </c>
      <c r="T770" s="60" t="str">
        <f>IF(AND($B770=[1]rogério!$A771,[1]rogério!$B771=T$4),"ok","nok")</f>
        <v>nok</v>
      </c>
      <c r="U770" s="60" t="str">
        <f>IF(AND($B770=[1]rogério!$A771,[1]rogério!$B771=U$4),"ok","nok")</f>
        <v>ok</v>
      </c>
      <c r="V770" s="60" t="str">
        <f>IF(AND($B770=[1]rogério!$A771,[1]rogério!$B771=V$4),"ok","nok")</f>
        <v>nok</v>
      </c>
      <c r="W770" s="60" t="str">
        <f>IF(AND($B770=[1]rogério!$A771,[1]rogério!$B771=W$4),"ok","nok")</f>
        <v>nok</v>
      </c>
      <c r="X770" s="60" t="str">
        <f>IF(AND($B770=[1]rogério!$A771,[1]rogério!$B771=X$4),"ok","nok")</f>
        <v>nok</v>
      </c>
      <c r="Y770" s="105" t="s">
        <v>15</v>
      </c>
      <c r="Z770" s="106"/>
      <c r="AA770" s="106"/>
      <c r="AB770" s="107"/>
      <c r="AE770" s="48" t="str">
        <f t="shared" si="176"/>
        <v/>
      </c>
      <c r="AF770" s="48"/>
      <c r="AG770" s="48"/>
      <c r="AH770" s="89"/>
      <c r="AI770" s="49">
        <f t="shared" si="177"/>
        <v>0</v>
      </c>
      <c r="AJ770" s="49" t="str">
        <f t="shared" si="178"/>
        <v/>
      </c>
      <c r="AK770" s="49">
        <f t="shared" si="179"/>
        <v>0</v>
      </c>
      <c r="AL770" s="49" t="str">
        <f t="shared" si="180"/>
        <v/>
      </c>
      <c r="AM770" s="49">
        <f t="shared" si="181"/>
        <v>0</v>
      </c>
      <c r="AN770" s="49" t="str">
        <f t="shared" si="182"/>
        <v/>
      </c>
      <c r="AO770" s="49">
        <f t="shared" si="183"/>
        <v>1</v>
      </c>
      <c r="AP770" s="49" t="str">
        <f t="shared" si="184"/>
        <v/>
      </c>
      <c r="AQ770" s="49">
        <f t="shared" si="185"/>
        <v>0</v>
      </c>
      <c r="AR770" s="49" t="str">
        <f t="shared" si="186"/>
        <v/>
      </c>
    </row>
    <row r="771" spans="1:44" ht="30" customHeight="1" x14ac:dyDescent="0.35">
      <c r="A771" s="25" t="str">
        <f t="shared" si="188"/>
        <v>PT178 - PLATAFORMA DE ACESSO - FORQUILHA 3 - DETALHADO
TORRE B5PROJETO DETALHADO
ESTRUTURAS METÁLICAS</v>
      </c>
      <c r="B771" s="40" t="s">
        <v>43</v>
      </c>
      <c r="C771" s="60" t="str">
        <f>IF(AND($B771=[1]rogério!$A772,[1]rogério!$B772=C$4),"ok","nok")</f>
        <v>nok</v>
      </c>
      <c r="D771" s="60" t="str">
        <f>IF(AND($B771=[1]rogério!$A772,[1]rogério!$B772=D$4),"ok","nok")</f>
        <v>nok</v>
      </c>
      <c r="E771" s="60" t="str">
        <f>IF(AND($B771=[1]rogério!$A772,[1]rogério!$B772=E$4),"ok","nok")</f>
        <v>nok</v>
      </c>
      <c r="F771" s="60" t="str">
        <f>IF(AND($B771=[1]rogério!$A772,[1]rogério!$B772=F$4),"ok","nok")</f>
        <v>nok</v>
      </c>
      <c r="G771" s="60" t="str">
        <f>IF(AND($B771=[1]rogério!$A772,[1]rogério!$B772=G$4),"ok","nok")</f>
        <v>nok</v>
      </c>
      <c r="H771" s="60" t="str">
        <f>IF(AND($B771=[1]rogério!$A772,[1]rogério!$B772=H$4),"ok","nok")</f>
        <v>nok</v>
      </c>
      <c r="I771" s="60" t="str">
        <f>IF(AND($B771=[1]rogério!$A772,[1]rogério!$B772=I$4),"ok","nok")</f>
        <v>nok</v>
      </c>
      <c r="J771" s="60" t="str">
        <f>IF(AND($B771=[1]rogério!$A772,[1]rogério!$B772=J$4),"ok","nok")</f>
        <v>nok</v>
      </c>
      <c r="K771" s="60" t="str">
        <f>IF(AND($B771=[1]rogério!$A772,[1]rogério!$B772=K$4),"ok","nok")</f>
        <v>nok</v>
      </c>
      <c r="L771" s="60" t="str">
        <f>IF(AND($B771=[1]rogério!$A772,[1]rogério!$B772=L$4),"ok","nok")</f>
        <v>nok</v>
      </c>
      <c r="M771" s="60" t="str">
        <f>IF(AND($B771=[1]rogério!$A772,[1]rogério!$B772=M$4),"ok","nok")</f>
        <v>nok</v>
      </c>
      <c r="N771" s="60" t="str">
        <f>IF(AND($B771=[1]rogério!$A772,[1]rogério!$B772=N$4),"ok","nok")</f>
        <v>nok</v>
      </c>
      <c r="O771" s="60" t="str">
        <f>IF(AND($B771=[1]rogério!$A772,[1]rogério!$B772=O$4),"ok","nok")</f>
        <v>nok</v>
      </c>
      <c r="P771" s="60" t="str">
        <f>IF(AND($B771=[1]rogério!$A772,[1]rogério!$B772=P$4),"ok","nok")</f>
        <v>nok</v>
      </c>
      <c r="Q771" s="60" t="str">
        <f>IF(AND($B771=[1]rogério!$A772,[1]rogério!$B772=Q$4),"ok","nok")</f>
        <v>nok</v>
      </c>
      <c r="R771" s="60" t="str">
        <f>IF(AND($B771=[1]rogério!$A772,[1]rogério!$B772=R$4),"ok","nok")</f>
        <v>nok</v>
      </c>
      <c r="S771" s="60" t="str">
        <f>IF(AND($B771=[1]rogério!$A772,[1]rogério!$B772=S$4),"ok","nok")</f>
        <v>nok</v>
      </c>
      <c r="T771" s="60" t="str">
        <f>IF(AND($B771=[1]rogério!$A772,[1]rogério!$B772=T$4),"ok","nok")</f>
        <v>nok</v>
      </c>
      <c r="U771" s="60" t="str">
        <f>IF(AND($B771=[1]rogério!$A772,[1]rogério!$B772=U$4),"ok","nok")</f>
        <v>ok</v>
      </c>
      <c r="V771" s="60" t="str">
        <f>IF(AND($B771=[1]rogério!$A772,[1]rogério!$B772=V$4),"ok","nok")</f>
        <v>nok</v>
      </c>
      <c r="W771" s="60" t="str">
        <f>IF(AND($B771=[1]rogério!$A772,[1]rogério!$B772=W$4),"ok","nok")</f>
        <v>nok</v>
      </c>
      <c r="X771" s="60" t="str">
        <f>IF(AND($B771=[1]rogério!$A772,[1]rogério!$B772=X$4),"ok","nok")</f>
        <v>nok</v>
      </c>
      <c r="Y771" s="105" t="s">
        <v>15</v>
      </c>
      <c r="Z771" s="106"/>
      <c r="AA771" s="106"/>
      <c r="AB771" s="107"/>
      <c r="AE771" s="48" t="str">
        <f t="shared" ref="AE771:AE834" si="189">IF(Y771="ATRASADO",B771,"")</f>
        <v/>
      </c>
      <c r="AF771" s="48"/>
      <c r="AG771" s="48"/>
      <c r="AH771" s="89"/>
      <c r="AI771" s="49">
        <f t="shared" ref="AI771:AI834" si="190">COUNTIF(C771:G771,"ok")</f>
        <v>0</v>
      </c>
      <c r="AJ771" s="49" t="str">
        <f t="shared" ref="AJ771:AJ834" si="191">IF(AND(AI771=1,OR($Y771="entregue",$Y771="efprazo")),$Y771,"")</f>
        <v/>
      </c>
      <c r="AK771" s="49">
        <f t="shared" ref="AK771:AK834" si="192">COUNTIF(H771:L771,"ok")</f>
        <v>0</v>
      </c>
      <c r="AL771" s="49" t="str">
        <f t="shared" ref="AL771:AL834" si="193">IF(AND(AK771=1,OR($Y771="entregue",$Y771="efprazo")),$Y771,"")</f>
        <v/>
      </c>
      <c r="AM771" s="49">
        <f t="shared" ref="AM771:AM834" si="194">COUNTIF(M771:Q771,"ok")</f>
        <v>0</v>
      </c>
      <c r="AN771" s="49" t="str">
        <f t="shared" ref="AN771:AN834" si="195">IF(AND(AM771=1,OR($Y771="entregue",$Y771="efprazo")),$Y771,"")</f>
        <v/>
      </c>
      <c r="AO771" s="49">
        <f t="shared" ref="AO771:AO834" si="196">COUNTIF(R771:V771,"ok")</f>
        <v>1</v>
      </c>
      <c r="AP771" s="49" t="str">
        <f t="shared" ref="AP771:AP834" si="197">IF(AND(AO771=1,OR($Y771="entregue",$Y771="efprazo")),$Y771,"")</f>
        <v/>
      </c>
      <c r="AQ771" s="49">
        <f t="shared" ref="AQ771:AQ834" si="198">COUNTIF(W771:X771,"ok")</f>
        <v>0</v>
      </c>
      <c r="AR771" s="49" t="str">
        <f t="shared" ref="AR771:AR834" si="199">IF(AND(AQ771=1,OR($Y771="entregue",$Y771="efprazo")),$Y771,"")</f>
        <v/>
      </c>
    </row>
    <row r="772" spans="1:44" ht="30" customHeight="1" x14ac:dyDescent="0.35">
      <c r="B772" s="62" t="s">
        <v>64</v>
      </c>
      <c r="C772" s="62"/>
      <c r="D772" s="62"/>
      <c r="E772" s="62"/>
      <c r="F772" s="62"/>
      <c r="G772" s="62"/>
      <c r="H772" s="62"/>
      <c r="I772" s="62"/>
      <c r="J772" s="62"/>
      <c r="K772" s="62"/>
      <c r="L772" s="62"/>
      <c r="M772" s="62"/>
      <c r="N772" s="62"/>
      <c r="O772" s="62"/>
      <c r="P772" s="62"/>
      <c r="Q772" s="62"/>
      <c r="R772" s="62"/>
      <c r="S772" s="62"/>
      <c r="T772" s="62"/>
      <c r="U772" s="62"/>
      <c r="V772" s="62"/>
      <c r="W772" s="62"/>
      <c r="X772" s="62"/>
      <c r="Y772" s="114"/>
      <c r="Z772" s="115"/>
      <c r="AA772" s="115"/>
      <c r="AB772" s="116"/>
      <c r="AE772" s="48" t="str">
        <f t="shared" si="189"/>
        <v/>
      </c>
      <c r="AF772" s="48"/>
      <c r="AG772" s="48"/>
      <c r="AH772" s="89"/>
      <c r="AI772" s="49">
        <f t="shared" si="190"/>
        <v>0</v>
      </c>
      <c r="AJ772" s="49" t="str">
        <f t="shared" si="191"/>
        <v/>
      </c>
      <c r="AK772" s="49">
        <f t="shared" si="192"/>
        <v>0</v>
      </c>
      <c r="AL772" s="49" t="str">
        <f t="shared" si="193"/>
        <v/>
      </c>
      <c r="AM772" s="49">
        <f t="shared" si="194"/>
        <v>0</v>
      </c>
      <c r="AN772" s="49" t="str">
        <f t="shared" si="195"/>
        <v/>
      </c>
      <c r="AO772" s="49">
        <f t="shared" si="196"/>
        <v>0</v>
      </c>
      <c r="AP772" s="49" t="str">
        <f t="shared" si="197"/>
        <v/>
      </c>
      <c r="AQ772" s="49">
        <f t="shared" si="198"/>
        <v>0</v>
      </c>
      <c r="AR772" s="49" t="str">
        <f t="shared" si="199"/>
        <v/>
      </c>
    </row>
    <row r="773" spans="1:44" ht="30" customHeight="1" x14ac:dyDescent="0.35">
      <c r="B773" s="39" t="s">
        <v>41</v>
      </c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108"/>
      <c r="Z773" s="109"/>
      <c r="AA773" s="109"/>
      <c r="AB773" s="110"/>
      <c r="AE773" s="48" t="str">
        <f t="shared" si="189"/>
        <v/>
      </c>
      <c r="AF773" s="48"/>
      <c r="AG773" s="48"/>
      <c r="AH773" s="89"/>
      <c r="AI773" s="49">
        <f t="shared" si="190"/>
        <v>0</v>
      </c>
      <c r="AJ773" s="49" t="str">
        <f t="shared" si="191"/>
        <v/>
      </c>
      <c r="AK773" s="49">
        <f t="shared" si="192"/>
        <v>0</v>
      </c>
      <c r="AL773" s="49" t="str">
        <f t="shared" si="193"/>
        <v/>
      </c>
      <c r="AM773" s="49">
        <f t="shared" si="194"/>
        <v>0</v>
      </c>
      <c r="AN773" s="49" t="str">
        <f t="shared" si="195"/>
        <v/>
      </c>
      <c r="AO773" s="49">
        <f t="shared" si="196"/>
        <v>0</v>
      </c>
      <c r="AP773" s="49" t="str">
        <f t="shared" si="197"/>
        <v/>
      </c>
      <c r="AQ773" s="49">
        <f t="shared" si="198"/>
        <v>0</v>
      </c>
      <c r="AR773" s="49" t="str">
        <f t="shared" si="199"/>
        <v/>
      </c>
    </row>
    <row r="774" spans="1:44" ht="30" customHeight="1" x14ac:dyDescent="0.35">
      <c r="A774" s="25" t="str">
        <f>CONCATENATE($B$731,"
",$B$733,"",$B$734,"
",$B$772)</f>
        <v>PT178 - PLATAFORMA DE ACESSO - FORQUILHA 3 - DETALHADO
TORRE B5PROJETO DETALHADO
CIVIL</v>
      </c>
      <c r="B774" s="40" t="s">
        <v>49</v>
      </c>
      <c r="C774" s="60" t="str">
        <f>IF(AND($B774=[1]rogério!$A775,[1]rogério!$B775=C$4),"ok","nok")</f>
        <v>nok</v>
      </c>
      <c r="D774" s="60" t="str">
        <f>IF(AND($B774=[1]rogério!$A775,[1]rogério!$B775=D$4),"ok","nok")</f>
        <v>nok</v>
      </c>
      <c r="E774" s="60" t="str">
        <f>IF(AND($B774=[1]rogério!$A775,[1]rogério!$B775=E$4),"ok","nok")</f>
        <v>nok</v>
      </c>
      <c r="F774" s="60" t="str">
        <f>IF(AND($B774=[1]rogério!$A775,[1]rogério!$B775=F$4),"ok","nok")</f>
        <v>nok</v>
      </c>
      <c r="G774" s="60" t="str">
        <f>IF(AND($B774=[1]rogério!$A775,[1]rogério!$B775=G$4),"ok","nok")</f>
        <v>nok</v>
      </c>
      <c r="H774" s="60" t="str">
        <f>IF(AND($B774=[1]rogério!$A775,[1]rogério!$B775=H$4),"ok","nok")</f>
        <v>nok</v>
      </c>
      <c r="I774" s="60" t="str">
        <f>IF(AND($B774=[1]rogério!$A775,[1]rogério!$B775=I$4),"ok","nok")</f>
        <v>nok</v>
      </c>
      <c r="J774" s="60" t="str">
        <f>IF(AND($B774=[1]rogério!$A775,[1]rogério!$B775=J$4),"ok","nok")</f>
        <v>ok</v>
      </c>
      <c r="K774" s="60" t="str">
        <f>IF(AND($B774=[1]rogério!$A775,[1]rogério!$B775=K$4),"ok","nok")</f>
        <v>nok</v>
      </c>
      <c r="L774" s="60" t="str">
        <f>IF(AND($B774=[1]rogério!$A775,[1]rogério!$B775=L$4),"ok","nok")</f>
        <v>nok</v>
      </c>
      <c r="M774" s="60" t="str">
        <f>IF(AND($B774=[1]rogério!$A775,[1]rogério!$B775=M$4),"ok","nok")</f>
        <v>nok</v>
      </c>
      <c r="N774" s="60" t="str">
        <f>IF(AND($B774=[1]rogério!$A775,[1]rogério!$B775=N$4),"ok","nok")</f>
        <v>nok</v>
      </c>
      <c r="O774" s="60" t="str">
        <f>IF(AND($B774=[1]rogério!$A775,[1]rogério!$B775=O$4),"ok","nok")</f>
        <v>nok</v>
      </c>
      <c r="P774" s="60" t="str">
        <f>IF(AND($B774=[1]rogério!$A775,[1]rogério!$B775=P$4),"ok","nok")</f>
        <v>nok</v>
      </c>
      <c r="Q774" s="60" t="str">
        <f>IF(AND($B774=[1]rogério!$A775,[1]rogério!$B775=Q$4),"ok","nok")</f>
        <v>nok</v>
      </c>
      <c r="R774" s="60" t="str">
        <f>IF(AND($B774=[1]rogério!$A775,[1]rogério!$B775=R$4),"ok","nok")</f>
        <v>nok</v>
      </c>
      <c r="S774" s="60" t="str">
        <f>IF(AND($B774=[1]rogério!$A775,[1]rogério!$B775=S$4),"ok","nok")</f>
        <v>nok</v>
      </c>
      <c r="T774" s="60" t="str">
        <f>IF(AND($B774=[1]rogério!$A775,[1]rogério!$B775=T$4),"ok","nok")</f>
        <v>nok</v>
      </c>
      <c r="U774" s="60" t="str">
        <f>IF(AND($B774=[1]rogério!$A775,[1]rogério!$B775=U$4),"ok","nok")</f>
        <v>nok</v>
      </c>
      <c r="V774" s="60" t="str">
        <f>IF(AND($B774=[1]rogério!$A775,[1]rogério!$B775=V$4),"ok","nok")</f>
        <v>nok</v>
      </c>
      <c r="W774" s="60" t="str">
        <f>IF(AND($B774=[1]rogério!$A775,[1]rogério!$B775=W$4),"ok","nok")</f>
        <v>nok</v>
      </c>
      <c r="X774" s="60" t="str">
        <f>IF(AND($B774=[1]rogério!$A775,[1]rogério!$B775=X$4),"ok","nok")</f>
        <v>nok</v>
      </c>
      <c r="Y774" s="105" t="s">
        <v>15</v>
      </c>
      <c r="Z774" s="106"/>
      <c r="AA774" s="106"/>
      <c r="AB774" s="107"/>
      <c r="AE774" s="48" t="str">
        <f t="shared" si="189"/>
        <v/>
      </c>
      <c r="AF774" s="48"/>
      <c r="AG774" s="48"/>
      <c r="AH774" s="89"/>
      <c r="AI774" s="49">
        <f t="shared" si="190"/>
        <v>0</v>
      </c>
      <c r="AJ774" s="49" t="str">
        <f t="shared" si="191"/>
        <v/>
      </c>
      <c r="AK774" s="49">
        <f t="shared" si="192"/>
        <v>1</v>
      </c>
      <c r="AL774" s="49" t="str">
        <f t="shared" si="193"/>
        <v/>
      </c>
      <c r="AM774" s="49">
        <f t="shared" si="194"/>
        <v>0</v>
      </c>
      <c r="AN774" s="49" t="str">
        <f t="shared" si="195"/>
        <v/>
      </c>
      <c r="AO774" s="49">
        <f t="shared" si="196"/>
        <v>0</v>
      </c>
      <c r="AP774" s="49" t="str">
        <f t="shared" si="197"/>
        <v/>
      </c>
      <c r="AQ774" s="49">
        <f t="shared" si="198"/>
        <v>0</v>
      </c>
      <c r="AR774" s="49" t="str">
        <f t="shared" si="199"/>
        <v/>
      </c>
    </row>
    <row r="775" spans="1:44" ht="30" customHeight="1" x14ac:dyDescent="0.35">
      <c r="A775" s="25" t="str">
        <f t="shared" ref="A775:A809" si="200">CONCATENATE($B$731,"
",$B$733,"",$B$734,"
",$B$772)</f>
        <v>PT178 - PLATAFORMA DE ACESSO - FORQUILHA 3 - DETALHADO
TORRE B5PROJETO DETALHADO
CIVIL</v>
      </c>
      <c r="B775" s="40" t="s">
        <v>19</v>
      </c>
      <c r="C775" s="60" t="str">
        <f>IF(AND($B775=[1]rogério!$A776,[1]rogério!$B776=C$4),"ok","nok")</f>
        <v>nok</v>
      </c>
      <c r="D775" s="60" t="str">
        <f>IF(AND($B775=[1]rogério!$A776,[1]rogério!$B776=D$4),"ok","nok")</f>
        <v>nok</v>
      </c>
      <c r="E775" s="60" t="str">
        <f>IF(AND($B775=[1]rogério!$A776,[1]rogério!$B776=E$4),"ok","nok")</f>
        <v>nok</v>
      </c>
      <c r="F775" s="60" t="str">
        <f>IF(AND($B775=[1]rogério!$A776,[1]rogério!$B776=F$4),"ok","nok")</f>
        <v>nok</v>
      </c>
      <c r="G775" s="60" t="str">
        <f>IF(AND($B775=[1]rogério!$A776,[1]rogério!$B776=G$4),"ok","nok")</f>
        <v>nok</v>
      </c>
      <c r="H775" s="60" t="str">
        <f>IF(AND($B775=[1]rogério!$A776,[1]rogério!$B776=H$4),"ok","nok")</f>
        <v>nok</v>
      </c>
      <c r="I775" s="60" t="str">
        <f>IF(AND($B775=[1]rogério!$A776,[1]rogério!$B776=I$4),"ok","nok")</f>
        <v>nok</v>
      </c>
      <c r="J775" s="60" t="str">
        <f>IF(AND($B775=[1]rogério!$A776,[1]rogério!$B776=J$4),"ok","nok")</f>
        <v>nok</v>
      </c>
      <c r="K775" s="60" t="str">
        <f>IF(AND($B775=[1]rogério!$A776,[1]rogério!$B776=K$4),"ok","nok")</f>
        <v>nok</v>
      </c>
      <c r="L775" s="60" t="str">
        <f>IF(AND($B775=[1]rogério!$A776,[1]rogério!$B776=L$4),"ok","nok")</f>
        <v>nok</v>
      </c>
      <c r="M775" s="60" t="str">
        <f>IF(AND($B775=[1]rogério!$A776,[1]rogério!$B776=M$4),"ok","nok")</f>
        <v>nok</v>
      </c>
      <c r="N775" s="60" t="str">
        <f>IF(AND($B775=[1]rogério!$A776,[1]rogério!$B776=N$4),"ok","nok")</f>
        <v>nok</v>
      </c>
      <c r="O775" s="60" t="str">
        <f>IF(AND($B775=[1]rogério!$A776,[1]rogério!$B776=O$4),"ok","nok")</f>
        <v>ok</v>
      </c>
      <c r="P775" s="60" t="str">
        <f>IF(AND($B775=[1]rogério!$A776,[1]rogério!$B776=P$4),"ok","nok")</f>
        <v>nok</v>
      </c>
      <c r="Q775" s="60" t="str">
        <f>IF(AND($B775=[1]rogério!$A776,[1]rogério!$B776=Q$4),"ok","nok")</f>
        <v>nok</v>
      </c>
      <c r="R775" s="60" t="str">
        <f>IF(AND($B775=[1]rogério!$A776,[1]rogério!$B776=R$4),"ok","nok")</f>
        <v>nok</v>
      </c>
      <c r="S775" s="60" t="str">
        <f>IF(AND($B775=[1]rogério!$A776,[1]rogério!$B776=S$4),"ok","nok")</f>
        <v>nok</v>
      </c>
      <c r="T775" s="60" t="str">
        <f>IF(AND($B775=[1]rogério!$A776,[1]rogério!$B776=T$4),"ok","nok")</f>
        <v>nok</v>
      </c>
      <c r="U775" s="60" t="str">
        <f>IF(AND($B775=[1]rogério!$A776,[1]rogério!$B776=U$4),"ok","nok")</f>
        <v>nok</v>
      </c>
      <c r="V775" s="60" t="str">
        <f>IF(AND($B775=[1]rogério!$A776,[1]rogério!$B776=V$4),"ok","nok")</f>
        <v>nok</v>
      </c>
      <c r="W775" s="60" t="str">
        <f>IF(AND($B775=[1]rogério!$A776,[1]rogério!$B776=W$4),"ok","nok")</f>
        <v>nok</v>
      </c>
      <c r="X775" s="60" t="str">
        <f>IF(AND($B775=[1]rogério!$A776,[1]rogério!$B776=X$4),"ok","nok")</f>
        <v>nok</v>
      </c>
      <c r="Y775" s="105" t="s">
        <v>15</v>
      </c>
      <c r="Z775" s="106"/>
      <c r="AA775" s="106"/>
      <c r="AB775" s="107"/>
      <c r="AE775" s="48" t="str">
        <f t="shared" si="189"/>
        <v/>
      </c>
      <c r="AF775" s="48"/>
      <c r="AG775" s="48"/>
      <c r="AH775" s="89"/>
      <c r="AI775" s="49">
        <f t="shared" si="190"/>
        <v>0</v>
      </c>
      <c r="AJ775" s="49" t="str">
        <f t="shared" si="191"/>
        <v/>
      </c>
      <c r="AK775" s="49">
        <f t="shared" si="192"/>
        <v>0</v>
      </c>
      <c r="AL775" s="49" t="str">
        <f t="shared" si="193"/>
        <v/>
      </c>
      <c r="AM775" s="49">
        <f t="shared" si="194"/>
        <v>1</v>
      </c>
      <c r="AN775" s="49" t="str">
        <f t="shared" si="195"/>
        <v/>
      </c>
      <c r="AO775" s="49">
        <f t="shared" si="196"/>
        <v>0</v>
      </c>
      <c r="AP775" s="49" t="str">
        <f t="shared" si="197"/>
        <v/>
      </c>
      <c r="AQ775" s="49">
        <f t="shared" si="198"/>
        <v>0</v>
      </c>
      <c r="AR775" s="49" t="str">
        <f t="shared" si="199"/>
        <v/>
      </c>
    </row>
    <row r="776" spans="1:44" ht="30" customHeight="1" x14ac:dyDescent="0.35">
      <c r="A776" s="25" t="str">
        <f t="shared" si="200"/>
        <v>PT178 - PLATAFORMA DE ACESSO - FORQUILHA 3 - DETALHADO
TORRE B5PROJETO DETALHADO
CIVIL</v>
      </c>
      <c r="B776" s="40" t="s">
        <v>42</v>
      </c>
      <c r="C776" s="60" t="str">
        <f>IF(AND($B776=[1]rogério!$A777,[1]rogério!$B777=C$4),"ok","nok")</f>
        <v>nok</v>
      </c>
      <c r="D776" s="60" t="str">
        <f>IF(AND($B776=[1]rogério!$A777,[1]rogério!$B777=D$4),"ok","nok")</f>
        <v>nok</v>
      </c>
      <c r="E776" s="60" t="str">
        <f>IF(AND($B776=[1]rogério!$A777,[1]rogério!$B777=E$4),"ok","nok")</f>
        <v>nok</v>
      </c>
      <c r="F776" s="60" t="str">
        <f>IF(AND($B776=[1]rogério!$A777,[1]rogério!$B777=F$4),"ok","nok")</f>
        <v>nok</v>
      </c>
      <c r="G776" s="60" t="str">
        <f>IF(AND($B776=[1]rogério!$A777,[1]rogério!$B777=G$4),"ok","nok")</f>
        <v>nok</v>
      </c>
      <c r="H776" s="60" t="str">
        <f>IF(AND($B776=[1]rogério!$A777,[1]rogério!$B777=H$4),"ok","nok")</f>
        <v>nok</v>
      </c>
      <c r="I776" s="60" t="str">
        <f>IF(AND($B776=[1]rogério!$A777,[1]rogério!$B777=I$4),"ok","nok")</f>
        <v>nok</v>
      </c>
      <c r="J776" s="60" t="str">
        <f>IF(AND($B776=[1]rogério!$A777,[1]rogério!$B777=J$4),"ok","nok")</f>
        <v>nok</v>
      </c>
      <c r="K776" s="60" t="str">
        <f>IF(AND($B776=[1]rogério!$A777,[1]rogério!$B777=K$4),"ok","nok")</f>
        <v>nok</v>
      </c>
      <c r="L776" s="60" t="str">
        <f>IF(AND($B776=[1]rogério!$A777,[1]rogério!$B777=L$4),"ok","nok")</f>
        <v>nok</v>
      </c>
      <c r="M776" s="60" t="str">
        <f>IF(AND($B776=[1]rogério!$A777,[1]rogério!$B777=M$4),"ok","nok")</f>
        <v>nok</v>
      </c>
      <c r="N776" s="60" t="str">
        <f>IF(AND($B776=[1]rogério!$A777,[1]rogério!$B777=N$4),"ok","nok")</f>
        <v>nok</v>
      </c>
      <c r="O776" s="60" t="str">
        <f>IF(AND($B776=[1]rogério!$A777,[1]rogério!$B777=O$4),"ok","nok")</f>
        <v>nok</v>
      </c>
      <c r="P776" s="60" t="str">
        <f>IF(AND($B776=[1]rogério!$A777,[1]rogério!$B777=P$4),"ok","nok")</f>
        <v>nok</v>
      </c>
      <c r="Q776" s="60" t="str">
        <f>IF(AND($B776=[1]rogério!$A777,[1]rogério!$B777=Q$4),"ok","nok")</f>
        <v>nok</v>
      </c>
      <c r="R776" s="60" t="str">
        <f>IF(AND($B776=[1]rogério!$A777,[1]rogério!$B777=R$4),"ok","nok")</f>
        <v>ok</v>
      </c>
      <c r="S776" s="60" t="str">
        <f>IF(AND($B776=[1]rogério!$A777,[1]rogério!$B777=S$4),"ok","nok")</f>
        <v>nok</v>
      </c>
      <c r="T776" s="60" t="str">
        <f>IF(AND($B776=[1]rogério!$A777,[1]rogério!$B777=T$4),"ok","nok")</f>
        <v>nok</v>
      </c>
      <c r="U776" s="60" t="str">
        <f>IF(AND($B776=[1]rogério!$A777,[1]rogério!$B777=U$4),"ok","nok")</f>
        <v>nok</v>
      </c>
      <c r="V776" s="60" t="str">
        <f>IF(AND($B776=[1]rogério!$A777,[1]rogério!$B777=V$4),"ok","nok")</f>
        <v>nok</v>
      </c>
      <c r="W776" s="60" t="str">
        <f>IF(AND($B776=[1]rogério!$A777,[1]rogério!$B777=W$4),"ok","nok")</f>
        <v>nok</v>
      </c>
      <c r="X776" s="60" t="str">
        <f>IF(AND($B776=[1]rogério!$A777,[1]rogério!$B777=X$4),"ok","nok")</f>
        <v>nok</v>
      </c>
      <c r="Y776" s="105" t="s">
        <v>15</v>
      </c>
      <c r="Z776" s="106"/>
      <c r="AA776" s="106"/>
      <c r="AB776" s="107"/>
      <c r="AE776" s="48" t="str">
        <f t="shared" si="189"/>
        <v/>
      </c>
      <c r="AF776" s="48"/>
      <c r="AG776" s="48"/>
      <c r="AH776" s="89"/>
      <c r="AI776" s="49">
        <f t="shared" si="190"/>
        <v>0</v>
      </c>
      <c r="AJ776" s="49" t="str">
        <f t="shared" si="191"/>
        <v/>
      </c>
      <c r="AK776" s="49">
        <f t="shared" si="192"/>
        <v>0</v>
      </c>
      <c r="AL776" s="49" t="str">
        <f t="shared" si="193"/>
        <v/>
      </c>
      <c r="AM776" s="49">
        <f t="shared" si="194"/>
        <v>0</v>
      </c>
      <c r="AN776" s="49" t="str">
        <f t="shared" si="195"/>
        <v/>
      </c>
      <c r="AO776" s="49">
        <f t="shared" si="196"/>
        <v>1</v>
      </c>
      <c r="AP776" s="49" t="str">
        <f t="shared" si="197"/>
        <v/>
      </c>
      <c r="AQ776" s="49">
        <f t="shared" si="198"/>
        <v>0</v>
      </c>
      <c r="AR776" s="49" t="str">
        <f t="shared" si="199"/>
        <v/>
      </c>
    </row>
    <row r="777" spans="1:44" ht="30" customHeight="1" x14ac:dyDescent="0.35">
      <c r="A777" s="25" t="str">
        <f t="shared" si="200"/>
        <v>PT178 - PLATAFORMA DE ACESSO - FORQUILHA 3 - DETALHADO
TORRE B5PROJETO DETALHADO
CIVIL</v>
      </c>
      <c r="B777" s="40" t="s">
        <v>43</v>
      </c>
      <c r="C777" s="60" t="str">
        <f>IF(AND($B777=[1]rogério!$A778,[1]rogério!$B778=C$4),"ok","nok")</f>
        <v>nok</v>
      </c>
      <c r="D777" s="60" t="str">
        <f>IF(AND($B777=[1]rogério!$A778,[1]rogério!$B778=D$4),"ok","nok")</f>
        <v>nok</v>
      </c>
      <c r="E777" s="60" t="str">
        <f>IF(AND($B777=[1]rogério!$A778,[1]rogério!$B778=E$4),"ok","nok")</f>
        <v>nok</v>
      </c>
      <c r="F777" s="60" t="str">
        <f>IF(AND($B777=[1]rogério!$A778,[1]rogério!$B778=F$4),"ok","nok")</f>
        <v>nok</v>
      </c>
      <c r="G777" s="60" t="str">
        <f>IF(AND($B777=[1]rogério!$A778,[1]rogério!$B778=G$4),"ok","nok")</f>
        <v>nok</v>
      </c>
      <c r="H777" s="60" t="str">
        <f>IF(AND($B777=[1]rogério!$A778,[1]rogério!$B778=H$4),"ok","nok")</f>
        <v>nok</v>
      </c>
      <c r="I777" s="60" t="str">
        <f>IF(AND($B777=[1]rogério!$A778,[1]rogério!$B778=I$4),"ok","nok")</f>
        <v>nok</v>
      </c>
      <c r="J777" s="60" t="str">
        <f>IF(AND($B777=[1]rogério!$A778,[1]rogério!$B778=J$4),"ok","nok")</f>
        <v>nok</v>
      </c>
      <c r="K777" s="60" t="str">
        <f>IF(AND($B777=[1]rogério!$A778,[1]rogério!$B778=K$4),"ok","nok")</f>
        <v>nok</v>
      </c>
      <c r="L777" s="60" t="str">
        <f>IF(AND($B777=[1]rogério!$A778,[1]rogério!$B778=L$4),"ok","nok")</f>
        <v>nok</v>
      </c>
      <c r="M777" s="60" t="str">
        <f>IF(AND($B777=[1]rogério!$A778,[1]rogério!$B778=M$4),"ok","nok")</f>
        <v>nok</v>
      </c>
      <c r="N777" s="60" t="str">
        <f>IF(AND($B777=[1]rogério!$A778,[1]rogério!$B778=N$4),"ok","nok")</f>
        <v>nok</v>
      </c>
      <c r="O777" s="60" t="str">
        <f>IF(AND($B777=[1]rogério!$A778,[1]rogério!$B778=O$4),"ok","nok")</f>
        <v>nok</v>
      </c>
      <c r="P777" s="60" t="str">
        <f>IF(AND($B777=[1]rogério!$A778,[1]rogério!$B778=P$4),"ok","nok")</f>
        <v>nok</v>
      </c>
      <c r="Q777" s="60" t="str">
        <f>IF(AND($B777=[1]rogério!$A778,[1]rogério!$B778=Q$4),"ok","nok")</f>
        <v>nok</v>
      </c>
      <c r="R777" s="60" t="str">
        <f>IF(AND($B777=[1]rogério!$A778,[1]rogério!$B778=R$4),"ok","nok")</f>
        <v>ok</v>
      </c>
      <c r="S777" s="60" t="str">
        <f>IF(AND($B777=[1]rogério!$A778,[1]rogério!$B778=S$4),"ok","nok")</f>
        <v>nok</v>
      </c>
      <c r="T777" s="60" t="str">
        <f>IF(AND($B777=[1]rogério!$A778,[1]rogério!$B778=T$4),"ok","nok")</f>
        <v>nok</v>
      </c>
      <c r="U777" s="60" t="str">
        <f>IF(AND($B777=[1]rogério!$A778,[1]rogério!$B778=U$4),"ok","nok")</f>
        <v>nok</v>
      </c>
      <c r="V777" s="60" t="str">
        <f>IF(AND($B777=[1]rogério!$A778,[1]rogério!$B778=V$4),"ok","nok")</f>
        <v>nok</v>
      </c>
      <c r="W777" s="60" t="str">
        <f>IF(AND($B777=[1]rogério!$A778,[1]rogério!$B778=W$4),"ok","nok")</f>
        <v>nok</v>
      </c>
      <c r="X777" s="60" t="str">
        <f>IF(AND($B777=[1]rogério!$A778,[1]rogério!$B778=X$4),"ok","nok")</f>
        <v>nok</v>
      </c>
      <c r="Y777" s="105" t="s">
        <v>15</v>
      </c>
      <c r="Z777" s="106"/>
      <c r="AA777" s="106"/>
      <c r="AB777" s="107"/>
      <c r="AE777" s="48" t="str">
        <f t="shared" si="189"/>
        <v/>
      </c>
      <c r="AF777" s="48"/>
      <c r="AG777" s="48"/>
      <c r="AH777" s="89"/>
      <c r="AI777" s="49">
        <f t="shared" si="190"/>
        <v>0</v>
      </c>
      <c r="AJ777" s="49" t="str">
        <f t="shared" si="191"/>
        <v/>
      </c>
      <c r="AK777" s="49">
        <f t="shared" si="192"/>
        <v>0</v>
      </c>
      <c r="AL777" s="49" t="str">
        <f t="shared" si="193"/>
        <v/>
      </c>
      <c r="AM777" s="49">
        <f t="shared" si="194"/>
        <v>0</v>
      </c>
      <c r="AN777" s="49" t="str">
        <f t="shared" si="195"/>
        <v/>
      </c>
      <c r="AO777" s="49">
        <f t="shared" si="196"/>
        <v>1</v>
      </c>
      <c r="AP777" s="49" t="str">
        <f t="shared" si="197"/>
        <v/>
      </c>
      <c r="AQ777" s="49">
        <f t="shared" si="198"/>
        <v>0</v>
      </c>
      <c r="AR777" s="49" t="str">
        <f t="shared" si="199"/>
        <v/>
      </c>
    </row>
    <row r="778" spans="1:44" ht="30" customHeight="1" x14ac:dyDescent="0.35">
      <c r="A778" s="25"/>
      <c r="B778" s="39" t="s">
        <v>53</v>
      </c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108"/>
      <c r="Z778" s="109"/>
      <c r="AA778" s="109"/>
      <c r="AB778" s="110"/>
      <c r="AE778" s="48" t="str">
        <f t="shared" si="189"/>
        <v/>
      </c>
      <c r="AF778" s="48"/>
      <c r="AG778" s="48"/>
      <c r="AH778" s="89"/>
      <c r="AI778" s="49">
        <f t="shared" si="190"/>
        <v>0</v>
      </c>
      <c r="AJ778" s="49" t="str">
        <f t="shared" si="191"/>
        <v/>
      </c>
      <c r="AK778" s="49">
        <f t="shared" si="192"/>
        <v>0</v>
      </c>
      <c r="AL778" s="49" t="str">
        <f t="shared" si="193"/>
        <v/>
      </c>
      <c r="AM778" s="49">
        <f t="shared" si="194"/>
        <v>0</v>
      </c>
      <c r="AN778" s="49" t="str">
        <f t="shared" si="195"/>
        <v/>
      </c>
      <c r="AO778" s="49">
        <f t="shared" si="196"/>
        <v>0</v>
      </c>
      <c r="AP778" s="49" t="str">
        <f t="shared" si="197"/>
        <v/>
      </c>
      <c r="AQ778" s="49">
        <f t="shared" si="198"/>
        <v>0</v>
      </c>
      <c r="AR778" s="49" t="str">
        <f t="shared" si="199"/>
        <v/>
      </c>
    </row>
    <row r="779" spans="1:44" ht="30" customHeight="1" x14ac:dyDescent="0.35">
      <c r="A779" s="25" t="str">
        <f t="shared" si="200"/>
        <v>PT178 - PLATAFORMA DE ACESSO - FORQUILHA 3 - DETALHADO
TORRE B5PROJETO DETALHADO
CIVIL</v>
      </c>
      <c r="B779" s="40" t="s">
        <v>49</v>
      </c>
      <c r="C779" s="60" t="str">
        <f>IF(AND($B779=[1]rogério!$A780,[1]rogério!$B780=C$4),"ok","nok")</f>
        <v>nok</v>
      </c>
      <c r="D779" s="60" t="str">
        <f>IF(AND($B779=[1]rogério!$A780,[1]rogério!$B780=D$4),"ok","nok")</f>
        <v>nok</v>
      </c>
      <c r="E779" s="60" t="str">
        <f>IF(AND($B779=[1]rogério!$A780,[1]rogério!$B780=E$4),"ok","nok")</f>
        <v>nok</v>
      </c>
      <c r="F779" s="60" t="str">
        <f>IF(AND($B779=[1]rogério!$A780,[1]rogério!$B780=F$4),"ok","nok")</f>
        <v>nok</v>
      </c>
      <c r="G779" s="60" t="str">
        <f>IF(AND($B779=[1]rogério!$A780,[1]rogério!$B780=G$4),"ok","nok")</f>
        <v>nok</v>
      </c>
      <c r="H779" s="60" t="str">
        <f>IF(AND($B779=[1]rogério!$A780,[1]rogério!$B780=H$4),"ok","nok")</f>
        <v>nok</v>
      </c>
      <c r="I779" s="60" t="str">
        <f>IF(AND($B779=[1]rogério!$A780,[1]rogério!$B780=I$4),"ok","nok")</f>
        <v>ok</v>
      </c>
      <c r="J779" s="60" t="str">
        <f>IF(AND($B779=[1]rogério!$A780,[1]rogério!$B780=J$4),"ok","nok")</f>
        <v>nok</v>
      </c>
      <c r="K779" s="60" t="str">
        <f>IF(AND($B779=[1]rogério!$A780,[1]rogério!$B780=K$4),"ok","nok")</f>
        <v>nok</v>
      </c>
      <c r="L779" s="60" t="str">
        <f>IF(AND($B779=[1]rogério!$A780,[1]rogério!$B780=L$4),"ok","nok")</f>
        <v>nok</v>
      </c>
      <c r="M779" s="60" t="str">
        <f>IF(AND($B779=[1]rogério!$A780,[1]rogério!$B780=M$4),"ok","nok")</f>
        <v>nok</v>
      </c>
      <c r="N779" s="60" t="str">
        <f>IF(AND($B779=[1]rogério!$A780,[1]rogério!$B780=N$4),"ok","nok")</f>
        <v>nok</v>
      </c>
      <c r="O779" s="60" t="str">
        <f>IF(AND($B779=[1]rogério!$A780,[1]rogério!$B780=O$4),"ok","nok")</f>
        <v>nok</v>
      </c>
      <c r="P779" s="60" t="str">
        <f>IF(AND($B779=[1]rogério!$A780,[1]rogério!$B780=P$4),"ok","nok")</f>
        <v>nok</v>
      </c>
      <c r="Q779" s="60" t="str">
        <f>IF(AND($B779=[1]rogério!$A780,[1]rogério!$B780=Q$4),"ok","nok")</f>
        <v>nok</v>
      </c>
      <c r="R779" s="60" t="str">
        <f>IF(AND($B779=[1]rogério!$A780,[1]rogério!$B780=R$4),"ok","nok")</f>
        <v>nok</v>
      </c>
      <c r="S779" s="60" t="str">
        <f>IF(AND($B779=[1]rogério!$A780,[1]rogério!$B780=S$4),"ok","nok")</f>
        <v>nok</v>
      </c>
      <c r="T779" s="60" t="str">
        <f>IF(AND($B779=[1]rogério!$A780,[1]rogério!$B780=T$4),"ok","nok")</f>
        <v>nok</v>
      </c>
      <c r="U779" s="60" t="str">
        <f>IF(AND($B779=[1]rogério!$A780,[1]rogério!$B780=U$4),"ok","nok")</f>
        <v>nok</v>
      </c>
      <c r="V779" s="60" t="str">
        <f>IF(AND($B779=[1]rogério!$A780,[1]rogério!$B780=V$4),"ok","nok")</f>
        <v>nok</v>
      </c>
      <c r="W779" s="60" t="str">
        <f>IF(AND($B779=[1]rogério!$A780,[1]rogério!$B780=W$4),"ok","nok")</f>
        <v>nok</v>
      </c>
      <c r="X779" s="60" t="str">
        <f>IF(AND($B779=[1]rogério!$A780,[1]rogério!$B780=X$4),"ok","nok")</f>
        <v>nok</v>
      </c>
      <c r="Y779" s="105" t="s">
        <v>15</v>
      </c>
      <c r="Z779" s="106"/>
      <c r="AA779" s="106"/>
      <c r="AB779" s="107"/>
      <c r="AE779" s="48" t="str">
        <f t="shared" si="189"/>
        <v/>
      </c>
      <c r="AF779" s="48"/>
      <c r="AG779" s="48"/>
      <c r="AH779" s="89"/>
      <c r="AI779" s="49">
        <f t="shared" si="190"/>
        <v>0</v>
      </c>
      <c r="AJ779" s="49" t="str">
        <f t="shared" si="191"/>
        <v/>
      </c>
      <c r="AK779" s="49">
        <f t="shared" si="192"/>
        <v>1</v>
      </c>
      <c r="AL779" s="49" t="str">
        <f t="shared" si="193"/>
        <v/>
      </c>
      <c r="AM779" s="49">
        <f t="shared" si="194"/>
        <v>0</v>
      </c>
      <c r="AN779" s="49" t="str">
        <f t="shared" si="195"/>
        <v/>
      </c>
      <c r="AO779" s="49">
        <f t="shared" si="196"/>
        <v>0</v>
      </c>
      <c r="AP779" s="49" t="str">
        <f t="shared" si="197"/>
        <v/>
      </c>
      <c r="AQ779" s="49">
        <f t="shared" si="198"/>
        <v>0</v>
      </c>
      <c r="AR779" s="49" t="str">
        <f t="shared" si="199"/>
        <v/>
      </c>
    </row>
    <row r="780" spans="1:44" ht="30" customHeight="1" x14ac:dyDescent="0.35">
      <c r="A780" s="25" t="str">
        <f t="shared" si="200"/>
        <v>PT178 - PLATAFORMA DE ACESSO - FORQUILHA 3 - DETALHADO
TORRE B5PROJETO DETALHADO
CIVIL</v>
      </c>
      <c r="B780" s="40" t="s">
        <v>19</v>
      </c>
      <c r="C780" s="60" t="str">
        <f>IF(AND($B780=[1]rogério!$A781,[1]rogério!$B781=C$4),"ok","nok")</f>
        <v>nok</v>
      </c>
      <c r="D780" s="60" t="str">
        <f>IF(AND($B780=[1]rogério!$A781,[1]rogério!$B781=D$4),"ok","nok")</f>
        <v>nok</v>
      </c>
      <c r="E780" s="60" t="str">
        <f>IF(AND($B780=[1]rogério!$A781,[1]rogério!$B781=E$4),"ok","nok")</f>
        <v>nok</v>
      </c>
      <c r="F780" s="60" t="str">
        <f>IF(AND($B780=[1]rogério!$A781,[1]rogério!$B781=F$4),"ok","nok")</f>
        <v>nok</v>
      </c>
      <c r="G780" s="60" t="str">
        <f>IF(AND($B780=[1]rogério!$A781,[1]rogério!$B781=G$4),"ok","nok")</f>
        <v>nok</v>
      </c>
      <c r="H780" s="60" t="str">
        <f>IF(AND($B780=[1]rogério!$A781,[1]rogério!$B781=H$4),"ok","nok")</f>
        <v>nok</v>
      </c>
      <c r="I780" s="60" t="str">
        <f>IF(AND($B780=[1]rogério!$A781,[1]rogério!$B781=I$4),"ok","nok")</f>
        <v>nok</v>
      </c>
      <c r="J780" s="60" t="str">
        <f>IF(AND($B780=[1]rogério!$A781,[1]rogério!$B781=J$4),"ok","nok")</f>
        <v>nok</v>
      </c>
      <c r="K780" s="60" t="str">
        <f>IF(AND($B780=[1]rogério!$A781,[1]rogério!$B781=K$4),"ok","nok")</f>
        <v>nok</v>
      </c>
      <c r="L780" s="60" t="str">
        <f>IF(AND($B780=[1]rogério!$A781,[1]rogério!$B781=L$4),"ok","nok")</f>
        <v>nok</v>
      </c>
      <c r="M780" s="60" t="str">
        <f>IF(AND($B780=[1]rogério!$A781,[1]rogério!$B781=M$4),"ok","nok")</f>
        <v>ok</v>
      </c>
      <c r="N780" s="60" t="str">
        <f>IF(AND($B780=[1]rogério!$A781,[1]rogério!$B781=N$4),"ok","nok")</f>
        <v>nok</v>
      </c>
      <c r="O780" s="60" t="str">
        <f>IF(AND($B780=[1]rogério!$A781,[1]rogério!$B781=O$4),"ok","nok")</f>
        <v>nok</v>
      </c>
      <c r="P780" s="60" t="str">
        <f>IF(AND($B780=[1]rogério!$A781,[1]rogério!$B781=P$4),"ok","nok")</f>
        <v>nok</v>
      </c>
      <c r="Q780" s="60" t="str">
        <f>IF(AND($B780=[1]rogério!$A781,[1]rogério!$B781=Q$4),"ok","nok")</f>
        <v>nok</v>
      </c>
      <c r="R780" s="60" t="str">
        <f>IF(AND($B780=[1]rogério!$A781,[1]rogério!$B781=R$4),"ok","nok")</f>
        <v>nok</v>
      </c>
      <c r="S780" s="60" t="str">
        <f>IF(AND($B780=[1]rogério!$A781,[1]rogério!$B781=S$4),"ok","nok")</f>
        <v>nok</v>
      </c>
      <c r="T780" s="60" t="str">
        <f>IF(AND($B780=[1]rogério!$A781,[1]rogério!$B781=T$4),"ok","nok")</f>
        <v>nok</v>
      </c>
      <c r="U780" s="60" t="str">
        <f>IF(AND($B780=[1]rogério!$A781,[1]rogério!$B781=U$4),"ok","nok")</f>
        <v>nok</v>
      </c>
      <c r="V780" s="60" t="str">
        <f>IF(AND($B780=[1]rogério!$A781,[1]rogério!$B781=V$4),"ok","nok")</f>
        <v>nok</v>
      </c>
      <c r="W780" s="60" t="str">
        <f>IF(AND($B780=[1]rogério!$A781,[1]rogério!$B781=W$4),"ok","nok")</f>
        <v>nok</v>
      </c>
      <c r="X780" s="60" t="str">
        <f>IF(AND($B780=[1]rogério!$A781,[1]rogério!$B781=X$4),"ok","nok")</f>
        <v>nok</v>
      </c>
      <c r="Y780" s="105" t="s">
        <v>15</v>
      </c>
      <c r="Z780" s="106"/>
      <c r="AA780" s="106"/>
      <c r="AB780" s="107"/>
      <c r="AE780" s="48" t="str">
        <f t="shared" si="189"/>
        <v/>
      </c>
      <c r="AF780" s="48"/>
      <c r="AG780" s="48"/>
      <c r="AH780" s="89"/>
      <c r="AI780" s="49">
        <f t="shared" si="190"/>
        <v>0</v>
      </c>
      <c r="AJ780" s="49" t="str">
        <f t="shared" si="191"/>
        <v/>
      </c>
      <c r="AK780" s="49">
        <f t="shared" si="192"/>
        <v>0</v>
      </c>
      <c r="AL780" s="49" t="str">
        <f t="shared" si="193"/>
        <v/>
      </c>
      <c r="AM780" s="49">
        <f t="shared" si="194"/>
        <v>1</v>
      </c>
      <c r="AN780" s="49" t="str">
        <f t="shared" si="195"/>
        <v/>
      </c>
      <c r="AO780" s="49">
        <f t="shared" si="196"/>
        <v>0</v>
      </c>
      <c r="AP780" s="49" t="str">
        <f t="shared" si="197"/>
        <v/>
      </c>
      <c r="AQ780" s="49">
        <f t="shared" si="198"/>
        <v>0</v>
      </c>
      <c r="AR780" s="49" t="str">
        <f t="shared" si="199"/>
        <v/>
      </c>
    </row>
    <row r="781" spans="1:44" ht="30" customHeight="1" x14ac:dyDescent="0.35">
      <c r="A781" s="25" t="str">
        <f t="shared" si="200"/>
        <v>PT178 - PLATAFORMA DE ACESSO - FORQUILHA 3 - DETALHADO
TORRE B5PROJETO DETALHADO
CIVIL</v>
      </c>
      <c r="B781" s="40" t="s">
        <v>42</v>
      </c>
      <c r="C781" s="60" t="str">
        <f>IF(AND($B781=[1]rogério!$A782,[1]rogério!$B782=C$4),"ok","nok")</f>
        <v>nok</v>
      </c>
      <c r="D781" s="60" t="str">
        <f>IF(AND($B781=[1]rogério!$A782,[1]rogério!$B782=D$4),"ok","nok")</f>
        <v>nok</v>
      </c>
      <c r="E781" s="60" t="str">
        <f>IF(AND($B781=[1]rogério!$A782,[1]rogério!$B782=E$4),"ok","nok")</f>
        <v>nok</v>
      </c>
      <c r="F781" s="60" t="str">
        <f>IF(AND($B781=[1]rogério!$A782,[1]rogério!$B782=F$4),"ok","nok")</f>
        <v>nok</v>
      </c>
      <c r="G781" s="60" t="str">
        <f>IF(AND($B781=[1]rogério!$A782,[1]rogério!$B782=G$4),"ok","nok")</f>
        <v>nok</v>
      </c>
      <c r="H781" s="60" t="str">
        <f>IF(AND($B781=[1]rogério!$A782,[1]rogério!$B782=H$4),"ok","nok")</f>
        <v>nok</v>
      </c>
      <c r="I781" s="60" t="str">
        <f>IF(AND($B781=[1]rogério!$A782,[1]rogério!$B782=I$4),"ok","nok")</f>
        <v>nok</v>
      </c>
      <c r="J781" s="60" t="str">
        <f>IF(AND($B781=[1]rogério!$A782,[1]rogério!$B782=J$4),"ok","nok")</f>
        <v>nok</v>
      </c>
      <c r="K781" s="60" t="str">
        <f>IF(AND($B781=[1]rogério!$A782,[1]rogério!$B782=K$4),"ok","nok")</f>
        <v>nok</v>
      </c>
      <c r="L781" s="60" t="str">
        <f>IF(AND($B781=[1]rogério!$A782,[1]rogério!$B782=L$4),"ok","nok")</f>
        <v>nok</v>
      </c>
      <c r="M781" s="60" t="str">
        <f>IF(AND($B781=[1]rogério!$A782,[1]rogério!$B782=M$4),"ok","nok")</f>
        <v>nok</v>
      </c>
      <c r="N781" s="60" t="str">
        <f>IF(AND($B781=[1]rogério!$A782,[1]rogério!$B782=N$4),"ok","nok")</f>
        <v>nok</v>
      </c>
      <c r="O781" s="60" t="str">
        <f>IF(AND($B781=[1]rogério!$A782,[1]rogério!$B782=O$4),"ok","nok")</f>
        <v>nok</v>
      </c>
      <c r="P781" s="60" t="str">
        <f>IF(AND($B781=[1]rogério!$A782,[1]rogério!$B782=P$4),"ok","nok")</f>
        <v>ok</v>
      </c>
      <c r="Q781" s="60" t="str">
        <f>IF(AND($B781=[1]rogério!$A782,[1]rogério!$B782=Q$4),"ok","nok")</f>
        <v>nok</v>
      </c>
      <c r="R781" s="60" t="str">
        <f>IF(AND($B781=[1]rogério!$A782,[1]rogério!$B782=R$4),"ok","nok")</f>
        <v>nok</v>
      </c>
      <c r="S781" s="60" t="str">
        <f>IF(AND($B781=[1]rogério!$A782,[1]rogério!$B782=S$4),"ok","nok")</f>
        <v>nok</v>
      </c>
      <c r="T781" s="60" t="str">
        <f>IF(AND($B781=[1]rogério!$A782,[1]rogério!$B782=T$4),"ok","nok")</f>
        <v>nok</v>
      </c>
      <c r="U781" s="60" t="str">
        <f>IF(AND($B781=[1]rogério!$A782,[1]rogério!$B782=U$4),"ok","nok")</f>
        <v>nok</v>
      </c>
      <c r="V781" s="60" t="str">
        <f>IF(AND($B781=[1]rogério!$A782,[1]rogério!$B782=V$4),"ok","nok")</f>
        <v>nok</v>
      </c>
      <c r="W781" s="60" t="str">
        <f>IF(AND($B781=[1]rogério!$A782,[1]rogério!$B782=W$4),"ok","nok")</f>
        <v>nok</v>
      </c>
      <c r="X781" s="60" t="str">
        <f>IF(AND($B781=[1]rogério!$A782,[1]rogério!$B782=X$4),"ok","nok")</f>
        <v>nok</v>
      </c>
      <c r="Y781" s="105" t="s">
        <v>15</v>
      </c>
      <c r="Z781" s="106"/>
      <c r="AA781" s="106"/>
      <c r="AB781" s="107"/>
      <c r="AE781" s="48" t="str">
        <f t="shared" si="189"/>
        <v/>
      </c>
      <c r="AF781" s="48"/>
      <c r="AG781" s="48"/>
      <c r="AH781" s="89"/>
      <c r="AI781" s="49">
        <f t="shared" si="190"/>
        <v>0</v>
      </c>
      <c r="AJ781" s="49" t="str">
        <f t="shared" si="191"/>
        <v/>
      </c>
      <c r="AK781" s="49">
        <f t="shared" si="192"/>
        <v>0</v>
      </c>
      <c r="AL781" s="49" t="str">
        <f t="shared" si="193"/>
        <v/>
      </c>
      <c r="AM781" s="49">
        <f t="shared" si="194"/>
        <v>1</v>
      </c>
      <c r="AN781" s="49" t="str">
        <f t="shared" si="195"/>
        <v/>
      </c>
      <c r="AO781" s="49">
        <f t="shared" si="196"/>
        <v>0</v>
      </c>
      <c r="AP781" s="49" t="str">
        <f t="shared" si="197"/>
        <v/>
      </c>
      <c r="AQ781" s="49">
        <f t="shared" si="198"/>
        <v>0</v>
      </c>
      <c r="AR781" s="49" t="str">
        <f t="shared" si="199"/>
        <v/>
      </c>
    </row>
    <row r="782" spans="1:44" ht="30" customHeight="1" x14ac:dyDescent="0.35">
      <c r="A782" s="25" t="str">
        <f t="shared" si="200"/>
        <v>PT178 - PLATAFORMA DE ACESSO - FORQUILHA 3 - DETALHADO
TORRE B5PROJETO DETALHADO
CIVIL</v>
      </c>
      <c r="B782" s="40" t="s">
        <v>43</v>
      </c>
      <c r="C782" s="60" t="str">
        <f>IF(AND($B782=[1]rogério!$A783,[1]rogério!$B783=C$4),"ok","nok")</f>
        <v>nok</v>
      </c>
      <c r="D782" s="60" t="str">
        <f>IF(AND($B782=[1]rogério!$A783,[1]rogério!$B783=D$4),"ok","nok")</f>
        <v>nok</v>
      </c>
      <c r="E782" s="60" t="str">
        <f>IF(AND($B782=[1]rogério!$A783,[1]rogério!$B783=E$4),"ok","nok")</f>
        <v>nok</v>
      </c>
      <c r="F782" s="60" t="str">
        <f>IF(AND($B782=[1]rogério!$A783,[1]rogério!$B783=F$4),"ok","nok")</f>
        <v>nok</v>
      </c>
      <c r="G782" s="60" t="str">
        <f>IF(AND($B782=[1]rogério!$A783,[1]rogério!$B783=G$4),"ok","nok")</f>
        <v>nok</v>
      </c>
      <c r="H782" s="60" t="str">
        <f>IF(AND($B782=[1]rogério!$A783,[1]rogério!$B783=H$4),"ok","nok")</f>
        <v>nok</v>
      </c>
      <c r="I782" s="60" t="str">
        <f>IF(AND($B782=[1]rogério!$A783,[1]rogério!$B783=I$4),"ok","nok")</f>
        <v>nok</v>
      </c>
      <c r="J782" s="60" t="str">
        <f>IF(AND($B782=[1]rogério!$A783,[1]rogério!$B783=J$4),"ok","nok")</f>
        <v>nok</v>
      </c>
      <c r="K782" s="60" t="str">
        <f>IF(AND($B782=[1]rogério!$A783,[1]rogério!$B783=K$4),"ok","nok")</f>
        <v>nok</v>
      </c>
      <c r="L782" s="60" t="str">
        <f>IF(AND($B782=[1]rogério!$A783,[1]rogério!$B783=L$4),"ok","nok")</f>
        <v>nok</v>
      </c>
      <c r="M782" s="60" t="str">
        <f>IF(AND($B782=[1]rogério!$A783,[1]rogério!$B783=M$4),"ok","nok")</f>
        <v>nok</v>
      </c>
      <c r="N782" s="60" t="str">
        <f>IF(AND($B782=[1]rogério!$A783,[1]rogério!$B783=N$4),"ok","nok")</f>
        <v>nok</v>
      </c>
      <c r="O782" s="60" t="str">
        <f>IF(AND($B782=[1]rogério!$A783,[1]rogério!$B783=O$4),"ok","nok")</f>
        <v>nok</v>
      </c>
      <c r="P782" s="60" t="str">
        <f>IF(AND($B782=[1]rogério!$A783,[1]rogério!$B783=P$4),"ok","nok")</f>
        <v>ok</v>
      </c>
      <c r="Q782" s="60" t="str">
        <f>IF(AND($B782=[1]rogério!$A783,[1]rogério!$B783=Q$4),"ok","nok")</f>
        <v>nok</v>
      </c>
      <c r="R782" s="60" t="str">
        <f>IF(AND($B782=[1]rogério!$A783,[1]rogério!$B783=R$4),"ok","nok")</f>
        <v>nok</v>
      </c>
      <c r="S782" s="60" t="str">
        <f>IF(AND($B782=[1]rogério!$A783,[1]rogério!$B783=S$4),"ok","nok")</f>
        <v>nok</v>
      </c>
      <c r="T782" s="60" t="str">
        <f>IF(AND($B782=[1]rogério!$A783,[1]rogério!$B783=T$4),"ok","nok")</f>
        <v>nok</v>
      </c>
      <c r="U782" s="60" t="str">
        <f>IF(AND($B782=[1]rogério!$A783,[1]rogério!$B783=U$4),"ok","nok")</f>
        <v>nok</v>
      </c>
      <c r="V782" s="60" t="str">
        <f>IF(AND($B782=[1]rogério!$A783,[1]rogério!$B783=V$4),"ok","nok")</f>
        <v>nok</v>
      </c>
      <c r="W782" s="60" t="str">
        <f>IF(AND($B782=[1]rogério!$A783,[1]rogério!$B783=W$4),"ok","nok")</f>
        <v>nok</v>
      </c>
      <c r="X782" s="60" t="str">
        <f>IF(AND($B782=[1]rogério!$A783,[1]rogério!$B783=X$4),"ok","nok")</f>
        <v>nok</v>
      </c>
      <c r="Y782" s="105" t="s">
        <v>15</v>
      </c>
      <c r="Z782" s="106"/>
      <c r="AA782" s="106"/>
      <c r="AB782" s="107"/>
      <c r="AE782" s="48" t="str">
        <f t="shared" si="189"/>
        <v/>
      </c>
      <c r="AF782" s="48"/>
      <c r="AG782" s="48"/>
      <c r="AH782" s="89"/>
      <c r="AI782" s="49">
        <f t="shared" si="190"/>
        <v>0</v>
      </c>
      <c r="AJ782" s="49" t="str">
        <f t="shared" si="191"/>
        <v/>
      </c>
      <c r="AK782" s="49">
        <f t="shared" si="192"/>
        <v>0</v>
      </c>
      <c r="AL782" s="49" t="str">
        <f t="shared" si="193"/>
        <v/>
      </c>
      <c r="AM782" s="49">
        <f t="shared" si="194"/>
        <v>1</v>
      </c>
      <c r="AN782" s="49" t="str">
        <f t="shared" si="195"/>
        <v/>
      </c>
      <c r="AO782" s="49">
        <f t="shared" si="196"/>
        <v>0</v>
      </c>
      <c r="AP782" s="49" t="str">
        <f t="shared" si="197"/>
        <v/>
      </c>
      <c r="AQ782" s="49">
        <f t="shared" si="198"/>
        <v>0</v>
      </c>
      <c r="AR782" s="49" t="str">
        <f t="shared" si="199"/>
        <v/>
      </c>
    </row>
    <row r="783" spans="1:44" ht="30" customHeight="1" x14ac:dyDescent="0.35">
      <c r="A783" s="25" t="str">
        <f t="shared" si="200"/>
        <v>PT178 - PLATAFORMA DE ACESSO - FORQUILHA 3 - DETALHADO
TORRE B5PROJETO DETALHADO
CIVIL</v>
      </c>
      <c r="B783" s="38" t="s">
        <v>74</v>
      </c>
      <c r="C783" s="60" t="str">
        <f>IF(AND($B783=[1]rogério!$A784,[1]rogério!$B784=C$4),"ok","nok")</f>
        <v>nok</v>
      </c>
      <c r="D783" s="60" t="str">
        <f>IF(AND($B783=[1]rogério!$A784,[1]rogério!$B784=D$4),"ok","nok")</f>
        <v>nok</v>
      </c>
      <c r="E783" s="60" t="str">
        <f>IF(AND($B783=[1]rogério!$A784,[1]rogério!$B784=E$4),"ok","nok")</f>
        <v>nok</v>
      </c>
      <c r="F783" s="60" t="str">
        <f>IF(AND($B783=[1]rogério!$A784,[1]rogério!$B784=F$4),"ok","nok")</f>
        <v>nok</v>
      </c>
      <c r="G783" s="60" t="str">
        <f>IF(AND($B783=[1]rogério!$A784,[1]rogério!$B784=G$4),"ok","nok")</f>
        <v>nok</v>
      </c>
      <c r="H783" s="60" t="str">
        <f>IF(AND($B783=[1]rogério!$A784,[1]rogério!$B784=H$4),"ok","nok")</f>
        <v>nok</v>
      </c>
      <c r="I783" s="60" t="str">
        <f>IF(AND($B783=[1]rogério!$A784,[1]rogério!$B784=I$4),"ok","nok")</f>
        <v>nok</v>
      </c>
      <c r="J783" s="60" t="str">
        <f>IF(AND($B783=[1]rogério!$A784,[1]rogério!$B784=J$4),"ok","nok")</f>
        <v>nok</v>
      </c>
      <c r="K783" s="60" t="str">
        <f>IF(AND($B783=[1]rogério!$A784,[1]rogério!$B784=K$4),"ok","nok")</f>
        <v>nok</v>
      </c>
      <c r="L783" s="60" t="str">
        <f>IF(AND($B783=[1]rogério!$A784,[1]rogério!$B784=L$4),"ok","nok")</f>
        <v>ok</v>
      </c>
      <c r="M783" s="60" t="str">
        <f>IF(AND($B783=[1]rogério!$A784,[1]rogério!$B784=M$4),"ok","nok")</f>
        <v>nok</v>
      </c>
      <c r="N783" s="60" t="str">
        <f>IF(AND($B783=[1]rogério!$A784,[1]rogério!$B784=N$4),"ok","nok")</f>
        <v>nok</v>
      </c>
      <c r="O783" s="60" t="str">
        <f>IF(AND($B783=[1]rogério!$A784,[1]rogério!$B784=O$4),"ok","nok")</f>
        <v>nok</v>
      </c>
      <c r="P783" s="60" t="str">
        <f>IF(AND($B783=[1]rogério!$A784,[1]rogério!$B784=P$4),"ok","nok")</f>
        <v>nok</v>
      </c>
      <c r="Q783" s="60" t="str">
        <f>IF(AND($B783=[1]rogério!$A784,[1]rogério!$B784=Q$4),"ok","nok")</f>
        <v>nok</v>
      </c>
      <c r="R783" s="60" t="str">
        <f>IF(AND($B783=[1]rogério!$A784,[1]rogério!$B784=R$4),"ok","nok")</f>
        <v>nok</v>
      </c>
      <c r="S783" s="60" t="str">
        <f>IF(AND($B783=[1]rogério!$A784,[1]rogério!$B784=S$4),"ok","nok")</f>
        <v>nok</v>
      </c>
      <c r="T783" s="60" t="str">
        <f>IF(AND($B783=[1]rogério!$A784,[1]rogério!$B784=T$4),"ok","nok")</f>
        <v>nok</v>
      </c>
      <c r="U783" s="60" t="str">
        <f>IF(AND($B783=[1]rogério!$A784,[1]rogério!$B784=U$4),"ok","nok")</f>
        <v>nok</v>
      </c>
      <c r="V783" s="60" t="str">
        <f>IF(AND($B783=[1]rogério!$A784,[1]rogério!$B784=V$4),"ok","nok")</f>
        <v>nok</v>
      </c>
      <c r="W783" s="60" t="str">
        <f>IF(AND($B783=[1]rogério!$A784,[1]rogério!$B784=W$4),"ok","nok")</f>
        <v>nok</v>
      </c>
      <c r="X783" s="60" t="str">
        <f>IF(AND($B783=[1]rogério!$A784,[1]rogério!$B784=X$4),"ok","nok")</f>
        <v>nok</v>
      </c>
      <c r="Y783" s="105" t="s">
        <v>15</v>
      </c>
      <c r="Z783" s="106"/>
      <c r="AA783" s="106"/>
      <c r="AB783" s="107"/>
      <c r="AE783" s="48" t="str">
        <f t="shared" si="189"/>
        <v/>
      </c>
      <c r="AF783" s="48"/>
      <c r="AG783" s="48"/>
      <c r="AH783" s="89"/>
      <c r="AI783" s="49">
        <f t="shared" si="190"/>
        <v>0</v>
      </c>
      <c r="AJ783" s="49" t="str">
        <f t="shared" si="191"/>
        <v/>
      </c>
      <c r="AK783" s="49">
        <f t="shared" si="192"/>
        <v>1</v>
      </c>
      <c r="AL783" s="49" t="str">
        <f t="shared" si="193"/>
        <v/>
      </c>
      <c r="AM783" s="49">
        <f t="shared" si="194"/>
        <v>0</v>
      </c>
      <c r="AN783" s="49" t="str">
        <f t="shared" si="195"/>
        <v/>
      </c>
      <c r="AO783" s="49">
        <f t="shared" si="196"/>
        <v>0</v>
      </c>
      <c r="AP783" s="49" t="str">
        <f t="shared" si="197"/>
        <v/>
      </c>
      <c r="AQ783" s="49">
        <f t="shared" si="198"/>
        <v>0</v>
      </c>
      <c r="AR783" s="49" t="str">
        <f t="shared" si="199"/>
        <v/>
      </c>
    </row>
    <row r="784" spans="1:44" ht="30" customHeight="1" x14ac:dyDescent="0.35">
      <c r="A784" s="25" t="str">
        <f t="shared" si="200"/>
        <v>PT178 - PLATAFORMA DE ACESSO - FORQUILHA 3 - DETALHADO
TORRE B5PROJETO DETALHADO
CIVIL</v>
      </c>
      <c r="B784" s="38" t="s">
        <v>75</v>
      </c>
      <c r="C784" s="60" t="str">
        <f>IF(AND($B784=[1]rogério!$A785,[1]rogério!$B785=C$4),"ok","nok")</f>
        <v>nok</v>
      </c>
      <c r="D784" s="60" t="str">
        <f>IF(AND($B784=[1]rogério!$A785,[1]rogério!$B785=D$4),"ok","nok")</f>
        <v>nok</v>
      </c>
      <c r="E784" s="60" t="str">
        <f>IF(AND($B784=[1]rogério!$A785,[1]rogério!$B785=E$4),"ok","nok")</f>
        <v>nok</v>
      </c>
      <c r="F784" s="60" t="str">
        <f>IF(AND($B784=[1]rogério!$A785,[1]rogério!$B785=F$4),"ok","nok")</f>
        <v>nok</v>
      </c>
      <c r="G784" s="60" t="str">
        <f>IF(AND($B784=[1]rogério!$A785,[1]rogério!$B785=G$4),"ok","nok")</f>
        <v>nok</v>
      </c>
      <c r="H784" s="60" t="str">
        <f>IF(AND($B784=[1]rogério!$A785,[1]rogério!$B785=H$4),"ok","nok")</f>
        <v>nok</v>
      </c>
      <c r="I784" s="60" t="str">
        <f>IF(AND($B784=[1]rogério!$A785,[1]rogério!$B785=I$4),"ok","nok")</f>
        <v>nok</v>
      </c>
      <c r="J784" s="60" t="str">
        <f>IF(AND($B784=[1]rogério!$A785,[1]rogério!$B785=J$4),"ok","nok")</f>
        <v>nok</v>
      </c>
      <c r="K784" s="60" t="str">
        <f>IF(AND($B784=[1]rogério!$A785,[1]rogério!$B785=K$4),"ok","nok")</f>
        <v>nok</v>
      </c>
      <c r="L784" s="60" t="str">
        <f>IF(AND($B784=[1]rogério!$A785,[1]rogério!$B785=L$4),"ok","nok")</f>
        <v>nok</v>
      </c>
      <c r="M784" s="60" t="str">
        <f>IF(AND($B784=[1]rogério!$A785,[1]rogério!$B785=M$4),"ok","nok")</f>
        <v>ok</v>
      </c>
      <c r="N784" s="60" t="str">
        <f>IF(AND($B784=[1]rogério!$A785,[1]rogério!$B785=N$4),"ok","nok")</f>
        <v>nok</v>
      </c>
      <c r="O784" s="60" t="str">
        <f>IF(AND($B784=[1]rogério!$A785,[1]rogério!$B785=O$4),"ok","nok")</f>
        <v>nok</v>
      </c>
      <c r="P784" s="60" t="str">
        <f>IF(AND($B784=[1]rogério!$A785,[1]rogério!$B785=P$4),"ok","nok")</f>
        <v>nok</v>
      </c>
      <c r="Q784" s="60" t="str">
        <f>IF(AND($B784=[1]rogério!$A785,[1]rogério!$B785=Q$4),"ok","nok")</f>
        <v>nok</v>
      </c>
      <c r="R784" s="60" t="str">
        <f>IF(AND($B784=[1]rogério!$A785,[1]rogério!$B785=R$4),"ok","nok")</f>
        <v>nok</v>
      </c>
      <c r="S784" s="60" t="str">
        <f>IF(AND($B784=[1]rogério!$A785,[1]rogério!$B785=S$4),"ok","nok")</f>
        <v>nok</v>
      </c>
      <c r="T784" s="60" t="str">
        <f>IF(AND($B784=[1]rogério!$A785,[1]rogério!$B785=T$4),"ok","nok")</f>
        <v>nok</v>
      </c>
      <c r="U784" s="60" t="str">
        <f>IF(AND($B784=[1]rogério!$A785,[1]rogério!$B785=U$4),"ok","nok")</f>
        <v>nok</v>
      </c>
      <c r="V784" s="60" t="str">
        <f>IF(AND($B784=[1]rogério!$A785,[1]rogério!$B785=V$4),"ok","nok")</f>
        <v>nok</v>
      </c>
      <c r="W784" s="60" t="str">
        <f>IF(AND($B784=[1]rogério!$A785,[1]rogério!$B785=W$4),"ok","nok")</f>
        <v>nok</v>
      </c>
      <c r="X784" s="60" t="str">
        <f>IF(AND($B784=[1]rogério!$A785,[1]rogério!$B785=X$4),"ok","nok")</f>
        <v>nok</v>
      </c>
      <c r="Y784" s="105" t="s">
        <v>15</v>
      </c>
      <c r="Z784" s="106"/>
      <c r="AA784" s="106"/>
      <c r="AB784" s="107"/>
      <c r="AE784" s="48" t="str">
        <f t="shared" si="189"/>
        <v/>
      </c>
      <c r="AF784" s="48"/>
      <c r="AG784" s="48"/>
      <c r="AH784" s="89"/>
      <c r="AI784" s="49">
        <f t="shared" si="190"/>
        <v>0</v>
      </c>
      <c r="AJ784" s="49" t="str">
        <f t="shared" si="191"/>
        <v/>
      </c>
      <c r="AK784" s="49">
        <f t="shared" si="192"/>
        <v>0</v>
      </c>
      <c r="AL784" s="49" t="str">
        <f t="shared" si="193"/>
        <v/>
      </c>
      <c r="AM784" s="49">
        <f t="shared" si="194"/>
        <v>1</v>
      </c>
      <c r="AN784" s="49" t="str">
        <f t="shared" si="195"/>
        <v/>
      </c>
      <c r="AO784" s="49">
        <f t="shared" si="196"/>
        <v>0</v>
      </c>
      <c r="AP784" s="49" t="str">
        <f t="shared" si="197"/>
        <v/>
      </c>
      <c r="AQ784" s="49">
        <f t="shared" si="198"/>
        <v>0</v>
      </c>
      <c r="AR784" s="49" t="str">
        <f t="shared" si="199"/>
        <v/>
      </c>
    </row>
    <row r="785" spans="1:44" ht="30" customHeight="1" x14ac:dyDescent="0.35">
      <c r="A785" s="25"/>
      <c r="B785" s="39" t="s">
        <v>62</v>
      </c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108"/>
      <c r="Z785" s="109"/>
      <c r="AA785" s="109"/>
      <c r="AB785" s="110"/>
      <c r="AE785" s="48" t="str">
        <f t="shared" si="189"/>
        <v/>
      </c>
      <c r="AF785" s="48"/>
      <c r="AG785" s="48"/>
      <c r="AH785" s="89"/>
      <c r="AI785" s="49">
        <f t="shared" si="190"/>
        <v>0</v>
      </c>
      <c r="AJ785" s="49" t="str">
        <f t="shared" si="191"/>
        <v/>
      </c>
      <c r="AK785" s="49">
        <f t="shared" si="192"/>
        <v>0</v>
      </c>
      <c r="AL785" s="49" t="str">
        <f t="shared" si="193"/>
        <v/>
      </c>
      <c r="AM785" s="49">
        <f t="shared" si="194"/>
        <v>0</v>
      </c>
      <c r="AN785" s="49" t="str">
        <f t="shared" si="195"/>
        <v/>
      </c>
      <c r="AO785" s="49">
        <f t="shared" si="196"/>
        <v>0</v>
      </c>
      <c r="AP785" s="49" t="str">
        <f t="shared" si="197"/>
        <v/>
      </c>
      <c r="AQ785" s="49">
        <f t="shared" si="198"/>
        <v>0</v>
      </c>
      <c r="AR785" s="49" t="str">
        <f t="shared" si="199"/>
        <v/>
      </c>
    </row>
    <row r="786" spans="1:44" ht="30" customHeight="1" x14ac:dyDescent="0.35">
      <c r="A786" s="25" t="str">
        <f t="shared" si="200"/>
        <v>PT178 - PLATAFORMA DE ACESSO - FORQUILHA 3 - DETALHADO
TORRE B5PROJETO DETALHADO
CIVIL</v>
      </c>
      <c r="B786" s="40" t="s">
        <v>49</v>
      </c>
      <c r="C786" s="60" t="str">
        <f>IF(AND($B786=[1]rogério!$A787,[1]rogério!$B787=C$4),"ok","nok")</f>
        <v>nok</v>
      </c>
      <c r="D786" s="60" t="str">
        <f>IF(AND($B786=[1]rogério!$A787,[1]rogério!$B787=D$4),"ok","nok")</f>
        <v>nok</v>
      </c>
      <c r="E786" s="60" t="str">
        <f>IF(AND($B786=[1]rogério!$A787,[1]rogério!$B787=E$4),"ok","nok")</f>
        <v>nok</v>
      </c>
      <c r="F786" s="60" t="str">
        <f>IF(AND($B786=[1]rogério!$A787,[1]rogério!$B787=F$4),"ok","nok")</f>
        <v>nok</v>
      </c>
      <c r="G786" s="60" t="str">
        <f>IF(AND($B786=[1]rogério!$A787,[1]rogério!$B787=G$4),"ok","nok")</f>
        <v>nok</v>
      </c>
      <c r="H786" s="60" t="str">
        <f>IF(AND($B786=[1]rogério!$A787,[1]rogério!$B787=H$4),"ok","nok")</f>
        <v>nok</v>
      </c>
      <c r="I786" s="60" t="str">
        <f>IF(AND($B786=[1]rogério!$A787,[1]rogério!$B787=I$4),"ok","nok")</f>
        <v>nok</v>
      </c>
      <c r="J786" s="60" t="str">
        <f>IF(AND($B786=[1]rogério!$A787,[1]rogério!$B787=J$4),"ok","nok")</f>
        <v>nok</v>
      </c>
      <c r="K786" s="60" t="str">
        <f>IF(AND($B786=[1]rogério!$A787,[1]rogério!$B787=K$4),"ok","nok")</f>
        <v>nok</v>
      </c>
      <c r="L786" s="60" t="str">
        <f>IF(AND($B786=[1]rogério!$A787,[1]rogério!$B787=L$4),"ok","nok")</f>
        <v>nok</v>
      </c>
      <c r="M786" s="60" t="str">
        <f>IF(AND($B786=[1]rogério!$A787,[1]rogério!$B787=M$4),"ok","nok")</f>
        <v>ok</v>
      </c>
      <c r="N786" s="60" t="str">
        <f>IF(AND($B786=[1]rogério!$A787,[1]rogério!$B787=N$4),"ok","nok")</f>
        <v>nok</v>
      </c>
      <c r="O786" s="60" t="str">
        <f>IF(AND($B786=[1]rogério!$A787,[1]rogério!$B787=O$4),"ok","nok")</f>
        <v>nok</v>
      </c>
      <c r="P786" s="60" t="str">
        <f>IF(AND($B786=[1]rogério!$A787,[1]rogério!$B787=P$4),"ok","nok")</f>
        <v>nok</v>
      </c>
      <c r="Q786" s="60" t="str">
        <f>IF(AND($B786=[1]rogério!$A787,[1]rogério!$B787=Q$4),"ok","nok")</f>
        <v>nok</v>
      </c>
      <c r="R786" s="60" t="str">
        <f>IF(AND($B786=[1]rogério!$A787,[1]rogério!$B787=R$4),"ok","nok")</f>
        <v>nok</v>
      </c>
      <c r="S786" s="60" t="str">
        <f>IF(AND($B786=[1]rogério!$A787,[1]rogério!$B787=S$4),"ok","nok")</f>
        <v>nok</v>
      </c>
      <c r="T786" s="60" t="str">
        <f>IF(AND($B786=[1]rogério!$A787,[1]rogério!$B787=T$4),"ok","nok")</f>
        <v>nok</v>
      </c>
      <c r="U786" s="60" t="str">
        <f>IF(AND($B786=[1]rogério!$A787,[1]rogério!$B787=U$4),"ok","nok")</f>
        <v>nok</v>
      </c>
      <c r="V786" s="60" t="str">
        <f>IF(AND($B786=[1]rogério!$A787,[1]rogério!$B787=V$4),"ok","nok")</f>
        <v>nok</v>
      </c>
      <c r="W786" s="60" t="str">
        <f>IF(AND($B786=[1]rogério!$A787,[1]rogério!$B787=W$4),"ok","nok")</f>
        <v>nok</v>
      </c>
      <c r="X786" s="60" t="str">
        <f>IF(AND($B786=[1]rogério!$A787,[1]rogério!$B787=X$4),"ok","nok")</f>
        <v>nok</v>
      </c>
      <c r="Y786" s="105" t="s">
        <v>15</v>
      </c>
      <c r="Z786" s="106"/>
      <c r="AA786" s="106"/>
      <c r="AB786" s="107"/>
      <c r="AE786" s="48" t="str">
        <f t="shared" si="189"/>
        <v/>
      </c>
      <c r="AF786" s="48"/>
      <c r="AG786" s="48"/>
      <c r="AH786" s="89"/>
      <c r="AI786" s="49">
        <f t="shared" si="190"/>
        <v>0</v>
      </c>
      <c r="AJ786" s="49" t="str">
        <f t="shared" si="191"/>
        <v/>
      </c>
      <c r="AK786" s="49">
        <f t="shared" si="192"/>
        <v>0</v>
      </c>
      <c r="AL786" s="49" t="str">
        <f t="shared" si="193"/>
        <v/>
      </c>
      <c r="AM786" s="49">
        <f t="shared" si="194"/>
        <v>1</v>
      </c>
      <c r="AN786" s="49" t="str">
        <f t="shared" si="195"/>
        <v/>
      </c>
      <c r="AO786" s="49">
        <f t="shared" si="196"/>
        <v>0</v>
      </c>
      <c r="AP786" s="49" t="str">
        <f t="shared" si="197"/>
        <v/>
      </c>
      <c r="AQ786" s="49">
        <f t="shared" si="198"/>
        <v>0</v>
      </c>
      <c r="AR786" s="49" t="str">
        <f t="shared" si="199"/>
        <v/>
      </c>
    </row>
    <row r="787" spans="1:44" ht="30" customHeight="1" x14ac:dyDescent="0.35">
      <c r="A787" s="25" t="str">
        <f t="shared" si="200"/>
        <v>PT178 - PLATAFORMA DE ACESSO - FORQUILHA 3 - DETALHADO
TORRE B5PROJETO DETALHADO
CIVIL</v>
      </c>
      <c r="B787" s="40" t="s">
        <v>19</v>
      </c>
      <c r="C787" s="60" t="str">
        <f>IF(AND($B787=[1]rogério!$A788,[1]rogério!$B788=C$4),"ok","nok")</f>
        <v>nok</v>
      </c>
      <c r="D787" s="60" t="str">
        <f>IF(AND($B787=[1]rogério!$A788,[1]rogério!$B788=D$4),"ok","nok")</f>
        <v>nok</v>
      </c>
      <c r="E787" s="60" t="str">
        <f>IF(AND($B787=[1]rogério!$A788,[1]rogério!$B788=E$4),"ok","nok")</f>
        <v>nok</v>
      </c>
      <c r="F787" s="60" t="str">
        <f>IF(AND($B787=[1]rogério!$A788,[1]rogério!$B788=F$4),"ok","nok")</f>
        <v>nok</v>
      </c>
      <c r="G787" s="60" t="str">
        <f>IF(AND($B787=[1]rogério!$A788,[1]rogério!$B788=G$4),"ok","nok")</f>
        <v>nok</v>
      </c>
      <c r="H787" s="60" t="str">
        <f>IF(AND($B787=[1]rogério!$A788,[1]rogério!$B788=H$4),"ok","nok")</f>
        <v>nok</v>
      </c>
      <c r="I787" s="60" t="str">
        <f>IF(AND($B787=[1]rogério!$A788,[1]rogério!$B788=I$4),"ok","nok")</f>
        <v>nok</v>
      </c>
      <c r="J787" s="60" t="str">
        <f>IF(AND($B787=[1]rogério!$A788,[1]rogério!$B788=J$4),"ok","nok")</f>
        <v>nok</v>
      </c>
      <c r="K787" s="60" t="str">
        <f>IF(AND($B787=[1]rogério!$A788,[1]rogério!$B788=K$4),"ok","nok")</f>
        <v>nok</v>
      </c>
      <c r="L787" s="60" t="str">
        <f>IF(AND($B787=[1]rogério!$A788,[1]rogério!$B788=L$4),"ok","nok")</f>
        <v>nok</v>
      </c>
      <c r="M787" s="60" t="str">
        <f>IF(AND($B787=[1]rogério!$A788,[1]rogério!$B788=M$4),"ok","nok")</f>
        <v>nok</v>
      </c>
      <c r="N787" s="60" t="str">
        <f>IF(AND($B787=[1]rogério!$A788,[1]rogério!$B788=N$4),"ok","nok")</f>
        <v>nok</v>
      </c>
      <c r="O787" s="60" t="str">
        <f>IF(AND($B787=[1]rogério!$A788,[1]rogério!$B788=O$4),"ok","nok")</f>
        <v>nok</v>
      </c>
      <c r="P787" s="60" t="str">
        <f>IF(AND($B787=[1]rogério!$A788,[1]rogério!$B788=P$4),"ok","nok")</f>
        <v>nok</v>
      </c>
      <c r="Q787" s="60" t="str">
        <f>IF(AND($B787=[1]rogério!$A788,[1]rogério!$B788=Q$4),"ok","nok")</f>
        <v>nok</v>
      </c>
      <c r="R787" s="60" t="str">
        <f>IF(AND($B787=[1]rogério!$A788,[1]rogério!$B788=R$4),"ok","nok")</f>
        <v>ok</v>
      </c>
      <c r="S787" s="60" t="str">
        <f>IF(AND($B787=[1]rogério!$A788,[1]rogério!$B788=S$4),"ok","nok")</f>
        <v>nok</v>
      </c>
      <c r="T787" s="60" t="str">
        <f>IF(AND($B787=[1]rogério!$A788,[1]rogério!$B788=T$4),"ok","nok")</f>
        <v>nok</v>
      </c>
      <c r="U787" s="60" t="str">
        <f>IF(AND($B787=[1]rogério!$A788,[1]rogério!$B788=U$4),"ok","nok")</f>
        <v>nok</v>
      </c>
      <c r="V787" s="60" t="str">
        <f>IF(AND($B787=[1]rogério!$A788,[1]rogério!$B788=V$4),"ok","nok")</f>
        <v>nok</v>
      </c>
      <c r="W787" s="60" t="str">
        <f>IF(AND($B787=[1]rogério!$A788,[1]rogério!$B788=W$4),"ok","nok")</f>
        <v>nok</v>
      </c>
      <c r="X787" s="60" t="str">
        <f>IF(AND($B787=[1]rogério!$A788,[1]rogério!$B788=X$4),"ok","nok")</f>
        <v>nok</v>
      </c>
      <c r="Y787" s="105" t="s">
        <v>15</v>
      </c>
      <c r="Z787" s="106"/>
      <c r="AA787" s="106"/>
      <c r="AB787" s="107"/>
      <c r="AE787" s="48" t="str">
        <f t="shared" si="189"/>
        <v/>
      </c>
      <c r="AF787" s="48"/>
      <c r="AG787" s="48"/>
      <c r="AH787" s="89"/>
      <c r="AI787" s="49">
        <f t="shared" si="190"/>
        <v>0</v>
      </c>
      <c r="AJ787" s="49" t="str">
        <f t="shared" si="191"/>
        <v/>
      </c>
      <c r="AK787" s="49">
        <f t="shared" si="192"/>
        <v>0</v>
      </c>
      <c r="AL787" s="49" t="str">
        <f t="shared" si="193"/>
        <v/>
      </c>
      <c r="AM787" s="49">
        <f t="shared" si="194"/>
        <v>0</v>
      </c>
      <c r="AN787" s="49" t="str">
        <f t="shared" si="195"/>
        <v/>
      </c>
      <c r="AO787" s="49">
        <f t="shared" si="196"/>
        <v>1</v>
      </c>
      <c r="AP787" s="49" t="str">
        <f t="shared" si="197"/>
        <v/>
      </c>
      <c r="AQ787" s="49">
        <f t="shared" si="198"/>
        <v>0</v>
      </c>
      <c r="AR787" s="49" t="str">
        <f t="shared" si="199"/>
        <v/>
      </c>
    </row>
    <row r="788" spans="1:44" ht="30" customHeight="1" x14ac:dyDescent="0.35">
      <c r="A788" s="25" t="str">
        <f t="shared" si="200"/>
        <v>PT178 - PLATAFORMA DE ACESSO - FORQUILHA 3 - DETALHADO
TORRE B5PROJETO DETALHADO
CIVIL</v>
      </c>
      <c r="B788" s="40" t="s">
        <v>42</v>
      </c>
      <c r="C788" s="60" t="str">
        <f>IF(AND($B788=[1]rogério!$A789,[1]rogério!$B789=C$4),"ok","nok")</f>
        <v>nok</v>
      </c>
      <c r="D788" s="60" t="str">
        <f>IF(AND($B788=[1]rogério!$A789,[1]rogério!$B789=D$4),"ok","nok")</f>
        <v>nok</v>
      </c>
      <c r="E788" s="60" t="str">
        <f>IF(AND($B788=[1]rogério!$A789,[1]rogério!$B789=E$4),"ok","nok")</f>
        <v>nok</v>
      </c>
      <c r="F788" s="60" t="str">
        <f>IF(AND($B788=[1]rogério!$A789,[1]rogério!$B789=F$4),"ok","nok")</f>
        <v>nok</v>
      </c>
      <c r="G788" s="60" t="str">
        <f>IF(AND($B788=[1]rogério!$A789,[1]rogério!$B789=G$4),"ok","nok")</f>
        <v>nok</v>
      </c>
      <c r="H788" s="60" t="str">
        <f>IF(AND($B788=[1]rogério!$A789,[1]rogério!$B789=H$4),"ok","nok")</f>
        <v>nok</v>
      </c>
      <c r="I788" s="60" t="str">
        <f>IF(AND($B788=[1]rogério!$A789,[1]rogério!$B789=I$4),"ok","nok")</f>
        <v>nok</v>
      </c>
      <c r="J788" s="60" t="str">
        <f>IF(AND($B788=[1]rogério!$A789,[1]rogério!$B789=J$4),"ok","nok")</f>
        <v>nok</v>
      </c>
      <c r="K788" s="60" t="str">
        <f>IF(AND($B788=[1]rogério!$A789,[1]rogério!$B789=K$4),"ok","nok")</f>
        <v>nok</v>
      </c>
      <c r="L788" s="60" t="str">
        <f>IF(AND($B788=[1]rogério!$A789,[1]rogério!$B789=L$4),"ok","nok")</f>
        <v>nok</v>
      </c>
      <c r="M788" s="60" t="str">
        <f>IF(AND($B788=[1]rogério!$A789,[1]rogério!$B789=M$4),"ok","nok")</f>
        <v>nok</v>
      </c>
      <c r="N788" s="60" t="str">
        <f>IF(AND($B788=[1]rogério!$A789,[1]rogério!$B789=N$4),"ok","nok")</f>
        <v>nok</v>
      </c>
      <c r="O788" s="60" t="str">
        <f>IF(AND($B788=[1]rogério!$A789,[1]rogério!$B789=O$4),"ok","nok")</f>
        <v>nok</v>
      </c>
      <c r="P788" s="60" t="str">
        <f>IF(AND($B788=[1]rogério!$A789,[1]rogério!$B789=P$4),"ok","nok")</f>
        <v>nok</v>
      </c>
      <c r="Q788" s="60" t="str">
        <f>IF(AND($B788=[1]rogério!$A789,[1]rogério!$B789=Q$4),"ok","nok")</f>
        <v>nok</v>
      </c>
      <c r="R788" s="60" t="str">
        <f>IF(AND($B788=[1]rogério!$A789,[1]rogério!$B789=R$4),"ok","nok")</f>
        <v>nok</v>
      </c>
      <c r="S788" s="60" t="str">
        <f>IF(AND($B788=[1]rogério!$A789,[1]rogério!$B789=S$4),"ok","nok")</f>
        <v>nok</v>
      </c>
      <c r="T788" s="60" t="str">
        <f>IF(AND($B788=[1]rogério!$A789,[1]rogério!$B789=T$4),"ok","nok")</f>
        <v>nok</v>
      </c>
      <c r="U788" s="60" t="str">
        <f>IF(AND($B788=[1]rogério!$A789,[1]rogério!$B789=U$4),"ok","nok")</f>
        <v>ok</v>
      </c>
      <c r="V788" s="60" t="str">
        <f>IF(AND($B788=[1]rogério!$A789,[1]rogério!$B789=V$4),"ok","nok")</f>
        <v>nok</v>
      </c>
      <c r="W788" s="60" t="str">
        <f>IF(AND($B788=[1]rogério!$A789,[1]rogério!$B789=W$4),"ok","nok")</f>
        <v>nok</v>
      </c>
      <c r="X788" s="60" t="str">
        <f>IF(AND($B788=[1]rogério!$A789,[1]rogério!$B789=X$4),"ok","nok")</f>
        <v>nok</v>
      </c>
      <c r="Y788" s="105" t="s">
        <v>15</v>
      </c>
      <c r="Z788" s="106"/>
      <c r="AA788" s="106"/>
      <c r="AB788" s="107"/>
      <c r="AE788" s="48" t="str">
        <f t="shared" si="189"/>
        <v/>
      </c>
      <c r="AF788" s="48"/>
      <c r="AG788" s="48"/>
      <c r="AH788" s="89"/>
      <c r="AI788" s="49">
        <f t="shared" si="190"/>
        <v>0</v>
      </c>
      <c r="AJ788" s="49" t="str">
        <f t="shared" si="191"/>
        <v/>
      </c>
      <c r="AK788" s="49">
        <f t="shared" si="192"/>
        <v>0</v>
      </c>
      <c r="AL788" s="49" t="str">
        <f t="shared" si="193"/>
        <v/>
      </c>
      <c r="AM788" s="49">
        <f t="shared" si="194"/>
        <v>0</v>
      </c>
      <c r="AN788" s="49" t="str">
        <f t="shared" si="195"/>
        <v/>
      </c>
      <c r="AO788" s="49">
        <f t="shared" si="196"/>
        <v>1</v>
      </c>
      <c r="AP788" s="49" t="str">
        <f t="shared" si="197"/>
        <v/>
      </c>
      <c r="AQ788" s="49">
        <f t="shared" si="198"/>
        <v>0</v>
      </c>
      <c r="AR788" s="49" t="str">
        <f t="shared" si="199"/>
        <v/>
      </c>
    </row>
    <row r="789" spans="1:44" ht="30" customHeight="1" x14ac:dyDescent="0.35">
      <c r="A789" s="25" t="str">
        <f t="shared" si="200"/>
        <v>PT178 - PLATAFORMA DE ACESSO - FORQUILHA 3 - DETALHADO
TORRE B5PROJETO DETALHADO
CIVIL</v>
      </c>
      <c r="B789" s="40" t="s">
        <v>43</v>
      </c>
      <c r="C789" s="60" t="str">
        <f>IF(AND($B789=[1]rogério!$A790,[1]rogério!$B790=C$4),"ok","nok")</f>
        <v>nok</v>
      </c>
      <c r="D789" s="60" t="str">
        <f>IF(AND($B789=[1]rogério!$A790,[1]rogério!$B790=D$4),"ok","nok")</f>
        <v>nok</v>
      </c>
      <c r="E789" s="60" t="str">
        <f>IF(AND($B789=[1]rogério!$A790,[1]rogério!$B790=E$4),"ok","nok")</f>
        <v>nok</v>
      </c>
      <c r="F789" s="60" t="str">
        <f>IF(AND($B789=[1]rogério!$A790,[1]rogério!$B790=F$4),"ok","nok")</f>
        <v>nok</v>
      </c>
      <c r="G789" s="60" t="str">
        <f>IF(AND($B789=[1]rogério!$A790,[1]rogério!$B790=G$4),"ok","nok")</f>
        <v>nok</v>
      </c>
      <c r="H789" s="60" t="str">
        <f>IF(AND($B789=[1]rogério!$A790,[1]rogério!$B790=H$4),"ok","nok")</f>
        <v>nok</v>
      </c>
      <c r="I789" s="60" t="str">
        <f>IF(AND($B789=[1]rogério!$A790,[1]rogério!$B790=I$4),"ok","nok")</f>
        <v>nok</v>
      </c>
      <c r="J789" s="60" t="str">
        <f>IF(AND($B789=[1]rogério!$A790,[1]rogério!$B790=J$4),"ok","nok")</f>
        <v>nok</v>
      </c>
      <c r="K789" s="60" t="str">
        <f>IF(AND($B789=[1]rogério!$A790,[1]rogério!$B790=K$4),"ok","nok")</f>
        <v>nok</v>
      </c>
      <c r="L789" s="60" t="str">
        <f>IF(AND($B789=[1]rogério!$A790,[1]rogério!$B790=L$4),"ok","nok")</f>
        <v>nok</v>
      </c>
      <c r="M789" s="60" t="str">
        <f>IF(AND($B789=[1]rogério!$A790,[1]rogério!$B790=M$4),"ok","nok")</f>
        <v>nok</v>
      </c>
      <c r="N789" s="60" t="str">
        <f>IF(AND($B789=[1]rogério!$A790,[1]rogério!$B790=N$4),"ok","nok")</f>
        <v>nok</v>
      </c>
      <c r="O789" s="60" t="str">
        <f>IF(AND($B789=[1]rogério!$A790,[1]rogério!$B790=O$4),"ok","nok")</f>
        <v>nok</v>
      </c>
      <c r="P789" s="60" t="str">
        <f>IF(AND($B789=[1]rogério!$A790,[1]rogério!$B790=P$4),"ok","nok")</f>
        <v>nok</v>
      </c>
      <c r="Q789" s="60" t="str">
        <f>IF(AND($B789=[1]rogério!$A790,[1]rogério!$B790=Q$4),"ok","nok")</f>
        <v>nok</v>
      </c>
      <c r="R789" s="60" t="str">
        <f>IF(AND($B789=[1]rogério!$A790,[1]rogério!$B790=R$4),"ok","nok")</f>
        <v>nok</v>
      </c>
      <c r="S789" s="60" t="str">
        <f>IF(AND($B789=[1]rogério!$A790,[1]rogério!$B790=S$4),"ok","nok")</f>
        <v>nok</v>
      </c>
      <c r="T789" s="60" t="str">
        <f>IF(AND($B789=[1]rogério!$A790,[1]rogério!$B790=T$4),"ok","nok")</f>
        <v>nok</v>
      </c>
      <c r="U789" s="60" t="str">
        <f>IF(AND($B789=[1]rogério!$A790,[1]rogério!$B790=U$4),"ok","nok")</f>
        <v>ok</v>
      </c>
      <c r="V789" s="60" t="str">
        <f>IF(AND($B789=[1]rogério!$A790,[1]rogério!$B790=V$4),"ok","nok")</f>
        <v>nok</v>
      </c>
      <c r="W789" s="60" t="str">
        <f>IF(AND($B789=[1]rogério!$A790,[1]rogério!$B790=W$4),"ok","nok")</f>
        <v>nok</v>
      </c>
      <c r="X789" s="60" t="str">
        <f>IF(AND($B789=[1]rogério!$A790,[1]rogério!$B790=X$4),"ok","nok")</f>
        <v>nok</v>
      </c>
      <c r="Y789" s="105" t="s">
        <v>15</v>
      </c>
      <c r="Z789" s="106"/>
      <c r="AA789" s="106"/>
      <c r="AB789" s="107"/>
      <c r="AE789" s="48" t="str">
        <f t="shared" si="189"/>
        <v/>
      </c>
      <c r="AF789" s="48"/>
      <c r="AG789" s="48"/>
      <c r="AH789" s="89"/>
      <c r="AI789" s="49">
        <f t="shared" si="190"/>
        <v>0</v>
      </c>
      <c r="AJ789" s="49" t="str">
        <f t="shared" si="191"/>
        <v/>
      </c>
      <c r="AK789" s="49">
        <f t="shared" si="192"/>
        <v>0</v>
      </c>
      <c r="AL789" s="49" t="str">
        <f t="shared" si="193"/>
        <v/>
      </c>
      <c r="AM789" s="49">
        <f t="shared" si="194"/>
        <v>0</v>
      </c>
      <c r="AN789" s="49" t="str">
        <f t="shared" si="195"/>
        <v/>
      </c>
      <c r="AO789" s="49">
        <f t="shared" si="196"/>
        <v>1</v>
      </c>
      <c r="AP789" s="49" t="str">
        <f t="shared" si="197"/>
        <v/>
      </c>
      <c r="AQ789" s="49">
        <f t="shared" si="198"/>
        <v>0</v>
      </c>
      <c r="AR789" s="49" t="str">
        <f t="shared" si="199"/>
        <v/>
      </c>
    </row>
    <row r="790" spans="1:44" ht="30" customHeight="1" x14ac:dyDescent="0.35">
      <c r="A790" s="25" t="str">
        <f t="shared" si="200"/>
        <v>PT178 - PLATAFORMA DE ACESSO - FORQUILHA 3 - DETALHADO
TORRE B5PROJETO DETALHADO
CIVIL</v>
      </c>
      <c r="B790" s="38" t="s">
        <v>76</v>
      </c>
      <c r="C790" s="60" t="str">
        <f>IF(AND($B790=[1]rogério!$A791,[1]rogério!$B791=C$4),"ok","nok")</f>
        <v>nok</v>
      </c>
      <c r="D790" s="60" t="str">
        <f>IF(AND($B790=[1]rogério!$A791,[1]rogério!$B791=D$4),"ok","nok")</f>
        <v>nok</v>
      </c>
      <c r="E790" s="60" t="str">
        <f>IF(AND($B790=[1]rogério!$A791,[1]rogério!$B791=E$4),"ok","nok")</f>
        <v>nok</v>
      </c>
      <c r="F790" s="60" t="str">
        <f>IF(AND($B790=[1]rogério!$A791,[1]rogério!$B791=F$4),"ok","nok")</f>
        <v>nok</v>
      </c>
      <c r="G790" s="60" t="str">
        <f>IF(AND($B790=[1]rogério!$A791,[1]rogério!$B791=G$4),"ok","nok")</f>
        <v>nok</v>
      </c>
      <c r="H790" s="60" t="str">
        <f>IF(AND($B790=[1]rogério!$A791,[1]rogério!$B791=H$4),"ok","nok")</f>
        <v>nok</v>
      </c>
      <c r="I790" s="60" t="str">
        <f>IF(AND($B790=[1]rogério!$A791,[1]rogério!$B791=I$4),"ok","nok")</f>
        <v>nok</v>
      </c>
      <c r="J790" s="60" t="str">
        <f>IF(AND($B790=[1]rogério!$A791,[1]rogério!$B791=J$4),"ok","nok")</f>
        <v>nok</v>
      </c>
      <c r="K790" s="60" t="str">
        <f>IF(AND($B790=[1]rogério!$A791,[1]rogério!$B791=K$4),"ok","nok")</f>
        <v>nok</v>
      </c>
      <c r="L790" s="60" t="str">
        <f>IF(AND($B790=[1]rogério!$A791,[1]rogério!$B791=L$4),"ok","nok")</f>
        <v>nok</v>
      </c>
      <c r="M790" s="60" t="str">
        <f>IF(AND($B790=[1]rogério!$A791,[1]rogério!$B791=M$4),"ok","nok")</f>
        <v>nok</v>
      </c>
      <c r="N790" s="60" t="str">
        <f>IF(AND($B790=[1]rogério!$A791,[1]rogério!$B791=N$4),"ok","nok")</f>
        <v>ok</v>
      </c>
      <c r="O790" s="60" t="str">
        <f>IF(AND($B790=[1]rogério!$A791,[1]rogério!$B791=O$4),"ok","nok")</f>
        <v>nok</v>
      </c>
      <c r="P790" s="60" t="str">
        <f>IF(AND($B790=[1]rogério!$A791,[1]rogério!$B791=P$4),"ok","nok")</f>
        <v>nok</v>
      </c>
      <c r="Q790" s="60" t="str">
        <f>IF(AND($B790=[1]rogério!$A791,[1]rogério!$B791=Q$4),"ok","nok")</f>
        <v>nok</v>
      </c>
      <c r="R790" s="60" t="str">
        <f>IF(AND($B790=[1]rogério!$A791,[1]rogério!$B791=R$4),"ok","nok")</f>
        <v>nok</v>
      </c>
      <c r="S790" s="60" t="str">
        <f>IF(AND($B790=[1]rogério!$A791,[1]rogério!$B791=S$4),"ok","nok")</f>
        <v>nok</v>
      </c>
      <c r="T790" s="60" t="str">
        <f>IF(AND($B790=[1]rogério!$A791,[1]rogério!$B791=T$4),"ok","nok")</f>
        <v>nok</v>
      </c>
      <c r="U790" s="60" t="str">
        <f>IF(AND($B790=[1]rogério!$A791,[1]rogério!$B791=U$4),"ok","nok")</f>
        <v>nok</v>
      </c>
      <c r="V790" s="60" t="str">
        <f>IF(AND($B790=[1]rogério!$A791,[1]rogério!$B791=V$4),"ok","nok")</f>
        <v>nok</v>
      </c>
      <c r="W790" s="60" t="str">
        <f>IF(AND($B790=[1]rogério!$A791,[1]rogério!$B791=W$4),"ok","nok")</f>
        <v>nok</v>
      </c>
      <c r="X790" s="60" t="str">
        <f>IF(AND($B790=[1]rogério!$A791,[1]rogério!$B791=X$4),"ok","nok")</f>
        <v>nok</v>
      </c>
      <c r="Y790" s="105" t="s">
        <v>15</v>
      </c>
      <c r="Z790" s="106"/>
      <c r="AA790" s="106"/>
      <c r="AB790" s="107"/>
      <c r="AE790" s="48" t="str">
        <f t="shared" si="189"/>
        <v/>
      </c>
      <c r="AF790" s="48"/>
      <c r="AG790" s="48"/>
      <c r="AH790" s="89"/>
      <c r="AI790" s="49">
        <f t="shared" si="190"/>
        <v>0</v>
      </c>
      <c r="AJ790" s="49" t="str">
        <f t="shared" si="191"/>
        <v/>
      </c>
      <c r="AK790" s="49">
        <f t="shared" si="192"/>
        <v>0</v>
      </c>
      <c r="AL790" s="49" t="str">
        <f t="shared" si="193"/>
        <v/>
      </c>
      <c r="AM790" s="49">
        <f t="shared" si="194"/>
        <v>1</v>
      </c>
      <c r="AN790" s="49" t="str">
        <f t="shared" si="195"/>
        <v/>
      </c>
      <c r="AO790" s="49">
        <f t="shared" si="196"/>
        <v>0</v>
      </c>
      <c r="AP790" s="49" t="str">
        <f t="shared" si="197"/>
        <v/>
      </c>
      <c r="AQ790" s="49">
        <f t="shared" si="198"/>
        <v>0</v>
      </c>
      <c r="AR790" s="49" t="str">
        <f t="shared" si="199"/>
        <v/>
      </c>
    </row>
    <row r="791" spans="1:44" ht="30" customHeight="1" x14ac:dyDescent="0.35">
      <c r="A791" s="25" t="str">
        <f t="shared" si="200"/>
        <v>PT178 - PLATAFORMA DE ACESSO - FORQUILHA 3 - DETALHADO
TORRE B5PROJETO DETALHADO
CIVIL</v>
      </c>
      <c r="B791" s="38" t="s">
        <v>77</v>
      </c>
      <c r="C791" s="60" t="str">
        <f>IF(AND($B791=[1]rogério!$A792,[1]rogério!$B792=C$4),"ok","nok")</f>
        <v>nok</v>
      </c>
      <c r="D791" s="60" t="str">
        <f>IF(AND($B791=[1]rogério!$A792,[1]rogério!$B792=D$4),"ok","nok")</f>
        <v>nok</v>
      </c>
      <c r="E791" s="60" t="str">
        <f>IF(AND($B791=[1]rogério!$A792,[1]rogério!$B792=E$4),"ok","nok")</f>
        <v>nok</v>
      </c>
      <c r="F791" s="60" t="str">
        <f>IF(AND($B791=[1]rogério!$A792,[1]rogério!$B792=F$4),"ok","nok")</f>
        <v>nok</v>
      </c>
      <c r="G791" s="60" t="str">
        <f>IF(AND($B791=[1]rogério!$A792,[1]rogério!$B792=G$4),"ok","nok")</f>
        <v>nok</v>
      </c>
      <c r="H791" s="60" t="str">
        <f>IF(AND($B791=[1]rogério!$A792,[1]rogério!$B792=H$4),"ok","nok")</f>
        <v>nok</v>
      </c>
      <c r="I791" s="60" t="str">
        <f>IF(AND($B791=[1]rogério!$A792,[1]rogério!$B792=I$4),"ok","nok")</f>
        <v>nok</v>
      </c>
      <c r="J791" s="60" t="str">
        <f>IF(AND($B791=[1]rogério!$A792,[1]rogério!$B792=J$4),"ok","nok")</f>
        <v>nok</v>
      </c>
      <c r="K791" s="60" t="str">
        <f>IF(AND($B791=[1]rogério!$A792,[1]rogério!$B792=K$4),"ok","nok")</f>
        <v>nok</v>
      </c>
      <c r="L791" s="60" t="str">
        <f>IF(AND($B791=[1]rogério!$A792,[1]rogério!$B792=L$4),"ok","nok")</f>
        <v>nok</v>
      </c>
      <c r="M791" s="60" t="str">
        <f>IF(AND($B791=[1]rogério!$A792,[1]rogério!$B792=M$4),"ok","nok")</f>
        <v>nok</v>
      </c>
      <c r="N791" s="60" t="str">
        <f>IF(AND($B791=[1]rogério!$A792,[1]rogério!$B792=N$4),"ok","nok")</f>
        <v>nok</v>
      </c>
      <c r="O791" s="60" t="str">
        <f>IF(AND($B791=[1]rogério!$A792,[1]rogério!$B792=O$4),"ok","nok")</f>
        <v>ok</v>
      </c>
      <c r="P791" s="60" t="str">
        <f>IF(AND($B791=[1]rogério!$A792,[1]rogério!$B792=P$4),"ok","nok")</f>
        <v>nok</v>
      </c>
      <c r="Q791" s="60" t="str">
        <f>IF(AND($B791=[1]rogério!$A792,[1]rogério!$B792=Q$4),"ok","nok")</f>
        <v>nok</v>
      </c>
      <c r="R791" s="60" t="str">
        <f>IF(AND($B791=[1]rogério!$A792,[1]rogério!$B792=R$4),"ok","nok")</f>
        <v>nok</v>
      </c>
      <c r="S791" s="60" t="str">
        <f>IF(AND($B791=[1]rogério!$A792,[1]rogério!$B792=S$4),"ok","nok")</f>
        <v>nok</v>
      </c>
      <c r="T791" s="60" t="str">
        <f>IF(AND($B791=[1]rogério!$A792,[1]rogério!$B792=T$4),"ok","nok")</f>
        <v>nok</v>
      </c>
      <c r="U791" s="60" t="str">
        <f>IF(AND($B791=[1]rogério!$A792,[1]rogério!$B792=U$4),"ok","nok")</f>
        <v>nok</v>
      </c>
      <c r="V791" s="60" t="str">
        <f>IF(AND($B791=[1]rogério!$A792,[1]rogério!$B792=V$4),"ok","nok")</f>
        <v>nok</v>
      </c>
      <c r="W791" s="60" t="str">
        <f>IF(AND($B791=[1]rogério!$A792,[1]rogério!$B792=W$4),"ok","nok")</f>
        <v>nok</v>
      </c>
      <c r="X791" s="60" t="str">
        <f>IF(AND($B791=[1]rogério!$A792,[1]rogério!$B792=X$4),"ok","nok")</f>
        <v>nok</v>
      </c>
      <c r="Y791" s="105" t="s">
        <v>15</v>
      </c>
      <c r="Z791" s="106"/>
      <c r="AA791" s="106"/>
      <c r="AB791" s="107"/>
      <c r="AE791" s="48" t="str">
        <f t="shared" si="189"/>
        <v/>
      </c>
      <c r="AF791" s="48"/>
      <c r="AG791" s="48"/>
      <c r="AH791" s="89"/>
      <c r="AI791" s="49">
        <f t="shared" si="190"/>
        <v>0</v>
      </c>
      <c r="AJ791" s="49" t="str">
        <f t="shared" si="191"/>
        <v/>
      </c>
      <c r="AK791" s="49">
        <f t="shared" si="192"/>
        <v>0</v>
      </c>
      <c r="AL791" s="49" t="str">
        <f t="shared" si="193"/>
        <v/>
      </c>
      <c r="AM791" s="49">
        <f t="shared" si="194"/>
        <v>1</v>
      </c>
      <c r="AN791" s="49" t="str">
        <f t="shared" si="195"/>
        <v/>
      </c>
      <c r="AO791" s="49">
        <f t="shared" si="196"/>
        <v>0</v>
      </c>
      <c r="AP791" s="49" t="str">
        <f t="shared" si="197"/>
        <v/>
      </c>
      <c r="AQ791" s="49">
        <f t="shared" si="198"/>
        <v>0</v>
      </c>
      <c r="AR791" s="49" t="str">
        <f t="shared" si="199"/>
        <v/>
      </c>
    </row>
    <row r="792" spans="1:44" ht="30" customHeight="1" x14ac:dyDescent="0.35">
      <c r="A792" s="25"/>
      <c r="B792" s="39" t="s">
        <v>78</v>
      </c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108"/>
      <c r="Z792" s="109"/>
      <c r="AA792" s="109"/>
      <c r="AB792" s="110"/>
      <c r="AE792" s="48" t="str">
        <f t="shared" si="189"/>
        <v/>
      </c>
      <c r="AF792" s="48"/>
      <c r="AG792" s="48"/>
      <c r="AH792" s="89"/>
      <c r="AI792" s="49">
        <f t="shared" si="190"/>
        <v>0</v>
      </c>
      <c r="AJ792" s="49" t="str">
        <f t="shared" si="191"/>
        <v/>
      </c>
      <c r="AK792" s="49">
        <f t="shared" si="192"/>
        <v>0</v>
      </c>
      <c r="AL792" s="49" t="str">
        <f t="shared" si="193"/>
        <v/>
      </c>
      <c r="AM792" s="49">
        <f t="shared" si="194"/>
        <v>0</v>
      </c>
      <c r="AN792" s="49" t="str">
        <f t="shared" si="195"/>
        <v/>
      </c>
      <c r="AO792" s="49">
        <f t="shared" si="196"/>
        <v>0</v>
      </c>
      <c r="AP792" s="49" t="str">
        <f t="shared" si="197"/>
        <v/>
      </c>
      <c r="AQ792" s="49">
        <f t="shared" si="198"/>
        <v>0</v>
      </c>
      <c r="AR792" s="49" t="str">
        <f t="shared" si="199"/>
        <v/>
      </c>
    </row>
    <row r="793" spans="1:44" ht="30" customHeight="1" x14ac:dyDescent="0.35">
      <c r="A793" s="25" t="str">
        <f t="shared" si="200"/>
        <v>PT178 - PLATAFORMA DE ACESSO - FORQUILHA 3 - DETALHADO
TORRE B5PROJETO DETALHADO
CIVIL</v>
      </c>
      <c r="B793" s="40" t="s">
        <v>49</v>
      </c>
      <c r="C793" s="60" t="str">
        <f>IF(AND($B793=[1]rogério!$A794,[1]rogério!$B794=C$4),"ok","nok")</f>
        <v>nok</v>
      </c>
      <c r="D793" s="60" t="str">
        <f>IF(AND($B793=[1]rogério!$A794,[1]rogério!$B794=D$4),"ok","nok")</f>
        <v>nok</v>
      </c>
      <c r="E793" s="60" t="str">
        <f>IF(AND($B793=[1]rogério!$A794,[1]rogério!$B794=E$4),"ok","nok")</f>
        <v>nok</v>
      </c>
      <c r="F793" s="60" t="str">
        <f>IF(AND($B793=[1]rogério!$A794,[1]rogério!$B794=F$4),"ok","nok")</f>
        <v>nok</v>
      </c>
      <c r="G793" s="60" t="str">
        <f>IF(AND($B793=[1]rogério!$A794,[1]rogério!$B794=G$4),"ok","nok")</f>
        <v>nok</v>
      </c>
      <c r="H793" s="60" t="str">
        <f>IF(AND($B793=[1]rogério!$A794,[1]rogério!$B794=H$4),"ok","nok")</f>
        <v>nok</v>
      </c>
      <c r="I793" s="60" t="str">
        <f>IF(AND($B793=[1]rogério!$A794,[1]rogério!$B794=I$4),"ok","nok")</f>
        <v>nok</v>
      </c>
      <c r="J793" s="60" t="str">
        <f>IF(AND($B793=[1]rogério!$A794,[1]rogério!$B794=J$4),"ok","nok")</f>
        <v>nok</v>
      </c>
      <c r="K793" s="60" t="str">
        <f>IF(AND($B793=[1]rogério!$A794,[1]rogério!$B794=K$4),"ok","nok")</f>
        <v>nok</v>
      </c>
      <c r="L793" s="60" t="str">
        <f>IF(AND($B793=[1]rogério!$A794,[1]rogério!$B794=L$4),"ok","nok")</f>
        <v>nok</v>
      </c>
      <c r="M793" s="60" t="str">
        <f>IF(AND($B793=[1]rogério!$A794,[1]rogério!$B794=M$4),"ok","nok")</f>
        <v>nok</v>
      </c>
      <c r="N793" s="60" t="str">
        <f>IF(AND($B793=[1]rogério!$A794,[1]rogério!$B794=N$4),"ok","nok")</f>
        <v>nok</v>
      </c>
      <c r="O793" s="60" t="str">
        <f>IF(AND($B793=[1]rogério!$A794,[1]rogério!$B794=O$4),"ok","nok")</f>
        <v>ok</v>
      </c>
      <c r="P793" s="60" t="str">
        <f>IF(AND($B793=[1]rogério!$A794,[1]rogério!$B794=P$4),"ok","nok")</f>
        <v>nok</v>
      </c>
      <c r="Q793" s="60" t="str">
        <f>IF(AND($B793=[1]rogério!$A794,[1]rogério!$B794=Q$4),"ok","nok")</f>
        <v>nok</v>
      </c>
      <c r="R793" s="60" t="str">
        <f>IF(AND($B793=[1]rogério!$A794,[1]rogério!$B794=R$4),"ok","nok")</f>
        <v>nok</v>
      </c>
      <c r="S793" s="60" t="str">
        <f>IF(AND($B793=[1]rogério!$A794,[1]rogério!$B794=S$4),"ok","nok")</f>
        <v>nok</v>
      </c>
      <c r="T793" s="60" t="str">
        <f>IF(AND($B793=[1]rogério!$A794,[1]rogério!$B794=T$4),"ok","nok")</f>
        <v>nok</v>
      </c>
      <c r="U793" s="60" t="str">
        <f>IF(AND($B793=[1]rogério!$A794,[1]rogério!$B794=U$4),"ok","nok")</f>
        <v>nok</v>
      </c>
      <c r="V793" s="60" t="str">
        <f>IF(AND($B793=[1]rogério!$A794,[1]rogério!$B794=V$4),"ok","nok")</f>
        <v>nok</v>
      </c>
      <c r="W793" s="60" t="str">
        <f>IF(AND($B793=[1]rogério!$A794,[1]rogério!$B794=W$4),"ok","nok")</f>
        <v>nok</v>
      </c>
      <c r="X793" s="60" t="str">
        <f>IF(AND($B793=[1]rogério!$A794,[1]rogério!$B794=X$4),"ok","nok")</f>
        <v>nok</v>
      </c>
      <c r="Y793" s="105" t="s">
        <v>15</v>
      </c>
      <c r="Z793" s="106"/>
      <c r="AA793" s="106"/>
      <c r="AB793" s="107"/>
      <c r="AE793" s="48" t="str">
        <f t="shared" si="189"/>
        <v/>
      </c>
      <c r="AF793" s="48"/>
      <c r="AG793" s="48"/>
      <c r="AH793" s="89"/>
      <c r="AI793" s="49">
        <f t="shared" si="190"/>
        <v>0</v>
      </c>
      <c r="AJ793" s="49" t="str">
        <f t="shared" si="191"/>
        <v/>
      </c>
      <c r="AK793" s="49">
        <f t="shared" si="192"/>
        <v>0</v>
      </c>
      <c r="AL793" s="49" t="str">
        <f t="shared" si="193"/>
        <v/>
      </c>
      <c r="AM793" s="49">
        <f t="shared" si="194"/>
        <v>1</v>
      </c>
      <c r="AN793" s="49" t="str">
        <f t="shared" si="195"/>
        <v/>
      </c>
      <c r="AO793" s="49">
        <f t="shared" si="196"/>
        <v>0</v>
      </c>
      <c r="AP793" s="49" t="str">
        <f t="shared" si="197"/>
        <v/>
      </c>
      <c r="AQ793" s="49">
        <f t="shared" si="198"/>
        <v>0</v>
      </c>
      <c r="AR793" s="49" t="str">
        <f t="shared" si="199"/>
        <v/>
      </c>
    </row>
    <row r="794" spans="1:44" ht="30" customHeight="1" x14ac:dyDescent="0.35">
      <c r="A794" s="25" t="str">
        <f t="shared" si="200"/>
        <v>PT178 - PLATAFORMA DE ACESSO - FORQUILHA 3 - DETALHADO
TORRE B5PROJETO DETALHADO
CIVIL</v>
      </c>
      <c r="B794" s="40" t="s">
        <v>19</v>
      </c>
      <c r="C794" s="60" t="str">
        <f>IF(AND($B794=[1]rogério!$A795,[1]rogério!$B795=C$4),"ok","nok")</f>
        <v>nok</v>
      </c>
      <c r="D794" s="60" t="str">
        <f>IF(AND($B794=[1]rogério!$A795,[1]rogério!$B795=D$4),"ok","nok")</f>
        <v>nok</v>
      </c>
      <c r="E794" s="60" t="str">
        <f>IF(AND($B794=[1]rogério!$A795,[1]rogério!$B795=E$4),"ok","nok")</f>
        <v>nok</v>
      </c>
      <c r="F794" s="60" t="str">
        <f>IF(AND($B794=[1]rogério!$A795,[1]rogério!$B795=F$4),"ok","nok")</f>
        <v>nok</v>
      </c>
      <c r="G794" s="60" t="str">
        <f>IF(AND($B794=[1]rogério!$A795,[1]rogério!$B795=G$4),"ok","nok")</f>
        <v>nok</v>
      </c>
      <c r="H794" s="60" t="str">
        <f>IF(AND($B794=[1]rogério!$A795,[1]rogério!$B795=H$4),"ok","nok")</f>
        <v>nok</v>
      </c>
      <c r="I794" s="60" t="str">
        <f>IF(AND($B794=[1]rogério!$A795,[1]rogério!$B795=I$4),"ok","nok")</f>
        <v>nok</v>
      </c>
      <c r="J794" s="60" t="str">
        <f>IF(AND($B794=[1]rogério!$A795,[1]rogério!$B795=J$4),"ok","nok")</f>
        <v>nok</v>
      </c>
      <c r="K794" s="60" t="str">
        <f>IF(AND($B794=[1]rogério!$A795,[1]rogério!$B795=K$4),"ok","nok")</f>
        <v>nok</v>
      </c>
      <c r="L794" s="60" t="str">
        <f>IF(AND($B794=[1]rogério!$A795,[1]rogério!$B795=L$4),"ok","nok")</f>
        <v>nok</v>
      </c>
      <c r="M794" s="60" t="str">
        <f>IF(AND($B794=[1]rogério!$A795,[1]rogério!$B795=M$4),"ok","nok")</f>
        <v>nok</v>
      </c>
      <c r="N794" s="60" t="str">
        <f>IF(AND($B794=[1]rogério!$A795,[1]rogério!$B795=N$4),"ok","nok")</f>
        <v>nok</v>
      </c>
      <c r="O794" s="60" t="str">
        <f>IF(AND($B794=[1]rogério!$A795,[1]rogério!$B795=O$4),"ok","nok")</f>
        <v>nok</v>
      </c>
      <c r="P794" s="60" t="str">
        <f>IF(AND($B794=[1]rogério!$A795,[1]rogério!$B795=P$4),"ok","nok")</f>
        <v>nok</v>
      </c>
      <c r="Q794" s="60" t="str">
        <f>IF(AND($B794=[1]rogério!$A795,[1]rogério!$B795=Q$4),"ok","nok")</f>
        <v>nok</v>
      </c>
      <c r="R794" s="60" t="str">
        <f>IF(AND($B794=[1]rogério!$A795,[1]rogério!$B795=R$4),"ok","nok")</f>
        <v>nok</v>
      </c>
      <c r="S794" s="60" t="str">
        <f>IF(AND($B794=[1]rogério!$A795,[1]rogério!$B795=S$4),"ok","nok")</f>
        <v>nok</v>
      </c>
      <c r="T794" s="60" t="str">
        <f>IF(AND($B794=[1]rogério!$A795,[1]rogério!$B795=T$4),"ok","nok")</f>
        <v>ok</v>
      </c>
      <c r="U794" s="60" t="str">
        <f>IF(AND($B794=[1]rogério!$A795,[1]rogério!$B795=U$4),"ok","nok")</f>
        <v>nok</v>
      </c>
      <c r="V794" s="60" t="str">
        <f>IF(AND($B794=[1]rogério!$A795,[1]rogério!$B795=V$4),"ok","nok")</f>
        <v>nok</v>
      </c>
      <c r="W794" s="60" t="str">
        <f>IF(AND($B794=[1]rogério!$A795,[1]rogério!$B795=W$4),"ok","nok")</f>
        <v>nok</v>
      </c>
      <c r="X794" s="60" t="str">
        <f>IF(AND($B794=[1]rogério!$A795,[1]rogério!$B795=X$4),"ok","nok")</f>
        <v>nok</v>
      </c>
      <c r="Y794" s="105" t="s">
        <v>15</v>
      </c>
      <c r="Z794" s="106"/>
      <c r="AA794" s="106"/>
      <c r="AB794" s="107"/>
      <c r="AE794" s="48" t="str">
        <f t="shared" si="189"/>
        <v/>
      </c>
      <c r="AF794" s="48"/>
      <c r="AG794" s="48"/>
      <c r="AH794" s="89"/>
      <c r="AI794" s="49">
        <f t="shared" si="190"/>
        <v>0</v>
      </c>
      <c r="AJ794" s="49" t="str">
        <f t="shared" si="191"/>
        <v/>
      </c>
      <c r="AK794" s="49">
        <f t="shared" si="192"/>
        <v>0</v>
      </c>
      <c r="AL794" s="49" t="str">
        <f t="shared" si="193"/>
        <v/>
      </c>
      <c r="AM794" s="49">
        <f t="shared" si="194"/>
        <v>0</v>
      </c>
      <c r="AN794" s="49" t="str">
        <f t="shared" si="195"/>
        <v/>
      </c>
      <c r="AO794" s="49">
        <f t="shared" si="196"/>
        <v>1</v>
      </c>
      <c r="AP794" s="49" t="str">
        <f t="shared" si="197"/>
        <v/>
      </c>
      <c r="AQ794" s="49">
        <f t="shared" si="198"/>
        <v>0</v>
      </c>
      <c r="AR794" s="49" t="str">
        <f t="shared" si="199"/>
        <v/>
      </c>
    </row>
    <row r="795" spans="1:44" ht="30" customHeight="1" x14ac:dyDescent="0.35">
      <c r="A795" s="25" t="str">
        <f t="shared" si="200"/>
        <v>PT178 - PLATAFORMA DE ACESSO - FORQUILHA 3 - DETALHADO
TORRE B5PROJETO DETALHADO
CIVIL</v>
      </c>
      <c r="B795" s="40" t="s">
        <v>42</v>
      </c>
      <c r="C795" s="60" t="str">
        <f>IF(AND($B795=[1]rogério!$A796,[1]rogério!$B796=C$4),"ok","nok")</f>
        <v>nok</v>
      </c>
      <c r="D795" s="60" t="str">
        <f>IF(AND($B795=[1]rogério!$A796,[1]rogério!$B796=D$4),"ok","nok")</f>
        <v>nok</v>
      </c>
      <c r="E795" s="60" t="str">
        <f>IF(AND($B795=[1]rogério!$A796,[1]rogério!$B796=E$4),"ok","nok")</f>
        <v>nok</v>
      </c>
      <c r="F795" s="60" t="str">
        <f>IF(AND($B795=[1]rogério!$A796,[1]rogério!$B796=F$4),"ok","nok")</f>
        <v>nok</v>
      </c>
      <c r="G795" s="60" t="str">
        <f>IF(AND($B795=[1]rogério!$A796,[1]rogério!$B796=G$4),"ok","nok")</f>
        <v>nok</v>
      </c>
      <c r="H795" s="60" t="str">
        <f>IF(AND($B795=[1]rogério!$A796,[1]rogério!$B796=H$4),"ok","nok")</f>
        <v>nok</v>
      </c>
      <c r="I795" s="60" t="str">
        <f>IF(AND($B795=[1]rogério!$A796,[1]rogério!$B796=I$4),"ok","nok")</f>
        <v>nok</v>
      </c>
      <c r="J795" s="60" t="str">
        <f>IF(AND($B795=[1]rogério!$A796,[1]rogério!$B796=J$4),"ok","nok")</f>
        <v>nok</v>
      </c>
      <c r="K795" s="60" t="str">
        <f>IF(AND($B795=[1]rogério!$A796,[1]rogério!$B796=K$4),"ok","nok")</f>
        <v>nok</v>
      </c>
      <c r="L795" s="60" t="str">
        <f>IF(AND($B795=[1]rogério!$A796,[1]rogério!$B796=L$4),"ok","nok")</f>
        <v>nok</v>
      </c>
      <c r="M795" s="60" t="str">
        <f>IF(AND($B795=[1]rogério!$A796,[1]rogério!$B796=M$4),"ok","nok")</f>
        <v>nok</v>
      </c>
      <c r="N795" s="60" t="str">
        <f>IF(AND($B795=[1]rogério!$A796,[1]rogério!$B796=N$4),"ok","nok")</f>
        <v>nok</v>
      </c>
      <c r="O795" s="60" t="str">
        <f>IF(AND($B795=[1]rogério!$A796,[1]rogério!$B796=O$4),"ok","nok")</f>
        <v>nok</v>
      </c>
      <c r="P795" s="60" t="str">
        <f>IF(AND($B795=[1]rogério!$A796,[1]rogério!$B796=P$4),"ok","nok")</f>
        <v>nok</v>
      </c>
      <c r="Q795" s="60" t="str">
        <f>IF(AND($B795=[1]rogério!$A796,[1]rogério!$B796=Q$4),"ok","nok")</f>
        <v>nok</v>
      </c>
      <c r="R795" s="60" t="str">
        <f>IF(AND($B795=[1]rogério!$A796,[1]rogério!$B796=R$4),"ok","nok")</f>
        <v>nok</v>
      </c>
      <c r="S795" s="60" t="str">
        <f>IF(AND($B795=[1]rogério!$A796,[1]rogério!$B796=S$4),"ok","nok")</f>
        <v>nok</v>
      </c>
      <c r="T795" s="60" t="str">
        <f>IF(AND($B795=[1]rogério!$A796,[1]rogério!$B796=T$4),"ok","nok")</f>
        <v>nok</v>
      </c>
      <c r="U795" s="60" t="str">
        <f>IF(AND($B795=[1]rogério!$A796,[1]rogério!$B796=U$4),"ok","nok")</f>
        <v>nok</v>
      </c>
      <c r="V795" s="60" t="str">
        <f>IF(AND($B795=[1]rogério!$A796,[1]rogério!$B796=V$4),"ok","nok")</f>
        <v>nok</v>
      </c>
      <c r="W795" s="60" t="str">
        <f>IF(AND($B795=[1]rogério!$A796,[1]rogério!$B796=W$4),"ok","nok")</f>
        <v>ok</v>
      </c>
      <c r="X795" s="60" t="str">
        <f>IF(AND($B795=[1]rogério!$A796,[1]rogério!$B796=X$4),"ok","nok")</f>
        <v>nok</v>
      </c>
      <c r="Y795" s="105" t="s">
        <v>15</v>
      </c>
      <c r="Z795" s="106"/>
      <c r="AA795" s="106"/>
      <c r="AB795" s="107"/>
      <c r="AE795" s="48" t="str">
        <f t="shared" si="189"/>
        <v/>
      </c>
      <c r="AF795" s="48"/>
      <c r="AG795" s="48"/>
      <c r="AH795" s="89"/>
      <c r="AI795" s="49">
        <f t="shared" si="190"/>
        <v>0</v>
      </c>
      <c r="AJ795" s="49" t="str">
        <f t="shared" si="191"/>
        <v/>
      </c>
      <c r="AK795" s="49">
        <f t="shared" si="192"/>
        <v>0</v>
      </c>
      <c r="AL795" s="49" t="str">
        <f t="shared" si="193"/>
        <v/>
      </c>
      <c r="AM795" s="49">
        <f t="shared" si="194"/>
        <v>0</v>
      </c>
      <c r="AN795" s="49" t="str">
        <f t="shared" si="195"/>
        <v/>
      </c>
      <c r="AO795" s="49">
        <f t="shared" si="196"/>
        <v>0</v>
      </c>
      <c r="AP795" s="49" t="str">
        <f t="shared" si="197"/>
        <v/>
      </c>
      <c r="AQ795" s="49">
        <f t="shared" si="198"/>
        <v>1</v>
      </c>
      <c r="AR795" s="49" t="str">
        <f t="shared" si="199"/>
        <v/>
      </c>
    </row>
    <row r="796" spans="1:44" ht="30" customHeight="1" x14ac:dyDescent="0.35">
      <c r="A796" s="25" t="str">
        <f t="shared" si="200"/>
        <v>PT178 - PLATAFORMA DE ACESSO - FORQUILHA 3 - DETALHADO
TORRE B5PROJETO DETALHADO
CIVIL</v>
      </c>
      <c r="B796" s="40" t="s">
        <v>43</v>
      </c>
      <c r="C796" s="60" t="str">
        <f>IF(AND($B796=[1]rogério!$A797,[1]rogério!$B797=C$4),"ok","nok")</f>
        <v>nok</v>
      </c>
      <c r="D796" s="60" t="str">
        <f>IF(AND($B796=[1]rogério!$A797,[1]rogério!$B797=D$4),"ok","nok")</f>
        <v>nok</v>
      </c>
      <c r="E796" s="60" t="str">
        <f>IF(AND($B796=[1]rogério!$A797,[1]rogério!$B797=E$4),"ok","nok")</f>
        <v>nok</v>
      </c>
      <c r="F796" s="60" t="str">
        <f>IF(AND($B796=[1]rogério!$A797,[1]rogério!$B797=F$4),"ok","nok")</f>
        <v>nok</v>
      </c>
      <c r="G796" s="60" t="str">
        <f>IF(AND($B796=[1]rogério!$A797,[1]rogério!$B797=G$4),"ok","nok")</f>
        <v>nok</v>
      </c>
      <c r="H796" s="60" t="str">
        <f>IF(AND($B796=[1]rogério!$A797,[1]rogério!$B797=H$4),"ok","nok")</f>
        <v>nok</v>
      </c>
      <c r="I796" s="60" t="str">
        <f>IF(AND($B796=[1]rogério!$A797,[1]rogério!$B797=I$4),"ok","nok")</f>
        <v>nok</v>
      </c>
      <c r="J796" s="60" t="str">
        <f>IF(AND($B796=[1]rogério!$A797,[1]rogério!$B797=J$4),"ok","nok")</f>
        <v>nok</v>
      </c>
      <c r="K796" s="60" t="str">
        <f>IF(AND($B796=[1]rogério!$A797,[1]rogério!$B797=K$4),"ok","nok")</f>
        <v>nok</v>
      </c>
      <c r="L796" s="60" t="str">
        <f>IF(AND($B796=[1]rogério!$A797,[1]rogério!$B797=L$4),"ok","nok")</f>
        <v>nok</v>
      </c>
      <c r="M796" s="60" t="str">
        <f>IF(AND($B796=[1]rogério!$A797,[1]rogério!$B797=M$4),"ok","nok")</f>
        <v>nok</v>
      </c>
      <c r="N796" s="60" t="str">
        <f>IF(AND($B796=[1]rogério!$A797,[1]rogério!$B797=N$4),"ok","nok")</f>
        <v>nok</v>
      </c>
      <c r="O796" s="60" t="str">
        <f>IF(AND($B796=[1]rogério!$A797,[1]rogério!$B797=O$4),"ok","nok")</f>
        <v>nok</v>
      </c>
      <c r="P796" s="60" t="str">
        <f>IF(AND($B796=[1]rogério!$A797,[1]rogério!$B797=P$4),"ok","nok")</f>
        <v>nok</v>
      </c>
      <c r="Q796" s="60" t="str">
        <f>IF(AND($B796=[1]rogério!$A797,[1]rogério!$B797=Q$4),"ok","nok")</f>
        <v>nok</v>
      </c>
      <c r="R796" s="60" t="str">
        <f>IF(AND($B796=[1]rogério!$A797,[1]rogério!$B797=R$4),"ok","nok")</f>
        <v>nok</v>
      </c>
      <c r="S796" s="60" t="str">
        <f>IF(AND($B796=[1]rogério!$A797,[1]rogério!$B797=S$4),"ok","nok")</f>
        <v>nok</v>
      </c>
      <c r="T796" s="60" t="str">
        <f>IF(AND($B796=[1]rogério!$A797,[1]rogério!$B797=T$4),"ok","nok")</f>
        <v>nok</v>
      </c>
      <c r="U796" s="60" t="str">
        <f>IF(AND($B796=[1]rogério!$A797,[1]rogério!$B797=U$4),"ok","nok")</f>
        <v>nok</v>
      </c>
      <c r="V796" s="60" t="str">
        <f>IF(AND($B796=[1]rogério!$A797,[1]rogério!$B797=V$4),"ok","nok")</f>
        <v>nok</v>
      </c>
      <c r="W796" s="60" t="str">
        <f>IF(AND($B796=[1]rogério!$A797,[1]rogério!$B797=W$4),"ok","nok")</f>
        <v>ok</v>
      </c>
      <c r="X796" s="60" t="str">
        <f>IF(AND($B796=[1]rogério!$A797,[1]rogério!$B797=X$4),"ok","nok")</f>
        <v>nok</v>
      </c>
      <c r="Y796" s="105" t="s">
        <v>15</v>
      </c>
      <c r="Z796" s="106"/>
      <c r="AA796" s="106"/>
      <c r="AB796" s="107"/>
      <c r="AE796" s="48" t="str">
        <f t="shared" si="189"/>
        <v/>
      </c>
      <c r="AF796" s="48"/>
      <c r="AG796" s="48"/>
      <c r="AH796" s="89"/>
      <c r="AI796" s="49">
        <f t="shared" si="190"/>
        <v>0</v>
      </c>
      <c r="AJ796" s="49" t="str">
        <f t="shared" si="191"/>
        <v/>
      </c>
      <c r="AK796" s="49">
        <f t="shared" si="192"/>
        <v>0</v>
      </c>
      <c r="AL796" s="49" t="str">
        <f t="shared" si="193"/>
        <v/>
      </c>
      <c r="AM796" s="49">
        <f t="shared" si="194"/>
        <v>0</v>
      </c>
      <c r="AN796" s="49" t="str">
        <f t="shared" si="195"/>
        <v/>
      </c>
      <c r="AO796" s="49">
        <f t="shared" si="196"/>
        <v>0</v>
      </c>
      <c r="AP796" s="49" t="str">
        <f t="shared" si="197"/>
        <v/>
      </c>
      <c r="AQ796" s="49">
        <f t="shared" si="198"/>
        <v>1</v>
      </c>
      <c r="AR796" s="49" t="str">
        <f t="shared" si="199"/>
        <v/>
      </c>
    </row>
    <row r="797" spans="1:44" ht="30" customHeight="1" x14ac:dyDescent="0.35">
      <c r="A797" s="25" t="str">
        <f t="shared" si="200"/>
        <v>PT178 - PLATAFORMA DE ACESSO - FORQUILHA 3 - DETALHADO
TORRE B5PROJETO DETALHADO
CIVIL</v>
      </c>
      <c r="B797" s="38" t="s">
        <v>79</v>
      </c>
      <c r="C797" s="60" t="str">
        <f>IF(AND($B797=[1]rogério!$A798,[1]rogério!$B798=C$4),"ok","nok")</f>
        <v>nok</v>
      </c>
      <c r="D797" s="60" t="str">
        <f>IF(AND($B797=[1]rogério!$A798,[1]rogério!$B798=D$4),"ok","nok")</f>
        <v>nok</v>
      </c>
      <c r="E797" s="60" t="str">
        <f>IF(AND($B797=[1]rogério!$A798,[1]rogério!$B798=E$4),"ok","nok")</f>
        <v>nok</v>
      </c>
      <c r="F797" s="60" t="str">
        <f>IF(AND($B797=[1]rogério!$A798,[1]rogério!$B798=F$4),"ok","nok")</f>
        <v>nok</v>
      </c>
      <c r="G797" s="60" t="str">
        <f>IF(AND($B797=[1]rogério!$A798,[1]rogério!$B798=G$4),"ok","nok")</f>
        <v>nok</v>
      </c>
      <c r="H797" s="60" t="str">
        <f>IF(AND($B797=[1]rogério!$A798,[1]rogério!$B798=H$4),"ok","nok")</f>
        <v>nok</v>
      </c>
      <c r="I797" s="60" t="str">
        <f>IF(AND($B797=[1]rogério!$A798,[1]rogério!$B798=I$4),"ok","nok")</f>
        <v>nok</v>
      </c>
      <c r="J797" s="60" t="str">
        <f>IF(AND($B797=[1]rogério!$A798,[1]rogério!$B798=J$4),"ok","nok")</f>
        <v>nok</v>
      </c>
      <c r="K797" s="60" t="str">
        <f>IF(AND($B797=[1]rogério!$A798,[1]rogério!$B798=K$4),"ok","nok")</f>
        <v>nok</v>
      </c>
      <c r="L797" s="60" t="str">
        <f>IF(AND($B797=[1]rogério!$A798,[1]rogério!$B798=L$4),"ok","nok")</f>
        <v>nok</v>
      </c>
      <c r="M797" s="60" t="str">
        <f>IF(AND($B797=[1]rogério!$A798,[1]rogério!$B798=M$4),"ok","nok")</f>
        <v>nok</v>
      </c>
      <c r="N797" s="60" t="str">
        <f>IF(AND($B797=[1]rogério!$A798,[1]rogério!$B798=N$4),"ok","nok")</f>
        <v>nok</v>
      </c>
      <c r="O797" s="60" t="str">
        <f>IF(AND($B797=[1]rogério!$A798,[1]rogério!$B798=O$4),"ok","nok")</f>
        <v>nok</v>
      </c>
      <c r="P797" s="60" t="str">
        <f>IF(AND($B797=[1]rogério!$A798,[1]rogério!$B798=P$4),"ok","nok")</f>
        <v>nok</v>
      </c>
      <c r="Q797" s="60" t="str">
        <f>IF(AND($B797=[1]rogério!$A798,[1]rogério!$B798=Q$4),"ok","nok")</f>
        <v>ok</v>
      </c>
      <c r="R797" s="60" t="str">
        <f>IF(AND($B797=[1]rogério!$A798,[1]rogério!$B798=R$4),"ok","nok")</f>
        <v>nok</v>
      </c>
      <c r="S797" s="60" t="str">
        <f>IF(AND($B797=[1]rogério!$A798,[1]rogério!$B798=S$4),"ok","nok")</f>
        <v>nok</v>
      </c>
      <c r="T797" s="60" t="str">
        <f>IF(AND($B797=[1]rogério!$A798,[1]rogério!$B798=T$4),"ok","nok")</f>
        <v>nok</v>
      </c>
      <c r="U797" s="60" t="str">
        <f>IF(AND($B797=[1]rogério!$A798,[1]rogério!$B798=U$4),"ok","nok")</f>
        <v>nok</v>
      </c>
      <c r="V797" s="60" t="str">
        <f>IF(AND($B797=[1]rogério!$A798,[1]rogério!$B798=V$4),"ok","nok")</f>
        <v>nok</v>
      </c>
      <c r="W797" s="60" t="str">
        <f>IF(AND($B797=[1]rogério!$A798,[1]rogério!$B798=W$4),"ok","nok")</f>
        <v>nok</v>
      </c>
      <c r="X797" s="60" t="str">
        <f>IF(AND($B797=[1]rogério!$A798,[1]rogério!$B798=X$4),"ok","nok")</f>
        <v>nok</v>
      </c>
      <c r="Y797" s="105" t="s">
        <v>15</v>
      </c>
      <c r="Z797" s="106"/>
      <c r="AA797" s="106"/>
      <c r="AB797" s="107"/>
      <c r="AE797" s="48" t="str">
        <f t="shared" si="189"/>
        <v/>
      </c>
      <c r="AF797" s="48"/>
      <c r="AG797" s="48"/>
      <c r="AH797" s="89"/>
      <c r="AI797" s="49">
        <f t="shared" si="190"/>
        <v>0</v>
      </c>
      <c r="AJ797" s="49" t="str">
        <f t="shared" si="191"/>
        <v/>
      </c>
      <c r="AK797" s="49">
        <f t="shared" si="192"/>
        <v>0</v>
      </c>
      <c r="AL797" s="49" t="str">
        <f t="shared" si="193"/>
        <v/>
      </c>
      <c r="AM797" s="49">
        <f t="shared" si="194"/>
        <v>1</v>
      </c>
      <c r="AN797" s="49" t="str">
        <f t="shared" si="195"/>
        <v/>
      </c>
      <c r="AO797" s="49">
        <f t="shared" si="196"/>
        <v>0</v>
      </c>
      <c r="AP797" s="49" t="str">
        <f t="shared" si="197"/>
        <v/>
      </c>
      <c r="AQ797" s="49">
        <f t="shared" si="198"/>
        <v>0</v>
      </c>
      <c r="AR797" s="49" t="str">
        <f t="shared" si="199"/>
        <v/>
      </c>
    </row>
    <row r="798" spans="1:44" ht="30" customHeight="1" x14ac:dyDescent="0.35">
      <c r="A798" s="25" t="str">
        <f t="shared" si="200"/>
        <v>PT178 - PLATAFORMA DE ACESSO - FORQUILHA 3 - DETALHADO
TORRE B5PROJETO DETALHADO
CIVIL</v>
      </c>
      <c r="B798" s="38" t="s">
        <v>80</v>
      </c>
      <c r="C798" s="60" t="str">
        <f>IF(AND($B798=[1]rogério!$A799,[1]rogério!$B799=C$4),"ok","nok")</f>
        <v>nok</v>
      </c>
      <c r="D798" s="60" t="str">
        <f>IF(AND($B798=[1]rogério!$A799,[1]rogério!$B799=D$4),"ok","nok")</f>
        <v>nok</v>
      </c>
      <c r="E798" s="60" t="str">
        <f>IF(AND($B798=[1]rogério!$A799,[1]rogério!$B799=E$4),"ok","nok")</f>
        <v>nok</v>
      </c>
      <c r="F798" s="60" t="str">
        <f>IF(AND($B798=[1]rogério!$A799,[1]rogério!$B799=F$4),"ok","nok")</f>
        <v>nok</v>
      </c>
      <c r="G798" s="60" t="str">
        <f>IF(AND($B798=[1]rogério!$A799,[1]rogério!$B799=G$4),"ok","nok")</f>
        <v>nok</v>
      </c>
      <c r="H798" s="60" t="str">
        <f>IF(AND($B798=[1]rogério!$A799,[1]rogério!$B799=H$4),"ok","nok")</f>
        <v>nok</v>
      </c>
      <c r="I798" s="60" t="str">
        <f>IF(AND($B798=[1]rogério!$A799,[1]rogério!$B799=I$4),"ok","nok")</f>
        <v>nok</v>
      </c>
      <c r="J798" s="60" t="str">
        <f>IF(AND($B798=[1]rogério!$A799,[1]rogério!$B799=J$4),"ok","nok")</f>
        <v>nok</v>
      </c>
      <c r="K798" s="60" t="str">
        <f>IF(AND($B798=[1]rogério!$A799,[1]rogério!$B799=K$4),"ok","nok")</f>
        <v>nok</v>
      </c>
      <c r="L798" s="60" t="str">
        <f>IF(AND($B798=[1]rogério!$A799,[1]rogério!$B799=L$4),"ok","nok")</f>
        <v>nok</v>
      </c>
      <c r="M798" s="60" t="str">
        <f>IF(AND($B798=[1]rogério!$A799,[1]rogério!$B799=M$4),"ok","nok")</f>
        <v>nok</v>
      </c>
      <c r="N798" s="60" t="str">
        <f>IF(AND($B798=[1]rogério!$A799,[1]rogério!$B799=N$4),"ok","nok")</f>
        <v>nok</v>
      </c>
      <c r="O798" s="60" t="str">
        <f>IF(AND($B798=[1]rogério!$A799,[1]rogério!$B799=O$4),"ok","nok")</f>
        <v>nok</v>
      </c>
      <c r="P798" s="60" t="str">
        <f>IF(AND($B798=[1]rogério!$A799,[1]rogério!$B799=P$4),"ok","nok")</f>
        <v>nok</v>
      </c>
      <c r="Q798" s="60" t="str">
        <f>IF(AND($B798=[1]rogério!$A799,[1]rogério!$B799=Q$4),"ok","nok")</f>
        <v>nok</v>
      </c>
      <c r="R798" s="60" t="str">
        <f>IF(AND($B798=[1]rogério!$A799,[1]rogério!$B799=R$4),"ok","nok")</f>
        <v>ok</v>
      </c>
      <c r="S798" s="60" t="str">
        <f>IF(AND($B798=[1]rogério!$A799,[1]rogério!$B799=S$4),"ok","nok")</f>
        <v>nok</v>
      </c>
      <c r="T798" s="60" t="str">
        <f>IF(AND($B798=[1]rogério!$A799,[1]rogério!$B799=T$4),"ok","nok")</f>
        <v>nok</v>
      </c>
      <c r="U798" s="60" t="str">
        <f>IF(AND($B798=[1]rogério!$A799,[1]rogério!$B799=U$4),"ok","nok")</f>
        <v>nok</v>
      </c>
      <c r="V798" s="60" t="str">
        <f>IF(AND($B798=[1]rogério!$A799,[1]rogério!$B799=V$4),"ok","nok")</f>
        <v>nok</v>
      </c>
      <c r="W798" s="60" t="str">
        <f>IF(AND($B798=[1]rogério!$A799,[1]rogério!$B799=W$4),"ok","nok")</f>
        <v>nok</v>
      </c>
      <c r="X798" s="60" t="str">
        <f>IF(AND($B798=[1]rogério!$A799,[1]rogério!$B799=X$4),"ok","nok")</f>
        <v>nok</v>
      </c>
      <c r="Y798" s="105" t="s">
        <v>15</v>
      </c>
      <c r="Z798" s="106"/>
      <c r="AA798" s="106"/>
      <c r="AB798" s="107"/>
      <c r="AE798" s="48" t="str">
        <f t="shared" si="189"/>
        <v/>
      </c>
      <c r="AF798" s="48"/>
      <c r="AG798" s="48"/>
      <c r="AH798" s="89"/>
      <c r="AI798" s="49">
        <f t="shared" si="190"/>
        <v>0</v>
      </c>
      <c r="AJ798" s="49" t="str">
        <f t="shared" si="191"/>
        <v/>
      </c>
      <c r="AK798" s="49">
        <f t="shared" si="192"/>
        <v>0</v>
      </c>
      <c r="AL798" s="49" t="str">
        <f t="shared" si="193"/>
        <v/>
      </c>
      <c r="AM798" s="49">
        <f t="shared" si="194"/>
        <v>0</v>
      </c>
      <c r="AN798" s="49" t="str">
        <f t="shared" si="195"/>
        <v/>
      </c>
      <c r="AO798" s="49">
        <f t="shared" si="196"/>
        <v>1</v>
      </c>
      <c r="AP798" s="49" t="str">
        <f t="shared" si="197"/>
        <v/>
      </c>
      <c r="AQ798" s="49">
        <f t="shared" si="198"/>
        <v>0</v>
      </c>
      <c r="AR798" s="49" t="str">
        <f t="shared" si="199"/>
        <v/>
      </c>
    </row>
    <row r="799" spans="1:44" ht="30" customHeight="1" x14ac:dyDescent="0.35">
      <c r="A799" s="25"/>
      <c r="B799" s="39" t="s">
        <v>81</v>
      </c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108"/>
      <c r="Z799" s="109"/>
      <c r="AA799" s="109"/>
      <c r="AB799" s="110"/>
      <c r="AE799" s="48" t="str">
        <f t="shared" si="189"/>
        <v/>
      </c>
      <c r="AF799" s="48"/>
      <c r="AG799" s="48"/>
      <c r="AH799" s="89"/>
      <c r="AI799" s="49">
        <f t="shared" si="190"/>
        <v>0</v>
      </c>
      <c r="AJ799" s="49" t="str">
        <f t="shared" si="191"/>
        <v/>
      </c>
      <c r="AK799" s="49">
        <f t="shared" si="192"/>
        <v>0</v>
      </c>
      <c r="AL799" s="49" t="str">
        <f t="shared" si="193"/>
        <v/>
      </c>
      <c r="AM799" s="49">
        <f t="shared" si="194"/>
        <v>0</v>
      </c>
      <c r="AN799" s="49" t="str">
        <f t="shared" si="195"/>
        <v/>
      </c>
      <c r="AO799" s="49">
        <f t="shared" si="196"/>
        <v>0</v>
      </c>
      <c r="AP799" s="49" t="str">
        <f t="shared" si="197"/>
        <v/>
      </c>
      <c r="AQ799" s="49">
        <f t="shared" si="198"/>
        <v>0</v>
      </c>
      <c r="AR799" s="49" t="str">
        <f t="shared" si="199"/>
        <v/>
      </c>
    </row>
    <row r="800" spans="1:44" ht="30" customHeight="1" x14ac:dyDescent="0.35">
      <c r="A800" s="25" t="str">
        <f t="shared" si="200"/>
        <v>PT178 - PLATAFORMA DE ACESSO - FORQUILHA 3 - DETALHADO
TORRE B5PROJETO DETALHADO
CIVIL</v>
      </c>
      <c r="B800" s="40" t="s">
        <v>49</v>
      </c>
      <c r="C800" s="60" t="str">
        <f>IF(AND($B800=[1]rogério!$A801,[1]rogério!$B801=C$4),"ok","nok")</f>
        <v>nok</v>
      </c>
      <c r="D800" s="60" t="str">
        <f>IF(AND($B800=[1]rogério!$A801,[1]rogério!$B801=D$4),"ok","nok")</f>
        <v>nok</v>
      </c>
      <c r="E800" s="60" t="str">
        <f>IF(AND($B800=[1]rogério!$A801,[1]rogério!$B801=E$4),"ok","nok")</f>
        <v>nok</v>
      </c>
      <c r="F800" s="60" t="str">
        <f>IF(AND($B800=[1]rogério!$A801,[1]rogério!$B801=F$4),"ok","nok")</f>
        <v>nok</v>
      </c>
      <c r="G800" s="60" t="str">
        <f>IF(AND($B800=[1]rogério!$A801,[1]rogério!$B801=G$4),"ok","nok")</f>
        <v>nok</v>
      </c>
      <c r="H800" s="60" t="str">
        <f>IF(AND($B800=[1]rogério!$A801,[1]rogério!$B801=H$4),"ok","nok")</f>
        <v>nok</v>
      </c>
      <c r="I800" s="60" t="str">
        <f>IF(AND($B800=[1]rogério!$A801,[1]rogério!$B801=I$4),"ok","nok")</f>
        <v>nok</v>
      </c>
      <c r="J800" s="60" t="str">
        <f>IF(AND($B800=[1]rogério!$A801,[1]rogério!$B801=J$4),"ok","nok")</f>
        <v>nok</v>
      </c>
      <c r="K800" s="60" t="str">
        <f>IF(AND($B800=[1]rogério!$A801,[1]rogério!$B801=K$4),"ok","nok")</f>
        <v>nok</v>
      </c>
      <c r="L800" s="60" t="str">
        <f>IF(AND($B800=[1]rogério!$A801,[1]rogério!$B801=L$4),"ok","nok")</f>
        <v>nok</v>
      </c>
      <c r="M800" s="60" t="str">
        <f>IF(AND($B800=[1]rogério!$A801,[1]rogério!$B801=M$4),"ok","nok")</f>
        <v>nok</v>
      </c>
      <c r="N800" s="60" t="str">
        <f>IF(AND($B800=[1]rogério!$A801,[1]rogério!$B801=N$4),"ok","nok")</f>
        <v>nok</v>
      </c>
      <c r="O800" s="60" t="str">
        <f>IF(AND($B800=[1]rogério!$A801,[1]rogério!$B801=O$4),"ok","nok")</f>
        <v>nok</v>
      </c>
      <c r="P800" s="60" t="str">
        <f>IF(AND($B800=[1]rogério!$A801,[1]rogério!$B801=P$4),"ok","nok")</f>
        <v>nok</v>
      </c>
      <c r="Q800" s="60" t="str">
        <f>IF(AND($B800=[1]rogério!$A801,[1]rogério!$B801=Q$4),"ok","nok")</f>
        <v>nok</v>
      </c>
      <c r="R800" s="60" t="str">
        <f>IF(AND($B800=[1]rogério!$A801,[1]rogério!$B801=R$4),"ok","nok")</f>
        <v>ok</v>
      </c>
      <c r="S800" s="60" t="str">
        <f>IF(AND($B800=[1]rogério!$A801,[1]rogério!$B801=S$4),"ok","nok")</f>
        <v>nok</v>
      </c>
      <c r="T800" s="60" t="str">
        <f>IF(AND($B800=[1]rogério!$A801,[1]rogério!$B801=T$4),"ok","nok")</f>
        <v>nok</v>
      </c>
      <c r="U800" s="60" t="str">
        <f>IF(AND($B800=[1]rogério!$A801,[1]rogério!$B801=U$4),"ok","nok")</f>
        <v>nok</v>
      </c>
      <c r="V800" s="60" t="str">
        <f>IF(AND($B800=[1]rogério!$A801,[1]rogério!$B801=V$4),"ok","nok")</f>
        <v>nok</v>
      </c>
      <c r="W800" s="60" t="str">
        <f>IF(AND($B800=[1]rogério!$A801,[1]rogério!$B801=W$4),"ok","nok")</f>
        <v>nok</v>
      </c>
      <c r="X800" s="60" t="str">
        <f>IF(AND($B800=[1]rogério!$A801,[1]rogério!$B801=X$4),"ok","nok")</f>
        <v>nok</v>
      </c>
      <c r="Y800" s="105" t="s">
        <v>15</v>
      </c>
      <c r="Z800" s="106"/>
      <c r="AA800" s="106"/>
      <c r="AB800" s="107"/>
      <c r="AE800" s="48" t="str">
        <f t="shared" si="189"/>
        <v/>
      </c>
      <c r="AF800" s="48"/>
      <c r="AG800" s="48"/>
      <c r="AH800" s="89"/>
      <c r="AI800" s="49">
        <f t="shared" si="190"/>
        <v>0</v>
      </c>
      <c r="AJ800" s="49" t="str">
        <f t="shared" si="191"/>
        <v/>
      </c>
      <c r="AK800" s="49">
        <f t="shared" si="192"/>
        <v>0</v>
      </c>
      <c r="AL800" s="49" t="str">
        <f t="shared" si="193"/>
        <v/>
      </c>
      <c r="AM800" s="49">
        <f t="shared" si="194"/>
        <v>0</v>
      </c>
      <c r="AN800" s="49" t="str">
        <f t="shared" si="195"/>
        <v/>
      </c>
      <c r="AO800" s="49">
        <f t="shared" si="196"/>
        <v>1</v>
      </c>
      <c r="AP800" s="49" t="str">
        <f t="shared" si="197"/>
        <v/>
      </c>
      <c r="AQ800" s="49">
        <f t="shared" si="198"/>
        <v>0</v>
      </c>
      <c r="AR800" s="49" t="str">
        <f t="shared" si="199"/>
        <v/>
      </c>
    </row>
    <row r="801" spans="1:44" ht="30" customHeight="1" x14ac:dyDescent="0.35">
      <c r="A801" s="25" t="str">
        <f t="shared" si="200"/>
        <v>PT178 - PLATAFORMA DE ACESSO - FORQUILHA 3 - DETALHADO
TORRE B5PROJETO DETALHADO
CIVIL</v>
      </c>
      <c r="B801" s="40" t="s">
        <v>19</v>
      </c>
      <c r="C801" s="60" t="str">
        <f>IF(AND($B801=[1]rogério!$A802,[1]rogério!$B802=C$4),"ok","nok")</f>
        <v>nok</v>
      </c>
      <c r="D801" s="60" t="str">
        <f>IF(AND($B801=[1]rogério!$A802,[1]rogério!$B802=D$4),"ok","nok")</f>
        <v>nok</v>
      </c>
      <c r="E801" s="60" t="str">
        <f>IF(AND($B801=[1]rogério!$A802,[1]rogério!$B802=E$4),"ok","nok")</f>
        <v>nok</v>
      </c>
      <c r="F801" s="60" t="str">
        <f>IF(AND($B801=[1]rogério!$A802,[1]rogério!$B802=F$4),"ok","nok")</f>
        <v>nok</v>
      </c>
      <c r="G801" s="60" t="str">
        <f>IF(AND($B801=[1]rogério!$A802,[1]rogério!$B802=G$4),"ok","nok")</f>
        <v>nok</v>
      </c>
      <c r="H801" s="60" t="str">
        <f>IF(AND($B801=[1]rogério!$A802,[1]rogério!$B802=H$4),"ok","nok")</f>
        <v>nok</v>
      </c>
      <c r="I801" s="60" t="str">
        <f>IF(AND($B801=[1]rogério!$A802,[1]rogério!$B802=I$4),"ok","nok")</f>
        <v>nok</v>
      </c>
      <c r="J801" s="60" t="str">
        <f>IF(AND($B801=[1]rogério!$A802,[1]rogério!$B802=J$4),"ok","nok")</f>
        <v>nok</v>
      </c>
      <c r="K801" s="60" t="str">
        <f>IF(AND($B801=[1]rogério!$A802,[1]rogério!$B802=K$4),"ok","nok")</f>
        <v>nok</v>
      </c>
      <c r="L801" s="60" t="str">
        <f>IF(AND($B801=[1]rogério!$A802,[1]rogério!$B802=L$4),"ok","nok")</f>
        <v>nok</v>
      </c>
      <c r="M801" s="60" t="str">
        <f>IF(AND($B801=[1]rogério!$A802,[1]rogério!$B802=M$4),"ok","nok")</f>
        <v>nok</v>
      </c>
      <c r="N801" s="60" t="str">
        <f>IF(AND($B801=[1]rogério!$A802,[1]rogério!$B802=N$4),"ok","nok")</f>
        <v>nok</v>
      </c>
      <c r="O801" s="60" t="str">
        <f>IF(AND($B801=[1]rogério!$A802,[1]rogério!$B802=O$4),"ok","nok")</f>
        <v>nok</v>
      </c>
      <c r="P801" s="60" t="str">
        <f>IF(AND($B801=[1]rogério!$A802,[1]rogério!$B802=P$4),"ok","nok")</f>
        <v>nok</v>
      </c>
      <c r="Q801" s="60" t="str">
        <f>IF(AND($B801=[1]rogério!$A802,[1]rogério!$B802=Q$4),"ok","nok")</f>
        <v>nok</v>
      </c>
      <c r="R801" s="60" t="str">
        <f>IF(AND($B801=[1]rogério!$A802,[1]rogério!$B802=R$4),"ok","nok")</f>
        <v>nok</v>
      </c>
      <c r="S801" s="60" t="str">
        <f>IF(AND($B801=[1]rogério!$A802,[1]rogério!$B802=S$4),"ok","nok")</f>
        <v>nok</v>
      </c>
      <c r="T801" s="60" t="str">
        <f>IF(AND($B801=[1]rogério!$A802,[1]rogério!$B802=T$4),"ok","nok")</f>
        <v>nok</v>
      </c>
      <c r="U801" s="60" t="str">
        <f>IF(AND($B801=[1]rogério!$A802,[1]rogério!$B802=U$4),"ok","nok")</f>
        <v>nok</v>
      </c>
      <c r="V801" s="60" t="str">
        <f>IF(AND($B801=[1]rogério!$A802,[1]rogério!$B802=V$4),"ok","nok")</f>
        <v>nok</v>
      </c>
      <c r="W801" s="60" t="str">
        <f>IF(AND($B801=[1]rogério!$A802,[1]rogério!$B802=W$4),"ok","nok")</f>
        <v>ok</v>
      </c>
      <c r="X801" s="60" t="str">
        <f>IF(AND($B801=[1]rogério!$A802,[1]rogério!$B802=X$4),"ok","nok")</f>
        <v>nok</v>
      </c>
      <c r="Y801" s="105" t="s">
        <v>15</v>
      </c>
      <c r="Z801" s="106"/>
      <c r="AA801" s="106"/>
      <c r="AB801" s="107"/>
      <c r="AE801" s="48" t="str">
        <f t="shared" si="189"/>
        <v/>
      </c>
      <c r="AF801" s="48"/>
      <c r="AG801" s="48"/>
      <c r="AH801" s="89"/>
      <c r="AI801" s="49">
        <f t="shared" si="190"/>
        <v>0</v>
      </c>
      <c r="AJ801" s="49" t="str">
        <f t="shared" si="191"/>
        <v/>
      </c>
      <c r="AK801" s="49">
        <f t="shared" si="192"/>
        <v>0</v>
      </c>
      <c r="AL801" s="49" t="str">
        <f t="shared" si="193"/>
        <v/>
      </c>
      <c r="AM801" s="49">
        <f t="shared" si="194"/>
        <v>0</v>
      </c>
      <c r="AN801" s="49" t="str">
        <f t="shared" si="195"/>
        <v/>
      </c>
      <c r="AO801" s="49">
        <f t="shared" si="196"/>
        <v>0</v>
      </c>
      <c r="AP801" s="49" t="str">
        <f t="shared" si="197"/>
        <v/>
      </c>
      <c r="AQ801" s="49">
        <f t="shared" si="198"/>
        <v>1</v>
      </c>
      <c r="AR801" s="49" t="str">
        <f t="shared" si="199"/>
        <v/>
      </c>
    </row>
    <row r="802" spans="1:44" ht="30" customHeight="1" x14ac:dyDescent="0.35">
      <c r="A802" s="25" t="str">
        <f t="shared" si="200"/>
        <v>PT178 - PLATAFORMA DE ACESSO - FORQUILHA 3 - DETALHADO
TORRE B5PROJETO DETALHADO
CIVIL</v>
      </c>
      <c r="B802" s="38" t="s">
        <v>65</v>
      </c>
      <c r="C802" s="60" t="str">
        <f>IF(AND($B802=[1]rogério!$A803,[1]rogério!$B803=C$4),"ok","nok")</f>
        <v>nok</v>
      </c>
      <c r="D802" s="60" t="str">
        <f>IF(AND($B802=[1]rogério!$A803,[1]rogério!$B803=D$4),"ok","nok")</f>
        <v>nok</v>
      </c>
      <c r="E802" s="60" t="str">
        <f>IF(AND($B802=[1]rogério!$A803,[1]rogério!$B803=E$4),"ok","nok")</f>
        <v>nok</v>
      </c>
      <c r="F802" s="60" t="str">
        <f>IF(AND($B802=[1]rogério!$A803,[1]rogério!$B803=F$4),"ok","nok")</f>
        <v>nok</v>
      </c>
      <c r="G802" s="60" t="str">
        <f>IF(AND($B802=[1]rogério!$A803,[1]rogério!$B803=G$4),"ok","nok")</f>
        <v>nok</v>
      </c>
      <c r="H802" s="60" t="str">
        <f>IF(AND($B802=[1]rogério!$A803,[1]rogério!$B803=H$4),"ok","nok")</f>
        <v>nok</v>
      </c>
      <c r="I802" s="60" t="str">
        <f>IF(AND($B802=[1]rogério!$A803,[1]rogério!$B803=I$4),"ok","nok")</f>
        <v>nok</v>
      </c>
      <c r="J802" s="60" t="str">
        <f>IF(AND($B802=[1]rogério!$A803,[1]rogério!$B803=J$4),"ok","nok")</f>
        <v>nok</v>
      </c>
      <c r="K802" s="60" t="str">
        <f>IF(AND($B802=[1]rogério!$A803,[1]rogério!$B803=K$4),"ok","nok")</f>
        <v>nok</v>
      </c>
      <c r="L802" s="60" t="str">
        <f>IF(AND($B802=[1]rogério!$A803,[1]rogério!$B803=L$4),"ok","nok")</f>
        <v>nok</v>
      </c>
      <c r="M802" s="60" t="str">
        <f>IF(AND($B802=[1]rogério!$A803,[1]rogério!$B803=M$4),"ok","nok")</f>
        <v>nok</v>
      </c>
      <c r="N802" s="60" t="str">
        <f>IF(AND($B802=[1]rogério!$A803,[1]rogério!$B803=N$4),"ok","nok")</f>
        <v>nok</v>
      </c>
      <c r="O802" s="60" t="str">
        <f>IF(AND($B802=[1]rogério!$A803,[1]rogério!$B803=O$4),"ok","nok")</f>
        <v>nok</v>
      </c>
      <c r="P802" s="60" t="str">
        <f>IF(AND($B802=[1]rogério!$A803,[1]rogério!$B803=P$4),"ok","nok")</f>
        <v>nok</v>
      </c>
      <c r="Q802" s="60" t="str">
        <f>IF(AND($B802=[1]rogério!$A803,[1]rogério!$B803=Q$4),"ok","nok")</f>
        <v>nok</v>
      </c>
      <c r="R802" s="60" t="str">
        <f>IF(AND($B802=[1]rogério!$A803,[1]rogério!$B803=R$4),"ok","nok")</f>
        <v>nok</v>
      </c>
      <c r="S802" s="60" t="str">
        <f>IF(AND($B802=[1]rogério!$A803,[1]rogério!$B803=S$4),"ok","nok")</f>
        <v>ok</v>
      </c>
      <c r="T802" s="60" t="str">
        <f>IF(AND($B802=[1]rogério!$A803,[1]rogério!$B803=T$4),"ok","nok")</f>
        <v>nok</v>
      </c>
      <c r="U802" s="60" t="str">
        <f>IF(AND($B802=[1]rogério!$A803,[1]rogério!$B803=U$4),"ok","nok")</f>
        <v>nok</v>
      </c>
      <c r="V802" s="60" t="str">
        <f>IF(AND($B802=[1]rogério!$A803,[1]rogério!$B803=V$4),"ok","nok")</f>
        <v>nok</v>
      </c>
      <c r="W802" s="60" t="str">
        <f>IF(AND($B802=[1]rogério!$A803,[1]rogério!$B803=W$4),"ok","nok")</f>
        <v>nok</v>
      </c>
      <c r="X802" s="60" t="str">
        <f>IF(AND($B802=[1]rogério!$A803,[1]rogério!$B803=X$4),"ok","nok")</f>
        <v>nok</v>
      </c>
      <c r="Y802" s="105" t="s">
        <v>15</v>
      </c>
      <c r="Z802" s="106"/>
      <c r="AA802" s="106"/>
      <c r="AB802" s="107"/>
      <c r="AE802" s="48" t="str">
        <f t="shared" si="189"/>
        <v/>
      </c>
      <c r="AF802" s="48"/>
      <c r="AG802" s="48"/>
      <c r="AH802" s="89"/>
      <c r="AI802" s="49">
        <f t="shared" si="190"/>
        <v>0</v>
      </c>
      <c r="AJ802" s="49" t="str">
        <f t="shared" si="191"/>
        <v/>
      </c>
      <c r="AK802" s="49">
        <f t="shared" si="192"/>
        <v>0</v>
      </c>
      <c r="AL802" s="49" t="str">
        <f t="shared" si="193"/>
        <v/>
      </c>
      <c r="AM802" s="49">
        <f t="shared" si="194"/>
        <v>0</v>
      </c>
      <c r="AN802" s="49" t="str">
        <f t="shared" si="195"/>
        <v/>
      </c>
      <c r="AO802" s="49">
        <f t="shared" si="196"/>
        <v>1</v>
      </c>
      <c r="AP802" s="49" t="str">
        <f t="shared" si="197"/>
        <v/>
      </c>
      <c r="AQ802" s="49">
        <f t="shared" si="198"/>
        <v>0</v>
      </c>
      <c r="AR802" s="49" t="str">
        <f t="shared" si="199"/>
        <v/>
      </c>
    </row>
    <row r="803" spans="1:44" ht="30" customHeight="1" x14ac:dyDescent="0.35">
      <c r="A803" s="25" t="str">
        <f t="shared" si="200"/>
        <v>PT178 - PLATAFORMA DE ACESSO - FORQUILHA 3 - DETALHADO
TORRE B5PROJETO DETALHADO
CIVIL</v>
      </c>
      <c r="B803" s="38" t="s">
        <v>66</v>
      </c>
      <c r="C803" s="60" t="str">
        <f>IF(AND($B803=[1]rogério!$A804,[1]rogério!$B804=C$4),"ok","nok")</f>
        <v>nok</v>
      </c>
      <c r="D803" s="60" t="str">
        <f>IF(AND($B803=[1]rogério!$A804,[1]rogério!$B804=D$4),"ok","nok")</f>
        <v>nok</v>
      </c>
      <c r="E803" s="60" t="str">
        <f>IF(AND($B803=[1]rogério!$A804,[1]rogério!$B804=E$4),"ok","nok")</f>
        <v>nok</v>
      </c>
      <c r="F803" s="60" t="str">
        <f>IF(AND($B803=[1]rogério!$A804,[1]rogério!$B804=F$4),"ok","nok")</f>
        <v>nok</v>
      </c>
      <c r="G803" s="60" t="str">
        <f>IF(AND($B803=[1]rogério!$A804,[1]rogério!$B804=G$4),"ok","nok")</f>
        <v>nok</v>
      </c>
      <c r="H803" s="60" t="str">
        <f>IF(AND($B803=[1]rogério!$A804,[1]rogério!$B804=H$4),"ok","nok")</f>
        <v>nok</v>
      </c>
      <c r="I803" s="60" t="str">
        <f>IF(AND($B803=[1]rogério!$A804,[1]rogério!$B804=I$4),"ok","nok")</f>
        <v>nok</v>
      </c>
      <c r="J803" s="60" t="str">
        <f>IF(AND($B803=[1]rogério!$A804,[1]rogério!$B804=J$4),"ok","nok")</f>
        <v>nok</v>
      </c>
      <c r="K803" s="60" t="str">
        <f>IF(AND($B803=[1]rogério!$A804,[1]rogério!$B804=K$4),"ok","nok")</f>
        <v>nok</v>
      </c>
      <c r="L803" s="60" t="str">
        <f>IF(AND($B803=[1]rogério!$A804,[1]rogério!$B804=L$4),"ok","nok")</f>
        <v>nok</v>
      </c>
      <c r="M803" s="60" t="str">
        <f>IF(AND($B803=[1]rogério!$A804,[1]rogério!$B804=M$4),"ok","nok")</f>
        <v>nok</v>
      </c>
      <c r="N803" s="60" t="str">
        <f>IF(AND($B803=[1]rogério!$A804,[1]rogério!$B804=N$4),"ok","nok")</f>
        <v>nok</v>
      </c>
      <c r="O803" s="60" t="str">
        <f>IF(AND($B803=[1]rogério!$A804,[1]rogério!$B804=O$4),"ok","nok")</f>
        <v>nok</v>
      </c>
      <c r="P803" s="60" t="str">
        <f>IF(AND($B803=[1]rogério!$A804,[1]rogério!$B804=P$4),"ok","nok")</f>
        <v>nok</v>
      </c>
      <c r="Q803" s="60" t="str">
        <f>IF(AND($B803=[1]rogério!$A804,[1]rogério!$B804=Q$4),"ok","nok")</f>
        <v>nok</v>
      </c>
      <c r="R803" s="60" t="str">
        <f>IF(AND($B803=[1]rogério!$A804,[1]rogério!$B804=R$4),"ok","nok")</f>
        <v>nok</v>
      </c>
      <c r="S803" s="60" t="str">
        <f>IF(AND($B803=[1]rogério!$A804,[1]rogério!$B804=S$4),"ok","nok")</f>
        <v>nok</v>
      </c>
      <c r="T803" s="60" t="str">
        <f>IF(AND($B803=[1]rogério!$A804,[1]rogério!$B804=T$4),"ok","nok")</f>
        <v>ok</v>
      </c>
      <c r="U803" s="60" t="str">
        <f>IF(AND($B803=[1]rogério!$A804,[1]rogério!$B804=U$4),"ok","nok")</f>
        <v>nok</v>
      </c>
      <c r="V803" s="60" t="str">
        <f>IF(AND($B803=[1]rogério!$A804,[1]rogério!$B804=V$4),"ok","nok")</f>
        <v>nok</v>
      </c>
      <c r="W803" s="60" t="str">
        <f>IF(AND($B803=[1]rogério!$A804,[1]rogério!$B804=W$4),"ok","nok")</f>
        <v>nok</v>
      </c>
      <c r="X803" s="60" t="str">
        <f>IF(AND($B803=[1]rogério!$A804,[1]rogério!$B804=X$4),"ok","nok")</f>
        <v>nok</v>
      </c>
      <c r="Y803" s="105" t="s">
        <v>15</v>
      </c>
      <c r="Z803" s="106"/>
      <c r="AA803" s="106"/>
      <c r="AB803" s="107"/>
      <c r="AE803" s="48" t="str">
        <f t="shared" si="189"/>
        <v/>
      </c>
      <c r="AF803" s="48"/>
      <c r="AG803" s="48"/>
      <c r="AH803" s="89"/>
      <c r="AI803" s="49">
        <f t="shared" si="190"/>
        <v>0</v>
      </c>
      <c r="AJ803" s="49" t="str">
        <f t="shared" si="191"/>
        <v/>
      </c>
      <c r="AK803" s="49">
        <f t="shared" si="192"/>
        <v>0</v>
      </c>
      <c r="AL803" s="49" t="str">
        <f t="shared" si="193"/>
        <v/>
      </c>
      <c r="AM803" s="49">
        <f t="shared" si="194"/>
        <v>0</v>
      </c>
      <c r="AN803" s="49" t="str">
        <f t="shared" si="195"/>
        <v/>
      </c>
      <c r="AO803" s="49">
        <f t="shared" si="196"/>
        <v>1</v>
      </c>
      <c r="AP803" s="49" t="str">
        <f t="shared" si="197"/>
        <v/>
      </c>
      <c r="AQ803" s="49">
        <f t="shared" si="198"/>
        <v>0</v>
      </c>
      <c r="AR803" s="49" t="str">
        <f t="shared" si="199"/>
        <v/>
      </c>
    </row>
    <row r="804" spans="1:44" ht="30" customHeight="1" x14ac:dyDescent="0.35">
      <c r="A804" s="25"/>
      <c r="B804" s="39" t="s">
        <v>67</v>
      </c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108"/>
      <c r="Z804" s="109"/>
      <c r="AA804" s="109"/>
      <c r="AB804" s="110"/>
      <c r="AE804" s="48" t="str">
        <f t="shared" si="189"/>
        <v/>
      </c>
      <c r="AF804" s="48"/>
      <c r="AG804" s="48"/>
      <c r="AH804" s="89"/>
      <c r="AI804" s="49">
        <f t="shared" si="190"/>
        <v>0</v>
      </c>
      <c r="AJ804" s="49" t="str">
        <f t="shared" si="191"/>
        <v/>
      </c>
      <c r="AK804" s="49">
        <f t="shared" si="192"/>
        <v>0</v>
      </c>
      <c r="AL804" s="49" t="str">
        <f t="shared" si="193"/>
        <v/>
      </c>
      <c r="AM804" s="49">
        <f t="shared" si="194"/>
        <v>0</v>
      </c>
      <c r="AN804" s="49" t="str">
        <f t="shared" si="195"/>
        <v/>
      </c>
      <c r="AO804" s="49">
        <f t="shared" si="196"/>
        <v>0</v>
      </c>
      <c r="AP804" s="49" t="str">
        <f t="shared" si="197"/>
        <v/>
      </c>
      <c r="AQ804" s="49">
        <f t="shared" si="198"/>
        <v>0</v>
      </c>
      <c r="AR804" s="49" t="str">
        <f t="shared" si="199"/>
        <v/>
      </c>
    </row>
    <row r="805" spans="1:44" ht="30" customHeight="1" x14ac:dyDescent="0.35">
      <c r="A805" s="25" t="str">
        <f t="shared" si="200"/>
        <v>PT178 - PLATAFORMA DE ACESSO - FORQUILHA 3 - DETALHADO
TORRE B5PROJETO DETALHADO
CIVIL</v>
      </c>
      <c r="B805" s="40" t="s">
        <v>49</v>
      </c>
      <c r="C805" s="60" t="str">
        <f>IF(AND($B805=[1]rogério!$A806,[1]rogério!$B806=C$4),"ok","nok")</f>
        <v>nok</v>
      </c>
      <c r="D805" s="60" t="str">
        <f>IF(AND($B805=[1]rogério!$A806,[1]rogério!$B806=D$4),"ok","nok")</f>
        <v>nok</v>
      </c>
      <c r="E805" s="60" t="str">
        <f>IF(AND($B805=[1]rogério!$A806,[1]rogério!$B806=E$4),"ok","nok")</f>
        <v>nok</v>
      </c>
      <c r="F805" s="60" t="str">
        <f>IF(AND($B805=[1]rogério!$A806,[1]rogério!$B806=F$4),"ok","nok")</f>
        <v>nok</v>
      </c>
      <c r="G805" s="60" t="str">
        <f>IF(AND($B805=[1]rogério!$A806,[1]rogério!$B806=G$4),"ok","nok")</f>
        <v>nok</v>
      </c>
      <c r="H805" s="60" t="str">
        <f>IF(AND($B805=[1]rogério!$A806,[1]rogério!$B806=H$4),"ok","nok")</f>
        <v>nok</v>
      </c>
      <c r="I805" s="60" t="str">
        <f>IF(AND($B805=[1]rogério!$A806,[1]rogério!$B806=I$4),"ok","nok")</f>
        <v>nok</v>
      </c>
      <c r="J805" s="60" t="str">
        <f>IF(AND($B805=[1]rogério!$A806,[1]rogério!$B806=J$4),"ok","nok")</f>
        <v>nok</v>
      </c>
      <c r="K805" s="60" t="str">
        <f>IF(AND($B805=[1]rogério!$A806,[1]rogério!$B806=K$4),"ok","nok")</f>
        <v>nok</v>
      </c>
      <c r="L805" s="60" t="str">
        <f>IF(AND($B805=[1]rogério!$A806,[1]rogério!$B806=L$4),"ok","nok")</f>
        <v>nok</v>
      </c>
      <c r="M805" s="60" t="str">
        <f>IF(AND($B805=[1]rogério!$A806,[1]rogério!$B806=M$4),"ok","nok")</f>
        <v>nok</v>
      </c>
      <c r="N805" s="60" t="str">
        <f>IF(AND($B805=[1]rogério!$A806,[1]rogério!$B806=N$4),"ok","nok")</f>
        <v>nok</v>
      </c>
      <c r="O805" s="60" t="str">
        <f>IF(AND($B805=[1]rogério!$A806,[1]rogério!$B806=O$4),"ok","nok")</f>
        <v>nok</v>
      </c>
      <c r="P805" s="60" t="str">
        <f>IF(AND($B805=[1]rogério!$A806,[1]rogério!$B806=P$4),"ok","nok")</f>
        <v>nok</v>
      </c>
      <c r="Q805" s="60" t="str">
        <f>IF(AND($B805=[1]rogério!$A806,[1]rogério!$B806=Q$4),"ok","nok")</f>
        <v>nok</v>
      </c>
      <c r="R805" s="60" t="str">
        <f>IF(AND($B805=[1]rogério!$A806,[1]rogério!$B806=R$4),"ok","nok")</f>
        <v>nok</v>
      </c>
      <c r="S805" s="60" t="str">
        <f>IF(AND($B805=[1]rogério!$A806,[1]rogério!$B806=S$4),"ok","nok")</f>
        <v>nok</v>
      </c>
      <c r="T805" s="60" t="str">
        <f>IF(AND($B805=[1]rogério!$A806,[1]rogério!$B806=T$4),"ok","nok")</f>
        <v>ok</v>
      </c>
      <c r="U805" s="60" t="str">
        <f>IF(AND($B805=[1]rogério!$A806,[1]rogério!$B806=U$4),"ok","nok")</f>
        <v>nok</v>
      </c>
      <c r="V805" s="60" t="str">
        <f>IF(AND($B805=[1]rogério!$A806,[1]rogério!$B806=V$4),"ok","nok")</f>
        <v>nok</v>
      </c>
      <c r="W805" s="60" t="str">
        <f>IF(AND($B805=[1]rogério!$A806,[1]rogério!$B806=W$4),"ok","nok")</f>
        <v>nok</v>
      </c>
      <c r="X805" s="60" t="str">
        <f>IF(AND($B805=[1]rogério!$A806,[1]rogério!$B806=X$4),"ok","nok")</f>
        <v>nok</v>
      </c>
      <c r="Y805" s="105" t="s">
        <v>15</v>
      </c>
      <c r="Z805" s="106"/>
      <c r="AA805" s="106"/>
      <c r="AB805" s="107"/>
      <c r="AE805" s="48" t="str">
        <f t="shared" si="189"/>
        <v/>
      </c>
      <c r="AF805" s="48"/>
      <c r="AG805" s="48"/>
      <c r="AH805" s="89"/>
      <c r="AI805" s="49">
        <f t="shared" si="190"/>
        <v>0</v>
      </c>
      <c r="AJ805" s="49" t="str">
        <f t="shared" si="191"/>
        <v/>
      </c>
      <c r="AK805" s="49">
        <f t="shared" si="192"/>
        <v>0</v>
      </c>
      <c r="AL805" s="49" t="str">
        <f t="shared" si="193"/>
        <v/>
      </c>
      <c r="AM805" s="49">
        <f t="shared" si="194"/>
        <v>0</v>
      </c>
      <c r="AN805" s="49" t="str">
        <f t="shared" si="195"/>
        <v/>
      </c>
      <c r="AO805" s="49">
        <f t="shared" si="196"/>
        <v>1</v>
      </c>
      <c r="AP805" s="49" t="str">
        <f t="shared" si="197"/>
        <v/>
      </c>
      <c r="AQ805" s="49">
        <f t="shared" si="198"/>
        <v>0</v>
      </c>
      <c r="AR805" s="49" t="str">
        <f t="shared" si="199"/>
        <v/>
      </c>
    </row>
    <row r="806" spans="1:44" ht="30" customHeight="1" x14ac:dyDescent="0.35">
      <c r="A806" s="25" t="str">
        <f t="shared" si="200"/>
        <v>PT178 - PLATAFORMA DE ACESSO - FORQUILHA 3 - DETALHADO
TORRE B5PROJETO DETALHADO
CIVIL</v>
      </c>
      <c r="B806" s="38" t="s">
        <v>92</v>
      </c>
      <c r="C806" s="60" t="str">
        <f>IF(AND($B806=[1]rogério!$A807,[1]rogério!$B807=C$4),"ok","nok")</f>
        <v>nok</v>
      </c>
      <c r="D806" s="60" t="str">
        <f>IF(AND($B806=[1]rogério!$A807,[1]rogério!$B807=D$4),"ok","nok")</f>
        <v>nok</v>
      </c>
      <c r="E806" s="60" t="str">
        <f>IF(AND($B806=[1]rogério!$A807,[1]rogério!$B807=E$4),"ok","nok")</f>
        <v>nok</v>
      </c>
      <c r="F806" s="60" t="str">
        <f>IF(AND($B806=[1]rogério!$A807,[1]rogério!$B807=F$4),"ok","nok")</f>
        <v>nok</v>
      </c>
      <c r="G806" s="60" t="str">
        <f>IF(AND($B806=[1]rogério!$A807,[1]rogério!$B807=G$4),"ok","nok")</f>
        <v>nok</v>
      </c>
      <c r="H806" s="60" t="str">
        <f>IF(AND($B806=[1]rogério!$A807,[1]rogério!$B807=H$4),"ok","nok")</f>
        <v>nok</v>
      </c>
      <c r="I806" s="60" t="str">
        <f>IF(AND($B806=[1]rogério!$A807,[1]rogério!$B807=I$4),"ok","nok")</f>
        <v>nok</v>
      </c>
      <c r="J806" s="60" t="str">
        <f>IF(AND($B806=[1]rogério!$A807,[1]rogério!$B807=J$4),"ok","nok")</f>
        <v>nok</v>
      </c>
      <c r="K806" s="60" t="str">
        <f>IF(AND($B806=[1]rogério!$A807,[1]rogério!$B807=K$4),"ok","nok")</f>
        <v>nok</v>
      </c>
      <c r="L806" s="60" t="str">
        <f>IF(AND($B806=[1]rogério!$A807,[1]rogério!$B807=L$4),"ok","nok")</f>
        <v>nok</v>
      </c>
      <c r="M806" s="60" t="str">
        <f>IF(AND($B806=[1]rogério!$A807,[1]rogério!$B807=M$4),"ok","nok")</f>
        <v>nok</v>
      </c>
      <c r="N806" s="60" t="str">
        <f>IF(AND($B806=[1]rogério!$A807,[1]rogério!$B807=N$4),"ok","nok")</f>
        <v>nok</v>
      </c>
      <c r="O806" s="60" t="str">
        <f>IF(AND($B806=[1]rogério!$A807,[1]rogério!$B807=O$4),"ok","nok")</f>
        <v>nok</v>
      </c>
      <c r="P806" s="60" t="str">
        <f>IF(AND($B806=[1]rogério!$A807,[1]rogério!$B807=P$4),"ok","nok")</f>
        <v>nok</v>
      </c>
      <c r="Q806" s="60" t="str">
        <f>IF(AND($B806=[1]rogério!$A807,[1]rogério!$B807=Q$4),"ok","nok")</f>
        <v>nok</v>
      </c>
      <c r="R806" s="60" t="str">
        <f>IF(AND($B806=[1]rogério!$A807,[1]rogério!$B807=R$4),"ok","nok")</f>
        <v>nok</v>
      </c>
      <c r="S806" s="60" t="str">
        <f>IF(AND($B806=[1]rogério!$A807,[1]rogério!$B807=S$4),"ok","nok")</f>
        <v>nok</v>
      </c>
      <c r="T806" s="60" t="str">
        <f>IF(AND($B806=[1]rogério!$A807,[1]rogério!$B807=T$4),"ok","nok")</f>
        <v>nok</v>
      </c>
      <c r="U806" s="60" t="str">
        <f>IF(AND($B806=[1]rogério!$A807,[1]rogério!$B807=U$4),"ok","nok")</f>
        <v>ok</v>
      </c>
      <c r="V806" s="60" t="str">
        <f>IF(AND($B806=[1]rogério!$A807,[1]rogério!$B807=V$4),"ok","nok")</f>
        <v>nok</v>
      </c>
      <c r="W806" s="60" t="str">
        <f>IF(AND($B806=[1]rogério!$A807,[1]rogério!$B807=W$4),"ok","nok")</f>
        <v>nok</v>
      </c>
      <c r="X806" s="60" t="str">
        <f>IF(AND($B806=[1]rogério!$A807,[1]rogério!$B807=X$4),"ok","nok")</f>
        <v>nok</v>
      </c>
      <c r="Y806" s="105" t="s">
        <v>15</v>
      </c>
      <c r="Z806" s="106"/>
      <c r="AA806" s="106"/>
      <c r="AB806" s="107"/>
      <c r="AE806" s="48" t="str">
        <f t="shared" si="189"/>
        <v/>
      </c>
      <c r="AF806" s="48"/>
      <c r="AG806" s="48"/>
      <c r="AH806" s="89"/>
      <c r="AI806" s="49">
        <f t="shared" si="190"/>
        <v>0</v>
      </c>
      <c r="AJ806" s="49" t="str">
        <f t="shared" si="191"/>
        <v/>
      </c>
      <c r="AK806" s="49">
        <f t="shared" si="192"/>
        <v>0</v>
      </c>
      <c r="AL806" s="49" t="str">
        <f t="shared" si="193"/>
        <v/>
      </c>
      <c r="AM806" s="49">
        <f t="shared" si="194"/>
        <v>0</v>
      </c>
      <c r="AN806" s="49" t="str">
        <f t="shared" si="195"/>
        <v/>
      </c>
      <c r="AO806" s="49">
        <f t="shared" si="196"/>
        <v>1</v>
      </c>
      <c r="AP806" s="49" t="str">
        <f t="shared" si="197"/>
        <v/>
      </c>
      <c r="AQ806" s="49">
        <f t="shared" si="198"/>
        <v>0</v>
      </c>
      <c r="AR806" s="49" t="str">
        <f t="shared" si="199"/>
        <v/>
      </c>
    </row>
    <row r="807" spans="1:44" ht="30" customHeight="1" x14ac:dyDescent="0.35">
      <c r="A807" s="25" t="str">
        <f t="shared" si="200"/>
        <v>PT178 - PLATAFORMA DE ACESSO - FORQUILHA 3 - DETALHADO
TORRE B5PROJETO DETALHADO
CIVIL</v>
      </c>
      <c r="B807" s="38" t="s">
        <v>93</v>
      </c>
      <c r="C807" s="60" t="str">
        <f>IF(AND($B807=[1]rogério!$A808,[1]rogério!$B808=C$4),"ok","nok")</f>
        <v>nok</v>
      </c>
      <c r="D807" s="60" t="str">
        <f>IF(AND($B807=[1]rogério!$A808,[1]rogério!$B808=D$4),"ok","nok")</f>
        <v>nok</v>
      </c>
      <c r="E807" s="60" t="str">
        <f>IF(AND($B807=[1]rogério!$A808,[1]rogério!$B808=E$4),"ok","nok")</f>
        <v>nok</v>
      </c>
      <c r="F807" s="60" t="str">
        <f>IF(AND($B807=[1]rogério!$A808,[1]rogério!$B808=F$4),"ok","nok")</f>
        <v>nok</v>
      </c>
      <c r="G807" s="60" t="str">
        <f>IF(AND($B807=[1]rogério!$A808,[1]rogério!$B808=G$4),"ok","nok")</f>
        <v>nok</v>
      </c>
      <c r="H807" s="60" t="str">
        <f>IF(AND($B807=[1]rogério!$A808,[1]rogério!$B808=H$4),"ok","nok")</f>
        <v>nok</v>
      </c>
      <c r="I807" s="60" t="str">
        <f>IF(AND($B807=[1]rogério!$A808,[1]rogério!$B808=I$4),"ok","nok")</f>
        <v>nok</v>
      </c>
      <c r="J807" s="60" t="str">
        <f>IF(AND($B807=[1]rogério!$A808,[1]rogério!$B808=J$4),"ok","nok")</f>
        <v>nok</v>
      </c>
      <c r="K807" s="60" t="str">
        <f>IF(AND($B807=[1]rogério!$A808,[1]rogério!$B808=K$4),"ok","nok")</f>
        <v>nok</v>
      </c>
      <c r="L807" s="60" t="str">
        <f>IF(AND($B807=[1]rogério!$A808,[1]rogério!$B808=L$4),"ok","nok")</f>
        <v>nok</v>
      </c>
      <c r="M807" s="60" t="str">
        <f>IF(AND($B807=[1]rogério!$A808,[1]rogério!$B808=M$4),"ok","nok")</f>
        <v>nok</v>
      </c>
      <c r="N807" s="60" t="str">
        <f>IF(AND($B807=[1]rogério!$A808,[1]rogério!$B808=N$4),"ok","nok")</f>
        <v>nok</v>
      </c>
      <c r="O807" s="60" t="str">
        <f>IF(AND($B807=[1]rogério!$A808,[1]rogério!$B808=O$4),"ok","nok")</f>
        <v>nok</v>
      </c>
      <c r="P807" s="60" t="str">
        <f>IF(AND($B807=[1]rogério!$A808,[1]rogério!$B808=P$4),"ok","nok")</f>
        <v>nok</v>
      </c>
      <c r="Q807" s="60" t="str">
        <f>IF(AND($B807=[1]rogério!$A808,[1]rogério!$B808=Q$4),"ok","nok")</f>
        <v>nok</v>
      </c>
      <c r="R807" s="60" t="str">
        <f>IF(AND($B807=[1]rogério!$A808,[1]rogério!$B808=R$4),"ok","nok")</f>
        <v>nok</v>
      </c>
      <c r="S807" s="60" t="str">
        <f>IF(AND($B807=[1]rogério!$A808,[1]rogério!$B808=S$4),"ok","nok")</f>
        <v>nok</v>
      </c>
      <c r="T807" s="60" t="str">
        <f>IF(AND($B807=[1]rogério!$A808,[1]rogério!$B808=T$4),"ok","nok")</f>
        <v>nok</v>
      </c>
      <c r="U807" s="60" t="str">
        <f>IF(AND($B807=[1]rogério!$A808,[1]rogério!$B808=U$4),"ok","nok")</f>
        <v>nok</v>
      </c>
      <c r="V807" s="60" t="str">
        <f>IF(AND($B807=[1]rogério!$A808,[1]rogério!$B808=V$4),"ok","nok")</f>
        <v>ok</v>
      </c>
      <c r="W807" s="60" t="str">
        <f>IF(AND($B807=[1]rogério!$A808,[1]rogério!$B808=W$4),"ok","nok")</f>
        <v>nok</v>
      </c>
      <c r="X807" s="60" t="str">
        <f>IF(AND($B807=[1]rogério!$A808,[1]rogério!$B808=X$4),"ok","nok")</f>
        <v>nok</v>
      </c>
      <c r="Y807" s="105" t="s">
        <v>15</v>
      </c>
      <c r="Z807" s="106"/>
      <c r="AA807" s="106"/>
      <c r="AB807" s="107"/>
      <c r="AE807" s="48" t="str">
        <f t="shared" si="189"/>
        <v/>
      </c>
      <c r="AF807" s="48"/>
      <c r="AG807" s="48"/>
      <c r="AH807" s="89"/>
      <c r="AI807" s="49">
        <f t="shared" si="190"/>
        <v>0</v>
      </c>
      <c r="AJ807" s="49" t="str">
        <f t="shared" si="191"/>
        <v/>
      </c>
      <c r="AK807" s="49">
        <f t="shared" si="192"/>
        <v>0</v>
      </c>
      <c r="AL807" s="49" t="str">
        <f t="shared" si="193"/>
        <v/>
      </c>
      <c r="AM807" s="49">
        <f t="shared" si="194"/>
        <v>0</v>
      </c>
      <c r="AN807" s="49" t="str">
        <f t="shared" si="195"/>
        <v/>
      </c>
      <c r="AO807" s="49">
        <f t="shared" si="196"/>
        <v>1</v>
      </c>
      <c r="AP807" s="49" t="str">
        <f t="shared" si="197"/>
        <v/>
      </c>
      <c r="AQ807" s="49">
        <f t="shared" si="198"/>
        <v>0</v>
      </c>
      <c r="AR807" s="49" t="str">
        <f t="shared" si="199"/>
        <v/>
      </c>
    </row>
    <row r="808" spans="1:44" ht="30" customHeight="1" x14ac:dyDescent="0.35">
      <c r="A808" s="25"/>
      <c r="B808" s="39" t="s">
        <v>94</v>
      </c>
      <c r="C808" s="60" t="str">
        <f>IF(AND($B808=[1]rogério!$A809,[1]rogério!$B809=C$4),"ok","nok")</f>
        <v>nok</v>
      </c>
      <c r="D808" s="60" t="str">
        <f>IF(AND($B808=[1]rogério!$A809,[1]rogério!$B809=D$4),"ok","nok")</f>
        <v>nok</v>
      </c>
      <c r="E808" s="60" t="str">
        <f>IF(AND($B808=[1]rogério!$A809,[1]rogério!$B809=E$4),"ok","nok")</f>
        <v>nok</v>
      </c>
      <c r="F808" s="60" t="str">
        <f>IF(AND($B808=[1]rogério!$A809,[1]rogério!$B809=F$4),"ok","nok")</f>
        <v>nok</v>
      </c>
      <c r="G808" s="60" t="str">
        <f>IF(AND($B808=[1]rogério!$A809,[1]rogério!$B809=G$4),"ok","nok")</f>
        <v>nok</v>
      </c>
      <c r="H808" s="60" t="str">
        <f>IF(AND($B808=[1]rogério!$A809,[1]rogério!$B809=H$4),"ok","nok")</f>
        <v>nok</v>
      </c>
      <c r="I808" s="60" t="str">
        <f>IF(AND($B808=[1]rogério!$A809,[1]rogério!$B809=I$4),"ok","nok")</f>
        <v>nok</v>
      </c>
      <c r="J808" s="60" t="str">
        <f>IF(AND($B808=[1]rogério!$A809,[1]rogério!$B809=J$4),"ok","nok")</f>
        <v>nok</v>
      </c>
      <c r="K808" s="60" t="str">
        <f>IF(AND($B808=[1]rogério!$A809,[1]rogério!$B809=K$4),"ok","nok")</f>
        <v>nok</v>
      </c>
      <c r="L808" s="60" t="str">
        <f>IF(AND($B808=[1]rogério!$A809,[1]rogério!$B809=L$4),"ok","nok")</f>
        <v>nok</v>
      </c>
      <c r="M808" s="60" t="str">
        <f>IF(AND($B808=[1]rogério!$A809,[1]rogério!$B809=M$4),"ok","nok")</f>
        <v>nok</v>
      </c>
      <c r="N808" s="60" t="str">
        <f>IF(AND($B808=[1]rogério!$A809,[1]rogério!$B809=N$4),"ok","nok")</f>
        <v>nok</v>
      </c>
      <c r="O808" s="60" t="str">
        <f>IF(AND($B808=[1]rogério!$A809,[1]rogério!$B809=O$4),"ok","nok")</f>
        <v>nok</v>
      </c>
      <c r="P808" s="60" t="str">
        <f>IF(AND($B808=[1]rogério!$A809,[1]rogério!$B809=P$4),"ok","nok")</f>
        <v>nok</v>
      </c>
      <c r="Q808" s="60" t="str">
        <f>IF(AND($B808=[1]rogério!$A809,[1]rogério!$B809=Q$4),"ok","nok")</f>
        <v>nok</v>
      </c>
      <c r="R808" s="60" t="str">
        <f>IF(AND($B808=[1]rogério!$A809,[1]rogério!$B809=R$4),"ok","nok")</f>
        <v>nok</v>
      </c>
      <c r="S808" s="60" t="str">
        <f>IF(AND($B808=[1]rogério!$A809,[1]rogério!$B809=S$4),"ok","nok")</f>
        <v>nok</v>
      </c>
      <c r="T808" s="60" t="str">
        <f>IF(AND($B808=[1]rogério!$A809,[1]rogério!$B809=T$4),"ok","nok")</f>
        <v>nok</v>
      </c>
      <c r="U808" s="60" t="str">
        <f>IF(AND($B808=[1]rogério!$A809,[1]rogério!$B809=U$4),"ok","nok")</f>
        <v>nok</v>
      </c>
      <c r="V808" s="60" t="str">
        <f>IF(AND($B808=[1]rogério!$A809,[1]rogério!$B809=V$4),"ok","nok")</f>
        <v>nok</v>
      </c>
      <c r="W808" s="60" t="str">
        <f>IF(AND($B808=[1]rogério!$A809,[1]rogério!$B809=W$4),"ok","nok")</f>
        <v>nok</v>
      </c>
      <c r="X808" s="60" t="str">
        <f>IF(AND($B808=[1]rogério!$A809,[1]rogério!$B809=X$4),"ok","nok")</f>
        <v>nok</v>
      </c>
      <c r="Y808" s="108"/>
      <c r="Z808" s="109"/>
      <c r="AA808" s="109"/>
      <c r="AB808" s="110"/>
      <c r="AE808" s="48" t="str">
        <f t="shared" si="189"/>
        <v/>
      </c>
      <c r="AF808" s="48"/>
      <c r="AG808" s="48"/>
      <c r="AH808" s="89"/>
      <c r="AI808" s="49">
        <f t="shared" si="190"/>
        <v>0</v>
      </c>
      <c r="AJ808" s="49" t="str">
        <f t="shared" si="191"/>
        <v/>
      </c>
      <c r="AK808" s="49">
        <f t="shared" si="192"/>
        <v>0</v>
      </c>
      <c r="AL808" s="49" t="str">
        <f t="shared" si="193"/>
        <v/>
      </c>
      <c r="AM808" s="49">
        <f t="shared" si="194"/>
        <v>0</v>
      </c>
      <c r="AN808" s="49" t="str">
        <f t="shared" si="195"/>
        <v/>
      </c>
      <c r="AO808" s="49">
        <f t="shared" si="196"/>
        <v>0</v>
      </c>
      <c r="AP808" s="49" t="str">
        <f t="shared" si="197"/>
        <v/>
      </c>
      <c r="AQ808" s="49">
        <f t="shared" si="198"/>
        <v>0</v>
      </c>
      <c r="AR808" s="49" t="str">
        <f t="shared" si="199"/>
        <v/>
      </c>
    </row>
    <row r="809" spans="1:44" ht="30" customHeight="1" x14ac:dyDescent="0.35">
      <c r="A809" s="25" t="str">
        <f t="shared" si="200"/>
        <v>PT178 - PLATAFORMA DE ACESSO - FORQUILHA 3 - DETALHADO
TORRE B5PROJETO DETALHADO
CIVIL</v>
      </c>
      <c r="B809" s="40" t="s">
        <v>49</v>
      </c>
      <c r="C809" s="60" t="str">
        <f>IF(AND($B809=[1]rogério!$A810,[1]rogério!$B810=C$4),"ok","nok")</f>
        <v>nok</v>
      </c>
      <c r="D809" s="60" t="str">
        <f>IF(AND($B809=[1]rogério!$A810,[1]rogério!$B810=D$4),"ok","nok")</f>
        <v>nok</v>
      </c>
      <c r="E809" s="60" t="str">
        <f>IF(AND($B809=[1]rogério!$A810,[1]rogério!$B810=E$4),"ok","nok")</f>
        <v>nok</v>
      </c>
      <c r="F809" s="60" t="str">
        <f>IF(AND($B809=[1]rogério!$A810,[1]rogério!$B810=F$4),"ok","nok")</f>
        <v>nok</v>
      </c>
      <c r="G809" s="60" t="str">
        <f>IF(AND($B809=[1]rogério!$A810,[1]rogério!$B810=G$4),"ok","nok")</f>
        <v>nok</v>
      </c>
      <c r="H809" s="60" t="str">
        <f>IF(AND($B809=[1]rogério!$A810,[1]rogério!$B810=H$4),"ok","nok")</f>
        <v>nok</v>
      </c>
      <c r="I809" s="60" t="str">
        <f>IF(AND($B809=[1]rogério!$A810,[1]rogério!$B810=I$4),"ok","nok")</f>
        <v>nok</v>
      </c>
      <c r="J809" s="60" t="str">
        <f>IF(AND($B809=[1]rogério!$A810,[1]rogério!$B810=J$4),"ok","nok")</f>
        <v>nok</v>
      </c>
      <c r="K809" s="60" t="str">
        <f>IF(AND($B809=[1]rogério!$A810,[1]rogério!$B810=K$4),"ok","nok")</f>
        <v>nok</v>
      </c>
      <c r="L809" s="60" t="str">
        <f>IF(AND($B809=[1]rogério!$A810,[1]rogério!$B810=L$4),"ok","nok")</f>
        <v>nok</v>
      </c>
      <c r="M809" s="60" t="str">
        <f>IF(AND($B809=[1]rogério!$A810,[1]rogério!$B810=M$4),"ok","nok")</f>
        <v>nok</v>
      </c>
      <c r="N809" s="60" t="str">
        <f>IF(AND($B809=[1]rogério!$A810,[1]rogério!$B810=N$4),"ok","nok")</f>
        <v>nok</v>
      </c>
      <c r="O809" s="60" t="str">
        <f>IF(AND($B809=[1]rogério!$A810,[1]rogério!$B810=O$4),"ok","nok")</f>
        <v>nok</v>
      </c>
      <c r="P809" s="60" t="str">
        <f>IF(AND($B809=[1]rogério!$A810,[1]rogério!$B810=P$4),"ok","nok")</f>
        <v>nok</v>
      </c>
      <c r="Q809" s="60" t="str">
        <f>IF(AND($B809=[1]rogério!$A810,[1]rogério!$B810=Q$4),"ok","nok")</f>
        <v>nok</v>
      </c>
      <c r="R809" s="60" t="str">
        <f>IF(AND($B809=[1]rogério!$A810,[1]rogério!$B810=R$4),"ok","nok")</f>
        <v>nok</v>
      </c>
      <c r="S809" s="60" t="str">
        <f>IF(AND($B809=[1]rogério!$A810,[1]rogério!$B810=S$4),"ok","nok")</f>
        <v>nok</v>
      </c>
      <c r="T809" s="60" t="str">
        <f>IF(AND($B809=[1]rogério!$A810,[1]rogério!$B810=T$4),"ok","nok")</f>
        <v>nok</v>
      </c>
      <c r="U809" s="60" t="str">
        <f>IF(AND($B809=[1]rogério!$A810,[1]rogério!$B810=U$4),"ok","nok")</f>
        <v>nok</v>
      </c>
      <c r="V809" s="60" t="str">
        <f>IF(AND($B809=[1]rogério!$A810,[1]rogério!$B810=V$4),"ok","nok")</f>
        <v>ok</v>
      </c>
      <c r="W809" s="60" t="str">
        <f>IF(AND($B809=[1]rogério!$A810,[1]rogério!$B810=W$4),"ok","nok")</f>
        <v>nok</v>
      </c>
      <c r="X809" s="60" t="str">
        <f>IF(AND($B809=[1]rogério!$A810,[1]rogério!$B810=X$4),"ok","nok")</f>
        <v>nok</v>
      </c>
      <c r="Y809" s="105" t="s">
        <v>15</v>
      </c>
      <c r="Z809" s="106"/>
      <c r="AA809" s="106"/>
      <c r="AB809" s="107"/>
      <c r="AE809" s="48" t="str">
        <f t="shared" si="189"/>
        <v/>
      </c>
      <c r="AF809" s="48"/>
      <c r="AG809" s="48"/>
      <c r="AH809" s="89"/>
      <c r="AI809" s="49">
        <f t="shared" si="190"/>
        <v>0</v>
      </c>
      <c r="AJ809" s="49" t="str">
        <f t="shared" si="191"/>
        <v/>
      </c>
      <c r="AK809" s="49">
        <f t="shared" si="192"/>
        <v>0</v>
      </c>
      <c r="AL809" s="49" t="str">
        <f t="shared" si="193"/>
        <v/>
      </c>
      <c r="AM809" s="49">
        <f t="shared" si="194"/>
        <v>0</v>
      </c>
      <c r="AN809" s="49" t="str">
        <f t="shared" si="195"/>
        <v/>
      </c>
      <c r="AO809" s="49">
        <f t="shared" si="196"/>
        <v>1</v>
      </c>
      <c r="AP809" s="49" t="str">
        <f t="shared" si="197"/>
        <v/>
      </c>
      <c r="AQ809" s="49">
        <f t="shared" si="198"/>
        <v>0</v>
      </c>
      <c r="AR809" s="49" t="str">
        <f t="shared" si="199"/>
        <v/>
      </c>
    </row>
    <row r="810" spans="1:44" ht="30" customHeight="1" x14ac:dyDescent="0.35">
      <c r="B810" s="62" t="s">
        <v>86</v>
      </c>
      <c r="C810" s="62"/>
      <c r="D810" s="62"/>
      <c r="E810" s="62"/>
      <c r="F810" s="62"/>
      <c r="G810" s="62"/>
      <c r="H810" s="62"/>
      <c r="I810" s="62"/>
      <c r="J810" s="62"/>
      <c r="K810" s="62"/>
      <c r="L810" s="62"/>
      <c r="M810" s="62"/>
      <c r="N810" s="62"/>
      <c r="O810" s="62"/>
      <c r="P810" s="62"/>
      <c r="Q810" s="62"/>
      <c r="R810" s="62"/>
      <c r="S810" s="62"/>
      <c r="T810" s="62"/>
      <c r="U810" s="62"/>
      <c r="V810" s="62"/>
      <c r="W810" s="62"/>
      <c r="X810" s="62"/>
      <c r="Y810" s="114"/>
      <c r="Z810" s="115"/>
      <c r="AA810" s="115"/>
      <c r="AB810" s="116"/>
      <c r="AE810" s="48" t="str">
        <f t="shared" si="189"/>
        <v/>
      </c>
      <c r="AF810" s="48"/>
      <c r="AG810" s="48"/>
      <c r="AH810" s="89"/>
      <c r="AI810" s="49">
        <f t="shared" si="190"/>
        <v>0</v>
      </c>
      <c r="AJ810" s="49" t="str">
        <f t="shared" si="191"/>
        <v/>
      </c>
      <c r="AK810" s="49">
        <f t="shared" si="192"/>
        <v>0</v>
      </c>
      <c r="AL810" s="49" t="str">
        <f t="shared" si="193"/>
        <v/>
      </c>
      <c r="AM810" s="49">
        <f t="shared" si="194"/>
        <v>0</v>
      </c>
      <c r="AN810" s="49" t="str">
        <f t="shared" si="195"/>
        <v/>
      </c>
      <c r="AO810" s="49">
        <f t="shared" si="196"/>
        <v>0</v>
      </c>
      <c r="AP810" s="49" t="str">
        <f t="shared" si="197"/>
        <v/>
      </c>
      <c r="AQ810" s="49">
        <f t="shared" si="198"/>
        <v>0</v>
      </c>
      <c r="AR810" s="49" t="str">
        <f t="shared" si="199"/>
        <v/>
      </c>
    </row>
    <row r="811" spans="1:44" ht="30" customHeight="1" x14ac:dyDescent="0.35">
      <c r="B811" s="39" t="s">
        <v>95</v>
      </c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108"/>
      <c r="Z811" s="109"/>
      <c r="AA811" s="109"/>
      <c r="AB811" s="110"/>
      <c r="AE811" s="48" t="str">
        <f t="shared" si="189"/>
        <v/>
      </c>
      <c r="AF811" s="48"/>
      <c r="AG811" s="48"/>
      <c r="AH811" s="89"/>
      <c r="AI811" s="49">
        <f t="shared" si="190"/>
        <v>0</v>
      </c>
      <c r="AJ811" s="49" t="str">
        <f t="shared" si="191"/>
        <v/>
      </c>
      <c r="AK811" s="49">
        <f t="shared" si="192"/>
        <v>0</v>
      </c>
      <c r="AL811" s="49" t="str">
        <f t="shared" si="193"/>
        <v/>
      </c>
      <c r="AM811" s="49">
        <f t="shared" si="194"/>
        <v>0</v>
      </c>
      <c r="AN811" s="49" t="str">
        <f t="shared" si="195"/>
        <v/>
      </c>
      <c r="AO811" s="49">
        <f t="shared" si="196"/>
        <v>0</v>
      </c>
      <c r="AP811" s="49" t="str">
        <f t="shared" si="197"/>
        <v/>
      </c>
      <c r="AQ811" s="49">
        <f t="shared" si="198"/>
        <v>0</v>
      </c>
      <c r="AR811" s="49" t="str">
        <f t="shared" si="199"/>
        <v/>
      </c>
    </row>
    <row r="812" spans="1:44" ht="30" customHeight="1" x14ac:dyDescent="0.35">
      <c r="A812" s="25" t="str">
        <f>CONCATENATE($B$731,"
",$B$733,"",$B$734,"
",$B$810)</f>
        <v>PT178 - PLATAFORMA DE ACESSO - FORQUILHA 3 - DETALHADO
TORRE B5PROJETO DETALHADO
ELÉTRICA</v>
      </c>
      <c r="B812" s="40" t="s">
        <v>19</v>
      </c>
      <c r="C812" s="60" t="str">
        <f>IF(AND($B812=[1]rogério!$A813,[1]rogério!$B813=C$4),"ok","nok")</f>
        <v>nok</v>
      </c>
      <c r="D812" s="60" t="str">
        <f>IF(AND($B812=[1]rogério!$A813,[1]rogério!$B813=D$4),"ok","nok")</f>
        <v>nok</v>
      </c>
      <c r="E812" s="60" t="str">
        <f>IF(AND($B812=[1]rogério!$A813,[1]rogério!$B813=E$4),"ok","nok")</f>
        <v>nok</v>
      </c>
      <c r="F812" s="60" t="str">
        <f>IF(AND($B812=[1]rogério!$A813,[1]rogério!$B813=F$4),"ok","nok")</f>
        <v>nok</v>
      </c>
      <c r="G812" s="60" t="str">
        <f>IF(AND($B812=[1]rogério!$A813,[1]rogério!$B813=G$4),"ok","nok")</f>
        <v>nok</v>
      </c>
      <c r="H812" s="60" t="str">
        <f>IF(AND($B812=[1]rogério!$A813,[1]rogério!$B813=H$4),"ok","nok")</f>
        <v>nok</v>
      </c>
      <c r="I812" s="60" t="str">
        <f>IF(AND($B812=[1]rogério!$A813,[1]rogério!$B813=I$4),"ok","nok")</f>
        <v>ok</v>
      </c>
      <c r="J812" s="60" t="str">
        <f>IF(AND($B812=[1]rogério!$A813,[1]rogério!$B813=J$4),"ok","nok")</f>
        <v>nok</v>
      </c>
      <c r="K812" s="60" t="str">
        <f>IF(AND($B812=[1]rogério!$A813,[1]rogério!$B813=K$4),"ok","nok")</f>
        <v>nok</v>
      </c>
      <c r="L812" s="60" t="str">
        <f>IF(AND($B812=[1]rogério!$A813,[1]rogério!$B813=L$4),"ok","nok")</f>
        <v>nok</v>
      </c>
      <c r="M812" s="60" t="str">
        <f>IF(AND($B812=[1]rogério!$A813,[1]rogério!$B813=M$4),"ok","nok")</f>
        <v>nok</v>
      </c>
      <c r="N812" s="60" t="str">
        <f>IF(AND($B812=[1]rogério!$A813,[1]rogério!$B813=N$4),"ok","nok")</f>
        <v>nok</v>
      </c>
      <c r="O812" s="60" t="str">
        <f>IF(AND($B812=[1]rogério!$A813,[1]rogério!$B813=O$4),"ok","nok")</f>
        <v>nok</v>
      </c>
      <c r="P812" s="60" t="str">
        <f>IF(AND($B812=[1]rogério!$A813,[1]rogério!$B813=P$4),"ok","nok")</f>
        <v>nok</v>
      </c>
      <c r="Q812" s="60" t="str">
        <f>IF(AND($B812=[1]rogério!$A813,[1]rogério!$B813=Q$4),"ok","nok")</f>
        <v>nok</v>
      </c>
      <c r="R812" s="60" t="str">
        <f>IF(AND($B812=[1]rogério!$A813,[1]rogério!$B813=R$4),"ok","nok")</f>
        <v>nok</v>
      </c>
      <c r="S812" s="60" t="str">
        <f>IF(AND($B812=[1]rogério!$A813,[1]rogério!$B813=S$4),"ok","nok")</f>
        <v>nok</v>
      </c>
      <c r="T812" s="60" t="str">
        <f>IF(AND($B812=[1]rogério!$A813,[1]rogério!$B813=T$4),"ok","nok")</f>
        <v>nok</v>
      </c>
      <c r="U812" s="60" t="str">
        <f>IF(AND($B812=[1]rogério!$A813,[1]rogério!$B813=U$4),"ok","nok")</f>
        <v>nok</v>
      </c>
      <c r="V812" s="60" t="str">
        <f>IF(AND($B812=[1]rogério!$A813,[1]rogério!$B813=V$4),"ok","nok")</f>
        <v>nok</v>
      </c>
      <c r="W812" s="60" t="str">
        <f>IF(AND($B812=[1]rogério!$A813,[1]rogério!$B813=W$4),"ok","nok")</f>
        <v>nok</v>
      </c>
      <c r="X812" s="60" t="str">
        <f>IF(AND($B812=[1]rogério!$A813,[1]rogério!$B813=X$4),"ok","nok")</f>
        <v>nok</v>
      </c>
      <c r="Y812" s="105" t="s">
        <v>15</v>
      </c>
      <c r="Z812" s="106"/>
      <c r="AA812" s="106"/>
      <c r="AB812" s="107"/>
      <c r="AE812" s="48" t="str">
        <f t="shared" si="189"/>
        <v/>
      </c>
      <c r="AF812" s="48"/>
      <c r="AG812" s="48"/>
      <c r="AH812" s="89"/>
      <c r="AI812" s="49">
        <f t="shared" si="190"/>
        <v>0</v>
      </c>
      <c r="AJ812" s="49" t="str">
        <f t="shared" si="191"/>
        <v/>
      </c>
      <c r="AK812" s="49">
        <f t="shared" si="192"/>
        <v>1</v>
      </c>
      <c r="AL812" s="49" t="str">
        <f t="shared" si="193"/>
        <v/>
      </c>
      <c r="AM812" s="49">
        <f t="shared" si="194"/>
        <v>0</v>
      </c>
      <c r="AN812" s="49" t="str">
        <f t="shared" si="195"/>
        <v/>
      </c>
      <c r="AO812" s="49">
        <f t="shared" si="196"/>
        <v>0</v>
      </c>
      <c r="AP812" s="49" t="str">
        <f t="shared" si="197"/>
        <v/>
      </c>
      <c r="AQ812" s="49">
        <f t="shared" si="198"/>
        <v>0</v>
      </c>
      <c r="AR812" s="49" t="str">
        <f t="shared" si="199"/>
        <v/>
      </c>
    </row>
    <row r="813" spans="1:44" ht="30" customHeight="1" x14ac:dyDescent="0.35">
      <c r="A813" s="25" t="str">
        <f t="shared" ref="A813:A814" si="201">CONCATENATE($B$731,"
",$B$733,"",$B$734,"
",$B$810)</f>
        <v>PT178 - PLATAFORMA DE ACESSO - FORQUILHA 3 - DETALHADO
TORRE B5PROJETO DETALHADO
ELÉTRICA</v>
      </c>
      <c r="B813" s="40" t="s">
        <v>42</v>
      </c>
      <c r="C813" s="60" t="str">
        <f>IF(AND($B813=[1]rogério!$A814,[1]rogério!$B814=C$4),"ok","nok")</f>
        <v>nok</v>
      </c>
      <c r="D813" s="60" t="str">
        <f>IF(AND($B813=[1]rogério!$A814,[1]rogério!$B814=D$4),"ok","nok")</f>
        <v>nok</v>
      </c>
      <c r="E813" s="60" t="str">
        <f>IF(AND($B813=[1]rogério!$A814,[1]rogério!$B814=E$4),"ok","nok")</f>
        <v>nok</v>
      </c>
      <c r="F813" s="60" t="str">
        <f>IF(AND($B813=[1]rogério!$A814,[1]rogério!$B814=F$4),"ok","nok")</f>
        <v>nok</v>
      </c>
      <c r="G813" s="60" t="str">
        <f>IF(AND($B813=[1]rogério!$A814,[1]rogério!$B814=G$4),"ok","nok")</f>
        <v>nok</v>
      </c>
      <c r="H813" s="60" t="str">
        <f>IF(AND($B813=[1]rogério!$A814,[1]rogério!$B814=H$4),"ok","nok")</f>
        <v>nok</v>
      </c>
      <c r="I813" s="60" t="str">
        <f>IF(AND($B813=[1]rogério!$A814,[1]rogério!$B814=I$4),"ok","nok")</f>
        <v>nok</v>
      </c>
      <c r="J813" s="60" t="str">
        <f>IF(AND($B813=[1]rogério!$A814,[1]rogério!$B814=J$4),"ok","nok")</f>
        <v>nok</v>
      </c>
      <c r="K813" s="60" t="str">
        <f>IF(AND($B813=[1]rogério!$A814,[1]rogério!$B814=K$4),"ok","nok")</f>
        <v>nok</v>
      </c>
      <c r="L813" s="60" t="str">
        <f>IF(AND($B813=[1]rogério!$A814,[1]rogério!$B814=L$4),"ok","nok")</f>
        <v>ok</v>
      </c>
      <c r="M813" s="60" t="str">
        <f>IF(AND($B813=[1]rogério!$A814,[1]rogério!$B814=M$4),"ok","nok")</f>
        <v>nok</v>
      </c>
      <c r="N813" s="60" t="str">
        <f>IF(AND($B813=[1]rogério!$A814,[1]rogério!$B814=N$4),"ok","nok")</f>
        <v>nok</v>
      </c>
      <c r="O813" s="60" t="str">
        <f>IF(AND($B813=[1]rogério!$A814,[1]rogério!$B814=O$4),"ok","nok")</f>
        <v>nok</v>
      </c>
      <c r="P813" s="60" t="str">
        <f>IF(AND($B813=[1]rogério!$A814,[1]rogério!$B814=P$4),"ok","nok")</f>
        <v>nok</v>
      </c>
      <c r="Q813" s="60" t="str">
        <f>IF(AND($B813=[1]rogério!$A814,[1]rogério!$B814=Q$4),"ok","nok")</f>
        <v>nok</v>
      </c>
      <c r="R813" s="60" t="str">
        <f>IF(AND($B813=[1]rogério!$A814,[1]rogério!$B814=R$4),"ok","nok")</f>
        <v>nok</v>
      </c>
      <c r="S813" s="60" t="str">
        <f>IF(AND($B813=[1]rogério!$A814,[1]rogério!$B814=S$4),"ok","nok")</f>
        <v>nok</v>
      </c>
      <c r="T813" s="60" t="str">
        <f>IF(AND($B813=[1]rogério!$A814,[1]rogério!$B814=T$4),"ok","nok")</f>
        <v>nok</v>
      </c>
      <c r="U813" s="60" t="str">
        <f>IF(AND($B813=[1]rogério!$A814,[1]rogério!$B814=U$4),"ok","nok")</f>
        <v>nok</v>
      </c>
      <c r="V813" s="60" t="str">
        <f>IF(AND($B813=[1]rogério!$A814,[1]rogério!$B814=V$4),"ok","nok")</f>
        <v>nok</v>
      </c>
      <c r="W813" s="60" t="str">
        <f>IF(AND($B813=[1]rogério!$A814,[1]rogério!$B814=W$4),"ok","nok")</f>
        <v>nok</v>
      </c>
      <c r="X813" s="60" t="str">
        <f>IF(AND($B813=[1]rogério!$A814,[1]rogério!$B814=X$4),"ok","nok")</f>
        <v>nok</v>
      </c>
      <c r="Y813" s="105" t="s">
        <v>15</v>
      </c>
      <c r="Z813" s="106"/>
      <c r="AA813" s="106"/>
      <c r="AB813" s="107"/>
      <c r="AE813" s="48" t="str">
        <f t="shared" si="189"/>
        <v/>
      </c>
      <c r="AF813" s="48"/>
      <c r="AG813" s="48"/>
      <c r="AH813" s="89"/>
      <c r="AI813" s="49">
        <f t="shared" si="190"/>
        <v>0</v>
      </c>
      <c r="AJ813" s="49" t="str">
        <f t="shared" si="191"/>
        <v/>
      </c>
      <c r="AK813" s="49">
        <f t="shared" si="192"/>
        <v>1</v>
      </c>
      <c r="AL813" s="49" t="str">
        <f t="shared" si="193"/>
        <v/>
      </c>
      <c r="AM813" s="49">
        <f t="shared" si="194"/>
        <v>0</v>
      </c>
      <c r="AN813" s="49" t="str">
        <f t="shared" si="195"/>
        <v/>
      </c>
      <c r="AO813" s="49">
        <f t="shared" si="196"/>
        <v>0</v>
      </c>
      <c r="AP813" s="49" t="str">
        <f t="shared" si="197"/>
        <v/>
      </c>
      <c r="AQ813" s="49">
        <f t="shared" si="198"/>
        <v>0</v>
      </c>
      <c r="AR813" s="49" t="str">
        <f t="shared" si="199"/>
        <v/>
      </c>
    </row>
    <row r="814" spans="1:44" ht="30" customHeight="1" x14ac:dyDescent="0.35">
      <c r="A814" s="25" t="str">
        <f t="shared" si="201"/>
        <v>PT178 - PLATAFORMA DE ACESSO - FORQUILHA 3 - DETALHADO
TORRE B5PROJETO DETALHADO
ELÉTRICA</v>
      </c>
      <c r="B814" s="40" t="s">
        <v>43</v>
      </c>
      <c r="C814" s="60" t="str">
        <f>IF(AND($B814=[1]rogério!$A815,[1]rogério!$B815=C$4),"ok","nok")</f>
        <v>nok</v>
      </c>
      <c r="D814" s="60" t="str">
        <f>IF(AND($B814=[1]rogério!$A815,[1]rogério!$B815=D$4),"ok","nok")</f>
        <v>nok</v>
      </c>
      <c r="E814" s="60" t="str">
        <f>IF(AND($B814=[1]rogério!$A815,[1]rogério!$B815=E$4),"ok","nok")</f>
        <v>nok</v>
      </c>
      <c r="F814" s="60" t="str">
        <f>IF(AND($B814=[1]rogério!$A815,[1]rogério!$B815=F$4),"ok","nok")</f>
        <v>nok</v>
      </c>
      <c r="G814" s="60" t="str">
        <f>IF(AND($B814=[1]rogério!$A815,[1]rogério!$B815=G$4),"ok","nok")</f>
        <v>nok</v>
      </c>
      <c r="H814" s="60" t="str">
        <f>IF(AND($B814=[1]rogério!$A815,[1]rogério!$B815=H$4),"ok","nok")</f>
        <v>nok</v>
      </c>
      <c r="I814" s="60" t="str">
        <f>IF(AND($B814=[1]rogério!$A815,[1]rogério!$B815=I$4),"ok","nok")</f>
        <v>nok</v>
      </c>
      <c r="J814" s="60" t="str">
        <f>IF(AND($B814=[1]rogério!$A815,[1]rogério!$B815=J$4),"ok","nok")</f>
        <v>nok</v>
      </c>
      <c r="K814" s="60" t="str">
        <f>IF(AND($B814=[1]rogério!$A815,[1]rogério!$B815=K$4),"ok","nok")</f>
        <v>nok</v>
      </c>
      <c r="L814" s="60" t="str">
        <f>IF(AND($B814=[1]rogério!$A815,[1]rogério!$B815=L$4),"ok","nok")</f>
        <v>ok</v>
      </c>
      <c r="M814" s="60" t="str">
        <f>IF(AND($B814=[1]rogério!$A815,[1]rogério!$B815=M$4),"ok","nok")</f>
        <v>nok</v>
      </c>
      <c r="N814" s="60" t="str">
        <f>IF(AND($B814=[1]rogério!$A815,[1]rogério!$B815=N$4),"ok","nok")</f>
        <v>nok</v>
      </c>
      <c r="O814" s="60" t="str">
        <f>IF(AND($B814=[1]rogério!$A815,[1]rogério!$B815=O$4),"ok","nok")</f>
        <v>nok</v>
      </c>
      <c r="P814" s="60" t="str">
        <f>IF(AND($B814=[1]rogério!$A815,[1]rogério!$B815=P$4),"ok","nok")</f>
        <v>nok</v>
      </c>
      <c r="Q814" s="60" t="str">
        <f>IF(AND($B814=[1]rogério!$A815,[1]rogério!$B815=Q$4),"ok","nok")</f>
        <v>nok</v>
      </c>
      <c r="R814" s="60" t="str">
        <f>IF(AND($B814=[1]rogério!$A815,[1]rogério!$B815=R$4),"ok","nok")</f>
        <v>nok</v>
      </c>
      <c r="S814" s="60" t="str">
        <f>IF(AND($B814=[1]rogério!$A815,[1]rogério!$B815=S$4),"ok","nok")</f>
        <v>nok</v>
      </c>
      <c r="T814" s="60" t="str">
        <f>IF(AND($B814=[1]rogério!$A815,[1]rogério!$B815=T$4),"ok","nok")</f>
        <v>nok</v>
      </c>
      <c r="U814" s="60" t="str">
        <f>IF(AND($B814=[1]rogério!$A815,[1]rogério!$B815=U$4),"ok","nok")</f>
        <v>nok</v>
      </c>
      <c r="V814" s="60" t="str">
        <f>IF(AND($B814=[1]rogério!$A815,[1]rogério!$B815=V$4),"ok","nok")</f>
        <v>nok</v>
      </c>
      <c r="W814" s="60" t="str">
        <f>IF(AND($B814=[1]rogério!$A815,[1]rogério!$B815=W$4),"ok","nok")</f>
        <v>nok</v>
      </c>
      <c r="X814" s="60" t="str">
        <f>IF(AND($B814=[1]rogério!$A815,[1]rogério!$B815=X$4),"ok","nok")</f>
        <v>nok</v>
      </c>
      <c r="Y814" s="105" t="s">
        <v>15</v>
      </c>
      <c r="Z814" s="106"/>
      <c r="AA814" s="106"/>
      <c r="AB814" s="107"/>
      <c r="AE814" s="48" t="str">
        <f t="shared" si="189"/>
        <v/>
      </c>
      <c r="AF814" s="48"/>
      <c r="AG814" s="48"/>
      <c r="AH814" s="89"/>
      <c r="AI814" s="49">
        <f t="shared" si="190"/>
        <v>0</v>
      </c>
      <c r="AJ814" s="49" t="str">
        <f t="shared" si="191"/>
        <v/>
      </c>
      <c r="AK814" s="49">
        <f t="shared" si="192"/>
        <v>1</v>
      </c>
      <c r="AL814" s="49" t="str">
        <f t="shared" si="193"/>
        <v/>
      </c>
      <c r="AM814" s="49">
        <f t="shared" si="194"/>
        <v>0</v>
      </c>
      <c r="AN814" s="49" t="str">
        <f t="shared" si="195"/>
        <v/>
      </c>
      <c r="AO814" s="49">
        <f t="shared" si="196"/>
        <v>0</v>
      </c>
      <c r="AP814" s="49" t="str">
        <f t="shared" si="197"/>
        <v/>
      </c>
      <c r="AQ814" s="49">
        <f t="shared" si="198"/>
        <v>0</v>
      </c>
      <c r="AR814" s="49" t="str">
        <f t="shared" si="199"/>
        <v/>
      </c>
    </row>
    <row r="815" spans="1:44" ht="30" customHeight="1" x14ac:dyDescent="0.35">
      <c r="A815" s="25"/>
      <c r="B815" s="42" t="s">
        <v>99</v>
      </c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111"/>
      <c r="Z815" s="112"/>
      <c r="AA815" s="112"/>
      <c r="AB815" s="113"/>
      <c r="AC815" s="100"/>
      <c r="AE815" s="48" t="str">
        <f t="shared" si="189"/>
        <v/>
      </c>
      <c r="AF815" s="48"/>
      <c r="AG815" s="48"/>
      <c r="AH815" s="89"/>
      <c r="AI815" s="49">
        <f t="shared" si="190"/>
        <v>0</v>
      </c>
      <c r="AJ815" s="49" t="str">
        <f t="shared" si="191"/>
        <v/>
      </c>
      <c r="AK815" s="49">
        <f t="shared" si="192"/>
        <v>0</v>
      </c>
      <c r="AL815" s="49" t="str">
        <f t="shared" si="193"/>
        <v/>
      </c>
      <c r="AM815" s="49">
        <f t="shared" si="194"/>
        <v>0</v>
      </c>
      <c r="AN815" s="49" t="str">
        <f t="shared" si="195"/>
        <v/>
      </c>
      <c r="AO815" s="49">
        <f t="shared" si="196"/>
        <v>0</v>
      </c>
      <c r="AP815" s="49" t="str">
        <f t="shared" si="197"/>
        <v/>
      </c>
      <c r="AQ815" s="49">
        <f t="shared" si="198"/>
        <v>0</v>
      </c>
      <c r="AR815" s="49" t="str">
        <f t="shared" si="199"/>
        <v/>
      </c>
    </row>
    <row r="816" spans="1:44" ht="30" customHeight="1" x14ac:dyDescent="0.35">
      <c r="A816" s="25"/>
      <c r="B816" s="61" t="s">
        <v>70</v>
      </c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X816" s="61"/>
      <c r="Y816" s="117"/>
      <c r="Z816" s="118"/>
      <c r="AA816" s="118"/>
      <c r="AB816" s="119"/>
      <c r="AE816" s="48" t="str">
        <f t="shared" si="189"/>
        <v/>
      </c>
      <c r="AF816" s="48"/>
      <c r="AG816" s="48"/>
      <c r="AH816" s="89"/>
      <c r="AI816" s="49">
        <f t="shared" si="190"/>
        <v>0</v>
      </c>
      <c r="AJ816" s="49" t="str">
        <f t="shared" si="191"/>
        <v/>
      </c>
      <c r="AK816" s="49">
        <f t="shared" si="192"/>
        <v>0</v>
      </c>
      <c r="AL816" s="49" t="str">
        <f t="shared" si="193"/>
        <v/>
      </c>
      <c r="AM816" s="49">
        <f t="shared" si="194"/>
        <v>0</v>
      </c>
      <c r="AN816" s="49" t="str">
        <f t="shared" si="195"/>
        <v/>
      </c>
      <c r="AO816" s="49">
        <f t="shared" si="196"/>
        <v>0</v>
      </c>
      <c r="AP816" s="49" t="str">
        <f t="shared" si="197"/>
        <v/>
      </c>
      <c r="AQ816" s="49">
        <f t="shared" si="198"/>
        <v>0</v>
      </c>
      <c r="AR816" s="49" t="str">
        <f t="shared" si="199"/>
        <v/>
      </c>
    </row>
    <row r="817" spans="1:44" ht="30" customHeight="1" x14ac:dyDescent="0.35">
      <c r="A817" s="25"/>
      <c r="B817" s="62" t="s">
        <v>58</v>
      </c>
      <c r="C817" s="62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114"/>
      <c r="Z817" s="115"/>
      <c r="AA817" s="115"/>
      <c r="AB817" s="116"/>
      <c r="AE817" s="48" t="str">
        <f t="shared" si="189"/>
        <v/>
      </c>
      <c r="AF817" s="48"/>
      <c r="AG817" s="48"/>
      <c r="AH817" s="89"/>
      <c r="AI817" s="49">
        <f t="shared" si="190"/>
        <v>0</v>
      </c>
      <c r="AJ817" s="49" t="str">
        <f t="shared" si="191"/>
        <v/>
      </c>
      <c r="AK817" s="49">
        <f t="shared" si="192"/>
        <v>0</v>
      </c>
      <c r="AL817" s="49" t="str">
        <f t="shared" si="193"/>
        <v/>
      </c>
      <c r="AM817" s="49">
        <f t="shared" si="194"/>
        <v>0</v>
      </c>
      <c r="AN817" s="49" t="str">
        <f t="shared" si="195"/>
        <v/>
      </c>
      <c r="AO817" s="49">
        <f t="shared" si="196"/>
        <v>0</v>
      </c>
      <c r="AP817" s="49" t="str">
        <f t="shared" si="197"/>
        <v/>
      </c>
      <c r="AQ817" s="49">
        <f t="shared" si="198"/>
        <v>0</v>
      </c>
      <c r="AR817" s="49" t="str">
        <f t="shared" si="199"/>
        <v/>
      </c>
    </row>
    <row r="818" spans="1:44" ht="30" customHeight="1" x14ac:dyDescent="0.35">
      <c r="A818" s="25"/>
      <c r="B818" s="39" t="s">
        <v>41</v>
      </c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108"/>
      <c r="Z818" s="109"/>
      <c r="AA818" s="109"/>
      <c r="AB818" s="110"/>
      <c r="AE818" s="48" t="str">
        <f t="shared" si="189"/>
        <v/>
      </c>
      <c r="AF818" s="48"/>
      <c r="AG818" s="48"/>
      <c r="AH818" s="89"/>
      <c r="AI818" s="49">
        <f t="shared" si="190"/>
        <v>0</v>
      </c>
      <c r="AJ818" s="49" t="str">
        <f t="shared" si="191"/>
        <v/>
      </c>
      <c r="AK818" s="49">
        <f t="shared" si="192"/>
        <v>0</v>
      </c>
      <c r="AL818" s="49" t="str">
        <f t="shared" si="193"/>
        <v/>
      </c>
      <c r="AM818" s="49">
        <f t="shared" si="194"/>
        <v>0</v>
      </c>
      <c r="AN818" s="49" t="str">
        <f t="shared" si="195"/>
        <v/>
      </c>
      <c r="AO818" s="49">
        <f t="shared" si="196"/>
        <v>0</v>
      </c>
      <c r="AP818" s="49" t="str">
        <f t="shared" si="197"/>
        <v/>
      </c>
      <c r="AQ818" s="49">
        <f t="shared" si="198"/>
        <v>0</v>
      </c>
      <c r="AR818" s="49" t="str">
        <f t="shared" si="199"/>
        <v/>
      </c>
    </row>
    <row r="819" spans="1:44" ht="30" customHeight="1" x14ac:dyDescent="0.35">
      <c r="A819" s="25" t="str">
        <f>CONCATENATE($B$731,"
",$B$815,"",$B$816,"
",$B$817)</f>
        <v>PT178 - PLATAFORMA DE ACESSO - FORQUILHA 3 - DETALHADO
TORRE B6PROJETO DETALHADO
ESTRUTURAS METÁLICAS</v>
      </c>
      <c r="B819" s="40" t="s">
        <v>19</v>
      </c>
      <c r="C819" s="60" t="str">
        <f>IF(AND($B819=[1]rogério!$A820,[1]rogério!$B820=C$4),"ok","nok")</f>
        <v>nok</v>
      </c>
      <c r="D819" s="60" t="str">
        <f>IF(AND($B819=[1]rogério!$A820,[1]rogério!$B820=D$4),"ok","nok")</f>
        <v>nok</v>
      </c>
      <c r="E819" s="60" t="str">
        <f>IF(AND($B819=[1]rogério!$A820,[1]rogério!$B820=E$4),"ok","nok")</f>
        <v>nok</v>
      </c>
      <c r="F819" s="60" t="str">
        <f>IF(AND($B819=[1]rogério!$A820,[1]rogério!$B820=F$4),"ok","nok")</f>
        <v>nok</v>
      </c>
      <c r="G819" s="60" t="str">
        <f>IF(AND($B819=[1]rogério!$A820,[1]rogério!$B820=G$4),"ok","nok")</f>
        <v>nok</v>
      </c>
      <c r="H819" s="60" t="str">
        <f>IF(AND($B819=[1]rogério!$A820,[1]rogério!$B820=H$4),"ok","nok")</f>
        <v>ok</v>
      </c>
      <c r="I819" s="60" t="str">
        <f>IF(AND($B819=[1]rogério!$A820,[1]rogério!$B820=I$4),"ok","nok")</f>
        <v>nok</v>
      </c>
      <c r="J819" s="60" t="str">
        <f>IF(AND($B819=[1]rogério!$A820,[1]rogério!$B820=J$4),"ok","nok")</f>
        <v>nok</v>
      </c>
      <c r="K819" s="60" t="str">
        <f>IF(AND($B819=[1]rogério!$A820,[1]rogério!$B820=K$4),"ok","nok")</f>
        <v>nok</v>
      </c>
      <c r="L819" s="60" t="str">
        <f>IF(AND($B819=[1]rogério!$A820,[1]rogério!$B820=L$4),"ok","nok")</f>
        <v>nok</v>
      </c>
      <c r="M819" s="60" t="str">
        <f>IF(AND($B819=[1]rogério!$A820,[1]rogério!$B820=M$4),"ok","nok")</f>
        <v>nok</v>
      </c>
      <c r="N819" s="60" t="str">
        <f>IF(AND($B819=[1]rogério!$A820,[1]rogério!$B820=N$4),"ok","nok")</f>
        <v>nok</v>
      </c>
      <c r="O819" s="60" t="str">
        <f>IF(AND($B819=[1]rogério!$A820,[1]rogério!$B820=O$4),"ok","nok")</f>
        <v>nok</v>
      </c>
      <c r="P819" s="60" t="str">
        <f>IF(AND($B819=[1]rogério!$A820,[1]rogério!$B820=P$4),"ok","nok")</f>
        <v>nok</v>
      </c>
      <c r="Q819" s="60" t="str">
        <f>IF(AND($B819=[1]rogério!$A820,[1]rogério!$B820=Q$4),"ok","nok")</f>
        <v>nok</v>
      </c>
      <c r="R819" s="60" t="str">
        <f>IF(AND($B819=[1]rogério!$A820,[1]rogério!$B820=R$4),"ok","nok")</f>
        <v>nok</v>
      </c>
      <c r="S819" s="60" t="str">
        <f>IF(AND($B819=[1]rogério!$A820,[1]rogério!$B820=S$4),"ok","nok")</f>
        <v>nok</v>
      </c>
      <c r="T819" s="60" t="str">
        <f>IF(AND($B819=[1]rogério!$A820,[1]rogério!$B820=T$4),"ok","nok")</f>
        <v>nok</v>
      </c>
      <c r="U819" s="60" t="str">
        <f>IF(AND($B819=[1]rogério!$A820,[1]rogério!$B820=U$4),"ok","nok")</f>
        <v>nok</v>
      </c>
      <c r="V819" s="60" t="str">
        <f>IF(AND($B819=[1]rogério!$A820,[1]rogério!$B820=V$4),"ok","nok")</f>
        <v>nok</v>
      </c>
      <c r="W819" s="60" t="str">
        <f>IF(AND($B819=[1]rogério!$A820,[1]rogério!$B820=W$4),"ok","nok")</f>
        <v>nok</v>
      </c>
      <c r="X819" s="60" t="str">
        <f>IF(AND($B819=[1]rogério!$A820,[1]rogério!$B820=X$4),"ok","nok")</f>
        <v>nok</v>
      </c>
      <c r="Y819" s="105" t="s">
        <v>15</v>
      </c>
      <c r="Z819" s="106"/>
      <c r="AA819" s="106"/>
      <c r="AB819" s="107"/>
      <c r="AE819" s="48" t="str">
        <f t="shared" si="189"/>
        <v/>
      </c>
      <c r="AF819" s="48"/>
      <c r="AG819" s="48"/>
      <c r="AH819" s="89"/>
      <c r="AI819" s="49">
        <f t="shared" si="190"/>
        <v>0</v>
      </c>
      <c r="AJ819" s="49" t="str">
        <f t="shared" si="191"/>
        <v/>
      </c>
      <c r="AK819" s="49">
        <f t="shared" si="192"/>
        <v>1</v>
      </c>
      <c r="AL819" s="49" t="str">
        <f t="shared" si="193"/>
        <v/>
      </c>
      <c r="AM819" s="49">
        <f t="shared" si="194"/>
        <v>0</v>
      </c>
      <c r="AN819" s="49" t="str">
        <f t="shared" si="195"/>
        <v/>
      </c>
      <c r="AO819" s="49">
        <f t="shared" si="196"/>
        <v>0</v>
      </c>
      <c r="AP819" s="49" t="str">
        <f t="shared" si="197"/>
        <v/>
      </c>
      <c r="AQ819" s="49">
        <f t="shared" si="198"/>
        <v>0</v>
      </c>
      <c r="AR819" s="49" t="str">
        <f t="shared" si="199"/>
        <v/>
      </c>
    </row>
    <row r="820" spans="1:44" ht="30" customHeight="1" x14ac:dyDescent="0.35">
      <c r="A820" s="25" t="str">
        <f t="shared" ref="A820:A846" si="202">CONCATENATE($B$731,"
",$B$815,"",$B$816,"
",$B$817)</f>
        <v>PT178 - PLATAFORMA DE ACESSO - FORQUILHA 3 - DETALHADO
TORRE B6PROJETO DETALHADO
ESTRUTURAS METÁLICAS</v>
      </c>
      <c r="B820" s="40" t="s">
        <v>42</v>
      </c>
      <c r="C820" s="60" t="str">
        <f>IF(AND($B820=[1]rogério!$A821,[1]rogério!$B821=C$4),"ok","nok")</f>
        <v>nok</v>
      </c>
      <c r="D820" s="60" t="str">
        <f>IF(AND($B820=[1]rogério!$A821,[1]rogério!$B821=D$4),"ok","nok")</f>
        <v>nok</v>
      </c>
      <c r="E820" s="60" t="str">
        <f>IF(AND($B820=[1]rogério!$A821,[1]rogério!$B821=E$4),"ok","nok")</f>
        <v>nok</v>
      </c>
      <c r="F820" s="60" t="str">
        <f>IF(AND($B820=[1]rogério!$A821,[1]rogério!$B821=F$4),"ok","nok")</f>
        <v>nok</v>
      </c>
      <c r="G820" s="60" t="str">
        <f>IF(AND($B820=[1]rogério!$A821,[1]rogério!$B821=G$4),"ok","nok")</f>
        <v>nok</v>
      </c>
      <c r="H820" s="60" t="str">
        <f>IF(AND($B820=[1]rogério!$A821,[1]rogério!$B821=H$4),"ok","nok")</f>
        <v>nok</v>
      </c>
      <c r="I820" s="60" t="str">
        <f>IF(AND($B820=[1]rogério!$A821,[1]rogério!$B821=I$4),"ok","nok")</f>
        <v>nok</v>
      </c>
      <c r="J820" s="60" t="str">
        <f>IF(AND($B820=[1]rogério!$A821,[1]rogério!$B821=J$4),"ok","nok")</f>
        <v>nok</v>
      </c>
      <c r="K820" s="60" t="str">
        <f>IF(AND($B820=[1]rogério!$A821,[1]rogério!$B821=K$4),"ok","nok")</f>
        <v>ok</v>
      </c>
      <c r="L820" s="60" t="str">
        <f>IF(AND($B820=[1]rogério!$A821,[1]rogério!$B821=L$4),"ok","nok")</f>
        <v>nok</v>
      </c>
      <c r="M820" s="60" t="str">
        <f>IF(AND($B820=[1]rogério!$A821,[1]rogério!$B821=M$4),"ok","nok")</f>
        <v>nok</v>
      </c>
      <c r="N820" s="60" t="str">
        <f>IF(AND($B820=[1]rogério!$A821,[1]rogério!$B821=N$4),"ok","nok")</f>
        <v>nok</v>
      </c>
      <c r="O820" s="60" t="str">
        <f>IF(AND($B820=[1]rogério!$A821,[1]rogério!$B821=O$4),"ok","nok")</f>
        <v>nok</v>
      </c>
      <c r="P820" s="60" t="str">
        <f>IF(AND($B820=[1]rogério!$A821,[1]rogério!$B821=P$4),"ok","nok")</f>
        <v>nok</v>
      </c>
      <c r="Q820" s="60" t="str">
        <f>IF(AND($B820=[1]rogério!$A821,[1]rogério!$B821=Q$4),"ok","nok")</f>
        <v>nok</v>
      </c>
      <c r="R820" s="60" t="str">
        <f>IF(AND($B820=[1]rogério!$A821,[1]rogério!$B821=R$4),"ok","nok")</f>
        <v>nok</v>
      </c>
      <c r="S820" s="60" t="str">
        <f>IF(AND($B820=[1]rogério!$A821,[1]rogério!$B821=S$4),"ok","nok")</f>
        <v>nok</v>
      </c>
      <c r="T820" s="60" t="str">
        <f>IF(AND($B820=[1]rogério!$A821,[1]rogério!$B821=T$4),"ok","nok")</f>
        <v>nok</v>
      </c>
      <c r="U820" s="60" t="str">
        <f>IF(AND($B820=[1]rogério!$A821,[1]rogério!$B821=U$4),"ok","nok")</f>
        <v>nok</v>
      </c>
      <c r="V820" s="60" t="str">
        <f>IF(AND($B820=[1]rogério!$A821,[1]rogério!$B821=V$4),"ok","nok")</f>
        <v>nok</v>
      </c>
      <c r="W820" s="60" t="str">
        <f>IF(AND($B820=[1]rogério!$A821,[1]rogério!$B821=W$4),"ok","nok")</f>
        <v>nok</v>
      </c>
      <c r="X820" s="60" t="str">
        <f>IF(AND($B820=[1]rogério!$A821,[1]rogério!$B821=X$4),"ok","nok")</f>
        <v>nok</v>
      </c>
      <c r="Y820" s="105" t="s">
        <v>15</v>
      </c>
      <c r="Z820" s="106"/>
      <c r="AA820" s="106"/>
      <c r="AB820" s="107"/>
      <c r="AE820" s="48" t="str">
        <f t="shared" si="189"/>
        <v/>
      </c>
      <c r="AF820" s="48"/>
      <c r="AG820" s="48"/>
      <c r="AH820" s="89"/>
      <c r="AI820" s="49">
        <f t="shared" si="190"/>
        <v>0</v>
      </c>
      <c r="AJ820" s="49" t="str">
        <f t="shared" si="191"/>
        <v/>
      </c>
      <c r="AK820" s="49">
        <f t="shared" si="192"/>
        <v>1</v>
      </c>
      <c r="AL820" s="49" t="str">
        <f t="shared" si="193"/>
        <v/>
      </c>
      <c r="AM820" s="49">
        <f t="shared" si="194"/>
        <v>0</v>
      </c>
      <c r="AN820" s="49" t="str">
        <f t="shared" si="195"/>
        <v/>
      </c>
      <c r="AO820" s="49">
        <f t="shared" si="196"/>
        <v>0</v>
      </c>
      <c r="AP820" s="49" t="str">
        <f t="shared" si="197"/>
        <v/>
      </c>
      <c r="AQ820" s="49">
        <f t="shared" si="198"/>
        <v>0</v>
      </c>
      <c r="AR820" s="49" t="str">
        <f t="shared" si="199"/>
        <v/>
      </c>
    </row>
    <row r="821" spans="1:44" ht="30" customHeight="1" x14ac:dyDescent="0.35">
      <c r="A821" s="25" t="str">
        <f t="shared" si="202"/>
        <v>PT178 - PLATAFORMA DE ACESSO - FORQUILHA 3 - DETALHADO
TORRE B6PROJETO DETALHADO
ESTRUTURAS METÁLICAS</v>
      </c>
      <c r="B821" s="40" t="s">
        <v>43</v>
      </c>
      <c r="C821" s="60" t="str">
        <f>IF(AND($B821=[1]rogério!$A822,[1]rogério!$B822=C$4),"ok","nok")</f>
        <v>nok</v>
      </c>
      <c r="D821" s="60" t="str">
        <f>IF(AND($B821=[1]rogério!$A822,[1]rogério!$B822=D$4),"ok","nok")</f>
        <v>nok</v>
      </c>
      <c r="E821" s="60" t="str">
        <f>IF(AND($B821=[1]rogério!$A822,[1]rogério!$B822=E$4),"ok","nok")</f>
        <v>nok</v>
      </c>
      <c r="F821" s="60" t="str">
        <f>IF(AND($B821=[1]rogério!$A822,[1]rogério!$B822=F$4),"ok","nok")</f>
        <v>nok</v>
      </c>
      <c r="G821" s="60" t="str">
        <f>IF(AND($B821=[1]rogério!$A822,[1]rogério!$B822=G$4),"ok","nok")</f>
        <v>nok</v>
      </c>
      <c r="H821" s="60" t="str">
        <f>IF(AND($B821=[1]rogério!$A822,[1]rogério!$B822=H$4),"ok","nok")</f>
        <v>nok</v>
      </c>
      <c r="I821" s="60" t="str">
        <f>IF(AND($B821=[1]rogério!$A822,[1]rogério!$B822=I$4),"ok","nok")</f>
        <v>nok</v>
      </c>
      <c r="J821" s="60" t="str">
        <f>IF(AND($B821=[1]rogério!$A822,[1]rogério!$B822=J$4),"ok","nok")</f>
        <v>nok</v>
      </c>
      <c r="K821" s="60" t="str">
        <f>IF(AND($B821=[1]rogério!$A822,[1]rogério!$B822=K$4),"ok","nok")</f>
        <v>ok</v>
      </c>
      <c r="L821" s="60" t="str">
        <f>IF(AND($B821=[1]rogério!$A822,[1]rogério!$B822=L$4),"ok","nok")</f>
        <v>nok</v>
      </c>
      <c r="M821" s="60" t="str">
        <f>IF(AND($B821=[1]rogério!$A822,[1]rogério!$B822=M$4),"ok","nok")</f>
        <v>nok</v>
      </c>
      <c r="N821" s="60" t="str">
        <f>IF(AND($B821=[1]rogério!$A822,[1]rogério!$B822=N$4),"ok","nok")</f>
        <v>nok</v>
      </c>
      <c r="O821" s="60" t="str">
        <f>IF(AND($B821=[1]rogério!$A822,[1]rogério!$B822=O$4),"ok","nok")</f>
        <v>nok</v>
      </c>
      <c r="P821" s="60" t="str">
        <f>IF(AND($B821=[1]rogério!$A822,[1]rogério!$B822=P$4),"ok","nok")</f>
        <v>nok</v>
      </c>
      <c r="Q821" s="60" t="str">
        <f>IF(AND($B821=[1]rogério!$A822,[1]rogério!$B822=Q$4),"ok","nok")</f>
        <v>nok</v>
      </c>
      <c r="R821" s="60" t="str">
        <f>IF(AND($B821=[1]rogério!$A822,[1]rogério!$B822=R$4),"ok","nok")</f>
        <v>nok</v>
      </c>
      <c r="S821" s="60" t="str">
        <f>IF(AND($B821=[1]rogério!$A822,[1]rogério!$B822=S$4),"ok","nok")</f>
        <v>nok</v>
      </c>
      <c r="T821" s="60" t="str">
        <f>IF(AND($B821=[1]rogério!$A822,[1]rogério!$B822=T$4),"ok","nok")</f>
        <v>nok</v>
      </c>
      <c r="U821" s="60" t="str">
        <f>IF(AND($B821=[1]rogério!$A822,[1]rogério!$B822=U$4),"ok","nok")</f>
        <v>nok</v>
      </c>
      <c r="V821" s="60" t="str">
        <f>IF(AND($B821=[1]rogério!$A822,[1]rogério!$B822=V$4),"ok","nok")</f>
        <v>nok</v>
      </c>
      <c r="W821" s="60" t="str">
        <f>IF(AND($B821=[1]rogério!$A822,[1]rogério!$B822=W$4),"ok","nok")</f>
        <v>nok</v>
      </c>
      <c r="X821" s="60" t="str">
        <f>IF(AND($B821=[1]rogério!$A822,[1]rogério!$B822=X$4),"ok","nok")</f>
        <v>nok</v>
      </c>
      <c r="Y821" s="105" t="s">
        <v>15</v>
      </c>
      <c r="Z821" s="106"/>
      <c r="AA821" s="106"/>
      <c r="AB821" s="107"/>
      <c r="AE821" s="48" t="str">
        <f t="shared" si="189"/>
        <v/>
      </c>
      <c r="AF821" s="48"/>
      <c r="AG821" s="48"/>
      <c r="AH821" s="89"/>
      <c r="AI821" s="49">
        <f t="shared" si="190"/>
        <v>0</v>
      </c>
      <c r="AJ821" s="49" t="str">
        <f t="shared" si="191"/>
        <v/>
      </c>
      <c r="AK821" s="49">
        <f t="shared" si="192"/>
        <v>1</v>
      </c>
      <c r="AL821" s="49" t="str">
        <f t="shared" si="193"/>
        <v/>
      </c>
      <c r="AM821" s="49">
        <f t="shared" si="194"/>
        <v>0</v>
      </c>
      <c r="AN821" s="49" t="str">
        <f t="shared" si="195"/>
        <v/>
      </c>
      <c r="AO821" s="49">
        <f t="shared" si="196"/>
        <v>0</v>
      </c>
      <c r="AP821" s="49" t="str">
        <f t="shared" si="197"/>
        <v/>
      </c>
      <c r="AQ821" s="49">
        <f t="shared" si="198"/>
        <v>0</v>
      </c>
      <c r="AR821" s="49" t="str">
        <f t="shared" si="199"/>
        <v/>
      </c>
    </row>
    <row r="822" spans="1:44" ht="30" customHeight="1" x14ac:dyDescent="0.35">
      <c r="A822" s="25" t="str">
        <f t="shared" si="202"/>
        <v>PT178 - PLATAFORMA DE ACESSO - FORQUILHA 3 - DETALHADO
TORRE B6PROJETO DETALHADO
ESTRUTURAS METÁLICAS</v>
      </c>
      <c r="B822" s="38" t="s">
        <v>73</v>
      </c>
      <c r="C822" s="60" t="str">
        <f>IF(AND($B822=[1]rogério!$A823,[1]rogério!$B823=C$4),"ok","nok")</f>
        <v>nok</v>
      </c>
      <c r="D822" s="60" t="str">
        <f>IF(AND($B822=[1]rogério!$A823,[1]rogério!$B823=D$4),"ok","nok")</f>
        <v>nok</v>
      </c>
      <c r="E822" s="60" t="str">
        <f>IF(AND($B822=[1]rogério!$A823,[1]rogério!$B823=E$4),"ok","nok")</f>
        <v>nok</v>
      </c>
      <c r="F822" s="60" t="str">
        <f>IF(AND($B822=[1]rogério!$A823,[1]rogério!$B823=F$4),"ok","nok")</f>
        <v>nok</v>
      </c>
      <c r="G822" s="60" t="str">
        <f>IF(AND($B822=[1]rogério!$A823,[1]rogério!$B823=G$4),"ok","nok")</f>
        <v>nok</v>
      </c>
      <c r="H822" s="60" t="str">
        <f>IF(AND($B822=[1]rogério!$A823,[1]rogério!$B823=H$4),"ok","nok")</f>
        <v>nok</v>
      </c>
      <c r="I822" s="60" t="str">
        <f>IF(AND($B822=[1]rogério!$A823,[1]rogério!$B823=I$4),"ok","nok")</f>
        <v>nok</v>
      </c>
      <c r="J822" s="60" t="str">
        <f>IF(AND($B822=[1]rogério!$A823,[1]rogério!$B823=J$4),"ok","nok")</f>
        <v>ok</v>
      </c>
      <c r="K822" s="60" t="str">
        <f>IF(AND($B822=[1]rogério!$A823,[1]rogério!$B823=K$4),"ok","nok")</f>
        <v>nok</v>
      </c>
      <c r="L822" s="60" t="str">
        <f>IF(AND($B822=[1]rogério!$A823,[1]rogério!$B823=L$4),"ok","nok")</f>
        <v>nok</v>
      </c>
      <c r="M822" s="60" t="str">
        <f>IF(AND($B822=[1]rogério!$A823,[1]rogério!$B823=M$4),"ok","nok")</f>
        <v>nok</v>
      </c>
      <c r="N822" s="60" t="str">
        <f>IF(AND($B822=[1]rogério!$A823,[1]rogério!$B823=N$4),"ok","nok")</f>
        <v>nok</v>
      </c>
      <c r="O822" s="60" t="str">
        <f>IF(AND($B822=[1]rogério!$A823,[1]rogério!$B823=O$4),"ok","nok")</f>
        <v>nok</v>
      </c>
      <c r="P822" s="60" t="str">
        <f>IF(AND($B822=[1]rogério!$A823,[1]rogério!$B823=P$4),"ok","nok")</f>
        <v>nok</v>
      </c>
      <c r="Q822" s="60" t="str">
        <f>IF(AND($B822=[1]rogério!$A823,[1]rogério!$B823=Q$4),"ok","nok")</f>
        <v>nok</v>
      </c>
      <c r="R822" s="60" t="str">
        <f>IF(AND($B822=[1]rogério!$A823,[1]rogério!$B823=R$4),"ok","nok")</f>
        <v>nok</v>
      </c>
      <c r="S822" s="60" t="str">
        <f>IF(AND($B822=[1]rogério!$A823,[1]rogério!$B823=S$4),"ok","nok")</f>
        <v>nok</v>
      </c>
      <c r="T822" s="60" t="str">
        <f>IF(AND($B822=[1]rogério!$A823,[1]rogério!$B823=T$4),"ok","nok")</f>
        <v>nok</v>
      </c>
      <c r="U822" s="60" t="str">
        <f>IF(AND($B822=[1]rogério!$A823,[1]rogério!$B823=U$4),"ok","nok")</f>
        <v>nok</v>
      </c>
      <c r="V822" s="60" t="str">
        <f>IF(AND($B822=[1]rogério!$A823,[1]rogério!$B823=V$4),"ok","nok")</f>
        <v>nok</v>
      </c>
      <c r="W822" s="60" t="str">
        <f>IF(AND($B822=[1]rogério!$A823,[1]rogério!$B823=W$4),"ok","nok")</f>
        <v>nok</v>
      </c>
      <c r="X822" s="60" t="str">
        <f>IF(AND($B822=[1]rogério!$A823,[1]rogério!$B823=X$4),"ok","nok")</f>
        <v>nok</v>
      </c>
      <c r="Y822" s="105" t="s">
        <v>15</v>
      </c>
      <c r="Z822" s="106"/>
      <c r="AA822" s="106"/>
      <c r="AB822" s="107"/>
      <c r="AE822" s="48" t="str">
        <f t="shared" si="189"/>
        <v/>
      </c>
      <c r="AF822" s="48"/>
      <c r="AG822" s="48"/>
      <c r="AH822" s="89"/>
      <c r="AI822" s="49">
        <f t="shared" si="190"/>
        <v>0</v>
      </c>
      <c r="AJ822" s="49" t="str">
        <f t="shared" si="191"/>
        <v/>
      </c>
      <c r="AK822" s="49">
        <f t="shared" si="192"/>
        <v>1</v>
      </c>
      <c r="AL822" s="49" t="str">
        <f t="shared" si="193"/>
        <v/>
      </c>
      <c r="AM822" s="49">
        <f t="shared" si="194"/>
        <v>0</v>
      </c>
      <c r="AN822" s="49" t="str">
        <f t="shared" si="195"/>
        <v/>
      </c>
      <c r="AO822" s="49">
        <f t="shared" si="196"/>
        <v>0</v>
      </c>
      <c r="AP822" s="49" t="str">
        <f t="shared" si="197"/>
        <v/>
      </c>
      <c r="AQ822" s="49">
        <f t="shared" si="198"/>
        <v>0</v>
      </c>
      <c r="AR822" s="49" t="str">
        <f t="shared" si="199"/>
        <v/>
      </c>
    </row>
    <row r="823" spans="1:44" ht="30" customHeight="1" x14ac:dyDescent="0.35">
      <c r="A823" s="25"/>
      <c r="B823" s="39" t="s">
        <v>53</v>
      </c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108"/>
      <c r="Z823" s="109"/>
      <c r="AA823" s="109"/>
      <c r="AB823" s="110"/>
      <c r="AE823" s="48" t="str">
        <f t="shared" si="189"/>
        <v/>
      </c>
      <c r="AF823" s="48"/>
      <c r="AG823" s="48"/>
      <c r="AH823" s="89"/>
      <c r="AI823" s="49">
        <f t="shared" si="190"/>
        <v>0</v>
      </c>
      <c r="AJ823" s="49" t="str">
        <f t="shared" si="191"/>
        <v/>
      </c>
      <c r="AK823" s="49">
        <f t="shared" si="192"/>
        <v>0</v>
      </c>
      <c r="AL823" s="49" t="str">
        <f t="shared" si="193"/>
        <v/>
      </c>
      <c r="AM823" s="49">
        <f t="shared" si="194"/>
        <v>0</v>
      </c>
      <c r="AN823" s="49" t="str">
        <f t="shared" si="195"/>
        <v/>
      </c>
      <c r="AO823" s="49">
        <f t="shared" si="196"/>
        <v>0</v>
      </c>
      <c r="AP823" s="49" t="str">
        <f t="shared" si="197"/>
        <v/>
      </c>
      <c r="AQ823" s="49">
        <f t="shared" si="198"/>
        <v>0</v>
      </c>
      <c r="AR823" s="49" t="str">
        <f t="shared" si="199"/>
        <v/>
      </c>
    </row>
    <row r="824" spans="1:44" ht="30" customHeight="1" x14ac:dyDescent="0.35">
      <c r="A824" s="25" t="str">
        <f t="shared" si="202"/>
        <v>PT178 - PLATAFORMA DE ACESSO - FORQUILHA 3 - DETALHADO
TORRE B6PROJETO DETALHADO
ESTRUTURAS METÁLICAS</v>
      </c>
      <c r="B824" s="40" t="s">
        <v>49</v>
      </c>
      <c r="C824" s="60" t="str">
        <f>IF(AND($B824=[1]rogério!$A825,[1]rogério!$B825=C$4),"ok","nok")</f>
        <v>nok</v>
      </c>
      <c r="D824" s="60" t="str">
        <f>IF(AND($B824=[1]rogério!$A825,[1]rogério!$B825=D$4),"ok","nok")</f>
        <v>nok</v>
      </c>
      <c r="E824" s="60" t="str">
        <f>IF(AND($B824=[1]rogério!$A825,[1]rogério!$B825=E$4),"ok","nok")</f>
        <v>nok</v>
      </c>
      <c r="F824" s="60" t="str">
        <f>IF(AND($B824=[1]rogério!$A825,[1]rogério!$B825=F$4),"ok","nok")</f>
        <v>nok</v>
      </c>
      <c r="G824" s="60" t="str">
        <f>IF(AND($B824=[1]rogério!$A825,[1]rogério!$B825=G$4),"ok","nok")</f>
        <v>nok</v>
      </c>
      <c r="H824" s="60" t="str">
        <f>IF(AND($B824=[1]rogério!$A825,[1]rogério!$B825=H$4),"ok","nok")</f>
        <v>nok</v>
      </c>
      <c r="I824" s="60" t="str">
        <f>IF(AND($B824=[1]rogério!$A825,[1]rogério!$B825=I$4),"ok","nok")</f>
        <v>nok</v>
      </c>
      <c r="J824" s="60" t="str">
        <f>IF(AND($B824=[1]rogério!$A825,[1]rogério!$B825=J$4),"ok","nok")</f>
        <v>ok</v>
      </c>
      <c r="K824" s="60" t="str">
        <f>IF(AND($B824=[1]rogério!$A825,[1]rogério!$B825=K$4),"ok","nok")</f>
        <v>nok</v>
      </c>
      <c r="L824" s="60" t="str">
        <f>IF(AND($B824=[1]rogério!$A825,[1]rogério!$B825=L$4),"ok","nok")</f>
        <v>nok</v>
      </c>
      <c r="M824" s="60" t="str">
        <f>IF(AND($B824=[1]rogério!$A825,[1]rogério!$B825=M$4),"ok","nok")</f>
        <v>nok</v>
      </c>
      <c r="N824" s="60" t="str">
        <f>IF(AND($B824=[1]rogério!$A825,[1]rogério!$B825=N$4),"ok","nok")</f>
        <v>nok</v>
      </c>
      <c r="O824" s="60" t="str">
        <f>IF(AND($B824=[1]rogério!$A825,[1]rogério!$B825=O$4),"ok","nok")</f>
        <v>nok</v>
      </c>
      <c r="P824" s="60" t="str">
        <f>IF(AND($B824=[1]rogério!$A825,[1]rogério!$B825=P$4),"ok","nok")</f>
        <v>nok</v>
      </c>
      <c r="Q824" s="60" t="str">
        <f>IF(AND($B824=[1]rogério!$A825,[1]rogério!$B825=Q$4),"ok","nok")</f>
        <v>nok</v>
      </c>
      <c r="R824" s="60" t="str">
        <f>IF(AND($B824=[1]rogério!$A825,[1]rogério!$B825=R$4),"ok","nok")</f>
        <v>nok</v>
      </c>
      <c r="S824" s="60" t="str">
        <f>IF(AND($B824=[1]rogério!$A825,[1]rogério!$B825=S$4),"ok","nok")</f>
        <v>nok</v>
      </c>
      <c r="T824" s="60" t="str">
        <f>IF(AND($B824=[1]rogério!$A825,[1]rogério!$B825=T$4),"ok","nok")</f>
        <v>nok</v>
      </c>
      <c r="U824" s="60" t="str">
        <f>IF(AND($B824=[1]rogério!$A825,[1]rogério!$B825=U$4),"ok","nok")</f>
        <v>nok</v>
      </c>
      <c r="V824" s="60" t="str">
        <f>IF(AND($B824=[1]rogério!$A825,[1]rogério!$B825=V$4),"ok","nok")</f>
        <v>nok</v>
      </c>
      <c r="W824" s="60" t="str">
        <f>IF(AND($B824=[1]rogério!$A825,[1]rogério!$B825=W$4),"ok","nok")</f>
        <v>nok</v>
      </c>
      <c r="X824" s="60" t="str">
        <f>IF(AND($B824=[1]rogério!$A825,[1]rogério!$B825=X$4),"ok","nok")</f>
        <v>nok</v>
      </c>
      <c r="Y824" s="105" t="s">
        <v>15</v>
      </c>
      <c r="Z824" s="106"/>
      <c r="AA824" s="106"/>
      <c r="AB824" s="107"/>
      <c r="AE824" s="48" t="str">
        <f t="shared" si="189"/>
        <v/>
      </c>
      <c r="AF824" s="48"/>
      <c r="AG824" s="48"/>
      <c r="AH824" s="89"/>
      <c r="AI824" s="49">
        <f t="shared" si="190"/>
        <v>0</v>
      </c>
      <c r="AJ824" s="49" t="str">
        <f t="shared" si="191"/>
        <v/>
      </c>
      <c r="AK824" s="49">
        <f t="shared" si="192"/>
        <v>1</v>
      </c>
      <c r="AL824" s="49" t="str">
        <f t="shared" si="193"/>
        <v/>
      </c>
      <c r="AM824" s="49">
        <f t="shared" si="194"/>
        <v>0</v>
      </c>
      <c r="AN824" s="49" t="str">
        <f t="shared" si="195"/>
        <v/>
      </c>
      <c r="AO824" s="49">
        <f t="shared" si="196"/>
        <v>0</v>
      </c>
      <c r="AP824" s="49" t="str">
        <f t="shared" si="197"/>
        <v/>
      </c>
      <c r="AQ824" s="49">
        <f t="shared" si="198"/>
        <v>0</v>
      </c>
      <c r="AR824" s="49" t="str">
        <f t="shared" si="199"/>
        <v/>
      </c>
    </row>
    <row r="825" spans="1:44" ht="30" customHeight="1" x14ac:dyDescent="0.35">
      <c r="A825" s="25" t="str">
        <f t="shared" si="202"/>
        <v>PT178 - PLATAFORMA DE ACESSO - FORQUILHA 3 - DETALHADO
TORRE B6PROJETO DETALHADO
ESTRUTURAS METÁLICAS</v>
      </c>
      <c r="B825" s="40" t="s">
        <v>19</v>
      </c>
      <c r="C825" s="60" t="str">
        <f>IF(AND($B825=[1]rogério!$A826,[1]rogério!$B826=C$4),"ok","nok")</f>
        <v>nok</v>
      </c>
      <c r="D825" s="60" t="str">
        <f>IF(AND($B825=[1]rogério!$A826,[1]rogério!$B826=D$4),"ok","nok")</f>
        <v>nok</v>
      </c>
      <c r="E825" s="60" t="str">
        <f>IF(AND($B825=[1]rogério!$A826,[1]rogério!$B826=E$4),"ok","nok")</f>
        <v>nok</v>
      </c>
      <c r="F825" s="60" t="str">
        <f>IF(AND($B825=[1]rogério!$A826,[1]rogério!$B826=F$4),"ok","nok")</f>
        <v>nok</v>
      </c>
      <c r="G825" s="60" t="str">
        <f>IF(AND($B825=[1]rogério!$A826,[1]rogério!$B826=G$4),"ok","nok")</f>
        <v>nok</v>
      </c>
      <c r="H825" s="60" t="str">
        <f>IF(AND($B825=[1]rogério!$A826,[1]rogério!$B826=H$4),"ok","nok")</f>
        <v>nok</v>
      </c>
      <c r="I825" s="60" t="str">
        <f>IF(AND($B825=[1]rogério!$A826,[1]rogério!$B826=I$4),"ok","nok")</f>
        <v>nok</v>
      </c>
      <c r="J825" s="60" t="str">
        <f>IF(AND($B825=[1]rogério!$A826,[1]rogério!$B826=J$4),"ok","nok")</f>
        <v>nok</v>
      </c>
      <c r="K825" s="60" t="str">
        <f>IF(AND($B825=[1]rogério!$A826,[1]rogério!$B826=K$4),"ok","nok")</f>
        <v>nok</v>
      </c>
      <c r="L825" s="60" t="str">
        <f>IF(AND($B825=[1]rogério!$A826,[1]rogério!$B826=L$4),"ok","nok")</f>
        <v>nok</v>
      </c>
      <c r="M825" s="60" t="str">
        <f>IF(AND($B825=[1]rogério!$A826,[1]rogério!$B826=M$4),"ok","nok")</f>
        <v>nok</v>
      </c>
      <c r="N825" s="60" t="str">
        <f>IF(AND($B825=[1]rogério!$A826,[1]rogério!$B826=N$4),"ok","nok")</f>
        <v>nok</v>
      </c>
      <c r="O825" s="60" t="str">
        <f>IF(AND($B825=[1]rogério!$A826,[1]rogério!$B826=O$4),"ok","nok")</f>
        <v>ok</v>
      </c>
      <c r="P825" s="60" t="str">
        <f>IF(AND($B825=[1]rogério!$A826,[1]rogério!$B826=P$4),"ok","nok")</f>
        <v>nok</v>
      </c>
      <c r="Q825" s="60" t="str">
        <f>IF(AND($B825=[1]rogério!$A826,[1]rogério!$B826=Q$4),"ok","nok")</f>
        <v>nok</v>
      </c>
      <c r="R825" s="60" t="str">
        <f>IF(AND($B825=[1]rogério!$A826,[1]rogério!$B826=R$4),"ok","nok")</f>
        <v>nok</v>
      </c>
      <c r="S825" s="60" t="str">
        <f>IF(AND($B825=[1]rogério!$A826,[1]rogério!$B826=S$4),"ok","nok")</f>
        <v>nok</v>
      </c>
      <c r="T825" s="60" t="str">
        <f>IF(AND($B825=[1]rogério!$A826,[1]rogério!$B826=T$4),"ok","nok")</f>
        <v>nok</v>
      </c>
      <c r="U825" s="60" t="str">
        <f>IF(AND($B825=[1]rogério!$A826,[1]rogério!$B826=U$4),"ok","nok")</f>
        <v>nok</v>
      </c>
      <c r="V825" s="60" t="str">
        <f>IF(AND($B825=[1]rogério!$A826,[1]rogério!$B826=V$4),"ok","nok")</f>
        <v>nok</v>
      </c>
      <c r="W825" s="60" t="str">
        <f>IF(AND($B825=[1]rogério!$A826,[1]rogério!$B826=W$4),"ok","nok")</f>
        <v>nok</v>
      </c>
      <c r="X825" s="60" t="str">
        <f>IF(AND($B825=[1]rogério!$A826,[1]rogério!$B826=X$4),"ok","nok")</f>
        <v>nok</v>
      </c>
      <c r="Y825" s="105" t="s">
        <v>15</v>
      </c>
      <c r="Z825" s="106"/>
      <c r="AA825" s="106"/>
      <c r="AB825" s="107"/>
      <c r="AE825" s="48" t="str">
        <f t="shared" si="189"/>
        <v/>
      </c>
      <c r="AF825" s="48"/>
      <c r="AG825" s="48"/>
      <c r="AH825" s="89"/>
      <c r="AI825" s="49">
        <f t="shared" si="190"/>
        <v>0</v>
      </c>
      <c r="AJ825" s="49" t="str">
        <f t="shared" si="191"/>
        <v/>
      </c>
      <c r="AK825" s="49">
        <f t="shared" si="192"/>
        <v>0</v>
      </c>
      <c r="AL825" s="49" t="str">
        <f t="shared" si="193"/>
        <v/>
      </c>
      <c r="AM825" s="49">
        <f t="shared" si="194"/>
        <v>1</v>
      </c>
      <c r="AN825" s="49" t="str">
        <f t="shared" si="195"/>
        <v/>
      </c>
      <c r="AO825" s="49">
        <f t="shared" si="196"/>
        <v>0</v>
      </c>
      <c r="AP825" s="49" t="str">
        <f t="shared" si="197"/>
        <v/>
      </c>
      <c r="AQ825" s="49">
        <f t="shared" si="198"/>
        <v>0</v>
      </c>
      <c r="AR825" s="49" t="str">
        <f t="shared" si="199"/>
        <v/>
      </c>
    </row>
    <row r="826" spans="1:44" ht="30" customHeight="1" x14ac:dyDescent="0.35">
      <c r="A826" s="25" t="str">
        <f t="shared" si="202"/>
        <v>PT178 - PLATAFORMA DE ACESSO - FORQUILHA 3 - DETALHADO
TORRE B6PROJETO DETALHADO
ESTRUTURAS METÁLICAS</v>
      </c>
      <c r="B826" s="40" t="s">
        <v>42</v>
      </c>
      <c r="C826" s="60" t="str">
        <f>IF(AND($B826=[1]rogério!$A827,[1]rogério!$B827=C$4),"ok","nok")</f>
        <v>nok</v>
      </c>
      <c r="D826" s="60" t="str">
        <f>IF(AND($B826=[1]rogério!$A827,[1]rogério!$B827=D$4),"ok","nok")</f>
        <v>nok</v>
      </c>
      <c r="E826" s="60" t="str">
        <f>IF(AND($B826=[1]rogério!$A827,[1]rogério!$B827=E$4),"ok","nok")</f>
        <v>nok</v>
      </c>
      <c r="F826" s="60" t="str">
        <f>IF(AND($B826=[1]rogério!$A827,[1]rogério!$B827=F$4),"ok","nok")</f>
        <v>nok</v>
      </c>
      <c r="G826" s="60" t="str">
        <f>IF(AND($B826=[1]rogério!$A827,[1]rogério!$B827=G$4),"ok","nok")</f>
        <v>nok</v>
      </c>
      <c r="H826" s="60" t="str">
        <f>IF(AND($B826=[1]rogério!$A827,[1]rogério!$B827=H$4),"ok","nok")</f>
        <v>nok</v>
      </c>
      <c r="I826" s="60" t="str">
        <f>IF(AND($B826=[1]rogério!$A827,[1]rogério!$B827=I$4),"ok","nok")</f>
        <v>nok</v>
      </c>
      <c r="J826" s="60" t="str">
        <f>IF(AND($B826=[1]rogério!$A827,[1]rogério!$B827=J$4),"ok","nok")</f>
        <v>nok</v>
      </c>
      <c r="K826" s="60" t="str">
        <f>IF(AND($B826=[1]rogério!$A827,[1]rogério!$B827=K$4),"ok","nok")</f>
        <v>nok</v>
      </c>
      <c r="L826" s="60" t="str">
        <f>IF(AND($B826=[1]rogério!$A827,[1]rogério!$B827=L$4),"ok","nok")</f>
        <v>nok</v>
      </c>
      <c r="M826" s="60" t="str">
        <f>IF(AND($B826=[1]rogério!$A827,[1]rogério!$B827=M$4),"ok","nok")</f>
        <v>nok</v>
      </c>
      <c r="N826" s="60" t="str">
        <f>IF(AND($B826=[1]rogério!$A827,[1]rogério!$B827=N$4),"ok","nok")</f>
        <v>nok</v>
      </c>
      <c r="O826" s="60" t="str">
        <f>IF(AND($B826=[1]rogério!$A827,[1]rogério!$B827=O$4),"ok","nok")</f>
        <v>nok</v>
      </c>
      <c r="P826" s="60" t="str">
        <f>IF(AND($B826=[1]rogério!$A827,[1]rogério!$B827=P$4),"ok","nok")</f>
        <v>nok</v>
      </c>
      <c r="Q826" s="60" t="str">
        <f>IF(AND($B826=[1]rogério!$A827,[1]rogério!$B827=Q$4),"ok","nok")</f>
        <v>nok</v>
      </c>
      <c r="R826" s="60" t="str">
        <f>IF(AND($B826=[1]rogério!$A827,[1]rogério!$B827=R$4),"ok","nok")</f>
        <v>ok</v>
      </c>
      <c r="S826" s="60" t="str">
        <f>IF(AND($B826=[1]rogério!$A827,[1]rogério!$B827=S$4),"ok","nok")</f>
        <v>nok</v>
      </c>
      <c r="T826" s="60" t="str">
        <f>IF(AND($B826=[1]rogério!$A827,[1]rogério!$B827=T$4),"ok","nok")</f>
        <v>nok</v>
      </c>
      <c r="U826" s="60" t="str">
        <f>IF(AND($B826=[1]rogério!$A827,[1]rogério!$B827=U$4),"ok","nok")</f>
        <v>nok</v>
      </c>
      <c r="V826" s="60" t="str">
        <f>IF(AND($B826=[1]rogério!$A827,[1]rogério!$B827=V$4),"ok","nok")</f>
        <v>nok</v>
      </c>
      <c r="W826" s="60" t="str">
        <f>IF(AND($B826=[1]rogério!$A827,[1]rogério!$B827=W$4),"ok","nok")</f>
        <v>nok</v>
      </c>
      <c r="X826" s="60" t="str">
        <f>IF(AND($B826=[1]rogério!$A827,[1]rogério!$B827=X$4),"ok","nok")</f>
        <v>nok</v>
      </c>
      <c r="Y826" s="105" t="s">
        <v>15</v>
      </c>
      <c r="Z826" s="106"/>
      <c r="AA826" s="106"/>
      <c r="AB826" s="107"/>
      <c r="AE826" s="48" t="str">
        <f t="shared" si="189"/>
        <v/>
      </c>
      <c r="AF826" s="48"/>
      <c r="AG826" s="48"/>
      <c r="AH826" s="89"/>
      <c r="AI826" s="49">
        <f t="shared" si="190"/>
        <v>0</v>
      </c>
      <c r="AJ826" s="49" t="str">
        <f t="shared" si="191"/>
        <v/>
      </c>
      <c r="AK826" s="49">
        <f t="shared" si="192"/>
        <v>0</v>
      </c>
      <c r="AL826" s="49" t="str">
        <f t="shared" si="193"/>
        <v/>
      </c>
      <c r="AM826" s="49">
        <f t="shared" si="194"/>
        <v>0</v>
      </c>
      <c r="AN826" s="49" t="str">
        <f t="shared" si="195"/>
        <v/>
      </c>
      <c r="AO826" s="49">
        <f t="shared" si="196"/>
        <v>1</v>
      </c>
      <c r="AP826" s="49" t="str">
        <f t="shared" si="197"/>
        <v/>
      </c>
      <c r="AQ826" s="49">
        <f t="shared" si="198"/>
        <v>0</v>
      </c>
      <c r="AR826" s="49" t="str">
        <f t="shared" si="199"/>
        <v/>
      </c>
    </row>
    <row r="827" spans="1:44" ht="30" customHeight="1" x14ac:dyDescent="0.35">
      <c r="A827" s="25" t="str">
        <f t="shared" si="202"/>
        <v>PT178 - PLATAFORMA DE ACESSO - FORQUILHA 3 - DETALHADO
TORRE B6PROJETO DETALHADO
ESTRUTURAS METÁLICAS</v>
      </c>
      <c r="B827" s="40" t="s">
        <v>43</v>
      </c>
      <c r="C827" s="60" t="str">
        <f>IF(AND($B827=[1]rogério!$A828,[1]rogério!$B828=C$4),"ok","nok")</f>
        <v>nok</v>
      </c>
      <c r="D827" s="60" t="str">
        <f>IF(AND($B827=[1]rogério!$A828,[1]rogério!$B828=D$4),"ok","nok")</f>
        <v>nok</v>
      </c>
      <c r="E827" s="60" t="str">
        <f>IF(AND($B827=[1]rogério!$A828,[1]rogério!$B828=E$4),"ok","nok")</f>
        <v>nok</v>
      </c>
      <c r="F827" s="60" t="str">
        <f>IF(AND($B827=[1]rogério!$A828,[1]rogério!$B828=F$4),"ok","nok")</f>
        <v>nok</v>
      </c>
      <c r="G827" s="60" t="str">
        <f>IF(AND($B827=[1]rogério!$A828,[1]rogério!$B828=G$4),"ok","nok")</f>
        <v>nok</v>
      </c>
      <c r="H827" s="60" t="str">
        <f>IF(AND($B827=[1]rogério!$A828,[1]rogério!$B828=H$4),"ok","nok")</f>
        <v>nok</v>
      </c>
      <c r="I827" s="60" t="str">
        <f>IF(AND($B827=[1]rogério!$A828,[1]rogério!$B828=I$4),"ok","nok")</f>
        <v>nok</v>
      </c>
      <c r="J827" s="60" t="str">
        <f>IF(AND($B827=[1]rogério!$A828,[1]rogério!$B828=J$4),"ok","nok")</f>
        <v>nok</v>
      </c>
      <c r="K827" s="60" t="str">
        <f>IF(AND($B827=[1]rogério!$A828,[1]rogério!$B828=K$4),"ok","nok")</f>
        <v>nok</v>
      </c>
      <c r="L827" s="60" t="str">
        <f>IF(AND($B827=[1]rogério!$A828,[1]rogério!$B828=L$4),"ok","nok")</f>
        <v>nok</v>
      </c>
      <c r="M827" s="60" t="str">
        <f>IF(AND($B827=[1]rogério!$A828,[1]rogério!$B828=M$4),"ok","nok")</f>
        <v>nok</v>
      </c>
      <c r="N827" s="60" t="str">
        <f>IF(AND($B827=[1]rogério!$A828,[1]rogério!$B828=N$4),"ok","nok")</f>
        <v>nok</v>
      </c>
      <c r="O827" s="60" t="str">
        <f>IF(AND($B827=[1]rogério!$A828,[1]rogério!$B828=O$4),"ok","nok")</f>
        <v>nok</v>
      </c>
      <c r="P827" s="60" t="str">
        <f>IF(AND($B827=[1]rogério!$A828,[1]rogério!$B828=P$4),"ok","nok")</f>
        <v>nok</v>
      </c>
      <c r="Q827" s="60" t="str">
        <f>IF(AND($B827=[1]rogério!$A828,[1]rogério!$B828=Q$4),"ok","nok")</f>
        <v>nok</v>
      </c>
      <c r="R827" s="60" t="str">
        <f>IF(AND($B827=[1]rogério!$A828,[1]rogério!$B828=R$4),"ok","nok")</f>
        <v>ok</v>
      </c>
      <c r="S827" s="60" t="str">
        <f>IF(AND($B827=[1]rogério!$A828,[1]rogério!$B828=S$4),"ok","nok")</f>
        <v>nok</v>
      </c>
      <c r="T827" s="60" t="str">
        <f>IF(AND($B827=[1]rogério!$A828,[1]rogério!$B828=T$4),"ok","nok")</f>
        <v>nok</v>
      </c>
      <c r="U827" s="60" t="str">
        <f>IF(AND($B827=[1]rogério!$A828,[1]rogério!$B828=U$4),"ok","nok")</f>
        <v>nok</v>
      </c>
      <c r="V827" s="60" t="str">
        <f>IF(AND($B827=[1]rogério!$A828,[1]rogério!$B828=V$4),"ok","nok")</f>
        <v>nok</v>
      </c>
      <c r="W827" s="60" t="str">
        <f>IF(AND($B827=[1]rogério!$A828,[1]rogério!$B828=W$4),"ok","nok")</f>
        <v>nok</v>
      </c>
      <c r="X827" s="60" t="str">
        <f>IF(AND($B827=[1]rogério!$A828,[1]rogério!$B828=X$4),"ok","nok")</f>
        <v>nok</v>
      </c>
      <c r="Y827" s="105" t="s">
        <v>15</v>
      </c>
      <c r="Z827" s="106"/>
      <c r="AA827" s="106"/>
      <c r="AB827" s="107"/>
      <c r="AE827" s="48" t="str">
        <f t="shared" si="189"/>
        <v/>
      </c>
      <c r="AF827" s="48"/>
      <c r="AG827" s="48"/>
      <c r="AH827" s="89"/>
      <c r="AI827" s="49">
        <f t="shared" si="190"/>
        <v>0</v>
      </c>
      <c r="AJ827" s="49" t="str">
        <f t="shared" si="191"/>
        <v/>
      </c>
      <c r="AK827" s="49">
        <f t="shared" si="192"/>
        <v>0</v>
      </c>
      <c r="AL827" s="49" t="str">
        <f t="shared" si="193"/>
        <v/>
      </c>
      <c r="AM827" s="49">
        <f t="shared" si="194"/>
        <v>0</v>
      </c>
      <c r="AN827" s="49" t="str">
        <f t="shared" si="195"/>
        <v/>
      </c>
      <c r="AO827" s="49">
        <f t="shared" si="196"/>
        <v>1</v>
      </c>
      <c r="AP827" s="49" t="str">
        <f t="shared" si="197"/>
        <v/>
      </c>
      <c r="AQ827" s="49">
        <f t="shared" si="198"/>
        <v>0</v>
      </c>
      <c r="AR827" s="49" t="str">
        <f t="shared" si="199"/>
        <v/>
      </c>
    </row>
    <row r="828" spans="1:44" ht="30" customHeight="1" x14ac:dyDescent="0.35">
      <c r="A828" s="25" t="str">
        <f t="shared" si="202"/>
        <v>PT178 - PLATAFORMA DE ACESSO - FORQUILHA 3 - DETALHADO
TORRE B6PROJETO DETALHADO
ESTRUTURAS METÁLICAS</v>
      </c>
      <c r="B828" s="38" t="s">
        <v>74</v>
      </c>
      <c r="C828" s="60" t="str">
        <f>IF(AND($B828=[1]rogério!$A829,[1]rogério!$B829=C$4),"ok","nok")</f>
        <v>nok</v>
      </c>
      <c r="D828" s="60" t="str">
        <f>IF(AND($B828=[1]rogério!$A829,[1]rogério!$B829=D$4),"ok","nok")</f>
        <v>nok</v>
      </c>
      <c r="E828" s="60" t="str">
        <f>IF(AND($B828=[1]rogério!$A829,[1]rogério!$B829=E$4),"ok","nok")</f>
        <v>nok</v>
      </c>
      <c r="F828" s="60" t="str">
        <f>IF(AND($B828=[1]rogério!$A829,[1]rogério!$B829=F$4),"ok","nok")</f>
        <v>nok</v>
      </c>
      <c r="G828" s="60" t="str">
        <f>IF(AND($B828=[1]rogério!$A829,[1]rogério!$B829=G$4),"ok","nok")</f>
        <v>nok</v>
      </c>
      <c r="H828" s="60" t="str">
        <f>IF(AND($B828=[1]rogério!$A829,[1]rogério!$B829=H$4),"ok","nok")</f>
        <v>ok</v>
      </c>
      <c r="I828" s="60" t="str">
        <f>IF(AND($B828=[1]rogério!$A829,[1]rogério!$B829=I$4),"ok","nok")</f>
        <v>nok</v>
      </c>
      <c r="J828" s="60" t="str">
        <f>IF(AND($B828=[1]rogério!$A829,[1]rogério!$B829=J$4),"ok","nok")</f>
        <v>nok</v>
      </c>
      <c r="K828" s="60" t="str">
        <f>IF(AND($B828=[1]rogério!$A829,[1]rogério!$B829=K$4),"ok","nok")</f>
        <v>nok</v>
      </c>
      <c r="L828" s="60" t="str">
        <f>IF(AND($B828=[1]rogério!$A829,[1]rogério!$B829=L$4),"ok","nok")</f>
        <v>nok</v>
      </c>
      <c r="M828" s="60" t="str">
        <f>IF(AND($B828=[1]rogério!$A829,[1]rogério!$B829=M$4),"ok","nok")</f>
        <v>nok</v>
      </c>
      <c r="N828" s="60" t="str">
        <f>IF(AND($B828=[1]rogério!$A829,[1]rogério!$B829=N$4),"ok","nok")</f>
        <v>nok</v>
      </c>
      <c r="O828" s="60" t="str">
        <f>IF(AND($B828=[1]rogério!$A829,[1]rogério!$B829=O$4),"ok","nok")</f>
        <v>nok</v>
      </c>
      <c r="P828" s="60" t="str">
        <f>IF(AND($B828=[1]rogério!$A829,[1]rogério!$B829=P$4),"ok","nok")</f>
        <v>nok</v>
      </c>
      <c r="Q828" s="60" t="str">
        <f>IF(AND($B828=[1]rogério!$A829,[1]rogério!$B829=Q$4),"ok","nok")</f>
        <v>nok</v>
      </c>
      <c r="R828" s="60" t="str">
        <f>IF(AND($B828=[1]rogério!$A829,[1]rogério!$B829=R$4),"ok","nok")</f>
        <v>nok</v>
      </c>
      <c r="S828" s="60" t="str">
        <f>IF(AND($B828=[1]rogério!$A829,[1]rogério!$B829=S$4),"ok","nok")</f>
        <v>nok</v>
      </c>
      <c r="T828" s="60" t="str">
        <f>IF(AND($B828=[1]rogério!$A829,[1]rogério!$B829=T$4),"ok","nok")</f>
        <v>nok</v>
      </c>
      <c r="U828" s="60" t="str">
        <f>IF(AND($B828=[1]rogério!$A829,[1]rogério!$B829=U$4),"ok","nok")</f>
        <v>nok</v>
      </c>
      <c r="V828" s="60" t="str">
        <f>IF(AND($B828=[1]rogério!$A829,[1]rogério!$B829=V$4),"ok","nok")</f>
        <v>nok</v>
      </c>
      <c r="W828" s="60" t="str">
        <f>IF(AND($B828=[1]rogério!$A829,[1]rogério!$B829=W$4),"ok","nok")</f>
        <v>nok</v>
      </c>
      <c r="X828" s="60" t="str">
        <f>IF(AND($B828=[1]rogério!$A829,[1]rogério!$B829=X$4),"ok","nok")</f>
        <v>nok</v>
      </c>
      <c r="Y828" s="105" t="s">
        <v>15</v>
      </c>
      <c r="Z828" s="106"/>
      <c r="AA828" s="106"/>
      <c r="AB828" s="107"/>
      <c r="AE828" s="48" t="str">
        <f t="shared" si="189"/>
        <v/>
      </c>
      <c r="AF828" s="48"/>
      <c r="AG828" s="48"/>
      <c r="AH828" s="89"/>
      <c r="AI828" s="49">
        <f t="shared" si="190"/>
        <v>0</v>
      </c>
      <c r="AJ828" s="49" t="str">
        <f t="shared" si="191"/>
        <v/>
      </c>
      <c r="AK828" s="49">
        <f t="shared" si="192"/>
        <v>1</v>
      </c>
      <c r="AL828" s="49" t="str">
        <f t="shared" si="193"/>
        <v/>
      </c>
      <c r="AM828" s="49">
        <f t="shared" si="194"/>
        <v>0</v>
      </c>
      <c r="AN828" s="49" t="str">
        <f t="shared" si="195"/>
        <v/>
      </c>
      <c r="AO828" s="49">
        <f t="shared" si="196"/>
        <v>0</v>
      </c>
      <c r="AP828" s="49" t="str">
        <f t="shared" si="197"/>
        <v/>
      </c>
      <c r="AQ828" s="49">
        <f t="shared" si="198"/>
        <v>0</v>
      </c>
      <c r="AR828" s="49" t="str">
        <f t="shared" si="199"/>
        <v/>
      </c>
    </row>
    <row r="829" spans="1:44" ht="30" customHeight="1" x14ac:dyDescent="0.35">
      <c r="A829" s="25" t="str">
        <f t="shared" si="202"/>
        <v>PT178 - PLATAFORMA DE ACESSO - FORQUILHA 3 - DETALHADO
TORRE B6PROJETO DETALHADO
ESTRUTURAS METÁLICAS</v>
      </c>
      <c r="B829" s="38" t="s">
        <v>75</v>
      </c>
      <c r="C829" s="60" t="str">
        <f>IF(AND($B829=[1]rogério!$A830,[1]rogério!$B830=C$4),"ok","nok")</f>
        <v>nok</v>
      </c>
      <c r="D829" s="60" t="str">
        <f>IF(AND($B829=[1]rogério!$A830,[1]rogério!$B830=D$4),"ok","nok")</f>
        <v>nok</v>
      </c>
      <c r="E829" s="60" t="str">
        <f>IF(AND($B829=[1]rogério!$A830,[1]rogério!$B830=E$4),"ok","nok")</f>
        <v>nok</v>
      </c>
      <c r="F829" s="60" t="str">
        <f>IF(AND($B829=[1]rogério!$A830,[1]rogério!$B830=F$4),"ok","nok")</f>
        <v>nok</v>
      </c>
      <c r="G829" s="60" t="str">
        <f>IF(AND($B829=[1]rogério!$A830,[1]rogério!$B830=G$4),"ok","nok")</f>
        <v>nok</v>
      </c>
      <c r="H829" s="60" t="str">
        <f>IF(AND($B829=[1]rogério!$A830,[1]rogério!$B830=H$4),"ok","nok")</f>
        <v>nok</v>
      </c>
      <c r="I829" s="60" t="str">
        <f>IF(AND($B829=[1]rogério!$A830,[1]rogério!$B830=I$4),"ok","nok")</f>
        <v>nok</v>
      </c>
      <c r="J829" s="60" t="str">
        <f>IF(AND($B829=[1]rogério!$A830,[1]rogério!$B830=J$4),"ok","nok")</f>
        <v>ok</v>
      </c>
      <c r="K829" s="60" t="str">
        <f>IF(AND($B829=[1]rogério!$A830,[1]rogério!$B830=K$4),"ok","nok")</f>
        <v>nok</v>
      </c>
      <c r="L829" s="60" t="str">
        <f>IF(AND($B829=[1]rogério!$A830,[1]rogério!$B830=L$4),"ok","nok")</f>
        <v>nok</v>
      </c>
      <c r="M829" s="60" t="str">
        <f>IF(AND($B829=[1]rogério!$A830,[1]rogério!$B830=M$4),"ok","nok")</f>
        <v>nok</v>
      </c>
      <c r="N829" s="60" t="str">
        <f>IF(AND($B829=[1]rogério!$A830,[1]rogério!$B830=N$4),"ok","nok")</f>
        <v>nok</v>
      </c>
      <c r="O829" s="60" t="str">
        <f>IF(AND($B829=[1]rogério!$A830,[1]rogério!$B830=O$4),"ok","nok")</f>
        <v>nok</v>
      </c>
      <c r="P829" s="60" t="str">
        <f>IF(AND($B829=[1]rogério!$A830,[1]rogério!$B830=P$4),"ok","nok")</f>
        <v>nok</v>
      </c>
      <c r="Q829" s="60" t="str">
        <f>IF(AND($B829=[1]rogério!$A830,[1]rogério!$B830=Q$4),"ok","nok")</f>
        <v>nok</v>
      </c>
      <c r="R829" s="60" t="str">
        <f>IF(AND($B829=[1]rogério!$A830,[1]rogério!$B830=R$4),"ok","nok")</f>
        <v>nok</v>
      </c>
      <c r="S829" s="60" t="str">
        <f>IF(AND($B829=[1]rogério!$A830,[1]rogério!$B830=S$4),"ok","nok")</f>
        <v>nok</v>
      </c>
      <c r="T829" s="60" t="str">
        <f>IF(AND($B829=[1]rogério!$A830,[1]rogério!$B830=T$4),"ok","nok")</f>
        <v>nok</v>
      </c>
      <c r="U829" s="60" t="str">
        <f>IF(AND($B829=[1]rogério!$A830,[1]rogério!$B830=U$4),"ok","nok")</f>
        <v>nok</v>
      </c>
      <c r="V829" s="60" t="str">
        <f>IF(AND($B829=[1]rogério!$A830,[1]rogério!$B830=V$4),"ok","nok")</f>
        <v>nok</v>
      </c>
      <c r="W829" s="60" t="str">
        <f>IF(AND($B829=[1]rogério!$A830,[1]rogério!$B830=W$4),"ok","nok")</f>
        <v>nok</v>
      </c>
      <c r="X829" s="60" t="str">
        <f>IF(AND($B829=[1]rogério!$A830,[1]rogério!$B830=X$4),"ok","nok")</f>
        <v>nok</v>
      </c>
      <c r="Y829" s="105" t="s">
        <v>15</v>
      </c>
      <c r="Z829" s="106"/>
      <c r="AA829" s="106"/>
      <c r="AB829" s="107"/>
      <c r="AE829" s="48" t="str">
        <f t="shared" si="189"/>
        <v/>
      </c>
      <c r="AF829" s="48"/>
      <c r="AG829" s="48"/>
      <c r="AH829" s="89"/>
      <c r="AI829" s="49">
        <f t="shared" si="190"/>
        <v>0</v>
      </c>
      <c r="AJ829" s="49" t="str">
        <f t="shared" si="191"/>
        <v/>
      </c>
      <c r="AK829" s="49">
        <f t="shared" si="192"/>
        <v>1</v>
      </c>
      <c r="AL829" s="49" t="str">
        <f t="shared" si="193"/>
        <v/>
      </c>
      <c r="AM829" s="49">
        <f t="shared" si="194"/>
        <v>0</v>
      </c>
      <c r="AN829" s="49" t="str">
        <f t="shared" si="195"/>
        <v/>
      </c>
      <c r="AO829" s="49">
        <f t="shared" si="196"/>
        <v>0</v>
      </c>
      <c r="AP829" s="49" t="str">
        <f t="shared" si="197"/>
        <v/>
      </c>
      <c r="AQ829" s="49">
        <f t="shared" si="198"/>
        <v>0</v>
      </c>
      <c r="AR829" s="49" t="str">
        <f t="shared" si="199"/>
        <v/>
      </c>
    </row>
    <row r="830" spans="1:44" ht="30" customHeight="1" x14ac:dyDescent="0.35">
      <c r="A830" s="25"/>
      <c r="B830" s="39" t="s">
        <v>62</v>
      </c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108"/>
      <c r="Z830" s="109"/>
      <c r="AA830" s="109"/>
      <c r="AB830" s="110"/>
      <c r="AE830" s="48" t="str">
        <f t="shared" si="189"/>
        <v/>
      </c>
      <c r="AF830" s="48"/>
      <c r="AG830" s="48"/>
      <c r="AH830" s="89"/>
      <c r="AI830" s="49">
        <f t="shared" si="190"/>
        <v>0</v>
      </c>
      <c r="AJ830" s="49" t="str">
        <f t="shared" si="191"/>
        <v/>
      </c>
      <c r="AK830" s="49">
        <f t="shared" si="192"/>
        <v>0</v>
      </c>
      <c r="AL830" s="49" t="str">
        <f t="shared" si="193"/>
        <v/>
      </c>
      <c r="AM830" s="49">
        <f t="shared" si="194"/>
        <v>0</v>
      </c>
      <c r="AN830" s="49" t="str">
        <f t="shared" si="195"/>
        <v/>
      </c>
      <c r="AO830" s="49">
        <f t="shared" si="196"/>
        <v>0</v>
      </c>
      <c r="AP830" s="49" t="str">
        <f t="shared" si="197"/>
        <v/>
      </c>
      <c r="AQ830" s="49">
        <f t="shared" si="198"/>
        <v>0</v>
      </c>
      <c r="AR830" s="49" t="str">
        <f t="shared" si="199"/>
        <v/>
      </c>
    </row>
    <row r="831" spans="1:44" ht="30" customHeight="1" x14ac:dyDescent="0.35">
      <c r="A831" s="25" t="str">
        <f t="shared" si="202"/>
        <v>PT178 - PLATAFORMA DE ACESSO - FORQUILHA 3 - DETALHADO
TORRE B6PROJETO DETALHADO
ESTRUTURAS METÁLICAS</v>
      </c>
      <c r="B831" s="40" t="s">
        <v>49</v>
      </c>
      <c r="C831" s="60" t="str">
        <f>IF(AND($B831=[1]rogério!$A832,[1]rogério!$B832=C$4),"ok","nok")</f>
        <v>nok</v>
      </c>
      <c r="D831" s="60" t="str">
        <f>IF(AND($B831=[1]rogério!$A832,[1]rogério!$B832=D$4),"ok","nok")</f>
        <v>nok</v>
      </c>
      <c r="E831" s="60" t="str">
        <f>IF(AND($B831=[1]rogério!$A832,[1]rogério!$B832=E$4),"ok","nok")</f>
        <v>nok</v>
      </c>
      <c r="F831" s="60" t="str">
        <f>IF(AND($B831=[1]rogério!$A832,[1]rogério!$B832=F$4),"ok","nok")</f>
        <v>nok</v>
      </c>
      <c r="G831" s="60" t="str">
        <f>IF(AND($B831=[1]rogério!$A832,[1]rogério!$B832=G$4),"ok","nok")</f>
        <v>nok</v>
      </c>
      <c r="H831" s="60" t="str">
        <f>IF(AND($B831=[1]rogério!$A832,[1]rogério!$B832=H$4),"ok","nok")</f>
        <v>nok</v>
      </c>
      <c r="I831" s="60" t="str">
        <f>IF(AND($B831=[1]rogério!$A832,[1]rogério!$B832=I$4),"ok","nok")</f>
        <v>nok</v>
      </c>
      <c r="J831" s="60" t="str">
        <f>IF(AND($B831=[1]rogério!$A832,[1]rogério!$B832=J$4),"ok","nok")</f>
        <v>ok</v>
      </c>
      <c r="K831" s="60" t="str">
        <f>IF(AND($B831=[1]rogério!$A832,[1]rogério!$B832=K$4),"ok","nok")</f>
        <v>nok</v>
      </c>
      <c r="L831" s="60" t="str">
        <f>IF(AND($B831=[1]rogério!$A832,[1]rogério!$B832=L$4),"ok","nok")</f>
        <v>nok</v>
      </c>
      <c r="M831" s="60" t="str">
        <f>IF(AND($B831=[1]rogério!$A832,[1]rogério!$B832=M$4),"ok","nok")</f>
        <v>nok</v>
      </c>
      <c r="N831" s="60" t="str">
        <f>IF(AND($B831=[1]rogério!$A832,[1]rogério!$B832=N$4),"ok","nok")</f>
        <v>nok</v>
      </c>
      <c r="O831" s="60" t="str">
        <f>IF(AND($B831=[1]rogério!$A832,[1]rogério!$B832=O$4),"ok","nok")</f>
        <v>nok</v>
      </c>
      <c r="P831" s="60" t="str">
        <f>IF(AND($B831=[1]rogério!$A832,[1]rogério!$B832=P$4),"ok","nok")</f>
        <v>nok</v>
      </c>
      <c r="Q831" s="60" t="str">
        <f>IF(AND($B831=[1]rogério!$A832,[1]rogério!$B832=Q$4),"ok","nok")</f>
        <v>nok</v>
      </c>
      <c r="R831" s="60" t="str">
        <f>IF(AND($B831=[1]rogério!$A832,[1]rogério!$B832=R$4),"ok","nok")</f>
        <v>nok</v>
      </c>
      <c r="S831" s="60" t="str">
        <f>IF(AND($B831=[1]rogério!$A832,[1]rogério!$B832=S$4),"ok","nok")</f>
        <v>nok</v>
      </c>
      <c r="T831" s="60" t="str">
        <f>IF(AND($B831=[1]rogério!$A832,[1]rogério!$B832=T$4),"ok","nok")</f>
        <v>nok</v>
      </c>
      <c r="U831" s="60" t="str">
        <f>IF(AND($B831=[1]rogério!$A832,[1]rogério!$B832=U$4),"ok","nok")</f>
        <v>nok</v>
      </c>
      <c r="V831" s="60" t="str">
        <f>IF(AND($B831=[1]rogério!$A832,[1]rogério!$B832=V$4),"ok","nok")</f>
        <v>nok</v>
      </c>
      <c r="W831" s="60" t="str">
        <f>IF(AND($B831=[1]rogério!$A832,[1]rogério!$B832=W$4),"ok","nok")</f>
        <v>nok</v>
      </c>
      <c r="X831" s="60" t="str">
        <f>IF(AND($B831=[1]rogério!$A832,[1]rogério!$B832=X$4),"ok","nok")</f>
        <v>nok</v>
      </c>
      <c r="Y831" s="105" t="s">
        <v>15</v>
      </c>
      <c r="Z831" s="106"/>
      <c r="AA831" s="106"/>
      <c r="AB831" s="107"/>
      <c r="AE831" s="48" t="str">
        <f t="shared" si="189"/>
        <v/>
      </c>
      <c r="AF831" s="48"/>
      <c r="AG831" s="48"/>
      <c r="AH831" s="89"/>
      <c r="AI831" s="49">
        <f t="shared" si="190"/>
        <v>0</v>
      </c>
      <c r="AJ831" s="49" t="str">
        <f t="shared" si="191"/>
        <v/>
      </c>
      <c r="AK831" s="49">
        <f t="shared" si="192"/>
        <v>1</v>
      </c>
      <c r="AL831" s="49" t="str">
        <f t="shared" si="193"/>
        <v/>
      </c>
      <c r="AM831" s="49">
        <f t="shared" si="194"/>
        <v>0</v>
      </c>
      <c r="AN831" s="49" t="str">
        <f t="shared" si="195"/>
        <v/>
      </c>
      <c r="AO831" s="49">
        <f t="shared" si="196"/>
        <v>0</v>
      </c>
      <c r="AP831" s="49" t="str">
        <f t="shared" si="197"/>
        <v/>
      </c>
      <c r="AQ831" s="49">
        <f t="shared" si="198"/>
        <v>0</v>
      </c>
      <c r="AR831" s="49" t="str">
        <f t="shared" si="199"/>
        <v/>
      </c>
    </row>
    <row r="832" spans="1:44" ht="30" customHeight="1" x14ac:dyDescent="0.35">
      <c r="A832" s="25" t="str">
        <f t="shared" si="202"/>
        <v>PT178 - PLATAFORMA DE ACESSO - FORQUILHA 3 - DETALHADO
TORRE B6PROJETO DETALHADO
ESTRUTURAS METÁLICAS</v>
      </c>
      <c r="B832" s="40" t="s">
        <v>19</v>
      </c>
      <c r="C832" s="60" t="str">
        <f>IF(AND($B832=[1]rogério!$A833,[1]rogério!$B833=C$4),"ok","nok")</f>
        <v>nok</v>
      </c>
      <c r="D832" s="60" t="str">
        <f>IF(AND($B832=[1]rogério!$A833,[1]rogério!$B833=D$4),"ok","nok")</f>
        <v>nok</v>
      </c>
      <c r="E832" s="60" t="str">
        <f>IF(AND($B832=[1]rogério!$A833,[1]rogério!$B833=E$4),"ok","nok")</f>
        <v>nok</v>
      </c>
      <c r="F832" s="60" t="str">
        <f>IF(AND($B832=[1]rogério!$A833,[1]rogério!$B833=F$4),"ok","nok")</f>
        <v>nok</v>
      </c>
      <c r="G832" s="60" t="str">
        <f>IF(AND($B832=[1]rogério!$A833,[1]rogério!$B833=G$4),"ok","nok")</f>
        <v>nok</v>
      </c>
      <c r="H832" s="60" t="str">
        <f>IF(AND($B832=[1]rogério!$A833,[1]rogério!$B833=H$4),"ok","nok")</f>
        <v>nok</v>
      </c>
      <c r="I832" s="60" t="str">
        <f>IF(AND($B832=[1]rogério!$A833,[1]rogério!$B833=I$4),"ok","nok")</f>
        <v>nok</v>
      </c>
      <c r="J832" s="60" t="str">
        <f>IF(AND($B832=[1]rogério!$A833,[1]rogério!$B833=J$4),"ok","nok")</f>
        <v>nok</v>
      </c>
      <c r="K832" s="60" t="str">
        <f>IF(AND($B832=[1]rogério!$A833,[1]rogério!$B833=K$4),"ok","nok")</f>
        <v>nok</v>
      </c>
      <c r="L832" s="60" t="str">
        <f>IF(AND($B832=[1]rogério!$A833,[1]rogério!$B833=L$4),"ok","nok")</f>
        <v>nok</v>
      </c>
      <c r="M832" s="60" t="str">
        <f>IF(AND($B832=[1]rogério!$A833,[1]rogério!$B833=M$4),"ok","nok")</f>
        <v>nok</v>
      </c>
      <c r="N832" s="60" t="str">
        <f>IF(AND($B832=[1]rogério!$A833,[1]rogério!$B833=N$4),"ok","nok")</f>
        <v>nok</v>
      </c>
      <c r="O832" s="60" t="str">
        <f>IF(AND($B832=[1]rogério!$A833,[1]rogério!$B833=O$4),"ok","nok")</f>
        <v>ok</v>
      </c>
      <c r="P832" s="60" t="str">
        <f>IF(AND($B832=[1]rogério!$A833,[1]rogério!$B833=P$4),"ok","nok")</f>
        <v>nok</v>
      </c>
      <c r="Q832" s="60" t="str">
        <f>IF(AND($B832=[1]rogério!$A833,[1]rogério!$B833=Q$4),"ok","nok")</f>
        <v>nok</v>
      </c>
      <c r="R832" s="60" t="str">
        <f>IF(AND($B832=[1]rogério!$A833,[1]rogério!$B833=R$4),"ok","nok")</f>
        <v>nok</v>
      </c>
      <c r="S832" s="60" t="str">
        <f>IF(AND($B832=[1]rogério!$A833,[1]rogério!$B833=S$4),"ok","nok")</f>
        <v>nok</v>
      </c>
      <c r="T832" s="60" t="str">
        <f>IF(AND($B832=[1]rogério!$A833,[1]rogério!$B833=T$4),"ok","nok")</f>
        <v>nok</v>
      </c>
      <c r="U832" s="60" t="str">
        <f>IF(AND($B832=[1]rogério!$A833,[1]rogério!$B833=U$4),"ok","nok")</f>
        <v>nok</v>
      </c>
      <c r="V832" s="60" t="str">
        <f>IF(AND($B832=[1]rogério!$A833,[1]rogério!$B833=V$4),"ok","nok")</f>
        <v>nok</v>
      </c>
      <c r="W832" s="60" t="str">
        <f>IF(AND($B832=[1]rogério!$A833,[1]rogério!$B833=W$4),"ok","nok")</f>
        <v>nok</v>
      </c>
      <c r="X832" s="60" t="str">
        <f>IF(AND($B832=[1]rogério!$A833,[1]rogério!$B833=X$4),"ok","nok")</f>
        <v>nok</v>
      </c>
      <c r="Y832" s="105" t="s">
        <v>15</v>
      </c>
      <c r="Z832" s="106"/>
      <c r="AA832" s="106"/>
      <c r="AB832" s="107"/>
      <c r="AE832" s="48" t="str">
        <f t="shared" si="189"/>
        <v/>
      </c>
      <c r="AF832" s="48"/>
      <c r="AG832" s="48"/>
      <c r="AH832" s="89"/>
      <c r="AI832" s="49">
        <f t="shared" si="190"/>
        <v>0</v>
      </c>
      <c r="AJ832" s="49" t="str">
        <f t="shared" si="191"/>
        <v/>
      </c>
      <c r="AK832" s="49">
        <f t="shared" si="192"/>
        <v>0</v>
      </c>
      <c r="AL832" s="49" t="str">
        <f t="shared" si="193"/>
        <v/>
      </c>
      <c r="AM832" s="49">
        <f t="shared" si="194"/>
        <v>1</v>
      </c>
      <c r="AN832" s="49" t="str">
        <f t="shared" si="195"/>
        <v/>
      </c>
      <c r="AO832" s="49">
        <f t="shared" si="196"/>
        <v>0</v>
      </c>
      <c r="AP832" s="49" t="str">
        <f t="shared" si="197"/>
        <v/>
      </c>
      <c r="AQ832" s="49">
        <f t="shared" si="198"/>
        <v>0</v>
      </c>
      <c r="AR832" s="49" t="str">
        <f t="shared" si="199"/>
        <v/>
      </c>
    </row>
    <row r="833" spans="1:44" ht="30" customHeight="1" x14ac:dyDescent="0.35">
      <c r="A833" s="25" t="str">
        <f t="shared" si="202"/>
        <v>PT178 - PLATAFORMA DE ACESSO - FORQUILHA 3 - DETALHADO
TORRE B6PROJETO DETALHADO
ESTRUTURAS METÁLICAS</v>
      </c>
      <c r="B833" s="40" t="s">
        <v>42</v>
      </c>
      <c r="C833" s="60" t="str">
        <f>IF(AND($B833=[1]rogério!$A834,[1]rogério!$B834=C$4),"ok","nok")</f>
        <v>nok</v>
      </c>
      <c r="D833" s="60" t="str">
        <f>IF(AND($B833=[1]rogério!$A834,[1]rogério!$B834=D$4),"ok","nok")</f>
        <v>nok</v>
      </c>
      <c r="E833" s="60" t="str">
        <f>IF(AND($B833=[1]rogério!$A834,[1]rogério!$B834=E$4),"ok","nok")</f>
        <v>nok</v>
      </c>
      <c r="F833" s="60" t="str">
        <f>IF(AND($B833=[1]rogério!$A834,[1]rogério!$B834=F$4),"ok","nok")</f>
        <v>nok</v>
      </c>
      <c r="G833" s="60" t="str">
        <f>IF(AND($B833=[1]rogério!$A834,[1]rogério!$B834=G$4),"ok","nok")</f>
        <v>nok</v>
      </c>
      <c r="H833" s="60" t="str">
        <f>IF(AND($B833=[1]rogério!$A834,[1]rogério!$B834=H$4),"ok","nok")</f>
        <v>nok</v>
      </c>
      <c r="I833" s="60" t="str">
        <f>IF(AND($B833=[1]rogério!$A834,[1]rogério!$B834=I$4),"ok","nok")</f>
        <v>nok</v>
      </c>
      <c r="J833" s="60" t="str">
        <f>IF(AND($B833=[1]rogério!$A834,[1]rogério!$B834=J$4),"ok","nok")</f>
        <v>nok</v>
      </c>
      <c r="K833" s="60" t="str">
        <f>IF(AND($B833=[1]rogério!$A834,[1]rogério!$B834=K$4),"ok","nok")</f>
        <v>nok</v>
      </c>
      <c r="L833" s="60" t="str">
        <f>IF(AND($B833=[1]rogério!$A834,[1]rogério!$B834=L$4),"ok","nok")</f>
        <v>nok</v>
      </c>
      <c r="M833" s="60" t="str">
        <f>IF(AND($B833=[1]rogério!$A834,[1]rogério!$B834=M$4),"ok","nok")</f>
        <v>nok</v>
      </c>
      <c r="N833" s="60" t="str">
        <f>IF(AND($B833=[1]rogério!$A834,[1]rogério!$B834=N$4),"ok","nok")</f>
        <v>nok</v>
      </c>
      <c r="O833" s="60" t="str">
        <f>IF(AND($B833=[1]rogério!$A834,[1]rogério!$B834=O$4),"ok","nok")</f>
        <v>nok</v>
      </c>
      <c r="P833" s="60" t="str">
        <f>IF(AND($B833=[1]rogério!$A834,[1]rogério!$B834=P$4),"ok","nok")</f>
        <v>nok</v>
      </c>
      <c r="Q833" s="60" t="str">
        <f>IF(AND($B833=[1]rogério!$A834,[1]rogério!$B834=Q$4),"ok","nok")</f>
        <v>nok</v>
      </c>
      <c r="R833" s="60" t="str">
        <f>IF(AND($B833=[1]rogério!$A834,[1]rogério!$B834=R$4),"ok","nok")</f>
        <v>ok</v>
      </c>
      <c r="S833" s="60" t="str">
        <f>IF(AND($B833=[1]rogério!$A834,[1]rogério!$B834=S$4),"ok","nok")</f>
        <v>nok</v>
      </c>
      <c r="T833" s="60" t="str">
        <f>IF(AND($B833=[1]rogério!$A834,[1]rogério!$B834=T$4),"ok","nok")</f>
        <v>nok</v>
      </c>
      <c r="U833" s="60" t="str">
        <f>IF(AND($B833=[1]rogério!$A834,[1]rogério!$B834=U$4),"ok","nok")</f>
        <v>nok</v>
      </c>
      <c r="V833" s="60" t="str">
        <f>IF(AND($B833=[1]rogério!$A834,[1]rogério!$B834=V$4),"ok","nok")</f>
        <v>nok</v>
      </c>
      <c r="W833" s="60" t="str">
        <f>IF(AND($B833=[1]rogério!$A834,[1]rogério!$B834=W$4),"ok","nok")</f>
        <v>nok</v>
      </c>
      <c r="X833" s="60" t="str">
        <f>IF(AND($B833=[1]rogério!$A834,[1]rogério!$B834=X$4),"ok","nok")</f>
        <v>nok</v>
      </c>
      <c r="Y833" s="105" t="s">
        <v>15</v>
      </c>
      <c r="Z833" s="106"/>
      <c r="AA833" s="106"/>
      <c r="AB833" s="107"/>
      <c r="AE833" s="48" t="str">
        <f t="shared" si="189"/>
        <v/>
      </c>
      <c r="AF833" s="48"/>
      <c r="AG833" s="48"/>
      <c r="AH833" s="89"/>
      <c r="AI833" s="49">
        <f t="shared" si="190"/>
        <v>0</v>
      </c>
      <c r="AJ833" s="49" t="str">
        <f t="shared" si="191"/>
        <v/>
      </c>
      <c r="AK833" s="49">
        <f t="shared" si="192"/>
        <v>0</v>
      </c>
      <c r="AL833" s="49" t="str">
        <f t="shared" si="193"/>
        <v/>
      </c>
      <c r="AM833" s="49">
        <f t="shared" si="194"/>
        <v>0</v>
      </c>
      <c r="AN833" s="49" t="str">
        <f t="shared" si="195"/>
        <v/>
      </c>
      <c r="AO833" s="49">
        <f t="shared" si="196"/>
        <v>1</v>
      </c>
      <c r="AP833" s="49" t="str">
        <f t="shared" si="197"/>
        <v/>
      </c>
      <c r="AQ833" s="49">
        <f t="shared" si="198"/>
        <v>0</v>
      </c>
      <c r="AR833" s="49" t="str">
        <f t="shared" si="199"/>
        <v/>
      </c>
    </row>
    <row r="834" spans="1:44" ht="30" customHeight="1" x14ac:dyDescent="0.35">
      <c r="A834" s="25" t="str">
        <f t="shared" si="202"/>
        <v>PT178 - PLATAFORMA DE ACESSO - FORQUILHA 3 - DETALHADO
TORRE B6PROJETO DETALHADO
ESTRUTURAS METÁLICAS</v>
      </c>
      <c r="B834" s="40" t="s">
        <v>43</v>
      </c>
      <c r="C834" s="60" t="str">
        <f>IF(AND($B834=[1]rogério!$A835,[1]rogério!$B835=C$4),"ok","nok")</f>
        <v>nok</v>
      </c>
      <c r="D834" s="60" t="str">
        <f>IF(AND($B834=[1]rogério!$A835,[1]rogério!$B835=D$4),"ok","nok")</f>
        <v>nok</v>
      </c>
      <c r="E834" s="60" t="str">
        <f>IF(AND($B834=[1]rogério!$A835,[1]rogério!$B835=E$4),"ok","nok")</f>
        <v>nok</v>
      </c>
      <c r="F834" s="60" t="str">
        <f>IF(AND($B834=[1]rogério!$A835,[1]rogério!$B835=F$4),"ok","nok")</f>
        <v>nok</v>
      </c>
      <c r="G834" s="60" t="str">
        <f>IF(AND($B834=[1]rogério!$A835,[1]rogério!$B835=G$4),"ok","nok")</f>
        <v>nok</v>
      </c>
      <c r="H834" s="60" t="str">
        <f>IF(AND($B834=[1]rogério!$A835,[1]rogério!$B835=H$4),"ok","nok")</f>
        <v>nok</v>
      </c>
      <c r="I834" s="60" t="str">
        <f>IF(AND($B834=[1]rogério!$A835,[1]rogério!$B835=I$4),"ok","nok")</f>
        <v>nok</v>
      </c>
      <c r="J834" s="60" t="str">
        <f>IF(AND($B834=[1]rogério!$A835,[1]rogério!$B835=J$4),"ok","nok")</f>
        <v>nok</v>
      </c>
      <c r="K834" s="60" t="str">
        <f>IF(AND($B834=[1]rogério!$A835,[1]rogério!$B835=K$4),"ok","nok")</f>
        <v>nok</v>
      </c>
      <c r="L834" s="60" t="str">
        <f>IF(AND($B834=[1]rogério!$A835,[1]rogério!$B835=L$4),"ok","nok")</f>
        <v>nok</v>
      </c>
      <c r="M834" s="60" t="str">
        <f>IF(AND($B834=[1]rogério!$A835,[1]rogério!$B835=M$4),"ok","nok")</f>
        <v>nok</v>
      </c>
      <c r="N834" s="60" t="str">
        <f>IF(AND($B834=[1]rogério!$A835,[1]rogério!$B835=N$4),"ok","nok")</f>
        <v>nok</v>
      </c>
      <c r="O834" s="60" t="str">
        <f>IF(AND($B834=[1]rogério!$A835,[1]rogério!$B835=O$4),"ok","nok")</f>
        <v>nok</v>
      </c>
      <c r="P834" s="60" t="str">
        <f>IF(AND($B834=[1]rogério!$A835,[1]rogério!$B835=P$4),"ok","nok")</f>
        <v>nok</v>
      </c>
      <c r="Q834" s="60" t="str">
        <f>IF(AND($B834=[1]rogério!$A835,[1]rogério!$B835=Q$4),"ok","nok")</f>
        <v>nok</v>
      </c>
      <c r="R834" s="60" t="str">
        <f>IF(AND($B834=[1]rogério!$A835,[1]rogério!$B835=R$4),"ok","nok")</f>
        <v>ok</v>
      </c>
      <c r="S834" s="60" t="str">
        <f>IF(AND($B834=[1]rogério!$A835,[1]rogério!$B835=S$4),"ok","nok")</f>
        <v>nok</v>
      </c>
      <c r="T834" s="60" t="str">
        <f>IF(AND($B834=[1]rogério!$A835,[1]rogério!$B835=T$4),"ok","nok")</f>
        <v>nok</v>
      </c>
      <c r="U834" s="60" t="str">
        <f>IF(AND($B834=[1]rogério!$A835,[1]rogério!$B835=U$4),"ok","nok")</f>
        <v>nok</v>
      </c>
      <c r="V834" s="60" t="str">
        <f>IF(AND($B834=[1]rogério!$A835,[1]rogério!$B835=V$4),"ok","nok")</f>
        <v>nok</v>
      </c>
      <c r="W834" s="60" t="str">
        <f>IF(AND($B834=[1]rogério!$A835,[1]rogério!$B835=W$4),"ok","nok")</f>
        <v>nok</v>
      </c>
      <c r="X834" s="60" t="str">
        <f>IF(AND($B834=[1]rogério!$A835,[1]rogério!$B835=X$4),"ok","nok")</f>
        <v>nok</v>
      </c>
      <c r="Y834" s="105" t="s">
        <v>15</v>
      </c>
      <c r="Z834" s="106"/>
      <c r="AA834" s="106"/>
      <c r="AB834" s="107"/>
      <c r="AE834" s="48" t="str">
        <f t="shared" si="189"/>
        <v/>
      </c>
      <c r="AF834" s="48"/>
      <c r="AG834" s="48"/>
      <c r="AH834" s="89"/>
      <c r="AI834" s="49">
        <f t="shared" si="190"/>
        <v>0</v>
      </c>
      <c r="AJ834" s="49" t="str">
        <f t="shared" si="191"/>
        <v/>
      </c>
      <c r="AK834" s="49">
        <f t="shared" si="192"/>
        <v>0</v>
      </c>
      <c r="AL834" s="49" t="str">
        <f t="shared" si="193"/>
        <v/>
      </c>
      <c r="AM834" s="49">
        <f t="shared" si="194"/>
        <v>0</v>
      </c>
      <c r="AN834" s="49" t="str">
        <f t="shared" si="195"/>
        <v/>
      </c>
      <c r="AO834" s="49">
        <f t="shared" si="196"/>
        <v>1</v>
      </c>
      <c r="AP834" s="49" t="str">
        <f t="shared" si="197"/>
        <v/>
      </c>
      <c r="AQ834" s="49">
        <f t="shared" si="198"/>
        <v>0</v>
      </c>
      <c r="AR834" s="49" t="str">
        <f t="shared" si="199"/>
        <v/>
      </c>
    </row>
    <row r="835" spans="1:44" ht="30" customHeight="1" x14ac:dyDescent="0.35">
      <c r="A835" s="25" t="str">
        <f t="shared" si="202"/>
        <v>PT178 - PLATAFORMA DE ACESSO - FORQUILHA 3 - DETALHADO
TORRE B6PROJETO DETALHADO
ESTRUTURAS METÁLICAS</v>
      </c>
      <c r="B835" s="38" t="s">
        <v>79</v>
      </c>
      <c r="C835" s="60" t="str">
        <f>IF(AND($B835=[1]rogério!$A836,[1]rogério!$B836=C$4),"ok","nok")</f>
        <v>nok</v>
      </c>
      <c r="D835" s="60" t="str">
        <f>IF(AND($B835=[1]rogério!$A836,[1]rogério!$B836=D$4),"ok","nok")</f>
        <v>nok</v>
      </c>
      <c r="E835" s="60" t="str">
        <f>IF(AND($B835=[1]rogério!$A836,[1]rogério!$B836=E$4),"ok","nok")</f>
        <v>nok</v>
      </c>
      <c r="F835" s="60" t="str">
        <f>IF(AND($B835=[1]rogério!$A836,[1]rogério!$B836=F$4),"ok","nok")</f>
        <v>nok</v>
      </c>
      <c r="G835" s="60" t="str">
        <f>IF(AND($B835=[1]rogério!$A836,[1]rogério!$B836=G$4),"ok","nok")</f>
        <v>nok</v>
      </c>
      <c r="H835" s="60" t="str">
        <f>IF(AND($B835=[1]rogério!$A836,[1]rogério!$B836=H$4),"ok","nok")</f>
        <v>nok</v>
      </c>
      <c r="I835" s="60" t="str">
        <f>IF(AND($B835=[1]rogério!$A836,[1]rogério!$B836=I$4),"ok","nok")</f>
        <v>nok</v>
      </c>
      <c r="J835" s="60" t="str">
        <f>IF(AND($B835=[1]rogério!$A836,[1]rogério!$B836=J$4),"ok","nok")</f>
        <v>nok</v>
      </c>
      <c r="K835" s="60" t="str">
        <f>IF(AND($B835=[1]rogério!$A836,[1]rogério!$B836=K$4),"ok","nok")</f>
        <v>nok</v>
      </c>
      <c r="L835" s="60" t="str">
        <f>IF(AND($B835=[1]rogério!$A836,[1]rogério!$B836=L$4),"ok","nok")</f>
        <v>nok</v>
      </c>
      <c r="M835" s="60" t="str">
        <f>IF(AND($B835=[1]rogério!$A836,[1]rogério!$B836=M$4),"ok","nok")</f>
        <v>ok</v>
      </c>
      <c r="N835" s="60" t="str">
        <f>IF(AND($B835=[1]rogério!$A836,[1]rogério!$B836=N$4),"ok","nok")</f>
        <v>nok</v>
      </c>
      <c r="O835" s="60" t="str">
        <f>IF(AND($B835=[1]rogério!$A836,[1]rogério!$B836=O$4),"ok","nok")</f>
        <v>nok</v>
      </c>
      <c r="P835" s="60" t="str">
        <f>IF(AND($B835=[1]rogério!$A836,[1]rogério!$B836=P$4),"ok","nok")</f>
        <v>nok</v>
      </c>
      <c r="Q835" s="60" t="str">
        <f>IF(AND($B835=[1]rogério!$A836,[1]rogério!$B836=Q$4),"ok","nok")</f>
        <v>nok</v>
      </c>
      <c r="R835" s="60" t="str">
        <f>IF(AND($B835=[1]rogério!$A836,[1]rogério!$B836=R$4),"ok","nok")</f>
        <v>nok</v>
      </c>
      <c r="S835" s="60" t="str">
        <f>IF(AND($B835=[1]rogério!$A836,[1]rogério!$B836=S$4),"ok","nok")</f>
        <v>nok</v>
      </c>
      <c r="T835" s="60" t="str">
        <f>IF(AND($B835=[1]rogério!$A836,[1]rogério!$B836=T$4),"ok","nok")</f>
        <v>nok</v>
      </c>
      <c r="U835" s="60" t="str">
        <f>IF(AND($B835=[1]rogério!$A836,[1]rogério!$B836=U$4),"ok","nok")</f>
        <v>nok</v>
      </c>
      <c r="V835" s="60" t="str">
        <f>IF(AND($B835=[1]rogério!$A836,[1]rogério!$B836=V$4),"ok","nok")</f>
        <v>nok</v>
      </c>
      <c r="W835" s="60" t="str">
        <f>IF(AND($B835=[1]rogério!$A836,[1]rogério!$B836=W$4),"ok","nok")</f>
        <v>nok</v>
      </c>
      <c r="X835" s="60" t="str">
        <f>IF(AND($B835=[1]rogério!$A836,[1]rogério!$B836=X$4),"ok","nok")</f>
        <v>nok</v>
      </c>
      <c r="Y835" s="105" t="s">
        <v>15</v>
      </c>
      <c r="Z835" s="106"/>
      <c r="AA835" s="106"/>
      <c r="AB835" s="107"/>
      <c r="AE835" s="48" t="str">
        <f t="shared" ref="AE835:AE898" si="203">IF(Y835="ATRASADO",B835,"")</f>
        <v/>
      </c>
      <c r="AF835" s="48"/>
      <c r="AG835" s="48"/>
      <c r="AH835" s="89"/>
      <c r="AI835" s="49">
        <f t="shared" ref="AI835:AI898" si="204">COUNTIF(C835:G835,"ok")</f>
        <v>0</v>
      </c>
      <c r="AJ835" s="49" t="str">
        <f t="shared" ref="AJ835:AJ898" si="205">IF(AND(AI835=1,OR($Y835="entregue",$Y835="efprazo")),$Y835,"")</f>
        <v/>
      </c>
      <c r="AK835" s="49">
        <f t="shared" ref="AK835:AK898" si="206">COUNTIF(H835:L835,"ok")</f>
        <v>0</v>
      </c>
      <c r="AL835" s="49" t="str">
        <f t="shared" ref="AL835:AL898" si="207">IF(AND(AK835=1,OR($Y835="entregue",$Y835="efprazo")),$Y835,"")</f>
        <v/>
      </c>
      <c r="AM835" s="49">
        <f t="shared" ref="AM835:AM898" si="208">COUNTIF(M835:Q835,"ok")</f>
        <v>1</v>
      </c>
      <c r="AN835" s="49" t="str">
        <f t="shared" ref="AN835:AN898" si="209">IF(AND(AM835=1,OR($Y835="entregue",$Y835="efprazo")),$Y835,"")</f>
        <v/>
      </c>
      <c r="AO835" s="49">
        <f t="shared" ref="AO835:AO898" si="210">COUNTIF(R835:V835,"ok")</f>
        <v>0</v>
      </c>
      <c r="AP835" s="49" t="str">
        <f t="shared" ref="AP835:AP898" si="211">IF(AND(AO835=1,OR($Y835="entregue",$Y835="efprazo")),$Y835,"")</f>
        <v/>
      </c>
      <c r="AQ835" s="49">
        <f t="shared" ref="AQ835:AQ898" si="212">COUNTIF(W835:X835,"ok")</f>
        <v>0</v>
      </c>
      <c r="AR835" s="49" t="str">
        <f t="shared" ref="AR835:AR898" si="213">IF(AND(AQ835=1,OR($Y835="entregue",$Y835="efprazo")),$Y835,"")</f>
        <v/>
      </c>
    </row>
    <row r="836" spans="1:44" ht="30" customHeight="1" x14ac:dyDescent="0.35">
      <c r="A836" s="25" t="str">
        <f t="shared" si="202"/>
        <v>PT178 - PLATAFORMA DE ACESSO - FORQUILHA 3 - DETALHADO
TORRE B6PROJETO DETALHADO
ESTRUTURAS METÁLICAS</v>
      </c>
      <c r="B836" s="38" t="s">
        <v>80</v>
      </c>
      <c r="C836" s="60" t="str">
        <f>IF(AND($B836=[1]rogério!$A837,[1]rogério!$B837=C$4),"ok","nok")</f>
        <v>nok</v>
      </c>
      <c r="D836" s="60" t="str">
        <f>IF(AND($B836=[1]rogério!$A837,[1]rogério!$B837=D$4),"ok","nok")</f>
        <v>nok</v>
      </c>
      <c r="E836" s="60" t="str">
        <f>IF(AND($B836=[1]rogério!$A837,[1]rogério!$B837=E$4),"ok","nok")</f>
        <v>nok</v>
      </c>
      <c r="F836" s="60" t="str">
        <f>IF(AND($B836=[1]rogério!$A837,[1]rogério!$B837=F$4),"ok","nok")</f>
        <v>nok</v>
      </c>
      <c r="G836" s="60" t="str">
        <f>IF(AND($B836=[1]rogério!$A837,[1]rogério!$B837=G$4),"ok","nok")</f>
        <v>nok</v>
      </c>
      <c r="H836" s="60" t="str">
        <f>IF(AND($B836=[1]rogério!$A837,[1]rogério!$B837=H$4),"ok","nok")</f>
        <v>nok</v>
      </c>
      <c r="I836" s="60" t="str">
        <f>IF(AND($B836=[1]rogério!$A837,[1]rogério!$B837=I$4),"ok","nok")</f>
        <v>nok</v>
      </c>
      <c r="J836" s="60" t="str">
        <f>IF(AND($B836=[1]rogério!$A837,[1]rogério!$B837=J$4),"ok","nok")</f>
        <v>nok</v>
      </c>
      <c r="K836" s="60" t="str">
        <f>IF(AND($B836=[1]rogério!$A837,[1]rogério!$B837=K$4),"ok","nok")</f>
        <v>nok</v>
      </c>
      <c r="L836" s="60" t="str">
        <f>IF(AND($B836=[1]rogério!$A837,[1]rogério!$B837=L$4),"ok","nok")</f>
        <v>nok</v>
      </c>
      <c r="M836" s="60" t="str">
        <f>IF(AND($B836=[1]rogério!$A837,[1]rogério!$B837=M$4),"ok","nok")</f>
        <v>nok</v>
      </c>
      <c r="N836" s="60" t="str">
        <f>IF(AND($B836=[1]rogério!$A837,[1]rogério!$B837=N$4),"ok","nok")</f>
        <v>nok</v>
      </c>
      <c r="O836" s="60" t="str">
        <f>IF(AND($B836=[1]rogério!$A837,[1]rogério!$B837=O$4),"ok","nok")</f>
        <v>ok</v>
      </c>
      <c r="P836" s="60" t="str">
        <f>IF(AND($B836=[1]rogério!$A837,[1]rogério!$B837=P$4),"ok","nok")</f>
        <v>nok</v>
      </c>
      <c r="Q836" s="60" t="str">
        <f>IF(AND($B836=[1]rogério!$A837,[1]rogério!$B837=Q$4),"ok","nok")</f>
        <v>nok</v>
      </c>
      <c r="R836" s="60" t="str">
        <f>IF(AND($B836=[1]rogério!$A837,[1]rogério!$B837=R$4),"ok","nok")</f>
        <v>nok</v>
      </c>
      <c r="S836" s="60" t="str">
        <f>IF(AND($B836=[1]rogério!$A837,[1]rogério!$B837=S$4),"ok","nok")</f>
        <v>nok</v>
      </c>
      <c r="T836" s="60" t="str">
        <f>IF(AND($B836=[1]rogério!$A837,[1]rogério!$B837=T$4),"ok","nok")</f>
        <v>nok</v>
      </c>
      <c r="U836" s="60" t="str">
        <f>IF(AND($B836=[1]rogério!$A837,[1]rogério!$B837=U$4),"ok","nok")</f>
        <v>nok</v>
      </c>
      <c r="V836" s="60" t="str">
        <f>IF(AND($B836=[1]rogério!$A837,[1]rogério!$B837=V$4),"ok","nok")</f>
        <v>nok</v>
      </c>
      <c r="W836" s="60" t="str">
        <f>IF(AND($B836=[1]rogério!$A837,[1]rogério!$B837=W$4),"ok","nok")</f>
        <v>nok</v>
      </c>
      <c r="X836" s="60" t="str">
        <f>IF(AND($B836=[1]rogério!$A837,[1]rogério!$B837=X$4),"ok","nok")</f>
        <v>nok</v>
      </c>
      <c r="Y836" s="105" t="s">
        <v>15</v>
      </c>
      <c r="Z836" s="106"/>
      <c r="AA836" s="106"/>
      <c r="AB836" s="107"/>
      <c r="AE836" s="48" t="str">
        <f t="shared" si="203"/>
        <v/>
      </c>
      <c r="AF836" s="48"/>
      <c r="AG836" s="48"/>
      <c r="AH836" s="89"/>
      <c r="AI836" s="49">
        <f t="shared" si="204"/>
        <v>0</v>
      </c>
      <c r="AJ836" s="49" t="str">
        <f t="shared" si="205"/>
        <v/>
      </c>
      <c r="AK836" s="49">
        <f t="shared" si="206"/>
        <v>0</v>
      </c>
      <c r="AL836" s="49" t="str">
        <f t="shared" si="207"/>
        <v/>
      </c>
      <c r="AM836" s="49">
        <f t="shared" si="208"/>
        <v>1</v>
      </c>
      <c r="AN836" s="49" t="str">
        <f t="shared" si="209"/>
        <v/>
      </c>
      <c r="AO836" s="49">
        <f t="shared" si="210"/>
        <v>0</v>
      </c>
      <c r="AP836" s="49" t="str">
        <f t="shared" si="211"/>
        <v/>
      </c>
      <c r="AQ836" s="49">
        <f t="shared" si="212"/>
        <v>0</v>
      </c>
      <c r="AR836" s="49" t="str">
        <f t="shared" si="213"/>
        <v/>
      </c>
    </row>
    <row r="837" spans="1:44" ht="30" customHeight="1" x14ac:dyDescent="0.35">
      <c r="A837" s="25"/>
      <c r="B837" s="39" t="s">
        <v>81</v>
      </c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108"/>
      <c r="Z837" s="109"/>
      <c r="AA837" s="109"/>
      <c r="AB837" s="110"/>
      <c r="AE837" s="48" t="str">
        <f t="shared" si="203"/>
        <v/>
      </c>
      <c r="AF837" s="48"/>
      <c r="AG837" s="48"/>
      <c r="AH837" s="89"/>
      <c r="AI837" s="49">
        <f t="shared" si="204"/>
        <v>0</v>
      </c>
      <c r="AJ837" s="49" t="str">
        <f t="shared" si="205"/>
        <v/>
      </c>
      <c r="AK837" s="49">
        <f t="shared" si="206"/>
        <v>0</v>
      </c>
      <c r="AL837" s="49" t="str">
        <f t="shared" si="207"/>
        <v/>
      </c>
      <c r="AM837" s="49">
        <f t="shared" si="208"/>
        <v>0</v>
      </c>
      <c r="AN837" s="49" t="str">
        <f t="shared" si="209"/>
        <v/>
      </c>
      <c r="AO837" s="49">
        <f t="shared" si="210"/>
        <v>0</v>
      </c>
      <c r="AP837" s="49" t="str">
        <f t="shared" si="211"/>
        <v/>
      </c>
      <c r="AQ837" s="49">
        <f t="shared" si="212"/>
        <v>0</v>
      </c>
      <c r="AR837" s="49" t="str">
        <f t="shared" si="213"/>
        <v/>
      </c>
    </row>
    <row r="838" spans="1:44" ht="30" customHeight="1" x14ac:dyDescent="0.35">
      <c r="A838" s="25" t="str">
        <f t="shared" si="202"/>
        <v>PT178 - PLATAFORMA DE ACESSO - FORQUILHA 3 - DETALHADO
TORRE B6PROJETO DETALHADO
ESTRUTURAS METÁLICAS</v>
      </c>
      <c r="B838" s="40" t="s">
        <v>49</v>
      </c>
      <c r="C838" s="60" t="str">
        <f>IF(AND($B838=[1]rogério!$A839,[1]rogério!$B839=C$4),"ok","nok")</f>
        <v>nok</v>
      </c>
      <c r="D838" s="60" t="str">
        <f>IF(AND($B838=[1]rogério!$A839,[1]rogério!$B839=D$4),"ok","nok")</f>
        <v>nok</v>
      </c>
      <c r="E838" s="60" t="str">
        <f>IF(AND($B838=[1]rogério!$A839,[1]rogério!$B839=E$4),"ok","nok")</f>
        <v>nok</v>
      </c>
      <c r="F838" s="60" t="str">
        <f>IF(AND($B838=[1]rogério!$A839,[1]rogério!$B839=F$4),"ok","nok")</f>
        <v>nok</v>
      </c>
      <c r="G838" s="60" t="str">
        <f>IF(AND($B838=[1]rogério!$A839,[1]rogério!$B839=G$4),"ok","nok")</f>
        <v>nok</v>
      </c>
      <c r="H838" s="60" t="str">
        <f>IF(AND($B838=[1]rogério!$A839,[1]rogério!$B839=H$4),"ok","nok")</f>
        <v>nok</v>
      </c>
      <c r="I838" s="60" t="str">
        <f>IF(AND($B838=[1]rogério!$A839,[1]rogério!$B839=I$4),"ok","nok")</f>
        <v>nok</v>
      </c>
      <c r="J838" s="60" t="str">
        <f>IF(AND($B838=[1]rogério!$A839,[1]rogério!$B839=J$4),"ok","nok")</f>
        <v>nok</v>
      </c>
      <c r="K838" s="60" t="str">
        <f>IF(AND($B838=[1]rogério!$A839,[1]rogério!$B839=K$4),"ok","nok")</f>
        <v>nok</v>
      </c>
      <c r="L838" s="60" t="str">
        <f>IF(AND($B838=[1]rogério!$A839,[1]rogério!$B839=L$4),"ok","nok")</f>
        <v>nok</v>
      </c>
      <c r="M838" s="60" t="str">
        <f>IF(AND($B838=[1]rogério!$A839,[1]rogério!$B839=M$4),"ok","nok")</f>
        <v>nok</v>
      </c>
      <c r="N838" s="60" t="str">
        <f>IF(AND($B838=[1]rogério!$A839,[1]rogério!$B839=N$4),"ok","nok")</f>
        <v>nok</v>
      </c>
      <c r="O838" s="60" t="str">
        <f>IF(AND($B838=[1]rogério!$A839,[1]rogério!$B839=O$4),"ok","nok")</f>
        <v>ok</v>
      </c>
      <c r="P838" s="60" t="str">
        <f>IF(AND($B838=[1]rogério!$A839,[1]rogério!$B839=P$4),"ok","nok")</f>
        <v>nok</v>
      </c>
      <c r="Q838" s="60" t="str">
        <f>IF(AND($B838=[1]rogério!$A839,[1]rogério!$B839=Q$4),"ok","nok")</f>
        <v>nok</v>
      </c>
      <c r="R838" s="60" t="str">
        <f>IF(AND($B838=[1]rogério!$A839,[1]rogério!$B839=R$4),"ok","nok")</f>
        <v>nok</v>
      </c>
      <c r="S838" s="60" t="str">
        <f>IF(AND($B838=[1]rogério!$A839,[1]rogério!$B839=S$4),"ok","nok")</f>
        <v>nok</v>
      </c>
      <c r="T838" s="60" t="str">
        <f>IF(AND($B838=[1]rogério!$A839,[1]rogério!$B839=T$4),"ok","nok")</f>
        <v>nok</v>
      </c>
      <c r="U838" s="60" t="str">
        <f>IF(AND($B838=[1]rogério!$A839,[1]rogério!$B839=U$4),"ok","nok")</f>
        <v>nok</v>
      </c>
      <c r="V838" s="60" t="str">
        <f>IF(AND($B838=[1]rogério!$A839,[1]rogério!$B839=V$4),"ok","nok")</f>
        <v>nok</v>
      </c>
      <c r="W838" s="60" t="str">
        <f>IF(AND($B838=[1]rogério!$A839,[1]rogério!$B839=W$4),"ok","nok")</f>
        <v>nok</v>
      </c>
      <c r="X838" s="60" t="str">
        <f>IF(AND($B838=[1]rogério!$A839,[1]rogério!$B839=X$4),"ok","nok")</f>
        <v>nok</v>
      </c>
      <c r="Y838" s="105" t="s">
        <v>15</v>
      </c>
      <c r="Z838" s="106"/>
      <c r="AA838" s="106"/>
      <c r="AB838" s="107"/>
      <c r="AE838" s="48" t="str">
        <f t="shared" si="203"/>
        <v/>
      </c>
      <c r="AF838" s="48"/>
      <c r="AG838" s="48"/>
      <c r="AH838" s="89"/>
      <c r="AI838" s="49">
        <f t="shared" si="204"/>
        <v>0</v>
      </c>
      <c r="AJ838" s="49" t="str">
        <f t="shared" si="205"/>
        <v/>
      </c>
      <c r="AK838" s="49">
        <f t="shared" si="206"/>
        <v>0</v>
      </c>
      <c r="AL838" s="49" t="str">
        <f t="shared" si="207"/>
        <v/>
      </c>
      <c r="AM838" s="49">
        <f t="shared" si="208"/>
        <v>1</v>
      </c>
      <c r="AN838" s="49" t="str">
        <f t="shared" si="209"/>
        <v/>
      </c>
      <c r="AO838" s="49">
        <f t="shared" si="210"/>
        <v>0</v>
      </c>
      <c r="AP838" s="49" t="str">
        <f t="shared" si="211"/>
        <v/>
      </c>
      <c r="AQ838" s="49">
        <f t="shared" si="212"/>
        <v>0</v>
      </c>
      <c r="AR838" s="49" t="str">
        <f t="shared" si="213"/>
        <v/>
      </c>
    </row>
    <row r="839" spans="1:44" ht="30" customHeight="1" x14ac:dyDescent="0.35">
      <c r="A839" s="25" t="str">
        <f t="shared" si="202"/>
        <v>PT178 - PLATAFORMA DE ACESSO - FORQUILHA 3 - DETALHADO
TORRE B6PROJETO DETALHADO
ESTRUTURAS METÁLICAS</v>
      </c>
      <c r="B839" s="40" t="s">
        <v>19</v>
      </c>
      <c r="C839" s="60" t="str">
        <f>IF(AND($B839=[1]rogério!$A840,[1]rogério!$B840=C$4),"ok","nok")</f>
        <v>nok</v>
      </c>
      <c r="D839" s="60" t="str">
        <f>IF(AND($B839=[1]rogério!$A840,[1]rogério!$B840=D$4),"ok","nok")</f>
        <v>nok</v>
      </c>
      <c r="E839" s="60" t="str">
        <f>IF(AND($B839=[1]rogério!$A840,[1]rogério!$B840=E$4),"ok","nok")</f>
        <v>nok</v>
      </c>
      <c r="F839" s="60" t="str">
        <f>IF(AND($B839=[1]rogério!$A840,[1]rogério!$B840=F$4),"ok","nok")</f>
        <v>nok</v>
      </c>
      <c r="G839" s="60" t="str">
        <f>IF(AND($B839=[1]rogério!$A840,[1]rogério!$B840=G$4),"ok","nok")</f>
        <v>nok</v>
      </c>
      <c r="H839" s="60" t="str">
        <f>IF(AND($B839=[1]rogério!$A840,[1]rogério!$B840=H$4),"ok","nok")</f>
        <v>nok</v>
      </c>
      <c r="I839" s="60" t="str">
        <f>IF(AND($B839=[1]rogério!$A840,[1]rogério!$B840=I$4),"ok","nok")</f>
        <v>nok</v>
      </c>
      <c r="J839" s="60" t="str">
        <f>IF(AND($B839=[1]rogério!$A840,[1]rogério!$B840=J$4),"ok","nok")</f>
        <v>nok</v>
      </c>
      <c r="K839" s="60" t="str">
        <f>IF(AND($B839=[1]rogério!$A840,[1]rogério!$B840=K$4),"ok","nok")</f>
        <v>nok</v>
      </c>
      <c r="L839" s="60" t="str">
        <f>IF(AND($B839=[1]rogério!$A840,[1]rogério!$B840=L$4),"ok","nok")</f>
        <v>nok</v>
      </c>
      <c r="M839" s="60" t="str">
        <f>IF(AND($B839=[1]rogério!$A840,[1]rogério!$B840=M$4),"ok","nok")</f>
        <v>nok</v>
      </c>
      <c r="N839" s="60" t="str">
        <f>IF(AND($B839=[1]rogério!$A840,[1]rogério!$B840=N$4),"ok","nok")</f>
        <v>nok</v>
      </c>
      <c r="O839" s="60" t="str">
        <f>IF(AND($B839=[1]rogério!$A840,[1]rogério!$B840=O$4),"ok","nok")</f>
        <v>nok</v>
      </c>
      <c r="P839" s="60" t="str">
        <f>IF(AND($B839=[1]rogério!$A840,[1]rogério!$B840=P$4),"ok","nok")</f>
        <v>nok</v>
      </c>
      <c r="Q839" s="60" t="str">
        <f>IF(AND($B839=[1]rogério!$A840,[1]rogério!$B840=Q$4),"ok","nok")</f>
        <v>nok</v>
      </c>
      <c r="R839" s="60" t="str">
        <f>IF(AND($B839=[1]rogério!$A840,[1]rogério!$B840=R$4),"ok","nok")</f>
        <v>nok</v>
      </c>
      <c r="S839" s="60" t="str">
        <f>IF(AND($B839=[1]rogério!$A840,[1]rogério!$B840=S$4),"ok","nok")</f>
        <v>nok</v>
      </c>
      <c r="T839" s="60" t="str">
        <f>IF(AND($B839=[1]rogério!$A840,[1]rogério!$B840=T$4),"ok","nok")</f>
        <v>ok</v>
      </c>
      <c r="U839" s="60" t="str">
        <f>IF(AND($B839=[1]rogério!$A840,[1]rogério!$B840=U$4),"ok","nok")</f>
        <v>nok</v>
      </c>
      <c r="V839" s="60" t="str">
        <f>IF(AND($B839=[1]rogério!$A840,[1]rogério!$B840=V$4),"ok","nok")</f>
        <v>nok</v>
      </c>
      <c r="W839" s="60" t="str">
        <f>IF(AND($B839=[1]rogério!$A840,[1]rogério!$B840=W$4),"ok","nok")</f>
        <v>nok</v>
      </c>
      <c r="X839" s="60" t="str">
        <f>IF(AND($B839=[1]rogério!$A840,[1]rogério!$B840=X$4),"ok","nok")</f>
        <v>nok</v>
      </c>
      <c r="Y839" s="105" t="s">
        <v>15</v>
      </c>
      <c r="Z839" s="106"/>
      <c r="AA839" s="106"/>
      <c r="AB839" s="107"/>
      <c r="AE839" s="48" t="str">
        <f t="shared" si="203"/>
        <v/>
      </c>
      <c r="AF839" s="48"/>
      <c r="AG839" s="48"/>
      <c r="AH839" s="89"/>
      <c r="AI839" s="49">
        <f t="shared" si="204"/>
        <v>0</v>
      </c>
      <c r="AJ839" s="49" t="str">
        <f t="shared" si="205"/>
        <v/>
      </c>
      <c r="AK839" s="49">
        <f t="shared" si="206"/>
        <v>0</v>
      </c>
      <c r="AL839" s="49" t="str">
        <f t="shared" si="207"/>
        <v/>
      </c>
      <c r="AM839" s="49">
        <f t="shared" si="208"/>
        <v>0</v>
      </c>
      <c r="AN839" s="49" t="str">
        <f t="shared" si="209"/>
        <v/>
      </c>
      <c r="AO839" s="49">
        <f t="shared" si="210"/>
        <v>1</v>
      </c>
      <c r="AP839" s="49" t="str">
        <f t="shared" si="211"/>
        <v/>
      </c>
      <c r="AQ839" s="49">
        <f t="shared" si="212"/>
        <v>0</v>
      </c>
      <c r="AR839" s="49" t="str">
        <f t="shared" si="213"/>
        <v/>
      </c>
    </row>
    <row r="840" spans="1:44" ht="30" customHeight="1" x14ac:dyDescent="0.35">
      <c r="A840" s="25" t="str">
        <f t="shared" si="202"/>
        <v>PT178 - PLATAFORMA DE ACESSO - FORQUILHA 3 - DETALHADO
TORRE B6PROJETO DETALHADO
ESTRUTURAS METÁLICAS</v>
      </c>
      <c r="B840" s="40" t="s">
        <v>42</v>
      </c>
      <c r="C840" s="60" t="str">
        <f>IF(AND($B840=[1]rogério!$A841,[1]rogério!$B841=C$4),"ok","nok")</f>
        <v>nok</v>
      </c>
      <c r="D840" s="60" t="str">
        <f>IF(AND($B840=[1]rogério!$A841,[1]rogério!$B841=D$4),"ok","nok")</f>
        <v>nok</v>
      </c>
      <c r="E840" s="60" t="str">
        <f>IF(AND($B840=[1]rogério!$A841,[1]rogério!$B841=E$4),"ok","nok")</f>
        <v>nok</v>
      </c>
      <c r="F840" s="60" t="str">
        <f>IF(AND($B840=[1]rogério!$A841,[1]rogério!$B841=F$4),"ok","nok")</f>
        <v>nok</v>
      </c>
      <c r="G840" s="60" t="str">
        <f>IF(AND($B840=[1]rogério!$A841,[1]rogério!$B841=G$4),"ok","nok")</f>
        <v>nok</v>
      </c>
      <c r="H840" s="60" t="str">
        <f>IF(AND($B840=[1]rogério!$A841,[1]rogério!$B841=H$4),"ok","nok")</f>
        <v>nok</v>
      </c>
      <c r="I840" s="60" t="str">
        <f>IF(AND($B840=[1]rogério!$A841,[1]rogério!$B841=I$4),"ok","nok")</f>
        <v>nok</v>
      </c>
      <c r="J840" s="60" t="str">
        <f>IF(AND($B840=[1]rogério!$A841,[1]rogério!$B841=J$4),"ok","nok")</f>
        <v>nok</v>
      </c>
      <c r="K840" s="60" t="str">
        <f>IF(AND($B840=[1]rogério!$A841,[1]rogério!$B841=K$4),"ok","nok")</f>
        <v>nok</v>
      </c>
      <c r="L840" s="60" t="str">
        <f>IF(AND($B840=[1]rogério!$A841,[1]rogério!$B841=L$4),"ok","nok")</f>
        <v>nok</v>
      </c>
      <c r="M840" s="60" t="str">
        <f>IF(AND($B840=[1]rogério!$A841,[1]rogério!$B841=M$4),"ok","nok")</f>
        <v>nok</v>
      </c>
      <c r="N840" s="60" t="str">
        <f>IF(AND($B840=[1]rogério!$A841,[1]rogério!$B841=N$4),"ok","nok")</f>
        <v>nok</v>
      </c>
      <c r="O840" s="60" t="str">
        <f>IF(AND($B840=[1]rogério!$A841,[1]rogério!$B841=O$4),"ok","nok")</f>
        <v>nok</v>
      </c>
      <c r="P840" s="60" t="str">
        <f>IF(AND($B840=[1]rogério!$A841,[1]rogério!$B841=P$4),"ok","nok")</f>
        <v>nok</v>
      </c>
      <c r="Q840" s="60" t="str">
        <f>IF(AND($B840=[1]rogério!$A841,[1]rogério!$B841=Q$4),"ok","nok")</f>
        <v>nok</v>
      </c>
      <c r="R840" s="60" t="str">
        <f>IF(AND($B840=[1]rogério!$A841,[1]rogério!$B841=R$4),"ok","nok")</f>
        <v>nok</v>
      </c>
      <c r="S840" s="60" t="str">
        <f>IF(AND($B840=[1]rogério!$A841,[1]rogério!$B841=S$4),"ok","nok")</f>
        <v>nok</v>
      </c>
      <c r="T840" s="60" t="str">
        <f>IF(AND($B840=[1]rogério!$A841,[1]rogério!$B841=T$4),"ok","nok")</f>
        <v>nok</v>
      </c>
      <c r="U840" s="60" t="str">
        <f>IF(AND($B840=[1]rogério!$A841,[1]rogério!$B841=U$4),"ok","nok")</f>
        <v>nok</v>
      </c>
      <c r="V840" s="60" t="str">
        <f>IF(AND($B840=[1]rogério!$A841,[1]rogério!$B841=V$4),"ok","nok")</f>
        <v>nok</v>
      </c>
      <c r="W840" s="60" t="str">
        <f>IF(AND($B840=[1]rogério!$A841,[1]rogério!$B841=W$4),"ok","nok")</f>
        <v>ok</v>
      </c>
      <c r="X840" s="60" t="str">
        <f>IF(AND($B840=[1]rogério!$A841,[1]rogério!$B841=X$4),"ok","nok")</f>
        <v>nok</v>
      </c>
      <c r="Y840" s="105" t="s">
        <v>15</v>
      </c>
      <c r="Z840" s="106"/>
      <c r="AA840" s="106"/>
      <c r="AB840" s="107"/>
      <c r="AE840" s="48" t="str">
        <f t="shared" si="203"/>
        <v/>
      </c>
      <c r="AF840" s="48"/>
      <c r="AG840" s="48"/>
      <c r="AH840" s="89"/>
      <c r="AI840" s="49">
        <f t="shared" si="204"/>
        <v>0</v>
      </c>
      <c r="AJ840" s="49" t="str">
        <f t="shared" si="205"/>
        <v/>
      </c>
      <c r="AK840" s="49">
        <f t="shared" si="206"/>
        <v>0</v>
      </c>
      <c r="AL840" s="49" t="str">
        <f t="shared" si="207"/>
        <v/>
      </c>
      <c r="AM840" s="49">
        <f t="shared" si="208"/>
        <v>0</v>
      </c>
      <c r="AN840" s="49" t="str">
        <f t="shared" si="209"/>
        <v/>
      </c>
      <c r="AO840" s="49">
        <f t="shared" si="210"/>
        <v>0</v>
      </c>
      <c r="AP840" s="49" t="str">
        <f t="shared" si="211"/>
        <v/>
      </c>
      <c r="AQ840" s="49">
        <f t="shared" si="212"/>
        <v>1</v>
      </c>
      <c r="AR840" s="49" t="str">
        <f t="shared" si="213"/>
        <v/>
      </c>
    </row>
    <row r="841" spans="1:44" ht="30" customHeight="1" x14ac:dyDescent="0.35">
      <c r="A841" s="25" t="str">
        <f t="shared" si="202"/>
        <v>PT178 - PLATAFORMA DE ACESSO - FORQUILHA 3 - DETALHADO
TORRE B6PROJETO DETALHADO
ESTRUTURAS METÁLICAS</v>
      </c>
      <c r="B841" s="40" t="s">
        <v>43</v>
      </c>
      <c r="C841" s="60" t="str">
        <f>IF(AND($B841=[1]rogério!$A842,[1]rogério!$B842=C$4),"ok","nok")</f>
        <v>nok</v>
      </c>
      <c r="D841" s="60" t="str">
        <f>IF(AND($B841=[1]rogério!$A842,[1]rogério!$B842=D$4),"ok","nok")</f>
        <v>nok</v>
      </c>
      <c r="E841" s="60" t="str">
        <f>IF(AND($B841=[1]rogério!$A842,[1]rogério!$B842=E$4),"ok","nok")</f>
        <v>nok</v>
      </c>
      <c r="F841" s="60" t="str">
        <f>IF(AND($B841=[1]rogério!$A842,[1]rogério!$B842=F$4),"ok","nok")</f>
        <v>nok</v>
      </c>
      <c r="G841" s="60" t="str">
        <f>IF(AND($B841=[1]rogério!$A842,[1]rogério!$B842=G$4),"ok","nok")</f>
        <v>nok</v>
      </c>
      <c r="H841" s="60" t="str">
        <f>IF(AND($B841=[1]rogério!$A842,[1]rogério!$B842=H$4),"ok","nok")</f>
        <v>nok</v>
      </c>
      <c r="I841" s="60" t="str">
        <f>IF(AND($B841=[1]rogério!$A842,[1]rogério!$B842=I$4),"ok","nok")</f>
        <v>nok</v>
      </c>
      <c r="J841" s="60" t="str">
        <f>IF(AND($B841=[1]rogério!$A842,[1]rogério!$B842=J$4),"ok","nok")</f>
        <v>nok</v>
      </c>
      <c r="K841" s="60" t="str">
        <f>IF(AND($B841=[1]rogério!$A842,[1]rogério!$B842=K$4),"ok","nok")</f>
        <v>nok</v>
      </c>
      <c r="L841" s="60" t="str">
        <f>IF(AND($B841=[1]rogério!$A842,[1]rogério!$B842=L$4),"ok","nok")</f>
        <v>nok</v>
      </c>
      <c r="M841" s="60" t="str">
        <f>IF(AND($B841=[1]rogério!$A842,[1]rogério!$B842=M$4),"ok","nok")</f>
        <v>nok</v>
      </c>
      <c r="N841" s="60" t="str">
        <f>IF(AND($B841=[1]rogério!$A842,[1]rogério!$B842=N$4),"ok","nok")</f>
        <v>nok</v>
      </c>
      <c r="O841" s="60" t="str">
        <f>IF(AND($B841=[1]rogério!$A842,[1]rogério!$B842=O$4),"ok","nok")</f>
        <v>nok</v>
      </c>
      <c r="P841" s="60" t="str">
        <f>IF(AND($B841=[1]rogério!$A842,[1]rogério!$B842=P$4),"ok","nok")</f>
        <v>nok</v>
      </c>
      <c r="Q841" s="60" t="str">
        <f>IF(AND($B841=[1]rogério!$A842,[1]rogério!$B842=Q$4),"ok","nok")</f>
        <v>nok</v>
      </c>
      <c r="R841" s="60" t="str">
        <f>IF(AND($B841=[1]rogério!$A842,[1]rogério!$B842=R$4),"ok","nok")</f>
        <v>nok</v>
      </c>
      <c r="S841" s="60" t="str">
        <f>IF(AND($B841=[1]rogério!$A842,[1]rogério!$B842=S$4),"ok","nok")</f>
        <v>nok</v>
      </c>
      <c r="T841" s="60" t="str">
        <f>IF(AND($B841=[1]rogério!$A842,[1]rogério!$B842=T$4),"ok","nok")</f>
        <v>nok</v>
      </c>
      <c r="U841" s="60" t="str">
        <f>IF(AND($B841=[1]rogério!$A842,[1]rogério!$B842=U$4),"ok","nok")</f>
        <v>nok</v>
      </c>
      <c r="V841" s="60" t="str">
        <f>IF(AND($B841=[1]rogério!$A842,[1]rogério!$B842=V$4),"ok","nok")</f>
        <v>nok</v>
      </c>
      <c r="W841" s="60" t="str">
        <f>IF(AND($B841=[1]rogério!$A842,[1]rogério!$B842=W$4),"ok","nok")</f>
        <v>ok</v>
      </c>
      <c r="X841" s="60" t="str">
        <f>IF(AND($B841=[1]rogério!$A842,[1]rogério!$B842=X$4),"ok","nok")</f>
        <v>nok</v>
      </c>
      <c r="Y841" s="105" t="s">
        <v>15</v>
      </c>
      <c r="Z841" s="106"/>
      <c r="AA841" s="106"/>
      <c r="AB841" s="107"/>
      <c r="AE841" s="48" t="str">
        <f t="shared" si="203"/>
        <v/>
      </c>
      <c r="AF841" s="48"/>
      <c r="AG841" s="48"/>
      <c r="AH841" s="89"/>
      <c r="AI841" s="49">
        <f t="shared" si="204"/>
        <v>0</v>
      </c>
      <c r="AJ841" s="49" t="str">
        <f t="shared" si="205"/>
        <v/>
      </c>
      <c r="AK841" s="49">
        <f t="shared" si="206"/>
        <v>0</v>
      </c>
      <c r="AL841" s="49" t="str">
        <f t="shared" si="207"/>
        <v/>
      </c>
      <c r="AM841" s="49">
        <f t="shared" si="208"/>
        <v>0</v>
      </c>
      <c r="AN841" s="49" t="str">
        <f t="shared" si="209"/>
        <v/>
      </c>
      <c r="AO841" s="49">
        <f t="shared" si="210"/>
        <v>0</v>
      </c>
      <c r="AP841" s="49" t="str">
        <f t="shared" si="211"/>
        <v/>
      </c>
      <c r="AQ841" s="49">
        <f t="shared" si="212"/>
        <v>1</v>
      </c>
      <c r="AR841" s="49" t="str">
        <f t="shared" si="213"/>
        <v/>
      </c>
    </row>
    <row r="842" spans="1:44" ht="30" customHeight="1" x14ac:dyDescent="0.35">
      <c r="A842" s="25" t="str">
        <f t="shared" si="202"/>
        <v>PT178 - PLATAFORMA DE ACESSO - FORQUILHA 3 - DETALHADO
TORRE B6PROJETO DETALHADO
ESTRUTURAS METÁLICAS</v>
      </c>
      <c r="B842" s="38" t="s">
        <v>65</v>
      </c>
      <c r="C842" s="60" t="str">
        <f>IF(AND($B842=[1]rogério!$A843,[1]rogério!$B843=C$4),"ok","nok")</f>
        <v>nok</v>
      </c>
      <c r="D842" s="60" t="str">
        <f>IF(AND($B842=[1]rogério!$A843,[1]rogério!$B843=D$4),"ok","nok")</f>
        <v>nok</v>
      </c>
      <c r="E842" s="60" t="str">
        <f>IF(AND($B842=[1]rogério!$A843,[1]rogério!$B843=E$4),"ok","nok")</f>
        <v>nok</v>
      </c>
      <c r="F842" s="60" t="str">
        <f>IF(AND($B842=[1]rogério!$A843,[1]rogério!$B843=F$4),"ok","nok")</f>
        <v>nok</v>
      </c>
      <c r="G842" s="60" t="str">
        <f>IF(AND($B842=[1]rogério!$A843,[1]rogério!$B843=G$4),"ok","nok")</f>
        <v>nok</v>
      </c>
      <c r="H842" s="60" t="str">
        <f>IF(AND($B842=[1]rogério!$A843,[1]rogério!$B843=H$4),"ok","nok")</f>
        <v>nok</v>
      </c>
      <c r="I842" s="60" t="str">
        <f>IF(AND($B842=[1]rogério!$A843,[1]rogério!$B843=I$4),"ok","nok")</f>
        <v>nok</v>
      </c>
      <c r="J842" s="60" t="str">
        <f>IF(AND($B842=[1]rogério!$A843,[1]rogério!$B843=J$4),"ok","nok")</f>
        <v>nok</v>
      </c>
      <c r="K842" s="60" t="str">
        <f>IF(AND($B842=[1]rogério!$A843,[1]rogério!$B843=K$4),"ok","nok")</f>
        <v>nok</v>
      </c>
      <c r="L842" s="60" t="str">
        <f>IF(AND($B842=[1]rogério!$A843,[1]rogério!$B843=L$4),"ok","nok")</f>
        <v>nok</v>
      </c>
      <c r="M842" s="60" t="str">
        <f>IF(AND($B842=[1]rogério!$A843,[1]rogério!$B843=M$4),"ok","nok")</f>
        <v>nok</v>
      </c>
      <c r="N842" s="60" t="str">
        <f>IF(AND($B842=[1]rogério!$A843,[1]rogério!$B843=N$4),"ok","nok")</f>
        <v>nok</v>
      </c>
      <c r="O842" s="60" t="str">
        <f>IF(AND($B842=[1]rogério!$A843,[1]rogério!$B843=O$4),"ok","nok")</f>
        <v>nok</v>
      </c>
      <c r="P842" s="60" t="str">
        <f>IF(AND($B842=[1]rogério!$A843,[1]rogério!$B843=P$4),"ok","nok")</f>
        <v>nok</v>
      </c>
      <c r="Q842" s="60" t="str">
        <f>IF(AND($B842=[1]rogério!$A843,[1]rogério!$B843=Q$4),"ok","nok")</f>
        <v>nok</v>
      </c>
      <c r="R842" s="60" t="str">
        <f>IF(AND($B842=[1]rogério!$A843,[1]rogério!$B843=R$4),"ok","nok")</f>
        <v>ok</v>
      </c>
      <c r="S842" s="60" t="str">
        <f>IF(AND($B842=[1]rogério!$A843,[1]rogério!$B843=S$4),"ok","nok")</f>
        <v>nok</v>
      </c>
      <c r="T842" s="60" t="str">
        <f>IF(AND($B842=[1]rogério!$A843,[1]rogério!$B843=T$4),"ok","nok")</f>
        <v>nok</v>
      </c>
      <c r="U842" s="60" t="str">
        <f>IF(AND($B842=[1]rogério!$A843,[1]rogério!$B843=U$4),"ok","nok")</f>
        <v>nok</v>
      </c>
      <c r="V842" s="60" t="str">
        <f>IF(AND($B842=[1]rogério!$A843,[1]rogério!$B843=V$4),"ok","nok")</f>
        <v>nok</v>
      </c>
      <c r="W842" s="60" t="str">
        <f>IF(AND($B842=[1]rogério!$A843,[1]rogério!$B843=W$4),"ok","nok")</f>
        <v>nok</v>
      </c>
      <c r="X842" s="60" t="str">
        <f>IF(AND($B842=[1]rogério!$A843,[1]rogério!$B843=X$4),"ok","nok")</f>
        <v>nok</v>
      </c>
      <c r="Y842" s="105" t="s">
        <v>15</v>
      </c>
      <c r="Z842" s="106"/>
      <c r="AA842" s="106"/>
      <c r="AB842" s="107"/>
      <c r="AE842" s="48" t="str">
        <f t="shared" si="203"/>
        <v/>
      </c>
      <c r="AF842" s="48"/>
      <c r="AG842" s="48"/>
      <c r="AH842" s="89"/>
      <c r="AI842" s="49">
        <f t="shared" si="204"/>
        <v>0</v>
      </c>
      <c r="AJ842" s="49" t="str">
        <f t="shared" si="205"/>
        <v/>
      </c>
      <c r="AK842" s="49">
        <f t="shared" si="206"/>
        <v>0</v>
      </c>
      <c r="AL842" s="49" t="str">
        <f t="shared" si="207"/>
        <v/>
      </c>
      <c r="AM842" s="49">
        <f t="shared" si="208"/>
        <v>0</v>
      </c>
      <c r="AN842" s="49" t="str">
        <f t="shared" si="209"/>
        <v/>
      </c>
      <c r="AO842" s="49">
        <f t="shared" si="210"/>
        <v>1</v>
      </c>
      <c r="AP842" s="49" t="str">
        <f t="shared" si="211"/>
        <v/>
      </c>
      <c r="AQ842" s="49">
        <f t="shared" si="212"/>
        <v>0</v>
      </c>
      <c r="AR842" s="49" t="str">
        <f t="shared" si="213"/>
        <v/>
      </c>
    </row>
    <row r="843" spans="1:44" ht="30" customHeight="1" x14ac:dyDescent="0.35">
      <c r="A843" s="25" t="str">
        <f t="shared" si="202"/>
        <v>PT178 - PLATAFORMA DE ACESSO - FORQUILHA 3 - DETALHADO
TORRE B6PROJETO DETALHADO
ESTRUTURAS METÁLICAS</v>
      </c>
      <c r="B843" s="38" t="s">
        <v>66</v>
      </c>
      <c r="C843" s="60" t="str">
        <f>IF(AND($B843=[1]rogério!$A844,[1]rogério!$B844=C$4),"ok","nok")</f>
        <v>nok</v>
      </c>
      <c r="D843" s="60" t="str">
        <f>IF(AND($B843=[1]rogério!$A844,[1]rogério!$B844=D$4),"ok","nok")</f>
        <v>nok</v>
      </c>
      <c r="E843" s="60" t="str">
        <f>IF(AND($B843=[1]rogério!$A844,[1]rogério!$B844=E$4),"ok","nok")</f>
        <v>nok</v>
      </c>
      <c r="F843" s="60" t="str">
        <f>IF(AND($B843=[1]rogério!$A844,[1]rogério!$B844=F$4),"ok","nok")</f>
        <v>nok</v>
      </c>
      <c r="G843" s="60" t="str">
        <f>IF(AND($B843=[1]rogério!$A844,[1]rogério!$B844=G$4),"ok","nok")</f>
        <v>nok</v>
      </c>
      <c r="H843" s="60" t="str">
        <f>IF(AND($B843=[1]rogério!$A844,[1]rogério!$B844=H$4),"ok","nok")</f>
        <v>nok</v>
      </c>
      <c r="I843" s="60" t="str">
        <f>IF(AND($B843=[1]rogério!$A844,[1]rogério!$B844=I$4),"ok","nok")</f>
        <v>nok</v>
      </c>
      <c r="J843" s="60" t="str">
        <f>IF(AND($B843=[1]rogério!$A844,[1]rogério!$B844=J$4),"ok","nok")</f>
        <v>nok</v>
      </c>
      <c r="K843" s="60" t="str">
        <f>IF(AND($B843=[1]rogério!$A844,[1]rogério!$B844=K$4),"ok","nok")</f>
        <v>nok</v>
      </c>
      <c r="L843" s="60" t="str">
        <f>IF(AND($B843=[1]rogério!$A844,[1]rogério!$B844=L$4),"ok","nok")</f>
        <v>nok</v>
      </c>
      <c r="M843" s="60" t="str">
        <f>IF(AND($B843=[1]rogério!$A844,[1]rogério!$B844=M$4),"ok","nok")</f>
        <v>nok</v>
      </c>
      <c r="N843" s="60" t="str">
        <f>IF(AND($B843=[1]rogério!$A844,[1]rogério!$B844=N$4),"ok","nok")</f>
        <v>nok</v>
      </c>
      <c r="O843" s="60" t="str">
        <f>IF(AND($B843=[1]rogério!$A844,[1]rogério!$B844=O$4),"ok","nok")</f>
        <v>nok</v>
      </c>
      <c r="P843" s="60" t="str">
        <f>IF(AND($B843=[1]rogério!$A844,[1]rogério!$B844=P$4),"ok","nok")</f>
        <v>nok</v>
      </c>
      <c r="Q843" s="60" t="str">
        <f>IF(AND($B843=[1]rogério!$A844,[1]rogério!$B844=Q$4),"ok","nok")</f>
        <v>nok</v>
      </c>
      <c r="R843" s="60" t="str">
        <f>IF(AND($B843=[1]rogério!$A844,[1]rogério!$B844=R$4),"ok","nok")</f>
        <v>nok</v>
      </c>
      <c r="S843" s="60" t="str">
        <f>IF(AND($B843=[1]rogério!$A844,[1]rogério!$B844=S$4),"ok","nok")</f>
        <v>nok</v>
      </c>
      <c r="T843" s="60" t="str">
        <f>IF(AND($B843=[1]rogério!$A844,[1]rogério!$B844=T$4),"ok","nok")</f>
        <v>ok</v>
      </c>
      <c r="U843" s="60" t="str">
        <f>IF(AND($B843=[1]rogério!$A844,[1]rogério!$B844=U$4),"ok","nok")</f>
        <v>nok</v>
      </c>
      <c r="V843" s="60" t="str">
        <f>IF(AND($B843=[1]rogério!$A844,[1]rogério!$B844=V$4),"ok","nok")</f>
        <v>nok</v>
      </c>
      <c r="W843" s="60" t="str">
        <f>IF(AND($B843=[1]rogério!$A844,[1]rogério!$B844=W$4),"ok","nok")</f>
        <v>nok</v>
      </c>
      <c r="X843" s="60" t="str">
        <f>IF(AND($B843=[1]rogério!$A844,[1]rogério!$B844=X$4),"ok","nok")</f>
        <v>nok</v>
      </c>
      <c r="Y843" s="105" t="s">
        <v>15</v>
      </c>
      <c r="Z843" s="106"/>
      <c r="AA843" s="106"/>
      <c r="AB843" s="107"/>
      <c r="AE843" s="48" t="str">
        <f t="shared" si="203"/>
        <v/>
      </c>
      <c r="AF843" s="48"/>
      <c r="AG843" s="48"/>
      <c r="AH843" s="89"/>
      <c r="AI843" s="49">
        <f t="shared" si="204"/>
        <v>0</v>
      </c>
      <c r="AJ843" s="49" t="str">
        <f t="shared" si="205"/>
        <v/>
      </c>
      <c r="AK843" s="49">
        <f t="shared" si="206"/>
        <v>0</v>
      </c>
      <c r="AL843" s="49" t="str">
        <f t="shared" si="207"/>
        <v/>
      </c>
      <c r="AM843" s="49">
        <f t="shared" si="208"/>
        <v>0</v>
      </c>
      <c r="AN843" s="49" t="str">
        <f t="shared" si="209"/>
        <v/>
      </c>
      <c r="AO843" s="49">
        <f t="shared" si="210"/>
        <v>1</v>
      </c>
      <c r="AP843" s="49" t="str">
        <f t="shared" si="211"/>
        <v/>
      </c>
      <c r="AQ843" s="49">
        <f t="shared" si="212"/>
        <v>0</v>
      </c>
      <c r="AR843" s="49" t="str">
        <f t="shared" si="213"/>
        <v/>
      </c>
    </row>
    <row r="844" spans="1:44" ht="30" customHeight="1" x14ac:dyDescent="0.35">
      <c r="A844" s="25"/>
      <c r="B844" s="39" t="s">
        <v>67</v>
      </c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108"/>
      <c r="Z844" s="109"/>
      <c r="AA844" s="109"/>
      <c r="AB844" s="110"/>
      <c r="AE844" s="48" t="str">
        <f t="shared" si="203"/>
        <v/>
      </c>
      <c r="AF844" s="48"/>
      <c r="AG844" s="48"/>
      <c r="AH844" s="89"/>
      <c r="AI844" s="49">
        <f t="shared" si="204"/>
        <v>0</v>
      </c>
      <c r="AJ844" s="49" t="str">
        <f t="shared" si="205"/>
        <v/>
      </c>
      <c r="AK844" s="49">
        <f t="shared" si="206"/>
        <v>0</v>
      </c>
      <c r="AL844" s="49" t="str">
        <f t="shared" si="207"/>
        <v/>
      </c>
      <c r="AM844" s="49">
        <f t="shared" si="208"/>
        <v>0</v>
      </c>
      <c r="AN844" s="49" t="str">
        <f t="shared" si="209"/>
        <v/>
      </c>
      <c r="AO844" s="49">
        <f t="shared" si="210"/>
        <v>0</v>
      </c>
      <c r="AP844" s="49" t="str">
        <f t="shared" si="211"/>
        <v/>
      </c>
      <c r="AQ844" s="49">
        <f t="shared" si="212"/>
        <v>0</v>
      </c>
      <c r="AR844" s="49" t="str">
        <f t="shared" si="213"/>
        <v/>
      </c>
    </row>
    <row r="845" spans="1:44" ht="30" customHeight="1" x14ac:dyDescent="0.35">
      <c r="A845" s="25" t="str">
        <f t="shared" si="202"/>
        <v>PT178 - PLATAFORMA DE ACESSO - FORQUILHA 3 - DETALHADO
TORRE B6PROJETO DETALHADO
ESTRUTURAS METÁLICAS</v>
      </c>
      <c r="B845" s="40" t="s">
        <v>49</v>
      </c>
      <c r="C845" s="60" t="str">
        <f>IF(AND($B845=[1]rogério!$A846,[1]rogério!$B846=C$4),"ok","nok")</f>
        <v>nok</v>
      </c>
      <c r="D845" s="60" t="str">
        <f>IF(AND($B845=[1]rogério!$A846,[1]rogério!$B846=D$4),"ok","nok")</f>
        <v>nok</v>
      </c>
      <c r="E845" s="60" t="str">
        <f>IF(AND($B845=[1]rogério!$A846,[1]rogério!$B846=E$4),"ok","nok")</f>
        <v>nok</v>
      </c>
      <c r="F845" s="60" t="str">
        <f>IF(AND($B845=[1]rogério!$A846,[1]rogério!$B846=F$4),"ok","nok")</f>
        <v>nok</v>
      </c>
      <c r="G845" s="60" t="str">
        <f>IF(AND($B845=[1]rogério!$A846,[1]rogério!$B846=G$4),"ok","nok")</f>
        <v>nok</v>
      </c>
      <c r="H845" s="60" t="str">
        <f>IF(AND($B845=[1]rogério!$A846,[1]rogério!$B846=H$4),"ok","nok")</f>
        <v>nok</v>
      </c>
      <c r="I845" s="60" t="str">
        <f>IF(AND($B845=[1]rogério!$A846,[1]rogério!$B846=I$4),"ok","nok")</f>
        <v>nok</v>
      </c>
      <c r="J845" s="60" t="str">
        <f>IF(AND($B845=[1]rogério!$A846,[1]rogério!$B846=J$4),"ok","nok")</f>
        <v>nok</v>
      </c>
      <c r="K845" s="60" t="str">
        <f>IF(AND($B845=[1]rogério!$A846,[1]rogério!$B846=K$4),"ok","nok")</f>
        <v>nok</v>
      </c>
      <c r="L845" s="60" t="str">
        <f>IF(AND($B845=[1]rogério!$A846,[1]rogério!$B846=L$4),"ok","nok")</f>
        <v>nok</v>
      </c>
      <c r="M845" s="60" t="str">
        <f>IF(AND($B845=[1]rogério!$A846,[1]rogério!$B846=M$4),"ok","nok")</f>
        <v>nok</v>
      </c>
      <c r="N845" s="60" t="str">
        <f>IF(AND($B845=[1]rogério!$A846,[1]rogério!$B846=N$4),"ok","nok")</f>
        <v>nok</v>
      </c>
      <c r="O845" s="60" t="str">
        <f>IF(AND($B845=[1]rogério!$A846,[1]rogério!$B846=O$4),"ok","nok")</f>
        <v>nok</v>
      </c>
      <c r="P845" s="60" t="str">
        <f>IF(AND($B845=[1]rogério!$A846,[1]rogério!$B846=P$4),"ok","nok")</f>
        <v>nok</v>
      </c>
      <c r="Q845" s="60" t="str">
        <f>IF(AND($B845=[1]rogério!$A846,[1]rogério!$B846=Q$4),"ok","nok")</f>
        <v>nok</v>
      </c>
      <c r="R845" s="60" t="str">
        <f>IF(AND($B845=[1]rogério!$A846,[1]rogério!$B846=R$4),"ok","nok")</f>
        <v>nok</v>
      </c>
      <c r="S845" s="60" t="str">
        <f>IF(AND($B845=[1]rogério!$A846,[1]rogério!$B846=S$4),"ok","nok")</f>
        <v>nok</v>
      </c>
      <c r="T845" s="60" t="str">
        <f>IF(AND($B845=[1]rogério!$A846,[1]rogério!$B846=T$4),"ok","nok")</f>
        <v>ok</v>
      </c>
      <c r="U845" s="60" t="str">
        <f>IF(AND($B845=[1]rogério!$A846,[1]rogério!$B846=U$4),"ok","nok")</f>
        <v>nok</v>
      </c>
      <c r="V845" s="60" t="str">
        <f>IF(AND($B845=[1]rogério!$A846,[1]rogério!$B846=V$4),"ok","nok")</f>
        <v>nok</v>
      </c>
      <c r="W845" s="60" t="str">
        <f>IF(AND($B845=[1]rogério!$A846,[1]rogério!$B846=W$4),"ok","nok")</f>
        <v>nok</v>
      </c>
      <c r="X845" s="60" t="str">
        <f>IF(AND($B845=[1]rogério!$A846,[1]rogério!$B846=X$4),"ok","nok")</f>
        <v>nok</v>
      </c>
      <c r="Y845" s="105" t="s">
        <v>15</v>
      </c>
      <c r="Z845" s="106"/>
      <c r="AA845" s="106"/>
      <c r="AB845" s="107"/>
      <c r="AE845" s="48" t="str">
        <f t="shared" si="203"/>
        <v/>
      </c>
      <c r="AF845" s="48"/>
      <c r="AG845" s="48"/>
      <c r="AH845" s="89"/>
      <c r="AI845" s="49">
        <f t="shared" si="204"/>
        <v>0</v>
      </c>
      <c r="AJ845" s="49" t="str">
        <f t="shared" si="205"/>
        <v/>
      </c>
      <c r="AK845" s="49">
        <f t="shared" si="206"/>
        <v>0</v>
      </c>
      <c r="AL845" s="49" t="str">
        <f t="shared" si="207"/>
        <v/>
      </c>
      <c r="AM845" s="49">
        <f t="shared" si="208"/>
        <v>0</v>
      </c>
      <c r="AN845" s="49" t="str">
        <f t="shared" si="209"/>
        <v/>
      </c>
      <c r="AO845" s="49">
        <f t="shared" si="210"/>
        <v>1</v>
      </c>
      <c r="AP845" s="49" t="str">
        <f t="shared" si="211"/>
        <v/>
      </c>
      <c r="AQ845" s="49">
        <f t="shared" si="212"/>
        <v>0</v>
      </c>
      <c r="AR845" s="49" t="str">
        <f t="shared" si="213"/>
        <v/>
      </c>
    </row>
    <row r="846" spans="1:44" ht="30" customHeight="1" x14ac:dyDescent="0.35">
      <c r="A846" s="25" t="str">
        <f t="shared" si="202"/>
        <v>PT178 - PLATAFORMA DE ACESSO - FORQUILHA 3 - DETALHADO
TORRE B6PROJETO DETALHADO
ESTRUTURAS METÁLICAS</v>
      </c>
      <c r="B846" s="38" t="s">
        <v>92</v>
      </c>
      <c r="C846" s="60" t="str">
        <f>IF(AND($B846=[1]rogério!$A847,[1]rogério!$B847=C$4),"ok","nok")</f>
        <v>nok</v>
      </c>
      <c r="D846" s="60" t="str">
        <f>IF(AND($B846=[1]rogério!$A847,[1]rogério!$B847=D$4),"ok","nok")</f>
        <v>nok</v>
      </c>
      <c r="E846" s="60" t="str">
        <f>IF(AND($B846=[1]rogério!$A847,[1]rogério!$B847=E$4),"ok","nok")</f>
        <v>nok</v>
      </c>
      <c r="F846" s="60" t="str">
        <f>IF(AND($B846=[1]rogério!$A847,[1]rogério!$B847=F$4),"ok","nok")</f>
        <v>nok</v>
      </c>
      <c r="G846" s="60" t="str">
        <f>IF(AND($B846=[1]rogério!$A847,[1]rogério!$B847=G$4),"ok","nok")</f>
        <v>nok</v>
      </c>
      <c r="H846" s="60" t="str">
        <f>IF(AND($B846=[1]rogério!$A847,[1]rogério!$B847=H$4),"ok","nok")</f>
        <v>nok</v>
      </c>
      <c r="I846" s="60" t="str">
        <f>IF(AND($B846=[1]rogério!$A847,[1]rogério!$B847=I$4),"ok","nok")</f>
        <v>nok</v>
      </c>
      <c r="J846" s="60" t="str">
        <f>IF(AND($B846=[1]rogério!$A847,[1]rogério!$B847=J$4),"ok","nok")</f>
        <v>nok</v>
      </c>
      <c r="K846" s="60" t="str">
        <f>IF(AND($B846=[1]rogério!$A847,[1]rogério!$B847=K$4),"ok","nok")</f>
        <v>nok</v>
      </c>
      <c r="L846" s="60" t="str">
        <f>IF(AND($B846=[1]rogério!$A847,[1]rogério!$B847=L$4),"ok","nok")</f>
        <v>nok</v>
      </c>
      <c r="M846" s="60" t="str">
        <f>IF(AND($B846=[1]rogério!$A847,[1]rogério!$B847=M$4),"ok","nok")</f>
        <v>nok</v>
      </c>
      <c r="N846" s="60" t="str">
        <f>IF(AND($B846=[1]rogério!$A847,[1]rogério!$B847=N$4),"ok","nok")</f>
        <v>nok</v>
      </c>
      <c r="O846" s="60" t="str">
        <f>IF(AND($B846=[1]rogério!$A847,[1]rogério!$B847=O$4),"ok","nok")</f>
        <v>nok</v>
      </c>
      <c r="P846" s="60" t="str">
        <f>IF(AND($B846=[1]rogério!$A847,[1]rogério!$B847=P$4),"ok","nok")</f>
        <v>nok</v>
      </c>
      <c r="Q846" s="60" t="str">
        <f>IF(AND($B846=[1]rogério!$A847,[1]rogério!$B847=Q$4),"ok","nok")</f>
        <v>nok</v>
      </c>
      <c r="R846" s="60" t="str">
        <f>IF(AND($B846=[1]rogério!$A847,[1]rogério!$B847=R$4),"ok","nok")</f>
        <v>nok</v>
      </c>
      <c r="S846" s="60" t="str">
        <f>IF(AND($B846=[1]rogério!$A847,[1]rogério!$B847=S$4),"ok","nok")</f>
        <v>nok</v>
      </c>
      <c r="T846" s="60" t="str">
        <f>IF(AND($B846=[1]rogério!$A847,[1]rogério!$B847=T$4),"ok","nok")</f>
        <v>nok</v>
      </c>
      <c r="U846" s="60" t="str">
        <f>IF(AND($B846=[1]rogério!$A847,[1]rogério!$B847=U$4),"ok","nok")</f>
        <v>nok</v>
      </c>
      <c r="V846" s="60" t="str">
        <f>IF(AND($B846=[1]rogério!$A847,[1]rogério!$B847=V$4),"ok","nok")</f>
        <v>nok</v>
      </c>
      <c r="W846" s="60" t="str">
        <f>IF(AND($B846=[1]rogério!$A847,[1]rogério!$B847=W$4),"ok","nok")</f>
        <v>ok</v>
      </c>
      <c r="X846" s="60" t="str">
        <f>IF(AND($B846=[1]rogério!$A847,[1]rogério!$B847=X$4),"ok","nok")</f>
        <v>nok</v>
      </c>
      <c r="Y846" s="105" t="s">
        <v>15</v>
      </c>
      <c r="Z846" s="106"/>
      <c r="AA846" s="106"/>
      <c r="AB846" s="107"/>
      <c r="AE846" s="48" t="str">
        <f t="shared" si="203"/>
        <v/>
      </c>
      <c r="AF846" s="48"/>
      <c r="AG846" s="48"/>
      <c r="AH846" s="89"/>
      <c r="AI846" s="49">
        <f t="shared" si="204"/>
        <v>0</v>
      </c>
      <c r="AJ846" s="49" t="str">
        <f t="shared" si="205"/>
        <v/>
      </c>
      <c r="AK846" s="49">
        <f t="shared" si="206"/>
        <v>0</v>
      </c>
      <c r="AL846" s="49" t="str">
        <f t="shared" si="207"/>
        <v/>
      </c>
      <c r="AM846" s="49">
        <f t="shared" si="208"/>
        <v>0</v>
      </c>
      <c r="AN846" s="49" t="str">
        <f t="shared" si="209"/>
        <v/>
      </c>
      <c r="AO846" s="49">
        <f t="shared" si="210"/>
        <v>0</v>
      </c>
      <c r="AP846" s="49" t="str">
        <f t="shared" si="211"/>
        <v/>
      </c>
      <c r="AQ846" s="49">
        <f t="shared" si="212"/>
        <v>1</v>
      </c>
      <c r="AR846" s="49" t="str">
        <f t="shared" si="213"/>
        <v/>
      </c>
    </row>
    <row r="847" spans="1:44" ht="30" customHeight="1" x14ac:dyDescent="0.35">
      <c r="A847" s="25"/>
      <c r="B847" s="62" t="s">
        <v>64</v>
      </c>
      <c r="C847" s="62"/>
      <c r="D847" s="62"/>
      <c r="E847" s="62"/>
      <c r="F847" s="62"/>
      <c r="G847" s="62"/>
      <c r="H847" s="62"/>
      <c r="I847" s="62"/>
      <c r="J847" s="62"/>
      <c r="K847" s="62"/>
      <c r="L847" s="62"/>
      <c r="M847" s="62"/>
      <c r="N847" s="62"/>
      <c r="O847" s="62"/>
      <c r="P847" s="62"/>
      <c r="Q847" s="62"/>
      <c r="R847" s="62"/>
      <c r="S847" s="62"/>
      <c r="T847" s="62"/>
      <c r="U847" s="62"/>
      <c r="V847" s="62"/>
      <c r="W847" s="62"/>
      <c r="X847" s="62"/>
      <c r="Y847" s="114"/>
      <c r="Z847" s="115"/>
      <c r="AA847" s="115"/>
      <c r="AB847" s="116"/>
      <c r="AE847" s="48" t="str">
        <f t="shared" si="203"/>
        <v/>
      </c>
      <c r="AF847" s="48"/>
      <c r="AG847" s="48"/>
      <c r="AH847" s="89"/>
      <c r="AI847" s="49">
        <f t="shared" si="204"/>
        <v>0</v>
      </c>
      <c r="AJ847" s="49" t="str">
        <f t="shared" si="205"/>
        <v/>
      </c>
      <c r="AK847" s="49">
        <f t="shared" si="206"/>
        <v>0</v>
      </c>
      <c r="AL847" s="49" t="str">
        <f t="shared" si="207"/>
        <v/>
      </c>
      <c r="AM847" s="49">
        <f t="shared" si="208"/>
        <v>0</v>
      </c>
      <c r="AN847" s="49" t="str">
        <f t="shared" si="209"/>
        <v/>
      </c>
      <c r="AO847" s="49">
        <f t="shared" si="210"/>
        <v>0</v>
      </c>
      <c r="AP847" s="49" t="str">
        <f t="shared" si="211"/>
        <v/>
      </c>
      <c r="AQ847" s="49">
        <f t="shared" si="212"/>
        <v>0</v>
      </c>
      <c r="AR847" s="49" t="str">
        <f t="shared" si="213"/>
        <v/>
      </c>
    </row>
    <row r="848" spans="1:44" ht="30" customHeight="1" x14ac:dyDescent="0.35">
      <c r="A848" s="25" t="str">
        <f>CONCATENATE($B$731,"
",$B$815,"",$B$816,"
",$B$847)</f>
        <v>PT178 - PLATAFORMA DE ACESSO - FORQUILHA 3 - DETALHADO
TORRE B6PROJETO DETALHADO
CIVIL</v>
      </c>
      <c r="B848" s="38" t="s">
        <v>71</v>
      </c>
      <c r="C848" s="60" t="str">
        <f>IF(AND($B848=[1]rogério!$A849,[1]rogério!$B849=C$4),"ok","nok")</f>
        <v>nok</v>
      </c>
      <c r="D848" s="60" t="str">
        <f>IF(AND($B848=[1]rogério!$A849,[1]rogério!$B849=D$4),"ok","nok")</f>
        <v>nok</v>
      </c>
      <c r="E848" s="60" t="str">
        <f>IF(AND($B848=[1]rogério!$A849,[1]rogério!$B849=E$4),"ok","nok")</f>
        <v>nok</v>
      </c>
      <c r="F848" s="60" t="str">
        <f>IF(AND($B848=[1]rogério!$A849,[1]rogério!$B849=F$4),"ok","nok")</f>
        <v>nok</v>
      </c>
      <c r="G848" s="60" t="str">
        <f>IF(AND($B848=[1]rogério!$A849,[1]rogério!$B849=G$4),"ok","nok")</f>
        <v>nok</v>
      </c>
      <c r="H848" s="60" t="str">
        <f>IF(AND($B848=[1]rogério!$A849,[1]rogério!$B849=H$4),"ok","nok")</f>
        <v>nok</v>
      </c>
      <c r="I848" s="60" t="str">
        <f>IF(AND($B848=[1]rogério!$A849,[1]rogério!$B849=I$4),"ok","nok")</f>
        <v>ok</v>
      </c>
      <c r="J848" s="60" t="str">
        <f>IF(AND($B848=[1]rogério!$A849,[1]rogério!$B849=J$4),"ok","nok")</f>
        <v>nok</v>
      </c>
      <c r="K848" s="60" t="str">
        <f>IF(AND($B848=[1]rogério!$A849,[1]rogério!$B849=K$4),"ok","nok")</f>
        <v>nok</v>
      </c>
      <c r="L848" s="60" t="str">
        <f>IF(AND($B848=[1]rogério!$A849,[1]rogério!$B849=L$4),"ok","nok")</f>
        <v>nok</v>
      </c>
      <c r="M848" s="60" t="str">
        <f>IF(AND($B848=[1]rogério!$A849,[1]rogério!$B849=M$4),"ok","nok")</f>
        <v>nok</v>
      </c>
      <c r="N848" s="60" t="str">
        <f>IF(AND($B848=[1]rogério!$A849,[1]rogério!$B849=N$4),"ok","nok")</f>
        <v>nok</v>
      </c>
      <c r="O848" s="60" t="str">
        <f>IF(AND($B848=[1]rogério!$A849,[1]rogério!$B849=O$4),"ok","nok")</f>
        <v>nok</v>
      </c>
      <c r="P848" s="60" t="str">
        <f>IF(AND($B848=[1]rogério!$A849,[1]rogério!$B849=P$4),"ok","nok")</f>
        <v>nok</v>
      </c>
      <c r="Q848" s="60" t="str">
        <f>IF(AND($B848=[1]rogério!$A849,[1]rogério!$B849=Q$4),"ok","nok")</f>
        <v>nok</v>
      </c>
      <c r="R848" s="60" t="str">
        <f>IF(AND($B848=[1]rogério!$A849,[1]rogério!$B849=R$4),"ok","nok")</f>
        <v>nok</v>
      </c>
      <c r="S848" s="60" t="str">
        <f>IF(AND($B848=[1]rogério!$A849,[1]rogério!$B849=S$4),"ok","nok")</f>
        <v>nok</v>
      </c>
      <c r="T848" s="60" t="str">
        <f>IF(AND($B848=[1]rogério!$A849,[1]rogério!$B849=T$4),"ok","nok")</f>
        <v>nok</v>
      </c>
      <c r="U848" s="60" t="str">
        <f>IF(AND($B848=[1]rogério!$A849,[1]rogério!$B849=U$4),"ok","nok")</f>
        <v>nok</v>
      </c>
      <c r="V848" s="60" t="str">
        <f>IF(AND($B848=[1]rogério!$A849,[1]rogério!$B849=V$4),"ok","nok")</f>
        <v>nok</v>
      </c>
      <c r="W848" s="60" t="str">
        <f>IF(AND($B848=[1]rogério!$A849,[1]rogério!$B849=W$4),"ok","nok")</f>
        <v>nok</v>
      </c>
      <c r="X848" s="60" t="str">
        <f>IF(AND($B848=[1]rogério!$A849,[1]rogério!$B849=X$4),"ok","nok")</f>
        <v>nok</v>
      </c>
      <c r="Y848" s="105" t="s">
        <v>15</v>
      </c>
      <c r="Z848" s="106"/>
      <c r="AA848" s="106"/>
      <c r="AB848" s="107"/>
      <c r="AE848" s="48" t="str">
        <f t="shared" si="203"/>
        <v/>
      </c>
      <c r="AF848" s="48"/>
      <c r="AG848" s="48"/>
      <c r="AH848" s="89"/>
      <c r="AI848" s="49">
        <f t="shared" si="204"/>
        <v>0</v>
      </c>
      <c r="AJ848" s="49" t="str">
        <f t="shared" si="205"/>
        <v/>
      </c>
      <c r="AK848" s="49">
        <f t="shared" si="206"/>
        <v>1</v>
      </c>
      <c r="AL848" s="49" t="str">
        <f t="shared" si="207"/>
        <v/>
      </c>
      <c r="AM848" s="49">
        <f t="shared" si="208"/>
        <v>0</v>
      </c>
      <c r="AN848" s="49" t="str">
        <f t="shared" si="209"/>
        <v/>
      </c>
      <c r="AO848" s="49">
        <f t="shared" si="210"/>
        <v>0</v>
      </c>
      <c r="AP848" s="49" t="str">
        <f t="shared" si="211"/>
        <v/>
      </c>
      <c r="AQ848" s="49">
        <f t="shared" si="212"/>
        <v>0</v>
      </c>
      <c r="AR848" s="49" t="str">
        <f t="shared" si="213"/>
        <v/>
      </c>
    </row>
    <row r="849" spans="1:44" ht="30" customHeight="1" x14ac:dyDescent="0.35">
      <c r="A849" s="25"/>
      <c r="B849" s="39" t="s">
        <v>41</v>
      </c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108"/>
      <c r="Z849" s="109"/>
      <c r="AA849" s="109"/>
      <c r="AB849" s="110"/>
      <c r="AE849" s="48" t="str">
        <f t="shared" si="203"/>
        <v/>
      </c>
      <c r="AF849" s="48"/>
      <c r="AG849" s="48"/>
      <c r="AH849" s="89"/>
      <c r="AI849" s="49">
        <f t="shared" si="204"/>
        <v>0</v>
      </c>
      <c r="AJ849" s="49" t="str">
        <f t="shared" si="205"/>
        <v/>
      </c>
      <c r="AK849" s="49">
        <f t="shared" si="206"/>
        <v>0</v>
      </c>
      <c r="AL849" s="49" t="str">
        <f t="shared" si="207"/>
        <v/>
      </c>
      <c r="AM849" s="49">
        <f t="shared" si="208"/>
        <v>0</v>
      </c>
      <c r="AN849" s="49" t="str">
        <f t="shared" si="209"/>
        <v/>
      </c>
      <c r="AO849" s="49">
        <f t="shared" si="210"/>
        <v>0</v>
      </c>
      <c r="AP849" s="49" t="str">
        <f t="shared" si="211"/>
        <v/>
      </c>
      <c r="AQ849" s="49">
        <f t="shared" si="212"/>
        <v>0</v>
      </c>
      <c r="AR849" s="49" t="str">
        <f t="shared" si="213"/>
        <v/>
      </c>
    </row>
    <row r="850" spans="1:44" ht="30" customHeight="1" x14ac:dyDescent="0.35">
      <c r="A850" s="25" t="str">
        <f t="shared" ref="A850:A882" si="214">CONCATENATE($B$731,"
",$B$815,"",$B$816,"
",$B$847)</f>
        <v>PT178 - PLATAFORMA DE ACESSO - FORQUILHA 3 - DETALHADO
TORRE B6PROJETO DETALHADO
CIVIL</v>
      </c>
      <c r="B850" s="40" t="s">
        <v>49</v>
      </c>
      <c r="C850" s="60" t="str">
        <f>IF(AND($B850=[1]rogério!$A851,[1]rogério!$B851=C$4),"ok","nok")</f>
        <v>nok</v>
      </c>
      <c r="D850" s="60" t="str">
        <f>IF(AND($B850=[1]rogério!$A851,[1]rogério!$B851=D$4),"ok","nok")</f>
        <v>nok</v>
      </c>
      <c r="E850" s="60" t="str">
        <f>IF(AND($B850=[1]rogério!$A851,[1]rogério!$B851=E$4),"ok","nok")</f>
        <v>nok</v>
      </c>
      <c r="F850" s="60" t="str">
        <f>IF(AND($B850=[1]rogério!$A851,[1]rogério!$B851=F$4),"ok","nok")</f>
        <v>nok</v>
      </c>
      <c r="G850" s="60" t="str">
        <f>IF(AND($B850=[1]rogério!$A851,[1]rogério!$B851=G$4),"ok","nok")</f>
        <v>nok</v>
      </c>
      <c r="H850" s="60" t="str">
        <f>IF(AND($B850=[1]rogério!$A851,[1]rogério!$B851=H$4),"ok","nok")</f>
        <v>nok</v>
      </c>
      <c r="I850" s="60" t="str">
        <f>IF(AND($B850=[1]rogério!$A851,[1]rogério!$B851=I$4),"ok","nok")</f>
        <v>ok</v>
      </c>
      <c r="J850" s="60" t="str">
        <f>IF(AND($B850=[1]rogério!$A851,[1]rogério!$B851=J$4),"ok","nok")</f>
        <v>nok</v>
      </c>
      <c r="K850" s="60" t="str">
        <f>IF(AND($B850=[1]rogério!$A851,[1]rogério!$B851=K$4),"ok","nok")</f>
        <v>nok</v>
      </c>
      <c r="L850" s="60" t="str">
        <f>IF(AND($B850=[1]rogério!$A851,[1]rogério!$B851=L$4),"ok","nok")</f>
        <v>nok</v>
      </c>
      <c r="M850" s="60" t="str">
        <f>IF(AND($B850=[1]rogério!$A851,[1]rogério!$B851=M$4),"ok","nok")</f>
        <v>nok</v>
      </c>
      <c r="N850" s="60" t="str">
        <f>IF(AND($B850=[1]rogério!$A851,[1]rogério!$B851=N$4),"ok","nok")</f>
        <v>nok</v>
      </c>
      <c r="O850" s="60" t="str">
        <f>IF(AND($B850=[1]rogério!$A851,[1]rogério!$B851=O$4),"ok","nok")</f>
        <v>nok</v>
      </c>
      <c r="P850" s="60" t="str">
        <f>IF(AND($B850=[1]rogério!$A851,[1]rogério!$B851=P$4),"ok","nok")</f>
        <v>nok</v>
      </c>
      <c r="Q850" s="60" t="str">
        <f>IF(AND($B850=[1]rogério!$A851,[1]rogério!$B851=Q$4),"ok","nok")</f>
        <v>nok</v>
      </c>
      <c r="R850" s="60" t="str">
        <f>IF(AND($B850=[1]rogério!$A851,[1]rogério!$B851=R$4),"ok","nok")</f>
        <v>nok</v>
      </c>
      <c r="S850" s="60" t="str">
        <f>IF(AND($B850=[1]rogério!$A851,[1]rogério!$B851=S$4),"ok","nok")</f>
        <v>nok</v>
      </c>
      <c r="T850" s="60" t="str">
        <f>IF(AND($B850=[1]rogério!$A851,[1]rogério!$B851=T$4),"ok","nok")</f>
        <v>nok</v>
      </c>
      <c r="U850" s="60" t="str">
        <f>IF(AND($B850=[1]rogério!$A851,[1]rogério!$B851=U$4),"ok","nok")</f>
        <v>nok</v>
      </c>
      <c r="V850" s="60" t="str">
        <f>IF(AND($B850=[1]rogério!$A851,[1]rogério!$B851=V$4),"ok","nok")</f>
        <v>nok</v>
      </c>
      <c r="W850" s="60" t="str">
        <f>IF(AND($B850=[1]rogério!$A851,[1]rogério!$B851=W$4),"ok","nok")</f>
        <v>nok</v>
      </c>
      <c r="X850" s="60" t="str">
        <f>IF(AND($B850=[1]rogério!$A851,[1]rogério!$B851=X$4),"ok","nok")</f>
        <v>nok</v>
      </c>
      <c r="Y850" s="105" t="s">
        <v>15</v>
      </c>
      <c r="Z850" s="106"/>
      <c r="AA850" s="106"/>
      <c r="AB850" s="107"/>
      <c r="AE850" s="48" t="str">
        <f t="shared" si="203"/>
        <v/>
      </c>
      <c r="AF850" s="48"/>
      <c r="AG850" s="48"/>
      <c r="AH850" s="89"/>
      <c r="AI850" s="49">
        <f t="shared" si="204"/>
        <v>0</v>
      </c>
      <c r="AJ850" s="49" t="str">
        <f t="shared" si="205"/>
        <v/>
      </c>
      <c r="AK850" s="49">
        <f t="shared" si="206"/>
        <v>1</v>
      </c>
      <c r="AL850" s="49" t="str">
        <f t="shared" si="207"/>
        <v/>
      </c>
      <c r="AM850" s="49">
        <f t="shared" si="208"/>
        <v>0</v>
      </c>
      <c r="AN850" s="49" t="str">
        <f t="shared" si="209"/>
        <v/>
      </c>
      <c r="AO850" s="49">
        <f t="shared" si="210"/>
        <v>0</v>
      </c>
      <c r="AP850" s="49" t="str">
        <f t="shared" si="211"/>
        <v/>
      </c>
      <c r="AQ850" s="49">
        <f t="shared" si="212"/>
        <v>0</v>
      </c>
      <c r="AR850" s="49" t="str">
        <f t="shared" si="213"/>
        <v/>
      </c>
    </row>
    <row r="851" spans="1:44" ht="30" customHeight="1" x14ac:dyDescent="0.35">
      <c r="A851" s="25" t="str">
        <f t="shared" si="214"/>
        <v>PT178 - PLATAFORMA DE ACESSO - FORQUILHA 3 - DETALHADO
TORRE B6PROJETO DETALHADO
CIVIL</v>
      </c>
      <c r="B851" s="40" t="s">
        <v>19</v>
      </c>
      <c r="C851" s="60" t="str">
        <f>IF(AND($B851=[1]rogério!$A852,[1]rogério!$B852=C$4),"ok","nok")</f>
        <v>nok</v>
      </c>
      <c r="D851" s="60" t="str">
        <f>IF(AND($B851=[1]rogério!$A852,[1]rogério!$B852=D$4),"ok","nok")</f>
        <v>nok</v>
      </c>
      <c r="E851" s="60" t="str">
        <f>IF(AND($B851=[1]rogério!$A852,[1]rogério!$B852=E$4),"ok","nok")</f>
        <v>nok</v>
      </c>
      <c r="F851" s="60" t="str">
        <f>IF(AND($B851=[1]rogério!$A852,[1]rogério!$B852=F$4),"ok","nok")</f>
        <v>nok</v>
      </c>
      <c r="G851" s="60" t="str">
        <f>IF(AND($B851=[1]rogério!$A852,[1]rogério!$B852=G$4),"ok","nok")</f>
        <v>nok</v>
      </c>
      <c r="H851" s="60" t="str">
        <f>IF(AND($B851=[1]rogério!$A852,[1]rogério!$B852=H$4),"ok","nok")</f>
        <v>nok</v>
      </c>
      <c r="I851" s="60" t="str">
        <f>IF(AND($B851=[1]rogério!$A852,[1]rogério!$B852=I$4),"ok","nok")</f>
        <v>nok</v>
      </c>
      <c r="J851" s="60" t="str">
        <f>IF(AND($B851=[1]rogério!$A852,[1]rogério!$B852=J$4),"ok","nok")</f>
        <v>nok</v>
      </c>
      <c r="K851" s="60" t="str">
        <f>IF(AND($B851=[1]rogério!$A852,[1]rogério!$B852=K$4),"ok","nok")</f>
        <v>nok</v>
      </c>
      <c r="L851" s="60" t="str">
        <f>IF(AND($B851=[1]rogério!$A852,[1]rogério!$B852=L$4),"ok","nok")</f>
        <v>nok</v>
      </c>
      <c r="M851" s="60" t="str">
        <f>IF(AND($B851=[1]rogério!$A852,[1]rogério!$B852=M$4),"ok","nok")</f>
        <v>nok</v>
      </c>
      <c r="N851" s="60" t="str">
        <f>IF(AND($B851=[1]rogério!$A852,[1]rogério!$B852=N$4),"ok","nok")</f>
        <v>ok</v>
      </c>
      <c r="O851" s="60" t="str">
        <f>IF(AND($B851=[1]rogério!$A852,[1]rogério!$B852=O$4),"ok","nok")</f>
        <v>nok</v>
      </c>
      <c r="P851" s="60" t="str">
        <f>IF(AND($B851=[1]rogério!$A852,[1]rogério!$B852=P$4),"ok","nok")</f>
        <v>nok</v>
      </c>
      <c r="Q851" s="60" t="str">
        <f>IF(AND($B851=[1]rogério!$A852,[1]rogério!$B852=Q$4),"ok","nok")</f>
        <v>nok</v>
      </c>
      <c r="R851" s="60" t="str">
        <f>IF(AND($B851=[1]rogério!$A852,[1]rogério!$B852=R$4),"ok","nok")</f>
        <v>nok</v>
      </c>
      <c r="S851" s="60" t="str">
        <f>IF(AND($B851=[1]rogério!$A852,[1]rogério!$B852=S$4),"ok","nok")</f>
        <v>nok</v>
      </c>
      <c r="T851" s="60" t="str">
        <f>IF(AND($B851=[1]rogério!$A852,[1]rogério!$B852=T$4),"ok","nok")</f>
        <v>nok</v>
      </c>
      <c r="U851" s="60" t="str">
        <f>IF(AND($B851=[1]rogério!$A852,[1]rogério!$B852=U$4),"ok","nok")</f>
        <v>nok</v>
      </c>
      <c r="V851" s="60" t="str">
        <f>IF(AND($B851=[1]rogério!$A852,[1]rogério!$B852=V$4),"ok","nok")</f>
        <v>nok</v>
      </c>
      <c r="W851" s="60" t="str">
        <f>IF(AND($B851=[1]rogério!$A852,[1]rogério!$B852=W$4),"ok","nok")</f>
        <v>nok</v>
      </c>
      <c r="X851" s="60" t="str">
        <f>IF(AND($B851=[1]rogério!$A852,[1]rogério!$B852=X$4),"ok","nok")</f>
        <v>nok</v>
      </c>
      <c r="Y851" s="105" t="s">
        <v>15</v>
      </c>
      <c r="Z851" s="106"/>
      <c r="AA851" s="106"/>
      <c r="AB851" s="107"/>
      <c r="AE851" s="48" t="str">
        <f t="shared" si="203"/>
        <v/>
      </c>
      <c r="AF851" s="48"/>
      <c r="AG851" s="48"/>
      <c r="AH851" s="89"/>
      <c r="AI851" s="49">
        <f t="shared" si="204"/>
        <v>0</v>
      </c>
      <c r="AJ851" s="49" t="str">
        <f t="shared" si="205"/>
        <v/>
      </c>
      <c r="AK851" s="49">
        <f t="shared" si="206"/>
        <v>0</v>
      </c>
      <c r="AL851" s="49" t="str">
        <f t="shared" si="207"/>
        <v/>
      </c>
      <c r="AM851" s="49">
        <f t="shared" si="208"/>
        <v>1</v>
      </c>
      <c r="AN851" s="49" t="str">
        <f t="shared" si="209"/>
        <v/>
      </c>
      <c r="AO851" s="49">
        <f t="shared" si="210"/>
        <v>0</v>
      </c>
      <c r="AP851" s="49" t="str">
        <f t="shared" si="211"/>
        <v/>
      </c>
      <c r="AQ851" s="49">
        <f t="shared" si="212"/>
        <v>0</v>
      </c>
      <c r="AR851" s="49" t="str">
        <f t="shared" si="213"/>
        <v/>
      </c>
    </row>
    <row r="852" spans="1:44" ht="30" customHeight="1" x14ac:dyDescent="0.35">
      <c r="A852" s="25" t="str">
        <f t="shared" si="214"/>
        <v>PT178 - PLATAFORMA DE ACESSO - FORQUILHA 3 - DETALHADO
TORRE B6PROJETO DETALHADO
CIVIL</v>
      </c>
      <c r="B852" s="40" t="s">
        <v>42</v>
      </c>
      <c r="C852" s="60" t="str">
        <f>IF(AND($B852=[1]rogério!$A853,[1]rogério!$B853=C$4),"ok","nok")</f>
        <v>nok</v>
      </c>
      <c r="D852" s="60" t="str">
        <f>IF(AND($B852=[1]rogério!$A853,[1]rogério!$B853=D$4),"ok","nok")</f>
        <v>nok</v>
      </c>
      <c r="E852" s="60" t="str">
        <f>IF(AND($B852=[1]rogério!$A853,[1]rogério!$B853=E$4),"ok","nok")</f>
        <v>nok</v>
      </c>
      <c r="F852" s="60" t="str">
        <f>IF(AND($B852=[1]rogério!$A853,[1]rogério!$B853=F$4),"ok","nok")</f>
        <v>nok</v>
      </c>
      <c r="G852" s="60" t="str">
        <f>IF(AND($B852=[1]rogério!$A853,[1]rogério!$B853=G$4),"ok","nok")</f>
        <v>nok</v>
      </c>
      <c r="H852" s="60" t="str">
        <f>IF(AND($B852=[1]rogério!$A853,[1]rogério!$B853=H$4),"ok","nok")</f>
        <v>nok</v>
      </c>
      <c r="I852" s="60" t="str">
        <f>IF(AND($B852=[1]rogério!$A853,[1]rogério!$B853=I$4),"ok","nok")</f>
        <v>nok</v>
      </c>
      <c r="J852" s="60" t="str">
        <f>IF(AND($B852=[1]rogério!$A853,[1]rogério!$B853=J$4),"ok","nok")</f>
        <v>nok</v>
      </c>
      <c r="K852" s="60" t="str">
        <f>IF(AND($B852=[1]rogério!$A853,[1]rogério!$B853=K$4),"ok","nok")</f>
        <v>nok</v>
      </c>
      <c r="L852" s="60" t="str">
        <f>IF(AND($B852=[1]rogério!$A853,[1]rogério!$B853=L$4),"ok","nok")</f>
        <v>nok</v>
      </c>
      <c r="M852" s="60" t="str">
        <f>IF(AND($B852=[1]rogério!$A853,[1]rogério!$B853=M$4),"ok","nok")</f>
        <v>nok</v>
      </c>
      <c r="N852" s="60" t="str">
        <f>IF(AND($B852=[1]rogério!$A853,[1]rogério!$B853=N$4),"ok","nok")</f>
        <v>nok</v>
      </c>
      <c r="O852" s="60" t="str">
        <f>IF(AND($B852=[1]rogério!$A853,[1]rogério!$B853=O$4),"ok","nok")</f>
        <v>nok</v>
      </c>
      <c r="P852" s="60" t="str">
        <f>IF(AND($B852=[1]rogério!$A853,[1]rogério!$B853=P$4),"ok","nok")</f>
        <v>nok</v>
      </c>
      <c r="Q852" s="60" t="str">
        <f>IF(AND($B852=[1]rogério!$A853,[1]rogério!$B853=Q$4),"ok","nok")</f>
        <v>ok</v>
      </c>
      <c r="R852" s="60" t="str">
        <f>IF(AND($B852=[1]rogério!$A853,[1]rogério!$B853=R$4),"ok","nok")</f>
        <v>nok</v>
      </c>
      <c r="S852" s="60" t="str">
        <f>IF(AND($B852=[1]rogério!$A853,[1]rogério!$B853=S$4),"ok","nok")</f>
        <v>nok</v>
      </c>
      <c r="T852" s="60" t="str">
        <f>IF(AND($B852=[1]rogério!$A853,[1]rogério!$B853=T$4),"ok","nok")</f>
        <v>nok</v>
      </c>
      <c r="U852" s="60" t="str">
        <f>IF(AND($B852=[1]rogério!$A853,[1]rogério!$B853=U$4),"ok","nok")</f>
        <v>nok</v>
      </c>
      <c r="V852" s="60" t="str">
        <f>IF(AND($B852=[1]rogério!$A853,[1]rogério!$B853=V$4),"ok","nok")</f>
        <v>nok</v>
      </c>
      <c r="W852" s="60" t="str">
        <f>IF(AND($B852=[1]rogério!$A853,[1]rogério!$B853=W$4),"ok","nok")</f>
        <v>nok</v>
      </c>
      <c r="X852" s="60" t="str">
        <f>IF(AND($B852=[1]rogério!$A853,[1]rogério!$B853=X$4),"ok","nok")</f>
        <v>nok</v>
      </c>
      <c r="Y852" s="105" t="s">
        <v>15</v>
      </c>
      <c r="Z852" s="106"/>
      <c r="AA852" s="106"/>
      <c r="AB852" s="107"/>
      <c r="AE852" s="48" t="str">
        <f t="shared" si="203"/>
        <v/>
      </c>
      <c r="AF852" s="48"/>
      <c r="AG852" s="48"/>
      <c r="AH852" s="89"/>
      <c r="AI852" s="49">
        <f t="shared" si="204"/>
        <v>0</v>
      </c>
      <c r="AJ852" s="49" t="str">
        <f t="shared" si="205"/>
        <v/>
      </c>
      <c r="AK852" s="49">
        <f t="shared" si="206"/>
        <v>0</v>
      </c>
      <c r="AL852" s="49" t="str">
        <f t="shared" si="207"/>
        <v/>
      </c>
      <c r="AM852" s="49">
        <f t="shared" si="208"/>
        <v>1</v>
      </c>
      <c r="AN852" s="49" t="str">
        <f t="shared" si="209"/>
        <v/>
      </c>
      <c r="AO852" s="49">
        <f t="shared" si="210"/>
        <v>0</v>
      </c>
      <c r="AP852" s="49" t="str">
        <f t="shared" si="211"/>
        <v/>
      </c>
      <c r="AQ852" s="49">
        <f t="shared" si="212"/>
        <v>0</v>
      </c>
      <c r="AR852" s="49" t="str">
        <f t="shared" si="213"/>
        <v/>
      </c>
    </row>
    <row r="853" spans="1:44" ht="30" customHeight="1" x14ac:dyDescent="0.35">
      <c r="A853" s="25" t="str">
        <f t="shared" si="214"/>
        <v>PT178 - PLATAFORMA DE ACESSO - FORQUILHA 3 - DETALHADO
TORRE B6PROJETO DETALHADO
CIVIL</v>
      </c>
      <c r="B853" s="40" t="s">
        <v>43</v>
      </c>
      <c r="C853" s="60" t="str">
        <f>IF(AND($B853=[1]rogério!$A854,[1]rogério!$B854=C$4),"ok","nok")</f>
        <v>nok</v>
      </c>
      <c r="D853" s="60" t="str">
        <f>IF(AND($B853=[1]rogério!$A854,[1]rogério!$B854=D$4),"ok","nok")</f>
        <v>nok</v>
      </c>
      <c r="E853" s="60" t="str">
        <f>IF(AND($B853=[1]rogério!$A854,[1]rogério!$B854=E$4),"ok","nok")</f>
        <v>nok</v>
      </c>
      <c r="F853" s="60" t="str">
        <f>IF(AND($B853=[1]rogério!$A854,[1]rogério!$B854=F$4),"ok","nok")</f>
        <v>nok</v>
      </c>
      <c r="G853" s="60" t="str">
        <f>IF(AND($B853=[1]rogério!$A854,[1]rogério!$B854=G$4),"ok","nok")</f>
        <v>nok</v>
      </c>
      <c r="H853" s="60" t="str">
        <f>IF(AND($B853=[1]rogério!$A854,[1]rogério!$B854=H$4),"ok","nok")</f>
        <v>nok</v>
      </c>
      <c r="I853" s="60" t="str">
        <f>IF(AND($B853=[1]rogério!$A854,[1]rogério!$B854=I$4),"ok","nok")</f>
        <v>nok</v>
      </c>
      <c r="J853" s="60" t="str">
        <f>IF(AND($B853=[1]rogério!$A854,[1]rogério!$B854=J$4),"ok","nok")</f>
        <v>nok</v>
      </c>
      <c r="K853" s="60" t="str">
        <f>IF(AND($B853=[1]rogério!$A854,[1]rogério!$B854=K$4),"ok","nok")</f>
        <v>nok</v>
      </c>
      <c r="L853" s="60" t="str">
        <f>IF(AND($B853=[1]rogério!$A854,[1]rogério!$B854=L$4),"ok","nok")</f>
        <v>nok</v>
      </c>
      <c r="M853" s="60" t="str">
        <f>IF(AND($B853=[1]rogério!$A854,[1]rogério!$B854=M$4),"ok","nok")</f>
        <v>nok</v>
      </c>
      <c r="N853" s="60" t="str">
        <f>IF(AND($B853=[1]rogério!$A854,[1]rogério!$B854=N$4),"ok","nok")</f>
        <v>nok</v>
      </c>
      <c r="O853" s="60" t="str">
        <f>IF(AND($B853=[1]rogério!$A854,[1]rogério!$B854=O$4),"ok","nok")</f>
        <v>nok</v>
      </c>
      <c r="P853" s="60" t="str">
        <f>IF(AND($B853=[1]rogério!$A854,[1]rogério!$B854=P$4),"ok","nok")</f>
        <v>nok</v>
      </c>
      <c r="Q853" s="60" t="str">
        <f>IF(AND($B853=[1]rogério!$A854,[1]rogério!$B854=Q$4),"ok","nok")</f>
        <v>ok</v>
      </c>
      <c r="R853" s="60" t="str">
        <f>IF(AND($B853=[1]rogério!$A854,[1]rogério!$B854=R$4),"ok","nok")</f>
        <v>nok</v>
      </c>
      <c r="S853" s="60" t="str">
        <f>IF(AND($B853=[1]rogério!$A854,[1]rogério!$B854=S$4),"ok","nok")</f>
        <v>nok</v>
      </c>
      <c r="T853" s="60" t="str">
        <f>IF(AND($B853=[1]rogério!$A854,[1]rogério!$B854=T$4),"ok","nok")</f>
        <v>nok</v>
      </c>
      <c r="U853" s="60" t="str">
        <f>IF(AND($B853=[1]rogério!$A854,[1]rogério!$B854=U$4),"ok","nok")</f>
        <v>nok</v>
      </c>
      <c r="V853" s="60" t="str">
        <f>IF(AND($B853=[1]rogério!$A854,[1]rogério!$B854=V$4),"ok","nok")</f>
        <v>nok</v>
      </c>
      <c r="W853" s="60" t="str">
        <f>IF(AND($B853=[1]rogério!$A854,[1]rogério!$B854=W$4),"ok","nok")</f>
        <v>nok</v>
      </c>
      <c r="X853" s="60" t="str">
        <f>IF(AND($B853=[1]rogério!$A854,[1]rogério!$B854=X$4),"ok","nok")</f>
        <v>nok</v>
      </c>
      <c r="Y853" s="105" t="s">
        <v>15</v>
      </c>
      <c r="Z853" s="106"/>
      <c r="AA853" s="106"/>
      <c r="AB853" s="107"/>
      <c r="AE853" s="48" t="str">
        <f t="shared" si="203"/>
        <v/>
      </c>
      <c r="AF853" s="48"/>
      <c r="AG853" s="48"/>
      <c r="AH853" s="89"/>
      <c r="AI853" s="49">
        <f t="shared" si="204"/>
        <v>0</v>
      </c>
      <c r="AJ853" s="49" t="str">
        <f t="shared" si="205"/>
        <v/>
      </c>
      <c r="AK853" s="49">
        <f t="shared" si="206"/>
        <v>0</v>
      </c>
      <c r="AL853" s="49" t="str">
        <f t="shared" si="207"/>
        <v/>
      </c>
      <c r="AM853" s="49">
        <f t="shared" si="208"/>
        <v>1</v>
      </c>
      <c r="AN853" s="49" t="str">
        <f t="shared" si="209"/>
        <v/>
      </c>
      <c r="AO853" s="49">
        <f t="shared" si="210"/>
        <v>0</v>
      </c>
      <c r="AP853" s="49" t="str">
        <f t="shared" si="211"/>
        <v/>
      </c>
      <c r="AQ853" s="49">
        <f t="shared" si="212"/>
        <v>0</v>
      </c>
      <c r="AR853" s="49" t="str">
        <f t="shared" si="213"/>
        <v/>
      </c>
    </row>
    <row r="854" spans="1:44" ht="30" customHeight="1" x14ac:dyDescent="0.35">
      <c r="A854" s="25" t="str">
        <f t="shared" si="214"/>
        <v>PT178 - PLATAFORMA DE ACESSO - FORQUILHA 3 - DETALHADO
TORRE B6PROJETO DETALHADO
CIVIL</v>
      </c>
      <c r="B854" s="38" t="s">
        <v>73</v>
      </c>
      <c r="C854" s="60" t="str">
        <f>IF(AND($B854=[1]rogério!$A855,[1]rogério!$B855=C$4),"ok","nok")</f>
        <v>nok</v>
      </c>
      <c r="D854" s="60" t="str">
        <f>IF(AND($B854=[1]rogério!$A855,[1]rogério!$B855=D$4),"ok","nok")</f>
        <v>nok</v>
      </c>
      <c r="E854" s="60" t="str">
        <f>IF(AND($B854=[1]rogério!$A855,[1]rogério!$B855=E$4),"ok","nok")</f>
        <v>nok</v>
      </c>
      <c r="F854" s="60" t="str">
        <f>IF(AND($B854=[1]rogério!$A855,[1]rogério!$B855=F$4),"ok","nok")</f>
        <v>nok</v>
      </c>
      <c r="G854" s="60" t="str">
        <f>IF(AND($B854=[1]rogério!$A855,[1]rogério!$B855=G$4),"ok","nok")</f>
        <v>nok</v>
      </c>
      <c r="H854" s="60" t="str">
        <f>IF(AND($B854=[1]rogério!$A855,[1]rogério!$B855=H$4),"ok","nok")</f>
        <v>nok</v>
      </c>
      <c r="I854" s="60" t="str">
        <f>IF(AND($B854=[1]rogério!$A855,[1]rogério!$B855=I$4),"ok","nok")</f>
        <v>nok</v>
      </c>
      <c r="J854" s="60" t="str">
        <f>IF(AND($B854=[1]rogério!$A855,[1]rogério!$B855=J$4),"ok","nok")</f>
        <v>nok</v>
      </c>
      <c r="K854" s="60" t="str">
        <f>IF(AND($B854=[1]rogério!$A855,[1]rogério!$B855=K$4),"ok","nok")</f>
        <v>nok</v>
      </c>
      <c r="L854" s="60" t="str">
        <f>IF(AND($B854=[1]rogério!$A855,[1]rogério!$B855=L$4),"ok","nok")</f>
        <v>ok</v>
      </c>
      <c r="M854" s="60" t="str">
        <f>IF(AND($B854=[1]rogério!$A855,[1]rogério!$B855=M$4),"ok","nok")</f>
        <v>nok</v>
      </c>
      <c r="N854" s="60" t="str">
        <f>IF(AND($B854=[1]rogério!$A855,[1]rogério!$B855=N$4),"ok","nok")</f>
        <v>nok</v>
      </c>
      <c r="O854" s="60" t="str">
        <f>IF(AND($B854=[1]rogério!$A855,[1]rogério!$B855=O$4),"ok","nok")</f>
        <v>nok</v>
      </c>
      <c r="P854" s="60" t="str">
        <f>IF(AND($B854=[1]rogério!$A855,[1]rogério!$B855=P$4),"ok","nok")</f>
        <v>nok</v>
      </c>
      <c r="Q854" s="60" t="str">
        <f>IF(AND($B854=[1]rogério!$A855,[1]rogério!$B855=Q$4),"ok","nok")</f>
        <v>nok</v>
      </c>
      <c r="R854" s="60" t="str">
        <f>IF(AND($B854=[1]rogério!$A855,[1]rogério!$B855=R$4),"ok","nok")</f>
        <v>nok</v>
      </c>
      <c r="S854" s="60" t="str">
        <f>IF(AND($B854=[1]rogério!$A855,[1]rogério!$B855=S$4),"ok","nok")</f>
        <v>nok</v>
      </c>
      <c r="T854" s="60" t="str">
        <f>IF(AND($B854=[1]rogério!$A855,[1]rogério!$B855=T$4),"ok","nok")</f>
        <v>nok</v>
      </c>
      <c r="U854" s="60" t="str">
        <f>IF(AND($B854=[1]rogério!$A855,[1]rogério!$B855=U$4),"ok","nok")</f>
        <v>nok</v>
      </c>
      <c r="V854" s="60" t="str">
        <f>IF(AND($B854=[1]rogério!$A855,[1]rogério!$B855=V$4),"ok","nok")</f>
        <v>nok</v>
      </c>
      <c r="W854" s="60" t="str">
        <f>IF(AND($B854=[1]rogério!$A855,[1]rogério!$B855=W$4),"ok","nok")</f>
        <v>nok</v>
      </c>
      <c r="X854" s="60" t="str">
        <f>IF(AND($B854=[1]rogério!$A855,[1]rogério!$B855=X$4),"ok","nok")</f>
        <v>nok</v>
      </c>
      <c r="Y854" s="105" t="s">
        <v>15</v>
      </c>
      <c r="Z854" s="106"/>
      <c r="AA854" s="106"/>
      <c r="AB854" s="107"/>
      <c r="AE854" s="48" t="str">
        <f t="shared" si="203"/>
        <v/>
      </c>
      <c r="AF854" s="48"/>
      <c r="AG854" s="48"/>
      <c r="AH854" s="89"/>
      <c r="AI854" s="49">
        <f t="shared" si="204"/>
        <v>0</v>
      </c>
      <c r="AJ854" s="49" t="str">
        <f t="shared" si="205"/>
        <v/>
      </c>
      <c r="AK854" s="49">
        <f t="shared" si="206"/>
        <v>1</v>
      </c>
      <c r="AL854" s="49" t="str">
        <f t="shared" si="207"/>
        <v/>
      </c>
      <c r="AM854" s="49">
        <f t="shared" si="208"/>
        <v>0</v>
      </c>
      <c r="AN854" s="49" t="str">
        <f t="shared" si="209"/>
        <v/>
      </c>
      <c r="AO854" s="49">
        <f t="shared" si="210"/>
        <v>0</v>
      </c>
      <c r="AP854" s="49" t="str">
        <f t="shared" si="211"/>
        <v/>
      </c>
      <c r="AQ854" s="49">
        <f t="shared" si="212"/>
        <v>0</v>
      </c>
      <c r="AR854" s="49" t="str">
        <f t="shared" si="213"/>
        <v/>
      </c>
    </row>
    <row r="855" spans="1:44" ht="30" customHeight="1" x14ac:dyDescent="0.35">
      <c r="A855" s="25"/>
      <c r="B855" s="39" t="s">
        <v>53</v>
      </c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108"/>
      <c r="Z855" s="109"/>
      <c r="AA855" s="109"/>
      <c r="AB855" s="110"/>
      <c r="AE855" s="48" t="str">
        <f t="shared" si="203"/>
        <v/>
      </c>
      <c r="AF855" s="48"/>
      <c r="AG855" s="48"/>
      <c r="AH855" s="89"/>
      <c r="AI855" s="49">
        <f t="shared" si="204"/>
        <v>0</v>
      </c>
      <c r="AJ855" s="49" t="str">
        <f t="shared" si="205"/>
        <v/>
      </c>
      <c r="AK855" s="49">
        <f t="shared" si="206"/>
        <v>0</v>
      </c>
      <c r="AL855" s="49" t="str">
        <f t="shared" si="207"/>
        <v/>
      </c>
      <c r="AM855" s="49">
        <f t="shared" si="208"/>
        <v>0</v>
      </c>
      <c r="AN855" s="49" t="str">
        <f t="shared" si="209"/>
        <v/>
      </c>
      <c r="AO855" s="49">
        <f t="shared" si="210"/>
        <v>0</v>
      </c>
      <c r="AP855" s="49" t="str">
        <f t="shared" si="211"/>
        <v/>
      </c>
      <c r="AQ855" s="49">
        <f t="shared" si="212"/>
        <v>0</v>
      </c>
      <c r="AR855" s="49" t="str">
        <f t="shared" si="213"/>
        <v/>
      </c>
    </row>
    <row r="856" spans="1:44" ht="30" customHeight="1" x14ac:dyDescent="0.35">
      <c r="A856" s="25" t="str">
        <f t="shared" si="214"/>
        <v>PT178 - PLATAFORMA DE ACESSO - FORQUILHA 3 - DETALHADO
TORRE B6PROJETO DETALHADO
CIVIL</v>
      </c>
      <c r="B856" s="40" t="s">
        <v>49</v>
      </c>
      <c r="C856" s="60" t="str">
        <f>IF(AND($B856=[1]rogério!$A857,[1]rogério!$B857=C$4),"ok","nok")</f>
        <v>nok</v>
      </c>
      <c r="D856" s="60" t="str">
        <f>IF(AND($B856=[1]rogério!$A857,[1]rogério!$B857=D$4),"ok","nok")</f>
        <v>nok</v>
      </c>
      <c r="E856" s="60" t="str">
        <f>IF(AND($B856=[1]rogério!$A857,[1]rogério!$B857=E$4),"ok","nok")</f>
        <v>nok</v>
      </c>
      <c r="F856" s="60" t="str">
        <f>IF(AND($B856=[1]rogério!$A857,[1]rogério!$B857=F$4),"ok","nok")</f>
        <v>nok</v>
      </c>
      <c r="G856" s="60" t="str">
        <f>IF(AND($B856=[1]rogério!$A857,[1]rogério!$B857=G$4),"ok","nok")</f>
        <v>nok</v>
      </c>
      <c r="H856" s="60" t="str">
        <f>IF(AND($B856=[1]rogério!$A857,[1]rogério!$B857=H$4),"ok","nok")</f>
        <v>nok</v>
      </c>
      <c r="I856" s="60" t="str">
        <f>IF(AND($B856=[1]rogério!$A857,[1]rogério!$B857=I$4),"ok","nok")</f>
        <v>nok</v>
      </c>
      <c r="J856" s="60" t="str">
        <f>IF(AND($B856=[1]rogério!$A857,[1]rogério!$B857=J$4),"ok","nok")</f>
        <v>nok</v>
      </c>
      <c r="K856" s="60" t="str">
        <f>IF(AND($B856=[1]rogério!$A857,[1]rogério!$B857=K$4),"ok","nok")</f>
        <v>nok</v>
      </c>
      <c r="L856" s="60" t="str">
        <f>IF(AND($B856=[1]rogério!$A857,[1]rogério!$B857=L$4),"ok","nok")</f>
        <v>ok</v>
      </c>
      <c r="M856" s="60" t="str">
        <f>IF(AND($B856=[1]rogério!$A857,[1]rogério!$B857=M$4),"ok","nok")</f>
        <v>nok</v>
      </c>
      <c r="N856" s="60" t="str">
        <f>IF(AND($B856=[1]rogério!$A857,[1]rogério!$B857=N$4),"ok","nok")</f>
        <v>nok</v>
      </c>
      <c r="O856" s="60" t="str">
        <f>IF(AND($B856=[1]rogério!$A857,[1]rogério!$B857=O$4),"ok","nok")</f>
        <v>nok</v>
      </c>
      <c r="P856" s="60" t="str">
        <f>IF(AND($B856=[1]rogério!$A857,[1]rogério!$B857=P$4),"ok","nok")</f>
        <v>nok</v>
      </c>
      <c r="Q856" s="60" t="str">
        <f>IF(AND($B856=[1]rogério!$A857,[1]rogério!$B857=Q$4),"ok","nok")</f>
        <v>nok</v>
      </c>
      <c r="R856" s="60" t="str">
        <f>IF(AND($B856=[1]rogério!$A857,[1]rogério!$B857=R$4),"ok","nok")</f>
        <v>nok</v>
      </c>
      <c r="S856" s="60" t="str">
        <f>IF(AND($B856=[1]rogério!$A857,[1]rogério!$B857=S$4),"ok","nok")</f>
        <v>nok</v>
      </c>
      <c r="T856" s="60" t="str">
        <f>IF(AND($B856=[1]rogério!$A857,[1]rogério!$B857=T$4),"ok","nok")</f>
        <v>nok</v>
      </c>
      <c r="U856" s="60" t="str">
        <f>IF(AND($B856=[1]rogério!$A857,[1]rogério!$B857=U$4),"ok","nok")</f>
        <v>nok</v>
      </c>
      <c r="V856" s="60" t="str">
        <f>IF(AND($B856=[1]rogério!$A857,[1]rogério!$B857=V$4),"ok","nok")</f>
        <v>nok</v>
      </c>
      <c r="W856" s="60" t="str">
        <f>IF(AND($B856=[1]rogério!$A857,[1]rogério!$B857=W$4),"ok","nok")</f>
        <v>nok</v>
      </c>
      <c r="X856" s="60" t="str">
        <f>IF(AND($B856=[1]rogério!$A857,[1]rogério!$B857=X$4),"ok","nok")</f>
        <v>nok</v>
      </c>
      <c r="Y856" s="105" t="s">
        <v>15</v>
      </c>
      <c r="Z856" s="106"/>
      <c r="AA856" s="106"/>
      <c r="AB856" s="107"/>
      <c r="AE856" s="48" t="str">
        <f t="shared" si="203"/>
        <v/>
      </c>
      <c r="AF856" s="48"/>
      <c r="AG856" s="48"/>
      <c r="AH856" s="89"/>
      <c r="AI856" s="49">
        <f t="shared" si="204"/>
        <v>0</v>
      </c>
      <c r="AJ856" s="49" t="str">
        <f t="shared" si="205"/>
        <v/>
      </c>
      <c r="AK856" s="49">
        <f t="shared" si="206"/>
        <v>1</v>
      </c>
      <c r="AL856" s="49" t="str">
        <f t="shared" si="207"/>
        <v/>
      </c>
      <c r="AM856" s="49">
        <f t="shared" si="208"/>
        <v>0</v>
      </c>
      <c r="AN856" s="49" t="str">
        <f t="shared" si="209"/>
        <v/>
      </c>
      <c r="AO856" s="49">
        <f t="shared" si="210"/>
        <v>0</v>
      </c>
      <c r="AP856" s="49" t="str">
        <f t="shared" si="211"/>
        <v/>
      </c>
      <c r="AQ856" s="49">
        <f t="shared" si="212"/>
        <v>0</v>
      </c>
      <c r="AR856" s="49" t="str">
        <f t="shared" si="213"/>
        <v/>
      </c>
    </row>
    <row r="857" spans="1:44" ht="30" customHeight="1" x14ac:dyDescent="0.35">
      <c r="A857" s="25" t="str">
        <f t="shared" si="214"/>
        <v>PT178 - PLATAFORMA DE ACESSO - FORQUILHA 3 - DETALHADO
TORRE B6PROJETO DETALHADO
CIVIL</v>
      </c>
      <c r="B857" s="40" t="s">
        <v>19</v>
      </c>
      <c r="C857" s="60" t="str">
        <f>IF(AND($B857=[1]rogério!$A858,[1]rogério!$B858=C$4),"ok","nok")</f>
        <v>nok</v>
      </c>
      <c r="D857" s="60" t="str">
        <f>IF(AND($B857=[1]rogério!$A858,[1]rogério!$B858=D$4),"ok","nok")</f>
        <v>nok</v>
      </c>
      <c r="E857" s="60" t="str">
        <f>IF(AND($B857=[1]rogério!$A858,[1]rogério!$B858=E$4),"ok","nok")</f>
        <v>nok</v>
      </c>
      <c r="F857" s="60" t="str">
        <f>IF(AND($B857=[1]rogério!$A858,[1]rogério!$B858=F$4),"ok","nok")</f>
        <v>nok</v>
      </c>
      <c r="G857" s="60" t="str">
        <f>IF(AND($B857=[1]rogério!$A858,[1]rogério!$B858=G$4),"ok","nok")</f>
        <v>nok</v>
      </c>
      <c r="H857" s="60" t="str">
        <f>IF(AND($B857=[1]rogério!$A858,[1]rogério!$B858=H$4),"ok","nok")</f>
        <v>nok</v>
      </c>
      <c r="I857" s="60" t="str">
        <f>IF(AND($B857=[1]rogério!$A858,[1]rogério!$B858=I$4),"ok","nok")</f>
        <v>nok</v>
      </c>
      <c r="J857" s="60" t="str">
        <f>IF(AND($B857=[1]rogério!$A858,[1]rogério!$B858=J$4),"ok","nok")</f>
        <v>nok</v>
      </c>
      <c r="K857" s="60" t="str">
        <f>IF(AND($B857=[1]rogério!$A858,[1]rogério!$B858=K$4),"ok","nok")</f>
        <v>nok</v>
      </c>
      <c r="L857" s="60" t="str">
        <f>IF(AND($B857=[1]rogério!$A858,[1]rogério!$B858=L$4),"ok","nok")</f>
        <v>nok</v>
      </c>
      <c r="M857" s="60" t="str">
        <f>IF(AND($B857=[1]rogério!$A858,[1]rogério!$B858=M$4),"ok","nok")</f>
        <v>nok</v>
      </c>
      <c r="N857" s="60" t="str">
        <f>IF(AND($B857=[1]rogério!$A858,[1]rogério!$B858=N$4),"ok","nok")</f>
        <v>nok</v>
      </c>
      <c r="O857" s="60" t="str">
        <f>IF(AND($B857=[1]rogério!$A858,[1]rogério!$B858=O$4),"ok","nok")</f>
        <v>nok</v>
      </c>
      <c r="P857" s="60" t="str">
        <f>IF(AND($B857=[1]rogério!$A858,[1]rogério!$B858=P$4),"ok","nok")</f>
        <v>nok</v>
      </c>
      <c r="Q857" s="60" t="str">
        <f>IF(AND($B857=[1]rogério!$A858,[1]rogério!$B858=Q$4),"ok","nok")</f>
        <v>ok</v>
      </c>
      <c r="R857" s="60" t="str">
        <f>IF(AND($B857=[1]rogério!$A858,[1]rogério!$B858=R$4),"ok","nok")</f>
        <v>nok</v>
      </c>
      <c r="S857" s="60" t="str">
        <f>IF(AND($B857=[1]rogério!$A858,[1]rogério!$B858=S$4),"ok","nok")</f>
        <v>nok</v>
      </c>
      <c r="T857" s="60" t="str">
        <f>IF(AND($B857=[1]rogério!$A858,[1]rogério!$B858=T$4),"ok","nok")</f>
        <v>nok</v>
      </c>
      <c r="U857" s="60" t="str">
        <f>IF(AND($B857=[1]rogério!$A858,[1]rogério!$B858=U$4),"ok","nok")</f>
        <v>nok</v>
      </c>
      <c r="V857" s="60" t="str">
        <f>IF(AND($B857=[1]rogério!$A858,[1]rogério!$B858=V$4),"ok","nok")</f>
        <v>nok</v>
      </c>
      <c r="W857" s="60" t="str">
        <f>IF(AND($B857=[1]rogério!$A858,[1]rogério!$B858=W$4),"ok","nok")</f>
        <v>nok</v>
      </c>
      <c r="X857" s="60" t="str">
        <f>IF(AND($B857=[1]rogério!$A858,[1]rogério!$B858=X$4),"ok","nok")</f>
        <v>nok</v>
      </c>
      <c r="Y857" s="105" t="s">
        <v>15</v>
      </c>
      <c r="Z857" s="106"/>
      <c r="AA857" s="106"/>
      <c r="AB857" s="107"/>
      <c r="AE857" s="48" t="str">
        <f t="shared" si="203"/>
        <v/>
      </c>
      <c r="AF857" s="48"/>
      <c r="AG857" s="48"/>
      <c r="AH857" s="89"/>
      <c r="AI857" s="49">
        <f t="shared" si="204"/>
        <v>0</v>
      </c>
      <c r="AJ857" s="49" t="str">
        <f t="shared" si="205"/>
        <v/>
      </c>
      <c r="AK857" s="49">
        <f t="shared" si="206"/>
        <v>0</v>
      </c>
      <c r="AL857" s="49" t="str">
        <f t="shared" si="207"/>
        <v/>
      </c>
      <c r="AM857" s="49">
        <f t="shared" si="208"/>
        <v>1</v>
      </c>
      <c r="AN857" s="49" t="str">
        <f t="shared" si="209"/>
        <v/>
      </c>
      <c r="AO857" s="49">
        <f t="shared" si="210"/>
        <v>0</v>
      </c>
      <c r="AP857" s="49" t="str">
        <f t="shared" si="211"/>
        <v/>
      </c>
      <c r="AQ857" s="49">
        <f t="shared" si="212"/>
        <v>0</v>
      </c>
      <c r="AR857" s="49" t="str">
        <f t="shared" si="213"/>
        <v/>
      </c>
    </row>
    <row r="858" spans="1:44" ht="30" customHeight="1" x14ac:dyDescent="0.35">
      <c r="A858" s="25" t="str">
        <f t="shared" si="214"/>
        <v>PT178 - PLATAFORMA DE ACESSO - FORQUILHA 3 - DETALHADO
TORRE B6PROJETO DETALHADO
CIVIL</v>
      </c>
      <c r="B858" s="40" t="s">
        <v>42</v>
      </c>
      <c r="C858" s="60" t="str">
        <f>IF(AND($B858=[1]rogério!$A859,[1]rogério!$B859=C$4),"ok","nok")</f>
        <v>nok</v>
      </c>
      <c r="D858" s="60" t="str">
        <f>IF(AND($B858=[1]rogério!$A859,[1]rogério!$B859=D$4),"ok","nok")</f>
        <v>nok</v>
      </c>
      <c r="E858" s="60" t="str">
        <f>IF(AND($B858=[1]rogério!$A859,[1]rogério!$B859=E$4),"ok","nok")</f>
        <v>nok</v>
      </c>
      <c r="F858" s="60" t="str">
        <f>IF(AND($B858=[1]rogério!$A859,[1]rogério!$B859=F$4),"ok","nok")</f>
        <v>nok</v>
      </c>
      <c r="G858" s="60" t="str">
        <f>IF(AND($B858=[1]rogério!$A859,[1]rogério!$B859=G$4),"ok","nok")</f>
        <v>nok</v>
      </c>
      <c r="H858" s="60" t="str">
        <f>IF(AND($B858=[1]rogério!$A859,[1]rogério!$B859=H$4),"ok","nok")</f>
        <v>nok</v>
      </c>
      <c r="I858" s="60" t="str">
        <f>IF(AND($B858=[1]rogério!$A859,[1]rogério!$B859=I$4),"ok","nok")</f>
        <v>nok</v>
      </c>
      <c r="J858" s="60" t="str">
        <f>IF(AND($B858=[1]rogério!$A859,[1]rogério!$B859=J$4),"ok","nok")</f>
        <v>nok</v>
      </c>
      <c r="K858" s="60" t="str">
        <f>IF(AND($B858=[1]rogério!$A859,[1]rogério!$B859=K$4),"ok","nok")</f>
        <v>nok</v>
      </c>
      <c r="L858" s="60" t="str">
        <f>IF(AND($B858=[1]rogério!$A859,[1]rogério!$B859=L$4),"ok","nok")</f>
        <v>nok</v>
      </c>
      <c r="M858" s="60" t="str">
        <f>IF(AND($B858=[1]rogério!$A859,[1]rogério!$B859=M$4),"ok","nok")</f>
        <v>nok</v>
      </c>
      <c r="N858" s="60" t="str">
        <f>IF(AND($B858=[1]rogério!$A859,[1]rogério!$B859=N$4),"ok","nok")</f>
        <v>nok</v>
      </c>
      <c r="O858" s="60" t="str">
        <f>IF(AND($B858=[1]rogério!$A859,[1]rogério!$B859=O$4),"ok","nok")</f>
        <v>nok</v>
      </c>
      <c r="P858" s="60" t="str">
        <f>IF(AND($B858=[1]rogério!$A859,[1]rogério!$B859=P$4),"ok","nok")</f>
        <v>nok</v>
      </c>
      <c r="Q858" s="60" t="str">
        <f>IF(AND($B858=[1]rogério!$A859,[1]rogério!$B859=Q$4),"ok","nok")</f>
        <v>nok</v>
      </c>
      <c r="R858" s="60" t="str">
        <f>IF(AND($B858=[1]rogério!$A859,[1]rogério!$B859=R$4),"ok","nok")</f>
        <v>nok</v>
      </c>
      <c r="S858" s="60" t="str">
        <f>IF(AND($B858=[1]rogério!$A859,[1]rogério!$B859=S$4),"ok","nok")</f>
        <v>nok</v>
      </c>
      <c r="T858" s="60" t="str">
        <f>IF(AND($B858=[1]rogério!$A859,[1]rogério!$B859=T$4),"ok","nok")</f>
        <v>ok</v>
      </c>
      <c r="U858" s="60" t="str">
        <f>IF(AND($B858=[1]rogério!$A859,[1]rogério!$B859=U$4),"ok","nok")</f>
        <v>nok</v>
      </c>
      <c r="V858" s="60" t="str">
        <f>IF(AND($B858=[1]rogério!$A859,[1]rogério!$B859=V$4),"ok","nok")</f>
        <v>nok</v>
      </c>
      <c r="W858" s="60" t="str">
        <f>IF(AND($B858=[1]rogério!$A859,[1]rogério!$B859=W$4),"ok","nok")</f>
        <v>nok</v>
      </c>
      <c r="X858" s="60" t="str">
        <f>IF(AND($B858=[1]rogério!$A859,[1]rogério!$B859=X$4),"ok","nok")</f>
        <v>nok</v>
      </c>
      <c r="Y858" s="105" t="s">
        <v>15</v>
      </c>
      <c r="Z858" s="106"/>
      <c r="AA858" s="106"/>
      <c r="AB858" s="107"/>
      <c r="AE858" s="48" t="str">
        <f t="shared" si="203"/>
        <v/>
      </c>
      <c r="AF858" s="48"/>
      <c r="AG858" s="48"/>
      <c r="AH858" s="89"/>
      <c r="AI858" s="49">
        <f t="shared" si="204"/>
        <v>0</v>
      </c>
      <c r="AJ858" s="49" t="str">
        <f t="shared" si="205"/>
        <v/>
      </c>
      <c r="AK858" s="49">
        <f t="shared" si="206"/>
        <v>0</v>
      </c>
      <c r="AL858" s="49" t="str">
        <f t="shared" si="207"/>
        <v/>
      </c>
      <c r="AM858" s="49">
        <f t="shared" si="208"/>
        <v>0</v>
      </c>
      <c r="AN858" s="49" t="str">
        <f t="shared" si="209"/>
        <v/>
      </c>
      <c r="AO858" s="49">
        <f t="shared" si="210"/>
        <v>1</v>
      </c>
      <c r="AP858" s="49" t="str">
        <f t="shared" si="211"/>
        <v/>
      </c>
      <c r="AQ858" s="49">
        <f t="shared" si="212"/>
        <v>0</v>
      </c>
      <c r="AR858" s="49" t="str">
        <f t="shared" si="213"/>
        <v/>
      </c>
    </row>
    <row r="859" spans="1:44" ht="30" customHeight="1" x14ac:dyDescent="0.35">
      <c r="A859" s="25" t="str">
        <f t="shared" si="214"/>
        <v>PT178 - PLATAFORMA DE ACESSO - FORQUILHA 3 - DETALHADO
TORRE B6PROJETO DETALHADO
CIVIL</v>
      </c>
      <c r="B859" s="40" t="s">
        <v>43</v>
      </c>
      <c r="C859" s="60" t="str">
        <f>IF(AND($B859=[1]rogério!$A860,[1]rogério!$B860=C$4),"ok","nok")</f>
        <v>nok</v>
      </c>
      <c r="D859" s="60" t="str">
        <f>IF(AND($B859=[1]rogério!$A860,[1]rogério!$B860=D$4),"ok","nok")</f>
        <v>nok</v>
      </c>
      <c r="E859" s="60" t="str">
        <f>IF(AND($B859=[1]rogério!$A860,[1]rogério!$B860=E$4),"ok","nok")</f>
        <v>nok</v>
      </c>
      <c r="F859" s="60" t="str">
        <f>IF(AND($B859=[1]rogério!$A860,[1]rogério!$B860=F$4),"ok","nok")</f>
        <v>nok</v>
      </c>
      <c r="G859" s="60" t="str">
        <f>IF(AND($B859=[1]rogério!$A860,[1]rogério!$B860=G$4),"ok","nok")</f>
        <v>nok</v>
      </c>
      <c r="H859" s="60" t="str">
        <f>IF(AND($B859=[1]rogério!$A860,[1]rogério!$B860=H$4),"ok","nok")</f>
        <v>nok</v>
      </c>
      <c r="I859" s="60" t="str">
        <f>IF(AND($B859=[1]rogério!$A860,[1]rogério!$B860=I$4),"ok","nok")</f>
        <v>nok</v>
      </c>
      <c r="J859" s="60" t="str">
        <f>IF(AND($B859=[1]rogério!$A860,[1]rogério!$B860=J$4),"ok","nok")</f>
        <v>nok</v>
      </c>
      <c r="K859" s="60" t="str">
        <f>IF(AND($B859=[1]rogério!$A860,[1]rogério!$B860=K$4),"ok","nok")</f>
        <v>nok</v>
      </c>
      <c r="L859" s="60" t="str">
        <f>IF(AND($B859=[1]rogério!$A860,[1]rogério!$B860=L$4),"ok","nok")</f>
        <v>nok</v>
      </c>
      <c r="M859" s="60" t="str">
        <f>IF(AND($B859=[1]rogério!$A860,[1]rogério!$B860=M$4),"ok","nok")</f>
        <v>nok</v>
      </c>
      <c r="N859" s="60" t="str">
        <f>IF(AND($B859=[1]rogério!$A860,[1]rogério!$B860=N$4),"ok","nok")</f>
        <v>nok</v>
      </c>
      <c r="O859" s="60" t="str">
        <f>IF(AND($B859=[1]rogério!$A860,[1]rogério!$B860=O$4),"ok","nok")</f>
        <v>nok</v>
      </c>
      <c r="P859" s="60" t="str">
        <f>IF(AND($B859=[1]rogério!$A860,[1]rogério!$B860=P$4),"ok","nok")</f>
        <v>nok</v>
      </c>
      <c r="Q859" s="60" t="str">
        <f>IF(AND($B859=[1]rogério!$A860,[1]rogério!$B860=Q$4),"ok","nok")</f>
        <v>nok</v>
      </c>
      <c r="R859" s="60" t="str">
        <f>IF(AND($B859=[1]rogério!$A860,[1]rogério!$B860=R$4),"ok","nok")</f>
        <v>nok</v>
      </c>
      <c r="S859" s="60" t="str">
        <f>IF(AND($B859=[1]rogério!$A860,[1]rogério!$B860=S$4),"ok","nok")</f>
        <v>nok</v>
      </c>
      <c r="T859" s="60" t="str">
        <f>IF(AND($B859=[1]rogério!$A860,[1]rogério!$B860=T$4),"ok","nok")</f>
        <v>ok</v>
      </c>
      <c r="U859" s="60" t="str">
        <f>IF(AND($B859=[1]rogério!$A860,[1]rogério!$B860=U$4),"ok","nok")</f>
        <v>nok</v>
      </c>
      <c r="V859" s="60" t="str">
        <f>IF(AND($B859=[1]rogério!$A860,[1]rogério!$B860=V$4),"ok","nok")</f>
        <v>nok</v>
      </c>
      <c r="W859" s="60" t="str">
        <f>IF(AND($B859=[1]rogério!$A860,[1]rogério!$B860=W$4),"ok","nok")</f>
        <v>nok</v>
      </c>
      <c r="X859" s="60" t="str">
        <f>IF(AND($B859=[1]rogério!$A860,[1]rogério!$B860=X$4),"ok","nok")</f>
        <v>nok</v>
      </c>
      <c r="Y859" s="105" t="s">
        <v>15</v>
      </c>
      <c r="Z859" s="106"/>
      <c r="AA859" s="106"/>
      <c r="AB859" s="107"/>
      <c r="AE859" s="48" t="str">
        <f t="shared" si="203"/>
        <v/>
      </c>
      <c r="AF859" s="48"/>
      <c r="AG859" s="48"/>
      <c r="AH859" s="89"/>
      <c r="AI859" s="49">
        <f t="shared" si="204"/>
        <v>0</v>
      </c>
      <c r="AJ859" s="49" t="str">
        <f t="shared" si="205"/>
        <v/>
      </c>
      <c r="AK859" s="49">
        <f t="shared" si="206"/>
        <v>0</v>
      </c>
      <c r="AL859" s="49" t="str">
        <f t="shared" si="207"/>
        <v/>
      </c>
      <c r="AM859" s="49">
        <f t="shared" si="208"/>
        <v>0</v>
      </c>
      <c r="AN859" s="49" t="str">
        <f t="shared" si="209"/>
        <v/>
      </c>
      <c r="AO859" s="49">
        <f t="shared" si="210"/>
        <v>1</v>
      </c>
      <c r="AP859" s="49" t="str">
        <f t="shared" si="211"/>
        <v/>
      </c>
      <c r="AQ859" s="49">
        <f t="shared" si="212"/>
        <v>0</v>
      </c>
      <c r="AR859" s="49" t="str">
        <f t="shared" si="213"/>
        <v/>
      </c>
    </row>
    <row r="860" spans="1:44" ht="30" customHeight="1" x14ac:dyDescent="0.35">
      <c r="A860" s="25" t="str">
        <f t="shared" si="214"/>
        <v>PT178 - PLATAFORMA DE ACESSO - FORQUILHA 3 - DETALHADO
TORRE B6PROJETO DETALHADO
CIVIL</v>
      </c>
      <c r="B860" s="38" t="s">
        <v>74</v>
      </c>
      <c r="C860" s="60" t="str">
        <f>IF(AND($B860=[1]rogério!$A861,[1]rogério!$B861=C$4),"ok","nok")</f>
        <v>nok</v>
      </c>
      <c r="D860" s="60" t="str">
        <f>IF(AND($B860=[1]rogério!$A861,[1]rogério!$B861=D$4),"ok","nok")</f>
        <v>nok</v>
      </c>
      <c r="E860" s="60" t="str">
        <f>IF(AND($B860=[1]rogério!$A861,[1]rogério!$B861=E$4),"ok","nok")</f>
        <v>nok</v>
      </c>
      <c r="F860" s="60" t="str">
        <f>IF(AND($B860=[1]rogério!$A861,[1]rogério!$B861=F$4),"ok","nok")</f>
        <v>ok</v>
      </c>
      <c r="G860" s="60" t="str">
        <f>IF(AND($B860=[1]rogério!$A861,[1]rogério!$B861=G$4),"ok","nok")</f>
        <v>nok</v>
      </c>
      <c r="H860" s="60" t="str">
        <f>IF(AND($B860=[1]rogério!$A861,[1]rogério!$B861=H$4),"ok","nok")</f>
        <v>nok</v>
      </c>
      <c r="I860" s="60" t="str">
        <f>IF(AND($B860=[1]rogério!$A861,[1]rogério!$B861=I$4),"ok","nok")</f>
        <v>nok</v>
      </c>
      <c r="J860" s="60" t="str">
        <f>IF(AND($B860=[1]rogério!$A861,[1]rogério!$B861=J$4),"ok","nok")</f>
        <v>nok</v>
      </c>
      <c r="K860" s="60" t="str">
        <f>IF(AND($B860=[1]rogério!$A861,[1]rogério!$B861=K$4),"ok","nok")</f>
        <v>nok</v>
      </c>
      <c r="L860" s="60" t="str">
        <f>IF(AND($B860=[1]rogério!$A861,[1]rogério!$B861=L$4),"ok","nok")</f>
        <v>nok</v>
      </c>
      <c r="M860" s="60" t="str">
        <f>IF(AND($B860=[1]rogério!$A861,[1]rogério!$B861=M$4),"ok","nok")</f>
        <v>nok</v>
      </c>
      <c r="N860" s="60" t="str">
        <f>IF(AND($B860=[1]rogério!$A861,[1]rogério!$B861=N$4),"ok","nok")</f>
        <v>nok</v>
      </c>
      <c r="O860" s="60" t="str">
        <f>IF(AND($B860=[1]rogério!$A861,[1]rogério!$B861=O$4),"ok","nok")</f>
        <v>nok</v>
      </c>
      <c r="P860" s="60" t="str">
        <f>IF(AND($B860=[1]rogério!$A861,[1]rogério!$B861=P$4),"ok","nok")</f>
        <v>nok</v>
      </c>
      <c r="Q860" s="60" t="str">
        <f>IF(AND($B860=[1]rogério!$A861,[1]rogério!$B861=Q$4),"ok","nok")</f>
        <v>nok</v>
      </c>
      <c r="R860" s="60" t="str">
        <f>IF(AND($B860=[1]rogério!$A861,[1]rogério!$B861=R$4),"ok","nok")</f>
        <v>nok</v>
      </c>
      <c r="S860" s="60" t="str">
        <f>IF(AND($B860=[1]rogério!$A861,[1]rogério!$B861=S$4),"ok","nok")</f>
        <v>nok</v>
      </c>
      <c r="T860" s="60" t="str">
        <f>IF(AND($B860=[1]rogério!$A861,[1]rogério!$B861=T$4),"ok","nok")</f>
        <v>nok</v>
      </c>
      <c r="U860" s="60" t="str">
        <f>IF(AND($B860=[1]rogério!$A861,[1]rogério!$B861=U$4),"ok","nok")</f>
        <v>nok</v>
      </c>
      <c r="V860" s="60" t="str">
        <f>IF(AND($B860=[1]rogério!$A861,[1]rogério!$B861=V$4),"ok","nok")</f>
        <v>nok</v>
      </c>
      <c r="W860" s="60" t="str">
        <f>IF(AND($B860=[1]rogério!$A861,[1]rogério!$B861=W$4),"ok","nok")</f>
        <v>nok</v>
      </c>
      <c r="X860" s="60" t="str">
        <f>IF(AND($B860=[1]rogério!$A861,[1]rogério!$B861=X$4),"ok","nok")</f>
        <v>nok</v>
      </c>
      <c r="Y860" s="105" t="s">
        <v>15</v>
      </c>
      <c r="Z860" s="106"/>
      <c r="AA860" s="106"/>
      <c r="AB860" s="107"/>
      <c r="AE860" s="48" t="str">
        <f t="shared" si="203"/>
        <v/>
      </c>
      <c r="AF860" s="48"/>
      <c r="AG860" s="48"/>
      <c r="AH860" s="89"/>
      <c r="AI860" s="49">
        <f t="shared" si="204"/>
        <v>1</v>
      </c>
      <c r="AJ860" s="49" t="str">
        <f t="shared" si="205"/>
        <v/>
      </c>
      <c r="AK860" s="49">
        <f t="shared" si="206"/>
        <v>0</v>
      </c>
      <c r="AL860" s="49" t="str">
        <f t="shared" si="207"/>
        <v/>
      </c>
      <c r="AM860" s="49">
        <f t="shared" si="208"/>
        <v>0</v>
      </c>
      <c r="AN860" s="49" t="str">
        <f t="shared" si="209"/>
        <v/>
      </c>
      <c r="AO860" s="49">
        <f t="shared" si="210"/>
        <v>0</v>
      </c>
      <c r="AP860" s="49" t="str">
        <f t="shared" si="211"/>
        <v/>
      </c>
      <c r="AQ860" s="49">
        <f t="shared" si="212"/>
        <v>0</v>
      </c>
      <c r="AR860" s="49" t="str">
        <f t="shared" si="213"/>
        <v/>
      </c>
    </row>
    <row r="861" spans="1:44" ht="30" customHeight="1" x14ac:dyDescent="0.35">
      <c r="A861" s="25" t="str">
        <f t="shared" si="214"/>
        <v>PT178 - PLATAFORMA DE ACESSO - FORQUILHA 3 - DETALHADO
TORRE B6PROJETO DETALHADO
CIVIL</v>
      </c>
      <c r="B861" s="38" t="s">
        <v>75</v>
      </c>
      <c r="C861" s="60" t="str">
        <f>IF(AND($B861=[1]rogério!$A862,[1]rogério!$B862=C$4),"ok","nok")</f>
        <v>nok</v>
      </c>
      <c r="D861" s="60" t="str">
        <f>IF(AND($B861=[1]rogério!$A862,[1]rogério!$B862=D$4),"ok","nok")</f>
        <v>nok</v>
      </c>
      <c r="E861" s="60" t="str">
        <f>IF(AND($B861=[1]rogério!$A862,[1]rogério!$B862=E$4),"ok","nok")</f>
        <v>nok</v>
      </c>
      <c r="F861" s="60" t="str">
        <f>IF(AND($B861=[1]rogério!$A862,[1]rogério!$B862=F$4),"ok","nok")</f>
        <v>nok</v>
      </c>
      <c r="G861" s="60" t="str">
        <f>IF(AND($B861=[1]rogério!$A862,[1]rogério!$B862=G$4),"ok","nok")</f>
        <v>ok</v>
      </c>
      <c r="H861" s="60" t="str">
        <f>IF(AND($B861=[1]rogério!$A862,[1]rogério!$B862=H$4),"ok","nok")</f>
        <v>nok</v>
      </c>
      <c r="I861" s="60" t="str">
        <f>IF(AND($B861=[1]rogério!$A862,[1]rogério!$B862=I$4),"ok","nok")</f>
        <v>nok</v>
      </c>
      <c r="J861" s="60" t="str">
        <f>IF(AND($B861=[1]rogério!$A862,[1]rogério!$B862=J$4),"ok","nok")</f>
        <v>nok</v>
      </c>
      <c r="K861" s="60" t="str">
        <f>IF(AND($B861=[1]rogério!$A862,[1]rogério!$B862=K$4),"ok","nok")</f>
        <v>nok</v>
      </c>
      <c r="L861" s="60" t="str">
        <f>IF(AND($B861=[1]rogério!$A862,[1]rogério!$B862=L$4),"ok","nok")</f>
        <v>nok</v>
      </c>
      <c r="M861" s="60" t="str">
        <f>IF(AND($B861=[1]rogério!$A862,[1]rogério!$B862=M$4),"ok","nok")</f>
        <v>nok</v>
      </c>
      <c r="N861" s="60" t="str">
        <f>IF(AND($B861=[1]rogério!$A862,[1]rogério!$B862=N$4),"ok","nok")</f>
        <v>nok</v>
      </c>
      <c r="O861" s="60" t="str">
        <f>IF(AND($B861=[1]rogério!$A862,[1]rogério!$B862=O$4),"ok","nok")</f>
        <v>nok</v>
      </c>
      <c r="P861" s="60" t="str">
        <f>IF(AND($B861=[1]rogério!$A862,[1]rogério!$B862=P$4),"ok","nok")</f>
        <v>nok</v>
      </c>
      <c r="Q861" s="60" t="str">
        <f>IF(AND($B861=[1]rogério!$A862,[1]rogério!$B862=Q$4),"ok","nok")</f>
        <v>nok</v>
      </c>
      <c r="R861" s="60" t="str">
        <f>IF(AND($B861=[1]rogério!$A862,[1]rogério!$B862=R$4),"ok","nok")</f>
        <v>nok</v>
      </c>
      <c r="S861" s="60" t="str">
        <f>IF(AND($B861=[1]rogério!$A862,[1]rogério!$B862=S$4),"ok","nok")</f>
        <v>nok</v>
      </c>
      <c r="T861" s="60" t="str">
        <f>IF(AND($B861=[1]rogério!$A862,[1]rogério!$B862=T$4),"ok","nok")</f>
        <v>nok</v>
      </c>
      <c r="U861" s="60" t="str">
        <f>IF(AND($B861=[1]rogério!$A862,[1]rogério!$B862=U$4),"ok","nok")</f>
        <v>nok</v>
      </c>
      <c r="V861" s="60" t="str">
        <f>IF(AND($B861=[1]rogério!$A862,[1]rogério!$B862=V$4),"ok","nok")</f>
        <v>nok</v>
      </c>
      <c r="W861" s="60" t="str">
        <f>IF(AND($B861=[1]rogério!$A862,[1]rogério!$B862=W$4),"ok","nok")</f>
        <v>nok</v>
      </c>
      <c r="X861" s="60" t="str">
        <f>IF(AND($B861=[1]rogério!$A862,[1]rogério!$B862=X$4),"ok","nok")</f>
        <v>nok</v>
      </c>
      <c r="Y861" s="105" t="s">
        <v>15</v>
      </c>
      <c r="Z861" s="106"/>
      <c r="AA861" s="106"/>
      <c r="AB861" s="107"/>
      <c r="AE861" s="48" t="str">
        <f t="shared" si="203"/>
        <v/>
      </c>
      <c r="AF861" s="48"/>
      <c r="AG861" s="48"/>
      <c r="AH861" s="89"/>
      <c r="AI861" s="49">
        <f t="shared" si="204"/>
        <v>1</v>
      </c>
      <c r="AJ861" s="49" t="str">
        <f t="shared" si="205"/>
        <v/>
      </c>
      <c r="AK861" s="49">
        <f t="shared" si="206"/>
        <v>0</v>
      </c>
      <c r="AL861" s="49" t="str">
        <f t="shared" si="207"/>
        <v/>
      </c>
      <c r="AM861" s="49">
        <f t="shared" si="208"/>
        <v>0</v>
      </c>
      <c r="AN861" s="49" t="str">
        <f t="shared" si="209"/>
        <v/>
      </c>
      <c r="AO861" s="49">
        <f t="shared" si="210"/>
        <v>0</v>
      </c>
      <c r="AP861" s="49" t="str">
        <f t="shared" si="211"/>
        <v/>
      </c>
      <c r="AQ861" s="49">
        <f t="shared" si="212"/>
        <v>0</v>
      </c>
      <c r="AR861" s="49" t="str">
        <f t="shared" si="213"/>
        <v/>
      </c>
    </row>
    <row r="862" spans="1:44" ht="30" customHeight="1" x14ac:dyDescent="0.35">
      <c r="A862" s="25"/>
      <c r="B862" s="39" t="s">
        <v>62</v>
      </c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108"/>
      <c r="Z862" s="109"/>
      <c r="AA862" s="109"/>
      <c r="AB862" s="110"/>
      <c r="AE862" s="48" t="str">
        <f t="shared" si="203"/>
        <v/>
      </c>
      <c r="AF862" s="48"/>
      <c r="AG862" s="48"/>
      <c r="AH862" s="89"/>
      <c r="AI862" s="49">
        <f t="shared" si="204"/>
        <v>0</v>
      </c>
      <c r="AJ862" s="49" t="str">
        <f t="shared" si="205"/>
        <v/>
      </c>
      <c r="AK862" s="49">
        <f t="shared" si="206"/>
        <v>0</v>
      </c>
      <c r="AL862" s="49" t="str">
        <f t="shared" si="207"/>
        <v/>
      </c>
      <c r="AM862" s="49">
        <f t="shared" si="208"/>
        <v>0</v>
      </c>
      <c r="AN862" s="49" t="str">
        <f t="shared" si="209"/>
        <v/>
      </c>
      <c r="AO862" s="49">
        <f t="shared" si="210"/>
        <v>0</v>
      </c>
      <c r="AP862" s="49" t="str">
        <f t="shared" si="211"/>
        <v/>
      </c>
      <c r="AQ862" s="49">
        <f t="shared" si="212"/>
        <v>0</v>
      </c>
      <c r="AR862" s="49" t="str">
        <f t="shared" si="213"/>
        <v/>
      </c>
    </row>
    <row r="863" spans="1:44" ht="30" customHeight="1" x14ac:dyDescent="0.35">
      <c r="A863" s="25" t="str">
        <f t="shared" si="214"/>
        <v>PT178 - PLATAFORMA DE ACESSO - FORQUILHA 3 - DETALHADO
TORRE B6PROJETO DETALHADO
CIVIL</v>
      </c>
      <c r="B863" s="40" t="s">
        <v>49</v>
      </c>
      <c r="C863" s="60" t="str">
        <f>IF(AND($B863=[1]rogério!$A864,[1]rogério!$B864=C$4),"ok","nok")</f>
        <v>nok</v>
      </c>
      <c r="D863" s="60" t="str">
        <f>IF(AND($B863=[1]rogério!$A864,[1]rogério!$B864=D$4),"ok","nok")</f>
        <v>nok</v>
      </c>
      <c r="E863" s="60" t="str">
        <f>IF(AND($B863=[1]rogério!$A864,[1]rogério!$B864=E$4),"ok","nok")</f>
        <v>nok</v>
      </c>
      <c r="F863" s="60" t="str">
        <f>IF(AND($B863=[1]rogério!$A864,[1]rogério!$B864=F$4),"ok","nok")</f>
        <v>nok</v>
      </c>
      <c r="G863" s="60" t="str">
        <f>IF(AND($B863=[1]rogério!$A864,[1]rogério!$B864=G$4),"ok","nok")</f>
        <v>ok</v>
      </c>
      <c r="H863" s="60" t="str">
        <f>IF(AND($B863=[1]rogério!$A864,[1]rogério!$B864=H$4),"ok","nok")</f>
        <v>nok</v>
      </c>
      <c r="I863" s="60" t="str">
        <f>IF(AND($B863=[1]rogério!$A864,[1]rogério!$B864=I$4),"ok","nok")</f>
        <v>nok</v>
      </c>
      <c r="J863" s="60" t="str">
        <f>IF(AND($B863=[1]rogério!$A864,[1]rogério!$B864=J$4),"ok","nok")</f>
        <v>nok</v>
      </c>
      <c r="K863" s="60" t="str">
        <f>IF(AND($B863=[1]rogério!$A864,[1]rogério!$B864=K$4),"ok","nok")</f>
        <v>nok</v>
      </c>
      <c r="L863" s="60" t="str">
        <f>IF(AND($B863=[1]rogério!$A864,[1]rogério!$B864=L$4),"ok","nok")</f>
        <v>nok</v>
      </c>
      <c r="M863" s="60" t="str">
        <f>IF(AND($B863=[1]rogério!$A864,[1]rogério!$B864=M$4),"ok","nok")</f>
        <v>nok</v>
      </c>
      <c r="N863" s="60" t="str">
        <f>IF(AND($B863=[1]rogério!$A864,[1]rogério!$B864=N$4),"ok","nok")</f>
        <v>nok</v>
      </c>
      <c r="O863" s="60" t="str">
        <f>IF(AND($B863=[1]rogério!$A864,[1]rogério!$B864=O$4),"ok","nok")</f>
        <v>nok</v>
      </c>
      <c r="P863" s="60" t="str">
        <f>IF(AND($B863=[1]rogério!$A864,[1]rogério!$B864=P$4),"ok","nok")</f>
        <v>nok</v>
      </c>
      <c r="Q863" s="60" t="str">
        <f>IF(AND($B863=[1]rogério!$A864,[1]rogério!$B864=Q$4),"ok","nok")</f>
        <v>nok</v>
      </c>
      <c r="R863" s="60" t="str">
        <f>IF(AND($B863=[1]rogério!$A864,[1]rogério!$B864=R$4),"ok","nok")</f>
        <v>nok</v>
      </c>
      <c r="S863" s="60" t="str">
        <f>IF(AND($B863=[1]rogério!$A864,[1]rogério!$B864=S$4),"ok","nok")</f>
        <v>nok</v>
      </c>
      <c r="T863" s="60" t="str">
        <f>IF(AND($B863=[1]rogério!$A864,[1]rogério!$B864=T$4),"ok","nok")</f>
        <v>nok</v>
      </c>
      <c r="U863" s="60" t="str">
        <f>IF(AND($B863=[1]rogério!$A864,[1]rogério!$B864=U$4),"ok","nok")</f>
        <v>nok</v>
      </c>
      <c r="V863" s="60" t="str">
        <f>IF(AND($B863=[1]rogério!$A864,[1]rogério!$B864=V$4),"ok","nok")</f>
        <v>nok</v>
      </c>
      <c r="W863" s="60" t="str">
        <f>IF(AND($B863=[1]rogério!$A864,[1]rogério!$B864=W$4),"ok","nok")</f>
        <v>nok</v>
      </c>
      <c r="X863" s="60" t="str">
        <f>IF(AND($B863=[1]rogério!$A864,[1]rogério!$B864=X$4),"ok","nok")</f>
        <v>nok</v>
      </c>
      <c r="Y863" s="105" t="s">
        <v>15</v>
      </c>
      <c r="Z863" s="106"/>
      <c r="AA863" s="106"/>
      <c r="AB863" s="107"/>
      <c r="AE863" s="48" t="str">
        <f t="shared" si="203"/>
        <v/>
      </c>
      <c r="AF863" s="48"/>
      <c r="AG863" s="48"/>
      <c r="AH863" s="89"/>
      <c r="AI863" s="49">
        <f t="shared" si="204"/>
        <v>1</v>
      </c>
      <c r="AJ863" s="49" t="str">
        <f t="shared" si="205"/>
        <v/>
      </c>
      <c r="AK863" s="49">
        <f t="shared" si="206"/>
        <v>0</v>
      </c>
      <c r="AL863" s="49" t="str">
        <f t="shared" si="207"/>
        <v/>
      </c>
      <c r="AM863" s="49">
        <f t="shared" si="208"/>
        <v>0</v>
      </c>
      <c r="AN863" s="49" t="str">
        <f t="shared" si="209"/>
        <v/>
      </c>
      <c r="AO863" s="49">
        <f t="shared" si="210"/>
        <v>0</v>
      </c>
      <c r="AP863" s="49" t="str">
        <f t="shared" si="211"/>
        <v/>
      </c>
      <c r="AQ863" s="49">
        <f t="shared" si="212"/>
        <v>0</v>
      </c>
      <c r="AR863" s="49" t="str">
        <f t="shared" si="213"/>
        <v/>
      </c>
    </row>
    <row r="864" spans="1:44" ht="30" customHeight="1" x14ac:dyDescent="0.35">
      <c r="A864" s="25" t="str">
        <f t="shared" si="214"/>
        <v>PT178 - PLATAFORMA DE ACESSO - FORQUILHA 3 - DETALHADO
TORRE B6PROJETO DETALHADO
CIVIL</v>
      </c>
      <c r="B864" s="40" t="s">
        <v>19</v>
      </c>
      <c r="C864" s="60" t="str">
        <f>IF(AND($B864=[1]rogério!$A865,[1]rogério!$B865=C$4),"ok","nok")</f>
        <v>nok</v>
      </c>
      <c r="D864" s="60" t="str">
        <f>IF(AND($B864=[1]rogério!$A865,[1]rogério!$B865=D$4),"ok","nok")</f>
        <v>nok</v>
      </c>
      <c r="E864" s="60" t="str">
        <f>IF(AND($B864=[1]rogério!$A865,[1]rogério!$B865=E$4),"ok","nok")</f>
        <v>nok</v>
      </c>
      <c r="F864" s="60" t="str">
        <f>IF(AND($B864=[1]rogério!$A865,[1]rogério!$B865=F$4),"ok","nok")</f>
        <v>nok</v>
      </c>
      <c r="G864" s="60" t="str">
        <f>IF(AND($B864=[1]rogério!$A865,[1]rogério!$B865=G$4),"ok","nok")</f>
        <v>nok</v>
      </c>
      <c r="H864" s="60" t="str">
        <f>IF(AND($B864=[1]rogério!$A865,[1]rogério!$B865=H$4),"ok","nok")</f>
        <v>nok</v>
      </c>
      <c r="I864" s="60" t="str">
        <f>IF(AND($B864=[1]rogério!$A865,[1]rogério!$B865=I$4),"ok","nok")</f>
        <v>nok</v>
      </c>
      <c r="J864" s="60" t="str">
        <f>IF(AND($B864=[1]rogério!$A865,[1]rogério!$B865=J$4),"ok","nok")</f>
        <v>nok</v>
      </c>
      <c r="K864" s="60" t="str">
        <f>IF(AND($B864=[1]rogério!$A865,[1]rogério!$B865=K$4),"ok","nok")</f>
        <v>nok</v>
      </c>
      <c r="L864" s="60" t="str">
        <f>IF(AND($B864=[1]rogério!$A865,[1]rogério!$B865=L$4),"ok","nok")</f>
        <v>ok</v>
      </c>
      <c r="M864" s="60" t="str">
        <f>IF(AND($B864=[1]rogério!$A865,[1]rogério!$B865=M$4),"ok","nok")</f>
        <v>nok</v>
      </c>
      <c r="N864" s="60" t="str">
        <f>IF(AND($B864=[1]rogério!$A865,[1]rogério!$B865=N$4),"ok","nok")</f>
        <v>nok</v>
      </c>
      <c r="O864" s="60" t="str">
        <f>IF(AND($B864=[1]rogério!$A865,[1]rogério!$B865=O$4),"ok","nok")</f>
        <v>nok</v>
      </c>
      <c r="P864" s="60" t="str">
        <f>IF(AND($B864=[1]rogério!$A865,[1]rogério!$B865=P$4),"ok","nok")</f>
        <v>nok</v>
      </c>
      <c r="Q864" s="60" t="str">
        <f>IF(AND($B864=[1]rogério!$A865,[1]rogério!$B865=Q$4),"ok","nok")</f>
        <v>nok</v>
      </c>
      <c r="R864" s="60" t="str">
        <f>IF(AND($B864=[1]rogério!$A865,[1]rogério!$B865=R$4),"ok","nok")</f>
        <v>nok</v>
      </c>
      <c r="S864" s="60" t="str">
        <f>IF(AND($B864=[1]rogério!$A865,[1]rogério!$B865=S$4),"ok","nok")</f>
        <v>nok</v>
      </c>
      <c r="T864" s="60" t="str">
        <f>IF(AND($B864=[1]rogério!$A865,[1]rogério!$B865=T$4),"ok","nok")</f>
        <v>nok</v>
      </c>
      <c r="U864" s="60" t="str">
        <f>IF(AND($B864=[1]rogério!$A865,[1]rogério!$B865=U$4),"ok","nok")</f>
        <v>nok</v>
      </c>
      <c r="V864" s="60" t="str">
        <f>IF(AND($B864=[1]rogério!$A865,[1]rogério!$B865=V$4),"ok","nok")</f>
        <v>nok</v>
      </c>
      <c r="W864" s="60" t="str">
        <f>IF(AND($B864=[1]rogério!$A865,[1]rogério!$B865=W$4),"ok","nok")</f>
        <v>nok</v>
      </c>
      <c r="X864" s="60" t="str">
        <f>IF(AND($B864=[1]rogério!$A865,[1]rogério!$B865=X$4),"ok","nok")</f>
        <v>nok</v>
      </c>
      <c r="Y864" s="105" t="s">
        <v>15</v>
      </c>
      <c r="Z864" s="106"/>
      <c r="AA864" s="106"/>
      <c r="AB864" s="107"/>
      <c r="AE864" s="48" t="str">
        <f t="shared" si="203"/>
        <v/>
      </c>
      <c r="AF864" s="48"/>
      <c r="AG864" s="48"/>
      <c r="AH864" s="89"/>
      <c r="AI864" s="49">
        <f t="shared" si="204"/>
        <v>0</v>
      </c>
      <c r="AJ864" s="49" t="str">
        <f t="shared" si="205"/>
        <v/>
      </c>
      <c r="AK864" s="49">
        <f t="shared" si="206"/>
        <v>1</v>
      </c>
      <c r="AL864" s="49" t="str">
        <f t="shared" si="207"/>
        <v/>
      </c>
      <c r="AM864" s="49">
        <f t="shared" si="208"/>
        <v>0</v>
      </c>
      <c r="AN864" s="49" t="str">
        <f t="shared" si="209"/>
        <v/>
      </c>
      <c r="AO864" s="49">
        <f t="shared" si="210"/>
        <v>0</v>
      </c>
      <c r="AP864" s="49" t="str">
        <f t="shared" si="211"/>
        <v/>
      </c>
      <c r="AQ864" s="49">
        <f t="shared" si="212"/>
        <v>0</v>
      </c>
      <c r="AR864" s="49" t="str">
        <f t="shared" si="213"/>
        <v/>
      </c>
    </row>
    <row r="865" spans="1:44" ht="30" customHeight="1" x14ac:dyDescent="0.35">
      <c r="A865" s="25" t="str">
        <f t="shared" si="214"/>
        <v>PT178 - PLATAFORMA DE ACESSO - FORQUILHA 3 - DETALHADO
TORRE B6PROJETO DETALHADO
CIVIL</v>
      </c>
      <c r="B865" s="40" t="s">
        <v>42</v>
      </c>
      <c r="C865" s="60" t="str">
        <f>IF(AND($B865=[1]rogério!$A866,[1]rogério!$B866=C$4),"ok","nok")</f>
        <v>nok</v>
      </c>
      <c r="D865" s="60" t="str">
        <f>IF(AND($B865=[1]rogério!$A866,[1]rogério!$B866=D$4),"ok","nok")</f>
        <v>nok</v>
      </c>
      <c r="E865" s="60" t="str">
        <f>IF(AND($B865=[1]rogério!$A866,[1]rogério!$B866=E$4),"ok","nok")</f>
        <v>nok</v>
      </c>
      <c r="F865" s="60" t="str">
        <f>IF(AND($B865=[1]rogério!$A866,[1]rogério!$B866=F$4),"ok","nok")</f>
        <v>nok</v>
      </c>
      <c r="G865" s="60" t="str">
        <f>IF(AND($B865=[1]rogério!$A866,[1]rogério!$B866=G$4),"ok","nok")</f>
        <v>nok</v>
      </c>
      <c r="H865" s="60" t="str">
        <f>IF(AND($B865=[1]rogério!$A866,[1]rogério!$B866=H$4),"ok","nok")</f>
        <v>nok</v>
      </c>
      <c r="I865" s="60" t="str">
        <f>IF(AND($B865=[1]rogério!$A866,[1]rogério!$B866=I$4),"ok","nok")</f>
        <v>nok</v>
      </c>
      <c r="J865" s="60" t="str">
        <f>IF(AND($B865=[1]rogério!$A866,[1]rogério!$B866=J$4),"ok","nok")</f>
        <v>nok</v>
      </c>
      <c r="K865" s="60" t="str">
        <f>IF(AND($B865=[1]rogério!$A866,[1]rogério!$B866=K$4),"ok","nok")</f>
        <v>nok</v>
      </c>
      <c r="L865" s="60" t="str">
        <f>IF(AND($B865=[1]rogério!$A866,[1]rogério!$B866=L$4),"ok","nok")</f>
        <v>nok</v>
      </c>
      <c r="M865" s="60" t="str">
        <f>IF(AND($B865=[1]rogério!$A866,[1]rogério!$B866=M$4),"ok","nok")</f>
        <v>nok</v>
      </c>
      <c r="N865" s="60" t="str">
        <f>IF(AND($B865=[1]rogério!$A866,[1]rogério!$B866=N$4),"ok","nok")</f>
        <v>nok</v>
      </c>
      <c r="O865" s="60" t="str">
        <f>IF(AND($B865=[1]rogério!$A866,[1]rogério!$B866=O$4),"ok","nok")</f>
        <v>ok</v>
      </c>
      <c r="P865" s="60" t="str">
        <f>IF(AND($B865=[1]rogério!$A866,[1]rogério!$B866=P$4),"ok","nok")</f>
        <v>nok</v>
      </c>
      <c r="Q865" s="60" t="str">
        <f>IF(AND($B865=[1]rogério!$A866,[1]rogério!$B866=Q$4),"ok","nok")</f>
        <v>nok</v>
      </c>
      <c r="R865" s="60" t="str">
        <f>IF(AND($B865=[1]rogério!$A866,[1]rogério!$B866=R$4),"ok","nok")</f>
        <v>nok</v>
      </c>
      <c r="S865" s="60" t="str">
        <f>IF(AND($B865=[1]rogério!$A866,[1]rogério!$B866=S$4),"ok","nok")</f>
        <v>nok</v>
      </c>
      <c r="T865" s="60" t="str">
        <f>IF(AND($B865=[1]rogério!$A866,[1]rogério!$B866=T$4),"ok","nok")</f>
        <v>nok</v>
      </c>
      <c r="U865" s="60" t="str">
        <f>IF(AND($B865=[1]rogério!$A866,[1]rogério!$B866=U$4),"ok","nok")</f>
        <v>nok</v>
      </c>
      <c r="V865" s="60" t="str">
        <f>IF(AND($B865=[1]rogério!$A866,[1]rogério!$B866=V$4),"ok","nok")</f>
        <v>nok</v>
      </c>
      <c r="W865" s="60" t="str">
        <f>IF(AND($B865=[1]rogério!$A866,[1]rogério!$B866=W$4),"ok","nok")</f>
        <v>nok</v>
      </c>
      <c r="X865" s="60" t="str">
        <f>IF(AND($B865=[1]rogério!$A866,[1]rogério!$B866=X$4),"ok","nok")</f>
        <v>nok</v>
      </c>
      <c r="Y865" s="105" t="s">
        <v>15</v>
      </c>
      <c r="Z865" s="106"/>
      <c r="AA865" s="106"/>
      <c r="AB865" s="107"/>
      <c r="AE865" s="48" t="str">
        <f t="shared" si="203"/>
        <v/>
      </c>
      <c r="AF865" s="48"/>
      <c r="AG865" s="48"/>
      <c r="AH865" s="89"/>
      <c r="AI865" s="49">
        <f t="shared" si="204"/>
        <v>0</v>
      </c>
      <c r="AJ865" s="49" t="str">
        <f t="shared" si="205"/>
        <v/>
      </c>
      <c r="AK865" s="49">
        <f t="shared" si="206"/>
        <v>0</v>
      </c>
      <c r="AL865" s="49" t="str">
        <f t="shared" si="207"/>
        <v/>
      </c>
      <c r="AM865" s="49">
        <f t="shared" si="208"/>
        <v>1</v>
      </c>
      <c r="AN865" s="49" t="str">
        <f t="shared" si="209"/>
        <v/>
      </c>
      <c r="AO865" s="49">
        <f t="shared" si="210"/>
        <v>0</v>
      </c>
      <c r="AP865" s="49" t="str">
        <f t="shared" si="211"/>
        <v/>
      </c>
      <c r="AQ865" s="49">
        <f t="shared" si="212"/>
        <v>0</v>
      </c>
      <c r="AR865" s="49" t="str">
        <f t="shared" si="213"/>
        <v/>
      </c>
    </row>
    <row r="866" spans="1:44" ht="30" customHeight="1" x14ac:dyDescent="0.35">
      <c r="A866" s="25" t="str">
        <f t="shared" si="214"/>
        <v>PT178 - PLATAFORMA DE ACESSO - FORQUILHA 3 - DETALHADO
TORRE B6PROJETO DETALHADO
CIVIL</v>
      </c>
      <c r="B866" s="40" t="s">
        <v>43</v>
      </c>
      <c r="C866" s="60" t="str">
        <f>IF(AND($B866=[1]rogério!$A867,[1]rogério!$B867=C$4),"ok","nok")</f>
        <v>nok</v>
      </c>
      <c r="D866" s="60" t="str">
        <f>IF(AND($B866=[1]rogério!$A867,[1]rogério!$B867=D$4),"ok","nok")</f>
        <v>nok</v>
      </c>
      <c r="E866" s="60" t="str">
        <f>IF(AND($B866=[1]rogério!$A867,[1]rogério!$B867=E$4),"ok","nok")</f>
        <v>nok</v>
      </c>
      <c r="F866" s="60" t="str">
        <f>IF(AND($B866=[1]rogério!$A867,[1]rogério!$B867=F$4),"ok","nok")</f>
        <v>nok</v>
      </c>
      <c r="G866" s="60" t="str">
        <f>IF(AND($B866=[1]rogério!$A867,[1]rogério!$B867=G$4),"ok","nok")</f>
        <v>nok</v>
      </c>
      <c r="H866" s="60" t="str">
        <f>IF(AND($B866=[1]rogério!$A867,[1]rogério!$B867=H$4),"ok","nok")</f>
        <v>nok</v>
      </c>
      <c r="I866" s="60" t="str">
        <f>IF(AND($B866=[1]rogério!$A867,[1]rogério!$B867=I$4),"ok","nok")</f>
        <v>nok</v>
      </c>
      <c r="J866" s="60" t="str">
        <f>IF(AND($B866=[1]rogério!$A867,[1]rogério!$B867=J$4),"ok","nok")</f>
        <v>nok</v>
      </c>
      <c r="K866" s="60" t="str">
        <f>IF(AND($B866=[1]rogério!$A867,[1]rogério!$B867=K$4),"ok","nok")</f>
        <v>nok</v>
      </c>
      <c r="L866" s="60" t="str">
        <f>IF(AND($B866=[1]rogério!$A867,[1]rogério!$B867=L$4),"ok","nok")</f>
        <v>nok</v>
      </c>
      <c r="M866" s="60" t="str">
        <f>IF(AND($B866=[1]rogério!$A867,[1]rogério!$B867=M$4),"ok","nok")</f>
        <v>nok</v>
      </c>
      <c r="N866" s="60" t="str">
        <f>IF(AND($B866=[1]rogério!$A867,[1]rogério!$B867=N$4),"ok","nok")</f>
        <v>nok</v>
      </c>
      <c r="O866" s="60" t="str">
        <f>IF(AND($B866=[1]rogério!$A867,[1]rogério!$B867=O$4),"ok","nok")</f>
        <v>ok</v>
      </c>
      <c r="P866" s="60" t="str">
        <f>IF(AND($B866=[1]rogério!$A867,[1]rogério!$B867=P$4),"ok","nok")</f>
        <v>nok</v>
      </c>
      <c r="Q866" s="60" t="str">
        <f>IF(AND($B866=[1]rogério!$A867,[1]rogério!$B867=Q$4),"ok","nok")</f>
        <v>nok</v>
      </c>
      <c r="R866" s="60" t="str">
        <f>IF(AND($B866=[1]rogério!$A867,[1]rogério!$B867=R$4),"ok","nok")</f>
        <v>nok</v>
      </c>
      <c r="S866" s="60" t="str">
        <f>IF(AND($B866=[1]rogério!$A867,[1]rogério!$B867=S$4),"ok","nok")</f>
        <v>nok</v>
      </c>
      <c r="T866" s="60" t="str">
        <f>IF(AND($B866=[1]rogério!$A867,[1]rogério!$B867=T$4),"ok","nok")</f>
        <v>nok</v>
      </c>
      <c r="U866" s="60" t="str">
        <f>IF(AND($B866=[1]rogério!$A867,[1]rogério!$B867=U$4),"ok","nok")</f>
        <v>nok</v>
      </c>
      <c r="V866" s="60" t="str">
        <f>IF(AND($B866=[1]rogério!$A867,[1]rogério!$B867=V$4),"ok","nok")</f>
        <v>nok</v>
      </c>
      <c r="W866" s="60" t="str">
        <f>IF(AND($B866=[1]rogério!$A867,[1]rogério!$B867=W$4),"ok","nok")</f>
        <v>nok</v>
      </c>
      <c r="X866" s="60" t="str">
        <f>IF(AND($B866=[1]rogério!$A867,[1]rogério!$B867=X$4),"ok","nok")</f>
        <v>nok</v>
      </c>
      <c r="Y866" s="105" t="s">
        <v>15</v>
      </c>
      <c r="Z866" s="106"/>
      <c r="AA866" s="106"/>
      <c r="AB866" s="107"/>
      <c r="AE866" s="48" t="str">
        <f t="shared" si="203"/>
        <v/>
      </c>
      <c r="AF866" s="48"/>
      <c r="AG866" s="48"/>
      <c r="AH866" s="89"/>
      <c r="AI866" s="49">
        <f t="shared" si="204"/>
        <v>0</v>
      </c>
      <c r="AJ866" s="49" t="str">
        <f t="shared" si="205"/>
        <v/>
      </c>
      <c r="AK866" s="49">
        <f t="shared" si="206"/>
        <v>0</v>
      </c>
      <c r="AL866" s="49" t="str">
        <f t="shared" si="207"/>
        <v/>
      </c>
      <c r="AM866" s="49">
        <f t="shared" si="208"/>
        <v>1</v>
      </c>
      <c r="AN866" s="49" t="str">
        <f t="shared" si="209"/>
        <v/>
      </c>
      <c r="AO866" s="49">
        <f t="shared" si="210"/>
        <v>0</v>
      </c>
      <c r="AP866" s="49" t="str">
        <f t="shared" si="211"/>
        <v/>
      </c>
      <c r="AQ866" s="49">
        <f t="shared" si="212"/>
        <v>0</v>
      </c>
      <c r="AR866" s="49" t="str">
        <f t="shared" si="213"/>
        <v/>
      </c>
    </row>
    <row r="867" spans="1:44" ht="30" customHeight="1" x14ac:dyDescent="0.35">
      <c r="A867" s="25" t="str">
        <f t="shared" si="214"/>
        <v>PT178 - PLATAFORMA DE ACESSO - FORQUILHA 3 - DETALHADO
TORRE B6PROJETO DETALHADO
CIVIL</v>
      </c>
      <c r="B867" s="38" t="s">
        <v>76</v>
      </c>
      <c r="C867" s="60" t="str">
        <f>IF(AND($B867=[1]rogério!$A868,[1]rogério!$B868=C$4),"ok","nok")</f>
        <v>nok</v>
      </c>
      <c r="D867" s="60" t="str">
        <f>IF(AND($B867=[1]rogério!$A868,[1]rogério!$B868=D$4),"ok","nok")</f>
        <v>nok</v>
      </c>
      <c r="E867" s="60" t="str">
        <f>IF(AND($B867=[1]rogério!$A868,[1]rogério!$B868=E$4),"ok","nok")</f>
        <v>nok</v>
      </c>
      <c r="F867" s="60" t="str">
        <f>IF(AND($B867=[1]rogério!$A868,[1]rogério!$B868=F$4),"ok","nok")</f>
        <v>nok</v>
      </c>
      <c r="G867" s="60" t="str">
        <f>IF(AND($B867=[1]rogério!$A868,[1]rogério!$B868=G$4),"ok","nok")</f>
        <v>nok</v>
      </c>
      <c r="H867" s="60" t="str">
        <f>IF(AND($B867=[1]rogério!$A868,[1]rogério!$B868=H$4),"ok","nok")</f>
        <v>nok</v>
      </c>
      <c r="I867" s="60" t="str">
        <f>IF(AND($B867=[1]rogério!$A868,[1]rogério!$B868=I$4),"ok","nok")</f>
        <v>nok</v>
      </c>
      <c r="J867" s="60" t="str">
        <f>IF(AND($B867=[1]rogério!$A868,[1]rogério!$B868=J$4),"ok","nok")</f>
        <v>nok</v>
      </c>
      <c r="K867" s="60" t="str">
        <f>IF(AND($B867=[1]rogério!$A868,[1]rogério!$B868=K$4),"ok","nok")</f>
        <v>nok</v>
      </c>
      <c r="L867" s="60" t="str">
        <f>IF(AND($B867=[1]rogério!$A868,[1]rogério!$B868=L$4),"ok","nok")</f>
        <v>ok</v>
      </c>
      <c r="M867" s="60" t="str">
        <f>IF(AND($B867=[1]rogério!$A868,[1]rogério!$B868=M$4),"ok","nok")</f>
        <v>nok</v>
      </c>
      <c r="N867" s="60" t="str">
        <f>IF(AND($B867=[1]rogério!$A868,[1]rogério!$B868=N$4),"ok","nok")</f>
        <v>nok</v>
      </c>
      <c r="O867" s="60" t="str">
        <f>IF(AND($B867=[1]rogério!$A868,[1]rogério!$B868=O$4),"ok","nok")</f>
        <v>nok</v>
      </c>
      <c r="P867" s="60" t="str">
        <f>IF(AND($B867=[1]rogério!$A868,[1]rogério!$B868=P$4),"ok","nok")</f>
        <v>nok</v>
      </c>
      <c r="Q867" s="60" t="str">
        <f>IF(AND($B867=[1]rogério!$A868,[1]rogério!$B868=Q$4),"ok","nok")</f>
        <v>nok</v>
      </c>
      <c r="R867" s="60" t="str">
        <f>IF(AND($B867=[1]rogério!$A868,[1]rogério!$B868=R$4),"ok","nok")</f>
        <v>nok</v>
      </c>
      <c r="S867" s="60" t="str">
        <f>IF(AND($B867=[1]rogério!$A868,[1]rogério!$B868=S$4),"ok","nok")</f>
        <v>nok</v>
      </c>
      <c r="T867" s="60" t="str">
        <f>IF(AND($B867=[1]rogério!$A868,[1]rogério!$B868=T$4),"ok","nok")</f>
        <v>nok</v>
      </c>
      <c r="U867" s="60" t="str">
        <f>IF(AND($B867=[1]rogério!$A868,[1]rogério!$B868=U$4),"ok","nok")</f>
        <v>nok</v>
      </c>
      <c r="V867" s="60" t="str">
        <f>IF(AND($B867=[1]rogério!$A868,[1]rogério!$B868=V$4),"ok","nok")</f>
        <v>nok</v>
      </c>
      <c r="W867" s="60" t="str">
        <f>IF(AND($B867=[1]rogério!$A868,[1]rogério!$B868=W$4),"ok","nok")</f>
        <v>nok</v>
      </c>
      <c r="X867" s="60" t="str">
        <f>IF(AND($B867=[1]rogério!$A868,[1]rogério!$B868=X$4),"ok","nok")</f>
        <v>nok</v>
      </c>
      <c r="Y867" s="105" t="s">
        <v>15</v>
      </c>
      <c r="Z867" s="106"/>
      <c r="AA867" s="106"/>
      <c r="AB867" s="107"/>
      <c r="AE867" s="48" t="str">
        <f t="shared" si="203"/>
        <v/>
      </c>
      <c r="AF867" s="48"/>
      <c r="AG867" s="48"/>
      <c r="AH867" s="89"/>
      <c r="AI867" s="49">
        <f t="shared" si="204"/>
        <v>0</v>
      </c>
      <c r="AJ867" s="49" t="str">
        <f t="shared" si="205"/>
        <v/>
      </c>
      <c r="AK867" s="49">
        <f t="shared" si="206"/>
        <v>1</v>
      </c>
      <c r="AL867" s="49" t="str">
        <f t="shared" si="207"/>
        <v/>
      </c>
      <c r="AM867" s="49">
        <f t="shared" si="208"/>
        <v>0</v>
      </c>
      <c r="AN867" s="49" t="str">
        <f t="shared" si="209"/>
        <v/>
      </c>
      <c r="AO867" s="49">
        <f t="shared" si="210"/>
        <v>0</v>
      </c>
      <c r="AP867" s="49" t="str">
        <f t="shared" si="211"/>
        <v/>
      </c>
      <c r="AQ867" s="49">
        <f t="shared" si="212"/>
        <v>0</v>
      </c>
      <c r="AR867" s="49" t="str">
        <f t="shared" si="213"/>
        <v/>
      </c>
    </row>
    <row r="868" spans="1:44" ht="30" customHeight="1" x14ac:dyDescent="0.35">
      <c r="A868" s="25" t="str">
        <f t="shared" si="214"/>
        <v>PT178 - PLATAFORMA DE ACESSO - FORQUILHA 3 - DETALHADO
TORRE B6PROJETO DETALHADO
CIVIL</v>
      </c>
      <c r="B868" s="38" t="s">
        <v>77</v>
      </c>
      <c r="C868" s="60" t="str">
        <f>IF(AND($B868=[1]rogério!$A869,[1]rogério!$B869=C$4),"ok","nok")</f>
        <v>nok</v>
      </c>
      <c r="D868" s="60" t="str">
        <f>IF(AND($B868=[1]rogério!$A869,[1]rogério!$B869=D$4),"ok","nok")</f>
        <v>nok</v>
      </c>
      <c r="E868" s="60" t="str">
        <f>IF(AND($B868=[1]rogério!$A869,[1]rogério!$B869=E$4),"ok","nok")</f>
        <v>nok</v>
      </c>
      <c r="F868" s="60" t="str">
        <f>IF(AND($B868=[1]rogério!$A869,[1]rogério!$B869=F$4),"ok","nok")</f>
        <v>nok</v>
      </c>
      <c r="G868" s="60" t="str">
        <f>IF(AND($B868=[1]rogério!$A869,[1]rogério!$B869=G$4),"ok","nok")</f>
        <v>nok</v>
      </c>
      <c r="H868" s="60" t="str">
        <f>IF(AND($B868=[1]rogério!$A869,[1]rogério!$B869=H$4),"ok","nok")</f>
        <v>nok</v>
      </c>
      <c r="I868" s="60" t="str">
        <f>IF(AND($B868=[1]rogério!$A869,[1]rogério!$B869=I$4),"ok","nok")</f>
        <v>nok</v>
      </c>
      <c r="J868" s="60" t="str">
        <f>IF(AND($B868=[1]rogério!$A869,[1]rogério!$B869=J$4),"ok","nok")</f>
        <v>nok</v>
      </c>
      <c r="K868" s="60" t="str">
        <f>IF(AND($B868=[1]rogério!$A869,[1]rogério!$B869=K$4),"ok","nok")</f>
        <v>nok</v>
      </c>
      <c r="L868" s="60" t="str">
        <f>IF(AND($B868=[1]rogério!$A869,[1]rogério!$B869=L$4),"ok","nok")</f>
        <v>nok</v>
      </c>
      <c r="M868" s="60" t="str">
        <f>IF(AND($B868=[1]rogério!$A869,[1]rogério!$B869=M$4),"ok","nok")</f>
        <v>ok</v>
      </c>
      <c r="N868" s="60" t="str">
        <f>IF(AND($B868=[1]rogério!$A869,[1]rogério!$B869=N$4),"ok","nok")</f>
        <v>nok</v>
      </c>
      <c r="O868" s="60" t="str">
        <f>IF(AND($B868=[1]rogério!$A869,[1]rogério!$B869=O$4),"ok","nok")</f>
        <v>nok</v>
      </c>
      <c r="P868" s="60" t="str">
        <f>IF(AND($B868=[1]rogério!$A869,[1]rogério!$B869=P$4),"ok","nok")</f>
        <v>nok</v>
      </c>
      <c r="Q868" s="60" t="str">
        <f>IF(AND($B868=[1]rogério!$A869,[1]rogério!$B869=Q$4),"ok","nok")</f>
        <v>nok</v>
      </c>
      <c r="R868" s="60" t="str">
        <f>IF(AND($B868=[1]rogério!$A869,[1]rogério!$B869=R$4),"ok","nok")</f>
        <v>nok</v>
      </c>
      <c r="S868" s="60" t="str">
        <f>IF(AND($B868=[1]rogério!$A869,[1]rogério!$B869=S$4),"ok","nok")</f>
        <v>nok</v>
      </c>
      <c r="T868" s="60" t="str">
        <f>IF(AND($B868=[1]rogério!$A869,[1]rogério!$B869=T$4),"ok","nok")</f>
        <v>nok</v>
      </c>
      <c r="U868" s="60" t="str">
        <f>IF(AND($B868=[1]rogério!$A869,[1]rogério!$B869=U$4),"ok","nok")</f>
        <v>nok</v>
      </c>
      <c r="V868" s="60" t="str">
        <f>IF(AND($B868=[1]rogério!$A869,[1]rogério!$B869=V$4),"ok","nok")</f>
        <v>nok</v>
      </c>
      <c r="W868" s="60" t="str">
        <f>IF(AND($B868=[1]rogério!$A869,[1]rogério!$B869=W$4),"ok","nok")</f>
        <v>nok</v>
      </c>
      <c r="X868" s="60" t="str">
        <f>IF(AND($B868=[1]rogério!$A869,[1]rogério!$B869=X$4),"ok","nok")</f>
        <v>nok</v>
      </c>
      <c r="Y868" s="105" t="s">
        <v>15</v>
      </c>
      <c r="Z868" s="106"/>
      <c r="AA868" s="106"/>
      <c r="AB868" s="107"/>
      <c r="AE868" s="48" t="str">
        <f t="shared" si="203"/>
        <v/>
      </c>
      <c r="AF868" s="48"/>
      <c r="AG868" s="48"/>
      <c r="AH868" s="89"/>
      <c r="AI868" s="49">
        <f t="shared" si="204"/>
        <v>0</v>
      </c>
      <c r="AJ868" s="49" t="str">
        <f t="shared" si="205"/>
        <v/>
      </c>
      <c r="AK868" s="49">
        <f t="shared" si="206"/>
        <v>0</v>
      </c>
      <c r="AL868" s="49" t="str">
        <f t="shared" si="207"/>
        <v/>
      </c>
      <c r="AM868" s="49">
        <f t="shared" si="208"/>
        <v>1</v>
      </c>
      <c r="AN868" s="49" t="str">
        <f t="shared" si="209"/>
        <v/>
      </c>
      <c r="AO868" s="49">
        <f t="shared" si="210"/>
        <v>0</v>
      </c>
      <c r="AP868" s="49" t="str">
        <f t="shared" si="211"/>
        <v/>
      </c>
      <c r="AQ868" s="49">
        <f t="shared" si="212"/>
        <v>0</v>
      </c>
      <c r="AR868" s="49" t="str">
        <f t="shared" si="213"/>
        <v/>
      </c>
    </row>
    <row r="869" spans="1:44" ht="30" customHeight="1" x14ac:dyDescent="0.35">
      <c r="A869" s="25"/>
      <c r="B869" s="39" t="s">
        <v>78</v>
      </c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108"/>
      <c r="Z869" s="109"/>
      <c r="AA869" s="109"/>
      <c r="AB869" s="110"/>
      <c r="AE869" s="48" t="str">
        <f t="shared" si="203"/>
        <v/>
      </c>
      <c r="AF869" s="48"/>
      <c r="AG869" s="48"/>
      <c r="AH869" s="89"/>
      <c r="AI869" s="49">
        <f t="shared" si="204"/>
        <v>0</v>
      </c>
      <c r="AJ869" s="49" t="str">
        <f t="shared" si="205"/>
        <v/>
      </c>
      <c r="AK869" s="49">
        <f t="shared" si="206"/>
        <v>0</v>
      </c>
      <c r="AL869" s="49" t="str">
        <f t="shared" si="207"/>
        <v/>
      </c>
      <c r="AM869" s="49">
        <f t="shared" si="208"/>
        <v>0</v>
      </c>
      <c r="AN869" s="49" t="str">
        <f t="shared" si="209"/>
        <v/>
      </c>
      <c r="AO869" s="49">
        <f t="shared" si="210"/>
        <v>0</v>
      </c>
      <c r="AP869" s="49" t="str">
        <f t="shared" si="211"/>
        <v/>
      </c>
      <c r="AQ869" s="49">
        <f t="shared" si="212"/>
        <v>0</v>
      </c>
      <c r="AR869" s="49" t="str">
        <f t="shared" si="213"/>
        <v/>
      </c>
    </row>
    <row r="870" spans="1:44" ht="30" customHeight="1" x14ac:dyDescent="0.35">
      <c r="A870" s="25" t="str">
        <f t="shared" si="214"/>
        <v>PT178 - PLATAFORMA DE ACESSO - FORQUILHA 3 - DETALHADO
TORRE B6PROJETO DETALHADO
CIVIL</v>
      </c>
      <c r="B870" s="40" t="s">
        <v>49</v>
      </c>
      <c r="C870" s="60" t="str">
        <f>IF(AND($B870=[1]rogério!$A871,[1]rogério!$B871=C$4),"ok","nok")</f>
        <v>nok</v>
      </c>
      <c r="D870" s="60" t="str">
        <f>IF(AND($B870=[1]rogério!$A871,[1]rogério!$B871=D$4),"ok","nok")</f>
        <v>nok</v>
      </c>
      <c r="E870" s="60" t="str">
        <f>IF(AND($B870=[1]rogério!$A871,[1]rogério!$B871=E$4),"ok","nok")</f>
        <v>nok</v>
      </c>
      <c r="F870" s="60" t="str">
        <f>IF(AND($B870=[1]rogério!$A871,[1]rogério!$B871=F$4),"ok","nok")</f>
        <v>nok</v>
      </c>
      <c r="G870" s="60" t="str">
        <f>IF(AND($B870=[1]rogério!$A871,[1]rogério!$B871=G$4),"ok","nok")</f>
        <v>nok</v>
      </c>
      <c r="H870" s="60" t="str">
        <f>IF(AND($B870=[1]rogério!$A871,[1]rogério!$B871=H$4),"ok","nok")</f>
        <v>nok</v>
      </c>
      <c r="I870" s="60" t="str">
        <f>IF(AND($B870=[1]rogério!$A871,[1]rogério!$B871=I$4),"ok","nok")</f>
        <v>nok</v>
      </c>
      <c r="J870" s="60" t="str">
        <f>IF(AND($B870=[1]rogério!$A871,[1]rogério!$B871=J$4),"ok","nok")</f>
        <v>nok</v>
      </c>
      <c r="K870" s="60" t="str">
        <f>IF(AND($B870=[1]rogério!$A871,[1]rogério!$B871=K$4),"ok","nok")</f>
        <v>nok</v>
      </c>
      <c r="L870" s="60" t="str">
        <f>IF(AND($B870=[1]rogério!$A871,[1]rogério!$B871=L$4),"ok","nok")</f>
        <v>nok</v>
      </c>
      <c r="M870" s="60" t="str">
        <f>IF(AND($B870=[1]rogério!$A871,[1]rogério!$B871=M$4),"ok","nok")</f>
        <v>ok</v>
      </c>
      <c r="N870" s="60" t="str">
        <f>IF(AND($B870=[1]rogério!$A871,[1]rogério!$B871=N$4),"ok","nok")</f>
        <v>nok</v>
      </c>
      <c r="O870" s="60" t="str">
        <f>IF(AND($B870=[1]rogério!$A871,[1]rogério!$B871=O$4),"ok","nok")</f>
        <v>nok</v>
      </c>
      <c r="P870" s="60" t="str">
        <f>IF(AND($B870=[1]rogério!$A871,[1]rogério!$B871=P$4),"ok","nok")</f>
        <v>nok</v>
      </c>
      <c r="Q870" s="60" t="str">
        <f>IF(AND($B870=[1]rogério!$A871,[1]rogério!$B871=Q$4),"ok","nok")</f>
        <v>nok</v>
      </c>
      <c r="R870" s="60" t="str">
        <f>IF(AND($B870=[1]rogério!$A871,[1]rogério!$B871=R$4),"ok","nok")</f>
        <v>nok</v>
      </c>
      <c r="S870" s="60" t="str">
        <f>IF(AND($B870=[1]rogério!$A871,[1]rogério!$B871=S$4),"ok","nok")</f>
        <v>nok</v>
      </c>
      <c r="T870" s="60" t="str">
        <f>IF(AND($B870=[1]rogério!$A871,[1]rogério!$B871=T$4),"ok","nok")</f>
        <v>nok</v>
      </c>
      <c r="U870" s="60" t="str">
        <f>IF(AND($B870=[1]rogério!$A871,[1]rogério!$B871=U$4),"ok","nok")</f>
        <v>nok</v>
      </c>
      <c r="V870" s="60" t="str">
        <f>IF(AND($B870=[1]rogério!$A871,[1]rogério!$B871=V$4),"ok","nok")</f>
        <v>nok</v>
      </c>
      <c r="W870" s="60" t="str">
        <f>IF(AND($B870=[1]rogério!$A871,[1]rogério!$B871=W$4),"ok","nok")</f>
        <v>nok</v>
      </c>
      <c r="X870" s="60" t="str">
        <f>IF(AND($B870=[1]rogério!$A871,[1]rogério!$B871=X$4),"ok","nok")</f>
        <v>nok</v>
      </c>
      <c r="Y870" s="105" t="s">
        <v>15</v>
      </c>
      <c r="Z870" s="106"/>
      <c r="AA870" s="106"/>
      <c r="AB870" s="107"/>
      <c r="AE870" s="48" t="str">
        <f t="shared" si="203"/>
        <v/>
      </c>
      <c r="AF870" s="48"/>
      <c r="AG870" s="48"/>
      <c r="AH870" s="89"/>
      <c r="AI870" s="49">
        <f t="shared" si="204"/>
        <v>0</v>
      </c>
      <c r="AJ870" s="49" t="str">
        <f t="shared" si="205"/>
        <v/>
      </c>
      <c r="AK870" s="49">
        <f t="shared" si="206"/>
        <v>0</v>
      </c>
      <c r="AL870" s="49" t="str">
        <f t="shared" si="207"/>
        <v/>
      </c>
      <c r="AM870" s="49">
        <f t="shared" si="208"/>
        <v>1</v>
      </c>
      <c r="AN870" s="49" t="str">
        <f t="shared" si="209"/>
        <v/>
      </c>
      <c r="AO870" s="49">
        <f t="shared" si="210"/>
        <v>0</v>
      </c>
      <c r="AP870" s="49" t="str">
        <f t="shared" si="211"/>
        <v/>
      </c>
      <c r="AQ870" s="49">
        <f t="shared" si="212"/>
        <v>0</v>
      </c>
      <c r="AR870" s="49" t="str">
        <f t="shared" si="213"/>
        <v/>
      </c>
    </row>
    <row r="871" spans="1:44" ht="30" customHeight="1" x14ac:dyDescent="0.35">
      <c r="A871" s="25" t="str">
        <f t="shared" si="214"/>
        <v>PT178 - PLATAFORMA DE ACESSO - FORQUILHA 3 - DETALHADO
TORRE B6PROJETO DETALHADO
CIVIL</v>
      </c>
      <c r="B871" s="40" t="s">
        <v>19</v>
      </c>
      <c r="C871" s="60" t="str">
        <f>IF(AND($B871=[1]rogério!$A872,[1]rogério!$B872=C$4),"ok","nok")</f>
        <v>nok</v>
      </c>
      <c r="D871" s="60" t="str">
        <f>IF(AND($B871=[1]rogério!$A872,[1]rogério!$B872=D$4),"ok","nok")</f>
        <v>nok</v>
      </c>
      <c r="E871" s="60" t="str">
        <f>IF(AND($B871=[1]rogério!$A872,[1]rogério!$B872=E$4),"ok","nok")</f>
        <v>nok</v>
      </c>
      <c r="F871" s="60" t="str">
        <f>IF(AND($B871=[1]rogério!$A872,[1]rogério!$B872=F$4),"ok","nok")</f>
        <v>nok</v>
      </c>
      <c r="G871" s="60" t="str">
        <f>IF(AND($B871=[1]rogério!$A872,[1]rogério!$B872=G$4),"ok","nok")</f>
        <v>nok</v>
      </c>
      <c r="H871" s="60" t="str">
        <f>IF(AND($B871=[1]rogério!$A872,[1]rogério!$B872=H$4),"ok","nok")</f>
        <v>nok</v>
      </c>
      <c r="I871" s="60" t="str">
        <f>IF(AND($B871=[1]rogério!$A872,[1]rogério!$B872=I$4),"ok","nok")</f>
        <v>nok</v>
      </c>
      <c r="J871" s="60" t="str">
        <f>IF(AND($B871=[1]rogério!$A872,[1]rogério!$B872=J$4),"ok","nok")</f>
        <v>nok</v>
      </c>
      <c r="K871" s="60" t="str">
        <f>IF(AND($B871=[1]rogério!$A872,[1]rogério!$B872=K$4),"ok","nok")</f>
        <v>nok</v>
      </c>
      <c r="L871" s="60" t="str">
        <f>IF(AND($B871=[1]rogério!$A872,[1]rogério!$B872=L$4),"ok","nok")</f>
        <v>nok</v>
      </c>
      <c r="M871" s="60" t="str">
        <f>IF(AND($B871=[1]rogério!$A872,[1]rogério!$B872=M$4),"ok","nok")</f>
        <v>nok</v>
      </c>
      <c r="N871" s="60" t="str">
        <f>IF(AND($B871=[1]rogério!$A872,[1]rogério!$B872=N$4),"ok","nok")</f>
        <v>nok</v>
      </c>
      <c r="O871" s="60" t="str">
        <f>IF(AND($B871=[1]rogério!$A872,[1]rogério!$B872=O$4),"ok","nok")</f>
        <v>nok</v>
      </c>
      <c r="P871" s="60" t="str">
        <f>IF(AND($B871=[1]rogério!$A872,[1]rogério!$B872=P$4),"ok","nok")</f>
        <v>nok</v>
      </c>
      <c r="Q871" s="60" t="str">
        <f>IF(AND($B871=[1]rogério!$A872,[1]rogério!$B872=Q$4),"ok","nok")</f>
        <v>nok</v>
      </c>
      <c r="R871" s="60" t="str">
        <f>IF(AND($B871=[1]rogério!$A872,[1]rogério!$B872=R$4),"ok","nok")</f>
        <v>ok</v>
      </c>
      <c r="S871" s="60" t="str">
        <f>IF(AND($B871=[1]rogério!$A872,[1]rogério!$B872=S$4),"ok","nok")</f>
        <v>nok</v>
      </c>
      <c r="T871" s="60" t="str">
        <f>IF(AND($B871=[1]rogério!$A872,[1]rogério!$B872=T$4),"ok","nok")</f>
        <v>nok</v>
      </c>
      <c r="U871" s="60" t="str">
        <f>IF(AND($B871=[1]rogério!$A872,[1]rogério!$B872=U$4),"ok","nok")</f>
        <v>nok</v>
      </c>
      <c r="V871" s="60" t="str">
        <f>IF(AND($B871=[1]rogério!$A872,[1]rogério!$B872=V$4),"ok","nok")</f>
        <v>nok</v>
      </c>
      <c r="W871" s="60" t="str">
        <f>IF(AND($B871=[1]rogério!$A872,[1]rogério!$B872=W$4),"ok","nok")</f>
        <v>nok</v>
      </c>
      <c r="X871" s="60" t="str">
        <f>IF(AND($B871=[1]rogério!$A872,[1]rogério!$B872=X$4),"ok","nok")</f>
        <v>nok</v>
      </c>
      <c r="Y871" s="105" t="s">
        <v>15</v>
      </c>
      <c r="Z871" s="106"/>
      <c r="AA871" s="106"/>
      <c r="AB871" s="107"/>
      <c r="AE871" s="48" t="str">
        <f t="shared" si="203"/>
        <v/>
      </c>
      <c r="AF871" s="48"/>
      <c r="AG871" s="48"/>
      <c r="AH871" s="89"/>
      <c r="AI871" s="49">
        <f t="shared" si="204"/>
        <v>0</v>
      </c>
      <c r="AJ871" s="49" t="str">
        <f t="shared" si="205"/>
        <v/>
      </c>
      <c r="AK871" s="49">
        <f t="shared" si="206"/>
        <v>0</v>
      </c>
      <c r="AL871" s="49" t="str">
        <f t="shared" si="207"/>
        <v/>
      </c>
      <c r="AM871" s="49">
        <f t="shared" si="208"/>
        <v>0</v>
      </c>
      <c r="AN871" s="49" t="str">
        <f t="shared" si="209"/>
        <v/>
      </c>
      <c r="AO871" s="49">
        <f t="shared" si="210"/>
        <v>1</v>
      </c>
      <c r="AP871" s="49" t="str">
        <f t="shared" si="211"/>
        <v/>
      </c>
      <c r="AQ871" s="49">
        <f t="shared" si="212"/>
        <v>0</v>
      </c>
      <c r="AR871" s="49" t="str">
        <f t="shared" si="213"/>
        <v/>
      </c>
    </row>
    <row r="872" spans="1:44" ht="30" customHeight="1" x14ac:dyDescent="0.35">
      <c r="A872" s="25" t="str">
        <f t="shared" si="214"/>
        <v>PT178 - PLATAFORMA DE ACESSO - FORQUILHA 3 - DETALHADO
TORRE B6PROJETO DETALHADO
CIVIL</v>
      </c>
      <c r="B872" s="40" t="s">
        <v>42</v>
      </c>
      <c r="C872" s="60" t="str">
        <f>IF(AND($B872=[1]rogério!$A873,[1]rogério!$B873=C$4),"ok","nok")</f>
        <v>nok</v>
      </c>
      <c r="D872" s="60" t="str">
        <f>IF(AND($B872=[1]rogério!$A873,[1]rogério!$B873=D$4),"ok","nok")</f>
        <v>nok</v>
      </c>
      <c r="E872" s="60" t="str">
        <f>IF(AND($B872=[1]rogério!$A873,[1]rogério!$B873=E$4),"ok","nok")</f>
        <v>nok</v>
      </c>
      <c r="F872" s="60" t="str">
        <f>IF(AND($B872=[1]rogério!$A873,[1]rogério!$B873=F$4),"ok","nok")</f>
        <v>nok</v>
      </c>
      <c r="G872" s="60" t="str">
        <f>IF(AND($B872=[1]rogério!$A873,[1]rogério!$B873=G$4),"ok","nok")</f>
        <v>nok</v>
      </c>
      <c r="H872" s="60" t="str">
        <f>IF(AND($B872=[1]rogério!$A873,[1]rogério!$B873=H$4),"ok","nok")</f>
        <v>nok</v>
      </c>
      <c r="I872" s="60" t="str">
        <f>IF(AND($B872=[1]rogério!$A873,[1]rogério!$B873=I$4),"ok","nok")</f>
        <v>nok</v>
      </c>
      <c r="J872" s="60" t="str">
        <f>IF(AND($B872=[1]rogério!$A873,[1]rogério!$B873=J$4),"ok","nok")</f>
        <v>nok</v>
      </c>
      <c r="K872" s="60" t="str">
        <f>IF(AND($B872=[1]rogério!$A873,[1]rogério!$B873=K$4),"ok","nok")</f>
        <v>nok</v>
      </c>
      <c r="L872" s="60" t="str">
        <f>IF(AND($B872=[1]rogério!$A873,[1]rogério!$B873=L$4),"ok","nok")</f>
        <v>nok</v>
      </c>
      <c r="M872" s="60" t="str">
        <f>IF(AND($B872=[1]rogério!$A873,[1]rogério!$B873=M$4),"ok","nok")</f>
        <v>nok</v>
      </c>
      <c r="N872" s="60" t="str">
        <f>IF(AND($B872=[1]rogério!$A873,[1]rogério!$B873=N$4),"ok","nok")</f>
        <v>nok</v>
      </c>
      <c r="O872" s="60" t="str">
        <f>IF(AND($B872=[1]rogério!$A873,[1]rogério!$B873=O$4),"ok","nok")</f>
        <v>nok</v>
      </c>
      <c r="P872" s="60" t="str">
        <f>IF(AND($B872=[1]rogério!$A873,[1]rogério!$B873=P$4),"ok","nok")</f>
        <v>nok</v>
      </c>
      <c r="Q872" s="60" t="str">
        <f>IF(AND($B872=[1]rogério!$A873,[1]rogério!$B873=Q$4),"ok","nok")</f>
        <v>nok</v>
      </c>
      <c r="R872" s="60" t="str">
        <f>IF(AND($B872=[1]rogério!$A873,[1]rogério!$B873=R$4),"ok","nok")</f>
        <v>nok</v>
      </c>
      <c r="S872" s="60" t="str">
        <f>IF(AND($B872=[1]rogério!$A873,[1]rogério!$B873=S$4),"ok","nok")</f>
        <v>nok</v>
      </c>
      <c r="T872" s="60" t="str">
        <f>IF(AND($B872=[1]rogério!$A873,[1]rogério!$B873=T$4),"ok","nok")</f>
        <v>nok</v>
      </c>
      <c r="U872" s="60" t="str">
        <f>IF(AND($B872=[1]rogério!$A873,[1]rogério!$B873=U$4),"ok","nok")</f>
        <v>ok</v>
      </c>
      <c r="V872" s="60" t="str">
        <f>IF(AND($B872=[1]rogério!$A873,[1]rogério!$B873=V$4),"ok","nok")</f>
        <v>nok</v>
      </c>
      <c r="W872" s="60" t="str">
        <f>IF(AND($B872=[1]rogério!$A873,[1]rogério!$B873=W$4),"ok","nok")</f>
        <v>nok</v>
      </c>
      <c r="X872" s="60" t="str">
        <f>IF(AND($B872=[1]rogério!$A873,[1]rogério!$B873=X$4),"ok","nok")</f>
        <v>nok</v>
      </c>
      <c r="Y872" s="105" t="s">
        <v>15</v>
      </c>
      <c r="Z872" s="106"/>
      <c r="AA872" s="106"/>
      <c r="AB872" s="107"/>
      <c r="AE872" s="48" t="str">
        <f t="shared" si="203"/>
        <v/>
      </c>
      <c r="AF872" s="48"/>
      <c r="AG872" s="48"/>
      <c r="AH872" s="89"/>
      <c r="AI872" s="49">
        <f t="shared" si="204"/>
        <v>0</v>
      </c>
      <c r="AJ872" s="49" t="str">
        <f t="shared" si="205"/>
        <v/>
      </c>
      <c r="AK872" s="49">
        <f t="shared" si="206"/>
        <v>0</v>
      </c>
      <c r="AL872" s="49" t="str">
        <f t="shared" si="207"/>
        <v/>
      </c>
      <c r="AM872" s="49">
        <f t="shared" si="208"/>
        <v>0</v>
      </c>
      <c r="AN872" s="49" t="str">
        <f t="shared" si="209"/>
        <v/>
      </c>
      <c r="AO872" s="49">
        <f t="shared" si="210"/>
        <v>1</v>
      </c>
      <c r="AP872" s="49" t="str">
        <f t="shared" si="211"/>
        <v/>
      </c>
      <c r="AQ872" s="49">
        <f t="shared" si="212"/>
        <v>0</v>
      </c>
      <c r="AR872" s="49" t="str">
        <f t="shared" si="213"/>
        <v/>
      </c>
    </row>
    <row r="873" spans="1:44" ht="30" customHeight="1" x14ac:dyDescent="0.35">
      <c r="A873" s="25" t="str">
        <f t="shared" si="214"/>
        <v>PT178 - PLATAFORMA DE ACESSO - FORQUILHA 3 - DETALHADO
TORRE B6PROJETO DETALHADO
CIVIL</v>
      </c>
      <c r="B873" s="40" t="s">
        <v>43</v>
      </c>
      <c r="C873" s="60" t="str">
        <f>IF(AND($B873=[1]rogério!$A874,[1]rogério!$B874=C$4),"ok","nok")</f>
        <v>nok</v>
      </c>
      <c r="D873" s="60" t="str">
        <f>IF(AND($B873=[1]rogério!$A874,[1]rogério!$B874=D$4),"ok","nok")</f>
        <v>nok</v>
      </c>
      <c r="E873" s="60" t="str">
        <f>IF(AND($B873=[1]rogério!$A874,[1]rogério!$B874=E$4),"ok","nok")</f>
        <v>nok</v>
      </c>
      <c r="F873" s="60" t="str">
        <f>IF(AND($B873=[1]rogério!$A874,[1]rogério!$B874=F$4),"ok","nok")</f>
        <v>nok</v>
      </c>
      <c r="G873" s="60" t="str">
        <f>IF(AND($B873=[1]rogério!$A874,[1]rogério!$B874=G$4),"ok","nok")</f>
        <v>nok</v>
      </c>
      <c r="H873" s="60" t="str">
        <f>IF(AND($B873=[1]rogério!$A874,[1]rogério!$B874=H$4),"ok","nok")</f>
        <v>nok</v>
      </c>
      <c r="I873" s="60" t="str">
        <f>IF(AND($B873=[1]rogério!$A874,[1]rogério!$B874=I$4),"ok","nok")</f>
        <v>nok</v>
      </c>
      <c r="J873" s="60" t="str">
        <f>IF(AND($B873=[1]rogério!$A874,[1]rogério!$B874=J$4),"ok","nok")</f>
        <v>nok</v>
      </c>
      <c r="K873" s="60" t="str">
        <f>IF(AND($B873=[1]rogério!$A874,[1]rogério!$B874=K$4),"ok","nok")</f>
        <v>nok</v>
      </c>
      <c r="L873" s="60" t="str">
        <f>IF(AND($B873=[1]rogério!$A874,[1]rogério!$B874=L$4),"ok","nok")</f>
        <v>nok</v>
      </c>
      <c r="M873" s="60" t="str">
        <f>IF(AND($B873=[1]rogério!$A874,[1]rogério!$B874=M$4),"ok","nok")</f>
        <v>nok</v>
      </c>
      <c r="N873" s="60" t="str">
        <f>IF(AND($B873=[1]rogério!$A874,[1]rogério!$B874=N$4),"ok","nok")</f>
        <v>nok</v>
      </c>
      <c r="O873" s="60" t="str">
        <f>IF(AND($B873=[1]rogério!$A874,[1]rogério!$B874=O$4),"ok","nok")</f>
        <v>nok</v>
      </c>
      <c r="P873" s="60" t="str">
        <f>IF(AND($B873=[1]rogério!$A874,[1]rogério!$B874=P$4),"ok","nok")</f>
        <v>nok</v>
      </c>
      <c r="Q873" s="60" t="str">
        <f>IF(AND($B873=[1]rogério!$A874,[1]rogério!$B874=Q$4),"ok","nok")</f>
        <v>nok</v>
      </c>
      <c r="R873" s="60" t="str">
        <f>IF(AND($B873=[1]rogério!$A874,[1]rogério!$B874=R$4),"ok","nok")</f>
        <v>nok</v>
      </c>
      <c r="S873" s="60" t="str">
        <f>IF(AND($B873=[1]rogério!$A874,[1]rogério!$B874=S$4),"ok","nok")</f>
        <v>nok</v>
      </c>
      <c r="T873" s="60" t="str">
        <f>IF(AND($B873=[1]rogério!$A874,[1]rogério!$B874=T$4),"ok","nok")</f>
        <v>nok</v>
      </c>
      <c r="U873" s="60" t="str">
        <f>IF(AND($B873=[1]rogério!$A874,[1]rogério!$B874=U$4),"ok","nok")</f>
        <v>ok</v>
      </c>
      <c r="V873" s="60" t="str">
        <f>IF(AND($B873=[1]rogério!$A874,[1]rogério!$B874=V$4),"ok","nok")</f>
        <v>nok</v>
      </c>
      <c r="W873" s="60" t="str">
        <f>IF(AND($B873=[1]rogério!$A874,[1]rogério!$B874=W$4),"ok","nok")</f>
        <v>nok</v>
      </c>
      <c r="X873" s="60" t="str">
        <f>IF(AND($B873=[1]rogério!$A874,[1]rogério!$B874=X$4),"ok","nok")</f>
        <v>nok</v>
      </c>
      <c r="Y873" s="105" t="s">
        <v>15</v>
      </c>
      <c r="Z873" s="106"/>
      <c r="AA873" s="106"/>
      <c r="AB873" s="107"/>
      <c r="AE873" s="48" t="str">
        <f t="shared" si="203"/>
        <v/>
      </c>
      <c r="AF873" s="48"/>
      <c r="AG873" s="48"/>
      <c r="AH873" s="89"/>
      <c r="AI873" s="49">
        <f t="shared" si="204"/>
        <v>0</v>
      </c>
      <c r="AJ873" s="49" t="str">
        <f t="shared" si="205"/>
        <v/>
      </c>
      <c r="AK873" s="49">
        <f t="shared" si="206"/>
        <v>0</v>
      </c>
      <c r="AL873" s="49" t="str">
        <f t="shared" si="207"/>
        <v/>
      </c>
      <c r="AM873" s="49">
        <f t="shared" si="208"/>
        <v>0</v>
      </c>
      <c r="AN873" s="49" t="str">
        <f t="shared" si="209"/>
        <v/>
      </c>
      <c r="AO873" s="49">
        <f t="shared" si="210"/>
        <v>1</v>
      </c>
      <c r="AP873" s="49" t="str">
        <f t="shared" si="211"/>
        <v/>
      </c>
      <c r="AQ873" s="49">
        <f t="shared" si="212"/>
        <v>0</v>
      </c>
      <c r="AR873" s="49" t="str">
        <f t="shared" si="213"/>
        <v/>
      </c>
    </row>
    <row r="874" spans="1:44" ht="30" customHeight="1" x14ac:dyDescent="0.35">
      <c r="A874" s="25" t="str">
        <f t="shared" si="214"/>
        <v>PT178 - PLATAFORMA DE ACESSO - FORQUILHA 3 - DETALHADO
TORRE B6PROJETO DETALHADO
CIVIL</v>
      </c>
      <c r="B874" s="38" t="s">
        <v>79</v>
      </c>
      <c r="C874" s="60" t="str">
        <f>IF(AND($B874=[1]rogério!$A875,[1]rogério!$B875=C$4),"ok","nok")</f>
        <v>nok</v>
      </c>
      <c r="D874" s="60" t="str">
        <f>IF(AND($B874=[1]rogério!$A875,[1]rogério!$B875=D$4),"ok","nok")</f>
        <v>nok</v>
      </c>
      <c r="E874" s="60" t="str">
        <f>IF(AND($B874=[1]rogério!$A875,[1]rogério!$B875=E$4),"ok","nok")</f>
        <v>nok</v>
      </c>
      <c r="F874" s="60" t="str">
        <f>IF(AND($B874=[1]rogério!$A875,[1]rogério!$B875=F$4),"ok","nok")</f>
        <v>nok</v>
      </c>
      <c r="G874" s="60" t="str">
        <f>IF(AND($B874=[1]rogério!$A875,[1]rogério!$B875=G$4),"ok","nok")</f>
        <v>nok</v>
      </c>
      <c r="H874" s="60" t="str">
        <f>IF(AND($B874=[1]rogério!$A875,[1]rogério!$B875=H$4),"ok","nok")</f>
        <v>nok</v>
      </c>
      <c r="I874" s="60" t="str">
        <f>IF(AND($B874=[1]rogério!$A875,[1]rogério!$B875=I$4),"ok","nok")</f>
        <v>nok</v>
      </c>
      <c r="J874" s="60" t="str">
        <f>IF(AND($B874=[1]rogério!$A875,[1]rogério!$B875=J$4),"ok","nok")</f>
        <v>nok</v>
      </c>
      <c r="K874" s="60" t="str">
        <f>IF(AND($B874=[1]rogério!$A875,[1]rogério!$B875=K$4),"ok","nok")</f>
        <v>nok</v>
      </c>
      <c r="L874" s="60" t="str">
        <f>IF(AND($B874=[1]rogério!$A875,[1]rogério!$B875=L$4),"ok","nok")</f>
        <v>nok</v>
      </c>
      <c r="M874" s="60" t="str">
        <f>IF(AND($B874=[1]rogério!$A875,[1]rogério!$B875=M$4),"ok","nok")</f>
        <v>nok</v>
      </c>
      <c r="N874" s="60" t="str">
        <f>IF(AND($B874=[1]rogério!$A875,[1]rogério!$B875=N$4),"ok","nok")</f>
        <v>nok</v>
      </c>
      <c r="O874" s="60" t="str">
        <f>IF(AND($B874=[1]rogério!$A875,[1]rogério!$B875=O$4),"ok","nok")</f>
        <v>nok</v>
      </c>
      <c r="P874" s="60" t="str">
        <f>IF(AND($B874=[1]rogério!$A875,[1]rogério!$B875=P$4),"ok","nok")</f>
        <v>nok</v>
      </c>
      <c r="Q874" s="60" t="str">
        <f>IF(AND($B874=[1]rogério!$A875,[1]rogério!$B875=Q$4),"ok","nok")</f>
        <v>ok</v>
      </c>
      <c r="R874" s="60" t="str">
        <f>IF(AND($B874=[1]rogério!$A875,[1]rogério!$B875=R$4),"ok","nok")</f>
        <v>nok</v>
      </c>
      <c r="S874" s="60" t="str">
        <f>IF(AND($B874=[1]rogério!$A875,[1]rogério!$B875=S$4),"ok","nok")</f>
        <v>nok</v>
      </c>
      <c r="T874" s="60" t="str">
        <f>IF(AND($B874=[1]rogério!$A875,[1]rogério!$B875=T$4),"ok","nok")</f>
        <v>nok</v>
      </c>
      <c r="U874" s="60" t="str">
        <f>IF(AND($B874=[1]rogério!$A875,[1]rogério!$B875=U$4),"ok","nok")</f>
        <v>nok</v>
      </c>
      <c r="V874" s="60" t="str">
        <f>IF(AND($B874=[1]rogério!$A875,[1]rogério!$B875=V$4),"ok","nok")</f>
        <v>nok</v>
      </c>
      <c r="W874" s="60" t="str">
        <f>IF(AND($B874=[1]rogério!$A875,[1]rogério!$B875=W$4),"ok","nok")</f>
        <v>nok</v>
      </c>
      <c r="X874" s="60" t="str">
        <f>IF(AND($B874=[1]rogério!$A875,[1]rogério!$B875=X$4),"ok","nok")</f>
        <v>nok</v>
      </c>
      <c r="Y874" s="105" t="s">
        <v>15</v>
      </c>
      <c r="Z874" s="106"/>
      <c r="AA874" s="106"/>
      <c r="AB874" s="107"/>
      <c r="AE874" s="48" t="str">
        <f t="shared" si="203"/>
        <v/>
      </c>
      <c r="AF874" s="48"/>
      <c r="AG874" s="48"/>
      <c r="AH874" s="89"/>
      <c r="AI874" s="49">
        <f t="shared" si="204"/>
        <v>0</v>
      </c>
      <c r="AJ874" s="49" t="str">
        <f t="shared" si="205"/>
        <v/>
      </c>
      <c r="AK874" s="49">
        <f t="shared" si="206"/>
        <v>0</v>
      </c>
      <c r="AL874" s="49" t="str">
        <f t="shared" si="207"/>
        <v/>
      </c>
      <c r="AM874" s="49">
        <f t="shared" si="208"/>
        <v>1</v>
      </c>
      <c r="AN874" s="49" t="str">
        <f t="shared" si="209"/>
        <v/>
      </c>
      <c r="AO874" s="49">
        <f t="shared" si="210"/>
        <v>0</v>
      </c>
      <c r="AP874" s="49" t="str">
        <f t="shared" si="211"/>
        <v/>
      </c>
      <c r="AQ874" s="49">
        <f t="shared" si="212"/>
        <v>0</v>
      </c>
      <c r="AR874" s="49" t="str">
        <f t="shared" si="213"/>
        <v/>
      </c>
    </row>
    <row r="875" spans="1:44" ht="30" customHeight="1" x14ac:dyDescent="0.35">
      <c r="A875" s="25" t="str">
        <f t="shared" si="214"/>
        <v>PT178 - PLATAFORMA DE ACESSO - FORQUILHA 3 - DETALHADO
TORRE B6PROJETO DETALHADO
CIVIL</v>
      </c>
      <c r="B875" s="38" t="s">
        <v>80</v>
      </c>
      <c r="C875" s="60" t="str">
        <f>IF(AND($B875=[1]rogério!$A876,[1]rogério!$B876=C$4),"ok","nok")</f>
        <v>nok</v>
      </c>
      <c r="D875" s="60" t="str">
        <f>IF(AND($B875=[1]rogério!$A876,[1]rogério!$B876=D$4),"ok","nok")</f>
        <v>nok</v>
      </c>
      <c r="E875" s="60" t="str">
        <f>IF(AND($B875=[1]rogério!$A876,[1]rogério!$B876=E$4),"ok","nok")</f>
        <v>nok</v>
      </c>
      <c r="F875" s="60" t="str">
        <f>IF(AND($B875=[1]rogério!$A876,[1]rogério!$B876=F$4),"ok","nok")</f>
        <v>nok</v>
      </c>
      <c r="G875" s="60" t="str">
        <f>IF(AND($B875=[1]rogério!$A876,[1]rogério!$B876=G$4),"ok","nok")</f>
        <v>nok</v>
      </c>
      <c r="H875" s="60" t="str">
        <f>IF(AND($B875=[1]rogério!$A876,[1]rogério!$B876=H$4),"ok","nok")</f>
        <v>nok</v>
      </c>
      <c r="I875" s="60" t="str">
        <f>IF(AND($B875=[1]rogério!$A876,[1]rogério!$B876=I$4),"ok","nok")</f>
        <v>nok</v>
      </c>
      <c r="J875" s="60" t="str">
        <f>IF(AND($B875=[1]rogério!$A876,[1]rogério!$B876=J$4),"ok","nok")</f>
        <v>nok</v>
      </c>
      <c r="K875" s="60" t="str">
        <f>IF(AND($B875=[1]rogério!$A876,[1]rogério!$B876=K$4),"ok","nok")</f>
        <v>nok</v>
      </c>
      <c r="L875" s="60" t="str">
        <f>IF(AND($B875=[1]rogério!$A876,[1]rogério!$B876=L$4),"ok","nok")</f>
        <v>nok</v>
      </c>
      <c r="M875" s="60" t="str">
        <f>IF(AND($B875=[1]rogério!$A876,[1]rogério!$B876=M$4),"ok","nok")</f>
        <v>nok</v>
      </c>
      <c r="N875" s="60" t="str">
        <f>IF(AND($B875=[1]rogério!$A876,[1]rogério!$B876=N$4),"ok","nok")</f>
        <v>nok</v>
      </c>
      <c r="O875" s="60" t="str">
        <f>IF(AND($B875=[1]rogério!$A876,[1]rogério!$B876=O$4),"ok","nok")</f>
        <v>nok</v>
      </c>
      <c r="P875" s="60" t="str">
        <f>IF(AND($B875=[1]rogério!$A876,[1]rogério!$B876=P$4),"ok","nok")</f>
        <v>nok</v>
      </c>
      <c r="Q875" s="60" t="str">
        <f>IF(AND($B875=[1]rogério!$A876,[1]rogério!$B876=Q$4),"ok","nok")</f>
        <v>nok</v>
      </c>
      <c r="R875" s="60" t="str">
        <f>IF(AND($B875=[1]rogério!$A876,[1]rogério!$B876=R$4),"ok","nok")</f>
        <v>ok</v>
      </c>
      <c r="S875" s="60" t="str">
        <f>IF(AND($B875=[1]rogério!$A876,[1]rogério!$B876=S$4),"ok","nok")</f>
        <v>nok</v>
      </c>
      <c r="T875" s="60" t="str">
        <f>IF(AND($B875=[1]rogério!$A876,[1]rogério!$B876=T$4),"ok","nok")</f>
        <v>nok</v>
      </c>
      <c r="U875" s="60" t="str">
        <f>IF(AND($B875=[1]rogério!$A876,[1]rogério!$B876=U$4),"ok","nok")</f>
        <v>nok</v>
      </c>
      <c r="V875" s="60" t="str">
        <f>IF(AND($B875=[1]rogério!$A876,[1]rogério!$B876=V$4),"ok","nok")</f>
        <v>nok</v>
      </c>
      <c r="W875" s="60" t="str">
        <f>IF(AND($B875=[1]rogério!$A876,[1]rogério!$B876=W$4),"ok","nok")</f>
        <v>nok</v>
      </c>
      <c r="X875" s="60" t="str">
        <f>IF(AND($B875=[1]rogério!$A876,[1]rogério!$B876=X$4),"ok","nok")</f>
        <v>nok</v>
      </c>
      <c r="Y875" s="105" t="s">
        <v>15</v>
      </c>
      <c r="Z875" s="106"/>
      <c r="AA875" s="106"/>
      <c r="AB875" s="107"/>
      <c r="AE875" s="48" t="str">
        <f t="shared" si="203"/>
        <v/>
      </c>
      <c r="AF875" s="48"/>
      <c r="AG875" s="48"/>
      <c r="AH875" s="89"/>
      <c r="AI875" s="49">
        <f t="shared" si="204"/>
        <v>0</v>
      </c>
      <c r="AJ875" s="49" t="str">
        <f t="shared" si="205"/>
        <v/>
      </c>
      <c r="AK875" s="49">
        <f t="shared" si="206"/>
        <v>0</v>
      </c>
      <c r="AL875" s="49" t="str">
        <f t="shared" si="207"/>
        <v/>
      </c>
      <c r="AM875" s="49">
        <f t="shared" si="208"/>
        <v>0</v>
      </c>
      <c r="AN875" s="49" t="str">
        <f t="shared" si="209"/>
        <v/>
      </c>
      <c r="AO875" s="49">
        <f t="shared" si="210"/>
        <v>1</v>
      </c>
      <c r="AP875" s="49" t="str">
        <f t="shared" si="211"/>
        <v/>
      </c>
      <c r="AQ875" s="49">
        <f t="shared" si="212"/>
        <v>0</v>
      </c>
      <c r="AR875" s="49" t="str">
        <f t="shared" si="213"/>
        <v/>
      </c>
    </row>
    <row r="876" spans="1:44" ht="30" customHeight="1" x14ac:dyDescent="0.35">
      <c r="A876" s="25"/>
      <c r="B876" s="39" t="s">
        <v>81</v>
      </c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108"/>
      <c r="Z876" s="109"/>
      <c r="AA876" s="109"/>
      <c r="AB876" s="110"/>
      <c r="AE876" s="48" t="str">
        <f t="shared" si="203"/>
        <v/>
      </c>
      <c r="AF876" s="48"/>
      <c r="AG876" s="48"/>
      <c r="AH876" s="89"/>
      <c r="AI876" s="49">
        <f t="shared" si="204"/>
        <v>0</v>
      </c>
      <c r="AJ876" s="49" t="str">
        <f t="shared" si="205"/>
        <v/>
      </c>
      <c r="AK876" s="49">
        <f t="shared" si="206"/>
        <v>0</v>
      </c>
      <c r="AL876" s="49" t="str">
        <f t="shared" si="207"/>
        <v/>
      </c>
      <c r="AM876" s="49">
        <f t="shared" si="208"/>
        <v>0</v>
      </c>
      <c r="AN876" s="49" t="str">
        <f t="shared" si="209"/>
        <v/>
      </c>
      <c r="AO876" s="49">
        <f t="shared" si="210"/>
        <v>0</v>
      </c>
      <c r="AP876" s="49" t="str">
        <f t="shared" si="211"/>
        <v/>
      </c>
      <c r="AQ876" s="49">
        <f t="shared" si="212"/>
        <v>0</v>
      </c>
      <c r="AR876" s="49" t="str">
        <f t="shared" si="213"/>
        <v/>
      </c>
    </row>
    <row r="877" spans="1:44" ht="30" customHeight="1" x14ac:dyDescent="0.35">
      <c r="A877" s="25" t="str">
        <f t="shared" si="214"/>
        <v>PT178 - PLATAFORMA DE ACESSO - FORQUILHA 3 - DETALHADO
TORRE B6PROJETO DETALHADO
CIVIL</v>
      </c>
      <c r="B877" s="40" t="s">
        <v>49</v>
      </c>
      <c r="C877" s="60" t="str">
        <f>IF(AND($B877=[1]rogério!$A878,[1]rogério!$B878=C$4),"ok","nok")</f>
        <v>nok</v>
      </c>
      <c r="D877" s="60" t="str">
        <f>IF(AND($B877=[1]rogério!$A878,[1]rogério!$B878=D$4),"ok","nok")</f>
        <v>nok</v>
      </c>
      <c r="E877" s="60" t="str">
        <f>IF(AND($B877=[1]rogério!$A878,[1]rogério!$B878=E$4),"ok","nok")</f>
        <v>nok</v>
      </c>
      <c r="F877" s="60" t="str">
        <f>IF(AND($B877=[1]rogério!$A878,[1]rogério!$B878=F$4),"ok","nok")</f>
        <v>nok</v>
      </c>
      <c r="G877" s="60" t="str">
        <f>IF(AND($B877=[1]rogério!$A878,[1]rogério!$B878=G$4),"ok","nok")</f>
        <v>nok</v>
      </c>
      <c r="H877" s="60" t="str">
        <f>IF(AND($B877=[1]rogério!$A878,[1]rogério!$B878=H$4),"ok","nok")</f>
        <v>nok</v>
      </c>
      <c r="I877" s="60" t="str">
        <f>IF(AND($B877=[1]rogério!$A878,[1]rogério!$B878=I$4),"ok","nok")</f>
        <v>nok</v>
      </c>
      <c r="J877" s="60" t="str">
        <f>IF(AND($B877=[1]rogério!$A878,[1]rogério!$B878=J$4),"ok","nok")</f>
        <v>nok</v>
      </c>
      <c r="K877" s="60" t="str">
        <f>IF(AND($B877=[1]rogério!$A878,[1]rogério!$B878=K$4),"ok","nok")</f>
        <v>nok</v>
      </c>
      <c r="L877" s="60" t="str">
        <f>IF(AND($B877=[1]rogério!$A878,[1]rogério!$B878=L$4),"ok","nok")</f>
        <v>nok</v>
      </c>
      <c r="M877" s="60" t="str">
        <f>IF(AND($B877=[1]rogério!$A878,[1]rogério!$B878=M$4),"ok","nok")</f>
        <v>nok</v>
      </c>
      <c r="N877" s="60" t="str">
        <f>IF(AND($B877=[1]rogério!$A878,[1]rogério!$B878=N$4),"ok","nok")</f>
        <v>nok</v>
      </c>
      <c r="O877" s="60" t="str">
        <f>IF(AND($B877=[1]rogério!$A878,[1]rogério!$B878=O$4),"ok","nok")</f>
        <v>nok</v>
      </c>
      <c r="P877" s="60" t="str">
        <f>IF(AND($B877=[1]rogério!$A878,[1]rogério!$B878=P$4),"ok","nok")</f>
        <v>nok</v>
      </c>
      <c r="Q877" s="60" t="str">
        <f>IF(AND($B877=[1]rogério!$A878,[1]rogério!$B878=Q$4),"ok","nok")</f>
        <v>nok</v>
      </c>
      <c r="R877" s="60" t="str">
        <f>IF(AND($B877=[1]rogério!$A878,[1]rogério!$B878=R$4),"ok","nok")</f>
        <v>ok</v>
      </c>
      <c r="S877" s="60" t="str">
        <f>IF(AND($B877=[1]rogério!$A878,[1]rogério!$B878=S$4),"ok","nok")</f>
        <v>nok</v>
      </c>
      <c r="T877" s="60" t="str">
        <f>IF(AND($B877=[1]rogério!$A878,[1]rogério!$B878=T$4),"ok","nok")</f>
        <v>nok</v>
      </c>
      <c r="U877" s="60" t="str">
        <f>IF(AND($B877=[1]rogério!$A878,[1]rogério!$B878=U$4),"ok","nok")</f>
        <v>nok</v>
      </c>
      <c r="V877" s="60" t="str">
        <f>IF(AND($B877=[1]rogério!$A878,[1]rogério!$B878=V$4),"ok","nok")</f>
        <v>nok</v>
      </c>
      <c r="W877" s="60" t="str">
        <f>IF(AND($B877=[1]rogério!$A878,[1]rogério!$B878=W$4),"ok","nok")</f>
        <v>nok</v>
      </c>
      <c r="X877" s="60" t="str">
        <f>IF(AND($B877=[1]rogério!$A878,[1]rogério!$B878=X$4),"ok","nok")</f>
        <v>nok</v>
      </c>
      <c r="Y877" s="105" t="s">
        <v>15</v>
      </c>
      <c r="Z877" s="106"/>
      <c r="AA877" s="106"/>
      <c r="AB877" s="107"/>
      <c r="AE877" s="48" t="str">
        <f t="shared" si="203"/>
        <v/>
      </c>
      <c r="AF877" s="48"/>
      <c r="AG877" s="48"/>
      <c r="AH877" s="89"/>
      <c r="AI877" s="49">
        <f t="shared" si="204"/>
        <v>0</v>
      </c>
      <c r="AJ877" s="49" t="str">
        <f t="shared" si="205"/>
        <v/>
      </c>
      <c r="AK877" s="49">
        <f t="shared" si="206"/>
        <v>0</v>
      </c>
      <c r="AL877" s="49" t="str">
        <f t="shared" si="207"/>
        <v/>
      </c>
      <c r="AM877" s="49">
        <f t="shared" si="208"/>
        <v>0</v>
      </c>
      <c r="AN877" s="49" t="str">
        <f t="shared" si="209"/>
        <v/>
      </c>
      <c r="AO877" s="49">
        <f t="shared" si="210"/>
        <v>1</v>
      </c>
      <c r="AP877" s="49" t="str">
        <f t="shared" si="211"/>
        <v/>
      </c>
      <c r="AQ877" s="49">
        <f t="shared" si="212"/>
        <v>0</v>
      </c>
      <c r="AR877" s="49" t="str">
        <f t="shared" si="213"/>
        <v/>
      </c>
    </row>
    <row r="878" spans="1:44" ht="30" customHeight="1" x14ac:dyDescent="0.35">
      <c r="A878" s="25" t="str">
        <f t="shared" si="214"/>
        <v>PT178 - PLATAFORMA DE ACESSO - FORQUILHA 3 - DETALHADO
TORRE B6PROJETO DETALHADO
CIVIL</v>
      </c>
      <c r="B878" s="40" t="s">
        <v>19</v>
      </c>
      <c r="C878" s="60" t="str">
        <f>IF(AND($B878=[1]rogério!$A879,[1]rogério!$B879=C$4),"ok","nok")</f>
        <v>nok</v>
      </c>
      <c r="D878" s="60" t="str">
        <f>IF(AND($B878=[1]rogério!$A879,[1]rogério!$B879=D$4),"ok","nok")</f>
        <v>nok</v>
      </c>
      <c r="E878" s="60" t="str">
        <f>IF(AND($B878=[1]rogério!$A879,[1]rogério!$B879=E$4),"ok","nok")</f>
        <v>nok</v>
      </c>
      <c r="F878" s="60" t="str">
        <f>IF(AND($B878=[1]rogério!$A879,[1]rogério!$B879=F$4),"ok","nok")</f>
        <v>nok</v>
      </c>
      <c r="G878" s="60" t="str">
        <f>IF(AND($B878=[1]rogério!$A879,[1]rogério!$B879=G$4),"ok","nok")</f>
        <v>nok</v>
      </c>
      <c r="H878" s="60" t="str">
        <f>IF(AND($B878=[1]rogério!$A879,[1]rogério!$B879=H$4),"ok","nok")</f>
        <v>nok</v>
      </c>
      <c r="I878" s="60" t="str">
        <f>IF(AND($B878=[1]rogério!$A879,[1]rogério!$B879=I$4),"ok","nok")</f>
        <v>nok</v>
      </c>
      <c r="J878" s="60" t="str">
        <f>IF(AND($B878=[1]rogério!$A879,[1]rogério!$B879=J$4),"ok","nok")</f>
        <v>nok</v>
      </c>
      <c r="K878" s="60" t="str">
        <f>IF(AND($B878=[1]rogério!$A879,[1]rogério!$B879=K$4),"ok","nok")</f>
        <v>nok</v>
      </c>
      <c r="L878" s="60" t="str">
        <f>IF(AND($B878=[1]rogério!$A879,[1]rogério!$B879=L$4),"ok","nok")</f>
        <v>nok</v>
      </c>
      <c r="M878" s="60" t="str">
        <f>IF(AND($B878=[1]rogério!$A879,[1]rogério!$B879=M$4),"ok","nok")</f>
        <v>nok</v>
      </c>
      <c r="N878" s="60" t="str">
        <f>IF(AND($B878=[1]rogério!$A879,[1]rogério!$B879=N$4),"ok","nok")</f>
        <v>nok</v>
      </c>
      <c r="O878" s="60" t="str">
        <f>IF(AND($B878=[1]rogério!$A879,[1]rogério!$B879=O$4),"ok","nok")</f>
        <v>nok</v>
      </c>
      <c r="P878" s="60" t="str">
        <f>IF(AND($B878=[1]rogério!$A879,[1]rogério!$B879=P$4),"ok","nok")</f>
        <v>nok</v>
      </c>
      <c r="Q878" s="60" t="str">
        <f>IF(AND($B878=[1]rogério!$A879,[1]rogério!$B879=Q$4),"ok","nok")</f>
        <v>nok</v>
      </c>
      <c r="R878" s="60" t="str">
        <f>IF(AND($B878=[1]rogério!$A879,[1]rogério!$B879=R$4),"ok","nok")</f>
        <v>nok</v>
      </c>
      <c r="S878" s="60" t="str">
        <f>IF(AND($B878=[1]rogério!$A879,[1]rogério!$B879=S$4),"ok","nok")</f>
        <v>nok</v>
      </c>
      <c r="T878" s="60" t="str">
        <f>IF(AND($B878=[1]rogério!$A879,[1]rogério!$B879=T$4),"ok","nok")</f>
        <v>nok</v>
      </c>
      <c r="U878" s="60" t="str">
        <f>IF(AND($B878=[1]rogério!$A879,[1]rogério!$B879=U$4),"ok","nok")</f>
        <v>nok</v>
      </c>
      <c r="V878" s="60" t="str">
        <f>IF(AND($B878=[1]rogério!$A879,[1]rogério!$B879=V$4),"ok","nok")</f>
        <v>nok</v>
      </c>
      <c r="W878" s="60" t="str">
        <f>IF(AND($B878=[1]rogério!$A879,[1]rogério!$B879=W$4),"ok","nok")</f>
        <v>ok</v>
      </c>
      <c r="X878" s="60" t="str">
        <f>IF(AND($B878=[1]rogério!$A879,[1]rogério!$B879=X$4),"ok","nok")</f>
        <v>nok</v>
      </c>
      <c r="Y878" s="105" t="s">
        <v>15</v>
      </c>
      <c r="Z878" s="106"/>
      <c r="AA878" s="106"/>
      <c r="AB878" s="107"/>
      <c r="AE878" s="48" t="str">
        <f t="shared" si="203"/>
        <v/>
      </c>
      <c r="AF878" s="48"/>
      <c r="AG878" s="48"/>
      <c r="AH878" s="89"/>
      <c r="AI878" s="49">
        <f t="shared" si="204"/>
        <v>0</v>
      </c>
      <c r="AJ878" s="49" t="str">
        <f t="shared" si="205"/>
        <v/>
      </c>
      <c r="AK878" s="49">
        <f t="shared" si="206"/>
        <v>0</v>
      </c>
      <c r="AL878" s="49" t="str">
        <f t="shared" si="207"/>
        <v/>
      </c>
      <c r="AM878" s="49">
        <f t="shared" si="208"/>
        <v>0</v>
      </c>
      <c r="AN878" s="49" t="str">
        <f t="shared" si="209"/>
        <v/>
      </c>
      <c r="AO878" s="49">
        <f t="shared" si="210"/>
        <v>0</v>
      </c>
      <c r="AP878" s="49" t="str">
        <f t="shared" si="211"/>
        <v/>
      </c>
      <c r="AQ878" s="49">
        <f t="shared" si="212"/>
        <v>1</v>
      </c>
      <c r="AR878" s="49" t="str">
        <f t="shared" si="213"/>
        <v/>
      </c>
    </row>
    <row r="879" spans="1:44" ht="30" customHeight="1" x14ac:dyDescent="0.35">
      <c r="A879" s="25" t="str">
        <f t="shared" si="214"/>
        <v>PT178 - PLATAFORMA DE ACESSO - FORQUILHA 3 - DETALHADO
TORRE B6PROJETO DETALHADO
CIVIL</v>
      </c>
      <c r="B879" s="38" t="s">
        <v>65</v>
      </c>
      <c r="C879" s="60" t="str">
        <f>IF(AND($B879=[1]rogério!$A880,[1]rogério!$B880=C$4),"ok","nok")</f>
        <v>nok</v>
      </c>
      <c r="D879" s="60" t="str">
        <f>IF(AND($B879=[1]rogério!$A880,[1]rogério!$B880=D$4),"ok","nok")</f>
        <v>nok</v>
      </c>
      <c r="E879" s="60" t="str">
        <f>IF(AND($B879=[1]rogério!$A880,[1]rogério!$B880=E$4),"ok","nok")</f>
        <v>nok</v>
      </c>
      <c r="F879" s="60" t="str">
        <f>IF(AND($B879=[1]rogério!$A880,[1]rogério!$B880=F$4),"ok","nok")</f>
        <v>nok</v>
      </c>
      <c r="G879" s="60" t="str">
        <f>IF(AND($B879=[1]rogério!$A880,[1]rogério!$B880=G$4),"ok","nok")</f>
        <v>nok</v>
      </c>
      <c r="H879" s="60" t="str">
        <f>IF(AND($B879=[1]rogério!$A880,[1]rogério!$B880=H$4),"ok","nok")</f>
        <v>nok</v>
      </c>
      <c r="I879" s="60" t="str">
        <f>IF(AND($B879=[1]rogério!$A880,[1]rogério!$B880=I$4),"ok","nok")</f>
        <v>nok</v>
      </c>
      <c r="J879" s="60" t="str">
        <f>IF(AND($B879=[1]rogério!$A880,[1]rogério!$B880=J$4),"ok","nok")</f>
        <v>nok</v>
      </c>
      <c r="K879" s="60" t="str">
        <f>IF(AND($B879=[1]rogério!$A880,[1]rogério!$B880=K$4),"ok","nok")</f>
        <v>nok</v>
      </c>
      <c r="L879" s="60" t="str">
        <f>IF(AND($B879=[1]rogério!$A880,[1]rogério!$B880=L$4),"ok","nok")</f>
        <v>nok</v>
      </c>
      <c r="M879" s="60" t="str">
        <f>IF(AND($B879=[1]rogério!$A880,[1]rogério!$B880=M$4),"ok","nok")</f>
        <v>nok</v>
      </c>
      <c r="N879" s="60" t="str">
        <f>IF(AND($B879=[1]rogério!$A880,[1]rogério!$B880=N$4),"ok","nok")</f>
        <v>nok</v>
      </c>
      <c r="O879" s="60" t="str">
        <f>IF(AND($B879=[1]rogério!$A880,[1]rogério!$B880=O$4),"ok","nok")</f>
        <v>nok</v>
      </c>
      <c r="P879" s="60" t="str">
        <f>IF(AND($B879=[1]rogério!$A880,[1]rogério!$B880=P$4),"ok","nok")</f>
        <v>nok</v>
      </c>
      <c r="Q879" s="60" t="str">
        <f>IF(AND($B879=[1]rogério!$A880,[1]rogério!$B880=Q$4),"ok","nok")</f>
        <v>nok</v>
      </c>
      <c r="R879" s="60" t="str">
        <f>IF(AND($B879=[1]rogério!$A880,[1]rogério!$B880=R$4),"ok","nok")</f>
        <v>nok</v>
      </c>
      <c r="S879" s="60" t="str">
        <f>IF(AND($B879=[1]rogério!$A880,[1]rogério!$B880=S$4),"ok","nok")</f>
        <v>nok</v>
      </c>
      <c r="T879" s="60" t="str">
        <f>IF(AND($B879=[1]rogério!$A880,[1]rogério!$B880=T$4),"ok","nok")</f>
        <v>nok</v>
      </c>
      <c r="U879" s="60" t="str">
        <f>IF(AND($B879=[1]rogério!$A880,[1]rogério!$B880=U$4),"ok","nok")</f>
        <v>ok</v>
      </c>
      <c r="V879" s="60" t="str">
        <f>IF(AND($B879=[1]rogério!$A880,[1]rogério!$B880=V$4),"ok","nok")</f>
        <v>nok</v>
      </c>
      <c r="W879" s="60" t="str">
        <f>IF(AND($B879=[1]rogério!$A880,[1]rogério!$B880=W$4),"ok","nok")</f>
        <v>nok</v>
      </c>
      <c r="X879" s="60" t="str">
        <f>IF(AND($B879=[1]rogério!$A880,[1]rogério!$B880=X$4),"ok","nok")</f>
        <v>nok</v>
      </c>
      <c r="Y879" s="105" t="s">
        <v>15</v>
      </c>
      <c r="Z879" s="106"/>
      <c r="AA879" s="106"/>
      <c r="AB879" s="107"/>
      <c r="AE879" s="48" t="str">
        <f t="shared" si="203"/>
        <v/>
      </c>
      <c r="AF879" s="48"/>
      <c r="AG879" s="48"/>
      <c r="AH879" s="89"/>
      <c r="AI879" s="49">
        <f t="shared" si="204"/>
        <v>0</v>
      </c>
      <c r="AJ879" s="49" t="str">
        <f t="shared" si="205"/>
        <v/>
      </c>
      <c r="AK879" s="49">
        <f t="shared" si="206"/>
        <v>0</v>
      </c>
      <c r="AL879" s="49" t="str">
        <f t="shared" si="207"/>
        <v/>
      </c>
      <c r="AM879" s="49">
        <f t="shared" si="208"/>
        <v>0</v>
      </c>
      <c r="AN879" s="49" t="str">
        <f t="shared" si="209"/>
        <v/>
      </c>
      <c r="AO879" s="49">
        <f t="shared" si="210"/>
        <v>1</v>
      </c>
      <c r="AP879" s="49" t="str">
        <f t="shared" si="211"/>
        <v/>
      </c>
      <c r="AQ879" s="49">
        <f t="shared" si="212"/>
        <v>0</v>
      </c>
      <c r="AR879" s="49" t="str">
        <f t="shared" si="213"/>
        <v/>
      </c>
    </row>
    <row r="880" spans="1:44" ht="30" customHeight="1" x14ac:dyDescent="0.35">
      <c r="A880" s="25" t="str">
        <f t="shared" si="214"/>
        <v>PT178 - PLATAFORMA DE ACESSO - FORQUILHA 3 - DETALHADO
TORRE B6PROJETO DETALHADO
CIVIL</v>
      </c>
      <c r="B880" s="38" t="s">
        <v>66</v>
      </c>
      <c r="C880" s="60" t="str">
        <f>IF(AND($B880=[1]rogério!$A881,[1]rogério!$B881=C$4),"ok","nok")</f>
        <v>nok</v>
      </c>
      <c r="D880" s="60" t="str">
        <f>IF(AND($B880=[1]rogério!$A881,[1]rogério!$B881=D$4),"ok","nok")</f>
        <v>nok</v>
      </c>
      <c r="E880" s="60" t="str">
        <f>IF(AND($B880=[1]rogério!$A881,[1]rogério!$B881=E$4),"ok","nok")</f>
        <v>nok</v>
      </c>
      <c r="F880" s="60" t="str">
        <f>IF(AND($B880=[1]rogério!$A881,[1]rogério!$B881=F$4),"ok","nok")</f>
        <v>nok</v>
      </c>
      <c r="G880" s="60" t="str">
        <f>IF(AND($B880=[1]rogério!$A881,[1]rogério!$B881=G$4),"ok","nok")</f>
        <v>nok</v>
      </c>
      <c r="H880" s="60" t="str">
        <f>IF(AND($B880=[1]rogério!$A881,[1]rogério!$B881=H$4),"ok","nok")</f>
        <v>nok</v>
      </c>
      <c r="I880" s="60" t="str">
        <f>IF(AND($B880=[1]rogério!$A881,[1]rogério!$B881=I$4),"ok","nok")</f>
        <v>nok</v>
      </c>
      <c r="J880" s="60" t="str">
        <f>IF(AND($B880=[1]rogério!$A881,[1]rogério!$B881=J$4),"ok","nok")</f>
        <v>nok</v>
      </c>
      <c r="K880" s="60" t="str">
        <f>IF(AND($B880=[1]rogério!$A881,[1]rogério!$B881=K$4),"ok","nok")</f>
        <v>nok</v>
      </c>
      <c r="L880" s="60" t="str">
        <f>IF(AND($B880=[1]rogério!$A881,[1]rogério!$B881=L$4),"ok","nok")</f>
        <v>nok</v>
      </c>
      <c r="M880" s="60" t="str">
        <f>IF(AND($B880=[1]rogério!$A881,[1]rogério!$B881=M$4),"ok","nok")</f>
        <v>nok</v>
      </c>
      <c r="N880" s="60" t="str">
        <f>IF(AND($B880=[1]rogério!$A881,[1]rogério!$B881=N$4),"ok","nok")</f>
        <v>nok</v>
      </c>
      <c r="O880" s="60" t="str">
        <f>IF(AND($B880=[1]rogério!$A881,[1]rogério!$B881=O$4),"ok","nok")</f>
        <v>nok</v>
      </c>
      <c r="P880" s="60" t="str">
        <f>IF(AND($B880=[1]rogério!$A881,[1]rogério!$B881=P$4),"ok","nok")</f>
        <v>nok</v>
      </c>
      <c r="Q880" s="60" t="str">
        <f>IF(AND($B880=[1]rogério!$A881,[1]rogério!$B881=Q$4),"ok","nok")</f>
        <v>nok</v>
      </c>
      <c r="R880" s="60" t="str">
        <f>IF(AND($B880=[1]rogério!$A881,[1]rogério!$B881=R$4),"ok","nok")</f>
        <v>nok</v>
      </c>
      <c r="S880" s="60" t="str">
        <f>IF(AND($B880=[1]rogério!$A881,[1]rogério!$B881=S$4),"ok","nok")</f>
        <v>nok</v>
      </c>
      <c r="T880" s="60" t="str">
        <f>IF(AND($B880=[1]rogério!$A881,[1]rogério!$B881=T$4),"ok","nok")</f>
        <v>nok</v>
      </c>
      <c r="U880" s="60" t="str">
        <f>IF(AND($B880=[1]rogério!$A881,[1]rogério!$B881=U$4),"ok","nok")</f>
        <v>nok</v>
      </c>
      <c r="V880" s="60" t="str">
        <f>IF(AND($B880=[1]rogério!$A881,[1]rogério!$B881=V$4),"ok","nok")</f>
        <v>ok</v>
      </c>
      <c r="W880" s="60" t="str">
        <f>IF(AND($B880=[1]rogério!$A881,[1]rogério!$B881=W$4),"ok","nok")</f>
        <v>nok</v>
      </c>
      <c r="X880" s="60" t="str">
        <f>IF(AND($B880=[1]rogério!$A881,[1]rogério!$B881=X$4),"ok","nok")</f>
        <v>nok</v>
      </c>
      <c r="Y880" s="105" t="s">
        <v>15</v>
      </c>
      <c r="Z880" s="106"/>
      <c r="AA880" s="106"/>
      <c r="AB880" s="107"/>
      <c r="AE880" s="48" t="str">
        <f t="shared" si="203"/>
        <v/>
      </c>
      <c r="AF880" s="48"/>
      <c r="AG880" s="48"/>
      <c r="AH880" s="89"/>
      <c r="AI880" s="49">
        <f t="shared" si="204"/>
        <v>0</v>
      </c>
      <c r="AJ880" s="49" t="str">
        <f t="shared" si="205"/>
        <v/>
      </c>
      <c r="AK880" s="49">
        <f t="shared" si="206"/>
        <v>0</v>
      </c>
      <c r="AL880" s="49" t="str">
        <f t="shared" si="207"/>
        <v/>
      </c>
      <c r="AM880" s="49">
        <f t="shared" si="208"/>
        <v>0</v>
      </c>
      <c r="AN880" s="49" t="str">
        <f t="shared" si="209"/>
        <v/>
      </c>
      <c r="AO880" s="49">
        <f t="shared" si="210"/>
        <v>1</v>
      </c>
      <c r="AP880" s="49" t="str">
        <f t="shared" si="211"/>
        <v/>
      </c>
      <c r="AQ880" s="49">
        <f t="shared" si="212"/>
        <v>0</v>
      </c>
      <c r="AR880" s="49" t="str">
        <f t="shared" si="213"/>
        <v/>
      </c>
    </row>
    <row r="881" spans="1:44" ht="30" customHeight="1" x14ac:dyDescent="0.35">
      <c r="A881" s="25"/>
      <c r="B881" s="39" t="s">
        <v>67</v>
      </c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108"/>
      <c r="Z881" s="109"/>
      <c r="AA881" s="109"/>
      <c r="AB881" s="110"/>
      <c r="AE881" s="48" t="str">
        <f t="shared" si="203"/>
        <v/>
      </c>
      <c r="AF881" s="48"/>
      <c r="AG881" s="48"/>
      <c r="AH881" s="89"/>
      <c r="AI881" s="49">
        <f t="shared" si="204"/>
        <v>0</v>
      </c>
      <c r="AJ881" s="49" t="str">
        <f t="shared" si="205"/>
        <v/>
      </c>
      <c r="AK881" s="49">
        <f t="shared" si="206"/>
        <v>0</v>
      </c>
      <c r="AL881" s="49" t="str">
        <f t="shared" si="207"/>
        <v/>
      </c>
      <c r="AM881" s="49">
        <f t="shared" si="208"/>
        <v>0</v>
      </c>
      <c r="AN881" s="49" t="str">
        <f t="shared" si="209"/>
        <v/>
      </c>
      <c r="AO881" s="49">
        <f t="shared" si="210"/>
        <v>0</v>
      </c>
      <c r="AP881" s="49" t="str">
        <f t="shared" si="211"/>
        <v/>
      </c>
      <c r="AQ881" s="49">
        <f t="shared" si="212"/>
        <v>0</v>
      </c>
      <c r="AR881" s="49" t="str">
        <f t="shared" si="213"/>
        <v/>
      </c>
    </row>
    <row r="882" spans="1:44" ht="30" customHeight="1" x14ac:dyDescent="0.35">
      <c r="A882" s="25" t="str">
        <f t="shared" si="214"/>
        <v>PT178 - PLATAFORMA DE ACESSO - FORQUILHA 3 - DETALHADO
TORRE B6PROJETO DETALHADO
CIVIL</v>
      </c>
      <c r="B882" s="40" t="s">
        <v>49</v>
      </c>
      <c r="C882" s="60" t="str">
        <f>IF(AND($B882=[1]rogério!$A883,[1]rogério!$B883=C$4),"ok","nok")</f>
        <v>nok</v>
      </c>
      <c r="D882" s="60" t="str">
        <f>IF(AND($B882=[1]rogério!$A883,[1]rogério!$B883=D$4),"ok","nok")</f>
        <v>nok</v>
      </c>
      <c r="E882" s="60" t="str">
        <f>IF(AND($B882=[1]rogério!$A883,[1]rogério!$B883=E$4),"ok","nok")</f>
        <v>nok</v>
      </c>
      <c r="F882" s="60" t="str">
        <f>IF(AND($B882=[1]rogério!$A883,[1]rogério!$B883=F$4),"ok","nok")</f>
        <v>nok</v>
      </c>
      <c r="G882" s="60" t="str">
        <f>IF(AND($B882=[1]rogério!$A883,[1]rogério!$B883=G$4),"ok","nok")</f>
        <v>nok</v>
      </c>
      <c r="H882" s="60" t="str">
        <f>IF(AND($B882=[1]rogério!$A883,[1]rogério!$B883=H$4),"ok","nok")</f>
        <v>nok</v>
      </c>
      <c r="I882" s="60" t="str">
        <f>IF(AND($B882=[1]rogério!$A883,[1]rogério!$B883=I$4),"ok","nok")</f>
        <v>nok</v>
      </c>
      <c r="J882" s="60" t="str">
        <f>IF(AND($B882=[1]rogério!$A883,[1]rogério!$B883=J$4),"ok","nok")</f>
        <v>nok</v>
      </c>
      <c r="K882" s="60" t="str">
        <f>IF(AND($B882=[1]rogério!$A883,[1]rogério!$B883=K$4),"ok","nok")</f>
        <v>nok</v>
      </c>
      <c r="L882" s="60" t="str">
        <f>IF(AND($B882=[1]rogério!$A883,[1]rogério!$B883=L$4),"ok","nok")</f>
        <v>nok</v>
      </c>
      <c r="M882" s="60" t="str">
        <f>IF(AND($B882=[1]rogério!$A883,[1]rogério!$B883=M$4),"ok","nok")</f>
        <v>nok</v>
      </c>
      <c r="N882" s="60" t="str">
        <f>IF(AND($B882=[1]rogério!$A883,[1]rogério!$B883=N$4),"ok","nok")</f>
        <v>nok</v>
      </c>
      <c r="O882" s="60" t="str">
        <f>IF(AND($B882=[1]rogério!$A883,[1]rogério!$B883=O$4),"ok","nok")</f>
        <v>nok</v>
      </c>
      <c r="P882" s="60" t="str">
        <f>IF(AND($B882=[1]rogério!$A883,[1]rogério!$B883=P$4),"ok","nok")</f>
        <v>nok</v>
      </c>
      <c r="Q882" s="60" t="str">
        <f>IF(AND($B882=[1]rogério!$A883,[1]rogério!$B883=Q$4),"ok","nok")</f>
        <v>nok</v>
      </c>
      <c r="R882" s="60" t="str">
        <f>IF(AND($B882=[1]rogério!$A883,[1]rogério!$B883=R$4),"ok","nok")</f>
        <v>nok</v>
      </c>
      <c r="S882" s="60" t="str">
        <f>IF(AND($B882=[1]rogério!$A883,[1]rogério!$B883=S$4),"ok","nok")</f>
        <v>nok</v>
      </c>
      <c r="T882" s="60" t="str">
        <f>IF(AND($B882=[1]rogério!$A883,[1]rogério!$B883=T$4),"ok","nok")</f>
        <v>nok</v>
      </c>
      <c r="U882" s="60" t="str">
        <f>IF(AND($B882=[1]rogério!$A883,[1]rogério!$B883=U$4),"ok","nok")</f>
        <v>nok</v>
      </c>
      <c r="V882" s="60" t="str">
        <f>IF(AND($B882=[1]rogério!$A883,[1]rogério!$B883=V$4),"ok","nok")</f>
        <v>ok</v>
      </c>
      <c r="W882" s="60" t="str">
        <f>IF(AND($B882=[1]rogério!$A883,[1]rogério!$B883=W$4),"ok","nok")</f>
        <v>nok</v>
      </c>
      <c r="X882" s="60" t="str">
        <f>IF(AND($B882=[1]rogério!$A883,[1]rogério!$B883=X$4),"ok","nok")</f>
        <v>nok</v>
      </c>
      <c r="Y882" s="105" t="s">
        <v>15</v>
      </c>
      <c r="Z882" s="106"/>
      <c r="AA882" s="106"/>
      <c r="AB882" s="107"/>
      <c r="AE882" s="48" t="str">
        <f t="shared" si="203"/>
        <v/>
      </c>
      <c r="AF882" s="48"/>
      <c r="AG882" s="48"/>
      <c r="AH882" s="89"/>
      <c r="AI882" s="49">
        <f t="shared" si="204"/>
        <v>0</v>
      </c>
      <c r="AJ882" s="49" t="str">
        <f t="shared" si="205"/>
        <v/>
      </c>
      <c r="AK882" s="49">
        <f t="shared" si="206"/>
        <v>0</v>
      </c>
      <c r="AL882" s="49" t="str">
        <f t="shared" si="207"/>
        <v/>
      </c>
      <c r="AM882" s="49">
        <f t="shared" si="208"/>
        <v>0</v>
      </c>
      <c r="AN882" s="49" t="str">
        <f t="shared" si="209"/>
        <v/>
      </c>
      <c r="AO882" s="49">
        <f t="shared" si="210"/>
        <v>1</v>
      </c>
      <c r="AP882" s="49" t="str">
        <f t="shared" si="211"/>
        <v/>
      </c>
      <c r="AQ882" s="49">
        <f t="shared" si="212"/>
        <v>0</v>
      </c>
      <c r="AR882" s="49" t="str">
        <f t="shared" si="213"/>
        <v/>
      </c>
    </row>
    <row r="883" spans="1:44" ht="30" customHeight="1" x14ac:dyDescent="0.35">
      <c r="B883" s="62" t="s">
        <v>86</v>
      </c>
      <c r="C883" s="62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114"/>
      <c r="Z883" s="115"/>
      <c r="AA883" s="115"/>
      <c r="AB883" s="116"/>
      <c r="AE883" s="48" t="str">
        <f t="shared" si="203"/>
        <v/>
      </c>
      <c r="AF883" s="48"/>
      <c r="AG883" s="48"/>
      <c r="AH883" s="89"/>
      <c r="AI883" s="49">
        <f t="shared" si="204"/>
        <v>0</v>
      </c>
      <c r="AJ883" s="49" t="str">
        <f t="shared" si="205"/>
        <v/>
      </c>
      <c r="AK883" s="49">
        <f t="shared" si="206"/>
        <v>0</v>
      </c>
      <c r="AL883" s="49" t="str">
        <f t="shared" si="207"/>
        <v/>
      </c>
      <c r="AM883" s="49">
        <f t="shared" si="208"/>
        <v>0</v>
      </c>
      <c r="AN883" s="49" t="str">
        <f t="shared" si="209"/>
        <v/>
      </c>
      <c r="AO883" s="49">
        <f t="shared" si="210"/>
        <v>0</v>
      </c>
      <c r="AP883" s="49" t="str">
        <f t="shared" si="211"/>
        <v/>
      </c>
      <c r="AQ883" s="49">
        <f t="shared" si="212"/>
        <v>0</v>
      </c>
      <c r="AR883" s="49" t="str">
        <f t="shared" si="213"/>
        <v/>
      </c>
    </row>
    <row r="884" spans="1:44" ht="30" customHeight="1" x14ac:dyDescent="0.35">
      <c r="B884" s="39" t="s">
        <v>95</v>
      </c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108"/>
      <c r="Z884" s="109"/>
      <c r="AA884" s="109"/>
      <c r="AB884" s="110"/>
      <c r="AE884" s="48" t="str">
        <f t="shared" si="203"/>
        <v/>
      </c>
      <c r="AF884" s="48"/>
      <c r="AG884" s="48"/>
      <c r="AH884" s="89"/>
      <c r="AI884" s="49">
        <f t="shared" si="204"/>
        <v>0</v>
      </c>
      <c r="AJ884" s="49" t="str">
        <f t="shared" si="205"/>
        <v/>
      </c>
      <c r="AK884" s="49">
        <f t="shared" si="206"/>
        <v>0</v>
      </c>
      <c r="AL884" s="49" t="str">
        <f t="shared" si="207"/>
        <v/>
      </c>
      <c r="AM884" s="49">
        <f t="shared" si="208"/>
        <v>0</v>
      </c>
      <c r="AN884" s="49" t="str">
        <f t="shared" si="209"/>
        <v/>
      </c>
      <c r="AO884" s="49">
        <f t="shared" si="210"/>
        <v>0</v>
      </c>
      <c r="AP884" s="49" t="str">
        <f t="shared" si="211"/>
        <v/>
      </c>
      <c r="AQ884" s="49">
        <f t="shared" si="212"/>
        <v>0</v>
      </c>
      <c r="AR884" s="49" t="str">
        <f t="shared" si="213"/>
        <v/>
      </c>
    </row>
    <row r="885" spans="1:44" ht="30" customHeight="1" x14ac:dyDescent="0.35">
      <c r="A885" s="25" t="str">
        <f>CONCATENATE($B$731,"
",$B$815,"",$B$816,"
",$B$883)</f>
        <v>PT178 - PLATAFORMA DE ACESSO - FORQUILHA 3 - DETALHADO
TORRE B6PROJETO DETALHADO
ELÉTRICA</v>
      </c>
      <c r="B885" s="40" t="s">
        <v>19</v>
      </c>
      <c r="C885" s="60" t="str">
        <f>IF(AND($B885=[1]rogério!$A886,[1]rogério!$B886=C$4),"ok","nok")</f>
        <v>nok</v>
      </c>
      <c r="D885" s="60" t="str">
        <f>IF(AND($B885=[1]rogério!$A886,[1]rogério!$B886=D$4),"ok","nok")</f>
        <v>nok</v>
      </c>
      <c r="E885" s="60" t="str">
        <f>IF(AND($B885=[1]rogério!$A886,[1]rogério!$B886=E$4),"ok","nok")</f>
        <v>nok</v>
      </c>
      <c r="F885" s="60" t="str">
        <f>IF(AND($B885=[1]rogério!$A886,[1]rogério!$B886=F$4),"ok","nok")</f>
        <v>nok</v>
      </c>
      <c r="G885" s="60" t="str">
        <f>IF(AND($B885=[1]rogério!$A886,[1]rogério!$B886=G$4),"ok","nok")</f>
        <v>nok</v>
      </c>
      <c r="H885" s="60" t="str">
        <f>IF(AND($B885=[1]rogério!$A886,[1]rogério!$B886=H$4),"ok","nok")</f>
        <v>nok</v>
      </c>
      <c r="I885" s="60" t="str">
        <f>IF(AND($B885=[1]rogério!$A886,[1]rogério!$B886=I$4),"ok","nok")</f>
        <v>ok</v>
      </c>
      <c r="J885" s="60" t="str">
        <f>IF(AND($B885=[1]rogério!$A886,[1]rogério!$B886=J$4),"ok","nok")</f>
        <v>nok</v>
      </c>
      <c r="K885" s="60" t="str">
        <f>IF(AND($B885=[1]rogério!$A886,[1]rogério!$B886=K$4),"ok","nok")</f>
        <v>nok</v>
      </c>
      <c r="L885" s="60" t="str">
        <f>IF(AND($B885=[1]rogério!$A886,[1]rogério!$B886=L$4),"ok","nok")</f>
        <v>nok</v>
      </c>
      <c r="M885" s="60" t="str">
        <f>IF(AND($B885=[1]rogério!$A886,[1]rogério!$B886=M$4),"ok","nok")</f>
        <v>nok</v>
      </c>
      <c r="N885" s="60" t="str">
        <f>IF(AND($B885=[1]rogério!$A886,[1]rogério!$B886=N$4),"ok","nok")</f>
        <v>nok</v>
      </c>
      <c r="O885" s="60" t="str">
        <f>IF(AND($B885=[1]rogério!$A886,[1]rogério!$B886=O$4),"ok","nok")</f>
        <v>nok</v>
      </c>
      <c r="P885" s="60" t="str">
        <f>IF(AND($B885=[1]rogério!$A886,[1]rogério!$B886=P$4),"ok","nok")</f>
        <v>nok</v>
      </c>
      <c r="Q885" s="60" t="str">
        <f>IF(AND($B885=[1]rogério!$A886,[1]rogério!$B886=Q$4),"ok","nok")</f>
        <v>nok</v>
      </c>
      <c r="R885" s="60" t="str">
        <f>IF(AND($B885=[1]rogério!$A886,[1]rogério!$B886=R$4),"ok","nok")</f>
        <v>nok</v>
      </c>
      <c r="S885" s="60" t="str">
        <f>IF(AND($B885=[1]rogério!$A886,[1]rogério!$B886=S$4),"ok","nok")</f>
        <v>nok</v>
      </c>
      <c r="T885" s="60" t="str">
        <f>IF(AND($B885=[1]rogério!$A886,[1]rogério!$B886=T$4),"ok","nok")</f>
        <v>nok</v>
      </c>
      <c r="U885" s="60" t="str">
        <f>IF(AND($B885=[1]rogério!$A886,[1]rogério!$B886=U$4),"ok","nok")</f>
        <v>nok</v>
      </c>
      <c r="V885" s="60" t="str">
        <f>IF(AND($B885=[1]rogério!$A886,[1]rogério!$B886=V$4),"ok","nok")</f>
        <v>nok</v>
      </c>
      <c r="W885" s="60" t="str">
        <f>IF(AND($B885=[1]rogério!$A886,[1]rogério!$B886=W$4),"ok","nok")</f>
        <v>nok</v>
      </c>
      <c r="X885" s="60" t="str">
        <f>IF(AND($B885=[1]rogério!$A886,[1]rogério!$B886=X$4),"ok","nok")</f>
        <v>nok</v>
      </c>
      <c r="Y885" s="105" t="s">
        <v>15</v>
      </c>
      <c r="Z885" s="106"/>
      <c r="AA885" s="106"/>
      <c r="AB885" s="107"/>
      <c r="AE885" s="48" t="str">
        <f t="shared" si="203"/>
        <v/>
      </c>
      <c r="AF885" s="48"/>
      <c r="AG885" s="48"/>
      <c r="AH885" s="89"/>
      <c r="AI885" s="49">
        <f t="shared" si="204"/>
        <v>0</v>
      </c>
      <c r="AJ885" s="49" t="str">
        <f t="shared" si="205"/>
        <v/>
      </c>
      <c r="AK885" s="49">
        <f t="shared" si="206"/>
        <v>1</v>
      </c>
      <c r="AL885" s="49" t="str">
        <f t="shared" si="207"/>
        <v/>
      </c>
      <c r="AM885" s="49">
        <f t="shared" si="208"/>
        <v>0</v>
      </c>
      <c r="AN885" s="49" t="str">
        <f t="shared" si="209"/>
        <v/>
      </c>
      <c r="AO885" s="49">
        <f t="shared" si="210"/>
        <v>0</v>
      </c>
      <c r="AP885" s="49" t="str">
        <f t="shared" si="211"/>
        <v/>
      </c>
      <c r="AQ885" s="49">
        <f t="shared" si="212"/>
        <v>0</v>
      </c>
      <c r="AR885" s="49" t="str">
        <f t="shared" si="213"/>
        <v/>
      </c>
    </row>
    <row r="886" spans="1:44" ht="30" customHeight="1" x14ac:dyDescent="0.35">
      <c r="A886" s="25" t="str">
        <f t="shared" ref="A886:A887" si="215">CONCATENATE($B$731,"
",$B$815,"",$B$816,"
",$B$883)</f>
        <v>PT178 - PLATAFORMA DE ACESSO - FORQUILHA 3 - DETALHADO
TORRE B6PROJETO DETALHADO
ELÉTRICA</v>
      </c>
      <c r="B886" s="40" t="s">
        <v>42</v>
      </c>
      <c r="C886" s="60" t="str">
        <f>IF(AND($B886=[1]rogério!$A887,[1]rogério!$B887=C$4),"ok","nok")</f>
        <v>nok</v>
      </c>
      <c r="D886" s="60" t="str">
        <f>IF(AND($B886=[1]rogério!$A887,[1]rogério!$B887=D$4),"ok","nok")</f>
        <v>nok</v>
      </c>
      <c r="E886" s="60" t="str">
        <f>IF(AND($B886=[1]rogério!$A887,[1]rogério!$B887=E$4),"ok","nok")</f>
        <v>nok</v>
      </c>
      <c r="F886" s="60" t="str">
        <f>IF(AND($B886=[1]rogério!$A887,[1]rogério!$B887=F$4),"ok","nok")</f>
        <v>nok</v>
      </c>
      <c r="G886" s="60" t="str">
        <f>IF(AND($B886=[1]rogério!$A887,[1]rogério!$B887=G$4),"ok","nok")</f>
        <v>nok</v>
      </c>
      <c r="H886" s="60" t="str">
        <f>IF(AND($B886=[1]rogério!$A887,[1]rogério!$B887=H$4),"ok","nok")</f>
        <v>nok</v>
      </c>
      <c r="I886" s="60" t="str">
        <f>IF(AND($B886=[1]rogério!$A887,[1]rogério!$B887=I$4),"ok","nok")</f>
        <v>nok</v>
      </c>
      <c r="J886" s="60" t="str">
        <f>IF(AND($B886=[1]rogério!$A887,[1]rogério!$B887=J$4),"ok","nok")</f>
        <v>nok</v>
      </c>
      <c r="K886" s="60" t="str">
        <f>IF(AND($B886=[1]rogério!$A887,[1]rogério!$B887=K$4),"ok","nok")</f>
        <v>nok</v>
      </c>
      <c r="L886" s="60" t="str">
        <f>IF(AND($B886=[1]rogério!$A887,[1]rogério!$B887=L$4),"ok","nok")</f>
        <v>ok</v>
      </c>
      <c r="M886" s="60" t="str">
        <f>IF(AND($B886=[1]rogério!$A887,[1]rogério!$B887=M$4),"ok","nok")</f>
        <v>nok</v>
      </c>
      <c r="N886" s="60" t="str">
        <f>IF(AND($B886=[1]rogério!$A887,[1]rogério!$B887=N$4),"ok","nok")</f>
        <v>nok</v>
      </c>
      <c r="O886" s="60" t="str">
        <f>IF(AND($B886=[1]rogério!$A887,[1]rogério!$B887=O$4),"ok","nok")</f>
        <v>nok</v>
      </c>
      <c r="P886" s="60" t="str">
        <f>IF(AND($B886=[1]rogério!$A887,[1]rogério!$B887=P$4),"ok","nok")</f>
        <v>nok</v>
      </c>
      <c r="Q886" s="60" t="str">
        <f>IF(AND($B886=[1]rogério!$A887,[1]rogério!$B887=Q$4),"ok","nok")</f>
        <v>nok</v>
      </c>
      <c r="R886" s="60" t="str">
        <f>IF(AND($B886=[1]rogério!$A887,[1]rogério!$B887=R$4),"ok","nok")</f>
        <v>nok</v>
      </c>
      <c r="S886" s="60" t="str">
        <f>IF(AND($B886=[1]rogério!$A887,[1]rogério!$B887=S$4),"ok","nok")</f>
        <v>nok</v>
      </c>
      <c r="T886" s="60" t="str">
        <f>IF(AND($B886=[1]rogério!$A887,[1]rogério!$B887=T$4),"ok","nok")</f>
        <v>nok</v>
      </c>
      <c r="U886" s="60" t="str">
        <f>IF(AND($B886=[1]rogério!$A887,[1]rogério!$B887=U$4),"ok","nok")</f>
        <v>nok</v>
      </c>
      <c r="V886" s="60" t="str">
        <f>IF(AND($B886=[1]rogério!$A887,[1]rogério!$B887=V$4),"ok","nok")</f>
        <v>nok</v>
      </c>
      <c r="W886" s="60" t="str">
        <f>IF(AND($B886=[1]rogério!$A887,[1]rogério!$B887=W$4),"ok","nok")</f>
        <v>nok</v>
      </c>
      <c r="X886" s="60" t="str">
        <f>IF(AND($B886=[1]rogério!$A887,[1]rogério!$B887=X$4),"ok","nok")</f>
        <v>nok</v>
      </c>
      <c r="Y886" s="105" t="s">
        <v>15</v>
      </c>
      <c r="Z886" s="106"/>
      <c r="AA886" s="106"/>
      <c r="AB886" s="107"/>
      <c r="AE886" s="48" t="str">
        <f t="shared" si="203"/>
        <v/>
      </c>
      <c r="AF886" s="48"/>
      <c r="AG886" s="48"/>
      <c r="AH886" s="89"/>
      <c r="AI886" s="49">
        <f t="shared" si="204"/>
        <v>0</v>
      </c>
      <c r="AJ886" s="49" t="str">
        <f t="shared" si="205"/>
        <v/>
      </c>
      <c r="AK886" s="49">
        <f t="shared" si="206"/>
        <v>1</v>
      </c>
      <c r="AL886" s="49" t="str">
        <f t="shared" si="207"/>
        <v/>
      </c>
      <c r="AM886" s="49">
        <f t="shared" si="208"/>
        <v>0</v>
      </c>
      <c r="AN886" s="49" t="str">
        <f t="shared" si="209"/>
        <v/>
      </c>
      <c r="AO886" s="49">
        <f t="shared" si="210"/>
        <v>0</v>
      </c>
      <c r="AP886" s="49" t="str">
        <f t="shared" si="211"/>
        <v/>
      </c>
      <c r="AQ886" s="49">
        <f t="shared" si="212"/>
        <v>0</v>
      </c>
      <c r="AR886" s="49" t="str">
        <f t="shared" si="213"/>
        <v/>
      </c>
    </row>
    <row r="887" spans="1:44" ht="30" customHeight="1" x14ac:dyDescent="0.35">
      <c r="A887" s="25" t="str">
        <f t="shared" si="215"/>
        <v>PT178 - PLATAFORMA DE ACESSO - FORQUILHA 3 - DETALHADO
TORRE B6PROJETO DETALHADO
ELÉTRICA</v>
      </c>
      <c r="B887" s="40" t="s">
        <v>43</v>
      </c>
      <c r="C887" s="60" t="str">
        <f>IF(AND($B887=[1]rogério!$A888,[1]rogério!$B888=C$4),"ok","nok")</f>
        <v>nok</v>
      </c>
      <c r="D887" s="60" t="str">
        <f>IF(AND($B887=[1]rogério!$A888,[1]rogério!$B888=D$4),"ok","nok")</f>
        <v>nok</v>
      </c>
      <c r="E887" s="60" t="str">
        <f>IF(AND($B887=[1]rogério!$A888,[1]rogério!$B888=E$4),"ok","nok")</f>
        <v>nok</v>
      </c>
      <c r="F887" s="60" t="str">
        <f>IF(AND($B887=[1]rogério!$A888,[1]rogério!$B888=F$4),"ok","nok")</f>
        <v>nok</v>
      </c>
      <c r="G887" s="60" t="str">
        <f>IF(AND($B887=[1]rogério!$A888,[1]rogério!$B888=G$4),"ok","nok")</f>
        <v>nok</v>
      </c>
      <c r="H887" s="60" t="str">
        <f>IF(AND($B887=[1]rogério!$A888,[1]rogério!$B888=H$4),"ok","nok")</f>
        <v>nok</v>
      </c>
      <c r="I887" s="60" t="str">
        <f>IF(AND($B887=[1]rogério!$A888,[1]rogério!$B888=I$4),"ok","nok")</f>
        <v>nok</v>
      </c>
      <c r="J887" s="60" t="str">
        <f>IF(AND($B887=[1]rogério!$A888,[1]rogério!$B888=J$4),"ok","nok")</f>
        <v>nok</v>
      </c>
      <c r="K887" s="60" t="str">
        <f>IF(AND($B887=[1]rogério!$A888,[1]rogério!$B888=K$4),"ok","nok")</f>
        <v>nok</v>
      </c>
      <c r="L887" s="60" t="str">
        <f>IF(AND($B887=[1]rogério!$A888,[1]rogério!$B888=L$4),"ok","nok")</f>
        <v>ok</v>
      </c>
      <c r="M887" s="60" t="str">
        <f>IF(AND($B887=[1]rogério!$A888,[1]rogério!$B888=M$4),"ok","nok")</f>
        <v>nok</v>
      </c>
      <c r="N887" s="60" t="str">
        <f>IF(AND($B887=[1]rogério!$A888,[1]rogério!$B888=N$4),"ok","nok")</f>
        <v>nok</v>
      </c>
      <c r="O887" s="60" t="str">
        <f>IF(AND($B887=[1]rogério!$A888,[1]rogério!$B888=O$4),"ok","nok")</f>
        <v>nok</v>
      </c>
      <c r="P887" s="60" t="str">
        <f>IF(AND($B887=[1]rogério!$A888,[1]rogério!$B888=P$4),"ok","nok")</f>
        <v>nok</v>
      </c>
      <c r="Q887" s="60" t="str">
        <f>IF(AND($B887=[1]rogério!$A888,[1]rogério!$B888=Q$4),"ok","nok")</f>
        <v>nok</v>
      </c>
      <c r="R887" s="60" t="str">
        <f>IF(AND($B887=[1]rogério!$A888,[1]rogério!$B888=R$4),"ok","nok")</f>
        <v>nok</v>
      </c>
      <c r="S887" s="60" t="str">
        <f>IF(AND($B887=[1]rogério!$A888,[1]rogério!$B888=S$4),"ok","nok")</f>
        <v>nok</v>
      </c>
      <c r="T887" s="60" t="str">
        <f>IF(AND($B887=[1]rogério!$A888,[1]rogério!$B888=T$4),"ok","nok")</f>
        <v>nok</v>
      </c>
      <c r="U887" s="60" t="str">
        <f>IF(AND($B887=[1]rogério!$A888,[1]rogério!$B888=U$4),"ok","nok")</f>
        <v>nok</v>
      </c>
      <c r="V887" s="60" t="str">
        <f>IF(AND($B887=[1]rogério!$A888,[1]rogério!$B888=V$4),"ok","nok")</f>
        <v>nok</v>
      </c>
      <c r="W887" s="60" t="str">
        <f>IF(AND($B887=[1]rogério!$A888,[1]rogério!$B888=W$4),"ok","nok")</f>
        <v>nok</v>
      </c>
      <c r="X887" s="60" t="str">
        <f>IF(AND($B887=[1]rogério!$A888,[1]rogério!$B888=X$4),"ok","nok")</f>
        <v>nok</v>
      </c>
      <c r="Y887" s="105" t="s">
        <v>15</v>
      </c>
      <c r="Z887" s="106"/>
      <c r="AA887" s="106"/>
      <c r="AB887" s="107"/>
      <c r="AE887" s="48" t="str">
        <f t="shared" si="203"/>
        <v/>
      </c>
      <c r="AF887" s="48"/>
      <c r="AG887" s="48"/>
      <c r="AH887" s="89"/>
      <c r="AI887" s="49">
        <f t="shared" si="204"/>
        <v>0</v>
      </c>
      <c r="AJ887" s="49" t="str">
        <f t="shared" si="205"/>
        <v/>
      </c>
      <c r="AK887" s="49">
        <f t="shared" si="206"/>
        <v>1</v>
      </c>
      <c r="AL887" s="49" t="str">
        <f t="shared" si="207"/>
        <v/>
      </c>
      <c r="AM887" s="49">
        <f t="shared" si="208"/>
        <v>0</v>
      </c>
      <c r="AN887" s="49" t="str">
        <f t="shared" si="209"/>
        <v/>
      </c>
      <c r="AO887" s="49">
        <f t="shared" si="210"/>
        <v>0</v>
      </c>
      <c r="AP887" s="49" t="str">
        <f t="shared" si="211"/>
        <v/>
      </c>
      <c r="AQ887" s="49">
        <f t="shared" si="212"/>
        <v>0</v>
      </c>
      <c r="AR887" s="49" t="str">
        <f t="shared" si="213"/>
        <v/>
      </c>
    </row>
    <row r="888" spans="1:44" ht="30" customHeight="1" x14ac:dyDescent="0.35">
      <c r="B888" s="36" t="s">
        <v>101</v>
      </c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123"/>
      <c r="Z888" s="124"/>
      <c r="AA888" s="124"/>
      <c r="AB888" s="125"/>
      <c r="AE888" s="48" t="str">
        <f t="shared" si="203"/>
        <v/>
      </c>
      <c r="AF888" s="48"/>
      <c r="AG888" s="48"/>
      <c r="AH888" s="89"/>
      <c r="AI888" s="49">
        <f t="shared" si="204"/>
        <v>0</v>
      </c>
      <c r="AJ888" s="49" t="str">
        <f t="shared" si="205"/>
        <v/>
      </c>
      <c r="AK888" s="49">
        <f t="shared" si="206"/>
        <v>0</v>
      </c>
      <c r="AL888" s="49" t="str">
        <f t="shared" si="207"/>
        <v/>
      </c>
      <c r="AM888" s="49">
        <f t="shared" si="208"/>
        <v>0</v>
      </c>
      <c r="AN888" s="49" t="str">
        <f t="shared" si="209"/>
        <v/>
      </c>
      <c r="AO888" s="49">
        <f t="shared" si="210"/>
        <v>0</v>
      </c>
      <c r="AP888" s="49" t="str">
        <f t="shared" si="211"/>
        <v/>
      </c>
      <c r="AQ888" s="49">
        <f t="shared" si="212"/>
        <v>0</v>
      </c>
      <c r="AR888" s="49" t="str">
        <f t="shared" si="213"/>
        <v/>
      </c>
    </row>
    <row r="889" spans="1:44" ht="30" customHeight="1" x14ac:dyDescent="0.35">
      <c r="B889" s="37" t="s">
        <v>52</v>
      </c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  <c r="S889" s="37"/>
      <c r="T889" s="37"/>
      <c r="U889" s="37"/>
      <c r="V889" s="37"/>
      <c r="W889" s="37"/>
      <c r="X889" s="37"/>
      <c r="Y889" s="120"/>
      <c r="Z889" s="121"/>
      <c r="AA889" s="121"/>
      <c r="AB889" s="122"/>
      <c r="AE889" s="48" t="str">
        <f t="shared" si="203"/>
        <v/>
      </c>
      <c r="AF889" s="48"/>
      <c r="AG889" s="48"/>
      <c r="AH889" s="89"/>
      <c r="AI889" s="49">
        <f t="shared" si="204"/>
        <v>0</v>
      </c>
      <c r="AJ889" s="49" t="str">
        <f t="shared" si="205"/>
        <v/>
      </c>
      <c r="AK889" s="49">
        <f t="shared" si="206"/>
        <v>0</v>
      </c>
      <c r="AL889" s="49" t="str">
        <f t="shared" si="207"/>
        <v/>
      </c>
      <c r="AM889" s="49">
        <f t="shared" si="208"/>
        <v>0</v>
      </c>
      <c r="AN889" s="49" t="str">
        <f t="shared" si="209"/>
        <v/>
      </c>
      <c r="AO889" s="49">
        <f t="shared" si="210"/>
        <v>0</v>
      </c>
      <c r="AP889" s="49" t="str">
        <f t="shared" si="211"/>
        <v/>
      </c>
      <c r="AQ889" s="49">
        <f t="shared" si="212"/>
        <v>0</v>
      </c>
      <c r="AR889" s="49" t="str">
        <f t="shared" si="213"/>
        <v/>
      </c>
    </row>
    <row r="890" spans="1:44" ht="30" customHeight="1" x14ac:dyDescent="0.35">
      <c r="B890" s="41" t="s">
        <v>57</v>
      </c>
      <c r="C890" s="41"/>
      <c r="D890" s="41"/>
      <c r="E890" s="41"/>
      <c r="F890" s="41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171"/>
      <c r="Z890" s="172"/>
      <c r="AA890" s="172"/>
      <c r="AB890" s="173"/>
      <c r="AE890" s="48" t="str">
        <f t="shared" si="203"/>
        <v/>
      </c>
      <c r="AF890" s="48"/>
      <c r="AG890" s="48"/>
      <c r="AH890" s="89"/>
      <c r="AI890" s="49">
        <f t="shared" si="204"/>
        <v>0</v>
      </c>
      <c r="AJ890" s="49" t="str">
        <f t="shared" si="205"/>
        <v/>
      </c>
      <c r="AK890" s="49">
        <f t="shared" si="206"/>
        <v>0</v>
      </c>
      <c r="AL890" s="49" t="str">
        <f t="shared" si="207"/>
        <v/>
      </c>
      <c r="AM890" s="49">
        <f t="shared" si="208"/>
        <v>0</v>
      </c>
      <c r="AN890" s="49" t="str">
        <f t="shared" si="209"/>
        <v/>
      </c>
      <c r="AO890" s="49">
        <f t="shared" si="210"/>
        <v>0</v>
      </c>
      <c r="AP890" s="49" t="str">
        <f t="shared" si="211"/>
        <v/>
      </c>
      <c r="AQ890" s="49">
        <f t="shared" si="212"/>
        <v>0</v>
      </c>
      <c r="AR890" s="49" t="str">
        <f t="shared" si="213"/>
        <v/>
      </c>
    </row>
    <row r="891" spans="1:44" ht="30" customHeight="1" x14ac:dyDescent="0.35">
      <c r="B891" s="42" t="s">
        <v>64</v>
      </c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111"/>
      <c r="Z891" s="112"/>
      <c r="AA891" s="112"/>
      <c r="AB891" s="113"/>
      <c r="AE891" s="48" t="str">
        <f t="shared" si="203"/>
        <v/>
      </c>
      <c r="AF891" s="48"/>
      <c r="AG891" s="48"/>
      <c r="AH891" s="89"/>
      <c r="AI891" s="49">
        <f t="shared" si="204"/>
        <v>0</v>
      </c>
      <c r="AJ891" s="49" t="str">
        <f t="shared" si="205"/>
        <v/>
      </c>
      <c r="AK891" s="49">
        <f t="shared" si="206"/>
        <v>0</v>
      </c>
      <c r="AL891" s="49" t="str">
        <f t="shared" si="207"/>
        <v/>
      </c>
      <c r="AM891" s="49">
        <f t="shared" si="208"/>
        <v>0</v>
      </c>
      <c r="AN891" s="49" t="str">
        <f t="shared" si="209"/>
        <v/>
      </c>
      <c r="AO891" s="49">
        <f t="shared" si="210"/>
        <v>0</v>
      </c>
      <c r="AP891" s="49" t="str">
        <f t="shared" si="211"/>
        <v/>
      </c>
      <c r="AQ891" s="49">
        <f t="shared" si="212"/>
        <v>0</v>
      </c>
      <c r="AR891" s="49" t="str">
        <f t="shared" si="213"/>
        <v/>
      </c>
    </row>
    <row r="892" spans="1:44" ht="30" customHeight="1" x14ac:dyDescent="0.35">
      <c r="B892" s="39" t="s">
        <v>59</v>
      </c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108"/>
      <c r="Z892" s="109"/>
      <c r="AA892" s="109"/>
      <c r="AB892" s="110"/>
      <c r="AE892" s="48" t="str">
        <f t="shared" si="203"/>
        <v/>
      </c>
      <c r="AF892" s="48"/>
      <c r="AG892" s="48"/>
      <c r="AH892" s="89"/>
      <c r="AI892" s="49">
        <f t="shared" si="204"/>
        <v>0</v>
      </c>
      <c r="AJ892" s="49" t="str">
        <f t="shared" si="205"/>
        <v/>
      </c>
      <c r="AK892" s="49">
        <f t="shared" si="206"/>
        <v>0</v>
      </c>
      <c r="AL892" s="49" t="str">
        <f t="shared" si="207"/>
        <v/>
      </c>
      <c r="AM892" s="49">
        <f t="shared" si="208"/>
        <v>0</v>
      </c>
      <c r="AN892" s="49" t="str">
        <f t="shared" si="209"/>
        <v/>
      </c>
      <c r="AO892" s="49">
        <f t="shared" si="210"/>
        <v>0</v>
      </c>
      <c r="AP892" s="49" t="str">
        <f t="shared" si="211"/>
        <v/>
      </c>
      <c r="AQ892" s="49">
        <f t="shared" si="212"/>
        <v>0</v>
      </c>
      <c r="AR892" s="49" t="str">
        <f t="shared" si="213"/>
        <v/>
      </c>
    </row>
    <row r="893" spans="1:44" ht="30" customHeight="1" x14ac:dyDescent="0.35">
      <c r="A893" s="25" t="str">
        <f>CONCATENATE($B$888,"
",$B$889,"",$B$890,"
",$B$891)</f>
        <v>PT178 - ESTRUTURA METÁLICA E FUNDAÇÃO - PLATAFORMAS DE ACESSO LIFT LINE SPIDER - BÁSICO
ETAPA DE ESCRITÓRIOPROJETO BÁSICO
CIVIL</v>
      </c>
      <c r="B893" s="38" t="s">
        <v>42</v>
      </c>
      <c r="C893" s="60" t="str">
        <f>IF(AND($B893=[1]rogério!$A894,[1]rogério!$B894=C$4),"ok","nok")</f>
        <v>nok</v>
      </c>
      <c r="D893" s="60" t="str">
        <f>IF(AND($B893=[1]rogério!$A894,[1]rogério!$B894=D$4),"ok","nok")</f>
        <v>nok</v>
      </c>
      <c r="E893" s="60" t="str">
        <f>IF(AND($B893=[1]rogério!$A894,[1]rogério!$B894=E$4),"ok","nok")</f>
        <v>nok</v>
      </c>
      <c r="F893" s="60" t="str">
        <f>IF(AND($B893=[1]rogério!$A894,[1]rogério!$B894=F$4),"ok","nok")</f>
        <v>nok</v>
      </c>
      <c r="G893" s="60" t="str">
        <f>IF(AND($B893=[1]rogério!$A894,[1]rogério!$B894=G$4),"ok","nok")</f>
        <v>nok</v>
      </c>
      <c r="H893" s="60" t="str">
        <f>IF(AND($B893=[1]rogério!$A894,[1]rogério!$B894=H$4),"ok","nok")</f>
        <v>nok</v>
      </c>
      <c r="I893" s="60" t="str">
        <f>IF(AND($B893=[1]rogério!$A894,[1]rogério!$B894=I$4),"ok","nok")</f>
        <v>ok</v>
      </c>
      <c r="J893" s="60" t="str">
        <f>IF(AND($B893=[1]rogério!$A894,[1]rogério!$B894=J$4),"ok","nok")</f>
        <v>nok</v>
      </c>
      <c r="K893" s="60" t="str">
        <f>IF(AND($B893=[1]rogério!$A894,[1]rogério!$B894=K$4),"ok","nok")</f>
        <v>nok</v>
      </c>
      <c r="L893" s="60" t="str">
        <f>IF(AND($B893=[1]rogério!$A894,[1]rogério!$B894=L$4),"ok","nok")</f>
        <v>nok</v>
      </c>
      <c r="M893" s="60" t="str">
        <f>IF(AND($B893=[1]rogério!$A894,[1]rogério!$B894=M$4),"ok","nok")</f>
        <v>nok</v>
      </c>
      <c r="N893" s="60" t="str">
        <f>IF(AND($B893=[1]rogério!$A894,[1]rogério!$B894=N$4),"ok","nok")</f>
        <v>nok</v>
      </c>
      <c r="O893" s="60" t="str">
        <f>IF(AND($B893=[1]rogério!$A894,[1]rogério!$B894=O$4),"ok","nok")</f>
        <v>nok</v>
      </c>
      <c r="P893" s="60" t="str">
        <f>IF(AND($B893=[1]rogério!$A894,[1]rogério!$B894=P$4),"ok","nok")</f>
        <v>nok</v>
      </c>
      <c r="Q893" s="60" t="str">
        <f>IF(AND($B893=[1]rogério!$A894,[1]rogério!$B894=Q$4),"ok","nok")</f>
        <v>nok</v>
      </c>
      <c r="R893" s="60" t="str">
        <f>IF(AND($B893=[1]rogério!$A894,[1]rogério!$B894=R$4),"ok","nok")</f>
        <v>nok</v>
      </c>
      <c r="S893" s="60" t="str">
        <f>IF(AND($B893=[1]rogério!$A894,[1]rogério!$B894=S$4),"ok","nok")</f>
        <v>nok</v>
      </c>
      <c r="T893" s="60" t="str">
        <f>IF(AND($B893=[1]rogério!$A894,[1]rogério!$B894=T$4),"ok","nok")</f>
        <v>nok</v>
      </c>
      <c r="U893" s="60" t="str">
        <f>IF(AND($B893=[1]rogério!$A894,[1]rogério!$B894=U$4),"ok","nok")</f>
        <v>nok</v>
      </c>
      <c r="V893" s="60" t="str">
        <f>IF(AND($B893=[1]rogério!$A894,[1]rogério!$B894=V$4),"ok","nok")</f>
        <v>nok</v>
      </c>
      <c r="W893" s="60" t="str">
        <f>IF(AND($B893=[1]rogério!$A894,[1]rogério!$B894=W$4),"ok","nok")</f>
        <v>nok</v>
      </c>
      <c r="X893" s="60" t="str">
        <f>IF(AND($B893=[1]rogério!$A894,[1]rogério!$B894=X$4),"ok","nok")</f>
        <v>nok</v>
      </c>
      <c r="Y893" s="105" t="s">
        <v>15</v>
      </c>
      <c r="Z893" s="106"/>
      <c r="AA893" s="106"/>
      <c r="AB893" s="107"/>
      <c r="AE893" s="48" t="str">
        <f t="shared" si="203"/>
        <v/>
      </c>
      <c r="AF893" s="48"/>
      <c r="AG893" s="48"/>
      <c r="AH893" s="89"/>
      <c r="AI893" s="49">
        <f t="shared" si="204"/>
        <v>0</v>
      </c>
      <c r="AJ893" s="49" t="str">
        <f t="shared" si="205"/>
        <v/>
      </c>
      <c r="AK893" s="49">
        <f t="shared" si="206"/>
        <v>1</v>
      </c>
      <c r="AL893" s="49" t="str">
        <f t="shared" si="207"/>
        <v/>
      </c>
      <c r="AM893" s="49">
        <f t="shared" si="208"/>
        <v>0</v>
      </c>
      <c r="AN893" s="49" t="str">
        <f t="shared" si="209"/>
        <v/>
      </c>
      <c r="AO893" s="49">
        <f t="shared" si="210"/>
        <v>0</v>
      </c>
      <c r="AP893" s="49" t="str">
        <f t="shared" si="211"/>
        <v/>
      </c>
      <c r="AQ893" s="49">
        <f t="shared" si="212"/>
        <v>0</v>
      </c>
      <c r="AR893" s="49" t="str">
        <f t="shared" si="213"/>
        <v/>
      </c>
    </row>
    <row r="894" spans="1:44" ht="30" customHeight="1" x14ac:dyDescent="0.35">
      <c r="A894" s="25" t="str">
        <f t="shared" ref="A894:A908" si="216">CONCATENATE($B$888,"
",$B$889,"",$B$890,"
",$B$891)</f>
        <v>PT178 - ESTRUTURA METÁLICA E FUNDAÇÃO - PLATAFORMAS DE ACESSO LIFT LINE SPIDER - BÁSICO
ETAPA DE ESCRITÓRIOPROJETO BÁSICO
CIVIL</v>
      </c>
      <c r="B894" s="38" t="s">
        <v>43</v>
      </c>
      <c r="C894" s="60" t="str">
        <f>IF(AND($B894=[1]rogério!$A895,[1]rogério!$B895=C$4),"ok","nok")</f>
        <v>nok</v>
      </c>
      <c r="D894" s="60" t="str">
        <f>IF(AND($B894=[1]rogério!$A895,[1]rogério!$B895=D$4),"ok","nok")</f>
        <v>nok</v>
      </c>
      <c r="E894" s="60" t="str">
        <f>IF(AND($B894=[1]rogério!$A895,[1]rogério!$B895=E$4),"ok","nok")</f>
        <v>nok</v>
      </c>
      <c r="F894" s="60" t="str">
        <f>IF(AND($B894=[1]rogério!$A895,[1]rogério!$B895=F$4),"ok","nok")</f>
        <v>nok</v>
      </c>
      <c r="G894" s="60" t="str">
        <f>IF(AND($B894=[1]rogério!$A895,[1]rogério!$B895=G$4),"ok","nok")</f>
        <v>nok</v>
      </c>
      <c r="H894" s="60" t="str">
        <f>IF(AND($B894=[1]rogério!$A895,[1]rogério!$B895=H$4),"ok","nok")</f>
        <v>nok</v>
      </c>
      <c r="I894" s="60" t="str">
        <f>IF(AND($B894=[1]rogério!$A895,[1]rogério!$B895=I$4),"ok","nok")</f>
        <v>ok</v>
      </c>
      <c r="J894" s="60" t="str">
        <f>IF(AND($B894=[1]rogério!$A895,[1]rogério!$B895=J$4),"ok","nok")</f>
        <v>nok</v>
      </c>
      <c r="K894" s="60" t="str">
        <f>IF(AND($B894=[1]rogério!$A895,[1]rogério!$B895=K$4),"ok","nok")</f>
        <v>nok</v>
      </c>
      <c r="L894" s="60" t="str">
        <f>IF(AND($B894=[1]rogério!$A895,[1]rogério!$B895=L$4),"ok","nok")</f>
        <v>nok</v>
      </c>
      <c r="M894" s="60" t="str">
        <f>IF(AND($B894=[1]rogério!$A895,[1]rogério!$B895=M$4),"ok","nok")</f>
        <v>nok</v>
      </c>
      <c r="N894" s="60" t="str">
        <f>IF(AND($B894=[1]rogério!$A895,[1]rogério!$B895=N$4),"ok","nok")</f>
        <v>nok</v>
      </c>
      <c r="O894" s="60" t="str">
        <f>IF(AND($B894=[1]rogério!$A895,[1]rogério!$B895=O$4),"ok","nok")</f>
        <v>nok</v>
      </c>
      <c r="P894" s="60" t="str">
        <f>IF(AND($B894=[1]rogério!$A895,[1]rogério!$B895=P$4),"ok","nok")</f>
        <v>nok</v>
      </c>
      <c r="Q894" s="60" t="str">
        <f>IF(AND($B894=[1]rogério!$A895,[1]rogério!$B895=Q$4),"ok","nok")</f>
        <v>nok</v>
      </c>
      <c r="R894" s="60" t="str">
        <f>IF(AND($B894=[1]rogério!$A895,[1]rogério!$B895=R$4),"ok","nok")</f>
        <v>nok</v>
      </c>
      <c r="S894" s="60" t="str">
        <f>IF(AND($B894=[1]rogério!$A895,[1]rogério!$B895=S$4),"ok","nok")</f>
        <v>nok</v>
      </c>
      <c r="T894" s="60" t="str">
        <f>IF(AND($B894=[1]rogério!$A895,[1]rogério!$B895=T$4),"ok","nok")</f>
        <v>nok</v>
      </c>
      <c r="U894" s="60" t="str">
        <f>IF(AND($B894=[1]rogério!$A895,[1]rogério!$B895=U$4),"ok","nok")</f>
        <v>nok</v>
      </c>
      <c r="V894" s="60" t="str">
        <f>IF(AND($B894=[1]rogério!$A895,[1]rogério!$B895=V$4),"ok","nok")</f>
        <v>nok</v>
      </c>
      <c r="W894" s="60" t="str">
        <f>IF(AND($B894=[1]rogério!$A895,[1]rogério!$B895=W$4),"ok","nok")</f>
        <v>nok</v>
      </c>
      <c r="X894" s="60" t="str">
        <f>IF(AND($B894=[1]rogério!$A895,[1]rogério!$B895=X$4),"ok","nok")</f>
        <v>nok</v>
      </c>
      <c r="Y894" s="105" t="s">
        <v>15</v>
      </c>
      <c r="Z894" s="106"/>
      <c r="AA894" s="106"/>
      <c r="AB894" s="107"/>
      <c r="AE894" s="48" t="str">
        <f t="shared" si="203"/>
        <v/>
      </c>
      <c r="AF894" s="48"/>
      <c r="AG894" s="48"/>
      <c r="AH894" s="89"/>
      <c r="AI894" s="49">
        <f t="shared" si="204"/>
        <v>0</v>
      </c>
      <c r="AJ894" s="49" t="str">
        <f t="shared" si="205"/>
        <v/>
      </c>
      <c r="AK894" s="49">
        <f t="shared" si="206"/>
        <v>1</v>
      </c>
      <c r="AL894" s="49" t="str">
        <f t="shared" si="207"/>
        <v/>
      </c>
      <c r="AM894" s="49">
        <f t="shared" si="208"/>
        <v>0</v>
      </c>
      <c r="AN894" s="49" t="str">
        <f t="shared" si="209"/>
        <v/>
      </c>
      <c r="AO894" s="49">
        <f t="shared" si="210"/>
        <v>0</v>
      </c>
      <c r="AP894" s="49" t="str">
        <f t="shared" si="211"/>
        <v/>
      </c>
      <c r="AQ894" s="49">
        <f t="shared" si="212"/>
        <v>0</v>
      </c>
      <c r="AR894" s="49" t="str">
        <f t="shared" si="213"/>
        <v/>
      </c>
    </row>
    <row r="895" spans="1:44" ht="30" customHeight="1" x14ac:dyDescent="0.35">
      <c r="A895" s="25" t="str">
        <f t="shared" si="216"/>
        <v>PT178 - ESTRUTURA METÁLICA E FUNDAÇÃO - PLATAFORMAS DE ACESSO LIFT LINE SPIDER - BÁSICO
ETAPA DE ESCRITÓRIOPROJETO BÁSICO
CIVIL</v>
      </c>
      <c r="B895" s="38" t="s">
        <v>65</v>
      </c>
      <c r="C895" s="60" t="str">
        <f>IF(AND($B895=[1]rogério!$A896,[1]rogério!$B896=C$4),"ok","nok")</f>
        <v>nok</v>
      </c>
      <c r="D895" s="60" t="str">
        <f>IF(AND($B895=[1]rogério!$A896,[1]rogério!$B896=D$4),"ok","nok")</f>
        <v>nok</v>
      </c>
      <c r="E895" s="60" t="str">
        <f>IF(AND($B895=[1]rogério!$A896,[1]rogério!$B896=E$4),"ok","nok")</f>
        <v>nok</v>
      </c>
      <c r="F895" s="60" t="str">
        <f>IF(AND($B895=[1]rogério!$A896,[1]rogério!$B896=F$4),"ok","nok")</f>
        <v>nok</v>
      </c>
      <c r="G895" s="60" t="str">
        <f>IF(AND($B895=[1]rogério!$A896,[1]rogério!$B896=G$4),"ok","nok")</f>
        <v>nok</v>
      </c>
      <c r="H895" s="60" t="str">
        <f>IF(AND($B895=[1]rogério!$A896,[1]rogério!$B896=H$4),"ok","nok")</f>
        <v>nok</v>
      </c>
      <c r="I895" s="60" t="str">
        <f>IF(AND($B895=[1]rogério!$A896,[1]rogério!$B896=I$4),"ok","nok")</f>
        <v>nok</v>
      </c>
      <c r="J895" s="60" t="str">
        <f>IF(AND($B895=[1]rogério!$A896,[1]rogério!$B896=J$4),"ok","nok")</f>
        <v>nok</v>
      </c>
      <c r="K895" s="60" t="str">
        <f>IF(AND($B895=[1]rogério!$A896,[1]rogério!$B896=K$4),"ok","nok")</f>
        <v>nok</v>
      </c>
      <c r="L895" s="60" t="str">
        <f>IF(AND($B895=[1]rogério!$A896,[1]rogério!$B896=L$4),"ok","nok")</f>
        <v>ok</v>
      </c>
      <c r="M895" s="60" t="str">
        <f>IF(AND($B895=[1]rogério!$A896,[1]rogério!$B896=M$4),"ok","nok")</f>
        <v>nok</v>
      </c>
      <c r="N895" s="60" t="str">
        <f>IF(AND($B895=[1]rogério!$A896,[1]rogério!$B896=N$4),"ok","nok")</f>
        <v>nok</v>
      </c>
      <c r="O895" s="60" t="str">
        <f>IF(AND($B895=[1]rogério!$A896,[1]rogério!$B896=O$4),"ok","nok")</f>
        <v>nok</v>
      </c>
      <c r="P895" s="60" t="str">
        <f>IF(AND($B895=[1]rogério!$A896,[1]rogério!$B896=P$4),"ok","nok")</f>
        <v>nok</v>
      </c>
      <c r="Q895" s="60" t="str">
        <f>IF(AND($B895=[1]rogério!$A896,[1]rogério!$B896=Q$4),"ok","nok")</f>
        <v>nok</v>
      </c>
      <c r="R895" s="60" t="str">
        <f>IF(AND($B895=[1]rogério!$A896,[1]rogério!$B896=R$4),"ok","nok")</f>
        <v>nok</v>
      </c>
      <c r="S895" s="60" t="str">
        <f>IF(AND($B895=[1]rogério!$A896,[1]rogério!$B896=S$4),"ok","nok")</f>
        <v>nok</v>
      </c>
      <c r="T895" s="60" t="str">
        <f>IF(AND($B895=[1]rogério!$A896,[1]rogério!$B896=T$4),"ok","nok")</f>
        <v>nok</v>
      </c>
      <c r="U895" s="60" t="str">
        <f>IF(AND($B895=[1]rogério!$A896,[1]rogério!$B896=U$4),"ok","nok")</f>
        <v>nok</v>
      </c>
      <c r="V895" s="60" t="str">
        <f>IF(AND($B895=[1]rogério!$A896,[1]rogério!$B896=V$4),"ok","nok")</f>
        <v>nok</v>
      </c>
      <c r="W895" s="60" t="str">
        <f>IF(AND($B895=[1]rogério!$A896,[1]rogério!$B896=W$4),"ok","nok")</f>
        <v>nok</v>
      </c>
      <c r="X895" s="60" t="str">
        <f>IF(AND($B895=[1]rogério!$A896,[1]rogério!$B896=X$4),"ok","nok")</f>
        <v>nok</v>
      </c>
      <c r="Y895" s="105" t="s">
        <v>15</v>
      </c>
      <c r="Z895" s="106"/>
      <c r="AA895" s="106"/>
      <c r="AB895" s="107"/>
      <c r="AE895" s="48" t="str">
        <f t="shared" si="203"/>
        <v/>
      </c>
      <c r="AF895" s="48"/>
      <c r="AG895" s="48"/>
      <c r="AH895" s="89"/>
      <c r="AI895" s="49">
        <f t="shared" si="204"/>
        <v>0</v>
      </c>
      <c r="AJ895" s="49" t="str">
        <f t="shared" si="205"/>
        <v/>
      </c>
      <c r="AK895" s="49">
        <f t="shared" si="206"/>
        <v>1</v>
      </c>
      <c r="AL895" s="49" t="str">
        <f t="shared" si="207"/>
        <v/>
      </c>
      <c r="AM895" s="49">
        <f t="shared" si="208"/>
        <v>0</v>
      </c>
      <c r="AN895" s="49" t="str">
        <f t="shared" si="209"/>
        <v/>
      </c>
      <c r="AO895" s="49">
        <f t="shared" si="210"/>
        <v>0</v>
      </c>
      <c r="AP895" s="49" t="str">
        <f t="shared" si="211"/>
        <v/>
      </c>
      <c r="AQ895" s="49">
        <f t="shared" si="212"/>
        <v>0</v>
      </c>
      <c r="AR895" s="49" t="str">
        <f t="shared" si="213"/>
        <v/>
      </c>
    </row>
    <row r="896" spans="1:44" ht="30" customHeight="1" x14ac:dyDescent="0.35">
      <c r="A896" s="25" t="str">
        <f t="shared" si="216"/>
        <v>PT178 - ESTRUTURA METÁLICA E FUNDAÇÃO - PLATAFORMAS DE ACESSO LIFT LINE SPIDER - BÁSICO
ETAPA DE ESCRITÓRIOPROJETO BÁSICO
CIVIL</v>
      </c>
      <c r="B896" s="38" t="s">
        <v>66</v>
      </c>
      <c r="C896" s="60" t="str">
        <f>IF(AND($B896=[1]rogério!$A897,[1]rogério!$B897=C$4),"ok","nok")</f>
        <v>nok</v>
      </c>
      <c r="D896" s="60" t="str">
        <f>IF(AND($B896=[1]rogério!$A897,[1]rogério!$B897=D$4),"ok","nok")</f>
        <v>nok</v>
      </c>
      <c r="E896" s="60" t="str">
        <f>IF(AND($B896=[1]rogério!$A897,[1]rogério!$B897=E$4),"ok","nok")</f>
        <v>nok</v>
      </c>
      <c r="F896" s="60" t="str">
        <f>IF(AND($B896=[1]rogério!$A897,[1]rogério!$B897=F$4),"ok","nok")</f>
        <v>nok</v>
      </c>
      <c r="G896" s="60" t="str">
        <f>IF(AND($B896=[1]rogério!$A897,[1]rogério!$B897=G$4),"ok","nok")</f>
        <v>nok</v>
      </c>
      <c r="H896" s="60" t="str">
        <f>IF(AND($B896=[1]rogério!$A897,[1]rogério!$B897=H$4),"ok","nok")</f>
        <v>nok</v>
      </c>
      <c r="I896" s="60" t="str">
        <f>IF(AND($B896=[1]rogério!$A897,[1]rogério!$B897=I$4),"ok","nok")</f>
        <v>nok</v>
      </c>
      <c r="J896" s="60" t="str">
        <f>IF(AND($B896=[1]rogério!$A897,[1]rogério!$B897=J$4),"ok","nok")</f>
        <v>nok</v>
      </c>
      <c r="K896" s="60" t="str">
        <f>IF(AND($B896=[1]rogério!$A897,[1]rogério!$B897=K$4),"ok","nok")</f>
        <v>nok</v>
      </c>
      <c r="L896" s="60" t="str">
        <f>IF(AND($B896=[1]rogério!$A897,[1]rogério!$B897=L$4),"ok","nok")</f>
        <v>nok</v>
      </c>
      <c r="M896" s="60" t="str">
        <f>IF(AND($B896=[1]rogério!$A897,[1]rogério!$B897=M$4),"ok","nok")</f>
        <v>ok</v>
      </c>
      <c r="N896" s="60" t="str">
        <f>IF(AND($B896=[1]rogério!$A897,[1]rogério!$B897=N$4),"ok","nok")</f>
        <v>nok</v>
      </c>
      <c r="O896" s="60" t="str">
        <f>IF(AND($B896=[1]rogério!$A897,[1]rogério!$B897=O$4),"ok","nok")</f>
        <v>nok</v>
      </c>
      <c r="P896" s="60" t="str">
        <f>IF(AND($B896=[1]rogério!$A897,[1]rogério!$B897=P$4),"ok","nok")</f>
        <v>nok</v>
      </c>
      <c r="Q896" s="60" t="str">
        <f>IF(AND($B896=[1]rogério!$A897,[1]rogério!$B897=Q$4),"ok","nok")</f>
        <v>nok</v>
      </c>
      <c r="R896" s="60" t="str">
        <f>IF(AND($B896=[1]rogério!$A897,[1]rogério!$B897=R$4),"ok","nok")</f>
        <v>nok</v>
      </c>
      <c r="S896" s="60" t="str">
        <f>IF(AND($B896=[1]rogério!$A897,[1]rogério!$B897=S$4),"ok","nok")</f>
        <v>nok</v>
      </c>
      <c r="T896" s="60" t="str">
        <f>IF(AND($B896=[1]rogério!$A897,[1]rogério!$B897=T$4),"ok","nok")</f>
        <v>nok</v>
      </c>
      <c r="U896" s="60" t="str">
        <f>IF(AND($B896=[1]rogério!$A897,[1]rogério!$B897=U$4),"ok","nok")</f>
        <v>nok</v>
      </c>
      <c r="V896" s="60" t="str">
        <f>IF(AND($B896=[1]rogério!$A897,[1]rogério!$B897=V$4),"ok","nok")</f>
        <v>nok</v>
      </c>
      <c r="W896" s="60" t="str">
        <f>IF(AND($B896=[1]rogério!$A897,[1]rogério!$B897=W$4),"ok","nok")</f>
        <v>nok</v>
      </c>
      <c r="X896" s="60" t="str">
        <f>IF(AND($B896=[1]rogério!$A897,[1]rogério!$B897=X$4),"ok","nok")</f>
        <v>nok</v>
      </c>
      <c r="Y896" s="105" t="s">
        <v>15</v>
      </c>
      <c r="Z896" s="106"/>
      <c r="AA896" s="106"/>
      <c r="AB896" s="107"/>
      <c r="AE896" s="48" t="str">
        <f t="shared" si="203"/>
        <v/>
      </c>
      <c r="AF896" s="48"/>
      <c r="AG896" s="48"/>
      <c r="AH896" s="89"/>
      <c r="AI896" s="49">
        <f t="shared" si="204"/>
        <v>0</v>
      </c>
      <c r="AJ896" s="49" t="str">
        <f t="shared" si="205"/>
        <v/>
      </c>
      <c r="AK896" s="49">
        <f t="shared" si="206"/>
        <v>0</v>
      </c>
      <c r="AL896" s="49" t="str">
        <f t="shared" si="207"/>
        <v/>
      </c>
      <c r="AM896" s="49">
        <f t="shared" si="208"/>
        <v>1</v>
      </c>
      <c r="AN896" s="49" t="str">
        <f t="shared" si="209"/>
        <v/>
      </c>
      <c r="AO896" s="49">
        <f t="shared" si="210"/>
        <v>0</v>
      </c>
      <c r="AP896" s="49" t="str">
        <f t="shared" si="211"/>
        <v/>
      </c>
      <c r="AQ896" s="49">
        <f t="shared" si="212"/>
        <v>0</v>
      </c>
      <c r="AR896" s="49" t="str">
        <f t="shared" si="213"/>
        <v/>
      </c>
    </row>
    <row r="897" spans="1:44" ht="30" customHeight="1" x14ac:dyDescent="0.35">
      <c r="A897" s="25"/>
      <c r="B897" s="39" t="s">
        <v>67</v>
      </c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108"/>
      <c r="Z897" s="109"/>
      <c r="AA897" s="109"/>
      <c r="AB897" s="110"/>
      <c r="AE897" s="48" t="str">
        <f t="shared" si="203"/>
        <v/>
      </c>
      <c r="AF897" s="48"/>
      <c r="AG897" s="48"/>
      <c r="AH897" s="89"/>
      <c r="AI897" s="49">
        <f t="shared" si="204"/>
        <v>0</v>
      </c>
      <c r="AJ897" s="49" t="str">
        <f t="shared" si="205"/>
        <v/>
      </c>
      <c r="AK897" s="49">
        <f t="shared" si="206"/>
        <v>0</v>
      </c>
      <c r="AL897" s="49" t="str">
        <f t="shared" si="207"/>
        <v/>
      </c>
      <c r="AM897" s="49">
        <f t="shared" si="208"/>
        <v>0</v>
      </c>
      <c r="AN897" s="49" t="str">
        <f t="shared" si="209"/>
        <v/>
      </c>
      <c r="AO897" s="49">
        <f t="shared" si="210"/>
        <v>0</v>
      </c>
      <c r="AP897" s="49" t="str">
        <f t="shared" si="211"/>
        <v/>
      </c>
      <c r="AQ897" s="49">
        <f t="shared" si="212"/>
        <v>0</v>
      </c>
      <c r="AR897" s="49" t="str">
        <f t="shared" si="213"/>
        <v/>
      </c>
    </row>
    <row r="898" spans="1:44" ht="30" customHeight="1" x14ac:dyDescent="0.35">
      <c r="A898" s="25" t="str">
        <f t="shared" si="216"/>
        <v>PT178 - ESTRUTURA METÁLICA E FUNDAÇÃO - PLATAFORMAS DE ACESSO LIFT LINE SPIDER - BÁSICO
ETAPA DE ESCRITÓRIOPROJETO BÁSICO
CIVIL</v>
      </c>
      <c r="B898" s="38" t="s">
        <v>49</v>
      </c>
      <c r="C898" s="60" t="str">
        <f>IF(AND($B898=[1]rogério!$A899,[1]rogério!$B899=C$4),"ok","nok")</f>
        <v>nok</v>
      </c>
      <c r="D898" s="60" t="str">
        <f>IF(AND($B898=[1]rogério!$A899,[1]rogério!$B899=D$4),"ok","nok")</f>
        <v>nok</v>
      </c>
      <c r="E898" s="60" t="str">
        <f>IF(AND($B898=[1]rogério!$A899,[1]rogério!$B899=E$4),"ok","nok")</f>
        <v>nok</v>
      </c>
      <c r="F898" s="60" t="str">
        <f>IF(AND($B898=[1]rogério!$A899,[1]rogério!$B899=F$4),"ok","nok")</f>
        <v>nok</v>
      </c>
      <c r="G898" s="60" t="str">
        <f>IF(AND($B898=[1]rogério!$A899,[1]rogério!$B899=G$4),"ok","nok")</f>
        <v>nok</v>
      </c>
      <c r="H898" s="60" t="str">
        <f>IF(AND($B898=[1]rogério!$A899,[1]rogério!$B899=H$4),"ok","nok")</f>
        <v>nok</v>
      </c>
      <c r="I898" s="60" t="str">
        <f>IF(AND($B898=[1]rogério!$A899,[1]rogério!$B899=I$4),"ok","nok")</f>
        <v>nok</v>
      </c>
      <c r="J898" s="60" t="str">
        <f>IF(AND($B898=[1]rogério!$A899,[1]rogério!$B899=J$4),"ok","nok")</f>
        <v>nok</v>
      </c>
      <c r="K898" s="60" t="str">
        <f>IF(AND($B898=[1]rogério!$A899,[1]rogério!$B899=K$4),"ok","nok")</f>
        <v>nok</v>
      </c>
      <c r="L898" s="60" t="str">
        <f>IF(AND($B898=[1]rogério!$A899,[1]rogério!$B899=L$4),"ok","nok")</f>
        <v>nok</v>
      </c>
      <c r="M898" s="60" t="str">
        <f>IF(AND($B898=[1]rogério!$A899,[1]rogério!$B899=M$4),"ok","nok")</f>
        <v>ok</v>
      </c>
      <c r="N898" s="60" t="str">
        <f>IF(AND($B898=[1]rogério!$A899,[1]rogério!$B899=N$4),"ok","nok")</f>
        <v>nok</v>
      </c>
      <c r="O898" s="60" t="str">
        <f>IF(AND($B898=[1]rogério!$A899,[1]rogério!$B899=O$4),"ok","nok")</f>
        <v>nok</v>
      </c>
      <c r="P898" s="60" t="str">
        <f>IF(AND($B898=[1]rogério!$A899,[1]rogério!$B899=P$4),"ok","nok")</f>
        <v>nok</v>
      </c>
      <c r="Q898" s="60" t="str">
        <f>IF(AND($B898=[1]rogério!$A899,[1]rogério!$B899=Q$4),"ok","nok")</f>
        <v>nok</v>
      </c>
      <c r="R898" s="60" t="str">
        <f>IF(AND($B898=[1]rogério!$A899,[1]rogério!$B899=R$4),"ok","nok")</f>
        <v>nok</v>
      </c>
      <c r="S898" s="60" t="str">
        <f>IF(AND($B898=[1]rogério!$A899,[1]rogério!$B899=S$4),"ok","nok")</f>
        <v>nok</v>
      </c>
      <c r="T898" s="60" t="str">
        <f>IF(AND($B898=[1]rogério!$A899,[1]rogério!$B899=T$4),"ok","nok")</f>
        <v>nok</v>
      </c>
      <c r="U898" s="60" t="str">
        <f>IF(AND($B898=[1]rogério!$A899,[1]rogério!$B899=U$4),"ok","nok")</f>
        <v>nok</v>
      </c>
      <c r="V898" s="60" t="str">
        <f>IF(AND($B898=[1]rogério!$A899,[1]rogério!$B899=V$4),"ok","nok")</f>
        <v>nok</v>
      </c>
      <c r="W898" s="60" t="str">
        <f>IF(AND($B898=[1]rogério!$A899,[1]rogério!$B899=W$4),"ok","nok")</f>
        <v>nok</v>
      </c>
      <c r="X898" s="60" t="str">
        <f>IF(AND($B898=[1]rogério!$A899,[1]rogério!$B899=X$4),"ok","nok")</f>
        <v>nok</v>
      </c>
      <c r="Y898" s="105" t="s">
        <v>15</v>
      </c>
      <c r="Z898" s="106"/>
      <c r="AA898" s="106"/>
      <c r="AB898" s="107"/>
      <c r="AE898" s="48" t="str">
        <f t="shared" si="203"/>
        <v/>
      </c>
      <c r="AF898" s="48"/>
      <c r="AG898" s="48"/>
      <c r="AH898" s="89"/>
      <c r="AI898" s="49">
        <f t="shared" si="204"/>
        <v>0</v>
      </c>
      <c r="AJ898" s="49" t="str">
        <f t="shared" si="205"/>
        <v/>
      </c>
      <c r="AK898" s="49">
        <f t="shared" si="206"/>
        <v>0</v>
      </c>
      <c r="AL898" s="49" t="str">
        <f t="shared" si="207"/>
        <v/>
      </c>
      <c r="AM898" s="49">
        <f t="shared" si="208"/>
        <v>1</v>
      </c>
      <c r="AN898" s="49" t="str">
        <f t="shared" si="209"/>
        <v/>
      </c>
      <c r="AO898" s="49">
        <f t="shared" si="210"/>
        <v>0</v>
      </c>
      <c r="AP898" s="49" t="str">
        <f t="shared" si="211"/>
        <v/>
      </c>
      <c r="AQ898" s="49">
        <f t="shared" si="212"/>
        <v>0</v>
      </c>
      <c r="AR898" s="49" t="str">
        <f t="shared" si="213"/>
        <v/>
      </c>
    </row>
    <row r="899" spans="1:44" ht="30" customHeight="1" x14ac:dyDescent="0.35">
      <c r="A899" s="25" t="str">
        <f t="shared" si="216"/>
        <v>PT178 - ESTRUTURA METÁLICA E FUNDAÇÃO - PLATAFORMAS DE ACESSO LIFT LINE SPIDER - BÁSICO
ETAPA DE ESCRITÓRIOPROJETO BÁSICO
CIVIL</v>
      </c>
      <c r="B899" s="38" t="s">
        <v>19</v>
      </c>
      <c r="C899" s="60" t="str">
        <f>IF(AND($B899=[1]rogério!$A900,[1]rogério!$B900=C$4),"ok","nok")</f>
        <v>nok</v>
      </c>
      <c r="D899" s="60" t="str">
        <f>IF(AND($B899=[1]rogério!$A900,[1]rogério!$B900=D$4),"ok","nok")</f>
        <v>nok</v>
      </c>
      <c r="E899" s="60" t="str">
        <f>IF(AND($B899=[1]rogério!$A900,[1]rogério!$B900=E$4),"ok","nok")</f>
        <v>nok</v>
      </c>
      <c r="F899" s="60" t="str">
        <f>IF(AND($B899=[1]rogério!$A900,[1]rogério!$B900=F$4),"ok","nok")</f>
        <v>nok</v>
      </c>
      <c r="G899" s="60" t="str">
        <f>IF(AND($B899=[1]rogério!$A900,[1]rogério!$B900=G$4),"ok","nok")</f>
        <v>nok</v>
      </c>
      <c r="H899" s="60" t="str">
        <f>IF(AND($B899=[1]rogério!$A900,[1]rogério!$B900=H$4),"ok","nok")</f>
        <v>nok</v>
      </c>
      <c r="I899" s="60" t="str">
        <f>IF(AND($B899=[1]rogério!$A900,[1]rogério!$B900=I$4),"ok","nok")</f>
        <v>nok</v>
      </c>
      <c r="J899" s="60" t="str">
        <f>IF(AND($B899=[1]rogério!$A900,[1]rogério!$B900=J$4),"ok","nok")</f>
        <v>nok</v>
      </c>
      <c r="K899" s="60" t="str">
        <f>IF(AND($B899=[1]rogério!$A900,[1]rogério!$B900=K$4),"ok","nok")</f>
        <v>nok</v>
      </c>
      <c r="L899" s="60" t="str">
        <f>IF(AND($B899=[1]rogério!$A900,[1]rogério!$B900=L$4),"ok","nok")</f>
        <v>nok</v>
      </c>
      <c r="M899" s="60" t="str">
        <f>IF(AND($B899=[1]rogério!$A900,[1]rogério!$B900=M$4),"ok","nok")</f>
        <v>nok</v>
      </c>
      <c r="N899" s="60" t="str">
        <f>IF(AND($B899=[1]rogério!$A900,[1]rogério!$B900=N$4),"ok","nok")</f>
        <v>nok</v>
      </c>
      <c r="O899" s="60" t="str">
        <f>IF(AND($B899=[1]rogério!$A900,[1]rogério!$B900=O$4),"ok","nok")</f>
        <v>nok</v>
      </c>
      <c r="P899" s="60" t="str">
        <f>IF(AND($B899=[1]rogério!$A900,[1]rogério!$B900=P$4),"ok","nok")</f>
        <v>nok</v>
      </c>
      <c r="Q899" s="60" t="str">
        <f>IF(AND($B899=[1]rogério!$A900,[1]rogério!$B900=Q$4),"ok","nok")</f>
        <v>nok</v>
      </c>
      <c r="R899" s="60" t="str">
        <f>IF(AND($B899=[1]rogério!$A900,[1]rogério!$B900=R$4),"ok","nok")</f>
        <v>ok</v>
      </c>
      <c r="S899" s="60" t="str">
        <f>IF(AND($B899=[1]rogério!$A900,[1]rogério!$B900=S$4),"ok","nok")</f>
        <v>nok</v>
      </c>
      <c r="T899" s="60" t="str">
        <f>IF(AND($B899=[1]rogério!$A900,[1]rogério!$B900=T$4),"ok","nok")</f>
        <v>nok</v>
      </c>
      <c r="U899" s="60" t="str">
        <f>IF(AND($B899=[1]rogério!$A900,[1]rogério!$B900=U$4),"ok","nok")</f>
        <v>nok</v>
      </c>
      <c r="V899" s="60" t="str">
        <f>IF(AND($B899=[1]rogério!$A900,[1]rogério!$B900=V$4),"ok","nok")</f>
        <v>nok</v>
      </c>
      <c r="W899" s="60" t="str">
        <f>IF(AND($B899=[1]rogério!$A900,[1]rogério!$B900=W$4),"ok","nok")</f>
        <v>nok</v>
      </c>
      <c r="X899" s="60" t="str">
        <f>IF(AND($B899=[1]rogério!$A900,[1]rogério!$B900=X$4),"ok","nok")</f>
        <v>nok</v>
      </c>
      <c r="Y899" s="105" t="s">
        <v>15</v>
      </c>
      <c r="Z899" s="106"/>
      <c r="AA899" s="106"/>
      <c r="AB899" s="107"/>
      <c r="AE899" s="48" t="str">
        <f t="shared" ref="AE899:AE962" si="217">IF(Y899="ATRASADO",B899,"")</f>
        <v/>
      </c>
      <c r="AF899" s="48"/>
      <c r="AG899" s="48"/>
      <c r="AH899" s="89"/>
      <c r="AI899" s="49">
        <f t="shared" ref="AI899:AI962" si="218">COUNTIF(C899:G899,"ok")</f>
        <v>0</v>
      </c>
      <c r="AJ899" s="49" t="str">
        <f t="shared" ref="AJ899:AJ962" si="219">IF(AND(AI899=1,OR($Y899="entregue",$Y899="efprazo")),$Y899,"")</f>
        <v/>
      </c>
      <c r="AK899" s="49">
        <f t="shared" ref="AK899:AK962" si="220">COUNTIF(H899:L899,"ok")</f>
        <v>0</v>
      </c>
      <c r="AL899" s="49" t="str">
        <f t="shared" ref="AL899:AL962" si="221">IF(AND(AK899=1,OR($Y899="entregue",$Y899="efprazo")),$Y899,"")</f>
        <v/>
      </c>
      <c r="AM899" s="49">
        <f t="shared" ref="AM899:AM962" si="222">COUNTIF(M899:Q899,"ok")</f>
        <v>0</v>
      </c>
      <c r="AN899" s="49" t="str">
        <f t="shared" ref="AN899:AN962" si="223">IF(AND(AM899=1,OR($Y899="entregue",$Y899="efprazo")),$Y899,"")</f>
        <v/>
      </c>
      <c r="AO899" s="49">
        <f t="shared" ref="AO899:AO962" si="224">COUNTIF(R899:V899,"ok")</f>
        <v>1</v>
      </c>
      <c r="AP899" s="49" t="str">
        <f t="shared" ref="AP899:AP962" si="225">IF(AND(AO899=1,OR($Y899="entregue",$Y899="efprazo")),$Y899,"")</f>
        <v/>
      </c>
      <c r="AQ899" s="49">
        <f t="shared" ref="AQ899:AQ962" si="226">COUNTIF(W899:X899,"ok")</f>
        <v>0</v>
      </c>
      <c r="AR899" s="49" t="str">
        <f t="shared" ref="AR899:AR962" si="227">IF(AND(AQ899=1,OR($Y899="entregue",$Y899="efprazo")),$Y899,"")</f>
        <v/>
      </c>
    </row>
    <row r="900" spans="1:44" ht="30" customHeight="1" x14ac:dyDescent="0.35">
      <c r="A900" s="25" t="str">
        <f t="shared" si="216"/>
        <v>PT178 - ESTRUTURA METÁLICA E FUNDAÇÃO - PLATAFORMAS DE ACESSO LIFT LINE SPIDER - BÁSICO
ETAPA DE ESCRITÓRIOPROJETO BÁSICO
CIVIL</v>
      </c>
      <c r="B900" s="38" t="s">
        <v>42</v>
      </c>
      <c r="C900" s="60" t="str">
        <f>IF(AND($B900=[1]rogério!$A901,[1]rogério!$B901=C$4),"ok","nok")</f>
        <v>nok</v>
      </c>
      <c r="D900" s="60" t="str">
        <f>IF(AND($B900=[1]rogério!$A901,[1]rogério!$B901=D$4),"ok","nok")</f>
        <v>nok</v>
      </c>
      <c r="E900" s="60" t="str">
        <f>IF(AND($B900=[1]rogério!$A901,[1]rogério!$B901=E$4),"ok","nok")</f>
        <v>nok</v>
      </c>
      <c r="F900" s="60" t="str">
        <f>IF(AND($B900=[1]rogério!$A901,[1]rogério!$B901=F$4),"ok","nok")</f>
        <v>nok</v>
      </c>
      <c r="G900" s="60" t="str">
        <f>IF(AND($B900=[1]rogério!$A901,[1]rogério!$B901=G$4),"ok","nok")</f>
        <v>nok</v>
      </c>
      <c r="H900" s="60" t="str">
        <f>IF(AND($B900=[1]rogério!$A901,[1]rogério!$B901=H$4),"ok","nok")</f>
        <v>nok</v>
      </c>
      <c r="I900" s="60" t="str">
        <f>IF(AND($B900=[1]rogério!$A901,[1]rogério!$B901=I$4),"ok","nok")</f>
        <v>nok</v>
      </c>
      <c r="J900" s="60" t="str">
        <f>IF(AND($B900=[1]rogério!$A901,[1]rogério!$B901=J$4),"ok","nok")</f>
        <v>nok</v>
      </c>
      <c r="K900" s="60" t="str">
        <f>IF(AND($B900=[1]rogério!$A901,[1]rogério!$B901=K$4),"ok","nok")</f>
        <v>nok</v>
      </c>
      <c r="L900" s="60" t="str">
        <f>IF(AND($B900=[1]rogério!$A901,[1]rogério!$B901=L$4),"ok","nok")</f>
        <v>nok</v>
      </c>
      <c r="M900" s="60" t="str">
        <f>IF(AND($B900=[1]rogério!$A901,[1]rogério!$B901=M$4),"ok","nok")</f>
        <v>nok</v>
      </c>
      <c r="N900" s="60" t="str">
        <f>IF(AND($B900=[1]rogério!$A901,[1]rogério!$B901=N$4),"ok","nok")</f>
        <v>nok</v>
      </c>
      <c r="O900" s="60" t="str">
        <f>IF(AND($B900=[1]rogério!$A901,[1]rogério!$B901=O$4),"ok","nok")</f>
        <v>nok</v>
      </c>
      <c r="P900" s="60" t="str">
        <f>IF(AND($B900=[1]rogério!$A901,[1]rogério!$B901=P$4),"ok","nok")</f>
        <v>nok</v>
      </c>
      <c r="Q900" s="60" t="str">
        <f>IF(AND($B900=[1]rogério!$A901,[1]rogério!$B901=Q$4),"ok","nok")</f>
        <v>nok</v>
      </c>
      <c r="R900" s="60" t="str">
        <f>IF(AND($B900=[1]rogério!$A901,[1]rogério!$B901=R$4),"ok","nok")</f>
        <v>nok</v>
      </c>
      <c r="S900" s="60" t="str">
        <f>IF(AND($B900=[1]rogério!$A901,[1]rogério!$B901=S$4),"ok","nok")</f>
        <v>nok</v>
      </c>
      <c r="T900" s="60" t="str">
        <f>IF(AND($B900=[1]rogério!$A901,[1]rogério!$B901=T$4),"ok","nok")</f>
        <v>nok</v>
      </c>
      <c r="U900" s="60" t="str">
        <f>IF(AND($B900=[1]rogério!$A901,[1]rogério!$B901=U$4),"ok","nok")</f>
        <v>ok</v>
      </c>
      <c r="V900" s="60" t="str">
        <f>IF(AND($B900=[1]rogério!$A901,[1]rogério!$B901=V$4),"ok","nok")</f>
        <v>nok</v>
      </c>
      <c r="W900" s="60" t="str">
        <f>IF(AND($B900=[1]rogério!$A901,[1]rogério!$B901=W$4),"ok","nok")</f>
        <v>nok</v>
      </c>
      <c r="X900" s="60" t="str">
        <f>IF(AND($B900=[1]rogério!$A901,[1]rogério!$B901=X$4),"ok","nok")</f>
        <v>nok</v>
      </c>
      <c r="Y900" s="105" t="s">
        <v>15</v>
      </c>
      <c r="Z900" s="106"/>
      <c r="AA900" s="106"/>
      <c r="AB900" s="107"/>
      <c r="AE900" s="48" t="str">
        <f t="shared" si="217"/>
        <v/>
      </c>
      <c r="AF900" s="48"/>
      <c r="AG900" s="48"/>
      <c r="AH900" s="89"/>
      <c r="AI900" s="49">
        <f t="shared" si="218"/>
        <v>0</v>
      </c>
      <c r="AJ900" s="49" t="str">
        <f t="shared" si="219"/>
        <v/>
      </c>
      <c r="AK900" s="49">
        <f t="shared" si="220"/>
        <v>0</v>
      </c>
      <c r="AL900" s="49" t="str">
        <f t="shared" si="221"/>
        <v/>
      </c>
      <c r="AM900" s="49">
        <f t="shared" si="222"/>
        <v>0</v>
      </c>
      <c r="AN900" s="49" t="str">
        <f t="shared" si="223"/>
        <v/>
      </c>
      <c r="AO900" s="49">
        <f t="shared" si="224"/>
        <v>1</v>
      </c>
      <c r="AP900" s="49" t="str">
        <f t="shared" si="225"/>
        <v/>
      </c>
      <c r="AQ900" s="49">
        <f t="shared" si="226"/>
        <v>0</v>
      </c>
      <c r="AR900" s="49" t="str">
        <f t="shared" si="227"/>
        <v/>
      </c>
    </row>
    <row r="901" spans="1:44" ht="30" customHeight="1" x14ac:dyDescent="0.35">
      <c r="A901" s="25" t="str">
        <f t="shared" si="216"/>
        <v>PT178 - ESTRUTURA METÁLICA E FUNDAÇÃO - PLATAFORMAS DE ACESSO LIFT LINE SPIDER - BÁSICO
ETAPA DE ESCRITÓRIOPROJETO BÁSICO
CIVIL</v>
      </c>
      <c r="B901" s="38" t="s">
        <v>43</v>
      </c>
      <c r="C901" s="60" t="str">
        <f>IF(AND($B901=[1]rogério!$A902,[1]rogério!$B902=C$4),"ok","nok")</f>
        <v>nok</v>
      </c>
      <c r="D901" s="60" t="str">
        <f>IF(AND($B901=[1]rogério!$A902,[1]rogério!$B902=D$4),"ok","nok")</f>
        <v>nok</v>
      </c>
      <c r="E901" s="60" t="str">
        <f>IF(AND($B901=[1]rogério!$A902,[1]rogério!$B902=E$4),"ok","nok")</f>
        <v>nok</v>
      </c>
      <c r="F901" s="60" t="str">
        <f>IF(AND($B901=[1]rogério!$A902,[1]rogério!$B902=F$4),"ok","nok")</f>
        <v>nok</v>
      </c>
      <c r="G901" s="60" t="str">
        <f>IF(AND($B901=[1]rogério!$A902,[1]rogério!$B902=G$4),"ok","nok")</f>
        <v>nok</v>
      </c>
      <c r="H901" s="60" t="str">
        <f>IF(AND($B901=[1]rogério!$A902,[1]rogério!$B902=H$4),"ok","nok")</f>
        <v>nok</v>
      </c>
      <c r="I901" s="60" t="str">
        <f>IF(AND($B901=[1]rogério!$A902,[1]rogério!$B902=I$4),"ok","nok")</f>
        <v>nok</v>
      </c>
      <c r="J901" s="60" t="str">
        <f>IF(AND($B901=[1]rogério!$A902,[1]rogério!$B902=J$4),"ok","nok")</f>
        <v>nok</v>
      </c>
      <c r="K901" s="60" t="str">
        <f>IF(AND($B901=[1]rogério!$A902,[1]rogério!$B902=K$4),"ok","nok")</f>
        <v>nok</v>
      </c>
      <c r="L901" s="60" t="str">
        <f>IF(AND($B901=[1]rogério!$A902,[1]rogério!$B902=L$4),"ok","nok")</f>
        <v>nok</v>
      </c>
      <c r="M901" s="60" t="str">
        <f>IF(AND($B901=[1]rogério!$A902,[1]rogério!$B902=M$4),"ok","nok")</f>
        <v>nok</v>
      </c>
      <c r="N901" s="60" t="str">
        <f>IF(AND($B901=[1]rogério!$A902,[1]rogério!$B902=N$4),"ok","nok")</f>
        <v>nok</v>
      </c>
      <c r="O901" s="60" t="str">
        <f>IF(AND($B901=[1]rogério!$A902,[1]rogério!$B902=O$4),"ok","nok")</f>
        <v>nok</v>
      </c>
      <c r="P901" s="60" t="str">
        <f>IF(AND($B901=[1]rogério!$A902,[1]rogério!$B902=P$4),"ok","nok")</f>
        <v>nok</v>
      </c>
      <c r="Q901" s="60" t="str">
        <f>IF(AND($B901=[1]rogério!$A902,[1]rogério!$B902=Q$4),"ok","nok")</f>
        <v>nok</v>
      </c>
      <c r="R901" s="60" t="str">
        <f>IF(AND($B901=[1]rogério!$A902,[1]rogério!$B902=R$4),"ok","nok")</f>
        <v>nok</v>
      </c>
      <c r="S901" s="60" t="str">
        <f>IF(AND($B901=[1]rogério!$A902,[1]rogério!$B902=S$4),"ok","nok")</f>
        <v>nok</v>
      </c>
      <c r="T901" s="60" t="str">
        <f>IF(AND($B901=[1]rogério!$A902,[1]rogério!$B902=T$4),"ok","nok")</f>
        <v>nok</v>
      </c>
      <c r="U901" s="60" t="str">
        <f>IF(AND($B901=[1]rogério!$A902,[1]rogério!$B902=U$4),"ok","nok")</f>
        <v>ok</v>
      </c>
      <c r="V901" s="60" t="str">
        <f>IF(AND($B901=[1]rogério!$A902,[1]rogério!$B902=V$4),"ok","nok")</f>
        <v>nok</v>
      </c>
      <c r="W901" s="60" t="str">
        <f>IF(AND($B901=[1]rogério!$A902,[1]rogério!$B902=W$4),"ok","nok")</f>
        <v>nok</v>
      </c>
      <c r="X901" s="60" t="str">
        <f>IF(AND($B901=[1]rogério!$A902,[1]rogério!$B902=X$4),"ok","nok")</f>
        <v>nok</v>
      </c>
      <c r="Y901" s="105" t="s">
        <v>15</v>
      </c>
      <c r="Z901" s="106"/>
      <c r="AA901" s="106"/>
      <c r="AB901" s="107"/>
      <c r="AE901" s="48" t="str">
        <f t="shared" si="217"/>
        <v/>
      </c>
      <c r="AF901" s="48"/>
      <c r="AG901" s="48"/>
      <c r="AH901" s="89"/>
      <c r="AI901" s="49">
        <f t="shared" si="218"/>
        <v>0</v>
      </c>
      <c r="AJ901" s="49" t="str">
        <f t="shared" si="219"/>
        <v/>
      </c>
      <c r="AK901" s="49">
        <f t="shared" si="220"/>
        <v>0</v>
      </c>
      <c r="AL901" s="49" t="str">
        <f t="shared" si="221"/>
        <v/>
      </c>
      <c r="AM901" s="49">
        <f t="shared" si="222"/>
        <v>0</v>
      </c>
      <c r="AN901" s="49" t="str">
        <f t="shared" si="223"/>
        <v/>
      </c>
      <c r="AO901" s="49">
        <f t="shared" si="224"/>
        <v>1</v>
      </c>
      <c r="AP901" s="49" t="str">
        <f t="shared" si="225"/>
        <v/>
      </c>
      <c r="AQ901" s="49">
        <f t="shared" si="226"/>
        <v>0</v>
      </c>
      <c r="AR901" s="49" t="str">
        <f t="shared" si="227"/>
        <v/>
      </c>
    </row>
    <row r="902" spans="1:44" ht="30" customHeight="1" x14ac:dyDescent="0.35">
      <c r="A902" s="25" t="str">
        <f t="shared" si="216"/>
        <v>PT178 - ESTRUTURA METÁLICA E FUNDAÇÃO - PLATAFORMAS DE ACESSO LIFT LINE SPIDER - BÁSICO
ETAPA DE ESCRITÓRIOPROJETO BÁSICO
CIVIL</v>
      </c>
      <c r="B902" s="38" t="s">
        <v>74</v>
      </c>
      <c r="C902" s="60" t="str">
        <f>IF(AND($B902=[1]rogério!$A903,[1]rogério!$B903=C$4),"ok","nok")</f>
        <v>nok</v>
      </c>
      <c r="D902" s="60" t="str">
        <f>IF(AND($B902=[1]rogério!$A903,[1]rogério!$B903=D$4),"ok","nok")</f>
        <v>nok</v>
      </c>
      <c r="E902" s="60" t="str">
        <f>IF(AND($B902=[1]rogério!$A903,[1]rogério!$B903=E$4),"ok","nok")</f>
        <v>nok</v>
      </c>
      <c r="F902" s="60" t="str">
        <f>IF(AND($B902=[1]rogério!$A903,[1]rogério!$B903=F$4),"ok","nok")</f>
        <v>nok</v>
      </c>
      <c r="G902" s="60" t="str">
        <f>IF(AND($B902=[1]rogério!$A903,[1]rogério!$B903=G$4),"ok","nok")</f>
        <v>nok</v>
      </c>
      <c r="H902" s="60" t="str">
        <f>IF(AND($B902=[1]rogério!$A903,[1]rogério!$B903=H$4),"ok","nok")</f>
        <v>nok</v>
      </c>
      <c r="I902" s="60" t="str">
        <f>IF(AND($B902=[1]rogério!$A903,[1]rogério!$B903=I$4),"ok","nok")</f>
        <v>nok</v>
      </c>
      <c r="J902" s="60" t="str">
        <f>IF(AND($B902=[1]rogério!$A903,[1]rogério!$B903=J$4),"ok","nok")</f>
        <v>nok</v>
      </c>
      <c r="K902" s="60" t="str">
        <f>IF(AND($B902=[1]rogério!$A903,[1]rogério!$B903=K$4),"ok","nok")</f>
        <v>nok</v>
      </c>
      <c r="L902" s="60" t="str">
        <f>IF(AND($B902=[1]rogério!$A903,[1]rogério!$B903=L$4),"ok","nok")</f>
        <v>nok</v>
      </c>
      <c r="M902" s="60" t="str">
        <f>IF(AND($B902=[1]rogério!$A903,[1]rogério!$B903=M$4),"ok","nok")</f>
        <v>ok</v>
      </c>
      <c r="N902" s="60" t="str">
        <f>IF(AND($B902=[1]rogério!$A903,[1]rogério!$B903=N$4),"ok","nok")</f>
        <v>nok</v>
      </c>
      <c r="O902" s="60" t="str">
        <f>IF(AND($B902=[1]rogério!$A903,[1]rogério!$B903=O$4),"ok","nok")</f>
        <v>nok</v>
      </c>
      <c r="P902" s="60" t="str">
        <f>IF(AND($B902=[1]rogério!$A903,[1]rogério!$B903=P$4),"ok","nok")</f>
        <v>nok</v>
      </c>
      <c r="Q902" s="60" t="str">
        <f>IF(AND($B902=[1]rogério!$A903,[1]rogério!$B903=Q$4),"ok","nok")</f>
        <v>nok</v>
      </c>
      <c r="R902" s="60" t="str">
        <f>IF(AND($B902=[1]rogério!$A903,[1]rogério!$B903=R$4),"ok","nok")</f>
        <v>nok</v>
      </c>
      <c r="S902" s="60" t="str">
        <f>IF(AND($B902=[1]rogério!$A903,[1]rogério!$B903=S$4),"ok","nok")</f>
        <v>nok</v>
      </c>
      <c r="T902" s="60" t="str">
        <f>IF(AND($B902=[1]rogério!$A903,[1]rogério!$B903=T$4),"ok","nok")</f>
        <v>nok</v>
      </c>
      <c r="U902" s="60" t="str">
        <f>IF(AND($B902=[1]rogério!$A903,[1]rogério!$B903=U$4),"ok","nok")</f>
        <v>nok</v>
      </c>
      <c r="V902" s="60" t="str">
        <f>IF(AND($B902=[1]rogério!$A903,[1]rogério!$B903=V$4),"ok","nok")</f>
        <v>nok</v>
      </c>
      <c r="W902" s="60" t="str">
        <f>IF(AND($B902=[1]rogério!$A903,[1]rogério!$B903=W$4),"ok","nok")</f>
        <v>nok</v>
      </c>
      <c r="X902" s="60" t="str">
        <f>IF(AND($B902=[1]rogério!$A903,[1]rogério!$B903=X$4),"ok","nok")</f>
        <v>nok</v>
      </c>
      <c r="Y902" s="105" t="s">
        <v>15</v>
      </c>
      <c r="Z902" s="106"/>
      <c r="AA902" s="106"/>
      <c r="AB902" s="107"/>
      <c r="AE902" s="48" t="str">
        <f t="shared" si="217"/>
        <v/>
      </c>
      <c r="AF902" s="48"/>
      <c r="AG902" s="48"/>
      <c r="AH902" s="89"/>
      <c r="AI902" s="49">
        <f t="shared" si="218"/>
        <v>0</v>
      </c>
      <c r="AJ902" s="49" t="str">
        <f t="shared" si="219"/>
        <v/>
      </c>
      <c r="AK902" s="49">
        <f t="shared" si="220"/>
        <v>0</v>
      </c>
      <c r="AL902" s="49" t="str">
        <f t="shared" si="221"/>
        <v/>
      </c>
      <c r="AM902" s="49">
        <f t="shared" si="222"/>
        <v>1</v>
      </c>
      <c r="AN902" s="49" t="str">
        <f t="shared" si="223"/>
        <v/>
      </c>
      <c r="AO902" s="49">
        <f t="shared" si="224"/>
        <v>0</v>
      </c>
      <c r="AP902" s="49" t="str">
        <f t="shared" si="225"/>
        <v/>
      </c>
      <c r="AQ902" s="49">
        <f t="shared" si="226"/>
        <v>0</v>
      </c>
      <c r="AR902" s="49" t="str">
        <f t="shared" si="227"/>
        <v/>
      </c>
    </row>
    <row r="903" spans="1:44" ht="30" customHeight="1" x14ac:dyDescent="0.35">
      <c r="A903" s="25" t="str">
        <f t="shared" si="216"/>
        <v>PT178 - ESTRUTURA METÁLICA E FUNDAÇÃO - PLATAFORMAS DE ACESSO LIFT LINE SPIDER - BÁSICO
ETAPA DE ESCRITÓRIOPROJETO BÁSICO
CIVIL</v>
      </c>
      <c r="B903" s="38" t="s">
        <v>75</v>
      </c>
      <c r="C903" s="60" t="str">
        <f>IF(AND($B903=[1]rogério!$A904,[1]rogério!$B904=C$4),"ok","nok")</f>
        <v>nok</v>
      </c>
      <c r="D903" s="60" t="str">
        <f>IF(AND($B903=[1]rogério!$A904,[1]rogério!$B904=D$4),"ok","nok")</f>
        <v>nok</v>
      </c>
      <c r="E903" s="60" t="str">
        <f>IF(AND($B903=[1]rogério!$A904,[1]rogério!$B904=E$4),"ok","nok")</f>
        <v>nok</v>
      </c>
      <c r="F903" s="60" t="str">
        <f>IF(AND($B903=[1]rogério!$A904,[1]rogério!$B904=F$4),"ok","nok")</f>
        <v>nok</v>
      </c>
      <c r="G903" s="60" t="str">
        <f>IF(AND($B903=[1]rogério!$A904,[1]rogério!$B904=G$4),"ok","nok")</f>
        <v>nok</v>
      </c>
      <c r="H903" s="60" t="str">
        <f>IF(AND($B903=[1]rogério!$A904,[1]rogério!$B904=H$4),"ok","nok")</f>
        <v>nok</v>
      </c>
      <c r="I903" s="60" t="str">
        <f>IF(AND($B903=[1]rogério!$A904,[1]rogério!$B904=I$4),"ok","nok")</f>
        <v>nok</v>
      </c>
      <c r="J903" s="60" t="str">
        <f>IF(AND($B903=[1]rogério!$A904,[1]rogério!$B904=J$4),"ok","nok")</f>
        <v>nok</v>
      </c>
      <c r="K903" s="60" t="str">
        <f>IF(AND($B903=[1]rogério!$A904,[1]rogério!$B904=K$4),"ok","nok")</f>
        <v>nok</v>
      </c>
      <c r="L903" s="60" t="str">
        <f>IF(AND($B903=[1]rogério!$A904,[1]rogério!$B904=L$4),"ok","nok")</f>
        <v>nok</v>
      </c>
      <c r="M903" s="60" t="str">
        <f>IF(AND($B903=[1]rogério!$A904,[1]rogério!$B904=M$4),"ok","nok")</f>
        <v>nok</v>
      </c>
      <c r="N903" s="60" t="str">
        <f>IF(AND($B903=[1]rogério!$A904,[1]rogério!$B904=N$4),"ok","nok")</f>
        <v>ok</v>
      </c>
      <c r="O903" s="60" t="str">
        <f>IF(AND($B903=[1]rogério!$A904,[1]rogério!$B904=O$4),"ok","nok")</f>
        <v>nok</v>
      </c>
      <c r="P903" s="60" t="str">
        <f>IF(AND($B903=[1]rogério!$A904,[1]rogério!$B904=P$4),"ok","nok")</f>
        <v>nok</v>
      </c>
      <c r="Q903" s="60" t="str">
        <f>IF(AND($B903=[1]rogério!$A904,[1]rogério!$B904=Q$4),"ok","nok")</f>
        <v>nok</v>
      </c>
      <c r="R903" s="60" t="str">
        <f>IF(AND($B903=[1]rogério!$A904,[1]rogério!$B904=R$4),"ok","nok")</f>
        <v>nok</v>
      </c>
      <c r="S903" s="60" t="str">
        <f>IF(AND($B903=[1]rogério!$A904,[1]rogério!$B904=S$4),"ok","nok")</f>
        <v>nok</v>
      </c>
      <c r="T903" s="60" t="str">
        <f>IF(AND($B903=[1]rogério!$A904,[1]rogério!$B904=T$4),"ok","nok")</f>
        <v>nok</v>
      </c>
      <c r="U903" s="60" t="str">
        <f>IF(AND($B903=[1]rogério!$A904,[1]rogério!$B904=U$4),"ok","nok")</f>
        <v>nok</v>
      </c>
      <c r="V903" s="60" t="str">
        <f>IF(AND($B903=[1]rogério!$A904,[1]rogério!$B904=V$4),"ok","nok")</f>
        <v>nok</v>
      </c>
      <c r="W903" s="60" t="str">
        <f>IF(AND($B903=[1]rogério!$A904,[1]rogério!$B904=W$4),"ok","nok")</f>
        <v>nok</v>
      </c>
      <c r="X903" s="60" t="str">
        <f>IF(AND($B903=[1]rogério!$A904,[1]rogério!$B904=X$4),"ok","nok")</f>
        <v>nok</v>
      </c>
      <c r="Y903" s="105" t="s">
        <v>15</v>
      </c>
      <c r="Z903" s="106"/>
      <c r="AA903" s="106"/>
      <c r="AB903" s="107"/>
      <c r="AE903" s="48" t="str">
        <f t="shared" si="217"/>
        <v/>
      </c>
      <c r="AF903" s="48"/>
      <c r="AG903" s="48"/>
      <c r="AH903" s="89"/>
      <c r="AI903" s="49">
        <f t="shared" si="218"/>
        <v>0</v>
      </c>
      <c r="AJ903" s="49" t="str">
        <f t="shared" si="219"/>
        <v/>
      </c>
      <c r="AK903" s="49">
        <f t="shared" si="220"/>
        <v>0</v>
      </c>
      <c r="AL903" s="49" t="str">
        <f t="shared" si="221"/>
        <v/>
      </c>
      <c r="AM903" s="49">
        <f t="shared" si="222"/>
        <v>1</v>
      </c>
      <c r="AN903" s="49" t="str">
        <f t="shared" si="223"/>
        <v/>
      </c>
      <c r="AO903" s="49">
        <f t="shared" si="224"/>
        <v>0</v>
      </c>
      <c r="AP903" s="49" t="str">
        <f t="shared" si="225"/>
        <v/>
      </c>
      <c r="AQ903" s="49">
        <f t="shared" si="226"/>
        <v>0</v>
      </c>
      <c r="AR903" s="49" t="str">
        <f t="shared" si="227"/>
        <v/>
      </c>
    </row>
    <row r="904" spans="1:44" ht="30" customHeight="1" x14ac:dyDescent="0.35">
      <c r="A904" s="25"/>
      <c r="B904" s="39" t="s">
        <v>62</v>
      </c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108"/>
      <c r="Z904" s="109"/>
      <c r="AA904" s="109"/>
      <c r="AB904" s="110"/>
      <c r="AE904" s="48" t="str">
        <f t="shared" si="217"/>
        <v/>
      </c>
      <c r="AF904" s="48"/>
      <c r="AG904" s="48"/>
      <c r="AH904" s="89"/>
      <c r="AI904" s="49">
        <f t="shared" si="218"/>
        <v>0</v>
      </c>
      <c r="AJ904" s="49" t="str">
        <f t="shared" si="219"/>
        <v/>
      </c>
      <c r="AK904" s="49">
        <f t="shared" si="220"/>
        <v>0</v>
      </c>
      <c r="AL904" s="49" t="str">
        <f t="shared" si="221"/>
        <v/>
      </c>
      <c r="AM904" s="49">
        <f t="shared" si="222"/>
        <v>0</v>
      </c>
      <c r="AN904" s="49" t="str">
        <f t="shared" si="223"/>
        <v/>
      </c>
      <c r="AO904" s="49">
        <f t="shared" si="224"/>
        <v>0</v>
      </c>
      <c r="AP904" s="49" t="str">
        <f t="shared" si="225"/>
        <v/>
      </c>
      <c r="AQ904" s="49">
        <f t="shared" si="226"/>
        <v>0</v>
      </c>
      <c r="AR904" s="49" t="str">
        <f t="shared" si="227"/>
        <v/>
      </c>
    </row>
    <row r="905" spans="1:44" ht="30" customHeight="1" x14ac:dyDescent="0.35">
      <c r="A905" s="25" t="str">
        <f t="shared" si="216"/>
        <v>PT178 - ESTRUTURA METÁLICA E FUNDAÇÃO - PLATAFORMAS DE ACESSO LIFT LINE SPIDER - BÁSICO
ETAPA DE ESCRITÓRIOPROJETO BÁSICO
CIVIL</v>
      </c>
      <c r="B905" s="38" t="s">
        <v>49</v>
      </c>
      <c r="C905" s="60" t="str">
        <f>IF(AND($B905=[1]rogério!$A906,[1]rogério!$B906=C$4),"ok","nok")</f>
        <v>nok</v>
      </c>
      <c r="D905" s="60" t="str">
        <f>IF(AND($B905=[1]rogério!$A906,[1]rogério!$B906=D$4),"ok","nok")</f>
        <v>nok</v>
      </c>
      <c r="E905" s="60" t="str">
        <f>IF(AND($B905=[1]rogério!$A906,[1]rogério!$B906=E$4),"ok","nok")</f>
        <v>nok</v>
      </c>
      <c r="F905" s="60" t="str">
        <f>IF(AND($B905=[1]rogério!$A906,[1]rogério!$B906=F$4),"ok","nok")</f>
        <v>nok</v>
      </c>
      <c r="G905" s="60" t="str">
        <f>IF(AND($B905=[1]rogério!$A906,[1]rogério!$B906=G$4),"ok","nok")</f>
        <v>nok</v>
      </c>
      <c r="H905" s="60" t="str">
        <f>IF(AND($B905=[1]rogério!$A906,[1]rogério!$B906=H$4),"ok","nok")</f>
        <v>nok</v>
      </c>
      <c r="I905" s="60" t="str">
        <f>IF(AND($B905=[1]rogério!$A906,[1]rogério!$B906=I$4),"ok","nok")</f>
        <v>nok</v>
      </c>
      <c r="J905" s="60" t="str">
        <f>IF(AND($B905=[1]rogério!$A906,[1]rogério!$B906=J$4),"ok","nok")</f>
        <v>nok</v>
      </c>
      <c r="K905" s="60" t="str">
        <f>IF(AND($B905=[1]rogério!$A906,[1]rogério!$B906=K$4),"ok","nok")</f>
        <v>nok</v>
      </c>
      <c r="L905" s="60" t="str">
        <f>IF(AND($B905=[1]rogério!$A906,[1]rogério!$B906=L$4),"ok","nok")</f>
        <v>nok</v>
      </c>
      <c r="M905" s="60" t="str">
        <f>IF(AND($B905=[1]rogério!$A906,[1]rogério!$B906=M$4),"ok","nok")</f>
        <v>nok</v>
      </c>
      <c r="N905" s="60" t="str">
        <f>IF(AND($B905=[1]rogério!$A906,[1]rogério!$B906=N$4),"ok","nok")</f>
        <v>ok</v>
      </c>
      <c r="O905" s="60" t="str">
        <f>IF(AND($B905=[1]rogério!$A906,[1]rogério!$B906=O$4),"ok","nok")</f>
        <v>nok</v>
      </c>
      <c r="P905" s="60" t="str">
        <f>IF(AND($B905=[1]rogério!$A906,[1]rogério!$B906=P$4),"ok","nok")</f>
        <v>nok</v>
      </c>
      <c r="Q905" s="60" t="str">
        <f>IF(AND($B905=[1]rogério!$A906,[1]rogério!$B906=Q$4),"ok","nok")</f>
        <v>nok</v>
      </c>
      <c r="R905" s="60" t="str">
        <f>IF(AND($B905=[1]rogério!$A906,[1]rogério!$B906=R$4),"ok","nok")</f>
        <v>nok</v>
      </c>
      <c r="S905" s="60" t="str">
        <f>IF(AND($B905=[1]rogério!$A906,[1]rogério!$B906=S$4),"ok","nok")</f>
        <v>nok</v>
      </c>
      <c r="T905" s="60" t="str">
        <f>IF(AND($B905=[1]rogério!$A906,[1]rogério!$B906=T$4),"ok","nok")</f>
        <v>nok</v>
      </c>
      <c r="U905" s="60" t="str">
        <f>IF(AND($B905=[1]rogério!$A906,[1]rogério!$B906=U$4),"ok","nok")</f>
        <v>nok</v>
      </c>
      <c r="V905" s="60" t="str">
        <f>IF(AND($B905=[1]rogério!$A906,[1]rogério!$B906=V$4),"ok","nok")</f>
        <v>nok</v>
      </c>
      <c r="W905" s="60" t="str">
        <f>IF(AND($B905=[1]rogério!$A906,[1]rogério!$B906=W$4),"ok","nok")</f>
        <v>nok</v>
      </c>
      <c r="X905" s="60" t="str">
        <f>IF(AND($B905=[1]rogério!$A906,[1]rogério!$B906=X$4),"ok","nok")</f>
        <v>nok</v>
      </c>
      <c r="Y905" s="105" t="s">
        <v>15</v>
      </c>
      <c r="Z905" s="106"/>
      <c r="AA905" s="106"/>
      <c r="AB905" s="107"/>
      <c r="AE905" s="48" t="str">
        <f t="shared" si="217"/>
        <v/>
      </c>
      <c r="AF905" s="48"/>
      <c r="AG905" s="48"/>
      <c r="AH905" s="89"/>
      <c r="AI905" s="49">
        <f t="shared" si="218"/>
        <v>0</v>
      </c>
      <c r="AJ905" s="49" t="str">
        <f t="shared" si="219"/>
        <v/>
      </c>
      <c r="AK905" s="49">
        <f t="shared" si="220"/>
        <v>0</v>
      </c>
      <c r="AL905" s="49" t="str">
        <f t="shared" si="221"/>
        <v/>
      </c>
      <c r="AM905" s="49">
        <f t="shared" si="222"/>
        <v>1</v>
      </c>
      <c r="AN905" s="49" t="str">
        <f t="shared" si="223"/>
        <v/>
      </c>
      <c r="AO905" s="49">
        <f t="shared" si="224"/>
        <v>0</v>
      </c>
      <c r="AP905" s="49" t="str">
        <f t="shared" si="225"/>
        <v/>
      </c>
      <c r="AQ905" s="49">
        <f t="shared" si="226"/>
        <v>0</v>
      </c>
      <c r="AR905" s="49" t="str">
        <f t="shared" si="227"/>
        <v/>
      </c>
    </row>
    <row r="906" spans="1:44" ht="30" customHeight="1" x14ac:dyDescent="0.35">
      <c r="A906" s="25" t="str">
        <f t="shared" si="216"/>
        <v>PT178 - ESTRUTURA METÁLICA E FUNDAÇÃO - PLATAFORMAS DE ACESSO LIFT LINE SPIDER - BÁSICO
ETAPA DE ESCRITÓRIOPROJETO BÁSICO
CIVIL</v>
      </c>
      <c r="B906" s="38" t="s">
        <v>19</v>
      </c>
      <c r="C906" s="60" t="str">
        <f>IF(AND($B906=[1]rogério!$A907,[1]rogério!$B907=C$4),"ok","nok")</f>
        <v>nok</v>
      </c>
      <c r="D906" s="60" t="str">
        <f>IF(AND($B906=[1]rogério!$A907,[1]rogério!$B907=D$4),"ok","nok")</f>
        <v>nok</v>
      </c>
      <c r="E906" s="60" t="str">
        <f>IF(AND($B906=[1]rogério!$A907,[1]rogério!$B907=E$4),"ok","nok")</f>
        <v>nok</v>
      </c>
      <c r="F906" s="60" t="str">
        <f>IF(AND($B906=[1]rogério!$A907,[1]rogério!$B907=F$4),"ok","nok")</f>
        <v>nok</v>
      </c>
      <c r="G906" s="60" t="str">
        <f>IF(AND($B906=[1]rogério!$A907,[1]rogério!$B907=G$4),"ok","nok")</f>
        <v>nok</v>
      </c>
      <c r="H906" s="60" t="str">
        <f>IF(AND($B906=[1]rogério!$A907,[1]rogério!$B907=H$4),"ok","nok")</f>
        <v>nok</v>
      </c>
      <c r="I906" s="60" t="str">
        <f>IF(AND($B906=[1]rogério!$A907,[1]rogério!$B907=I$4),"ok","nok")</f>
        <v>nok</v>
      </c>
      <c r="J906" s="60" t="str">
        <f>IF(AND($B906=[1]rogério!$A907,[1]rogério!$B907=J$4),"ok","nok")</f>
        <v>nok</v>
      </c>
      <c r="K906" s="60" t="str">
        <f>IF(AND($B906=[1]rogério!$A907,[1]rogério!$B907=K$4),"ok","nok")</f>
        <v>nok</v>
      </c>
      <c r="L906" s="60" t="str">
        <f>IF(AND($B906=[1]rogério!$A907,[1]rogério!$B907=L$4),"ok","nok")</f>
        <v>nok</v>
      </c>
      <c r="M906" s="60" t="str">
        <f>IF(AND($B906=[1]rogério!$A907,[1]rogério!$B907=M$4),"ok","nok")</f>
        <v>nok</v>
      </c>
      <c r="N906" s="60" t="str">
        <f>IF(AND($B906=[1]rogério!$A907,[1]rogério!$B907=N$4),"ok","nok")</f>
        <v>nok</v>
      </c>
      <c r="O906" s="60" t="str">
        <f>IF(AND($B906=[1]rogério!$A907,[1]rogério!$B907=O$4),"ok","nok")</f>
        <v>nok</v>
      </c>
      <c r="P906" s="60" t="str">
        <f>IF(AND($B906=[1]rogério!$A907,[1]rogério!$B907=P$4),"ok","nok")</f>
        <v>nok</v>
      </c>
      <c r="Q906" s="60" t="str">
        <f>IF(AND($B906=[1]rogério!$A907,[1]rogério!$B907=Q$4),"ok","nok")</f>
        <v>nok</v>
      </c>
      <c r="R906" s="60" t="str">
        <f>IF(AND($B906=[1]rogério!$A907,[1]rogério!$B907=R$4),"ok","nok")</f>
        <v>nok</v>
      </c>
      <c r="S906" s="60" t="str">
        <f>IF(AND($B906=[1]rogério!$A907,[1]rogério!$B907=S$4),"ok","nok")</f>
        <v>ok</v>
      </c>
      <c r="T906" s="60" t="str">
        <f>IF(AND($B906=[1]rogério!$A907,[1]rogério!$B907=T$4),"ok","nok")</f>
        <v>nok</v>
      </c>
      <c r="U906" s="60" t="str">
        <f>IF(AND($B906=[1]rogério!$A907,[1]rogério!$B907=U$4),"ok","nok")</f>
        <v>nok</v>
      </c>
      <c r="V906" s="60" t="str">
        <f>IF(AND($B906=[1]rogério!$A907,[1]rogério!$B907=V$4),"ok","nok")</f>
        <v>nok</v>
      </c>
      <c r="W906" s="60" t="str">
        <f>IF(AND($B906=[1]rogério!$A907,[1]rogério!$B907=W$4),"ok","nok")</f>
        <v>nok</v>
      </c>
      <c r="X906" s="60" t="str">
        <f>IF(AND($B906=[1]rogério!$A907,[1]rogério!$B907=X$4),"ok","nok")</f>
        <v>nok</v>
      </c>
      <c r="Y906" s="105" t="s">
        <v>15</v>
      </c>
      <c r="Z906" s="106"/>
      <c r="AA906" s="106"/>
      <c r="AB906" s="107"/>
      <c r="AE906" s="48" t="str">
        <f t="shared" si="217"/>
        <v/>
      </c>
      <c r="AF906" s="48"/>
      <c r="AG906" s="48"/>
      <c r="AH906" s="89"/>
      <c r="AI906" s="49">
        <f t="shared" si="218"/>
        <v>0</v>
      </c>
      <c r="AJ906" s="49" t="str">
        <f t="shared" si="219"/>
        <v/>
      </c>
      <c r="AK906" s="49">
        <f t="shared" si="220"/>
        <v>0</v>
      </c>
      <c r="AL906" s="49" t="str">
        <f t="shared" si="221"/>
        <v/>
      </c>
      <c r="AM906" s="49">
        <f t="shared" si="222"/>
        <v>0</v>
      </c>
      <c r="AN906" s="49" t="str">
        <f t="shared" si="223"/>
        <v/>
      </c>
      <c r="AO906" s="49">
        <f t="shared" si="224"/>
        <v>1</v>
      </c>
      <c r="AP906" s="49" t="str">
        <f t="shared" si="225"/>
        <v/>
      </c>
      <c r="AQ906" s="49">
        <f t="shared" si="226"/>
        <v>0</v>
      </c>
      <c r="AR906" s="49" t="str">
        <f t="shared" si="227"/>
        <v/>
      </c>
    </row>
    <row r="907" spans="1:44" ht="30" customHeight="1" x14ac:dyDescent="0.35">
      <c r="A907" s="25" t="str">
        <f t="shared" si="216"/>
        <v>PT178 - ESTRUTURA METÁLICA E FUNDAÇÃO - PLATAFORMAS DE ACESSO LIFT LINE SPIDER - BÁSICO
ETAPA DE ESCRITÓRIOPROJETO BÁSICO
CIVIL</v>
      </c>
      <c r="B907" s="38" t="s">
        <v>42</v>
      </c>
      <c r="C907" s="60" t="str">
        <f>IF(AND($B907=[1]rogério!$A908,[1]rogério!$B908=C$4),"ok","nok")</f>
        <v>nok</v>
      </c>
      <c r="D907" s="60" t="str">
        <f>IF(AND($B907=[1]rogério!$A908,[1]rogério!$B908=D$4),"ok","nok")</f>
        <v>nok</v>
      </c>
      <c r="E907" s="60" t="str">
        <f>IF(AND($B907=[1]rogério!$A908,[1]rogério!$B908=E$4),"ok","nok")</f>
        <v>nok</v>
      </c>
      <c r="F907" s="60" t="str">
        <f>IF(AND($B907=[1]rogério!$A908,[1]rogério!$B908=F$4),"ok","nok")</f>
        <v>nok</v>
      </c>
      <c r="G907" s="60" t="str">
        <f>IF(AND($B907=[1]rogério!$A908,[1]rogério!$B908=G$4),"ok","nok")</f>
        <v>nok</v>
      </c>
      <c r="H907" s="60" t="str">
        <f>IF(AND($B907=[1]rogério!$A908,[1]rogério!$B908=H$4),"ok","nok")</f>
        <v>nok</v>
      </c>
      <c r="I907" s="60" t="str">
        <f>IF(AND($B907=[1]rogério!$A908,[1]rogério!$B908=I$4),"ok","nok")</f>
        <v>nok</v>
      </c>
      <c r="J907" s="60" t="str">
        <f>IF(AND($B907=[1]rogério!$A908,[1]rogério!$B908=J$4),"ok","nok")</f>
        <v>nok</v>
      </c>
      <c r="K907" s="60" t="str">
        <f>IF(AND($B907=[1]rogério!$A908,[1]rogério!$B908=K$4),"ok","nok")</f>
        <v>nok</v>
      </c>
      <c r="L907" s="60" t="str">
        <f>IF(AND($B907=[1]rogério!$A908,[1]rogério!$B908=L$4),"ok","nok")</f>
        <v>nok</v>
      </c>
      <c r="M907" s="60" t="str">
        <f>IF(AND($B907=[1]rogério!$A908,[1]rogério!$B908=M$4),"ok","nok")</f>
        <v>nok</v>
      </c>
      <c r="N907" s="60" t="str">
        <f>IF(AND($B907=[1]rogério!$A908,[1]rogério!$B908=N$4),"ok","nok")</f>
        <v>nok</v>
      </c>
      <c r="O907" s="60" t="str">
        <f>IF(AND($B907=[1]rogério!$A908,[1]rogério!$B908=O$4),"ok","nok")</f>
        <v>nok</v>
      </c>
      <c r="P907" s="60" t="str">
        <f>IF(AND($B907=[1]rogério!$A908,[1]rogério!$B908=P$4),"ok","nok")</f>
        <v>nok</v>
      </c>
      <c r="Q907" s="60" t="str">
        <f>IF(AND($B907=[1]rogério!$A908,[1]rogério!$B908=Q$4),"ok","nok")</f>
        <v>nok</v>
      </c>
      <c r="R907" s="60" t="str">
        <f>IF(AND($B907=[1]rogério!$A908,[1]rogério!$B908=R$4),"ok","nok")</f>
        <v>nok</v>
      </c>
      <c r="S907" s="60" t="str">
        <f>IF(AND($B907=[1]rogério!$A908,[1]rogério!$B908=S$4),"ok","nok")</f>
        <v>nok</v>
      </c>
      <c r="T907" s="60" t="str">
        <f>IF(AND($B907=[1]rogério!$A908,[1]rogério!$B908=T$4),"ok","nok")</f>
        <v>nok</v>
      </c>
      <c r="U907" s="60" t="str">
        <f>IF(AND($B907=[1]rogério!$A908,[1]rogério!$B908=U$4),"ok","nok")</f>
        <v>nok</v>
      </c>
      <c r="V907" s="60" t="str">
        <f>IF(AND($B907=[1]rogério!$A908,[1]rogério!$B908=V$4),"ok","nok")</f>
        <v>ok</v>
      </c>
      <c r="W907" s="60" t="str">
        <f>IF(AND($B907=[1]rogério!$A908,[1]rogério!$B908=W$4),"ok","nok")</f>
        <v>nok</v>
      </c>
      <c r="X907" s="60" t="str">
        <f>IF(AND($B907=[1]rogério!$A908,[1]rogério!$B908=X$4),"ok","nok")</f>
        <v>nok</v>
      </c>
      <c r="Y907" s="105" t="s">
        <v>15</v>
      </c>
      <c r="Z907" s="106"/>
      <c r="AA907" s="106"/>
      <c r="AB907" s="107"/>
      <c r="AE907" s="48" t="str">
        <f t="shared" si="217"/>
        <v/>
      </c>
      <c r="AF907" s="48"/>
      <c r="AG907" s="48"/>
      <c r="AH907" s="89"/>
      <c r="AI907" s="49">
        <f t="shared" si="218"/>
        <v>0</v>
      </c>
      <c r="AJ907" s="49" t="str">
        <f t="shared" si="219"/>
        <v/>
      </c>
      <c r="AK907" s="49">
        <f t="shared" si="220"/>
        <v>0</v>
      </c>
      <c r="AL907" s="49" t="str">
        <f t="shared" si="221"/>
        <v/>
      </c>
      <c r="AM907" s="49">
        <f t="shared" si="222"/>
        <v>0</v>
      </c>
      <c r="AN907" s="49" t="str">
        <f t="shared" si="223"/>
        <v/>
      </c>
      <c r="AO907" s="49">
        <f t="shared" si="224"/>
        <v>1</v>
      </c>
      <c r="AP907" s="49" t="str">
        <f t="shared" si="225"/>
        <v/>
      </c>
      <c r="AQ907" s="49">
        <f t="shared" si="226"/>
        <v>0</v>
      </c>
      <c r="AR907" s="49" t="str">
        <f t="shared" si="227"/>
        <v/>
      </c>
    </row>
    <row r="908" spans="1:44" ht="30" customHeight="1" x14ac:dyDescent="0.35">
      <c r="A908" s="25" t="str">
        <f t="shared" si="216"/>
        <v>PT178 - ESTRUTURA METÁLICA E FUNDAÇÃO - PLATAFORMAS DE ACESSO LIFT LINE SPIDER - BÁSICO
ETAPA DE ESCRITÓRIOPROJETO BÁSICO
CIVIL</v>
      </c>
      <c r="B908" s="38" t="s">
        <v>43</v>
      </c>
      <c r="C908" s="60" t="str">
        <f>IF(AND($B908=[1]rogério!$A909,[1]rogério!$B909=C$4),"ok","nok")</f>
        <v>nok</v>
      </c>
      <c r="D908" s="60" t="str">
        <f>IF(AND($B908=[1]rogério!$A909,[1]rogério!$B909=D$4),"ok","nok")</f>
        <v>nok</v>
      </c>
      <c r="E908" s="60" t="str">
        <f>IF(AND($B908=[1]rogério!$A909,[1]rogério!$B909=E$4),"ok","nok")</f>
        <v>nok</v>
      </c>
      <c r="F908" s="60" t="str">
        <f>IF(AND($B908=[1]rogério!$A909,[1]rogério!$B909=F$4),"ok","nok")</f>
        <v>nok</v>
      </c>
      <c r="G908" s="60" t="str">
        <f>IF(AND($B908=[1]rogério!$A909,[1]rogério!$B909=G$4),"ok","nok")</f>
        <v>nok</v>
      </c>
      <c r="H908" s="60" t="str">
        <f>IF(AND($B908=[1]rogério!$A909,[1]rogério!$B909=H$4),"ok","nok")</f>
        <v>nok</v>
      </c>
      <c r="I908" s="60" t="str">
        <f>IF(AND($B908=[1]rogério!$A909,[1]rogério!$B909=I$4),"ok","nok")</f>
        <v>nok</v>
      </c>
      <c r="J908" s="60" t="str">
        <f>IF(AND($B908=[1]rogério!$A909,[1]rogério!$B909=J$4),"ok","nok")</f>
        <v>nok</v>
      </c>
      <c r="K908" s="60" t="str">
        <f>IF(AND($B908=[1]rogério!$A909,[1]rogério!$B909=K$4),"ok","nok")</f>
        <v>nok</v>
      </c>
      <c r="L908" s="60" t="str">
        <f>IF(AND($B908=[1]rogério!$A909,[1]rogério!$B909=L$4),"ok","nok")</f>
        <v>nok</v>
      </c>
      <c r="M908" s="60" t="str">
        <f>IF(AND($B908=[1]rogério!$A909,[1]rogério!$B909=M$4),"ok","nok")</f>
        <v>nok</v>
      </c>
      <c r="N908" s="60" t="str">
        <f>IF(AND($B908=[1]rogério!$A909,[1]rogério!$B909=N$4),"ok","nok")</f>
        <v>nok</v>
      </c>
      <c r="O908" s="60" t="str">
        <f>IF(AND($B908=[1]rogério!$A909,[1]rogério!$B909=O$4),"ok","nok")</f>
        <v>nok</v>
      </c>
      <c r="P908" s="60" t="str">
        <f>IF(AND($B908=[1]rogério!$A909,[1]rogério!$B909=P$4),"ok","nok")</f>
        <v>nok</v>
      </c>
      <c r="Q908" s="60" t="str">
        <f>IF(AND($B908=[1]rogério!$A909,[1]rogério!$B909=Q$4),"ok","nok")</f>
        <v>nok</v>
      </c>
      <c r="R908" s="60" t="str">
        <f>IF(AND($B908=[1]rogério!$A909,[1]rogério!$B909=R$4),"ok","nok")</f>
        <v>nok</v>
      </c>
      <c r="S908" s="60" t="str">
        <f>IF(AND($B908=[1]rogério!$A909,[1]rogério!$B909=S$4),"ok","nok")</f>
        <v>nok</v>
      </c>
      <c r="T908" s="60" t="str">
        <f>IF(AND($B908=[1]rogério!$A909,[1]rogério!$B909=T$4),"ok","nok")</f>
        <v>nok</v>
      </c>
      <c r="U908" s="60" t="str">
        <f>IF(AND($B908=[1]rogério!$A909,[1]rogério!$B909=U$4),"ok","nok")</f>
        <v>nok</v>
      </c>
      <c r="V908" s="60" t="str">
        <f>IF(AND($B908=[1]rogério!$A909,[1]rogério!$B909=V$4),"ok","nok")</f>
        <v>ok</v>
      </c>
      <c r="W908" s="60" t="str">
        <f>IF(AND($B908=[1]rogério!$A909,[1]rogério!$B909=W$4),"ok","nok")</f>
        <v>nok</v>
      </c>
      <c r="X908" s="60" t="str">
        <f>IF(AND($B908=[1]rogério!$A909,[1]rogério!$B909=X$4),"ok","nok")</f>
        <v>nok</v>
      </c>
      <c r="Y908" s="105" t="s">
        <v>15</v>
      </c>
      <c r="Z908" s="106"/>
      <c r="AA908" s="106"/>
      <c r="AB908" s="107"/>
      <c r="AE908" s="48" t="str">
        <f t="shared" si="217"/>
        <v/>
      </c>
      <c r="AF908" s="48"/>
      <c r="AG908" s="48"/>
      <c r="AH908" s="89"/>
      <c r="AI908" s="49">
        <f t="shared" si="218"/>
        <v>0</v>
      </c>
      <c r="AJ908" s="49" t="str">
        <f t="shared" si="219"/>
        <v/>
      </c>
      <c r="AK908" s="49">
        <f t="shared" si="220"/>
        <v>0</v>
      </c>
      <c r="AL908" s="49" t="str">
        <f t="shared" si="221"/>
        <v/>
      </c>
      <c r="AM908" s="49">
        <f t="shared" si="222"/>
        <v>0</v>
      </c>
      <c r="AN908" s="49" t="str">
        <f t="shared" si="223"/>
        <v/>
      </c>
      <c r="AO908" s="49">
        <f t="shared" si="224"/>
        <v>1</v>
      </c>
      <c r="AP908" s="49" t="str">
        <f t="shared" si="225"/>
        <v/>
      </c>
      <c r="AQ908" s="49">
        <f t="shared" si="226"/>
        <v>0</v>
      </c>
      <c r="AR908" s="49" t="str">
        <f t="shared" si="227"/>
        <v/>
      </c>
    </row>
    <row r="909" spans="1:44" ht="30" customHeight="1" x14ac:dyDescent="0.35">
      <c r="B909" s="36" t="s">
        <v>102</v>
      </c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123"/>
      <c r="Z909" s="124"/>
      <c r="AA909" s="124"/>
      <c r="AB909" s="125"/>
      <c r="AE909" s="48" t="str">
        <f t="shared" si="217"/>
        <v/>
      </c>
      <c r="AF909" s="48"/>
      <c r="AG909" s="48"/>
      <c r="AH909" s="89"/>
      <c r="AI909" s="49">
        <f t="shared" si="218"/>
        <v>0</v>
      </c>
      <c r="AJ909" s="49" t="str">
        <f t="shared" si="219"/>
        <v/>
      </c>
      <c r="AK909" s="49">
        <f t="shared" si="220"/>
        <v>0</v>
      </c>
      <c r="AL909" s="49" t="str">
        <f t="shared" si="221"/>
        <v/>
      </c>
      <c r="AM909" s="49">
        <f t="shared" si="222"/>
        <v>0</v>
      </c>
      <c r="AN909" s="49" t="str">
        <f t="shared" si="223"/>
        <v/>
      </c>
      <c r="AO909" s="49">
        <f t="shared" si="224"/>
        <v>0</v>
      </c>
      <c r="AP909" s="49" t="str">
        <f t="shared" si="225"/>
        <v/>
      </c>
      <c r="AQ909" s="49">
        <f t="shared" si="226"/>
        <v>0</v>
      </c>
      <c r="AR909" s="49" t="str">
        <f t="shared" si="227"/>
        <v/>
      </c>
    </row>
    <row r="910" spans="1:44" ht="30" customHeight="1" x14ac:dyDescent="0.35">
      <c r="B910" s="37" t="s">
        <v>52</v>
      </c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120"/>
      <c r="Z910" s="121"/>
      <c r="AA910" s="121"/>
      <c r="AB910" s="122"/>
      <c r="AE910" s="48" t="str">
        <f t="shared" si="217"/>
        <v/>
      </c>
      <c r="AF910" s="48"/>
      <c r="AG910" s="48"/>
      <c r="AH910" s="89"/>
      <c r="AI910" s="49">
        <f t="shared" si="218"/>
        <v>0</v>
      </c>
      <c r="AJ910" s="49" t="str">
        <f t="shared" si="219"/>
        <v/>
      </c>
      <c r="AK910" s="49">
        <f t="shared" si="220"/>
        <v>0</v>
      </c>
      <c r="AL910" s="49" t="str">
        <f t="shared" si="221"/>
        <v/>
      </c>
      <c r="AM910" s="49">
        <f t="shared" si="222"/>
        <v>0</v>
      </c>
      <c r="AN910" s="49" t="str">
        <f t="shared" si="223"/>
        <v/>
      </c>
      <c r="AO910" s="49">
        <f t="shared" si="224"/>
        <v>0</v>
      </c>
      <c r="AP910" s="49" t="str">
        <f t="shared" si="225"/>
        <v/>
      </c>
      <c r="AQ910" s="49">
        <f t="shared" si="226"/>
        <v>0</v>
      </c>
      <c r="AR910" s="49" t="str">
        <f t="shared" si="227"/>
        <v/>
      </c>
    </row>
    <row r="911" spans="1:44" ht="30" customHeight="1" x14ac:dyDescent="0.35">
      <c r="B911" s="41" t="s">
        <v>70</v>
      </c>
      <c r="C911" s="41"/>
      <c r="D911" s="41"/>
      <c r="E911" s="41"/>
      <c r="F911" s="41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171"/>
      <c r="Z911" s="172"/>
      <c r="AA911" s="172"/>
      <c r="AB911" s="173"/>
      <c r="AE911" s="48" t="str">
        <f t="shared" si="217"/>
        <v/>
      </c>
      <c r="AF911" s="48"/>
      <c r="AG911" s="48"/>
      <c r="AH911" s="89"/>
      <c r="AI911" s="49">
        <f t="shared" si="218"/>
        <v>0</v>
      </c>
      <c r="AJ911" s="49" t="str">
        <f t="shared" si="219"/>
        <v/>
      </c>
      <c r="AK911" s="49">
        <f t="shared" si="220"/>
        <v>0</v>
      </c>
      <c r="AL911" s="49" t="str">
        <f t="shared" si="221"/>
        <v/>
      </c>
      <c r="AM911" s="49">
        <f t="shared" si="222"/>
        <v>0</v>
      </c>
      <c r="AN911" s="49" t="str">
        <f t="shared" si="223"/>
        <v/>
      </c>
      <c r="AO911" s="49">
        <f t="shared" si="224"/>
        <v>0</v>
      </c>
      <c r="AP911" s="49" t="str">
        <f t="shared" si="225"/>
        <v/>
      </c>
      <c r="AQ911" s="49">
        <f t="shared" si="226"/>
        <v>0</v>
      </c>
      <c r="AR911" s="49" t="str">
        <f t="shared" si="227"/>
        <v/>
      </c>
    </row>
    <row r="912" spans="1:44" ht="30" customHeight="1" x14ac:dyDescent="0.35">
      <c r="B912" s="42" t="s">
        <v>58</v>
      </c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111"/>
      <c r="Z912" s="112"/>
      <c r="AA912" s="112"/>
      <c r="AB912" s="113"/>
      <c r="AE912" s="48" t="str">
        <f t="shared" si="217"/>
        <v/>
      </c>
      <c r="AF912" s="48"/>
      <c r="AG912" s="48"/>
      <c r="AH912" s="89"/>
      <c r="AI912" s="49">
        <f t="shared" si="218"/>
        <v>0</v>
      </c>
      <c r="AJ912" s="49" t="str">
        <f t="shared" si="219"/>
        <v/>
      </c>
      <c r="AK912" s="49">
        <f t="shared" si="220"/>
        <v>0</v>
      </c>
      <c r="AL912" s="49" t="str">
        <f t="shared" si="221"/>
        <v/>
      </c>
      <c r="AM912" s="49">
        <f t="shared" si="222"/>
        <v>0</v>
      </c>
      <c r="AN912" s="49" t="str">
        <f t="shared" si="223"/>
        <v/>
      </c>
      <c r="AO912" s="49">
        <f t="shared" si="224"/>
        <v>0</v>
      </c>
      <c r="AP912" s="49" t="str">
        <f t="shared" si="225"/>
        <v/>
      </c>
      <c r="AQ912" s="49">
        <f t="shared" si="226"/>
        <v>0</v>
      </c>
      <c r="AR912" s="49" t="str">
        <f t="shared" si="227"/>
        <v/>
      </c>
    </row>
    <row r="913" spans="1:44" ht="30" customHeight="1" x14ac:dyDescent="0.35">
      <c r="B913" s="39" t="s">
        <v>41</v>
      </c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108"/>
      <c r="Z913" s="109"/>
      <c r="AA913" s="109"/>
      <c r="AB913" s="110"/>
      <c r="AE913" s="48" t="str">
        <f t="shared" si="217"/>
        <v/>
      </c>
      <c r="AF913" s="48"/>
      <c r="AG913" s="48"/>
      <c r="AH913" s="89"/>
      <c r="AI913" s="49">
        <f t="shared" si="218"/>
        <v>0</v>
      </c>
      <c r="AJ913" s="49" t="str">
        <f t="shared" si="219"/>
        <v/>
      </c>
      <c r="AK913" s="49">
        <f t="shared" si="220"/>
        <v>0</v>
      </c>
      <c r="AL913" s="49" t="str">
        <f t="shared" si="221"/>
        <v/>
      </c>
      <c r="AM913" s="49">
        <f t="shared" si="222"/>
        <v>0</v>
      </c>
      <c r="AN913" s="49" t="str">
        <f t="shared" si="223"/>
        <v/>
      </c>
      <c r="AO913" s="49">
        <f t="shared" si="224"/>
        <v>0</v>
      </c>
      <c r="AP913" s="49" t="str">
        <f t="shared" si="225"/>
        <v/>
      </c>
      <c r="AQ913" s="49">
        <f t="shared" si="226"/>
        <v>0</v>
      </c>
      <c r="AR913" s="49" t="str">
        <f t="shared" si="227"/>
        <v/>
      </c>
    </row>
    <row r="914" spans="1:44" ht="30" customHeight="1" x14ac:dyDescent="0.35">
      <c r="A914" s="25" t="str">
        <f>CONCATENATE($B$909,"
",$B$910,"",$B$911,"
",$B$912)</f>
        <v>PT178 - ESTRUTURA METÁLICA E FUNDAÇÃO - PLATAFORMAS DE ACESSO LIFT LINE SPIDER - DETALHADO
ETAPA DE ESCRITÓRIOPROJETO DETALHADO
ESTRUTURAS METÁLICAS</v>
      </c>
      <c r="B914" s="38" t="s">
        <v>19</v>
      </c>
      <c r="C914" s="60" t="str">
        <f>IF(AND($B914=[1]rogério!$A915,[1]rogério!$B915=C$4),"ok","nok")</f>
        <v>nok</v>
      </c>
      <c r="D914" s="60" t="str">
        <f>IF(AND($B914=[1]rogério!$A915,[1]rogério!$B915=D$4),"ok","nok")</f>
        <v>nok</v>
      </c>
      <c r="E914" s="60" t="str">
        <f>IF(AND($B914=[1]rogério!$A915,[1]rogério!$B915=E$4),"ok","nok")</f>
        <v>nok</v>
      </c>
      <c r="F914" s="60" t="str">
        <f>IF(AND($B914=[1]rogério!$A915,[1]rogério!$B915=F$4),"ok","nok")</f>
        <v>nok</v>
      </c>
      <c r="G914" s="60" t="str">
        <f>IF(AND($B914=[1]rogério!$A915,[1]rogério!$B915=G$4),"ok","nok")</f>
        <v>nok</v>
      </c>
      <c r="H914" s="60" t="str">
        <f>IF(AND($B914=[1]rogério!$A915,[1]rogério!$B915=H$4),"ok","nok")</f>
        <v>nok</v>
      </c>
      <c r="I914" s="60" t="str">
        <f>IF(AND($B914=[1]rogério!$A915,[1]rogério!$B915=I$4),"ok","nok")</f>
        <v>ok</v>
      </c>
      <c r="J914" s="60" t="str">
        <f>IF(AND($B914=[1]rogério!$A915,[1]rogério!$B915=J$4),"ok","nok")</f>
        <v>nok</v>
      </c>
      <c r="K914" s="60" t="str">
        <f>IF(AND($B914=[1]rogério!$A915,[1]rogério!$B915=K$4),"ok","nok")</f>
        <v>nok</v>
      </c>
      <c r="L914" s="60" t="str">
        <f>IF(AND($B914=[1]rogério!$A915,[1]rogério!$B915=L$4),"ok","nok")</f>
        <v>nok</v>
      </c>
      <c r="M914" s="60" t="str">
        <f>IF(AND($B914=[1]rogério!$A915,[1]rogério!$B915=M$4),"ok","nok")</f>
        <v>nok</v>
      </c>
      <c r="N914" s="60" t="str">
        <f>IF(AND($B914=[1]rogério!$A915,[1]rogério!$B915=N$4),"ok","nok")</f>
        <v>nok</v>
      </c>
      <c r="O914" s="60" t="str">
        <f>IF(AND($B914=[1]rogério!$A915,[1]rogério!$B915=O$4),"ok","nok")</f>
        <v>nok</v>
      </c>
      <c r="P914" s="60" t="str">
        <f>IF(AND($B914=[1]rogério!$A915,[1]rogério!$B915=P$4),"ok","nok")</f>
        <v>nok</v>
      </c>
      <c r="Q914" s="60" t="str">
        <f>IF(AND($B914=[1]rogério!$A915,[1]rogério!$B915=Q$4),"ok","nok")</f>
        <v>nok</v>
      </c>
      <c r="R914" s="60" t="str">
        <f>IF(AND($B914=[1]rogério!$A915,[1]rogério!$B915=R$4),"ok","nok")</f>
        <v>nok</v>
      </c>
      <c r="S914" s="60" t="str">
        <f>IF(AND($B914=[1]rogério!$A915,[1]rogério!$B915=S$4),"ok","nok")</f>
        <v>nok</v>
      </c>
      <c r="T914" s="60" t="str">
        <f>IF(AND($B914=[1]rogério!$A915,[1]rogério!$B915=T$4),"ok","nok")</f>
        <v>nok</v>
      </c>
      <c r="U914" s="60" t="str">
        <f>IF(AND($B914=[1]rogério!$A915,[1]rogério!$B915=U$4),"ok","nok")</f>
        <v>nok</v>
      </c>
      <c r="V914" s="60" t="str">
        <f>IF(AND($B914=[1]rogério!$A915,[1]rogério!$B915=V$4),"ok","nok")</f>
        <v>nok</v>
      </c>
      <c r="W914" s="60" t="str">
        <f>IF(AND($B914=[1]rogério!$A915,[1]rogério!$B915=W$4),"ok","nok")</f>
        <v>nok</v>
      </c>
      <c r="X914" s="60" t="str">
        <f>IF(AND($B914=[1]rogério!$A915,[1]rogério!$B915=X$4),"ok","nok")</f>
        <v>nok</v>
      </c>
      <c r="Y914" s="105" t="s">
        <v>15</v>
      </c>
      <c r="Z914" s="106"/>
      <c r="AA914" s="106"/>
      <c r="AB914" s="107"/>
      <c r="AE914" s="48" t="str">
        <f t="shared" si="217"/>
        <v/>
      </c>
      <c r="AF914" s="48"/>
      <c r="AG914" s="48"/>
      <c r="AH914" s="89"/>
      <c r="AI914" s="49">
        <f t="shared" si="218"/>
        <v>0</v>
      </c>
      <c r="AJ914" s="49" t="str">
        <f t="shared" si="219"/>
        <v/>
      </c>
      <c r="AK914" s="49">
        <f t="shared" si="220"/>
        <v>1</v>
      </c>
      <c r="AL914" s="49" t="str">
        <f t="shared" si="221"/>
        <v/>
      </c>
      <c r="AM914" s="49">
        <f t="shared" si="222"/>
        <v>0</v>
      </c>
      <c r="AN914" s="49" t="str">
        <f t="shared" si="223"/>
        <v/>
      </c>
      <c r="AO914" s="49">
        <f t="shared" si="224"/>
        <v>0</v>
      </c>
      <c r="AP914" s="49" t="str">
        <f t="shared" si="225"/>
        <v/>
      </c>
      <c r="AQ914" s="49">
        <f t="shared" si="226"/>
        <v>0</v>
      </c>
      <c r="AR914" s="49" t="str">
        <f t="shared" si="227"/>
        <v/>
      </c>
    </row>
    <row r="915" spans="1:44" ht="30" customHeight="1" x14ac:dyDescent="0.35">
      <c r="A915" s="25" t="str">
        <f t="shared" ref="A915:A946" si="228">CONCATENATE($B$909,"
",$B$910,"",$B$911,"
",$B$912)</f>
        <v>PT178 - ESTRUTURA METÁLICA E FUNDAÇÃO - PLATAFORMAS DE ACESSO LIFT LINE SPIDER - DETALHADO
ETAPA DE ESCRITÓRIOPROJETO DETALHADO
ESTRUTURAS METÁLICAS</v>
      </c>
      <c r="B915" s="38" t="s">
        <v>42</v>
      </c>
      <c r="C915" s="60" t="str">
        <f>IF(AND($B915=[1]rogério!$A916,[1]rogério!$B916=C$4),"ok","nok")</f>
        <v>nok</v>
      </c>
      <c r="D915" s="60" t="str">
        <f>IF(AND($B915=[1]rogério!$A916,[1]rogério!$B916=D$4),"ok","nok")</f>
        <v>nok</v>
      </c>
      <c r="E915" s="60" t="str">
        <f>IF(AND($B915=[1]rogério!$A916,[1]rogério!$B916=E$4),"ok","nok")</f>
        <v>nok</v>
      </c>
      <c r="F915" s="60" t="str">
        <f>IF(AND($B915=[1]rogério!$A916,[1]rogério!$B916=F$4),"ok","nok")</f>
        <v>nok</v>
      </c>
      <c r="G915" s="60" t="str">
        <f>IF(AND($B915=[1]rogério!$A916,[1]rogério!$B916=G$4),"ok","nok")</f>
        <v>nok</v>
      </c>
      <c r="H915" s="60" t="str">
        <f>IF(AND($B915=[1]rogério!$A916,[1]rogério!$B916=H$4),"ok","nok")</f>
        <v>nok</v>
      </c>
      <c r="I915" s="60" t="str">
        <f>IF(AND($B915=[1]rogério!$A916,[1]rogério!$B916=I$4),"ok","nok")</f>
        <v>nok</v>
      </c>
      <c r="J915" s="60" t="str">
        <f>IF(AND($B915=[1]rogério!$A916,[1]rogério!$B916=J$4),"ok","nok")</f>
        <v>nok</v>
      </c>
      <c r="K915" s="60" t="str">
        <f>IF(AND($B915=[1]rogério!$A916,[1]rogério!$B916=K$4),"ok","nok")</f>
        <v>nok</v>
      </c>
      <c r="L915" s="60" t="str">
        <f>IF(AND($B915=[1]rogério!$A916,[1]rogério!$B916=L$4),"ok","nok")</f>
        <v>ok</v>
      </c>
      <c r="M915" s="60" t="str">
        <f>IF(AND($B915=[1]rogério!$A916,[1]rogério!$B916=M$4),"ok","nok")</f>
        <v>nok</v>
      </c>
      <c r="N915" s="60" t="str">
        <f>IF(AND($B915=[1]rogério!$A916,[1]rogério!$B916=N$4),"ok","nok")</f>
        <v>nok</v>
      </c>
      <c r="O915" s="60" t="str">
        <f>IF(AND($B915=[1]rogério!$A916,[1]rogério!$B916=O$4),"ok","nok")</f>
        <v>nok</v>
      </c>
      <c r="P915" s="60" t="str">
        <f>IF(AND($B915=[1]rogério!$A916,[1]rogério!$B916=P$4),"ok","nok")</f>
        <v>nok</v>
      </c>
      <c r="Q915" s="60" t="str">
        <f>IF(AND($B915=[1]rogério!$A916,[1]rogério!$B916=Q$4),"ok","nok")</f>
        <v>nok</v>
      </c>
      <c r="R915" s="60" t="str">
        <f>IF(AND($B915=[1]rogério!$A916,[1]rogério!$B916=R$4),"ok","nok")</f>
        <v>nok</v>
      </c>
      <c r="S915" s="60" t="str">
        <f>IF(AND($B915=[1]rogério!$A916,[1]rogério!$B916=S$4),"ok","nok")</f>
        <v>nok</v>
      </c>
      <c r="T915" s="60" t="str">
        <f>IF(AND($B915=[1]rogério!$A916,[1]rogério!$B916=T$4),"ok","nok")</f>
        <v>nok</v>
      </c>
      <c r="U915" s="60" t="str">
        <f>IF(AND($B915=[1]rogério!$A916,[1]rogério!$B916=U$4),"ok","nok")</f>
        <v>nok</v>
      </c>
      <c r="V915" s="60" t="str">
        <f>IF(AND($B915=[1]rogério!$A916,[1]rogério!$B916=V$4),"ok","nok")</f>
        <v>nok</v>
      </c>
      <c r="W915" s="60" t="str">
        <f>IF(AND($B915=[1]rogério!$A916,[1]rogério!$B916=W$4),"ok","nok")</f>
        <v>nok</v>
      </c>
      <c r="X915" s="60" t="str">
        <f>IF(AND($B915=[1]rogério!$A916,[1]rogério!$B916=X$4),"ok","nok")</f>
        <v>nok</v>
      </c>
      <c r="Y915" s="105" t="s">
        <v>15</v>
      </c>
      <c r="Z915" s="106"/>
      <c r="AA915" s="106"/>
      <c r="AB915" s="107"/>
      <c r="AE915" s="48" t="str">
        <f t="shared" si="217"/>
        <v/>
      </c>
      <c r="AF915" s="48"/>
      <c r="AG915" s="48"/>
      <c r="AH915" s="89"/>
      <c r="AI915" s="49">
        <f t="shared" si="218"/>
        <v>0</v>
      </c>
      <c r="AJ915" s="49" t="str">
        <f t="shared" si="219"/>
        <v/>
      </c>
      <c r="AK915" s="49">
        <f t="shared" si="220"/>
        <v>1</v>
      </c>
      <c r="AL915" s="49" t="str">
        <f t="shared" si="221"/>
        <v/>
      </c>
      <c r="AM915" s="49">
        <f t="shared" si="222"/>
        <v>0</v>
      </c>
      <c r="AN915" s="49" t="str">
        <f t="shared" si="223"/>
        <v/>
      </c>
      <c r="AO915" s="49">
        <f t="shared" si="224"/>
        <v>0</v>
      </c>
      <c r="AP915" s="49" t="str">
        <f t="shared" si="225"/>
        <v/>
      </c>
      <c r="AQ915" s="49">
        <f t="shared" si="226"/>
        <v>0</v>
      </c>
      <c r="AR915" s="49" t="str">
        <f t="shared" si="227"/>
        <v/>
      </c>
    </row>
    <row r="916" spans="1:44" ht="30" customHeight="1" x14ac:dyDescent="0.35">
      <c r="A916" s="25" t="str">
        <f t="shared" si="228"/>
        <v>PT178 - ESTRUTURA METÁLICA E FUNDAÇÃO - PLATAFORMAS DE ACESSO LIFT LINE SPIDER - DETALHADO
ETAPA DE ESCRITÓRIOPROJETO DETALHADO
ESTRUTURAS METÁLICAS</v>
      </c>
      <c r="B916" s="38" t="s">
        <v>43</v>
      </c>
      <c r="C916" s="60" t="str">
        <f>IF(AND($B916=[1]rogério!$A917,[1]rogério!$B917=C$4),"ok","nok")</f>
        <v>nok</v>
      </c>
      <c r="D916" s="60" t="str">
        <f>IF(AND($B916=[1]rogério!$A917,[1]rogério!$B917=D$4),"ok","nok")</f>
        <v>nok</v>
      </c>
      <c r="E916" s="60" t="str">
        <f>IF(AND($B916=[1]rogério!$A917,[1]rogério!$B917=E$4),"ok","nok")</f>
        <v>nok</v>
      </c>
      <c r="F916" s="60" t="str">
        <f>IF(AND($B916=[1]rogério!$A917,[1]rogério!$B917=F$4),"ok","nok")</f>
        <v>nok</v>
      </c>
      <c r="G916" s="60" t="str">
        <f>IF(AND($B916=[1]rogério!$A917,[1]rogério!$B917=G$4),"ok","nok")</f>
        <v>nok</v>
      </c>
      <c r="H916" s="60" t="str">
        <f>IF(AND($B916=[1]rogério!$A917,[1]rogério!$B917=H$4),"ok","nok")</f>
        <v>nok</v>
      </c>
      <c r="I916" s="60" t="str">
        <f>IF(AND($B916=[1]rogério!$A917,[1]rogério!$B917=I$4),"ok","nok")</f>
        <v>nok</v>
      </c>
      <c r="J916" s="60" t="str">
        <f>IF(AND($B916=[1]rogério!$A917,[1]rogério!$B917=J$4),"ok","nok")</f>
        <v>nok</v>
      </c>
      <c r="K916" s="60" t="str">
        <f>IF(AND($B916=[1]rogério!$A917,[1]rogério!$B917=K$4),"ok","nok")</f>
        <v>nok</v>
      </c>
      <c r="L916" s="60" t="str">
        <f>IF(AND($B916=[1]rogério!$A917,[1]rogério!$B917=L$4),"ok","nok")</f>
        <v>ok</v>
      </c>
      <c r="M916" s="60" t="str">
        <f>IF(AND($B916=[1]rogério!$A917,[1]rogério!$B917=M$4),"ok","nok")</f>
        <v>nok</v>
      </c>
      <c r="N916" s="60" t="str">
        <f>IF(AND($B916=[1]rogério!$A917,[1]rogério!$B917=N$4),"ok","nok")</f>
        <v>nok</v>
      </c>
      <c r="O916" s="60" t="str">
        <f>IF(AND($B916=[1]rogério!$A917,[1]rogério!$B917=O$4),"ok","nok")</f>
        <v>nok</v>
      </c>
      <c r="P916" s="60" t="str">
        <f>IF(AND($B916=[1]rogério!$A917,[1]rogério!$B917=P$4),"ok","nok")</f>
        <v>nok</v>
      </c>
      <c r="Q916" s="60" t="str">
        <f>IF(AND($B916=[1]rogério!$A917,[1]rogério!$B917=Q$4),"ok","nok")</f>
        <v>nok</v>
      </c>
      <c r="R916" s="60" t="str">
        <f>IF(AND($B916=[1]rogério!$A917,[1]rogério!$B917=R$4),"ok","nok")</f>
        <v>nok</v>
      </c>
      <c r="S916" s="60" t="str">
        <f>IF(AND($B916=[1]rogério!$A917,[1]rogério!$B917=S$4),"ok","nok")</f>
        <v>nok</v>
      </c>
      <c r="T916" s="60" t="str">
        <f>IF(AND($B916=[1]rogério!$A917,[1]rogério!$B917=T$4),"ok","nok")</f>
        <v>nok</v>
      </c>
      <c r="U916" s="60" t="str">
        <f>IF(AND($B916=[1]rogério!$A917,[1]rogério!$B917=U$4),"ok","nok")</f>
        <v>nok</v>
      </c>
      <c r="V916" s="60" t="str">
        <f>IF(AND($B916=[1]rogério!$A917,[1]rogério!$B917=V$4),"ok","nok")</f>
        <v>nok</v>
      </c>
      <c r="W916" s="60" t="str">
        <f>IF(AND($B916=[1]rogério!$A917,[1]rogério!$B917=W$4),"ok","nok")</f>
        <v>nok</v>
      </c>
      <c r="X916" s="60" t="str">
        <f>IF(AND($B916=[1]rogério!$A917,[1]rogério!$B917=X$4),"ok","nok")</f>
        <v>nok</v>
      </c>
      <c r="Y916" s="105" t="s">
        <v>15</v>
      </c>
      <c r="Z916" s="106"/>
      <c r="AA916" s="106"/>
      <c r="AB916" s="107"/>
      <c r="AE916" s="48" t="str">
        <f t="shared" si="217"/>
        <v/>
      </c>
      <c r="AF916" s="48"/>
      <c r="AG916" s="48"/>
      <c r="AH916" s="89"/>
      <c r="AI916" s="49">
        <f t="shared" si="218"/>
        <v>0</v>
      </c>
      <c r="AJ916" s="49" t="str">
        <f t="shared" si="219"/>
        <v/>
      </c>
      <c r="AK916" s="49">
        <f t="shared" si="220"/>
        <v>1</v>
      </c>
      <c r="AL916" s="49" t="str">
        <f t="shared" si="221"/>
        <v/>
      </c>
      <c r="AM916" s="49">
        <f t="shared" si="222"/>
        <v>0</v>
      </c>
      <c r="AN916" s="49" t="str">
        <f t="shared" si="223"/>
        <v/>
      </c>
      <c r="AO916" s="49">
        <f t="shared" si="224"/>
        <v>0</v>
      </c>
      <c r="AP916" s="49" t="str">
        <f t="shared" si="225"/>
        <v/>
      </c>
      <c r="AQ916" s="49">
        <f t="shared" si="226"/>
        <v>0</v>
      </c>
      <c r="AR916" s="49" t="str">
        <f t="shared" si="227"/>
        <v/>
      </c>
    </row>
    <row r="917" spans="1:44" ht="30" customHeight="1" x14ac:dyDescent="0.35">
      <c r="A917" s="25"/>
      <c r="B917" s="39" t="s">
        <v>53</v>
      </c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108"/>
      <c r="Z917" s="109"/>
      <c r="AA917" s="109"/>
      <c r="AB917" s="110"/>
      <c r="AE917" s="48" t="str">
        <f t="shared" si="217"/>
        <v/>
      </c>
      <c r="AF917" s="48"/>
      <c r="AG917" s="48"/>
      <c r="AH917" s="89"/>
      <c r="AI917" s="49">
        <f t="shared" si="218"/>
        <v>0</v>
      </c>
      <c r="AJ917" s="49" t="str">
        <f t="shared" si="219"/>
        <v/>
      </c>
      <c r="AK917" s="49">
        <f t="shared" si="220"/>
        <v>0</v>
      </c>
      <c r="AL917" s="49" t="str">
        <f t="shared" si="221"/>
        <v/>
      </c>
      <c r="AM917" s="49">
        <f t="shared" si="222"/>
        <v>0</v>
      </c>
      <c r="AN917" s="49" t="str">
        <f t="shared" si="223"/>
        <v/>
      </c>
      <c r="AO917" s="49">
        <f t="shared" si="224"/>
        <v>0</v>
      </c>
      <c r="AP917" s="49" t="str">
        <f t="shared" si="225"/>
        <v/>
      </c>
      <c r="AQ917" s="49">
        <f t="shared" si="226"/>
        <v>0</v>
      </c>
      <c r="AR917" s="49" t="str">
        <f t="shared" si="227"/>
        <v/>
      </c>
    </row>
    <row r="918" spans="1:44" ht="30" customHeight="1" x14ac:dyDescent="0.35">
      <c r="A918" s="25" t="str">
        <f t="shared" si="228"/>
        <v>PT178 - ESTRUTURA METÁLICA E FUNDAÇÃO - PLATAFORMAS DE ACESSO LIFT LINE SPIDER - DETALHADO
ETAPA DE ESCRITÓRIOPROJETO DETALHADO
ESTRUTURAS METÁLICAS</v>
      </c>
      <c r="B918" s="38" t="s">
        <v>114</v>
      </c>
      <c r="C918" s="60" t="str">
        <f>IF(AND($B918=[1]rogério!$A919,[1]rogério!$B919=C$4),"ok","nok")</f>
        <v>nok</v>
      </c>
      <c r="D918" s="60" t="str">
        <f>IF(AND($B918=[1]rogério!$A919,[1]rogério!$B919=D$4),"ok","nok")</f>
        <v>nok</v>
      </c>
      <c r="E918" s="60" t="str">
        <f>IF(AND($B918=[1]rogério!$A919,[1]rogério!$B919=E$4),"ok","nok")</f>
        <v>nok</v>
      </c>
      <c r="F918" s="60" t="str">
        <f>IF(AND($B918=[1]rogério!$A919,[1]rogério!$B919=F$4),"ok","nok")</f>
        <v>nok</v>
      </c>
      <c r="G918" s="60" t="str">
        <f>IF(AND($B918=[1]rogério!$A919,[1]rogério!$B919=G$4),"ok","nok")</f>
        <v>nok</v>
      </c>
      <c r="H918" s="60" t="str">
        <f>IF(AND($B918=[1]rogério!$A919,[1]rogério!$B919=H$4),"ok","nok")</f>
        <v>nok</v>
      </c>
      <c r="I918" s="60" t="str">
        <f>IF(AND($B918=[1]rogério!$A919,[1]rogério!$B919=I$4),"ok","nok")</f>
        <v>ok</v>
      </c>
      <c r="J918" s="60" t="str">
        <f>IF(AND($B918=[1]rogério!$A919,[1]rogério!$B919=J$4),"ok","nok")</f>
        <v>nok</v>
      </c>
      <c r="K918" s="60" t="str">
        <f>IF(AND($B918=[1]rogério!$A919,[1]rogério!$B919=K$4),"ok","nok")</f>
        <v>nok</v>
      </c>
      <c r="L918" s="60" t="str">
        <f>IF(AND($B918=[1]rogério!$A919,[1]rogério!$B919=L$4),"ok","nok")</f>
        <v>nok</v>
      </c>
      <c r="M918" s="60" t="str">
        <f>IF(AND($B918=[1]rogério!$A919,[1]rogério!$B919=M$4),"ok","nok")</f>
        <v>nok</v>
      </c>
      <c r="N918" s="60" t="str">
        <f>IF(AND($B918=[1]rogério!$A919,[1]rogério!$B919=N$4),"ok","nok")</f>
        <v>nok</v>
      </c>
      <c r="O918" s="60" t="str">
        <f>IF(AND($B918=[1]rogério!$A919,[1]rogério!$B919=O$4),"ok","nok")</f>
        <v>nok</v>
      </c>
      <c r="P918" s="60" t="str">
        <f>IF(AND($B918=[1]rogério!$A919,[1]rogério!$B919=P$4),"ok","nok")</f>
        <v>nok</v>
      </c>
      <c r="Q918" s="60" t="str">
        <f>IF(AND($B918=[1]rogério!$A919,[1]rogério!$B919=Q$4),"ok","nok")</f>
        <v>nok</v>
      </c>
      <c r="R918" s="60" t="str">
        <f>IF(AND($B918=[1]rogério!$A919,[1]rogério!$B919=R$4),"ok","nok")</f>
        <v>nok</v>
      </c>
      <c r="S918" s="60" t="str">
        <f>IF(AND($B918=[1]rogério!$A919,[1]rogério!$B919=S$4),"ok","nok")</f>
        <v>nok</v>
      </c>
      <c r="T918" s="60" t="str">
        <f>IF(AND($B918=[1]rogério!$A919,[1]rogério!$B919=T$4),"ok","nok")</f>
        <v>nok</v>
      </c>
      <c r="U918" s="60" t="str">
        <f>IF(AND($B918=[1]rogério!$A919,[1]rogério!$B919=U$4),"ok","nok")</f>
        <v>nok</v>
      </c>
      <c r="V918" s="60" t="str">
        <f>IF(AND($B918=[1]rogério!$A919,[1]rogério!$B919=V$4),"ok","nok")</f>
        <v>nok</v>
      </c>
      <c r="W918" s="60" t="str">
        <f>IF(AND($B918=[1]rogério!$A919,[1]rogério!$B919=W$4),"ok","nok")</f>
        <v>nok</v>
      </c>
      <c r="X918" s="60" t="str">
        <f>IF(AND($B918=[1]rogério!$A919,[1]rogério!$B919=X$4),"ok","nok")</f>
        <v>nok</v>
      </c>
      <c r="Y918" s="105" t="s">
        <v>15</v>
      </c>
      <c r="Z918" s="106"/>
      <c r="AA918" s="106"/>
      <c r="AB918" s="107"/>
      <c r="AE918" s="48" t="str">
        <f t="shared" si="217"/>
        <v/>
      </c>
      <c r="AF918" s="48"/>
      <c r="AG918" s="48"/>
      <c r="AH918" s="89"/>
      <c r="AI918" s="49">
        <f t="shared" si="218"/>
        <v>0</v>
      </c>
      <c r="AJ918" s="49" t="str">
        <f t="shared" si="219"/>
        <v/>
      </c>
      <c r="AK918" s="49">
        <f t="shared" si="220"/>
        <v>1</v>
      </c>
      <c r="AL918" s="49" t="str">
        <f t="shared" si="221"/>
        <v/>
      </c>
      <c r="AM918" s="49">
        <f t="shared" si="222"/>
        <v>0</v>
      </c>
      <c r="AN918" s="49" t="str">
        <f t="shared" si="223"/>
        <v/>
      </c>
      <c r="AO918" s="49">
        <f t="shared" si="224"/>
        <v>0</v>
      </c>
      <c r="AP918" s="49" t="str">
        <f t="shared" si="225"/>
        <v/>
      </c>
      <c r="AQ918" s="49">
        <f t="shared" si="226"/>
        <v>0</v>
      </c>
      <c r="AR918" s="49" t="str">
        <f t="shared" si="227"/>
        <v/>
      </c>
    </row>
    <row r="919" spans="1:44" ht="30" customHeight="1" x14ac:dyDescent="0.35">
      <c r="A919" s="25" t="str">
        <f t="shared" si="228"/>
        <v>PT178 - ESTRUTURA METÁLICA E FUNDAÇÃO - PLATAFORMAS DE ACESSO LIFT LINE SPIDER - DETALHADO
ETAPA DE ESCRITÓRIOPROJETO DETALHADO
ESTRUTURAS METÁLICAS</v>
      </c>
      <c r="B919" s="38" t="s">
        <v>42</v>
      </c>
      <c r="C919" s="60" t="str">
        <f>IF(AND($B919=[1]rogério!$A920,[1]rogério!$B920=C$4),"ok","nok")</f>
        <v>nok</v>
      </c>
      <c r="D919" s="60" t="str">
        <f>IF(AND($B919=[1]rogério!$A920,[1]rogério!$B920=D$4),"ok","nok")</f>
        <v>nok</v>
      </c>
      <c r="E919" s="60" t="str">
        <f>IF(AND($B919=[1]rogério!$A920,[1]rogério!$B920=E$4),"ok","nok")</f>
        <v>nok</v>
      </c>
      <c r="F919" s="60" t="str">
        <f>IF(AND($B919=[1]rogério!$A920,[1]rogério!$B920=F$4),"ok","nok")</f>
        <v>nok</v>
      </c>
      <c r="G919" s="60" t="str">
        <f>IF(AND($B919=[1]rogério!$A920,[1]rogério!$B920=G$4),"ok","nok")</f>
        <v>nok</v>
      </c>
      <c r="H919" s="60" t="str">
        <f>IF(AND($B919=[1]rogério!$A920,[1]rogério!$B920=H$4),"ok","nok")</f>
        <v>nok</v>
      </c>
      <c r="I919" s="60" t="str">
        <f>IF(AND($B919=[1]rogério!$A920,[1]rogério!$B920=I$4),"ok","nok")</f>
        <v>nok</v>
      </c>
      <c r="J919" s="60" t="str">
        <f>IF(AND($B919=[1]rogério!$A920,[1]rogério!$B920=J$4),"ok","nok")</f>
        <v>nok</v>
      </c>
      <c r="K919" s="60" t="str">
        <f>IF(AND($B919=[1]rogério!$A920,[1]rogério!$B920=K$4),"ok","nok")</f>
        <v>ok</v>
      </c>
      <c r="L919" s="60" t="str">
        <f>IF(AND($B919=[1]rogério!$A920,[1]rogério!$B920=L$4),"ok","nok")</f>
        <v>nok</v>
      </c>
      <c r="M919" s="60" t="str">
        <f>IF(AND($B919=[1]rogério!$A920,[1]rogério!$B920=M$4),"ok","nok")</f>
        <v>nok</v>
      </c>
      <c r="N919" s="60" t="str">
        <f>IF(AND($B919=[1]rogério!$A920,[1]rogério!$B920=N$4),"ok","nok")</f>
        <v>nok</v>
      </c>
      <c r="O919" s="60" t="str">
        <f>IF(AND($B919=[1]rogério!$A920,[1]rogério!$B920=O$4),"ok","nok")</f>
        <v>nok</v>
      </c>
      <c r="P919" s="60" t="str">
        <f>IF(AND($B919=[1]rogério!$A920,[1]rogério!$B920=P$4),"ok","nok")</f>
        <v>nok</v>
      </c>
      <c r="Q919" s="60" t="str">
        <f>IF(AND($B919=[1]rogério!$A920,[1]rogério!$B920=Q$4),"ok","nok")</f>
        <v>nok</v>
      </c>
      <c r="R919" s="60" t="str">
        <f>IF(AND($B919=[1]rogério!$A920,[1]rogério!$B920=R$4),"ok","nok")</f>
        <v>nok</v>
      </c>
      <c r="S919" s="60" t="str">
        <f>IF(AND($B919=[1]rogério!$A920,[1]rogério!$B920=S$4),"ok","nok")</f>
        <v>nok</v>
      </c>
      <c r="T919" s="60" t="str">
        <f>IF(AND($B919=[1]rogério!$A920,[1]rogério!$B920=T$4),"ok","nok")</f>
        <v>nok</v>
      </c>
      <c r="U919" s="60" t="str">
        <f>IF(AND($B919=[1]rogério!$A920,[1]rogério!$B920=U$4),"ok","nok")</f>
        <v>nok</v>
      </c>
      <c r="V919" s="60" t="str">
        <f>IF(AND($B919=[1]rogério!$A920,[1]rogério!$B920=V$4),"ok","nok")</f>
        <v>nok</v>
      </c>
      <c r="W919" s="60" t="str">
        <f>IF(AND($B919=[1]rogério!$A920,[1]rogério!$B920=W$4),"ok","nok")</f>
        <v>nok</v>
      </c>
      <c r="X919" s="60" t="str">
        <f>IF(AND($B919=[1]rogério!$A920,[1]rogério!$B920=X$4),"ok","nok")</f>
        <v>nok</v>
      </c>
      <c r="Y919" s="105" t="s">
        <v>15</v>
      </c>
      <c r="Z919" s="106"/>
      <c r="AA919" s="106"/>
      <c r="AB919" s="107"/>
      <c r="AE919" s="48" t="str">
        <f t="shared" si="217"/>
        <v/>
      </c>
      <c r="AF919" s="48"/>
      <c r="AG919" s="48"/>
      <c r="AH919" s="89"/>
      <c r="AI919" s="49">
        <f t="shared" si="218"/>
        <v>0</v>
      </c>
      <c r="AJ919" s="49" t="str">
        <f t="shared" si="219"/>
        <v/>
      </c>
      <c r="AK919" s="49">
        <f t="shared" si="220"/>
        <v>1</v>
      </c>
      <c r="AL919" s="49" t="str">
        <f t="shared" si="221"/>
        <v/>
      </c>
      <c r="AM919" s="49">
        <f t="shared" si="222"/>
        <v>0</v>
      </c>
      <c r="AN919" s="49" t="str">
        <f t="shared" si="223"/>
        <v/>
      </c>
      <c r="AO919" s="49">
        <f t="shared" si="224"/>
        <v>0</v>
      </c>
      <c r="AP919" s="49" t="str">
        <f t="shared" si="225"/>
        <v/>
      </c>
      <c r="AQ919" s="49">
        <f t="shared" si="226"/>
        <v>0</v>
      </c>
      <c r="AR919" s="49" t="str">
        <f t="shared" si="227"/>
        <v/>
      </c>
    </row>
    <row r="920" spans="1:44" ht="30" customHeight="1" x14ac:dyDescent="0.35">
      <c r="A920" s="25" t="str">
        <f t="shared" si="228"/>
        <v>PT178 - ESTRUTURA METÁLICA E FUNDAÇÃO - PLATAFORMAS DE ACESSO LIFT LINE SPIDER - DETALHADO
ETAPA DE ESCRITÓRIOPROJETO DETALHADO
ESTRUTURAS METÁLICAS</v>
      </c>
      <c r="B920" s="38" t="s">
        <v>43</v>
      </c>
      <c r="C920" s="60" t="str">
        <f>IF(AND($B920=[1]rogério!$A921,[1]rogério!$B921=C$4),"ok","nok")</f>
        <v>nok</v>
      </c>
      <c r="D920" s="60" t="str">
        <f>IF(AND($B920=[1]rogério!$A921,[1]rogério!$B921=D$4),"ok","nok")</f>
        <v>nok</v>
      </c>
      <c r="E920" s="60" t="str">
        <f>IF(AND($B920=[1]rogério!$A921,[1]rogério!$B921=E$4),"ok","nok")</f>
        <v>nok</v>
      </c>
      <c r="F920" s="60" t="str">
        <f>IF(AND($B920=[1]rogério!$A921,[1]rogério!$B921=F$4),"ok","nok")</f>
        <v>nok</v>
      </c>
      <c r="G920" s="60" t="str">
        <f>IF(AND($B920=[1]rogério!$A921,[1]rogério!$B921=G$4),"ok","nok")</f>
        <v>nok</v>
      </c>
      <c r="H920" s="60" t="str">
        <f>IF(AND($B920=[1]rogério!$A921,[1]rogério!$B921=H$4),"ok","nok")</f>
        <v>nok</v>
      </c>
      <c r="I920" s="60" t="str">
        <f>IF(AND($B920=[1]rogério!$A921,[1]rogério!$B921=I$4),"ok","nok")</f>
        <v>nok</v>
      </c>
      <c r="J920" s="60" t="str">
        <f>IF(AND($B920=[1]rogério!$A921,[1]rogério!$B921=J$4),"ok","nok")</f>
        <v>nok</v>
      </c>
      <c r="K920" s="60" t="str">
        <f>IF(AND($B920=[1]rogério!$A921,[1]rogério!$B921=K$4),"ok","nok")</f>
        <v>ok</v>
      </c>
      <c r="L920" s="60" t="str">
        <f>IF(AND($B920=[1]rogério!$A921,[1]rogério!$B921=L$4),"ok","nok")</f>
        <v>nok</v>
      </c>
      <c r="M920" s="60" t="str">
        <f>IF(AND($B920=[1]rogério!$A921,[1]rogério!$B921=M$4),"ok","nok")</f>
        <v>nok</v>
      </c>
      <c r="N920" s="60" t="str">
        <f>IF(AND($B920=[1]rogério!$A921,[1]rogério!$B921=N$4),"ok","nok")</f>
        <v>nok</v>
      </c>
      <c r="O920" s="60" t="str">
        <f>IF(AND($B920=[1]rogério!$A921,[1]rogério!$B921=O$4),"ok","nok")</f>
        <v>nok</v>
      </c>
      <c r="P920" s="60" t="str">
        <f>IF(AND($B920=[1]rogério!$A921,[1]rogério!$B921=P$4),"ok","nok")</f>
        <v>nok</v>
      </c>
      <c r="Q920" s="60" t="str">
        <f>IF(AND($B920=[1]rogério!$A921,[1]rogério!$B921=Q$4),"ok","nok")</f>
        <v>nok</v>
      </c>
      <c r="R920" s="60" t="str">
        <f>IF(AND($B920=[1]rogério!$A921,[1]rogério!$B921=R$4),"ok","nok")</f>
        <v>nok</v>
      </c>
      <c r="S920" s="60" t="str">
        <f>IF(AND($B920=[1]rogério!$A921,[1]rogério!$B921=S$4),"ok","nok")</f>
        <v>nok</v>
      </c>
      <c r="T920" s="60" t="str">
        <f>IF(AND($B920=[1]rogério!$A921,[1]rogério!$B921=T$4),"ok","nok")</f>
        <v>nok</v>
      </c>
      <c r="U920" s="60" t="str">
        <f>IF(AND($B920=[1]rogério!$A921,[1]rogério!$B921=U$4),"ok","nok")</f>
        <v>nok</v>
      </c>
      <c r="V920" s="60" t="str">
        <f>IF(AND($B920=[1]rogério!$A921,[1]rogério!$B921=V$4),"ok","nok")</f>
        <v>nok</v>
      </c>
      <c r="W920" s="60" t="str">
        <f>IF(AND($B920=[1]rogério!$A921,[1]rogério!$B921=W$4),"ok","nok")</f>
        <v>nok</v>
      </c>
      <c r="X920" s="60" t="str">
        <f>IF(AND($B920=[1]rogério!$A921,[1]rogério!$B921=X$4),"ok","nok")</f>
        <v>nok</v>
      </c>
      <c r="Y920" s="105" t="s">
        <v>15</v>
      </c>
      <c r="Z920" s="106"/>
      <c r="AA920" s="106"/>
      <c r="AB920" s="107"/>
      <c r="AE920" s="48" t="str">
        <f t="shared" si="217"/>
        <v/>
      </c>
      <c r="AF920" s="48"/>
      <c r="AG920" s="48"/>
      <c r="AH920" s="89"/>
      <c r="AI920" s="49">
        <f t="shared" si="218"/>
        <v>0</v>
      </c>
      <c r="AJ920" s="49" t="str">
        <f t="shared" si="219"/>
        <v/>
      </c>
      <c r="AK920" s="49">
        <f t="shared" si="220"/>
        <v>1</v>
      </c>
      <c r="AL920" s="49" t="str">
        <f t="shared" si="221"/>
        <v/>
      </c>
      <c r="AM920" s="49">
        <f t="shared" si="222"/>
        <v>0</v>
      </c>
      <c r="AN920" s="49" t="str">
        <f t="shared" si="223"/>
        <v/>
      </c>
      <c r="AO920" s="49">
        <f t="shared" si="224"/>
        <v>0</v>
      </c>
      <c r="AP920" s="49" t="str">
        <f t="shared" si="225"/>
        <v/>
      </c>
      <c r="AQ920" s="49">
        <f t="shared" si="226"/>
        <v>0</v>
      </c>
      <c r="AR920" s="49" t="str">
        <f t="shared" si="227"/>
        <v/>
      </c>
    </row>
    <row r="921" spans="1:44" ht="30" customHeight="1" x14ac:dyDescent="0.35">
      <c r="A921" s="25" t="str">
        <f t="shared" si="228"/>
        <v>PT178 - ESTRUTURA METÁLICA E FUNDAÇÃO - PLATAFORMAS DE ACESSO LIFT LINE SPIDER - DETALHADO
ETAPA DE ESCRITÓRIOPROJETO DETALHADO
ESTRUTURAS METÁLICAS</v>
      </c>
      <c r="B921" s="38" t="s">
        <v>74</v>
      </c>
      <c r="C921" s="60" t="str">
        <f>IF(AND($B921=[1]rogério!$A922,[1]rogério!$B922=C$4),"ok","nok")</f>
        <v>nok</v>
      </c>
      <c r="D921" s="60" t="str">
        <f>IF(AND($B921=[1]rogério!$A922,[1]rogério!$B922=D$4),"ok","nok")</f>
        <v>nok</v>
      </c>
      <c r="E921" s="60" t="str">
        <f>IF(AND($B921=[1]rogério!$A922,[1]rogério!$B922=E$4),"ok","nok")</f>
        <v>nok</v>
      </c>
      <c r="F921" s="60" t="str">
        <f>IF(AND($B921=[1]rogério!$A922,[1]rogério!$B922=F$4),"ok","nok")</f>
        <v>nok</v>
      </c>
      <c r="G921" s="60" t="str">
        <f>IF(AND($B921=[1]rogério!$A922,[1]rogério!$B922=G$4),"ok","nok")</f>
        <v>nok</v>
      </c>
      <c r="H921" s="60" t="str">
        <f>IF(AND($B921=[1]rogério!$A922,[1]rogério!$B922=H$4),"ok","nok")</f>
        <v>nok</v>
      </c>
      <c r="I921" s="60" t="str">
        <f>IF(AND($B921=[1]rogério!$A922,[1]rogério!$B922=I$4),"ok","nok")</f>
        <v>ok</v>
      </c>
      <c r="J921" s="60" t="str">
        <f>IF(AND($B921=[1]rogério!$A922,[1]rogério!$B922=J$4),"ok","nok")</f>
        <v>nok</v>
      </c>
      <c r="K921" s="60" t="str">
        <f>IF(AND($B921=[1]rogério!$A922,[1]rogério!$B922=K$4),"ok","nok")</f>
        <v>nok</v>
      </c>
      <c r="L921" s="60" t="str">
        <f>IF(AND($B921=[1]rogério!$A922,[1]rogério!$B922=L$4),"ok","nok")</f>
        <v>nok</v>
      </c>
      <c r="M921" s="60" t="str">
        <f>IF(AND($B921=[1]rogério!$A922,[1]rogério!$B922=M$4),"ok","nok")</f>
        <v>nok</v>
      </c>
      <c r="N921" s="60" t="str">
        <f>IF(AND($B921=[1]rogério!$A922,[1]rogério!$B922=N$4),"ok","nok")</f>
        <v>nok</v>
      </c>
      <c r="O921" s="60" t="str">
        <f>IF(AND($B921=[1]rogério!$A922,[1]rogério!$B922=O$4),"ok","nok")</f>
        <v>nok</v>
      </c>
      <c r="P921" s="60" t="str">
        <f>IF(AND($B921=[1]rogério!$A922,[1]rogério!$B922=P$4),"ok","nok")</f>
        <v>nok</v>
      </c>
      <c r="Q921" s="60" t="str">
        <f>IF(AND($B921=[1]rogério!$A922,[1]rogério!$B922=Q$4),"ok","nok")</f>
        <v>nok</v>
      </c>
      <c r="R921" s="60" t="str">
        <f>IF(AND($B921=[1]rogério!$A922,[1]rogério!$B922=R$4),"ok","nok")</f>
        <v>nok</v>
      </c>
      <c r="S921" s="60" t="str">
        <f>IF(AND($B921=[1]rogério!$A922,[1]rogério!$B922=S$4),"ok","nok")</f>
        <v>nok</v>
      </c>
      <c r="T921" s="60" t="str">
        <f>IF(AND($B921=[1]rogério!$A922,[1]rogério!$B922=T$4),"ok","nok")</f>
        <v>nok</v>
      </c>
      <c r="U921" s="60" t="str">
        <f>IF(AND($B921=[1]rogério!$A922,[1]rogério!$B922=U$4),"ok","nok")</f>
        <v>nok</v>
      </c>
      <c r="V921" s="60" t="str">
        <f>IF(AND($B921=[1]rogério!$A922,[1]rogério!$B922=V$4),"ok","nok")</f>
        <v>nok</v>
      </c>
      <c r="W921" s="60" t="str">
        <f>IF(AND($B921=[1]rogério!$A922,[1]rogério!$B922=W$4),"ok","nok")</f>
        <v>nok</v>
      </c>
      <c r="X921" s="60" t="str">
        <f>IF(AND($B921=[1]rogério!$A922,[1]rogério!$B922=X$4),"ok","nok")</f>
        <v>nok</v>
      </c>
      <c r="Y921" s="105" t="s">
        <v>15</v>
      </c>
      <c r="Z921" s="106"/>
      <c r="AA921" s="106"/>
      <c r="AB921" s="107"/>
      <c r="AE921" s="48" t="str">
        <f t="shared" si="217"/>
        <v/>
      </c>
      <c r="AF921" s="48"/>
      <c r="AG921" s="48"/>
      <c r="AH921" s="89"/>
      <c r="AI921" s="49">
        <f t="shared" si="218"/>
        <v>0</v>
      </c>
      <c r="AJ921" s="49" t="str">
        <f t="shared" si="219"/>
        <v/>
      </c>
      <c r="AK921" s="49">
        <f t="shared" si="220"/>
        <v>1</v>
      </c>
      <c r="AL921" s="49" t="str">
        <f t="shared" si="221"/>
        <v/>
      </c>
      <c r="AM921" s="49">
        <f t="shared" si="222"/>
        <v>0</v>
      </c>
      <c r="AN921" s="49" t="str">
        <f t="shared" si="223"/>
        <v/>
      </c>
      <c r="AO921" s="49">
        <f t="shared" si="224"/>
        <v>0</v>
      </c>
      <c r="AP921" s="49" t="str">
        <f t="shared" si="225"/>
        <v/>
      </c>
      <c r="AQ921" s="49">
        <f t="shared" si="226"/>
        <v>0</v>
      </c>
      <c r="AR921" s="49" t="str">
        <f t="shared" si="227"/>
        <v/>
      </c>
    </row>
    <row r="922" spans="1:44" ht="30" customHeight="1" x14ac:dyDescent="0.35">
      <c r="A922" s="25" t="str">
        <f t="shared" si="228"/>
        <v>PT178 - ESTRUTURA METÁLICA E FUNDAÇÃO - PLATAFORMAS DE ACESSO LIFT LINE SPIDER - DETALHADO
ETAPA DE ESCRITÓRIOPROJETO DETALHADO
ESTRUTURAS METÁLICAS</v>
      </c>
      <c r="B922" s="38" t="s">
        <v>75</v>
      </c>
      <c r="C922" s="60" t="str">
        <f>IF(AND($B922=[1]rogério!$A923,[1]rogério!$B923=C$4),"ok","nok")</f>
        <v>nok</v>
      </c>
      <c r="D922" s="60" t="str">
        <f>IF(AND($B922=[1]rogério!$A923,[1]rogério!$B923=D$4),"ok","nok")</f>
        <v>nok</v>
      </c>
      <c r="E922" s="60" t="str">
        <f>IF(AND($B922=[1]rogério!$A923,[1]rogério!$B923=E$4),"ok","nok")</f>
        <v>nok</v>
      </c>
      <c r="F922" s="60" t="str">
        <f>IF(AND($B922=[1]rogério!$A923,[1]rogério!$B923=F$4),"ok","nok")</f>
        <v>nok</v>
      </c>
      <c r="G922" s="60" t="str">
        <f>IF(AND($B922=[1]rogério!$A923,[1]rogério!$B923=G$4),"ok","nok")</f>
        <v>nok</v>
      </c>
      <c r="H922" s="60" t="str">
        <f>IF(AND($B922=[1]rogério!$A923,[1]rogério!$B923=H$4),"ok","nok")</f>
        <v>nok</v>
      </c>
      <c r="I922" s="60" t="str">
        <f>IF(AND($B922=[1]rogério!$A923,[1]rogério!$B923=I$4),"ok","nok")</f>
        <v>nok</v>
      </c>
      <c r="J922" s="60" t="str">
        <f>IF(AND($B922=[1]rogério!$A923,[1]rogério!$B923=J$4),"ok","nok")</f>
        <v>ok</v>
      </c>
      <c r="K922" s="60" t="str">
        <f>IF(AND($B922=[1]rogério!$A923,[1]rogério!$B923=K$4),"ok","nok")</f>
        <v>nok</v>
      </c>
      <c r="L922" s="60" t="str">
        <f>IF(AND($B922=[1]rogério!$A923,[1]rogério!$B923=L$4),"ok","nok")</f>
        <v>nok</v>
      </c>
      <c r="M922" s="60" t="str">
        <f>IF(AND($B922=[1]rogério!$A923,[1]rogério!$B923=M$4),"ok","nok")</f>
        <v>nok</v>
      </c>
      <c r="N922" s="60" t="str">
        <f>IF(AND($B922=[1]rogério!$A923,[1]rogério!$B923=N$4),"ok","nok")</f>
        <v>nok</v>
      </c>
      <c r="O922" s="60" t="str">
        <f>IF(AND($B922=[1]rogério!$A923,[1]rogério!$B923=O$4),"ok","nok")</f>
        <v>nok</v>
      </c>
      <c r="P922" s="60" t="str">
        <f>IF(AND($B922=[1]rogério!$A923,[1]rogério!$B923=P$4),"ok","nok")</f>
        <v>nok</v>
      </c>
      <c r="Q922" s="60" t="str">
        <f>IF(AND($B922=[1]rogério!$A923,[1]rogério!$B923=Q$4),"ok","nok")</f>
        <v>nok</v>
      </c>
      <c r="R922" s="60" t="str">
        <f>IF(AND($B922=[1]rogério!$A923,[1]rogério!$B923=R$4),"ok","nok")</f>
        <v>nok</v>
      </c>
      <c r="S922" s="60" t="str">
        <f>IF(AND($B922=[1]rogério!$A923,[1]rogério!$B923=S$4),"ok","nok")</f>
        <v>nok</v>
      </c>
      <c r="T922" s="60" t="str">
        <f>IF(AND($B922=[1]rogério!$A923,[1]rogério!$B923=T$4),"ok","nok")</f>
        <v>nok</v>
      </c>
      <c r="U922" s="60" t="str">
        <f>IF(AND($B922=[1]rogério!$A923,[1]rogério!$B923=U$4),"ok","nok")</f>
        <v>nok</v>
      </c>
      <c r="V922" s="60" t="str">
        <f>IF(AND($B922=[1]rogério!$A923,[1]rogério!$B923=V$4),"ok","nok")</f>
        <v>nok</v>
      </c>
      <c r="W922" s="60" t="str">
        <f>IF(AND($B922=[1]rogério!$A923,[1]rogério!$B923=W$4),"ok","nok")</f>
        <v>nok</v>
      </c>
      <c r="X922" s="60" t="str">
        <f>IF(AND($B922=[1]rogério!$A923,[1]rogério!$B923=X$4),"ok","nok")</f>
        <v>nok</v>
      </c>
      <c r="Y922" s="105" t="s">
        <v>15</v>
      </c>
      <c r="Z922" s="106"/>
      <c r="AA922" s="106"/>
      <c r="AB922" s="107"/>
      <c r="AE922" s="48" t="str">
        <f t="shared" si="217"/>
        <v/>
      </c>
      <c r="AF922" s="48"/>
      <c r="AG922" s="48"/>
      <c r="AH922" s="89"/>
      <c r="AI922" s="49">
        <f t="shared" si="218"/>
        <v>0</v>
      </c>
      <c r="AJ922" s="49" t="str">
        <f t="shared" si="219"/>
        <v/>
      </c>
      <c r="AK922" s="49">
        <f t="shared" si="220"/>
        <v>1</v>
      </c>
      <c r="AL922" s="49" t="str">
        <f t="shared" si="221"/>
        <v/>
      </c>
      <c r="AM922" s="49">
        <f t="shared" si="222"/>
        <v>0</v>
      </c>
      <c r="AN922" s="49" t="str">
        <f t="shared" si="223"/>
        <v/>
      </c>
      <c r="AO922" s="49">
        <f t="shared" si="224"/>
        <v>0</v>
      </c>
      <c r="AP922" s="49" t="str">
        <f t="shared" si="225"/>
        <v/>
      </c>
      <c r="AQ922" s="49">
        <f t="shared" si="226"/>
        <v>0</v>
      </c>
      <c r="AR922" s="49" t="str">
        <f t="shared" si="227"/>
        <v/>
      </c>
    </row>
    <row r="923" spans="1:44" ht="30" customHeight="1" x14ac:dyDescent="0.35">
      <c r="A923" s="25"/>
      <c r="B923" s="39" t="s">
        <v>62</v>
      </c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108"/>
      <c r="Z923" s="109"/>
      <c r="AA923" s="109"/>
      <c r="AB923" s="110"/>
      <c r="AE923" s="48" t="str">
        <f t="shared" si="217"/>
        <v/>
      </c>
      <c r="AF923" s="48"/>
      <c r="AG923" s="48"/>
      <c r="AH923" s="89"/>
      <c r="AI923" s="49">
        <f t="shared" si="218"/>
        <v>0</v>
      </c>
      <c r="AJ923" s="49" t="str">
        <f t="shared" si="219"/>
        <v/>
      </c>
      <c r="AK923" s="49">
        <f t="shared" si="220"/>
        <v>0</v>
      </c>
      <c r="AL923" s="49" t="str">
        <f t="shared" si="221"/>
        <v/>
      </c>
      <c r="AM923" s="49">
        <f t="shared" si="222"/>
        <v>0</v>
      </c>
      <c r="AN923" s="49" t="str">
        <f t="shared" si="223"/>
        <v/>
      </c>
      <c r="AO923" s="49">
        <f t="shared" si="224"/>
        <v>0</v>
      </c>
      <c r="AP923" s="49" t="str">
        <f t="shared" si="225"/>
        <v/>
      </c>
      <c r="AQ923" s="49">
        <f t="shared" si="226"/>
        <v>0</v>
      </c>
      <c r="AR923" s="49" t="str">
        <f t="shared" si="227"/>
        <v/>
      </c>
    </row>
    <row r="924" spans="1:44" ht="30" customHeight="1" x14ac:dyDescent="0.35">
      <c r="A924" s="25" t="str">
        <f t="shared" si="228"/>
        <v>PT178 - ESTRUTURA METÁLICA E FUNDAÇÃO - PLATAFORMAS DE ACESSO LIFT LINE SPIDER - DETALHADO
ETAPA DE ESCRITÓRIOPROJETO DETALHADO
ESTRUTURAS METÁLICAS</v>
      </c>
      <c r="B924" s="38" t="s">
        <v>49</v>
      </c>
      <c r="C924" s="60" t="str">
        <f>IF(AND($B924=[1]rogério!$A925,[1]rogério!$B925=C$4),"ok","nok")</f>
        <v>nok</v>
      </c>
      <c r="D924" s="60" t="str">
        <f>IF(AND($B924=[1]rogério!$A925,[1]rogério!$B925=D$4),"ok","nok")</f>
        <v>nok</v>
      </c>
      <c r="E924" s="60" t="str">
        <f>IF(AND($B924=[1]rogério!$A925,[1]rogério!$B925=E$4),"ok","nok")</f>
        <v>nok</v>
      </c>
      <c r="F924" s="60" t="str">
        <f>IF(AND($B924=[1]rogério!$A925,[1]rogério!$B925=F$4),"ok","nok")</f>
        <v>nok</v>
      </c>
      <c r="G924" s="60" t="str">
        <f>IF(AND($B924=[1]rogério!$A925,[1]rogério!$B925=G$4),"ok","nok")</f>
        <v>nok</v>
      </c>
      <c r="H924" s="60" t="str">
        <f>IF(AND($B924=[1]rogério!$A925,[1]rogério!$B925=H$4),"ok","nok")</f>
        <v>nok</v>
      </c>
      <c r="I924" s="60" t="str">
        <f>IF(AND($B924=[1]rogério!$A925,[1]rogério!$B925=I$4),"ok","nok")</f>
        <v>nok</v>
      </c>
      <c r="J924" s="60" t="str">
        <f>IF(AND($B924=[1]rogério!$A925,[1]rogério!$B925=J$4),"ok","nok")</f>
        <v>ok</v>
      </c>
      <c r="K924" s="60" t="str">
        <f>IF(AND($B924=[1]rogério!$A925,[1]rogério!$B925=K$4),"ok","nok")</f>
        <v>nok</v>
      </c>
      <c r="L924" s="60" t="str">
        <f>IF(AND($B924=[1]rogério!$A925,[1]rogério!$B925=L$4),"ok","nok")</f>
        <v>nok</v>
      </c>
      <c r="M924" s="60" t="str">
        <f>IF(AND($B924=[1]rogério!$A925,[1]rogério!$B925=M$4),"ok","nok")</f>
        <v>nok</v>
      </c>
      <c r="N924" s="60" t="str">
        <f>IF(AND($B924=[1]rogério!$A925,[1]rogério!$B925=N$4),"ok","nok")</f>
        <v>nok</v>
      </c>
      <c r="O924" s="60" t="str">
        <f>IF(AND($B924=[1]rogério!$A925,[1]rogério!$B925=O$4),"ok","nok")</f>
        <v>nok</v>
      </c>
      <c r="P924" s="60" t="str">
        <f>IF(AND($B924=[1]rogério!$A925,[1]rogério!$B925=P$4),"ok","nok")</f>
        <v>nok</v>
      </c>
      <c r="Q924" s="60" t="str">
        <f>IF(AND($B924=[1]rogério!$A925,[1]rogério!$B925=Q$4),"ok","nok")</f>
        <v>nok</v>
      </c>
      <c r="R924" s="60" t="str">
        <f>IF(AND($B924=[1]rogério!$A925,[1]rogério!$B925=R$4),"ok","nok")</f>
        <v>nok</v>
      </c>
      <c r="S924" s="60" t="str">
        <f>IF(AND($B924=[1]rogério!$A925,[1]rogério!$B925=S$4),"ok","nok")</f>
        <v>nok</v>
      </c>
      <c r="T924" s="60" t="str">
        <f>IF(AND($B924=[1]rogério!$A925,[1]rogério!$B925=T$4),"ok","nok")</f>
        <v>nok</v>
      </c>
      <c r="U924" s="60" t="str">
        <f>IF(AND($B924=[1]rogério!$A925,[1]rogério!$B925=U$4),"ok","nok")</f>
        <v>nok</v>
      </c>
      <c r="V924" s="60" t="str">
        <f>IF(AND($B924=[1]rogério!$A925,[1]rogério!$B925=V$4),"ok","nok")</f>
        <v>nok</v>
      </c>
      <c r="W924" s="60" t="str">
        <f>IF(AND($B924=[1]rogério!$A925,[1]rogério!$B925=W$4),"ok","nok")</f>
        <v>nok</v>
      </c>
      <c r="X924" s="60" t="str">
        <f>IF(AND($B924=[1]rogério!$A925,[1]rogério!$B925=X$4),"ok","nok")</f>
        <v>nok</v>
      </c>
      <c r="Y924" s="105" t="s">
        <v>15</v>
      </c>
      <c r="Z924" s="106"/>
      <c r="AA924" s="106"/>
      <c r="AB924" s="107"/>
      <c r="AE924" s="48" t="str">
        <f t="shared" si="217"/>
        <v/>
      </c>
      <c r="AF924" s="48"/>
      <c r="AG924" s="48"/>
      <c r="AH924" s="89"/>
      <c r="AI924" s="49">
        <f t="shared" si="218"/>
        <v>0</v>
      </c>
      <c r="AJ924" s="49" t="str">
        <f t="shared" si="219"/>
        <v/>
      </c>
      <c r="AK924" s="49">
        <f t="shared" si="220"/>
        <v>1</v>
      </c>
      <c r="AL924" s="49" t="str">
        <f t="shared" si="221"/>
        <v/>
      </c>
      <c r="AM924" s="49">
        <f t="shared" si="222"/>
        <v>0</v>
      </c>
      <c r="AN924" s="49" t="str">
        <f t="shared" si="223"/>
        <v/>
      </c>
      <c r="AO924" s="49">
        <f t="shared" si="224"/>
        <v>0</v>
      </c>
      <c r="AP924" s="49" t="str">
        <f t="shared" si="225"/>
        <v/>
      </c>
      <c r="AQ924" s="49">
        <f t="shared" si="226"/>
        <v>0</v>
      </c>
      <c r="AR924" s="49" t="str">
        <f t="shared" si="227"/>
        <v/>
      </c>
    </row>
    <row r="925" spans="1:44" ht="30" customHeight="1" x14ac:dyDescent="0.35">
      <c r="A925" s="25" t="str">
        <f t="shared" si="228"/>
        <v>PT178 - ESTRUTURA METÁLICA E FUNDAÇÃO - PLATAFORMAS DE ACESSO LIFT LINE SPIDER - DETALHADO
ETAPA DE ESCRITÓRIOPROJETO DETALHADO
ESTRUTURAS METÁLICAS</v>
      </c>
      <c r="B925" s="38" t="s">
        <v>19</v>
      </c>
      <c r="C925" s="60" t="str">
        <f>IF(AND($B925=[1]rogério!$A926,[1]rogério!$B926=C$4),"ok","nok")</f>
        <v>nok</v>
      </c>
      <c r="D925" s="60" t="str">
        <f>IF(AND($B925=[1]rogério!$A926,[1]rogério!$B926=D$4),"ok","nok")</f>
        <v>nok</v>
      </c>
      <c r="E925" s="60" t="str">
        <f>IF(AND($B925=[1]rogério!$A926,[1]rogério!$B926=E$4),"ok","nok")</f>
        <v>nok</v>
      </c>
      <c r="F925" s="60" t="str">
        <f>IF(AND($B925=[1]rogério!$A926,[1]rogério!$B926=F$4),"ok","nok")</f>
        <v>nok</v>
      </c>
      <c r="G925" s="60" t="str">
        <f>IF(AND($B925=[1]rogério!$A926,[1]rogério!$B926=G$4),"ok","nok")</f>
        <v>nok</v>
      </c>
      <c r="H925" s="60" t="str">
        <f>IF(AND($B925=[1]rogério!$A926,[1]rogério!$B926=H$4),"ok","nok")</f>
        <v>nok</v>
      </c>
      <c r="I925" s="60" t="str">
        <f>IF(AND($B925=[1]rogério!$A926,[1]rogério!$B926=I$4),"ok","nok")</f>
        <v>nok</v>
      </c>
      <c r="J925" s="60" t="str">
        <f>IF(AND($B925=[1]rogério!$A926,[1]rogério!$B926=J$4),"ok","nok")</f>
        <v>nok</v>
      </c>
      <c r="K925" s="60" t="str">
        <f>IF(AND($B925=[1]rogério!$A926,[1]rogério!$B926=K$4),"ok","nok")</f>
        <v>nok</v>
      </c>
      <c r="L925" s="60" t="str">
        <f>IF(AND($B925=[1]rogério!$A926,[1]rogério!$B926=L$4),"ok","nok")</f>
        <v>nok</v>
      </c>
      <c r="M925" s="60" t="str">
        <f>IF(AND($B925=[1]rogério!$A926,[1]rogério!$B926=M$4),"ok","nok")</f>
        <v>nok</v>
      </c>
      <c r="N925" s="60" t="str">
        <f>IF(AND($B925=[1]rogério!$A926,[1]rogério!$B926=N$4),"ok","nok")</f>
        <v>nok</v>
      </c>
      <c r="O925" s="60" t="str">
        <f>IF(AND($B925=[1]rogério!$A926,[1]rogério!$B926=O$4),"ok","nok")</f>
        <v>ok</v>
      </c>
      <c r="P925" s="60" t="str">
        <f>IF(AND($B925=[1]rogério!$A926,[1]rogério!$B926=P$4),"ok","nok")</f>
        <v>nok</v>
      </c>
      <c r="Q925" s="60" t="str">
        <f>IF(AND($B925=[1]rogério!$A926,[1]rogério!$B926=Q$4),"ok","nok")</f>
        <v>nok</v>
      </c>
      <c r="R925" s="60" t="str">
        <f>IF(AND($B925=[1]rogério!$A926,[1]rogério!$B926=R$4),"ok","nok")</f>
        <v>nok</v>
      </c>
      <c r="S925" s="60" t="str">
        <f>IF(AND($B925=[1]rogério!$A926,[1]rogério!$B926=S$4),"ok","nok")</f>
        <v>nok</v>
      </c>
      <c r="T925" s="60" t="str">
        <f>IF(AND($B925=[1]rogério!$A926,[1]rogério!$B926=T$4),"ok","nok")</f>
        <v>nok</v>
      </c>
      <c r="U925" s="60" t="str">
        <f>IF(AND($B925=[1]rogério!$A926,[1]rogério!$B926=U$4),"ok","nok")</f>
        <v>nok</v>
      </c>
      <c r="V925" s="60" t="str">
        <f>IF(AND($B925=[1]rogério!$A926,[1]rogério!$B926=V$4),"ok","nok")</f>
        <v>nok</v>
      </c>
      <c r="W925" s="60" t="str">
        <f>IF(AND($B925=[1]rogério!$A926,[1]rogério!$B926=W$4),"ok","nok")</f>
        <v>nok</v>
      </c>
      <c r="X925" s="60" t="str">
        <f>IF(AND($B925=[1]rogério!$A926,[1]rogério!$B926=X$4),"ok","nok")</f>
        <v>nok</v>
      </c>
      <c r="Y925" s="105" t="s">
        <v>15</v>
      </c>
      <c r="Z925" s="106"/>
      <c r="AA925" s="106"/>
      <c r="AB925" s="107"/>
      <c r="AE925" s="48" t="str">
        <f t="shared" si="217"/>
        <v/>
      </c>
      <c r="AF925" s="48"/>
      <c r="AG925" s="48"/>
      <c r="AH925" s="89"/>
      <c r="AI925" s="49">
        <f t="shared" si="218"/>
        <v>0</v>
      </c>
      <c r="AJ925" s="49" t="str">
        <f t="shared" si="219"/>
        <v/>
      </c>
      <c r="AK925" s="49">
        <f t="shared" si="220"/>
        <v>0</v>
      </c>
      <c r="AL925" s="49" t="str">
        <f t="shared" si="221"/>
        <v/>
      </c>
      <c r="AM925" s="49">
        <f t="shared" si="222"/>
        <v>1</v>
      </c>
      <c r="AN925" s="49" t="str">
        <f t="shared" si="223"/>
        <v/>
      </c>
      <c r="AO925" s="49">
        <f t="shared" si="224"/>
        <v>0</v>
      </c>
      <c r="AP925" s="49" t="str">
        <f t="shared" si="225"/>
        <v/>
      </c>
      <c r="AQ925" s="49">
        <f t="shared" si="226"/>
        <v>0</v>
      </c>
      <c r="AR925" s="49" t="str">
        <f t="shared" si="227"/>
        <v/>
      </c>
    </row>
    <row r="926" spans="1:44" ht="30" customHeight="1" x14ac:dyDescent="0.35">
      <c r="A926" s="25" t="str">
        <f t="shared" si="228"/>
        <v>PT178 - ESTRUTURA METÁLICA E FUNDAÇÃO - PLATAFORMAS DE ACESSO LIFT LINE SPIDER - DETALHADO
ETAPA DE ESCRITÓRIOPROJETO DETALHADO
ESTRUTURAS METÁLICAS</v>
      </c>
      <c r="B926" s="38" t="s">
        <v>42</v>
      </c>
      <c r="C926" s="60" t="str">
        <f>IF(AND($B926=[1]rogério!$A927,[1]rogério!$B927=C$4),"ok","nok")</f>
        <v>nok</v>
      </c>
      <c r="D926" s="60" t="str">
        <f>IF(AND($B926=[1]rogério!$A927,[1]rogério!$B927=D$4),"ok","nok")</f>
        <v>nok</v>
      </c>
      <c r="E926" s="60" t="str">
        <f>IF(AND($B926=[1]rogério!$A927,[1]rogério!$B927=E$4),"ok","nok")</f>
        <v>nok</v>
      </c>
      <c r="F926" s="60" t="str">
        <f>IF(AND($B926=[1]rogério!$A927,[1]rogério!$B927=F$4),"ok","nok")</f>
        <v>nok</v>
      </c>
      <c r="G926" s="60" t="str">
        <f>IF(AND($B926=[1]rogério!$A927,[1]rogério!$B927=G$4),"ok","nok")</f>
        <v>nok</v>
      </c>
      <c r="H926" s="60" t="str">
        <f>IF(AND($B926=[1]rogério!$A927,[1]rogério!$B927=H$4),"ok","nok")</f>
        <v>nok</v>
      </c>
      <c r="I926" s="60" t="str">
        <f>IF(AND($B926=[1]rogério!$A927,[1]rogério!$B927=I$4),"ok","nok")</f>
        <v>nok</v>
      </c>
      <c r="J926" s="60" t="str">
        <f>IF(AND($B926=[1]rogério!$A927,[1]rogério!$B927=J$4),"ok","nok")</f>
        <v>nok</v>
      </c>
      <c r="K926" s="60" t="str">
        <f>IF(AND($B926=[1]rogério!$A927,[1]rogério!$B927=K$4),"ok","nok")</f>
        <v>nok</v>
      </c>
      <c r="L926" s="60" t="str">
        <f>IF(AND($B926=[1]rogério!$A927,[1]rogério!$B927=L$4),"ok","nok")</f>
        <v>nok</v>
      </c>
      <c r="M926" s="60" t="str">
        <f>IF(AND($B926=[1]rogério!$A927,[1]rogério!$B927=M$4),"ok","nok")</f>
        <v>nok</v>
      </c>
      <c r="N926" s="60" t="str">
        <f>IF(AND($B926=[1]rogério!$A927,[1]rogério!$B927=N$4),"ok","nok")</f>
        <v>nok</v>
      </c>
      <c r="O926" s="60" t="str">
        <f>IF(AND($B926=[1]rogério!$A927,[1]rogério!$B927=O$4),"ok","nok")</f>
        <v>nok</v>
      </c>
      <c r="P926" s="60" t="str">
        <f>IF(AND($B926=[1]rogério!$A927,[1]rogério!$B927=P$4),"ok","nok")</f>
        <v>nok</v>
      </c>
      <c r="Q926" s="60" t="str">
        <f>IF(AND($B926=[1]rogério!$A927,[1]rogério!$B927=Q$4),"ok","nok")</f>
        <v>nok</v>
      </c>
      <c r="R926" s="60" t="str">
        <f>IF(AND($B926=[1]rogério!$A927,[1]rogério!$B927=R$4),"ok","nok")</f>
        <v>ok</v>
      </c>
      <c r="S926" s="60" t="str">
        <f>IF(AND($B926=[1]rogério!$A927,[1]rogério!$B927=S$4),"ok","nok")</f>
        <v>nok</v>
      </c>
      <c r="T926" s="60" t="str">
        <f>IF(AND($B926=[1]rogério!$A927,[1]rogério!$B927=T$4),"ok","nok")</f>
        <v>nok</v>
      </c>
      <c r="U926" s="60" t="str">
        <f>IF(AND($B926=[1]rogério!$A927,[1]rogério!$B927=U$4),"ok","nok")</f>
        <v>nok</v>
      </c>
      <c r="V926" s="60" t="str">
        <f>IF(AND($B926=[1]rogério!$A927,[1]rogério!$B927=V$4),"ok","nok")</f>
        <v>nok</v>
      </c>
      <c r="W926" s="60" t="str">
        <f>IF(AND($B926=[1]rogério!$A927,[1]rogério!$B927=W$4),"ok","nok")</f>
        <v>nok</v>
      </c>
      <c r="X926" s="60" t="str">
        <f>IF(AND($B926=[1]rogério!$A927,[1]rogério!$B927=X$4),"ok","nok")</f>
        <v>nok</v>
      </c>
      <c r="Y926" s="105" t="s">
        <v>15</v>
      </c>
      <c r="Z926" s="106"/>
      <c r="AA926" s="106"/>
      <c r="AB926" s="107"/>
      <c r="AE926" s="48" t="str">
        <f t="shared" si="217"/>
        <v/>
      </c>
      <c r="AF926" s="48"/>
      <c r="AG926" s="48"/>
      <c r="AH926" s="89"/>
      <c r="AI926" s="49">
        <f t="shared" si="218"/>
        <v>0</v>
      </c>
      <c r="AJ926" s="49" t="str">
        <f t="shared" si="219"/>
        <v/>
      </c>
      <c r="AK926" s="49">
        <f t="shared" si="220"/>
        <v>0</v>
      </c>
      <c r="AL926" s="49" t="str">
        <f t="shared" si="221"/>
        <v/>
      </c>
      <c r="AM926" s="49">
        <f t="shared" si="222"/>
        <v>0</v>
      </c>
      <c r="AN926" s="49" t="str">
        <f t="shared" si="223"/>
        <v/>
      </c>
      <c r="AO926" s="49">
        <f t="shared" si="224"/>
        <v>1</v>
      </c>
      <c r="AP926" s="49" t="str">
        <f t="shared" si="225"/>
        <v/>
      </c>
      <c r="AQ926" s="49">
        <f t="shared" si="226"/>
        <v>0</v>
      </c>
      <c r="AR926" s="49" t="str">
        <f t="shared" si="227"/>
        <v/>
      </c>
    </row>
    <row r="927" spans="1:44" ht="30" customHeight="1" x14ac:dyDescent="0.35">
      <c r="A927" s="25" t="str">
        <f t="shared" si="228"/>
        <v>PT178 - ESTRUTURA METÁLICA E FUNDAÇÃO - PLATAFORMAS DE ACESSO LIFT LINE SPIDER - DETALHADO
ETAPA DE ESCRITÓRIOPROJETO DETALHADO
ESTRUTURAS METÁLICAS</v>
      </c>
      <c r="B927" s="38" t="s">
        <v>43</v>
      </c>
      <c r="C927" s="60" t="str">
        <f>IF(AND($B927=[1]rogério!$A928,[1]rogério!$B928=C$4),"ok","nok")</f>
        <v>nok</v>
      </c>
      <c r="D927" s="60" t="str">
        <f>IF(AND($B927=[1]rogério!$A928,[1]rogério!$B928=D$4),"ok","nok")</f>
        <v>nok</v>
      </c>
      <c r="E927" s="60" t="str">
        <f>IF(AND($B927=[1]rogério!$A928,[1]rogério!$B928=E$4),"ok","nok")</f>
        <v>nok</v>
      </c>
      <c r="F927" s="60" t="str">
        <f>IF(AND($B927=[1]rogério!$A928,[1]rogério!$B928=F$4),"ok","nok")</f>
        <v>nok</v>
      </c>
      <c r="G927" s="60" t="str">
        <f>IF(AND($B927=[1]rogério!$A928,[1]rogério!$B928=G$4),"ok","nok")</f>
        <v>nok</v>
      </c>
      <c r="H927" s="60" t="str">
        <f>IF(AND($B927=[1]rogério!$A928,[1]rogério!$B928=H$4),"ok","nok")</f>
        <v>nok</v>
      </c>
      <c r="I927" s="60" t="str">
        <f>IF(AND($B927=[1]rogério!$A928,[1]rogério!$B928=I$4),"ok","nok")</f>
        <v>nok</v>
      </c>
      <c r="J927" s="60" t="str">
        <f>IF(AND($B927=[1]rogério!$A928,[1]rogério!$B928=J$4),"ok","nok")</f>
        <v>nok</v>
      </c>
      <c r="K927" s="60" t="str">
        <f>IF(AND($B927=[1]rogério!$A928,[1]rogério!$B928=K$4),"ok","nok")</f>
        <v>nok</v>
      </c>
      <c r="L927" s="60" t="str">
        <f>IF(AND($B927=[1]rogério!$A928,[1]rogério!$B928=L$4),"ok","nok")</f>
        <v>nok</v>
      </c>
      <c r="M927" s="60" t="str">
        <f>IF(AND($B927=[1]rogério!$A928,[1]rogério!$B928=M$4),"ok","nok")</f>
        <v>nok</v>
      </c>
      <c r="N927" s="60" t="str">
        <f>IF(AND($B927=[1]rogério!$A928,[1]rogério!$B928=N$4),"ok","nok")</f>
        <v>nok</v>
      </c>
      <c r="O927" s="60" t="str">
        <f>IF(AND($B927=[1]rogério!$A928,[1]rogério!$B928=O$4),"ok","nok")</f>
        <v>nok</v>
      </c>
      <c r="P927" s="60" t="str">
        <f>IF(AND($B927=[1]rogério!$A928,[1]rogério!$B928=P$4),"ok","nok")</f>
        <v>nok</v>
      </c>
      <c r="Q927" s="60" t="str">
        <f>IF(AND($B927=[1]rogério!$A928,[1]rogério!$B928=Q$4),"ok","nok")</f>
        <v>nok</v>
      </c>
      <c r="R927" s="60" t="str">
        <f>IF(AND($B927=[1]rogério!$A928,[1]rogério!$B928=R$4),"ok","nok")</f>
        <v>ok</v>
      </c>
      <c r="S927" s="60" t="str">
        <f>IF(AND($B927=[1]rogério!$A928,[1]rogério!$B928=S$4),"ok","nok")</f>
        <v>nok</v>
      </c>
      <c r="T927" s="60" t="str">
        <f>IF(AND($B927=[1]rogério!$A928,[1]rogério!$B928=T$4),"ok","nok")</f>
        <v>nok</v>
      </c>
      <c r="U927" s="60" t="str">
        <f>IF(AND($B927=[1]rogério!$A928,[1]rogério!$B928=U$4),"ok","nok")</f>
        <v>nok</v>
      </c>
      <c r="V927" s="60" t="str">
        <f>IF(AND($B927=[1]rogério!$A928,[1]rogério!$B928=V$4),"ok","nok")</f>
        <v>nok</v>
      </c>
      <c r="W927" s="60" t="str">
        <f>IF(AND($B927=[1]rogério!$A928,[1]rogério!$B928=W$4),"ok","nok")</f>
        <v>nok</v>
      </c>
      <c r="X927" s="60" t="str">
        <f>IF(AND($B927=[1]rogério!$A928,[1]rogério!$B928=X$4),"ok","nok")</f>
        <v>nok</v>
      </c>
      <c r="Y927" s="105" t="s">
        <v>15</v>
      </c>
      <c r="Z927" s="106"/>
      <c r="AA927" s="106"/>
      <c r="AB927" s="107"/>
      <c r="AE927" s="48" t="str">
        <f t="shared" si="217"/>
        <v/>
      </c>
      <c r="AF927" s="48"/>
      <c r="AG927" s="48"/>
      <c r="AH927" s="89"/>
      <c r="AI927" s="49">
        <f t="shared" si="218"/>
        <v>0</v>
      </c>
      <c r="AJ927" s="49" t="str">
        <f t="shared" si="219"/>
        <v/>
      </c>
      <c r="AK927" s="49">
        <f t="shared" si="220"/>
        <v>0</v>
      </c>
      <c r="AL927" s="49" t="str">
        <f t="shared" si="221"/>
        <v/>
      </c>
      <c r="AM927" s="49">
        <f t="shared" si="222"/>
        <v>0</v>
      </c>
      <c r="AN927" s="49" t="str">
        <f t="shared" si="223"/>
        <v/>
      </c>
      <c r="AO927" s="49">
        <f t="shared" si="224"/>
        <v>1</v>
      </c>
      <c r="AP927" s="49" t="str">
        <f t="shared" si="225"/>
        <v/>
      </c>
      <c r="AQ927" s="49">
        <f t="shared" si="226"/>
        <v>0</v>
      </c>
      <c r="AR927" s="49" t="str">
        <f t="shared" si="227"/>
        <v/>
      </c>
    </row>
    <row r="928" spans="1:44" ht="30" customHeight="1" x14ac:dyDescent="0.35">
      <c r="A928" s="25" t="str">
        <f t="shared" si="228"/>
        <v>PT178 - ESTRUTURA METÁLICA E FUNDAÇÃO - PLATAFORMAS DE ACESSO LIFT LINE SPIDER - DETALHADO
ETAPA DE ESCRITÓRIOPROJETO DETALHADO
ESTRUTURAS METÁLICAS</v>
      </c>
      <c r="B928" s="38" t="s">
        <v>79</v>
      </c>
      <c r="C928" s="60" t="str">
        <f>IF(AND($B928=[1]rogério!$A929,[1]rogério!$B929=C$4),"ok","nok")</f>
        <v>nok</v>
      </c>
      <c r="D928" s="60" t="str">
        <f>IF(AND($B928=[1]rogério!$A929,[1]rogério!$B929=D$4),"ok","nok")</f>
        <v>nok</v>
      </c>
      <c r="E928" s="60" t="str">
        <f>IF(AND($B928=[1]rogério!$A929,[1]rogério!$B929=E$4),"ok","nok")</f>
        <v>nok</v>
      </c>
      <c r="F928" s="60" t="str">
        <f>IF(AND($B928=[1]rogério!$A929,[1]rogério!$B929=F$4),"ok","nok")</f>
        <v>nok</v>
      </c>
      <c r="G928" s="60" t="str">
        <f>IF(AND($B928=[1]rogério!$A929,[1]rogério!$B929=G$4),"ok","nok")</f>
        <v>nok</v>
      </c>
      <c r="H928" s="60" t="str">
        <f>IF(AND($B928=[1]rogério!$A929,[1]rogério!$B929=H$4),"ok","nok")</f>
        <v>nok</v>
      </c>
      <c r="I928" s="60" t="str">
        <f>IF(AND($B928=[1]rogério!$A929,[1]rogério!$B929=I$4),"ok","nok")</f>
        <v>nok</v>
      </c>
      <c r="J928" s="60" t="str">
        <f>IF(AND($B928=[1]rogério!$A929,[1]rogério!$B929=J$4),"ok","nok")</f>
        <v>nok</v>
      </c>
      <c r="K928" s="60" t="str">
        <f>IF(AND($B928=[1]rogério!$A929,[1]rogério!$B929=K$4),"ok","nok")</f>
        <v>nok</v>
      </c>
      <c r="L928" s="60" t="str">
        <f>IF(AND($B928=[1]rogério!$A929,[1]rogério!$B929=L$4),"ok","nok")</f>
        <v>ok</v>
      </c>
      <c r="M928" s="60" t="str">
        <f>IF(AND($B928=[1]rogério!$A929,[1]rogério!$B929=M$4),"ok","nok")</f>
        <v>nok</v>
      </c>
      <c r="N928" s="60" t="str">
        <f>IF(AND($B928=[1]rogério!$A929,[1]rogério!$B929=N$4),"ok","nok")</f>
        <v>nok</v>
      </c>
      <c r="O928" s="60" t="str">
        <f>IF(AND($B928=[1]rogério!$A929,[1]rogério!$B929=O$4),"ok","nok")</f>
        <v>nok</v>
      </c>
      <c r="P928" s="60" t="str">
        <f>IF(AND($B928=[1]rogério!$A929,[1]rogério!$B929=P$4),"ok","nok")</f>
        <v>nok</v>
      </c>
      <c r="Q928" s="60" t="str">
        <f>IF(AND($B928=[1]rogério!$A929,[1]rogério!$B929=Q$4),"ok","nok")</f>
        <v>nok</v>
      </c>
      <c r="R928" s="60" t="str">
        <f>IF(AND($B928=[1]rogério!$A929,[1]rogério!$B929=R$4),"ok","nok")</f>
        <v>nok</v>
      </c>
      <c r="S928" s="60" t="str">
        <f>IF(AND($B928=[1]rogério!$A929,[1]rogério!$B929=S$4),"ok","nok")</f>
        <v>nok</v>
      </c>
      <c r="T928" s="60" t="str">
        <f>IF(AND($B928=[1]rogério!$A929,[1]rogério!$B929=T$4),"ok","nok")</f>
        <v>nok</v>
      </c>
      <c r="U928" s="60" t="str">
        <f>IF(AND($B928=[1]rogério!$A929,[1]rogério!$B929=U$4),"ok","nok")</f>
        <v>nok</v>
      </c>
      <c r="V928" s="60" t="str">
        <f>IF(AND($B928=[1]rogério!$A929,[1]rogério!$B929=V$4),"ok","nok")</f>
        <v>nok</v>
      </c>
      <c r="W928" s="60" t="str">
        <f>IF(AND($B928=[1]rogério!$A929,[1]rogério!$B929=W$4),"ok","nok")</f>
        <v>nok</v>
      </c>
      <c r="X928" s="60" t="str">
        <f>IF(AND($B928=[1]rogério!$A929,[1]rogério!$B929=X$4),"ok","nok")</f>
        <v>nok</v>
      </c>
      <c r="Y928" s="105" t="s">
        <v>15</v>
      </c>
      <c r="Z928" s="106"/>
      <c r="AA928" s="106"/>
      <c r="AB928" s="107"/>
      <c r="AE928" s="48" t="str">
        <f t="shared" si="217"/>
        <v/>
      </c>
      <c r="AF928" s="48"/>
      <c r="AG928" s="48"/>
      <c r="AH928" s="89"/>
      <c r="AI928" s="49">
        <f t="shared" si="218"/>
        <v>0</v>
      </c>
      <c r="AJ928" s="49" t="str">
        <f t="shared" si="219"/>
        <v/>
      </c>
      <c r="AK928" s="49">
        <f t="shared" si="220"/>
        <v>1</v>
      </c>
      <c r="AL928" s="49" t="str">
        <f t="shared" si="221"/>
        <v/>
      </c>
      <c r="AM928" s="49">
        <f t="shared" si="222"/>
        <v>0</v>
      </c>
      <c r="AN928" s="49" t="str">
        <f t="shared" si="223"/>
        <v/>
      </c>
      <c r="AO928" s="49">
        <f t="shared" si="224"/>
        <v>0</v>
      </c>
      <c r="AP928" s="49" t="str">
        <f t="shared" si="225"/>
        <v/>
      </c>
      <c r="AQ928" s="49">
        <f t="shared" si="226"/>
        <v>0</v>
      </c>
      <c r="AR928" s="49" t="str">
        <f t="shared" si="227"/>
        <v/>
      </c>
    </row>
    <row r="929" spans="1:44" ht="30" customHeight="1" x14ac:dyDescent="0.35">
      <c r="A929" s="25" t="str">
        <f t="shared" si="228"/>
        <v>PT178 - ESTRUTURA METÁLICA E FUNDAÇÃO - PLATAFORMAS DE ACESSO LIFT LINE SPIDER - DETALHADO
ETAPA DE ESCRITÓRIOPROJETO DETALHADO
ESTRUTURAS METÁLICAS</v>
      </c>
      <c r="B929" s="38" t="s">
        <v>80</v>
      </c>
      <c r="C929" s="60" t="str">
        <f>IF(AND($B929=[1]rogério!$A930,[1]rogério!$B930=C$4),"ok","nok")</f>
        <v>nok</v>
      </c>
      <c r="D929" s="60" t="str">
        <f>IF(AND($B929=[1]rogério!$A930,[1]rogério!$B930=D$4),"ok","nok")</f>
        <v>nok</v>
      </c>
      <c r="E929" s="60" t="str">
        <f>IF(AND($B929=[1]rogério!$A930,[1]rogério!$B930=E$4),"ok","nok")</f>
        <v>nok</v>
      </c>
      <c r="F929" s="60" t="str">
        <f>IF(AND($B929=[1]rogério!$A930,[1]rogério!$B930=F$4),"ok","nok")</f>
        <v>nok</v>
      </c>
      <c r="G929" s="60" t="str">
        <f>IF(AND($B929=[1]rogério!$A930,[1]rogério!$B930=G$4),"ok","nok")</f>
        <v>nok</v>
      </c>
      <c r="H929" s="60" t="str">
        <f>IF(AND($B929=[1]rogério!$A930,[1]rogério!$B930=H$4),"ok","nok")</f>
        <v>nok</v>
      </c>
      <c r="I929" s="60" t="str">
        <f>IF(AND($B929=[1]rogério!$A930,[1]rogério!$B930=I$4),"ok","nok")</f>
        <v>nok</v>
      </c>
      <c r="J929" s="60" t="str">
        <f>IF(AND($B929=[1]rogério!$A930,[1]rogério!$B930=J$4),"ok","nok")</f>
        <v>nok</v>
      </c>
      <c r="K929" s="60" t="str">
        <f>IF(AND($B929=[1]rogério!$A930,[1]rogério!$B930=K$4),"ok","nok")</f>
        <v>nok</v>
      </c>
      <c r="L929" s="60" t="str">
        <f>IF(AND($B929=[1]rogério!$A930,[1]rogério!$B930=L$4),"ok","nok")</f>
        <v>nok</v>
      </c>
      <c r="M929" s="60" t="str">
        <f>IF(AND($B929=[1]rogério!$A930,[1]rogério!$B930=M$4),"ok","nok")</f>
        <v>ok</v>
      </c>
      <c r="N929" s="60" t="str">
        <f>IF(AND($B929=[1]rogério!$A930,[1]rogério!$B930=N$4),"ok","nok")</f>
        <v>nok</v>
      </c>
      <c r="O929" s="60" t="str">
        <f>IF(AND($B929=[1]rogério!$A930,[1]rogério!$B930=O$4),"ok","nok")</f>
        <v>nok</v>
      </c>
      <c r="P929" s="60" t="str">
        <f>IF(AND($B929=[1]rogério!$A930,[1]rogério!$B930=P$4),"ok","nok")</f>
        <v>nok</v>
      </c>
      <c r="Q929" s="60" t="str">
        <f>IF(AND($B929=[1]rogério!$A930,[1]rogério!$B930=Q$4),"ok","nok")</f>
        <v>nok</v>
      </c>
      <c r="R929" s="60" t="str">
        <f>IF(AND($B929=[1]rogério!$A930,[1]rogério!$B930=R$4),"ok","nok")</f>
        <v>nok</v>
      </c>
      <c r="S929" s="60" t="str">
        <f>IF(AND($B929=[1]rogério!$A930,[1]rogério!$B930=S$4),"ok","nok")</f>
        <v>nok</v>
      </c>
      <c r="T929" s="60" t="str">
        <f>IF(AND($B929=[1]rogério!$A930,[1]rogério!$B930=T$4),"ok","nok")</f>
        <v>nok</v>
      </c>
      <c r="U929" s="60" t="str">
        <f>IF(AND($B929=[1]rogério!$A930,[1]rogério!$B930=U$4),"ok","nok")</f>
        <v>nok</v>
      </c>
      <c r="V929" s="60" t="str">
        <f>IF(AND($B929=[1]rogério!$A930,[1]rogério!$B930=V$4),"ok","nok")</f>
        <v>nok</v>
      </c>
      <c r="W929" s="60" t="str">
        <f>IF(AND($B929=[1]rogério!$A930,[1]rogério!$B930=W$4),"ok","nok")</f>
        <v>nok</v>
      </c>
      <c r="X929" s="60" t="str">
        <f>IF(AND($B929=[1]rogério!$A930,[1]rogério!$B930=X$4),"ok","nok")</f>
        <v>nok</v>
      </c>
      <c r="Y929" s="105" t="s">
        <v>15</v>
      </c>
      <c r="Z929" s="106"/>
      <c r="AA929" s="106"/>
      <c r="AB929" s="107"/>
      <c r="AE929" s="48" t="str">
        <f t="shared" si="217"/>
        <v/>
      </c>
      <c r="AF929" s="48"/>
      <c r="AG929" s="48"/>
      <c r="AH929" s="89"/>
      <c r="AI929" s="49">
        <f t="shared" si="218"/>
        <v>0</v>
      </c>
      <c r="AJ929" s="49" t="str">
        <f t="shared" si="219"/>
        <v/>
      </c>
      <c r="AK929" s="49">
        <f t="shared" si="220"/>
        <v>0</v>
      </c>
      <c r="AL929" s="49" t="str">
        <f t="shared" si="221"/>
        <v/>
      </c>
      <c r="AM929" s="49">
        <f t="shared" si="222"/>
        <v>1</v>
      </c>
      <c r="AN929" s="49" t="str">
        <f t="shared" si="223"/>
        <v/>
      </c>
      <c r="AO929" s="49">
        <f t="shared" si="224"/>
        <v>0</v>
      </c>
      <c r="AP929" s="49" t="str">
        <f t="shared" si="225"/>
        <v/>
      </c>
      <c r="AQ929" s="49">
        <f t="shared" si="226"/>
        <v>0</v>
      </c>
      <c r="AR929" s="49" t="str">
        <f t="shared" si="227"/>
        <v/>
      </c>
    </row>
    <row r="930" spans="1:44" ht="30" customHeight="1" x14ac:dyDescent="0.35">
      <c r="A930" s="25"/>
      <c r="B930" s="39" t="s">
        <v>81</v>
      </c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108"/>
      <c r="Z930" s="109"/>
      <c r="AA930" s="109"/>
      <c r="AB930" s="110"/>
      <c r="AE930" s="48" t="str">
        <f t="shared" si="217"/>
        <v/>
      </c>
      <c r="AF930" s="48"/>
      <c r="AG930" s="48"/>
      <c r="AH930" s="89"/>
      <c r="AI930" s="49">
        <f t="shared" si="218"/>
        <v>0</v>
      </c>
      <c r="AJ930" s="49" t="str">
        <f t="shared" si="219"/>
        <v/>
      </c>
      <c r="AK930" s="49">
        <f t="shared" si="220"/>
        <v>0</v>
      </c>
      <c r="AL930" s="49" t="str">
        <f t="shared" si="221"/>
        <v/>
      </c>
      <c r="AM930" s="49">
        <f t="shared" si="222"/>
        <v>0</v>
      </c>
      <c r="AN930" s="49" t="str">
        <f t="shared" si="223"/>
        <v/>
      </c>
      <c r="AO930" s="49">
        <f t="shared" si="224"/>
        <v>0</v>
      </c>
      <c r="AP930" s="49" t="str">
        <f t="shared" si="225"/>
        <v/>
      </c>
      <c r="AQ930" s="49">
        <f t="shared" si="226"/>
        <v>0</v>
      </c>
      <c r="AR930" s="49" t="str">
        <f t="shared" si="227"/>
        <v/>
      </c>
    </row>
    <row r="931" spans="1:44" ht="30" customHeight="1" x14ac:dyDescent="0.35">
      <c r="A931" s="25" t="str">
        <f t="shared" si="228"/>
        <v>PT178 - ESTRUTURA METÁLICA E FUNDAÇÃO - PLATAFORMAS DE ACESSO LIFT LINE SPIDER - DETALHADO
ETAPA DE ESCRITÓRIOPROJETO DETALHADO
ESTRUTURAS METÁLICAS</v>
      </c>
      <c r="B931" s="38" t="s">
        <v>49</v>
      </c>
      <c r="C931" s="60" t="str">
        <f>IF(AND($B931=[1]rogério!$A932,[1]rogério!$B932=C$4),"ok","nok")</f>
        <v>nok</v>
      </c>
      <c r="D931" s="60" t="str">
        <f>IF(AND($B931=[1]rogério!$A932,[1]rogério!$B932=D$4),"ok","nok")</f>
        <v>nok</v>
      </c>
      <c r="E931" s="60" t="str">
        <f>IF(AND($B931=[1]rogério!$A932,[1]rogério!$B932=E$4),"ok","nok")</f>
        <v>nok</v>
      </c>
      <c r="F931" s="60" t="str">
        <f>IF(AND($B931=[1]rogério!$A932,[1]rogério!$B932=F$4),"ok","nok")</f>
        <v>nok</v>
      </c>
      <c r="G931" s="60" t="str">
        <f>IF(AND($B931=[1]rogério!$A932,[1]rogério!$B932=G$4),"ok","nok")</f>
        <v>nok</v>
      </c>
      <c r="H931" s="60" t="str">
        <f>IF(AND($B931=[1]rogério!$A932,[1]rogério!$B932=H$4),"ok","nok")</f>
        <v>nok</v>
      </c>
      <c r="I931" s="60" t="str">
        <f>IF(AND($B931=[1]rogério!$A932,[1]rogério!$B932=I$4),"ok","nok")</f>
        <v>nok</v>
      </c>
      <c r="J931" s="60" t="str">
        <f>IF(AND($B931=[1]rogério!$A932,[1]rogério!$B932=J$4),"ok","nok")</f>
        <v>nok</v>
      </c>
      <c r="K931" s="60" t="str">
        <f>IF(AND($B931=[1]rogério!$A932,[1]rogério!$B932=K$4),"ok","nok")</f>
        <v>nok</v>
      </c>
      <c r="L931" s="60" t="str">
        <f>IF(AND($B931=[1]rogério!$A932,[1]rogério!$B932=L$4),"ok","nok")</f>
        <v>nok</v>
      </c>
      <c r="M931" s="60" t="str">
        <f>IF(AND($B931=[1]rogério!$A932,[1]rogério!$B932=M$4),"ok","nok")</f>
        <v>ok</v>
      </c>
      <c r="N931" s="60" t="str">
        <f>IF(AND($B931=[1]rogério!$A932,[1]rogério!$B932=N$4),"ok","nok")</f>
        <v>nok</v>
      </c>
      <c r="O931" s="60" t="str">
        <f>IF(AND($B931=[1]rogério!$A932,[1]rogério!$B932=O$4),"ok","nok")</f>
        <v>nok</v>
      </c>
      <c r="P931" s="60" t="str">
        <f>IF(AND($B931=[1]rogério!$A932,[1]rogério!$B932=P$4),"ok","nok")</f>
        <v>nok</v>
      </c>
      <c r="Q931" s="60" t="str">
        <f>IF(AND($B931=[1]rogério!$A932,[1]rogério!$B932=Q$4),"ok","nok")</f>
        <v>nok</v>
      </c>
      <c r="R931" s="60" t="str">
        <f>IF(AND($B931=[1]rogério!$A932,[1]rogério!$B932=R$4),"ok","nok")</f>
        <v>nok</v>
      </c>
      <c r="S931" s="60" t="str">
        <f>IF(AND($B931=[1]rogério!$A932,[1]rogério!$B932=S$4),"ok","nok")</f>
        <v>nok</v>
      </c>
      <c r="T931" s="60" t="str">
        <f>IF(AND($B931=[1]rogério!$A932,[1]rogério!$B932=T$4),"ok","nok")</f>
        <v>nok</v>
      </c>
      <c r="U931" s="60" t="str">
        <f>IF(AND($B931=[1]rogério!$A932,[1]rogério!$B932=U$4),"ok","nok")</f>
        <v>nok</v>
      </c>
      <c r="V931" s="60" t="str">
        <f>IF(AND($B931=[1]rogério!$A932,[1]rogério!$B932=V$4),"ok","nok")</f>
        <v>nok</v>
      </c>
      <c r="W931" s="60" t="str">
        <f>IF(AND($B931=[1]rogério!$A932,[1]rogério!$B932=W$4),"ok","nok")</f>
        <v>nok</v>
      </c>
      <c r="X931" s="60" t="str">
        <f>IF(AND($B931=[1]rogério!$A932,[1]rogério!$B932=X$4),"ok","nok")</f>
        <v>nok</v>
      </c>
      <c r="Y931" s="105" t="s">
        <v>15</v>
      </c>
      <c r="Z931" s="106"/>
      <c r="AA931" s="106"/>
      <c r="AB931" s="107"/>
      <c r="AE931" s="48" t="str">
        <f t="shared" si="217"/>
        <v/>
      </c>
      <c r="AF931" s="48"/>
      <c r="AG931" s="48"/>
      <c r="AH931" s="89"/>
      <c r="AI931" s="49">
        <f t="shared" si="218"/>
        <v>0</v>
      </c>
      <c r="AJ931" s="49" t="str">
        <f t="shared" si="219"/>
        <v/>
      </c>
      <c r="AK931" s="49">
        <f t="shared" si="220"/>
        <v>0</v>
      </c>
      <c r="AL931" s="49" t="str">
        <f t="shared" si="221"/>
        <v/>
      </c>
      <c r="AM931" s="49">
        <f t="shared" si="222"/>
        <v>1</v>
      </c>
      <c r="AN931" s="49" t="str">
        <f t="shared" si="223"/>
        <v/>
      </c>
      <c r="AO931" s="49">
        <f t="shared" si="224"/>
        <v>0</v>
      </c>
      <c r="AP931" s="49" t="str">
        <f t="shared" si="225"/>
        <v/>
      </c>
      <c r="AQ931" s="49">
        <f t="shared" si="226"/>
        <v>0</v>
      </c>
      <c r="AR931" s="49" t="str">
        <f t="shared" si="227"/>
        <v/>
      </c>
    </row>
    <row r="932" spans="1:44" ht="30" customHeight="1" x14ac:dyDescent="0.35">
      <c r="A932" s="25" t="str">
        <f t="shared" si="228"/>
        <v>PT178 - ESTRUTURA METÁLICA E FUNDAÇÃO - PLATAFORMAS DE ACESSO LIFT LINE SPIDER - DETALHADO
ETAPA DE ESCRITÓRIOPROJETO DETALHADO
ESTRUTURAS METÁLICAS</v>
      </c>
      <c r="B932" s="38" t="s">
        <v>19</v>
      </c>
      <c r="C932" s="60" t="str">
        <f>IF(AND($B932=[1]rogério!$A933,[1]rogério!$B933=C$4),"ok","nok")</f>
        <v>nok</v>
      </c>
      <c r="D932" s="60" t="str">
        <f>IF(AND($B932=[1]rogério!$A933,[1]rogério!$B933=D$4),"ok","nok")</f>
        <v>nok</v>
      </c>
      <c r="E932" s="60" t="str">
        <f>IF(AND($B932=[1]rogério!$A933,[1]rogério!$B933=E$4),"ok","nok")</f>
        <v>nok</v>
      </c>
      <c r="F932" s="60" t="str">
        <f>IF(AND($B932=[1]rogério!$A933,[1]rogério!$B933=F$4),"ok","nok")</f>
        <v>nok</v>
      </c>
      <c r="G932" s="60" t="str">
        <f>IF(AND($B932=[1]rogério!$A933,[1]rogério!$B933=G$4),"ok","nok")</f>
        <v>nok</v>
      </c>
      <c r="H932" s="60" t="str">
        <f>IF(AND($B932=[1]rogério!$A933,[1]rogério!$B933=H$4),"ok","nok")</f>
        <v>nok</v>
      </c>
      <c r="I932" s="60" t="str">
        <f>IF(AND($B932=[1]rogério!$A933,[1]rogério!$B933=I$4),"ok","nok")</f>
        <v>nok</v>
      </c>
      <c r="J932" s="60" t="str">
        <f>IF(AND($B932=[1]rogério!$A933,[1]rogério!$B933=J$4),"ok","nok")</f>
        <v>nok</v>
      </c>
      <c r="K932" s="60" t="str">
        <f>IF(AND($B932=[1]rogério!$A933,[1]rogério!$B933=K$4),"ok","nok")</f>
        <v>nok</v>
      </c>
      <c r="L932" s="60" t="str">
        <f>IF(AND($B932=[1]rogério!$A933,[1]rogério!$B933=L$4),"ok","nok")</f>
        <v>nok</v>
      </c>
      <c r="M932" s="60" t="str">
        <f>IF(AND($B932=[1]rogério!$A933,[1]rogério!$B933=M$4),"ok","nok")</f>
        <v>nok</v>
      </c>
      <c r="N932" s="60" t="str">
        <f>IF(AND($B932=[1]rogério!$A933,[1]rogério!$B933=N$4),"ok","nok")</f>
        <v>nok</v>
      </c>
      <c r="O932" s="60" t="str">
        <f>IF(AND($B932=[1]rogério!$A933,[1]rogério!$B933=O$4),"ok","nok")</f>
        <v>nok</v>
      </c>
      <c r="P932" s="60" t="str">
        <f>IF(AND($B932=[1]rogério!$A933,[1]rogério!$B933=P$4),"ok","nok")</f>
        <v>nok</v>
      </c>
      <c r="Q932" s="60" t="str">
        <f>IF(AND($B932=[1]rogério!$A933,[1]rogério!$B933=Q$4),"ok","nok")</f>
        <v>nok</v>
      </c>
      <c r="R932" s="60" t="str">
        <f>IF(AND($B932=[1]rogério!$A933,[1]rogério!$B933=R$4),"ok","nok")</f>
        <v>ok</v>
      </c>
      <c r="S932" s="60" t="str">
        <f>IF(AND($B932=[1]rogério!$A933,[1]rogério!$B933=S$4),"ok","nok")</f>
        <v>nok</v>
      </c>
      <c r="T932" s="60" t="str">
        <f>IF(AND($B932=[1]rogério!$A933,[1]rogério!$B933=T$4),"ok","nok")</f>
        <v>nok</v>
      </c>
      <c r="U932" s="60" t="str">
        <f>IF(AND($B932=[1]rogério!$A933,[1]rogério!$B933=U$4),"ok","nok")</f>
        <v>nok</v>
      </c>
      <c r="V932" s="60" t="str">
        <f>IF(AND($B932=[1]rogério!$A933,[1]rogério!$B933=V$4),"ok","nok")</f>
        <v>nok</v>
      </c>
      <c r="W932" s="60" t="str">
        <f>IF(AND($B932=[1]rogério!$A933,[1]rogério!$B933=W$4),"ok","nok")</f>
        <v>nok</v>
      </c>
      <c r="X932" s="60" t="str">
        <f>IF(AND($B932=[1]rogério!$A933,[1]rogério!$B933=X$4),"ok","nok")</f>
        <v>nok</v>
      </c>
      <c r="Y932" s="105" t="s">
        <v>15</v>
      </c>
      <c r="Z932" s="106"/>
      <c r="AA932" s="106"/>
      <c r="AB932" s="107"/>
      <c r="AE932" s="48" t="str">
        <f t="shared" si="217"/>
        <v/>
      </c>
      <c r="AF932" s="48"/>
      <c r="AG932" s="48"/>
      <c r="AH932" s="89"/>
      <c r="AI932" s="49">
        <f t="shared" si="218"/>
        <v>0</v>
      </c>
      <c r="AJ932" s="49" t="str">
        <f t="shared" si="219"/>
        <v/>
      </c>
      <c r="AK932" s="49">
        <f t="shared" si="220"/>
        <v>0</v>
      </c>
      <c r="AL932" s="49" t="str">
        <f t="shared" si="221"/>
        <v/>
      </c>
      <c r="AM932" s="49">
        <f t="shared" si="222"/>
        <v>0</v>
      </c>
      <c r="AN932" s="49" t="str">
        <f t="shared" si="223"/>
        <v/>
      </c>
      <c r="AO932" s="49">
        <f t="shared" si="224"/>
        <v>1</v>
      </c>
      <c r="AP932" s="49" t="str">
        <f t="shared" si="225"/>
        <v/>
      </c>
      <c r="AQ932" s="49">
        <f t="shared" si="226"/>
        <v>0</v>
      </c>
      <c r="AR932" s="49" t="str">
        <f t="shared" si="227"/>
        <v/>
      </c>
    </row>
    <row r="933" spans="1:44" ht="30" customHeight="1" x14ac:dyDescent="0.35">
      <c r="A933" s="25" t="str">
        <f t="shared" si="228"/>
        <v>PT178 - ESTRUTURA METÁLICA E FUNDAÇÃO - PLATAFORMAS DE ACESSO LIFT LINE SPIDER - DETALHADO
ETAPA DE ESCRITÓRIOPROJETO DETALHADO
ESTRUTURAS METÁLICAS</v>
      </c>
      <c r="B933" s="38" t="s">
        <v>42</v>
      </c>
      <c r="C933" s="60" t="str">
        <f>IF(AND($B933=[1]rogério!$A934,[1]rogério!$B934=C$4),"ok","nok")</f>
        <v>nok</v>
      </c>
      <c r="D933" s="60" t="str">
        <f>IF(AND($B933=[1]rogério!$A934,[1]rogério!$B934=D$4),"ok","nok")</f>
        <v>nok</v>
      </c>
      <c r="E933" s="60" t="str">
        <f>IF(AND($B933=[1]rogério!$A934,[1]rogério!$B934=E$4),"ok","nok")</f>
        <v>nok</v>
      </c>
      <c r="F933" s="60" t="str">
        <f>IF(AND($B933=[1]rogério!$A934,[1]rogério!$B934=F$4),"ok","nok")</f>
        <v>nok</v>
      </c>
      <c r="G933" s="60" t="str">
        <f>IF(AND($B933=[1]rogério!$A934,[1]rogério!$B934=G$4),"ok","nok")</f>
        <v>nok</v>
      </c>
      <c r="H933" s="60" t="str">
        <f>IF(AND($B933=[1]rogério!$A934,[1]rogério!$B934=H$4),"ok","nok")</f>
        <v>nok</v>
      </c>
      <c r="I933" s="60" t="str">
        <f>IF(AND($B933=[1]rogério!$A934,[1]rogério!$B934=I$4),"ok","nok")</f>
        <v>nok</v>
      </c>
      <c r="J933" s="60" t="str">
        <f>IF(AND($B933=[1]rogério!$A934,[1]rogério!$B934=J$4),"ok","nok")</f>
        <v>nok</v>
      </c>
      <c r="K933" s="60" t="str">
        <f>IF(AND($B933=[1]rogério!$A934,[1]rogério!$B934=K$4),"ok","nok")</f>
        <v>nok</v>
      </c>
      <c r="L933" s="60" t="str">
        <f>IF(AND($B933=[1]rogério!$A934,[1]rogério!$B934=L$4),"ok","nok")</f>
        <v>nok</v>
      </c>
      <c r="M933" s="60" t="str">
        <f>IF(AND($B933=[1]rogério!$A934,[1]rogério!$B934=M$4),"ok","nok")</f>
        <v>nok</v>
      </c>
      <c r="N933" s="60" t="str">
        <f>IF(AND($B933=[1]rogério!$A934,[1]rogério!$B934=N$4),"ok","nok")</f>
        <v>nok</v>
      </c>
      <c r="O933" s="60" t="str">
        <f>IF(AND($B933=[1]rogério!$A934,[1]rogério!$B934=O$4),"ok","nok")</f>
        <v>nok</v>
      </c>
      <c r="P933" s="60" t="str">
        <f>IF(AND($B933=[1]rogério!$A934,[1]rogério!$B934=P$4),"ok","nok")</f>
        <v>nok</v>
      </c>
      <c r="Q933" s="60" t="str">
        <f>IF(AND($B933=[1]rogério!$A934,[1]rogério!$B934=Q$4),"ok","nok")</f>
        <v>nok</v>
      </c>
      <c r="R933" s="60" t="str">
        <f>IF(AND($B933=[1]rogério!$A934,[1]rogério!$B934=R$4),"ok","nok")</f>
        <v>nok</v>
      </c>
      <c r="S933" s="60" t="str">
        <f>IF(AND($B933=[1]rogério!$A934,[1]rogério!$B934=S$4),"ok","nok")</f>
        <v>nok</v>
      </c>
      <c r="T933" s="60" t="str">
        <f>IF(AND($B933=[1]rogério!$A934,[1]rogério!$B934=T$4),"ok","nok")</f>
        <v>nok</v>
      </c>
      <c r="U933" s="60" t="str">
        <f>IF(AND($B933=[1]rogério!$A934,[1]rogério!$B934=U$4),"ok","nok")</f>
        <v>ok</v>
      </c>
      <c r="V933" s="60" t="str">
        <f>IF(AND($B933=[1]rogério!$A934,[1]rogério!$B934=V$4),"ok","nok")</f>
        <v>nok</v>
      </c>
      <c r="W933" s="60" t="str">
        <f>IF(AND($B933=[1]rogério!$A934,[1]rogério!$B934=W$4),"ok","nok")</f>
        <v>nok</v>
      </c>
      <c r="X933" s="60" t="str">
        <f>IF(AND($B933=[1]rogério!$A934,[1]rogério!$B934=X$4),"ok","nok")</f>
        <v>nok</v>
      </c>
      <c r="Y933" s="105" t="s">
        <v>15</v>
      </c>
      <c r="Z933" s="106"/>
      <c r="AA933" s="106"/>
      <c r="AB933" s="107"/>
      <c r="AE933" s="48" t="str">
        <f t="shared" si="217"/>
        <v/>
      </c>
      <c r="AF933" s="48"/>
      <c r="AG933" s="48"/>
      <c r="AH933" s="89"/>
      <c r="AI933" s="49">
        <f t="shared" si="218"/>
        <v>0</v>
      </c>
      <c r="AJ933" s="49" t="str">
        <f t="shared" si="219"/>
        <v/>
      </c>
      <c r="AK933" s="49">
        <f t="shared" si="220"/>
        <v>0</v>
      </c>
      <c r="AL933" s="49" t="str">
        <f t="shared" si="221"/>
        <v/>
      </c>
      <c r="AM933" s="49">
        <f t="shared" si="222"/>
        <v>0</v>
      </c>
      <c r="AN933" s="49" t="str">
        <f t="shared" si="223"/>
        <v/>
      </c>
      <c r="AO933" s="49">
        <f t="shared" si="224"/>
        <v>1</v>
      </c>
      <c r="AP933" s="49" t="str">
        <f t="shared" si="225"/>
        <v/>
      </c>
      <c r="AQ933" s="49">
        <f t="shared" si="226"/>
        <v>0</v>
      </c>
      <c r="AR933" s="49" t="str">
        <f t="shared" si="227"/>
        <v/>
      </c>
    </row>
    <row r="934" spans="1:44" ht="30" customHeight="1" x14ac:dyDescent="0.35">
      <c r="A934" s="25" t="str">
        <f t="shared" si="228"/>
        <v>PT178 - ESTRUTURA METÁLICA E FUNDAÇÃO - PLATAFORMAS DE ACESSO LIFT LINE SPIDER - DETALHADO
ETAPA DE ESCRITÓRIOPROJETO DETALHADO
ESTRUTURAS METÁLICAS</v>
      </c>
      <c r="B934" s="38" t="s">
        <v>43</v>
      </c>
      <c r="C934" s="60" t="str">
        <f>IF(AND($B934=[1]rogério!$A935,[1]rogério!$B935=C$4),"ok","nok")</f>
        <v>nok</v>
      </c>
      <c r="D934" s="60" t="str">
        <f>IF(AND($B934=[1]rogério!$A935,[1]rogério!$B935=D$4),"ok","nok")</f>
        <v>nok</v>
      </c>
      <c r="E934" s="60" t="str">
        <f>IF(AND($B934=[1]rogério!$A935,[1]rogério!$B935=E$4),"ok","nok")</f>
        <v>nok</v>
      </c>
      <c r="F934" s="60" t="str">
        <f>IF(AND($B934=[1]rogério!$A935,[1]rogério!$B935=F$4),"ok","nok")</f>
        <v>nok</v>
      </c>
      <c r="G934" s="60" t="str">
        <f>IF(AND($B934=[1]rogério!$A935,[1]rogério!$B935=G$4),"ok","nok")</f>
        <v>nok</v>
      </c>
      <c r="H934" s="60" t="str">
        <f>IF(AND($B934=[1]rogério!$A935,[1]rogério!$B935=H$4),"ok","nok")</f>
        <v>nok</v>
      </c>
      <c r="I934" s="60" t="str">
        <f>IF(AND($B934=[1]rogério!$A935,[1]rogério!$B935=I$4),"ok","nok")</f>
        <v>nok</v>
      </c>
      <c r="J934" s="60" t="str">
        <f>IF(AND($B934=[1]rogério!$A935,[1]rogério!$B935=J$4),"ok","nok")</f>
        <v>nok</v>
      </c>
      <c r="K934" s="60" t="str">
        <f>IF(AND($B934=[1]rogério!$A935,[1]rogério!$B935=K$4),"ok","nok")</f>
        <v>nok</v>
      </c>
      <c r="L934" s="60" t="str">
        <f>IF(AND($B934=[1]rogério!$A935,[1]rogério!$B935=L$4),"ok","nok")</f>
        <v>nok</v>
      </c>
      <c r="M934" s="60" t="str">
        <f>IF(AND($B934=[1]rogério!$A935,[1]rogério!$B935=M$4),"ok","nok")</f>
        <v>nok</v>
      </c>
      <c r="N934" s="60" t="str">
        <f>IF(AND($B934=[1]rogério!$A935,[1]rogério!$B935=N$4),"ok","nok")</f>
        <v>nok</v>
      </c>
      <c r="O934" s="60" t="str">
        <f>IF(AND($B934=[1]rogério!$A935,[1]rogério!$B935=O$4),"ok","nok")</f>
        <v>nok</v>
      </c>
      <c r="P934" s="60" t="str">
        <f>IF(AND($B934=[1]rogério!$A935,[1]rogério!$B935=P$4),"ok","nok")</f>
        <v>nok</v>
      </c>
      <c r="Q934" s="60" t="str">
        <f>IF(AND($B934=[1]rogério!$A935,[1]rogério!$B935=Q$4),"ok","nok")</f>
        <v>nok</v>
      </c>
      <c r="R934" s="60" t="str">
        <f>IF(AND($B934=[1]rogério!$A935,[1]rogério!$B935=R$4),"ok","nok")</f>
        <v>nok</v>
      </c>
      <c r="S934" s="60" t="str">
        <f>IF(AND($B934=[1]rogério!$A935,[1]rogério!$B935=S$4),"ok","nok")</f>
        <v>nok</v>
      </c>
      <c r="T934" s="60" t="str">
        <f>IF(AND($B934=[1]rogério!$A935,[1]rogério!$B935=T$4),"ok","nok")</f>
        <v>nok</v>
      </c>
      <c r="U934" s="60" t="str">
        <f>IF(AND($B934=[1]rogério!$A935,[1]rogério!$B935=U$4),"ok","nok")</f>
        <v>ok</v>
      </c>
      <c r="V934" s="60" t="str">
        <f>IF(AND($B934=[1]rogério!$A935,[1]rogério!$B935=V$4),"ok","nok")</f>
        <v>nok</v>
      </c>
      <c r="W934" s="60" t="str">
        <f>IF(AND($B934=[1]rogério!$A935,[1]rogério!$B935=W$4),"ok","nok")</f>
        <v>nok</v>
      </c>
      <c r="X934" s="60" t="str">
        <f>IF(AND($B934=[1]rogério!$A935,[1]rogério!$B935=X$4),"ok","nok")</f>
        <v>nok</v>
      </c>
      <c r="Y934" s="105" t="s">
        <v>15</v>
      </c>
      <c r="Z934" s="106"/>
      <c r="AA934" s="106"/>
      <c r="AB934" s="107"/>
      <c r="AE934" s="48" t="str">
        <f t="shared" si="217"/>
        <v/>
      </c>
      <c r="AF934" s="48"/>
      <c r="AG934" s="48"/>
      <c r="AH934" s="89"/>
      <c r="AI934" s="49">
        <f t="shared" si="218"/>
        <v>0</v>
      </c>
      <c r="AJ934" s="49" t="str">
        <f t="shared" si="219"/>
        <v/>
      </c>
      <c r="AK934" s="49">
        <f t="shared" si="220"/>
        <v>0</v>
      </c>
      <c r="AL934" s="49" t="str">
        <f t="shared" si="221"/>
        <v/>
      </c>
      <c r="AM934" s="49">
        <f t="shared" si="222"/>
        <v>0</v>
      </c>
      <c r="AN934" s="49" t="str">
        <f t="shared" si="223"/>
        <v/>
      </c>
      <c r="AO934" s="49">
        <f t="shared" si="224"/>
        <v>1</v>
      </c>
      <c r="AP934" s="49" t="str">
        <f t="shared" si="225"/>
        <v/>
      </c>
      <c r="AQ934" s="49">
        <f t="shared" si="226"/>
        <v>0</v>
      </c>
      <c r="AR934" s="49" t="str">
        <f t="shared" si="227"/>
        <v/>
      </c>
    </row>
    <row r="935" spans="1:44" ht="30" customHeight="1" x14ac:dyDescent="0.35">
      <c r="A935" s="25" t="str">
        <f t="shared" si="228"/>
        <v>PT178 - ESTRUTURA METÁLICA E FUNDAÇÃO - PLATAFORMAS DE ACESSO LIFT LINE SPIDER - DETALHADO
ETAPA DE ESCRITÓRIOPROJETO DETALHADO
ESTRUTURAS METÁLICAS</v>
      </c>
      <c r="B935" s="38" t="s">
        <v>65</v>
      </c>
      <c r="C935" s="60" t="str">
        <f>IF(AND($B935=[1]rogério!$A936,[1]rogério!$B936=C$4),"ok","nok")</f>
        <v>nok</v>
      </c>
      <c r="D935" s="60" t="str">
        <f>IF(AND($B935=[1]rogério!$A936,[1]rogério!$B936=D$4),"ok","nok")</f>
        <v>nok</v>
      </c>
      <c r="E935" s="60" t="str">
        <f>IF(AND($B935=[1]rogério!$A936,[1]rogério!$B936=E$4),"ok","nok")</f>
        <v>nok</v>
      </c>
      <c r="F935" s="60" t="str">
        <f>IF(AND($B935=[1]rogério!$A936,[1]rogério!$B936=F$4),"ok","nok")</f>
        <v>nok</v>
      </c>
      <c r="G935" s="60" t="str">
        <f>IF(AND($B935=[1]rogério!$A936,[1]rogério!$B936=G$4),"ok","nok")</f>
        <v>nok</v>
      </c>
      <c r="H935" s="60" t="str">
        <f>IF(AND($B935=[1]rogério!$A936,[1]rogério!$B936=H$4),"ok","nok")</f>
        <v>nok</v>
      </c>
      <c r="I935" s="60" t="str">
        <f>IF(AND($B935=[1]rogério!$A936,[1]rogério!$B936=I$4),"ok","nok")</f>
        <v>nok</v>
      </c>
      <c r="J935" s="60" t="str">
        <f>IF(AND($B935=[1]rogério!$A936,[1]rogério!$B936=J$4),"ok","nok")</f>
        <v>nok</v>
      </c>
      <c r="K935" s="60" t="str">
        <f>IF(AND($B935=[1]rogério!$A936,[1]rogério!$B936=K$4),"ok","nok")</f>
        <v>nok</v>
      </c>
      <c r="L935" s="60" t="str">
        <f>IF(AND($B935=[1]rogério!$A936,[1]rogério!$B936=L$4),"ok","nok")</f>
        <v>nok</v>
      </c>
      <c r="M935" s="60" t="str">
        <f>IF(AND($B935=[1]rogério!$A936,[1]rogério!$B936=M$4),"ok","nok")</f>
        <v>nok</v>
      </c>
      <c r="N935" s="60" t="str">
        <f>IF(AND($B935=[1]rogério!$A936,[1]rogério!$B936=N$4),"ok","nok")</f>
        <v>nok</v>
      </c>
      <c r="O935" s="60" t="str">
        <f>IF(AND($B935=[1]rogério!$A936,[1]rogério!$B936=O$4),"ok","nok")</f>
        <v>ok</v>
      </c>
      <c r="P935" s="60" t="str">
        <f>IF(AND($B935=[1]rogério!$A936,[1]rogério!$B936=P$4),"ok","nok")</f>
        <v>nok</v>
      </c>
      <c r="Q935" s="60" t="str">
        <f>IF(AND($B935=[1]rogério!$A936,[1]rogério!$B936=Q$4),"ok","nok")</f>
        <v>nok</v>
      </c>
      <c r="R935" s="60" t="str">
        <f>IF(AND($B935=[1]rogério!$A936,[1]rogério!$B936=R$4),"ok","nok")</f>
        <v>nok</v>
      </c>
      <c r="S935" s="60" t="str">
        <f>IF(AND($B935=[1]rogério!$A936,[1]rogério!$B936=S$4),"ok","nok")</f>
        <v>nok</v>
      </c>
      <c r="T935" s="60" t="str">
        <f>IF(AND($B935=[1]rogério!$A936,[1]rogério!$B936=T$4),"ok","nok")</f>
        <v>nok</v>
      </c>
      <c r="U935" s="60" t="str">
        <f>IF(AND($B935=[1]rogério!$A936,[1]rogério!$B936=U$4),"ok","nok")</f>
        <v>nok</v>
      </c>
      <c r="V935" s="60" t="str">
        <f>IF(AND($B935=[1]rogério!$A936,[1]rogério!$B936=V$4),"ok","nok")</f>
        <v>nok</v>
      </c>
      <c r="W935" s="60" t="str">
        <f>IF(AND($B935=[1]rogério!$A936,[1]rogério!$B936=W$4),"ok","nok")</f>
        <v>nok</v>
      </c>
      <c r="X935" s="60" t="str">
        <f>IF(AND($B935=[1]rogério!$A936,[1]rogério!$B936=X$4),"ok","nok")</f>
        <v>nok</v>
      </c>
      <c r="Y935" s="105" t="s">
        <v>15</v>
      </c>
      <c r="Z935" s="106"/>
      <c r="AA935" s="106"/>
      <c r="AB935" s="107"/>
      <c r="AE935" s="48" t="str">
        <f t="shared" si="217"/>
        <v/>
      </c>
      <c r="AF935" s="48"/>
      <c r="AG935" s="48"/>
      <c r="AH935" s="89"/>
      <c r="AI935" s="49">
        <f t="shared" si="218"/>
        <v>0</v>
      </c>
      <c r="AJ935" s="49" t="str">
        <f t="shared" si="219"/>
        <v/>
      </c>
      <c r="AK935" s="49">
        <f t="shared" si="220"/>
        <v>0</v>
      </c>
      <c r="AL935" s="49" t="str">
        <f t="shared" si="221"/>
        <v/>
      </c>
      <c r="AM935" s="49">
        <f t="shared" si="222"/>
        <v>1</v>
      </c>
      <c r="AN935" s="49" t="str">
        <f t="shared" si="223"/>
        <v/>
      </c>
      <c r="AO935" s="49">
        <f t="shared" si="224"/>
        <v>0</v>
      </c>
      <c r="AP935" s="49" t="str">
        <f t="shared" si="225"/>
        <v/>
      </c>
      <c r="AQ935" s="49">
        <f t="shared" si="226"/>
        <v>0</v>
      </c>
      <c r="AR935" s="49" t="str">
        <f t="shared" si="227"/>
        <v/>
      </c>
    </row>
    <row r="936" spans="1:44" ht="30" customHeight="1" x14ac:dyDescent="0.35">
      <c r="A936" s="25" t="str">
        <f t="shared" si="228"/>
        <v>PT178 - ESTRUTURA METÁLICA E FUNDAÇÃO - PLATAFORMAS DE ACESSO LIFT LINE SPIDER - DETALHADO
ETAPA DE ESCRITÓRIOPROJETO DETALHADO
ESTRUTURAS METÁLICAS</v>
      </c>
      <c r="B936" s="38" t="s">
        <v>66</v>
      </c>
      <c r="C936" s="60" t="str">
        <f>IF(AND($B936=[1]rogério!$A937,[1]rogério!$B937=C$4),"ok","nok")</f>
        <v>nok</v>
      </c>
      <c r="D936" s="60" t="str">
        <f>IF(AND($B936=[1]rogério!$A937,[1]rogério!$B937=D$4),"ok","nok")</f>
        <v>nok</v>
      </c>
      <c r="E936" s="60" t="str">
        <f>IF(AND($B936=[1]rogério!$A937,[1]rogério!$B937=E$4),"ok","nok")</f>
        <v>nok</v>
      </c>
      <c r="F936" s="60" t="str">
        <f>IF(AND($B936=[1]rogério!$A937,[1]rogério!$B937=F$4),"ok","nok")</f>
        <v>nok</v>
      </c>
      <c r="G936" s="60" t="str">
        <f>IF(AND($B936=[1]rogério!$A937,[1]rogério!$B937=G$4),"ok","nok")</f>
        <v>nok</v>
      </c>
      <c r="H936" s="60" t="str">
        <f>IF(AND($B936=[1]rogério!$A937,[1]rogério!$B937=H$4),"ok","nok")</f>
        <v>nok</v>
      </c>
      <c r="I936" s="60" t="str">
        <f>IF(AND($B936=[1]rogério!$A937,[1]rogério!$B937=I$4),"ok","nok")</f>
        <v>nok</v>
      </c>
      <c r="J936" s="60" t="str">
        <f>IF(AND($B936=[1]rogério!$A937,[1]rogério!$B937=J$4),"ok","nok")</f>
        <v>nok</v>
      </c>
      <c r="K936" s="60" t="str">
        <f>IF(AND($B936=[1]rogério!$A937,[1]rogério!$B937=K$4),"ok","nok")</f>
        <v>nok</v>
      </c>
      <c r="L936" s="60" t="str">
        <f>IF(AND($B936=[1]rogério!$A937,[1]rogério!$B937=L$4),"ok","nok")</f>
        <v>nok</v>
      </c>
      <c r="M936" s="60" t="str">
        <f>IF(AND($B936=[1]rogério!$A937,[1]rogério!$B937=M$4),"ok","nok")</f>
        <v>nok</v>
      </c>
      <c r="N936" s="60" t="str">
        <f>IF(AND($B936=[1]rogério!$A937,[1]rogério!$B937=N$4),"ok","nok")</f>
        <v>nok</v>
      </c>
      <c r="O936" s="60" t="str">
        <f>IF(AND($B936=[1]rogério!$A937,[1]rogério!$B937=O$4),"ok","nok")</f>
        <v>nok</v>
      </c>
      <c r="P936" s="60" t="str">
        <f>IF(AND($B936=[1]rogério!$A937,[1]rogério!$B937=P$4),"ok","nok")</f>
        <v>ok</v>
      </c>
      <c r="Q936" s="60" t="str">
        <f>IF(AND($B936=[1]rogério!$A937,[1]rogério!$B937=Q$4),"ok","nok")</f>
        <v>nok</v>
      </c>
      <c r="R936" s="60" t="str">
        <f>IF(AND($B936=[1]rogério!$A937,[1]rogério!$B937=R$4),"ok","nok")</f>
        <v>nok</v>
      </c>
      <c r="S936" s="60" t="str">
        <f>IF(AND($B936=[1]rogério!$A937,[1]rogério!$B937=S$4),"ok","nok")</f>
        <v>nok</v>
      </c>
      <c r="T936" s="60" t="str">
        <f>IF(AND($B936=[1]rogério!$A937,[1]rogério!$B937=T$4),"ok","nok")</f>
        <v>nok</v>
      </c>
      <c r="U936" s="60" t="str">
        <f>IF(AND($B936=[1]rogério!$A937,[1]rogério!$B937=U$4),"ok","nok")</f>
        <v>nok</v>
      </c>
      <c r="V936" s="60" t="str">
        <f>IF(AND($B936=[1]rogério!$A937,[1]rogério!$B937=V$4),"ok","nok")</f>
        <v>nok</v>
      </c>
      <c r="W936" s="60" t="str">
        <f>IF(AND($B936=[1]rogério!$A937,[1]rogério!$B937=W$4),"ok","nok")</f>
        <v>nok</v>
      </c>
      <c r="X936" s="60" t="str">
        <f>IF(AND($B936=[1]rogério!$A937,[1]rogério!$B937=X$4),"ok","nok")</f>
        <v>nok</v>
      </c>
      <c r="Y936" s="105" t="s">
        <v>15</v>
      </c>
      <c r="Z936" s="106"/>
      <c r="AA936" s="106"/>
      <c r="AB936" s="107"/>
      <c r="AE936" s="48" t="str">
        <f t="shared" si="217"/>
        <v/>
      </c>
      <c r="AF936" s="48"/>
      <c r="AG936" s="48"/>
      <c r="AH936" s="89"/>
      <c r="AI936" s="49">
        <f t="shared" si="218"/>
        <v>0</v>
      </c>
      <c r="AJ936" s="49" t="str">
        <f t="shared" si="219"/>
        <v/>
      </c>
      <c r="AK936" s="49">
        <f t="shared" si="220"/>
        <v>0</v>
      </c>
      <c r="AL936" s="49" t="str">
        <f t="shared" si="221"/>
        <v/>
      </c>
      <c r="AM936" s="49">
        <f t="shared" si="222"/>
        <v>1</v>
      </c>
      <c r="AN936" s="49" t="str">
        <f t="shared" si="223"/>
        <v/>
      </c>
      <c r="AO936" s="49">
        <f t="shared" si="224"/>
        <v>0</v>
      </c>
      <c r="AP936" s="49" t="str">
        <f t="shared" si="225"/>
        <v/>
      </c>
      <c r="AQ936" s="49">
        <f t="shared" si="226"/>
        <v>0</v>
      </c>
      <c r="AR936" s="49" t="str">
        <f t="shared" si="227"/>
        <v/>
      </c>
    </row>
    <row r="937" spans="1:44" ht="30" customHeight="1" x14ac:dyDescent="0.35">
      <c r="A937" s="25"/>
      <c r="B937" s="39" t="s">
        <v>67</v>
      </c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108"/>
      <c r="Z937" s="109"/>
      <c r="AA937" s="109"/>
      <c r="AB937" s="110"/>
      <c r="AE937" s="48" t="str">
        <f t="shared" si="217"/>
        <v/>
      </c>
      <c r="AF937" s="48"/>
      <c r="AG937" s="48"/>
      <c r="AH937" s="89"/>
      <c r="AI937" s="49">
        <f t="shared" si="218"/>
        <v>0</v>
      </c>
      <c r="AJ937" s="49" t="str">
        <f t="shared" si="219"/>
        <v/>
      </c>
      <c r="AK937" s="49">
        <f t="shared" si="220"/>
        <v>0</v>
      </c>
      <c r="AL937" s="49" t="str">
        <f t="shared" si="221"/>
        <v/>
      </c>
      <c r="AM937" s="49">
        <f t="shared" si="222"/>
        <v>0</v>
      </c>
      <c r="AN937" s="49" t="str">
        <f t="shared" si="223"/>
        <v/>
      </c>
      <c r="AO937" s="49">
        <f t="shared" si="224"/>
        <v>0</v>
      </c>
      <c r="AP937" s="49" t="str">
        <f t="shared" si="225"/>
        <v/>
      </c>
      <c r="AQ937" s="49">
        <f t="shared" si="226"/>
        <v>0</v>
      </c>
      <c r="AR937" s="49" t="str">
        <f t="shared" si="227"/>
        <v/>
      </c>
    </row>
    <row r="938" spans="1:44" ht="30" customHeight="1" x14ac:dyDescent="0.35">
      <c r="A938" s="25" t="str">
        <f t="shared" si="228"/>
        <v>PT178 - ESTRUTURA METÁLICA E FUNDAÇÃO - PLATAFORMAS DE ACESSO LIFT LINE SPIDER - DETALHADO
ETAPA DE ESCRITÓRIOPROJETO DETALHADO
ESTRUTURAS METÁLICAS</v>
      </c>
      <c r="B938" s="38" t="s">
        <v>49</v>
      </c>
      <c r="C938" s="60" t="str">
        <f>IF(AND($B938=[1]rogério!$A939,[1]rogério!$B939=C$4),"ok","nok")</f>
        <v>nok</v>
      </c>
      <c r="D938" s="60" t="str">
        <f>IF(AND($B938=[1]rogério!$A939,[1]rogério!$B939=D$4),"ok","nok")</f>
        <v>nok</v>
      </c>
      <c r="E938" s="60" t="str">
        <f>IF(AND($B938=[1]rogério!$A939,[1]rogério!$B939=E$4),"ok","nok")</f>
        <v>nok</v>
      </c>
      <c r="F938" s="60" t="str">
        <f>IF(AND($B938=[1]rogério!$A939,[1]rogério!$B939=F$4),"ok","nok")</f>
        <v>nok</v>
      </c>
      <c r="G938" s="60" t="str">
        <f>IF(AND($B938=[1]rogério!$A939,[1]rogério!$B939=G$4),"ok","nok")</f>
        <v>nok</v>
      </c>
      <c r="H938" s="60" t="str">
        <f>IF(AND($B938=[1]rogério!$A939,[1]rogério!$B939=H$4),"ok","nok")</f>
        <v>nok</v>
      </c>
      <c r="I938" s="60" t="str">
        <f>IF(AND($B938=[1]rogério!$A939,[1]rogério!$B939=I$4),"ok","nok")</f>
        <v>nok</v>
      </c>
      <c r="J938" s="60" t="str">
        <f>IF(AND($B938=[1]rogério!$A939,[1]rogério!$B939=J$4),"ok","nok")</f>
        <v>nok</v>
      </c>
      <c r="K938" s="60" t="str">
        <f>IF(AND($B938=[1]rogério!$A939,[1]rogério!$B939=K$4),"ok","nok")</f>
        <v>nok</v>
      </c>
      <c r="L938" s="60" t="str">
        <f>IF(AND($B938=[1]rogério!$A939,[1]rogério!$B939=L$4),"ok","nok")</f>
        <v>nok</v>
      </c>
      <c r="M938" s="60" t="str">
        <f>IF(AND($B938=[1]rogério!$A939,[1]rogério!$B939=M$4),"ok","nok")</f>
        <v>nok</v>
      </c>
      <c r="N938" s="60" t="str">
        <f>IF(AND($B938=[1]rogério!$A939,[1]rogério!$B939=N$4),"ok","nok")</f>
        <v>nok</v>
      </c>
      <c r="O938" s="60" t="str">
        <f>IF(AND($B938=[1]rogério!$A939,[1]rogério!$B939=O$4),"ok","nok")</f>
        <v>nok</v>
      </c>
      <c r="P938" s="60" t="str">
        <f>IF(AND($B938=[1]rogério!$A939,[1]rogério!$B939=P$4),"ok","nok")</f>
        <v>ok</v>
      </c>
      <c r="Q938" s="60" t="str">
        <f>IF(AND($B938=[1]rogério!$A939,[1]rogério!$B939=Q$4),"ok","nok")</f>
        <v>nok</v>
      </c>
      <c r="R938" s="60" t="str">
        <f>IF(AND($B938=[1]rogério!$A939,[1]rogério!$B939=R$4),"ok","nok")</f>
        <v>nok</v>
      </c>
      <c r="S938" s="60" t="str">
        <f>IF(AND($B938=[1]rogério!$A939,[1]rogério!$B939=S$4),"ok","nok")</f>
        <v>nok</v>
      </c>
      <c r="T938" s="60" t="str">
        <f>IF(AND($B938=[1]rogério!$A939,[1]rogério!$B939=T$4),"ok","nok")</f>
        <v>nok</v>
      </c>
      <c r="U938" s="60" t="str">
        <f>IF(AND($B938=[1]rogério!$A939,[1]rogério!$B939=U$4),"ok","nok")</f>
        <v>nok</v>
      </c>
      <c r="V938" s="60" t="str">
        <f>IF(AND($B938=[1]rogério!$A939,[1]rogério!$B939=V$4),"ok","nok")</f>
        <v>nok</v>
      </c>
      <c r="W938" s="60" t="str">
        <f>IF(AND($B938=[1]rogério!$A939,[1]rogério!$B939=W$4),"ok","nok")</f>
        <v>nok</v>
      </c>
      <c r="X938" s="60" t="str">
        <f>IF(AND($B938=[1]rogério!$A939,[1]rogério!$B939=X$4),"ok","nok")</f>
        <v>nok</v>
      </c>
      <c r="Y938" s="105" t="s">
        <v>15</v>
      </c>
      <c r="Z938" s="106"/>
      <c r="AA938" s="106"/>
      <c r="AB938" s="107"/>
      <c r="AE938" s="48" t="str">
        <f t="shared" si="217"/>
        <v/>
      </c>
      <c r="AF938" s="48"/>
      <c r="AG938" s="48"/>
      <c r="AH938" s="89"/>
      <c r="AI938" s="49">
        <f t="shared" si="218"/>
        <v>0</v>
      </c>
      <c r="AJ938" s="49" t="str">
        <f t="shared" si="219"/>
        <v/>
      </c>
      <c r="AK938" s="49">
        <f t="shared" si="220"/>
        <v>0</v>
      </c>
      <c r="AL938" s="49" t="str">
        <f t="shared" si="221"/>
        <v/>
      </c>
      <c r="AM938" s="49">
        <f t="shared" si="222"/>
        <v>1</v>
      </c>
      <c r="AN938" s="49" t="str">
        <f t="shared" si="223"/>
        <v/>
      </c>
      <c r="AO938" s="49">
        <f t="shared" si="224"/>
        <v>0</v>
      </c>
      <c r="AP938" s="49" t="str">
        <f t="shared" si="225"/>
        <v/>
      </c>
      <c r="AQ938" s="49">
        <f t="shared" si="226"/>
        <v>0</v>
      </c>
      <c r="AR938" s="49" t="str">
        <f t="shared" si="227"/>
        <v/>
      </c>
    </row>
    <row r="939" spans="1:44" ht="30" customHeight="1" x14ac:dyDescent="0.35">
      <c r="A939" s="25" t="str">
        <f t="shared" si="228"/>
        <v>PT178 - ESTRUTURA METÁLICA E FUNDAÇÃO - PLATAFORMAS DE ACESSO LIFT LINE SPIDER - DETALHADO
ETAPA DE ESCRITÓRIOPROJETO DETALHADO
ESTRUTURAS METÁLICAS</v>
      </c>
      <c r="B939" s="38" t="s">
        <v>19</v>
      </c>
      <c r="C939" s="60" t="str">
        <f>IF(AND($B939=[1]rogério!$A940,[1]rogério!$B940=C$4),"ok","nok")</f>
        <v>nok</v>
      </c>
      <c r="D939" s="60" t="str">
        <f>IF(AND($B939=[1]rogério!$A940,[1]rogério!$B940=D$4),"ok","nok")</f>
        <v>nok</v>
      </c>
      <c r="E939" s="60" t="str">
        <f>IF(AND($B939=[1]rogério!$A940,[1]rogério!$B940=E$4),"ok","nok")</f>
        <v>nok</v>
      </c>
      <c r="F939" s="60" t="str">
        <f>IF(AND($B939=[1]rogério!$A940,[1]rogério!$B940=F$4),"ok","nok")</f>
        <v>nok</v>
      </c>
      <c r="G939" s="60" t="str">
        <f>IF(AND($B939=[1]rogério!$A940,[1]rogério!$B940=G$4),"ok","nok")</f>
        <v>nok</v>
      </c>
      <c r="H939" s="60" t="str">
        <f>IF(AND($B939=[1]rogério!$A940,[1]rogério!$B940=H$4),"ok","nok")</f>
        <v>nok</v>
      </c>
      <c r="I939" s="60" t="str">
        <f>IF(AND($B939=[1]rogério!$A940,[1]rogério!$B940=I$4),"ok","nok")</f>
        <v>nok</v>
      </c>
      <c r="J939" s="60" t="str">
        <f>IF(AND($B939=[1]rogério!$A940,[1]rogério!$B940=J$4),"ok","nok")</f>
        <v>nok</v>
      </c>
      <c r="K939" s="60" t="str">
        <f>IF(AND($B939=[1]rogério!$A940,[1]rogério!$B940=K$4),"ok","nok")</f>
        <v>nok</v>
      </c>
      <c r="L939" s="60" t="str">
        <f>IF(AND($B939=[1]rogério!$A940,[1]rogério!$B940=L$4),"ok","nok")</f>
        <v>nok</v>
      </c>
      <c r="M939" s="60" t="str">
        <f>IF(AND($B939=[1]rogério!$A940,[1]rogério!$B940=M$4),"ok","nok")</f>
        <v>nok</v>
      </c>
      <c r="N939" s="60" t="str">
        <f>IF(AND($B939=[1]rogério!$A940,[1]rogério!$B940=N$4),"ok","nok")</f>
        <v>nok</v>
      </c>
      <c r="O939" s="60" t="str">
        <f>IF(AND($B939=[1]rogério!$A940,[1]rogério!$B940=O$4),"ok","nok")</f>
        <v>nok</v>
      </c>
      <c r="P939" s="60" t="str">
        <f>IF(AND($B939=[1]rogério!$A940,[1]rogério!$B940=P$4),"ok","nok")</f>
        <v>nok</v>
      </c>
      <c r="Q939" s="60" t="str">
        <f>IF(AND($B939=[1]rogério!$A940,[1]rogério!$B940=Q$4),"ok","nok")</f>
        <v>nok</v>
      </c>
      <c r="R939" s="60" t="str">
        <f>IF(AND($B939=[1]rogério!$A940,[1]rogério!$B940=R$4),"ok","nok")</f>
        <v>nok</v>
      </c>
      <c r="S939" s="60" t="str">
        <f>IF(AND($B939=[1]rogério!$A940,[1]rogério!$B940=S$4),"ok","nok")</f>
        <v>nok</v>
      </c>
      <c r="T939" s="60" t="str">
        <f>IF(AND($B939=[1]rogério!$A940,[1]rogério!$B940=T$4),"ok","nok")</f>
        <v>nok</v>
      </c>
      <c r="U939" s="60" t="str">
        <f>IF(AND($B939=[1]rogério!$A940,[1]rogério!$B940=U$4),"ok","nok")</f>
        <v>ok</v>
      </c>
      <c r="V939" s="60" t="str">
        <f>IF(AND($B939=[1]rogério!$A940,[1]rogério!$B940=V$4),"ok","nok")</f>
        <v>nok</v>
      </c>
      <c r="W939" s="60" t="str">
        <f>IF(AND($B939=[1]rogério!$A940,[1]rogério!$B940=W$4),"ok","nok")</f>
        <v>nok</v>
      </c>
      <c r="X939" s="60" t="str">
        <f>IF(AND($B939=[1]rogério!$A940,[1]rogério!$B940=X$4),"ok","nok")</f>
        <v>nok</v>
      </c>
      <c r="Y939" s="105" t="s">
        <v>15</v>
      </c>
      <c r="Z939" s="106"/>
      <c r="AA939" s="106"/>
      <c r="AB939" s="107"/>
      <c r="AE939" s="48" t="str">
        <f t="shared" si="217"/>
        <v/>
      </c>
      <c r="AF939" s="48"/>
      <c r="AG939" s="48"/>
      <c r="AH939" s="89"/>
      <c r="AI939" s="49">
        <f t="shared" si="218"/>
        <v>0</v>
      </c>
      <c r="AJ939" s="49" t="str">
        <f t="shared" si="219"/>
        <v/>
      </c>
      <c r="AK939" s="49">
        <f t="shared" si="220"/>
        <v>0</v>
      </c>
      <c r="AL939" s="49" t="str">
        <f t="shared" si="221"/>
        <v/>
      </c>
      <c r="AM939" s="49">
        <f t="shared" si="222"/>
        <v>0</v>
      </c>
      <c r="AN939" s="49" t="str">
        <f t="shared" si="223"/>
        <v/>
      </c>
      <c r="AO939" s="49">
        <f t="shared" si="224"/>
        <v>1</v>
      </c>
      <c r="AP939" s="49" t="str">
        <f t="shared" si="225"/>
        <v/>
      </c>
      <c r="AQ939" s="49">
        <f t="shared" si="226"/>
        <v>0</v>
      </c>
      <c r="AR939" s="49" t="str">
        <f t="shared" si="227"/>
        <v/>
      </c>
    </row>
    <row r="940" spans="1:44" ht="30" customHeight="1" x14ac:dyDescent="0.35">
      <c r="A940" s="25" t="str">
        <f t="shared" si="228"/>
        <v>PT178 - ESTRUTURA METÁLICA E FUNDAÇÃO - PLATAFORMAS DE ACESSO LIFT LINE SPIDER - DETALHADO
ETAPA DE ESCRITÓRIOPROJETO DETALHADO
ESTRUTURAS METÁLICAS</v>
      </c>
      <c r="B940" s="38" t="s">
        <v>42</v>
      </c>
      <c r="C940" s="60" t="str">
        <f>IF(AND($B940=[1]rogério!$A941,[1]rogério!$B941=C$4),"ok","nok")</f>
        <v>nok</v>
      </c>
      <c r="D940" s="60" t="str">
        <f>IF(AND($B940=[1]rogério!$A941,[1]rogério!$B941=D$4),"ok","nok")</f>
        <v>nok</v>
      </c>
      <c r="E940" s="60" t="str">
        <f>IF(AND($B940=[1]rogério!$A941,[1]rogério!$B941=E$4),"ok","nok")</f>
        <v>nok</v>
      </c>
      <c r="F940" s="60" t="str">
        <f>IF(AND($B940=[1]rogério!$A941,[1]rogério!$B941=F$4),"ok","nok")</f>
        <v>nok</v>
      </c>
      <c r="G940" s="60" t="str">
        <f>IF(AND($B940=[1]rogério!$A941,[1]rogério!$B941=G$4),"ok","nok")</f>
        <v>nok</v>
      </c>
      <c r="H940" s="60" t="str">
        <f>IF(AND($B940=[1]rogério!$A941,[1]rogério!$B941=H$4),"ok","nok")</f>
        <v>nok</v>
      </c>
      <c r="I940" s="60" t="str">
        <f>IF(AND($B940=[1]rogério!$A941,[1]rogério!$B941=I$4),"ok","nok")</f>
        <v>nok</v>
      </c>
      <c r="J940" s="60" t="str">
        <f>IF(AND($B940=[1]rogério!$A941,[1]rogério!$B941=J$4),"ok","nok")</f>
        <v>nok</v>
      </c>
      <c r="K940" s="60" t="str">
        <f>IF(AND($B940=[1]rogério!$A941,[1]rogério!$B941=K$4),"ok","nok")</f>
        <v>nok</v>
      </c>
      <c r="L940" s="60" t="str">
        <f>IF(AND($B940=[1]rogério!$A941,[1]rogério!$B941=L$4),"ok","nok")</f>
        <v>nok</v>
      </c>
      <c r="M940" s="60" t="str">
        <f>IF(AND($B940=[1]rogério!$A941,[1]rogério!$B941=M$4),"ok","nok")</f>
        <v>nok</v>
      </c>
      <c r="N940" s="60" t="str">
        <f>IF(AND($B940=[1]rogério!$A941,[1]rogério!$B941=N$4),"ok","nok")</f>
        <v>nok</v>
      </c>
      <c r="O940" s="60" t="str">
        <f>IF(AND($B940=[1]rogério!$A941,[1]rogério!$B941=O$4),"ok","nok")</f>
        <v>nok</v>
      </c>
      <c r="P940" s="60" t="str">
        <f>IF(AND($B940=[1]rogério!$A941,[1]rogério!$B941=P$4),"ok","nok")</f>
        <v>nok</v>
      </c>
      <c r="Q940" s="60" t="str">
        <f>IF(AND($B940=[1]rogério!$A941,[1]rogério!$B941=Q$4),"ok","nok")</f>
        <v>nok</v>
      </c>
      <c r="R940" s="60" t="str">
        <f>IF(AND($B940=[1]rogério!$A941,[1]rogério!$B941=R$4),"ok","nok")</f>
        <v>nok</v>
      </c>
      <c r="S940" s="60" t="str">
        <f>IF(AND($B940=[1]rogério!$A941,[1]rogério!$B941=S$4),"ok","nok")</f>
        <v>nok</v>
      </c>
      <c r="T940" s="60" t="str">
        <f>IF(AND($B940=[1]rogério!$A941,[1]rogério!$B941=T$4),"ok","nok")</f>
        <v>nok</v>
      </c>
      <c r="U940" s="60" t="str">
        <f>IF(AND($B940=[1]rogério!$A941,[1]rogério!$B941=U$4),"ok","nok")</f>
        <v>nok</v>
      </c>
      <c r="V940" s="60" t="str">
        <f>IF(AND($B940=[1]rogério!$A941,[1]rogério!$B941=V$4),"ok","nok")</f>
        <v>nok</v>
      </c>
      <c r="W940" s="60" t="str">
        <f>IF(AND($B940=[1]rogério!$A941,[1]rogério!$B941=W$4),"ok","nok")</f>
        <v>nok</v>
      </c>
      <c r="X940" s="60" t="str">
        <f>IF(AND($B940=[1]rogério!$A941,[1]rogério!$B941=X$4),"ok","nok")</f>
        <v>ok</v>
      </c>
      <c r="Y940" s="105" t="s">
        <v>15</v>
      </c>
      <c r="Z940" s="106"/>
      <c r="AA940" s="106"/>
      <c r="AB940" s="107"/>
      <c r="AE940" s="48" t="str">
        <f t="shared" si="217"/>
        <v/>
      </c>
      <c r="AF940" s="48"/>
      <c r="AG940" s="48"/>
      <c r="AH940" s="89"/>
      <c r="AI940" s="49">
        <f t="shared" si="218"/>
        <v>0</v>
      </c>
      <c r="AJ940" s="49" t="str">
        <f t="shared" si="219"/>
        <v/>
      </c>
      <c r="AK940" s="49">
        <f t="shared" si="220"/>
        <v>0</v>
      </c>
      <c r="AL940" s="49" t="str">
        <f t="shared" si="221"/>
        <v/>
      </c>
      <c r="AM940" s="49">
        <f t="shared" si="222"/>
        <v>0</v>
      </c>
      <c r="AN940" s="49" t="str">
        <f t="shared" si="223"/>
        <v/>
      </c>
      <c r="AO940" s="49">
        <f t="shared" si="224"/>
        <v>0</v>
      </c>
      <c r="AP940" s="49" t="str">
        <f t="shared" si="225"/>
        <v/>
      </c>
      <c r="AQ940" s="49">
        <f t="shared" si="226"/>
        <v>1</v>
      </c>
      <c r="AR940" s="49" t="str">
        <f t="shared" si="227"/>
        <v/>
      </c>
    </row>
    <row r="941" spans="1:44" ht="30" customHeight="1" x14ac:dyDescent="0.35">
      <c r="A941" s="25" t="str">
        <f t="shared" si="228"/>
        <v>PT178 - ESTRUTURA METÁLICA E FUNDAÇÃO - PLATAFORMAS DE ACESSO LIFT LINE SPIDER - DETALHADO
ETAPA DE ESCRITÓRIOPROJETO DETALHADO
ESTRUTURAS METÁLICAS</v>
      </c>
      <c r="B941" s="38" t="s">
        <v>43</v>
      </c>
      <c r="C941" s="60" t="str">
        <f>IF(AND($B941=[1]rogério!$A942,[1]rogério!$B942=C$4),"ok","nok")</f>
        <v>nok</v>
      </c>
      <c r="D941" s="60" t="str">
        <f>IF(AND($B941=[1]rogério!$A942,[1]rogério!$B942=D$4),"ok","nok")</f>
        <v>nok</v>
      </c>
      <c r="E941" s="60" t="str">
        <f>IF(AND($B941=[1]rogério!$A942,[1]rogério!$B942=E$4),"ok","nok")</f>
        <v>nok</v>
      </c>
      <c r="F941" s="60" t="str">
        <f>IF(AND($B941=[1]rogério!$A942,[1]rogério!$B942=F$4),"ok","nok")</f>
        <v>nok</v>
      </c>
      <c r="G941" s="60" t="str">
        <f>IF(AND($B941=[1]rogério!$A942,[1]rogério!$B942=G$4),"ok","nok")</f>
        <v>nok</v>
      </c>
      <c r="H941" s="60" t="str">
        <f>IF(AND($B941=[1]rogério!$A942,[1]rogério!$B942=H$4),"ok","nok")</f>
        <v>nok</v>
      </c>
      <c r="I941" s="60" t="str">
        <f>IF(AND($B941=[1]rogério!$A942,[1]rogério!$B942=I$4),"ok","nok")</f>
        <v>nok</v>
      </c>
      <c r="J941" s="60" t="str">
        <f>IF(AND($B941=[1]rogério!$A942,[1]rogério!$B942=J$4),"ok","nok")</f>
        <v>nok</v>
      </c>
      <c r="K941" s="60" t="str">
        <f>IF(AND($B941=[1]rogério!$A942,[1]rogério!$B942=K$4),"ok","nok")</f>
        <v>nok</v>
      </c>
      <c r="L941" s="60" t="str">
        <f>IF(AND($B941=[1]rogério!$A942,[1]rogério!$B942=L$4),"ok","nok")</f>
        <v>nok</v>
      </c>
      <c r="M941" s="60" t="str">
        <f>IF(AND($B941=[1]rogério!$A942,[1]rogério!$B942=M$4),"ok","nok")</f>
        <v>nok</v>
      </c>
      <c r="N941" s="60" t="str">
        <f>IF(AND($B941=[1]rogério!$A942,[1]rogério!$B942=N$4),"ok","nok")</f>
        <v>nok</v>
      </c>
      <c r="O941" s="60" t="str">
        <f>IF(AND($B941=[1]rogério!$A942,[1]rogério!$B942=O$4),"ok","nok")</f>
        <v>nok</v>
      </c>
      <c r="P941" s="60" t="str">
        <f>IF(AND($B941=[1]rogério!$A942,[1]rogério!$B942=P$4),"ok","nok")</f>
        <v>nok</v>
      </c>
      <c r="Q941" s="60" t="str">
        <f>IF(AND($B941=[1]rogério!$A942,[1]rogério!$B942=Q$4),"ok","nok")</f>
        <v>nok</v>
      </c>
      <c r="R941" s="60" t="str">
        <f>IF(AND($B941=[1]rogério!$A942,[1]rogério!$B942=R$4),"ok","nok")</f>
        <v>nok</v>
      </c>
      <c r="S941" s="60" t="str">
        <f>IF(AND($B941=[1]rogério!$A942,[1]rogério!$B942=S$4),"ok","nok")</f>
        <v>nok</v>
      </c>
      <c r="T941" s="60" t="str">
        <f>IF(AND($B941=[1]rogério!$A942,[1]rogério!$B942=T$4),"ok","nok")</f>
        <v>nok</v>
      </c>
      <c r="U941" s="60" t="str">
        <f>IF(AND($B941=[1]rogério!$A942,[1]rogério!$B942=U$4),"ok","nok")</f>
        <v>nok</v>
      </c>
      <c r="V941" s="60" t="str">
        <f>IF(AND($B941=[1]rogério!$A942,[1]rogério!$B942=V$4),"ok","nok")</f>
        <v>nok</v>
      </c>
      <c r="W941" s="60" t="str">
        <f>IF(AND($B941=[1]rogério!$A942,[1]rogério!$B942=W$4),"ok","nok")</f>
        <v>nok</v>
      </c>
      <c r="X941" s="60" t="str">
        <f>IF(AND($B941=[1]rogério!$A942,[1]rogério!$B942=X$4),"ok","nok")</f>
        <v>ok</v>
      </c>
      <c r="Y941" s="105" t="s">
        <v>15</v>
      </c>
      <c r="Z941" s="106"/>
      <c r="AA941" s="106"/>
      <c r="AB941" s="107"/>
      <c r="AE941" s="48" t="str">
        <f t="shared" si="217"/>
        <v/>
      </c>
      <c r="AF941" s="48"/>
      <c r="AG941" s="48"/>
      <c r="AH941" s="89"/>
      <c r="AI941" s="49">
        <f t="shared" si="218"/>
        <v>0</v>
      </c>
      <c r="AJ941" s="49" t="str">
        <f t="shared" si="219"/>
        <v/>
      </c>
      <c r="AK941" s="49">
        <f t="shared" si="220"/>
        <v>0</v>
      </c>
      <c r="AL941" s="49" t="str">
        <f t="shared" si="221"/>
        <v/>
      </c>
      <c r="AM941" s="49">
        <f t="shared" si="222"/>
        <v>0</v>
      </c>
      <c r="AN941" s="49" t="str">
        <f t="shared" si="223"/>
        <v/>
      </c>
      <c r="AO941" s="49">
        <f t="shared" si="224"/>
        <v>0</v>
      </c>
      <c r="AP941" s="49" t="str">
        <f t="shared" si="225"/>
        <v/>
      </c>
      <c r="AQ941" s="49">
        <f t="shared" si="226"/>
        <v>1</v>
      </c>
      <c r="AR941" s="49" t="str">
        <f t="shared" si="227"/>
        <v/>
      </c>
    </row>
    <row r="942" spans="1:44" ht="30" customHeight="1" x14ac:dyDescent="0.35">
      <c r="A942" s="25" t="str">
        <f t="shared" si="228"/>
        <v>PT178 - ESTRUTURA METÁLICA E FUNDAÇÃO - PLATAFORMAS DE ACESSO LIFT LINE SPIDER - DETALHADO
ETAPA DE ESCRITÓRIOPROJETO DETALHADO
ESTRUTURAS METÁLICAS</v>
      </c>
      <c r="B942" s="38" t="s">
        <v>92</v>
      </c>
      <c r="C942" s="60" t="str">
        <f>IF(AND($B942=[1]rogério!$A943,[1]rogério!$B943=C$4),"ok","nok")</f>
        <v>nok</v>
      </c>
      <c r="D942" s="60" t="str">
        <f>IF(AND($B942=[1]rogério!$A943,[1]rogério!$B943=D$4),"ok","nok")</f>
        <v>nok</v>
      </c>
      <c r="E942" s="60" t="str">
        <f>IF(AND($B942=[1]rogério!$A943,[1]rogério!$B943=E$4),"ok","nok")</f>
        <v>nok</v>
      </c>
      <c r="F942" s="60" t="str">
        <f>IF(AND($B942=[1]rogério!$A943,[1]rogério!$B943=F$4),"ok","nok")</f>
        <v>nok</v>
      </c>
      <c r="G942" s="60" t="str">
        <f>IF(AND($B942=[1]rogério!$A943,[1]rogério!$B943=G$4),"ok","nok")</f>
        <v>nok</v>
      </c>
      <c r="H942" s="60" t="str">
        <f>IF(AND($B942=[1]rogério!$A943,[1]rogério!$B943=H$4),"ok","nok")</f>
        <v>nok</v>
      </c>
      <c r="I942" s="60" t="str">
        <f>IF(AND($B942=[1]rogério!$A943,[1]rogério!$B943=I$4),"ok","nok")</f>
        <v>nok</v>
      </c>
      <c r="J942" s="60" t="str">
        <f>IF(AND($B942=[1]rogério!$A943,[1]rogério!$B943=J$4),"ok","nok")</f>
        <v>nok</v>
      </c>
      <c r="K942" s="60" t="str">
        <f>IF(AND($B942=[1]rogério!$A943,[1]rogério!$B943=K$4),"ok","nok")</f>
        <v>nok</v>
      </c>
      <c r="L942" s="60" t="str">
        <f>IF(AND($B942=[1]rogério!$A943,[1]rogério!$B943=L$4),"ok","nok")</f>
        <v>nok</v>
      </c>
      <c r="M942" s="60" t="str">
        <f>IF(AND($B942=[1]rogério!$A943,[1]rogério!$B943=M$4),"ok","nok")</f>
        <v>nok</v>
      </c>
      <c r="N942" s="60" t="str">
        <f>IF(AND($B942=[1]rogério!$A943,[1]rogério!$B943=N$4),"ok","nok")</f>
        <v>nok</v>
      </c>
      <c r="O942" s="60" t="str">
        <f>IF(AND($B942=[1]rogério!$A943,[1]rogério!$B943=O$4),"ok","nok")</f>
        <v>nok</v>
      </c>
      <c r="P942" s="60" t="str">
        <f>IF(AND($B942=[1]rogério!$A943,[1]rogério!$B943=P$4),"ok","nok")</f>
        <v>nok</v>
      </c>
      <c r="Q942" s="60" t="str">
        <f>IF(AND($B942=[1]rogério!$A943,[1]rogério!$B943=Q$4),"ok","nok")</f>
        <v>nok</v>
      </c>
      <c r="R942" s="60" t="str">
        <f>IF(AND($B942=[1]rogério!$A943,[1]rogério!$B943=R$4),"ok","nok")</f>
        <v>ok</v>
      </c>
      <c r="S942" s="60" t="str">
        <f>IF(AND($B942=[1]rogério!$A943,[1]rogério!$B943=S$4),"ok","nok")</f>
        <v>nok</v>
      </c>
      <c r="T942" s="60" t="str">
        <f>IF(AND($B942=[1]rogério!$A943,[1]rogério!$B943=T$4),"ok","nok")</f>
        <v>nok</v>
      </c>
      <c r="U942" s="60" t="str">
        <f>IF(AND($B942=[1]rogério!$A943,[1]rogério!$B943=U$4),"ok","nok")</f>
        <v>nok</v>
      </c>
      <c r="V942" s="60" t="str">
        <f>IF(AND($B942=[1]rogério!$A943,[1]rogério!$B943=V$4),"ok","nok")</f>
        <v>nok</v>
      </c>
      <c r="W942" s="60" t="str">
        <f>IF(AND($B942=[1]rogério!$A943,[1]rogério!$B943=W$4),"ok","nok")</f>
        <v>nok</v>
      </c>
      <c r="X942" s="60" t="str">
        <f>IF(AND($B942=[1]rogério!$A943,[1]rogério!$B943=X$4),"ok","nok")</f>
        <v>nok</v>
      </c>
      <c r="Y942" s="105" t="s">
        <v>15</v>
      </c>
      <c r="Z942" s="106"/>
      <c r="AA942" s="106"/>
      <c r="AB942" s="107"/>
      <c r="AE942" s="48" t="str">
        <f t="shared" si="217"/>
        <v/>
      </c>
      <c r="AF942" s="48"/>
      <c r="AG942" s="48"/>
      <c r="AH942" s="89"/>
      <c r="AI942" s="49">
        <f t="shared" si="218"/>
        <v>0</v>
      </c>
      <c r="AJ942" s="49" t="str">
        <f t="shared" si="219"/>
        <v/>
      </c>
      <c r="AK942" s="49">
        <f t="shared" si="220"/>
        <v>0</v>
      </c>
      <c r="AL942" s="49" t="str">
        <f t="shared" si="221"/>
        <v/>
      </c>
      <c r="AM942" s="49">
        <f t="shared" si="222"/>
        <v>0</v>
      </c>
      <c r="AN942" s="49" t="str">
        <f t="shared" si="223"/>
        <v/>
      </c>
      <c r="AO942" s="49">
        <f t="shared" si="224"/>
        <v>1</v>
      </c>
      <c r="AP942" s="49" t="str">
        <f t="shared" si="225"/>
        <v/>
      </c>
      <c r="AQ942" s="49">
        <f t="shared" si="226"/>
        <v>0</v>
      </c>
      <c r="AR942" s="49" t="str">
        <f t="shared" si="227"/>
        <v/>
      </c>
    </row>
    <row r="943" spans="1:44" ht="30" customHeight="1" x14ac:dyDescent="0.35">
      <c r="A943" s="25" t="str">
        <f t="shared" si="228"/>
        <v>PT178 - ESTRUTURA METÁLICA E FUNDAÇÃO - PLATAFORMAS DE ACESSO LIFT LINE SPIDER - DETALHADO
ETAPA DE ESCRITÓRIOPROJETO DETALHADO
ESTRUTURAS METÁLICAS</v>
      </c>
      <c r="B943" s="38" t="s">
        <v>93</v>
      </c>
      <c r="C943" s="60" t="str">
        <f>IF(AND($B943=[1]rogério!$A944,[1]rogério!$B944=C$4),"ok","nok")</f>
        <v>nok</v>
      </c>
      <c r="D943" s="60" t="str">
        <f>IF(AND($B943=[1]rogério!$A944,[1]rogério!$B944=D$4),"ok","nok")</f>
        <v>nok</v>
      </c>
      <c r="E943" s="60" t="str">
        <f>IF(AND($B943=[1]rogério!$A944,[1]rogério!$B944=E$4),"ok","nok")</f>
        <v>nok</v>
      </c>
      <c r="F943" s="60" t="str">
        <f>IF(AND($B943=[1]rogério!$A944,[1]rogério!$B944=F$4),"ok","nok")</f>
        <v>nok</v>
      </c>
      <c r="G943" s="60" t="str">
        <f>IF(AND($B943=[1]rogério!$A944,[1]rogério!$B944=G$4),"ok","nok")</f>
        <v>nok</v>
      </c>
      <c r="H943" s="60" t="str">
        <f>IF(AND($B943=[1]rogério!$A944,[1]rogério!$B944=H$4),"ok","nok")</f>
        <v>nok</v>
      </c>
      <c r="I943" s="60" t="str">
        <f>IF(AND($B943=[1]rogério!$A944,[1]rogério!$B944=I$4),"ok","nok")</f>
        <v>nok</v>
      </c>
      <c r="J943" s="60" t="str">
        <f>IF(AND($B943=[1]rogério!$A944,[1]rogério!$B944=J$4),"ok","nok")</f>
        <v>nok</v>
      </c>
      <c r="K943" s="60" t="str">
        <f>IF(AND($B943=[1]rogério!$A944,[1]rogério!$B944=K$4),"ok","nok")</f>
        <v>nok</v>
      </c>
      <c r="L943" s="60" t="str">
        <f>IF(AND($B943=[1]rogério!$A944,[1]rogério!$B944=L$4),"ok","nok")</f>
        <v>nok</v>
      </c>
      <c r="M943" s="60" t="str">
        <f>IF(AND($B943=[1]rogério!$A944,[1]rogério!$B944=M$4),"ok","nok")</f>
        <v>nok</v>
      </c>
      <c r="N943" s="60" t="str">
        <f>IF(AND($B943=[1]rogério!$A944,[1]rogério!$B944=N$4),"ok","nok")</f>
        <v>nok</v>
      </c>
      <c r="O943" s="60" t="str">
        <f>IF(AND($B943=[1]rogério!$A944,[1]rogério!$B944=O$4),"ok","nok")</f>
        <v>nok</v>
      </c>
      <c r="P943" s="60" t="str">
        <f>IF(AND($B943=[1]rogério!$A944,[1]rogério!$B944=P$4),"ok","nok")</f>
        <v>nok</v>
      </c>
      <c r="Q943" s="60" t="str">
        <f>IF(AND($B943=[1]rogério!$A944,[1]rogério!$B944=Q$4),"ok","nok")</f>
        <v>nok</v>
      </c>
      <c r="R943" s="60" t="str">
        <f>IF(AND($B943=[1]rogério!$A944,[1]rogério!$B944=R$4),"ok","nok")</f>
        <v>nok</v>
      </c>
      <c r="S943" s="60" t="str">
        <f>IF(AND($B943=[1]rogério!$A944,[1]rogério!$B944=S$4),"ok","nok")</f>
        <v>ok</v>
      </c>
      <c r="T943" s="60" t="str">
        <f>IF(AND($B943=[1]rogério!$A944,[1]rogério!$B944=T$4),"ok","nok")</f>
        <v>nok</v>
      </c>
      <c r="U943" s="60" t="str">
        <f>IF(AND($B943=[1]rogério!$A944,[1]rogério!$B944=U$4),"ok","nok")</f>
        <v>nok</v>
      </c>
      <c r="V943" s="60" t="str">
        <f>IF(AND($B943=[1]rogério!$A944,[1]rogério!$B944=V$4),"ok","nok")</f>
        <v>nok</v>
      </c>
      <c r="W943" s="60" t="str">
        <f>IF(AND($B943=[1]rogério!$A944,[1]rogério!$B944=W$4),"ok","nok")</f>
        <v>nok</v>
      </c>
      <c r="X943" s="60" t="str">
        <f>IF(AND($B943=[1]rogério!$A944,[1]rogério!$B944=X$4),"ok","nok")</f>
        <v>nok</v>
      </c>
      <c r="Y943" s="105" t="s">
        <v>15</v>
      </c>
      <c r="Z943" s="106"/>
      <c r="AA943" s="106"/>
      <c r="AB943" s="107"/>
      <c r="AE943" s="48" t="str">
        <f t="shared" si="217"/>
        <v/>
      </c>
      <c r="AF943" s="48"/>
      <c r="AG943" s="48"/>
      <c r="AH943" s="89"/>
      <c r="AI943" s="49">
        <f t="shared" si="218"/>
        <v>0</v>
      </c>
      <c r="AJ943" s="49" t="str">
        <f t="shared" si="219"/>
        <v/>
      </c>
      <c r="AK943" s="49">
        <f t="shared" si="220"/>
        <v>0</v>
      </c>
      <c r="AL943" s="49" t="str">
        <f t="shared" si="221"/>
        <v/>
      </c>
      <c r="AM943" s="49">
        <f t="shared" si="222"/>
        <v>0</v>
      </c>
      <c r="AN943" s="49" t="str">
        <f t="shared" si="223"/>
        <v/>
      </c>
      <c r="AO943" s="49">
        <f t="shared" si="224"/>
        <v>1</v>
      </c>
      <c r="AP943" s="49" t="str">
        <f t="shared" si="225"/>
        <v/>
      </c>
      <c r="AQ943" s="49">
        <f t="shared" si="226"/>
        <v>0</v>
      </c>
      <c r="AR943" s="49" t="str">
        <f t="shared" si="227"/>
        <v/>
      </c>
    </row>
    <row r="944" spans="1:44" ht="30" customHeight="1" x14ac:dyDescent="0.35">
      <c r="A944" s="25"/>
      <c r="B944" s="39" t="s">
        <v>94</v>
      </c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108"/>
      <c r="Z944" s="109"/>
      <c r="AA944" s="109"/>
      <c r="AB944" s="110"/>
      <c r="AE944" s="48" t="str">
        <f t="shared" si="217"/>
        <v/>
      </c>
      <c r="AF944" s="48"/>
      <c r="AG944" s="48"/>
      <c r="AH944" s="89"/>
      <c r="AI944" s="49">
        <f t="shared" si="218"/>
        <v>0</v>
      </c>
      <c r="AJ944" s="49" t="str">
        <f t="shared" si="219"/>
        <v/>
      </c>
      <c r="AK944" s="49">
        <f t="shared" si="220"/>
        <v>0</v>
      </c>
      <c r="AL944" s="49" t="str">
        <f t="shared" si="221"/>
        <v/>
      </c>
      <c r="AM944" s="49">
        <f t="shared" si="222"/>
        <v>0</v>
      </c>
      <c r="AN944" s="49" t="str">
        <f t="shared" si="223"/>
        <v/>
      </c>
      <c r="AO944" s="49">
        <f t="shared" si="224"/>
        <v>0</v>
      </c>
      <c r="AP944" s="49" t="str">
        <f t="shared" si="225"/>
        <v/>
      </c>
      <c r="AQ944" s="49">
        <f t="shared" si="226"/>
        <v>0</v>
      </c>
      <c r="AR944" s="49" t="str">
        <f t="shared" si="227"/>
        <v/>
      </c>
    </row>
    <row r="945" spans="1:44" ht="30" customHeight="1" x14ac:dyDescent="0.35">
      <c r="A945" s="25" t="str">
        <f t="shared" si="228"/>
        <v>PT178 - ESTRUTURA METÁLICA E FUNDAÇÃO - PLATAFORMAS DE ACESSO LIFT LINE SPIDER - DETALHADO
ETAPA DE ESCRITÓRIOPROJETO DETALHADO
ESTRUTURAS METÁLICAS</v>
      </c>
      <c r="B945" s="38" t="s">
        <v>49</v>
      </c>
      <c r="C945" s="60" t="str">
        <f>IF(AND($B945=[1]rogério!$A946,[1]rogério!$B946=C$4),"ok","nok")</f>
        <v>nok</v>
      </c>
      <c r="D945" s="60" t="str">
        <f>IF(AND($B945=[1]rogério!$A946,[1]rogério!$B946=D$4),"ok","nok")</f>
        <v>nok</v>
      </c>
      <c r="E945" s="60" t="str">
        <f>IF(AND($B945=[1]rogério!$A946,[1]rogério!$B946=E$4),"ok","nok")</f>
        <v>nok</v>
      </c>
      <c r="F945" s="60" t="str">
        <f>IF(AND($B945=[1]rogério!$A946,[1]rogério!$B946=F$4),"ok","nok")</f>
        <v>nok</v>
      </c>
      <c r="G945" s="60" t="str">
        <f>IF(AND($B945=[1]rogério!$A946,[1]rogério!$B946=G$4),"ok","nok")</f>
        <v>nok</v>
      </c>
      <c r="H945" s="60" t="str">
        <f>IF(AND($B945=[1]rogério!$A946,[1]rogério!$B946=H$4),"ok","nok")</f>
        <v>nok</v>
      </c>
      <c r="I945" s="60" t="str">
        <f>IF(AND($B945=[1]rogério!$A946,[1]rogério!$B946=I$4),"ok","nok")</f>
        <v>nok</v>
      </c>
      <c r="J945" s="60" t="str">
        <f>IF(AND($B945=[1]rogério!$A946,[1]rogério!$B946=J$4),"ok","nok")</f>
        <v>nok</v>
      </c>
      <c r="K945" s="60" t="str">
        <f>IF(AND($B945=[1]rogério!$A946,[1]rogério!$B946=K$4),"ok","nok")</f>
        <v>nok</v>
      </c>
      <c r="L945" s="60" t="str">
        <f>IF(AND($B945=[1]rogério!$A946,[1]rogério!$B946=L$4),"ok","nok")</f>
        <v>nok</v>
      </c>
      <c r="M945" s="60" t="str">
        <f>IF(AND($B945=[1]rogério!$A946,[1]rogério!$B946=M$4),"ok","nok")</f>
        <v>nok</v>
      </c>
      <c r="N945" s="60" t="str">
        <f>IF(AND($B945=[1]rogério!$A946,[1]rogério!$B946=N$4),"ok","nok")</f>
        <v>nok</v>
      </c>
      <c r="O945" s="60" t="str">
        <f>IF(AND($B945=[1]rogério!$A946,[1]rogério!$B946=O$4),"ok","nok")</f>
        <v>nok</v>
      </c>
      <c r="P945" s="60" t="str">
        <f>IF(AND($B945=[1]rogério!$A946,[1]rogério!$B946=P$4),"ok","nok")</f>
        <v>nok</v>
      </c>
      <c r="Q945" s="60" t="str">
        <f>IF(AND($B945=[1]rogério!$A946,[1]rogério!$B946=Q$4),"ok","nok")</f>
        <v>nok</v>
      </c>
      <c r="R945" s="60" t="str">
        <f>IF(AND($B945=[1]rogério!$A946,[1]rogério!$B946=R$4),"ok","nok")</f>
        <v>nok</v>
      </c>
      <c r="S945" s="60" t="str">
        <f>IF(AND($B945=[1]rogério!$A946,[1]rogério!$B946=S$4),"ok","nok")</f>
        <v>ok</v>
      </c>
      <c r="T945" s="60" t="str">
        <f>IF(AND($B945=[1]rogério!$A946,[1]rogério!$B946=T$4),"ok","nok")</f>
        <v>nok</v>
      </c>
      <c r="U945" s="60" t="str">
        <f>IF(AND($B945=[1]rogério!$A946,[1]rogério!$B946=U$4),"ok","nok")</f>
        <v>nok</v>
      </c>
      <c r="V945" s="60" t="str">
        <f>IF(AND($B945=[1]rogério!$A946,[1]rogério!$B946=V$4),"ok","nok")</f>
        <v>nok</v>
      </c>
      <c r="W945" s="60" t="str">
        <f>IF(AND($B945=[1]rogério!$A946,[1]rogério!$B946=W$4),"ok","nok")</f>
        <v>nok</v>
      </c>
      <c r="X945" s="60" t="str">
        <f>IF(AND($B945=[1]rogério!$A946,[1]rogério!$B946=X$4),"ok","nok")</f>
        <v>nok</v>
      </c>
      <c r="Y945" s="105" t="s">
        <v>15</v>
      </c>
      <c r="Z945" s="106"/>
      <c r="AA945" s="106"/>
      <c r="AB945" s="107"/>
      <c r="AE945" s="48" t="str">
        <f t="shared" si="217"/>
        <v/>
      </c>
      <c r="AF945" s="48"/>
      <c r="AG945" s="48"/>
      <c r="AH945" s="89"/>
      <c r="AI945" s="49">
        <f t="shared" si="218"/>
        <v>0</v>
      </c>
      <c r="AJ945" s="49" t="str">
        <f t="shared" si="219"/>
        <v/>
      </c>
      <c r="AK945" s="49">
        <f t="shared" si="220"/>
        <v>0</v>
      </c>
      <c r="AL945" s="49" t="str">
        <f t="shared" si="221"/>
        <v/>
      </c>
      <c r="AM945" s="49">
        <f t="shared" si="222"/>
        <v>0</v>
      </c>
      <c r="AN945" s="49" t="str">
        <f t="shared" si="223"/>
        <v/>
      </c>
      <c r="AO945" s="49">
        <f t="shared" si="224"/>
        <v>1</v>
      </c>
      <c r="AP945" s="49" t="str">
        <f t="shared" si="225"/>
        <v/>
      </c>
      <c r="AQ945" s="49">
        <f t="shared" si="226"/>
        <v>0</v>
      </c>
      <c r="AR945" s="49" t="str">
        <f t="shared" si="227"/>
        <v/>
      </c>
    </row>
    <row r="946" spans="1:44" ht="30" customHeight="1" x14ac:dyDescent="0.35">
      <c r="A946" s="25" t="str">
        <f t="shared" si="228"/>
        <v>PT178 - ESTRUTURA METÁLICA E FUNDAÇÃO - PLATAFORMAS DE ACESSO LIFT LINE SPIDER - DETALHADO
ETAPA DE ESCRITÓRIOPROJETO DETALHADO
ESTRUTURAS METÁLICAS</v>
      </c>
      <c r="B946" s="38" t="s">
        <v>19</v>
      </c>
      <c r="C946" s="60" t="str">
        <f>IF(AND($B946=[1]rogério!$A947,[1]rogério!$B947=C$4),"ok","nok")</f>
        <v>nok</v>
      </c>
      <c r="D946" s="60" t="str">
        <f>IF(AND($B946=[1]rogério!$A947,[1]rogério!$B947=D$4),"ok","nok")</f>
        <v>nok</v>
      </c>
      <c r="E946" s="60" t="str">
        <f>IF(AND($B946=[1]rogério!$A947,[1]rogério!$B947=E$4),"ok","nok")</f>
        <v>nok</v>
      </c>
      <c r="F946" s="60" t="str">
        <f>IF(AND($B946=[1]rogério!$A947,[1]rogério!$B947=F$4),"ok","nok")</f>
        <v>nok</v>
      </c>
      <c r="G946" s="60" t="str">
        <f>IF(AND($B946=[1]rogério!$A947,[1]rogério!$B947=G$4),"ok","nok")</f>
        <v>nok</v>
      </c>
      <c r="H946" s="60" t="str">
        <f>IF(AND($B946=[1]rogério!$A947,[1]rogério!$B947=H$4),"ok","nok")</f>
        <v>nok</v>
      </c>
      <c r="I946" s="60" t="str">
        <f>IF(AND($B946=[1]rogério!$A947,[1]rogério!$B947=I$4),"ok","nok")</f>
        <v>nok</v>
      </c>
      <c r="J946" s="60" t="str">
        <f>IF(AND($B946=[1]rogério!$A947,[1]rogério!$B947=J$4),"ok","nok")</f>
        <v>nok</v>
      </c>
      <c r="K946" s="60" t="str">
        <f>IF(AND($B946=[1]rogério!$A947,[1]rogério!$B947=K$4),"ok","nok")</f>
        <v>nok</v>
      </c>
      <c r="L946" s="60" t="str">
        <f>IF(AND($B946=[1]rogério!$A947,[1]rogério!$B947=L$4),"ok","nok")</f>
        <v>nok</v>
      </c>
      <c r="M946" s="60" t="str">
        <f>IF(AND($B946=[1]rogério!$A947,[1]rogério!$B947=M$4),"ok","nok")</f>
        <v>nok</v>
      </c>
      <c r="N946" s="60" t="str">
        <f>IF(AND($B946=[1]rogério!$A947,[1]rogério!$B947=N$4),"ok","nok")</f>
        <v>nok</v>
      </c>
      <c r="O946" s="60" t="str">
        <f>IF(AND($B946=[1]rogério!$A947,[1]rogério!$B947=O$4),"ok","nok")</f>
        <v>nok</v>
      </c>
      <c r="P946" s="60" t="str">
        <f>IF(AND($B946=[1]rogério!$A947,[1]rogério!$B947=P$4),"ok","nok")</f>
        <v>nok</v>
      </c>
      <c r="Q946" s="60" t="str">
        <f>IF(AND($B946=[1]rogério!$A947,[1]rogério!$B947=Q$4),"ok","nok")</f>
        <v>nok</v>
      </c>
      <c r="R946" s="60" t="str">
        <f>IF(AND($B946=[1]rogério!$A947,[1]rogério!$B947=R$4),"ok","nok")</f>
        <v>nok</v>
      </c>
      <c r="S946" s="60" t="str">
        <f>IF(AND($B946=[1]rogério!$A947,[1]rogério!$B947=S$4),"ok","nok")</f>
        <v>nok</v>
      </c>
      <c r="T946" s="60" t="str">
        <f>IF(AND($B946=[1]rogério!$A947,[1]rogério!$B947=T$4),"ok","nok")</f>
        <v>nok</v>
      </c>
      <c r="U946" s="60" t="str">
        <f>IF(AND($B946=[1]rogério!$A947,[1]rogério!$B947=U$4),"ok","nok")</f>
        <v>nok</v>
      </c>
      <c r="V946" s="60" t="str">
        <f>IF(AND($B946=[1]rogério!$A947,[1]rogério!$B947=V$4),"ok","nok")</f>
        <v>nok</v>
      </c>
      <c r="W946" s="60" t="str">
        <f>IF(AND($B946=[1]rogério!$A947,[1]rogério!$B947=W$4),"ok","nok")</f>
        <v>nok</v>
      </c>
      <c r="X946" s="60" t="str">
        <f>IF(AND($B946=[1]rogério!$A947,[1]rogério!$B947=X$4),"ok","nok")</f>
        <v>ok</v>
      </c>
      <c r="Y946" s="105" t="s">
        <v>15</v>
      </c>
      <c r="Z946" s="106"/>
      <c r="AA946" s="106"/>
      <c r="AB946" s="107"/>
      <c r="AE946" s="48" t="str">
        <f t="shared" si="217"/>
        <v/>
      </c>
      <c r="AF946" s="48"/>
      <c r="AG946" s="48"/>
      <c r="AH946" s="89"/>
      <c r="AI946" s="49">
        <f t="shared" si="218"/>
        <v>0</v>
      </c>
      <c r="AJ946" s="49" t="str">
        <f t="shared" si="219"/>
        <v/>
      </c>
      <c r="AK946" s="49">
        <f t="shared" si="220"/>
        <v>0</v>
      </c>
      <c r="AL946" s="49" t="str">
        <f t="shared" si="221"/>
        <v/>
      </c>
      <c r="AM946" s="49">
        <f t="shared" si="222"/>
        <v>0</v>
      </c>
      <c r="AN946" s="49" t="str">
        <f t="shared" si="223"/>
        <v/>
      </c>
      <c r="AO946" s="49">
        <f t="shared" si="224"/>
        <v>0</v>
      </c>
      <c r="AP946" s="49" t="str">
        <f t="shared" si="225"/>
        <v/>
      </c>
      <c r="AQ946" s="49">
        <f t="shared" si="226"/>
        <v>1</v>
      </c>
      <c r="AR946" s="49" t="str">
        <f t="shared" si="227"/>
        <v/>
      </c>
    </row>
    <row r="947" spans="1:44" ht="30" customHeight="1" x14ac:dyDescent="0.35">
      <c r="B947" s="42" t="s">
        <v>64</v>
      </c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111"/>
      <c r="Z947" s="112"/>
      <c r="AA947" s="112"/>
      <c r="AB947" s="113"/>
      <c r="AE947" s="48" t="str">
        <f t="shared" si="217"/>
        <v/>
      </c>
      <c r="AF947" s="48"/>
      <c r="AG947" s="48"/>
      <c r="AH947" s="89"/>
      <c r="AI947" s="49">
        <f t="shared" si="218"/>
        <v>0</v>
      </c>
      <c r="AJ947" s="49" t="str">
        <f t="shared" si="219"/>
        <v/>
      </c>
      <c r="AK947" s="49">
        <f t="shared" si="220"/>
        <v>0</v>
      </c>
      <c r="AL947" s="49" t="str">
        <f t="shared" si="221"/>
        <v/>
      </c>
      <c r="AM947" s="49">
        <f t="shared" si="222"/>
        <v>0</v>
      </c>
      <c r="AN947" s="49" t="str">
        <f t="shared" si="223"/>
        <v/>
      </c>
      <c r="AO947" s="49">
        <f t="shared" si="224"/>
        <v>0</v>
      </c>
      <c r="AP947" s="49" t="str">
        <f t="shared" si="225"/>
        <v/>
      </c>
      <c r="AQ947" s="49">
        <f t="shared" si="226"/>
        <v>0</v>
      </c>
      <c r="AR947" s="49" t="str">
        <f t="shared" si="227"/>
        <v/>
      </c>
    </row>
    <row r="948" spans="1:44" ht="30" customHeight="1" x14ac:dyDescent="0.35">
      <c r="A948" s="25" t="str">
        <f>CONCATENATE($B$909,"
",$B$910,"",$B$911,"
",$B$947)</f>
        <v>PT178 - ESTRUTURA METÁLICA E FUNDAÇÃO - PLATAFORMAS DE ACESSO LIFT LINE SPIDER - DETALHADO
ETAPA DE ESCRITÓRIOPROJETO DETALHADO
CIVIL</v>
      </c>
      <c r="B948" s="38" t="s">
        <v>71</v>
      </c>
      <c r="C948" s="60" t="str">
        <f>IF(AND($B948=[1]rogério!$A949,[1]rogério!$B949=C$4),"ok","nok")</f>
        <v>nok</v>
      </c>
      <c r="D948" s="60" t="str">
        <f>IF(AND($B948=[1]rogério!$A949,[1]rogério!$B949=D$4),"ok","nok")</f>
        <v>nok</v>
      </c>
      <c r="E948" s="60" t="str">
        <f>IF(AND($B948=[1]rogério!$A949,[1]rogério!$B949=E$4),"ok","nok")</f>
        <v>nok</v>
      </c>
      <c r="F948" s="60" t="str">
        <f>IF(AND($B948=[1]rogério!$A949,[1]rogério!$B949=F$4),"ok","nok")</f>
        <v>nok</v>
      </c>
      <c r="G948" s="60" t="str">
        <f>IF(AND($B948=[1]rogério!$A949,[1]rogério!$B949=G$4),"ok","nok")</f>
        <v>ok</v>
      </c>
      <c r="H948" s="60" t="str">
        <f>IF(AND($B948=[1]rogério!$A949,[1]rogério!$B949=H$4),"ok","nok")</f>
        <v>nok</v>
      </c>
      <c r="I948" s="60" t="str">
        <f>IF(AND($B948=[1]rogério!$A949,[1]rogério!$B949=I$4),"ok","nok")</f>
        <v>nok</v>
      </c>
      <c r="J948" s="60" t="str">
        <f>IF(AND($B948=[1]rogério!$A949,[1]rogério!$B949=J$4),"ok","nok")</f>
        <v>nok</v>
      </c>
      <c r="K948" s="60" t="str">
        <f>IF(AND($B948=[1]rogério!$A949,[1]rogério!$B949=K$4),"ok","nok")</f>
        <v>nok</v>
      </c>
      <c r="L948" s="60" t="str">
        <f>IF(AND($B948=[1]rogério!$A949,[1]rogério!$B949=L$4),"ok","nok")</f>
        <v>nok</v>
      </c>
      <c r="M948" s="60" t="str">
        <f>IF(AND($B948=[1]rogério!$A949,[1]rogério!$B949=M$4),"ok","nok")</f>
        <v>nok</v>
      </c>
      <c r="N948" s="60" t="str">
        <f>IF(AND($B948=[1]rogério!$A949,[1]rogério!$B949=N$4),"ok","nok")</f>
        <v>nok</v>
      </c>
      <c r="O948" s="60" t="str">
        <f>IF(AND($B948=[1]rogério!$A949,[1]rogério!$B949=O$4),"ok","nok")</f>
        <v>nok</v>
      </c>
      <c r="P948" s="60" t="str">
        <f>IF(AND($B948=[1]rogério!$A949,[1]rogério!$B949=P$4),"ok","nok")</f>
        <v>nok</v>
      </c>
      <c r="Q948" s="60" t="str">
        <f>IF(AND($B948=[1]rogério!$A949,[1]rogério!$B949=Q$4),"ok","nok")</f>
        <v>nok</v>
      </c>
      <c r="R948" s="60" t="str">
        <f>IF(AND($B948=[1]rogério!$A949,[1]rogério!$B949=R$4),"ok","nok")</f>
        <v>nok</v>
      </c>
      <c r="S948" s="60" t="str">
        <f>IF(AND($B948=[1]rogério!$A949,[1]rogério!$B949=S$4),"ok","nok")</f>
        <v>nok</v>
      </c>
      <c r="T948" s="60" t="str">
        <f>IF(AND($B948=[1]rogério!$A949,[1]rogério!$B949=T$4),"ok","nok")</f>
        <v>nok</v>
      </c>
      <c r="U948" s="60" t="str">
        <f>IF(AND($B948=[1]rogério!$A949,[1]rogério!$B949=U$4),"ok","nok")</f>
        <v>nok</v>
      </c>
      <c r="V948" s="60" t="str">
        <f>IF(AND($B948=[1]rogério!$A949,[1]rogério!$B949=V$4),"ok","nok")</f>
        <v>nok</v>
      </c>
      <c r="W948" s="60" t="str">
        <f>IF(AND($B948=[1]rogério!$A949,[1]rogério!$B949=W$4),"ok","nok")</f>
        <v>nok</v>
      </c>
      <c r="X948" s="60" t="str">
        <f>IF(AND($B948=[1]rogério!$A949,[1]rogério!$B949=X$4),"ok","nok")</f>
        <v>nok</v>
      </c>
      <c r="Y948" s="105" t="s">
        <v>15</v>
      </c>
      <c r="Z948" s="106"/>
      <c r="AA948" s="106"/>
      <c r="AB948" s="107"/>
      <c r="AE948" s="48" t="str">
        <f t="shared" si="217"/>
        <v/>
      </c>
      <c r="AF948" s="48"/>
      <c r="AG948" s="48"/>
      <c r="AH948" s="89"/>
      <c r="AI948" s="49">
        <f t="shared" si="218"/>
        <v>1</v>
      </c>
      <c r="AJ948" s="49" t="str">
        <f t="shared" si="219"/>
        <v/>
      </c>
      <c r="AK948" s="49">
        <f t="shared" si="220"/>
        <v>0</v>
      </c>
      <c r="AL948" s="49" t="str">
        <f t="shared" si="221"/>
        <v/>
      </c>
      <c r="AM948" s="49">
        <f t="shared" si="222"/>
        <v>0</v>
      </c>
      <c r="AN948" s="49" t="str">
        <f t="shared" si="223"/>
        <v/>
      </c>
      <c r="AO948" s="49">
        <f t="shared" si="224"/>
        <v>0</v>
      </c>
      <c r="AP948" s="49" t="str">
        <f t="shared" si="225"/>
        <v/>
      </c>
      <c r="AQ948" s="49">
        <f t="shared" si="226"/>
        <v>0</v>
      </c>
      <c r="AR948" s="49" t="str">
        <f t="shared" si="227"/>
        <v/>
      </c>
    </row>
    <row r="949" spans="1:44" ht="30" customHeight="1" x14ac:dyDescent="0.35">
      <c r="A949" s="25"/>
      <c r="B949" s="39" t="s">
        <v>41</v>
      </c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108"/>
      <c r="Z949" s="109"/>
      <c r="AA949" s="109"/>
      <c r="AB949" s="110"/>
      <c r="AE949" s="48" t="str">
        <f t="shared" si="217"/>
        <v/>
      </c>
      <c r="AF949" s="48"/>
      <c r="AG949" s="48"/>
      <c r="AH949" s="89"/>
      <c r="AI949" s="49">
        <f t="shared" si="218"/>
        <v>0</v>
      </c>
      <c r="AJ949" s="49" t="str">
        <f t="shared" si="219"/>
        <v/>
      </c>
      <c r="AK949" s="49">
        <f t="shared" si="220"/>
        <v>0</v>
      </c>
      <c r="AL949" s="49" t="str">
        <f t="shared" si="221"/>
        <v/>
      </c>
      <c r="AM949" s="49">
        <f t="shared" si="222"/>
        <v>0</v>
      </c>
      <c r="AN949" s="49" t="str">
        <f t="shared" si="223"/>
        <v/>
      </c>
      <c r="AO949" s="49">
        <f t="shared" si="224"/>
        <v>0</v>
      </c>
      <c r="AP949" s="49" t="str">
        <f t="shared" si="225"/>
        <v/>
      </c>
      <c r="AQ949" s="49">
        <f t="shared" si="226"/>
        <v>0</v>
      </c>
      <c r="AR949" s="49" t="str">
        <f t="shared" si="227"/>
        <v/>
      </c>
    </row>
    <row r="950" spans="1:44" ht="30" customHeight="1" x14ac:dyDescent="0.35">
      <c r="A950" s="25" t="str">
        <f t="shared" ref="A950:A986" si="229">CONCATENATE($B$909,"
",$B$910,"",$B$911,"
",$B$947)</f>
        <v>PT178 - ESTRUTURA METÁLICA E FUNDAÇÃO - PLATAFORMAS DE ACESSO LIFT LINE SPIDER - DETALHADO
ETAPA DE ESCRITÓRIOPROJETO DETALHADO
CIVIL</v>
      </c>
      <c r="B950" s="38" t="s">
        <v>49</v>
      </c>
      <c r="C950" s="60" t="str">
        <f>IF(AND($B950=[1]rogério!$A951,[1]rogério!$B951=C$4),"ok","nok")</f>
        <v>nok</v>
      </c>
      <c r="D950" s="60" t="str">
        <f>IF(AND($B950=[1]rogério!$A951,[1]rogério!$B951=D$4),"ok","nok")</f>
        <v>nok</v>
      </c>
      <c r="E950" s="60" t="str">
        <f>IF(AND($B950=[1]rogério!$A951,[1]rogério!$B951=E$4),"ok","nok")</f>
        <v>nok</v>
      </c>
      <c r="F950" s="60" t="str">
        <f>IF(AND($B950=[1]rogério!$A951,[1]rogério!$B951=F$4),"ok","nok")</f>
        <v>nok</v>
      </c>
      <c r="G950" s="60" t="str">
        <f>IF(AND($B950=[1]rogério!$A951,[1]rogério!$B951=G$4),"ok","nok")</f>
        <v>ok</v>
      </c>
      <c r="H950" s="60" t="str">
        <f>IF(AND($B950=[1]rogério!$A951,[1]rogério!$B951=H$4),"ok","nok")</f>
        <v>nok</v>
      </c>
      <c r="I950" s="60" t="str">
        <f>IF(AND($B950=[1]rogério!$A951,[1]rogério!$B951=I$4),"ok","nok")</f>
        <v>nok</v>
      </c>
      <c r="J950" s="60" t="str">
        <f>IF(AND($B950=[1]rogério!$A951,[1]rogério!$B951=J$4),"ok","nok")</f>
        <v>nok</v>
      </c>
      <c r="K950" s="60" t="str">
        <f>IF(AND($B950=[1]rogério!$A951,[1]rogério!$B951=K$4),"ok","nok")</f>
        <v>nok</v>
      </c>
      <c r="L950" s="60" t="str">
        <f>IF(AND($B950=[1]rogério!$A951,[1]rogério!$B951=L$4),"ok","nok")</f>
        <v>nok</v>
      </c>
      <c r="M950" s="60" t="str">
        <f>IF(AND($B950=[1]rogério!$A951,[1]rogério!$B951=M$4),"ok","nok")</f>
        <v>nok</v>
      </c>
      <c r="N950" s="60" t="str">
        <f>IF(AND($B950=[1]rogério!$A951,[1]rogério!$B951=N$4),"ok","nok")</f>
        <v>nok</v>
      </c>
      <c r="O950" s="60" t="str">
        <f>IF(AND($B950=[1]rogério!$A951,[1]rogério!$B951=O$4),"ok","nok")</f>
        <v>nok</v>
      </c>
      <c r="P950" s="60" t="str">
        <f>IF(AND($B950=[1]rogério!$A951,[1]rogério!$B951=P$4),"ok","nok")</f>
        <v>nok</v>
      </c>
      <c r="Q950" s="60" t="str">
        <f>IF(AND($B950=[1]rogério!$A951,[1]rogério!$B951=Q$4),"ok","nok")</f>
        <v>nok</v>
      </c>
      <c r="R950" s="60" t="str">
        <f>IF(AND($B950=[1]rogério!$A951,[1]rogério!$B951=R$4),"ok","nok")</f>
        <v>nok</v>
      </c>
      <c r="S950" s="60" t="str">
        <f>IF(AND($B950=[1]rogério!$A951,[1]rogério!$B951=S$4),"ok","nok")</f>
        <v>nok</v>
      </c>
      <c r="T950" s="60" t="str">
        <f>IF(AND($B950=[1]rogério!$A951,[1]rogério!$B951=T$4),"ok","nok")</f>
        <v>nok</v>
      </c>
      <c r="U950" s="60" t="str">
        <f>IF(AND($B950=[1]rogério!$A951,[1]rogério!$B951=U$4),"ok","nok")</f>
        <v>nok</v>
      </c>
      <c r="V950" s="60" t="str">
        <f>IF(AND($B950=[1]rogério!$A951,[1]rogério!$B951=V$4),"ok","nok")</f>
        <v>nok</v>
      </c>
      <c r="W950" s="60" t="str">
        <f>IF(AND($B950=[1]rogério!$A951,[1]rogério!$B951=W$4),"ok","nok")</f>
        <v>nok</v>
      </c>
      <c r="X950" s="60" t="str">
        <f>IF(AND($B950=[1]rogério!$A951,[1]rogério!$B951=X$4),"ok","nok")</f>
        <v>nok</v>
      </c>
      <c r="Y950" s="105" t="s">
        <v>15</v>
      </c>
      <c r="Z950" s="106"/>
      <c r="AA950" s="106"/>
      <c r="AB950" s="107"/>
      <c r="AE950" s="48" t="str">
        <f t="shared" si="217"/>
        <v/>
      </c>
      <c r="AF950" s="48"/>
      <c r="AG950" s="48"/>
      <c r="AH950" s="89"/>
      <c r="AI950" s="49">
        <f t="shared" si="218"/>
        <v>1</v>
      </c>
      <c r="AJ950" s="49" t="str">
        <f t="shared" si="219"/>
        <v/>
      </c>
      <c r="AK950" s="49">
        <f t="shared" si="220"/>
        <v>0</v>
      </c>
      <c r="AL950" s="49" t="str">
        <f t="shared" si="221"/>
        <v/>
      </c>
      <c r="AM950" s="49">
        <f t="shared" si="222"/>
        <v>0</v>
      </c>
      <c r="AN950" s="49" t="str">
        <f t="shared" si="223"/>
        <v/>
      </c>
      <c r="AO950" s="49">
        <f t="shared" si="224"/>
        <v>0</v>
      </c>
      <c r="AP950" s="49" t="str">
        <f t="shared" si="225"/>
        <v/>
      </c>
      <c r="AQ950" s="49">
        <f t="shared" si="226"/>
        <v>0</v>
      </c>
      <c r="AR950" s="49" t="str">
        <f t="shared" si="227"/>
        <v/>
      </c>
    </row>
    <row r="951" spans="1:44" ht="30" customHeight="1" x14ac:dyDescent="0.35">
      <c r="A951" s="25" t="str">
        <f t="shared" si="229"/>
        <v>PT178 - ESTRUTURA METÁLICA E FUNDAÇÃO - PLATAFORMAS DE ACESSO LIFT LINE SPIDER - DETALHADO
ETAPA DE ESCRITÓRIOPROJETO DETALHADO
CIVIL</v>
      </c>
      <c r="B951" s="38" t="s">
        <v>19</v>
      </c>
      <c r="C951" s="60" t="str">
        <f>IF(AND($B951=[1]rogério!$A952,[1]rogério!$B952=C$4),"ok","nok")</f>
        <v>nok</v>
      </c>
      <c r="D951" s="60" t="str">
        <f>IF(AND($B951=[1]rogério!$A952,[1]rogério!$B952=D$4),"ok","nok")</f>
        <v>nok</v>
      </c>
      <c r="E951" s="60" t="str">
        <f>IF(AND($B951=[1]rogério!$A952,[1]rogério!$B952=E$4),"ok","nok")</f>
        <v>nok</v>
      </c>
      <c r="F951" s="60" t="str">
        <f>IF(AND($B951=[1]rogério!$A952,[1]rogério!$B952=F$4),"ok","nok")</f>
        <v>nok</v>
      </c>
      <c r="G951" s="60" t="str">
        <f>IF(AND($B951=[1]rogério!$A952,[1]rogério!$B952=G$4),"ok","nok")</f>
        <v>nok</v>
      </c>
      <c r="H951" s="60" t="str">
        <f>IF(AND($B951=[1]rogério!$A952,[1]rogério!$B952=H$4),"ok","nok")</f>
        <v>nok</v>
      </c>
      <c r="I951" s="60" t="str">
        <f>IF(AND($B951=[1]rogério!$A952,[1]rogério!$B952=I$4),"ok","nok")</f>
        <v>nok</v>
      </c>
      <c r="J951" s="60" t="str">
        <f>IF(AND($B951=[1]rogério!$A952,[1]rogério!$B952=J$4),"ok","nok")</f>
        <v>nok</v>
      </c>
      <c r="K951" s="60" t="str">
        <f>IF(AND($B951=[1]rogério!$A952,[1]rogério!$B952=K$4),"ok","nok")</f>
        <v>nok</v>
      </c>
      <c r="L951" s="60" t="str">
        <f>IF(AND($B951=[1]rogério!$A952,[1]rogério!$B952=L$4),"ok","nok")</f>
        <v>ok</v>
      </c>
      <c r="M951" s="60" t="str">
        <f>IF(AND($B951=[1]rogério!$A952,[1]rogério!$B952=M$4),"ok","nok")</f>
        <v>nok</v>
      </c>
      <c r="N951" s="60" t="str">
        <f>IF(AND($B951=[1]rogério!$A952,[1]rogério!$B952=N$4),"ok","nok")</f>
        <v>nok</v>
      </c>
      <c r="O951" s="60" t="str">
        <f>IF(AND($B951=[1]rogério!$A952,[1]rogério!$B952=O$4),"ok","nok")</f>
        <v>nok</v>
      </c>
      <c r="P951" s="60" t="str">
        <f>IF(AND($B951=[1]rogério!$A952,[1]rogério!$B952=P$4),"ok","nok")</f>
        <v>nok</v>
      </c>
      <c r="Q951" s="60" t="str">
        <f>IF(AND($B951=[1]rogério!$A952,[1]rogério!$B952=Q$4),"ok","nok")</f>
        <v>nok</v>
      </c>
      <c r="R951" s="60" t="str">
        <f>IF(AND($B951=[1]rogério!$A952,[1]rogério!$B952=R$4),"ok","nok")</f>
        <v>nok</v>
      </c>
      <c r="S951" s="60" t="str">
        <f>IF(AND($B951=[1]rogério!$A952,[1]rogério!$B952=S$4),"ok","nok")</f>
        <v>nok</v>
      </c>
      <c r="T951" s="60" t="str">
        <f>IF(AND($B951=[1]rogério!$A952,[1]rogério!$B952=T$4),"ok","nok")</f>
        <v>nok</v>
      </c>
      <c r="U951" s="60" t="str">
        <f>IF(AND($B951=[1]rogério!$A952,[1]rogério!$B952=U$4),"ok","nok")</f>
        <v>nok</v>
      </c>
      <c r="V951" s="60" t="str">
        <f>IF(AND($B951=[1]rogério!$A952,[1]rogério!$B952=V$4),"ok","nok")</f>
        <v>nok</v>
      </c>
      <c r="W951" s="60" t="str">
        <f>IF(AND($B951=[1]rogério!$A952,[1]rogério!$B952=W$4),"ok","nok")</f>
        <v>nok</v>
      </c>
      <c r="X951" s="60" t="str">
        <f>IF(AND($B951=[1]rogério!$A952,[1]rogério!$B952=X$4),"ok","nok")</f>
        <v>nok</v>
      </c>
      <c r="Y951" s="105" t="s">
        <v>15</v>
      </c>
      <c r="Z951" s="106"/>
      <c r="AA951" s="106"/>
      <c r="AB951" s="107"/>
      <c r="AE951" s="48" t="str">
        <f t="shared" si="217"/>
        <v/>
      </c>
      <c r="AF951" s="48"/>
      <c r="AG951" s="48"/>
      <c r="AH951" s="89"/>
      <c r="AI951" s="49">
        <f t="shared" si="218"/>
        <v>0</v>
      </c>
      <c r="AJ951" s="49" t="str">
        <f t="shared" si="219"/>
        <v/>
      </c>
      <c r="AK951" s="49">
        <f t="shared" si="220"/>
        <v>1</v>
      </c>
      <c r="AL951" s="49" t="str">
        <f t="shared" si="221"/>
        <v/>
      </c>
      <c r="AM951" s="49">
        <f t="shared" si="222"/>
        <v>0</v>
      </c>
      <c r="AN951" s="49" t="str">
        <f t="shared" si="223"/>
        <v/>
      </c>
      <c r="AO951" s="49">
        <f t="shared" si="224"/>
        <v>0</v>
      </c>
      <c r="AP951" s="49" t="str">
        <f t="shared" si="225"/>
        <v/>
      </c>
      <c r="AQ951" s="49">
        <f t="shared" si="226"/>
        <v>0</v>
      </c>
      <c r="AR951" s="49" t="str">
        <f t="shared" si="227"/>
        <v/>
      </c>
    </row>
    <row r="952" spans="1:44" ht="30" customHeight="1" x14ac:dyDescent="0.35">
      <c r="A952" s="25" t="str">
        <f t="shared" si="229"/>
        <v>PT178 - ESTRUTURA METÁLICA E FUNDAÇÃO - PLATAFORMAS DE ACESSO LIFT LINE SPIDER - DETALHADO
ETAPA DE ESCRITÓRIOPROJETO DETALHADO
CIVIL</v>
      </c>
      <c r="B952" s="38" t="s">
        <v>42</v>
      </c>
      <c r="C952" s="60" t="str">
        <f>IF(AND($B952=[1]rogério!$A953,[1]rogério!$B953=C$4),"ok","nok")</f>
        <v>nok</v>
      </c>
      <c r="D952" s="60" t="str">
        <f>IF(AND($B952=[1]rogério!$A953,[1]rogério!$B953=D$4),"ok","nok")</f>
        <v>nok</v>
      </c>
      <c r="E952" s="60" t="str">
        <f>IF(AND($B952=[1]rogério!$A953,[1]rogério!$B953=E$4),"ok","nok")</f>
        <v>nok</v>
      </c>
      <c r="F952" s="60" t="str">
        <f>IF(AND($B952=[1]rogério!$A953,[1]rogério!$B953=F$4),"ok","nok")</f>
        <v>nok</v>
      </c>
      <c r="G952" s="60" t="str">
        <f>IF(AND($B952=[1]rogério!$A953,[1]rogério!$B953=G$4),"ok","nok")</f>
        <v>nok</v>
      </c>
      <c r="H952" s="60" t="str">
        <f>IF(AND($B952=[1]rogério!$A953,[1]rogério!$B953=H$4),"ok","nok")</f>
        <v>nok</v>
      </c>
      <c r="I952" s="60" t="str">
        <f>IF(AND($B952=[1]rogério!$A953,[1]rogério!$B953=I$4),"ok","nok")</f>
        <v>nok</v>
      </c>
      <c r="J952" s="60" t="str">
        <f>IF(AND($B952=[1]rogério!$A953,[1]rogério!$B953=J$4),"ok","nok")</f>
        <v>nok</v>
      </c>
      <c r="K952" s="60" t="str">
        <f>IF(AND($B952=[1]rogério!$A953,[1]rogério!$B953=K$4),"ok","nok")</f>
        <v>nok</v>
      </c>
      <c r="L952" s="60" t="str">
        <f>IF(AND($B952=[1]rogério!$A953,[1]rogério!$B953=L$4),"ok","nok")</f>
        <v>nok</v>
      </c>
      <c r="M952" s="60" t="str">
        <f>IF(AND($B952=[1]rogério!$A953,[1]rogério!$B953=M$4),"ok","nok")</f>
        <v>nok</v>
      </c>
      <c r="N952" s="60" t="str">
        <f>IF(AND($B952=[1]rogério!$A953,[1]rogério!$B953=N$4),"ok","nok")</f>
        <v>nok</v>
      </c>
      <c r="O952" s="60" t="str">
        <f>IF(AND($B952=[1]rogério!$A953,[1]rogério!$B953=O$4),"ok","nok")</f>
        <v>ok</v>
      </c>
      <c r="P952" s="60" t="str">
        <f>IF(AND($B952=[1]rogério!$A953,[1]rogério!$B953=P$4),"ok","nok")</f>
        <v>nok</v>
      </c>
      <c r="Q952" s="60" t="str">
        <f>IF(AND($B952=[1]rogério!$A953,[1]rogério!$B953=Q$4),"ok","nok")</f>
        <v>nok</v>
      </c>
      <c r="R952" s="60" t="str">
        <f>IF(AND($B952=[1]rogério!$A953,[1]rogério!$B953=R$4),"ok","nok")</f>
        <v>nok</v>
      </c>
      <c r="S952" s="60" t="str">
        <f>IF(AND($B952=[1]rogério!$A953,[1]rogério!$B953=S$4),"ok","nok")</f>
        <v>nok</v>
      </c>
      <c r="T952" s="60" t="str">
        <f>IF(AND($B952=[1]rogério!$A953,[1]rogério!$B953=T$4),"ok","nok")</f>
        <v>nok</v>
      </c>
      <c r="U952" s="60" t="str">
        <f>IF(AND($B952=[1]rogério!$A953,[1]rogério!$B953=U$4),"ok","nok")</f>
        <v>nok</v>
      </c>
      <c r="V952" s="60" t="str">
        <f>IF(AND($B952=[1]rogério!$A953,[1]rogério!$B953=V$4),"ok","nok")</f>
        <v>nok</v>
      </c>
      <c r="W952" s="60" t="str">
        <f>IF(AND($B952=[1]rogério!$A953,[1]rogério!$B953=W$4),"ok","nok")</f>
        <v>nok</v>
      </c>
      <c r="X952" s="60" t="str">
        <f>IF(AND($B952=[1]rogério!$A953,[1]rogério!$B953=X$4),"ok","nok")</f>
        <v>nok</v>
      </c>
      <c r="Y952" s="105" t="s">
        <v>15</v>
      </c>
      <c r="Z952" s="106"/>
      <c r="AA952" s="106"/>
      <c r="AB952" s="107"/>
      <c r="AE952" s="48" t="str">
        <f t="shared" si="217"/>
        <v/>
      </c>
      <c r="AF952" s="48"/>
      <c r="AG952" s="48"/>
      <c r="AH952" s="89"/>
      <c r="AI952" s="49">
        <f t="shared" si="218"/>
        <v>0</v>
      </c>
      <c r="AJ952" s="49" t="str">
        <f t="shared" si="219"/>
        <v/>
      </c>
      <c r="AK952" s="49">
        <f t="shared" si="220"/>
        <v>0</v>
      </c>
      <c r="AL952" s="49" t="str">
        <f t="shared" si="221"/>
        <v/>
      </c>
      <c r="AM952" s="49">
        <f t="shared" si="222"/>
        <v>1</v>
      </c>
      <c r="AN952" s="49" t="str">
        <f t="shared" si="223"/>
        <v/>
      </c>
      <c r="AO952" s="49">
        <f t="shared" si="224"/>
        <v>0</v>
      </c>
      <c r="AP952" s="49" t="str">
        <f t="shared" si="225"/>
        <v/>
      </c>
      <c r="AQ952" s="49">
        <f t="shared" si="226"/>
        <v>0</v>
      </c>
      <c r="AR952" s="49" t="str">
        <f t="shared" si="227"/>
        <v/>
      </c>
    </row>
    <row r="953" spans="1:44" ht="30" customHeight="1" x14ac:dyDescent="0.35">
      <c r="A953" s="25" t="str">
        <f t="shared" si="229"/>
        <v>PT178 - ESTRUTURA METÁLICA E FUNDAÇÃO - PLATAFORMAS DE ACESSO LIFT LINE SPIDER - DETALHADO
ETAPA DE ESCRITÓRIOPROJETO DETALHADO
CIVIL</v>
      </c>
      <c r="B953" s="38" t="s">
        <v>43</v>
      </c>
      <c r="C953" s="60" t="str">
        <f>IF(AND($B953=[1]rogério!$A954,[1]rogério!$B954=C$4),"ok","nok")</f>
        <v>nok</v>
      </c>
      <c r="D953" s="60" t="str">
        <f>IF(AND($B953=[1]rogério!$A954,[1]rogério!$B954=D$4),"ok","nok")</f>
        <v>nok</v>
      </c>
      <c r="E953" s="60" t="str">
        <f>IF(AND($B953=[1]rogério!$A954,[1]rogério!$B954=E$4),"ok","nok")</f>
        <v>nok</v>
      </c>
      <c r="F953" s="60" t="str">
        <f>IF(AND($B953=[1]rogério!$A954,[1]rogério!$B954=F$4),"ok","nok")</f>
        <v>nok</v>
      </c>
      <c r="G953" s="60" t="str">
        <f>IF(AND($B953=[1]rogério!$A954,[1]rogério!$B954=G$4),"ok","nok")</f>
        <v>nok</v>
      </c>
      <c r="H953" s="60" t="str">
        <f>IF(AND($B953=[1]rogério!$A954,[1]rogério!$B954=H$4),"ok","nok")</f>
        <v>nok</v>
      </c>
      <c r="I953" s="60" t="str">
        <f>IF(AND($B953=[1]rogério!$A954,[1]rogério!$B954=I$4),"ok","nok")</f>
        <v>nok</v>
      </c>
      <c r="J953" s="60" t="str">
        <f>IF(AND($B953=[1]rogério!$A954,[1]rogério!$B954=J$4),"ok","nok")</f>
        <v>nok</v>
      </c>
      <c r="K953" s="60" t="str">
        <f>IF(AND($B953=[1]rogério!$A954,[1]rogério!$B954=K$4),"ok","nok")</f>
        <v>nok</v>
      </c>
      <c r="L953" s="60" t="str">
        <f>IF(AND($B953=[1]rogério!$A954,[1]rogério!$B954=L$4),"ok","nok")</f>
        <v>nok</v>
      </c>
      <c r="M953" s="60" t="str">
        <f>IF(AND($B953=[1]rogério!$A954,[1]rogério!$B954=M$4),"ok","nok")</f>
        <v>nok</v>
      </c>
      <c r="N953" s="60" t="str">
        <f>IF(AND($B953=[1]rogério!$A954,[1]rogério!$B954=N$4),"ok","nok")</f>
        <v>nok</v>
      </c>
      <c r="O953" s="60" t="str">
        <f>IF(AND($B953=[1]rogério!$A954,[1]rogério!$B954=O$4),"ok","nok")</f>
        <v>ok</v>
      </c>
      <c r="P953" s="60" t="str">
        <f>IF(AND($B953=[1]rogério!$A954,[1]rogério!$B954=P$4),"ok","nok")</f>
        <v>nok</v>
      </c>
      <c r="Q953" s="60" t="str">
        <f>IF(AND($B953=[1]rogério!$A954,[1]rogério!$B954=Q$4),"ok","nok")</f>
        <v>nok</v>
      </c>
      <c r="R953" s="60" t="str">
        <f>IF(AND($B953=[1]rogério!$A954,[1]rogério!$B954=R$4),"ok","nok")</f>
        <v>nok</v>
      </c>
      <c r="S953" s="60" t="str">
        <f>IF(AND($B953=[1]rogério!$A954,[1]rogério!$B954=S$4),"ok","nok")</f>
        <v>nok</v>
      </c>
      <c r="T953" s="60" t="str">
        <f>IF(AND($B953=[1]rogério!$A954,[1]rogério!$B954=T$4),"ok","nok")</f>
        <v>nok</v>
      </c>
      <c r="U953" s="60" t="str">
        <f>IF(AND($B953=[1]rogério!$A954,[1]rogério!$B954=U$4),"ok","nok")</f>
        <v>nok</v>
      </c>
      <c r="V953" s="60" t="str">
        <f>IF(AND($B953=[1]rogério!$A954,[1]rogério!$B954=V$4),"ok","nok")</f>
        <v>nok</v>
      </c>
      <c r="W953" s="60" t="str">
        <f>IF(AND($B953=[1]rogério!$A954,[1]rogério!$B954=W$4),"ok","nok")</f>
        <v>nok</v>
      </c>
      <c r="X953" s="60" t="str">
        <f>IF(AND($B953=[1]rogério!$A954,[1]rogério!$B954=X$4),"ok","nok")</f>
        <v>nok</v>
      </c>
      <c r="Y953" s="105" t="s">
        <v>15</v>
      </c>
      <c r="Z953" s="106"/>
      <c r="AA953" s="106"/>
      <c r="AB953" s="107"/>
      <c r="AE953" s="48" t="str">
        <f t="shared" si="217"/>
        <v/>
      </c>
      <c r="AF953" s="48"/>
      <c r="AG953" s="48"/>
      <c r="AH953" s="89"/>
      <c r="AI953" s="49">
        <f t="shared" si="218"/>
        <v>0</v>
      </c>
      <c r="AJ953" s="49" t="str">
        <f t="shared" si="219"/>
        <v/>
      </c>
      <c r="AK953" s="49">
        <f t="shared" si="220"/>
        <v>0</v>
      </c>
      <c r="AL953" s="49" t="str">
        <f t="shared" si="221"/>
        <v/>
      </c>
      <c r="AM953" s="49">
        <f t="shared" si="222"/>
        <v>1</v>
      </c>
      <c r="AN953" s="49" t="str">
        <f t="shared" si="223"/>
        <v/>
      </c>
      <c r="AO953" s="49">
        <f t="shared" si="224"/>
        <v>0</v>
      </c>
      <c r="AP953" s="49" t="str">
        <f t="shared" si="225"/>
        <v/>
      </c>
      <c r="AQ953" s="49">
        <f t="shared" si="226"/>
        <v>0</v>
      </c>
      <c r="AR953" s="49" t="str">
        <f t="shared" si="227"/>
        <v/>
      </c>
    </row>
    <row r="954" spans="1:44" ht="30" customHeight="1" x14ac:dyDescent="0.35">
      <c r="A954" s="25" t="str">
        <f t="shared" si="229"/>
        <v>PT178 - ESTRUTURA METÁLICA E FUNDAÇÃO - PLATAFORMAS DE ACESSO LIFT LINE SPIDER - DETALHADO
ETAPA DE ESCRITÓRIOPROJETO DETALHADO
CIVIL</v>
      </c>
      <c r="B954" s="38" t="s">
        <v>73</v>
      </c>
      <c r="C954" s="60" t="str">
        <f>IF(AND($B954=[1]rogério!$A955,[1]rogério!$B955=C$4),"ok","nok")</f>
        <v>nok</v>
      </c>
      <c r="D954" s="60" t="str">
        <f>IF(AND($B954=[1]rogério!$A955,[1]rogério!$B955=D$4),"ok","nok")</f>
        <v>nok</v>
      </c>
      <c r="E954" s="60" t="str">
        <f>IF(AND($B954=[1]rogério!$A955,[1]rogério!$B955=E$4),"ok","nok")</f>
        <v>nok</v>
      </c>
      <c r="F954" s="60" t="str">
        <f>IF(AND($B954=[1]rogério!$A955,[1]rogério!$B955=F$4),"ok","nok")</f>
        <v>nok</v>
      </c>
      <c r="G954" s="60" t="str">
        <f>IF(AND($B954=[1]rogério!$A955,[1]rogério!$B955=G$4),"ok","nok")</f>
        <v>nok</v>
      </c>
      <c r="H954" s="60" t="str">
        <f>IF(AND($B954=[1]rogério!$A955,[1]rogério!$B955=H$4),"ok","nok")</f>
        <v>nok</v>
      </c>
      <c r="I954" s="60" t="str">
        <f>IF(AND($B954=[1]rogério!$A955,[1]rogério!$B955=I$4),"ok","nok")</f>
        <v>nok</v>
      </c>
      <c r="J954" s="60" t="str">
        <f>IF(AND($B954=[1]rogério!$A955,[1]rogério!$B955=J$4),"ok","nok")</f>
        <v>nok</v>
      </c>
      <c r="K954" s="60" t="str">
        <f>IF(AND($B954=[1]rogério!$A955,[1]rogério!$B955=K$4),"ok","nok")</f>
        <v>nok</v>
      </c>
      <c r="L954" s="60" t="str">
        <f>IF(AND($B954=[1]rogério!$A955,[1]rogério!$B955=L$4),"ok","nok")</f>
        <v>ok</v>
      </c>
      <c r="M954" s="60" t="str">
        <f>IF(AND($B954=[1]rogério!$A955,[1]rogério!$B955=M$4),"ok","nok")</f>
        <v>nok</v>
      </c>
      <c r="N954" s="60" t="str">
        <f>IF(AND($B954=[1]rogério!$A955,[1]rogério!$B955=N$4),"ok","nok")</f>
        <v>nok</v>
      </c>
      <c r="O954" s="60" t="str">
        <f>IF(AND($B954=[1]rogério!$A955,[1]rogério!$B955=O$4),"ok","nok")</f>
        <v>nok</v>
      </c>
      <c r="P954" s="60" t="str">
        <f>IF(AND($B954=[1]rogério!$A955,[1]rogério!$B955=P$4),"ok","nok")</f>
        <v>nok</v>
      </c>
      <c r="Q954" s="60" t="str">
        <f>IF(AND($B954=[1]rogério!$A955,[1]rogério!$B955=Q$4),"ok","nok")</f>
        <v>nok</v>
      </c>
      <c r="R954" s="60" t="str">
        <f>IF(AND($B954=[1]rogério!$A955,[1]rogério!$B955=R$4),"ok","nok")</f>
        <v>nok</v>
      </c>
      <c r="S954" s="60" t="str">
        <f>IF(AND($B954=[1]rogério!$A955,[1]rogério!$B955=S$4),"ok","nok")</f>
        <v>nok</v>
      </c>
      <c r="T954" s="60" t="str">
        <f>IF(AND($B954=[1]rogério!$A955,[1]rogério!$B955=T$4),"ok","nok")</f>
        <v>nok</v>
      </c>
      <c r="U954" s="60" t="str">
        <f>IF(AND($B954=[1]rogério!$A955,[1]rogério!$B955=U$4),"ok","nok")</f>
        <v>nok</v>
      </c>
      <c r="V954" s="60" t="str">
        <f>IF(AND($B954=[1]rogério!$A955,[1]rogério!$B955=V$4),"ok","nok")</f>
        <v>nok</v>
      </c>
      <c r="W954" s="60" t="str">
        <f>IF(AND($B954=[1]rogério!$A955,[1]rogério!$B955=W$4),"ok","nok")</f>
        <v>nok</v>
      </c>
      <c r="X954" s="60" t="str">
        <f>IF(AND($B954=[1]rogério!$A955,[1]rogério!$B955=X$4),"ok","nok")</f>
        <v>nok</v>
      </c>
      <c r="Y954" s="105" t="s">
        <v>15</v>
      </c>
      <c r="Z954" s="106"/>
      <c r="AA954" s="106"/>
      <c r="AB954" s="107"/>
      <c r="AE954" s="48" t="str">
        <f t="shared" si="217"/>
        <v/>
      </c>
      <c r="AF954" s="48"/>
      <c r="AG954" s="48"/>
      <c r="AH954" s="89"/>
      <c r="AI954" s="49">
        <f t="shared" si="218"/>
        <v>0</v>
      </c>
      <c r="AJ954" s="49" t="str">
        <f t="shared" si="219"/>
        <v/>
      </c>
      <c r="AK954" s="49">
        <f t="shared" si="220"/>
        <v>1</v>
      </c>
      <c r="AL954" s="49" t="str">
        <f t="shared" si="221"/>
        <v/>
      </c>
      <c r="AM954" s="49">
        <f t="shared" si="222"/>
        <v>0</v>
      </c>
      <c r="AN954" s="49" t="str">
        <f t="shared" si="223"/>
        <v/>
      </c>
      <c r="AO954" s="49">
        <f t="shared" si="224"/>
        <v>0</v>
      </c>
      <c r="AP954" s="49" t="str">
        <f t="shared" si="225"/>
        <v/>
      </c>
      <c r="AQ954" s="49">
        <f t="shared" si="226"/>
        <v>0</v>
      </c>
      <c r="AR954" s="49" t="str">
        <f t="shared" si="227"/>
        <v/>
      </c>
    </row>
    <row r="955" spans="1:44" ht="30" customHeight="1" x14ac:dyDescent="0.35">
      <c r="A955" s="25"/>
      <c r="B955" s="39" t="s">
        <v>53</v>
      </c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108"/>
      <c r="Z955" s="109"/>
      <c r="AA955" s="109"/>
      <c r="AB955" s="110"/>
      <c r="AE955" s="48" t="str">
        <f t="shared" si="217"/>
        <v/>
      </c>
      <c r="AF955" s="48"/>
      <c r="AG955" s="48"/>
      <c r="AH955" s="89"/>
      <c r="AI955" s="49">
        <f t="shared" si="218"/>
        <v>0</v>
      </c>
      <c r="AJ955" s="49" t="str">
        <f t="shared" si="219"/>
        <v/>
      </c>
      <c r="AK955" s="49">
        <f t="shared" si="220"/>
        <v>0</v>
      </c>
      <c r="AL955" s="49" t="str">
        <f t="shared" si="221"/>
        <v/>
      </c>
      <c r="AM955" s="49">
        <f t="shared" si="222"/>
        <v>0</v>
      </c>
      <c r="AN955" s="49" t="str">
        <f t="shared" si="223"/>
        <v/>
      </c>
      <c r="AO955" s="49">
        <f t="shared" si="224"/>
        <v>0</v>
      </c>
      <c r="AP955" s="49" t="str">
        <f t="shared" si="225"/>
        <v/>
      </c>
      <c r="AQ955" s="49">
        <f t="shared" si="226"/>
        <v>0</v>
      </c>
      <c r="AR955" s="49" t="str">
        <f t="shared" si="227"/>
        <v/>
      </c>
    </row>
    <row r="956" spans="1:44" ht="30" customHeight="1" x14ac:dyDescent="0.35">
      <c r="A956" s="25" t="str">
        <f t="shared" si="229"/>
        <v>PT178 - ESTRUTURA METÁLICA E FUNDAÇÃO - PLATAFORMAS DE ACESSO LIFT LINE SPIDER - DETALHADO
ETAPA DE ESCRITÓRIOPROJETO DETALHADO
CIVIL</v>
      </c>
      <c r="B956" s="38" t="s">
        <v>49</v>
      </c>
      <c r="C956" s="60" t="str">
        <f>IF(AND($B956=[1]rogério!$A957,[1]rogério!$B957=C$4),"ok","nok")</f>
        <v>nok</v>
      </c>
      <c r="D956" s="60" t="str">
        <f>IF(AND($B956=[1]rogério!$A957,[1]rogério!$B957=D$4),"ok","nok")</f>
        <v>nok</v>
      </c>
      <c r="E956" s="60" t="str">
        <f>IF(AND($B956=[1]rogério!$A957,[1]rogério!$B957=E$4),"ok","nok")</f>
        <v>nok</v>
      </c>
      <c r="F956" s="60" t="str">
        <f>IF(AND($B956=[1]rogério!$A957,[1]rogério!$B957=F$4),"ok","nok")</f>
        <v>nok</v>
      </c>
      <c r="G956" s="60" t="str">
        <f>IF(AND($B956=[1]rogério!$A957,[1]rogério!$B957=G$4),"ok","nok")</f>
        <v>nok</v>
      </c>
      <c r="H956" s="60" t="str">
        <f>IF(AND($B956=[1]rogério!$A957,[1]rogério!$B957=H$4),"ok","nok")</f>
        <v>nok</v>
      </c>
      <c r="I956" s="60" t="str">
        <f>IF(AND($B956=[1]rogério!$A957,[1]rogério!$B957=I$4),"ok","nok")</f>
        <v>nok</v>
      </c>
      <c r="J956" s="60" t="str">
        <f>IF(AND($B956=[1]rogério!$A957,[1]rogério!$B957=J$4),"ok","nok")</f>
        <v>nok</v>
      </c>
      <c r="K956" s="60" t="str">
        <f>IF(AND($B956=[1]rogério!$A957,[1]rogério!$B957=K$4),"ok","nok")</f>
        <v>nok</v>
      </c>
      <c r="L956" s="60" t="str">
        <f>IF(AND($B956=[1]rogério!$A957,[1]rogério!$B957=L$4),"ok","nok")</f>
        <v>ok</v>
      </c>
      <c r="M956" s="60" t="str">
        <f>IF(AND($B956=[1]rogério!$A957,[1]rogério!$B957=M$4),"ok","nok")</f>
        <v>nok</v>
      </c>
      <c r="N956" s="60" t="str">
        <f>IF(AND($B956=[1]rogério!$A957,[1]rogério!$B957=N$4),"ok","nok")</f>
        <v>nok</v>
      </c>
      <c r="O956" s="60" t="str">
        <f>IF(AND($B956=[1]rogério!$A957,[1]rogério!$B957=O$4),"ok","nok")</f>
        <v>nok</v>
      </c>
      <c r="P956" s="60" t="str">
        <f>IF(AND($B956=[1]rogério!$A957,[1]rogério!$B957=P$4),"ok","nok")</f>
        <v>nok</v>
      </c>
      <c r="Q956" s="60" t="str">
        <f>IF(AND($B956=[1]rogério!$A957,[1]rogério!$B957=Q$4),"ok","nok")</f>
        <v>nok</v>
      </c>
      <c r="R956" s="60" t="str">
        <f>IF(AND($B956=[1]rogério!$A957,[1]rogério!$B957=R$4),"ok","nok")</f>
        <v>nok</v>
      </c>
      <c r="S956" s="60" t="str">
        <f>IF(AND($B956=[1]rogério!$A957,[1]rogério!$B957=S$4),"ok","nok")</f>
        <v>nok</v>
      </c>
      <c r="T956" s="60" t="str">
        <f>IF(AND($B956=[1]rogério!$A957,[1]rogério!$B957=T$4),"ok","nok")</f>
        <v>nok</v>
      </c>
      <c r="U956" s="60" t="str">
        <f>IF(AND($B956=[1]rogério!$A957,[1]rogério!$B957=U$4),"ok","nok")</f>
        <v>nok</v>
      </c>
      <c r="V956" s="60" t="str">
        <f>IF(AND($B956=[1]rogério!$A957,[1]rogério!$B957=V$4),"ok","nok")</f>
        <v>nok</v>
      </c>
      <c r="W956" s="60" t="str">
        <f>IF(AND($B956=[1]rogério!$A957,[1]rogério!$B957=W$4),"ok","nok")</f>
        <v>nok</v>
      </c>
      <c r="X956" s="60" t="str">
        <f>IF(AND($B956=[1]rogério!$A957,[1]rogério!$B957=X$4),"ok","nok")</f>
        <v>nok</v>
      </c>
      <c r="Y956" s="105" t="s">
        <v>15</v>
      </c>
      <c r="Z956" s="106"/>
      <c r="AA956" s="106"/>
      <c r="AB956" s="107"/>
      <c r="AE956" s="48" t="str">
        <f t="shared" si="217"/>
        <v/>
      </c>
      <c r="AF956" s="48"/>
      <c r="AG956" s="48"/>
      <c r="AH956" s="89"/>
      <c r="AI956" s="49">
        <f t="shared" si="218"/>
        <v>0</v>
      </c>
      <c r="AJ956" s="49" t="str">
        <f t="shared" si="219"/>
        <v/>
      </c>
      <c r="AK956" s="49">
        <f t="shared" si="220"/>
        <v>1</v>
      </c>
      <c r="AL956" s="49" t="str">
        <f t="shared" si="221"/>
        <v/>
      </c>
      <c r="AM956" s="49">
        <f t="shared" si="222"/>
        <v>0</v>
      </c>
      <c r="AN956" s="49" t="str">
        <f t="shared" si="223"/>
        <v/>
      </c>
      <c r="AO956" s="49">
        <f t="shared" si="224"/>
        <v>0</v>
      </c>
      <c r="AP956" s="49" t="str">
        <f t="shared" si="225"/>
        <v/>
      </c>
      <c r="AQ956" s="49">
        <f t="shared" si="226"/>
        <v>0</v>
      </c>
      <c r="AR956" s="49" t="str">
        <f t="shared" si="227"/>
        <v/>
      </c>
    </row>
    <row r="957" spans="1:44" ht="30" customHeight="1" x14ac:dyDescent="0.35">
      <c r="A957" s="25" t="str">
        <f t="shared" si="229"/>
        <v>PT178 - ESTRUTURA METÁLICA E FUNDAÇÃO - PLATAFORMAS DE ACESSO LIFT LINE SPIDER - DETALHADO
ETAPA DE ESCRITÓRIOPROJETO DETALHADO
CIVIL</v>
      </c>
      <c r="B957" s="38" t="s">
        <v>19</v>
      </c>
      <c r="C957" s="60" t="str">
        <f>IF(AND($B957=[1]rogério!$A958,[1]rogério!$B958=C$4),"ok","nok")</f>
        <v>nok</v>
      </c>
      <c r="D957" s="60" t="str">
        <f>IF(AND($B957=[1]rogério!$A958,[1]rogério!$B958=D$4),"ok","nok")</f>
        <v>nok</v>
      </c>
      <c r="E957" s="60" t="str">
        <f>IF(AND($B957=[1]rogério!$A958,[1]rogério!$B958=E$4),"ok","nok")</f>
        <v>nok</v>
      </c>
      <c r="F957" s="60" t="str">
        <f>IF(AND($B957=[1]rogério!$A958,[1]rogério!$B958=F$4),"ok","nok")</f>
        <v>nok</v>
      </c>
      <c r="G957" s="60" t="str">
        <f>IF(AND($B957=[1]rogério!$A958,[1]rogério!$B958=G$4),"ok","nok")</f>
        <v>nok</v>
      </c>
      <c r="H957" s="60" t="str">
        <f>IF(AND($B957=[1]rogério!$A958,[1]rogério!$B958=H$4),"ok","nok")</f>
        <v>nok</v>
      </c>
      <c r="I957" s="60" t="str">
        <f>IF(AND($B957=[1]rogério!$A958,[1]rogério!$B958=I$4),"ok","nok")</f>
        <v>nok</v>
      </c>
      <c r="J957" s="60" t="str">
        <f>IF(AND($B957=[1]rogério!$A958,[1]rogério!$B958=J$4),"ok","nok")</f>
        <v>nok</v>
      </c>
      <c r="K957" s="60" t="str">
        <f>IF(AND($B957=[1]rogério!$A958,[1]rogério!$B958=K$4),"ok","nok")</f>
        <v>nok</v>
      </c>
      <c r="L957" s="60" t="str">
        <f>IF(AND($B957=[1]rogério!$A958,[1]rogério!$B958=L$4),"ok","nok")</f>
        <v>nok</v>
      </c>
      <c r="M957" s="60" t="str">
        <f>IF(AND($B957=[1]rogério!$A958,[1]rogério!$B958=M$4),"ok","nok")</f>
        <v>nok</v>
      </c>
      <c r="N957" s="60" t="str">
        <f>IF(AND($B957=[1]rogério!$A958,[1]rogério!$B958=N$4),"ok","nok")</f>
        <v>nok</v>
      </c>
      <c r="O957" s="60" t="str">
        <f>IF(AND($B957=[1]rogério!$A958,[1]rogério!$B958=O$4),"ok","nok")</f>
        <v>nok</v>
      </c>
      <c r="P957" s="60" t="str">
        <f>IF(AND($B957=[1]rogério!$A958,[1]rogério!$B958=P$4),"ok","nok")</f>
        <v>nok</v>
      </c>
      <c r="Q957" s="60" t="str">
        <f>IF(AND($B957=[1]rogério!$A958,[1]rogério!$B958=Q$4),"ok","nok")</f>
        <v>ok</v>
      </c>
      <c r="R957" s="60" t="str">
        <f>IF(AND($B957=[1]rogério!$A958,[1]rogério!$B958=R$4),"ok","nok")</f>
        <v>nok</v>
      </c>
      <c r="S957" s="60" t="str">
        <f>IF(AND($B957=[1]rogério!$A958,[1]rogério!$B958=S$4),"ok","nok")</f>
        <v>nok</v>
      </c>
      <c r="T957" s="60" t="str">
        <f>IF(AND($B957=[1]rogério!$A958,[1]rogério!$B958=T$4),"ok","nok")</f>
        <v>nok</v>
      </c>
      <c r="U957" s="60" t="str">
        <f>IF(AND($B957=[1]rogério!$A958,[1]rogério!$B958=U$4),"ok","nok")</f>
        <v>nok</v>
      </c>
      <c r="V957" s="60" t="str">
        <f>IF(AND($B957=[1]rogério!$A958,[1]rogério!$B958=V$4),"ok","nok")</f>
        <v>nok</v>
      </c>
      <c r="W957" s="60" t="str">
        <f>IF(AND($B957=[1]rogério!$A958,[1]rogério!$B958=W$4),"ok","nok")</f>
        <v>nok</v>
      </c>
      <c r="X957" s="60" t="str">
        <f>IF(AND($B957=[1]rogério!$A958,[1]rogério!$B958=X$4),"ok","nok")</f>
        <v>nok</v>
      </c>
      <c r="Y957" s="105" t="s">
        <v>15</v>
      </c>
      <c r="Z957" s="106"/>
      <c r="AA957" s="106"/>
      <c r="AB957" s="107"/>
      <c r="AE957" s="48" t="str">
        <f t="shared" si="217"/>
        <v/>
      </c>
      <c r="AF957" s="48"/>
      <c r="AG957" s="48"/>
      <c r="AH957" s="89"/>
      <c r="AI957" s="49">
        <f t="shared" si="218"/>
        <v>0</v>
      </c>
      <c r="AJ957" s="49" t="str">
        <f t="shared" si="219"/>
        <v/>
      </c>
      <c r="AK957" s="49">
        <f t="shared" si="220"/>
        <v>0</v>
      </c>
      <c r="AL957" s="49" t="str">
        <f t="shared" si="221"/>
        <v/>
      </c>
      <c r="AM957" s="49">
        <f t="shared" si="222"/>
        <v>1</v>
      </c>
      <c r="AN957" s="49" t="str">
        <f t="shared" si="223"/>
        <v/>
      </c>
      <c r="AO957" s="49">
        <f t="shared" si="224"/>
        <v>0</v>
      </c>
      <c r="AP957" s="49" t="str">
        <f t="shared" si="225"/>
        <v/>
      </c>
      <c r="AQ957" s="49">
        <f t="shared" si="226"/>
        <v>0</v>
      </c>
      <c r="AR957" s="49" t="str">
        <f t="shared" si="227"/>
        <v/>
      </c>
    </row>
    <row r="958" spans="1:44" ht="30" customHeight="1" x14ac:dyDescent="0.35">
      <c r="A958" s="25" t="str">
        <f t="shared" si="229"/>
        <v>PT178 - ESTRUTURA METÁLICA E FUNDAÇÃO - PLATAFORMAS DE ACESSO LIFT LINE SPIDER - DETALHADO
ETAPA DE ESCRITÓRIOPROJETO DETALHADO
CIVIL</v>
      </c>
      <c r="B958" s="38" t="s">
        <v>42</v>
      </c>
      <c r="C958" s="60" t="str">
        <f>IF(AND($B958=[1]rogério!$A959,[1]rogério!$B959=C$4),"ok","nok")</f>
        <v>nok</v>
      </c>
      <c r="D958" s="60" t="str">
        <f>IF(AND($B958=[1]rogério!$A959,[1]rogério!$B959=D$4),"ok","nok")</f>
        <v>nok</v>
      </c>
      <c r="E958" s="60" t="str">
        <f>IF(AND($B958=[1]rogério!$A959,[1]rogério!$B959=E$4),"ok","nok")</f>
        <v>nok</v>
      </c>
      <c r="F958" s="60" t="str">
        <f>IF(AND($B958=[1]rogério!$A959,[1]rogério!$B959=F$4),"ok","nok")</f>
        <v>nok</v>
      </c>
      <c r="G958" s="60" t="str">
        <f>IF(AND($B958=[1]rogério!$A959,[1]rogério!$B959=G$4),"ok","nok")</f>
        <v>nok</v>
      </c>
      <c r="H958" s="60" t="str">
        <f>IF(AND($B958=[1]rogério!$A959,[1]rogério!$B959=H$4),"ok","nok")</f>
        <v>nok</v>
      </c>
      <c r="I958" s="60" t="str">
        <f>IF(AND($B958=[1]rogério!$A959,[1]rogério!$B959=I$4),"ok","nok")</f>
        <v>nok</v>
      </c>
      <c r="J958" s="60" t="str">
        <f>IF(AND($B958=[1]rogério!$A959,[1]rogério!$B959=J$4),"ok","nok")</f>
        <v>nok</v>
      </c>
      <c r="K958" s="60" t="str">
        <f>IF(AND($B958=[1]rogério!$A959,[1]rogério!$B959=K$4),"ok","nok")</f>
        <v>nok</v>
      </c>
      <c r="L958" s="60" t="str">
        <f>IF(AND($B958=[1]rogério!$A959,[1]rogério!$B959=L$4),"ok","nok")</f>
        <v>nok</v>
      </c>
      <c r="M958" s="60" t="str">
        <f>IF(AND($B958=[1]rogério!$A959,[1]rogério!$B959=M$4),"ok","nok")</f>
        <v>nok</v>
      </c>
      <c r="N958" s="60" t="str">
        <f>IF(AND($B958=[1]rogério!$A959,[1]rogério!$B959=N$4),"ok","nok")</f>
        <v>nok</v>
      </c>
      <c r="O958" s="60" t="str">
        <f>IF(AND($B958=[1]rogério!$A959,[1]rogério!$B959=O$4),"ok","nok")</f>
        <v>nok</v>
      </c>
      <c r="P958" s="60" t="str">
        <f>IF(AND($B958=[1]rogério!$A959,[1]rogério!$B959=P$4),"ok","nok")</f>
        <v>nok</v>
      </c>
      <c r="Q958" s="60" t="str">
        <f>IF(AND($B958=[1]rogério!$A959,[1]rogério!$B959=Q$4),"ok","nok")</f>
        <v>nok</v>
      </c>
      <c r="R958" s="60" t="str">
        <f>IF(AND($B958=[1]rogério!$A959,[1]rogério!$B959=R$4),"ok","nok")</f>
        <v>nok</v>
      </c>
      <c r="S958" s="60" t="str">
        <f>IF(AND($B958=[1]rogério!$A959,[1]rogério!$B959=S$4),"ok","nok")</f>
        <v>nok</v>
      </c>
      <c r="T958" s="60" t="str">
        <f>IF(AND($B958=[1]rogério!$A959,[1]rogério!$B959=T$4),"ok","nok")</f>
        <v>ok</v>
      </c>
      <c r="U958" s="60" t="str">
        <f>IF(AND($B958=[1]rogério!$A959,[1]rogério!$B959=U$4),"ok","nok")</f>
        <v>nok</v>
      </c>
      <c r="V958" s="60" t="str">
        <f>IF(AND($B958=[1]rogério!$A959,[1]rogério!$B959=V$4),"ok","nok")</f>
        <v>nok</v>
      </c>
      <c r="W958" s="60" t="str">
        <f>IF(AND($B958=[1]rogério!$A959,[1]rogério!$B959=W$4),"ok","nok")</f>
        <v>nok</v>
      </c>
      <c r="X958" s="60" t="str">
        <f>IF(AND($B958=[1]rogério!$A959,[1]rogério!$B959=X$4),"ok","nok")</f>
        <v>nok</v>
      </c>
      <c r="Y958" s="105" t="s">
        <v>15</v>
      </c>
      <c r="Z958" s="106"/>
      <c r="AA958" s="106"/>
      <c r="AB958" s="107"/>
      <c r="AE958" s="48" t="str">
        <f t="shared" si="217"/>
        <v/>
      </c>
      <c r="AF958" s="48"/>
      <c r="AG958" s="48"/>
      <c r="AH958" s="89"/>
      <c r="AI958" s="49">
        <f t="shared" si="218"/>
        <v>0</v>
      </c>
      <c r="AJ958" s="49" t="str">
        <f t="shared" si="219"/>
        <v/>
      </c>
      <c r="AK958" s="49">
        <f t="shared" si="220"/>
        <v>0</v>
      </c>
      <c r="AL958" s="49" t="str">
        <f t="shared" si="221"/>
        <v/>
      </c>
      <c r="AM958" s="49">
        <f t="shared" si="222"/>
        <v>0</v>
      </c>
      <c r="AN958" s="49" t="str">
        <f t="shared" si="223"/>
        <v/>
      </c>
      <c r="AO958" s="49">
        <f t="shared" si="224"/>
        <v>1</v>
      </c>
      <c r="AP958" s="49" t="str">
        <f t="shared" si="225"/>
        <v/>
      </c>
      <c r="AQ958" s="49">
        <f t="shared" si="226"/>
        <v>0</v>
      </c>
      <c r="AR958" s="49" t="str">
        <f t="shared" si="227"/>
        <v/>
      </c>
    </row>
    <row r="959" spans="1:44" ht="30" customHeight="1" x14ac:dyDescent="0.35">
      <c r="A959" s="25" t="str">
        <f t="shared" si="229"/>
        <v>PT178 - ESTRUTURA METÁLICA E FUNDAÇÃO - PLATAFORMAS DE ACESSO LIFT LINE SPIDER - DETALHADO
ETAPA DE ESCRITÓRIOPROJETO DETALHADO
CIVIL</v>
      </c>
      <c r="B959" s="38" t="s">
        <v>43</v>
      </c>
      <c r="C959" s="60" t="str">
        <f>IF(AND($B959=[1]rogério!$A960,[1]rogério!$B960=C$4),"ok","nok")</f>
        <v>nok</v>
      </c>
      <c r="D959" s="60" t="str">
        <f>IF(AND($B959=[1]rogério!$A960,[1]rogério!$B960=D$4),"ok","nok")</f>
        <v>nok</v>
      </c>
      <c r="E959" s="60" t="str">
        <f>IF(AND($B959=[1]rogério!$A960,[1]rogério!$B960=E$4),"ok","nok")</f>
        <v>nok</v>
      </c>
      <c r="F959" s="60" t="str">
        <f>IF(AND($B959=[1]rogério!$A960,[1]rogério!$B960=F$4),"ok","nok")</f>
        <v>nok</v>
      </c>
      <c r="G959" s="60" t="str">
        <f>IF(AND($B959=[1]rogério!$A960,[1]rogério!$B960=G$4),"ok","nok")</f>
        <v>nok</v>
      </c>
      <c r="H959" s="60" t="str">
        <f>IF(AND($B959=[1]rogério!$A960,[1]rogério!$B960=H$4),"ok","nok")</f>
        <v>nok</v>
      </c>
      <c r="I959" s="60" t="str">
        <f>IF(AND($B959=[1]rogério!$A960,[1]rogério!$B960=I$4),"ok","nok")</f>
        <v>nok</v>
      </c>
      <c r="J959" s="60" t="str">
        <f>IF(AND($B959=[1]rogério!$A960,[1]rogério!$B960=J$4),"ok","nok")</f>
        <v>nok</v>
      </c>
      <c r="K959" s="60" t="str">
        <f>IF(AND($B959=[1]rogério!$A960,[1]rogério!$B960=K$4),"ok","nok")</f>
        <v>nok</v>
      </c>
      <c r="L959" s="60" t="str">
        <f>IF(AND($B959=[1]rogério!$A960,[1]rogério!$B960=L$4),"ok","nok")</f>
        <v>nok</v>
      </c>
      <c r="M959" s="60" t="str">
        <f>IF(AND($B959=[1]rogério!$A960,[1]rogério!$B960=M$4),"ok","nok")</f>
        <v>nok</v>
      </c>
      <c r="N959" s="60" t="str">
        <f>IF(AND($B959=[1]rogério!$A960,[1]rogério!$B960=N$4),"ok","nok")</f>
        <v>nok</v>
      </c>
      <c r="O959" s="60" t="str">
        <f>IF(AND($B959=[1]rogério!$A960,[1]rogério!$B960=O$4),"ok","nok")</f>
        <v>nok</v>
      </c>
      <c r="P959" s="60" t="str">
        <f>IF(AND($B959=[1]rogério!$A960,[1]rogério!$B960=P$4),"ok","nok")</f>
        <v>nok</v>
      </c>
      <c r="Q959" s="60" t="str">
        <f>IF(AND($B959=[1]rogério!$A960,[1]rogério!$B960=Q$4),"ok","nok")</f>
        <v>nok</v>
      </c>
      <c r="R959" s="60" t="str">
        <f>IF(AND($B959=[1]rogério!$A960,[1]rogério!$B960=R$4),"ok","nok")</f>
        <v>nok</v>
      </c>
      <c r="S959" s="60" t="str">
        <f>IF(AND($B959=[1]rogério!$A960,[1]rogério!$B960=S$4),"ok","nok")</f>
        <v>nok</v>
      </c>
      <c r="T959" s="60" t="str">
        <f>IF(AND($B959=[1]rogério!$A960,[1]rogério!$B960=T$4),"ok","nok")</f>
        <v>ok</v>
      </c>
      <c r="U959" s="60" t="str">
        <f>IF(AND($B959=[1]rogério!$A960,[1]rogério!$B960=U$4),"ok","nok")</f>
        <v>nok</v>
      </c>
      <c r="V959" s="60" t="str">
        <f>IF(AND($B959=[1]rogério!$A960,[1]rogério!$B960=V$4),"ok","nok")</f>
        <v>nok</v>
      </c>
      <c r="W959" s="60" t="str">
        <f>IF(AND($B959=[1]rogério!$A960,[1]rogério!$B960=W$4),"ok","nok")</f>
        <v>nok</v>
      </c>
      <c r="X959" s="60" t="str">
        <f>IF(AND($B959=[1]rogério!$A960,[1]rogério!$B960=X$4),"ok","nok")</f>
        <v>nok</v>
      </c>
      <c r="Y959" s="105" t="s">
        <v>15</v>
      </c>
      <c r="Z959" s="106"/>
      <c r="AA959" s="106"/>
      <c r="AB959" s="107"/>
      <c r="AE959" s="48" t="str">
        <f t="shared" si="217"/>
        <v/>
      </c>
      <c r="AF959" s="48"/>
      <c r="AG959" s="48"/>
      <c r="AH959" s="89"/>
      <c r="AI959" s="49">
        <f t="shared" si="218"/>
        <v>0</v>
      </c>
      <c r="AJ959" s="49" t="str">
        <f t="shared" si="219"/>
        <v/>
      </c>
      <c r="AK959" s="49">
        <f t="shared" si="220"/>
        <v>0</v>
      </c>
      <c r="AL959" s="49" t="str">
        <f t="shared" si="221"/>
        <v/>
      </c>
      <c r="AM959" s="49">
        <f t="shared" si="222"/>
        <v>0</v>
      </c>
      <c r="AN959" s="49" t="str">
        <f t="shared" si="223"/>
        <v/>
      </c>
      <c r="AO959" s="49">
        <f t="shared" si="224"/>
        <v>1</v>
      </c>
      <c r="AP959" s="49" t="str">
        <f t="shared" si="225"/>
        <v/>
      </c>
      <c r="AQ959" s="49">
        <f t="shared" si="226"/>
        <v>0</v>
      </c>
      <c r="AR959" s="49" t="str">
        <f t="shared" si="227"/>
        <v/>
      </c>
    </row>
    <row r="960" spans="1:44" ht="30" customHeight="1" x14ac:dyDescent="0.35">
      <c r="A960" s="25" t="str">
        <f t="shared" si="229"/>
        <v>PT178 - ESTRUTURA METÁLICA E FUNDAÇÃO - PLATAFORMAS DE ACESSO LIFT LINE SPIDER - DETALHADO
ETAPA DE ESCRITÓRIOPROJETO DETALHADO
CIVIL</v>
      </c>
      <c r="B960" s="38" t="s">
        <v>74</v>
      </c>
      <c r="C960" s="60" t="str">
        <f>IF(AND($B960=[1]rogério!$A961,[1]rogério!$B961=C$4),"ok","nok")</f>
        <v>nok</v>
      </c>
      <c r="D960" s="60" t="str">
        <f>IF(AND($B960=[1]rogério!$A961,[1]rogério!$B961=D$4),"ok","nok")</f>
        <v>nok</v>
      </c>
      <c r="E960" s="60" t="str">
        <f>IF(AND($B960=[1]rogério!$A961,[1]rogério!$B961=E$4),"ok","nok")</f>
        <v>nok</v>
      </c>
      <c r="F960" s="60" t="str">
        <f>IF(AND($B960=[1]rogério!$A961,[1]rogério!$B961=F$4),"ok","nok")</f>
        <v>nok</v>
      </c>
      <c r="G960" s="60" t="str">
        <f>IF(AND($B960=[1]rogério!$A961,[1]rogério!$B961=G$4),"ok","nok")</f>
        <v>nok</v>
      </c>
      <c r="H960" s="60" t="str">
        <f>IF(AND($B960=[1]rogério!$A961,[1]rogério!$B961=H$4),"ok","nok")</f>
        <v>nok</v>
      </c>
      <c r="I960" s="60" t="str">
        <f>IF(AND($B960=[1]rogério!$A961,[1]rogério!$B961=I$4),"ok","nok")</f>
        <v>nok</v>
      </c>
      <c r="J960" s="60" t="str">
        <f>IF(AND($B960=[1]rogério!$A961,[1]rogério!$B961=J$4),"ok","nok")</f>
        <v>nok</v>
      </c>
      <c r="K960" s="60" t="str">
        <f>IF(AND($B960=[1]rogério!$A961,[1]rogério!$B961=K$4),"ok","nok")</f>
        <v>nok</v>
      </c>
      <c r="L960" s="60" t="str">
        <f>IF(AND($B960=[1]rogério!$A961,[1]rogério!$B961=L$4),"ok","nok")</f>
        <v>ok</v>
      </c>
      <c r="M960" s="60" t="str">
        <f>IF(AND($B960=[1]rogério!$A961,[1]rogério!$B961=M$4),"ok","nok")</f>
        <v>nok</v>
      </c>
      <c r="N960" s="60" t="str">
        <f>IF(AND($B960=[1]rogério!$A961,[1]rogério!$B961=N$4),"ok","nok")</f>
        <v>nok</v>
      </c>
      <c r="O960" s="60" t="str">
        <f>IF(AND($B960=[1]rogério!$A961,[1]rogério!$B961=O$4),"ok","nok")</f>
        <v>nok</v>
      </c>
      <c r="P960" s="60" t="str">
        <f>IF(AND($B960=[1]rogério!$A961,[1]rogério!$B961=P$4),"ok","nok")</f>
        <v>nok</v>
      </c>
      <c r="Q960" s="60" t="str">
        <f>IF(AND($B960=[1]rogério!$A961,[1]rogério!$B961=Q$4),"ok","nok")</f>
        <v>nok</v>
      </c>
      <c r="R960" s="60" t="str">
        <f>IF(AND($B960=[1]rogério!$A961,[1]rogério!$B961=R$4),"ok","nok")</f>
        <v>nok</v>
      </c>
      <c r="S960" s="60" t="str">
        <f>IF(AND($B960=[1]rogério!$A961,[1]rogério!$B961=S$4),"ok","nok")</f>
        <v>nok</v>
      </c>
      <c r="T960" s="60" t="str">
        <f>IF(AND($B960=[1]rogério!$A961,[1]rogério!$B961=T$4),"ok","nok")</f>
        <v>nok</v>
      </c>
      <c r="U960" s="60" t="str">
        <f>IF(AND($B960=[1]rogério!$A961,[1]rogério!$B961=U$4),"ok","nok")</f>
        <v>nok</v>
      </c>
      <c r="V960" s="60" t="str">
        <f>IF(AND($B960=[1]rogério!$A961,[1]rogério!$B961=V$4),"ok","nok")</f>
        <v>nok</v>
      </c>
      <c r="W960" s="60" t="str">
        <f>IF(AND($B960=[1]rogério!$A961,[1]rogério!$B961=W$4),"ok","nok")</f>
        <v>nok</v>
      </c>
      <c r="X960" s="60" t="str">
        <f>IF(AND($B960=[1]rogério!$A961,[1]rogério!$B961=X$4),"ok","nok")</f>
        <v>nok</v>
      </c>
      <c r="Y960" s="105" t="s">
        <v>15</v>
      </c>
      <c r="Z960" s="106"/>
      <c r="AA960" s="106"/>
      <c r="AB960" s="107"/>
      <c r="AE960" s="48" t="str">
        <f t="shared" si="217"/>
        <v/>
      </c>
      <c r="AF960" s="48"/>
      <c r="AG960" s="48"/>
      <c r="AH960" s="89"/>
      <c r="AI960" s="49">
        <f t="shared" si="218"/>
        <v>0</v>
      </c>
      <c r="AJ960" s="49" t="str">
        <f t="shared" si="219"/>
        <v/>
      </c>
      <c r="AK960" s="49">
        <f t="shared" si="220"/>
        <v>1</v>
      </c>
      <c r="AL960" s="49" t="str">
        <f t="shared" si="221"/>
        <v/>
      </c>
      <c r="AM960" s="49">
        <f t="shared" si="222"/>
        <v>0</v>
      </c>
      <c r="AN960" s="49" t="str">
        <f t="shared" si="223"/>
        <v/>
      </c>
      <c r="AO960" s="49">
        <f t="shared" si="224"/>
        <v>0</v>
      </c>
      <c r="AP960" s="49" t="str">
        <f t="shared" si="225"/>
        <v/>
      </c>
      <c r="AQ960" s="49">
        <f t="shared" si="226"/>
        <v>0</v>
      </c>
      <c r="AR960" s="49" t="str">
        <f t="shared" si="227"/>
        <v/>
      </c>
    </row>
    <row r="961" spans="1:44" ht="30" customHeight="1" x14ac:dyDescent="0.35">
      <c r="A961" s="25" t="str">
        <f t="shared" si="229"/>
        <v>PT178 - ESTRUTURA METÁLICA E FUNDAÇÃO - PLATAFORMAS DE ACESSO LIFT LINE SPIDER - DETALHADO
ETAPA DE ESCRITÓRIOPROJETO DETALHADO
CIVIL</v>
      </c>
      <c r="B961" s="38" t="s">
        <v>75</v>
      </c>
      <c r="C961" s="60" t="str">
        <f>IF(AND($B961=[1]rogério!$A962,[1]rogério!$B962=C$4),"ok","nok")</f>
        <v>nok</v>
      </c>
      <c r="D961" s="60" t="str">
        <f>IF(AND($B961=[1]rogério!$A962,[1]rogério!$B962=D$4),"ok","nok")</f>
        <v>nok</v>
      </c>
      <c r="E961" s="60" t="str">
        <f>IF(AND($B961=[1]rogério!$A962,[1]rogério!$B962=E$4),"ok","nok")</f>
        <v>nok</v>
      </c>
      <c r="F961" s="60" t="str">
        <f>IF(AND($B961=[1]rogério!$A962,[1]rogério!$B962=F$4),"ok","nok")</f>
        <v>nok</v>
      </c>
      <c r="G961" s="60" t="str">
        <f>IF(AND($B961=[1]rogério!$A962,[1]rogério!$B962=G$4),"ok","nok")</f>
        <v>nok</v>
      </c>
      <c r="H961" s="60" t="str">
        <f>IF(AND($B961=[1]rogério!$A962,[1]rogério!$B962=H$4),"ok","nok")</f>
        <v>nok</v>
      </c>
      <c r="I961" s="60" t="str">
        <f>IF(AND($B961=[1]rogério!$A962,[1]rogério!$B962=I$4),"ok","nok")</f>
        <v>nok</v>
      </c>
      <c r="J961" s="60" t="str">
        <f>IF(AND($B961=[1]rogério!$A962,[1]rogério!$B962=J$4),"ok","nok")</f>
        <v>nok</v>
      </c>
      <c r="K961" s="60" t="str">
        <f>IF(AND($B961=[1]rogério!$A962,[1]rogério!$B962=K$4),"ok","nok")</f>
        <v>nok</v>
      </c>
      <c r="L961" s="60" t="str">
        <f>IF(AND($B961=[1]rogério!$A962,[1]rogério!$B962=L$4),"ok","nok")</f>
        <v>nok</v>
      </c>
      <c r="M961" s="60" t="str">
        <f>IF(AND($B961=[1]rogério!$A962,[1]rogério!$B962=M$4),"ok","nok")</f>
        <v>ok</v>
      </c>
      <c r="N961" s="60" t="str">
        <f>IF(AND($B961=[1]rogério!$A962,[1]rogério!$B962=N$4),"ok","nok")</f>
        <v>nok</v>
      </c>
      <c r="O961" s="60" t="str">
        <f>IF(AND($B961=[1]rogério!$A962,[1]rogério!$B962=O$4),"ok","nok")</f>
        <v>nok</v>
      </c>
      <c r="P961" s="60" t="str">
        <f>IF(AND($B961=[1]rogério!$A962,[1]rogério!$B962=P$4),"ok","nok")</f>
        <v>nok</v>
      </c>
      <c r="Q961" s="60" t="str">
        <f>IF(AND($B961=[1]rogério!$A962,[1]rogério!$B962=Q$4),"ok","nok")</f>
        <v>nok</v>
      </c>
      <c r="R961" s="60" t="str">
        <f>IF(AND($B961=[1]rogério!$A962,[1]rogério!$B962=R$4),"ok","nok")</f>
        <v>nok</v>
      </c>
      <c r="S961" s="60" t="str">
        <f>IF(AND($B961=[1]rogério!$A962,[1]rogério!$B962=S$4),"ok","nok")</f>
        <v>nok</v>
      </c>
      <c r="T961" s="60" t="str">
        <f>IF(AND($B961=[1]rogério!$A962,[1]rogério!$B962=T$4),"ok","nok")</f>
        <v>nok</v>
      </c>
      <c r="U961" s="60" t="str">
        <f>IF(AND($B961=[1]rogério!$A962,[1]rogério!$B962=U$4),"ok","nok")</f>
        <v>nok</v>
      </c>
      <c r="V961" s="60" t="str">
        <f>IF(AND($B961=[1]rogério!$A962,[1]rogério!$B962=V$4),"ok","nok")</f>
        <v>nok</v>
      </c>
      <c r="W961" s="60" t="str">
        <f>IF(AND($B961=[1]rogério!$A962,[1]rogério!$B962=W$4),"ok","nok")</f>
        <v>nok</v>
      </c>
      <c r="X961" s="60" t="str">
        <f>IF(AND($B961=[1]rogério!$A962,[1]rogério!$B962=X$4),"ok","nok")</f>
        <v>nok</v>
      </c>
      <c r="Y961" s="105" t="s">
        <v>15</v>
      </c>
      <c r="Z961" s="106"/>
      <c r="AA961" s="106"/>
      <c r="AB961" s="107"/>
      <c r="AE961" s="48" t="str">
        <f t="shared" si="217"/>
        <v/>
      </c>
      <c r="AF961" s="48"/>
      <c r="AG961" s="48"/>
      <c r="AH961" s="89"/>
      <c r="AI961" s="49">
        <f t="shared" si="218"/>
        <v>0</v>
      </c>
      <c r="AJ961" s="49" t="str">
        <f t="shared" si="219"/>
        <v/>
      </c>
      <c r="AK961" s="49">
        <f t="shared" si="220"/>
        <v>0</v>
      </c>
      <c r="AL961" s="49" t="str">
        <f t="shared" si="221"/>
        <v/>
      </c>
      <c r="AM961" s="49">
        <f t="shared" si="222"/>
        <v>1</v>
      </c>
      <c r="AN961" s="49" t="str">
        <f t="shared" si="223"/>
        <v/>
      </c>
      <c r="AO961" s="49">
        <f t="shared" si="224"/>
        <v>0</v>
      </c>
      <c r="AP961" s="49" t="str">
        <f t="shared" si="225"/>
        <v/>
      </c>
      <c r="AQ961" s="49">
        <f t="shared" si="226"/>
        <v>0</v>
      </c>
      <c r="AR961" s="49" t="str">
        <f t="shared" si="227"/>
        <v/>
      </c>
    </row>
    <row r="962" spans="1:44" ht="30" customHeight="1" x14ac:dyDescent="0.35">
      <c r="A962" s="25"/>
      <c r="B962" s="39" t="s">
        <v>62</v>
      </c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108"/>
      <c r="Z962" s="109"/>
      <c r="AA962" s="109"/>
      <c r="AB962" s="110"/>
      <c r="AE962" s="48" t="str">
        <f t="shared" si="217"/>
        <v/>
      </c>
      <c r="AF962" s="48"/>
      <c r="AG962" s="48"/>
      <c r="AH962" s="89"/>
      <c r="AI962" s="49">
        <f t="shared" si="218"/>
        <v>0</v>
      </c>
      <c r="AJ962" s="49" t="str">
        <f t="shared" si="219"/>
        <v/>
      </c>
      <c r="AK962" s="49">
        <f t="shared" si="220"/>
        <v>0</v>
      </c>
      <c r="AL962" s="49" t="str">
        <f t="shared" si="221"/>
        <v/>
      </c>
      <c r="AM962" s="49">
        <f t="shared" si="222"/>
        <v>0</v>
      </c>
      <c r="AN962" s="49" t="str">
        <f t="shared" si="223"/>
        <v/>
      </c>
      <c r="AO962" s="49">
        <f t="shared" si="224"/>
        <v>0</v>
      </c>
      <c r="AP962" s="49" t="str">
        <f t="shared" si="225"/>
        <v/>
      </c>
      <c r="AQ962" s="49">
        <f t="shared" si="226"/>
        <v>0</v>
      </c>
      <c r="AR962" s="49" t="str">
        <f t="shared" si="227"/>
        <v/>
      </c>
    </row>
    <row r="963" spans="1:44" ht="30" customHeight="1" x14ac:dyDescent="0.35">
      <c r="A963" s="25" t="str">
        <f t="shared" si="229"/>
        <v>PT178 - ESTRUTURA METÁLICA E FUNDAÇÃO - PLATAFORMAS DE ACESSO LIFT LINE SPIDER - DETALHADO
ETAPA DE ESCRITÓRIOPROJETO DETALHADO
CIVIL</v>
      </c>
      <c r="B963" s="38" t="s">
        <v>49</v>
      </c>
      <c r="C963" s="60" t="str">
        <f>IF(AND($B963=[1]rogério!$A964,[1]rogério!$B964=C$4),"ok","nok")</f>
        <v>nok</v>
      </c>
      <c r="D963" s="60" t="str">
        <f>IF(AND($B963=[1]rogério!$A964,[1]rogério!$B964=D$4),"ok","nok")</f>
        <v>nok</v>
      </c>
      <c r="E963" s="60" t="str">
        <f>IF(AND($B963=[1]rogério!$A964,[1]rogério!$B964=E$4),"ok","nok")</f>
        <v>nok</v>
      </c>
      <c r="F963" s="60" t="str">
        <f>IF(AND($B963=[1]rogério!$A964,[1]rogério!$B964=F$4),"ok","nok")</f>
        <v>nok</v>
      </c>
      <c r="G963" s="60" t="str">
        <f>IF(AND($B963=[1]rogério!$A964,[1]rogério!$B964=G$4),"ok","nok")</f>
        <v>nok</v>
      </c>
      <c r="H963" s="60" t="str">
        <f>IF(AND($B963=[1]rogério!$A964,[1]rogério!$B964=H$4),"ok","nok")</f>
        <v>nok</v>
      </c>
      <c r="I963" s="60" t="str">
        <f>IF(AND($B963=[1]rogério!$A964,[1]rogério!$B964=I$4),"ok","nok")</f>
        <v>nok</v>
      </c>
      <c r="J963" s="60" t="str">
        <f>IF(AND($B963=[1]rogério!$A964,[1]rogério!$B964=J$4),"ok","nok")</f>
        <v>nok</v>
      </c>
      <c r="K963" s="60" t="str">
        <f>IF(AND($B963=[1]rogério!$A964,[1]rogério!$B964=K$4),"ok","nok")</f>
        <v>nok</v>
      </c>
      <c r="L963" s="60" t="str">
        <f>IF(AND($B963=[1]rogério!$A964,[1]rogério!$B964=L$4),"ok","nok")</f>
        <v>nok</v>
      </c>
      <c r="M963" s="60" t="str">
        <f>IF(AND($B963=[1]rogério!$A964,[1]rogério!$B964=M$4),"ok","nok")</f>
        <v>ok</v>
      </c>
      <c r="N963" s="60" t="str">
        <f>IF(AND($B963=[1]rogério!$A964,[1]rogério!$B964=N$4),"ok","nok")</f>
        <v>nok</v>
      </c>
      <c r="O963" s="60" t="str">
        <f>IF(AND($B963=[1]rogério!$A964,[1]rogério!$B964=O$4),"ok","nok")</f>
        <v>nok</v>
      </c>
      <c r="P963" s="60" t="str">
        <f>IF(AND($B963=[1]rogério!$A964,[1]rogério!$B964=P$4),"ok","nok")</f>
        <v>nok</v>
      </c>
      <c r="Q963" s="60" t="str">
        <f>IF(AND($B963=[1]rogério!$A964,[1]rogério!$B964=Q$4),"ok","nok")</f>
        <v>nok</v>
      </c>
      <c r="R963" s="60" t="str">
        <f>IF(AND($B963=[1]rogério!$A964,[1]rogério!$B964=R$4),"ok","nok")</f>
        <v>nok</v>
      </c>
      <c r="S963" s="60" t="str">
        <f>IF(AND($B963=[1]rogério!$A964,[1]rogério!$B964=S$4),"ok","nok")</f>
        <v>nok</v>
      </c>
      <c r="T963" s="60" t="str">
        <f>IF(AND($B963=[1]rogério!$A964,[1]rogério!$B964=T$4),"ok","nok")</f>
        <v>nok</v>
      </c>
      <c r="U963" s="60" t="str">
        <f>IF(AND($B963=[1]rogério!$A964,[1]rogério!$B964=U$4),"ok","nok")</f>
        <v>nok</v>
      </c>
      <c r="V963" s="60" t="str">
        <f>IF(AND($B963=[1]rogério!$A964,[1]rogério!$B964=V$4),"ok","nok")</f>
        <v>nok</v>
      </c>
      <c r="W963" s="60" t="str">
        <f>IF(AND($B963=[1]rogério!$A964,[1]rogério!$B964=W$4),"ok","nok")</f>
        <v>nok</v>
      </c>
      <c r="X963" s="60" t="str">
        <f>IF(AND($B963=[1]rogério!$A964,[1]rogério!$B964=X$4),"ok","nok")</f>
        <v>nok</v>
      </c>
      <c r="Y963" s="105" t="s">
        <v>15</v>
      </c>
      <c r="Z963" s="106"/>
      <c r="AA963" s="106"/>
      <c r="AB963" s="107"/>
      <c r="AE963" s="48" t="str">
        <f t="shared" ref="AE963:AE992" si="230">IF(Y963="ATRASADO",B963,"")</f>
        <v/>
      </c>
      <c r="AF963" s="48"/>
      <c r="AG963" s="48"/>
      <c r="AH963" s="89"/>
      <c r="AI963" s="49">
        <f t="shared" ref="AI963:AI992" si="231">COUNTIF(C963:G963,"ok")</f>
        <v>0</v>
      </c>
      <c r="AJ963" s="49" t="str">
        <f t="shared" ref="AJ963:AJ992" si="232">IF(AND(AI963=1,OR($Y963="entregue",$Y963="efprazo")),$Y963,"")</f>
        <v/>
      </c>
      <c r="AK963" s="49">
        <f t="shared" ref="AK963:AK992" si="233">COUNTIF(H963:L963,"ok")</f>
        <v>0</v>
      </c>
      <c r="AL963" s="49" t="str">
        <f t="shared" ref="AL963:AL992" si="234">IF(AND(AK963=1,OR($Y963="entregue",$Y963="efprazo")),$Y963,"")</f>
        <v/>
      </c>
      <c r="AM963" s="49">
        <f t="shared" ref="AM963:AM992" si="235">COUNTIF(M963:Q963,"ok")</f>
        <v>1</v>
      </c>
      <c r="AN963" s="49" t="str">
        <f t="shared" ref="AN963:AN992" si="236">IF(AND(AM963=1,OR($Y963="entregue",$Y963="efprazo")),$Y963,"")</f>
        <v/>
      </c>
      <c r="AO963" s="49">
        <f t="shared" ref="AO963:AO992" si="237">COUNTIF(R963:V963,"ok")</f>
        <v>0</v>
      </c>
      <c r="AP963" s="49" t="str">
        <f t="shared" ref="AP963:AP992" si="238">IF(AND(AO963=1,OR($Y963="entregue",$Y963="efprazo")),$Y963,"")</f>
        <v/>
      </c>
      <c r="AQ963" s="49">
        <f t="shared" ref="AQ963:AQ992" si="239">COUNTIF(W963:X963,"ok")</f>
        <v>0</v>
      </c>
      <c r="AR963" s="49" t="str">
        <f t="shared" ref="AR963:AR992" si="240">IF(AND(AQ963=1,OR($Y963="entregue",$Y963="efprazo")),$Y963,"")</f>
        <v/>
      </c>
    </row>
    <row r="964" spans="1:44" ht="30" customHeight="1" x14ac:dyDescent="0.35">
      <c r="A964" s="25" t="str">
        <f t="shared" si="229"/>
        <v>PT178 - ESTRUTURA METÁLICA E FUNDAÇÃO - PLATAFORMAS DE ACESSO LIFT LINE SPIDER - DETALHADO
ETAPA DE ESCRITÓRIOPROJETO DETALHADO
CIVIL</v>
      </c>
      <c r="B964" s="38" t="s">
        <v>19</v>
      </c>
      <c r="C964" s="60" t="str">
        <f>IF(AND($B964=[1]rogério!$A965,[1]rogério!$B965=C$4),"ok","nok")</f>
        <v>nok</v>
      </c>
      <c r="D964" s="60" t="str">
        <f>IF(AND($B964=[1]rogério!$A965,[1]rogério!$B965=D$4),"ok","nok")</f>
        <v>nok</v>
      </c>
      <c r="E964" s="60" t="str">
        <f>IF(AND($B964=[1]rogério!$A965,[1]rogério!$B965=E$4),"ok","nok")</f>
        <v>nok</v>
      </c>
      <c r="F964" s="60" t="str">
        <f>IF(AND($B964=[1]rogério!$A965,[1]rogério!$B965=F$4),"ok","nok")</f>
        <v>nok</v>
      </c>
      <c r="G964" s="60" t="str">
        <f>IF(AND($B964=[1]rogério!$A965,[1]rogério!$B965=G$4),"ok","nok")</f>
        <v>nok</v>
      </c>
      <c r="H964" s="60" t="str">
        <f>IF(AND($B964=[1]rogério!$A965,[1]rogério!$B965=H$4),"ok","nok")</f>
        <v>nok</v>
      </c>
      <c r="I964" s="60" t="str">
        <f>IF(AND($B964=[1]rogério!$A965,[1]rogério!$B965=I$4),"ok","nok")</f>
        <v>nok</v>
      </c>
      <c r="J964" s="60" t="str">
        <f>IF(AND($B964=[1]rogério!$A965,[1]rogério!$B965=J$4),"ok","nok")</f>
        <v>nok</v>
      </c>
      <c r="K964" s="60" t="str">
        <f>IF(AND($B964=[1]rogério!$A965,[1]rogério!$B965=K$4),"ok","nok")</f>
        <v>nok</v>
      </c>
      <c r="L964" s="60" t="str">
        <f>IF(AND($B964=[1]rogério!$A965,[1]rogério!$B965=L$4),"ok","nok")</f>
        <v>nok</v>
      </c>
      <c r="M964" s="60" t="str">
        <f>IF(AND($B964=[1]rogério!$A965,[1]rogério!$B965=M$4),"ok","nok")</f>
        <v>nok</v>
      </c>
      <c r="N964" s="60" t="str">
        <f>IF(AND($B964=[1]rogério!$A965,[1]rogério!$B965=N$4),"ok","nok")</f>
        <v>nok</v>
      </c>
      <c r="O964" s="60" t="str">
        <f>IF(AND($B964=[1]rogério!$A965,[1]rogério!$B965=O$4),"ok","nok")</f>
        <v>nok</v>
      </c>
      <c r="P964" s="60" t="str">
        <f>IF(AND($B964=[1]rogério!$A965,[1]rogério!$B965=P$4),"ok","nok")</f>
        <v>nok</v>
      </c>
      <c r="Q964" s="60" t="str">
        <f>IF(AND($B964=[1]rogério!$A965,[1]rogério!$B965=Q$4),"ok","nok")</f>
        <v>nok</v>
      </c>
      <c r="R964" s="60" t="str">
        <f>IF(AND($B964=[1]rogério!$A965,[1]rogério!$B965=R$4),"ok","nok")</f>
        <v>ok</v>
      </c>
      <c r="S964" s="60" t="str">
        <f>IF(AND($B964=[1]rogério!$A965,[1]rogério!$B965=S$4),"ok","nok")</f>
        <v>nok</v>
      </c>
      <c r="T964" s="60" t="str">
        <f>IF(AND($B964=[1]rogério!$A965,[1]rogério!$B965=T$4),"ok","nok")</f>
        <v>nok</v>
      </c>
      <c r="U964" s="60" t="str">
        <f>IF(AND($B964=[1]rogério!$A965,[1]rogério!$B965=U$4),"ok","nok")</f>
        <v>nok</v>
      </c>
      <c r="V964" s="60" t="str">
        <f>IF(AND($B964=[1]rogério!$A965,[1]rogério!$B965=V$4),"ok","nok")</f>
        <v>nok</v>
      </c>
      <c r="W964" s="60" t="str">
        <f>IF(AND($B964=[1]rogério!$A965,[1]rogério!$B965=W$4),"ok","nok")</f>
        <v>nok</v>
      </c>
      <c r="X964" s="60" t="str">
        <f>IF(AND($B964=[1]rogério!$A965,[1]rogério!$B965=X$4),"ok","nok")</f>
        <v>nok</v>
      </c>
      <c r="Y964" s="105" t="s">
        <v>15</v>
      </c>
      <c r="Z964" s="106"/>
      <c r="AA964" s="106"/>
      <c r="AB964" s="107"/>
      <c r="AE964" s="48" t="str">
        <f t="shared" si="230"/>
        <v/>
      </c>
      <c r="AF964" s="48"/>
      <c r="AG964" s="48"/>
      <c r="AH964" s="89"/>
      <c r="AI964" s="49">
        <f t="shared" si="231"/>
        <v>0</v>
      </c>
      <c r="AJ964" s="49" t="str">
        <f t="shared" si="232"/>
        <v/>
      </c>
      <c r="AK964" s="49">
        <f t="shared" si="233"/>
        <v>0</v>
      </c>
      <c r="AL964" s="49" t="str">
        <f t="shared" si="234"/>
        <v/>
      </c>
      <c r="AM964" s="49">
        <f t="shared" si="235"/>
        <v>0</v>
      </c>
      <c r="AN964" s="49" t="str">
        <f t="shared" si="236"/>
        <v/>
      </c>
      <c r="AO964" s="49">
        <f t="shared" si="237"/>
        <v>1</v>
      </c>
      <c r="AP964" s="49" t="str">
        <f t="shared" si="238"/>
        <v/>
      </c>
      <c r="AQ964" s="49">
        <f t="shared" si="239"/>
        <v>0</v>
      </c>
      <c r="AR964" s="49" t="str">
        <f t="shared" si="240"/>
        <v/>
      </c>
    </row>
    <row r="965" spans="1:44" ht="30" customHeight="1" x14ac:dyDescent="0.35">
      <c r="A965" s="25" t="str">
        <f t="shared" si="229"/>
        <v>PT178 - ESTRUTURA METÁLICA E FUNDAÇÃO - PLATAFORMAS DE ACESSO LIFT LINE SPIDER - DETALHADO
ETAPA DE ESCRITÓRIOPROJETO DETALHADO
CIVIL</v>
      </c>
      <c r="B965" s="38" t="s">
        <v>42</v>
      </c>
      <c r="C965" s="60" t="str">
        <f>IF(AND($B965=[1]rogério!$A966,[1]rogério!$B966=C$4),"ok","nok")</f>
        <v>nok</v>
      </c>
      <c r="D965" s="60" t="str">
        <f>IF(AND($B965=[1]rogério!$A966,[1]rogério!$B966=D$4),"ok","nok")</f>
        <v>nok</v>
      </c>
      <c r="E965" s="60" t="str">
        <f>IF(AND($B965=[1]rogério!$A966,[1]rogério!$B966=E$4),"ok","nok")</f>
        <v>nok</v>
      </c>
      <c r="F965" s="60" t="str">
        <f>IF(AND($B965=[1]rogério!$A966,[1]rogério!$B966=F$4),"ok","nok")</f>
        <v>nok</v>
      </c>
      <c r="G965" s="60" t="str">
        <f>IF(AND($B965=[1]rogério!$A966,[1]rogério!$B966=G$4),"ok","nok")</f>
        <v>nok</v>
      </c>
      <c r="H965" s="60" t="str">
        <f>IF(AND($B965=[1]rogério!$A966,[1]rogério!$B966=H$4),"ok","nok")</f>
        <v>nok</v>
      </c>
      <c r="I965" s="60" t="str">
        <f>IF(AND($B965=[1]rogério!$A966,[1]rogério!$B966=I$4),"ok","nok")</f>
        <v>nok</v>
      </c>
      <c r="J965" s="60" t="str">
        <f>IF(AND($B965=[1]rogério!$A966,[1]rogério!$B966=J$4),"ok","nok")</f>
        <v>nok</v>
      </c>
      <c r="K965" s="60" t="str">
        <f>IF(AND($B965=[1]rogério!$A966,[1]rogério!$B966=K$4),"ok","nok")</f>
        <v>nok</v>
      </c>
      <c r="L965" s="60" t="str">
        <f>IF(AND($B965=[1]rogério!$A966,[1]rogério!$B966=L$4),"ok","nok")</f>
        <v>nok</v>
      </c>
      <c r="M965" s="60" t="str">
        <f>IF(AND($B965=[1]rogério!$A966,[1]rogério!$B966=M$4),"ok","nok")</f>
        <v>nok</v>
      </c>
      <c r="N965" s="60" t="str">
        <f>IF(AND($B965=[1]rogério!$A966,[1]rogério!$B966=N$4),"ok","nok")</f>
        <v>nok</v>
      </c>
      <c r="O965" s="60" t="str">
        <f>IF(AND($B965=[1]rogério!$A966,[1]rogério!$B966=O$4),"ok","nok")</f>
        <v>nok</v>
      </c>
      <c r="P965" s="60" t="str">
        <f>IF(AND($B965=[1]rogério!$A966,[1]rogério!$B966=P$4),"ok","nok")</f>
        <v>nok</v>
      </c>
      <c r="Q965" s="60" t="str">
        <f>IF(AND($B965=[1]rogério!$A966,[1]rogério!$B966=Q$4),"ok","nok")</f>
        <v>nok</v>
      </c>
      <c r="R965" s="60" t="str">
        <f>IF(AND($B965=[1]rogério!$A966,[1]rogério!$B966=R$4),"ok","nok")</f>
        <v>nok</v>
      </c>
      <c r="S965" s="60" t="str">
        <f>IF(AND($B965=[1]rogério!$A966,[1]rogério!$B966=S$4),"ok","nok")</f>
        <v>nok</v>
      </c>
      <c r="T965" s="60" t="str">
        <f>IF(AND($B965=[1]rogério!$A966,[1]rogério!$B966=T$4),"ok","nok")</f>
        <v>nok</v>
      </c>
      <c r="U965" s="60" t="str">
        <f>IF(AND($B965=[1]rogério!$A966,[1]rogério!$B966=U$4),"ok","nok")</f>
        <v>ok</v>
      </c>
      <c r="V965" s="60" t="str">
        <f>IF(AND($B965=[1]rogério!$A966,[1]rogério!$B966=V$4),"ok","nok")</f>
        <v>nok</v>
      </c>
      <c r="W965" s="60" t="str">
        <f>IF(AND($B965=[1]rogério!$A966,[1]rogério!$B966=W$4),"ok","nok")</f>
        <v>nok</v>
      </c>
      <c r="X965" s="60" t="str">
        <f>IF(AND($B965=[1]rogério!$A966,[1]rogério!$B966=X$4),"ok","nok")</f>
        <v>nok</v>
      </c>
      <c r="Y965" s="105" t="s">
        <v>15</v>
      </c>
      <c r="Z965" s="106"/>
      <c r="AA965" s="106"/>
      <c r="AB965" s="107"/>
      <c r="AE965" s="48" t="str">
        <f t="shared" si="230"/>
        <v/>
      </c>
      <c r="AF965" s="48"/>
      <c r="AG965" s="48"/>
      <c r="AH965" s="89"/>
      <c r="AI965" s="49">
        <f t="shared" si="231"/>
        <v>0</v>
      </c>
      <c r="AJ965" s="49" t="str">
        <f t="shared" si="232"/>
        <v/>
      </c>
      <c r="AK965" s="49">
        <f t="shared" si="233"/>
        <v>0</v>
      </c>
      <c r="AL965" s="49" t="str">
        <f t="shared" si="234"/>
        <v/>
      </c>
      <c r="AM965" s="49">
        <f t="shared" si="235"/>
        <v>0</v>
      </c>
      <c r="AN965" s="49" t="str">
        <f t="shared" si="236"/>
        <v/>
      </c>
      <c r="AO965" s="49">
        <f t="shared" si="237"/>
        <v>1</v>
      </c>
      <c r="AP965" s="49" t="str">
        <f t="shared" si="238"/>
        <v/>
      </c>
      <c r="AQ965" s="49">
        <f t="shared" si="239"/>
        <v>0</v>
      </c>
      <c r="AR965" s="49" t="str">
        <f t="shared" si="240"/>
        <v/>
      </c>
    </row>
    <row r="966" spans="1:44" ht="30" customHeight="1" x14ac:dyDescent="0.35">
      <c r="A966" s="25" t="str">
        <f t="shared" si="229"/>
        <v>PT178 - ESTRUTURA METÁLICA E FUNDAÇÃO - PLATAFORMAS DE ACESSO LIFT LINE SPIDER - DETALHADO
ETAPA DE ESCRITÓRIOPROJETO DETALHADO
CIVIL</v>
      </c>
      <c r="B966" s="38" t="s">
        <v>43</v>
      </c>
      <c r="C966" s="60" t="str">
        <f>IF(AND($B966=[1]rogério!$A967,[1]rogério!$B967=C$4),"ok","nok")</f>
        <v>nok</v>
      </c>
      <c r="D966" s="60" t="str">
        <f>IF(AND($B966=[1]rogério!$A967,[1]rogério!$B967=D$4),"ok","nok")</f>
        <v>nok</v>
      </c>
      <c r="E966" s="60" t="str">
        <f>IF(AND($B966=[1]rogério!$A967,[1]rogério!$B967=E$4),"ok","nok")</f>
        <v>nok</v>
      </c>
      <c r="F966" s="60" t="str">
        <f>IF(AND($B966=[1]rogério!$A967,[1]rogério!$B967=F$4),"ok","nok")</f>
        <v>nok</v>
      </c>
      <c r="G966" s="60" t="str">
        <f>IF(AND($B966=[1]rogério!$A967,[1]rogério!$B967=G$4),"ok","nok")</f>
        <v>nok</v>
      </c>
      <c r="H966" s="60" t="str">
        <f>IF(AND($B966=[1]rogério!$A967,[1]rogério!$B967=H$4),"ok","nok")</f>
        <v>nok</v>
      </c>
      <c r="I966" s="60" t="str">
        <f>IF(AND($B966=[1]rogério!$A967,[1]rogério!$B967=I$4),"ok","nok")</f>
        <v>nok</v>
      </c>
      <c r="J966" s="60" t="str">
        <f>IF(AND($B966=[1]rogério!$A967,[1]rogério!$B967=J$4),"ok","nok")</f>
        <v>nok</v>
      </c>
      <c r="K966" s="60" t="str">
        <f>IF(AND($B966=[1]rogério!$A967,[1]rogério!$B967=K$4),"ok","nok")</f>
        <v>nok</v>
      </c>
      <c r="L966" s="60" t="str">
        <f>IF(AND($B966=[1]rogério!$A967,[1]rogério!$B967=L$4),"ok","nok")</f>
        <v>nok</v>
      </c>
      <c r="M966" s="60" t="str">
        <f>IF(AND($B966=[1]rogério!$A967,[1]rogério!$B967=M$4),"ok","nok")</f>
        <v>nok</v>
      </c>
      <c r="N966" s="60" t="str">
        <f>IF(AND($B966=[1]rogério!$A967,[1]rogério!$B967=N$4),"ok","nok")</f>
        <v>nok</v>
      </c>
      <c r="O966" s="60" t="str">
        <f>IF(AND($B966=[1]rogério!$A967,[1]rogério!$B967=O$4),"ok","nok")</f>
        <v>nok</v>
      </c>
      <c r="P966" s="60" t="str">
        <f>IF(AND($B966=[1]rogério!$A967,[1]rogério!$B967=P$4),"ok","nok")</f>
        <v>nok</v>
      </c>
      <c r="Q966" s="60" t="str">
        <f>IF(AND($B966=[1]rogério!$A967,[1]rogério!$B967=Q$4),"ok","nok")</f>
        <v>nok</v>
      </c>
      <c r="R966" s="60" t="str">
        <f>IF(AND($B966=[1]rogério!$A967,[1]rogério!$B967=R$4),"ok","nok")</f>
        <v>nok</v>
      </c>
      <c r="S966" s="60" t="str">
        <f>IF(AND($B966=[1]rogério!$A967,[1]rogério!$B967=S$4),"ok","nok")</f>
        <v>nok</v>
      </c>
      <c r="T966" s="60" t="str">
        <f>IF(AND($B966=[1]rogério!$A967,[1]rogério!$B967=T$4),"ok","nok")</f>
        <v>nok</v>
      </c>
      <c r="U966" s="60" t="str">
        <f>IF(AND($B966=[1]rogério!$A967,[1]rogério!$B967=U$4),"ok","nok")</f>
        <v>ok</v>
      </c>
      <c r="V966" s="60" t="str">
        <f>IF(AND($B966=[1]rogério!$A967,[1]rogério!$B967=V$4),"ok","nok")</f>
        <v>nok</v>
      </c>
      <c r="W966" s="60" t="str">
        <f>IF(AND($B966=[1]rogério!$A967,[1]rogério!$B967=W$4),"ok","nok")</f>
        <v>nok</v>
      </c>
      <c r="X966" s="60" t="str">
        <f>IF(AND($B966=[1]rogério!$A967,[1]rogério!$B967=X$4),"ok","nok")</f>
        <v>nok</v>
      </c>
      <c r="Y966" s="105" t="s">
        <v>15</v>
      </c>
      <c r="Z966" s="106"/>
      <c r="AA966" s="106"/>
      <c r="AB966" s="107"/>
      <c r="AE966" s="48" t="str">
        <f t="shared" si="230"/>
        <v/>
      </c>
      <c r="AF966" s="48"/>
      <c r="AG966" s="48"/>
      <c r="AH966" s="89"/>
      <c r="AI966" s="49">
        <f t="shared" si="231"/>
        <v>0</v>
      </c>
      <c r="AJ966" s="49" t="str">
        <f t="shared" si="232"/>
        <v/>
      </c>
      <c r="AK966" s="49">
        <f t="shared" si="233"/>
        <v>0</v>
      </c>
      <c r="AL966" s="49" t="str">
        <f t="shared" si="234"/>
        <v/>
      </c>
      <c r="AM966" s="49">
        <f t="shared" si="235"/>
        <v>0</v>
      </c>
      <c r="AN966" s="49" t="str">
        <f t="shared" si="236"/>
        <v/>
      </c>
      <c r="AO966" s="49">
        <f t="shared" si="237"/>
        <v>1</v>
      </c>
      <c r="AP966" s="49" t="str">
        <f t="shared" si="238"/>
        <v/>
      </c>
      <c r="AQ966" s="49">
        <f t="shared" si="239"/>
        <v>0</v>
      </c>
      <c r="AR966" s="49" t="str">
        <f t="shared" si="240"/>
        <v/>
      </c>
    </row>
    <row r="967" spans="1:44" ht="30" customHeight="1" x14ac:dyDescent="0.35">
      <c r="A967" s="25" t="str">
        <f t="shared" si="229"/>
        <v>PT178 - ESTRUTURA METÁLICA E FUNDAÇÃO - PLATAFORMAS DE ACESSO LIFT LINE SPIDER - DETALHADO
ETAPA DE ESCRITÓRIOPROJETO DETALHADO
CIVIL</v>
      </c>
      <c r="B967" s="38" t="s">
        <v>76</v>
      </c>
      <c r="C967" s="60" t="str">
        <f>IF(AND($B967=[1]rogério!$A968,[1]rogério!$B968=C$4),"ok","nok")</f>
        <v>nok</v>
      </c>
      <c r="D967" s="60" t="str">
        <f>IF(AND($B967=[1]rogério!$A968,[1]rogério!$B968=D$4),"ok","nok")</f>
        <v>nok</v>
      </c>
      <c r="E967" s="60" t="str">
        <f>IF(AND($B967=[1]rogério!$A968,[1]rogério!$B968=E$4),"ok","nok")</f>
        <v>nok</v>
      </c>
      <c r="F967" s="60" t="str">
        <f>IF(AND($B967=[1]rogério!$A968,[1]rogério!$B968=F$4),"ok","nok")</f>
        <v>nok</v>
      </c>
      <c r="G967" s="60" t="str">
        <f>IF(AND($B967=[1]rogério!$A968,[1]rogério!$B968=G$4),"ok","nok")</f>
        <v>nok</v>
      </c>
      <c r="H967" s="60" t="str">
        <f>IF(AND($B967=[1]rogério!$A968,[1]rogério!$B968=H$4),"ok","nok")</f>
        <v>nok</v>
      </c>
      <c r="I967" s="60" t="str">
        <f>IF(AND($B967=[1]rogério!$A968,[1]rogério!$B968=I$4),"ok","nok")</f>
        <v>nok</v>
      </c>
      <c r="J967" s="60" t="str">
        <f>IF(AND($B967=[1]rogério!$A968,[1]rogério!$B968=J$4),"ok","nok")</f>
        <v>nok</v>
      </c>
      <c r="K967" s="60" t="str">
        <f>IF(AND($B967=[1]rogério!$A968,[1]rogério!$B968=K$4),"ok","nok")</f>
        <v>nok</v>
      </c>
      <c r="L967" s="60" t="str">
        <f>IF(AND($B967=[1]rogério!$A968,[1]rogério!$B968=L$4),"ok","nok")</f>
        <v>nok</v>
      </c>
      <c r="M967" s="60" t="str">
        <f>IF(AND($B967=[1]rogério!$A968,[1]rogério!$B968=M$4),"ok","nok")</f>
        <v>nok</v>
      </c>
      <c r="N967" s="60" t="str">
        <f>IF(AND($B967=[1]rogério!$A968,[1]rogério!$B968=N$4),"ok","nok")</f>
        <v>nok</v>
      </c>
      <c r="O967" s="60" t="str">
        <f>IF(AND($B967=[1]rogério!$A968,[1]rogério!$B968=O$4),"ok","nok")</f>
        <v>ok</v>
      </c>
      <c r="P967" s="60" t="str">
        <f>IF(AND($B967=[1]rogério!$A968,[1]rogério!$B968=P$4),"ok","nok")</f>
        <v>nok</v>
      </c>
      <c r="Q967" s="60" t="str">
        <f>IF(AND($B967=[1]rogério!$A968,[1]rogério!$B968=Q$4),"ok","nok")</f>
        <v>nok</v>
      </c>
      <c r="R967" s="60" t="str">
        <f>IF(AND($B967=[1]rogério!$A968,[1]rogério!$B968=R$4),"ok","nok")</f>
        <v>nok</v>
      </c>
      <c r="S967" s="60" t="str">
        <f>IF(AND($B967=[1]rogério!$A968,[1]rogério!$B968=S$4),"ok","nok")</f>
        <v>nok</v>
      </c>
      <c r="T967" s="60" t="str">
        <f>IF(AND($B967=[1]rogério!$A968,[1]rogério!$B968=T$4),"ok","nok")</f>
        <v>nok</v>
      </c>
      <c r="U967" s="60" t="str">
        <f>IF(AND($B967=[1]rogério!$A968,[1]rogério!$B968=U$4),"ok","nok")</f>
        <v>nok</v>
      </c>
      <c r="V967" s="60" t="str">
        <f>IF(AND($B967=[1]rogério!$A968,[1]rogério!$B968=V$4),"ok","nok")</f>
        <v>nok</v>
      </c>
      <c r="W967" s="60" t="str">
        <f>IF(AND($B967=[1]rogério!$A968,[1]rogério!$B968=W$4),"ok","nok")</f>
        <v>nok</v>
      </c>
      <c r="X967" s="60" t="str">
        <f>IF(AND($B967=[1]rogério!$A968,[1]rogério!$B968=X$4),"ok","nok")</f>
        <v>nok</v>
      </c>
      <c r="Y967" s="105" t="s">
        <v>15</v>
      </c>
      <c r="Z967" s="106"/>
      <c r="AA967" s="106"/>
      <c r="AB967" s="107"/>
      <c r="AE967" s="48" t="str">
        <f t="shared" si="230"/>
        <v/>
      </c>
      <c r="AF967" s="48"/>
      <c r="AG967" s="48"/>
      <c r="AH967" s="89"/>
      <c r="AI967" s="49">
        <f t="shared" si="231"/>
        <v>0</v>
      </c>
      <c r="AJ967" s="49" t="str">
        <f t="shared" si="232"/>
        <v/>
      </c>
      <c r="AK967" s="49">
        <f t="shared" si="233"/>
        <v>0</v>
      </c>
      <c r="AL967" s="49" t="str">
        <f t="shared" si="234"/>
        <v/>
      </c>
      <c r="AM967" s="49">
        <f t="shared" si="235"/>
        <v>1</v>
      </c>
      <c r="AN967" s="49" t="str">
        <f t="shared" si="236"/>
        <v/>
      </c>
      <c r="AO967" s="49">
        <f t="shared" si="237"/>
        <v>0</v>
      </c>
      <c r="AP967" s="49" t="str">
        <f t="shared" si="238"/>
        <v/>
      </c>
      <c r="AQ967" s="49">
        <f t="shared" si="239"/>
        <v>0</v>
      </c>
      <c r="AR967" s="49" t="str">
        <f t="shared" si="240"/>
        <v/>
      </c>
    </row>
    <row r="968" spans="1:44" ht="30" customHeight="1" x14ac:dyDescent="0.35">
      <c r="A968" s="25" t="str">
        <f t="shared" si="229"/>
        <v>PT178 - ESTRUTURA METÁLICA E FUNDAÇÃO - PLATAFORMAS DE ACESSO LIFT LINE SPIDER - DETALHADO
ETAPA DE ESCRITÓRIOPROJETO DETALHADO
CIVIL</v>
      </c>
      <c r="B968" s="38" t="s">
        <v>77</v>
      </c>
      <c r="C968" s="60" t="str">
        <f>IF(AND($B968=[1]rogério!$A969,[1]rogério!$B969=C$4),"ok","nok")</f>
        <v>nok</v>
      </c>
      <c r="D968" s="60" t="str">
        <f>IF(AND($B968=[1]rogério!$A969,[1]rogério!$B969=D$4),"ok","nok")</f>
        <v>nok</v>
      </c>
      <c r="E968" s="60" t="str">
        <f>IF(AND($B968=[1]rogério!$A969,[1]rogério!$B969=E$4),"ok","nok")</f>
        <v>nok</v>
      </c>
      <c r="F968" s="60" t="str">
        <f>IF(AND($B968=[1]rogério!$A969,[1]rogério!$B969=F$4),"ok","nok")</f>
        <v>nok</v>
      </c>
      <c r="G968" s="60" t="str">
        <f>IF(AND($B968=[1]rogério!$A969,[1]rogério!$B969=G$4),"ok","nok")</f>
        <v>nok</v>
      </c>
      <c r="H968" s="60" t="str">
        <f>IF(AND($B968=[1]rogério!$A969,[1]rogério!$B969=H$4),"ok","nok")</f>
        <v>nok</v>
      </c>
      <c r="I968" s="60" t="str">
        <f>IF(AND($B968=[1]rogério!$A969,[1]rogério!$B969=I$4),"ok","nok")</f>
        <v>nok</v>
      </c>
      <c r="J968" s="60" t="str">
        <f>IF(AND($B968=[1]rogério!$A969,[1]rogério!$B969=J$4),"ok","nok")</f>
        <v>nok</v>
      </c>
      <c r="K968" s="60" t="str">
        <f>IF(AND($B968=[1]rogério!$A969,[1]rogério!$B969=K$4),"ok","nok")</f>
        <v>nok</v>
      </c>
      <c r="L968" s="60" t="str">
        <f>IF(AND($B968=[1]rogério!$A969,[1]rogério!$B969=L$4),"ok","nok")</f>
        <v>nok</v>
      </c>
      <c r="M968" s="60" t="str">
        <f>IF(AND($B968=[1]rogério!$A969,[1]rogério!$B969=M$4),"ok","nok")</f>
        <v>nok</v>
      </c>
      <c r="N968" s="60" t="str">
        <f>IF(AND($B968=[1]rogério!$A969,[1]rogério!$B969=N$4),"ok","nok")</f>
        <v>nok</v>
      </c>
      <c r="O968" s="60" t="str">
        <f>IF(AND($B968=[1]rogério!$A969,[1]rogério!$B969=O$4),"ok","nok")</f>
        <v>nok</v>
      </c>
      <c r="P968" s="60" t="str">
        <f>IF(AND($B968=[1]rogério!$A969,[1]rogério!$B969=P$4),"ok","nok")</f>
        <v>ok</v>
      </c>
      <c r="Q968" s="60" t="str">
        <f>IF(AND($B968=[1]rogério!$A969,[1]rogério!$B969=Q$4),"ok","nok")</f>
        <v>nok</v>
      </c>
      <c r="R968" s="60" t="str">
        <f>IF(AND($B968=[1]rogério!$A969,[1]rogério!$B969=R$4),"ok","nok")</f>
        <v>nok</v>
      </c>
      <c r="S968" s="60" t="str">
        <f>IF(AND($B968=[1]rogério!$A969,[1]rogério!$B969=S$4),"ok","nok")</f>
        <v>nok</v>
      </c>
      <c r="T968" s="60" t="str">
        <f>IF(AND($B968=[1]rogério!$A969,[1]rogério!$B969=T$4),"ok","nok")</f>
        <v>nok</v>
      </c>
      <c r="U968" s="60" t="str">
        <f>IF(AND($B968=[1]rogério!$A969,[1]rogério!$B969=U$4),"ok","nok")</f>
        <v>nok</v>
      </c>
      <c r="V968" s="60" t="str">
        <f>IF(AND($B968=[1]rogério!$A969,[1]rogério!$B969=V$4),"ok","nok")</f>
        <v>nok</v>
      </c>
      <c r="W968" s="60" t="str">
        <f>IF(AND($B968=[1]rogério!$A969,[1]rogério!$B969=W$4),"ok","nok")</f>
        <v>nok</v>
      </c>
      <c r="X968" s="60" t="str">
        <f>IF(AND($B968=[1]rogério!$A969,[1]rogério!$B969=X$4),"ok","nok")</f>
        <v>nok</v>
      </c>
      <c r="Y968" s="105" t="s">
        <v>15</v>
      </c>
      <c r="Z968" s="106"/>
      <c r="AA968" s="106"/>
      <c r="AB968" s="107"/>
      <c r="AE968" s="48" t="str">
        <f t="shared" si="230"/>
        <v/>
      </c>
      <c r="AF968" s="48"/>
      <c r="AG968" s="48"/>
      <c r="AH968" s="89"/>
      <c r="AI968" s="49">
        <f t="shared" si="231"/>
        <v>0</v>
      </c>
      <c r="AJ968" s="49" t="str">
        <f t="shared" si="232"/>
        <v/>
      </c>
      <c r="AK968" s="49">
        <f t="shared" si="233"/>
        <v>0</v>
      </c>
      <c r="AL968" s="49" t="str">
        <f t="shared" si="234"/>
        <v/>
      </c>
      <c r="AM968" s="49">
        <f t="shared" si="235"/>
        <v>1</v>
      </c>
      <c r="AN968" s="49" t="str">
        <f t="shared" si="236"/>
        <v/>
      </c>
      <c r="AO968" s="49">
        <f t="shared" si="237"/>
        <v>0</v>
      </c>
      <c r="AP968" s="49" t="str">
        <f t="shared" si="238"/>
        <v/>
      </c>
      <c r="AQ968" s="49">
        <f t="shared" si="239"/>
        <v>0</v>
      </c>
      <c r="AR968" s="49" t="str">
        <f t="shared" si="240"/>
        <v/>
      </c>
    </row>
    <row r="969" spans="1:44" ht="30" customHeight="1" x14ac:dyDescent="0.35">
      <c r="A969" s="25"/>
      <c r="B969" s="39" t="s">
        <v>78</v>
      </c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108"/>
      <c r="Z969" s="109"/>
      <c r="AA969" s="109"/>
      <c r="AB969" s="110"/>
      <c r="AE969" s="48" t="str">
        <f t="shared" si="230"/>
        <v/>
      </c>
      <c r="AF969" s="48"/>
      <c r="AG969" s="48"/>
      <c r="AH969" s="89"/>
      <c r="AI969" s="49">
        <f t="shared" si="231"/>
        <v>0</v>
      </c>
      <c r="AJ969" s="49" t="str">
        <f t="shared" si="232"/>
        <v/>
      </c>
      <c r="AK969" s="49">
        <f t="shared" si="233"/>
        <v>0</v>
      </c>
      <c r="AL969" s="49" t="str">
        <f t="shared" si="234"/>
        <v/>
      </c>
      <c r="AM969" s="49">
        <f t="shared" si="235"/>
        <v>0</v>
      </c>
      <c r="AN969" s="49" t="str">
        <f t="shared" si="236"/>
        <v/>
      </c>
      <c r="AO969" s="49">
        <f t="shared" si="237"/>
        <v>0</v>
      </c>
      <c r="AP969" s="49" t="str">
        <f t="shared" si="238"/>
        <v/>
      </c>
      <c r="AQ969" s="49">
        <f t="shared" si="239"/>
        <v>0</v>
      </c>
      <c r="AR969" s="49" t="str">
        <f t="shared" si="240"/>
        <v/>
      </c>
    </row>
    <row r="970" spans="1:44" ht="30" customHeight="1" x14ac:dyDescent="0.35">
      <c r="A970" s="25" t="str">
        <f t="shared" si="229"/>
        <v>PT178 - ESTRUTURA METÁLICA E FUNDAÇÃO - PLATAFORMAS DE ACESSO LIFT LINE SPIDER - DETALHADO
ETAPA DE ESCRITÓRIOPROJETO DETALHADO
CIVIL</v>
      </c>
      <c r="B970" s="38" t="s">
        <v>49</v>
      </c>
      <c r="C970" s="60" t="str">
        <f>IF(AND($B970=[1]rogério!$A971,[1]rogério!$B971=C$4),"ok","nok")</f>
        <v>nok</v>
      </c>
      <c r="D970" s="60" t="str">
        <f>IF(AND($B970=[1]rogério!$A971,[1]rogério!$B971=D$4),"ok","nok")</f>
        <v>nok</v>
      </c>
      <c r="E970" s="60" t="str">
        <f>IF(AND($B970=[1]rogério!$A971,[1]rogério!$B971=E$4),"ok","nok")</f>
        <v>nok</v>
      </c>
      <c r="F970" s="60" t="str">
        <f>IF(AND($B970=[1]rogério!$A971,[1]rogério!$B971=F$4),"ok","nok")</f>
        <v>nok</v>
      </c>
      <c r="G970" s="60" t="str">
        <f>IF(AND($B970=[1]rogério!$A971,[1]rogério!$B971=G$4),"ok","nok")</f>
        <v>nok</v>
      </c>
      <c r="H970" s="60" t="str">
        <f>IF(AND($B970=[1]rogério!$A971,[1]rogério!$B971=H$4),"ok","nok")</f>
        <v>nok</v>
      </c>
      <c r="I970" s="60" t="str">
        <f>IF(AND($B970=[1]rogério!$A971,[1]rogério!$B971=I$4),"ok","nok")</f>
        <v>nok</v>
      </c>
      <c r="J970" s="60" t="str">
        <f>IF(AND($B970=[1]rogério!$A971,[1]rogério!$B971=J$4),"ok","nok")</f>
        <v>nok</v>
      </c>
      <c r="K970" s="60" t="str">
        <f>IF(AND($B970=[1]rogério!$A971,[1]rogério!$B971=K$4),"ok","nok")</f>
        <v>nok</v>
      </c>
      <c r="L970" s="60" t="str">
        <f>IF(AND($B970=[1]rogério!$A971,[1]rogério!$B971=L$4),"ok","nok")</f>
        <v>nok</v>
      </c>
      <c r="M970" s="60" t="str">
        <f>IF(AND($B970=[1]rogério!$A971,[1]rogério!$B971=M$4),"ok","nok")</f>
        <v>nok</v>
      </c>
      <c r="N970" s="60" t="str">
        <f>IF(AND($B970=[1]rogério!$A971,[1]rogério!$B971=N$4),"ok","nok")</f>
        <v>nok</v>
      </c>
      <c r="O970" s="60" t="str">
        <f>IF(AND($B970=[1]rogério!$A971,[1]rogério!$B971=O$4),"ok","nok")</f>
        <v>nok</v>
      </c>
      <c r="P970" s="60" t="str">
        <f>IF(AND($B970=[1]rogério!$A971,[1]rogério!$B971=P$4),"ok","nok")</f>
        <v>ok</v>
      </c>
      <c r="Q970" s="60" t="str">
        <f>IF(AND($B970=[1]rogério!$A971,[1]rogério!$B971=Q$4),"ok","nok")</f>
        <v>nok</v>
      </c>
      <c r="R970" s="60" t="str">
        <f>IF(AND($B970=[1]rogério!$A971,[1]rogério!$B971=R$4),"ok","nok")</f>
        <v>nok</v>
      </c>
      <c r="S970" s="60" t="str">
        <f>IF(AND($B970=[1]rogério!$A971,[1]rogério!$B971=S$4),"ok","nok")</f>
        <v>nok</v>
      </c>
      <c r="T970" s="60" t="str">
        <f>IF(AND($B970=[1]rogério!$A971,[1]rogério!$B971=T$4),"ok","nok")</f>
        <v>nok</v>
      </c>
      <c r="U970" s="60" t="str">
        <f>IF(AND($B970=[1]rogério!$A971,[1]rogério!$B971=U$4),"ok","nok")</f>
        <v>nok</v>
      </c>
      <c r="V970" s="60" t="str">
        <f>IF(AND($B970=[1]rogério!$A971,[1]rogério!$B971=V$4),"ok","nok")</f>
        <v>nok</v>
      </c>
      <c r="W970" s="60" t="str">
        <f>IF(AND($B970=[1]rogério!$A971,[1]rogério!$B971=W$4),"ok","nok")</f>
        <v>nok</v>
      </c>
      <c r="X970" s="60" t="str">
        <f>IF(AND($B970=[1]rogério!$A971,[1]rogério!$B971=X$4),"ok","nok")</f>
        <v>nok</v>
      </c>
      <c r="Y970" s="105" t="s">
        <v>15</v>
      </c>
      <c r="Z970" s="106"/>
      <c r="AA970" s="106"/>
      <c r="AB970" s="107"/>
      <c r="AE970" s="48" t="str">
        <f t="shared" si="230"/>
        <v/>
      </c>
      <c r="AF970" s="48"/>
      <c r="AG970" s="48"/>
      <c r="AH970" s="89"/>
      <c r="AI970" s="49">
        <f t="shared" si="231"/>
        <v>0</v>
      </c>
      <c r="AJ970" s="49" t="str">
        <f t="shared" si="232"/>
        <v/>
      </c>
      <c r="AK970" s="49">
        <f t="shared" si="233"/>
        <v>0</v>
      </c>
      <c r="AL970" s="49" t="str">
        <f t="shared" si="234"/>
        <v/>
      </c>
      <c r="AM970" s="49">
        <f t="shared" si="235"/>
        <v>1</v>
      </c>
      <c r="AN970" s="49" t="str">
        <f t="shared" si="236"/>
        <v/>
      </c>
      <c r="AO970" s="49">
        <f t="shared" si="237"/>
        <v>0</v>
      </c>
      <c r="AP970" s="49" t="str">
        <f t="shared" si="238"/>
        <v/>
      </c>
      <c r="AQ970" s="49">
        <f t="shared" si="239"/>
        <v>0</v>
      </c>
      <c r="AR970" s="49" t="str">
        <f t="shared" si="240"/>
        <v/>
      </c>
    </row>
    <row r="971" spans="1:44" ht="30" customHeight="1" x14ac:dyDescent="0.35">
      <c r="A971" s="25" t="str">
        <f t="shared" si="229"/>
        <v>PT178 - ESTRUTURA METÁLICA E FUNDAÇÃO - PLATAFORMAS DE ACESSO LIFT LINE SPIDER - DETALHADO
ETAPA DE ESCRITÓRIOPROJETO DETALHADO
CIVIL</v>
      </c>
      <c r="B971" s="38" t="s">
        <v>19</v>
      </c>
      <c r="C971" s="60" t="str">
        <f>IF(AND($B971=[1]rogério!$A972,[1]rogério!$B972=C$4),"ok","nok")</f>
        <v>nok</v>
      </c>
      <c r="D971" s="60" t="str">
        <f>IF(AND($B971=[1]rogério!$A972,[1]rogério!$B972=D$4),"ok","nok")</f>
        <v>nok</v>
      </c>
      <c r="E971" s="60" t="str">
        <f>IF(AND($B971=[1]rogério!$A972,[1]rogério!$B972=E$4),"ok","nok")</f>
        <v>nok</v>
      </c>
      <c r="F971" s="60" t="str">
        <f>IF(AND($B971=[1]rogério!$A972,[1]rogério!$B972=F$4),"ok","nok")</f>
        <v>nok</v>
      </c>
      <c r="G971" s="60" t="str">
        <f>IF(AND($B971=[1]rogério!$A972,[1]rogério!$B972=G$4),"ok","nok")</f>
        <v>nok</v>
      </c>
      <c r="H971" s="60" t="str">
        <f>IF(AND($B971=[1]rogério!$A972,[1]rogério!$B972=H$4),"ok","nok")</f>
        <v>nok</v>
      </c>
      <c r="I971" s="60" t="str">
        <f>IF(AND($B971=[1]rogério!$A972,[1]rogério!$B972=I$4),"ok","nok")</f>
        <v>nok</v>
      </c>
      <c r="J971" s="60" t="str">
        <f>IF(AND($B971=[1]rogério!$A972,[1]rogério!$B972=J$4),"ok","nok")</f>
        <v>nok</v>
      </c>
      <c r="K971" s="60" t="str">
        <f>IF(AND($B971=[1]rogério!$A972,[1]rogério!$B972=K$4),"ok","nok")</f>
        <v>nok</v>
      </c>
      <c r="L971" s="60" t="str">
        <f>IF(AND($B971=[1]rogério!$A972,[1]rogério!$B972=L$4),"ok","nok")</f>
        <v>nok</v>
      </c>
      <c r="M971" s="60" t="str">
        <f>IF(AND($B971=[1]rogério!$A972,[1]rogério!$B972=M$4),"ok","nok")</f>
        <v>nok</v>
      </c>
      <c r="N971" s="60" t="str">
        <f>IF(AND($B971=[1]rogério!$A972,[1]rogério!$B972=N$4),"ok","nok")</f>
        <v>nok</v>
      </c>
      <c r="O971" s="60" t="str">
        <f>IF(AND($B971=[1]rogério!$A972,[1]rogério!$B972=O$4),"ok","nok")</f>
        <v>nok</v>
      </c>
      <c r="P971" s="60" t="str">
        <f>IF(AND($B971=[1]rogério!$A972,[1]rogério!$B972=P$4),"ok","nok")</f>
        <v>nok</v>
      </c>
      <c r="Q971" s="60" t="str">
        <f>IF(AND($B971=[1]rogério!$A972,[1]rogério!$B972=Q$4),"ok","nok")</f>
        <v>nok</v>
      </c>
      <c r="R971" s="60" t="str">
        <f>IF(AND($B971=[1]rogério!$A972,[1]rogério!$B972=R$4),"ok","nok")</f>
        <v>nok</v>
      </c>
      <c r="S971" s="60" t="str">
        <f>IF(AND($B971=[1]rogério!$A972,[1]rogério!$B972=S$4),"ok","nok")</f>
        <v>nok</v>
      </c>
      <c r="T971" s="60" t="str">
        <f>IF(AND($B971=[1]rogério!$A972,[1]rogério!$B972=T$4),"ok","nok")</f>
        <v>nok</v>
      </c>
      <c r="U971" s="60" t="str">
        <f>IF(AND($B971=[1]rogério!$A972,[1]rogério!$B972=U$4),"ok","nok")</f>
        <v>ok</v>
      </c>
      <c r="V971" s="60" t="str">
        <f>IF(AND($B971=[1]rogério!$A972,[1]rogério!$B972=V$4),"ok","nok")</f>
        <v>nok</v>
      </c>
      <c r="W971" s="60" t="str">
        <f>IF(AND($B971=[1]rogério!$A972,[1]rogério!$B972=W$4),"ok","nok")</f>
        <v>nok</v>
      </c>
      <c r="X971" s="60" t="str">
        <f>IF(AND($B971=[1]rogério!$A972,[1]rogério!$B972=X$4),"ok","nok")</f>
        <v>nok</v>
      </c>
      <c r="Y971" s="105" t="s">
        <v>15</v>
      </c>
      <c r="Z971" s="106"/>
      <c r="AA971" s="106"/>
      <c r="AB971" s="107"/>
      <c r="AE971" s="48" t="str">
        <f t="shared" si="230"/>
        <v/>
      </c>
      <c r="AF971" s="48"/>
      <c r="AG971" s="48"/>
      <c r="AH971" s="89"/>
      <c r="AI971" s="49">
        <f t="shared" si="231"/>
        <v>0</v>
      </c>
      <c r="AJ971" s="49" t="str">
        <f t="shared" si="232"/>
        <v/>
      </c>
      <c r="AK971" s="49">
        <f t="shared" si="233"/>
        <v>0</v>
      </c>
      <c r="AL971" s="49" t="str">
        <f t="shared" si="234"/>
        <v/>
      </c>
      <c r="AM971" s="49">
        <f t="shared" si="235"/>
        <v>0</v>
      </c>
      <c r="AN971" s="49" t="str">
        <f t="shared" si="236"/>
        <v/>
      </c>
      <c r="AO971" s="49">
        <f t="shared" si="237"/>
        <v>1</v>
      </c>
      <c r="AP971" s="49" t="str">
        <f t="shared" si="238"/>
        <v/>
      </c>
      <c r="AQ971" s="49">
        <f t="shared" si="239"/>
        <v>0</v>
      </c>
      <c r="AR971" s="49" t="str">
        <f t="shared" si="240"/>
        <v/>
      </c>
    </row>
    <row r="972" spans="1:44" ht="30" customHeight="1" x14ac:dyDescent="0.35">
      <c r="A972" s="25" t="str">
        <f t="shared" si="229"/>
        <v>PT178 - ESTRUTURA METÁLICA E FUNDAÇÃO - PLATAFORMAS DE ACESSO LIFT LINE SPIDER - DETALHADO
ETAPA DE ESCRITÓRIOPROJETO DETALHADO
CIVIL</v>
      </c>
      <c r="B972" s="38" t="s">
        <v>42</v>
      </c>
      <c r="C972" s="60" t="str">
        <f>IF(AND($B972=[1]rogério!$A973,[1]rogério!$B973=C$4),"ok","nok")</f>
        <v>nok</v>
      </c>
      <c r="D972" s="60" t="str">
        <f>IF(AND($B972=[1]rogério!$A973,[1]rogério!$B973=D$4),"ok","nok")</f>
        <v>nok</v>
      </c>
      <c r="E972" s="60" t="str">
        <f>IF(AND($B972=[1]rogério!$A973,[1]rogério!$B973=E$4),"ok","nok")</f>
        <v>nok</v>
      </c>
      <c r="F972" s="60" t="str">
        <f>IF(AND($B972=[1]rogério!$A973,[1]rogério!$B973=F$4),"ok","nok")</f>
        <v>nok</v>
      </c>
      <c r="G972" s="60" t="str">
        <f>IF(AND($B972=[1]rogério!$A973,[1]rogério!$B973=G$4),"ok","nok")</f>
        <v>nok</v>
      </c>
      <c r="H972" s="60" t="str">
        <f>IF(AND($B972=[1]rogério!$A973,[1]rogério!$B973=H$4),"ok","nok")</f>
        <v>nok</v>
      </c>
      <c r="I972" s="60" t="str">
        <f>IF(AND($B972=[1]rogério!$A973,[1]rogério!$B973=I$4),"ok","nok")</f>
        <v>nok</v>
      </c>
      <c r="J972" s="60" t="str">
        <f>IF(AND($B972=[1]rogério!$A973,[1]rogério!$B973=J$4),"ok","nok")</f>
        <v>nok</v>
      </c>
      <c r="K972" s="60" t="str">
        <f>IF(AND($B972=[1]rogério!$A973,[1]rogério!$B973=K$4),"ok","nok")</f>
        <v>nok</v>
      </c>
      <c r="L972" s="60" t="str">
        <f>IF(AND($B972=[1]rogério!$A973,[1]rogério!$B973=L$4),"ok","nok")</f>
        <v>nok</v>
      </c>
      <c r="M972" s="60" t="str">
        <f>IF(AND($B972=[1]rogério!$A973,[1]rogério!$B973=M$4),"ok","nok")</f>
        <v>nok</v>
      </c>
      <c r="N972" s="60" t="str">
        <f>IF(AND($B972=[1]rogério!$A973,[1]rogério!$B973=N$4),"ok","nok")</f>
        <v>nok</v>
      </c>
      <c r="O972" s="60" t="str">
        <f>IF(AND($B972=[1]rogério!$A973,[1]rogério!$B973=O$4),"ok","nok")</f>
        <v>nok</v>
      </c>
      <c r="P972" s="60" t="str">
        <f>IF(AND($B972=[1]rogério!$A973,[1]rogério!$B973=P$4),"ok","nok")</f>
        <v>nok</v>
      </c>
      <c r="Q972" s="60" t="str">
        <f>IF(AND($B972=[1]rogério!$A973,[1]rogério!$B973=Q$4),"ok","nok")</f>
        <v>nok</v>
      </c>
      <c r="R972" s="60" t="str">
        <f>IF(AND($B972=[1]rogério!$A973,[1]rogério!$B973=R$4),"ok","nok")</f>
        <v>nok</v>
      </c>
      <c r="S972" s="60" t="str">
        <f>IF(AND($B972=[1]rogério!$A973,[1]rogério!$B973=S$4),"ok","nok")</f>
        <v>nok</v>
      </c>
      <c r="T972" s="60" t="str">
        <f>IF(AND($B972=[1]rogério!$A973,[1]rogério!$B973=T$4),"ok","nok")</f>
        <v>nok</v>
      </c>
      <c r="U972" s="60" t="str">
        <f>IF(AND($B972=[1]rogério!$A973,[1]rogério!$B973=U$4),"ok","nok")</f>
        <v>nok</v>
      </c>
      <c r="V972" s="60" t="str">
        <f>IF(AND($B972=[1]rogério!$A973,[1]rogério!$B973=V$4),"ok","nok")</f>
        <v>nok</v>
      </c>
      <c r="W972" s="60" t="str">
        <f>IF(AND($B972=[1]rogério!$A973,[1]rogério!$B973=W$4),"ok","nok")</f>
        <v>nok</v>
      </c>
      <c r="X972" s="60" t="str">
        <f>IF(AND($B972=[1]rogério!$A973,[1]rogério!$B973=X$4),"ok","nok")</f>
        <v>ok</v>
      </c>
      <c r="Y972" s="105" t="s">
        <v>15</v>
      </c>
      <c r="Z972" s="106"/>
      <c r="AA972" s="106"/>
      <c r="AB972" s="107"/>
      <c r="AE972" s="48" t="str">
        <f t="shared" si="230"/>
        <v/>
      </c>
      <c r="AF972" s="48"/>
      <c r="AG972" s="48"/>
      <c r="AH972" s="89"/>
      <c r="AI972" s="49">
        <f t="shared" si="231"/>
        <v>0</v>
      </c>
      <c r="AJ972" s="49" t="str">
        <f t="shared" si="232"/>
        <v/>
      </c>
      <c r="AK972" s="49">
        <f t="shared" si="233"/>
        <v>0</v>
      </c>
      <c r="AL972" s="49" t="str">
        <f t="shared" si="234"/>
        <v/>
      </c>
      <c r="AM972" s="49">
        <f t="shared" si="235"/>
        <v>0</v>
      </c>
      <c r="AN972" s="49" t="str">
        <f t="shared" si="236"/>
        <v/>
      </c>
      <c r="AO972" s="49">
        <f t="shared" si="237"/>
        <v>0</v>
      </c>
      <c r="AP972" s="49" t="str">
        <f t="shared" si="238"/>
        <v/>
      </c>
      <c r="AQ972" s="49">
        <f t="shared" si="239"/>
        <v>1</v>
      </c>
      <c r="AR972" s="49" t="str">
        <f t="shared" si="240"/>
        <v/>
      </c>
    </row>
    <row r="973" spans="1:44" ht="30" customHeight="1" x14ac:dyDescent="0.35">
      <c r="A973" s="25" t="str">
        <f t="shared" si="229"/>
        <v>PT178 - ESTRUTURA METÁLICA E FUNDAÇÃO - PLATAFORMAS DE ACESSO LIFT LINE SPIDER - DETALHADO
ETAPA DE ESCRITÓRIOPROJETO DETALHADO
CIVIL</v>
      </c>
      <c r="B973" s="38" t="s">
        <v>43</v>
      </c>
      <c r="C973" s="60" t="str">
        <f>IF(AND($B973=[1]rogério!$A974,[1]rogério!$B974=C$4),"ok","nok")</f>
        <v>nok</v>
      </c>
      <c r="D973" s="60" t="str">
        <f>IF(AND($B973=[1]rogério!$A974,[1]rogério!$B974=D$4),"ok","nok")</f>
        <v>nok</v>
      </c>
      <c r="E973" s="60" t="str">
        <f>IF(AND($B973=[1]rogério!$A974,[1]rogério!$B974=E$4),"ok","nok")</f>
        <v>nok</v>
      </c>
      <c r="F973" s="60" t="str">
        <f>IF(AND($B973=[1]rogério!$A974,[1]rogério!$B974=F$4),"ok","nok")</f>
        <v>nok</v>
      </c>
      <c r="G973" s="60" t="str">
        <f>IF(AND($B973=[1]rogério!$A974,[1]rogério!$B974=G$4),"ok","nok")</f>
        <v>nok</v>
      </c>
      <c r="H973" s="60" t="str">
        <f>IF(AND($B973=[1]rogério!$A974,[1]rogério!$B974=H$4),"ok","nok")</f>
        <v>nok</v>
      </c>
      <c r="I973" s="60" t="str">
        <f>IF(AND($B973=[1]rogério!$A974,[1]rogério!$B974=I$4),"ok","nok")</f>
        <v>nok</v>
      </c>
      <c r="J973" s="60" t="str">
        <f>IF(AND($B973=[1]rogério!$A974,[1]rogério!$B974=J$4),"ok","nok")</f>
        <v>nok</v>
      </c>
      <c r="K973" s="60" t="str">
        <f>IF(AND($B973=[1]rogério!$A974,[1]rogério!$B974=K$4),"ok","nok")</f>
        <v>nok</v>
      </c>
      <c r="L973" s="60" t="str">
        <f>IF(AND($B973=[1]rogério!$A974,[1]rogério!$B974=L$4),"ok","nok")</f>
        <v>nok</v>
      </c>
      <c r="M973" s="60" t="str">
        <f>IF(AND($B973=[1]rogério!$A974,[1]rogério!$B974=M$4),"ok","nok")</f>
        <v>nok</v>
      </c>
      <c r="N973" s="60" t="str">
        <f>IF(AND($B973=[1]rogério!$A974,[1]rogério!$B974=N$4),"ok","nok")</f>
        <v>nok</v>
      </c>
      <c r="O973" s="60" t="str">
        <f>IF(AND($B973=[1]rogério!$A974,[1]rogério!$B974=O$4),"ok","nok")</f>
        <v>nok</v>
      </c>
      <c r="P973" s="60" t="str">
        <f>IF(AND($B973=[1]rogério!$A974,[1]rogério!$B974=P$4),"ok","nok")</f>
        <v>nok</v>
      </c>
      <c r="Q973" s="60" t="str">
        <f>IF(AND($B973=[1]rogério!$A974,[1]rogério!$B974=Q$4),"ok","nok")</f>
        <v>nok</v>
      </c>
      <c r="R973" s="60" t="str">
        <f>IF(AND($B973=[1]rogério!$A974,[1]rogério!$B974=R$4),"ok","nok")</f>
        <v>nok</v>
      </c>
      <c r="S973" s="60" t="str">
        <f>IF(AND($B973=[1]rogério!$A974,[1]rogério!$B974=S$4),"ok","nok")</f>
        <v>nok</v>
      </c>
      <c r="T973" s="60" t="str">
        <f>IF(AND($B973=[1]rogério!$A974,[1]rogério!$B974=T$4),"ok","nok")</f>
        <v>nok</v>
      </c>
      <c r="U973" s="60" t="str">
        <f>IF(AND($B973=[1]rogério!$A974,[1]rogério!$B974=U$4),"ok","nok")</f>
        <v>nok</v>
      </c>
      <c r="V973" s="60" t="str">
        <f>IF(AND($B973=[1]rogério!$A974,[1]rogério!$B974=V$4),"ok","nok")</f>
        <v>nok</v>
      </c>
      <c r="W973" s="60" t="str">
        <f>IF(AND($B973=[1]rogério!$A974,[1]rogério!$B974=W$4),"ok","nok")</f>
        <v>nok</v>
      </c>
      <c r="X973" s="60" t="str">
        <f>IF(AND($B973=[1]rogério!$A974,[1]rogério!$B974=X$4),"ok","nok")</f>
        <v>ok</v>
      </c>
      <c r="Y973" s="105" t="s">
        <v>15</v>
      </c>
      <c r="Z973" s="106"/>
      <c r="AA973" s="106"/>
      <c r="AB973" s="107"/>
      <c r="AE973" s="48" t="str">
        <f t="shared" si="230"/>
        <v/>
      </c>
      <c r="AF973" s="48"/>
      <c r="AG973" s="48"/>
      <c r="AH973" s="89"/>
      <c r="AI973" s="49">
        <f t="shared" si="231"/>
        <v>0</v>
      </c>
      <c r="AJ973" s="49" t="str">
        <f t="shared" si="232"/>
        <v/>
      </c>
      <c r="AK973" s="49">
        <f t="shared" si="233"/>
        <v>0</v>
      </c>
      <c r="AL973" s="49" t="str">
        <f t="shared" si="234"/>
        <v/>
      </c>
      <c r="AM973" s="49">
        <f t="shared" si="235"/>
        <v>0</v>
      </c>
      <c r="AN973" s="49" t="str">
        <f t="shared" si="236"/>
        <v/>
      </c>
      <c r="AO973" s="49">
        <f t="shared" si="237"/>
        <v>0</v>
      </c>
      <c r="AP973" s="49" t="str">
        <f t="shared" si="238"/>
        <v/>
      </c>
      <c r="AQ973" s="49">
        <f t="shared" si="239"/>
        <v>1</v>
      </c>
      <c r="AR973" s="49" t="str">
        <f t="shared" si="240"/>
        <v/>
      </c>
    </row>
    <row r="974" spans="1:44" ht="30" customHeight="1" x14ac:dyDescent="0.35">
      <c r="A974" s="25" t="str">
        <f t="shared" si="229"/>
        <v>PT178 - ESTRUTURA METÁLICA E FUNDAÇÃO - PLATAFORMAS DE ACESSO LIFT LINE SPIDER - DETALHADO
ETAPA DE ESCRITÓRIOPROJETO DETALHADO
CIVIL</v>
      </c>
      <c r="B974" s="38" t="s">
        <v>79</v>
      </c>
      <c r="C974" s="60" t="str">
        <f>IF(AND($B974=[1]rogério!$A975,[1]rogério!$B975=C$4),"ok","nok")</f>
        <v>nok</v>
      </c>
      <c r="D974" s="60" t="str">
        <f>IF(AND($B974=[1]rogério!$A975,[1]rogério!$B975=D$4),"ok","nok")</f>
        <v>nok</v>
      </c>
      <c r="E974" s="60" t="str">
        <f>IF(AND($B974=[1]rogério!$A975,[1]rogério!$B975=E$4),"ok","nok")</f>
        <v>nok</v>
      </c>
      <c r="F974" s="60" t="str">
        <f>IF(AND($B974=[1]rogério!$A975,[1]rogério!$B975=F$4),"ok","nok")</f>
        <v>nok</v>
      </c>
      <c r="G974" s="60" t="str">
        <f>IF(AND($B974=[1]rogério!$A975,[1]rogério!$B975=G$4),"ok","nok")</f>
        <v>nok</v>
      </c>
      <c r="H974" s="60" t="str">
        <f>IF(AND($B974=[1]rogério!$A975,[1]rogério!$B975=H$4),"ok","nok")</f>
        <v>nok</v>
      </c>
      <c r="I974" s="60" t="str">
        <f>IF(AND($B974=[1]rogério!$A975,[1]rogério!$B975=I$4),"ok","nok")</f>
        <v>nok</v>
      </c>
      <c r="J974" s="60" t="str">
        <f>IF(AND($B974=[1]rogério!$A975,[1]rogério!$B975=J$4),"ok","nok")</f>
        <v>nok</v>
      </c>
      <c r="K974" s="60" t="str">
        <f>IF(AND($B974=[1]rogério!$A975,[1]rogério!$B975=K$4),"ok","nok")</f>
        <v>nok</v>
      </c>
      <c r="L974" s="60" t="str">
        <f>IF(AND($B974=[1]rogério!$A975,[1]rogério!$B975=L$4),"ok","nok")</f>
        <v>nok</v>
      </c>
      <c r="M974" s="60" t="str">
        <f>IF(AND($B974=[1]rogério!$A975,[1]rogério!$B975=M$4),"ok","nok")</f>
        <v>nok</v>
      </c>
      <c r="N974" s="60" t="str">
        <f>IF(AND($B974=[1]rogério!$A975,[1]rogério!$B975=N$4),"ok","nok")</f>
        <v>nok</v>
      </c>
      <c r="O974" s="60" t="str">
        <f>IF(AND($B974=[1]rogério!$A975,[1]rogério!$B975=O$4),"ok","nok")</f>
        <v>nok</v>
      </c>
      <c r="P974" s="60" t="str">
        <f>IF(AND($B974=[1]rogério!$A975,[1]rogério!$B975=P$4),"ok","nok")</f>
        <v>nok</v>
      </c>
      <c r="Q974" s="60" t="str">
        <f>IF(AND($B974=[1]rogério!$A975,[1]rogério!$B975=Q$4),"ok","nok")</f>
        <v>ok</v>
      </c>
      <c r="R974" s="60" t="str">
        <f>IF(AND($B974=[1]rogério!$A975,[1]rogério!$B975=R$4),"ok","nok")</f>
        <v>nok</v>
      </c>
      <c r="S974" s="60" t="str">
        <f>IF(AND($B974=[1]rogério!$A975,[1]rogério!$B975=S$4),"ok","nok")</f>
        <v>nok</v>
      </c>
      <c r="T974" s="60" t="str">
        <f>IF(AND($B974=[1]rogério!$A975,[1]rogério!$B975=T$4),"ok","nok")</f>
        <v>nok</v>
      </c>
      <c r="U974" s="60" t="str">
        <f>IF(AND($B974=[1]rogério!$A975,[1]rogério!$B975=U$4),"ok","nok")</f>
        <v>nok</v>
      </c>
      <c r="V974" s="60" t="str">
        <f>IF(AND($B974=[1]rogério!$A975,[1]rogério!$B975=V$4),"ok","nok")</f>
        <v>nok</v>
      </c>
      <c r="W974" s="60" t="str">
        <f>IF(AND($B974=[1]rogério!$A975,[1]rogério!$B975=W$4),"ok","nok")</f>
        <v>nok</v>
      </c>
      <c r="X974" s="60" t="str">
        <f>IF(AND($B974=[1]rogério!$A975,[1]rogério!$B975=X$4),"ok","nok")</f>
        <v>nok</v>
      </c>
      <c r="Y974" s="105" t="s">
        <v>15</v>
      </c>
      <c r="Z974" s="106"/>
      <c r="AA974" s="106"/>
      <c r="AB974" s="107"/>
      <c r="AE974" s="48" t="str">
        <f t="shared" si="230"/>
        <v/>
      </c>
      <c r="AF974" s="48"/>
      <c r="AG974" s="48"/>
      <c r="AH974" s="89"/>
      <c r="AI974" s="49">
        <f t="shared" si="231"/>
        <v>0</v>
      </c>
      <c r="AJ974" s="49" t="str">
        <f t="shared" si="232"/>
        <v/>
      </c>
      <c r="AK974" s="49">
        <f t="shared" si="233"/>
        <v>0</v>
      </c>
      <c r="AL974" s="49" t="str">
        <f t="shared" si="234"/>
        <v/>
      </c>
      <c r="AM974" s="49">
        <f t="shared" si="235"/>
        <v>1</v>
      </c>
      <c r="AN974" s="49" t="str">
        <f t="shared" si="236"/>
        <v/>
      </c>
      <c r="AO974" s="49">
        <f t="shared" si="237"/>
        <v>0</v>
      </c>
      <c r="AP974" s="49" t="str">
        <f t="shared" si="238"/>
        <v/>
      </c>
      <c r="AQ974" s="49">
        <f t="shared" si="239"/>
        <v>0</v>
      </c>
      <c r="AR974" s="49" t="str">
        <f t="shared" si="240"/>
        <v/>
      </c>
    </row>
    <row r="975" spans="1:44" ht="30" customHeight="1" x14ac:dyDescent="0.35">
      <c r="A975" s="25" t="str">
        <f t="shared" si="229"/>
        <v>PT178 - ESTRUTURA METÁLICA E FUNDAÇÃO - PLATAFORMAS DE ACESSO LIFT LINE SPIDER - DETALHADO
ETAPA DE ESCRITÓRIOPROJETO DETALHADO
CIVIL</v>
      </c>
      <c r="B975" s="38" t="s">
        <v>80</v>
      </c>
      <c r="C975" s="60" t="str">
        <f>IF(AND($B975=[1]rogério!$A976,[1]rogério!$B976=C$4),"ok","nok")</f>
        <v>nok</v>
      </c>
      <c r="D975" s="60" t="str">
        <f>IF(AND($B975=[1]rogério!$A976,[1]rogério!$B976=D$4),"ok","nok")</f>
        <v>nok</v>
      </c>
      <c r="E975" s="60" t="str">
        <f>IF(AND($B975=[1]rogério!$A976,[1]rogério!$B976=E$4),"ok","nok")</f>
        <v>nok</v>
      </c>
      <c r="F975" s="60" t="str">
        <f>IF(AND($B975=[1]rogério!$A976,[1]rogério!$B976=F$4),"ok","nok")</f>
        <v>nok</v>
      </c>
      <c r="G975" s="60" t="str">
        <f>IF(AND($B975=[1]rogério!$A976,[1]rogério!$B976=G$4),"ok","nok")</f>
        <v>nok</v>
      </c>
      <c r="H975" s="60" t="str">
        <f>IF(AND($B975=[1]rogério!$A976,[1]rogério!$B976=H$4),"ok","nok")</f>
        <v>nok</v>
      </c>
      <c r="I975" s="60" t="str">
        <f>IF(AND($B975=[1]rogério!$A976,[1]rogério!$B976=I$4),"ok","nok")</f>
        <v>nok</v>
      </c>
      <c r="J975" s="60" t="str">
        <f>IF(AND($B975=[1]rogério!$A976,[1]rogério!$B976=J$4),"ok","nok")</f>
        <v>nok</v>
      </c>
      <c r="K975" s="60" t="str">
        <f>IF(AND($B975=[1]rogério!$A976,[1]rogério!$B976=K$4),"ok","nok")</f>
        <v>nok</v>
      </c>
      <c r="L975" s="60" t="str">
        <f>IF(AND($B975=[1]rogério!$A976,[1]rogério!$B976=L$4),"ok","nok")</f>
        <v>nok</v>
      </c>
      <c r="M975" s="60" t="str">
        <f>IF(AND($B975=[1]rogério!$A976,[1]rogério!$B976=M$4),"ok","nok")</f>
        <v>nok</v>
      </c>
      <c r="N975" s="60" t="str">
        <f>IF(AND($B975=[1]rogério!$A976,[1]rogério!$B976=N$4),"ok","nok")</f>
        <v>nok</v>
      </c>
      <c r="O975" s="60" t="str">
        <f>IF(AND($B975=[1]rogério!$A976,[1]rogério!$B976=O$4),"ok","nok")</f>
        <v>nok</v>
      </c>
      <c r="P975" s="60" t="str">
        <f>IF(AND($B975=[1]rogério!$A976,[1]rogério!$B976=P$4),"ok","nok")</f>
        <v>nok</v>
      </c>
      <c r="Q975" s="60" t="str">
        <f>IF(AND($B975=[1]rogério!$A976,[1]rogério!$B976=Q$4),"ok","nok")</f>
        <v>nok</v>
      </c>
      <c r="R975" s="60" t="str">
        <f>IF(AND($B975=[1]rogério!$A976,[1]rogério!$B976=R$4),"ok","nok")</f>
        <v>ok</v>
      </c>
      <c r="S975" s="60" t="str">
        <f>IF(AND($B975=[1]rogério!$A976,[1]rogério!$B976=S$4),"ok","nok")</f>
        <v>nok</v>
      </c>
      <c r="T975" s="60" t="str">
        <f>IF(AND($B975=[1]rogério!$A976,[1]rogério!$B976=T$4),"ok","nok")</f>
        <v>nok</v>
      </c>
      <c r="U975" s="60" t="str">
        <f>IF(AND($B975=[1]rogério!$A976,[1]rogério!$B976=U$4),"ok","nok")</f>
        <v>nok</v>
      </c>
      <c r="V975" s="60" t="str">
        <f>IF(AND($B975=[1]rogério!$A976,[1]rogério!$B976=V$4),"ok","nok")</f>
        <v>nok</v>
      </c>
      <c r="W975" s="60" t="str">
        <f>IF(AND($B975=[1]rogério!$A976,[1]rogério!$B976=W$4),"ok","nok")</f>
        <v>nok</v>
      </c>
      <c r="X975" s="60" t="str">
        <f>IF(AND($B975=[1]rogério!$A976,[1]rogério!$B976=X$4),"ok","nok")</f>
        <v>nok</v>
      </c>
      <c r="Y975" s="105" t="s">
        <v>15</v>
      </c>
      <c r="Z975" s="106"/>
      <c r="AA975" s="106"/>
      <c r="AB975" s="107"/>
      <c r="AE975" s="48" t="str">
        <f t="shared" si="230"/>
        <v/>
      </c>
      <c r="AF975" s="48"/>
      <c r="AG975" s="48"/>
      <c r="AH975" s="89"/>
      <c r="AI975" s="49">
        <f t="shared" si="231"/>
        <v>0</v>
      </c>
      <c r="AJ975" s="49" t="str">
        <f t="shared" si="232"/>
        <v/>
      </c>
      <c r="AK975" s="49">
        <f t="shared" si="233"/>
        <v>0</v>
      </c>
      <c r="AL975" s="49" t="str">
        <f t="shared" si="234"/>
        <v/>
      </c>
      <c r="AM975" s="49">
        <f t="shared" si="235"/>
        <v>0</v>
      </c>
      <c r="AN975" s="49" t="str">
        <f t="shared" si="236"/>
        <v/>
      </c>
      <c r="AO975" s="49">
        <f t="shared" si="237"/>
        <v>1</v>
      </c>
      <c r="AP975" s="49" t="str">
        <f t="shared" si="238"/>
        <v/>
      </c>
      <c r="AQ975" s="49">
        <f t="shared" si="239"/>
        <v>0</v>
      </c>
      <c r="AR975" s="49" t="str">
        <f t="shared" si="240"/>
        <v/>
      </c>
    </row>
    <row r="976" spans="1:44" ht="30" customHeight="1" x14ac:dyDescent="0.35">
      <c r="A976" s="25"/>
      <c r="B976" s="39" t="s">
        <v>81</v>
      </c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108"/>
      <c r="Z976" s="109"/>
      <c r="AA976" s="109"/>
      <c r="AB976" s="110"/>
      <c r="AE976" s="48" t="str">
        <f t="shared" si="230"/>
        <v/>
      </c>
      <c r="AF976" s="48"/>
      <c r="AG976" s="48"/>
      <c r="AH976" s="89"/>
      <c r="AI976" s="49">
        <f t="shared" si="231"/>
        <v>0</v>
      </c>
      <c r="AJ976" s="49" t="str">
        <f t="shared" si="232"/>
        <v/>
      </c>
      <c r="AK976" s="49">
        <f t="shared" si="233"/>
        <v>0</v>
      </c>
      <c r="AL976" s="49" t="str">
        <f t="shared" si="234"/>
        <v/>
      </c>
      <c r="AM976" s="49">
        <f t="shared" si="235"/>
        <v>0</v>
      </c>
      <c r="AN976" s="49" t="str">
        <f t="shared" si="236"/>
        <v/>
      </c>
      <c r="AO976" s="49">
        <f t="shared" si="237"/>
        <v>0</v>
      </c>
      <c r="AP976" s="49" t="str">
        <f t="shared" si="238"/>
        <v/>
      </c>
      <c r="AQ976" s="49">
        <f t="shared" si="239"/>
        <v>0</v>
      </c>
      <c r="AR976" s="49" t="str">
        <f t="shared" si="240"/>
        <v/>
      </c>
    </row>
    <row r="977" spans="1:44" ht="30" customHeight="1" x14ac:dyDescent="0.35">
      <c r="A977" s="25" t="str">
        <f t="shared" si="229"/>
        <v>PT178 - ESTRUTURA METÁLICA E FUNDAÇÃO - PLATAFORMAS DE ACESSO LIFT LINE SPIDER - DETALHADO
ETAPA DE ESCRITÓRIOPROJETO DETALHADO
CIVIL</v>
      </c>
      <c r="B977" s="38" t="s">
        <v>49</v>
      </c>
      <c r="C977" s="60" t="str">
        <f>IF(AND($B977=[1]rogério!$A978,[1]rogério!$B978=C$4),"ok","nok")</f>
        <v>nok</v>
      </c>
      <c r="D977" s="60" t="str">
        <f>IF(AND($B977=[1]rogério!$A978,[1]rogério!$B978=D$4),"ok","nok")</f>
        <v>nok</v>
      </c>
      <c r="E977" s="60" t="str">
        <f>IF(AND($B977=[1]rogério!$A978,[1]rogério!$B978=E$4),"ok","nok")</f>
        <v>nok</v>
      </c>
      <c r="F977" s="60" t="str">
        <f>IF(AND($B977=[1]rogério!$A978,[1]rogério!$B978=F$4),"ok","nok")</f>
        <v>nok</v>
      </c>
      <c r="G977" s="60" t="str">
        <f>IF(AND($B977=[1]rogério!$A978,[1]rogério!$B978=G$4),"ok","nok")</f>
        <v>nok</v>
      </c>
      <c r="H977" s="60" t="str">
        <f>IF(AND($B977=[1]rogério!$A978,[1]rogério!$B978=H$4),"ok","nok")</f>
        <v>nok</v>
      </c>
      <c r="I977" s="60" t="str">
        <f>IF(AND($B977=[1]rogério!$A978,[1]rogério!$B978=I$4),"ok","nok")</f>
        <v>nok</v>
      </c>
      <c r="J977" s="60" t="str">
        <f>IF(AND($B977=[1]rogério!$A978,[1]rogério!$B978=J$4),"ok","nok")</f>
        <v>nok</v>
      </c>
      <c r="K977" s="60" t="str">
        <f>IF(AND($B977=[1]rogério!$A978,[1]rogério!$B978=K$4),"ok","nok")</f>
        <v>nok</v>
      </c>
      <c r="L977" s="60" t="str">
        <f>IF(AND($B977=[1]rogério!$A978,[1]rogério!$B978=L$4),"ok","nok")</f>
        <v>nok</v>
      </c>
      <c r="M977" s="60" t="str">
        <f>IF(AND($B977=[1]rogério!$A978,[1]rogério!$B978=M$4),"ok","nok")</f>
        <v>nok</v>
      </c>
      <c r="N977" s="60" t="str">
        <f>IF(AND($B977=[1]rogério!$A978,[1]rogério!$B978=N$4),"ok","nok")</f>
        <v>nok</v>
      </c>
      <c r="O977" s="60" t="str">
        <f>IF(AND($B977=[1]rogério!$A978,[1]rogério!$B978=O$4),"ok","nok")</f>
        <v>nok</v>
      </c>
      <c r="P977" s="60" t="str">
        <f>IF(AND($B977=[1]rogério!$A978,[1]rogério!$B978=P$4),"ok","nok")</f>
        <v>nok</v>
      </c>
      <c r="Q977" s="60" t="str">
        <f>IF(AND($B977=[1]rogério!$A978,[1]rogério!$B978=Q$4),"ok","nok")</f>
        <v>nok</v>
      </c>
      <c r="R977" s="60" t="str">
        <f>IF(AND($B977=[1]rogério!$A978,[1]rogério!$B978=R$4),"ok","nok")</f>
        <v>ok</v>
      </c>
      <c r="S977" s="60" t="str">
        <f>IF(AND($B977=[1]rogério!$A978,[1]rogério!$B978=S$4),"ok","nok")</f>
        <v>nok</v>
      </c>
      <c r="T977" s="60" t="str">
        <f>IF(AND($B977=[1]rogério!$A978,[1]rogério!$B978=T$4),"ok","nok")</f>
        <v>nok</v>
      </c>
      <c r="U977" s="60" t="str">
        <f>IF(AND($B977=[1]rogério!$A978,[1]rogério!$B978=U$4),"ok","nok")</f>
        <v>nok</v>
      </c>
      <c r="V977" s="60" t="str">
        <f>IF(AND($B977=[1]rogério!$A978,[1]rogério!$B978=V$4),"ok","nok")</f>
        <v>nok</v>
      </c>
      <c r="W977" s="60" t="str">
        <f>IF(AND($B977=[1]rogério!$A978,[1]rogério!$B978=W$4),"ok","nok")</f>
        <v>nok</v>
      </c>
      <c r="X977" s="60" t="str">
        <f>IF(AND($B977=[1]rogério!$A978,[1]rogério!$B978=X$4),"ok","nok")</f>
        <v>nok</v>
      </c>
      <c r="Y977" s="105" t="s">
        <v>15</v>
      </c>
      <c r="Z977" s="106"/>
      <c r="AA977" s="106"/>
      <c r="AB977" s="107"/>
      <c r="AE977" s="48" t="str">
        <f t="shared" si="230"/>
        <v/>
      </c>
      <c r="AF977" s="48"/>
      <c r="AG977" s="48"/>
      <c r="AH977" s="89"/>
      <c r="AI977" s="49">
        <f t="shared" si="231"/>
        <v>0</v>
      </c>
      <c r="AJ977" s="49" t="str">
        <f t="shared" si="232"/>
        <v/>
      </c>
      <c r="AK977" s="49">
        <f t="shared" si="233"/>
        <v>0</v>
      </c>
      <c r="AL977" s="49" t="str">
        <f t="shared" si="234"/>
        <v/>
      </c>
      <c r="AM977" s="49">
        <f t="shared" si="235"/>
        <v>0</v>
      </c>
      <c r="AN977" s="49" t="str">
        <f t="shared" si="236"/>
        <v/>
      </c>
      <c r="AO977" s="49">
        <f t="shared" si="237"/>
        <v>1</v>
      </c>
      <c r="AP977" s="49" t="str">
        <f t="shared" si="238"/>
        <v/>
      </c>
      <c r="AQ977" s="49">
        <f t="shared" si="239"/>
        <v>0</v>
      </c>
      <c r="AR977" s="49" t="str">
        <f t="shared" si="240"/>
        <v/>
      </c>
    </row>
    <row r="978" spans="1:44" ht="30" customHeight="1" x14ac:dyDescent="0.35">
      <c r="A978" s="25" t="str">
        <f t="shared" si="229"/>
        <v>PT178 - ESTRUTURA METÁLICA E FUNDAÇÃO - PLATAFORMAS DE ACESSO LIFT LINE SPIDER - DETALHADO
ETAPA DE ESCRITÓRIOPROJETO DETALHADO
CIVIL</v>
      </c>
      <c r="B978" s="38" t="s">
        <v>19</v>
      </c>
      <c r="C978" s="60" t="str">
        <f>IF(AND($B978=[1]rogério!$A979,[1]rogério!$B979=C$4),"ok","nok")</f>
        <v>nok</v>
      </c>
      <c r="D978" s="60" t="str">
        <f>IF(AND($B978=[1]rogério!$A979,[1]rogério!$B979=D$4),"ok","nok")</f>
        <v>nok</v>
      </c>
      <c r="E978" s="60" t="str">
        <f>IF(AND($B978=[1]rogério!$A979,[1]rogério!$B979=E$4),"ok","nok")</f>
        <v>nok</v>
      </c>
      <c r="F978" s="60" t="str">
        <f>IF(AND($B978=[1]rogério!$A979,[1]rogério!$B979=F$4),"ok","nok")</f>
        <v>nok</v>
      </c>
      <c r="G978" s="60" t="str">
        <f>IF(AND($B978=[1]rogério!$A979,[1]rogério!$B979=G$4),"ok","nok")</f>
        <v>nok</v>
      </c>
      <c r="H978" s="60" t="str">
        <f>IF(AND($B978=[1]rogério!$A979,[1]rogério!$B979=H$4),"ok","nok")</f>
        <v>nok</v>
      </c>
      <c r="I978" s="60" t="str">
        <f>IF(AND($B978=[1]rogério!$A979,[1]rogério!$B979=I$4),"ok","nok")</f>
        <v>nok</v>
      </c>
      <c r="J978" s="60" t="str">
        <f>IF(AND($B978=[1]rogério!$A979,[1]rogério!$B979=J$4),"ok","nok")</f>
        <v>nok</v>
      </c>
      <c r="K978" s="60" t="str">
        <f>IF(AND($B978=[1]rogério!$A979,[1]rogério!$B979=K$4),"ok","nok")</f>
        <v>nok</v>
      </c>
      <c r="L978" s="60" t="str">
        <f>IF(AND($B978=[1]rogério!$A979,[1]rogério!$B979=L$4),"ok","nok")</f>
        <v>nok</v>
      </c>
      <c r="M978" s="60" t="str">
        <f>IF(AND($B978=[1]rogério!$A979,[1]rogério!$B979=M$4),"ok","nok")</f>
        <v>nok</v>
      </c>
      <c r="N978" s="60" t="str">
        <f>IF(AND($B978=[1]rogério!$A979,[1]rogério!$B979=N$4),"ok","nok")</f>
        <v>nok</v>
      </c>
      <c r="O978" s="60" t="str">
        <f>IF(AND($B978=[1]rogério!$A979,[1]rogério!$B979=O$4),"ok","nok")</f>
        <v>nok</v>
      </c>
      <c r="P978" s="60" t="str">
        <f>IF(AND($B978=[1]rogério!$A979,[1]rogério!$B979=P$4),"ok","nok")</f>
        <v>nok</v>
      </c>
      <c r="Q978" s="60" t="str">
        <f>IF(AND($B978=[1]rogério!$A979,[1]rogério!$B979=Q$4),"ok","nok")</f>
        <v>nok</v>
      </c>
      <c r="R978" s="60" t="str">
        <f>IF(AND($B978=[1]rogério!$A979,[1]rogério!$B979=R$4),"ok","nok")</f>
        <v>nok</v>
      </c>
      <c r="S978" s="60" t="str">
        <f>IF(AND($B978=[1]rogério!$A979,[1]rogério!$B979=S$4),"ok","nok")</f>
        <v>nok</v>
      </c>
      <c r="T978" s="60" t="str">
        <f>IF(AND($B978=[1]rogério!$A979,[1]rogério!$B979=T$4),"ok","nok")</f>
        <v>nok</v>
      </c>
      <c r="U978" s="60" t="str">
        <f>IF(AND($B978=[1]rogério!$A979,[1]rogério!$B979=U$4),"ok","nok")</f>
        <v>nok</v>
      </c>
      <c r="V978" s="60" t="str">
        <f>IF(AND($B978=[1]rogério!$A979,[1]rogério!$B979=V$4),"ok","nok")</f>
        <v>nok</v>
      </c>
      <c r="W978" s="60" t="str">
        <f>IF(AND($B978=[1]rogério!$A979,[1]rogério!$B979=W$4),"ok","nok")</f>
        <v>ok</v>
      </c>
      <c r="X978" s="60" t="str">
        <f>IF(AND($B978=[1]rogério!$A979,[1]rogério!$B979=X$4),"ok","nok")</f>
        <v>nok</v>
      </c>
      <c r="Y978" s="105" t="s">
        <v>15</v>
      </c>
      <c r="Z978" s="106"/>
      <c r="AA978" s="106"/>
      <c r="AB978" s="107"/>
      <c r="AE978" s="48" t="str">
        <f t="shared" si="230"/>
        <v/>
      </c>
      <c r="AF978" s="48"/>
      <c r="AG978" s="48"/>
      <c r="AH978" s="89"/>
      <c r="AI978" s="49">
        <f t="shared" si="231"/>
        <v>0</v>
      </c>
      <c r="AJ978" s="49" t="str">
        <f t="shared" si="232"/>
        <v/>
      </c>
      <c r="AK978" s="49">
        <f t="shared" si="233"/>
        <v>0</v>
      </c>
      <c r="AL978" s="49" t="str">
        <f t="shared" si="234"/>
        <v/>
      </c>
      <c r="AM978" s="49">
        <f t="shared" si="235"/>
        <v>0</v>
      </c>
      <c r="AN978" s="49" t="str">
        <f t="shared" si="236"/>
        <v/>
      </c>
      <c r="AO978" s="49">
        <f t="shared" si="237"/>
        <v>0</v>
      </c>
      <c r="AP978" s="49" t="str">
        <f t="shared" si="238"/>
        <v/>
      </c>
      <c r="AQ978" s="49">
        <f t="shared" si="239"/>
        <v>1</v>
      </c>
      <c r="AR978" s="49" t="str">
        <f t="shared" si="240"/>
        <v/>
      </c>
    </row>
    <row r="979" spans="1:44" ht="30" customHeight="1" x14ac:dyDescent="0.35">
      <c r="A979" s="25" t="str">
        <f t="shared" si="229"/>
        <v>PT178 - ESTRUTURA METÁLICA E FUNDAÇÃO - PLATAFORMAS DE ACESSO LIFT LINE SPIDER - DETALHADO
ETAPA DE ESCRITÓRIOPROJETO DETALHADO
CIVIL</v>
      </c>
      <c r="B979" s="38" t="s">
        <v>65</v>
      </c>
      <c r="C979" s="60" t="str">
        <f>IF(AND($B979=[1]rogério!$A980,[1]rogério!$B980=C$4),"ok","nok")</f>
        <v>nok</v>
      </c>
      <c r="D979" s="60" t="str">
        <f>IF(AND($B979=[1]rogério!$A980,[1]rogério!$B980=D$4),"ok","nok")</f>
        <v>nok</v>
      </c>
      <c r="E979" s="60" t="str">
        <f>IF(AND($B979=[1]rogério!$A980,[1]rogério!$B980=E$4),"ok","nok")</f>
        <v>nok</v>
      </c>
      <c r="F979" s="60" t="str">
        <f>IF(AND($B979=[1]rogério!$A980,[1]rogério!$B980=F$4),"ok","nok")</f>
        <v>nok</v>
      </c>
      <c r="G979" s="60" t="str">
        <f>IF(AND($B979=[1]rogério!$A980,[1]rogério!$B980=G$4),"ok","nok")</f>
        <v>nok</v>
      </c>
      <c r="H979" s="60" t="str">
        <f>IF(AND($B979=[1]rogério!$A980,[1]rogério!$B980=H$4),"ok","nok")</f>
        <v>nok</v>
      </c>
      <c r="I979" s="60" t="str">
        <f>IF(AND($B979=[1]rogério!$A980,[1]rogério!$B980=I$4),"ok","nok")</f>
        <v>nok</v>
      </c>
      <c r="J979" s="60" t="str">
        <f>IF(AND($B979=[1]rogério!$A980,[1]rogério!$B980=J$4),"ok","nok")</f>
        <v>nok</v>
      </c>
      <c r="K979" s="60" t="str">
        <f>IF(AND($B979=[1]rogério!$A980,[1]rogério!$B980=K$4),"ok","nok")</f>
        <v>nok</v>
      </c>
      <c r="L979" s="60" t="str">
        <f>IF(AND($B979=[1]rogério!$A980,[1]rogério!$B980=L$4),"ok","nok")</f>
        <v>nok</v>
      </c>
      <c r="M979" s="60" t="str">
        <f>IF(AND($B979=[1]rogério!$A980,[1]rogério!$B980=M$4),"ok","nok")</f>
        <v>nok</v>
      </c>
      <c r="N979" s="60" t="str">
        <f>IF(AND($B979=[1]rogério!$A980,[1]rogério!$B980=N$4),"ok","nok")</f>
        <v>nok</v>
      </c>
      <c r="O979" s="60" t="str">
        <f>IF(AND($B979=[1]rogério!$A980,[1]rogério!$B980=O$4),"ok","nok")</f>
        <v>nok</v>
      </c>
      <c r="P979" s="60" t="str">
        <f>IF(AND($B979=[1]rogério!$A980,[1]rogério!$B980=P$4),"ok","nok")</f>
        <v>nok</v>
      </c>
      <c r="Q979" s="60" t="str">
        <f>IF(AND($B979=[1]rogério!$A980,[1]rogério!$B980=Q$4),"ok","nok")</f>
        <v>nok</v>
      </c>
      <c r="R979" s="60" t="str">
        <f>IF(AND($B979=[1]rogério!$A980,[1]rogério!$B980=R$4),"ok","nok")</f>
        <v>nok</v>
      </c>
      <c r="S979" s="60" t="str">
        <f>IF(AND($B979=[1]rogério!$A980,[1]rogério!$B980=S$4),"ok","nok")</f>
        <v>nok</v>
      </c>
      <c r="T979" s="60" t="str">
        <f>IF(AND($B979=[1]rogério!$A980,[1]rogério!$B980=T$4),"ok","nok")</f>
        <v>nok</v>
      </c>
      <c r="U979" s="60" t="str">
        <f>IF(AND($B979=[1]rogério!$A980,[1]rogério!$B980=U$4),"ok","nok")</f>
        <v>ok</v>
      </c>
      <c r="V979" s="60" t="str">
        <f>IF(AND($B979=[1]rogério!$A980,[1]rogério!$B980=V$4),"ok","nok")</f>
        <v>nok</v>
      </c>
      <c r="W979" s="60" t="str">
        <f>IF(AND($B979=[1]rogério!$A980,[1]rogério!$B980=W$4),"ok","nok")</f>
        <v>nok</v>
      </c>
      <c r="X979" s="60" t="str">
        <f>IF(AND($B979=[1]rogério!$A980,[1]rogério!$B980=X$4),"ok","nok")</f>
        <v>nok</v>
      </c>
      <c r="Y979" s="105" t="s">
        <v>15</v>
      </c>
      <c r="Z979" s="106"/>
      <c r="AA979" s="106"/>
      <c r="AB979" s="107"/>
      <c r="AE979" s="48" t="str">
        <f t="shared" si="230"/>
        <v/>
      </c>
      <c r="AF979" s="48"/>
      <c r="AG979" s="48"/>
      <c r="AH979" s="89"/>
      <c r="AI979" s="49">
        <f t="shared" si="231"/>
        <v>0</v>
      </c>
      <c r="AJ979" s="49" t="str">
        <f t="shared" si="232"/>
        <v/>
      </c>
      <c r="AK979" s="49">
        <f t="shared" si="233"/>
        <v>0</v>
      </c>
      <c r="AL979" s="49" t="str">
        <f t="shared" si="234"/>
        <v/>
      </c>
      <c r="AM979" s="49">
        <f t="shared" si="235"/>
        <v>0</v>
      </c>
      <c r="AN979" s="49" t="str">
        <f t="shared" si="236"/>
        <v/>
      </c>
      <c r="AO979" s="49">
        <f t="shared" si="237"/>
        <v>1</v>
      </c>
      <c r="AP979" s="49" t="str">
        <f t="shared" si="238"/>
        <v/>
      </c>
      <c r="AQ979" s="49">
        <f t="shared" si="239"/>
        <v>0</v>
      </c>
      <c r="AR979" s="49" t="str">
        <f t="shared" si="240"/>
        <v/>
      </c>
    </row>
    <row r="980" spans="1:44" ht="30" customHeight="1" x14ac:dyDescent="0.35">
      <c r="A980" s="25" t="str">
        <f t="shared" si="229"/>
        <v>PT178 - ESTRUTURA METÁLICA E FUNDAÇÃO - PLATAFORMAS DE ACESSO LIFT LINE SPIDER - DETALHADO
ETAPA DE ESCRITÓRIOPROJETO DETALHADO
CIVIL</v>
      </c>
      <c r="B980" s="38" t="s">
        <v>66</v>
      </c>
      <c r="C980" s="60" t="str">
        <f>IF(AND($B980=[1]rogério!$A981,[1]rogério!$B981=C$4),"ok","nok")</f>
        <v>nok</v>
      </c>
      <c r="D980" s="60" t="str">
        <f>IF(AND($B980=[1]rogério!$A981,[1]rogério!$B981=D$4),"ok","nok")</f>
        <v>nok</v>
      </c>
      <c r="E980" s="60" t="str">
        <f>IF(AND($B980=[1]rogério!$A981,[1]rogério!$B981=E$4),"ok","nok")</f>
        <v>nok</v>
      </c>
      <c r="F980" s="60" t="str">
        <f>IF(AND($B980=[1]rogério!$A981,[1]rogério!$B981=F$4),"ok","nok")</f>
        <v>nok</v>
      </c>
      <c r="G980" s="60" t="str">
        <f>IF(AND($B980=[1]rogério!$A981,[1]rogério!$B981=G$4),"ok","nok")</f>
        <v>nok</v>
      </c>
      <c r="H980" s="60" t="str">
        <f>IF(AND($B980=[1]rogério!$A981,[1]rogério!$B981=H$4),"ok","nok")</f>
        <v>nok</v>
      </c>
      <c r="I980" s="60" t="str">
        <f>IF(AND($B980=[1]rogério!$A981,[1]rogério!$B981=I$4),"ok","nok")</f>
        <v>nok</v>
      </c>
      <c r="J980" s="60" t="str">
        <f>IF(AND($B980=[1]rogério!$A981,[1]rogério!$B981=J$4),"ok","nok")</f>
        <v>nok</v>
      </c>
      <c r="K980" s="60" t="str">
        <f>IF(AND($B980=[1]rogério!$A981,[1]rogério!$B981=K$4),"ok","nok")</f>
        <v>nok</v>
      </c>
      <c r="L980" s="60" t="str">
        <f>IF(AND($B980=[1]rogério!$A981,[1]rogério!$B981=L$4),"ok","nok")</f>
        <v>nok</v>
      </c>
      <c r="M980" s="60" t="str">
        <f>IF(AND($B980=[1]rogério!$A981,[1]rogério!$B981=M$4),"ok","nok")</f>
        <v>nok</v>
      </c>
      <c r="N980" s="60" t="str">
        <f>IF(AND($B980=[1]rogério!$A981,[1]rogério!$B981=N$4),"ok","nok")</f>
        <v>nok</v>
      </c>
      <c r="O980" s="60" t="str">
        <f>IF(AND($B980=[1]rogério!$A981,[1]rogério!$B981=O$4),"ok","nok")</f>
        <v>nok</v>
      </c>
      <c r="P980" s="60" t="str">
        <f>IF(AND($B980=[1]rogério!$A981,[1]rogério!$B981=P$4),"ok","nok")</f>
        <v>nok</v>
      </c>
      <c r="Q980" s="60" t="str">
        <f>IF(AND($B980=[1]rogério!$A981,[1]rogério!$B981=Q$4),"ok","nok")</f>
        <v>nok</v>
      </c>
      <c r="R980" s="60" t="str">
        <f>IF(AND($B980=[1]rogério!$A981,[1]rogério!$B981=R$4),"ok","nok")</f>
        <v>nok</v>
      </c>
      <c r="S980" s="60" t="str">
        <f>IF(AND($B980=[1]rogério!$A981,[1]rogério!$B981=S$4),"ok","nok")</f>
        <v>nok</v>
      </c>
      <c r="T980" s="60" t="str">
        <f>IF(AND($B980=[1]rogério!$A981,[1]rogério!$B981=T$4),"ok","nok")</f>
        <v>nok</v>
      </c>
      <c r="U980" s="60" t="str">
        <f>IF(AND($B980=[1]rogério!$A981,[1]rogério!$B981=U$4),"ok","nok")</f>
        <v>nok</v>
      </c>
      <c r="V980" s="60" t="str">
        <f>IF(AND($B980=[1]rogério!$A981,[1]rogério!$B981=V$4),"ok","nok")</f>
        <v>ok</v>
      </c>
      <c r="W980" s="60" t="str">
        <f>IF(AND($B980=[1]rogério!$A981,[1]rogério!$B981=W$4),"ok","nok")</f>
        <v>nok</v>
      </c>
      <c r="X980" s="60" t="str">
        <f>IF(AND($B980=[1]rogério!$A981,[1]rogério!$B981=X$4),"ok","nok")</f>
        <v>nok</v>
      </c>
      <c r="Y980" s="105" t="s">
        <v>15</v>
      </c>
      <c r="Z980" s="106"/>
      <c r="AA980" s="106"/>
      <c r="AB980" s="107"/>
      <c r="AE980" s="48" t="str">
        <f t="shared" si="230"/>
        <v/>
      </c>
      <c r="AF980" s="48"/>
      <c r="AG980" s="48"/>
      <c r="AH980" s="89"/>
      <c r="AI980" s="49">
        <f t="shared" si="231"/>
        <v>0</v>
      </c>
      <c r="AJ980" s="49" t="str">
        <f t="shared" si="232"/>
        <v/>
      </c>
      <c r="AK980" s="49">
        <f t="shared" si="233"/>
        <v>0</v>
      </c>
      <c r="AL980" s="49" t="str">
        <f t="shared" si="234"/>
        <v/>
      </c>
      <c r="AM980" s="49">
        <f t="shared" si="235"/>
        <v>0</v>
      </c>
      <c r="AN980" s="49" t="str">
        <f t="shared" si="236"/>
        <v/>
      </c>
      <c r="AO980" s="49">
        <f t="shared" si="237"/>
        <v>1</v>
      </c>
      <c r="AP980" s="49" t="str">
        <f t="shared" si="238"/>
        <v/>
      </c>
      <c r="AQ980" s="49">
        <f t="shared" si="239"/>
        <v>0</v>
      </c>
      <c r="AR980" s="49" t="str">
        <f t="shared" si="240"/>
        <v/>
      </c>
    </row>
    <row r="981" spans="1:44" ht="30" customHeight="1" x14ac:dyDescent="0.35">
      <c r="A981" s="25"/>
      <c r="B981" s="39" t="s">
        <v>67</v>
      </c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108"/>
      <c r="Z981" s="109"/>
      <c r="AA981" s="109"/>
      <c r="AB981" s="110"/>
      <c r="AE981" s="48" t="str">
        <f t="shared" si="230"/>
        <v/>
      </c>
      <c r="AF981" s="48"/>
      <c r="AG981" s="48"/>
      <c r="AH981" s="89"/>
      <c r="AI981" s="49">
        <f t="shared" si="231"/>
        <v>0</v>
      </c>
      <c r="AJ981" s="49" t="str">
        <f t="shared" si="232"/>
        <v/>
      </c>
      <c r="AK981" s="49">
        <f t="shared" si="233"/>
        <v>0</v>
      </c>
      <c r="AL981" s="49" t="str">
        <f t="shared" si="234"/>
        <v/>
      </c>
      <c r="AM981" s="49">
        <f t="shared" si="235"/>
        <v>0</v>
      </c>
      <c r="AN981" s="49" t="str">
        <f t="shared" si="236"/>
        <v/>
      </c>
      <c r="AO981" s="49">
        <f t="shared" si="237"/>
        <v>0</v>
      </c>
      <c r="AP981" s="49" t="str">
        <f t="shared" si="238"/>
        <v/>
      </c>
      <c r="AQ981" s="49">
        <f t="shared" si="239"/>
        <v>0</v>
      </c>
      <c r="AR981" s="49" t="str">
        <f t="shared" si="240"/>
        <v/>
      </c>
    </row>
    <row r="982" spans="1:44" ht="30" customHeight="1" x14ac:dyDescent="0.35">
      <c r="A982" s="25" t="str">
        <f t="shared" si="229"/>
        <v>PT178 - ESTRUTURA METÁLICA E FUNDAÇÃO - PLATAFORMAS DE ACESSO LIFT LINE SPIDER - DETALHADO
ETAPA DE ESCRITÓRIOPROJETO DETALHADO
CIVIL</v>
      </c>
      <c r="B982" s="38" t="s">
        <v>49</v>
      </c>
      <c r="C982" s="60" t="str">
        <f>IF(AND($B982=[1]rogério!$A983,[1]rogério!$B983=C$4),"ok","nok")</f>
        <v>nok</v>
      </c>
      <c r="D982" s="60" t="str">
        <f>IF(AND($B982=[1]rogério!$A983,[1]rogério!$B983=D$4),"ok","nok")</f>
        <v>nok</v>
      </c>
      <c r="E982" s="60" t="str">
        <f>IF(AND($B982=[1]rogério!$A983,[1]rogério!$B983=E$4),"ok","nok")</f>
        <v>nok</v>
      </c>
      <c r="F982" s="60" t="str">
        <f>IF(AND($B982=[1]rogério!$A983,[1]rogério!$B983=F$4),"ok","nok")</f>
        <v>nok</v>
      </c>
      <c r="G982" s="60" t="str">
        <f>IF(AND($B982=[1]rogério!$A983,[1]rogério!$B983=G$4),"ok","nok")</f>
        <v>nok</v>
      </c>
      <c r="H982" s="60" t="str">
        <f>IF(AND($B982=[1]rogério!$A983,[1]rogério!$B983=H$4),"ok","nok")</f>
        <v>nok</v>
      </c>
      <c r="I982" s="60" t="str">
        <f>IF(AND($B982=[1]rogério!$A983,[1]rogério!$B983=I$4),"ok","nok")</f>
        <v>nok</v>
      </c>
      <c r="J982" s="60" t="str">
        <f>IF(AND($B982=[1]rogério!$A983,[1]rogério!$B983=J$4),"ok","nok")</f>
        <v>nok</v>
      </c>
      <c r="K982" s="60" t="str">
        <f>IF(AND($B982=[1]rogério!$A983,[1]rogério!$B983=K$4),"ok","nok")</f>
        <v>nok</v>
      </c>
      <c r="L982" s="60" t="str">
        <f>IF(AND($B982=[1]rogério!$A983,[1]rogério!$B983=L$4),"ok","nok")</f>
        <v>nok</v>
      </c>
      <c r="M982" s="60" t="str">
        <f>IF(AND($B982=[1]rogério!$A983,[1]rogério!$B983=M$4),"ok","nok")</f>
        <v>nok</v>
      </c>
      <c r="N982" s="60" t="str">
        <f>IF(AND($B982=[1]rogério!$A983,[1]rogério!$B983=N$4),"ok","nok")</f>
        <v>nok</v>
      </c>
      <c r="O982" s="60" t="str">
        <f>IF(AND($B982=[1]rogério!$A983,[1]rogério!$B983=O$4),"ok","nok")</f>
        <v>nok</v>
      </c>
      <c r="P982" s="60" t="str">
        <f>IF(AND($B982=[1]rogério!$A983,[1]rogério!$B983=P$4),"ok","nok")</f>
        <v>nok</v>
      </c>
      <c r="Q982" s="60" t="str">
        <f>IF(AND($B982=[1]rogério!$A983,[1]rogério!$B983=Q$4),"ok","nok")</f>
        <v>nok</v>
      </c>
      <c r="R982" s="60" t="str">
        <f>IF(AND($B982=[1]rogério!$A983,[1]rogério!$B983=R$4),"ok","nok")</f>
        <v>nok</v>
      </c>
      <c r="S982" s="60" t="str">
        <f>IF(AND($B982=[1]rogério!$A983,[1]rogério!$B983=S$4),"ok","nok")</f>
        <v>nok</v>
      </c>
      <c r="T982" s="60" t="str">
        <f>IF(AND($B982=[1]rogério!$A983,[1]rogério!$B983=T$4),"ok","nok")</f>
        <v>nok</v>
      </c>
      <c r="U982" s="60" t="str">
        <f>IF(AND($B982=[1]rogério!$A983,[1]rogério!$B983=U$4),"ok","nok")</f>
        <v>nok</v>
      </c>
      <c r="V982" s="60" t="str">
        <f>IF(AND($B982=[1]rogério!$A983,[1]rogério!$B983=V$4),"ok","nok")</f>
        <v>ok</v>
      </c>
      <c r="W982" s="60" t="str">
        <f>IF(AND($B982=[1]rogério!$A983,[1]rogério!$B983=W$4),"ok","nok")</f>
        <v>nok</v>
      </c>
      <c r="X982" s="60" t="str">
        <f>IF(AND($B982=[1]rogério!$A983,[1]rogério!$B983=X$4),"ok","nok")</f>
        <v>nok</v>
      </c>
      <c r="Y982" s="105" t="s">
        <v>15</v>
      </c>
      <c r="Z982" s="106"/>
      <c r="AA982" s="106"/>
      <c r="AB982" s="107"/>
      <c r="AE982" s="48" t="str">
        <f t="shared" si="230"/>
        <v/>
      </c>
      <c r="AF982" s="48"/>
      <c r="AG982" s="48"/>
      <c r="AH982" s="89"/>
      <c r="AI982" s="49">
        <f t="shared" si="231"/>
        <v>0</v>
      </c>
      <c r="AJ982" s="49" t="str">
        <f t="shared" si="232"/>
        <v/>
      </c>
      <c r="AK982" s="49">
        <f t="shared" si="233"/>
        <v>0</v>
      </c>
      <c r="AL982" s="49" t="str">
        <f t="shared" si="234"/>
        <v/>
      </c>
      <c r="AM982" s="49">
        <f t="shared" si="235"/>
        <v>0</v>
      </c>
      <c r="AN982" s="49" t="str">
        <f t="shared" si="236"/>
        <v/>
      </c>
      <c r="AO982" s="49">
        <f t="shared" si="237"/>
        <v>1</v>
      </c>
      <c r="AP982" s="49" t="str">
        <f t="shared" si="238"/>
        <v/>
      </c>
      <c r="AQ982" s="49">
        <f t="shared" si="239"/>
        <v>0</v>
      </c>
      <c r="AR982" s="49" t="str">
        <f t="shared" si="240"/>
        <v/>
      </c>
    </row>
    <row r="983" spans="1:44" ht="30" customHeight="1" x14ac:dyDescent="0.35">
      <c r="A983" s="25" t="str">
        <f t="shared" si="229"/>
        <v>PT178 - ESTRUTURA METÁLICA E FUNDAÇÃO - PLATAFORMAS DE ACESSO LIFT LINE SPIDER - DETALHADO
ETAPA DE ESCRITÓRIOPROJETO DETALHADO
CIVIL</v>
      </c>
      <c r="B983" s="38" t="s">
        <v>92</v>
      </c>
      <c r="C983" s="60" t="str">
        <f>IF(AND($B983=[1]rogério!$A984,[1]rogério!$B984=C$4),"ok","nok")</f>
        <v>nok</v>
      </c>
      <c r="D983" s="60" t="str">
        <f>IF(AND($B983=[1]rogério!$A984,[1]rogério!$B984=D$4),"ok","nok")</f>
        <v>nok</v>
      </c>
      <c r="E983" s="60" t="str">
        <f>IF(AND($B983=[1]rogério!$A984,[1]rogério!$B984=E$4),"ok","nok")</f>
        <v>nok</v>
      </c>
      <c r="F983" s="60" t="str">
        <f>IF(AND($B983=[1]rogério!$A984,[1]rogério!$B984=F$4),"ok","nok")</f>
        <v>nok</v>
      </c>
      <c r="G983" s="60" t="str">
        <f>IF(AND($B983=[1]rogério!$A984,[1]rogério!$B984=G$4),"ok","nok")</f>
        <v>nok</v>
      </c>
      <c r="H983" s="60" t="str">
        <f>IF(AND($B983=[1]rogério!$A984,[1]rogério!$B984=H$4),"ok","nok")</f>
        <v>nok</v>
      </c>
      <c r="I983" s="60" t="str">
        <f>IF(AND($B983=[1]rogério!$A984,[1]rogério!$B984=I$4),"ok","nok")</f>
        <v>nok</v>
      </c>
      <c r="J983" s="60" t="str">
        <f>IF(AND($B983=[1]rogério!$A984,[1]rogério!$B984=J$4),"ok","nok")</f>
        <v>nok</v>
      </c>
      <c r="K983" s="60" t="str">
        <f>IF(AND($B983=[1]rogério!$A984,[1]rogério!$B984=K$4),"ok","nok")</f>
        <v>nok</v>
      </c>
      <c r="L983" s="60" t="str">
        <f>IF(AND($B983=[1]rogério!$A984,[1]rogério!$B984=L$4),"ok","nok")</f>
        <v>nok</v>
      </c>
      <c r="M983" s="60" t="str">
        <f>IF(AND($B983=[1]rogério!$A984,[1]rogério!$B984=M$4),"ok","nok")</f>
        <v>nok</v>
      </c>
      <c r="N983" s="60" t="str">
        <f>IF(AND($B983=[1]rogério!$A984,[1]rogério!$B984=N$4),"ok","nok")</f>
        <v>nok</v>
      </c>
      <c r="O983" s="60" t="str">
        <f>IF(AND($B983=[1]rogério!$A984,[1]rogério!$B984=O$4),"ok","nok")</f>
        <v>nok</v>
      </c>
      <c r="P983" s="60" t="str">
        <f>IF(AND($B983=[1]rogério!$A984,[1]rogério!$B984=P$4),"ok","nok")</f>
        <v>nok</v>
      </c>
      <c r="Q983" s="60" t="str">
        <f>IF(AND($B983=[1]rogério!$A984,[1]rogério!$B984=Q$4),"ok","nok")</f>
        <v>nok</v>
      </c>
      <c r="R983" s="60" t="str">
        <f>IF(AND($B983=[1]rogério!$A984,[1]rogério!$B984=R$4),"ok","nok")</f>
        <v>nok</v>
      </c>
      <c r="S983" s="60" t="str">
        <f>IF(AND($B983=[1]rogério!$A984,[1]rogério!$B984=S$4),"ok","nok")</f>
        <v>nok</v>
      </c>
      <c r="T983" s="60" t="str">
        <f>IF(AND($B983=[1]rogério!$A984,[1]rogério!$B984=T$4),"ok","nok")</f>
        <v>nok</v>
      </c>
      <c r="U983" s="60" t="str">
        <f>IF(AND($B983=[1]rogério!$A984,[1]rogério!$B984=U$4),"ok","nok")</f>
        <v>ok</v>
      </c>
      <c r="V983" s="60" t="str">
        <f>IF(AND($B983=[1]rogério!$A984,[1]rogério!$B984=V$4),"ok","nok")</f>
        <v>nok</v>
      </c>
      <c r="W983" s="60" t="str">
        <f>IF(AND($B983=[1]rogério!$A984,[1]rogério!$B984=W$4),"ok","nok")</f>
        <v>nok</v>
      </c>
      <c r="X983" s="60" t="str">
        <f>IF(AND($B983=[1]rogério!$A984,[1]rogério!$B984=X$4),"ok","nok")</f>
        <v>nok</v>
      </c>
      <c r="Y983" s="105" t="s">
        <v>15</v>
      </c>
      <c r="Z983" s="106"/>
      <c r="AA983" s="106"/>
      <c r="AB983" s="107"/>
      <c r="AE983" s="48" t="str">
        <f t="shared" si="230"/>
        <v/>
      </c>
      <c r="AF983" s="48"/>
      <c r="AG983" s="48"/>
      <c r="AH983" s="89"/>
      <c r="AI983" s="49">
        <f t="shared" si="231"/>
        <v>0</v>
      </c>
      <c r="AJ983" s="49" t="str">
        <f t="shared" si="232"/>
        <v/>
      </c>
      <c r="AK983" s="49">
        <f t="shared" si="233"/>
        <v>0</v>
      </c>
      <c r="AL983" s="49" t="str">
        <f t="shared" si="234"/>
        <v/>
      </c>
      <c r="AM983" s="49">
        <f t="shared" si="235"/>
        <v>0</v>
      </c>
      <c r="AN983" s="49" t="str">
        <f t="shared" si="236"/>
        <v/>
      </c>
      <c r="AO983" s="49">
        <f t="shared" si="237"/>
        <v>1</v>
      </c>
      <c r="AP983" s="49" t="str">
        <f t="shared" si="238"/>
        <v/>
      </c>
      <c r="AQ983" s="49">
        <f t="shared" si="239"/>
        <v>0</v>
      </c>
      <c r="AR983" s="49" t="str">
        <f t="shared" si="240"/>
        <v/>
      </c>
    </row>
    <row r="984" spans="1:44" ht="30" customHeight="1" x14ac:dyDescent="0.35">
      <c r="A984" s="25" t="str">
        <f t="shared" si="229"/>
        <v>PT178 - ESTRUTURA METÁLICA E FUNDAÇÃO - PLATAFORMAS DE ACESSO LIFT LINE SPIDER - DETALHADO
ETAPA DE ESCRITÓRIOPROJETO DETALHADO
CIVIL</v>
      </c>
      <c r="B984" s="38" t="s">
        <v>93</v>
      </c>
      <c r="C984" s="60" t="str">
        <f>IF(AND($B984=[1]rogério!$A985,[1]rogério!$B985=C$4),"ok","nok")</f>
        <v>nok</v>
      </c>
      <c r="D984" s="60" t="str">
        <f>IF(AND($B984=[1]rogério!$A985,[1]rogério!$B985=D$4),"ok","nok")</f>
        <v>nok</v>
      </c>
      <c r="E984" s="60" t="str">
        <f>IF(AND($B984=[1]rogério!$A985,[1]rogério!$B985=E$4),"ok","nok")</f>
        <v>nok</v>
      </c>
      <c r="F984" s="60" t="str">
        <f>IF(AND($B984=[1]rogério!$A985,[1]rogério!$B985=F$4),"ok","nok")</f>
        <v>nok</v>
      </c>
      <c r="G984" s="60" t="str">
        <f>IF(AND($B984=[1]rogério!$A985,[1]rogério!$B985=G$4),"ok","nok")</f>
        <v>nok</v>
      </c>
      <c r="H984" s="60" t="str">
        <f>IF(AND($B984=[1]rogério!$A985,[1]rogério!$B985=H$4),"ok","nok")</f>
        <v>nok</v>
      </c>
      <c r="I984" s="60" t="str">
        <f>IF(AND($B984=[1]rogério!$A985,[1]rogério!$B985=I$4),"ok","nok")</f>
        <v>nok</v>
      </c>
      <c r="J984" s="60" t="str">
        <f>IF(AND($B984=[1]rogério!$A985,[1]rogério!$B985=J$4),"ok","nok")</f>
        <v>nok</v>
      </c>
      <c r="K984" s="60" t="str">
        <f>IF(AND($B984=[1]rogério!$A985,[1]rogério!$B985=K$4),"ok","nok")</f>
        <v>nok</v>
      </c>
      <c r="L984" s="60" t="str">
        <f>IF(AND($B984=[1]rogério!$A985,[1]rogério!$B985=L$4),"ok","nok")</f>
        <v>nok</v>
      </c>
      <c r="M984" s="60" t="str">
        <f>IF(AND($B984=[1]rogério!$A985,[1]rogério!$B985=M$4),"ok","nok")</f>
        <v>nok</v>
      </c>
      <c r="N984" s="60" t="str">
        <f>IF(AND($B984=[1]rogério!$A985,[1]rogério!$B985=N$4),"ok","nok")</f>
        <v>nok</v>
      </c>
      <c r="O984" s="60" t="str">
        <f>IF(AND($B984=[1]rogério!$A985,[1]rogério!$B985=O$4),"ok","nok")</f>
        <v>nok</v>
      </c>
      <c r="P984" s="60" t="str">
        <f>IF(AND($B984=[1]rogério!$A985,[1]rogério!$B985=P$4),"ok","nok")</f>
        <v>nok</v>
      </c>
      <c r="Q984" s="60" t="str">
        <f>IF(AND($B984=[1]rogério!$A985,[1]rogério!$B985=Q$4),"ok","nok")</f>
        <v>nok</v>
      </c>
      <c r="R984" s="60" t="str">
        <f>IF(AND($B984=[1]rogério!$A985,[1]rogério!$B985=R$4),"ok","nok")</f>
        <v>nok</v>
      </c>
      <c r="S984" s="60" t="str">
        <f>IF(AND($B984=[1]rogério!$A985,[1]rogério!$B985=S$4),"ok","nok")</f>
        <v>nok</v>
      </c>
      <c r="T984" s="60" t="str">
        <f>IF(AND($B984=[1]rogério!$A985,[1]rogério!$B985=T$4),"ok","nok")</f>
        <v>nok</v>
      </c>
      <c r="U984" s="60" t="str">
        <f>IF(AND($B984=[1]rogério!$A985,[1]rogério!$B985=U$4),"ok","nok")</f>
        <v>nok</v>
      </c>
      <c r="V984" s="60" t="str">
        <f>IF(AND($B984=[1]rogério!$A985,[1]rogério!$B985=V$4),"ok","nok")</f>
        <v>ok</v>
      </c>
      <c r="W984" s="60" t="str">
        <f>IF(AND($B984=[1]rogério!$A985,[1]rogério!$B985=W$4),"ok","nok")</f>
        <v>nok</v>
      </c>
      <c r="X984" s="60" t="str">
        <f>IF(AND($B984=[1]rogério!$A985,[1]rogério!$B985=X$4),"ok","nok")</f>
        <v>nok</v>
      </c>
      <c r="Y984" s="105" t="s">
        <v>15</v>
      </c>
      <c r="Z984" s="106"/>
      <c r="AA984" s="106"/>
      <c r="AB984" s="107"/>
      <c r="AE984" s="48" t="str">
        <f t="shared" si="230"/>
        <v/>
      </c>
      <c r="AF984" s="48"/>
      <c r="AG984" s="48"/>
      <c r="AH984" s="89"/>
      <c r="AI984" s="49">
        <f t="shared" si="231"/>
        <v>0</v>
      </c>
      <c r="AJ984" s="49" t="str">
        <f t="shared" si="232"/>
        <v/>
      </c>
      <c r="AK984" s="49">
        <f t="shared" si="233"/>
        <v>0</v>
      </c>
      <c r="AL984" s="49" t="str">
        <f t="shared" si="234"/>
        <v/>
      </c>
      <c r="AM984" s="49">
        <f t="shared" si="235"/>
        <v>0</v>
      </c>
      <c r="AN984" s="49" t="str">
        <f t="shared" si="236"/>
        <v/>
      </c>
      <c r="AO984" s="49">
        <f t="shared" si="237"/>
        <v>1</v>
      </c>
      <c r="AP984" s="49" t="str">
        <f t="shared" si="238"/>
        <v/>
      </c>
      <c r="AQ984" s="49">
        <f t="shared" si="239"/>
        <v>0</v>
      </c>
      <c r="AR984" s="49" t="str">
        <f t="shared" si="240"/>
        <v/>
      </c>
    </row>
    <row r="985" spans="1:44" ht="30" customHeight="1" x14ac:dyDescent="0.35">
      <c r="A985" s="25"/>
      <c r="B985" s="39" t="s">
        <v>94</v>
      </c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108"/>
      <c r="Z985" s="109"/>
      <c r="AA985" s="109"/>
      <c r="AB985" s="110"/>
      <c r="AE985" s="48" t="str">
        <f t="shared" si="230"/>
        <v/>
      </c>
      <c r="AF985" s="48"/>
      <c r="AG985" s="48"/>
      <c r="AH985" s="89"/>
      <c r="AI985" s="49">
        <f t="shared" si="231"/>
        <v>0</v>
      </c>
      <c r="AJ985" s="49" t="str">
        <f t="shared" si="232"/>
        <v/>
      </c>
      <c r="AK985" s="49">
        <f t="shared" si="233"/>
        <v>0</v>
      </c>
      <c r="AL985" s="49" t="str">
        <f t="shared" si="234"/>
        <v/>
      </c>
      <c r="AM985" s="49">
        <f t="shared" si="235"/>
        <v>0</v>
      </c>
      <c r="AN985" s="49" t="str">
        <f t="shared" si="236"/>
        <v/>
      </c>
      <c r="AO985" s="49">
        <f t="shared" si="237"/>
        <v>0</v>
      </c>
      <c r="AP985" s="49" t="str">
        <f t="shared" si="238"/>
        <v/>
      </c>
      <c r="AQ985" s="49">
        <f t="shared" si="239"/>
        <v>0</v>
      </c>
      <c r="AR985" s="49" t="str">
        <f t="shared" si="240"/>
        <v/>
      </c>
    </row>
    <row r="986" spans="1:44" ht="30" customHeight="1" x14ac:dyDescent="0.35">
      <c r="A986" s="25" t="str">
        <f t="shared" si="229"/>
        <v>PT178 - ESTRUTURA METÁLICA E FUNDAÇÃO - PLATAFORMAS DE ACESSO LIFT LINE SPIDER - DETALHADO
ETAPA DE ESCRITÓRIOPROJETO DETALHADO
CIVIL</v>
      </c>
      <c r="B986" s="38" t="s">
        <v>49</v>
      </c>
      <c r="C986" s="60" t="str">
        <f>IF(AND($B986=[1]rogério!$A987,[1]rogério!$B987=C$4),"ok","nok")</f>
        <v>nok</v>
      </c>
      <c r="D986" s="60" t="str">
        <f>IF(AND($B986=[1]rogério!$A987,[1]rogério!$B987=D$4),"ok","nok")</f>
        <v>nok</v>
      </c>
      <c r="E986" s="60" t="str">
        <f>IF(AND($B986=[1]rogério!$A987,[1]rogério!$B987=E$4),"ok","nok")</f>
        <v>nok</v>
      </c>
      <c r="F986" s="60" t="str">
        <f>IF(AND($B986=[1]rogério!$A987,[1]rogério!$B987=F$4),"ok","nok")</f>
        <v>nok</v>
      </c>
      <c r="G986" s="60" t="str">
        <f>IF(AND($B986=[1]rogério!$A987,[1]rogério!$B987=G$4),"ok","nok")</f>
        <v>nok</v>
      </c>
      <c r="H986" s="60" t="str">
        <f>IF(AND($B986=[1]rogério!$A987,[1]rogério!$B987=H$4),"ok","nok")</f>
        <v>nok</v>
      </c>
      <c r="I986" s="60" t="str">
        <f>IF(AND($B986=[1]rogério!$A987,[1]rogério!$B987=I$4),"ok","nok")</f>
        <v>nok</v>
      </c>
      <c r="J986" s="60" t="str">
        <f>IF(AND($B986=[1]rogério!$A987,[1]rogério!$B987=J$4),"ok","nok")</f>
        <v>nok</v>
      </c>
      <c r="K986" s="60" t="str">
        <f>IF(AND($B986=[1]rogério!$A987,[1]rogério!$B987=K$4),"ok","nok")</f>
        <v>nok</v>
      </c>
      <c r="L986" s="60" t="str">
        <f>IF(AND($B986=[1]rogério!$A987,[1]rogério!$B987=L$4),"ok","nok")</f>
        <v>nok</v>
      </c>
      <c r="M986" s="60" t="str">
        <f>IF(AND($B986=[1]rogério!$A987,[1]rogério!$B987=M$4),"ok","nok")</f>
        <v>nok</v>
      </c>
      <c r="N986" s="60" t="str">
        <f>IF(AND($B986=[1]rogério!$A987,[1]rogério!$B987=N$4),"ok","nok")</f>
        <v>nok</v>
      </c>
      <c r="O986" s="60" t="str">
        <f>IF(AND($B986=[1]rogério!$A987,[1]rogério!$B987=O$4),"ok","nok")</f>
        <v>nok</v>
      </c>
      <c r="P986" s="60" t="str">
        <f>IF(AND($B986=[1]rogério!$A987,[1]rogério!$B987=P$4),"ok","nok")</f>
        <v>nok</v>
      </c>
      <c r="Q986" s="60" t="str">
        <f>IF(AND($B986=[1]rogério!$A987,[1]rogério!$B987=Q$4),"ok","nok")</f>
        <v>nok</v>
      </c>
      <c r="R986" s="60" t="str">
        <f>IF(AND($B986=[1]rogério!$A987,[1]rogério!$B987=R$4),"ok","nok")</f>
        <v>nok</v>
      </c>
      <c r="S986" s="60" t="str">
        <f>IF(AND($B986=[1]rogério!$A987,[1]rogério!$B987=S$4),"ok","nok")</f>
        <v>nok</v>
      </c>
      <c r="T986" s="60" t="str">
        <f>IF(AND($B986=[1]rogério!$A987,[1]rogério!$B987=T$4),"ok","nok")</f>
        <v>nok</v>
      </c>
      <c r="U986" s="60" t="str">
        <f>IF(AND($B986=[1]rogério!$A987,[1]rogério!$B987=U$4),"ok","nok")</f>
        <v>nok</v>
      </c>
      <c r="V986" s="60" t="str">
        <f>IF(AND($B986=[1]rogério!$A987,[1]rogério!$B987=V$4),"ok","nok")</f>
        <v>ok</v>
      </c>
      <c r="W986" s="60" t="str">
        <f>IF(AND($B986=[1]rogério!$A987,[1]rogério!$B987=W$4),"ok","nok")</f>
        <v>nok</v>
      </c>
      <c r="X986" s="60" t="str">
        <f>IF(AND($B986=[1]rogério!$A987,[1]rogério!$B987=X$4),"ok","nok")</f>
        <v>nok</v>
      </c>
      <c r="Y986" s="105" t="s">
        <v>15</v>
      </c>
      <c r="Z986" s="106"/>
      <c r="AA986" s="106"/>
      <c r="AB986" s="107"/>
      <c r="AE986" s="48" t="str">
        <f t="shared" si="230"/>
        <v/>
      </c>
      <c r="AF986" s="48"/>
      <c r="AG986" s="48"/>
      <c r="AH986" s="89"/>
      <c r="AI986" s="49">
        <f t="shared" si="231"/>
        <v>0</v>
      </c>
      <c r="AJ986" s="49" t="str">
        <f t="shared" si="232"/>
        <v/>
      </c>
      <c r="AK986" s="49">
        <f t="shared" si="233"/>
        <v>0</v>
      </c>
      <c r="AL986" s="49" t="str">
        <f t="shared" si="234"/>
        <v/>
      </c>
      <c r="AM986" s="49">
        <f t="shared" si="235"/>
        <v>0</v>
      </c>
      <c r="AN986" s="49" t="str">
        <f t="shared" si="236"/>
        <v/>
      </c>
      <c r="AO986" s="49">
        <f t="shared" si="237"/>
        <v>1</v>
      </c>
      <c r="AP986" s="49" t="str">
        <f t="shared" si="238"/>
        <v/>
      </c>
      <c r="AQ986" s="49">
        <f t="shared" si="239"/>
        <v>0</v>
      </c>
      <c r="AR986" s="49" t="str">
        <f t="shared" si="240"/>
        <v/>
      </c>
    </row>
    <row r="987" spans="1:44" ht="30" customHeight="1" x14ac:dyDescent="0.35">
      <c r="B987" s="42" t="s">
        <v>86</v>
      </c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111"/>
      <c r="Z987" s="112"/>
      <c r="AA987" s="112"/>
      <c r="AB987" s="113"/>
      <c r="AE987" s="48" t="str">
        <f t="shared" si="230"/>
        <v/>
      </c>
      <c r="AF987" s="48"/>
      <c r="AG987" s="48"/>
      <c r="AH987" s="89"/>
      <c r="AI987" s="49">
        <f t="shared" si="231"/>
        <v>0</v>
      </c>
      <c r="AJ987" s="49" t="str">
        <f t="shared" si="232"/>
        <v/>
      </c>
      <c r="AK987" s="49">
        <f t="shared" si="233"/>
        <v>0</v>
      </c>
      <c r="AL987" s="49" t="str">
        <f t="shared" si="234"/>
        <v/>
      </c>
      <c r="AM987" s="49">
        <f t="shared" si="235"/>
        <v>0</v>
      </c>
      <c r="AN987" s="49" t="str">
        <f t="shared" si="236"/>
        <v/>
      </c>
      <c r="AO987" s="49">
        <f t="shared" si="237"/>
        <v>0</v>
      </c>
      <c r="AP987" s="49" t="str">
        <f t="shared" si="238"/>
        <v/>
      </c>
      <c r="AQ987" s="49">
        <f t="shared" si="239"/>
        <v>0</v>
      </c>
      <c r="AR987" s="49" t="str">
        <f t="shared" si="240"/>
        <v/>
      </c>
    </row>
    <row r="988" spans="1:44" ht="30" customHeight="1" x14ac:dyDescent="0.35">
      <c r="B988" s="39" t="s">
        <v>95</v>
      </c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108"/>
      <c r="Z988" s="109"/>
      <c r="AA988" s="109"/>
      <c r="AB988" s="110"/>
      <c r="AE988" s="48" t="str">
        <f t="shared" si="230"/>
        <v/>
      </c>
      <c r="AF988" s="48"/>
      <c r="AG988" s="48"/>
      <c r="AH988" s="89"/>
      <c r="AI988" s="49">
        <f t="shared" si="231"/>
        <v>0</v>
      </c>
      <c r="AJ988" s="49" t="str">
        <f t="shared" si="232"/>
        <v/>
      </c>
      <c r="AK988" s="49">
        <f t="shared" si="233"/>
        <v>0</v>
      </c>
      <c r="AL988" s="49" t="str">
        <f t="shared" si="234"/>
        <v/>
      </c>
      <c r="AM988" s="49">
        <f t="shared" si="235"/>
        <v>0</v>
      </c>
      <c r="AN988" s="49" t="str">
        <f t="shared" si="236"/>
        <v/>
      </c>
      <c r="AO988" s="49">
        <f t="shared" si="237"/>
        <v>0</v>
      </c>
      <c r="AP988" s="49" t="str">
        <f t="shared" si="238"/>
        <v/>
      </c>
      <c r="AQ988" s="49">
        <f t="shared" si="239"/>
        <v>0</v>
      </c>
      <c r="AR988" s="49" t="str">
        <f t="shared" si="240"/>
        <v/>
      </c>
    </row>
    <row r="989" spans="1:44" ht="30" customHeight="1" x14ac:dyDescent="0.35">
      <c r="A989" s="25" t="str">
        <f>CONCATENATE($B$909,"
",$B$910,"",$B$911,"
",$B$987)</f>
        <v>PT178 - ESTRUTURA METÁLICA E FUNDAÇÃO - PLATAFORMAS DE ACESSO LIFT LINE SPIDER - DETALHADO
ETAPA DE ESCRITÓRIOPROJETO DETALHADO
ELÉTRICA</v>
      </c>
      <c r="B989" s="40" t="s">
        <v>49</v>
      </c>
      <c r="C989" s="60" t="str">
        <f>IF(AND($B989=[1]rogério!$A990,[1]rogério!$B990=C$4),"ok","nok")</f>
        <v>nok</v>
      </c>
      <c r="D989" s="60" t="str">
        <f>IF(AND($B989=[1]rogério!$A990,[1]rogério!$B990=D$4),"ok","nok")</f>
        <v>nok</v>
      </c>
      <c r="E989" s="60" t="str">
        <f>IF(AND($B989=[1]rogério!$A990,[1]rogério!$B990=E$4),"ok","nok")</f>
        <v>nok</v>
      </c>
      <c r="F989" s="60" t="str">
        <f>IF(AND($B989=[1]rogério!$A990,[1]rogério!$B990=F$4),"ok","nok")</f>
        <v>nok</v>
      </c>
      <c r="G989" s="60" t="str">
        <f>IF(AND($B989=[1]rogério!$A990,[1]rogério!$B990=G$4),"ok","nok")</f>
        <v>ok</v>
      </c>
      <c r="H989" s="60" t="str">
        <f>IF(AND($B989=[1]rogério!$A990,[1]rogério!$B990=H$4),"ok","nok")</f>
        <v>nok</v>
      </c>
      <c r="I989" s="60" t="str">
        <f>IF(AND($B989=[1]rogério!$A990,[1]rogério!$B990=I$4),"ok","nok")</f>
        <v>nok</v>
      </c>
      <c r="J989" s="60" t="str">
        <f>IF(AND($B989=[1]rogério!$A990,[1]rogério!$B990=J$4),"ok","nok")</f>
        <v>nok</v>
      </c>
      <c r="K989" s="60" t="str">
        <f>IF(AND($B989=[1]rogério!$A990,[1]rogério!$B990=K$4),"ok","nok")</f>
        <v>nok</v>
      </c>
      <c r="L989" s="60" t="str">
        <f>IF(AND($B989=[1]rogério!$A990,[1]rogério!$B990=L$4),"ok","nok")</f>
        <v>nok</v>
      </c>
      <c r="M989" s="60" t="str">
        <f>IF(AND($B989=[1]rogério!$A990,[1]rogério!$B990=M$4),"ok","nok")</f>
        <v>nok</v>
      </c>
      <c r="N989" s="60" t="str">
        <f>IF(AND($B989=[1]rogério!$A990,[1]rogério!$B990=N$4),"ok","nok")</f>
        <v>nok</v>
      </c>
      <c r="O989" s="60" t="str">
        <f>IF(AND($B989=[1]rogério!$A990,[1]rogério!$B990=O$4),"ok","nok")</f>
        <v>nok</v>
      </c>
      <c r="P989" s="60" t="str">
        <f>IF(AND($B989=[1]rogério!$A990,[1]rogério!$B990=P$4),"ok","nok")</f>
        <v>nok</v>
      </c>
      <c r="Q989" s="60" t="str">
        <f>IF(AND($B989=[1]rogério!$A990,[1]rogério!$B990=Q$4),"ok","nok")</f>
        <v>nok</v>
      </c>
      <c r="R989" s="60" t="str">
        <f>IF(AND($B989=[1]rogério!$A990,[1]rogério!$B990=R$4),"ok","nok")</f>
        <v>nok</v>
      </c>
      <c r="S989" s="60" t="str">
        <f>IF(AND($B989=[1]rogério!$A990,[1]rogério!$B990=S$4),"ok","nok")</f>
        <v>nok</v>
      </c>
      <c r="T989" s="60" t="str">
        <f>IF(AND($B989=[1]rogério!$A990,[1]rogério!$B990=T$4),"ok","nok")</f>
        <v>nok</v>
      </c>
      <c r="U989" s="60" t="str">
        <f>IF(AND($B989=[1]rogério!$A990,[1]rogério!$B990=U$4),"ok","nok")</f>
        <v>nok</v>
      </c>
      <c r="V989" s="60" t="str">
        <f>IF(AND($B989=[1]rogério!$A990,[1]rogério!$B990=V$4),"ok","nok")</f>
        <v>nok</v>
      </c>
      <c r="W989" s="60" t="str">
        <f>IF(AND($B989=[1]rogério!$A990,[1]rogério!$B990=W$4),"ok","nok")</f>
        <v>nok</v>
      </c>
      <c r="X989" s="60" t="str">
        <f>IF(AND($B989=[1]rogério!$A990,[1]rogério!$B990=X$4),"ok","nok")</f>
        <v>nok</v>
      </c>
      <c r="Y989" s="105" t="s">
        <v>15</v>
      </c>
      <c r="Z989" s="106"/>
      <c r="AA989" s="106"/>
      <c r="AB989" s="107"/>
      <c r="AE989" s="48" t="str">
        <f t="shared" si="230"/>
        <v/>
      </c>
      <c r="AF989" s="48"/>
      <c r="AG989" s="48"/>
      <c r="AH989" s="89"/>
      <c r="AI989" s="49">
        <f t="shared" si="231"/>
        <v>1</v>
      </c>
      <c r="AJ989" s="49" t="str">
        <f t="shared" si="232"/>
        <v/>
      </c>
      <c r="AK989" s="49">
        <f t="shared" si="233"/>
        <v>0</v>
      </c>
      <c r="AL989" s="49" t="str">
        <f t="shared" si="234"/>
        <v/>
      </c>
      <c r="AM989" s="49">
        <f t="shared" si="235"/>
        <v>0</v>
      </c>
      <c r="AN989" s="49" t="str">
        <f t="shared" si="236"/>
        <v/>
      </c>
      <c r="AO989" s="49">
        <f t="shared" si="237"/>
        <v>0</v>
      </c>
      <c r="AP989" s="49" t="str">
        <f t="shared" si="238"/>
        <v/>
      </c>
      <c r="AQ989" s="49">
        <f t="shared" si="239"/>
        <v>0</v>
      </c>
      <c r="AR989" s="49" t="str">
        <f t="shared" si="240"/>
        <v/>
      </c>
    </row>
    <row r="990" spans="1:44" ht="30" customHeight="1" x14ac:dyDescent="0.35">
      <c r="A990" s="25" t="str">
        <f t="shared" ref="A990:A992" si="241">CONCATENATE($B$909,"
",$B$910,"",$B$911,"
",$B$987)</f>
        <v>PT178 - ESTRUTURA METÁLICA E FUNDAÇÃO - PLATAFORMAS DE ACESSO LIFT LINE SPIDER - DETALHADO
ETAPA DE ESCRITÓRIOPROJETO DETALHADO
ELÉTRICA</v>
      </c>
      <c r="B990" s="40" t="s">
        <v>19</v>
      </c>
      <c r="C990" s="60" t="str">
        <f>IF(AND($B990=[1]rogério!$A991,[1]rogério!$B991=C$4),"ok","nok")</f>
        <v>nok</v>
      </c>
      <c r="D990" s="60" t="str">
        <f>IF(AND($B990=[1]rogério!$A991,[1]rogério!$B991=D$4),"ok","nok")</f>
        <v>nok</v>
      </c>
      <c r="E990" s="60" t="str">
        <f>IF(AND($B990=[1]rogério!$A991,[1]rogério!$B991=E$4),"ok","nok")</f>
        <v>nok</v>
      </c>
      <c r="F990" s="60" t="str">
        <f>IF(AND($B990=[1]rogério!$A991,[1]rogério!$B991=F$4),"ok","nok")</f>
        <v>nok</v>
      </c>
      <c r="G990" s="60" t="str">
        <f>IF(AND($B990=[1]rogério!$A991,[1]rogério!$B991=G$4),"ok","nok")</f>
        <v>nok</v>
      </c>
      <c r="H990" s="60" t="str">
        <f>IF(AND($B990=[1]rogério!$A991,[1]rogério!$B991=H$4),"ok","nok")</f>
        <v>nok</v>
      </c>
      <c r="I990" s="60" t="str">
        <f>IF(AND($B990=[1]rogério!$A991,[1]rogério!$B991=I$4),"ok","nok")</f>
        <v>nok</v>
      </c>
      <c r="J990" s="60" t="str">
        <f>IF(AND($B990=[1]rogério!$A991,[1]rogério!$B991=J$4),"ok","nok")</f>
        <v>nok</v>
      </c>
      <c r="K990" s="60" t="str">
        <f>IF(AND($B990=[1]rogério!$A991,[1]rogério!$B991=K$4),"ok","nok")</f>
        <v>ok</v>
      </c>
      <c r="L990" s="60" t="str">
        <f>IF(AND($B990=[1]rogério!$A991,[1]rogério!$B991=L$4),"ok","nok")</f>
        <v>nok</v>
      </c>
      <c r="M990" s="60" t="str">
        <f>IF(AND($B990=[1]rogério!$A991,[1]rogério!$B991=M$4),"ok","nok")</f>
        <v>nok</v>
      </c>
      <c r="N990" s="60" t="str">
        <f>IF(AND($B990=[1]rogério!$A991,[1]rogério!$B991=N$4),"ok","nok")</f>
        <v>nok</v>
      </c>
      <c r="O990" s="60" t="str">
        <f>IF(AND($B990=[1]rogério!$A991,[1]rogério!$B991=O$4),"ok","nok")</f>
        <v>nok</v>
      </c>
      <c r="P990" s="60" t="str">
        <f>IF(AND($B990=[1]rogério!$A991,[1]rogério!$B991=P$4),"ok","nok")</f>
        <v>nok</v>
      </c>
      <c r="Q990" s="60" t="str">
        <f>IF(AND($B990=[1]rogério!$A991,[1]rogério!$B991=Q$4),"ok","nok")</f>
        <v>nok</v>
      </c>
      <c r="R990" s="60" t="str">
        <f>IF(AND($B990=[1]rogério!$A991,[1]rogério!$B991=R$4),"ok","nok")</f>
        <v>nok</v>
      </c>
      <c r="S990" s="60" t="str">
        <f>IF(AND($B990=[1]rogério!$A991,[1]rogério!$B991=S$4),"ok","nok")</f>
        <v>nok</v>
      </c>
      <c r="T990" s="60" t="str">
        <f>IF(AND($B990=[1]rogério!$A991,[1]rogério!$B991=T$4),"ok","nok")</f>
        <v>nok</v>
      </c>
      <c r="U990" s="60" t="str">
        <f>IF(AND($B990=[1]rogério!$A991,[1]rogério!$B991=U$4),"ok","nok")</f>
        <v>nok</v>
      </c>
      <c r="V990" s="60" t="str">
        <f>IF(AND($B990=[1]rogério!$A991,[1]rogério!$B991=V$4),"ok","nok")</f>
        <v>nok</v>
      </c>
      <c r="W990" s="60" t="str">
        <f>IF(AND($B990=[1]rogério!$A991,[1]rogério!$B991=W$4),"ok","nok")</f>
        <v>nok</v>
      </c>
      <c r="X990" s="60" t="str">
        <f>IF(AND($B990=[1]rogério!$A991,[1]rogério!$B991=X$4),"ok","nok")</f>
        <v>nok</v>
      </c>
      <c r="Y990" s="105" t="s">
        <v>15</v>
      </c>
      <c r="Z990" s="106"/>
      <c r="AA990" s="106"/>
      <c r="AB990" s="107"/>
      <c r="AE990" s="48" t="str">
        <f t="shared" si="230"/>
        <v/>
      </c>
      <c r="AF990" s="48"/>
      <c r="AG990" s="48"/>
      <c r="AH990" s="89"/>
      <c r="AI990" s="49">
        <f t="shared" si="231"/>
        <v>0</v>
      </c>
      <c r="AJ990" s="49" t="str">
        <f t="shared" si="232"/>
        <v/>
      </c>
      <c r="AK990" s="49">
        <f t="shared" si="233"/>
        <v>1</v>
      </c>
      <c r="AL990" s="49" t="str">
        <f t="shared" si="234"/>
        <v/>
      </c>
      <c r="AM990" s="49">
        <f t="shared" si="235"/>
        <v>0</v>
      </c>
      <c r="AN990" s="49" t="str">
        <f t="shared" si="236"/>
        <v/>
      </c>
      <c r="AO990" s="49">
        <f t="shared" si="237"/>
        <v>0</v>
      </c>
      <c r="AP990" s="49" t="str">
        <f t="shared" si="238"/>
        <v/>
      </c>
      <c r="AQ990" s="49">
        <f t="shared" si="239"/>
        <v>0</v>
      </c>
      <c r="AR990" s="49" t="str">
        <f t="shared" si="240"/>
        <v/>
      </c>
    </row>
    <row r="991" spans="1:44" ht="30" customHeight="1" x14ac:dyDescent="0.35">
      <c r="A991" s="25" t="str">
        <f t="shared" si="241"/>
        <v>PT178 - ESTRUTURA METÁLICA E FUNDAÇÃO - PLATAFORMAS DE ACESSO LIFT LINE SPIDER - DETALHADO
ETAPA DE ESCRITÓRIOPROJETO DETALHADO
ELÉTRICA</v>
      </c>
      <c r="B991" s="40" t="s">
        <v>42</v>
      </c>
      <c r="C991" s="60" t="str">
        <f>IF(AND($B991=[1]rogério!$A992,[1]rogério!$B992=C$4),"ok","nok")</f>
        <v>nok</v>
      </c>
      <c r="D991" s="60" t="str">
        <f>IF(AND($B991=[1]rogério!$A992,[1]rogério!$B992=D$4),"ok","nok")</f>
        <v>nok</v>
      </c>
      <c r="E991" s="60" t="str">
        <f>IF(AND($B991=[1]rogério!$A992,[1]rogério!$B992=E$4),"ok","nok")</f>
        <v>nok</v>
      </c>
      <c r="F991" s="60" t="str">
        <f>IF(AND($B991=[1]rogério!$A992,[1]rogério!$B992=F$4),"ok","nok")</f>
        <v>nok</v>
      </c>
      <c r="G991" s="60" t="str">
        <f>IF(AND($B991=[1]rogério!$A992,[1]rogério!$B992=G$4),"ok","nok")</f>
        <v>nok</v>
      </c>
      <c r="H991" s="60" t="str">
        <f>IF(AND($B991=[1]rogério!$A992,[1]rogério!$B992=H$4),"ok","nok")</f>
        <v>nok</v>
      </c>
      <c r="I991" s="60" t="str">
        <f>IF(AND($B991=[1]rogério!$A992,[1]rogério!$B992=I$4),"ok","nok")</f>
        <v>nok</v>
      </c>
      <c r="J991" s="60" t="str">
        <f>IF(AND($B991=[1]rogério!$A992,[1]rogério!$B992=J$4),"ok","nok")</f>
        <v>nok</v>
      </c>
      <c r="K991" s="60" t="str">
        <f>IF(AND($B991=[1]rogério!$A992,[1]rogério!$B992=K$4),"ok","nok")</f>
        <v>nok</v>
      </c>
      <c r="L991" s="60" t="str">
        <f>IF(AND($B991=[1]rogério!$A992,[1]rogério!$B992=L$4),"ok","nok")</f>
        <v>nok</v>
      </c>
      <c r="M991" s="60" t="str">
        <f>IF(AND($B991=[1]rogério!$A992,[1]rogério!$B992=M$4),"ok","nok")</f>
        <v>nok</v>
      </c>
      <c r="N991" s="60" t="str">
        <f>IF(AND($B991=[1]rogério!$A992,[1]rogério!$B992=N$4),"ok","nok")</f>
        <v>ok</v>
      </c>
      <c r="O991" s="60" t="str">
        <f>IF(AND($B991=[1]rogério!$A992,[1]rogério!$B992=O$4),"ok","nok")</f>
        <v>nok</v>
      </c>
      <c r="P991" s="60" t="str">
        <f>IF(AND($B991=[1]rogério!$A992,[1]rogério!$B992=P$4),"ok","nok")</f>
        <v>nok</v>
      </c>
      <c r="Q991" s="60" t="str">
        <f>IF(AND($B991=[1]rogério!$A992,[1]rogério!$B992=Q$4),"ok","nok")</f>
        <v>nok</v>
      </c>
      <c r="R991" s="60" t="str">
        <f>IF(AND($B991=[1]rogério!$A992,[1]rogério!$B992=R$4),"ok","nok")</f>
        <v>nok</v>
      </c>
      <c r="S991" s="60" t="str">
        <f>IF(AND($B991=[1]rogério!$A992,[1]rogério!$B992=S$4),"ok","nok")</f>
        <v>nok</v>
      </c>
      <c r="T991" s="60" t="str">
        <f>IF(AND($B991=[1]rogério!$A992,[1]rogério!$B992=T$4),"ok","nok")</f>
        <v>nok</v>
      </c>
      <c r="U991" s="60" t="str">
        <f>IF(AND($B991=[1]rogério!$A992,[1]rogério!$B992=U$4),"ok","nok")</f>
        <v>nok</v>
      </c>
      <c r="V991" s="60" t="str">
        <f>IF(AND($B991=[1]rogério!$A992,[1]rogério!$B992=V$4),"ok","nok")</f>
        <v>nok</v>
      </c>
      <c r="W991" s="60" t="str">
        <f>IF(AND($B991=[1]rogério!$A992,[1]rogério!$B992=W$4),"ok","nok")</f>
        <v>nok</v>
      </c>
      <c r="X991" s="60" t="str">
        <f>IF(AND($B991=[1]rogério!$A992,[1]rogério!$B992=X$4),"ok","nok")</f>
        <v>nok</v>
      </c>
      <c r="Y991" s="105" t="s">
        <v>15</v>
      </c>
      <c r="Z991" s="106"/>
      <c r="AA991" s="106"/>
      <c r="AB991" s="107"/>
      <c r="AE991" s="48" t="str">
        <f t="shared" si="230"/>
        <v/>
      </c>
      <c r="AF991" s="48"/>
      <c r="AG991" s="48"/>
      <c r="AH991" s="89"/>
      <c r="AI991" s="49">
        <f t="shared" si="231"/>
        <v>0</v>
      </c>
      <c r="AJ991" s="49" t="str">
        <f t="shared" si="232"/>
        <v/>
      </c>
      <c r="AK991" s="49">
        <f t="shared" si="233"/>
        <v>0</v>
      </c>
      <c r="AL991" s="49" t="str">
        <f t="shared" si="234"/>
        <v/>
      </c>
      <c r="AM991" s="49">
        <f t="shared" si="235"/>
        <v>1</v>
      </c>
      <c r="AN991" s="49" t="str">
        <f t="shared" si="236"/>
        <v/>
      </c>
      <c r="AO991" s="49">
        <f t="shared" si="237"/>
        <v>0</v>
      </c>
      <c r="AP991" s="49" t="str">
        <f t="shared" si="238"/>
        <v/>
      </c>
      <c r="AQ991" s="49">
        <f t="shared" si="239"/>
        <v>0</v>
      </c>
      <c r="AR991" s="49" t="str">
        <f t="shared" si="240"/>
        <v/>
      </c>
    </row>
    <row r="992" spans="1:44" ht="30" customHeight="1" x14ac:dyDescent="0.35">
      <c r="A992" s="25" t="str">
        <f t="shared" si="241"/>
        <v>PT178 - ESTRUTURA METÁLICA E FUNDAÇÃO - PLATAFORMAS DE ACESSO LIFT LINE SPIDER - DETALHADO
ETAPA DE ESCRITÓRIOPROJETO DETALHADO
ELÉTRICA</v>
      </c>
      <c r="B992" s="40" t="s">
        <v>43</v>
      </c>
      <c r="C992" s="60" t="str">
        <f>IF(AND($B992=[1]rogério!$A993,[1]rogério!$B993=C$4),"ok","nok")</f>
        <v>nok</v>
      </c>
      <c r="D992" s="60" t="str">
        <f>IF(AND($B992=[1]rogério!$A993,[1]rogério!$B993=D$4),"ok","nok")</f>
        <v>nok</v>
      </c>
      <c r="E992" s="60" t="str">
        <f>IF(AND($B992=[1]rogério!$A993,[1]rogério!$B993=E$4),"ok","nok")</f>
        <v>nok</v>
      </c>
      <c r="F992" s="60" t="str">
        <f>IF(AND($B992=[1]rogério!$A993,[1]rogério!$B993=F$4),"ok","nok")</f>
        <v>nok</v>
      </c>
      <c r="G992" s="60" t="str">
        <f>IF(AND($B992=[1]rogério!$A993,[1]rogério!$B993=G$4),"ok","nok")</f>
        <v>nok</v>
      </c>
      <c r="H992" s="60" t="str">
        <f>IF(AND($B992=[1]rogério!$A993,[1]rogério!$B993=H$4),"ok","nok")</f>
        <v>nok</v>
      </c>
      <c r="I992" s="60" t="str">
        <f>IF(AND($B992=[1]rogério!$A993,[1]rogério!$B993=I$4),"ok","nok")</f>
        <v>nok</v>
      </c>
      <c r="J992" s="60" t="str">
        <f>IF(AND($B992=[1]rogério!$A993,[1]rogério!$B993=J$4),"ok","nok")</f>
        <v>nok</v>
      </c>
      <c r="K992" s="60" t="str">
        <f>IF(AND($B992=[1]rogério!$A993,[1]rogério!$B993=K$4),"ok","nok")</f>
        <v>nok</v>
      </c>
      <c r="L992" s="60" t="str">
        <f>IF(AND($B992=[1]rogério!$A993,[1]rogério!$B993=L$4),"ok","nok")</f>
        <v>nok</v>
      </c>
      <c r="M992" s="60" t="str">
        <f>IF(AND($B992=[1]rogério!$A993,[1]rogério!$B993=M$4),"ok","nok")</f>
        <v>nok</v>
      </c>
      <c r="N992" s="60" t="str">
        <f>IF(AND($B992=[1]rogério!$A993,[1]rogério!$B993=N$4),"ok","nok")</f>
        <v>ok</v>
      </c>
      <c r="O992" s="60" t="str">
        <f>IF(AND($B992=[1]rogério!$A993,[1]rogério!$B993=O$4),"ok","nok")</f>
        <v>nok</v>
      </c>
      <c r="P992" s="60" t="str">
        <f>IF(AND($B992=[1]rogério!$A993,[1]rogério!$B993=P$4),"ok","nok")</f>
        <v>nok</v>
      </c>
      <c r="Q992" s="60" t="str">
        <f>IF(AND($B992=[1]rogério!$A993,[1]rogério!$B993=Q$4),"ok","nok")</f>
        <v>nok</v>
      </c>
      <c r="R992" s="60" t="str">
        <f>IF(AND($B992=[1]rogério!$A993,[1]rogério!$B993=R$4),"ok","nok")</f>
        <v>nok</v>
      </c>
      <c r="S992" s="60" t="str">
        <f>IF(AND($B992=[1]rogério!$A993,[1]rogério!$B993=S$4),"ok","nok")</f>
        <v>nok</v>
      </c>
      <c r="T992" s="60" t="str">
        <f>IF(AND($B992=[1]rogério!$A993,[1]rogério!$B993=T$4),"ok","nok")</f>
        <v>nok</v>
      </c>
      <c r="U992" s="60" t="str">
        <f>IF(AND($B992=[1]rogério!$A993,[1]rogério!$B993=U$4),"ok","nok")</f>
        <v>nok</v>
      </c>
      <c r="V992" s="60" t="str">
        <f>IF(AND($B992=[1]rogério!$A993,[1]rogério!$B993=V$4),"ok","nok")</f>
        <v>nok</v>
      </c>
      <c r="W992" s="60" t="str">
        <f>IF(AND($B992=[1]rogério!$A993,[1]rogério!$B993=W$4),"ok","nok")</f>
        <v>nok</v>
      </c>
      <c r="X992" s="60" t="str">
        <f>IF(AND($B992=[1]rogério!$A993,[1]rogério!$B993=X$4),"ok","nok")</f>
        <v>nok</v>
      </c>
      <c r="Y992" s="105" t="s">
        <v>15</v>
      </c>
      <c r="Z992" s="106"/>
      <c r="AA992" s="106"/>
      <c r="AB992" s="107"/>
      <c r="AE992" s="48" t="str">
        <f t="shared" si="230"/>
        <v/>
      </c>
      <c r="AF992" s="48"/>
      <c r="AG992" s="48"/>
      <c r="AH992" s="89"/>
      <c r="AI992" s="49">
        <f t="shared" si="231"/>
        <v>0</v>
      </c>
      <c r="AJ992" s="49" t="str">
        <f t="shared" si="232"/>
        <v/>
      </c>
      <c r="AK992" s="49">
        <f t="shared" si="233"/>
        <v>0</v>
      </c>
      <c r="AL992" s="49" t="str">
        <f t="shared" si="234"/>
        <v/>
      </c>
      <c r="AM992" s="49">
        <f t="shared" si="235"/>
        <v>1</v>
      </c>
      <c r="AN992" s="49" t="str">
        <f t="shared" si="236"/>
        <v/>
      </c>
      <c r="AO992" s="49">
        <f t="shared" si="237"/>
        <v>0</v>
      </c>
      <c r="AP992" s="49" t="str">
        <f t="shared" si="238"/>
        <v/>
      </c>
      <c r="AQ992" s="49">
        <f t="shared" si="239"/>
        <v>0</v>
      </c>
      <c r="AR992" s="49" t="str">
        <f t="shared" si="240"/>
        <v/>
      </c>
    </row>
  </sheetData>
  <sheetProtection selectLockedCells="1"/>
  <mergeCells count="1068">
    <mergeCell ref="Y979:AB979"/>
    <mergeCell ref="Y980:AB980"/>
    <mergeCell ref="Y982:AB982"/>
    <mergeCell ref="Y983:AB983"/>
    <mergeCell ref="Y984:AB984"/>
    <mergeCell ref="Y986:AB986"/>
    <mergeCell ref="Y734:AB734"/>
    <mergeCell ref="Y735:AB735"/>
    <mergeCell ref="Y772:AB772"/>
    <mergeCell ref="Y810:AB810"/>
    <mergeCell ref="Y816:AB816"/>
    <mergeCell ref="Y817:AB817"/>
    <mergeCell ref="Y847:AB847"/>
    <mergeCell ref="Y883:AB883"/>
    <mergeCell ref="Y968:AB968"/>
    <mergeCell ref="Y970:AB970"/>
    <mergeCell ref="Y971:AB971"/>
    <mergeCell ref="Y972:AB972"/>
    <mergeCell ref="Y973:AB973"/>
    <mergeCell ref="Y974:AB974"/>
    <mergeCell ref="Y975:AB975"/>
    <mergeCell ref="Y977:AB977"/>
    <mergeCell ref="Y978:AB978"/>
    <mergeCell ref="Y958:AB958"/>
    <mergeCell ref="Y959:AB959"/>
    <mergeCell ref="Y960:AB960"/>
    <mergeCell ref="Y961:AB961"/>
    <mergeCell ref="Y963:AB963"/>
    <mergeCell ref="Y964:AB964"/>
    <mergeCell ref="Y965:AB965"/>
    <mergeCell ref="Y966:AB966"/>
    <mergeCell ref="Y967:AB967"/>
    <mergeCell ref="Y851:AB851"/>
    <mergeCell ref="Y946:AB946"/>
    <mergeCell ref="Y948:AB948"/>
    <mergeCell ref="Y950:AB950"/>
    <mergeCell ref="Y951:AB951"/>
    <mergeCell ref="Y952:AB952"/>
    <mergeCell ref="Y953:AB953"/>
    <mergeCell ref="Y954:AB954"/>
    <mergeCell ref="Y956:AB956"/>
    <mergeCell ref="Y957:AB957"/>
    <mergeCell ref="Y918:AB918"/>
    <mergeCell ref="Y919:AB919"/>
    <mergeCell ref="Y920:AB920"/>
    <mergeCell ref="Y921:AB921"/>
    <mergeCell ref="Y922:AB922"/>
    <mergeCell ref="Y924:AB924"/>
    <mergeCell ref="Y925:AB925"/>
    <mergeCell ref="Y926:AB926"/>
    <mergeCell ref="Y927:AB927"/>
    <mergeCell ref="Y939:AB939"/>
    <mergeCell ref="Y940:AB940"/>
    <mergeCell ref="Y941:AB941"/>
    <mergeCell ref="Y942:AB942"/>
    <mergeCell ref="Y943:AB943"/>
    <mergeCell ref="Y945:AB945"/>
    <mergeCell ref="Y723:AB723"/>
    <mergeCell ref="Y867:AB867"/>
    <mergeCell ref="Y868:AB868"/>
    <mergeCell ref="Y874:AB874"/>
    <mergeCell ref="Y875:AB875"/>
    <mergeCell ref="Y879:AB879"/>
    <mergeCell ref="Y880:AB880"/>
    <mergeCell ref="Y893:AB893"/>
    <mergeCell ref="Y894:AB894"/>
    <mergeCell ref="Y895:AB895"/>
    <mergeCell ref="Y822:AB822"/>
    <mergeCell ref="Y828:AB828"/>
    <mergeCell ref="Y829:AB829"/>
    <mergeCell ref="Y835:AB835"/>
    <mergeCell ref="Y836:AB836"/>
    <mergeCell ref="Y842:AB842"/>
    <mergeCell ref="Y843:AB843"/>
    <mergeCell ref="Y846:AB846"/>
    <mergeCell ref="Y848:AB848"/>
    <mergeCell ref="Y869:AB869"/>
    <mergeCell ref="Y876:AB876"/>
    <mergeCell ref="Y881:AB881"/>
    <mergeCell ref="Y884:AB884"/>
    <mergeCell ref="Y892:AB892"/>
    <mergeCell ref="Y888:AB888"/>
    <mergeCell ref="Y865:AB865"/>
    <mergeCell ref="Y866:AB866"/>
    <mergeCell ref="Y856:AB856"/>
    <mergeCell ref="Y857:AB857"/>
    <mergeCell ref="Y858:AB858"/>
    <mergeCell ref="Y859:AB859"/>
    <mergeCell ref="Y850:AB850"/>
    <mergeCell ref="Y914:AB914"/>
    <mergeCell ref="Y722:AB722"/>
    <mergeCell ref="Y721:AB721"/>
    <mergeCell ref="Y720:AB720"/>
    <mergeCell ref="Y717:AB717"/>
    <mergeCell ref="Y718:AB718"/>
    <mergeCell ref="Y724:AB724"/>
    <mergeCell ref="Y725:AB725"/>
    <mergeCell ref="Y746:AB746"/>
    <mergeCell ref="Y747:AB747"/>
    <mergeCell ref="Y771:AB771"/>
    <mergeCell ref="Y761:AB761"/>
    <mergeCell ref="Y762:AB762"/>
    <mergeCell ref="Y763:AB763"/>
    <mergeCell ref="Y764:AB764"/>
    <mergeCell ref="Y756:AB756"/>
    <mergeCell ref="Y757:AB757"/>
    <mergeCell ref="Y752:AB752"/>
    <mergeCell ref="Y751:AB751"/>
    <mergeCell ref="Y753:AB753"/>
    <mergeCell ref="Y754:AB754"/>
    <mergeCell ref="Y758:AB758"/>
    <mergeCell ref="Y759:AB759"/>
    <mergeCell ref="Y765:AB765"/>
    <mergeCell ref="Y731:AB731"/>
    <mergeCell ref="Y760:AB760"/>
    <mergeCell ref="Y767:AB767"/>
    <mergeCell ref="Y768:AB768"/>
    <mergeCell ref="Y769:AB769"/>
    <mergeCell ref="Y770:AB770"/>
    <mergeCell ref="Y766:AB766"/>
    <mergeCell ref="Y727:AB727"/>
    <mergeCell ref="Y955:AB955"/>
    <mergeCell ref="Y852:AB852"/>
    <mergeCell ref="Y853:AB853"/>
    <mergeCell ref="Y854:AB854"/>
    <mergeCell ref="Y860:AB860"/>
    <mergeCell ref="Y861:AB861"/>
    <mergeCell ref="Y797:AB797"/>
    <mergeCell ref="Y798:AB798"/>
    <mergeCell ref="Y802:AB802"/>
    <mergeCell ref="Y803:AB803"/>
    <mergeCell ref="Y806:AB806"/>
    <mergeCell ref="Y989:AB989"/>
    <mergeCell ref="Y990:AB990"/>
    <mergeCell ref="Y991:AB991"/>
    <mergeCell ref="Y992:AB992"/>
    <mergeCell ref="Y885:AB885"/>
    <mergeCell ref="Y886:AB886"/>
    <mergeCell ref="Y887:AB887"/>
    <mergeCell ref="Y882:AB882"/>
    <mergeCell ref="Y877:AB877"/>
    <mergeCell ref="Y878:AB878"/>
    <mergeCell ref="Y896:AB896"/>
    <mergeCell ref="Y898:AB898"/>
    <mergeCell ref="Y899:AB899"/>
    <mergeCell ref="Y900:AB900"/>
    <mergeCell ref="Y901:AB901"/>
    <mergeCell ref="Y902:AB902"/>
    <mergeCell ref="Y903:AB903"/>
    <mergeCell ref="Y905:AB905"/>
    <mergeCell ref="Y906:AB906"/>
    <mergeCell ref="Y907:AB907"/>
    <mergeCell ref="Y908:AB908"/>
    <mergeCell ref="Y825:AB825"/>
    <mergeCell ref="Y915:AB915"/>
    <mergeCell ref="Y916:AB916"/>
    <mergeCell ref="Y981:AB981"/>
    <mergeCell ref="Y985:AB985"/>
    <mergeCell ref="Y988:AB988"/>
    <mergeCell ref="Y933:AB933"/>
    <mergeCell ref="Y934:AB934"/>
    <mergeCell ref="Y935:AB935"/>
    <mergeCell ref="Y936:AB936"/>
    <mergeCell ref="Y938:AB938"/>
    <mergeCell ref="Y732:AB732"/>
    <mergeCell ref="Y889:AB889"/>
    <mergeCell ref="Y910:AB910"/>
    <mergeCell ref="Y733:AB733"/>
    <mergeCell ref="Y815:AB815"/>
    <mergeCell ref="Y891:AB891"/>
    <mergeCell ref="Y912:AB912"/>
    <mergeCell ref="Y947:AB947"/>
    <mergeCell ref="Y987:AB987"/>
    <mergeCell ref="Y911:AB911"/>
    <mergeCell ref="Y890:AB890"/>
    <mergeCell ref="Y870:AB870"/>
    <mergeCell ref="Y871:AB871"/>
    <mergeCell ref="Y872:AB872"/>
    <mergeCell ref="Y873:AB873"/>
    <mergeCell ref="Y863:AB863"/>
    <mergeCell ref="Y923:AB923"/>
    <mergeCell ref="Y930:AB930"/>
    <mergeCell ref="Y937:AB937"/>
    <mergeCell ref="Y944:AB944"/>
    <mergeCell ref="Y949:AB949"/>
    <mergeCell ref="Y790:AB790"/>
    <mergeCell ref="Y962:AB962"/>
    <mergeCell ref="Y969:AB969"/>
    <mergeCell ref="Y976:AB976"/>
    <mergeCell ref="Y928:AB928"/>
    <mergeCell ref="Y929:AB929"/>
    <mergeCell ref="Y931:AB931"/>
    <mergeCell ref="Y932:AB932"/>
    <mergeCell ref="Y897:AB897"/>
    <mergeCell ref="Y904:AB904"/>
    <mergeCell ref="Y809:AB809"/>
    <mergeCell ref="Y913:AB913"/>
    <mergeCell ref="Y917:AB917"/>
    <mergeCell ref="Y811:AB811"/>
    <mergeCell ref="Y818:AB818"/>
    <mergeCell ref="Y823:AB823"/>
    <mergeCell ref="Y830:AB830"/>
    <mergeCell ref="Y837:AB837"/>
    <mergeCell ref="Y844:AB844"/>
    <mergeCell ref="Y849:AB849"/>
    <mergeCell ref="Y855:AB855"/>
    <mergeCell ref="Y862:AB862"/>
    <mergeCell ref="Y845:AB845"/>
    <mergeCell ref="Y838:AB838"/>
    <mergeCell ref="Y839:AB839"/>
    <mergeCell ref="Y840:AB840"/>
    <mergeCell ref="Y841:AB841"/>
    <mergeCell ref="Y831:AB831"/>
    <mergeCell ref="Y832:AB832"/>
    <mergeCell ref="Y833:AB833"/>
    <mergeCell ref="Y834:AB834"/>
    <mergeCell ref="Y824:AB824"/>
    <mergeCell ref="Y728:AB728"/>
    <mergeCell ref="Y826:AB826"/>
    <mergeCell ref="Y827:AB827"/>
    <mergeCell ref="Y819:AB819"/>
    <mergeCell ref="Y820:AB820"/>
    <mergeCell ref="Y821:AB821"/>
    <mergeCell ref="Y812:AB812"/>
    <mergeCell ref="Y813:AB813"/>
    <mergeCell ref="Y814:AB814"/>
    <mergeCell ref="Y909:AB909"/>
    <mergeCell ref="Y864:AB864"/>
    <mergeCell ref="Y773:AB773"/>
    <mergeCell ref="Y778:AB778"/>
    <mergeCell ref="Y785:AB785"/>
    <mergeCell ref="Y792:AB792"/>
    <mergeCell ref="Y799:AB799"/>
    <mergeCell ref="Y804:AB804"/>
    <mergeCell ref="Y808:AB808"/>
    <mergeCell ref="Y786:AB786"/>
    <mergeCell ref="Y787:AB787"/>
    <mergeCell ref="Y788:AB788"/>
    <mergeCell ref="Y789:AB789"/>
    <mergeCell ref="Y779:AB779"/>
    <mergeCell ref="Y780:AB780"/>
    <mergeCell ref="Y781:AB781"/>
    <mergeCell ref="Y782:AB782"/>
    <mergeCell ref="Y774:AB774"/>
    <mergeCell ref="Y775:AB775"/>
    <mergeCell ref="Y776:AB776"/>
    <mergeCell ref="Y777:AB777"/>
    <mergeCell ref="Y783:AB783"/>
    <mergeCell ref="Y784:AB784"/>
    <mergeCell ref="Y691:AB691"/>
    <mergeCell ref="Y791:AB791"/>
    <mergeCell ref="Y805:AB805"/>
    <mergeCell ref="Y800:AB800"/>
    <mergeCell ref="Y801:AB801"/>
    <mergeCell ref="Y793:AB793"/>
    <mergeCell ref="Y794:AB794"/>
    <mergeCell ref="Y795:AB795"/>
    <mergeCell ref="Y796:AB796"/>
    <mergeCell ref="Y807:AB807"/>
    <mergeCell ref="Y333:AB333"/>
    <mergeCell ref="Y378:AB378"/>
    <mergeCell ref="Y385:AB385"/>
    <mergeCell ref="Y689:AB689"/>
    <mergeCell ref="Y719:AB719"/>
    <mergeCell ref="Y726:AB726"/>
    <mergeCell ref="Y736:AB736"/>
    <mergeCell ref="Y741:AB741"/>
    <mergeCell ref="Y748:AB748"/>
    <mergeCell ref="Y755:AB755"/>
    <mergeCell ref="Y750:AB750"/>
    <mergeCell ref="Y749:AB749"/>
    <mergeCell ref="Y745:AB745"/>
    <mergeCell ref="Y744:AB744"/>
    <mergeCell ref="Y743:AB743"/>
    <mergeCell ref="Y742:AB742"/>
    <mergeCell ref="Y740:AB740"/>
    <mergeCell ref="Y739:AB739"/>
    <mergeCell ref="Y738:AB738"/>
    <mergeCell ref="Y737:AB737"/>
    <mergeCell ref="Y730:AB730"/>
    <mergeCell ref="Y729:AB729"/>
    <mergeCell ref="Y379:AB379"/>
    <mergeCell ref="Y712:AB712"/>
    <mergeCell ref="Y713:AB713"/>
    <mergeCell ref="Y714:AB714"/>
    <mergeCell ref="Y715:AB715"/>
    <mergeCell ref="Y716:AB716"/>
    <mergeCell ref="Y694:AB694"/>
    <mergeCell ref="Y695:AB695"/>
    <mergeCell ref="Y414:AB414"/>
    <mergeCell ref="Y426:AB426"/>
    <mergeCell ref="Y417:AB417"/>
    <mergeCell ref="Y418:AB418"/>
    <mergeCell ref="Y419:AB419"/>
    <mergeCell ref="Y420:AB420"/>
    <mergeCell ref="Y421:AB421"/>
    <mergeCell ref="Y422:AB422"/>
    <mergeCell ref="Y423:AB423"/>
    <mergeCell ref="Y424:AB424"/>
    <mergeCell ref="Y425:AB425"/>
    <mergeCell ref="Y697:AB697"/>
    <mergeCell ref="Y682:AB682"/>
    <mergeCell ref="Y683:AB683"/>
    <mergeCell ref="Y684:AB684"/>
    <mergeCell ref="Y707:AB707"/>
    <mergeCell ref="Y708:AB708"/>
    <mergeCell ref="Y709:AB709"/>
    <mergeCell ref="Y710:AB710"/>
    <mergeCell ref="Y711:AB711"/>
    <mergeCell ref="Y686:AB686"/>
    <mergeCell ref="Y687:AB687"/>
    <mergeCell ref="Y688:AB688"/>
    <mergeCell ref="Y690:AB690"/>
    <mergeCell ref="BM6:BP6"/>
    <mergeCell ref="BM7:BO7"/>
    <mergeCell ref="BM8:BO8"/>
    <mergeCell ref="BM9:BO9"/>
    <mergeCell ref="BM11:BP11"/>
    <mergeCell ref="BM12:BO12"/>
    <mergeCell ref="BM13:BO13"/>
    <mergeCell ref="BM14:BO14"/>
    <mergeCell ref="Y411:AB411"/>
    <mergeCell ref="AV25:AX25"/>
    <mergeCell ref="AV28:AX28"/>
    <mergeCell ref="AV27:AX27"/>
    <mergeCell ref="AV26:AX26"/>
    <mergeCell ref="AV19:AX19"/>
    <mergeCell ref="AV22:AX22"/>
    <mergeCell ref="BH11:BK11"/>
    <mergeCell ref="BC6:BF6"/>
    <mergeCell ref="BC7:BE7"/>
    <mergeCell ref="BC8:BE8"/>
    <mergeCell ref="BC9:BE9"/>
    <mergeCell ref="Y328:AB328"/>
    <mergeCell ref="Y329:AB329"/>
    <mergeCell ref="Y330:AB330"/>
    <mergeCell ref="Y331:AB331"/>
    <mergeCell ref="Y375:AB375"/>
    <mergeCell ref="Y391:AB391"/>
    <mergeCell ref="Y400:AB400"/>
    <mergeCell ref="Y401:AB401"/>
    <mergeCell ref="Y402:AB402"/>
    <mergeCell ref="Y403:AB403"/>
    <mergeCell ref="Y404:AB404"/>
    <mergeCell ref="Y405:AB405"/>
    <mergeCell ref="Y692:AB692"/>
    <mergeCell ref="Y693:AB693"/>
    <mergeCell ref="Y698:AB698"/>
    <mergeCell ref="Y699:AB699"/>
    <mergeCell ref="Y700:AB700"/>
    <mergeCell ref="Y701:AB701"/>
    <mergeCell ref="Y702:AB702"/>
    <mergeCell ref="Y703:AB703"/>
    <mergeCell ref="Y704:AB704"/>
    <mergeCell ref="Y705:AB705"/>
    <mergeCell ref="Y706:AB706"/>
    <mergeCell ref="Y696:AB696"/>
    <mergeCell ref="Y662:AB662"/>
    <mergeCell ref="Y663:AB663"/>
    <mergeCell ref="Y664:AB664"/>
    <mergeCell ref="Y665:AB665"/>
    <mergeCell ref="Y666:AB666"/>
    <mergeCell ref="Y685:AB685"/>
    <mergeCell ref="Y667:AB667"/>
    <mergeCell ref="Y668:AB668"/>
    <mergeCell ref="Y669:AB669"/>
    <mergeCell ref="Y670:AB670"/>
    <mergeCell ref="Y671:AB671"/>
    <mergeCell ref="Y672:AB672"/>
    <mergeCell ref="Y673:AB673"/>
    <mergeCell ref="Y674:AB674"/>
    <mergeCell ref="Y675:AB675"/>
    <mergeCell ref="Y676:AB676"/>
    <mergeCell ref="Y677:AB677"/>
    <mergeCell ref="Y678:AB678"/>
    <mergeCell ref="Y679:AB679"/>
    <mergeCell ref="Y680:AB680"/>
    <mergeCell ref="Y681:AB681"/>
    <mergeCell ref="Y645:AB645"/>
    <mergeCell ref="Y646:AB646"/>
    <mergeCell ref="Y647:AB647"/>
    <mergeCell ref="Y648:AB648"/>
    <mergeCell ref="Y649:AB649"/>
    <mergeCell ref="Y650:AB650"/>
    <mergeCell ref="Y651:AB651"/>
    <mergeCell ref="Y652:AB652"/>
    <mergeCell ref="Y653:AB653"/>
    <mergeCell ref="Y654:AB654"/>
    <mergeCell ref="Y655:AB655"/>
    <mergeCell ref="Y656:AB656"/>
    <mergeCell ref="Y657:AB657"/>
    <mergeCell ref="Y659:AB659"/>
    <mergeCell ref="Y660:AB660"/>
    <mergeCell ref="Y658:AB658"/>
    <mergeCell ref="Y661:AB661"/>
    <mergeCell ref="Y636:AB636"/>
    <mergeCell ref="Y637:AB637"/>
    <mergeCell ref="Y638:AB638"/>
    <mergeCell ref="Y618:AB618"/>
    <mergeCell ref="Y619:AB619"/>
    <mergeCell ref="Y620:AB620"/>
    <mergeCell ref="Y621:AB621"/>
    <mergeCell ref="Y622:AB622"/>
    <mergeCell ref="Y623:AB623"/>
    <mergeCell ref="Y624:AB624"/>
    <mergeCell ref="Y625:AB625"/>
    <mergeCell ref="Y626:AB626"/>
    <mergeCell ref="Y643:AB643"/>
    <mergeCell ref="Y644:AB644"/>
    <mergeCell ref="Y641:AB641"/>
    <mergeCell ref="Y642:AB642"/>
    <mergeCell ref="Y640:AB640"/>
    <mergeCell ref="Y600:AB600"/>
    <mergeCell ref="Y609:AB609"/>
    <mergeCell ref="Y610:AB610"/>
    <mergeCell ref="Y611:AB611"/>
    <mergeCell ref="Y601:AB601"/>
    <mergeCell ref="Y602:AB602"/>
    <mergeCell ref="Y603:AB603"/>
    <mergeCell ref="Y604:AB604"/>
    <mergeCell ref="Y605:AB605"/>
    <mergeCell ref="Y606:AB606"/>
    <mergeCell ref="Y607:AB607"/>
    <mergeCell ref="Y608:AB608"/>
    <mergeCell ref="Y596:AB596"/>
    <mergeCell ref="Y597:AB597"/>
    <mergeCell ref="Y598:AB598"/>
    <mergeCell ref="Y599:AB599"/>
    <mergeCell ref="Y639:AB639"/>
    <mergeCell ref="Y627:AB627"/>
    <mergeCell ref="Y628:AB628"/>
    <mergeCell ref="Y629:AB629"/>
    <mergeCell ref="Y630:AB630"/>
    <mergeCell ref="Y631:AB631"/>
    <mergeCell ref="Y632:AB632"/>
    <mergeCell ref="Y633:AB633"/>
    <mergeCell ref="Y634:AB634"/>
    <mergeCell ref="Y635:AB635"/>
    <mergeCell ref="Y612:AB612"/>
    <mergeCell ref="Y613:AB613"/>
    <mergeCell ref="Y614:AB614"/>
    <mergeCell ref="Y615:AB615"/>
    <mergeCell ref="Y616:AB616"/>
    <mergeCell ref="Y617:AB617"/>
    <mergeCell ref="Y71:AB71"/>
    <mergeCell ref="Y73:AB73"/>
    <mergeCell ref="Y74:AB74"/>
    <mergeCell ref="Y585:AB585"/>
    <mergeCell ref="Y586:AB586"/>
    <mergeCell ref="Y587:AB587"/>
    <mergeCell ref="Y588:AB588"/>
    <mergeCell ref="Y589:AB589"/>
    <mergeCell ref="Y590:AB590"/>
    <mergeCell ref="Y591:AB591"/>
    <mergeCell ref="Y592:AB592"/>
    <mergeCell ref="Y575:AB575"/>
    <mergeCell ref="Y593:AB593"/>
    <mergeCell ref="Y594:AB594"/>
    <mergeCell ref="Y595:AB595"/>
    <mergeCell ref="Y582:AB582"/>
    <mergeCell ref="Y583:AB583"/>
    <mergeCell ref="Y584:AB584"/>
    <mergeCell ref="Y415:AB415"/>
    <mergeCell ref="Y416:AB416"/>
    <mergeCell ref="Y581:AB581"/>
    <mergeCell ref="Y574:AB574"/>
    <mergeCell ref="Y578:AB578"/>
    <mergeCell ref="Y579:AB579"/>
    <mergeCell ref="Y580:AB580"/>
    <mergeCell ref="Y445:AB445"/>
    <mergeCell ref="Y446:AB446"/>
    <mergeCell ref="Y447:AB447"/>
    <mergeCell ref="Y448:AB448"/>
    <mergeCell ref="Y440:AB440"/>
    <mergeCell ref="Y441:AB441"/>
    <mergeCell ref="Y442:AB442"/>
    <mergeCell ref="AF4:AF5"/>
    <mergeCell ref="AG4:AG5"/>
    <mergeCell ref="Y20:AB20"/>
    <mergeCell ref="Y21:AB21"/>
    <mergeCell ref="AE4:AE5"/>
    <mergeCell ref="Y25:AB25"/>
    <mergeCell ref="Y17:AB17"/>
    <mergeCell ref="Y18:AB18"/>
    <mergeCell ref="Y19:AB19"/>
    <mergeCell ref="Y15:AB15"/>
    <mergeCell ref="Y16:AB16"/>
    <mergeCell ref="Y11:AB11"/>
    <mergeCell ref="Y12:AB12"/>
    <mergeCell ref="Y10:AB10"/>
    <mergeCell ref="Y13:AB13"/>
    <mergeCell ref="Y6:AB6"/>
    <mergeCell ref="Y7:AB7"/>
    <mergeCell ref="Y8:AB8"/>
    <mergeCell ref="Y9:AB9"/>
    <mergeCell ref="Y23:AB23"/>
    <mergeCell ref="Y24:AB24"/>
    <mergeCell ref="AH4:AH5"/>
    <mergeCell ref="AX6:BA6"/>
    <mergeCell ref="AX7:AZ7"/>
    <mergeCell ref="AX8:AZ8"/>
    <mergeCell ref="BH6:BK6"/>
    <mergeCell ref="BH7:BJ7"/>
    <mergeCell ref="BH8:BJ8"/>
    <mergeCell ref="BH9:BJ9"/>
    <mergeCell ref="AX11:BA11"/>
    <mergeCell ref="BC11:BF11"/>
    <mergeCell ref="AS6:AV6"/>
    <mergeCell ref="AS7:AU7"/>
    <mergeCell ref="AS8:AU8"/>
    <mergeCell ref="AS9:AU9"/>
    <mergeCell ref="AX9:AZ9"/>
    <mergeCell ref="BC13:BE13"/>
    <mergeCell ref="BC14:BE14"/>
    <mergeCell ref="Y554:AB554"/>
    <mergeCell ref="Y555:AB555"/>
    <mergeCell ref="Y556:AB556"/>
    <mergeCell ref="Y557:AB557"/>
    <mergeCell ref="Y576:AB576"/>
    <mergeCell ref="Y577:AB577"/>
    <mergeCell ref="Y314:AB314"/>
    <mergeCell ref="Y315:AB315"/>
    <mergeCell ref="Y316:AB316"/>
    <mergeCell ref="Y317:AB317"/>
    <mergeCell ref="Y44:AB44"/>
    <mergeCell ref="Y55:AB55"/>
    <mergeCell ref="Y66:AB66"/>
    <mergeCell ref="Y83:AB83"/>
    <mergeCell ref="Y132:AB132"/>
    <mergeCell ref="Y300:AB300"/>
    <mergeCell ref="Y303:AB303"/>
    <mergeCell ref="Y309:AB309"/>
    <mergeCell ref="Y310:AB310"/>
    <mergeCell ref="Y334:AB334"/>
    <mergeCell ref="Y335:AB335"/>
    <mergeCell ref="Y336:AB336"/>
    <mergeCell ref="Y337:AB337"/>
    <mergeCell ref="Y311:AB311"/>
    <mergeCell ref="Y312:AB312"/>
    <mergeCell ref="Y313:AB313"/>
    <mergeCell ref="Y304:AB304"/>
    <mergeCell ref="Y305:AB305"/>
    <mergeCell ref="Y306:AB306"/>
    <mergeCell ref="Y307:AB307"/>
    <mergeCell ref="Y308:AB308"/>
    <mergeCell ref="Y80:AB80"/>
    <mergeCell ref="Y78:AB78"/>
    <mergeCell ref="Y79:AB79"/>
    <mergeCell ref="AV18:AY18"/>
    <mergeCell ref="BH12:BJ12"/>
    <mergeCell ref="BH13:BJ13"/>
    <mergeCell ref="BH14:BJ14"/>
    <mergeCell ref="AX12:AZ12"/>
    <mergeCell ref="AX13:AZ13"/>
    <mergeCell ref="AX14:AZ14"/>
    <mergeCell ref="BC12:BE12"/>
    <mergeCell ref="Y14:AB14"/>
    <mergeCell ref="AV24:AX24"/>
    <mergeCell ref="Y29:AB29"/>
    <mergeCell ref="Y30:AB30"/>
    <mergeCell ref="Y22:AB22"/>
    <mergeCell ref="AV23:AX23"/>
    <mergeCell ref="Y40:AB40"/>
    <mergeCell ref="Y27:AB27"/>
    <mergeCell ref="Y28:AB28"/>
    <mergeCell ref="Y39:AB39"/>
    <mergeCell ref="Y47:AB47"/>
    <mergeCell ref="Y57:AB57"/>
    <mergeCell ref="Y61:AB61"/>
    <mergeCell ref="Y68:AB68"/>
    <mergeCell ref="Y72:AB72"/>
    <mergeCell ref="Y77:AB77"/>
    <mergeCell ref="AY30:BA30"/>
    <mergeCell ref="BG21:BI21"/>
    <mergeCell ref="BG22:BI22"/>
    <mergeCell ref="BG23:BI23"/>
    <mergeCell ref="BG24:BI24"/>
    <mergeCell ref="BG25:BI25"/>
    <mergeCell ref="Y294:AB294"/>
    <mergeCell ref="Y295:AB295"/>
    <mergeCell ref="Y296:AB296"/>
    <mergeCell ref="Y32:AB32"/>
    <mergeCell ref="Y33:AB33"/>
    <mergeCell ref="Y34:AB34"/>
    <mergeCell ref="Y35:AB35"/>
    <mergeCell ref="Y36:AB36"/>
    <mergeCell ref="Y37:AB37"/>
    <mergeCell ref="Y38:AB38"/>
    <mergeCell ref="Y26:AB26"/>
    <mergeCell ref="Y254:AB254"/>
    <mergeCell ref="Y204:AB204"/>
    <mergeCell ref="Y131:AB131"/>
    <mergeCell ref="Y82:AB82"/>
    <mergeCell ref="Y81:AB81"/>
    <mergeCell ref="Y65:AB65"/>
    <mergeCell ref="Y54:AB54"/>
    <mergeCell ref="Y173:AB173"/>
    <mergeCell ref="Y175:AB175"/>
    <mergeCell ref="Y76:AB76"/>
    <mergeCell ref="Y88:AB88"/>
    <mergeCell ref="Y89:AB89"/>
    <mergeCell ref="Y91:AB91"/>
    <mergeCell ref="Y92:AB92"/>
    <mergeCell ref="Y93:AB93"/>
    <mergeCell ref="Y95:AB95"/>
    <mergeCell ref="Y96:AB96"/>
    <mergeCell ref="Y84:AB84"/>
    <mergeCell ref="Y97:AB97"/>
    <mergeCell ref="Y75:AB75"/>
    <mergeCell ref="Y31:AB31"/>
    <mergeCell ref="B4:B5"/>
    <mergeCell ref="C4:C5"/>
    <mergeCell ref="D4:D5"/>
    <mergeCell ref="E4:E5"/>
    <mergeCell ref="AC4:AC5"/>
    <mergeCell ref="AD4:AD5"/>
    <mergeCell ref="U4:U5"/>
    <mergeCell ref="V4:V5"/>
    <mergeCell ref="W4:W5"/>
    <mergeCell ref="X4:X5"/>
    <mergeCell ref="F4:F5"/>
    <mergeCell ref="Q4:Q5"/>
    <mergeCell ref="R4:R5"/>
    <mergeCell ref="S4:S5"/>
    <mergeCell ref="T4:T5"/>
    <mergeCell ref="G4:G5"/>
    <mergeCell ref="H4:H5"/>
    <mergeCell ref="I4:I5"/>
    <mergeCell ref="J4:J5"/>
    <mergeCell ref="K4:K5"/>
    <mergeCell ref="L4:L5"/>
    <mergeCell ref="M4:M5"/>
    <mergeCell ref="P4:P5"/>
    <mergeCell ref="Y4:AB5"/>
    <mergeCell ref="N4:N5"/>
    <mergeCell ref="O4:O5"/>
    <mergeCell ref="Y297:AB297"/>
    <mergeCell ref="Y298:AB298"/>
    <mergeCell ref="Y342:AB342"/>
    <mergeCell ref="Y299:AB299"/>
    <mergeCell ref="Y344:AB344"/>
    <mergeCell ref="Y52:AB52"/>
    <mergeCell ref="Y58:AB58"/>
    <mergeCell ref="Y59:AB59"/>
    <mergeCell ref="Y60:AB60"/>
    <mergeCell ref="Y62:AB62"/>
    <mergeCell ref="Y318:AB318"/>
    <mergeCell ref="Y428:AB428"/>
    <mergeCell ref="Y429:AB429"/>
    <mergeCell ref="Y430:AB430"/>
    <mergeCell ref="Y324:AB324"/>
    <mergeCell ref="Y325:AB325"/>
    <mergeCell ref="Y326:AB326"/>
    <mergeCell ref="Y327:AB327"/>
    <mergeCell ref="Y427:AB427"/>
    <mergeCell ref="Y345:AB345"/>
    <mergeCell ref="Y346:AB346"/>
    <mergeCell ref="Y347:AB347"/>
    <mergeCell ref="Y349:AB349"/>
    <mergeCell ref="Y350:AB350"/>
    <mergeCell ref="Y351:AB351"/>
    <mergeCell ref="Y352:AB352"/>
    <mergeCell ref="Y353:AB353"/>
    <mergeCell ref="Y354:AB354"/>
    <mergeCell ref="Y355:AB355"/>
    <mergeCell ref="Y356:AB356"/>
    <mergeCell ref="Y359:AB359"/>
    <mergeCell ref="Y395:AB395"/>
    <mergeCell ref="Y152:AB152"/>
    <mergeCell ref="Y360:AB360"/>
    <mergeCell ref="Y461:AB461"/>
    <mergeCell ref="Y453:AB453"/>
    <mergeCell ref="Y380:AB380"/>
    <mergeCell ref="Y408:AB408"/>
    <mergeCell ref="Y409:AB409"/>
    <mergeCell ref="Y396:AB396"/>
    <mergeCell ref="Y397:AB397"/>
    <mergeCell ref="Y398:AB398"/>
    <mergeCell ref="Y389:AB389"/>
    <mergeCell ref="Y386:AB386"/>
    <mergeCell ref="Y387:AB387"/>
    <mergeCell ref="Y388:AB388"/>
    <mergeCell ref="Y382:AB382"/>
    <mergeCell ref="Y390:AB390"/>
    <mergeCell ref="Y319:AB319"/>
    <mergeCell ref="Y320:AB320"/>
    <mergeCell ref="Y321:AB321"/>
    <mergeCell ref="Y322:AB322"/>
    <mergeCell ref="Y323:AB323"/>
    <mergeCell ref="Y365:AB365"/>
    <mergeCell ref="Y366:AB366"/>
    <mergeCell ref="Y367:AB367"/>
    <mergeCell ref="Y377:AB377"/>
    <mergeCell ref="Y361:AB361"/>
    <mergeCell ref="Y362:AB362"/>
    <mergeCell ref="Y363:AB363"/>
    <mergeCell ref="Y364:AB364"/>
    <mergeCell ref="Y338:AB338"/>
    <mergeCell ref="Y339:AB339"/>
    <mergeCell ref="Y340:AB340"/>
    <mergeCell ref="Y467:AB467"/>
    <mergeCell ref="Y468:AB468"/>
    <mergeCell ref="Y469:AB469"/>
    <mergeCell ref="Y470:AB470"/>
    <mergeCell ref="Y471:AB471"/>
    <mergeCell ref="Y476:AB476"/>
    <mergeCell ref="Y477:AB477"/>
    <mergeCell ref="Y478:AB478"/>
    <mergeCell ref="Y479:AB479"/>
    <mergeCell ref="Y513:AB513"/>
    <mergeCell ref="Y515:AB515"/>
    <mergeCell ref="Y516:AB516"/>
    <mergeCell ref="Y357:AB357"/>
    <mergeCell ref="Y358:AB358"/>
    <mergeCell ref="Y376:AB376"/>
    <mergeCell ref="Y504:AB504"/>
    <mergeCell ref="Y505:AB505"/>
    <mergeCell ref="Y463:AB463"/>
    <mergeCell ref="Y464:AB464"/>
    <mergeCell ref="Y465:AB465"/>
    <mergeCell ref="Y466:AB466"/>
    <mergeCell ref="Y480:AB480"/>
    <mergeCell ref="Y472:AB472"/>
    <mergeCell ref="Y473:AB473"/>
    <mergeCell ref="Y474:AB474"/>
    <mergeCell ref="Y443:AB443"/>
    <mergeCell ref="Y444:AB444"/>
    <mergeCell ref="Y436:AB436"/>
    <mergeCell ref="Y410:AB410"/>
    <mergeCell ref="Y381:AB381"/>
    <mergeCell ref="Y413:AB413"/>
    <mergeCell ref="Y368:AB368"/>
    <mergeCell ref="Y332:AB332"/>
    <mergeCell ref="Y437:AB437"/>
    <mergeCell ref="Y438:AB438"/>
    <mergeCell ref="Y439:AB439"/>
    <mergeCell ref="Y431:AB431"/>
    <mergeCell ref="Y432:AB432"/>
    <mergeCell ref="Y433:AB433"/>
    <mergeCell ref="Y434:AB434"/>
    <mergeCell ref="Y435:AB435"/>
    <mergeCell ref="Y449:AB449"/>
    <mergeCell ref="Y450:AB450"/>
    <mergeCell ref="Y451:AB451"/>
    <mergeCell ref="Y452:AB452"/>
    <mergeCell ref="Y462:AB462"/>
    <mergeCell ref="Y458:AB458"/>
    <mergeCell ref="Y459:AB459"/>
    <mergeCell ref="Y460:AB460"/>
    <mergeCell ref="Y341:AB341"/>
    <mergeCell ref="Y343:AB343"/>
    <mergeCell ref="Y369:AB369"/>
    <mergeCell ref="Y370:AB370"/>
    <mergeCell ref="Y371:AB371"/>
    <mergeCell ref="Y372:AB372"/>
    <mergeCell ref="Y412:AB412"/>
    <mergeCell ref="Y406:AB406"/>
    <mergeCell ref="Y407:AB407"/>
    <mergeCell ref="Y392:AB392"/>
    <mergeCell ref="Y393:AB393"/>
    <mergeCell ref="Y394:AB394"/>
    <mergeCell ref="Y383:AB383"/>
    <mergeCell ref="Y384:AB384"/>
    <mergeCell ref="Y399:AB399"/>
    <mergeCell ref="Y518:AB518"/>
    <mergeCell ref="Y517:AB517"/>
    <mergeCell ref="Y509:AB509"/>
    <mergeCell ref="Y510:AB510"/>
    <mergeCell ref="Y481:AB481"/>
    <mergeCell ref="Y482:AB482"/>
    <mergeCell ref="Y483:AB483"/>
    <mergeCell ref="Y484:AB484"/>
    <mergeCell ref="Y485:AB485"/>
    <mergeCell ref="Y492:AB492"/>
    <mergeCell ref="Y493:AB493"/>
    <mergeCell ref="Y494:AB494"/>
    <mergeCell ref="Y495:AB495"/>
    <mergeCell ref="Y487:AB487"/>
    <mergeCell ref="Y488:AB488"/>
    <mergeCell ref="Y489:AB489"/>
    <mergeCell ref="Y490:AB490"/>
    <mergeCell ref="Y491:AB491"/>
    <mergeCell ref="Y486:AB486"/>
    <mergeCell ref="Y497:AB497"/>
    <mergeCell ref="Y498:AB498"/>
    <mergeCell ref="Y499:AB499"/>
    <mergeCell ref="Y496:AB496"/>
    <mergeCell ref="Y511:AB511"/>
    <mergeCell ref="Y502:AB502"/>
    <mergeCell ref="Y503:AB503"/>
    <mergeCell ref="Y548:AB548"/>
    <mergeCell ref="Y549:AB549"/>
    <mergeCell ref="Y550:AB550"/>
    <mergeCell ref="Y551:AB551"/>
    <mergeCell ref="Y552:AB552"/>
    <mergeCell ref="Y553:AB553"/>
    <mergeCell ref="Y526:AB526"/>
    <mergeCell ref="Y527:AB527"/>
    <mergeCell ref="Y528:AB528"/>
    <mergeCell ref="Y543:AB543"/>
    <mergeCell ref="Y544:AB544"/>
    <mergeCell ref="Y545:AB545"/>
    <mergeCell ref="Y546:AB546"/>
    <mergeCell ref="Y547:AB547"/>
    <mergeCell ref="Y541:AB541"/>
    <mergeCell ref="Y542:AB542"/>
    <mergeCell ref="Y537:AB537"/>
    <mergeCell ref="Y530:AB530"/>
    <mergeCell ref="Y531:AB531"/>
    <mergeCell ref="Y532:AB532"/>
    <mergeCell ref="Y539:AB539"/>
    <mergeCell ref="Y540:AB540"/>
    <mergeCell ref="Y255:AB255"/>
    <mergeCell ref="Y261:AB261"/>
    <mergeCell ref="Y114:AB114"/>
    <mergeCell ref="Y538:AB538"/>
    <mergeCell ref="Y570:AB570"/>
    <mergeCell ref="Y571:AB571"/>
    <mergeCell ref="Y558:AB558"/>
    <mergeCell ref="Y559:AB559"/>
    <mergeCell ref="Y572:AB572"/>
    <mergeCell ref="Y573:AB573"/>
    <mergeCell ref="Y560:AB560"/>
    <mergeCell ref="Y561:AB561"/>
    <mergeCell ref="Y562:AB562"/>
    <mergeCell ref="Y563:AB563"/>
    <mergeCell ref="Y564:AB564"/>
    <mergeCell ref="Y565:AB565"/>
    <mergeCell ref="Y566:AB566"/>
    <mergeCell ref="Y506:AB506"/>
    <mergeCell ref="Y500:AB500"/>
    <mergeCell ref="Y501:AB501"/>
    <mergeCell ref="Y519:AB519"/>
    <mergeCell ref="Y507:AB507"/>
    <mergeCell ref="Y508:AB508"/>
    <mergeCell ref="Y520:AB520"/>
    <mergeCell ref="Y521:AB521"/>
    <mergeCell ref="Y522:AB522"/>
    <mergeCell ref="Y512:AB512"/>
    <mergeCell ref="Y535:AB535"/>
    <mergeCell ref="Y536:AB536"/>
    <mergeCell ref="Y567:AB567"/>
    <mergeCell ref="Y568:AB568"/>
    <mergeCell ref="Y569:AB569"/>
    <mergeCell ref="Y146:AB146"/>
    <mergeCell ref="Y148:AB148"/>
    <mergeCell ref="Y149:AB149"/>
    <mergeCell ref="Y523:AB523"/>
    <mergeCell ref="Y524:AB524"/>
    <mergeCell ref="Y525:AB525"/>
    <mergeCell ref="Y529:AB529"/>
    <mergeCell ref="Y533:AB533"/>
    <mergeCell ref="Y534:AB534"/>
    <mergeCell ref="Y63:AB63"/>
    <mergeCell ref="Y64:AB64"/>
    <mergeCell ref="Y69:AB69"/>
    <mergeCell ref="Y70:AB70"/>
    <mergeCell ref="Y41:AB41"/>
    <mergeCell ref="Y42:AB42"/>
    <mergeCell ref="Y43:AB43"/>
    <mergeCell ref="Y45:AB45"/>
    <mergeCell ref="Y46:AB46"/>
    <mergeCell ref="Y48:AB48"/>
    <mergeCell ref="Y49:AB49"/>
    <mergeCell ref="Y50:AB50"/>
    <mergeCell ref="Y51:AB51"/>
    <mergeCell ref="Y53:AB53"/>
    <mergeCell ref="Y56:AB56"/>
    <mergeCell ref="Y67:AB67"/>
    <mergeCell ref="Y103:AB103"/>
    <mergeCell ref="Y104:AB104"/>
    <mergeCell ref="Y106:AB106"/>
    <mergeCell ref="Y107:AB107"/>
    <mergeCell ref="Y108:AB108"/>
    <mergeCell ref="Y137:AB137"/>
    <mergeCell ref="Y205:AB205"/>
    <mergeCell ref="Y123:AB123"/>
    <mergeCell ref="Y159:AB159"/>
    <mergeCell ref="Y160:AB160"/>
    <mergeCell ref="Y161:AB161"/>
    <mergeCell ref="Y151:AB151"/>
    <mergeCell ref="Y177:AB177"/>
    <mergeCell ref="Y126:AB126"/>
    <mergeCell ref="Y133:AB133"/>
    <mergeCell ref="Y135:AB135"/>
    <mergeCell ref="Y150:AB150"/>
    <mergeCell ref="Y142:AB142"/>
    <mergeCell ref="Y157:AB157"/>
    <mergeCell ref="Y100:AB100"/>
    <mergeCell ref="Y101:AB101"/>
    <mergeCell ref="Y102:AB102"/>
    <mergeCell ref="Y153:AB153"/>
    <mergeCell ref="Y154:AB154"/>
    <mergeCell ref="Y155:AB155"/>
    <mergeCell ref="Y156:AB156"/>
    <mergeCell ref="Y158:AB158"/>
    <mergeCell ref="Y109:AB109"/>
    <mergeCell ref="Y124:AB124"/>
    <mergeCell ref="Y127:AB127"/>
    <mergeCell ref="Y128:AB128"/>
    <mergeCell ref="Y129:AB129"/>
    <mergeCell ref="Y130:AB130"/>
    <mergeCell ref="Y134:AB134"/>
    <mergeCell ref="Y136:AB136"/>
    <mergeCell ref="Y141:AB141"/>
    <mergeCell ref="Y143:AB143"/>
    <mergeCell ref="Y144:AB144"/>
    <mergeCell ref="Y145:AB145"/>
    <mergeCell ref="Y243:AB243"/>
    <mergeCell ref="Y245:AB245"/>
    <mergeCell ref="Y246:AB246"/>
    <mergeCell ref="Y247:AB247"/>
    <mergeCell ref="Y248:AB248"/>
    <mergeCell ref="Y179:AB179"/>
    <mergeCell ref="Y183:AB183"/>
    <mergeCell ref="Y184:AB184"/>
    <mergeCell ref="Y186:AB186"/>
    <mergeCell ref="Y178:AB178"/>
    <mergeCell ref="Y185:AB185"/>
    <mergeCell ref="Y162:AB162"/>
    <mergeCell ref="Y163:AB163"/>
    <mergeCell ref="Y165:AB165"/>
    <mergeCell ref="Y166:AB166"/>
    <mergeCell ref="Y167:AB167"/>
    <mergeCell ref="Y168:AB168"/>
    <mergeCell ref="Y170:AB170"/>
    <mergeCell ref="Y171:AB171"/>
    <mergeCell ref="Y172:AB172"/>
    <mergeCell ref="Y191:AB191"/>
    <mergeCell ref="Y188:AB188"/>
    <mergeCell ref="Y180:AB180"/>
    <mergeCell ref="Y164:AB164"/>
    <mergeCell ref="Y169:AB169"/>
    <mergeCell ref="Y174:AB174"/>
    <mergeCell ref="Y187:AB187"/>
    <mergeCell ref="Y189:AB189"/>
    <mergeCell ref="Y190:AB190"/>
    <mergeCell ref="Y176:AB176"/>
    <mergeCell ref="Y192:AB192"/>
    <mergeCell ref="Y210:AB210"/>
    <mergeCell ref="Y270:AB270"/>
    <mergeCell ref="Y271:AB271"/>
    <mergeCell ref="Y198:AB198"/>
    <mergeCell ref="Y202:AB202"/>
    <mergeCell ref="Y209:AB209"/>
    <mergeCell ref="Y213:AB213"/>
    <mergeCell ref="Y206:AB206"/>
    <mergeCell ref="Y272:AB272"/>
    <mergeCell ref="Y193:AB193"/>
    <mergeCell ref="Y194:AB194"/>
    <mergeCell ref="Y195:AB195"/>
    <mergeCell ref="Y196:AB196"/>
    <mergeCell ref="Y197:AB197"/>
    <mergeCell ref="Y199:AB199"/>
    <mergeCell ref="Y200:AB200"/>
    <mergeCell ref="Y201:AB201"/>
    <mergeCell ref="Y203:AB203"/>
    <mergeCell ref="Y269:AB269"/>
    <mergeCell ref="Y262:AB262"/>
    <mergeCell ref="Y215:AB215"/>
    <mergeCell ref="Y216:AB216"/>
    <mergeCell ref="Y218:AB218"/>
    <mergeCell ref="Y219:AB219"/>
    <mergeCell ref="Y220:AB220"/>
    <mergeCell ref="Y221:AB221"/>
    <mergeCell ref="Y222:AB222"/>
    <mergeCell ref="Y224:AB224"/>
    <mergeCell ref="Y225:AB225"/>
    <mergeCell ref="Y226:AB226"/>
    <mergeCell ref="Y227:AB227"/>
    <mergeCell ref="Y230:AB230"/>
    <mergeCell ref="Y231:AB231"/>
    <mergeCell ref="Y274:AB274"/>
    <mergeCell ref="Y276:AB276"/>
    <mergeCell ref="Y278:AB278"/>
    <mergeCell ref="Y279:AB279"/>
    <mergeCell ref="Y280:AB280"/>
    <mergeCell ref="Y281:AB281"/>
    <mergeCell ref="Y275:AB275"/>
    <mergeCell ref="Y273:AB273"/>
    <mergeCell ref="Y277:AB277"/>
    <mergeCell ref="Y292:AB292"/>
    <mergeCell ref="Y293:AB293"/>
    <mergeCell ref="Y302:AB302"/>
    <mergeCell ref="Y348:AB348"/>
    <mergeCell ref="Y373:AB373"/>
    <mergeCell ref="Y374:AB374"/>
    <mergeCell ref="Y514:AB514"/>
    <mergeCell ref="Y284:AB284"/>
    <mergeCell ref="Y291:AB291"/>
    <mergeCell ref="Y301:AB301"/>
    <mergeCell ref="Y282:AB282"/>
    <mergeCell ref="Y283:AB283"/>
    <mergeCell ref="Y285:AB285"/>
    <mergeCell ref="Y286:AB286"/>
    <mergeCell ref="Y287:AB287"/>
    <mergeCell ref="Y288:AB288"/>
    <mergeCell ref="Y289:AB289"/>
    <mergeCell ref="Y290:AB290"/>
    <mergeCell ref="Y475:AB475"/>
    <mergeCell ref="Y454:AB454"/>
    <mergeCell ref="Y455:AB455"/>
    <mergeCell ref="Y456:AB456"/>
    <mergeCell ref="Y457:AB457"/>
    <mergeCell ref="Y268:AB268"/>
    <mergeCell ref="Y85:AB85"/>
    <mergeCell ref="Y86:AB86"/>
    <mergeCell ref="Y98:AB98"/>
    <mergeCell ref="Y111:AB111"/>
    <mergeCell ref="Y112:AB112"/>
    <mergeCell ref="Y139:AB139"/>
    <mergeCell ref="Y140:AB140"/>
    <mergeCell ref="Y181:AB181"/>
    <mergeCell ref="Y182:AB182"/>
    <mergeCell ref="Y207:AB207"/>
    <mergeCell ref="Y208:AB208"/>
    <mergeCell ref="Y234:AB234"/>
    <mergeCell ref="Y235:AB235"/>
    <mergeCell ref="Y263:AB263"/>
    <mergeCell ref="Y264:AB264"/>
    <mergeCell ref="Y240:AB240"/>
    <mergeCell ref="Y244:AB244"/>
    <mergeCell ref="Y250:AB250"/>
    <mergeCell ref="Y256:AB256"/>
    <mergeCell ref="Y259:AB259"/>
    <mergeCell ref="Y228:AB228"/>
    <mergeCell ref="Y252:AB252"/>
    <mergeCell ref="Y249:AB249"/>
    <mergeCell ref="Y251:AB251"/>
    <mergeCell ref="Y253:AB253"/>
    <mergeCell ref="Y257:AB257"/>
    <mergeCell ref="Y258:AB258"/>
    <mergeCell ref="Y260:AB260"/>
    <mergeCell ref="Y265:AB265"/>
    <mergeCell ref="Y266:AB266"/>
    <mergeCell ref="Y267:AB267"/>
    <mergeCell ref="Y211:AB211"/>
    <mergeCell ref="Y212:AB212"/>
    <mergeCell ref="Y214:AB214"/>
    <mergeCell ref="Y239:AB239"/>
    <mergeCell ref="Y217:AB217"/>
    <mergeCell ref="Y223:AB223"/>
    <mergeCell ref="Y229:AB229"/>
    <mergeCell ref="Y236:AB236"/>
    <mergeCell ref="Y233:AB233"/>
    <mergeCell ref="Y241:AB241"/>
    <mergeCell ref="Y242:AB242"/>
    <mergeCell ref="Y87:AB87"/>
    <mergeCell ref="Y90:AB90"/>
    <mergeCell ref="Y94:AB94"/>
    <mergeCell ref="Y99:AB99"/>
    <mergeCell ref="Y105:AB105"/>
    <mergeCell ref="Y113:AB113"/>
    <mergeCell ref="Y117:AB117"/>
    <mergeCell ref="Y121:AB121"/>
    <mergeCell ref="Y232:AB232"/>
    <mergeCell ref="Y237:AB237"/>
    <mergeCell ref="Y238:AB238"/>
    <mergeCell ref="Y125:AB125"/>
    <mergeCell ref="Y147:AB147"/>
    <mergeCell ref="Y138:AB138"/>
    <mergeCell ref="Y110:AB110"/>
    <mergeCell ref="Y115:AB115"/>
    <mergeCell ref="Y116:AB116"/>
    <mergeCell ref="Y118:AB118"/>
    <mergeCell ref="Y119:AB119"/>
    <mergeCell ref="Y120:AB120"/>
    <mergeCell ref="Y122:AB122"/>
  </mergeCells>
  <phoneticPr fontId="17" type="noConversion"/>
  <conditionalFormatting sqref="AC10:AD10">
    <cfRule type="expression" dxfId="1333" priority="3542">
      <formula>AC10="nok"</formula>
    </cfRule>
    <cfRule type="expression" dxfId="1332" priority="3543">
      <formula>AC10="ok"</formula>
    </cfRule>
  </conditionalFormatting>
  <conditionalFormatting sqref="Y486:AB486 Y193:AB196 Y227:AB228 Y232:AB232 Y239:AB241 Y252:AB254 Y257:AB260 Y272:AB274 Y281:AB283 Y285:AB287 Y289:AB291 Y293:AB295 Y303:AB306 Y310:AB313 Y318:AB320 Y330:AB332 Y351:AB354 Y368:AB368 Y372:AB375 Y386:AB389 Y402:AB402 Y405:AB407 Y428:AB428 Y500:AB503 Y544:AB545 Y532:AB532 Y529:AB530 Y522:AB522 Y515:AB515 Y511:AB512 Y509:AB509 Y221:AB225 Y230:AB230 Y246:AB249 Y298:AB300 Y379:AB382 Y384:AB384 Y335:AB342 Y344:AB349 Y364:AB366 Y393:AB396 Y398:AB400 Y412:AB416 Y418:AB421 Y423:AB426 Y437:AB442 Y448:AB449 Y455:AB456 Y460:AB461 Y490:AB491 Y493:AB498 Y519:AB520 Y525:AB527 Y541:AB541 Y547:AB548 Y554:AB555 Y561:AB562 Y568:AB569 Y576:AB576 Y582:AB583 Y589:AB590 Y596:AB597 Y603:AB604 Y608:AB609 Y613:AB614 Y629:AB630 Y636:AB637 Y643:AB644 Y647:AB647 Y649:AB649 Y655:AB656 Y662:AB663 Y667:AB668 Y695:AB696 Y702:AB703 Y717:AB718 Y724:AB725 Y746:AB747 Y753:AB754 Y758:AB759 Y765:AB766 Y783:AB784 Y790:AB791 Y797:AB798 Y802:AB803 Y806:AB807 Y822:AB822 Y828:AB829 Y835:AB836 Y842:AB843 Y846:AB846 Y848:AB848 Y854:AB854 Y860:AB861 Y867:AB868 Y874:AB875 Y879:AB880 Y893:AB896 Y898:AB903 Y905:AB908 Y914:AB916 Y918:AB922 Y924:AB929 Y931:AB936 Y938:AB943 Y945:AB946 Y948:AB948 Y950:AB954 Y956:AB961 Y963:AB968 Y970:AB975 Y977:AB980 Y982:AB984 Y986:AB986 Y431:AB435 Y10:AB11 Y17:AB18 Y13:AB14 Y21:AB21 Y23:AB23 Y26:AB28 Y30:AB32 Y35:AB37 Y39:AB41 Y48:AB50 Y53:AB53 Y58:AB61 Y63:AB66 Y69:AB71 Y79:AB80 Y74:AB77 Y88:AB91 Y93:AB94 Y96:AB97 Y100:AB106 Y108:AB111 Y115:AB118 Y123:AB125 Y127:AB130 Y132:AB136 Y139:AB145 Y147:AB152 Y154:AB157 Y164:AB168 Y187:AB187 Y190:AB190 Y202:AB203 Y44:AB46">
    <cfRule type="expression" dxfId="1331" priority="3537">
      <formula>Y10="risco"</formula>
    </cfRule>
    <cfRule type="expression" dxfId="1330" priority="3538">
      <formula>Y10="entregue"</formula>
    </cfRule>
    <cfRule type="expression" dxfId="1329" priority="3539">
      <formula>Y10="atrasado"</formula>
    </cfRule>
    <cfRule type="expression" dxfId="1328" priority="3540">
      <formula>Y10="efprazo"</formula>
    </cfRule>
    <cfRule type="expression" dxfId="1327" priority="3541">
      <formula>Y10="vazio"</formula>
    </cfRule>
  </conditionalFormatting>
  <conditionalFormatting sqref="Y208:AB209">
    <cfRule type="expression" dxfId="1326" priority="1784">
      <formula>Y208="risco"</formula>
    </cfRule>
    <cfRule type="expression" dxfId="1325" priority="1785">
      <formula>Y208="entregue"</formula>
    </cfRule>
    <cfRule type="expression" dxfId="1324" priority="1786">
      <formula>Y208="atrasado"</formula>
    </cfRule>
    <cfRule type="expression" dxfId="1323" priority="1787">
      <formula>Y208="efprazo"</formula>
    </cfRule>
    <cfRule type="expression" dxfId="1322" priority="1788">
      <formula>Y208="vazio"</formula>
    </cfRule>
  </conditionalFormatting>
  <conditionalFormatting sqref="Y236:AB236">
    <cfRule type="expression" dxfId="1321" priority="1779">
      <formula>Y236="risco"</formula>
    </cfRule>
    <cfRule type="expression" dxfId="1320" priority="1780">
      <formula>Y236="entregue"</formula>
    </cfRule>
    <cfRule type="expression" dxfId="1319" priority="1781">
      <formula>Y236="atrasado"</formula>
    </cfRule>
    <cfRule type="expression" dxfId="1318" priority="1782">
      <formula>Y236="efprazo"</formula>
    </cfRule>
    <cfRule type="expression" dxfId="1317" priority="1783">
      <formula>Y236="vazio"</formula>
    </cfRule>
  </conditionalFormatting>
  <conditionalFormatting sqref="Y264:AB265">
    <cfRule type="expression" dxfId="1316" priority="1774">
      <formula>Y264="risco"</formula>
    </cfRule>
    <cfRule type="expression" dxfId="1315" priority="1775">
      <formula>Y264="entregue"</formula>
    </cfRule>
    <cfRule type="expression" dxfId="1314" priority="1776">
      <formula>Y264="atrasado"</formula>
    </cfRule>
    <cfRule type="expression" dxfId="1313" priority="1777">
      <formula>Y264="efprazo"</formula>
    </cfRule>
    <cfRule type="expression" dxfId="1312" priority="1778">
      <formula>Y264="vazio"</formula>
    </cfRule>
  </conditionalFormatting>
  <conditionalFormatting sqref="Y269:AB269">
    <cfRule type="expression" dxfId="1311" priority="1769">
      <formula>Y269="risco"</formula>
    </cfRule>
    <cfRule type="expression" dxfId="1310" priority="1770">
      <formula>Y269="entregue"</formula>
    </cfRule>
    <cfRule type="expression" dxfId="1309" priority="1771">
      <formula>Y269="atrasado"</formula>
    </cfRule>
    <cfRule type="expression" dxfId="1308" priority="1772">
      <formula>Y269="efprazo"</formula>
    </cfRule>
    <cfRule type="expression" dxfId="1307" priority="1773">
      <formula>Y269="vazio"</formula>
    </cfRule>
  </conditionalFormatting>
  <conditionalFormatting sqref="Y322:AB324">
    <cfRule type="expression" dxfId="1306" priority="1764">
      <formula>Y322="risco"</formula>
    </cfRule>
    <cfRule type="expression" dxfId="1305" priority="1765">
      <formula>Y322="entregue"</formula>
    </cfRule>
    <cfRule type="expression" dxfId="1304" priority="1766">
      <formula>Y322="atrasado"</formula>
    </cfRule>
    <cfRule type="expression" dxfId="1303" priority="1767">
      <formula>Y322="efprazo"</formula>
    </cfRule>
    <cfRule type="expression" dxfId="1302" priority="1768">
      <formula>Y322="vazio"</formula>
    </cfRule>
  </conditionalFormatting>
  <conditionalFormatting sqref="Y326:AB328">
    <cfRule type="expression" dxfId="1301" priority="1759">
      <formula>Y326="risco"</formula>
    </cfRule>
    <cfRule type="expression" dxfId="1300" priority="1760">
      <formula>Y326="entregue"</formula>
    </cfRule>
    <cfRule type="expression" dxfId="1299" priority="1761">
      <formula>Y326="atrasado"</formula>
    </cfRule>
    <cfRule type="expression" dxfId="1298" priority="1762">
      <formula>Y326="efprazo"</formula>
    </cfRule>
    <cfRule type="expression" dxfId="1297" priority="1763">
      <formula>Y326="vazio"</formula>
    </cfRule>
  </conditionalFormatting>
  <conditionalFormatting sqref="Y361:AB363">
    <cfRule type="expression" dxfId="1296" priority="1754">
      <formula>Y361="risco"</formula>
    </cfRule>
    <cfRule type="expression" dxfId="1295" priority="1755">
      <formula>Y361="entregue"</formula>
    </cfRule>
    <cfRule type="expression" dxfId="1294" priority="1756">
      <formula>Y361="atrasado"</formula>
    </cfRule>
    <cfRule type="expression" dxfId="1293" priority="1757">
      <formula>Y361="efprazo"</formula>
    </cfRule>
    <cfRule type="expression" dxfId="1292" priority="1758">
      <formula>Y361="vazio"</formula>
    </cfRule>
  </conditionalFormatting>
  <conditionalFormatting sqref="Y444:AB447">
    <cfRule type="expression" dxfId="1291" priority="1744">
      <formula>Y444="risco"</formula>
    </cfRule>
    <cfRule type="expression" dxfId="1290" priority="1745">
      <formula>Y444="entregue"</formula>
    </cfRule>
    <cfRule type="expression" dxfId="1289" priority="1746">
      <formula>Y444="atrasado"</formula>
    </cfRule>
    <cfRule type="expression" dxfId="1288" priority="1747">
      <formula>Y444="efprazo"</formula>
    </cfRule>
    <cfRule type="expression" dxfId="1287" priority="1748">
      <formula>Y444="vazio"</formula>
    </cfRule>
  </conditionalFormatting>
  <conditionalFormatting sqref="Y451:AB454">
    <cfRule type="expression" dxfId="1286" priority="1739">
      <formula>Y451="risco"</formula>
    </cfRule>
    <cfRule type="expression" dxfId="1285" priority="1740">
      <formula>Y451="entregue"</formula>
    </cfRule>
    <cfRule type="expression" dxfId="1284" priority="1741">
      <formula>Y451="atrasado"</formula>
    </cfRule>
    <cfRule type="expression" dxfId="1283" priority="1742">
      <formula>Y451="efprazo"</formula>
    </cfRule>
    <cfRule type="expression" dxfId="1282" priority="1743">
      <formula>Y451="vazio"</formula>
    </cfRule>
  </conditionalFormatting>
  <conditionalFormatting sqref="Y458:AB459">
    <cfRule type="expression" dxfId="1281" priority="1734">
      <formula>Y458="risco"</formula>
    </cfRule>
    <cfRule type="expression" dxfId="1280" priority="1735">
      <formula>Y458="entregue"</formula>
    </cfRule>
    <cfRule type="expression" dxfId="1279" priority="1736">
      <formula>Y458="atrasado"</formula>
    </cfRule>
    <cfRule type="expression" dxfId="1278" priority="1737">
      <formula>Y458="efprazo"</formula>
    </cfRule>
    <cfRule type="expression" dxfId="1277" priority="1738">
      <formula>Y458="vazio"</formula>
    </cfRule>
  </conditionalFormatting>
  <conditionalFormatting sqref="Y463:AB463">
    <cfRule type="expression" dxfId="1276" priority="1729">
      <formula>Y463="risco"</formula>
    </cfRule>
    <cfRule type="expression" dxfId="1275" priority="1730">
      <formula>Y463="entregue"</formula>
    </cfRule>
    <cfRule type="expression" dxfId="1274" priority="1731">
      <formula>Y463="atrasado"</formula>
    </cfRule>
    <cfRule type="expression" dxfId="1273" priority="1732">
      <formula>Y463="efprazo"</formula>
    </cfRule>
    <cfRule type="expression" dxfId="1272" priority="1733">
      <formula>Y463="vazio"</formula>
    </cfRule>
  </conditionalFormatting>
  <conditionalFormatting sqref="Y466:AB468">
    <cfRule type="expression" dxfId="1271" priority="1724">
      <formula>Y466="risco"</formula>
    </cfRule>
    <cfRule type="expression" dxfId="1270" priority="1725">
      <formula>Y466="entregue"</formula>
    </cfRule>
    <cfRule type="expression" dxfId="1269" priority="1726">
      <formula>Y466="atrasado"</formula>
    </cfRule>
    <cfRule type="expression" dxfId="1268" priority="1727">
      <formula>Y466="efprazo"</formula>
    </cfRule>
    <cfRule type="expression" dxfId="1267" priority="1728">
      <formula>Y466="vazio"</formula>
    </cfRule>
  </conditionalFormatting>
  <conditionalFormatting sqref="Y475:AB477">
    <cfRule type="expression" dxfId="1266" priority="1719">
      <formula>Y475="risco"</formula>
    </cfRule>
    <cfRule type="expression" dxfId="1265" priority="1720">
      <formula>Y475="entregue"</formula>
    </cfRule>
    <cfRule type="expression" dxfId="1264" priority="1721">
      <formula>Y475="atrasado"</formula>
    </cfRule>
    <cfRule type="expression" dxfId="1263" priority="1722">
      <formula>Y475="efprazo"</formula>
    </cfRule>
    <cfRule type="expression" dxfId="1262" priority="1723">
      <formula>Y475="vazio"</formula>
    </cfRule>
  </conditionalFormatting>
  <conditionalFormatting sqref="Y479:AB480">
    <cfRule type="expression" dxfId="1261" priority="1714">
      <formula>Y479="risco"</formula>
    </cfRule>
    <cfRule type="expression" dxfId="1260" priority="1715">
      <formula>Y479="entregue"</formula>
    </cfRule>
    <cfRule type="expression" dxfId="1259" priority="1716">
      <formula>Y479="atrasado"</formula>
    </cfRule>
    <cfRule type="expression" dxfId="1258" priority="1717">
      <formula>Y479="efprazo"</formula>
    </cfRule>
    <cfRule type="expression" dxfId="1257" priority="1718">
      <formula>Y479="vazio"</formula>
    </cfRule>
  </conditionalFormatting>
  <conditionalFormatting sqref="Y482:AB483">
    <cfRule type="expression" dxfId="1256" priority="1709">
      <formula>Y482="risco"</formula>
    </cfRule>
    <cfRule type="expression" dxfId="1255" priority="1710">
      <formula>Y482="entregue"</formula>
    </cfRule>
    <cfRule type="expression" dxfId="1254" priority="1711">
      <formula>Y482="atrasado"</formula>
    </cfRule>
    <cfRule type="expression" dxfId="1253" priority="1712">
      <formula>Y482="efprazo"</formula>
    </cfRule>
    <cfRule type="expression" dxfId="1252" priority="1713">
      <formula>Y482="vazio"</formula>
    </cfRule>
  </conditionalFormatting>
  <conditionalFormatting sqref="Y487:AB489">
    <cfRule type="expression" dxfId="1251" priority="1704">
      <formula>Y487="risco"</formula>
    </cfRule>
    <cfRule type="expression" dxfId="1250" priority="1705">
      <formula>Y487="entregue"</formula>
    </cfRule>
    <cfRule type="expression" dxfId="1249" priority="1706">
      <formula>Y487="atrasado"</formula>
    </cfRule>
    <cfRule type="expression" dxfId="1248" priority="1707">
      <formula>Y487="efprazo"</formula>
    </cfRule>
    <cfRule type="expression" dxfId="1247" priority="1708">
      <formula>Y487="vazio"</formula>
    </cfRule>
  </conditionalFormatting>
  <conditionalFormatting sqref="Y989:AB992">
    <cfRule type="expression" dxfId="1246" priority="1699">
      <formula>Y989="risco"</formula>
    </cfRule>
    <cfRule type="expression" dxfId="1245" priority="1700">
      <formula>Y989="entregue"</formula>
    </cfRule>
    <cfRule type="expression" dxfId="1244" priority="1701">
      <formula>Y989="atrasado"</formula>
    </cfRule>
    <cfRule type="expression" dxfId="1243" priority="1702">
      <formula>Y989="efprazo"</formula>
    </cfRule>
    <cfRule type="expression" dxfId="1242" priority="1703">
      <formula>Y989="vazio"</formula>
    </cfRule>
  </conditionalFormatting>
  <conditionalFormatting sqref="Y885:AB887">
    <cfRule type="expression" dxfId="1241" priority="1694">
      <formula>Y885="risco"</formula>
    </cfRule>
    <cfRule type="expression" dxfId="1240" priority="1695">
      <formula>Y885="entregue"</formula>
    </cfRule>
    <cfRule type="expression" dxfId="1239" priority="1696">
      <formula>Y885="atrasado"</formula>
    </cfRule>
    <cfRule type="expression" dxfId="1238" priority="1697">
      <formula>Y885="efprazo"</formula>
    </cfRule>
    <cfRule type="expression" dxfId="1237" priority="1698">
      <formula>Y885="vazio"</formula>
    </cfRule>
  </conditionalFormatting>
  <conditionalFormatting sqref="Y882:AB882">
    <cfRule type="expression" dxfId="1236" priority="1689">
      <formula>Y882="risco"</formula>
    </cfRule>
    <cfRule type="expression" dxfId="1235" priority="1690">
      <formula>Y882="entregue"</formula>
    </cfRule>
    <cfRule type="expression" dxfId="1234" priority="1691">
      <formula>Y882="atrasado"</formula>
    </cfRule>
    <cfRule type="expression" dxfId="1233" priority="1692">
      <formula>Y882="efprazo"</formula>
    </cfRule>
    <cfRule type="expression" dxfId="1232" priority="1693">
      <formula>Y882="vazio"</formula>
    </cfRule>
  </conditionalFormatting>
  <conditionalFormatting sqref="Y877:AB878">
    <cfRule type="expression" dxfId="1231" priority="1684">
      <formula>Y877="risco"</formula>
    </cfRule>
    <cfRule type="expression" dxfId="1230" priority="1685">
      <formula>Y877="entregue"</formula>
    </cfRule>
    <cfRule type="expression" dxfId="1229" priority="1686">
      <formula>Y877="atrasado"</formula>
    </cfRule>
    <cfRule type="expression" dxfId="1228" priority="1687">
      <formula>Y877="efprazo"</formula>
    </cfRule>
    <cfRule type="expression" dxfId="1227" priority="1688">
      <formula>Y877="vazio"</formula>
    </cfRule>
  </conditionalFormatting>
  <conditionalFormatting sqref="Y870:AB873">
    <cfRule type="expression" dxfId="1226" priority="1679">
      <formula>Y870="risco"</formula>
    </cfRule>
    <cfRule type="expression" dxfId="1225" priority="1680">
      <formula>Y870="entregue"</formula>
    </cfRule>
    <cfRule type="expression" dxfId="1224" priority="1681">
      <formula>Y870="atrasado"</formula>
    </cfRule>
    <cfRule type="expression" dxfId="1223" priority="1682">
      <formula>Y870="efprazo"</formula>
    </cfRule>
    <cfRule type="expression" dxfId="1222" priority="1683">
      <formula>Y870="vazio"</formula>
    </cfRule>
  </conditionalFormatting>
  <conditionalFormatting sqref="Y863:AB866">
    <cfRule type="expression" dxfId="1221" priority="1674">
      <formula>Y863="risco"</formula>
    </cfRule>
    <cfRule type="expression" dxfId="1220" priority="1675">
      <formula>Y863="entregue"</formula>
    </cfRule>
    <cfRule type="expression" dxfId="1219" priority="1676">
      <formula>Y863="atrasado"</formula>
    </cfRule>
    <cfRule type="expression" dxfId="1218" priority="1677">
      <formula>Y863="efprazo"</formula>
    </cfRule>
    <cfRule type="expression" dxfId="1217" priority="1678">
      <formula>Y863="vazio"</formula>
    </cfRule>
  </conditionalFormatting>
  <conditionalFormatting sqref="Y856:AB859">
    <cfRule type="expression" dxfId="1216" priority="1669">
      <formula>Y856="risco"</formula>
    </cfRule>
    <cfRule type="expression" dxfId="1215" priority="1670">
      <formula>Y856="entregue"</formula>
    </cfRule>
    <cfRule type="expression" dxfId="1214" priority="1671">
      <formula>Y856="atrasado"</formula>
    </cfRule>
    <cfRule type="expression" dxfId="1213" priority="1672">
      <formula>Y856="efprazo"</formula>
    </cfRule>
    <cfRule type="expression" dxfId="1212" priority="1673">
      <formula>Y856="vazio"</formula>
    </cfRule>
  </conditionalFormatting>
  <conditionalFormatting sqref="Y850:AB853">
    <cfRule type="expression" dxfId="1211" priority="1664">
      <formula>Y850="risco"</formula>
    </cfRule>
    <cfRule type="expression" dxfId="1210" priority="1665">
      <formula>Y850="entregue"</formula>
    </cfRule>
    <cfRule type="expression" dxfId="1209" priority="1666">
      <formula>Y850="atrasado"</formula>
    </cfRule>
    <cfRule type="expression" dxfId="1208" priority="1667">
      <formula>Y850="efprazo"</formula>
    </cfRule>
    <cfRule type="expression" dxfId="1207" priority="1668">
      <formula>Y850="vazio"</formula>
    </cfRule>
  </conditionalFormatting>
  <conditionalFormatting sqref="Y845:AB845">
    <cfRule type="expression" dxfId="1206" priority="1659">
      <formula>Y845="risco"</formula>
    </cfRule>
    <cfRule type="expression" dxfId="1205" priority="1660">
      <formula>Y845="entregue"</formula>
    </cfRule>
    <cfRule type="expression" dxfId="1204" priority="1661">
      <formula>Y845="atrasado"</formula>
    </cfRule>
    <cfRule type="expression" dxfId="1203" priority="1662">
      <formula>Y845="efprazo"</formula>
    </cfRule>
    <cfRule type="expression" dxfId="1202" priority="1663">
      <formula>Y845="vazio"</formula>
    </cfRule>
  </conditionalFormatting>
  <conditionalFormatting sqref="Y838:AB841">
    <cfRule type="expression" dxfId="1201" priority="1654">
      <formula>Y838="risco"</formula>
    </cfRule>
    <cfRule type="expression" dxfId="1200" priority="1655">
      <formula>Y838="entregue"</formula>
    </cfRule>
    <cfRule type="expression" dxfId="1199" priority="1656">
      <formula>Y838="atrasado"</formula>
    </cfRule>
    <cfRule type="expression" dxfId="1198" priority="1657">
      <formula>Y838="efprazo"</formula>
    </cfRule>
    <cfRule type="expression" dxfId="1197" priority="1658">
      <formula>Y838="vazio"</formula>
    </cfRule>
  </conditionalFormatting>
  <conditionalFormatting sqref="Y831:AB834">
    <cfRule type="expression" dxfId="1196" priority="1649">
      <formula>Y831="risco"</formula>
    </cfRule>
    <cfRule type="expression" dxfId="1195" priority="1650">
      <formula>Y831="entregue"</formula>
    </cfRule>
    <cfRule type="expression" dxfId="1194" priority="1651">
      <formula>Y831="atrasado"</formula>
    </cfRule>
    <cfRule type="expression" dxfId="1193" priority="1652">
      <formula>Y831="efprazo"</formula>
    </cfRule>
    <cfRule type="expression" dxfId="1192" priority="1653">
      <formula>Y831="vazio"</formula>
    </cfRule>
  </conditionalFormatting>
  <conditionalFormatting sqref="Y824:AB827">
    <cfRule type="expression" dxfId="1191" priority="1644">
      <formula>Y824="risco"</formula>
    </cfRule>
    <cfRule type="expression" dxfId="1190" priority="1645">
      <formula>Y824="entregue"</formula>
    </cfRule>
    <cfRule type="expression" dxfId="1189" priority="1646">
      <formula>Y824="atrasado"</formula>
    </cfRule>
    <cfRule type="expression" dxfId="1188" priority="1647">
      <formula>Y824="efprazo"</formula>
    </cfRule>
    <cfRule type="expression" dxfId="1187" priority="1648">
      <formula>Y824="vazio"</formula>
    </cfRule>
  </conditionalFormatting>
  <conditionalFormatting sqref="Y819:AB821">
    <cfRule type="expression" dxfId="1186" priority="1639">
      <formula>Y819="risco"</formula>
    </cfRule>
    <cfRule type="expression" dxfId="1185" priority="1640">
      <formula>Y819="entregue"</formula>
    </cfRule>
    <cfRule type="expression" dxfId="1184" priority="1641">
      <formula>Y819="atrasado"</formula>
    </cfRule>
    <cfRule type="expression" dxfId="1183" priority="1642">
      <formula>Y819="efprazo"</formula>
    </cfRule>
    <cfRule type="expression" dxfId="1182" priority="1643">
      <formula>Y819="vazio"</formula>
    </cfRule>
  </conditionalFormatting>
  <conditionalFormatting sqref="Y812:AB814">
    <cfRule type="expression" dxfId="1181" priority="1634">
      <formula>Y812="risco"</formula>
    </cfRule>
    <cfRule type="expression" dxfId="1180" priority="1635">
      <formula>Y812="entregue"</formula>
    </cfRule>
    <cfRule type="expression" dxfId="1179" priority="1636">
      <formula>Y812="atrasado"</formula>
    </cfRule>
    <cfRule type="expression" dxfId="1178" priority="1637">
      <formula>Y812="efprazo"</formula>
    </cfRule>
    <cfRule type="expression" dxfId="1177" priority="1638">
      <formula>Y812="vazio"</formula>
    </cfRule>
  </conditionalFormatting>
  <conditionalFormatting sqref="Y809:AB809">
    <cfRule type="expression" dxfId="1176" priority="1629">
      <formula>Y809="risco"</formula>
    </cfRule>
    <cfRule type="expression" dxfId="1175" priority="1630">
      <formula>Y809="entregue"</formula>
    </cfRule>
    <cfRule type="expression" dxfId="1174" priority="1631">
      <formula>Y809="atrasado"</formula>
    </cfRule>
    <cfRule type="expression" dxfId="1173" priority="1632">
      <formula>Y809="efprazo"</formula>
    </cfRule>
    <cfRule type="expression" dxfId="1172" priority="1633">
      <formula>Y809="vazio"</formula>
    </cfRule>
  </conditionalFormatting>
  <conditionalFormatting sqref="Y805:AB805">
    <cfRule type="expression" dxfId="1171" priority="1624">
      <formula>Y805="risco"</formula>
    </cfRule>
    <cfRule type="expression" dxfId="1170" priority="1625">
      <formula>Y805="entregue"</formula>
    </cfRule>
    <cfRule type="expression" dxfId="1169" priority="1626">
      <formula>Y805="atrasado"</formula>
    </cfRule>
    <cfRule type="expression" dxfId="1168" priority="1627">
      <formula>Y805="efprazo"</formula>
    </cfRule>
    <cfRule type="expression" dxfId="1167" priority="1628">
      <formula>Y805="vazio"</formula>
    </cfRule>
  </conditionalFormatting>
  <conditionalFormatting sqref="Y800:AB801">
    <cfRule type="expression" dxfId="1166" priority="1619">
      <formula>Y800="risco"</formula>
    </cfRule>
    <cfRule type="expression" dxfId="1165" priority="1620">
      <formula>Y800="entregue"</formula>
    </cfRule>
    <cfRule type="expression" dxfId="1164" priority="1621">
      <formula>Y800="atrasado"</formula>
    </cfRule>
    <cfRule type="expression" dxfId="1163" priority="1622">
      <formula>Y800="efprazo"</formula>
    </cfRule>
    <cfRule type="expression" dxfId="1162" priority="1623">
      <formula>Y800="vazio"</formula>
    </cfRule>
  </conditionalFormatting>
  <conditionalFormatting sqref="Y793:AB796">
    <cfRule type="expression" dxfId="1161" priority="1614">
      <formula>Y793="risco"</formula>
    </cfRule>
    <cfRule type="expression" dxfId="1160" priority="1615">
      <formula>Y793="entregue"</formula>
    </cfRule>
    <cfRule type="expression" dxfId="1159" priority="1616">
      <formula>Y793="atrasado"</formula>
    </cfRule>
    <cfRule type="expression" dxfId="1158" priority="1617">
      <formula>Y793="efprazo"</formula>
    </cfRule>
    <cfRule type="expression" dxfId="1157" priority="1618">
      <formula>Y793="vazio"</formula>
    </cfRule>
  </conditionalFormatting>
  <conditionalFormatting sqref="Y786:AB789">
    <cfRule type="expression" dxfId="1156" priority="1609">
      <formula>Y786="risco"</formula>
    </cfRule>
    <cfRule type="expression" dxfId="1155" priority="1610">
      <formula>Y786="entregue"</formula>
    </cfRule>
    <cfRule type="expression" dxfId="1154" priority="1611">
      <formula>Y786="atrasado"</formula>
    </cfRule>
    <cfRule type="expression" dxfId="1153" priority="1612">
      <formula>Y786="efprazo"</formula>
    </cfRule>
    <cfRule type="expression" dxfId="1152" priority="1613">
      <formula>Y786="vazio"</formula>
    </cfRule>
  </conditionalFormatting>
  <conditionalFormatting sqref="Y779:AB782">
    <cfRule type="expression" dxfId="1151" priority="1604">
      <formula>Y779="risco"</formula>
    </cfRule>
    <cfRule type="expression" dxfId="1150" priority="1605">
      <formula>Y779="entregue"</formula>
    </cfRule>
    <cfRule type="expression" dxfId="1149" priority="1606">
      <formula>Y779="atrasado"</formula>
    </cfRule>
    <cfRule type="expression" dxfId="1148" priority="1607">
      <formula>Y779="efprazo"</formula>
    </cfRule>
    <cfRule type="expression" dxfId="1147" priority="1608">
      <formula>Y779="vazio"</formula>
    </cfRule>
  </conditionalFormatting>
  <conditionalFormatting sqref="Y774:AB777">
    <cfRule type="expression" dxfId="1146" priority="1599">
      <formula>Y774="risco"</formula>
    </cfRule>
    <cfRule type="expression" dxfId="1145" priority="1600">
      <formula>Y774="entregue"</formula>
    </cfRule>
    <cfRule type="expression" dxfId="1144" priority="1601">
      <formula>Y774="atrasado"</formula>
    </cfRule>
    <cfRule type="expression" dxfId="1143" priority="1602">
      <formula>Y774="efprazo"</formula>
    </cfRule>
    <cfRule type="expression" dxfId="1142" priority="1603">
      <formula>Y774="vazio"</formula>
    </cfRule>
  </conditionalFormatting>
  <conditionalFormatting sqref="Y768:AB771">
    <cfRule type="expression" dxfId="1141" priority="1594">
      <formula>Y768="risco"</formula>
    </cfRule>
    <cfRule type="expression" dxfId="1140" priority="1595">
      <formula>Y768="entregue"</formula>
    </cfRule>
    <cfRule type="expression" dxfId="1139" priority="1596">
      <formula>Y768="atrasado"</formula>
    </cfRule>
    <cfRule type="expression" dxfId="1138" priority="1597">
      <formula>Y768="efprazo"</formula>
    </cfRule>
    <cfRule type="expression" dxfId="1137" priority="1598">
      <formula>Y768="vazio"</formula>
    </cfRule>
  </conditionalFormatting>
  <conditionalFormatting sqref="Y761:AB764">
    <cfRule type="expression" dxfId="1136" priority="1589">
      <formula>Y761="risco"</formula>
    </cfRule>
    <cfRule type="expression" dxfId="1135" priority="1590">
      <formula>Y761="entregue"</formula>
    </cfRule>
    <cfRule type="expression" dxfId="1134" priority="1591">
      <formula>Y761="atrasado"</formula>
    </cfRule>
    <cfRule type="expression" dxfId="1133" priority="1592">
      <formula>Y761="efprazo"</formula>
    </cfRule>
    <cfRule type="expression" dxfId="1132" priority="1593">
      <formula>Y761="vazio"</formula>
    </cfRule>
  </conditionalFormatting>
  <conditionalFormatting sqref="Y756:AB756">
    <cfRule type="expression" dxfId="1131" priority="1584">
      <formula>Y756="risco"</formula>
    </cfRule>
    <cfRule type="expression" dxfId="1130" priority="1585">
      <formula>Y756="entregue"</formula>
    </cfRule>
    <cfRule type="expression" dxfId="1129" priority="1586">
      <formula>Y756="atrasado"</formula>
    </cfRule>
    <cfRule type="expression" dxfId="1128" priority="1587">
      <formula>Y756="efprazo"</formula>
    </cfRule>
    <cfRule type="expression" dxfId="1127" priority="1588">
      <formula>Y756="vazio"</formula>
    </cfRule>
  </conditionalFormatting>
  <conditionalFormatting sqref="Y757:AB757">
    <cfRule type="expression" dxfId="1126" priority="1579">
      <formula>Y757="risco"</formula>
    </cfRule>
    <cfRule type="expression" dxfId="1125" priority="1580">
      <formula>Y757="entregue"</formula>
    </cfRule>
    <cfRule type="expression" dxfId="1124" priority="1581">
      <formula>Y757="atrasado"</formula>
    </cfRule>
    <cfRule type="expression" dxfId="1123" priority="1582">
      <formula>Y757="efprazo"</formula>
    </cfRule>
    <cfRule type="expression" dxfId="1122" priority="1583">
      <formula>Y757="vazio"</formula>
    </cfRule>
  </conditionalFormatting>
  <conditionalFormatting sqref="Y752:AB752">
    <cfRule type="expression" dxfId="1121" priority="1574">
      <formula>Y752="risco"</formula>
    </cfRule>
    <cfRule type="expression" dxfId="1120" priority="1575">
      <formula>Y752="entregue"</formula>
    </cfRule>
    <cfRule type="expression" dxfId="1119" priority="1576">
      <formula>Y752="atrasado"</formula>
    </cfRule>
    <cfRule type="expression" dxfId="1118" priority="1577">
      <formula>Y752="efprazo"</formula>
    </cfRule>
    <cfRule type="expression" dxfId="1117" priority="1578">
      <formula>Y752="vazio"</formula>
    </cfRule>
  </conditionalFormatting>
  <conditionalFormatting sqref="Y751:AB751">
    <cfRule type="expression" dxfId="1116" priority="1569">
      <formula>Y751="risco"</formula>
    </cfRule>
    <cfRule type="expression" dxfId="1115" priority="1570">
      <formula>Y751="entregue"</formula>
    </cfRule>
    <cfRule type="expression" dxfId="1114" priority="1571">
      <formula>Y751="atrasado"</formula>
    </cfRule>
    <cfRule type="expression" dxfId="1113" priority="1572">
      <formula>Y751="efprazo"</formula>
    </cfRule>
    <cfRule type="expression" dxfId="1112" priority="1573">
      <formula>Y751="vazio"</formula>
    </cfRule>
  </conditionalFormatting>
  <conditionalFormatting sqref="Y750:AB750">
    <cfRule type="expression" dxfId="1111" priority="1559">
      <formula>Y750="risco"</formula>
    </cfRule>
    <cfRule type="expression" dxfId="1110" priority="1560">
      <formula>Y750="entregue"</formula>
    </cfRule>
    <cfRule type="expression" dxfId="1109" priority="1561">
      <formula>Y750="atrasado"</formula>
    </cfRule>
    <cfRule type="expression" dxfId="1108" priority="1562">
      <formula>Y750="efprazo"</formula>
    </cfRule>
    <cfRule type="expression" dxfId="1107" priority="1563">
      <formula>Y750="vazio"</formula>
    </cfRule>
  </conditionalFormatting>
  <conditionalFormatting sqref="Y749:AB749">
    <cfRule type="expression" dxfId="1106" priority="1554">
      <formula>Y749="risco"</formula>
    </cfRule>
    <cfRule type="expression" dxfId="1105" priority="1555">
      <formula>Y749="entregue"</formula>
    </cfRule>
    <cfRule type="expression" dxfId="1104" priority="1556">
      <formula>Y749="atrasado"</formula>
    </cfRule>
    <cfRule type="expression" dxfId="1103" priority="1557">
      <formula>Y749="efprazo"</formula>
    </cfRule>
    <cfRule type="expression" dxfId="1102" priority="1558">
      <formula>Y749="vazio"</formula>
    </cfRule>
  </conditionalFormatting>
  <conditionalFormatting sqref="Y745:AB745">
    <cfRule type="expression" dxfId="1101" priority="1549">
      <formula>Y745="risco"</formula>
    </cfRule>
    <cfRule type="expression" dxfId="1100" priority="1550">
      <formula>Y745="entregue"</formula>
    </cfRule>
    <cfRule type="expression" dxfId="1099" priority="1551">
      <formula>Y745="atrasado"</formula>
    </cfRule>
    <cfRule type="expression" dxfId="1098" priority="1552">
      <formula>Y745="efprazo"</formula>
    </cfRule>
    <cfRule type="expression" dxfId="1097" priority="1553">
      <formula>Y745="vazio"</formula>
    </cfRule>
  </conditionalFormatting>
  <conditionalFormatting sqref="Y744:AB744">
    <cfRule type="expression" dxfId="1096" priority="1539">
      <formula>Y744="risco"</formula>
    </cfRule>
    <cfRule type="expression" dxfId="1095" priority="1540">
      <formula>Y744="entregue"</formula>
    </cfRule>
    <cfRule type="expression" dxfId="1094" priority="1541">
      <formula>Y744="atrasado"</formula>
    </cfRule>
    <cfRule type="expression" dxfId="1093" priority="1542">
      <formula>Y744="efprazo"</formula>
    </cfRule>
    <cfRule type="expression" dxfId="1092" priority="1543">
      <formula>Y744="vazio"</formula>
    </cfRule>
  </conditionalFormatting>
  <conditionalFormatting sqref="Y743:AB743">
    <cfRule type="expression" dxfId="1091" priority="1534">
      <formula>Y743="risco"</formula>
    </cfRule>
    <cfRule type="expression" dxfId="1090" priority="1535">
      <formula>Y743="entregue"</formula>
    </cfRule>
    <cfRule type="expression" dxfId="1089" priority="1536">
      <formula>Y743="atrasado"</formula>
    </cfRule>
    <cfRule type="expression" dxfId="1088" priority="1537">
      <formula>Y743="efprazo"</formula>
    </cfRule>
    <cfRule type="expression" dxfId="1087" priority="1538">
      <formula>Y743="vazio"</formula>
    </cfRule>
  </conditionalFormatting>
  <conditionalFormatting sqref="Y742:AB742">
    <cfRule type="expression" dxfId="1086" priority="1529">
      <formula>Y742="risco"</formula>
    </cfRule>
    <cfRule type="expression" dxfId="1085" priority="1530">
      <formula>Y742="entregue"</formula>
    </cfRule>
    <cfRule type="expression" dxfId="1084" priority="1531">
      <formula>Y742="atrasado"</formula>
    </cfRule>
    <cfRule type="expression" dxfId="1083" priority="1532">
      <formula>Y742="efprazo"</formula>
    </cfRule>
    <cfRule type="expression" dxfId="1082" priority="1533">
      <formula>Y742="vazio"</formula>
    </cfRule>
  </conditionalFormatting>
  <conditionalFormatting sqref="Y740:AB740">
    <cfRule type="expression" dxfId="1081" priority="1524">
      <formula>Y740="risco"</formula>
    </cfRule>
    <cfRule type="expression" dxfId="1080" priority="1525">
      <formula>Y740="entregue"</formula>
    </cfRule>
    <cfRule type="expression" dxfId="1079" priority="1526">
      <formula>Y740="atrasado"</formula>
    </cfRule>
    <cfRule type="expression" dxfId="1078" priority="1527">
      <formula>Y740="efprazo"</formula>
    </cfRule>
    <cfRule type="expression" dxfId="1077" priority="1528">
      <formula>Y740="vazio"</formula>
    </cfRule>
  </conditionalFormatting>
  <conditionalFormatting sqref="Y739:AB739">
    <cfRule type="expression" dxfId="1076" priority="1519">
      <formula>Y739="risco"</formula>
    </cfRule>
    <cfRule type="expression" dxfId="1075" priority="1520">
      <formula>Y739="entregue"</formula>
    </cfRule>
    <cfRule type="expression" dxfId="1074" priority="1521">
      <formula>Y739="atrasado"</formula>
    </cfRule>
    <cfRule type="expression" dxfId="1073" priority="1522">
      <formula>Y739="efprazo"</formula>
    </cfRule>
    <cfRule type="expression" dxfId="1072" priority="1523">
      <formula>Y739="vazio"</formula>
    </cfRule>
  </conditionalFormatting>
  <conditionalFormatting sqref="Y738:AB738">
    <cfRule type="expression" dxfId="1071" priority="1514">
      <formula>Y738="risco"</formula>
    </cfRule>
    <cfRule type="expression" dxfId="1070" priority="1515">
      <formula>Y738="entregue"</formula>
    </cfRule>
    <cfRule type="expression" dxfId="1069" priority="1516">
      <formula>Y738="atrasado"</formula>
    </cfRule>
    <cfRule type="expression" dxfId="1068" priority="1517">
      <formula>Y738="efprazo"</formula>
    </cfRule>
    <cfRule type="expression" dxfId="1067" priority="1518">
      <formula>Y738="vazio"</formula>
    </cfRule>
  </conditionalFormatting>
  <conditionalFormatting sqref="Y737:AB737">
    <cfRule type="expression" dxfId="1066" priority="1509">
      <formula>Y737="risco"</formula>
    </cfRule>
    <cfRule type="expression" dxfId="1065" priority="1510">
      <formula>Y737="entregue"</formula>
    </cfRule>
    <cfRule type="expression" dxfId="1064" priority="1511">
      <formula>Y737="atrasado"</formula>
    </cfRule>
    <cfRule type="expression" dxfId="1063" priority="1512">
      <formula>Y737="efprazo"</formula>
    </cfRule>
    <cfRule type="expression" dxfId="1062" priority="1513">
      <formula>Y737="vazio"</formula>
    </cfRule>
  </conditionalFormatting>
  <conditionalFormatting sqref="Y730:AB730">
    <cfRule type="expression" dxfId="1061" priority="1504">
      <formula>Y730="risco"</formula>
    </cfRule>
    <cfRule type="expression" dxfId="1060" priority="1505">
      <formula>Y730="entregue"</formula>
    </cfRule>
    <cfRule type="expression" dxfId="1059" priority="1506">
      <formula>Y730="atrasado"</formula>
    </cfRule>
    <cfRule type="expression" dxfId="1058" priority="1507">
      <formula>Y730="efprazo"</formula>
    </cfRule>
    <cfRule type="expression" dxfId="1057" priority="1508">
      <formula>Y730="vazio"</formula>
    </cfRule>
  </conditionalFormatting>
  <conditionalFormatting sqref="Y729:AB729">
    <cfRule type="expression" dxfId="1056" priority="1499">
      <formula>Y729="risco"</formula>
    </cfRule>
    <cfRule type="expression" dxfId="1055" priority="1500">
      <formula>Y729="entregue"</formula>
    </cfRule>
    <cfRule type="expression" dxfId="1054" priority="1501">
      <formula>Y729="atrasado"</formula>
    </cfRule>
    <cfRule type="expression" dxfId="1053" priority="1502">
      <formula>Y729="efprazo"</formula>
    </cfRule>
    <cfRule type="expression" dxfId="1052" priority="1503">
      <formula>Y729="vazio"</formula>
    </cfRule>
  </conditionalFormatting>
  <conditionalFormatting sqref="Y728:AB728">
    <cfRule type="expression" dxfId="1051" priority="1494">
      <formula>Y728="risco"</formula>
    </cfRule>
    <cfRule type="expression" dxfId="1050" priority="1495">
      <formula>Y728="entregue"</formula>
    </cfRule>
    <cfRule type="expression" dxfId="1049" priority="1496">
      <formula>Y728="atrasado"</formula>
    </cfRule>
    <cfRule type="expression" dxfId="1048" priority="1497">
      <formula>Y728="efprazo"</formula>
    </cfRule>
    <cfRule type="expression" dxfId="1047" priority="1498">
      <formula>Y728="vazio"</formula>
    </cfRule>
  </conditionalFormatting>
  <conditionalFormatting sqref="Y727:AB727">
    <cfRule type="expression" dxfId="1046" priority="1489">
      <formula>Y727="risco"</formula>
    </cfRule>
    <cfRule type="expression" dxfId="1045" priority="1490">
      <formula>Y727="entregue"</formula>
    </cfRule>
    <cfRule type="expression" dxfId="1044" priority="1491">
      <formula>Y727="atrasado"</formula>
    </cfRule>
    <cfRule type="expression" dxfId="1043" priority="1492">
      <formula>Y727="efprazo"</formula>
    </cfRule>
    <cfRule type="expression" dxfId="1042" priority="1493">
      <formula>Y727="vazio"</formula>
    </cfRule>
  </conditionalFormatting>
  <conditionalFormatting sqref="Y723:AB723">
    <cfRule type="expression" dxfId="1041" priority="1484">
      <formula>Y723="risco"</formula>
    </cfRule>
    <cfRule type="expression" dxfId="1040" priority="1485">
      <formula>Y723="entregue"</formula>
    </cfRule>
    <cfRule type="expression" dxfId="1039" priority="1486">
      <formula>Y723="atrasado"</formula>
    </cfRule>
    <cfRule type="expression" dxfId="1038" priority="1487">
      <formula>Y723="efprazo"</formula>
    </cfRule>
    <cfRule type="expression" dxfId="1037" priority="1488">
      <formula>Y723="vazio"</formula>
    </cfRule>
  </conditionalFormatting>
  <conditionalFormatting sqref="Y722:AB722">
    <cfRule type="expression" dxfId="1036" priority="1479">
      <formula>Y722="risco"</formula>
    </cfRule>
    <cfRule type="expression" dxfId="1035" priority="1480">
      <formula>Y722="entregue"</formula>
    </cfRule>
    <cfRule type="expression" dxfId="1034" priority="1481">
      <formula>Y722="atrasado"</formula>
    </cfRule>
    <cfRule type="expression" dxfId="1033" priority="1482">
      <formula>Y722="efprazo"</formula>
    </cfRule>
    <cfRule type="expression" dxfId="1032" priority="1483">
      <formula>Y722="vazio"</formula>
    </cfRule>
  </conditionalFormatting>
  <conditionalFormatting sqref="Y721:AB721">
    <cfRule type="expression" dxfId="1031" priority="1474">
      <formula>Y721="risco"</formula>
    </cfRule>
    <cfRule type="expression" dxfId="1030" priority="1475">
      <formula>Y721="entregue"</formula>
    </cfRule>
    <cfRule type="expression" dxfId="1029" priority="1476">
      <formula>Y721="atrasado"</formula>
    </cfRule>
    <cfRule type="expression" dxfId="1028" priority="1477">
      <formula>Y721="efprazo"</formula>
    </cfRule>
    <cfRule type="expression" dxfId="1027" priority="1478">
      <formula>Y721="vazio"</formula>
    </cfRule>
  </conditionalFormatting>
  <conditionalFormatting sqref="Y720:AB720">
    <cfRule type="expression" dxfId="1026" priority="1469">
      <formula>Y720="risco"</formula>
    </cfRule>
    <cfRule type="expression" dxfId="1025" priority="1470">
      <formula>Y720="entregue"</formula>
    </cfRule>
    <cfRule type="expression" dxfId="1024" priority="1471">
      <formula>Y720="atrasado"</formula>
    </cfRule>
    <cfRule type="expression" dxfId="1023" priority="1472">
      <formula>Y720="efprazo"</formula>
    </cfRule>
    <cfRule type="expression" dxfId="1022" priority="1473">
      <formula>Y720="vazio"</formula>
    </cfRule>
  </conditionalFormatting>
  <conditionalFormatting sqref="Y716:AB716">
    <cfRule type="expression" dxfId="1021" priority="1464">
      <formula>Y716="risco"</formula>
    </cfRule>
    <cfRule type="expression" dxfId="1020" priority="1465">
      <formula>Y716="entregue"</formula>
    </cfRule>
    <cfRule type="expression" dxfId="1019" priority="1466">
      <formula>Y716="atrasado"</formula>
    </cfRule>
    <cfRule type="expression" dxfId="1018" priority="1467">
      <formula>Y716="efprazo"</formula>
    </cfRule>
    <cfRule type="expression" dxfId="1017" priority="1468">
      <formula>Y716="vazio"</formula>
    </cfRule>
  </conditionalFormatting>
  <conditionalFormatting sqref="Y715:AB715">
    <cfRule type="expression" dxfId="1016" priority="1459">
      <formula>Y715="risco"</formula>
    </cfRule>
    <cfRule type="expression" dxfId="1015" priority="1460">
      <formula>Y715="entregue"</formula>
    </cfRule>
    <cfRule type="expression" dxfId="1014" priority="1461">
      <formula>Y715="atrasado"</formula>
    </cfRule>
    <cfRule type="expression" dxfId="1013" priority="1462">
      <formula>Y715="efprazo"</formula>
    </cfRule>
    <cfRule type="expression" dxfId="1012" priority="1463">
      <formula>Y715="vazio"</formula>
    </cfRule>
  </conditionalFormatting>
  <conditionalFormatting sqref="Y714:AB714">
    <cfRule type="expression" dxfId="1011" priority="1454">
      <formula>Y714="risco"</formula>
    </cfRule>
    <cfRule type="expression" dxfId="1010" priority="1455">
      <formula>Y714="entregue"</formula>
    </cfRule>
    <cfRule type="expression" dxfId="1009" priority="1456">
      <formula>Y714="atrasado"</formula>
    </cfRule>
    <cfRule type="expression" dxfId="1008" priority="1457">
      <formula>Y714="efprazo"</formula>
    </cfRule>
    <cfRule type="expression" dxfId="1007" priority="1458">
      <formula>Y714="vazio"</formula>
    </cfRule>
  </conditionalFormatting>
  <conditionalFormatting sqref="Y713:AB713">
    <cfRule type="expression" dxfId="1006" priority="1449">
      <formula>Y713="risco"</formula>
    </cfRule>
    <cfRule type="expression" dxfId="1005" priority="1450">
      <formula>Y713="entregue"</formula>
    </cfRule>
    <cfRule type="expression" dxfId="1004" priority="1451">
      <formula>Y713="atrasado"</formula>
    </cfRule>
    <cfRule type="expression" dxfId="1003" priority="1452">
      <formula>Y713="efprazo"</formula>
    </cfRule>
    <cfRule type="expression" dxfId="1002" priority="1453">
      <formula>Y713="vazio"</formula>
    </cfRule>
  </conditionalFormatting>
  <conditionalFormatting sqref="Y708:AB708">
    <cfRule type="expression" dxfId="1001" priority="1444">
      <formula>Y708="risco"</formula>
    </cfRule>
    <cfRule type="expression" dxfId="1000" priority="1445">
      <formula>Y708="entregue"</formula>
    </cfRule>
    <cfRule type="expression" dxfId="999" priority="1446">
      <formula>Y708="atrasado"</formula>
    </cfRule>
    <cfRule type="expression" dxfId="998" priority="1447">
      <formula>Y708="efprazo"</formula>
    </cfRule>
    <cfRule type="expression" dxfId="997" priority="1448">
      <formula>Y708="vazio"</formula>
    </cfRule>
  </conditionalFormatting>
  <conditionalFormatting sqref="Y707:AB707">
    <cfRule type="expression" dxfId="996" priority="1439">
      <formula>Y707="risco"</formula>
    </cfRule>
    <cfRule type="expression" dxfId="995" priority="1440">
      <formula>Y707="entregue"</formula>
    </cfRule>
    <cfRule type="expression" dxfId="994" priority="1441">
      <formula>Y707="atrasado"</formula>
    </cfRule>
    <cfRule type="expression" dxfId="993" priority="1442">
      <formula>Y707="efprazo"</formula>
    </cfRule>
    <cfRule type="expression" dxfId="992" priority="1443">
      <formula>Y707="vazio"</formula>
    </cfRule>
  </conditionalFormatting>
  <conditionalFormatting sqref="Y706:AB706">
    <cfRule type="expression" dxfId="991" priority="1434">
      <formula>Y706="risco"</formula>
    </cfRule>
    <cfRule type="expression" dxfId="990" priority="1435">
      <formula>Y706="entregue"</formula>
    </cfRule>
    <cfRule type="expression" dxfId="989" priority="1436">
      <formula>Y706="atrasado"</formula>
    </cfRule>
    <cfRule type="expression" dxfId="988" priority="1437">
      <formula>Y706="efprazo"</formula>
    </cfRule>
    <cfRule type="expression" dxfId="987" priority="1438">
      <formula>Y706="vazio"</formula>
    </cfRule>
  </conditionalFormatting>
  <conditionalFormatting sqref="Y705:AB705">
    <cfRule type="expression" dxfId="986" priority="1429">
      <formula>Y705="risco"</formula>
    </cfRule>
    <cfRule type="expression" dxfId="985" priority="1430">
      <formula>Y705="entregue"</formula>
    </cfRule>
    <cfRule type="expression" dxfId="984" priority="1431">
      <formula>Y705="atrasado"</formula>
    </cfRule>
    <cfRule type="expression" dxfId="983" priority="1432">
      <formula>Y705="efprazo"</formula>
    </cfRule>
    <cfRule type="expression" dxfId="982" priority="1433">
      <formula>Y705="vazio"</formula>
    </cfRule>
  </conditionalFormatting>
  <conditionalFormatting sqref="Y701:AB701">
    <cfRule type="expression" dxfId="981" priority="1424">
      <formula>Y701="risco"</formula>
    </cfRule>
    <cfRule type="expression" dxfId="980" priority="1425">
      <formula>Y701="entregue"</formula>
    </cfRule>
    <cfRule type="expression" dxfId="979" priority="1426">
      <formula>Y701="atrasado"</formula>
    </cfRule>
    <cfRule type="expression" dxfId="978" priority="1427">
      <formula>Y701="efprazo"</formula>
    </cfRule>
    <cfRule type="expression" dxfId="977" priority="1428">
      <formula>Y701="vazio"</formula>
    </cfRule>
  </conditionalFormatting>
  <conditionalFormatting sqref="Y700:AB700">
    <cfRule type="expression" dxfId="976" priority="1419">
      <formula>Y700="risco"</formula>
    </cfRule>
    <cfRule type="expression" dxfId="975" priority="1420">
      <formula>Y700="entregue"</formula>
    </cfRule>
    <cfRule type="expression" dxfId="974" priority="1421">
      <formula>Y700="atrasado"</formula>
    </cfRule>
    <cfRule type="expression" dxfId="973" priority="1422">
      <formula>Y700="efprazo"</formula>
    </cfRule>
    <cfRule type="expression" dxfId="972" priority="1423">
      <formula>Y700="vazio"</formula>
    </cfRule>
  </conditionalFormatting>
  <conditionalFormatting sqref="Y699:AB699">
    <cfRule type="expression" dxfId="971" priority="1414">
      <formula>Y699="risco"</formula>
    </cfRule>
    <cfRule type="expression" dxfId="970" priority="1415">
      <formula>Y699="entregue"</formula>
    </cfRule>
    <cfRule type="expression" dxfId="969" priority="1416">
      <formula>Y699="atrasado"</formula>
    </cfRule>
    <cfRule type="expression" dxfId="968" priority="1417">
      <formula>Y699="efprazo"</formula>
    </cfRule>
    <cfRule type="expression" dxfId="967" priority="1418">
      <formula>Y699="vazio"</formula>
    </cfRule>
  </conditionalFormatting>
  <conditionalFormatting sqref="Y698:AB698">
    <cfRule type="expression" dxfId="966" priority="1409">
      <formula>Y698="risco"</formula>
    </cfRule>
    <cfRule type="expression" dxfId="965" priority="1410">
      <formula>Y698="entregue"</formula>
    </cfRule>
    <cfRule type="expression" dxfId="964" priority="1411">
      <formula>Y698="atrasado"</formula>
    </cfRule>
    <cfRule type="expression" dxfId="963" priority="1412">
      <formula>Y698="efprazo"</formula>
    </cfRule>
    <cfRule type="expression" dxfId="962" priority="1413">
      <formula>Y698="vazio"</formula>
    </cfRule>
  </conditionalFormatting>
  <conditionalFormatting sqref="Y694:AB694">
    <cfRule type="expression" dxfId="961" priority="1404">
      <formula>Y694="risco"</formula>
    </cfRule>
    <cfRule type="expression" dxfId="960" priority="1405">
      <formula>Y694="entregue"</formula>
    </cfRule>
    <cfRule type="expression" dxfId="959" priority="1406">
      <formula>Y694="atrasado"</formula>
    </cfRule>
    <cfRule type="expression" dxfId="958" priority="1407">
      <formula>Y694="efprazo"</formula>
    </cfRule>
    <cfRule type="expression" dxfId="957" priority="1408">
      <formula>Y694="vazio"</formula>
    </cfRule>
  </conditionalFormatting>
  <conditionalFormatting sqref="Y693:AB693">
    <cfRule type="expression" dxfId="956" priority="1399">
      <formula>Y693="risco"</formula>
    </cfRule>
    <cfRule type="expression" dxfId="955" priority="1400">
      <formula>Y693="entregue"</formula>
    </cfRule>
    <cfRule type="expression" dxfId="954" priority="1401">
      <formula>Y693="atrasado"</formula>
    </cfRule>
    <cfRule type="expression" dxfId="953" priority="1402">
      <formula>Y693="efprazo"</formula>
    </cfRule>
    <cfRule type="expression" dxfId="952" priority="1403">
      <formula>Y693="vazio"</formula>
    </cfRule>
  </conditionalFormatting>
  <conditionalFormatting sqref="Y692:AB692">
    <cfRule type="expression" dxfId="951" priority="1394">
      <formula>Y692="risco"</formula>
    </cfRule>
    <cfRule type="expression" dxfId="950" priority="1395">
      <formula>Y692="entregue"</formula>
    </cfRule>
    <cfRule type="expression" dxfId="949" priority="1396">
      <formula>Y692="atrasado"</formula>
    </cfRule>
    <cfRule type="expression" dxfId="948" priority="1397">
      <formula>Y692="efprazo"</formula>
    </cfRule>
    <cfRule type="expression" dxfId="947" priority="1398">
      <formula>Y692="vazio"</formula>
    </cfRule>
  </conditionalFormatting>
  <conditionalFormatting sqref="Y691:AB691">
    <cfRule type="expression" dxfId="946" priority="1389">
      <formula>Y691="risco"</formula>
    </cfRule>
    <cfRule type="expression" dxfId="945" priority="1390">
      <formula>Y691="entregue"</formula>
    </cfRule>
    <cfRule type="expression" dxfId="944" priority="1391">
      <formula>Y691="atrasado"</formula>
    </cfRule>
    <cfRule type="expression" dxfId="943" priority="1392">
      <formula>Y691="efprazo"</formula>
    </cfRule>
    <cfRule type="expression" dxfId="942" priority="1393">
      <formula>Y691="vazio"</formula>
    </cfRule>
  </conditionalFormatting>
  <conditionalFormatting sqref="Y690:AB690">
    <cfRule type="expression" dxfId="941" priority="1384">
      <formula>Y690="risco"</formula>
    </cfRule>
    <cfRule type="expression" dxfId="940" priority="1385">
      <formula>Y690="entregue"</formula>
    </cfRule>
    <cfRule type="expression" dxfId="939" priority="1386">
      <formula>Y690="atrasado"</formula>
    </cfRule>
    <cfRule type="expression" dxfId="938" priority="1387">
      <formula>Y690="efprazo"</formula>
    </cfRule>
    <cfRule type="expression" dxfId="937" priority="1388">
      <formula>Y690="vazio"</formula>
    </cfRule>
  </conditionalFormatting>
  <conditionalFormatting sqref="Y687:AB687">
    <cfRule type="expression" dxfId="936" priority="1379">
      <formula>Y687="risco"</formula>
    </cfRule>
    <cfRule type="expression" dxfId="935" priority="1380">
      <formula>Y687="entregue"</formula>
    </cfRule>
    <cfRule type="expression" dxfId="934" priority="1381">
      <formula>Y687="atrasado"</formula>
    </cfRule>
    <cfRule type="expression" dxfId="933" priority="1382">
      <formula>Y687="efprazo"</formula>
    </cfRule>
    <cfRule type="expression" dxfId="932" priority="1383">
      <formula>Y687="vazio"</formula>
    </cfRule>
  </conditionalFormatting>
  <conditionalFormatting sqref="Y686:AB686">
    <cfRule type="expression" dxfId="931" priority="1374">
      <formula>Y686="risco"</formula>
    </cfRule>
    <cfRule type="expression" dxfId="930" priority="1375">
      <formula>Y686="entregue"</formula>
    </cfRule>
    <cfRule type="expression" dxfId="929" priority="1376">
      <formula>Y686="atrasado"</formula>
    </cfRule>
    <cfRule type="expression" dxfId="928" priority="1377">
      <formula>Y686="efprazo"</formula>
    </cfRule>
    <cfRule type="expression" dxfId="927" priority="1378">
      <formula>Y686="vazio"</formula>
    </cfRule>
  </conditionalFormatting>
  <conditionalFormatting sqref="Y685:AB685">
    <cfRule type="expression" dxfId="926" priority="1369">
      <formula>Y685="risco"</formula>
    </cfRule>
    <cfRule type="expression" dxfId="925" priority="1370">
      <formula>Y685="entregue"</formula>
    </cfRule>
    <cfRule type="expression" dxfId="924" priority="1371">
      <formula>Y685="atrasado"</formula>
    </cfRule>
    <cfRule type="expression" dxfId="923" priority="1372">
      <formula>Y685="efprazo"</formula>
    </cfRule>
    <cfRule type="expression" dxfId="922" priority="1373">
      <formula>Y685="vazio"</formula>
    </cfRule>
  </conditionalFormatting>
  <conditionalFormatting sqref="Y684:AB684">
    <cfRule type="expression" dxfId="921" priority="1364">
      <formula>Y684="risco"</formula>
    </cfRule>
    <cfRule type="expression" dxfId="920" priority="1365">
      <formula>Y684="entregue"</formula>
    </cfRule>
    <cfRule type="expression" dxfId="919" priority="1366">
      <formula>Y684="atrasado"</formula>
    </cfRule>
    <cfRule type="expression" dxfId="918" priority="1367">
      <formula>Y684="efprazo"</formula>
    </cfRule>
    <cfRule type="expression" dxfId="917" priority="1368">
      <formula>Y684="vazio"</formula>
    </cfRule>
  </conditionalFormatting>
  <conditionalFormatting sqref="Y683:AB683">
    <cfRule type="expression" dxfId="916" priority="1359">
      <formula>Y683="risco"</formula>
    </cfRule>
    <cfRule type="expression" dxfId="915" priority="1360">
      <formula>Y683="entregue"</formula>
    </cfRule>
    <cfRule type="expression" dxfId="914" priority="1361">
      <formula>Y683="atrasado"</formula>
    </cfRule>
    <cfRule type="expression" dxfId="913" priority="1362">
      <formula>Y683="efprazo"</formula>
    </cfRule>
    <cfRule type="expression" dxfId="912" priority="1363">
      <formula>Y683="vazio"</formula>
    </cfRule>
  </conditionalFormatting>
  <conditionalFormatting sqref="Y675:AB675">
    <cfRule type="expression" dxfId="911" priority="1354">
      <formula>Y675="risco"</formula>
    </cfRule>
    <cfRule type="expression" dxfId="910" priority="1355">
      <formula>Y675="entregue"</formula>
    </cfRule>
    <cfRule type="expression" dxfId="909" priority="1356">
      <formula>Y675="atrasado"</formula>
    </cfRule>
    <cfRule type="expression" dxfId="908" priority="1357">
      <formula>Y675="efprazo"</formula>
    </cfRule>
    <cfRule type="expression" dxfId="907" priority="1358">
      <formula>Y675="vazio"</formula>
    </cfRule>
  </conditionalFormatting>
  <conditionalFormatting sqref="Y674:AB674">
    <cfRule type="expression" dxfId="906" priority="1349">
      <formula>Y674="risco"</formula>
    </cfRule>
    <cfRule type="expression" dxfId="905" priority="1350">
      <formula>Y674="entregue"</formula>
    </cfRule>
    <cfRule type="expression" dxfId="904" priority="1351">
      <formula>Y674="atrasado"</formula>
    </cfRule>
    <cfRule type="expression" dxfId="903" priority="1352">
      <formula>Y674="efprazo"</formula>
    </cfRule>
    <cfRule type="expression" dxfId="902" priority="1353">
      <formula>Y674="vazio"</formula>
    </cfRule>
  </conditionalFormatting>
  <conditionalFormatting sqref="Y673:AB673">
    <cfRule type="expression" dxfId="901" priority="1344">
      <formula>Y673="risco"</formula>
    </cfRule>
    <cfRule type="expression" dxfId="900" priority="1345">
      <formula>Y673="entregue"</formula>
    </cfRule>
    <cfRule type="expression" dxfId="899" priority="1346">
      <formula>Y673="atrasado"</formula>
    </cfRule>
    <cfRule type="expression" dxfId="898" priority="1347">
      <formula>Y673="efprazo"</formula>
    </cfRule>
    <cfRule type="expression" dxfId="897" priority="1348">
      <formula>Y673="vazio"</formula>
    </cfRule>
  </conditionalFormatting>
  <conditionalFormatting sqref="Y670:AB670">
    <cfRule type="expression" dxfId="896" priority="1339">
      <formula>Y670="risco"</formula>
    </cfRule>
    <cfRule type="expression" dxfId="895" priority="1340">
      <formula>Y670="entregue"</formula>
    </cfRule>
    <cfRule type="expression" dxfId="894" priority="1341">
      <formula>Y670="atrasado"</formula>
    </cfRule>
    <cfRule type="expression" dxfId="893" priority="1342">
      <formula>Y670="efprazo"</formula>
    </cfRule>
    <cfRule type="expression" dxfId="892" priority="1343">
      <formula>Y670="vazio"</formula>
    </cfRule>
  </conditionalFormatting>
  <conditionalFormatting sqref="Y666:AB666">
    <cfRule type="expression" dxfId="891" priority="1334">
      <formula>Y666="risco"</formula>
    </cfRule>
    <cfRule type="expression" dxfId="890" priority="1335">
      <formula>Y666="entregue"</formula>
    </cfRule>
    <cfRule type="expression" dxfId="889" priority="1336">
      <formula>Y666="atrasado"</formula>
    </cfRule>
    <cfRule type="expression" dxfId="888" priority="1337">
      <formula>Y666="efprazo"</formula>
    </cfRule>
    <cfRule type="expression" dxfId="887" priority="1338">
      <formula>Y666="vazio"</formula>
    </cfRule>
  </conditionalFormatting>
  <conditionalFormatting sqref="Y665:AB665">
    <cfRule type="expression" dxfId="886" priority="1329">
      <formula>Y665="risco"</formula>
    </cfRule>
    <cfRule type="expression" dxfId="885" priority="1330">
      <formula>Y665="entregue"</formula>
    </cfRule>
    <cfRule type="expression" dxfId="884" priority="1331">
      <formula>Y665="atrasado"</formula>
    </cfRule>
    <cfRule type="expression" dxfId="883" priority="1332">
      <formula>Y665="efprazo"</formula>
    </cfRule>
    <cfRule type="expression" dxfId="882" priority="1333">
      <formula>Y665="vazio"</formula>
    </cfRule>
  </conditionalFormatting>
  <conditionalFormatting sqref="Y661:AB661">
    <cfRule type="expression" dxfId="881" priority="1324">
      <formula>Y661="risco"</formula>
    </cfRule>
    <cfRule type="expression" dxfId="880" priority="1325">
      <formula>Y661="entregue"</formula>
    </cfRule>
    <cfRule type="expression" dxfId="879" priority="1326">
      <formula>Y661="atrasado"</formula>
    </cfRule>
    <cfRule type="expression" dxfId="878" priority="1327">
      <formula>Y661="efprazo"</formula>
    </cfRule>
    <cfRule type="expression" dxfId="877" priority="1328">
      <formula>Y661="vazio"</formula>
    </cfRule>
  </conditionalFormatting>
  <conditionalFormatting sqref="Y660:AB660">
    <cfRule type="expression" dxfId="876" priority="1319">
      <formula>Y660="risco"</formula>
    </cfRule>
    <cfRule type="expression" dxfId="875" priority="1320">
      <formula>Y660="entregue"</formula>
    </cfRule>
    <cfRule type="expression" dxfId="874" priority="1321">
      <formula>Y660="atrasado"</formula>
    </cfRule>
    <cfRule type="expression" dxfId="873" priority="1322">
      <formula>Y660="efprazo"</formula>
    </cfRule>
    <cfRule type="expression" dxfId="872" priority="1323">
      <formula>Y660="vazio"</formula>
    </cfRule>
  </conditionalFormatting>
  <conditionalFormatting sqref="Y659:AB659">
    <cfRule type="expression" dxfId="871" priority="1314">
      <formula>Y659="risco"</formula>
    </cfRule>
    <cfRule type="expression" dxfId="870" priority="1315">
      <formula>Y659="entregue"</formula>
    </cfRule>
    <cfRule type="expression" dxfId="869" priority="1316">
      <formula>Y659="atrasado"</formula>
    </cfRule>
    <cfRule type="expression" dxfId="868" priority="1317">
      <formula>Y659="efprazo"</formula>
    </cfRule>
    <cfRule type="expression" dxfId="867" priority="1318">
      <formula>Y659="vazio"</formula>
    </cfRule>
  </conditionalFormatting>
  <conditionalFormatting sqref="Y658:AB658">
    <cfRule type="expression" dxfId="866" priority="1309">
      <formula>Y658="risco"</formula>
    </cfRule>
    <cfRule type="expression" dxfId="865" priority="1310">
      <formula>Y658="entregue"</formula>
    </cfRule>
    <cfRule type="expression" dxfId="864" priority="1311">
      <formula>Y658="atrasado"</formula>
    </cfRule>
    <cfRule type="expression" dxfId="863" priority="1312">
      <formula>Y658="efprazo"</formula>
    </cfRule>
    <cfRule type="expression" dxfId="862" priority="1313">
      <formula>Y658="vazio"</formula>
    </cfRule>
  </conditionalFormatting>
  <conditionalFormatting sqref="Y654:AB654">
    <cfRule type="expression" dxfId="861" priority="1304">
      <formula>Y654="risco"</formula>
    </cfRule>
    <cfRule type="expression" dxfId="860" priority="1305">
      <formula>Y654="entregue"</formula>
    </cfRule>
    <cfRule type="expression" dxfId="859" priority="1306">
      <formula>Y654="atrasado"</formula>
    </cfRule>
    <cfRule type="expression" dxfId="858" priority="1307">
      <formula>Y654="efprazo"</formula>
    </cfRule>
    <cfRule type="expression" dxfId="857" priority="1308">
      <formula>Y654="vazio"</formula>
    </cfRule>
  </conditionalFormatting>
  <conditionalFormatting sqref="Y653:AB653">
    <cfRule type="expression" dxfId="856" priority="1299">
      <formula>Y653="risco"</formula>
    </cfRule>
    <cfRule type="expression" dxfId="855" priority="1300">
      <formula>Y653="entregue"</formula>
    </cfRule>
    <cfRule type="expression" dxfId="854" priority="1301">
      <formula>Y653="atrasado"</formula>
    </cfRule>
    <cfRule type="expression" dxfId="853" priority="1302">
      <formula>Y653="efprazo"</formula>
    </cfRule>
    <cfRule type="expression" dxfId="852" priority="1303">
      <formula>Y653="vazio"</formula>
    </cfRule>
  </conditionalFormatting>
  <conditionalFormatting sqref="Y652:AB652">
    <cfRule type="expression" dxfId="851" priority="1294">
      <formula>Y652="risco"</formula>
    </cfRule>
    <cfRule type="expression" dxfId="850" priority="1295">
      <formula>Y652="entregue"</formula>
    </cfRule>
    <cfRule type="expression" dxfId="849" priority="1296">
      <formula>Y652="atrasado"</formula>
    </cfRule>
    <cfRule type="expression" dxfId="848" priority="1297">
      <formula>Y652="efprazo"</formula>
    </cfRule>
    <cfRule type="expression" dxfId="847" priority="1298">
      <formula>Y652="vazio"</formula>
    </cfRule>
  </conditionalFormatting>
  <conditionalFormatting sqref="Y651:AB651">
    <cfRule type="expression" dxfId="846" priority="1289">
      <formula>Y651="risco"</formula>
    </cfRule>
    <cfRule type="expression" dxfId="845" priority="1290">
      <formula>Y651="entregue"</formula>
    </cfRule>
    <cfRule type="expression" dxfId="844" priority="1291">
      <formula>Y651="atrasado"</formula>
    </cfRule>
    <cfRule type="expression" dxfId="843" priority="1292">
      <formula>Y651="efprazo"</formula>
    </cfRule>
    <cfRule type="expression" dxfId="842" priority="1293">
      <formula>Y651="vazio"</formula>
    </cfRule>
  </conditionalFormatting>
  <conditionalFormatting sqref="Y646:AB646">
    <cfRule type="expression" dxfId="841" priority="1284">
      <formula>Y646="risco"</formula>
    </cfRule>
    <cfRule type="expression" dxfId="840" priority="1285">
      <formula>Y646="entregue"</formula>
    </cfRule>
    <cfRule type="expression" dxfId="839" priority="1286">
      <formula>Y646="atrasado"</formula>
    </cfRule>
    <cfRule type="expression" dxfId="838" priority="1287">
      <formula>Y646="efprazo"</formula>
    </cfRule>
    <cfRule type="expression" dxfId="837" priority="1288">
      <formula>Y646="vazio"</formula>
    </cfRule>
  </conditionalFormatting>
  <conditionalFormatting sqref="Y642:AB642">
    <cfRule type="expression" dxfId="836" priority="1279">
      <formula>Y642="risco"</formula>
    </cfRule>
    <cfRule type="expression" dxfId="835" priority="1280">
      <formula>Y642="entregue"</formula>
    </cfRule>
    <cfRule type="expression" dxfId="834" priority="1281">
      <formula>Y642="atrasado"</formula>
    </cfRule>
    <cfRule type="expression" dxfId="833" priority="1282">
      <formula>Y642="efprazo"</formula>
    </cfRule>
    <cfRule type="expression" dxfId="832" priority="1283">
      <formula>Y642="vazio"</formula>
    </cfRule>
  </conditionalFormatting>
  <conditionalFormatting sqref="Y641:AB641">
    <cfRule type="expression" dxfId="831" priority="1274">
      <formula>Y641="risco"</formula>
    </cfRule>
    <cfRule type="expression" dxfId="830" priority="1275">
      <formula>Y641="entregue"</formula>
    </cfRule>
    <cfRule type="expression" dxfId="829" priority="1276">
      <formula>Y641="atrasado"</formula>
    </cfRule>
    <cfRule type="expression" dxfId="828" priority="1277">
      <formula>Y641="efprazo"</formula>
    </cfRule>
    <cfRule type="expression" dxfId="827" priority="1278">
      <formula>Y641="vazio"</formula>
    </cfRule>
  </conditionalFormatting>
  <conditionalFormatting sqref="Y640:AB640">
    <cfRule type="expression" dxfId="826" priority="1269">
      <formula>Y640="risco"</formula>
    </cfRule>
    <cfRule type="expression" dxfId="825" priority="1270">
      <formula>Y640="entregue"</formula>
    </cfRule>
    <cfRule type="expression" dxfId="824" priority="1271">
      <formula>Y640="atrasado"</formula>
    </cfRule>
    <cfRule type="expression" dxfId="823" priority="1272">
      <formula>Y640="efprazo"</formula>
    </cfRule>
    <cfRule type="expression" dxfId="822" priority="1273">
      <formula>Y640="vazio"</formula>
    </cfRule>
  </conditionalFormatting>
  <conditionalFormatting sqref="Y639:AB639">
    <cfRule type="expression" dxfId="821" priority="1264">
      <formula>Y639="risco"</formula>
    </cfRule>
    <cfRule type="expression" dxfId="820" priority="1265">
      <formula>Y639="entregue"</formula>
    </cfRule>
    <cfRule type="expression" dxfId="819" priority="1266">
      <formula>Y639="atrasado"</formula>
    </cfRule>
    <cfRule type="expression" dxfId="818" priority="1267">
      <formula>Y639="efprazo"</formula>
    </cfRule>
    <cfRule type="expression" dxfId="817" priority="1268">
      <formula>Y639="vazio"</formula>
    </cfRule>
  </conditionalFormatting>
  <conditionalFormatting sqref="Y635:AB635">
    <cfRule type="expression" dxfId="816" priority="1259">
      <formula>Y635="risco"</formula>
    </cfRule>
    <cfRule type="expression" dxfId="815" priority="1260">
      <formula>Y635="entregue"</formula>
    </cfRule>
    <cfRule type="expression" dxfId="814" priority="1261">
      <formula>Y635="atrasado"</formula>
    </cfRule>
    <cfRule type="expression" dxfId="813" priority="1262">
      <formula>Y635="efprazo"</formula>
    </cfRule>
    <cfRule type="expression" dxfId="812" priority="1263">
      <formula>Y635="vazio"</formula>
    </cfRule>
  </conditionalFormatting>
  <conditionalFormatting sqref="Y634:AB634">
    <cfRule type="expression" dxfId="811" priority="1254">
      <formula>Y634="risco"</formula>
    </cfRule>
    <cfRule type="expression" dxfId="810" priority="1255">
      <formula>Y634="entregue"</formula>
    </cfRule>
    <cfRule type="expression" dxfId="809" priority="1256">
      <formula>Y634="atrasado"</formula>
    </cfRule>
    <cfRule type="expression" dxfId="808" priority="1257">
      <formula>Y634="efprazo"</formula>
    </cfRule>
    <cfRule type="expression" dxfId="807" priority="1258">
      <formula>Y634="vazio"</formula>
    </cfRule>
  </conditionalFormatting>
  <conditionalFormatting sqref="Y633:AB633">
    <cfRule type="expression" dxfId="806" priority="1249">
      <formula>Y633="risco"</formula>
    </cfRule>
    <cfRule type="expression" dxfId="805" priority="1250">
      <formula>Y633="entregue"</formula>
    </cfRule>
    <cfRule type="expression" dxfId="804" priority="1251">
      <formula>Y633="atrasado"</formula>
    </cfRule>
    <cfRule type="expression" dxfId="803" priority="1252">
      <formula>Y633="efprazo"</formula>
    </cfRule>
    <cfRule type="expression" dxfId="802" priority="1253">
      <formula>Y633="vazio"</formula>
    </cfRule>
  </conditionalFormatting>
  <conditionalFormatting sqref="Y632:AB632">
    <cfRule type="expression" dxfId="801" priority="1244">
      <formula>Y632="risco"</formula>
    </cfRule>
    <cfRule type="expression" dxfId="800" priority="1245">
      <formula>Y632="entregue"</formula>
    </cfRule>
    <cfRule type="expression" dxfId="799" priority="1246">
      <formula>Y632="atrasado"</formula>
    </cfRule>
    <cfRule type="expression" dxfId="798" priority="1247">
      <formula>Y632="efprazo"</formula>
    </cfRule>
    <cfRule type="expression" dxfId="797" priority="1248">
      <formula>Y632="vazio"</formula>
    </cfRule>
  </conditionalFormatting>
  <conditionalFormatting sqref="Y628:AB628">
    <cfRule type="expression" dxfId="796" priority="1239">
      <formula>Y628="risco"</formula>
    </cfRule>
    <cfRule type="expression" dxfId="795" priority="1240">
      <formula>Y628="entregue"</formula>
    </cfRule>
    <cfRule type="expression" dxfId="794" priority="1241">
      <formula>Y628="atrasado"</formula>
    </cfRule>
    <cfRule type="expression" dxfId="793" priority="1242">
      <formula>Y628="efprazo"</formula>
    </cfRule>
    <cfRule type="expression" dxfId="792" priority="1243">
      <formula>Y628="vazio"</formula>
    </cfRule>
  </conditionalFormatting>
  <conditionalFormatting sqref="Y627:AB627">
    <cfRule type="expression" dxfId="791" priority="1234">
      <formula>Y627="risco"</formula>
    </cfRule>
    <cfRule type="expression" dxfId="790" priority="1235">
      <formula>Y627="entregue"</formula>
    </cfRule>
    <cfRule type="expression" dxfId="789" priority="1236">
      <formula>Y627="atrasado"</formula>
    </cfRule>
    <cfRule type="expression" dxfId="788" priority="1237">
      <formula>Y627="efprazo"</formula>
    </cfRule>
    <cfRule type="expression" dxfId="787" priority="1238">
      <formula>Y627="vazio"</formula>
    </cfRule>
  </conditionalFormatting>
  <conditionalFormatting sqref="Y626:AB626">
    <cfRule type="expression" dxfId="786" priority="1229">
      <formula>Y626="risco"</formula>
    </cfRule>
    <cfRule type="expression" dxfId="785" priority="1230">
      <formula>Y626="entregue"</formula>
    </cfRule>
    <cfRule type="expression" dxfId="784" priority="1231">
      <formula>Y626="atrasado"</formula>
    </cfRule>
    <cfRule type="expression" dxfId="783" priority="1232">
      <formula>Y626="efprazo"</formula>
    </cfRule>
    <cfRule type="expression" dxfId="782" priority="1233">
      <formula>Y626="vazio"</formula>
    </cfRule>
  </conditionalFormatting>
  <conditionalFormatting sqref="Y621:AB621">
    <cfRule type="expression" dxfId="781" priority="1224">
      <formula>Y621="risco"</formula>
    </cfRule>
    <cfRule type="expression" dxfId="780" priority="1225">
      <formula>Y621="entregue"</formula>
    </cfRule>
    <cfRule type="expression" dxfId="779" priority="1226">
      <formula>Y621="atrasado"</formula>
    </cfRule>
    <cfRule type="expression" dxfId="778" priority="1227">
      <formula>Y621="efprazo"</formula>
    </cfRule>
    <cfRule type="expression" dxfId="777" priority="1228">
      <formula>Y621="vazio"</formula>
    </cfRule>
  </conditionalFormatting>
  <conditionalFormatting sqref="Y620:AB620">
    <cfRule type="expression" dxfId="776" priority="1219">
      <formula>Y620="risco"</formula>
    </cfRule>
    <cfRule type="expression" dxfId="775" priority="1220">
      <formula>Y620="entregue"</formula>
    </cfRule>
    <cfRule type="expression" dxfId="774" priority="1221">
      <formula>Y620="atrasado"</formula>
    </cfRule>
    <cfRule type="expression" dxfId="773" priority="1222">
      <formula>Y620="efprazo"</formula>
    </cfRule>
    <cfRule type="expression" dxfId="772" priority="1223">
      <formula>Y620="vazio"</formula>
    </cfRule>
  </conditionalFormatting>
  <conditionalFormatting sqref="Y619:AB619">
    <cfRule type="expression" dxfId="771" priority="1214">
      <formula>Y619="risco"</formula>
    </cfRule>
    <cfRule type="expression" dxfId="770" priority="1215">
      <formula>Y619="entregue"</formula>
    </cfRule>
    <cfRule type="expression" dxfId="769" priority="1216">
      <formula>Y619="atrasado"</formula>
    </cfRule>
    <cfRule type="expression" dxfId="768" priority="1217">
      <formula>Y619="efprazo"</formula>
    </cfRule>
    <cfRule type="expression" dxfId="767" priority="1218">
      <formula>Y619="vazio"</formula>
    </cfRule>
  </conditionalFormatting>
  <conditionalFormatting sqref="Y616:AB616">
    <cfRule type="expression" dxfId="766" priority="1209">
      <formula>Y616="risco"</formula>
    </cfRule>
    <cfRule type="expression" dxfId="765" priority="1210">
      <formula>Y616="entregue"</formula>
    </cfRule>
    <cfRule type="expression" dxfId="764" priority="1211">
      <formula>Y616="atrasado"</formula>
    </cfRule>
    <cfRule type="expression" dxfId="763" priority="1212">
      <formula>Y616="efprazo"</formula>
    </cfRule>
    <cfRule type="expression" dxfId="762" priority="1213">
      <formula>Y616="vazio"</formula>
    </cfRule>
  </conditionalFormatting>
  <conditionalFormatting sqref="Y612:AB612">
    <cfRule type="expression" dxfId="761" priority="1204">
      <formula>Y612="risco"</formula>
    </cfRule>
    <cfRule type="expression" dxfId="760" priority="1205">
      <formula>Y612="entregue"</formula>
    </cfRule>
    <cfRule type="expression" dxfId="759" priority="1206">
      <formula>Y612="atrasado"</formula>
    </cfRule>
    <cfRule type="expression" dxfId="758" priority="1207">
      <formula>Y612="efprazo"</formula>
    </cfRule>
    <cfRule type="expression" dxfId="757" priority="1208">
      <formula>Y612="vazio"</formula>
    </cfRule>
  </conditionalFormatting>
  <conditionalFormatting sqref="Y611:AB611">
    <cfRule type="expression" dxfId="756" priority="1199">
      <formula>Y611="risco"</formula>
    </cfRule>
    <cfRule type="expression" dxfId="755" priority="1200">
      <formula>Y611="entregue"</formula>
    </cfRule>
    <cfRule type="expression" dxfId="754" priority="1201">
      <formula>Y611="atrasado"</formula>
    </cfRule>
    <cfRule type="expression" dxfId="753" priority="1202">
      <formula>Y611="efprazo"</formula>
    </cfRule>
    <cfRule type="expression" dxfId="752" priority="1203">
      <formula>Y611="vazio"</formula>
    </cfRule>
  </conditionalFormatting>
  <conditionalFormatting sqref="Y607:AB607">
    <cfRule type="expression" dxfId="751" priority="1194">
      <formula>Y607="risco"</formula>
    </cfRule>
    <cfRule type="expression" dxfId="750" priority="1195">
      <formula>Y607="entregue"</formula>
    </cfRule>
    <cfRule type="expression" dxfId="749" priority="1196">
      <formula>Y607="atrasado"</formula>
    </cfRule>
    <cfRule type="expression" dxfId="748" priority="1197">
      <formula>Y607="efprazo"</formula>
    </cfRule>
    <cfRule type="expression" dxfId="747" priority="1198">
      <formula>Y607="vazio"</formula>
    </cfRule>
  </conditionalFormatting>
  <conditionalFormatting sqref="Y606:AB606">
    <cfRule type="expression" dxfId="746" priority="1189">
      <formula>Y606="risco"</formula>
    </cfRule>
    <cfRule type="expression" dxfId="745" priority="1190">
      <formula>Y606="entregue"</formula>
    </cfRule>
    <cfRule type="expression" dxfId="744" priority="1191">
      <formula>Y606="atrasado"</formula>
    </cfRule>
    <cfRule type="expression" dxfId="743" priority="1192">
      <formula>Y606="efprazo"</formula>
    </cfRule>
    <cfRule type="expression" dxfId="742" priority="1193">
      <formula>Y606="vazio"</formula>
    </cfRule>
  </conditionalFormatting>
  <conditionalFormatting sqref="Y601:AB601">
    <cfRule type="expression" dxfId="741" priority="1184">
      <formula>Y601="risco"</formula>
    </cfRule>
    <cfRule type="expression" dxfId="740" priority="1185">
      <formula>Y601="entregue"</formula>
    </cfRule>
    <cfRule type="expression" dxfId="739" priority="1186">
      <formula>Y601="atrasado"</formula>
    </cfRule>
    <cfRule type="expression" dxfId="738" priority="1187">
      <formula>Y601="efprazo"</formula>
    </cfRule>
    <cfRule type="expression" dxfId="737" priority="1188">
      <formula>Y601="vazio"</formula>
    </cfRule>
  </conditionalFormatting>
  <conditionalFormatting sqref="Y600:AB600">
    <cfRule type="expression" dxfId="736" priority="1179">
      <formula>Y600="risco"</formula>
    </cfRule>
    <cfRule type="expression" dxfId="735" priority="1180">
      <formula>Y600="entregue"</formula>
    </cfRule>
    <cfRule type="expression" dxfId="734" priority="1181">
      <formula>Y600="atrasado"</formula>
    </cfRule>
    <cfRule type="expression" dxfId="733" priority="1182">
      <formula>Y600="efprazo"</formula>
    </cfRule>
    <cfRule type="expression" dxfId="732" priority="1183">
      <formula>Y600="vazio"</formula>
    </cfRule>
  </conditionalFormatting>
  <conditionalFormatting sqref="Y602:AB602">
    <cfRule type="expression" dxfId="731" priority="1174">
      <formula>Y602="risco"</formula>
    </cfRule>
    <cfRule type="expression" dxfId="730" priority="1175">
      <formula>Y602="entregue"</formula>
    </cfRule>
    <cfRule type="expression" dxfId="729" priority="1176">
      <formula>Y602="atrasado"</formula>
    </cfRule>
    <cfRule type="expression" dxfId="728" priority="1177">
      <formula>Y602="efprazo"</formula>
    </cfRule>
    <cfRule type="expression" dxfId="727" priority="1178">
      <formula>Y602="vazio"</formula>
    </cfRule>
  </conditionalFormatting>
  <conditionalFormatting sqref="Y599:AB599">
    <cfRule type="expression" dxfId="726" priority="1169">
      <formula>Y599="risco"</formula>
    </cfRule>
    <cfRule type="expression" dxfId="725" priority="1170">
      <formula>Y599="entregue"</formula>
    </cfRule>
    <cfRule type="expression" dxfId="724" priority="1171">
      <formula>Y599="atrasado"</formula>
    </cfRule>
    <cfRule type="expression" dxfId="723" priority="1172">
      <formula>Y599="efprazo"</formula>
    </cfRule>
    <cfRule type="expression" dxfId="722" priority="1173">
      <formula>Y599="vazio"</formula>
    </cfRule>
  </conditionalFormatting>
  <conditionalFormatting sqref="Y595:AB595">
    <cfRule type="expression" dxfId="721" priority="1164">
      <formula>Y595="risco"</formula>
    </cfRule>
    <cfRule type="expression" dxfId="720" priority="1165">
      <formula>Y595="entregue"</formula>
    </cfRule>
    <cfRule type="expression" dxfId="719" priority="1166">
      <formula>Y595="atrasado"</formula>
    </cfRule>
    <cfRule type="expression" dxfId="718" priority="1167">
      <formula>Y595="efprazo"</formula>
    </cfRule>
    <cfRule type="expression" dxfId="717" priority="1168">
      <formula>Y595="vazio"</formula>
    </cfRule>
  </conditionalFormatting>
  <conditionalFormatting sqref="Y594:AB594">
    <cfRule type="expression" dxfId="716" priority="1159">
      <formula>Y594="risco"</formula>
    </cfRule>
    <cfRule type="expression" dxfId="715" priority="1160">
      <formula>Y594="entregue"</formula>
    </cfRule>
    <cfRule type="expression" dxfId="714" priority="1161">
      <formula>Y594="atrasado"</formula>
    </cfRule>
    <cfRule type="expression" dxfId="713" priority="1162">
      <formula>Y594="efprazo"</formula>
    </cfRule>
    <cfRule type="expression" dxfId="712" priority="1163">
      <formula>Y594="vazio"</formula>
    </cfRule>
  </conditionalFormatting>
  <conditionalFormatting sqref="Y593:AB593">
    <cfRule type="expression" dxfId="711" priority="1154">
      <formula>Y593="risco"</formula>
    </cfRule>
    <cfRule type="expression" dxfId="710" priority="1155">
      <formula>Y593="entregue"</formula>
    </cfRule>
    <cfRule type="expression" dxfId="709" priority="1156">
      <formula>Y593="atrasado"</formula>
    </cfRule>
    <cfRule type="expression" dxfId="708" priority="1157">
      <formula>Y593="efprazo"</formula>
    </cfRule>
    <cfRule type="expression" dxfId="707" priority="1158">
      <formula>Y593="vazio"</formula>
    </cfRule>
  </conditionalFormatting>
  <conditionalFormatting sqref="Y588:AB588">
    <cfRule type="expression" dxfId="706" priority="1149">
      <formula>Y588="risco"</formula>
    </cfRule>
    <cfRule type="expression" dxfId="705" priority="1150">
      <formula>Y588="entregue"</formula>
    </cfRule>
    <cfRule type="expression" dxfId="704" priority="1151">
      <formula>Y588="atrasado"</formula>
    </cfRule>
    <cfRule type="expression" dxfId="703" priority="1152">
      <formula>Y588="efprazo"</formula>
    </cfRule>
    <cfRule type="expression" dxfId="702" priority="1153">
      <formula>Y588="vazio"</formula>
    </cfRule>
  </conditionalFormatting>
  <conditionalFormatting sqref="Y592:AB592">
    <cfRule type="expression" dxfId="701" priority="1144">
      <formula>Y592="risco"</formula>
    </cfRule>
    <cfRule type="expression" dxfId="700" priority="1145">
      <formula>Y592="entregue"</formula>
    </cfRule>
    <cfRule type="expression" dxfId="699" priority="1146">
      <formula>Y592="atrasado"</formula>
    </cfRule>
    <cfRule type="expression" dxfId="698" priority="1147">
      <formula>Y592="efprazo"</formula>
    </cfRule>
    <cfRule type="expression" dxfId="697" priority="1148">
      <formula>Y592="vazio"</formula>
    </cfRule>
  </conditionalFormatting>
  <conditionalFormatting sqref="Y587:AB587">
    <cfRule type="expression" dxfId="696" priority="1139">
      <formula>Y587="risco"</formula>
    </cfRule>
    <cfRule type="expression" dxfId="695" priority="1140">
      <formula>Y587="entregue"</formula>
    </cfRule>
    <cfRule type="expression" dxfId="694" priority="1141">
      <formula>Y587="atrasado"</formula>
    </cfRule>
    <cfRule type="expression" dxfId="693" priority="1142">
      <formula>Y587="efprazo"</formula>
    </cfRule>
    <cfRule type="expression" dxfId="692" priority="1143">
      <formula>Y587="vazio"</formula>
    </cfRule>
  </conditionalFormatting>
  <conditionalFormatting sqref="Y586:AB586">
    <cfRule type="expression" dxfId="691" priority="1134">
      <formula>Y586="risco"</formula>
    </cfRule>
    <cfRule type="expression" dxfId="690" priority="1135">
      <formula>Y586="entregue"</formula>
    </cfRule>
    <cfRule type="expression" dxfId="689" priority="1136">
      <formula>Y586="atrasado"</formula>
    </cfRule>
    <cfRule type="expression" dxfId="688" priority="1137">
      <formula>Y586="efprazo"</formula>
    </cfRule>
    <cfRule type="expression" dxfId="687" priority="1138">
      <formula>Y586="vazio"</formula>
    </cfRule>
  </conditionalFormatting>
  <conditionalFormatting sqref="Y585:AB585">
    <cfRule type="expression" dxfId="686" priority="1129">
      <formula>Y585="risco"</formula>
    </cfRule>
    <cfRule type="expression" dxfId="685" priority="1130">
      <formula>Y585="entregue"</formula>
    </cfRule>
    <cfRule type="expression" dxfId="684" priority="1131">
      <formula>Y585="atrasado"</formula>
    </cfRule>
    <cfRule type="expression" dxfId="683" priority="1132">
      <formula>Y585="efprazo"</formula>
    </cfRule>
    <cfRule type="expression" dxfId="682" priority="1133">
      <formula>Y585="vazio"</formula>
    </cfRule>
  </conditionalFormatting>
  <conditionalFormatting sqref="Y581:AB581">
    <cfRule type="expression" dxfId="681" priority="1124">
      <formula>Y581="risco"</formula>
    </cfRule>
    <cfRule type="expression" dxfId="680" priority="1125">
      <formula>Y581="entregue"</formula>
    </cfRule>
    <cfRule type="expression" dxfId="679" priority="1126">
      <formula>Y581="atrasado"</formula>
    </cfRule>
    <cfRule type="expression" dxfId="678" priority="1127">
      <formula>Y581="efprazo"</formula>
    </cfRule>
    <cfRule type="expression" dxfId="677" priority="1128">
      <formula>Y581="vazio"</formula>
    </cfRule>
  </conditionalFormatting>
  <conditionalFormatting sqref="Y580:AB580">
    <cfRule type="expression" dxfId="676" priority="1119">
      <formula>Y580="risco"</formula>
    </cfRule>
    <cfRule type="expression" dxfId="675" priority="1120">
      <formula>Y580="entregue"</formula>
    </cfRule>
    <cfRule type="expression" dxfId="674" priority="1121">
      <formula>Y580="atrasado"</formula>
    </cfRule>
    <cfRule type="expression" dxfId="673" priority="1122">
      <formula>Y580="efprazo"</formula>
    </cfRule>
    <cfRule type="expression" dxfId="672" priority="1123">
      <formula>Y580="vazio"</formula>
    </cfRule>
  </conditionalFormatting>
  <conditionalFormatting sqref="Y579:AB579">
    <cfRule type="expression" dxfId="671" priority="1114">
      <formula>Y579="risco"</formula>
    </cfRule>
    <cfRule type="expression" dxfId="670" priority="1115">
      <formula>Y579="entregue"</formula>
    </cfRule>
    <cfRule type="expression" dxfId="669" priority="1116">
      <formula>Y579="atrasado"</formula>
    </cfRule>
    <cfRule type="expression" dxfId="668" priority="1117">
      <formula>Y579="efprazo"</formula>
    </cfRule>
    <cfRule type="expression" dxfId="667" priority="1118">
      <formula>Y579="vazio"</formula>
    </cfRule>
  </conditionalFormatting>
  <conditionalFormatting sqref="Y578:AB578">
    <cfRule type="expression" dxfId="666" priority="1109">
      <formula>Y578="risco"</formula>
    </cfRule>
    <cfRule type="expression" dxfId="665" priority="1110">
      <formula>Y578="entregue"</formula>
    </cfRule>
    <cfRule type="expression" dxfId="664" priority="1111">
      <formula>Y578="atrasado"</formula>
    </cfRule>
    <cfRule type="expression" dxfId="663" priority="1112">
      <formula>Y578="efprazo"</formula>
    </cfRule>
    <cfRule type="expression" dxfId="662" priority="1113">
      <formula>Y578="vazio"</formula>
    </cfRule>
  </conditionalFormatting>
  <conditionalFormatting sqref="Y574:AB574">
    <cfRule type="expression" dxfId="661" priority="1104">
      <formula>Y574="risco"</formula>
    </cfRule>
    <cfRule type="expression" dxfId="660" priority="1105">
      <formula>Y574="entregue"</formula>
    </cfRule>
    <cfRule type="expression" dxfId="659" priority="1106">
      <formula>Y574="atrasado"</formula>
    </cfRule>
    <cfRule type="expression" dxfId="658" priority="1107">
      <formula>Y574="efprazo"</formula>
    </cfRule>
    <cfRule type="expression" dxfId="657" priority="1108">
      <formula>Y574="vazio"</formula>
    </cfRule>
  </conditionalFormatting>
  <conditionalFormatting sqref="Y573:AB573">
    <cfRule type="expression" dxfId="656" priority="1099">
      <formula>Y573="risco"</formula>
    </cfRule>
    <cfRule type="expression" dxfId="655" priority="1100">
      <formula>Y573="entregue"</formula>
    </cfRule>
    <cfRule type="expression" dxfId="654" priority="1101">
      <formula>Y573="atrasado"</formula>
    </cfRule>
    <cfRule type="expression" dxfId="653" priority="1102">
      <formula>Y573="efprazo"</formula>
    </cfRule>
    <cfRule type="expression" dxfId="652" priority="1103">
      <formula>Y573="vazio"</formula>
    </cfRule>
  </conditionalFormatting>
  <conditionalFormatting sqref="Y572:AB572">
    <cfRule type="expression" dxfId="651" priority="1094">
      <formula>Y572="risco"</formula>
    </cfRule>
    <cfRule type="expression" dxfId="650" priority="1095">
      <formula>Y572="entregue"</formula>
    </cfRule>
    <cfRule type="expression" dxfId="649" priority="1096">
      <formula>Y572="atrasado"</formula>
    </cfRule>
    <cfRule type="expression" dxfId="648" priority="1097">
      <formula>Y572="efprazo"</formula>
    </cfRule>
    <cfRule type="expression" dxfId="647" priority="1098">
      <formula>Y572="vazio"</formula>
    </cfRule>
  </conditionalFormatting>
  <conditionalFormatting sqref="Y571:AB571">
    <cfRule type="expression" dxfId="646" priority="1089">
      <formula>Y571="risco"</formula>
    </cfRule>
    <cfRule type="expression" dxfId="645" priority="1090">
      <formula>Y571="entregue"</formula>
    </cfRule>
    <cfRule type="expression" dxfId="644" priority="1091">
      <formula>Y571="atrasado"</formula>
    </cfRule>
    <cfRule type="expression" dxfId="643" priority="1092">
      <formula>Y571="efprazo"</formula>
    </cfRule>
    <cfRule type="expression" dxfId="642" priority="1093">
      <formula>Y571="vazio"</formula>
    </cfRule>
  </conditionalFormatting>
  <conditionalFormatting sqref="Y567:AB567">
    <cfRule type="expression" dxfId="641" priority="1084">
      <formula>Y567="risco"</formula>
    </cfRule>
    <cfRule type="expression" dxfId="640" priority="1085">
      <formula>Y567="entregue"</formula>
    </cfRule>
    <cfRule type="expression" dxfId="639" priority="1086">
      <formula>Y567="atrasado"</formula>
    </cfRule>
    <cfRule type="expression" dxfId="638" priority="1087">
      <formula>Y567="efprazo"</formula>
    </cfRule>
    <cfRule type="expression" dxfId="637" priority="1088">
      <formula>Y567="vazio"</formula>
    </cfRule>
  </conditionalFormatting>
  <conditionalFormatting sqref="Y566:AB566">
    <cfRule type="expression" dxfId="636" priority="1079">
      <formula>Y566="risco"</formula>
    </cfRule>
    <cfRule type="expression" dxfId="635" priority="1080">
      <formula>Y566="entregue"</formula>
    </cfRule>
    <cfRule type="expression" dxfId="634" priority="1081">
      <formula>Y566="atrasado"</formula>
    </cfRule>
    <cfRule type="expression" dxfId="633" priority="1082">
      <formula>Y566="efprazo"</formula>
    </cfRule>
    <cfRule type="expression" dxfId="632" priority="1083">
      <formula>Y566="vazio"</formula>
    </cfRule>
  </conditionalFormatting>
  <conditionalFormatting sqref="Y565:AB565">
    <cfRule type="expression" dxfId="631" priority="1074">
      <formula>Y565="risco"</formula>
    </cfRule>
    <cfRule type="expression" dxfId="630" priority="1075">
      <formula>Y565="entregue"</formula>
    </cfRule>
    <cfRule type="expression" dxfId="629" priority="1076">
      <formula>Y565="atrasado"</formula>
    </cfRule>
    <cfRule type="expression" dxfId="628" priority="1077">
      <formula>Y565="efprazo"</formula>
    </cfRule>
    <cfRule type="expression" dxfId="627" priority="1078">
      <formula>Y565="vazio"</formula>
    </cfRule>
  </conditionalFormatting>
  <conditionalFormatting sqref="Y564:AB564">
    <cfRule type="expression" dxfId="626" priority="1069">
      <formula>Y564="risco"</formula>
    </cfRule>
    <cfRule type="expression" dxfId="625" priority="1070">
      <formula>Y564="entregue"</formula>
    </cfRule>
    <cfRule type="expression" dxfId="624" priority="1071">
      <formula>Y564="atrasado"</formula>
    </cfRule>
    <cfRule type="expression" dxfId="623" priority="1072">
      <formula>Y564="efprazo"</formula>
    </cfRule>
    <cfRule type="expression" dxfId="622" priority="1073">
      <formula>Y564="vazio"</formula>
    </cfRule>
  </conditionalFormatting>
  <conditionalFormatting sqref="Y560:AB560">
    <cfRule type="expression" dxfId="621" priority="1064">
      <formula>Y560="risco"</formula>
    </cfRule>
    <cfRule type="expression" dxfId="620" priority="1065">
      <formula>Y560="entregue"</formula>
    </cfRule>
    <cfRule type="expression" dxfId="619" priority="1066">
      <formula>Y560="atrasado"</formula>
    </cfRule>
    <cfRule type="expression" dxfId="618" priority="1067">
      <formula>Y560="efprazo"</formula>
    </cfRule>
    <cfRule type="expression" dxfId="617" priority="1068">
      <formula>Y560="vazio"</formula>
    </cfRule>
  </conditionalFormatting>
  <conditionalFormatting sqref="Y559:AB559">
    <cfRule type="expression" dxfId="616" priority="1059">
      <formula>Y559="risco"</formula>
    </cfRule>
    <cfRule type="expression" dxfId="615" priority="1060">
      <formula>Y559="entregue"</formula>
    </cfRule>
    <cfRule type="expression" dxfId="614" priority="1061">
      <formula>Y559="atrasado"</formula>
    </cfRule>
    <cfRule type="expression" dxfId="613" priority="1062">
      <formula>Y559="efprazo"</formula>
    </cfRule>
    <cfRule type="expression" dxfId="612" priority="1063">
      <formula>Y559="vazio"</formula>
    </cfRule>
  </conditionalFormatting>
  <conditionalFormatting sqref="Y558:AB558">
    <cfRule type="expression" dxfId="611" priority="1054">
      <formula>Y558="risco"</formula>
    </cfRule>
    <cfRule type="expression" dxfId="610" priority="1055">
      <formula>Y558="entregue"</formula>
    </cfRule>
    <cfRule type="expression" dxfId="609" priority="1056">
      <formula>Y558="atrasado"</formula>
    </cfRule>
    <cfRule type="expression" dxfId="608" priority="1057">
      <formula>Y558="efprazo"</formula>
    </cfRule>
    <cfRule type="expression" dxfId="607" priority="1058">
      <formula>Y558="vazio"</formula>
    </cfRule>
  </conditionalFormatting>
  <conditionalFormatting sqref="Y557:AB557">
    <cfRule type="expression" dxfId="606" priority="1049">
      <formula>Y557="risco"</formula>
    </cfRule>
    <cfRule type="expression" dxfId="605" priority="1050">
      <formula>Y557="entregue"</formula>
    </cfRule>
    <cfRule type="expression" dxfId="604" priority="1051">
      <formula>Y557="atrasado"</formula>
    </cfRule>
    <cfRule type="expression" dxfId="603" priority="1052">
      <formula>Y557="efprazo"</formula>
    </cfRule>
    <cfRule type="expression" dxfId="602" priority="1053">
      <formula>Y557="vazio"</formula>
    </cfRule>
  </conditionalFormatting>
  <conditionalFormatting sqref="Y553:AB553">
    <cfRule type="expression" dxfId="601" priority="1044">
      <formula>Y553="risco"</formula>
    </cfRule>
    <cfRule type="expression" dxfId="600" priority="1045">
      <formula>Y553="entregue"</formula>
    </cfRule>
    <cfRule type="expression" dxfId="599" priority="1046">
      <formula>Y553="atrasado"</formula>
    </cfRule>
    <cfRule type="expression" dxfId="598" priority="1047">
      <formula>Y553="efprazo"</formula>
    </cfRule>
    <cfRule type="expression" dxfId="597" priority="1048">
      <formula>Y553="vazio"</formula>
    </cfRule>
  </conditionalFormatting>
  <conditionalFormatting sqref="Y552:AB552">
    <cfRule type="expression" dxfId="596" priority="1039">
      <formula>Y552="risco"</formula>
    </cfRule>
    <cfRule type="expression" dxfId="595" priority="1040">
      <formula>Y552="entregue"</formula>
    </cfRule>
    <cfRule type="expression" dxfId="594" priority="1041">
      <formula>Y552="atrasado"</formula>
    </cfRule>
    <cfRule type="expression" dxfId="593" priority="1042">
      <formula>Y552="efprazo"</formula>
    </cfRule>
    <cfRule type="expression" dxfId="592" priority="1043">
      <formula>Y552="vazio"</formula>
    </cfRule>
  </conditionalFormatting>
  <conditionalFormatting sqref="Y551:AB551">
    <cfRule type="expression" dxfId="591" priority="1034">
      <formula>Y551="risco"</formula>
    </cfRule>
    <cfRule type="expression" dxfId="590" priority="1035">
      <formula>Y551="entregue"</formula>
    </cfRule>
    <cfRule type="expression" dxfId="589" priority="1036">
      <formula>Y551="atrasado"</formula>
    </cfRule>
    <cfRule type="expression" dxfId="588" priority="1037">
      <formula>Y551="efprazo"</formula>
    </cfRule>
    <cfRule type="expression" dxfId="587" priority="1038">
      <formula>Y551="vazio"</formula>
    </cfRule>
  </conditionalFormatting>
  <conditionalFormatting sqref="Y550:AB550">
    <cfRule type="expression" dxfId="586" priority="1029">
      <formula>Y550="risco"</formula>
    </cfRule>
    <cfRule type="expression" dxfId="585" priority="1030">
      <formula>Y550="entregue"</formula>
    </cfRule>
    <cfRule type="expression" dxfId="584" priority="1031">
      <formula>Y550="atrasado"</formula>
    </cfRule>
    <cfRule type="expression" dxfId="583" priority="1032">
      <formula>Y550="efprazo"</formula>
    </cfRule>
    <cfRule type="expression" dxfId="582" priority="1033">
      <formula>Y550="vazio"</formula>
    </cfRule>
  </conditionalFormatting>
  <conditionalFormatting sqref="Y546:AB546">
    <cfRule type="expression" dxfId="581" priority="1024">
      <formula>Y546="risco"</formula>
    </cfRule>
    <cfRule type="expression" dxfId="580" priority="1025">
      <formula>Y546="entregue"</formula>
    </cfRule>
    <cfRule type="expression" dxfId="579" priority="1026">
      <formula>Y546="atrasado"</formula>
    </cfRule>
    <cfRule type="expression" dxfId="578" priority="1027">
      <formula>Y546="efprazo"</formula>
    </cfRule>
    <cfRule type="expression" dxfId="577" priority="1028">
      <formula>Y546="vazio"</formula>
    </cfRule>
  </conditionalFormatting>
  <conditionalFormatting sqref="Y543:AB543">
    <cfRule type="expression" dxfId="576" priority="1019">
      <formula>Y543="risco"</formula>
    </cfRule>
    <cfRule type="expression" dxfId="575" priority="1020">
      <formula>Y543="entregue"</formula>
    </cfRule>
    <cfRule type="expression" dxfId="574" priority="1021">
      <formula>Y543="atrasado"</formula>
    </cfRule>
    <cfRule type="expression" dxfId="573" priority="1022">
      <formula>Y543="efprazo"</formula>
    </cfRule>
    <cfRule type="expression" dxfId="572" priority="1023">
      <formula>Y543="vazio"</formula>
    </cfRule>
  </conditionalFormatting>
  <conditionalFormatting sqref="Y540:AB540">
    <cfRule type="expression" dxfId="571" priority="1014">
      <formula>Y540="risco"</formula>
    </cfRule>
    <cfRule type="expression" dxfId="570" priority="1015">
      <formula>Y540="entregue"</formula>
    </cfRule>
    <cfRule type="expression" dxfId="569" priority="1016">
      <formula>Y540="atrasado"</formula>
    </cfRule>
    <cfRule type="expression" dxfId="568" priority="1017">
      <formula>Y540="efprazo"</formula>
    </cfRule>
    <cfRule type="expression" dxfId="567" priority="1018">
      <formula>Y540="vazio"</formula>
    </cfRule>
  </conditionalFormatting>
  <conditionalFormatting sqref="Y539:AB539">
    <cfRule type="expression" dxfId="566" priority="1009">
      <formula>Y539="risco"</formula>
    </cfRule>
    <cfRule type="expression" dxfId="565" priority="1010">
      <formula>Y539="entregue"</formula>
    </cfRule>
    <cfRule type="expression" dxfId="564" priority="1011">
      <formula>Y539="atrasado"</formula>
    </cfRule>
    <cfRule type="expression" dxfId="563" priority="1012">
      <formula>Y539="efprazo"</formula>
    </cfRule>
    <cfRule type="expression" dxfId="562" priority="1013">
      <formula>Y539="vazio"</formula>
    </cfRule>
  </conditionalFormatting>
  <conditionalFormatting sqref="Y531:AB531">
    <cfRule type="expression" dxfId="561" priority="1004">
      <formula>Y531="risco"</formula>
    </cfRule>
    <cfRule type="expression" dxfId="560" priority="1005">
      <formula>Y531="entregue"</formula>
    </cfRule>
    <cfRule type="expression" dxfId="559" priority="1006">
      <formula>Y531="atrasado"</formula>
    </cfRule>
    <cfRule type="expression" dxfId="558" priority="1007">
      <formula>Y531="efprazo"</formula>
    </cfRule>
    <cfRule type="expression" dxfId="557" priority="1008">
      <formula>Y531="vazio"</formula>
    </cfRule>
  </conditionalFormatting>
  <conditionalFormatting sqref="Y524:AB524">
    <cfRule type="expression" dxfId="556" priority="999">
      <formula>Y524="risco"</formula>
    </cfRule>
    <cfRule type="expression" dxfId="555" priority="1000">
      <formula>Y524="entregue"</formula>
    </cfRule>
    <cfRule type="expression" dxfId="554" priority="1001">
      <formula>Y524="atrasado"</formula>
    </cfRule>
    <cfRule type="expression" dxfId="553" priority="1002">
      <formula>Y524="efprazo"</formula>
    </cfRule>
    <cfRule type="expression" dxfId="552" priority="1003">
      <formula>Y524="vazio"</formula>
    </cfRule>
  </conditionalFormatting>
  <conditionalFormatting sqref="Y523:AB523">
    <cfRule type="expression" dxfId="551" priority="994">
      <formula>Y523="risco"</formula>
    </cfRule>
    <cfRule type="expression" dxfId="550" priority="995">
      <formula>Y523="entregue"</formula>
    </cfRule>
    <cfRule type="expression" dxfId="549" priority="996">
      <formula>Y523="atrasado"</formula>
    </cfRule>
    <cfRule type="expression" dxfId="548" priority="997">
      <formula>Y523="efprazo"</formula>
    </cfRule>
    <cfRule type="expression" dxfId="547" priority="998">
      <formula>Y523="vazio"</formula>
    </cfRule>
  </conditionalFormatting>
  <conditionalFormatting sqref="Y518:AB518">
    <cfRule type="expression" dxfId="546" priority="989">
      <formula>Y518="risco"</formula>
    </cfRule>
    <cfRule type="expression" dxfId="545" priority="990">
      <formula>Y518="entregue"</formula>
    </cfRule>
    <cfRule type="expression" dxfId="544" priority="991">
      <formula>Y518="atrasado"</formula>
    </cfRule>
    <cfRule type="expression" dxfId="543" priority="992">
      <formula>Y518="efprazo"</formula>
    </cfRule>
    <cfRule type="expression" dxfId="542" priority="993">
      <formula>Y518="vazio"</formula>
    </cfRule>
  </conditionalFormatting>
  <conditionalFormatting sqref="Y517:AB517">
    <cfRule type="expression" dxfId="541" priority="984">
      <formula>Y517="risco"</formula>
    </cfRule>
    <cfRule type="expression" dxfId="540" priority="985">
      <formula>Y517="entregue"</formula>
    </cfRule>
    <cfRule type="expression" dxfId="539" priority="986">
      <formula>Y517="atrasado"</formula>
    </cfRule>
    <cfRule type="expression" dxfId="538" priority="987">
      <formula>Y517="efprazo"</formula>
    </cfRule>
    <cfRule type="expression" dxfId="537" priority="988">
      <formula>Y517="vazio"</formula>
    </cfRule>
  </conditionalFormatting>
  <conditionalFormatting sqref="Y516:AB516">
    <cfRule type="expression" dxfId="536" priority="979">
      <formula>Y516="risco"</formula>
    </cfRule>
    <cfRule type="expression" dxfId="535" priority="980">
      <formula>Y516="entregue"</formula>
    </cfRule>
    <cfRule type="expression" dxfId="534" priority="981">
      <formula>Y516="atrasado"</formula>
    </cfRule>
    <cfRule type="expression" dxfId="533" priority="982">
      <formula>Y516="efprazo"</formula>
    </cfRule>
    <cfRule type="expression" dxfId="532" priority="983">
      <formula>Y516="vazio"</formula>
    </cfRule>
  </conditionalFormatting>
  <conditionalFormatting sqref="Y508:AB508">
    <cfRule type="expression" dxfId="531" priority="974">
      <formula>Y508="risco"</formula>
    </cfRule>
    <cfRule type="expression" dxfId="530" priority="975">
      <formula>Y508="entregue"</formula>
    </cfRule>
    <cfRule type="expression" dxfId="529" priority="976">
      <formula>Y508="atrasado"</formula>
    </cfRule>
    <cfRule type="expression" dxfId="528" priority="977">
      <formula>Y508="efprazo"</formula>
    </cfRule>
    <cfRule type="expression" dxfId="527" priority="978">
      <formula>Y508="vazio"</formula>
    </cfRule>
  </conditionalFormatting>
  <conditionalFormatting sqref="Y198:AB198">
    <cfRule type="expression" dxfId="526" priority="909">
      <formula>Y198="risco"</formula>
    </cfRule>
    <cfRule type="expression" dxfId="525" priority="910">
      <formula>Y198="entregue"</formula>
    </cfRule>
    <cfRule type="expression" dxfId="524" priority="911">
      <formula>Y198="atrasado"</formula>
    </cfRule>
    <cfRule type="expression" dxfId="523" priority="912">
      <formula>Y198="efprazo"</formula>
    </cfRule>
    <cfRule type="expression" dxfId="522" priority="913">
      <formula>Y198="vazio"</formula>
    </cfRule>
  </conditionalFormatting>
  <conditionalFormatting sqref="Y229:AB229">
    <cfRule type="expression" dxfId="521" priority="894">
      <formula>Y229="risco"</formula>
    </cfRule>
    <cfRule type="expression" dxfId="520" priority="895">
      <formula>Y229="entregue"</formula>
    </cfRule>
    <cfRule type="expression" dxfId="519" priority="896">
      <formula>Y229="atrasado"</formula>
    </cfRule>
    <cfRule type="expression" dxfId="518" priority="897">
      <formula>Y229="efprazo"</formula>
    </cfRule>
    <cfRule type="expression" dxfId="517" priority="898">
      <formula>Y229="vazio"</formula>
    </cfRule>
  </conditionalFormatting>
  <conditionalFormatting sqref="Y233:AB233">
    <cfRule type="expression" dxfId="516" priority="889">
      <formula>Y233="risco"</formula>
    </cfRule>
    <cfRule type="expression" dxfId="515" priority="890">
      <formula>Y233="entregue"</formula>
    </cfRule>
    <cfRule type="expression" dxfId="514" priority="891">
      <formula>Y233="atrasado"</formula>
    </cfRule>
    <cfRule type="expression" dxfId="513" priority="892">
      <formula>Y233="efprazo"</formula>
    </cfRule>
    <cfRule type="expression" dxfId="512" priority="893">
      <formula>Y233="vazio"</formula>
    </cfRule>
  </conditionalFormatting>
  <conditionalFormatting sqref="Y234:AB234">
    <cfRule type="expression" dxfId="511" priority="884">
      <formula>Y234="risco"</formula>
    </cfRule>
    <cfRule type="expression" dxfId="510" priority="885">
      <formula>Y234="entregue"</formula>
    </cfRule>
    <cfRule type="expression" dxfId="509" priority="886">
      <formula>Y234="atrasado"</formula>
    </cfRule>
    <cfRule type="expression" dxfId="508" priority="887">
      <formula>Y234="efprazo"</formula>
    </cfRule>
    <cfRule type="expression" dxfId="507" priority="888">
      <formula>Y234="vazio"</formula>
    </cfRule>
  </conditionalFormatting>
  <conditionalFormatting sqref="Y255:AB255">
    <cfRule type="expression" dxfId="506" priority="879">
      <formula>Y255="risco"</formula>
    </cfRule>
    <cfRule type="expression" dxfId="505" priority="880">
      <formula>Y255="entregue"</formula>
    </cfRule>
    <cfRule type="expression" dxfId="504" priority="881">
      <formula>Y255="atrasado"</formula>
    </cfRule>
    <cfRule type="expression" dxfId="503" priority="882">
      <formula>Y255="efprazo"</formula>
    </cfRule>
    <cfRule type="expression" dxfId="502" priority="883">
      <formula>Y255="vazio"</formula>
    </cfRule>
  </conditionalFormatting>
  <conditionalFormatting sqref="Y261:AB261">
    <cfRule type="expression" dxfId="501" priority="874">
      <formula>Y261="risco"</formula>
    </cfRule>
    <cfRule type="expression" dxfId="500" priority="875">
      <formula>Y261="entregue"</formula>
    </cfRule>
    <cfRule type="expression" dxfId="499" priority="876">
      <formula>Y261="atrasado"</formula>
    </cfRule>
    <cfRule type="expression" dxfId="498" priority="877">
      <formula>Y261="efprazo"</formula>
    </cfRule>
    <cfRule type="expression" dxfId="497" priority="878">
      <formula>Y261="vazio"</formula>
    </cfRule>
  </conditionalFormatting>
  <conditionalFormatting sqref="Y262:AB262">
    <cfRule type="expression" dxfId="496" priority="869">
      <formula>Y262="risco"</formula>
    </cfRule>
    <cfRule type="expression" dxfId="495" priority="870">
      <formula>Y262="entregue"</formula>
    </cfRule>
    <cfRule type="expression" dxfId="494" priority="871">
      <formula>Y262="atrasado"</formula>
    </cfRule>
    <cfRule type="expression" dxfId="493" priority="872">
      <formula>Y262="efprazo"</formula>
    </cfRule>
    <cfRule type="expression" dxfId="492" priority="873">
      <formula>Y262="vazio"</formula>
    </cfRule>
  </conditionalFormatting>
  <conditionalFormatting sqref="Y266:AB266">
    <cfRule type="expression" dxfId="491" priority="864">
      <formula>Y266="risco"</formula>
    </cfRule>
    <cfRule type="expression" dxfId="490" priority="865">
      <formula>Y266="entregue"</formula>
    </cfRule>
    <cfRule type="expression" dxfId="489" priority="866">
      <formula>Y266="atrasado"</formula>
    </cfRule>
    <cfRule type="expression" dxfId="488" priority="867">
      <formula>Y266="efprazo"</formula>
    </cfRule>
    <cfRule type="expression" dxfId="487" priority="868">
      <formula>Y266="vazio"</formula>
    </cfRule>
  </conditionalFormatting>
  <conditionalFormatting sqref="Y267:AB267">
    <cfRule type="expression" dxfId="486" priority="859">
      <formula>Y267="risco"</formula>
    </cfRule>
    <cfRule type="expression" dxfId="485" priority="860">
      <formula>Y267="entregue"</formula>
    </cfRule>
    <cfRule type="expression" dxfId="484" priority="861">
      <formula>Y267="atrasado"</formula>
    </cfRule>
    <cfRule type="expression" dxfId="483" priority="862">
      <formula>Y267="efprazo"</formula>
    </cfRule>
    <cfRule type="expression" dxfId="482" priority="863">
      <formula>Y267="vazio"</formula>
    </cfRule>
  </conditionalFormatting>
  <conditionalFormatting sqref="Y301:AB301">
    <cfRule type="expression" dxfId="481" priority="854">
      <formula>Y301="risco"</formula>
    </cfRule>
    <cfRule type="expression" dxfId="480" priority="855">
      <formula>Y301="entregue"</formula>
    </cfRule>
    <cfRule type="expression" dxfId="479" priority="856">
      <formula>Y301="atrasado"</formula>
    </cfRule>
    <cfRule type="expression" dxfId="478" priority="857">
      <formula>Y301="efprazo"</formula>
    </cfRule>
    <cfRule type="expression" dxfId="477" priority="858">
      <formula>Y301="vazio"</formula>
    </cfRule>
  </conditionalFormatting>
  <conditionalFormatting sqref="Y307:AB307">
    <cfRule type="expression" dxfId="476" priority="849">
      <formula>Y307="risco"</formula>
    </cfRule>
    <cfRule type="expression" dxfId="475" priority="850">
      <formula>Y307="entregue"</formula>
    </cfRule>
    <cfRule type="expression" dxfId="474" priority="851">
      <formula>Y307="atrasado"</formula>
    </cfRule>
    <cfRule type="expression" dxfId="473" priority="852">
      <formula>Y307="efprazo"</formula>
    </cfRule>
    <cfRule type="expression" dxfId="472" priority="853">
      <formula>Y307="vazio"</formula>
    </cfRule>
  </conditionalFormatting>
  <conditionalFormatting sqref="Y308:AB308">
    <cfRule type="expression" dxfId="471" priority="844">
      <formula>Y308="risco"</formula>
    </cfRule>
    <cfRule type="expression" dxfId="470" priority="845">
      <formula>Y308="entregue"</formula>
    </cfRule>
    <cfRule type="expression" dxfId="469" priority="846">
      <formula>Y308="atrasado"</formula>
    </cfRule>
    <cfRule type="expression" dxfId="468" priority="847">
      <formula>Y308="efprazo"</formula>
    </cfRule>
    <cfRule type="expression" dxfId="467" priority="848">
      <formula>Y308="vazio"</formula>
    </cfRule>
  </conditionalFormatting>
  <conditionalFormatting sqref="Y390:AB390">
    <cfRule type="expression" dxfId="466" priority="839">
      <formula>Y390="risco"</formula>
    </cfRule>
    <cfRule type="expression" dxfId="465" priority="840">
      <formula>Y390="entregue"</formula>
    </cfRule>
    <cfRule type="expression" dxfId="464" priority="841">
      <formula>Y390="atrasado"</formula>
    </cfRule>
    <cfRule type="expression" dxfId="463" priority="842">
      <formula>Y390="efprazo"</formula>
    </cfRule>
    <cfRule type="expression" dxfId="462" priority="843">
      <formula>Y390="vazio"</formula>
    </cfRule>
  </conditionalFormatting>
  <conditionalFormatting sqref="Y383:AB383">
    <cfRule type="expression" dxfId="461" priority="834">
      <formula>Y383="risco"</formula>
    </cfRule>
    <cfRule type="expression" dxfId="460" priority="835">
      <formula>Y383="entregue"</formula>
    </cfRule>
    <cfRule type="expression" dxfId="459" priority="836">
      <formula>Y383="atrasado"</formula>
    </cfRule>
    <cfRule type="expression" dxfId="458" priority="837">
      <formula>Y383="efprazo"</formula>
    </cfRule>
    <cfRule type="expression" dxfId="457" priority="838">
      <formula>Y383="vazio"</formula>
    </cfRule>
  </conditionalFormatting>
  <conditionalFormatting sqref="Y377:AB377">
    <cfRule type="expression" dxfId="456" priority="829">
      <formula>Y377="risco"</formula>
    </cfRule>
    <cfRule type="expression" dxfId="455" priority="830">
      <formula>Y377="entregue"</formula>
    </cfRule>
    <cfRule type="expression" dxfId="454" priority="831">
      <formula>Y377="atrasado"</formula>
    </cfRule>
    <cfRule type="expression" dxfId="453" priority="832">
      <formula>Y377="efprazo"</formula>
    </cfRule>
    <cfRule type="expression" dxfId="452" priority="833">
      <formula>Y377="vazio"</formula>
    </cfRule>
  </conditionalFormatting>
  <conditionalFormatting sqref="Y376:AB376">
    <cfRule type="expression" dxfId="451" priority="824">
      <formula>Y376="risco"</formula>
    </cfRule>
    <cfRule type="expression" dxfId="450" priority="825">
      <formula>Y376="entregue"</formula>
    </cfRule>
    <cfRule type="expression" dxfId="449" priority="826">
      <formula>Y376="atrasado"</formula>
    </cfRule>
    <cfRule type="expression" dxfId="448" priority="827">
      <formula>Y376="efprazo"</formula>
    </cfRule>
    <cfRule type="expression" dxfId="447" priority="828">
      <formula>Y376="vazio"</formula>
    </cfRule>
  </conditionalFormatting>
  <conditionalFormatting sqref="Y370:AB370">
    <cfRule type="expression" dxfId="446" priority="819">
      <formula>Y370="risco"</formula>
    </cfRule>
    <cfRule type="expression" dxfId="445" priority="820">
      <formula>Y370="entregue"</formula>
    </cfRule>
    <cfRule type="expression" dxfId="444" priority="821">
      <formula>Y370="atrasado"</formula>
    </cfRule>
    <cfRule type="expression" dxfId="443" priority="822">
      <formula>Y370="efprazo"</formula>
    </cfRule>
    <cfRule type="expression" dxfId="442" priority="823">
      <formula>Y370="vazio"</formula>
    </cfRule>
  </conditionalFormatting>
  <conditionalFormatting sqref="Y391:AB391">
    <cfRule type="expression" dxfId="441" priority="814">
      <formula>Y391="risco"</formula>
    </cfRule>
    <cfRule type="expression" dxfId="440" priority="815">
      <formula>Y391="entregue"</formula>
    </cfRule>
    <cfRule type="expression" dxfId="439" priority="816">
      <formula>Y391="atrasado"</formula>
    </cfRule>
    <cfRule type="expression" dxfId="438" priority="817">
      <formula>Y391="efprazo"</formula>
    </cfRule>
    <cfRule type="expression" dxfId="437" priority="818">
      <formula>Y391="vazio"</formula>
    </cfRule>
  </conditionalFormatting>
  <conditionalFormatting sqref="C10:X11">
    <cfRule type="expression" dxfId="436" priority="812">
      <formula>C10="nok"</formula>
    </cfRule>
    <cfRule type="expression" dxfId="435" priority="813">
      <formula>C10="ok"</formula>
    </cfRule>
  </conditionalFormatting>
  <conditionalFormatting sqref="Y19:AB19">
    <cfRule type="expression" dxfId="434" priority="453">
      <formula>Y19="risco"</formula>
    </cfRule>
    <cfRule type="expression" dxfId="433" priority="454">
      <formula>Y19="entregue"</formula>
    </cfRule>
    <cfRule type="expression" dxfId="432" priority="455">
      <formula>Y19="atrasado"</formula>
    </cfRule>
    <cfRule type="expression" dxfId="431" priority="456">
      <formula>Y19="efprazo"</formula>
    </cfRule>
    <cfRule type="expression" dxfId="430" priority="457">
      <formula>Y19="vazio"</formula>
    </cfRule>
  </conditionalFormatting>
  <conditionalFormatting sqref="Y22:AB22">
    <cfRule type="expression" dxfId="429" priority="448">
      <formula>Y22="risco"</formula>
    </cfRule>
    <cfRule type="expression" dxfId="428" priority="449">
      <formula>Y22="entregue"</formula>
    </cfRule>
    <cfRule type="expression" dxfId="427" priority="450">
      <formula>Y22="atrasado"</formula>
    </cfRule>
    <cfRule type="expression" dxfId="426" priority="451">
      <formula>Y22="efprazo"</formula>
    </cfRule>
    <cfRule type="expression" dxfId="425" priority="452">
      <formula>Y22="vazio"</formula>
    </cfRule>
  </conditionalFormatting>
  <conditionalFormatting sqref="Y52:AB52">
    <cfRule type="expression" dxfId="424" priority="443">
      <formula>Y52="risco"</formula>
    </cfRule>
    <cfRule type="expression" dxfId="423" priority="444">
      <formula>Y52="entregue"</formula>
    </cfRule>
    <cfRule type="expression" dxfId="422" priority="445">
      <formula>Y52="atrasado"</formula>
    </cfRule>
    <cfRule type="expression" dxfId="421" priority="446">
      <formula>Y52="efprazo"</formula>
    </cfRule>
    <cfRule type="expression" dxfId="420" priority="447">
      <formula>Y52="vazio"</formula>
    </cfRule>
  </conditionalFormatting>
  <conditionalFormatting sqref="Y54:AB54">
    <cfRule type="expression" dxfId="419" priority="438">
      <formula>Y54="risco"</formula>
    </cfRule>
    <cfRule type="expression" dxfId="418" priority="439">
      <formula>Y54="entregue"</formula>
    </cfRule>
    <cfRule type="expression" dxfId="417" priority="440">
      <formula>Y54="atrasado"</formula>
    </cfRule>
    <cfRule type="expression" dxfId="416" priority="441">
      <formula>Y54="efprazo"</formula>
    </cfRule>
    <cfRule type="expression" dxfId="415" priority="442">
      <formula>Y54="vazio"</formula>
    </cfRule>
  </conditionalFormatting>
  <conditionalFormatting sqref="Y56:AB56">
    <cfRule type="expression" dxfId="414" priority="433">
      <formula>Y56="risco"</formula>
    </cfRule>
    <cfRule type="expression" dxfId="413" priority="434">
      <formula>Y56="entregue"</formula>
    </cfRule>
    <cfRule type="expression" dxfId="412" priority="435">
      <formula>Y56="atrasado"</formula>
    </cfRule>
    <cfRule type="expression" dxfId="411" priority="436">
      <formula>Y56="efprazo"</formula>
    </cfRule>
    <cfRule type="expression" dxfId="410" priority="437">
      <formula>Y56="vazio"</formula>
    </cfRule>
  </conditionalFormatting>
  <conditionalFormatting sqref="Y55:AB55">
    <cfRule type="expression" dxfId="409" priority="428">
      <formula>Y55="risco"</formula>
    </cfRule>
    <cfRule type="expression" dxfId="408" priority="429">
      <formula>Y55="entregue"</formula>
    </cfRule>
    <cfRule type="expression" dxfId="407" priority="430">
      <formula>Y55="atrasado"</formula>
    </cfRule>
    <cfRule type="expression" dxfId="406" priority="431">
      <formula>Y55="efprazo"</formula>
    </cfRule>
    <cfRule type="expression" dxfId="405" priority="432">
      <formula>Y55="vazio"</formula>
    </cfRule>
  </conditionalFormatting>
  <conditionalFormatting sqref="Y68:AB68">
    <cfRule type="expression" dxfId="404" priority="423">
      <formula>Y68="risco"</formula>
    </cfRule>
    <cfRule type="expression" dxfId="403" priority="424">
      <formula>Y68="entregue"</formula>
    </cfRule>
    <cfRule type="expression" dxfId="402" priority="425">
      <formula>Y68="atrasado"</formula>
    </cfRule>
    <cfRule type="expression" dxfId="401" priority="426">
      <formula>Y68="efprazo"</formula>
    </cfRule>
    <cfRule type="expression" dxfId="400" priority="427">
      <formula>Y68="vazio"</formula>
    </cfRule>
  </conditionalFormatting>
  <conditionalFormatting sqref="Y72:AB72">
    <cfRule type="expression" dxfId="399" priority="418">
      <formula>Y72="risco"</formula>
    </cfRule>
    <cfRule type="expression" dxfId="398" priority="419">
      <formula>Y72="entregue"</formula>
    </cfRule>
    <cfRule type="expression" dxfId="397" priority="420">
      <formula>Y72="atrasado"</formula>
    </cfRule>
    <cfRule type="expression" dxfId="396" priority="421">
      <formula>Y72="efprazo"</formula>
    </cfRule>
    <cfRule type="expression" dxfId="395" priority="422">
      <formula>Y72="vazio"</formula>
    </cfRule>
  </conditionalFormatting>
  <conditionalFormatting sqref="Y112:AB113">
    <cfRule type="expression" dxfId="394" priority="413">
      <formula>Y112="risco"</formula>
    </cfRule>
    <cfRule type="expression" dxfId="393" priority="414">
      <formula>Y112="entregue"</formula>
    </cfRule>
    <cfRule type="expression" dxfId="392" priority="415">
      <formula>Y112="atrasado"</formula>
    </cfRule>
    <cfRule type="expression" dxfId="391" priority="416">
      <formula>Y112="efprazo"</formula>
    </cfRule>
    <cfRule type="expression" dxfId="390" priority="417">
      <formula>Y112="vazio"</formula>
    </cfRule>
  </conditionalFormatting>
  <conditionalFormatting sqref="Y169:AB169">
    <cfRule type="expression" dxfId="389" priority="408">
      <formula>Y169="risco"</formula>
    </cfRule>
    <cfRule type="expression" dxfId="388" priority="409">
      <formula>Y169="entregue"</formula>
    </cfRule>
    <cfRule type="expression" dxfId="387" priority="410">
      <formula>Y169="atrasado"</formula>
    </cfRule>
    <cfRule type="expression" dxfId="386" priority="411">
      <formula>Y169="efprazo"</formula>
    </cfRule>
    <cfRule type="expression" dxfId="385" priority="412">
      <formula>Y169="vazio"</formula>
    </cfRule>
  </conditionalFormatting>
  <conditionalFormatting sqref="Y171:AB171">
    <cfRule type="expression" dxfId="384" priority="403">
      <formula>Y171="risco"</formula>
    </cfRule>
    <cfRule type="expression" dxfId="383" priority="404">
      <formula>Y171="entregue"</formula>
    </cfRule>
    <cfRule type="expression" dxfId="382" priority="405">
      <formula>Y171="atrasado"</formula>
    </cfRule>
    <cfRule type="expression" dxfId="381" priority="406">
      <formula>Y171="efprazo"</formula>
    </cfRule>
    <cfRule type="expression" dxfId="380" priority="407">
      <formula>Y171="vazio"</formula>
    </cfRule>
  </conditionalFormatting>
  <conditionalFormatting sqref="Y172:AB174">
    <cfRule type="expression" dxfId="379" priority="398">
      <formula>Y172="risco"</formula>
    </cfRule>
    <cfRule type="expression" dxfId="378" priority="399">
      <formula>Y172="entregue"</formula>
    </cfRule>
    <cfRule type="expression" dxfId="377" priority="400">
      <formula>Y172="atrasado"</formula>
    </cfRule>
    <cfRule type="expression" dxfId="376" priority="401">
      <formula>Y172="efprazo"</formula>
    </cfRule>
    <cfRule type="expression" dxfId="375" priority="402">
      <formula>Y172="vazio"</formula>
    </cfRule>
  </conditionalFormatting>
  <conditionalFormatting sqref="Y175:AB176">
    <cfRule type="expression" dxfId="374" priority="393">
      <formula>Y175="risco"</formula>
    </cfRule>
    <cfRule type="expression" dxfId="373" priority="394">
      <formula>Y175="entregue"</formula>
    </cfRule>
    <cfRule type="expression" dxfId="372" priority="395">
      <formula>Y175="atrasado"</formula>
    </cfRule>
    <cfRule type="expression" dxfId="371" priority="396">
      <formula>Y175="efprazo"</formula>
    </cfRule>
    <cfRule type="expression" dxfId="370" priority="397">
      <formula>Y175="vazio"</formula>
    </cfRule>
  </conditionalFormatting>
  <conditionalFormatting sqref="Y178:AB178">
    <cfRule type="expression" dxfId="369" priority="388">
      <formula>Y178="risco"</formula>
    </cfRule>
    <cfRule type="expression" dxfId="368" priority="389">
      <formula>Y178="entregue"</formula>
    </cfRule>
    <cfRule type="expression" dxfId="367" priority="390">
      <formula>Y178="atrasado"</formula>
    </cfRule>
    <cfRule type="expression" dxfId="366" priority="391">
      <formula>Y178="efprazo"</formula>
    </cfRule>
    <cfRule type="expression" dxfId="365" priority="392">
      <formula>Y178="vazio"</formula>
    </cfRule>
  </conditionalFormatting>
  <conditionalFormatting sqref="Y179:AB181">
    <cfRule type="expression" dxfId="364" priority="383">
      <formula>Y179="risco"</formula>
    </cfRule>
    <cfRule type="expression" dxfId="363" priority="384">
      <formula>Y179="entregue"</formula>
    </cfRule>
    <cfRule type="expression" dxfId="362" priority="385">
      <formula>Y179="atrasado"</formula>
    </cfRule>
    <cfRule type="expression" dxfId="361" priority="386">
      <formula>Y179="efprazo"</formula>
    </cfRule>
    <cfRule type="expression" dxfId="360" priority="387">
      <formula>Y179="vazio"</formula>
    </cfRule>
  </conditionalFormatting>
  <conditionalFormatting sqref="Y188:AB188">
    <cfRule type="expression" dxfId="359" priority="373">
      <formula>Y188="risco"</formula>
    </cfRule>
    <cfRule type="expression" dxfId="358" priority="374">
      <formula>Y188="entregue"</formula>
    </cfRule>
    <cfRule type="expression" dxfId="357" priority="375">
      <formula>Y188="atrasado"</formula>
    </cfRule>
    <cfRule type="expression" dxfId="356" priority="376">
      <formula>Y188="efprazo"</formula>
    </cfRule>
    <cfRule type="expression" dxfId="355" priority="377">
      <formula>Y188="vazio"</formula>
    </cfRule>
  </conditionalFormatting>
  <conditionalFormatting sqref="Y185:AB185">
    <cfRule type="expression" dxfId="354" priority="368">
      <formula>Y185="risco"</formula>
    </cfRule>
    <cfRule type="expression" dxfId="353" priority="369">
      <formula>Y185="entregue"</formula>
    </cfRule>
    <cfRule type="expression" dxfId="352" priority="370">
      <formula>Y185="atrasado"</formula>
    </cfRule>
    <cfRule type="expression" dxfId="351" priority="371">
      <formula>Y185="efprazo"</formula>
    </cfRule>
    <cfRule type="expression" dxfId="350" priority="372">
      <formula>Y185="vazio"</formula>
    </cfRule>
  </conditionalFormatting>
  <conditionalFormatting sqref="Y184:AB184">
    <cfRule type="expression" dxfId="349" priority="363">
      <formula>Y184="risco"</formula>
    </cfRule>
    <cfRule type="expression" dxfId="348" priority="364">
      <formula>Y184="entregue"</formula>
    </cfRule>
    <cfRule type="expression" dxfId="347" priority="365">
      <formula>Y184="atrasado"</formula>
    </cfRule>
    <cfRule type="expression" dxfId="346" priority="366">
      <formula>Y184="efprazo"</formula>
    </cfRule>
    <cfRule type="expression" dxfId="345" priority="367">
      <formula>Y184="vazio"</formula>
    </cfRule>
  </conditionalFormatting>
  <conditionalFormatting sqref="Y183:AB183">
    <cfRule type="expression" dxfId="344" priority="358">
      <formula>Y183="risco"</formula>
    </cfRule>
    <cfRule type="expression" dxfId="343" priority="359">
      <formula>Y183="entregue"</formula>
    </cfRule>
    <cfRule type="expression" dxfId="342" priority="360">
      <formula>Y183="atrasado"</formula>
    </cfRule>
    <cfRule type="expression" dxfId="341" priority="361">
      <formula>Y183="efprazo"</formula>
    </cfRule>
    <cfRule type="expression" dxfId="340" priority="362">
      <formula>Y183="vazio"</formula>
    </cfRule>
  </conditionalFormatting>
  <conditionalFormatting sqref="Y191:AB191">
    <cfRule type="expression" dxfId="339" priority="353">
      <formula>Y191="risco"</formula>
    </cfRule>
    <cfRule type="expression" dxfId="338" priority="354">
      <formula>Y191="entregue"</formula>
    </cfRule>
    <cfRule type="expression" dxfId="337" priority="355">
      <formula>Y191="atrasado"</formula>
    </cfRule>
    <cfRule type="expression" dxfId="336" priority="356">
      <formula>Y191="efprazo"</formula>
    </cfRule>
    <cfRule type="expression" dxfId="335" priority="357">
      <formula>Y191="vazio"</formula>
    </cfRule>
  </conditionalFormatting>
  <conditionalFormatting sqref="Y189:AB189">
    <cfRule type="expression" dxfId="334" priority="348">
      <formula>Y189="risco"</formula>
    </cfRule>
    <cfRule type="expression" dxfId="333" priority="349">
      <formula>Y189="entregue"</formula>
    </cfRule>
    <cfRule type="expression" dxfId="332" priority="350">
      <formula>Y189="atrasado"</formula>
    </cfRule>
    <cfRule type="expression" dxfId="331" priority="351">
      <formula>Y189="efprazo"</formula>
    </cfRule>
    <cfRule type="expression" dxfId="330" priority="352">
      <formula>Y189="vazio"</formula>
    </cfRule>
  </conditionalFormatting>
  <conditionalFormatting sqref="Y200:AB200">
    <cfRule type="expression" dxfId="329" priority="343">
      <formula>Y200="risco"</formula>
    </cfRule>
    <cfRule type="expression" dxfId="328" priority="344">
      <formula>Y200="entregue"</formula>
    </cfRule>
    <cfRule type="expression" dxfId="327" priority="345">
      <formula>Y200="atrasado"</formula>
    </cfRule>
    <cfRule type="expression" dxfId="326" priority="346">
      <formula>Y200="efprazo"</formula>
    </cfRule>
    <cfRule type="expression" dxfId="325" priority="347">
      <formula>Y200="vazio"</formula>
    </cfRule>
  </conditionalFormatting>
  <conditionalFormatting sqref="Y201:AB201">
    <cfRule type="expression" dxfId="324" priority="338">
      <formula>Y201="risco"</formula>
    </cfRule>
    <cfRule type="expression" dxfId="323" priority="339">
      <formula>Y201="entregue"</formula>
    </cfRule>
    <cfRule type="expression" dxfId="322" priority="340">
      <formula>Y201="atrasado"</formula>
    </cfRule>
    <cfRule type="expression" dxfId="321" priority="341">
      <formula>Y201="efprazo"</formula>
    </cfRule>
    <cfRule type="expression" dxfId="320" priority="342">
      <formula>Y201="vazio"</formula>
    </cfRule>
  </conditionalFormatting>
  <conditionalFormatting sqref="Y204:AB204">
    <cfRule type="expression" dxfId="319" priority="333">
      <formula>Y204="risco"</formula>
    </cfRule>
    <cfRule type="expression" dxfId="318" priority="334">
      <formula>Y204="entregue"</formula>
    </cfRule>
    <cfRule type="expression" dxfId="317" priority="335">
      <formula>Y204="atrasado"</formula>
    </cfRule>
    <cfRule type="expression" dxfId="316" priority="336">
      <formula>Y204="efprazo"</formula>
    </cfRule>
    <cfRule type="expression" dxfId="315" priority="337">
      <formula>Y204="vazio"</formula>
    </cfRule>
  </conditionalFormatting>
  <conditionalFormatting sqref="Y207:AB207">
    <cfRule type="expression" dxfId="314" priority="328">
      <formula>Y207="risco"</formula>
    </cfRule>
    <cfRule type="expression" dxfId="313" priority="329">
      <formula>Y207="entregue"</formula>
    </cfRule>
    <cfRule type="expression" dxfId="312" priority="330">
      <formula>Y207="atrasado"</formula>
    </cfRule>
    <cfRule type="expression" dxfId="311" priority="331">
      <formula>Y207="efprazo"</formula>
    </cfRule>
    <cfRule type="expression" dxfId="310" priority="332">
      <formula>Y207="vazio"</formula>
    </cfRule>
  </conditionalFormatting>
  <conditionalFormatting sqref="Y206:AB206">
    <cfRule type="expression" dxfId="309" priority="323">
      <formula>Y206="risco"</formula>
    </cfRule>
    <cfRule type="expression" dxfId="308" priority="324">
      <formula>Y206="entregue"</formula>
    </cfRule>
    <cfRule type="expression" dxfId="307" priority="325">
      <formula>Y206="atrasado"</formula>
    </cfRule>
    <cfRule type="expression" dxfId="306" priority="326">
      <formula>Y206="efprazo"</formula>
    </cfRule>
    <cfRule type="expression" dxfId="305" priority="327">
      <formula>Y206="vazio"</formula>
    </cfRule>
  </conditionalFormatting>
  <conditionalFormatting sqref="Y210:AB211">
    <cfRule type="expression" dxfId="304" priority="318">
      <formula>Y210="risco"</formula>
    </cfRule>
    <cfRule type="expression" dxfId="303" priority="319">
      <formula>Y210="entregue"</formula>
    </cfRule>
    <cfRule type="expression" dxfId="302" priority="320">
      <formula>Y210="atrasado"</formula>
    </cfRule>
    <cfRule type="expression" dxfId="301" priority="321">
      <formula>Y210="efprazo"</formula>
    </cfRule>
    <cfRule type="expression" dxfId="300" priority="322">
      <formula>Y210="vazio"</formula>
    </cfRule>
  </conditionalFormatting>
  <conditionalFormatting sqref="Y213:AB213">
    <cfRule type="expression" dxfId="299" priority="313">
      <formula>Y213="risco"</formula>
    </cfRule>
    <cfRule type="expression" dxfId="298" priority="314">
      <formula>Y213="entregue"</formula>
    </cfRule>
    <cfRule type="expression" dxfId="297" priority="315">
      <formula>Y213="atrasado"</formula>
    </cfRule>
    <cfRule type="expression" dxfId="296" priority="316">
      <formula>Y213="efprazo"</formula>
    </cfRule>
    <cfRule type="expression" dxfId="295" priority="317">
      <formula>Y213="vazio"</formula>
    </cfRule>
  </conditionalFormatting>
  <conditionalFormatting sqref="Y214:AB215">
    <cfRule type="expression" dxfId="294" priority="303">
      <formula>Y214="risco"</formula>
    </cfRule>
    <cfRule type="expression" dxfId="293" priority="304">
      <formula>Y214="entregue"</formula>
    </cfRule>
    <cfRule type="expression" dxfId="292" priority="305">
      <formula>Y214="atrasado"</formula>
    </cfRule>
    <cfRule type="expression" dxfId="291" priority="306">
      <formula>Y214="efprazo"</formula>
    </cfRule>
    <cfRule type="expression" dxfId="290" priority="307">
      <formula>Y214="vazio"</formula>
    </cfRule>
  </conditionalFormatting>
  <conditionalFormatting sqref="Y216:AB216">
    <cfRule type="expression" dxfId="289" priority="298">
      <formula>Y216="risco"</formula>
    </cfRule>
    <cfRule type="expression" dxfId="288" priority="299">
      <formula>Y216="entregue"</formula>
    </cfRule>
    <cfRule type="expression" dxfId="287" priority="300">
      <formula>Y216="atrasado"</formula>
    </cfRule>
    <cfRule type="expression" dxfId="286" priority="301">
      <formula>Y216="efprazo"</formula>
    </cfRule>
    <cfRule type="expression" dxfId="285" priority="302">
      <formula>Y216="vazio"</formula>
    </cfRule>
  </conditionalFormatting>
  <conditionalFormatting sqref="Y218:AB218">
    <cfRule type="expression" dxfId="284" priority="293">
      <formula>Y218="risco"</formula>
    </cfRule>
    <cfRule type="expression" dxfId="283" priority="294">
      <formula>Y218="entregue"</formula>
    </cfRule>
    <cfRule type="expression" dxfId="282" priority="295">
      <formula>Y218="atrasado"</formula>
    </cfRule>
    <cfRule type="expression" dxfId="281" priority="296">
      <formula>Y218="efprazo"</formula>
    </cfRule>
    <cfRule type="expression" dxfId="280" priority="297">
      <formula>Y218="vazio"</formula>
    </cfRule>
  </conditionalFormatting>
  <conditionalFormatting sqref="Y217:AB217">
    <cfRule type="expression" dxfId="279" priority="288">
      <formula>Y217="risco"</formula>
    </cfRule>
    <cfRule type="expression" dxfId="278" priority="289">
      <formula>Y217="entregue"</formula>
    </cfRule>
    <cfRule type="expression" dxfId="277" priority="290">
      <formula>Y217="atrasado"</formula>
    </cfRule>
    <cfRule type="expression" dxfId="276" priority="291">
      <formula>Y217="efprazo"</formula>
    </cfRule>
    <cfRule type="expression" dxfId="275" priority="292">
      <formula>Y217="vazio"</formula>
    </cfRule>
  </conditionalFormatting>
  <conditionalFormatting sqref="Y220:AB220">
    <cfRule type="expression" dxfId="274" priority="283">
      <formula>Y220="risco"</formula>
    </cfRule>
    <cfRule type="expression" dxfId="273" priority="284">
      <formula>Y220="entregue"</formula>
    </cfRule>
    <cfRule type="expression" dxfId="272" priority="285">
      <formula>Y220="atrasado"</formula>
    </cfRule>
    <cfRule type="expression" dxfId="271" priority="286">
      <formula>Y220="efprazo"</formula>
    </cfRule>
    <cfRule type="expression" dxfId="270" priority="287">
      <formula>Y220="vazio"</formula>
    </cfRule>
  </conditionalFormatting>
  <conditionalFormatting sqref="C13:X14">
    <cfRule type="expression" dxfId="269" priority="281">
      <formula>C13="nok"</formula>
    </cfRule>
    <cfRule type="expression" dxfId="268" priority="282">
      <formula>C13="ok"</formula>
    </cfRule>
  </conditionalFormatting>
  <conditionalFormatting sqref="C17:X18">
    <cfRule type="expression" dxfId="267" priority="279">
      <formula>C17="nok"</formula>
    </cfRule>
    <cfRule type="expression" dxfId="266" priority="280">
      <formula>C17="ok"</formula>
    </cfRule>
  </conditionalFormatting>
  <conditionalFormatting sqref="C21:X22">
    <cfRule type="expression" dxfId="265" priority="277">
      <formula>C21="nok"</formula>
    </cfRule>
    <cfRule type="expression" dxfId="264" priority="278">
      <formula>C21="ok"</formula>
    </cfRule>
  </conditionalFormatting>
  <conditionalFormatting sqref="C19:X19">
    <cfRule type="expression" dxfId="263" priority="275">
      <formula>C19="nok"</formula>
    </cfRule>
    <cfRule type="expression" dxfId="262" priority="276">
      <formula>C19="ok"</formula>
    </cfRule>
  </conditionalFormatting>
  <conditionalFormatting sqref="C23:X23">
    <cfRule type="expression" dxfId="261" priority="273">
      <formula>C23="nok"</formula>
    </cfRule>
    <cfRule type="expression" dxfId="260" priority="274">
      <formula>C23="ok"</formula>
    </cfRule>
  </conditionalFormatting>
  <conditionalFormatting sqref="C26:X28">
    <cfRule type="expression" dxfId="259" priority="271">
      <formula>C26="nok"</formula>
    </cfRule>
    <cfRule type="expression" dxfId="258" priority="272">
      <formula>C26="ok"</formula>
    </cfRule>
  </conditionalFormatting>
  <conditionalFormatting sqref="C30:X32">
    <cfRule type="expression" dxfId="257" priority="269">
      <formula>C30="nok"</formula>
    </cfRule>
    <cfRule type="expression" dxfId="256" priority="270">
      <formula>C30="ok"</formula>
    </cfRule>
  </conditionalFormatting>
  <conditionalFormatting sqref="C35:X37">
    <cfRule type="expression" dxfId="255" priority="267">
      <formula>C35="nok"</formula>
    </cfRule>
    <cfRule type="expression" dxfId="254" priority="268">
      <formula>C35="ok"</formula>
    </cfRule>
  </conditionalFormatting>
  <conditionalFormatting sqref="C39:X41">
    <cfRule type="expression" dxfId="253" priority="265">
      <formula>C39="nok"</formula>
    </cfRule>
    <cfRule type="expression" dxfId="252" priority="266">
      <formula>C39="ok"</formula>
    </cfRule>
  </conditionalFormatting>
  <conditionalFormatting sqref="C44:X44">
    <cfRule type="expression" dxfId="251" priority="263">
      <formula>C44="nok"</formula>
    </cfRule>
    <cfRule type="expression" dxfId="250" priority="264">
      <formula>C44="ok"</formula>
    </cfRule>
  </conditionalFormatting>
  <conditionalFormatting sqref="C45:X45">
    <cfRule type="expression" dxfId="249" priority="261">
      <formula>C45="nok"</formula>
    </cfRule>
    <cfRule type="expression" dxfId="248" priority="262">
      <formula>C45="ok"</formula>
    </cfRule>
  </conditionalFormatting>
  <conditionalFormatting sqref="C46:X46">
    <cfRule type="expression" dxfId="247" priority="259">
      <formula>C46="nok"</formula>
    </cfRule>
    <cfRule type="expression" dxfId="246" priority="260">
      <formula>C46="ok"</formula>
    </cfRule>
  </conditionalFormatting>
  <conditionalFormatting sqref="C48:X48">
    <cfRule type="expression" dxfId="245" priority="257">
      <formula>C48="nok"</formula>
    </cfRule>
    <cfRule type="expression" dxfId="244" priority="258">
      <formula>C48="ok"</formula>
    </cfRule>
  </conditionalFormatting>
  <conditionalFormatting sqref="C49:D49 F49:X49">
    <cfRule type="expression" dxfId="243" priority="255">
      <formula>C49="nok"</formula>
    </cfRule>
    <cfRule type="expression" dxfId="242" priority="256">
      <formula>C49="ok"</formula>
    </cfRule>
  </conditionalFormatting>
  <conditionalFormatting sqref="C52:X52">
    <cfRule type="expression" dxfId="241" priority="253">
      <formula>C52="nok"</formula>
    </cfRule>
    <cfRule type="expression" dxfId="240" priority="254">
      <formula>C52="ok"</formula>
    </cfRule>
  </conditionalFormatting>
  <conditionalFormatting sqref="C53:X53">
    <cfRule type="expression" dxfId="239" priority="251">
      <formula>C53="nok"</formula>
    </cfRule>
    <cfRule type="expression" dxfId="238" priority="252">
      <formula>C53="ok"</formula>
    </cfRule>
  </conditionalFormatting>
  <conditionalFormatting sqref="C54:X54">
    <cfRule type="expression" dxfId="237" priority="249">
      <formula>C54="nok"</formula>
    </cfRule>
    <cfRule type="expression" dxfId="236" priority="250">
      <formula>C54="ok"</formula>
    </cfRule>
  </conditionalFormatting>
  <conditionalFormatting sqref="C55:X55">
    <cfRule type="expression" dxfId="235" priority="247">
      <formula>C55="nok"</formula>
    </cfRule>
    <cfRule type="expression" dxfId="234" priority="248">
      <formula>C55="ok"</formula>
    </cfRule>
  </conditionalFormatting>
  <conditionalFormatting sqref="C56:X56">
    <cfRule type="expression" dxfId="233" priority="245">
      <formula>C56="nok"</formula>
    </cfRule>
    <cfRule type="expression" dxfId="232" priority="246">
      <formula>C56="ok"</formula>
    </cfRule>
  </conditionalFormatting>
  <conditionalFormatting sqref="C58:X61">
    <cfRule type="expression" dxfId="231" priority="241">
      <formula>C58="nok"</formula>
    </cfRule>
    <cfRule type="expression" dxfId="230" priority="242">
      <formula>C58="ok"</formula>
    </cfRule>
  </conditionalFormatting>
  <conditionalFormatting sqref="C63:X63 C64:T64 V64:X64 C65:U66 W65:X66">
    <cfRule type="expression" dxfId="229" priority="239">
      <formula>C63="nok"</formula>
    </cfRule>
    <cfRule type="expression" dxfId="228" priority="240">
      <formula>C63="ok"</formula>
    </cfRule>
  </conditionalFormatting>
  <conditionalFormatting sqref="C68:X71">
    <cfRule type="expression" dxfId="227" priority="237">
      <formula>C68="nok"</formula>
    </cfRule>
    <cfRule type="expression" dxfId="226" priority="238">
      <formula>C68="ok"</formula>
    </cfRule>
  </conditionalFormatting>
  <conditionalFormatting sqref="C72:X72">
    <cfRule type="expression" dxfId="225" priority="235">
      <formula>C72="nok"</formula>
    </cfRule>
    <cfRule type="expression" dxfId="224" priority="236">
      <formula>C72="ok"</formula>
    </cfRule>
  </conditionalFormatting>
  <conditionalFormatting sqref="C74:X74 C75:P75 R75:X75 C76:Q77 S76:X77">
    <cfRule type="expression" dxfId="223" priority="233">
      <formula>C74="nok"</formula>
    </cfRule>
    <cfRule type="expression" dxfId="222" priority="234">
      <formula>C74="ok"</formula>
    </cfRule>
  </conditionalFormatting>
  <conditionalFormatting sqref="C79:X80">
    <cfRule type="expression" dxfId="221" priority="231">
      <formula>C79="nok"</formula>
    </cfRule>
    <cfRule type="expression" dxfId="220" priority="232">
      <formula>C79="ok"</formula>
    </cfRule>
  </conditionalFormatting>
  <conditionalFormatting sqref="C88:X91">
    <cfRule type="expression" dxfId="219" priority="229">
      <formula>C88="nok"</formula>
    </cfRule>
    <cfRule type="expression" dxfId="218" priority="230">
      <formula>C88="ok"</formula>
    </cfRule>
  </conditionalFormatting>
  <conditionalFormatting sqref="C93:X94">
    <cfRule type="expression" dxfId="217" priority="225">
      <formula>C93="nok"</formula>
    </cfRule>
    <cfRule type="expression" dxfId="216" priority="226">
      <formula>C93="ok"</formula>
    </cfRule>
  </conditionalFormatting>
  <conditionalFormatting sqref="C96:X97">
    <cfRule type="expression" dxfId="215" priority="223">
      <formula>C96="nok"</formula>
    </cfRule>
    <cfRule type="expression" dxfId="214" priority="224">
      <formula>C96="ok"</formula>
    </cfRule>
  </conditionalFormatting>
  <conditionalFormatting sqref="C100:X106">
    <cfRule type="expression" dxfId="213" priority="221">
      <formula>C100="nok"</formula>
    </cfRule>
    <cfRule type="expression" dxfId="212" priority="222">
      <formula>C100="ok"</formula>
    </cfRule>
  </conditionalFormatting>
  <conditionalFormatting sqref="C108:X113">
    <cfRule type="expression" dxfId="211" priority="219">
      <formula>C108="nok"</formula>
    </cfRule>
    <cfRule type="expression" dxfId="210" priority="220">
      <formula>C108="ok"</formula>
    </cfRule>
  </conditionalFormatting>
  <conditionalFormatting sqref="C115:X118">
    <cfRule type="expression" dxfId="209" priority="217">
      <formula>C115="nok"</formula>
    </cfRule>
    <cfRule type="expression" dxfId="208" priority="218">
      <formula>C115="ok"</formula>
    </cfRule>
  </conditionalFormatting>
  <conditionalFormatting sqref="C123:X125">
    <cfRule type="expression" dxfId="207" priority="215">
      <formula>C123="nok"</formula>
    </cfRule>
    <cfRule type="expression" dxfId="206" priority="216">
      <formula>C123="ok"</formula>
    </cfRule>
  </conditionalFormatting>
  <conditionalFormatting sqref="C127:X130">
    <cfRule type="expression" dxfId="205" priority="213">
      <formula>C127="nok"</formula>
    </cfRule>
    <cfRule type="expression" dxfId="204" priority="214">
      <formula>C127="ok"</formula>
    </cfRule>
  </conditionalFormatting>
  <conditionalFormatting sqref="C132:X136">
    <cfRule type="expression" dxfId="203" priority="211">
      <formula>C132="nok"</formula>
    </cfRule>
    <cfRule type="expression" dxfId="202" priority="212">
      <formula>C132="ok"</formula>
    </cfRule>
  </conditionalFormatting>
  <conditionalFormatting sqref="C139:X145">
    <cfRule type="expression" dxfId="201" priority="209">
      <formula>C139="nok"</formula>
    </cfRule>
    <cfRule type="expression" dxfId="200" priority="210">
      <formula>C139="ok"</formula>
    </cfRule>
  </conditionalFormatting>
  <conditionalFormatting sqref="C147:X152">
    <cfRule type="expression" dxfId="199" priority="207">
      <formula>C147="nok"</formula>
    </cfRule>
    <cfRule type="expression" dxfId="198" priority="208">
      <formula>C147="ok"</formula>
    </cfRule>
  </conditionalFormatting>
  <conditionalFormatting sqref="C154:X157">
    <cfRule type="expression" dxfId="197" priority="205">
      <formula>C154="nok"</formula>
    </cfRule>
    <cfRule type="expression" dxfId="196" priority="206">
      <formula>C154="ok"</formula>
    </cfRule>
  </conditionalFormatting>
  <conditionalFormatting sqref="C164:X169">
    <cfRule type="expression" dxfId="195" priority="203">
      <formula>C164="nok"</formula>
    </cfRule>
    <cfRule type="expression" dxfId="194" priority="204">
      <formula>C164="ok"</formula>
    </cfRule>
  </conditionalFormatting>
  <conditionalFormatting sqref="C171:X176">
    <cfRule type="expression" dxfId="193" priority="201">
      <formula>C171="nok"</formula>
    </cfRule>
    <cfRule type="expression" dxfId="192" priority="202">
      <formula>C171="ok"</formula>
    </cfRule>
  </conditionalFormatting>
  <conditionalFormatting sqref="C178:X181">
    <cfRule type="expression" dxfId="191" priority="199">
      <formula>C178="nok"</formula>
    </cfRule>
    <cfRule type="expression" dxfId="190" priority="200">
      <formula>C178="ok"</formula>
    </cfRule>
  </conditionalFormatting>
  <conditionalFormatting sqref="C183:X185">
    <cfRule type="expression" dxfId="189" priority="197">
      <formula>C183="nok"</formula>
    </cfRule>
    <cfRule type="expression" dxfId="188" priority="198">
      <formula>C183="ok"</formula>
    </cfRule>
  </conditionalFormatting>
  <conditionalFormatting sqref="C187:X191">
    <cfRule type="expression" dxfId="187" priority="195">
      <formula>C187="nok"</formula>
    </cfRule>
    <cfRule type="expression" dxfId="186" priority="196">
      <formula>C187="ok"</formula>
    </cfRule>
  </conditionalFormatting>
  <conditionalFormatting sqref="C193:X196">
    <cfRule type="expression" dxfId="185" priority="193">
      <formula>C193="nok"</formula>
    </cfRule>
    <cfRule type="expression" dxfId="184" priority="194">
      <formula>C193="ok"</formula>
    </cfRule>
  </conditionalFormatting>
  <conditionalFormatting sqref="C198:X198">
    <cfRule type="expression" dxfId="183" priority="191">
      <formula>C198="nok"</formula>
    </cfRule>
    <cfRule type="expression" dxfId="182" priority="192">
      <formula>C198="ok"</formula>
    </cfRule>
  </conditionalFormatting>
  <conditionalFormatting sqref="C200:X204">
    <cfRule type="expression" dxfId="181" priority="189">
      <formula>C200="nok"</formula>
    </cfRule>
    <cfRule type="expression" dxfId="180" priority="190">
      <formula>C200="ok"</formula>
    </cfRule>
  </conditionalFormatting>
  <conditionalFormatting sqref="C206:X211">
    <cfRule type="expression" dxfId="179" priority="187">
      <formula>C206="nok"</formula>
    </cfRule>
    <cfRule type="expression" dxfId="178" priority="188">
      <formula>C206="ok"</formula>
    </cfRule>
  </conditionalFormatting>
  <conditionalFormatting sqref="C213:X218">
    <cfRule type="expression" dxfId="177" priority="185">
      <formula>C213="nok"</formula>
    </cfRule>
    <cfRule type="expression" dxfId="176" priority="186">
      <formula>C213="ok"</formula>
    </cfRule>
  </conditionalFormatting>
  <conditionalFormatting sqref="C220:X225">
    <cfRule type="expression" dxfId="175" priority="183">
      <formula>C220="nok"</formula>
    </cfRule>
    <cfRule type="expression" dxfId="174" priority="184">
      <formula>C220="ok"</formula>
    </cfRule>
  </conditionalFormatting>
  <conditionalFormatting sqref="C227:X230">
    <cfRule type="expression" dxfId="173" priority="181">
      <formula>C227="nok"</formula>
    </cfRule>
    <cfRule type="expression" dxfId="172" priority="182">
      <formula>C227="ok"</formula>
    </cfRule>
  </conditionalFormatting>
  <conditionalFormatting sqref="C232:X234">
    <cfRule type="expression" dxfId="171" priority="179">
      <formula>C232="nok"</formula>
    </cfRule>
    <cfRule type="expression" dxfId="170" priority="180">
      <formula>C232="ok"</formula>
    </cfRule>
  </conditionalFormatting>
  <conditionalFormatting sqref="C236:X236">
    <cfRule type="expression" dxfId="169" priority="177">
      <formula>C236="nok"</formula>
    </cfRule>
    <cfRule type="expression" dxfId="168" priority="178">
      <formula>C236="ok"</formula>
    </cfRule>
  </conditionalFormatting>
  <conditionalFormatting sqref="C239:X241">
    <cfRule type="expression" dxfId="167" priority="175">
      <formula>C239="nok"</formula>
    </cfRule>
    <cfRule type="expression" dxfId="166" priority="176">
      <formula>C239="ok"</formula>
    </cfRule>
  </conditionalFormatting>
  <conditionalFormatting sqref="C246:X249">
    <cfRule type="expression" dxfId="165" priority="173">
      <formula>C246="nok"</formula>
    </cfRule>
    <cfRule type="expression" dxfId="164" priority="174">
      <formula>C246="ok"</formula>
    </cfRule>
  </conditionalFormatting>
  <conditionalFormatting sqref="C252:X255">
    <cfRule type="expression" dxfId="163" priority="171">
      <formula>C252="nok"</formula>
    </cfRule>
    <cfRule type="expression" dxfId="162" priority="172">
      <formula>C252="ok"</formula>
    </cfRule>
  </conditionalFormatting>
  <conditionalFormatting sqref="C257:X262">
    <cfRule type="expression" dxfId="161" priority="169">
      <formula>C257="nok"</formula>
    </cfRule>
    <cfRule type="expression" dxfId="160" priority="170">
      <formula>C257="ok"</formula>
    </cfRule>
  </conditionalFormatting>
  <conditionalFormatting sqref="C264:X267">
    <cfRule type="expression" dxfId="159" priority="167">
      <formula>C264="nok"</formula>
    </cfRule>
    <cfRule type="expression" dxfId="158" priority="168">
      <formula>C264="ok"</formula>
    </cfRule>
  </conditionalFormatting>
  <conditionalFormatting sqref="C269:X269">
    <cfRule type="expression" dxfId="157" priority="165">
      <formula>C269="nok"</formula>
    </cfRule>
    <cfRule type="expression" dxfId="156" priority="166">
      <formula>C269="ok"</formula>
    </cfRule>
  </conditionalFormatting>
  <conditionalFormatting sqref="C272:X274">
    <cfRule type="expression" dxfId="155" priority="163">
      <formula>C272="nok"</formula>
    </cfRule>
    <cfRule type="expression" dxfId="154" priority="164">
      <formula>C272="ok"</formula>
    </cfRule>
  </conditionalFormatting>
  <conditionalFormatting sqref="C281:X283">
    <cfRule type="expression" dxfId="153" priority="161">
      <formula>C281="nok"</formula>
    </cfRule>
    <cfRule type="expression" dxfId="152" priority="162">
      <formula>C281="ok"</formula>
    </cfRule>
  </conditionalFormatting>
  <conditionalFormatting sqref="C285:X287">
    <cfRule type="expression" dxfId="151" priority="159">
      <formula>C285="nok"</formula>
    </cfRule>
    <cfRule type="expression" dxfId="150" priority="160">
      <formula>C285="ok"</formula>
    </cfRule>
  </conditionalFormatting>
  <conditionalFormatting sqref="C289:X291">
    <cfRule type="expression" dxfId="149" priority="157">
      <formula>C289="nok"</formula>
    </cfRule>
    <cfRule type="expression" dxfId="148" priority="158">
      <formula>C289="ok"</formula>
    </cfRule>
  </conditionalFormatting>
  <conditionalFormatting sqref="C293:X295">
    <cfRule type="expression" dxfId="147" priority="155">
      <formula>C293="nok"</formula>
    </cfRule>
    <cfRule type="expression" dxfId="146" priority="156">
      <formula>C293="ok"</formula>
    </cfRule>
  </conditionalFormatting>
  <conditionalFormatting sqref="C298:X301">
    <cfRule type="expression" dxfId="145" priority="153">
      <formula>C298="nok"</formula>
    </cfRule>
    <cfRule type="expression" dxfId="144" priority="154">
      <formula>C298="ok"</formula>
    </cfRule>
  </conditionalFormatting>
  <conditionalFormatting sqref="C303:X308">
    <cfRule type="expression" dxfId="143" priority="151">
      <formula>C303="nok"</formula>
    </cfRule>
    <cfRule type="expression" dxfId="142" priority="152">
      <formula>C303="ok"</formula>
    </cfRule>
  </conditionalFormatting>
  <conditionalFormatting sqref="C310:X313">
    <cfRule type="expression" dxfId="141" priority="149">
      <formula>C310="nok"</formula>
    </cfRule>
    <cfRule type="expression" dxfId="140" priority="150">
      <formula>C310="ok"</formula>
    </cfRule>
  </conditionalFormatting>
  <conditionalFormatting sqref="C318:X320">
    <cfRule type="expression" dxfId="139" priority="147">
      <formula>C318="nok"</formula>
    </cfRule>
    <cfRule type="expression" dxfId="138" priority="148">
      <formula>C318="ok"</formula>
    </cfRule>
  </conditionalFormatting>
  <conditionalFormatting sqref="C322:X324">
    <cfRule type="expression" dxfId="137" priority="145">
      <formula>C322="nok"</formula>
    </cfRule>
    <cfRule type="expression" dxfId="136" priority="146">
      <formula>C322="ok"</formula>
    </cfRule>
  </conditionalFormatting>
  <conditionalFormatting sqref="C326:X328">
    <cfRule type="expression" dxfId="135" priority="143">
      <formula>C326="nok"</formula>
    </cfRule>
    <cfRule type="expression" dxfId="134" priority="144">
      <formula>C326="ok"</formula>
    </cfRule>
  </conditionalFormatting>
  <conditionalFormatting sqref="C330:X332">
    <cfRule type="expression" dxfId="133" priority="141">
      <formula>C330="nok"</formula>
    </cfRule>
    <cfRule type="expression" dxfId="132" priority="142">
      <formula>C330="ok"</formula>
    </cfRule>
  </conditionalFormatting>
  <conditionalFormatting sqref="C335:X342">
    <cfRule type="expression" dxfId="131" priority="139">
      <formula>C335="nok"</formula>
    </cfRule>
    <cfRule type="expression" dxfId="130" priority="140">
      <formula>C335="ok"</formula>
    </cfRule>
  </conditionalFormatting>
  <conditionalFormatting sqref="C344:X349">
    <cfRule type="expression" dxfId="129" priority="137">
      <formula>C344="nok"</formula>
    </cfRule>
    <cfRule type="expression" dxfId="128" priority="138">
      <formula>C344="ok"</formula>
    </cfRule>
  </conditionalFormatting>
  <conditionalFormatting sqref="C351:X354">
    <cfRule type="expression" dxfId="127" priority="135">
      <formula>C351="nok"</formula>
    </cfRule>
    <cfRule type="expression" dxfId="126" priority="136">
      <formula>C351="ok"</formula>
    </cfRule>
  </conditionalFormatting>
  <conditionalFormatting sqref="C361:X366">
    <cfRule type="expression" dxfId="125" priority="133">
      <formula>C361="nok"</formula>
    </cfRule>
    <cfRule type="expression" dxfId="124" priority="134">
      <formula>C361="ok"</formula>
    </cfRule>
  </conditionalFormatting>
  <conditionalFormatting sqref="C368:X368">
    <cfRule type="expression" dxfId="123" priority="131">
      <formula>C368="nok"</formula>
    </cfRule>
    <cfRule type="expression" dxfId="122" priority="132">
      <formula>C368="ok"</formula>
    </cfRule>
  </conditionalFormatting>
  <conditionalFormatting sqref="C370:X370">
    <cfRule type="expression" dxfId="121" priority="129">
      <formula>C370="nok"</formula>
    </cfRule>
    <cfRule type="expression" dxfId="120" priority="130">
      <formula>C370="ok"</formula>
    </cfRule>
  </conditionalFormatting>
  <conditionalFormatting sqref="C372:X377">
    <cfRule type="expression" dxfId="119" priority="127">
      <formula>C372="nok"</formula>
    </cfRule>
    <cfRule type="expression" dxfId="118" priority="128">
      <formula>C372="ok"</formula>
    </cfRule>
  </conditionalFormatting>
  <conditionalFormatting sqref="C379:X384">
    <cfRule type="expression" dxfId="117" priority="125">
      <formula>C379="nok"</formula>
    </cfRule>
    <cfRule type="expression" dxfId="116" priority="126">
      <formula>C379="ok"</formula>
    </cfRule>
  </conditionalFormatting>
  <conditionalFormatting sqref="C386:X391">
    <cfRule type="expression" dxfId="115" priority="123">
      <formula>C386="nok"</formula>
    </cfRule>
    <cfRule type="expression" dxfId="114" priority="124">
      <formula>C386="ok"</formula>
    </cfRule>
  </conditionalFormatting>
  <conditionalFormatting sqref="C393:X396">
    <cfRule type="expression" dxfId="113" priority="121">
      <formula>C393="nok"</formula>
    </cfRule>
    <cfRule type="expression" dxfId="112" priority="122">
      <formula>C393="ok"</formula>
    </cfRule>
  </conditionalFormatting>
  <conditionalFormatting sqref="C398:X400">
    <cfRule type="expression" dxfId="111" priority="119">
      <formula>C398="nok"</formula>
    </cfRule>
    <cfRule type="expression" dxfId="110" priority="120">
      <formula>C398="ok"</formula>
    </cfRule>
  </conditionalFormatting>
  <conditionalFormatting sqref="C402:X402">
    <cfRule type="expression" dxfId="109" priority="117">
      <formula>C402="nok"</formula>
    </cfRule>
    <cfRule type="expression" dxfId="108" priority="118">
      <formula>C402="ok"</formula>
    </cfRule>
  </conditionalFormatting>
  <conditionalFormatting sqref="C405:X407">
    <cfRule type="expression" dxfId="107" priority="115">
      <formula>C405="nok"</formula>
    </cfRule>
    <cfRule type="expression" dxfId="106" priority="116">
      <formula>C405="ok"</formula>
    </cfRule>
  </conditionalFormatting>
  <conditionalFormatting sqref="C412:X416">
    <cfRule type="expression" dxfId="105" priority="113">
      <formula>C412="nok"</formula>
    </cfRule>
    <cfRule type="expression" dxfId="104" priority="114">
      <formula>C412="ok"</formula>
    </cfRule>
  </conditionalFormatting>
  <conditionalFormatting sqref="C500:X503 C493:X498 C486:X491 C482:X483 C479:X480 C475:X477 C466:X468 C463:X463 C458:X461 C451:X456 C444:X449 C437:X442 C431:X435 C428:X428 C423:X426 C418:X421">
    <cfRule type="expression" dxfId="103" priority="103">
      <formula>C418="nok"</formula>
    </cfRule>
    <cfRule type="expression" dxfId="102" priority="104">
      <formula>C418="ok"</formula>
    </cfRule>
  </conditionalFormatting>
  <conditionalFormatting sqref="C522:X527 C515:X520 C511:X512 C508:X509">
    <cfRule type="expression" dxfId="101" priority="99">
      <formula>C508="nok"</formula>
    </cfRule>
    <cfRule type="expression" dxfId="100" priority="100">
      <formula>C508="ok"</formula>
    </cfRule>
  </conditionalFormatting>
  <conditionalFormatting sqref="C543:X548 C539:X541 C529:X532">
    <cfRule type="expression" dxfId="99" priority="97">
      <formula>C529="nok"</formula>
    </cfRule>
    <cfRule type="expression" dxfId="98" priority="98">
      <formula>C529="ok"</formula>
    </cfRule>
  </conditionalFormatting>
  <conditionalFormatting sqref="C564:X569 C557:X562 C550:X555">
    <cfRule type="expression" dxfId="97" priority="95">
      <formula>C550="nok"</formula>
    </cfRule>
    <cfRule type="expression" dxfId="96" priority="96">
      <formula>C550="ok"</formula>
    </cfRule>
  </conditionalFormatting>
  <conditionalFormatting sqref="C578:X583 C576:X576 C571:X574">
    <cfRule type="expression" dxfId="95" priority="93">
      <formula>C571="nok"</formula>
    </cfRule>
    <cfRule type="expression" dxfId="94" priority="94">
      <formula>C571="ok"</formula>
    </cfRule>
  </conditionalFormatting>
  <conditionalFormatting sqref="C599:X604 C592:X597 C585:X590">
    <cfRule type="expression" dxfId="93" priority="91">
      <formula>C585="nok"</formula>
    </cfRule>
    <cfRule type="expression" dxfId="92" priority="92">
      <formula>C585="ok"</formula>
    </cfRule>
  </conditionalFormatting>
  <conditionalFormatting sqref="C616:X616 C611:X614 C606:X609">
    <cfRule type="expression" dxfId="91" priority="89">
      <formula>C606="nok"</formula>
    </cfRule>
    <cfRule type="expression" dxfId="90" priority="90">
      <formula>C606="ok"</formula>
    </cfRule>
  </conditionalFormatting>
  <conditionalFormatting sqref="C632:X637 C626:X630 C619:X621">
    <cfRule type="expression" dxfId="89" priority="87">
      <formula>C619="nok"</formula>
    </cfRule>
    <cfRule type="expression" dxfId="88" priority="88">
      <formula>C619="ok"</formula>
    </cfRule>
  </conditionalFormatting>
  <conditionalFormatting sqref="C649:X649 C646:X647 C639:X644">
    <cfRule type="expression" dxfId="87" priority="85">
      <formula>C639="nok"</formula>
    </cfRule>
    <cfRule type="expression" dxfId="86" priority="86">
      <formula>C639="ok"</formula>
    </cfRule>
  </conditionalFormatting>
  <conditionalFormatting sqref="C670:X670 C665:X668 C658:X663 C651:X656">
    <cfRule type="expression" dxfId="85" priority="83">
      <formula>C651="nok"</formula>
    </cfRule>
    <cfRule type="expression" dxfId="84" priority="84">
      <formula>C651="ok"</formula>
    </cfRule>
  </conditionalFormatting>
  <conditionalFormatting sqref="C673:X675">
    <cfRule type="expression" dxfId="83" priority="81">
      <formula>C673="nok"</formula>
    </cfRule>
    <cfRule type="expression" dxfId="82" priority="82">
      <formula>C673="ok"</formula>
    </cfRule>
  </conditionalFormatting>
  <conditionalFormatting sqref="C698:X703 C690:X696 C683:X687">
    <cfRule type="expression" dxfId="81" priority="79">
      <formula>C683="nok"</formula>
    </cfRule>
    <cfRule type="expression" dxfId="80" priority="80">
      <formula>C683="ok"</formula>
    </cfRule>
  </conditionalFormatting>
  <conditionalFormatting sqref="C705:X708">
    <cfRule type="expression" dxfId="79" priority="77">
      <formula>C705="nok"</formula>
    </cfRule>
    <cfRule type="expression" dxfId="78" priority="78">
      <formula>C705="ok"</formula>
    </cfRule>
  </conditionalFormatting>
  <conditionalFormatting sqref="C720:X725 C713:X718">
    <cfRule type="expression" dxfId="77" priority="75">
      <formula>C713="nok"</formula>
    </cfRule>
    <cfRule type="expression" dxfId="76" priority="76">
      <formula>C713="ok"</formula>
    </cfRule>
  </conditionalFormatting>
  <conditionalFormatting sqref="C727:X730">
    <cfRule type="expression" dxfId="75" priority="73">
      <formula>C727="nok"</formula>
    </cfRule>
    <cfRule type="expression" dxfId="74" priority="74">
      <formula>C727="ok"</formula>
    </cfRule>
  </conditionalFormatting>
  <conditionalFormatting sqref="C742:X747 C737:X740">
    <cfRule type="expression" dxfId="73" priority="71">
      <formula>C737="nok"</formula>
    </cfRule>
    <cfRule type="expression" dxfId="72" priority="72">
      <formula>C737="ok"</formula>
    </cfRule>
  </conditionalFormatting>
  <conditionalFormatting sqref="C761:X766 C756:X759 C749:X754">
    <cfRule type="expression" dxfId="71" priority="69">
      <formula>C749="nok"</formula>
    </cfRule>
    <cfRule type="expression" dxfId="70" priority="70">
      <formula>C749="ok"</formula>
    </cfRule>
  </conditionalFormatting>
  <conditionalFormatting sqref="C779:X784 C774:X777 C768:X771">
    <cfRule type="expression" dxfId="69" priority="67">
      <formula>C768="nok"</formula>
    </cfRule>
    <cfRule type="expression" dxfId="68" priority="68">
      <formula>C768="ok"</formula>
    </cfRule>
  </conditionalFormatting>
  <conditionalFormatting sqref="C793:X798 C786:X791">
    <cfRule type="expression" dxfId="67" priority="65">
      <formula>C786="nok"</formula>
    </cfRule>
    <cfRule type="expression" dxfId="66" priority="66">
      <formula>C786="ok"</formula>
    </cfRule>
  </conditionalFormatting>
  <conditionalFormatting sqref="C805:X809 C800:X803">
    <cfRule type="expression" dxfId="65" priority="63">
      <formula>C800="nok"</formula>
    </cfRule>
    <cfRule type="expression" dxfId="64" priority="64">
      <formula>C800="ok"</formula>
    </cfRule>
  </conditionalFormatting>
  <conditionalFormatting sqref="C819:X822 C812:X814">
    <cfRule type="expression" dxfId="63" priority="61">
      <formula>C812="nok"</formula>
    </cfRule>
    <cfRule type="expression" dxfId="62" priority="62">
      <formula>C812="ok"</formula>
    </cfRule>
  </conditionalFormatting>
  <conditionalFormatting sqref="C824:X829">
    <cfRule type="expression" dxfId="61" priority="59">
      <formula>C824="nok"</formula>
    </cfRule>
    <cfRule type="expression" dxfId="60" priority="60">
      <formula>C824="ok"</formula>
    </cfRule>
  </conditionalFormatting>
  <conditionalFormatting sqref="C831:X836">
    <cfRule type="expression" dxfId="59" priority="57">
      <formula>C831="nok"</formula>
    </cfRule>
    <cfRule type="expression" dxfId="58" priority="58">
      <formula>C831="ok"</formula>
    </cfRule>
  </conditionalFormatting>
  <conditionalFormatting sqref="C838:X843">
    <cfRule type="expression" dxfId="57" priority="55">
      <formula>C838="nok"</formula>
    </cfRule>
    <cfRule type="expression" dxfId="56" priority="56">
      <formula>C838="ok"</formula>
    </cfRule>
  </conditionalFormatting>
  <conditionalFormatting sqref="C845:X846">
    <cfRule type="expression" dxfId="55" priority="53">
      <formula>C845="nok"</formula>
    </cfRule>
    <cfRule type="expression" dxfId="54" priority="54">
      <formula>C845="ok"</formula>
    </cfRule>
  </conditionalFormatting>
  <conditionalFormatting sqref="C848:X848">
    <cfRule type="expression" dxfId="53" priority="51">
      <formula>C848="nok"</formula>
    </cfRule>
    <cfRule type="expression" dxfId="52" priority="52">
      <formula>C848="ok"</formula>
    </cfRule>
  </conditionalFormatting>
  <conditionalFormatting sqref="C850:X854">
    <cfRule type="expression" dxfId="51" priority="49">
      <formula>C850="nok"</formula>
    </cfRule>
    <cfRule type="expression" dxfId="50" priority="50">
      <formula>C850="ok"</formula>
    </cfRule>
  </conditionalFormatting>
  <conditionalFormatting sqref="C856:X861">
    <cfRule type="expression" dxfId="49" priority="47">
      <formula>C856="nok"</formula>
    </cfRule>
    <cfRule type="expression" dxfId="48" priority="48">
      <formula>C856="ok"</formula>
    </cfRule>
  </conditionalFormatting>
  <conditionalFormatting sqref="C863:X868">
    <cfRule type="expression" dxfId="47" priority="45">
      <formula>C863="nok"</formula>
    </cfRule>
    <cfRule type="expression" dxfId="46" priority="46">
      <formula>C863="ok"</formula>
    </cfRule>
  </conditionalFormatting>
  <conditionalFormatting sqref="C870:X875">
    <cfRule type="expression" dxfId="45" priority="43">
      <formula>C870="nok"</formula>
    </cfRule>
    <cfRule type="expression" dxfId="44" priority="44">
      <formula>C870="ok"</formula>
    </cfRule>
  </conditionalFormatting>
  <conditionalFormatting sqref="C877:X879">
    <cfRule type="expression" dxfId="43" priority="41">
      <formula>C877="nok"</formula>
    </cfRule>
    <cfRule type="expression" dxfId="42" priority="42">
      <formula>C877="ok"</formula>
    </cfRule>
  </conditionalFormatting>
  <conditionalFormatting sqref="C882:X882 C880:X880">
    <cfRule type="expression" dxfId="41" priority="39">
      <formula>C880="nok"</formula>
    </cfRule>
    <cfRule type="expression" dxfId="40" priority="40">
      <formula>C880="ok"</formula>
    </cfRule>
  </conditionalFormatting>
  <conditionalFormatting sqref="C898:X903 C893:X896 C885:X887">
    <cfRule type="expression" dxfId="39" priority="37">
      <formula>C885="nok"</formula>
    </cfRule>
    <cfRule type="expression" dxfId="38" priority="38">
      <formula>C885="ok"</formula>
    </cfRule>
  </conditionalFormatting>
  <conditionalFormatting sqref="C914:X916 C905:X908">
    <cfRule type="expression" dxfId="37" priority="35">
      <formula>C905="nok"</formula>
    </cfRule>
    <cfRule type="expression" dxfId="36" priority="36">
      <formula>C905="ok"</formula>
    </cfRule>
  </conditionalFormatting>
  <conditionalFormatting sqref="C924:X929 C918:X922">
    <cfRule type="expression" dxfId="35" priority="33">
      <formula>C918="nok"</formula>
    </cfRule>
    <cfRule type="expression" dxfId="34" priority="34">
      <formula>C918="ok"</formula>
    </cfRule>
  </conditionalFormatting>
  <conditionalFormatting sqref="C945:X946 C938:X943 C931:X936">
    <cfRule type="expression" dxfId="33" priority="31">
      <formula>C931="nok"</formula>
    </cfRule>
    <cfRule type="expression" dxfId="32" priority="32">
      <formula>C931="ok"</formula>
    </cfRule>
  </conditionalFormatting>
  <conditionalFormatting sqref="C982:X984 C977:X980 C970:X975 C963:X968 C956:X961 C950:X954 C948:X948">
    <cfRule type="expression" dxfId="31" priority="27">
      <formula>C948="nok"</formula>
    </cfRule>
    <cfRule type="expression" dxfId="30" priority="28">
      <formula>C948="ok"</formula>
    </cfRule>
  </conditionalFormatting>
  <conditionalFormatting sqref="C986:X986">
    <cfRule type="expression" dxfId="29" priority="25">
      <formula>C986="nok"</formula>
    </cfRule>
    <cfRule type="expression" dxfId="28" priority="26">
      <formula>C986="ok"</formula>
    </cfRule>
  </conditionalFormatting>
  <conditionalFormatting sqref="C989:X991">
    <cfRule type="expression" dxfId="27" priority="23">
      <formula>C989="nok"</formula>
    </cfRule>
    <cfRule type="expression" dxfId="26" priority="24">
      <formula>C989="ok"</formula>
    </cfRule>
  </conditionalFormatting>
  <conditionalFormatting sqref="C992:X992">
    <cfRule type="expression" dxfId="25" priority="21">
      <formula>C992="nok"</formula>
    </cfRule>
    <cfRule type="expression" dxfId="24" priority="22">
      <formula>C992="ok"</formula>
    </cfRule>
  </conditionalFormatting>
  <conditionalFormatting sqref="E49">
    <cfRule type="expression" dxfId="23" priority="19">
      <formula>E49="nok"</formula>
    </cfRule>
    <cfRule type="expression" dxfId="22" priority="20">
      <formula>E49="ok"</formula>
    </cfRule>
  </conditionalFormatting>
  <conditionalFormatting sqref="C50:E50 G50:X50">
    <cfRule type="expression" dxfId="21" priority="15">
      <formula>C50="nok"</formula>
    </cfRule>
    <cfRule type="expression" dxfId="20" priority="16">
      <formula>C50="ok"</formula>
    </cfRule>
  </conditionalFormatting>
  <conditionalFormatting sqref="F50">
    <cfRule type="expression" dxfId="19" priority="13">
      <formula>F50="nok"</formula>
    </cfRule>
    <cfRule type="expression" dxfId="18" priority="14">
      <formula>F50="ok"</formula>
    </cfRule>
  </conditionalFormatting>
  <conditionalFormatting sqref="U64">
    <cfRule type="expression" dxfId="17" priority="11">
      <formula>U64="nok"</formula>
    </cfRule>
    <cfRule type="expression" dxfId="16" priority="12">
      <formula>U64="ok"</formula>
    </cfRule>
  </conditionalFormatting>
  <conditionalFormatting sqref="V65">
    <cfRule type="expression" dxfId="15" priority="9">
      <formula>V65="nok"</formula>
    </cfRule>
    <cfRule type="expression" dxfId="14" priority="10">
      <formula>V65="ok"</formula>
    </cfRule>
  </conditionalFormatting>
  <conditionalFormatting sqref="V66">
    <cfRule type="expression" dxfId="13" priority="7">
      <formula>V66="nok"</formula>
    </cfRule>
    <cfRule type="expression" dxfId="12" priority="8">
      <formula>V66="ok"</formula>
    </cfRule>
  </conditionalFormatting>
  <conditionalFormatting sqref="Q75">
    <cfRule type="expression" dxfId="11" priority="5">
      <formula>Q75="nok"</formula>
    </cfRule>
    <cfRule type="expression" dxfId="10" priority="6">
      <formula>Q75="ok"</formula>
    </cfRule>
  </conditionalFormatting>
  <conditionalFormatting sqref="R77">
    <cfRule type="expression" dxfId="9" priority="3">
      <formula>R77="nok"</formula>
    </cfRule>
    <cfRule type="expression" dxfId="8" priority="4">
      <formula>R77="ok"</formula>
    </cfRule>
  </conditionalFormatting>
  <conditionalFormatting sqref="R76">
    <cfRule type="expression" dxfId="7" priority="1">
      <formula>R76="nok"</formula>
    </cfRule>
    <cfRule type="expression" dxfId="6" priority="2">
      <formula>R76="ok"</formula>
    </cfRule>
  </conditionalFormatting>
  <dataValidations count="1">
    <dataValidation type="list" allowBlank="1" showInputMessage="1" showErrorMessage="1" sqref="Y956:AB961 Y651:AB656 Y10:AB11 Y58:AB61 Y720:AB725 Y17:AB19 Y264:AB267 Y310:AB313 Y344:AB349 Y100:AB106 Y945:AB946 Y239:AB241 Y115:AB118 Y293:AB295 Y402:AB402 Y418:AB421 Y171:AB176 Y737:AB740 Y351:AB354 Y749:AB754 Y68:AB72 Y220:AB225 Y673:AB675 Y658:AB663 Y963:AB968 Y479:AB480 Y437:AB442 Y515:AB520 Y938:AB943 Y285:AB287 Y761:AB766 Y236:AB236 Y986:AB986 Y13:AB14 Y183:AB185 Y646:AB647 Y187:AB191 Y48:AB50 Y52:AB56 Y713:AB718 Y96:AB97 Y79:AB80 Y63:AB66 Y611:AB614 Y21:AB23 Y616:AB616 Y39:AB41 Y108:AB113 Y154:AB157 Y30:AB32 Y132:AB136 Y147:AB152 Y139:AB145 Y88:AB91 Y26:AB28 Y93:AB94 Y164:AB169 Y127:AB130 Y298:AB301 Y206:AB211 Y227:AB230 Y178:AB181 Y370:AB370 Y257:AB262 Y232:AB234 Y982:AB984 Y252:AB255 Y272:AB274 Y289:AB291 Y198:AB198 Y626:AB630 Y269:AB269 Y318:AB320 Y970:AB975 Y330:AB332 Y322:AB324 Y361:AB366 Y977:AB980 Y405:AB407 Y431:AB435 Y412:AB416 Y368:AB368 Y451:AB456 Y539:AB541 Y564:AB569 Y475:AB477 Y482:AB483 Y705:AB708 Y768:AB771 Y35:AB37 Y444:AB449 Y948:AB948 Y463:AB463 Y493:AB498 Y578:AB583 Y606:AB609 Y123:AB125 Y576:AB576 Y571:AB574 Y632:AB637 Y670:AB670 Y508:AB509 Y639:AB644 Y335:AB342 Y326:AB328 Y486:AB491 Y683:AB687 Y619:AB621 Y950:AB954 Y742:AB747 Y557:AB562 Y585:AB590 Y592:AB597 Y466:AB468 Y665:AB668 Y649:AB649 Y690:AB696 Y372:AB377 Y379:AB384 Y74:AB77 Y200:AB204 Y213:AB218 Y246:AB249 Y193:AB196 Y281:AB283 Y303:AB308 Y386:AB391 Y393:AB396 Y398:AB400 Y543:AB548 Y423:AB426 Y428:AB428 Y458:AB461 Y511:AB512 Y727:AB730 Y529:AB532 Y522:AB527 Y550:AB555 Y756:AB759 Y599:AB604 Y500:AB503 Y989:AB992 Y885:AB887 Y882:AB882 Y877:AB880 Y870:AB875 Y863:AB868 Y856:AB861 Y850:AB854 Y845:AB846 Y838:AB843 Y831:AB836 Y824:AB829 Y819:AB822 Y812:AB814 Y809:AB809 Y805:AB807 Y800:AB803 Y793:AB798 Y786:AB791 Y779:AB784 Y774:AB777 Y698:AB703 Y848:AB848 Y893:AB896 Y898:AB903 Y905:AB908 Y914:AB916 Y918:AB922 Y924:AB929 Y931:AB936 Y44:AB46" xr:uid="{827323A5-F110-4005-9681-8A2B52DDC7C2}">
      <formula1>"ENTREGUE,RISCO,ATRASADO,EFPRAZO,VAZIO"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E6518-3360-4093-9E9D-33DD94A5AF58}">
  <sheetPr codeName="Planilha11"/>
  <dimension ref="A1:G190"/>
  <sheetViews>
    <sheetView showGridLines="0" zoomScale="55" zoomScaleNormal="55" workbookViewId="0">
      <pane ySplit="7" topLeftCell="A8" activePane="bottomLeft" state="frozen"/>
      <selection pane="bottomLeft" activeCell="O15" sqref="O15"/>
    </sheetView>
  </sheetViews>
  <sheetFormatPr defaultRowHeight="14.5" x14ac:dyDescent="0.35"/>
  <cols>
    <col min="1" max="1" width="70.7265625" style="70" customWidth="1"/>
    <col min="2" max="2" width="75.7265625" style="69" customWidth="1"/>
    <col min="3" max="3" width="37.54296875" style="70" customWidth="1"/>
    <col min="4" max="4" width="26.81640625" style="70" customWidth="1"/>
    <col min="5" max="5" width="73.1796875" style="86" customWidth="1"/>
    <col min="6" max="6" width="16.81640625" style="70" customWidth="1"/>
    <col min="7" max="7" width="41" style="69" bestFit="1" customWidth="1"/>
  </cols>
  <sheetData>
    <row r="1" spans="1:7" ht="6.75" customHeight="1" x14ac:dyDescent="0.35">
      <c r="A1" s="175"/>
      <c r="E1" s="71"/>
    </row>
    <row r="2" spans="1:7" ht="15" customHeight="1" x14ac:dyDescent="0.35">
      <c r="A2" s="175"/>
      <c r="C2" s="72"/>
      <c r="D2" s="72"/>
      <c r="E2" s="73"/>
      <c r="F2" s="74"/>
    </row>
    <row r="3" spans="1:7" ht="36.75" customHeight="1" x14ac:dyDescent="0.35">
      <c r="A3" s="175"/>
      <c r="C3" s="72"/>
      <c r="D3" s="72"/>
      <c r="E3" s="73"/>
      <c r="F3" s="74"/>
    </row>
    <row r="4" spans="1:7" ht="17.25" customHeight="1" x14ac:dyDescent="0.35">
      <c r="A4" s="175"/>
      <c r="B4" s="175"/>
      <c r="C4" s="178"/>
      <c r="D4" s="178"/>
      <c r="E4" s="178"/>
      <c r="F4" s="174"/>
      <c r="G4" s="174"/>
    </row>
    <row r="5" spans="1:7" ht="34.5" customHeight="1" x14ac:dyDescent="0.35">
      <c r="A5" s="29"/>
      <c r="B5" s="177"/>
      <c r="C5" s="178"/>
      <c r="D5" s="178"/>
      <c r="E5" s="178"/>
      <c r="F5" s="174"/>
      <c r="G5" s="174"/>
    </row>
    <row r="6" spans="1:7" ht="8.25" customHeight="1" x14ac:dyDescent="0.35">
      <c r="A6" s="176" t="s">
        <v>18</v>
      </c>
      <c r="B6" s="75"/>
      <c r="C6" s="76"/>
      <c r="D6" s="76"/>
      <c r="E6" s="77"/>
      <c r="F6" s="78"/>
      <c r="G6" s="79"/>
    </row>
    <row r="7" spans="1:7" ht="41.25" customHeight="1" x14ac:dyDescent="0.35">
      <c r="A7" s="176"/>
      <c r="B7" s="68" t="s">
        <v>17</v>
      </c>
      <c r="C7" s="20" t="s">
        <v>0</v>
      </c>
      <c r="D7" s="20" t="s">
        <v>1</v>
      </c>
      <c r="E7" s="67" t="s">
        <v>12</v>
      </c>
      <c r="F7" s="26" t="s">
        <v>9</v>
      </c>
      <c r="G7" s="94" t="s">
        <v>37</v>
      </c>
    </row>
    <row r="8" spans="1:7" ht="65.150000000000006" customHeight="1" x14ac:dyDescent="0.35">
      <c r="A8" s="58" t="str" cm="1">
        <f t="array" ref="A8">_xlfn._xlws.FILTER(ROGERIO!A6:A10062,ROGERIO!AF6:AF10062&lt;&gt;"","")</f>
        <v>PT177 - PLATAFORMA DE ACESSO - FORQUILHA 1 - DETALHADO
PROJETO DETALHADO
ESTRUTURAS METÁLICAS</v>
      </c>
      <c r="B8" s="58" t="str" cm="1">
        <f t="array" ref="B8">_xlfn._xlws.FILTER(ROGERIO!B6:B10062,ROGERIO!AF6:AF10062&lt;&gt;"","")</f>
        <v>Elaboração do Projeto Detalhado</v>
      </c>
      <c r="C8" s="58" t="str" cm="1">
        <f t="array" ref="C8">_xlfn._xlws.FILTER(ROGERIO!AF6:AF10062,ROGERIO!AF6:AF10062&lt;&gt;"","")</f>
        <v>Rogério</v>
      </c>
      <c r="D8" s="59" cm="1">
        <f t="array" ref="D8">_xlfn._xlws.FILTER(ROGERIO!AG6:AG10062,ROGERIO!AG6:AG10062&lt;&gt;"","")</f>
        <v>45240</v>
      </c>
      <c r="E8" s="58" t="str" cm="1">
        <f t="array" ref="E8">_xlfn._xlws.FILTER(ROGERIO!AH6:AH10062,ROGERIO!AH6:AH10062&lt;&gt;"","")</f>
        <v>Programa Júlio para exectação do projeto</v>
      </c>
      <c r="F8" s="24"/>
    </row>
    <row r="9" spans="1:7" ht="65.150000000000006" customHeight="1" x14ac:dyDescent="0.35">
      <c r="A9" s="80"/>
      <c r="B9" s="80"/>
      <c r="C9" s="27"/>
      <c r="D9" s="28"/>
      <c r="E9" s="80"/>
      <c r="F9" s="24"/>
      <c r="G9" s="81"/>
    </row>
    <row r="10" spans="1:7" ht="65.150000000000006" customHeight="1" x14ac:dyDescent="0.35">
      <c r="A10" s="82"/>
      <c r="B10" s="82"/>
      <c r="C10" s="21"/>
      <c r="D10" s="22"/>
      <c r="E10" s="82"/>
      <c r="F10" s="24"/>
    </row>
    <row r="11" spans="1:7" ht="65.150000000000006" customHeight="1" x14ac:dyDescent="0.35">
      <c r="A11" s="80"/>
      <c r="B11" s="80"/>
      <c r="C11" s="27"/>
      <c r="D11" s="28"/>
      <c r="E11" s="80"/>
      <c r="F11" s="24"/>
      <c r="G11" s="81"/>
    </row>
    <row r="12" spans="1:7" ht="65.150000000000006" customHeight="1" x14ac:dyDescent="0.35">
      <c r="A12" s="82"/>
      <c r="B12" s="82"/>
      <c r="C12" s="21"/>
      <c r="D12" s="22"/>
      <c r="E12" s="82"/>
      <c r="F12" s="24"/>
    </row>
    <row r="13" spans="1:7" ht="65.150000000000006" customHeight="1" x14ac:dyDescent="0.35">
      <c r="A13" s="80"/>
      <c r="B13" s="80"/>
      <c r="C13" s="27"/>
      <c r="D13" s="28"/>
      <c r="E13" s="80"/>
      <c r="F13" s="24"/>
      <c r="G13" s="81"/>
    </row>
    <row r="14" spans="1:7" ht="65.150000000000006" customHeight="1" x14ac:dyDescent="0.35">
      <c r="A14" s="82"/>
      <c r="B14" s="82"/>
      <c r="C14" s="21"/>
      <c r="D14" s="22"/>
      <c r="E14" s="82"/>
      <c r="F14" s="24"/>
    </row>
    <row r="15" spans="1:7" ht="65.150000000000006" customHeight="1" x14ac:dyDescent="0.35">
      <c r="A15" s="80"/>
      <c r="B15" s="80"/>
      <c r="C15" s="27"/>
      <c r="D15" s="28"/>
      <c r="E15" s="80"/>
      <c r="F15" s="24"/>
      <c r="G15" s="81"/>
    </row>
    <row r="16" spans="1:7" ht="65.150000000000006" customHeight="1" x14ac:dyDescent="0.35">
      <c r="A16" s="82"/>
      <c r="B16" s="82"/>
      <c r="C16" s="21"/>
      <c r="D16" s="22"/>
      <c r="E16" s="82"/>
      <c r="F16" s="24"/>
    </row>
    <row r="17" spans="1:7" ht="65.150000000000006" customHeight="1" x14ac:dyDescent="0.35">
      <c r="A17" s="80"/>
      <c r="B17" s="80"/>
      <c r="C17" s="27"/>
      <c r="D17" s="28"/>
      <c r="E17" s="80"/>
      <c r="F17" s="24"/>
      <c r="G17" s="81"/>
    </row>
    <row r="18" spans="1:7" ht="65.150000000000006" customHeight="1" x14ac:dyDescent="0.35">
      <c r="A18" s="82"/>
      <c r="B18" s="82"/>
      <c r="C18" s="21"/>
      <c r="D18" s="22"/>
      <c r="E18" s="82"/>
      <c r="F18" s="24"/>
    </row>
    <row r="19" spans="1:7" ht="65.150000000000006" customHeight="1" x14ac:dyDescent="0.35">
      <c r="A19" s="80"/>
      <c r="B19" s="80"/>
      <c r="C19" s="27"/>
      <c r="D19" s="28"/>
      <c r="E19" s="80"/>
      <c r="F19" s="24"/>
      <c r="G19" s="81"/>
    </row>
    <row r="20" spans="1:7" ht="65.150000000000006" customHeight="1" x14ac:dyDescent="0.35">
      <c r="A20" s="82"/>
      <c r="B20" s="82"/>
      <c r="C20" s="21"/>
      <c r="D20" s="22"/>
      <c r="E20" s="82"/>
      <c r="F20" s="24"/>
    </row>
    <row r="21" spans="1:7" ht="65.150000000000006" customHeight="1" x14ac:dyDescent="0.35">
      <c r="A21" s="80"/>
      <c r="B21" s="80"/>
      <c r="C21" s="27"/>
      <c r="D21" s="28"/>
      <c r="E21" s="80"/>
      <c r="F21" s="24"/>
      <c r="G21" s="81"/>
    </row>
    <row r="22" spans="1:7" ht="65.150000000000006" customHeight="1" x14ac:dyDescent="0.35">
      <c r="A22" s="82"/>
      <c r="B22" s="82"/>
      <c r="C22" s="21"/>
      <c r="D22" s="22"/>
      <c r="E22" s="82"/>
      <c r="F22" s="24"/>
    </row>
    <row r="23" spans="1:7" ht="65.150000000000006" customHeight="1" x14ac:dyDescent="0.35">
      <c r="A23" s="80"/>
      <c r="B23" s="80"/>
      <c r="C23" s="27"/>
      <c r="D23" s="28"/>
      <c r="E23" s="80"/>
      <c r="F23" s="24"/>
      <c r="G23" s="81"/>
    </row>
    <row r="24" spans="1:7" ht="65.150000000000006" customHeight="1" x14ac:dyDescent="0.35">
      <c r="A24" s="82"/>
      <c r="B24" s="82"/>
      <c r="C24" s="21"/>
      <c r="D24" s="22"/>
      <c r="E24" s="82"/>
      <c r="F24" s="24"/>
    </row>
    <row r="25" spans="1:7" ht="65.150000000000006" customHeight="1" x14ac:dyDescent="0.35">
      <c r="A25" s="80"/>
      <c r="B25" s="80"/>
      <c r="C25" s="27"/>
      <c r="D25" s="28"/>
      <c r="E25" s="80"/>
      <c r="F25" s="24"/>
      <c r="G25" s="81"/>
    </row>
    <row r="26" spans="1:7" ht="65.150000000000006" customHeight="1" x14ac:dyDescent="0.35">
      <c r="A26" s="82"/>
      <c r="B26" s="82"/>
      <c r="C26" s="21"/>
      <c r="D26" s="22"/>
      <c r="E26" s="82"/>
      <c r="F26" s="24"/>
    </row>
    <row r="27" spans="1:7" ht="65.150000000000006" customHeight="1" x14ac:dyDescent="0.35">
      <c r="A27" s="80"/>
      <c r="B27" s="80"/>
      <c r="C27" s="27"/>
      <c r="D27" s="28"/>
      <c r="E27" s="80"/>
      <c r="F27" s="24"/>
      <c r="G27" s="81"/>
    </row>
    <row r="28" spans="1:7" ht="65.150000000000006" customHeight="1" x14ac:dyDescent="0.35">
      <c r="A28" s="82"/>
      <c r="B28" s="82"/>
      <c r="C28" s="21"/>
      <c r="D28" s="22"/>
      <c r="E28" s="82"/>
      <c r="F28" s="24"/>
    </row>
    <row r="29" spans="1:7" ht="65.150000000000006" customHeight="1" x14ac:dyDescent="0.35">
      <c r="A29" s="80"/>
      <c r="B29" s="80"/>
      <c r="C29" s="27"/>
      <c r="D29" s="28"/>
      <c r="E29" s="80"/>
      <c r="F29" s="24"/>
      <c r="G29" s="81"/>
    </row>
    <row r="30" spans="1:7" ht="65.150000000000006" customHeight="1" x14ac:dyDescent="0.35">
      <c r="A30" s="82"/>
      <c r="B30" s="82"/>
      <c r="C30" s="21"/>
      <c r="D30" s="22"/>
      <c r="E30" s="82"/>
      <c r="F30" s="24"/>
    </row>
    <row r="31" spans="1:7" ht="65.150000000000006" customHeight="1" x14ac:dyDescent="0.35">
      <c r="A31" s="80"/>
      <c r="B31" s="80"/>
      <c r="C31" s="27"/>
      <c r="D31" s="28"/>
      <c r="E31" s="80"/>
      <c r="F31" s="24"/>
      <c r="G31" s="81"/>
    </row>
    <row r="32" spans="1:7" ht="65.150000000000006" customHeight="1" x14ac:dyDescent="0.35">
      <c r="A32" s="82"/>
      <c r="B32" s="82"/>
      <c r="C32" s="21"/>
      <c r="D32" s="22"/>
      <c r="E32" s="82"/>
      <c r="F32" s="24"/>
    </row>
    <row r="33" spans="1:7" ht="65.150000000000006" customHeight="1" x14ac:dyDescent="0.35">
      <c r="A33" s="80"/>
      <c r="B33" s="80"/>
      <c r="C33" s="27"/>
      <c r="D33" s="28"/>
      <c r="E33" s="80"/>
      <c r="F33" s="24"/>
      <c r="G33" s="81"/>
    </row>
    <row r="34" spans="1:7" ht="65.150000000000006" customHeight="1" x14ac:dyDescent="0.35">
      <c r="A34" s="82"/>
      <c r="B34" s="82"/>
      <c r="C34" s="21"/>
      <c r="D34" s="22"/>
      <c r="E34" s="82"/>
      <c r="F34" s="24"/>
    </row>
    <row r="35" spans="1:7" ht="65.150000000000006" customHeight="1" x14ac:dyDescent="0.35">
      <c r="A35" s="80"/>
      <c r="B35" s="80"/>
      <c r="C35" s="27"/>
      <c r="D35" s="28"/>
      <c r="E35" s="80"/>
      <c r="F35" s="24"/>
      <c r="G35" s="81"/>
    </row>
    <row r="36" spans="1:7" ht="65.150000000000006" customHeight="1" x14ac:dyDescent="0.35">
      <c r="A36" s="82"/>
      <c r="B36" s="82"/>
      <c r="C36" s="21"/>
      <c r="D36" s="22"/>
      <c r="E36" s="82"/>
      <c r="F36" s="24"/>
    </row>
    <row r="37" spans="1:7" ht="65.150000000000006" customHeight="1" x14ac:dyDescent="0.35">
      <c r="A37" s="80"/>
      <c r="B37" s="80"/>
      <c r="C37" s="27"/>
      <c r="D37" s="28"/>
      <c r="E37" s="80"/>
      <c r="F37" s="24"/>
      <c r="G37" s="81"/>
    </row>
    <row r="38" spans="1:7" ht="65.150000000000006" customHeight="1" x14ac:dyDescent="0.35">
      <c r="A38" s="82"/>
      <c r="B38" s="82"/>
      <c r="C38" s="21"/>
      <c r="D38" s="22"/>
      <c r="E38" s="82"/>
      <c r="F38" s="24"/>
    </row>
    <row r="39" spans="1:7" ht="65.150000000000006" customHeight="1" x14ac:dyDescent="0.35">
      <c r="A39" s="80"/>
      <c r="B39" s="80"/>
      <c r="C39" s="27"/>
      <c r="D39" s="28"/>
      <c r="E39" s="80"/>
      <c r="F39" s="24"/>
      <c r="G39" s="81"/>
    </row>
    <row r="40" spans="1:7" ht="65.150000000000006" customHeight="1" x14ac:dyDescent="0.35">
      <c r="A40" s="82"/>
      <c r="B40" s="82"/>
      <c r="C40" s="21"/>
      <c r="D40" s="22"/>
      <c r="E40" s="82"/>
      <c r="F40" s="24"/>
    </row>
    <row r="41" spans="1:7" ht="65.150000000000006" customHeight="1" x14ac:dyDescent="0.35">
      <c r="A41" s="80"/>
      <c r="B41" s="80"/>
      <c r="C41" s="27"/>
      <c r="D41" s="28"/>
      <c r="E41" s="80"/>
      <c r="F41" s="24"/>
      <c r="G41" s="81"/>
    </row>
    <row r="42" spans="1:7" ht="65.150000000000006" customHeight="1" x14ac:dyDescent="0.35">
      <c r="A42" s="82"/>
      <c r="B42" s="82"/>
      <c r="C42" s="21"/>
      <c r="D42" s="22"/>
      <c r="E42" s="82"/>
      <c r="F42" s="24"/>
    </row>
    <row r="43" spans="1:7" ht="65.150000000000006" customHeight="1" x14ac:dyDescent="0.35">
      <c r="A43" s="80"/>
      <c r="B43" s="80"/>
      <c r="C43" s="27"/>
      <c r="D43" s="28"/>
      <c r="E43" s="80"/>
      <c r="F43" s="24"/>
      <c r="G43" s="81"/>
    </row>
    <row r="44" spans="1:7" ht="65.150000000000006" customHeight="1" x14ac:dyDescent="0.35">
      <c r="A44" s="82"/>
      <c r="B44" s="82"/>
      <c r="C44" s="21"/>
      <c r="D44" s="22"/>
      <c r="E44" s="82"/>
      <c r="F44" s="24"/>
    </row>
    <row r="45" spans="1:7" ht="65.150000000000006" customHeight="1" x14ac:dyDescent="0.35">
      <c r="A45" s="80"/>
      <c r="B45" s="80"/>
      <c r="C45" s="27"/>
      <c r="D45" s="28"/>
      <c r="E45" s="80"/>
      <c r="F45" s="24"/>
      <c r="G45" s="81"/>
    </row>
    <row r="46" spans="1:7" ht="65.150000000000006" customHeight="1" x14ac:dyDescent="0.35">
      <c r="A46" s="82"/>
      <c r="B46" s="82"/>
      <c r="C46" s="21"/>
      <c r="D46" s="22"/>
      <c r="E46" s="82"/>
      <c r="F46" s="24"/>
    </row>
    <row r="47" spans="1:7" ht="65.150000000000006" customHeight="1" x14ac:dyDescent="0.35">
      <c r="A47" s="80"/>
      <c r="B47" s="80"/>
      <c r="C47" s="27"/>
      <c r="D47" s="28"/>
      <c r="E47" s="80"/>
      <c r="F47" s="24"/>
      <c r="G47" s="81"/>
    </row>
    <row r="48" spans="1:7" ht="65.150000000000006" customHeight="1" x14ac:dyDescent="0.35">
      <c r="A48" s="82"/>
      <c r="B48" s="82"/>
      <c r="C48" s="21"/>
      <c r="D48" s="22"/>
      <c r="E48" s="82"/>
      <c r="F48" s="24"/>
    </row>
    <row r="49" spans="1:7" ht="65.150000000000006" customHeight="1" x14ac:dyDescent="0.35">
      <c r="A49" s="80"/>
      <c r="B49" s="80"/>
      <c r="C49" s="27"/>
      <c r="D49" s="28"/>
      <c r="E49" s="80"/>
      <c r="F49" s="24" t="s">
        <v>15</v>
      </c>
      <c r="G49" s="81"/>
    </row>
    <row r="50" spans="1:7" ht="65.150000000000006" customHeight="1" x14ac:dyDescent="0.35">
      <c r="A50" s="82"/>
      <c r="B50" s="82"/>
      <c r="C50" s="21"/>
      <c r="D50" s="22"/>
      <c r="E50" s="82"/>
      <c r="F50" s="24" t="s">
        <v>15</v>
      </c>
    </row>
    <row r="51" spans="1:7" ht="65.150000000000006" customHeight="1" x14ac:dyDescent="0.35">
      <c r="A51" s="80"/>
      <c r="B51" s="80"/>
      <c r="C51" s="27"/>
      <c r="D51" s="28"/>
      <c r="E51" s="80"/>
      <c r="F51" s="24" t="s">
        <v>15</v>
      </c>
      <c r="G51" s="81"/>
    </row>
    <row r="52" spans="1:7" ht="65.150000000000006" customHeight="1" x14ac:dyDescent="0.35">
      <c r="A52" s="82"/>
      <c r="B52" s="82"/>
      <c r="C52" s="21"/>
      <c r="D52" s="22"/>
      <c r="E52" s="82"/>
      <c r="F52" s="24" t="s">
        <v>15</v>
      </c>
    </row>
    <row r="53" spans="1:7" ht="65.150000000000006" customHeight="1" x14ac:dyDescent="0.35">
      <c r="A53" s="80"/>
      <c r="B53" s="80"/>
      <c r="C53" s="27"/>
      <c r="D53" s="28"/>
      <c r="E53" s="80"/>
      <c r="F53" s="24" t="s">
        <v>15</v>
      </c>
      <c r="G53" s="81"/>
    </row>
    <row r="54" spans="1:7" ht="65.150000000000006" customHeight="1" x14ac:dyDescent="0.35">
      <c r="A54" s="82"/>
      <c r="B54" s="82"/>
      <c r="C54" s="21"/>
      <c r="D54" s="22"/>
      <c r="E54" s="82"/>
      <c r="F54" s="24" t="s">
        <v>15</v>
      </c>
    </row>
    <row r="55" spans="1:7" ht="65.150000000000006" customHeight="1" x14ac:dyDescent="0.35">
      <c r="A55" s="80"/>
      <c r="B55" s="80"/>
      <c r="C55" s="27"/>
      <c r="D55" s="28"/>
      <c r="E55" s="80"/>
      <c r="F55" s="24" t="s">
        <v>15</v>
      </c>
      <c r="G55" s="81"/>
    </row>
    <row r="56" spans="1:7" ht="65.150000000000006" customHeight="1" x14ac:dyDescent="0.35">
      <c r="A56" s="82"/>
      <c r="B56" s="82"/>
      <c r="C56" s="21"/>
      <c r="D56" s="22"/>
      <c r="E56" s="82"/>
      <c r="F56" s="24" t="s">
        <v>15</v>
      </c>
    </row>
    <row r="57" spans="1:7" ht="65.150000000000006" customHeight="1" x14ac:dyDescent="0.35">
      <c r="A57" s="80"/>
      <c r="B57" s="80"/>
      <c r="C57" s="27"/>
      <c r="D57" s="28"/>
      <c r="E57" s="80"/>
      <c r="F57" s="24" t="s">
        <v>15</v>
      </c>
      <c r="G57" s="81"/>
    </row>
    <row r="58" spans="1:7" ht="65.150000000000006" customHeight="1" x14ac:dyDescent="0.35">
      <c r="A58" s="82"/>
      <c r="B58" s="82"/>
      <c r="C58" s="21"/>
      <c r="D58" s="22"/>
      <c r="E58" s="82"/>
      <c r="F58" s="24" t="s">
        <v>15</v>
      </c>
    </row>
    <row r="59" spans="1:7" ht="65.150000000000006" customHeight="1" x14ac:dyDescent="0.35">
      <c r="A59" s="80"/>
      <c r="B59" s="80"/>
      <c r="C59" s="27"/>
      <c r="D59" s="28"/>
      <c r="E59" s="80"/>
      <c r="F59" s="24" t="s">
        <v>15</v>
      </c>
      <c r="G59" s="81"/>
    </row>
    <row r="60" spans="1:7" ht="65.150000000000006" customHeight="1" x14ac:dyDescent="0.35">
      <c r="A60" s="82"/>
      <c r="B60" s="82"/>
      <c r="C60" s="21"/>
      <c r="D60" s="22"/>
      <c r="E60" s="82"/>
      <c r="F60" s="24" t="s">
        <v>15</v>
      </c>
    </row>
    <row r="61" spans="1:7" ht="65.150000000000006" customHeight="1" x14ac:dyDescent="0.35">
      <c r="A61" s="80"/>
      <c r="B61" s="80"/>
      <c r="C61" s="27"/>
      <c r="D61" s="28"/>
      <c r="E61" s="80"/>
      <c r="F61" s="24" t="s">
        <v>15</v>
      </c>
      <c r="G61" s="81"/>
    </row>
    <row r="62" spans="1:7" ht="65.150000000000006" customHeight="1" x14ac:dyDescent="0.35">
      <c r="A62" s="82"/>
      <c r="B62" s="82"/>
      <c r="C62" s="21"/>
      <c r="D62" s="22"/>
      <c r="E62" s="82"/>
      <c r="F62" s="24" t="s">
        <v>15</v>
      </c>
    </row>
    <row r="63" spans="1:7" ht="65.150000000000006" customHeight="1" x14ac:dyDescent="0.35">
      <c r="A63" s="80"/>
      <c r="B63" s="80"/>
      <c r="C63" s="27"/>
      <c r="D63" s="28"/>
      <c r="E63" s="80"/>
      <c r="F63" s="24" t="s">
        <v>15</v>
      </c>
      <c r="G63" s="81"/>
    </row>
    <row r="64" spans="1:7" ht="65.150000000000006" customHeight="1" x14ac:dyDescent="0.35">
      <c r="A64" s="82"/>
      <c r="B64" s="82"/>
      <c r="C64" s="21"/>
      <c r="D64" s="22"/>
      <c r="E64" s="82"/>
      <c r="F64" s="24" t="s">
        <v>15</v>
      </c>
    </row>
    <row r="65" spans="1:7" ht="65.150000000000006" customHeight="1" x14ac:dyDescent="0.35">
      <c r="A65" s="80"/>
      <c r="B65" s="80"/>
      <c r="C65" s="27"/>
      <c r="D65" s="28"/>
      <c r="E65" s="80"/>
      <c r="F65" s="24" t="s">
        <v>15</v>
      </c>
      <c r="G65" s="81"/>
    </row>
    <row r="66" spans="1:7" ht="65.150000000000006" customHeight="1" x14ac:dyDescent="0.35">
      <c r="A66" s="82"/>
      <c r="B66" s="82"/>
      <c r="C66" s="21"/>
      <c r="D66" s="22"/>
      <c r="E66" s="82"/>
      <c r="F66" s="24" t="s">
        <v>15</v>
      </c>
    </row>
    <row r="67" spans="1:7" ht="65.150000000000006" customHeight="1" x14ac:dyDescent="0.35">
      <c r="A67" s="80"/>
      <c r="B67" s="80"/>
      <c r="C67" s="27"/>
      <c r="D67" s="28"/>
      <c r="E67" s="80"/>
      <c r="F67" s="24" t="s">
        <v>15</v>
      </c>
      <c r="G67" s="81"/>
    </row>
    <row r="68" spans="1:7" ht="65.150000000000006" customHeight="1" x14ac:dyDescent="0.35">
      <c r="A68" s="82"/>
      <c r="B68" s="82"/>
      <c r="C68" s="21"/>
      <c r="D68" s="22"/>
      <c r="E68" s="82"/>
      <c r="F68" s="24" t="s">
        <v>15</v>
      </c>
    </row>
    <row r="69" spans="1:7" ht="65.150000000000006" customHeight="1" x14ac:dyDescent="0.35">
      <c r="A69" s="80"/>
      <c r="B69" s="80"/>
      <c r="C69" s="27"/>
      <c r="D69" s="28"/>
      <c r="E69" s="80"/>
      <c r="F69" s="24" t="s">
        <v>15</v>
      </c>
    </row>
    <row r="70" spans="1:7" ht="65.150000000000006" customHeight="1" x14ac:dyDescent="0.35">
      <c r="A70" s="82"/>
      <c r="B70" s="82"/>
      <c r="C70" s="21"/>
      <c r="D70" s="22"/>
      <c r="E70" s="82"/>
      <c r="F70" s="24" t="s">
        <v>15</v>
      </c>
    </row>
    <row r="71" spans="1:7" ht="65.150000000000006" customHeight="1" x14ac:dyDescent="0.35">
      <c r="A71" s="80"/>
      <c r="B71" s="80"/>
      <c r="C71" s="27"/>
      <c r="D71" s="28"/>
      <c r="E71" s="80"/>
      <c r="F71" s="24" t="s">
        <v>15</v>
      </c>
    </row>
    <row r="72" spans="1:7" ht="65.150000000000006" customHeight="1" x14ac:dyDescent="0.35">
      <c r="A72" s="82"/>
      <c r="B72" s="82"/>
      <c r="C72" s="21"/>
      <c r="D72" s="22"/>
      <c r="E72" s="82"/>
      <c r="F72" s="24" t="s">
        <v>15</v>
      </c>
    </row>
    <row r="73" spans="1:7" ht="65.150000000000006" customHeight="1" x14ac:dyDescent="0.35">
      <c r="A73" s="80"/>
      <c r="B73" s="80"/>
      <c r="C73" s="27"/>
      <c r="D73" s="28"/>
      <c r="E73" s="80"/>
      <c r="F73" s="24" t="s">
        <v>15</v>
      </c>
    </row>
    <row r="74" spans="1:7" ht="65.150000000000006" customHeight="1" x14ac:dyDescent="0.35">
      <c r="A74" s="82"/>
      <c r="B74" s="82"/>
      <c r="C74" s="21"/>
      <c r="D74" s="22"/>
      <c r="E74" s="82"/>
      <c r="F74" s="24" t="s">
        <v>15</v>
      </c>
    </row>
    <row r="75" spans="1:7" ht="65.150000000000006" customHeight="1" x14ac:dyDescent="0.35">
      <c r="A75" s="80"/>
      <c r="B75" s="80"/>
      <c r="C75" s="27"/>
      <c r="D75" s="28"/>
      <c r="E75" s="80"/>
      <c r="F75" s="24" t="s">
        <v>15</v>
      </c>
    </row>
    <row r="76" spans="1:7" ht="65.150000000000006" customHeight="1" x14ac:dyDescent="0.35">
      <c r="A76" s="82"/>
      <c r="B76" s="82"/>
      <c r="C76" s="21"/>
      <c r="D76" s="22"/>
      <c r="E76" s="82"/>
      <c r="F76" s="24" t="s">
        <v>15</v>
      </c>
    </row>
    <row r="77" spans="1:7" ht="65.150000000000006" customHeight="1" x14ac:dyDescent="0.35">
      <c r="A77" s="80"/>
      <c r="B77" s="80"/>
      <c r="C77" s="27"/>
      <c r="D77" s="28"/>
      <c r="E77" s="80"/>
      <c r="F77" s="24" t="s">
        <v>15</v>
      </c>
    </row>
    <row r="78" spans="1:7" ht="65.150000000000006" customHeight="1" x14ac:dyDescent="0.35">
      <c r="B78" s="83"/>
      <c r="C78" s="21"/>
      <c r="D78" s="22"/>
      <c r="E78" s="82"/>
      <c r="F78" s="24" t="s">
        <v>15</v>
      </c>
    </row>
    <row r="79" spans="1:7" ht="30" customHeight="1" x14ac:dyDescent="0.35">
      <c r="B79" s="83"/>
      <c r="C79" s="21"/>
      <c r="D79" s="22"/>
      <c r="E79" s="82"/>
      <c r="F79" s="24" t="s">
        <v>15</v>
      </c>
    </row>
    <row r="80" spans="1:7" ht="30" customHeight="1" x14ac:dyDescent="0.35">
      <c r="B80" s="83"/>
      <c r="C80" s="21"/>
      <c r="D80" s="22"/>
      <c r="E80" s="82"/>
      <c r="F80" s="24" t="s">
        <v>15</v>
      </c>
    </row>
    <row r="81" spans="2:6" ht="30" customHeight="1" x14ac:dyDescent="0.35">
      <c r="B81" s="83"/>
      <c r="C81" s="21"/>
      <c r="D81" s="22"/>
      <c r="E81" s="82"/>
      <c r="F81" s="24" t="s">
        <v>15</v>
      </c>
    </row>
    <row r="82" spans="2:6" ht="30" customHeight="1" x14ac:dyDescent="0.35">
      <c r="B82" s="83"/>
      <c r="C82" s="21"/>
      <c r="D82" s="22"/>
      <c r="E82" s="82"/>
      <c r="F82" s="24" t="s">
        <v>15</v>
      </c>
    </row>
    <row r="83" spans="2:6" ht="30" customHeight="1" x14ac:dyDescent="0.35">
      <c r="B83" s="83"/>
      <c r="C83" s="21"/>
      <c r="D83" s="22"/>
      <c r="E83" s="82"/>
      <c r="F83" s="24" t="s">
        <v>15</v>
      </c>
    </row>
    <row r="84" spans="2:6" ht="30" customHeight="1" x14ac:dyDescent="0.35">
      <c r="B84" s="83"/>
      <c r="C84" s="21"/>
      <c r="D84" s="22"/>
      <c r="E84" s="82"/>
      <c r="F84" s="24" t="s">
        <v>15</v>
      </c>
    </row>
    <row r="85" spans="2:6" ht="30" customHeight="1" x14ac:dyDescent="0.35">
      <c r="B85" s="83"/>
      <c r="C85" s="21"/>
      <c r="D85" s="22"/>
      <c r="E85" s="82"/>
      <c r="F85" s="24" t="s">
        <v>15</v>
      </c>
    </row>
    <row r="86" spans="2:6" ht="30" customHeight="1" x14ac:dyDescent="0.35">
      <c r="B86" s="83"/>
      <c r="C86" s="21"/>
      <c r="D86" s="22"/>
      <c r="E86" s="82"/>
      <c r="F86" s="24" t="s">
        <v>15</v>
      </c>
    </row>
    <row r="87" spans="2:6" ht="30" customHeight="1" x14ac:dyDescent="0.35">
      <c r="B87" s="83"/>
      <c r="C87" s="21"/>
      <c r="D87" s="22"/>
      <c r="E87" s="82"/>
      <c r="F87" s="24" t="s">
        <v>15</v>
      </c>
    </row>
    <row r="88" spans="2:6" ht="30" customHeight="1" x14ac:dyDescent="0.35">
      <c r="B88" s="83"/>
      <c r="C88" s="21"/>
      <c r="D88" s="22"/>
      <c r="E88" s="82"/>
      <c r="F88" s="24" t="s">
        <v>15</v>
      </c>
    </row>
    <row r="89" spans="2:6" ht="30" customHeight="1" x14ac:dyDescent="0.35">
      <c r="B89" s="83"/>
      <c r="C89" s="21"/>
      <c r="D89" s="22"/>
      <c r="E89" s="82"/>
      <c r="F89" s="24" t="s">
        <v>15</v>
      </c>
    </row>
    <row r="90" spans="2:6" ht="30" customHeight="1" x14ac:dyDescent="0.35">
      <c r="B90" s="83"/>
      <c r="C90" s="21"/>
      <c r="D90" s="22"/>
      <c r="E90" s="82"/>
      <c r="F90" s="24" t="s">
        <v>15</v>
      </c>
    </row>
    <row r="91" spans="2:6" ht="30" customHeight="1" x14ac:dyDescent="0.35">
      <c r="B91" s="83"/>
      <c r="C91" s="21"/>
      <c r="D91" s="22"/>
      <c r="E91" s="82"/>
      <c r="F91" s="24" t="s">
        <v>15</v>
      </c>
    </row>
    <row r="92" spans="2:6" ht="30" customHeight="1" x14ac:dyDescent="0.35">
      <c r="B92" s="83"/>
      <c r="C92" s="21"/>
      <c r="D92" s="22"/>
      <c r="E92" s="82"/>
      <c r="F92" s="24" t="s">
        <v>15</v>
      </c>
    </row>
    <row r="93" spans="2:6" ht="30" customHeight="1" x14ac:dyDescent="0.35">
      <c r="B93" s="83"/>
      <c r="C93" s="21"/>
      <c r="D93" s="22"/>
      <c r="E93" s="82"/>
      <c r="F93" s="24" t="s">
        <v>15</v>
      </c>
    </row>
    <row r="94" spans="2:6" ht="30" customHeight="1" x14ac:dyDescent="0.35">
      <c r="B94" s="83"/>
      <c r="C94" s="21"/>
      <c r="D94" s="22"/>
      <c r="E94" s="82"/>
      <c r="F94" s="24" t="s">
        <v>15</v>
      </c>
    </row>
    <row r="95" spans="2:6" ht="30" customHeight="1" x14ac:dyDescent="0.35">
      <c r="B95" s="83"/>
      <c r="C95" s="21"/>
      <c r="D95" s="22"/>
      <c r="E95" s="82"/>
      <c r="F95" s="24" t="s">
        <v>15</v>
      </c>
    </row>
    <row r="96" spans="2:6" ht="30" customHeight="1" x14ac:dyDescent="0.35">
      <c r="B96" s="83"/>
      <c r="C96" s="21"/>
      <c r="D96" s="22"/>
      <c r="E96" s="82"/>
      <c r="F96" s="24" t="s">
        <v>15</v>
      </c>
    </row>
    <row r="97" spans="2:6" ht="30" customHeight="1" x14ac:dyDescent="0.35">
      <c r="B97" s="83"/>
      <c r="C97" s="21"/>
      <c r="D97" s="22"/>
      <c r="E97" s="82"/>
      <c r="F97" s="24" t="s">
        <v>15</v>
      </c>
    </row>
    <row r="98" spans="2:6" ht="30" customHeight="1" x14ac:dyDescent="0.35">
      <c r="B98" s="83"/>
      <c r="C98" s="21"/>
      <c r="D98" s="22"/>
      <c r="E98" s="82"/>
      <c r="F98" s="24" t="s">
        <v>15</v>
      </c>
    </row>
    <row r="99" spans="2:6" ht="30" customHeight="1" x14ac:dyDescent="0.35">
      <c r="B99" s="83"/>
      <c r="C99" s="21"/>
      <c r="D99" s="22"/>
      <c r="E99" s="82"/>
      <c r="F99" s="24" t="s">
        <v>15</v>
      </c>
    </row>
    <row r="100" spans="2:6" ht="30" customHeight="1" x14ac:dyDescent="0.35">
      <c r="B100" s="83"/>
      <c r="C100" s="21"/>
      <c r="D100" s="22"/>
      <c r="E100" s="82"/>
      <c r="F100" s="24" t="s">
        <v>15</v>
      </c>
    </row>
    <row r="101" spans="2:6" ht="30" customHeight="1" x14ac:dyDescent="0.35">
      <c r="B101" s="83"/>
      <c r="C101" s="21"/>
      <c r="D101" s="22"/>
      <c r="E101" s="82"/>
      <c r="F101" s="24" t="s">
        <v>15</v>
      </c>
    </row>
    <row r="102" spans="2:6" ht="30" customHeight="1" x14ac:dyDescent="0.35">
      <c r="B102" s="83"/>
      <c r="C102" s="21"/>
      <c r="D102" s="22"/>
      <c r="E102" s="82"/>
      <c r="F102" s="24" t="s">
        <v>15</v>
      </c>
    </row>
    <row r="103" spans="2:6" ht="30" customHeight="1" x14ac:dyDescent="0.35">
      <c r="B103" s="83"/>
      <c r="C103" s="21"/>
      <c r="D103" s="22"/>
      <c r="E103" s="82"/>
      <c r="F103" s="24" t="s">
        <v>15</v>
      </c>
    </row>
    <row r="104" spans="2:6" ht="30" customHeight="1" x14ac:dyDescent="0.35">
      <c r="B104" s="83"/>
      <c r="C104" s="21"/>
      <c r="D104" s="22"/>
      <c r="E104" s="82"/>
      <c r="F104" s="24" t="s">
        <v>15</v>
      </c>
    </row>
    <row r="105" spans="2:6" ht="30" customHeight="1" x14ac:dyDescent="0.35">
      <c r="B105" s="83"/>
      <c r="C105" s="21"/>
      <c r="D105" s="22"/>
      <c r="E105" s="82"/>
      <c r="F105" s="24" t="s">
        <v>15</v>
      </c>
    </row>
    <row r="106" spans="2:6" ht="30" customHeight="1" x14ac:dyDescent="0.35">
      <c r="B106" s="83"/>
      <c r="C106" s="21"/>
      <c r="D106" s="22"/>
      <c r="E106" s="82"/>
      <c r="F106" s="24" t="s">
        <v>15</v>
      </c>
    </row>
    <row r="107" spans="2:6" ht="30" customHeight="1" x14ac:dyDescent="0.35">
      <c r="B107" s="83"/>
      <c r="C107" s="21"/>
      <c r="D107" s="22"/>
      <c r="E107" s="82"/>
      <c r="F107" s="24" t="s">
        <v>15</v>
      </c>
    </row>
    <row r="108" spans="2:6" ht="30" customHeight="1" x14ac:dyDescent="0.35">
      <c r="B108" s="83"/>
      <c r="C108" s="21"/>
      <c r="D108" s="22"/>
      <c r="E108" s="82"/>
      <c r="F108" s="24" t="s">
        <v>15</v>
      </c>
    </row>
    <row r="109" spans="2:6" ht="30" customHeight="1" x14ac:dyDescent="0.35">
      <c r="B109" s="83"/>
      <c r="C109" s="21"/>
      <c r="D109" s="22"/>
      <c r="E109" s="82"/>
      <c r="F109" s="24" t="s">
        <v>15</v>
      </c>
    </row>
    <row r="110" spans="2:6" ht="30" customHeight="1" x14ac:dyDescent="0.35">
      <c r="B110" s="83"/>
      <c r="C110" s="21"/>
      <c r="D110" s="22"/>
      <c r="E110" s="82"/>
      <c r="F110" s="24" t="s">
        <v>15</v>
      </c>
    </row>
    <row r="111" spans="2:6" ht="30" customHeight="1" x14ac:dyDescent="0.35">
      <c r="B111" s="83"/>
      <c r="C111" s="21"/>
      <c r="D111" s="22"/>
      <c r="E111" s="82"/>
      <c r="F111" s="24" t="s">
        <v>15</v>
      </c>
    </row>
    <row r="112" spans="2:6" ht="30" customHeight="1" x14ac:dyDescent="0.35">
      <c r="B112" s="83"/>
      <c r="C112" s="21"/>
      <c r="D112" s="22"/>
      <c r="E112" s="82"/>
      <c r="F112" s="24" t="s">
        <v>15</v>
      </c>
    </row>
    <row r="113" spans="1:6" ht="30" customHeight="1" x14ac:dyDescent="0.35">
      <c r="B113" s="83"/>
      <c r="C113" s="21"/>
      <c r="D113" s="22"/>
      <c r="E113" s="82"/>
      <c r="F113" s="24" t="s">
        <v>15</v>
      </c>
    </row>
    <row r="114" spans="1:6" ht="30" customHeight="1" x14ac:dyDescent="0.35">
      <c r="B114" s="83"/>
      <c r="C114" s="21"/>
      <c r="D114" s="22"/>
      <c r="E114" s="82"/>
      <c r="F114" s="24" t="s">
        <v>15</v>
      </c>
    </row>
    <row r="115" spans="1:6" ht="30" customHeight="1" x14ac:dyDescent="0.35">
      <c r="B115" s="83"/>
      <c r="C115" s="21"/>
      <c r="D115" s="22"/>
      <c r="E115" s="82"/>
      <c r="F115" s="24"/>
    </row>
    <row r="116" spans="1:6" ht="30" customHeight="1" x14ac:dyDescent="0.35">
      <c r="B116" s="83"/>
      <c r="C116" s="21"/>
      <c r="D116" s="22"/>
      <c r="E116" s="82"/>
      <c r="F116" s="24"/>
    </row>
    <row r="117" spans="1:6" ht="30" customHeight="1" x14ac:dyDescent="0.35">
      <c r="A117" s="76"/>
      <c r="B117" s="84"/>
      <c r="C117" s="76"/>
      <c r="D117" s="76"/>
      <c r="E117" s="85"/>
      <c r="F117" s="76"/>
    </row>
    <row r="118" spans="1:6" ht="30" customHeight="1" x14ac:dyDescent="0.35"/>
    <row r="119" spans="1:6" ht="30" customHeight="1" x14ac:dyDescent="0.35"/>
    <row r="120" spans="1:6" ht="30" customHeight="1" x14ac:dyDescent="0.35"/>
    <row r="121" spans="1:6" ht="30" customHeight="1" x14ac:dyDescent="0.35"/>
    <row r="122" spans="1:6" ht="30" customHeight="1" x14ac:dyDescent="0.35"/>
    <row r="123" spans="1:6" ht="30" customHeight="1" x14ac:dyDescent="0.35"/>
    <row r="124" spans="1:6" ht="30" customHeight="1" x14ac:dyDescent="0.35"/>
    <row r="125" spans="1:6" ht="30" customHeight="1" x14ac:dyDescent="0.35"/>
    <row r="126" spans="1:6" ht="30" customHeight="1" x14ac:dyDescent="0.35"/>
    <row r="127" spans="1:6" ht="30" customHeight="1" x14ac:dyDescent="0.35"/>
    <row r="128" spans="1:6" ht="30" customHeight="1" x14ac:dyDescent="0.35"/>
    <row r="129" ht="30" customHeight="1" x14ac:dyDescent="0.35"/>
    <row r="130" ht="30" customHeight="1" x14ac:dyDescent="0.35"/>
    <row r="131" ht="30" customHeight="1" x14ac:dyDescent="0.35"/>
    <row r="132" ht="30" customHeight="1" x14ac:dyDescent="0.35"/>
    <row r="133" ht="30" customHeight="1" x14ac:dyDescent="0.35"/>
    <row r="134" ht="30" customHeight="1" x14ac:dyDescent="0.35"/>
    <row r="135" ht="30" customHeight="1" x14ac:dyDescent="0.35"/>
    <row r="136" ht="30" customHeight="1" x14ac:dyDescent="0.35"/>
    <row r="137" ht="30" customHeight="1" x14ac:dyDescent="0.35"/>
    <row r="138" ht="30" customHeight="1" x14ac:dyDescent="0.35"/>
    <row r="139" ht="30" customHeight="1" x14ac:dyDescent="0.35"/>
    <row r="140" ht="30" customHeight="1" x14ac:dyDescent="0.35"/>
    <row r="141" ht="30" customHeight="1" x14ac:dyDescent="0.35"/>
    <row r="142" ht="30" customHeight="1" x14ac:dyDescent="0.35"/>
    <row r="143" ht="30" customHeight="1" x14ac:dyDescent="0.35"/>
    <row r="144" ht="30" customHeight="1" x14ac:dyDescent="0.35"/>
    <row r="145" ht="30" customHeight="1" x14ac:dyDescent="0.35"/>
    <row r="146" ht="30" customHeight="1" x14ac:dyDescent="0.35"/>
    <row r="147" ht="30" customHeight="1" x14ac:dyDescent="0.35"/>
    <row r="148" ht="30" customHeight="1" x14ac:dyDescent="0.35"/>
    <row r="149" ht="30" customHeight="1" x14ac:dyDescent="0.35"/>
    <row r="150" ht="30" customHeight="1" x14ac:dyDescent="0.35"/>
    <row r="151" ht="30" customHeight="1" x14ac:dyDescent="0.35"/>
    <row r="152" ht="30" customHeight="1" x14ac:dyDescent="0.35"/>
    <row r="153" ht="30" customHeight="1" x14ac:dyDescent="0.35"/>
    <row r="154" ht="30" customHeight="1" x14ac:dyDescent="0.35"/>
    <row r="155" ht="30" customHeight="1" x14ac:dyDescent="0.35"/>
    <row r="156" ht="30" customHeight="1" x14ac:dyDescent="0.35"/>
    <row r="157" ht="30" customHeight="1" x14ac:dyDescent="0.35"/>
    <row r="158" ht="30" customHeight="1" x14ac:dyDescent="0.35"/>
    <row r="159" ht="30" customHeight="1" x14ac:dyDescent="0.35"/>
    <row r="160" ht="30" customHeight="1" x14ac:dyDescent="0.35"/>
    <row r="161" spans="6:6" ht="30" customHeight="1" x14ac:dyDescent="0.35"/>
    <row r="162" spans="6:6" ht="30" customHeight="1" x14ac:dyDescent="0.35"/>
    <row r="163" spans="6:6" ht="30" customHeight="1" x14ac:dyDescent="0.35"/>
    <row r="164" spans="6:6" ht="30" customHeight="1" x14ac:dyDescent="0.35">
      <c r="F164" s="70" t="s">
        <v>15</v>
      </c>
    </row>
    <row r="165" spans="6:6" ht="30" customHeight="1" x14ac:dyDescent="0.35">
      <c r="F165" s="70" t="s">
        <v>15</v>
      </c>
    </row>
    <row r="166" spans="6:6" ht="30" customHeight="1" x14ac:dyDescent="0.35">
      <c r="F166" s="70" t="s">
        <v>15</v>
      </c>
    </row>
    <row r="167" spans="6:6" ht="30" customHeight="1" x14ac:dyDescent="0.35">
      <c r="F167" s="70" t="s">
        <v>15</v>
      </c>
    </row>
    <row r="168" spans="6:6" ht="30" customHeight="1" x14ac:dyDescent="0.35">
      <c r="F168" s="70" t="s">
        <v>15</v>
      </c>
    </row>
    <row r="169" spans="6:6" ht="30" customHeight="1" x14ac:dyDescent="0.35">
      <c r="F169" s="70" t="s">
        <v>15</v>
      </c>
    </row>
    <row r="170" spans="6:6" ht="30" customHeight="1" x14ac:dyDescent="0.35">
      <c r="F170" s="70" t="s">
        <v>15</v>
      </c>
    </row>
    <row r="171" spans="6:6" ht="30" customHeight="1" x14ac:dyDescent="0.35">
      <c r="F171" s="70" t="s">
        <v>15</v>
      </c>
    </row>
    <row r="172" spans="6:6" ht="30" customHeight="1" x14ac:dyDescent="0.35">
      <c r="F172" s="70" t="s">
        <v>15</v>
      </c>
    </row>
    <row r="173" spans="6:6" ht="30" customHeight="1" x14ac:dyDescent="0.35">
      <c r="F173" s="70" t="s">
        <v>15</v>
      </c>
    </row>
    <row r="174" spans="6:6" ht="30" customHeight="1" x14ac:dyDescent="0.35">
      <c r="F174" s="70" t="s">
        <v>15</v>
      </c>
    </row>
    <row r="175" spans="6:6" ht="30" customHeight="1" x14ac:dyDescent="0.35">
      <c r="F175" s="70" t="s">
        <v>15</v>
      </c>
    </row>
    <row r="176" spans="6:6" ht="30" customHeight="1" x14ac:dyDescent="0.35">
      <c r="F176" s="70" t="s">
        <v>15</v>
      </c>
    </row>
    <row r="177" spans="1:7" ht="30" customHeight="1" x14ac:dyDescent="0.35">
      <c r="F177" s="70" t="s">
        <v>15</v>
      </c>
    </row>
    <row r="178" spans="1:7" ht="30" customHeight="1" x14ac:dyDescent="0.35">
      <c r="F178" s="70" t="s">
        <v>15</v>
      </c>
    </row>
    <row r="179" spans="1:7" ht="30" customHeight="1" x14ac:dyDescent="0.35">
      <c r="F179" s="70" t="s">
        <v>15</v>
      </c>
    </row>
    <row r="180" spans="1:7" ht="30" customHeight="1" x14ac:dyDescent="0.35">
      <c r="F180" s="70" t="s">
        <v>15</v>
      </c>
    </row>
    <row r="181" spans="1:7" ht="30" customHeight="1" x14ac:dyDescent="0.35">
      <c r="F181" s="70" t="s">
        <v>15</v>
      </c>
    </row>
    <row r="182" spans="1:7" ht="30" customHeight="1" x14ac:dyDescent="0.35">
      <c r="F182" s="70" t="s">
        <v>15</v>
      </c>
    </row>
    <row r="183" spans="1:7" ht="30" customHeight="1" x14ac:dyDescent="0.35">
      <c r="F183" s="70" t="s">
        <v>15</v>
      </c>
    </row>
    <row r="184" spans="1:7" ht="30" customHeight="1" x14ac:dyDescent="0.35">
      <c r="F184" s="70" t="s">
        <v>15</v>
      </c>
    </row>
    <row r="185" spans="1:7" ht="30" customHeight="1" x14ac:dyDescent="0.35">
      <c r="F185" s="70" t="s">
        <v>15</v>
      </c>
    </row>
    <row r="186" spans="1:7" ht="30" customHeight="1" x14ac:dyDescent="0.35">
      <c r="F186" s="70" t="s">
        <v>15</v>
      </c>
    </row>
    <row r="187" spans="1:7" ht="30" customHeight="1" x14ac:dyDescent="0.35">
      <c r="F187" s="70" t="s">
        <v>15</v>
      </c>
    </row>
    <row r="188" spans="1:7" ht="30" customHeight="1" x14ac:dyDescent="0.35">
      <c r="F188" s="70" t="s">
        <v>15</v>
      </c>
    </row>
    <row r="189" spans="1:7" ht="30" customHeight="1" x14ac:dyDescent="0.35">
      <c r="F189" s="70" t="s">
        <v>15</v>
      </c>
    </row>
    <row r="190" spans="1:7" s="19" customFormat="1" ht="16.5" customHeight="1" x14ac:dyDescent="0.35">
      <c r="A190" s="70"/>
      <c r="B190" s="69"/>
      <c r="C190" s="70"/>
      <c r="D190" s="70"/>
      <c r="E190" s="86"/>
      <c r="F190" s="70"/>
      <c r="G190" s="87"/>
    </row>
  </sheetData>
  <sheetProtection selectLockedCells="1"/>
  <mergeCells count="9">
    <mergeCell ref="G4:G5"/>
    <mergeCell ref="A1:A2"/>
    <mergeCell ref="A3:A4"/>
    <mergeCell ref="A6:A7"/>
    <mergeCell ref="F4:F5"/>
    <mergeCell ref="B4:B5"/>
    <mergeCell ref="C4:C5"/>
    <mergeCell ref="D4:D5"/>
    <mergeCell ref="E4:E5"/>
  </mergeCells>
  <conditionalFormatting sqref="F115:F116">
    <cfRule type="expression" dxfId="5" priority="7">
      <formula>F115="VAZIO"</formula>
    </cfRule>
    <cfRule type="expression" dxfId="4" priority="8">
      <formula>F115="X"</formula>
    </cfRule>
    <cfRule type="expression" dxfId="3" priority="9">
      <formula>F115="OK"</formula>
    </cfRule>
  </conditionalFormatting>
  <conditionalFormatting sqref="F8:F114">
    <cfRule type="expression" dxfId="2" priority="1">
      <formula>F8="VAZIO"</formula>
    </cfRule>
    <cfRule type="expression" dxfId="1" priority="2">
      <formula>F8="X"</formula>
    </cfRule>
    <cfRule type="expression" dxfId="0" priority="3">
      <formula>F8="OK"</formula>
    </cfRule>
  </conditionalFormatting>
  <dataValidations count="2">
    <dataValidation type="list" allowBlank="1" showInputMessage="1" showErrorMessage="1" sqref="F115:F163" xr:uid="{198AA046-CBCC-401A-B9F2-4DFB5C898BB1}">
      <formula1>"OK,X,NADA"</formula1>
    </dataValidation>
    <dataValidation type="list" allowBlank="1" showInputMessage="1" showErrorMessage="1" sqref="F164:F189 F8:F114" xr:uid="{C1AAECF2-4564-4AC9-BCF7-94822DD9D631}">
      <formula1>"OK,X,VAZIO"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64D2-15A5-4672-811C-FA1D3F1494E1}">
  <sheetPr codeName="Planilha1"/>
  <dimension ref="A1:BA288"/>
  <sheetViews>
    <sheetView showGridLines="0" zoomScale="70" zoomScaleNormal="70" workbookViewId="0">
      <pane ySplit="5" topLeftCell="A6" activePane="bottomLeft" state="frozen"/>
      <selection pane="bottomLeft"/>
    </sheetView>
  </sheetViews>
  <sheetFormatPr defaultRowHeight="14.5" x14ac:dyDescent="0.35"/>
  <cols>
    <col min="1" max="1" width="9.54296875" customWidth="1"/>
    <col min="2" max="2" width="7.81640625" customWidth="1"/>
    <col min="3" max="3" width="10.26953125" customWidth="1"/>
    <col min="4" max="4" width="8.26953125" customWidth="1"/>
    <col min="5" max="5" width="9.7265625" customWidth="1"/>
    <col min="6" max="6" width="10.1796875" customWidth="1"/>
    <col min="7" max="7" width="15.7265625" customWidth="1"/>
    <col min="8" max="8" width="9.1796875" customWidth="1"/>
    <col min="32" max="32" width="11" customWidth="1"/>
  </cols>
  <sheetData>
    <row r="1" spans="1:4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5.75" customHeigh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23"/>
      <c r="X5" s="2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5.75" customHeight="1" thickBot="1" x14ac:dyDescent="0.4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5" customHeight="1" x14ac:dyDescent="0.35">
      <c r="A7" s="182" t="s">
        <v>13</v>
      </c>
      <c r="B7" s="183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4"/>
      <c r="W7" s="200" t="e">
        <f>#REF!</f>
        <v>#REF!</v>
      </c>
      <c r="X7" s="201"/>
      <c r="Y7" s="191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3"/>
    </row>
    <row r="8" spans="1:41" ht="15" customHeight="1" x14ac:dyDescent="0.35">
      <c r="A8" s="185"/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7"/>
      <c r="W8" s="202"/>
      <c r="X8" s="201"/>
      <c r="Y8" s="194"/>
      <c r="Z8" s="195"/>
      <c r="AA8" s="195"/>
      <c r="AB8" s="195"/>
      <c r="AC8" s="195"/>
      <c r="AD8" s="195"/>
      <c r="AE8" s="195"/>
      <c r="AF8" s="195"/>
      <c r="AG8" s="195"/>
      <c r="AH8" s="195"/>
      <c r="AI8" s="195"/>
      <c r="AJ8" s="195"/>
      <c r="AK8" s="195"/>
      <c r="AL8" s="195"/>
      <c r="AM8" s="195"/>
      <c r="AN8" s="195"/>
      <c r="AO8" s="196"/>
    </row>
    <row r="9" spans="1:41" ht="15.75" customHeight="1" thickBot="1" x14ac:dyDescent="0.4">
      <c r="A9" s="188"/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90"/>
      <c r="W9" s="202"/>
      <c r="X9" s="201"/>
      <c r="Y9" s="197"/>
      <c r="Z9" s="198"/>
      <c r="AA9" s="198"/>
      <c r="AB9" s="198"/>
      <c r="AC9" s="198"/>
      <c r="AD9" s="198"/>
      <c r="AE9" s="198"/>
      <c r="AF9" s="198"/>
      <c r="AG9" s="198"/>
      <c r="AH9" s="198"/>
      <c r="AI9" s="198"/>
      <c r="AJ9" s="198"/>
      <c r="AK9" s="198"/>
      <c r="AL9" s="198"/>
      <c r="AM9" s="198"/>
      <c r="AN9" s="198"/>
      <c r="AO9" s="199"/>
    </row>
    <row r="10" spans="1:41" ht="19.5" customHeight="1" thickBot="1" x14ac:dyDescent="0.4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3"/>
      <c r="AI10" s="3"/>
      <c r="AJ10" s="3"/>
      <c r="AK10" s="3"/>
      <c r="AL10" s="3"/>
      <c r="AM10" s="3"/>
      <c r="AN10" s="3"/>
      <c r="AO10" s="3"/>
    </row>
    <row r="11" spans="1:41" ht="30" customHeight="1" thickBot="1" x14ac:dyDescent="0.4">
      <c r="A11" s="4"/>
      <c r="B11" s="179" t="s">
        <v>28</v>
      </c>
      <c r="C11" s="180"/>
      <c r="D11" s="180"/>
      <c r="E11" s="180"/>
      <c r="F11" s="180"/>
      <c r="G11" s="181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3"/>
      <c r="AI11" s="3"/>
      <c r="AJ11" s="3"/>
      <c r="AK11" s="3"/>
      <c r="AL11" s="3"/>
      <c r="AM11" s="3"/>
      <c r="AN11" s="3"/>
      <c r="AO11" s="3"/>
    </row>
    <row r="12" spans="1:41" ht="30" customHeight="1" x14ac:dyDescent="0.35">
      <c r="A12" s="4"/>
      <c r="B12" s="5" t="s">
        <v>5</v>
      </c>
      <c r="C12" s="6" t="s">
        <v>6</v>
      </c>
      <c r="D12" s="6" t="s">
        <v>7</v>
      </c>
      <c r="E12" s="6" t="s">
        <v>11</v>
      </c>
      <c r="F12" s="6" t="s">
        <v>8</v>
      </c>
      <c r="G12" s="7" t="s">
        <v>10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3"/>
      <c r="AI12" s="3"/>
      <c r="AJ12" s="3"/>
      <c r="AK12" s="3"/>
      <c r="AL12" s="3"/>
      <c r="AM12" s="3"/>
      <c r="AN12" s="3"/>
      <c r="AO12" s="3"/>
    </row>
    <row r="13" spans="1:41" ht="30" customHeight="1" thickBot="1" x14ac:dyDescent="0.4">
      <c r="A13" s="4"/>
      <c r="B13" s="8" t="e">
        <f>#REF!</f>
        <v>#REF!</v>
      </c>
      <c r="C13" s="9">
        <v>0.37</v>
      </c>
      <c r="D13" s="9" t="e">
        <f>#REF!</f>
        <v>#REF!</v>
      </c>
      <c r="E13" s="9">
        <f>ROGERIO!AV9</f>
        <v>0</v>
      </c>
      <c r="F13" s="9" t="e">
        <f>#REF!</f>
        <v>#REF!</v>
      </c>
      <c r="G13" s="10" t="e">
        <f>(SUM(B13:F13))/500%</f>
        <v>#REF!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3"/>
      <c r="AI13" s="3"/>
      <c r="AJ13" s="3"/>
      <c r="AK13" s="3"/>
      <c r="AL13" s="3"/>
      <c r="AM13" s="3"/>
      <c r="AN13" s="3"/>
      <c r="AO13" s="3"/>
    </row>
    <row r="14" spans="1:41" x14ac:dyDescent="0.35">
      <c r="A14" s="4"/>
      <c r="B14" s="11">
        <v>0.8</v>
      </c>
      <c r="C14" s="11">
        <v>0.8</v>
      </c>
      <c r="D14" s="11">
        <v>0.8</v>
      </c>
      <c r="E14" s="11">
        <v>0.8</v>
      </c>
      <c r="F14" s="11">
        <v>0.8</v>
      </c>
      <c r="G14" s="11">
        <v>0.8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3"/>
      <c r="AI14" s="3"/>
      <c r="AJ14" s="3"/>
      <c r="AK14" s="3"/>
      <c r="AL14" s="3"/>
      <c r="AM14" s="3"/>
      <c r="AN14" s="3"/>
      <c r="AO14" s="3"/>
    </row>
    <row r="15" spans="1:41" x14ac:dyDescent="0.3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3"/>
      <c r="AI15" s="3"/>
      <c r="AJ15" s="3"/>
      <c r="AK15" s="3"/>
      <c r="AL15" s="3"/>
      <c r="AM15" s="3"/>
      <c r="AN15" s="3"/>
      <c r="AO15" s="3"/>
    </row>
    <row r="16" spans="1:41" x14ac:dyDescent="0.3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11"/>
      <c r="AC16" s="4"/>
      <c r="AD16" s="4"/>
      <c r="AE16" s="4"/>
      <c r="AF16" s="4"/>
      <c r="AG16" s="4"/>
      <c r="AH16" s="3"/>
      <c r="AI16" s="3"/>
      <c r="AJ16" s="3"/>
      <c r="AK16" s="3"/>
      <c r="AL16" s="3"/>
      <c r="AM16" s="3"/>
      <c r="AN16" s="3"/>
      <c r="AO16" s="3"/>
    </row>
    <row r="17" spans="1:41" x14ac:dyDescent="0.3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3"/>
      <c r="AI17" s="3"/>
      <c r="AJ17" s="3"/>
      <c r="AK17" s="3"/>
      <c r="AL17" s="3"/>
      <c r="AM17" s="3"/>
      <c r="AN17" s="3"/>
      <c r="AO17" s="3"/>
    </row>
    <row r="18" spans="1:41" x14ac:dyDescent="0.3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3"/>
      <c r="AI18" s="3"/>
      <c r="AJ18" s="3"/>
      <c r="AK18" s="3"/>
      <c r="AL18" s="3"/>
      <c r="AM18" s="3"/>
      <c r="AN18" s="3"/>
      <c r="AO18" s="3"/>
    </row>
    <row r="19" spans="1:41" x14ac:dyDescent="0.35">
      <c r="A19" s="4"/>
      <c r="B19" s="11"/>
      <c r="C19" s="11"/>
      <c r="D19" s="11"/>
      <c r="E19" s="11"/>
      <c r="F19" s="11"/>
      <c r="G19" s="11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3"/>
      <c r="AI19" s="3"/>
      <c r="AJ19" s="3"/>
      <c r="AK19" s="3"/>
      <c r="AL19" s="3"/>
      <c r="AM19" s="3"/>
      <c r="AN19" s="3"/>
      <c r="AO19" s="3"/>
    </row>
    <row r="20" spans="1:41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3"/>
      <c r="AI20" s="3"/>
      <c r="AJ20" s="3"/>
      <c r="AK20" s="3"/>
      <c r="AL20" s="3"/>
      <c r="AM20" s="3"/>
      <c r="AN20" s="3"/>
      <c r="AO20" s="3"/>
    </row>
    <row r="21" spans="1:41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3"/>
      <c r="AI21" s="3"/>
      <c r="AJ21" s="3"/>
      <c r="AK21" s="3"/>
      <c r="AL21" s="3"/>
      <c r="AM21" s="3"/>
      <c r="AN21" s="3"/>
      <c r="AO21" s="3"/>
    </row>
    <row r="22" spans="1:41" x14ac:dyDescent="0.3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3"/>
      <c r="AI22" s="3"/>
      <c r="AJ22" s="3"/>
      <c r="AK22" s="3"/>
      <c r="AL22" s="3"/>
      <c r="AM22" s="3"/>
      <c r="AN22" s="3"/>
      <c r="AO22" s="3"/>
    </row>
    <row r="23" spans="1:4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3"/>
      <c r="AI23" s="3"/>
      <c r="AJ23" s="3"/>
      <c r="AK23" s="3"/>
      <c r="AL23" s="3"/>
      <c r="AM23" s="3"/>
      <c r="AN23" s="3"/>
      <c r="AO23" s="3"/>
    </row>
    <row r="24" spans="1:4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3"/>
      <c r="AI24" s="3"/>
      <c r="AJ24" s="3"/>
      <c r="AK24" s="3"/>
      <c r="AL24" s="3"/>
      <c r="AM24" s="3"/>
      <c r="AN24" s="3"/>
      <c r="AO24" s="3"/>
    </row>
    <row r="25" spans="1:4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3"/>
      <c r="AI25" s="3"/>
      <c r="AJ25" s="3"/>
      <c r="AK25" s="3"/>
      <c r="AL25" s="3"/>
      <c r="AM25" s="3"/>
      <c r="AN25" s="3"/>
      <c r="AO25" s="3"/>
    </row>
    <row r="26" spans="1:41" x14ac:dyDescent="0.3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3"/>
      <c r="AI26" s="3"/>
      <c r="AJ26" s="3"/>
      <c r="AK26" s="3"/>
      <c r="AL26" s="3"/>
      <c r="AM26" s="3"/>
      <c r="AN26" s="3"/>
      <c r="AO26" s="3"/>
    </row>
    <row r="27" spans="1:41" ht="20.149999999999999" customHeight="1" thickBot="1" x14ac:dyDescent="0.4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3"/>
      <c r="AI27" s="3"/>
      <c r="AJ27" s="3"/>
      <c r="AK27" s="3"/>
      <c r="AL27" s="3"/>
      <c r="AM27" s="3"/>
      <c r="AN27" s="3"/>
      <c r="AO27" s="3"/>
    </row>
    <row r="28" spans="1:41" ht="15" customHeight="1" x14ac:dyDescent="0.35">
      <c r="A28" s="182" t="s">
        <v>13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4"/>
      <c r="W28" s="200" t="e">
        <f>#REF!</f>
        <v>#REF!</v>
      </c>
      <c r="X28" s="201"/>
      <c r="Y28" s="191" t="s">
        <v>14</v>
      </c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3"/>
    </row>
    <row r="29" spans="1:41" ht="15" customHeight="1" x14ac:dyDescent="0.35">
      <c r="A29" s="185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7"/>
      <c r="W29" s="202"/>
      <c r="X29" s="201"/>
      <c r="Y29" s="194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195"/>
      <c r="AK29" s="195"/>
      <c r="AL29" s="195"/>
      <c r="AM29" s="195"/>
      <c r="AN29" s="195"/>
      <c r="AO29" s="196"/>
    </row>
    <row r="30" spans="1:41" ht="15.75" customHeight="1" thickBot="1" x14ac:dyDescent="0.4">
      <c r="A30" s="188"/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90"/>
      <c r="W30" s="202"/>
      <c r="X30" s="201"/>
      <c r="Y30" s="197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9"/>
    </row>
    <row r="31" spans="1:41" ht="20.149999999999999" customHeight="1" thickBot="1" x14ac:dyDescent="0.4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30" customHeight="1" thickBot="1" x14ac:dyDescent="0.4">
      <c r="A32" s="4"/>
      <c r="B32" s="179" t="s">
        <v>29</v>
      </c>
      <c r="C32" s="180"/>
      <c r="D32" s="180"/>
      <c r="E32" s="180"/>
      <c r="F32" s="180"/>
      <c r="G32" s="181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3"/>
      <c r="AH32" s="3"/>
      <c r="AI32" s="3"/>
      <c r="AJ32" s="3"/>
      <c r="AK32" s="3"/>
      <c r="AL32" s="3"/>
      <c r="AM32" s="3"/>
      <c r="AN32" s="3"/>
      <c r="AO32" s="3"/>
    </row>
    <row r="33" spans="1:53" ht="30" customHeight="1" x14ac:dyDescent="0.35">
      <c r="A33" s="4"/>
      <c r="B33" s="5" t="s">
        <v>5</v>
      </c>
      <c r="C33" s="6" t="s">
        <v>6</v>
      </c>
      <c r="D33" s="6" t="s">
        <v>7</v>
      </c>
      <c r="E33" s="6" t="s">
        <v>11</v>
      </c>
      <c r="F33" s="6" t="s">
        <v>8</v>
      </c>
      <c r="G33" s="7" t="s">
        <v>10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3"/>
      <c r="AH33" s="3"/>
      <c r="AI33" s="3"/>
      <c r="AJ33" s="3"/>
      <c r="AK33" s="3"/>
      <c r="AL33" s="3"/>
      <c r="AM33" s="3"/>
      <c r="AN33" s="3"/>
      <c r="AO33" s="3"/>
    </row>
    <row r="34" spans="1:53" ht="30" customHeight="1" thickBot="1" x14ac:dyDescent="0.4">
      <c r="A34" s="4"/>
      <c r="B34" s="8" t="e">
        <f>#REF!</f>
        <v>#REF!</v>
      </c>
      <c r="C34" s="9" t="e">
        <f>#REF!</f>
        <v>#REF!</v>
      </c>
      <c r="D34" s="9" t="e">
        <f>#REF!</f>
        <v>#REF!</v>
      </c>
      <c r="E34" s="9">
        <f>ROGERIO!BA9</f>
        <v>0.2109704641350211</v>
      </c>
      <c r="F34" s="9">
        <v>0.4</v>
      </c>
      <c r="G34" s="10" t="e">
        <f>(SUM(B34:F34))/500%</f>
        <v>#REF!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3"/>
      <c r="AH34" s="3"/>
      <c r="AI34" s="3"/>
      <c r="AJ34" s="3"/>
      <c r="AK34" s="3"/>
      <c r="AL34" s="3"/>
      <c r="AM34" s="3"/>
      <c r="AN34" s="3"/>
      <c r="AO34" s="3"/>
    </row>
    <row r="35" spans="1:53" x14ac:dyDescent="0.35">
      <c r="A35" s="4"/>
      <c r="B35" s="11">
        <v>0.8</v>
      </c>
      <c r="C35" s="11">
        <v>0.8</v>
      </c>
      <c r="D35" s="11">
        <v>0.8</v>
      </c>
      <c r="E35" s="11">
        <v>0.8</v>
      </c>
      <c r="F35" s="11">
        <v>0.8</v>
      </c>
      <c r="G35" s="11">
        <v>0.8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3"/>
      <c r="AH35" s="3"/>
      <c r="AI35" s="3"/>
      <c r="AJ35" s="3"/>
      <c r="AK35" s="3"/>
      <c r="AL35" s="3"/>
      <c r="AM35" s="3"/>
      <c r="AN35" s="3"/>
      <c r="AO35" s="3"/>
    </row>
    <row r="36" spans="1:53" x14ac:dyDescent="0.3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3"/>
      <c r="AH36" s="3"/>
      <c r="AI36" s="3"/>
      <c r="AJ36" s="3"/>
      <c r="AK36" s="3"/>
      <c r="AL36" s="3"/>
      <c r="AM36" s="3"/>
      <c r="AN36" s="3"/>
      <c r="AO36" s="3"/>
    </row>
    <row r="37" spans="1:53" x14ac:dyDescent="0.3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3"/>
      <c r="AH37" s="3"/>
      <c r="AI37" s="3"/>
      <c r="AJ37" s="3"/>
      <c r="AK37" s="3"/>
      <c r="AL37" s="3"/>
      <c r="AM37" s="3"/>
      <c r="AN37" s="3"/>
      <c r="AO37" s="3"/>
    </row>
    <row r="38" spans="1:53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3"/>
      <c r="AH39" s="3"/>
      <c r="AI39" s="3"/>
      <c r="AJ39" s="3"/>
      <c r="AK39" s="3"/>
      <c r="AL39" s="3"/>
      <c r="AM39" s="3"/>
      <c r="AN39" s="3"/>
      <c r="AO39" s="3"/>
    </row>
    <row r="40" spans="1:53" x14ac:dyDescent="0.3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3"/>
      <c r="AH40" s="3"/>
      <c r="AI40" s="3"/>
      <c r="AJ40" s="3"/>
      <c r="AK40" s="3"/>
      <c r="AL40" s="3"/>
      <c r="AM40" s="3"/>
      <c r="AN40" s="3"/>
      <c r="AO40" s="3"/>
    </row>
    <row r="41" spans="1:53" x14ac:dyDescent="0.3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3"/>
      <c r="AH41" s="3"/>
      <c r="AI41" s="3"/>
      <c r="AJ41" s="3"/>
      <c r="AK41" s="3"/>
      <c r="AL41" s="3"/>
      <c r="AM41" s="3"/>
      <c r="AN41" s="3"/>
      <c r="AO41" s="3"/>
    </row>
    <row r="42" spans="1:53" x14ac:dyDescent="0.3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3"/>
      <c r="AH42" s="3"/>
      <c r="AI42" s="3"/>
      <c r="AJ42" s="3"/>
      <c r="AK42" s="3"/>
      <c r="AL42" s="3"/>
      <c r="AM42" s="3"/>
      <c r="AN42" s="3"/>
      <c r="AO42" s="3"/>
    </row>
    <row r="43" spans="1:53" x14ac:dyDescent="0.3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3"/>
      <c r="AH43" s="3"/>
      <c r="AI43" s="3"/>
      <c r="AJ43" s="3"/>
      <c r="AK43" s="3"/>
      <c r="AL43" s="3"/>
      <c r="AM43" s="3"/>
      <c r="AN43" s="3"/>
      <c r="AO43" s="3"/>
    </row>
    <row r="44" spans="1:53" x14ac:dyDescent="0.3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3"/>
      <c r="AH44" s="3"/>
      <c r="AI44" s="3"/>
      <c r="AJ44" s="3"/>
      <c r="AK44" s="3"/>
      <c r="AL44" s="3"/>
      <c r="AM44" s="3"/>
      <c r="AN44" s="3"/>
      <c r="AO44" s="3"/>
    </row>
    <row r="45" spans="1:53" x14ac:dyDescent="0.3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3"/>
      <c r="AH45" s="3"/>
      <c r="AI45" s="3"/>
      <c r="AJ45" s="3"/>
      <c r="AK45" s="3"/>
      <c r="AL45" s="3"/>
      <c r="AM45" s="3"/>
      <c r="AN45" s="3"/>
      <c r="AO45" s="3"/>
    </row>
    <row r="46" spans="1:53" x14ac:dyDescent="0.3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3"/>
      <c r="AH46" s="3"/>
      <c r="AI46" s="3"/>
      <c r="AJ46" s="3"/>
      <c r="AK46" s="3"/>
      <c r="AL46" s="3"/>
      <c r="AM46" s="3"/>
      <c r="AN46" s="3"/>
      <c r="AO46" s="3"/>
    </row>
    <row r="47" spans="1:53" ht="15" thickBot="1" x14ac:dyDescent="0.4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3"/>
      <c r="AH47" s="3"/>
      <c r="AI47" s="3"/>
      <c r="AJ47" s="3"/>
      <c r="AK47" s="3"/>
      <c r="AL47" s="3"/>
      <c r="AM47" s="3"/>
      <c r="AN47" s="3"/>
      <c r="AO47" s="3"/>
    </row>
    <row r="48" spans="1:53" ht="30" customHeight="1" thickBot="1" x14ac:dyDescent="0.4">
      <c r="A48" s="4"/>
      <c r="B48" s="179" t="s">
        <v>28</v>
      </c>
      <c r="C48" s="180"/>
      <c r="D48" s="180"/>
      <c r="E48" s="180"/>
      <c r="F48" s="180"/>
      <c r="G48" s="181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3"/>
      <c r="AH48" s="3"/>
      <c r="AI48" s="3"/>
      <c r="AJ48" s="3"/>
      <c r="AK48" s="3"/>
      <c r="AL48" s="3"/>
      <c r="AM48" s="3"/>
      <c r="AN48" s="3"/>
      <c r="AO48" s="3"/>
    </row>
    <row r="49" spans="1:41" ht="30" customHeight="1" x14ac:dyDescent="0.35">
      <c r="A49" s="4"/>
      <c r="B49" s="5" t="s">
        <v>5</v>
      </c>
      <c r="C49" s="6" t="s">
        <v>6</v>
      </c>
      <c r="D49" s="6" t="s">
        <v>7</v>
      </c>
      <c r="E49" s="6" t="s">
        <v>11</v>
      </c>
      <c r="F49" s="6" t="s">
        <v>8</v>
      </c>
      <c r="G49" s="7" t="s">
        <v>10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3"/>
      <c r="AH49" s="3"/>
      <c r="AI49" s="3"/>
      <c r="AJ49" s="3"/>
      <c r="AK49" s="3"/>
      <c r="AL49" s="3"/>
      <c r="AM49" s="3"/>
      <c r="AN49" s="3"/>
      <c r="AO49" s="3"/>
    </row>
    <row r="50" spans="1:41" ht="30" customHeight="1" thickBot="1" x14ac:dyDescent="0.4">
      <c r="A50" s="4"/>
      <c r="B50" s="8" t="e">
        <f>#REF!</f>
        <v>#REF!</v>
      </c>
      <c r="C50" s="9" t="e">
        <f>#REF!</f>
        <v>#REF!</v>
      </c>
      <c r="D50" s="9" t="e">
        <f>#REF!</f>
        <v>#REF!</v>
      </c>
      <c r="E50" s="9">
        <f>ROGERIO!BA14</f>
        <v>0</v>
      </c>
      <c r="F50" s="9" t="e">
        <f>#REF!</f>
        <v>#REF!</v>
      </c>
      <c r="G50" s="10" t="e">
        <f>(SUM(B50:F50))/500%</f>
        <v>#REF!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3"/>
      <c r="AH50" s="3"/>
      <c r="AI50" s="3"/>
      <c r="AJ50" s="3"/>
      <c r="AK50" s="3"/>
      <c r="AL50" s="3"/>
      <c r="AM50" s="3"/>
      <c r="AN50" s="3"/>
      <c r="AO50" s="3"/>
    </row>
    <row r="51" spans="1:41" ht="15" thickBot="1" x14ac:dyDescent="0.4">
      <c r="A51" s="4"/>
      <c r="B51" s="11">
        <v>0.8</v>
      </c>
      <c r="C51" s="11">
        <v>0.8</v>
      </c>
      <c r="D51" s="11">
        <v>0.8</v>
      </c>
      <c r="E51" s="11">
        <v>0.8</v>
      </c>
      <c r="F51" s="11">
        <v>0.8</v>
      </c>
      <c r="G51" s="11">
        <v>0.8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3"/>
      <c r="AH51" s="3"/>
      <c r="AI51" s="3"/>
      <c r="AJ51" s="3"/>
      <c r="AK51" s="3"/>
      <c r="AL51" s="3"/>
      <c r="AM51" s="3"/>
      <c r="AN51" s="3"/>
      <c r="AO51" s="3"/>
    </row>
    <row r="52" spans="1:41" ht="15" customHeight="1" x14ac:dyDescent="0.35">
      <c r="A52" s="182" t="s">
        <v>13</v>
      </c>
      <c r="B52" s="183"/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4"/>
      <c r="W52" s="200" t="e">
        <f>#REF!</f>
        <v>#REF!</v>
      </c>
      <c r="X52" s="201"/>
      <c r="Y52" s="191" t="s">
        <v>14</v>
      </c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3"/>
    </row>
    <row r="53" spans="1:41" ht="15" customHeight="1" x14ac:dyDescent="0.35">
      <c r="A53" s="185"/>
      <c r="B53" s="186"/>
      <c r="C53" s="186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187"/>
      <c r="W53" s="202"/>
      <c r="X53" s="201"/>
      <c r="Y53" s="194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L53" s="195"/>
      <c r="AM53" s="195"/>
      <c r="AN53" s="195"/>
      <c r="AO53" s="196"/>
    </row>
    <row r="54" spans="1:41" ht="15.75" customHeight="1" thickBot="1" x14ac:dyDescent="0.4">
      <c r="A54" s="188"/>
      <c r="B54" s="189"/>
      <c r="C54" s="189"/>
      <c r="D54" s="189"/>
      <c r="E54" s="189"/>
      <c r="F54" s="189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89"/>
      <c r="U54" s="189"/>
      <c r="V54" s="190"/>
      <c r="W54" s="202"/>
      <c r="X54" s="201"/>
      <c r="Y54" s="197"/>
      <c r="Z54" s="198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AN54" s="198"/>
      <c r="AO54" s="199"/>
    </row>
    <row r="55" spans="1:41" ht="15" thickBot="1" x14ac:dyDescent="0.4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3"/>
      <c r="AH55" s="3"/>
      <c r="AI55" s="3"/>
      <c r="AJ55" s="3"/>
      <c r="AK55" s="3"/>
      <c r="AL55" s="3"/>
      <c r="AM55" s="3"/>
      <c r="AN55" s="3"/>
      <c r="AO55" s="3"/>
    </row>
    <row r="56" spans="1:41" ht="30" customHeight="1" thickBot="1" x14ac:dyDescent="0.4">
      <c r="A56" s="4"/>
      <c r="B56" s="179" t="s">
        <v>29</v>
      </c>
      <c r="C56" s="180"/>
      <c r="D56" s="180"/>
      <c r="E56" s="180"/>
      <c r="F56" s="180"/>
      <c r="G56" s="181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3"/>
      <c r="AH56" s="3"/>
      <c r="AI56" s="3"/>
      <c r="AJ56" s="3"/>
      <c r="AK56" s="3"/>
      <c r="AL56" s="3"/>
      <c r="AM56" s="3"/>
      <c r="AN56" s="3"/>
      <c r="AO56" s="3"/>
    </row>
    <row r="57" spans="1:41" ht="30" customHeight="1" x14ac:dyDescent="0.35">
      <c r="A57" s="4"/>
      <c r="B57" s="5" t="s">
        <v>5</v>
      </c>
      <c r="C57" s="6" t="s">
        <v>6</v>
      </c>
      <c r="D57" s="6" t="s">
        <v>7</v>
      </c>
      <c r="E57" s="6" t="s">
        <v>11</v>
      </c>
      <c r="F57" s="13" t="s">
        <v>8</v>
      </c>
      <c r="G57" s="14" t="s">
        <v>10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3"/>
      <c r="AH57" s="3"/>
      <c r="AI57" s="3"/>
      <c r="AJ57" s="3"/>
      <c r="AK57" s="3"/>
      <c r="AL57" s="3"/>
      <c r="AM57" s="3"/>
      <c r="AN57" s="3"/>
      <c r="AO57" s="3"/>
    </row>
    <row r="58" spans="1:41" ht="30" customHeight="1" thickBot="1" x14ac:dyDescent="0.4">
      <c r="A58" s="4"/>
      <c r="B58" s="8" t="e">
        <f>#REF!</f>
        <v>#REF!</v>
      </c>
      <c r="C58" s="9" t="e">
        <f>#REF!</f>
        <v>#REF!</v>
      </c>
      <c r="D58" s="9" t="e">
        <f>#REF!</f>
        <v>#REF!</v>
      </c>
      <c r="E58" s="9">
        <f>ROGERIO!BF9</f>
        <v>0.16473317865429235</v>
      </c>
      <c r="F58" s="15" t="e">
        <f>#REF!</f>
        <v>#REF!</v>
      </c>
      <c r="G58" s="16" t="e">
        <f>(SUM(B58:F58))/500%</f>
        <v>#REF!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5">
      <c r="A59" s="4"/>
      <c r="B59" s="11">
        <v>0.8</v>
      </c>
      <c r="C59" s="11">
        <v>0.8</v>
      </c>
      <c r="D59" s="11">
        <v>0.8</v>
      </c>
      <c r="E59" s="11">
        <v>0.8</v>
      </c>
      <c r="F59" s="11">
        <v>0.8</v>
      </c>
      <c r="G59" s="11">
        <v>0.8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3"/>
      <c r="AH70" s="3"/>
      <c r="AI70" s="3"/>
      <c r="AJ70" s="3"/>
      <c r="AK70" s="3"/>
      <c r="AL70" s="3"/>
      <c r="AM70" s="3"/>
      <c r="AN70" s="3"/>
      <c r="AO70" s="3"/>
    </row>
    <row r="71" spans="1:41" ht="15" thickBot="1" x14ac:dyDescent="0.4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3"/>
      <c r="AH71" s="3"/>
      <c r="AI71" s="3"/>
      <c r="AJ71" s="3"/>
      <c r="AK71" s="3"/>
      <c r="AL71" s="3"/>
      <c r="AM71" s="3"/>
      <c r="AN71" s="3"/>
      <c r="AO71" s="3"/>
    </row>
    <row r="72" spans="1:41" ht="30" customHeight="1" thickBot="1" x14ac:dyDescent="0.4">
      <c r="A72" s="4"/>
      <c r="B72" s="179" t="s">
        <v>28</v>
      </c>
      <c r="C72" s="180"/>
      <c r="D72" s="180"/>
      <c r="E72" s="180"/>
      <c r="F72" s="180"/>
      <c r="G72" s="181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3"/>
      <c r="AH72" s="3"/>
      <c r="AI72" s="3"/>
      <c r="AJ72" s="3"/>
      <c r="AK72" s="3"/>
      <c r="AL72" s="3"/>
      <c r="AM72" s="3"/>
      <c r="AN72" s="3"/>
      <c r="AO72" s="3"/>
    </row>
    <row r="73" spans="1:41" ht="30" customHeight="1" x14ac:dyDescent="0.35">
      <c r="A73" s="4"/>
      <c r="B73" s="5" t="s">
        <v>5</v>
      </c>
      <c r="C73" s="6" t="s">
        <v>6</v>
      </c>
      <c r="D73" s="6" t="s">
        <v>7</v>
      </c>
      <c r="E73" s="6" t="s">
        <v>11</v>
      </c>
      <c r="F73" s="6" t="s">
        <v>8</v>
      </c>
      <c r="G73" s="7" t="s">
        <v>10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3"/>
      <c r="AH73" s="3"/>
      <c r="AI73" s="3"/>
      <c r="AJ73" s="3"/>
      <c r="AK73" s="3"/>
      <c r="AL73" s="3"/>
      <c r="AM73" s="3"/>
      <c r="AN73" s="3"/>
      <c r="AO73" s="3"/>
    </row>
    <row r="74" spans="1:41" ht="30" customHeight="1" thickBot="1" x14ac:dyDescent="0.4">
      <c r="A74" s="4"/>
      <c r="B74" s="8" t="e">
        <f>#REF!</f>
        <v>#REF!</v>
      </c>
      <c r="C74" s="9" t="e">
        <f>#REF!</f>
        <v>#REF!</v>
      </c>
      <c r="D74" s="9" t="e">
        <f>#REF!</f>
        <v>#REF!</v>
      </c>
      <c r="E74" s="9">
        <f>ROGERIO!BF14</f>
        <v>0</v>
      </c>
      <c r="F74" s="9" t="e">
        <f>#REF!</f>
        <v>#REF!</v>
      </c>
      <c r="G74" s="10" t="e">
        <f>(SUM(B74:F74))/500%</f>
        <v>#REF!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5">
      <c r="A75" s="4"/>
      <c r="B75" s="11">
        <v>0.8</v>
      </c>
      <c r="C75" s="11">
        <v>0.8</v>
      </c>
      <c r="D75" s="11">
        <v>0.8</v>
      </c>
      <c r="E75" s="11">
        <v>0.8</v>
      </c>
      <c r="F75" s="11">
        <v>0.8</v>
      </c>
      <c r="G75" s="11">
        <v>0.8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3"/>
      <c r="AH75" s="3"/>
      <c r="AI75" s="3"/>
      <c r="AJ75" s="3"/>
      <c r="AK75" s="3"/>
      <c r="AL75" s="3"/>
      <c r="AM75" s="3"/>
      <c r="AN75" s="3"/>
      <c r="AO75" s="3"/>
    </row>
    <row r="76" spans="1:41" ht="15" thickBot="1" x14ac:dyDescent="0.4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3"/>
      <c r="AH76" s="3"/>
      <c r="AI76" s="3"/>
      <c r="AJ76" s="3"/>
      <c r="AK76" s="3"/>
      <c r="AL76" s="3"/>
      <c r="AM76" s="3"/>
      <c r="AN76" s="3"/>
      <c r="AO76" s="3"/>
    </row>
    <row r="77" spans="1:41" ht="15" customHeight="1" x14ac:dyDescent="0.35">
      <c r="A77" s="12"/>
      <c r="B77" s="12"/>
      <c r="C77" s="12"/>
      <c r="D77" s="12"/>
      <c r="E77" s="12"/>
      <c r="F77" s="12"/>
      <c r="G77" s="12"/>
      <c r="H77" s="182" t="s">
        <v>13</v>
      </c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4"/>
      <c r="W77" s="200" t="e">
        <f>#REF!</f>
        <v>#REF!</v>
      </c>
      <c r="X77" s="201"/>
      <c r="Y77" s="191" t="s">
        <v>14</v>
      </c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3"/>
    </row>
    <row r="78" spans="1:41" ht="15" customHeight="1" x14ac:dyDescent="0.35">
      <c r="A78" s="12"/>
      <c r="B78" s="12"/>
      <c r="C78" s="12"/>
      <c r="D78" s="12"/>
      <c r="E78" s="12"/>
      <c r="F78" s="12"/>
      <c r="G78" s="12"/>
      <c r="H78" s="185"/>
      <c r="I78" s="186"/>
      <c r="J78" s="186"/>
      <c r="K78" s="186"/>
      <c r="L78" s="186"/>
      <c r="M78" s="186"/>
      <c r="N78" s="186"/>
      <c r="O78" s="186"/>
      <c r="P78" s="186"/>
      <c r="Q78" s="186"/>
      <c r="R78" s="186"/>
      <c r="S78" s="186"/>
      <c r="T78" s="186"/>
      <c r="U78" s="186"/>
      <c r="V78" s="187"/>
      <c r="W78" s="202"/>
      <c r="X78" s="201"/>
      <c r="Y78" s="194"/>
      <c r="Z78" s="195"/>
      <c r="AA78" s="195"/>
      <c r="AB78" s="195"/>
      <c r="AC78" s="195"/>
      <c r="AD78" s="195"/>
      <c r="AE78" s="195"/>
      <c r="AF78" s="195"/>
      <c r="AG78" s="195"/>
      <c r="AH78" s="195"/>
      <c r="AI78" s="195"/>
      <c r="AJ78" s="195"/>
      <c r="AK78" s="195"/>
      <c r="AL78" s="195"/>
      <c r="AM78" s="195"/>
      <c r="AN78" s="195"/>
      <c r="AO78" s="196"/>
    </row>
    <row r="79" spans="1:41" ht="15.75" customHeight="1" thickBot="1" x14ac:dyDescent="0.4">
      <c r="A79" s="12"/>
      <c r="B79" s="12"/>
      <c r="C79" s="12"/>
      <c r="D79" s="12"/>
      <c r="E79" s="12"/>
      <c r="F79" s="12"/>
      <c r="G79" s="12"/>
      <c r="H79" s="188"/>
      <c r="I79" s="189"/>
      <c r="J79" s="189"/>
      <c r="K79" s="189"/>
      <c r="L79" s="189"/>
      <c r="M79" s="189"/>
      <c r="N79" s="189"/>
      <c r="O79" s="189"/>
      <c r="P79" s="189"/>
      <c r="Q79" s="189"/>
      <c r="R79" s="189"/>
      <c r="S79" s="189"/>
      <c r="T79" s="189"/>
      <c r="U79" s="189"/>
      <c r="V79" s="190"/>
      <c r="W79" s="202"/>
      <c r="X79" s="201"/>
      <c r="Y79" s="197"/>
      <c r="Z79" s="198"/>
      <c r="AA79" s="198"/>
      <c r="AB79" s="198"/>
      <c r="AC79" s="198"/>
      <c r="AD79" s="198"/>
      <c r="AE79" s="198"/>
      <c r="AF79" s="198"/>
      <c r="AG79" s="198"/>
      <c r="AH79" s="198"/>
      <c r="AI79" s="198"/>
      <c r="AJ79" s="198"/>
      <c r="AK79" s="198"/>
      <c r="AL79" s="198"/>
      <c r="AM79" s="198"/>
      <c r="AN79" s="198"/>
      <c r="AO79" s="199"/>
    </row>
    <row r="80" spans="1:41" x14ac:dyDescent="0.3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3"/>
      <c r="AH81" s="3"/>
      <c r="AI81" s="3"/>
      <c r="AJ81" s="3"/>
      <c r="AK81" s="3"/>
      <c r="AL81" s="3"/>
      <c r="AM81" s="3"/>
      <c r="AN81" s="3"/>
      <c r="AO81" s="3"/>
    </row>
    <row r="82" spans="1:41" ht="15" thickBot="1" x14ac:dyDescent="0.4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3"/>
      <c r="AH82" s="3"/>
      <c r="AI82" s="3"/>
      <c r="AJ82" s="3"/>
      <c r="AK82" s="3"/>
      <c r="AL82" s="3"/>
      <c r="AM82" s="3"/>
      <c r="AN82" s="3"/>
      <c r="AO82" s="3"/>
    </row>
    <row r="83" spans="1:41" ht="30" customHeight="1" thickBot="1" x14ac:dyDescent="0.4">
      <c r="A83" s="4"/>
      <c r="B83" s="179" t="s">
        <v>29</v>
      </c>
      <c r="C83" s="180"/>
      <c r="D83" s="180"/>
      <c r="E83" s="180"/>
      <c r="F83" s="180"/>
      <c r="G83" s="181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3"/>
      <c r="AH83" s="3"/>
      <c r="AI83" s="3"/>
      <c r="AJ83" s="3"/>
      <c r="AK83" s="3"/>
      <c r="AL83" s="3"/>
      <c r="AM83" s="3"/>
      <c r="AN83" s="3"/>
      <c r="AO83" s="3"/>
    </row>
    <row r="84" spans="1:41" ht="30" customHeight="1" x14ac:dyDescent="0.35">
      <c r="A84" s="4"/>
      <c r="B84" s="17" t="s">
        <v>5</v>
      </c>
      <c r="C84" s="18" t="s">
        <v>6</v>
      </c>
      <c r="D84" s="18" t="s">
        <v>7</v>
      </c>
      <c r="E84" s="6" t="s">
        <v>11</v>
      </c>
      <c r="F84" s="6" t="s">
        <v>8</v>
      </c>
      <c r="G84" s="7" t="s">
        <v>10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3"/>
      <c r="AH84" s="3"/>
      <c r="AI84" s="3"/>
      <c r="AJ84" s="3"/>
      <c r="AK84" s="3"/>
      <c r="AL84" s="3"/>
      <c r="AM84" s="3"/>
      <c r="AN84" s="3"/>
      <c r="AO84" s="3"/>
    </row>
    <row r="85" spans="1:41" ht="30" customHeight="1" thickBot="1" x14ac:dyDescent="0.4">
      <c r="A85" s="4"/>
      <c r="B85" s="8" t="e">
        <f>#REF!</f>
        <v>#REF!</v>
      </c>
      <c r="C85" s="9" t="e">
        <f>#REF!</f>
        <v>#REF!</v>
      </c>
      <c r="D85" s="9" t="e">
        <f>#REF!</f>
        <v>#REF!</v>
      </c>
      <c r="E85" s="9">
        <f>ROGERIO!BK9</f>
        <v>0.12519561815336464</v>
      </c>
      <c r="F85" s="9" t="e">
        <f>#REF!</f>
        <v>#REF!</v>
      </c>
      <c r="G85" s="10" t="e">
        <f>(SUM(B85:F85))/500%</f>
        <v>#REF!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5">
      <c r="A86" s="4"/>
      <c r="B86" s="11">
        <v>0.8</v>
      </c>
      <c r="C86" s="11">
        <v>0.8</v>
      </c>
      <c r="D86" s="11">
        <v>0.8</v>
      </c>
      <c r="E86" s="11">
        <v>0.8</v>
      </c>
      <c r="F86" s="11">
        <v>0.8</v>
      </c>
      <c r="G86" s="11">
        <v>0.8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3"/>
      <c r="AH96" s="3"/>
      <c r="AI96" s="3"/>
      <c r="AJ96" s="3"/>
      <c r="AK96" s="3"/>
      <c r="AL96" s="3"/>
      <c r="AM96" s="3"/>
      <c r="AN96" s="3"/>
      <c r="AO96" s="3"/>
    </row>
    <row r="97" spans="1:41" ht="15" thickBot="1" x14ac:dyDescent="0.4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3"/>
      <c r="AH97" s="3"/>
      <c r="AI97" s="3"/>
      <c r="AJ97" s="3"/>
      <c r="AK97" s="3"/>
      <c r="AL97" s="3"/>
      <c r="AM97" s="3"/>
      <c r="AN97" s="3"/>
      <c r="AO97" s="3"/>
    </row>
    <row r="98" spans="1:41" ht="16" thickBot="1" x14ac:dyDescent="0.4">
      <c r="A98" s="4"/>
      <c r="B98" s="179" t="s">
        <v>28</v>
      </c>
      <c r="C98" s="180"/>
      <c r="D98" s="180"/>
      <c r="E98" s="180"/>
      <c r="F98" s="180"/>
      <c r="G98" s="181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3"/>
      <c r="AH98" s="3"/>
      <c r="AI98" s="3"/>
      <c r="AJ98" s="3"/>
      <c r="AK98" s="3"/>
      <c r="AL98" s="3"/>
      <c r="AM98" s="3"/>
      <c r="AN98" s="3"/>
      <c r="AO98" s="3"/>
    </row>
    <row r="99" spans="1:41" ht="30" customHeight="1" x14ac:dyDescent="0.35">
      <c r="A99" s="4"/>
      <c r="B99" s="5" t="s">
        <v>5</v>
      </c>
      <c r="C99" s="6" t="s">
        <v>6</v>
      </c>
      <c r="D99" s="6" t="s">
        <v>7</v>
      </c>
      <c r="E99" s="6" t="s">
        <v>11</v>
      </c>
      <c r="F99" s="6" t="s">
        <v>8</v>
      </c>
      <c r="G99" s="7" t="s">
        <v>10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3"/>
      <c r="AH99" s="3"/>
      <c r="AI99" s="3"/>
      <c r="AJ99" s="3"/>
      <c r="AK99" s="3"/>
      <c r="AL99" s="3"/>
      <c r="AM99" s="3"/>
      <c r="AN99" s="3"/>
      <c r="AO99" s="3"/>
    </row>
    <row r="100" spans="1:41" ht="30" customHeight="1" thickBot="1" x14ac:dyDescent="0.4">
      <c r="A100" s="4"/>
      <c r="B100" s="8" t="e">
        <f>#REF!</f>
        <v>#REF!</v>
      </c>
      <c r="C100" s="9" t="e">
        <f>#REF!</f>
        <v>#REF!</v>
      </c>
      <c r="D100" s="9" t="e">
        <f>#REF!</f>
        <v>#REF!</v>
      </c>
      <c r="E100" s="9">
        <f>ROGERIO!BK14</f>
        <v>1.4423076923076924E-2</v>
      </c>
      <c r="F100" s="9" t="e">
        <f>#REF!</f>
        <v>#REF!</v>
      </c>
      <c r="G100" s="10" t="e">
        <f>(SUM(B100:F100))/500%</f>
        <v>#REF!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5">
      <c r="A101" s="4"/>
      <c r="B101" s="11">
        <v>0.8</v>
      </c>
      <c r="C101" s="11">
        <v>0.8</v>
      </c>
      <c r="D101" s="11">
        <v>0.8</v>
      </c>
      <c r="E101" s="11">
        <v>0.8</v>
      </c>
      <c r="F101" s="11">
        <v>0.8</v>
      </c>
      <c r="G101" s="11">
        <v>0.8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x14ac:dyDescent="0.3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x14ac:dyDescent="0.3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</sheetData>
  <sheetProtection selectLockedCells="1" selectUnlockedCells="1"/>
  <mergeCells count="19">
    <mergeCell ref="Y28:AO30"/>
    <mergeCell ref="Y7:AO9"/>
    <mergeCell ref="H77:V79"/>
    <mergeCell ref="Y77:AO79"/>
    <mergeCell ref="Y52:AO54"/>
    <mergeCell ref="W7:X9"/>
    <mergeCell ref="W28:X30"/>
    <mergeCell ref="W52:X54"/>
    <mergeCell ref="W77:X79"/>
    <mergeCell ref="B83:G83"/>
    <mergeCell ref="A28:V30"/>
    <mergeCell ref="A52:V54"/>
    <mergeCell ref="B98:G98"/>
    <mergeCell ref="A7:V9"/>
    <mergeCell ref="B11:G11"/>
    <mergeCell ref="B48:G48"/>
    <mergeCell ref="B72:G72"/>
    <mergeCell ref="B32:G32"/>
    <mergeCell ref="B56:G56"/>
  </mergeCells>
  <pageMargins left="0.511811024" right="0.511811024" top="0.78740157499999996" bottom="0.78740157499999996" header="0.31496062000000002" footer="0.31496062000000002"/>
  <pageSetup paperSize="8" orientation="landscape" r:id="rId1"/>
  <ignoredErrors>
    <ignoredError sqref="A15:V18 A51 A48 C48:V48 A36:V47 A32 C32:V32 A60:V71 A56 C56:V56 A76:V76 A72 C72:V72 A87:V97 A83 C83:V83 A100 A33:D33 F33:V33 A49:D49 F49:V49 A57:D57 F57:V57 A73:D73 F73:V73 A84:D84 F84:V84 A99:D99 F99:V99 A58 H58:V58 A74 H74:V74 A85 H85:V85 H100:V100 A13 A34 A50 A80:V82 A77:G77 A78:G79 A31:V31 A53:V55 B52:V52 H34:V34 H50:V50 H13:V13 A14 H14:V14 A35 H35:V35 H51:V51 A59 H59:V59 A75 H75:V75 A86 H86:V86 A20:V27 A19 I19:V19 W7:X79 A98 H98:V98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ROGERIO</vt:lpstr>
      <vt:lpstr>PA ROGERIO</vt:lpstr>
      <vt:lpstr>ADERÊNCIA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Honorato</dc:creator>
  <cp:lastModifiedBy>Maiza Porto</cp:lastModifiedBy>
  <cp:lastPrinted>2022-09-27T19:29:13Z</cp:lastPrinted>
  <dcterms:created xsi:type="dcterms:W3CDTF">2022-08-31T13:32:23Z</dcterms:created>
  <dcterms:modified xsi:type="dcterms:W3CDTF">2023-10-30T12:48:04Z</dcterms:modified>
</cp:coreProperties>
</file>