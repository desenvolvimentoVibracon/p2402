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iza.porto\Desktop\Marco - Outubro 2023\"/>
    </mc:Choice>
  </mc:AlternateContent>
  <xr:revisionPtr revIDLastSave="0" documentId="13_ncr:1_{813CEE06-02B3-4554-9820-D9D4B7D17153}" xr6:coauthVersionLast="47" xr6:coauthVersionMax="47" xr10:uidLastSave="{00000000-0000-0000-0000-000000000000}"/>
  <bookViews>
    <workbookView xWindow="-110" yWindow="-110" windowWidth="19420" windowHeight="10420" tabRatio="855" xr2:uid="{FCF3E4BD-C91C-4330-B31E-E3BC2B293FBE}"/>
  </bookViews>
  <sheets>
    <sheet name="ADERÊNCIA OUTUBRO" sheetId="30" r:id="rId1"/>
    <sheet name="ADERÊNCIA SETEMBRO" sheetId="11" r:id="rId2"/>
    <sheet name="% DE DESVIO" sheetId="29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primeir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7" i="30" l="1"/>
  <c r="F112" i="30"/>
  <c r="F100" i="30"/>
  <c r="F85" i="30"/>
  <c r="F58" i="30"/>
  <c r="G50" i="30"/>
  <c r="F50" i="30"/>
  <c r="F34" i="30"/>
  <c r="G13" i="30"/>
  <c r="F13" i="30"/>
  <c r="D13" i="30" l="1"/>
  <c r="B13" i="30" l="1"/>
  <c r="E50" i="30"/>
  <c r="D50" i="30"/>
  <c r="B50" i="30"/>
  <c r="E34" i="30"/>
  <c r="D34" i="30"/>
  <c r="B34" i="30"/>
  <c r="E13" i="30"/>
  <c r="B127" i="30"/>
  <c r="B112" i="30"/>
  <c r="B100" i="30"/>
  <c r="B85" i="30"/>
  <c r="B74" i="30"/>
  <c r="B58" i="30"/>
  <c r="F74" i="30"/>
  <c r="D127" i="30"/>
  <c r="D112" i="30"/>
  <c r="D100" i="30"/>
  <c r="D85" i="30"/>
  <c r="D74" i="30"/>
  <c r="D58" i="30"/>
  <c r="W104" i="30"/>
  <c r="W77" i="30"/>
  <c r="W52" i="30"/>
  <c r="W28" i="30"/>
  <c r="W7" i="30"/>
  <c r="E127" i="30"/>
  <c r="E112" i="30"/>
  <c r="E100" i="30"/>
  <c r="E85" i="30"/>
  <c r="E74" i="30"/>
  <c r="G74" i="30" s="1"/>
  <c r="E58" i="30"/>
  <c r="G50" i="11"/>
  <c r="G34" i="11"/>
  <c r="W104" i="11" l="1"/>
  <c r="W77" i="11"/>
  <c r="W52" i="11"/>
  <c r="W28" i="11"/>
  <c r="W7" i="11"/>
  <c r="G74" i="11" l="1"/>
  <c r="G100" i="11" l="1"/>
  <c r="G85" i="11" l="1"/>
  <c r="G58" i="11"/>
  <c r="G112" i="11" l="1"/>
  <c r="G13" i="11" l="1"/>
  <c r="C127" i="11" l="1"/>
  <c r="G127" i="11" s="1"/>
  <c r="C127" i="30" l="1"/>
  <c r="G127" i="30" s="1"/>
  <c r="C74" i="30" l="1"/>
  <c r="C50" i="30"/>
  <c r="C100" i="30" l="1"/>
  <c r="G100" i="30" s="1"/>
  <c r="C34" i="30" l="1"/>
  <c r="G34" i="30" s="1"/>
  <c r="C112" i="30"/>
  <c r="G112" i="30" s="1"/>
  <c r="C85" i="30"/>
  <c r="G85" i="30" s="1"/>
  <c r="C13" i="30"/>
  <c r="C58" i="30"/>
  <c r="G58" i="30" s="1"/>
</calcChain>
</file>

<file path=xl/sharedStrings.xml><?xml version="1.0" encoding="utf-8"?>
<sst xmlns="http://schemas.openxmlformats.org/spreadsheetml/2006/main" count="171" uniqueCount="32">
  <si>
    <t>ANA</t>
  </si>
  <si>
    <t>ADRIANO</t>
  </si>
  <si>
    <t>MARCOS</t>
  </si>
  <si>
    <t>ENGENHARIA</t>
  </si>
  <si>
    <t>ROGERIO</t>
  </si>
  <si>
    <t>CAUSA DO DESVIO - ADRIANO</t>
  </si>
  <si>
    <t>CAUSA DO DESVIO - ROGÉRIO</t>
  </si>
  <si>
    <t>CAUSA DO DESVIO - ANA</t>
  </si>
  <si>
    <t>CAUSA DO DESVIO - MARCOS</t>
  </si>
  <si>
    <t>CALENDÁRIO</t>
  </si>
  <si>
    <t>ADERÊNCIA SEMANAL 1</t>
  </si>
  <si>
    <t>ADERÊNCIA SEMANAL 2</t>
  </si>
  <si>
    <t>ADERÊNCIA ACUMULADA 1</t>
  </si>
  <si>
    <t>ADERÊNCIA SEMANAL 3</t>
  </si>
  <si>
    <t>ADERÊNCIA SEMANAL 4</t>
  </si>
  <si>
    <t>ADERÊNCIA SEMANAL 5</t>
  </si>
  <si>
    <t>ADERÊNCIA ACUMULADA 2</t>
  </si>
  <si>
    <t>ADERÊNCIA ACUMULADA 3</t>
  </si>
  <si>
    <t>ADERÊNCIA ACUMULADA 4</t>
  </si>
  <si>
    <t>MAURO</t>
  </si>
  <si>
    <t>CAUSA DO DESVIO - MAURO</t>
  </si>
  <si>
    <t>ATRASO MENSAL.</t>
  </si>
  <si>
    <t>Aprovação do Cliente</t>
  </si>
  <si>
    <t>Prazo</t>
  </si>
  <si>
    <t>Falta de recurso</t>
  </si>
  <si>
    <t>ATRASO MENSAL</t>
  </si>
  <si>
    <t>Desenvolvimento da Tarefa</t>
  </si>
  <si>
    <t>Mobilização</t>
  </si>
  <si>
    <t>Elaboração e Verificação - Largo</t>
  </si>
  <si>
    <t>Falta de Recurso</t>
  </si>
  <si>
    <t>Qualidade de Entrega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</si>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</sst>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26"/>
      <color rgb="FFA5A8A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C4594"/>
        <bgColor indexed="64"/>
      </patternFill>
    </fill>
    <fill>
      <patternFill patternType="solid">
        <fgColor rgb="FF2C9449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2C4594"/>
      </left>
      <right/>
      <top style="medium">
        <color rgb="FF2C4594"/>
      </top>
      <bottom/>
      <diagonal/>
    </border>
    <border>
      <left/>
      <right/>
      <top style="medium">
        <color rgb="FF2C4594"/>
      </top>
      <bottom/>
      <diagonal/>
    </border>
    <border>
      <left/>
      <right style="medium">
        <color rgb="FF2C4594"/>
      </right>
      <top style="medium">
        <color rgb="FF2C4594"/>
      </top>
      <bottom/>
      <diagonal/>
    </border>
    <border>
      <left style="medium">
        <color rgb="FF2C4594"/>
      </left>
      <right/>
      <top/>
      <bottom/>
      <diagonal/>
    </border>
    <border>
      <left/>
      <right style="medium">
        <color rgb="FF2C4594"/>
      </right>
      <top/>
      <bottom/>
      <diagonal/>
    </border>
    <border>
      <left style="medium">
        <color rgb="FF2C4594"/>
      </left>
      <right/>
      <top/>
      <bottom style="medium">
        <color rgb="FF2C4594"/>
      </bottom>
      <diagonal/>
    </border>
    <border>
      <left/>
      <right/>
      <top/>
      <bottom style="medium">
        <color rgb="FF2C4594"/>
      </bottom>
      <diagonal/>
    </border>
    <border>
      <left/>
      <right style="medium">
        <color rgb="FF2C4594"/>
      </right>
      <top/>
      <bottom style="medium">
        <color rgb="FF2C4594"/>
      </bottom>
      <diagonal/>
    </border>
    <border>
      <left/>
      <right/>
      <top/>
      <bottom style="thin">
        <color rgb="FF2C4594"/>
      </bottom>
      <diagonal/>
    </border>
    <border>
      <left style="medium">
        <color rgb="FF2C9449"/>
      </left>
      <right/>
      <top style="medium">
        <color rgb="FF2C9449"/>
      </top>
      <bottom/>
      <diagonal/>
    </border>
    <border>
      <left/>
      <right/>
      <top style="medium">
        <color rgb="FF2C9449"/>
      </top>
      <bottom/>
      <diagonal/>
    </border>
    <border>
      <left/>
      <right style="medium">
        <color rgb="FF2C9449"/>
      </right>
      <top style="medium">
        <color rgb="FF2C9449"/>
      </top>
      <bottom/>
      <diagonal/>
    </border>
    <border>
      <left style="medium">
        <color rgb="FF2C9449"/>
      </left>
      <right/>
      <top/>
      <bottom/>
      <diagonal/>
    </border>
    <border>
      <left/>
      <right style="medium">
        <color rgb="FF2C9449"/>
      </right>
      <top/>
      <bottom/>
      <diagonal/>
    </border>
    <border>
      <left style="medium">
        <color rgb="FF2C9449"/>
      </left>
      <right/>
      <top/>
      <bottom style="medium">
        <color rgb="FF2C9449"/>
      </bottom>
      <diagonal/>
    </border>
    <border>
      <left/>
      <right/>
      <top/>
      <bottom style="medium">
        <color rgb="FF2C9449"/>
      </bottom>
      <diagonal/>
    </border>
    <border>
      <left/>
      <right style="medium">
        <color rgb="FF2C9449"/>
      </right>
      <top/>
      <bottom style="medium">
        <color rgb="FF2C9449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1" fillId="4" borderId="4" xfId="0" applyFont="1" applyFill="1" applyBorder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9" fontId="1" fillId="3" borderId="7" xfId="0" applyNumberFormat="1" applyFont="1" applyFill="1" applyBorder="1" applyAlignment="1" applyProtection="1">
      <alignment horizontal="center" vertical="center"/>
      <protection locked="0"/>
    </xf>
    <xf numFmtId="9" fontId="1" fillId="3" borderId="8" xfId="0" applyNumberFormat="1" applyFont="1" applyFill="1" applyBorder="1" applyAlignment="1" applyProtection="1">
      <alignment horizontal="center" vertical="center"/>
      <protection locked="0"/>
    </xf>
    <xf numFmtId="9" fontId="1" fillId="3" borderId="10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Protection="1">
      <protection locked="0"/>
    </xf>
    <xf numFmtId="0" fontId="0" fillId="5" borderId="0" xfId="0" applyFill="1" applyProtection="1">
      <protection locked="0"/>
    </xf>
    <xf numFmtId="0" fontId="1" fillId="4" borderId="11" xfId="0" applyFont="1" applyFill="1" applyBorder="1" applyAlignment="1" applyProtection="1">
      <alignment horizontal="center" vertical="center"/>
      <protection locked="0"/>
    </xf>
    <xf numFmtId="0" fontId="1" fillId="4" borderId="6" xfId="0" applyFont="1" applyFill="1" applyBorder="1" applyAlignment="1" applyProtection="1">
      <alignment horizontal="center" vertical="center"/>
      <protection locked="0"/>
    </xf>
    <xf numFmtId="0" fontId="1" fillId="4" borderId="12" xfId="0" applyFont="1" applyFill="1" applyBorder="1" applyAlignment="1" applyProtection="1">
      <alignment horizontal="center" vertical="center"/>
      <protection locked="0"/>
    </xf>
    <xf numFmtId="0" fontId="1" fillId="4" borderId="13" xfId="0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protection locked="0"/>
    </xf>
    <xf numFmtId="0" fontId="0" fillId="0" borderId="0" xfId="0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9" fontId="1" fillId="3" borderId="8" xfId="1" applyFont="1" applyFill="1" applyBorder="1" applyAlignment="1" applyProtection="1">
      <alignment horizontal="center" vertical="center"/>
      <protection locked="0"/>
    </xf>
    <xf numFmtId="0" fontId="1" fillId="3" borderId="8" xfId="1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9" fontId="1" fillId="4" borderId="4" xfId="0" applyNumberFormat="1" applyFont="1" applyFill="1" applyBorder="1" applyAlignment="1" applyProtection="1">
      <alignment horizontal="center" vertical="center"/>
      <protection locked="0"/>
    </xf>
    <xf numFmtId="9" fontId="1" fillId="4" borderId="4" xfId="1" applyFont="1" applyFill="1" applyBorder="1" applyAlignment="1" applyProtection="1">
      <alignment horizontal="center" vertical="center"/>
      <protection locked="0"/>
    </xf>
    <xf numFmtId="0" fontId="1" fillId="3" borderId="0" xfId="1" applyNumberFormat="1" applyFont="1" applyFill="1" applyBorder="1" applyAlignment="1" applyProtection="1">
      <alignment horizontal="center" vertical="center"/>
      <protection locked="0"/>
    </xf>
    <xf numFmtId="9" fontId="1" fillId="3" borderId="0" xfId="1" applyFont="1" applyFill="1" applyBorder="1" applyAlignment="1" applyProtection="1">
      <alignment horizontal="center" vertical="center"/>
      <protection locked="0"/>
    </xf>
    <xf numFmtId="9" fontId="0" fillId="2" borderId="0" xfId="0" applyNumberFormat="1" applyFill="1" applyProtection="1">
      <protection locked="0"/>
    </xf>
    <xf numFmtId="0" fontId="0" fillId="2" borderId="0" xfId="0" quotePrefix="1" applyFill="1" applyProtection="1">
      <protection locked="0"/>
    </xf>
    <xf numFmtId="0" fontId="4" fillId="6" borderId="23" xfId="0" applyFont="1" applyFill="1" applyBorder="1" applyAlignment="1" applyProtection="1">
      <alignment horizontal="center" vertical="center"/>
      <protection locked="0"/>
    </xf>
    <xf numFmtId="0" fontId="4" fillId="6" borderId="24" xfId="0" applyFont="1" applyFill="1" applyBorder="1" applyAlignment="1" applyProtection="1">
      <alignment horizontal="center" vertical="center"/>
      <protection locked="0"/>
    </xf>
    <xf numFmtId="0" fontId="4" fillId="6" borderId="25" xfId="0" applyFont="1" applyFill="1" applyBorder="1" applyAlignment="1" applyProtection="1">
      <alignment horizontal="center" vertical="center"/>
      <protection locked="0"/>
    </xf>
    <xf numFmtId="0" fontId="4" fillId="6" borderId="26" xfId="0" applyFont="1" applyFill="1" applyBorder="1" applyAlignment="1" applyProtection="1">
      <alignment horizontal="center" vertic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0" fontId="4" fillId="6" borderId="27" xfId="0" applyFont="1" applyFill="1" applyBorder="1" applyAlignment="1" applyProtection="1">
      <alignment horizontal="center" vertical="center"/>
      <protection locked="0"/>
    </xf>
    <xf numFmtId="0" fontId="4" fillId="6" borderId="28" xfId="0" applyFont="1" applyFill="1" applyBorder="1" applyAlignment="1" applyProtection="1">
      <alignment horizontal="center" vertical="center"/>
      <protection locked="0"/>
    </xf>
    <xf numFmtId="0" fontId="4" fillId="6" borderId="29" xfId="0" applyFont="1" applyFill="1" applyBorder="1" applyAlignment="1" applyProtection="1">
      <alignment horizontal="center" vertical="center"/>
      <protection locked="0"/>
    </xf>
    <xf numFmtId="0" fontId="4" fillId="6" borderId="30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 applyProtection="1">
      <alignment horizontal="center" vertical="center"/>
      <protection locked="0"/>
    </xf>
    <xf numFmtId="0" fontId="3" fillId="5" borderId="3" xfId="0" applyFont="1" applyFill="1" applyBorder="1" applyAlignment="1" applyProtection="1">
      <alignment horizontal="center" vertical="center"/>
      <protection locked="0"/>
    </xf>
    <xf numFmtId="0" fontId="4" fillId="5" borderId="14" xfId="0" applyFont="1" applyFill="1" applyBorder="1" applyAlignment="1" applyProtection="1">
      <alignment horizontal="center" vertical="center"/>
      <protection locked="0"/>
    </xf>
    <xf numFmtId="0" fontId="4" fillId="5" borderId="15" xfId="0" applyFont="1" applyFill="1" applyBorder="1" applyAlignment="1" applyProtection="1">
      <alignment horizontal="center" vertical="center"/>
      <protection locked="0"/>
    </xf>
    <xf numFmtId="0" fontId="4" fillId="5" borderId="16" xfId="0" applyFont="1" applyFill="1" applyBorder="1" applyAlignment="1" applyProtection="1">
      <alignment horizontal="center" vertical="center"/>
      <protection locked="0"/>
    </xf>
    <xf numFmtId="0" fontId="4" fillId="5" borderId="17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16" fontId="5" fillId="2" borderId="17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5" fillId="2" borderId="17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4">
    <dxf>
      <font>
        <b/>
        <i val="0"/>
      </font>
    </dxf>
    <dxf>
      <font>
        <b val="0"/>
        <i val="0"/>
        <color auto="1"/>
      </font>
    </dxf>
    <dxf>
      <font>
        <b/>
        <i val="0"/>
      </font>
    </dxf>
    <dxf>
      <font>
        <b val="0"/>
        <i val="0"/>
        <color auto="1"/>
      </font>
    </dxf>
  </dxfs>
  <tableStyles count="2" defaultTableStyle="TableStyleMedium2" defaultPivotStyle="PivotStyleLight16">
    <tableStyle name="Estilo de Segmentação de Dados 1" pivot="0" table="0" count="5" xr9:uid="{704B59EC-0DE0-421C-BE23-BCF915879D2C}">
      <tableStyleElement type="wholeTable" dxfId="3"/>
      <tableStyleElement type="headerRow" dxfId="2"/>
    </tableStyle>
    <tableStyle name="Estilo de Segmentação de Dados 1 2" pivot="0" table="0" count="5" xr9:uid="{ADA87C23-2F0C-4DF3-895A-21CE9CA9E690}">
      <tableStyleElement type="wholeTable" dxfId="1"/>
      <tableStyleElement type="headerRow" dxfId="0"/>
    </tableStyle>
  </tableStyles>
  <colors>
    <mruColors>
      <color rgb="FF2C9449"/>
      <color rgb="FF211E5D"/>
      <color rgb="FF2C4594"/>
      <color rgb="FF07485C"/>
      <color rgb="FFA5A8A6"/>
      <color rgb="FF472F91"/>
      <color rgb="FFF4F8F2"/>
      <color rgb="FFD5E5D1"/>
      <color rgb="FF3BC385"/>
      <color rgb="FF5D9145"/>
    </mruColors>
  </colors>
  <extLst>
    <ext xmlns:x14="http://schemas.microsoft.com/office/spreadsheetml/2009/9/main" uri="{46F421CA-312F-682f-3DD2-61675219B42D}">
      <x14:dxfs count="6"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7030A0"/>
            </patternFill>
          </fill>
        </dxf>
        <dxf>
          <fill>
            <patternFill>
              <bgColor theme="2"/>
            </patternFill>
          </fill>
        </dxf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2C4594"/>
            </patternFill>
          </fill>
        </dxf>
        <dxf>
          <fill>
            <patternFill>
              <bgColor theme="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</x14:slicerStyleElements>
        </x14:slicerStyle>
        <x14:slicerStyle name="Estilo de Segmentação de Dados 1 2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2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C97A-47C5-B323-F1E31A29E4F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C97A-47C5-B323-F1E31A29E4F3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C97A-47C5-B323-F1E31A29E4F3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C97A-47C5-B323-F1E31A29E4F3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C97A-47C5-B323-F1E31A29E4F3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C97A-47C5-B323-F1E31A29E4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'ADERÊNCIA OUTUBRO'!$B$12:$G$12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OUTUBRO'!$B$13:$G$13</c:f>
              <c:numCache>
                <c:formatCode>0%</c:formatCode>
                <c:ptCount val="6"/>
                <c:pt idx="0">
                  <c:v>0.42857142857142855</c:v>
                </c:pt>
                <c:pt idx="1">
                  <c:v>0.5714285714285714</c:v>
                </c:pt>
                <c:pt idx="2">
                  <c:v>0.4</c:v>
                </c:pt>
                <c:pt idx="3">
                  <c:v>0</c:v>
                </c:pt>
                <c:pt idx="4">
                  <c:v>0.4</c:v>
                </c:pt>
                <c:pt idx="5">
                  <c:v>0.44999999999999996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97A-47C5-B323-F1E31A29E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97A-47C5-B323-F1E31A29E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</c:plotArea>
    <c:plotVisOnly val="0"/>
    <c:dispBlanksAs val="gap"/>
    <c:showDLblsOverMax val="0"/>
    <c:extLst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62D-4939-8B67-2EB2A8173D7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62D-4939-8B67-2EB2A8173D79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62D-4939-8B67-2EB2A8173D79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62D-4939-8B67-2EB2A8173D79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62D-4939-8B67-2EB2A8173D79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62D-4939-8B67-2EB2A8173D79}"/>
              </c:ext>
            </c:extLst>
          </c:dPt>
          <c:dLbls>
            <c:dLbl>
              <c:idx val="1"/>
              <c:layout>
                <c:manualLayout>
                  <c:x val="0"/>
                  <c:y val="1.11403508771929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2D-4939-8B67-2EB2A8173D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OUTUBRO'!$B$50:$G$50</c:f>
              <c:numCache>
                <c:formatCode>0%</c:formatCode>
                <c:ptCount val="6"/>
                <c:pt idx="0">
                  <c:v>0.22857142857142856</c:v>
                </c:pt>
                <c:pt idx="1">
                  <c:v>0.33333333333333331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0.51547619047619042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2D-4939-8B67-2EB2A8173D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62D-4939-8B67-2EB2A8173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291-49EE-9BEF-7FD29E058FB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291-49EE-9BEF-7FD29E058FB0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291-49EE-9BEF-7FD29E058FB0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291-49EE-9BEF-7FD29E058FB0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291-49EE-9BEF-7FD29E058FB0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291-49EE-9BEF-7FD29E058F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OUTUBRO'!$B$74:$G$74</c:f>
              <c:numCache>
                <c:formatCode>0%</c:formatCode>
                <c:ptCount val="6"/>
                <c:pt idx="0">
                  <c:v>5.8823529411764705E-2</c:v>
                </c:pt>
                <c:pt idx="1">
                  <c:v>0.81818181818181823</c:v>
                </c:pt>
                <c:pt idx="2">
                  <c:v>0.8</c:v>
                </c:pt>
                <c:pt idx="3">
                  <c:v>0</c:v>
                </c:pt>
                <c:pt idx="4">
                  <c:v>0</c:v>
                </c:pt>
                <c:pt idx="5">
                  <c:v>0.55900178253119437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91-49EE-9BEF-7FD29E058F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OUTUBRO'!$B$75:$G$75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291-49EE-9BEF-7FD29E058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7A-460E-83BD-E46AF9289131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7A-460E-83BD-E46AF9289131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7A-460E-83BD-E46AF928913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7A-460E-83BD-E46AF9289131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7A-460E-83BD-E46AF9289131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7A-460E-83BD-E46AF9289131}"/>
              </c:ext>
            </c:extLst>
          </c:dPt>
          <c:dLbls>
            <c:dLbl>
              <c:idx val="0"/>
              <c:layout>
                <c:manualLayout>
                  <c:x val="0"/>
                  <c:y val="1.48538011695906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7A-460E-83BD-E46AF9289131}"/>
                </c:ext>
              </c:extLst>
            </c:dLbl>
            <c:dLbl>
              <c:idx val="1"/>
              <c:layout>
                <c:manualLayout>
                  <c:x val="0"/>
                  <c:y val="2.228070175438596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7A-460E-83BD-E46AF9289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OUTUBRO'!$B$34:$G$34</c:f>
              <c:numCache>
                <c:formatCode>0%</c:formatCode>
                <c:ptCount val="6"/>
                <c:pt idx="0">
                  <c:v>0.48571428571428571</c:v>
                </c:pt>
                <c:pt idx="1">
                  <c:v>1</c:v>
                </c:pt>
                <c:pt idx="2">
                  <c:v>1</c:v>
                </c:pt>
                <c:pt idx="3">
                  <c:v>0.2109704641350211</c:v>
                </c:pt>
                <c:pt idx="4">
                  <c:v>1</c:v>
                </c:pt>
                <c:pt idx="5">
                  <c:v>0.73933694996986143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47A-460E-83BD-E46AF92891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OUTUBRO'!$B$35:$G$35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47A-460E-83BD-E46AF9289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6E9-4B2B-9F51-D37EC4CFD9F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6E9-4B2B-9F51-D37EC4CFD9F8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6E9-4B2B-9F51-D37EC4CFD9F8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6E9-4B2B-9F51-D37EC4CFD9F8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6E9-4B2B-9F51-D37EC4CFD9F8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6E9-4B2B-9F51-D37EC4CFD9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OUTUBRO'!$B$58:$G$58</c:f>
              <c:numCache>
                <c:formatCode>0%</c:formatCode>
                <c:ptCount val="6"/>
                <c:pt idx="0">
                  <c:v>0.34615384615384615</c:v>
                </c:pt>
                <c:pt idx="1">
                  <c:v>0.95833333333333337</c:v>
                </c:pt>
                <c:pt idx="2">
                  <c:v>0.91666666666666663</c:v>
                </c:pt>
                <c:pt idx="3">
                  <c:v>0.16473317865429235</c:v>
                </c:pt>
                <c:pt idx="4">
                  <c:v>1</c:v>
                </c:pt>
                <c:pt idx="5">
                  <c:v>0.6771774049616277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6E9-4B2B-9F51-D37EC4CFD9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OUTUBRO'!$B$59:$G$59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6E9-4B2B-9F51-D37EC4CFD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C1-408F-8DFE-105C283B9A1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C1-408F-8DFE-105C283B9A11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C1-408F-8DFE-105C283B9A1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C1-408F-8DFE-105C283B9A11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C1-408F-8DFE-105C283B9A11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C1-408F-8DFE-105C283B9A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OUTUBRO'!$B$85:$G$85</c:f>
              <c:numCache>
                <c:formatCode>0%</c:formatCode>
                <c:ptCount val="6"/>
                <c:pt idx="0">
                  <c:v>0.29032258064516131</c:v>
                </c:pt>
                <c:pt idx="1">
                  <c:v>0.51111111111111107</c:v>
                </c:pt>
                <c:pt idx="2">
                  <c:v>0.54838709677419351</c:v>
                </c:pt>
                <c:pt idx="3">
                  <c:v>0.12519561815336464</c:v>
                </c:pt>
                <c:pt idx="4">
                  <c:v>3.8461538461538464E-2</c:v>
                </c:pt>
                <c:pt idx="5">
                  <c:v>0.30269558902907379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C1-408F-8DFE-105C283B9A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DC1-408F-8DFE-105C283B9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577-4522-9B1C-360601C6CB8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577-4522-9B1C-360601C6CB84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577-4522-9B1C-360601C6CB84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577-4522-9B1C-360601C6CB84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577-4522-9B1C-360601C6CB84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577-4522-9B1C-360601C6CB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OUTUBRO'!$B$100:$G$100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0.21052631578947367</c:v>
                </c:pt>
                <c:pt idx="3">
                  <c:v>1.4423076923076924E-2</c:v>
                </c:pt>
                <c:pt idx="4">
                  <c:v>0</c:v>
                </c:pt>
                <c:pt idx="5">
                  <c:v>4.4989878542510117E-2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77-4522-9B1C-360601C6CB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577-4522-9B1C-360601C6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3E-4D89-A975-B3DA8D05137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D3E-4D89-A975-B3DA8D05137A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3E-4D89-A975-B3DA8D05137A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D3E-4D89-A975-B3DA8D05137A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D3E-4D89-A975-B3DA8D05137A}"/>
              </c:ext>
            </c:extLst>
          </c:dPt>
          <c:dPt>
            <c:idx val="5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D3E-4D89-A975-B3DA8D0513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OUTUBRO'!$B$111:$G$111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OUTUBRO'!$B$112:$G$112</c:f>
              <c:numCache>
                <c:formatCode>0%</c:formatCode>
                <c:ptCount val="6"/>
                <c:pt idx="0">
                  <c:v>0.26470588235294118</c:v>
                </c:pt>
                <c:pt idx="1">
                  <c:v>0.31944444444444442</c:v>
                </c:pt>
                <c:pt idx="2">
                  <c:v>0.40384615384615385</c:v>
                </c:pt>
                <c:pt idx="3">
                  <c:v>0.11188811188811189</c:v>
                </c:pt>
                <c:pt idx="4">
                  <c:v>1.6528925619834711E-2</c:v>
                </c:pt>
                <c:pt idx="5">
                  <c:v>0.2232827036302972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3E-4D89-A975-B3DA8D0513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D3E-4D89-A975-B3DA8D051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4D8-46B3-BFA3-BA1440CD9FB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D8-46B3-BFA3-BA1440CD9FB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D8-46B3-BFA3-BA1440CD9FBE}"/>
              </c:ext>
            </c:extLst>
          </c:dPt>
          <c:dPt>
            <c:idx val="5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4D8-46B3-BFA3-BA1440CD9FBE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D8-46B3-BFA3-BA1440CD9F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OUTUBRO'!$B$126:$G$126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OUTUBRO'!$B$127:$G$127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0.19047619047619047</c:v>
                </c:pt>
                <c:pt idx="3">
                  <c:v>0</c:v>
                </c:pt>
                <c:pt idx="4">
                  <c:v>0</c:v>
                </c:pt>
                <c:pt idx="5">
                  <c:v>4.7619047619047616E-2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D8-46B3-BFA3-BA1440CD9F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'ADERÊNCIA OUTUBRO'!$B$99:$G$99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OUTUBRO'!$B$101:$G$101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D8-46B3-BFA3-BA1440CD9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C-41F7-8743-D301F03D107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2EC-41F7-8743-D301F03D1073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175-4765-BED0-61933FE6F8B8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C-41F7-8743-D301F03D1073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2EC-41F7-8743-D301F03D1073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CB6-4A3F-B288-90719D9ABFAD}"/>
              </c:ext>
            </c:extLst>
          </c:dPt>
          <c:dLbls>
            <c:delete val="1"/>
          </c:dLbls>
          <c:cat>
            <c:strRef>
              <c:f>'ADERÊNCIA SETEMBRO'!$B$12:$G$12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SETEMBRO'!$B$13:$G$13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C-41F7-8743-D301F03D10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'ADERÊNCIA SETEMBRO'!$B$14:$G$14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CB6-4A3F-B288-90719D9A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>
          <a:alpha val="97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3A1-49FE-991C-289004721C6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3A1-49FE-991C-289004721C65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3A1-49FE-991C-289004721C6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3A1-49FE-991C-289004721C6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94-43A6-BBB4-607AD21EC147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97B-439F-A288-A7906625DAC6}"/>
              </c:ext>
            </c:extLst>
          </c:dPt>
          <c:dLbls>
            <c:dLbl>
              <c:idx val="1"/>
              <c:layout>
                <c:manualLayout>
                  <c:x val="0"/>
                  <c:y val="1.11403508771929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A1-49FE-991C-289004721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SETEMBRO'!$B$50:$G$50</c:f>
              <c:numCache>
                <c:formatCode>0%</c:formatCode>
                <c:ptCount val="6"/>
                <c:pt idx="0">
                  <c:v>0.67</c:v>
                </c:pt>
                <c:pt idx="1">
                  <c:v>0.78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0.81666666666666676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A1-49FE-991C-289004721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7B-439F-A288-A7906625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DCC-48F3-BF06-79D4F2E64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CC-48F3-BF06-79D4F2E6403C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39-498C-86DE-02180584722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39-498C-86DE-02180584722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DCC-48F3-BF06-79D4F2E6403C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BF8-4E7C-903D-3427DE664F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SETEMBRO'!$B$74:$G$74</c:f>
              <c:numCache>
                <c:formatCode>0%</c:formatCode>
                <c:ptCount val="6"/>
                <c:pt idx="0">
                  <c:v>0.64</c:v>
                </c:pt>
                <c:pt idx="1">
                  <c:v>0.78</c:v>
                </c:pt>
                <c:pt idx="2">
                  <c:v>1</c:v>
                </c:pt>
                <c:pt idx="3">
                  <c:v>0.45</c:v>
                </c:pt>
                <c:pt idx="4">
                  <c:v>0.13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39-498C-86DE-021805847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SETEMBRO'!$B$75:$G$75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F8-4E7C-903D-3427DE66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23-4A36-8220-BAE534BB9CF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23-4A36-8220-BAE534BB9CFA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36E-4DE0-94F9-7E52BA8D098A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523-4A36-8220-BAE534BB9CFA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523-4A36-8220-BAE534BB9CFA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3AB-468B-A94C-5BC7F4A3FECA}"/>
              </c:ext>
            </c:extLst>
          </c:dPt>
          <c:dLbls>
            <c:dLbl>
              <c:idx val="0"/>
              <c:layout>
                <c:manualLayout>
                  <c:x val="0"/>
                  <c:y val="1.48538011695906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23-4A36-8220-BAE534BB9CFA}"/>
                </c:ext>
              </c:extLst>
            </c:dLbl>
            <c:dLbl>
              <c:idx val="1"/>
              <c:layout>
                <c:manualLayout>
                  <c:x val="0"/>
                  <c:y val="2.228070175438596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23-4A36-8220-BAE534BB9C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SETEMBRO'!$B$34:$G$34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23-4A36-8220-BAE534BB9C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SETEMBRO'!$B$35:$G$35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AA-4DFE-9752-705AEDCF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49-405C-9A02-C4BD354BAD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49-405C-9A02-C4BD354BADA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8AE-4104-898C-0B704422A6B0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49-405C-9A02-C4BD354BADA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49-405C-9A02-C4BD354BADAE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18A-446A-A392-F56CCA8CE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SETEMBRO'!$B$58:$G$58</c:f>
              <c:numCache>
                <c:formatCode>0%</c:formatCode>
                <c:ptCount val="6"/>
                <c:pt idx="0">
                  <c:v>1</c:v>
                </c:pt>
                <c:pt idx="1">
                  <c:v>0.78</c:v>
                </c:pt>
                <c:pt idx="2">
                  <c:v>1</c:v>
                </c:pt>
                <c:pt idx="3">
                  <c:v>0.88</c:v>
                </c:pt>
                <c:pt idx="4">
                  <c:v>0.88</c:v>
                </c:pt>
                <c:pt idx="5">
                  <c:v>0.90800000000000003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49-405C-9A02-C4BD354BAD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SETEMBRO'!$B$59:$G$59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65-458C-B372-5682BEFB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27-468B-997F-0DAE0397A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27-468B-997F-0DAE0397AA62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8C0-489B-9904-1528924EF6C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27-468B-997F-0DAE0397AA62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27-468B-997F-0DAE0397AA62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AFE-44FC-A20D-5335EF534F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SETEMBRO'!$B$85:$G$85</c:f>
              <c:numCache>
                <c:formatCode>0%</c:formatCode>
                <c:ptCount val="6"/>
                <c:pt idx="0">
                  <c:v>0.93</c:v>
                </c:pt>
                <c:pt idx="1">
                  <c:v>0.75</c:v>
                </c:pt>
                <c:pt idx="2">
                  <c:v>1</c:v>
                </c:pt>
                <c:pt idx="3">
                  <c:v>0.51</c:v>
                </c:pt>
                <c:pt idx="4">
                  <c:v>0.93</c:v>
                </c:pt>
                <c:pt idx="5">
                  <c:v>0.82400000000000007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7-468B-997F-0DAE0397AA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07-41C5-88B7-015A432F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24-4563-AC29-49A28C2E78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24-4563-AC29-49A28C2E78FB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4F24-4563-AC29-49A28C2E78FB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24-4563-AC29-49A28C2E78FB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24-4563-AC29-49A28C2E78FB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24-4563-AC29-49A28C2E78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SETEMBRO'!$B$100:$G$100</c:f>
              <c:numCache>
                <c:formatCode>0%</c:formatCode>
                <c:ptCount val="6"/>
                <c:pt idx="0">
                  <c:v>0.74</c:v>
                </c:pt>
                <c:pt idx="1">
                  <c:v>0.65</c:v>
                </c:pt>
                <c:pt idx="2">
                  <c:v>0.64</c:v>
                </c:pt>
                <c:pt idx="3">
                  <c:v>0.28000000000000003</c:v>
                </c:pt>
                <c:pt idx="4">
                  <c:v>0.78</c:v>
                </c:pt>
                <c:pt idx="5">
                  <c:v>0.6180000000000001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62-451E-B59C-B240422801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24-4563-AC29-49A28C2E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882-42DC-B11D-BB54949874B5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82-42DC-B11D-BB54949874B5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882-42DC-B11D-BB54949874B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82-42DC-B11D-BB54949874B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882-42DC-B11D-BB54949874B5}"/>
              </c:ext>
            </c:extLst>
          </c:dPt>
          <c:dPt>
            <c:idx val="5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82-42DC-B11D-BB54949874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SETEMBRO'!$B$111:$G$111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SETEMBRO'!$B$112:$G$112</c:f>
              <c:numCache>
                <c:formatCode>0%</c:formatCode>
                <c:ptCount val="6"/>
                <c:pt idx="0">
                  <c:v>0.67</c:v>
                </c:pt>
                <c:pt idx="1">
                  <c:v>0.8</c:v>
                </c:pt>
                <c:pt idx="2">
                  <c:v>0.54</c:v>
                </c:pt>
                <c:pt idx="3">
                  <c:v>0.32</c:v>
                </c:pt>
                <c:pt idx="4">
                  <c:v>0.41</c:v>
                </c:pt>
                <c:pt idx="5">
                  <c:v>0.54800000000000004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9E-4226-B2AA-DF91E7A49E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29E-4226-B2AA-DF91E7A49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79-4BD9-B2F6-E10F1040E2E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B79-4BD9-B2F6-E10F1040E2E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79-4BD9-B2F6-E10F1040E2EE}"/>
              </c:ext>
            </c:extLst>
          </c:dPt>
          <c:dPt>
            <c:idx val="5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B79-4BD9-B2F6-E10F1040E2EE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EB-48C5-829B-6A97239AE8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'ADERÊNCIA SETEMBRO'!$B$126:$G$126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SETEMBRO'!$B$127:$G$127</c:f>
              <c:numCache>
                <c:formatCode>0%</c:formatCode>
                <c:ptCount val="6"/>
                <c:pt idx="0">
                  <c:v>0.3</c:v>
                </c:pt>
                <c:pt idx="1">
                  <c:v>0.18181818181818182</c:v>
                </c:pt>
                <c:pt idx="2">
                  <c:v>0.33</c:v>
                </c:pt>
                <c:pt idx="3">
                  <c:v>0</c:v>
                </c:pt>
                <c:pt idx="4">
                  <c:v>0.16</c:v>
                </c:pt>
                <c:pt idx="5">
                  <c:v>0.24295454545454548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06-43B3-B633-03F704C74B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'ADERÊNCIA SETEMBRO'!$B$99:$G$99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MAURO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'ADERÊNCIA SETEMBRO'!$B$101:$G$101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906-43B3-B633-03F704C74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DE-4D3A-B923-013B2A7D7C4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FDE-4D3A-B923-013B2A7D7C4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DE-4D3A-B923-013B2A7D7C4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FDE-4D3A-B923-013B2A7D7C4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C1C-4F1E-8450-39B2E706B2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DE DESVIO'!$B$13:$B$17</c:f>
              <c:strCache>
                <c:ptCount val="5"/>
                <c:pt idx="0">
                  <c:v>ATRASO MENSAL.</c:v>
                </c:pt>
                <c:pt idx="1">
                  <c:v>Aprovação do Cliente</c:v>
                </c:pt>
                <c:pt idx="2">
                  <c:v>Prazo</c:v>
                </c:pt>
                <c:pt idx="3">
                  <c:v>Falta de recurso</c:v>
                </c:pt>
                <c:pt idx="4">
                  <c:v>Qualidade de Entrega</c:v>
                </c:pt>
              </c:strCache>
            </c:strRef>
          </c:cat>
          <c:val>
            <c:numRef>
              <c:f>'% DE DESVIO'!$D$13:$D$17</c:f>
              <c:numCache>
                <c:formatCode>0%</c:formatCode>
                <c:ptCount val="5"/>
                <c:pt idx="0">
                  <c:v>0.68</c:v>
                </c:pt>
                <c:pt idx="1">
                  <c:v>0.25</c:v>
                </c:pt>
                <c:pt idx="2">
                  <c:v>0.17</c:v>
                </c:pt>
                <c:pt idx="3">
                  <c:v>0.16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97-475C-B0C7-8ACC85CCE46A}"/>
            </c:ext>
          </c:extLst>
        </c:ser>
        <c:ser>
          <c:idx val="1"/>
          <c:order val="1"/>
          <c:tx>
            <c:strRef>
              <c:f>'% DE DESVIO'!$B$13:$B$17</c:f>
              <c:strCache>
                <c:ptCount val="5"/>
                <c:pt idx="0">
                  <c:v>ATRASO MENSAL.</c:v>
                </c:pt>
                <c:pt idx="1">
                  <c:v>Aprovação do Cliente</c:v>
                </c:pt>
                <c:pt idx="2">
                  <c:v>Prazo</c:v>
                </c:pt>
                <c:pt idx="3">
                  <c:v>Falta de recurso</c:v>
                </c:pt>
                <c:pt idx="4">
                  <c:v>Qualidade de Entrega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DE DESVIO'!$B$13:$B$17</c:f>
              <c:strCache>
                <c:ptCount val="5"/>
                <c:pt idx="0">
                  <c:v>ATRASO MENSAL.</c:v>
                </c:pt>
                <c:pt idx="1">
                  <c:v>Aprovação do Cliente</c:v>
                </c:pt>
                <c:pt idx="2">
                  <c:v>Prazo</c:v>
                </c:pt>
                <c:pt idx="3">
                  <c:v>Falta de recurso</c:v>
                </c:pt>
                <c:pt idx="4">
                  <c:v>Qualidade de Entrega</c:v>
                </c:pt>
              </c:strCache>
            </c:strRef>
          </c:cat>
          <c:val>
            <c:numRef>
              <c:f>'% DE DESVIO'!$E$13:$E$17</c:f>
              <c:numCache>
                <c:formatCode>0%</c:formatCode>
                <c:ptCount val="5"/>
                <c:pt idx="0">
                  <c:v>1</c:v>
                </c:pt>
                <c:pt idx="1">
                  <c:v>0.37</c:v>
                </c:pt>
                <c:pt idx="2">
                  <c:v>0.25</c:v>
                </c:pt>
                <c:pt idx="3">
                  <c:v>0.23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E-4D3A-B923-013B2A7D7C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A2-447C-AF04-051D1A6FC54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BA2-447C-AF04-051D1A6FC54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A2-447C-AF04-051D1A6FC5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DE DESVIO'!$B$89:$B$91</c:f>
              <c:strCache>
                <c:ptCount val="3"/>
                <c:pt idx="0">
                  <c:v>ATRASO MENSAL</c:v>
                </c:pt>
                <c:pt idx="1">
                  <c:v>Aprovação do Cliente</c:v>
                </c:pt>
                <c:pt idx="2">
                  <c:v>Falta de Recurso</c:v>
                </c:pt>
              </c:strCache>
            </c:strRef>
          </c:cat>
          <c:val>
            <c:numRef>
              <c:f>'% DE DESVIO'!$D$89:$D$91</c:f>
              <c:numCache>
                <c:formatCode>0%</c:formatCode>
                <c:ptCount val="3"/>
                <c:pt idx="0">
                  <c:v>0.2</c:v>
                </c:pt>
                <c:pt idx="1">
                  <c:v>7.0000000000000007E-2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C73-BE33-E7CFE053874E}"/>
            </c:ext>
          </c:extLst>
        </c:ser>
        <c:ser>
          <c:idx val="1"/>
          <c:order val="1"/>
          <c:tx>
            <c:strRef>
              <c:f>'% DE DESVIO'!$B$89:$B$91</c:f>
              <c:strCache>
                <c:ptCount val="3"/>
                <c:pt idx="0">
                  <c:v>ATRASO MENSAL</c:v>
                </c:pt>
                <c:pt idx="1">
                  <c:v>Aprovação do Cliente</c:v>
                </c:pt>
                <c:pt idx="2">
                  <c:v>Falta de Recurso</c:v>
                </c:pt>
              </c:strCache>
            </c:strRef>
          </c:tx>
          <c:spPr>
            <a:solidFill>
              <a:srgbClr val="2C944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'% DE DESVIO'!$E$89:$E$91</c:f>
              <c:numCache>
                <c:formatCode>0%</c:formatCode>
                <c:ptCount val="3"/>
                <c:pt idx="0">
                  <c:v>1</c:v>
                </c:pt>
                <c:pt idx="1">
                  <c:v>0.36</c:v>
                </c:pt>
                <c:pt idx="2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2-447C-AF04-051D1A6FC5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CB-4D16-8E13-0247451AA98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8CB-4D16-8E13-0247451AA98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CB-4D16-8E13-0247451AA9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DE DESVIO'!$B$107:$B$109</c:f>
              <c:strCache>
                <c:ptCount val="3"/>
                <c:pt idx="0">
                  <c:v>ATRASO MENSAL</c:v>
                </c:pt>
                <c:pt idx="1">
                  <c:v>Aprovação do Cliente</c:v>
                </c:pt>
                <c:pt idx="2">
                  <c:v>Falta de Recurso</c:v>
                </c:pt>
              </c:strCache>
            </c:strRef>
          </c:cat>
          <c:val>
            <c:numRef>
              <c:f>'% DE DESVIO'!$D$107:$D$109</c:f>
              <c:numCache>
                <c:formatCode>0%</c:formatCode>
                <c:ptCount val="3"/>
                <c:pt idx="0">
                  <c:v>0.33</c:v>
                </c:pt>
                <c:pt idx="1">
                  <c:v>0.19</c:v>
                </c:pt>
                <c:pt idx="2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5-4F16-A701-D270EA054512}"/>
            </c:ext>
          </c:extLst>
        </c:ser>
        <c:ser>
          <c:idx val="1"/>
          <c:order val="1"/>
          <c:tx>
            <c:strRef>
              <c:f>'% DE DESVIO'!$B$107:$B$109</c:f>
              <c:strCache>
                <c:ptCount val="3"/>
                <c:pt idx="0">
                  <c:v>ATRASO MENSAL</c:v>
                </c:pt>
                <c:pt idx="1">
                  <c:v>Aprovação do Cliente</c:v>
                </c:pt>
                <c:pt idx="2">
                  <c:v>Falta de Recurso</c:v>
                </c:pt>
              </c:strCache>
            </c:strRef>
          </c:tx>
          <c:spPr>
            <a:solidFill>
              <a:srgbClr val="2C944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'% DE DESVIO'!$E$107:$E$109</c:f>
              <c:numCache>
                <c:formatCode>0%</c:formatCode>
                <c:ptCount val="3"/>
                <c:pt idx="0">
                  <c:v>1</c:v>
                </c:pt>
                <c:pt idx="1">
                  <c:v>0.52</c:v>
                </c:pt>
                <c:pt idx="2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CB-4D16-8E13-0247451AA9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EA5-4215-92E4-8FBC7051ED1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A5-4215-92E4-8FBC7051ED1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EA5-4215-92E4-8FBC7051ED1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5-4215-92E4-8FBC7051ED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DE DESVIO'!$B$38:$B$41</c:f>
              <c:strCache>
                <c:ptCount val="4"/>
                <c:pt idx="0">
                  <c:v>ATRASO MENSAL</c:v>
                </c:pt>
                <c:pt idx="1">
                  <c:v>Aprovação do Cliente</c:v>
                </c:pt>
                <c:pt idx="2">
                  <c:v>Desenvolvimento da Tarefa</c:v>
                </c:pt>
                <c:pt idx="3">
                  <c:v>Mobilização</c:v>
                </c:pt>
              </c:strCache>
            </c:strRef>
          </c:cat>
          <c:val>
            <c:numRef>
              <c:f>'% DE DESVIO'!$D$38:$D$41</c:f>
              <c:numCache>
                <c:formatCode>0%</c:formatCode>
                <c:ptCount val="4"/>
                <c:pt idx="0">
                  <c:v>0.46</c:v>
                </c:pt>
                <c:pt idx="1">
                  <c:v>0.34</c:v>
                </c:pt>
                <c:pt idx="2">
                  <c:v>0.08</c:v>
                </c:pt>
                <c:pt idx="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F-46AB-8058-56183E4EF11A}"/>
            </c:ext>
          </c:extLst>
        </c:ser>
        <c:ser>
          <c:idx val="1"/>
          <c:order val="1"/>
          <c:tx>
            <c:strRef>
              <c:f>'% DE DESVIO'!$B$38:$B$41</c:f>
              <c:strCache>
                <c:ptCount val="4"/>
                <c:pt idx="0">
                  <c:v>ATRASO MENSAL</c:v>
                </c:pt>
                <c:pt idx="1">
                  <c:v>Aprovação do Cliente</c:v>
                </c:pt>
                <c:pt idx="2">
                  <c:v>Desenvolvimento da Tarefa</c:v>
                </c:pt>
                <c:pt idx="3">
                  <c:v>Mobilização</c:v>
                </c:pt>
              </c:strCache>
            </c:strRef>
          </c:tx>
          <c:spPr>
            <a:solidFill>
              <a:srgbClr val="2C944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66E5-401D-9759-439349EE514E}"/>
              </c:ext>
            </c:extLst>
          </c:dPt>
          <c:dPt>
            <c:idx val="1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6E5-401D-9759-439349EE514E}"/>
              </c:ext>
            </c:extLst>
          </c:dPt>
          <c:dPt>
            <c:idx val="2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6E5-401D-9759-439349EE514E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66E5-401D-9759-439349EE5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'% DE DESVIO'!$E$38:$E$41</c:f>
              <c:numCache>
                <c:formatCode>0%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0.18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6E5-401D-9759-439349EE51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099-417F-9BB7-6EC4BD381F7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99-417F-9BB7-6EC4BD381F7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99-417F-9BB7-6EC4BD381F7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99-417F-9BB7-6EC4BD381F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DE DESVIO'!$B$61:$B$64</c:f>
              <c:strCache>
                <c:ptCount val="4"/>
                <c:pt idx="0">
                  <c:v>ATRASO MENSAL</c:v>
                </c:pt>
                <c:pt idx="1">
                  <c:v>Aprovação do Cliente</c:v>
                </c:pt>
                <c:pt idx="2">
                  <c:v>Elaboração e Verificação - Largo</c:v>
                </c:pt>
                <c:pt idx="3">
                  <c:v>Falta de Recurso</c:v>
                </c:pt>
              </c:strCache>
            </c:strRef>
          </c:cat>
          <c:val>
            <c:numRef>
              <c:f>'% DE DESVIO'!$D$61:$D$64</c:f>
              <c:numCache>
                <c:formatCode>0%</c:formatCode>
                <c:ptCount val="4"/>
                <c:pt idx="0">
                  <c:v>0.59</c:v>
                </c:pt>
                <c:pt idx="1">
                  <c:v>0.24</c:v>
                </c:pt>
                <c:pt idx="2">
                  <c:v>0.24</c:v>
                </c:pt>
                <c:pt idx="3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9-4917-9AB0-C0D46DE7114B}"/>
            </c:ext>
          </c:extLst>
        </c:ser>
        <c:ser>
          <c:idx val="1"/>
          <c:order val="1"/>
          <c:tx>
            <c:strRef>
              <c:f>'% DE DESVIO'!$B$61:$B$64</c:f>
              <c:strCache>
                <c:ptCount val="4"/>
                <c:pt idx="0">
                  <c:v>ATRASO MENSAL</c:v>
                </c:pt>
                <c:pt idx="1">
                  <c:v>Aprovação do Cliente</c:v>
                </c:pt>
                <c:pt idx="2">
                  <c:v>Elaboração e Verificação - Largo</c:v>
                </c:pt>
                <c:pt idx="3">
                  <c:v>Falta de Recurso</c:v>
                </c:pt>
              </c:strCache>
            </c:strRef>
          </c:tx>
          <c:spPr>
            <a:solidFill>
              <a:srgbClr val="2C944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769-4439-BD09-CC0FE810AB86}"/>
              </c:ext>
            </c:extLst>
          </c:dPt>
          <c:dPt>
            <c:idx val="1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2769-4439-BD09-CC0FE810AB86}"/>
              </c:ext>
            </c:extLst>
          </c:dPt>
          <c:dPt>
            <c:idx val="2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769-4439-BD09-CC0FE810AB86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2769-4439-BD09-CC0FE810AB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'% DE DESVIO'!$E$61:$E$64</c:f>
              <c:numCache>
                <c:formatCode>0%</c:formatCode>
                <c:ptCount val="4"/>
                <c:pt idx="0">
                  <c:v>1</c:v>
                </c:pt>
                <c:pt idx="1">
                  <c:v>0.41</c:v>
                </c:pt>
                <c:pt idx="2">
                  <c:v>0.41</c:v>
                </c:pt>
                <c:pt idx="3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69-4439-BD09-CC0FE810AB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4.png"/><Relationship Id="rId18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png"/><Relationship Id="rId17" Type="http://schemas.openxmlformats.org/officeDocument/2006/relationships/chart" Target="../charts/chart8.xml"/><Relationship Id="rId2" Type="http://schemas.openxmlformats.org/officeDocument/2006/relationships/chart" Target="../charts/chart2.xml"/><Relationship Id="rId16" Type="http://schemas.microsoft.com/office/2007/relationships/hdphoto" Target="../media/hdphoto3.wdp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microsoft.com/office/2007/relationships/hdphoto" Target="../media/hdphoto1.wdp"/><Relationship Id="rId5" Type="http://schemas.openxmlformats.org/officeDocument/2006/relationships/chart" Target="../charts/chart5.xml"/><Relationship Id="rId15" Type="http://schemas.openxmlformats.org/officeDocument/2006/relationships/image" Target="../media/image5.png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hyperlink" Target="#ADER&#202;NCIA!A1"/><Relationship Id="rId1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4.png"/><Relationship Id="rId18" Type="http://schemas.openxmlformats.org/officeDocument/2006/relationships/chart" Target="../charts/chart18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.png"/><Relationship Id="rId17" Type="http://schemas.openxmlformats.org/officeDocument/2006/relationships/chart" Target="../charts/chart17.xml"/><Relationship Id="rId2" Type="http://schemas.openxmlformats.org/officeDocument/2006/relationships/chart" Target="../charts/chart11.xml"/><Relationship Id="rId16" Type="http://schemas.microsoft.com/office/2007/relationships/hdphoto" Target="../media/hdphoto3.wdp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microsoft.com/office/2007/relationships/hdphoto" Target="../media/hdphoto1.wdp"/><Relationship Id="rId5" Type="http://schemas.openxmlformats.org/officeDocument/2006/relationships/chart" Target="../charts/chart14.xml"/><Relationship Id="rId15" Type="http://schemas.openxmlformats.org/officeDocument/2006/relationships/image" Target="../media/image5.png"/><Relationship Id="rId10" Type="http://schemas.openxmlformats.org/officeDocument/2006/relationships/image" Target="../media/image2.png"/><Relationship Id="rId4" Type="http://schemas.openxmlformats.org/officeDocument/2006/relationships/chart" Target="../charts/chart13.xml"/><Relationship Id="rId9" Type="http://schemas.openxmlformats.org/officeDocument/2006/relationships/hyperlink" Target="#ADER&#202;NCIA!A1"/><Relationship Id="rId1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5.wdp"/><Relationship Id="rId13" Type="http://schemas.openxmlformats.org/officeDocument/2006/relationships/chart" Target="../charts/chart22.xml"/><Relationship Id="rId3" Type="http://schemas.openxmlformats.org/officeDocument/2006/relationships/hyperlink" Target="#ADER&#202;NCIA!A1"/><Relationship Id="rId7" Type="http://schemas.openxmlformats.org/officeDocument/2006/relationships/image" Target="../media/image7.png"/><Relationship Id="rId12" Type="http://schemas.openxmlformats.org/officeDocument/2006/relationships/chart" Target="../charts/chart21.xml"/><Relationship Id="rId2" Type="http://schemas.openxmlformats.org/officeDocument/2006/relationships/image" Target="../media/image1.png"/><Relationship Id="rId1" Type="http://schemas.openxmlformats.org/officeDocument/2006/relationships/chart" Target="../charts/chart19.xml"/><Relationship Id="rId6" Type="http://schemas.openxmlformats.org/officeDocument/2006/relationships/image" Target="../media/image3.png"/><Relationship Id="rId11" Type="http://schemas.openxmlformats.org/officeDocument/2006/relationships/chart" Target="../charts/chart20.xml"/><Relationship Id="rId5" Type="http://schemas.microsoft.com/office/2007/relationships/hdphoto" Target="../media/hdphoto4.wdp"/><Relationship Id="rId10" Type="http://schemas.microsoft.com/office/2007/relationships/hdphoto" Target="../media/hdphoto3.wdp"/><Relationship Id="rId4" Type="http://schemas.openxmlformats.org/officeDocument/2006/relationships/image" Target="../media/image6.png"/><Relationship Id="rId9" Type="http://schemas.openxmlformats.org/officeDocument/2006/relationships/image" Target="../media/image5.png"/><Relationship Id="rId1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9</xdr:row>
      <xdr:rowOff>190501</xdr:rowOff>
    </xdr:from>
    <xdr:to>
      <xdr:col>22</xdr:col>
      <xdr:colOff>56696</xdr:colOff>
      <xdr:row>25</xdr:row>
      <xdr:rowOff>171450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AB5F67F-688D-40B6-A028-01794893ADE7}"/>
            </a:ext>
          </a:extLst>
        </xdr:cNvPr>
        <xdr:cNvGrpSpPr/>
      </xdr:nvGrpSpPr>
      <xdr:grpSpPr>
        <a:xfrm>
          <a:off x="6355291" y="1894418"/>
          <a:ext cx="9026072" cy="3526365"/>
          <a:chOff x="4524374" y="1158876"/>
          <a:chExt cx="8836393" cy="3425824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B8D5B2C2-645B-F18D-B993-7DD2688824B7}"/>
              </a:ext>
            </a:extLst>
          </xdr:cNvPr>
          <xdr:cNvGraphicFramePr/>
        </xdr:nvGraphicFramePr>
        <xdr:xfrm>
          <a:off x="4524374" y="1158876"/>
          <a:ext cx="8645526" cy="3425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2B304B7-292C-16D8-D2C3-A85F38FEFECD}"/>
              </a:ext>
            </a:extLst>
          </xdr:cNvPr>
          <xdr:cNvSpPr txBox="1"/>
        </xdr:nvSpPr>
        <xdr:spPr>
          <a:xfrm>
            <a:off x="12805142" y="1269426"/>
            <a:ext cx="555625" cy="2571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2C4594"/>
                </a:solidFill>
              </a:rPr>
              <a:t>META</a:t>
            </a:r>
          </a:p>
        </xdr:txBody>
      </xdr:sp>
      <xdr:cxnSp macro="">
        <xdr:nvCxnSpPr>
          <xdr:cNvPr id="5" name="Conector de Seta Reta 4">
            <a:extLst>
              <a:ext uri="{FF2B5EF4-FFF2-40B4-BE49-F238E27FC236}">
                <a16:creationId xmlns:a16="http://schemas.microsoft.com/office/drawing/2014/main" id="{CB0018A1-EB32-4E7B-F43E-6476FF312E1C}"/>
              </a:ext>
            </a:extLst>
          </xdr:cNvPr>
          <xdr:cNvCxnSpPr/>
        </xdr:nvCxnSpPr>
        <xdr:spPr>
          <a:xfrm flipH="1">
            <a:off x="12424142" y="1516760"/>
            <a:ext cx="381000" cy="34139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158750</xdr:colOff>
      <xdr:row>32</xdr:row>
      <xdr:rowOff>95250</xdr:rowOff>
    </xdr:from>
    <xdr:to>
      <xdr:col>21</xdr:col>
      <xdr:colOff>488128</xdr:colOff>
      <xdr:row>48</xdr:row>
      <xdr:rowOff>70375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7BF8EFB-7237-45A8-8744-4559249C7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158750</xdr:colOff>
      <xdr:row>56</xdr:row>
      <xdr:rowOff>105683</xdr:rowOff>
    </xdr:from>
    <xdr:to>
      <xdr:col>21</xdr:col>
      <xdr:colOff>490050</xdr:colOff>
      <xdr:row>72</xdr:row>
      <xdr:rowOff>83983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90FE3AB-47EB-47B7-A526-6062D788A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257175</xdr:colOff>
      <xdr:row>32</xdr:row>
      <xdr:rowOff>95252</xdr:rowOff>
    </xdr:from>
    <xdr:to>
      <xdr:col>39</xdr:col>
      <xdr:colOff>329375</xdr:colOff>
      <xdr:row>48</xdr:row>
      <xdr:rowOff>77577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D2ADAA1-4A5D-4569-A4BD-0ED1186E7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213485</xdr:colOff>
      <xdr:row>56</xdr:row>
      <xdr:rowOff>70565</xdr:rowOff>
    </xdr:from>
    <xdr:to>
      <xdr:col>39</xdr:col>
      <xdr:colOff>285685</xdr:colOff>
      <xdr:row>72</xdr:row>
      <xdr:rowOff>52890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133A15F-B2E0-4E9C-AF18-1BA1A7B4C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212053</xdr:colOff>
      <xdr:row>82</xdr:row>
      <xdr:rowOff>69938</xdr:rowOff>
    </xdr:from>
    <xdr:to>
      <xdr:col>39</xdr:col>
      <xdr:colOff>416353</xdr:colOff>
      <xdr:row>98</xdr:row>
      <xdr:rowOff>52263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83E5907-FC6D-4EED-8A58-36CEBB90F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82</xdr:row>
      <xdr:rowOff>29482</xdr:rowOff>
    </xdr:from>
    <xdr:to>
      <xdr:col>21</xdr:col>
      <xdr:colOff>521800</xdr:colOff>
      <xdr:row>98</xdr:row>
      <xdr:rowOff>13649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6A73B6F1-A5E0-474D-9AF1-A43C7E2F8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41</xdr:col>
      <xdr:colOff>28575</xdr:colOff>
      <xdr:row>4</xdr:row>
      <xdr:rowOff>190500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0C38738-E241-4CF9-9BCB-238A941F1634}"/>
            </a:ext>
          </a:extLst>
        </xdr:cNvPr>
        <xdr:cNvGrpSpPr/>
      </xdr:nvGrpSpPr>
      <xdr:grpSpPr>
        <a:xfrm>
          <a:off x="0" y="0"/>
          <a:ext cx="27174825" cy="910167"/>
          <a:chOff x="0" y="0"/>
          <a:chExt cx="20669250" cy="95250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1962EB1-CA17-1B03-A53B-6F12D64DC0B2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AB321BAC-304A-0909-0181-3B588041915D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23" name="Retângulo 22">
                <a:extLst>
                  <a:ext uri="{FF2B5EF4-FFF2-40B4-BE49-F238E27FC236}">
                    <a16:creationId xmlns:a16="http://schemas.microsoft.com/office/drawing/2014/main" id="{8550708B-E87D-C6AF-4DFD-EAED119E1595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24" name="Imagem 23">
                <a:extLst>
                  <a:ext uri="{FF2B5EF4-FFF2-40B4-BE49-F238E27FC236}">
                    <a16:creationId xmlns:a16="http://schemas.microsoft.com/office/drawing/2014/main" id="{3148F1D8-70F9-0519-1F0D-C3B64C81048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A2A07971-5AB1-D958-85F6-074362F01621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21" name="Retângulo: Cantos Arredondados 20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B4053F8C-16F2-4652-CFA5-14A50AE21EAF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22" name="Imagem 21" descr="ícones Do Computador, Gráfico, Gráfico De Barras png transparente grátis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A473AC66-0D46-BB6B-2D8E-1DA8C804D5CA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10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grpSp>
          <xdr:nvGrpSpPr>
            <xdr:cNvPr id="18" name="Agrupar 17">
              <a:extLst>
                <a:ext uri="{FF2B5EF4-FFF2-40B4-BE49-F238E27FC236}">
                  <a16:creationId xmlns:a16="http://schemas.microsoft.com/office/drawing/2014/main" id="{7B38955F-CA48-8C3B-9FCB-78E2F3926F9A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D97552BF-E2A4-0250-5929-7041D38D1A94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20" name="Imagem 19" descr="Opção de salvar arquivo - ícones de interface grátis">
                <a:extLst>
                  <a:ext uri="{FF2B5EF4-FFF2-40B4-BE49-F238E27FC236}">
                    <a16:creationId xmlns:a16="http://schemas.microsoft.com/office/drawing/2014/main" id="{BB539CB7-B69B-FD5A-E195-DD945F229EA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14" name="Imagem 13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61EF6F6E-EC6C-758F-3085-345FBE58B1B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15" name="Imagem 14">
            <a:extLst>
              <a:ext uri="{FF2B5EF4-FFF2-40B4-BE49-F238E27FC236}">
                <a16:creationId xmlns:a16="http://schemas.microsoft.com/office/drawing/2014/main" id="{76252755-13B8-11E1-9B43-82CEC81616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21</xdr:col>
      <xdr:colOff>185964</xdr:colOff>
      <xdr:row>32</xdr:row>
      <xdr:rowOff>210911</xdr:rowOff>
    </xdr:from>
    <xdr:to>
      <xdr:col>22</xdr:col>
      <xdr:colOff>138339</xdr:colOff>
      <xdr:row>33</xdr:row>
      <xdr:rowOff>104936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F064B155-402F-44A0-98F8-ECAE7A0B23AE}"/>
            </a:ext>
          </a:extLst>
        </xdr:cNvPr>
        <xdr:cNvSpPr txBox="1"/>
      </xdr:nvSpPr>
      <xdr:spPr>
        <a:xfrm>
          <a:off x="9412514" y="7135586"/>
          <a:ext cx="568325" cy="27185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408214</xdr:colOff>
      <xdr:row>33</xdr:row>
      <xdr:rowOff>94438</xdr:rowOff>
    </xdr:from>
    <xdr:to>
      <xdr:col>21</xdr:col>
      <xdr:colOff>185964</xdr:colOff>
      <xdr:row>34</xdr:row>
      <xdr:rowOff>78563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4A7200EB-612B-4A38-A1ED-D59315FC75AA}"/>
            </a:ext>
          </a:extLst>
        </xdr:cNvPr>
        <xdr:cNvCxnSpPr/>
      </xdr:nvCxnSpPr>
      <xdr:spPr>
        <a:xfrm flipH="1">
          <a:off x="9031514" y="7400113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598714</xdr:colOff>
      <xdr:row>32</xdr:row>
      <xdr:rowOff>195036</xdr:rowOff>
    </xdr:from>
    <xdr:to>
      <xdr:col>39</xdr:col>
      <xdr:colOff>542018</xdr:colOff>
      <xdr:row>33</xdr:row>
      <xdr:rowOff>89061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44D90B41-FEDE-472E-ADA1-BE7CB9DE3F65}"/>
            </a:ext>
          </a:extLst>
        </xdr:cNvPr>
        <xdr:cNvSpPr txBox="1"/>
      </xdr:nvSpPr>
      <xdr:spPr>
        <a:xfrm>
          <a:off x="20356739" y="7122886"/>
          <a:ext cx="552904" cy="26867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208643</xdr:colOff>
      <xdr:row>33</xdr:row>
      <xdr:rowOff>78563</xdr:rowOff>
    </xdr:from>
    <xdr:to>
      <xdr:col>38</xdr:col>
      <xdr:colOff>598714</xdr:colOff>
      <xdr:row>34</xdr:row>
      <xdr:rowOff>62688</xdr:rowOff>
    </xdr:to>
    <xdr:cxnSp macro="">
      <xdr:nvCxnSpPr>
        <xdr:cNvPr id="28" name="Conector de Seta Reta 27">
          <a:extLst>
            <a:ext uri="{FF2B5EF4-FFF2-40B4-BE49-F238E27FC236}">
              <a16:creationId xmlns:a16="http://schemas.microsoft.com/office/drawing/2014/main" id="{81EFC277-E969-4E0B-BF8C-E736955C5616}"/>
            </a:ext>
          </a:extLst>
        </xdr:cNvPr>
        <xdr:cNvCxnSpPr/>
      </xdr:nvCxnSpPr>
      <xdr:spPr>
        <a:xfrm flipH="1">
          <a:off x="19963493" y="7384238"/>
          <a:ext cx="393246" cy="368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131535</xdr:colOff>
      <xdr:row>56</xdr:row>
      <xdr:rowOff>208643</xdr:rowOff>
    </xdr:from>
    <xdr:to>
      <xdr:col>22</xdr:col>
      <xdr:colOff>83910</xdr:colOff>
      <xdr:row>57</xdr:row>
      <xdr:rowOff>102668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7A37DA3B-5EB9-48AD-950D-DC92D11B38E3}"/>
            </a:ext>
          </a:extLst>
        </xdr:cNvPr>
        <xdr:cNvSpPr txBox="1"/>
      </xdr:nvSpPr>
      <xdr:spPr>
        <a:xfrm>
          <a:off x="9361260" y="12743543"/>
          <a:ext cx="565150" cy="27820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353785</xdr:colOff>
      <xdr:row>57</xdr:row>
      <xdr:rowOff>92170</xdr:rowOff>
    </xdr:from>
    <xdr:to>
      <xdr:col>21</xdr:col>
      <xdr:colOff>131535</xdr:colOff>
      <xdr:row>58</xdr:row>
      <xdr:rowOff>76295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446487FF-9927-48D2-B125-17272171B7FA}"/>
            </a:ext>
          </a:extLst>
        </xdr:cNvPr>
        <xdr:cNvCxnSpPr/>
      </xdr:nvCxnSpPr>
      <xdr:spPr>
        <a:xfrm flipH="1">
          <a:off x="8970735" y="13008070"/>
          <a:ext cx="390525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496661</xdr:colOff>
      <xdr:row>56</xdr:row>
      <xdr:rowOff>179161</xdr:rowOff>
    </xdr:from>
    <xdr:to>
      <xdr:col>39</xdr:col>
      <xdr:colOff>449036</xdr:colOff>
      <xdr:row>57</xdr:row>
      <xdr:rowOff>73186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6BE39E8D-15DA-4FA3-844B-F68C9243376B}"/>
            </a:ext>
          </a:extLst>
        </xdr:cNvPr>
        <xdr:cNvSpPr txBox="1"/>
      </xdr:nvSpPr>
      <xdr:spPr>
        <a:xfrm>
          <a:off x="20251511" y="12717236"/>
          <a:ext cx="558800" cy="27185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115661</xdr:colOff>
      <xdr:row>57</xdr:row>
      <xdr:rowOff>62688</xdr:rowOff>
    </xdr:from>
    <xdr:to>
      <xdr:col>38</xdr:col>
      <xdr:colOff>496661</xdr:colOff>
      <xdr:row>58</xdr:row>
      <xdr:rowOff>46813</xdr:rowOff>
    </xdr:to>
    <xdr:cxnSp macro="">
      <xdr:nvCxnSpPr>
        <xdr:cNvPr id="32" name="Conector de Seta Reta 31">
          <a:extLst>
            <a:ext uri="{FF2B5EF4-FFF2-40B4-BE49-F238E27FC236}">
              <a16:creationId xmlns:a16="http://schemas.microsoft.com/office/drawing/2014/main" id="{C41E183B-077C-4FB7-A3F1-3B98A907969B}"/>
            </a:ext>
          </a:extLst>
        </xdr:cNvPr>
        <xdr:cNvCxnSpPr/>
      </xdr:nvCxnSpPr>
      <xdr:spPr>
        <a:xfrm flipH="1">
          <a:off x="19870511" y="12981763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176893</xdr:colOff>
      <xdr:row>82</xdr:row>
      <xdr:rowOff>170089</xdr:rowOff>
    </xdr:from>
    <xdr:to>
      <xdr:col>22</xdr:col>
      <xdr:colOff>129268</xdr:colOff>
      <xdr:row>83</xdr:row>
      <xdr:rowOff>64114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6B23AB52-BD5C-4769-A68A-7EB38CB93442}"/>
            </a:ext>
          </a:extLst>
        </xdr:cNvPr>
        <xdr:cNvSpPr txBox="1"/>
      </xdr:nvSpPr>
      <xdr:spPr>
        <a:xfrm>
          <a:off x="9409793" y="18477139"/>
          <a:ext cx="555625" cy="27820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399143</xdr:colOff>
      <xdr:row>83</xdr:row>
      <xdr:rowOff>53616</xdr:rowOff>
    </xdr:from>
    <xdr:to>
      <xdr:col>21</xdr:col>
      <xdr:colOff>176893</xdr:colOff>
      <xdr:row>84</xdr:row>
      <xdr:rowOff>37741</xdr:rowOff>
    </xdr:to>
    <xdr:cxnSp macro="">
      <xdr:nvCxnSpPr>
        <xdr:cNvPr id="34" name="Conector de Seta Reta 33">
          <a:extLst>
            <a:ext uri="{FF2B5EF4-FFF2-40B4-BE49-F238E27FC236}">
              <a16:creationId xmlns:a16="http://schemas.microsoft.com/office/drawing/2014/main" id="{37CCD4C8-D799-4048-83C6-F8D2CE24DE42}"/>
            </a:ext>
          </a:extLst>
        </xdr:cNvPr>
        <xdr:cNvCxnSpPr/>
      </xdr:nvCxnSpPr>
      <xdr:spPr>
        <a:xfrm flipH="1">
          <a:off x="9019268" y="18738491"/>
          <a:ext cx="390525" cy="368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36286</xdr:colOff>
      <xdr:row>82</xdr:row>
      <xdr:rowOff>192767</xdr:rowOff>
    </xdr:from>
    <xdr:to>
      <xdr:col>39</xdr:col>
      <xdr:colOff>600983</xdr:colOff>
      <xdr:row>83</xdr:row>
      <xdr:rowOff>86792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3421DF6F-A7BB-4DB5-9FCF-280864298FE2}"/>
            </a:ext>
          </a:extLst>
        </xdr:cNvPr>
        <xdr:cNvSpPr txBox="1"/>
      </xdr:nvSpPr>
      <xdr:spPr>
        <a:xfrm>
          <a:off x="20400736" y="18499817"/>
          <a:ext cx="561522" cy="27185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258536</xdr:colOff>
      <xdr:row>83</xdr:row>
      <xdr:rowOff>76294</xdr:rowOff>
    </xdr:from>
    <xdr:to>
      <xdr:col>39</xdr:col>
      <xdr:colOff>36286</xdr:colOff>
      <xdr:row>84</xdr:row>
      <xdr:rowOff>60419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6F4E8F02-69AB-4D9A-BA22-7DCDB5C2F9E2}"/>
            </a:ext>
          </a:extLst>
        </xdr:cNvPr>
        <xdr:cNvCxnSpPr/>
      </xdr:nvCxnSpPr>
      <xdr:spPr>
        <a:xfrm flipH="1">
          <a:off x="20010211" y="18764344"/>
          <a:ext cx="390525" cy="368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6</xdr:row>
      <xdr:rowOff>142875</xdr:rowOff>
    </xdr:from>
    <xdr:to>
      <xdr:col>40</xdr:col>
      <xdr:colOff>560237</xdr:colOff>
      <xdr:row>8</xdr:row>
      <xdr:rowOff>83848</xdr:rowOff>
    </xdr:to>
    <xdr:sp macro="[0]!OCULTAR1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77C211BB-8EDE-4F5C-88BF-A845C5BA3B6D}"/>
            </a:ext>
          </a:extLst>
        </xdr:cNvPr>
        <xdr:cNvSpPr/>
      </xdr:nvSpPr>
      <xdr:spPr>
        <a:xfrm>
          <a:off x="20488275" y="1263650"/>
          <a:ext cx="1049187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6</xdr:row>
      <xdr:rowOff>142875</xdr:rowOff>
    </xdr:from>
    <xdr:to>
      <xdr:col>38</xdr:col>
      <xdr:colOff>576112</xdr:colOff>
      <xdr:row>8</xdr:row>
      <xdr:rowOff>83848</xdr:rowOff>
    </xdr:to>
    <xdr:sp macro="[0]!EXIBIR1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1FCC5D75-0163-4F44-AC44-3B57D2C5D93E}"/>
            </a:ext>
          </a:extLst>
        </xdr:cNvPr>
        <xdr:cNvSpPr/>
      </xdr:nvSpPr>
      <xdr:spPr>
        <a:xfrm>
          <a:off x="19284950" y="1263650"/>
          <a:ext cx="1049187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127000</xdr:colOff>
      <xdr:row>27</xdr:row>
      <xdr:rowOff>142875</xdr:rowOff>
    </xdr:from>
    <xdr:to>
      <xdr:col>40</xdr:col>
      <xdr:colOff>560237</xdr:colOff>
      <xdr:row>29</xdr:row>
      <xdr:rowOff>83848</xdr:rowOff>
    </xdr:to>
    <xdr:sp macro="[0]!OCULTAR2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F54AA460-47EA-484C-8602-6C96B0008099}"/>
            </a:ext>
          </a:extLst>
        </xdr:cNvPr>
        <xdr:cNvSpPr/>
      </xdr:nvSpPr>
      <xdr:spPr>
        <a:xfrm>
          <a:off x="20488275" y="5845175"/>
          <a:ext cx="1049187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27</xdr:row>
      <xdr:rowOff>142875</xdr:rowOff>
    </xdr:from>
    <xdr:to>
      <xdr:col>38</xdr:col>
      <xdr:colOff>576112</xdr:colOff>
      <xdr:row>29</xdr:row>
      <xdr:rowOff>83848</xdr:rowOff>
    </xdr:to>
    <xdr:sp macro="[0]!EXIBIR2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D94A3D45-E665-4CB5-AD33-A1335344A098}"/>
            </a:ext>
          </a:extLst>
        </xdr:cNvPr>
        <xdr:cNvSpPr/>
      </xdr:nvSpPr>
      <xdr:spPr>
        <a:xfrm>
          <a:off x="19284950" y="5845175"/>
          <a:ext cx="1049187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51</xdr:row>
      <xdr:rowOff>142875</xdr:rowOff>
    </xdr:from>
    <xdr:to>
      <xdr:col>40</xdr:col>
      <xdr:colOff>544362</xdr:colOff>
      <xdr:row>53</xdr:row>
      <xdr:rowOff>83848</xdr:rowOff>
    </xdr:to>
    <xdr:sp macro="[0]!OCULTAR3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8514BE9A-DE35-4129-B69F-E984B1D23D06}"/>
            </a:ext>
          </a:extLst>
        </xdr:cNvPr>
        <xdr:cNvSpPr/>
      </xdr:nvSpPr>
      <xdr:spPr>
        <a:xfrm>
          <a:off x="20475575" y="11522075"/>
          <a:ext cx="1039662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51</xdr:row>
      <xdr:rowOff>142875</xdr:rowOff>
    </xdr:from>
    <xdr:to>
      <xdr:col>38</xdr:col>
      <xdr:colOff>560237</xdr:colOff>
      <xdr:row>53</xdr:row>
      <xdr:rowOff>83848</xdr:rowOff>
    </xdr:to>
    <xdr:sp macro="[0]!EXIBIR3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7126D975-B950-4580-9635-DD467D82C9D0}"/>
            </a:ext>
          </a:extLst>
        </xdr:cNvPr>
        <xdr:cNvSpPr/>
      </xdr:nvSpPr>
      <xdr:spPr>
        <a:xfrm>
          <a:off x="19269075" y="11522075"/>
          <a:ext cx="1049187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76</xdr:row>
      <xdr:rowOff>142875</xdr:rowOff>
    </xdr:from>
    <xdr:to>
      <xdr:col>40</xdr:col>
      <xdr:colOff>544362</xdr:colOff>
      <xdr:row>78</xdr:row>
      <xdr:rowOff>83848</xdr:rowOff>
    </xdr:to>
    <xdr:sp macro="[0]!OCULTAR4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94EBC4B-69CC-49A7-B175-DD777D68948A}"/>
            </a:ext>
          </a:extLst>
        </xdr:cNvPr>
        <xdr:cNvSpPr/>
      </xdr:nvSpPr>
      <xdr:spPr>
        <a:xfrm>
          <a:off x="20475575" y="17313275"/>
          <a:ext cx="1039662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76</xdr:row>
      <xdr:rowOff>142875</xdr:rowOff>
    </xdr:from>
    <xdr:to>
      <xdr:col>38</xdr:col>
      <xdr:colOff>560237</xdr:colOff>
      <xdr:row>78</xdr:row>
      <xdr:rowOff>83848</xdr:rowOff>
    </xdr:to>
    <xdr:sp macro="[0]!EXIBIR4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B612DBA9-06D7-4AD4-B68C-F74423AEA5DB}"/>
            </a:ext>
          </a:extLst>
        </xdr:cNvPr>
        <xdr:cNvSpPr/>
      </xdr:nvSpPr>
      <xdr:spPr>
        <a:xfrm>
          <a:off x="19269075" y="17313275"/>
          <a:ext cx="1049187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25</xdr:col>
      <xdr:colOff>212053</xdr:colOff>
      <xdr:row>109</xdr:row>
      <xdr:rowOff>69938</xdr:rowOff>
    </xdr:from>
    <xdr:to>
      <xdr:col>39</xdr:col>
      <xdr:colOff>416353</xdr:colOff>
      <xdr:row>125</xdr:row>
      <xdr:rowOff>52263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8AA84A52-FC14-44FC-B2C7-5190FB221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190500</xdr:colOff>
      <xdr:row>109</xdr:row>
      <xdr:rowOff>29482</xdr:rowOff>
    </xdr:from>
    <xdr:to>
      <xdr:col>21</xdr:col>
      <xdr:colOff>521800</xdr:colOff>
      <xdr:row>125</xdr:row>
      <xdr:rowOff>13649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CF899BAF-2452-4DDA-9C5B-471C907C9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176893</xdr:colOff>
      <xdr:row>109</xdr:row>
      <xdr:rowOff>156482</xdr:rowOff>
    </xdr:from>
    <xdr:to>
      <xdr:col>22</xdr:col>
      <xdr:colOff>129268</xdr:colOff>
      <xdr:row>110</xdr:row>
      <xdr:rowOff>50507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D46CE362-7DBF-4782-BE01-6976FE82F98C}"/>
            </a:ext>
          </a:extLst>
        </xdr:cNvPr>
        <xdr:cNvSpPr txBox="1"/>
      </xdr:nvSpPr>
      <xdr:spPr>
        <a:xfrm>
          <a:off x="9409793" y="24591282"/>
          <a:ext cx="555625" cy="26867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399143</xdr:colOff>
      <xdr:row>110</xdr:row>
      <xdr:rowOff>40009</xdr:rowOff>
    </xdr:from>
    <xdr:to>
      <xdr:col>21</xdr:col>
      <xdr:colOff>176893</xdr:colOff>
      <xdr:row>111</xdr:row>
      <xdr:rowOff>24134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8453AAB9-40AF-4074-B679-AE65368071CB}"/>
            </a:ext>
          </a:extLst>
        </xdr:cNvPr>
        <xdr:cNvCxnSpPr/>
      </xdr:nvCxnSpPr>
      <xdr:spPr>
        <a:xfrm flipH="1">
          <a:off x="9019268" y="24852634"/>
          <a:ext cx="390525" cy="368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109</xdr:row>
      <xdr:rowOff>192767</xdr:rowOff>
    </xdr:from>
    <xdr:to>
      <xdr:col>40</xdr:col>
      <xdr:colOff>15875</xdr:colOff>
      <xdr:row>110</xdr:row>
      <xdr:rowOff>86792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D24AEBC7-E690-4204-BF28-82D318EA1AE0}"/>
            </a:ext>
          </a:extLst>
        </xdr:cNvPr>
        <xdr:cNvSpPr txBox="1"/>
      </xdr:nvSpPr>
      <xdr:spPr>
        <a:xfrm>
          <a:off x="20431125" y="24624392"/>
          <a:ext cx="558800" cy="27185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285750</xdr:colOff>
      <xdr:row>110</xdr:row>
      <xdr:rowOff>76294</xdr:rowOff>
    </xdr:from>
    <xdr:to>
      <xdr:col>39</xdr:col>
      <xdr:colOff>63500</xdr:colOff>
      <xdr:row>111</xdr:row>
      <xdr:rowOff>60419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3C870DCE-C3C8-4D89-84D4-70ECB8358ABE}"/>
            </a:ext>
          </a:extLst>
        </xdr:cNvPr>
        <xdr:cNvCxnSpPr/>
      </xdr:nvCxnSpPr>
      <xdr:spPr>
        <a:xfrm flipH="1">
          <a:off x="20040600" y="24888919"/>
          <a:ext cx="390525" cy="368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111125</xdr:colOff>
      <xdr:row>103</xdr:row>
      <xdr:rowOff>142875</xdr:rowOff>
    </xdr:from>
    <xdr:to>
      <xdr:col>40</xdr:col>
      <xdr:colOff>544362</xdr:colOff>
      <xdr:row>105</xdr:row>
      <xdr:rowOff>83848</xdr:rowOff>
    </xdr:to>
    <xdr:sp macro="[0]!OCULTAR4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70490083-63E3-432E-B923-36C5A7C8A109}"/>
            </a:ext>
          </a:extLst>
        </xdr:cNvPr>
        <xdr:cNvSpPr/>
      </xdr:nvSpPr>
      <xdr:spPr>
        <a:xfrm>
          <a:off x="20475575" y="23437850"/>
          <a:ext cx="1039662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103</xdr:row>
      <xdr:rowOff>142875</xdr:rowOff>
    </xdr:from>
    <xdr:to>
      <xdr:col>38</xdr:col>
      <xdr:colOff>560237</xdr:colOff>
      <xdr:row>105</xdr:row>
      <xdr:rowOff>83848</xdr:rowOff>
    </xdr:to>
    <xdr:sp macro="[0]!EXIBIR4" textlink="">
      <xdr:nvSpPr>
        <xdr:cNvPr id="52" name="Retângulo: Cantos Arredondados 51">
          <a:extLst>
            <a:ext uri="{FF2B5EF4-FFF2-40B4-BE49-F238E27FC236}">
              <a16:creationId xmlns:a16="http://schemas.microsoft.com/office/drawing/2014/main" id="{D8DA1194-F44B-4343-8531-7706E409F064}"/>
            </a:ext>
          </a:extLst>
        </xdr:cNvPr>
        <xdr:cNvSpPr/>
      </xdr:nvSpPr>
      <xdr:spPr>
        <a:xfrm>
          <a:off x="19269075" y="23437850"/>
          <a:ext cx="1049187" cy="32832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9</xdr:row>
      <xdr:rowOff>190501</xdr:rowOff>
    </xdr:from>
    <xdr:to>
      <xdr:col>22</xdr:col>
      <xdr:colOff>56696</xdr:colOff>
      <xdr:row>25</xdr:row>
      <xdr:rowOff>171450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42DD813-49D0-12DA-08FC-6913870D62B8}"/>
            </a:ext>
          </a:extLst>
        </xdr:cNvPr>
        <xdr:cNvGrpSpPr/>
      </xdr:nvGrpSpPr>
      <xdr:grpSpPr>
        <a:xfrm>
          <a:off x="936624" y="1894418"/>
          <a:ext cx="9026072" cy="3526365"/>
          <a:chOff x="4524374" y="1158876"/>
          <a:chExt cx="8836393" cy="3425824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F47C543C-B8F0-A6C4-F408-3216BB23A337}"/>
              </a:ext>
            </a:extLst>
          </xdr:cNvPr>
          <xdr:cNvGraphicFramePr/>
        </xdr:nvGraphicFramePr>
        <xdr:xfrm>
          <a:off x="4524374" y="1158876"/>
          <a:ext cx="8645526" cy="3425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40F0787-0693-8B33-F653-C245011B2ECB}"/>
              </a:ext>
            </a:extLst>
          </xdr:cNvPr>
          <xdr:cNvSpPr txBox="1"/>
        </xdr:nvSpPr>
        <xdr:spPr>
          <a:xfrm>
            <a:off x="12805142" y="1269426"/>
            <a:ext cx="555625" cy="2571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2C4594"/>
                </a:solidFill>
              </a:rPr>
              <a:t>META</a:t>
            </a:r>
          </a:p>
        </xdr:txBody>
      </xdr: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5F86C6ED-07AE-2EAC-74A6-32196522D7D1}"/>
              </a:ext>
            </a:extLst>
          </xdr:cNvPr>
          <xdr:cNvCxnSpPr/>
        </xdr:nvCxnSpPr>
        <xdr:spPr>
          <a:xfrm flipH="1">
            <a:off x="12424142" y="1516760"/>
            <a:ext cx="381000" cy="34139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158750</xdr:colOff>
      <xdr:row>32</xdr:row>
      <xdr:rowOff>95250</xdr:rowOff>
    </xdr:from>
    <xdr:to>
      <xdr:col>21</xdr:col>
      <xdr:colOff>488128</xdr:colOff>
      <xdr:row>48</xdr:row>
      <xdr:rowOff>70375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F6DB4C7-E23F-47DA-86A1-754F35E73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158750</xdr:colOff>
      <xdr:row>56</xdr:row>
      <xdr:rowOff>105683</xdr:rowOff>
    </xdr:from>
    <xdr:to>
      <xdr:col>21</xdr:col>
      <xdr:colOff>490050</xdr:colOff>
      <xdr:row>72</xdr:row>
      <xdr:rowOff>83983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688FCA0-FD85-4088-9FD1-F7B57FDC1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257175</xdr:colOff>
      <xdr:row>32</xdr:row>
      <xdr:rowOff>95252</xdr:rowOff>
    </xdr:from>
    <xdr:to>
      <xdr:col>39</xdr:col>
      <xdr:colOff>329375</xdr:colOff>
      <xdr:row>48</xdr:row>
      <xdr:rowOff>77577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565B9FD-A6C4-48E1-A51E-C8F6A2A84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213485</xdr:colOff>
      <xdr:row>56</xdr:row>
      <xdr:rowOff>70565</xdr:rowOff>
    </xdr:from>
    <xdr:to>
      <xdr:col>39</xdr:col>
      <xdr:colOff>285685</xdr:colOff>
      <xdr:row>72</xdr:row>
      <xdr:rowOff>52890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9ABD8-DA6A-4626-B946-D179E9CC1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212053</xdr:colOff>
      <xdr:row>82</xdr:row>
      <xdr:rowOff>69938</xdr:rowOff>
    </xdr:from>
    <xdr:to>
      <xdr:col>39</xdr:col>
      <xdr:colOff>416353</xdr:colOff>
      <xdr:row>98</xdr:row>
      <xdr:rowOff>52263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BC6442-EE0F-4F40-9A67-955497430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82</xdr:row>
      <xdr:rowOff>29482</xdr:rowOff>
    </xdr:from>
    <xdr:to>
      <xdr:col>21</xdr:col>
      <xdr:colOff>521800</xdr:colOff>
      <xdr:row>98</xdr:row>
      <xdr:rowOff>13649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7DB6F49-ED7B-4F1C-8146-18D8B271F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41</xdr:col>
      <xdr:colOff>31750</xdr:colOff>
      <xdr:row>4</xdr:row>
      <xdr:rowOff>190500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380A68D-07A7-49C8-9D3E-35F132BF2CA0}"/>
            </a:ext>
          </a:extLst>
        </xdr:cNvPr>
        <xdr:cNvGrpSpPr/>
      </xdr:nvGrpSpPr>
      <xdr:grpSpPr>
        <a:xfrm>
          <a:off x="0" y="0"/>
          <a:ext cx="21759333" cy="910167"/>
          <a:chOff x="0" y="0"/>
          <a:chExt cx="20669250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C54AFD20-EAF8-385A-8ABA-5C95822AA780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37" name="Agrupar 36">
              <a:extLst>
                <a:ext uri="{FF2B5EF4-FFF2-40B4-BE49-F238E27FC236}">
                  <a16:creationId xmlns:a16="http://schemas.microsoft.com/office/drawing/2014/main" id="{19C575EC-6600-668C-8AEC-BD350E451149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61" name="Retângulo 60">
                <a:extLst>
                  <a:ext uri="{FF2B5EF4-FFF2-40B4-BE49-F238E27FC236}">
                    <a16:creationId xmlns:a16="http://schemas.microsoft.com/office/drawing/2014/main" id="{319905CE-7E14-0534-B179-E2E4E15BF196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62" name="Imagem 61">
                <a:extLst>
                  <a:ext uri="{FF2B5EF4-FFF2-40B4-BE49-F238E27FC236}">
                    <a16:creationId xmlns:a16="http://schemas.microsoft.com/office/drawing/2014/main" id="{68E0DDE7-A2AC-9AD8-E19C-61A8396FBAB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38" name="Agrupar 37">
              <a:extLst>
                <a:ext uri="{FF2B5EF4-FFF2-40B4-BE49-F238E27FC236}">
                  <a16:creationId xmlns:a16="http://schemas.microsoft.com/office/drawing/2014/main" id="{4AC779E2-392D-3A12-9B5A-2445A5751B4F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48" name="Retângulo: Cantos Arredondados 4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3313AEB0-F94E-6638-0A2D-3B032C9B4D98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60" name="Imagem 59" descr="ícones Do Computador, Gráfico, Gráfico De Barras png transparente grátis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2D4E1C2E-AEB6-FF16-7C59-0204F2E090B0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10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AFD029C7-4D19-FB14-A730-D61E036857BF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C2144C13-F837-27F9-166F-1B31B1412354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46" name="Imagem 45" descr="Opção de salvar arquivo - ícones de interface grátis">
                <a:extLst>
                  <a:ext uri="{FF2B5EF4-FFF2-40B4-BE49-F238E27FC236}">
                    <a16:creationId xmlns:a16="http://schemas.microsoft.com/office/drawing/2014/main" id="{352D64F0-2F9C-7B0B-97EE-EE3F061862C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28" name="Imagem 27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E151222B-D9AE-5ECB-1285-968B596BB2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9" name="Imagem 28">
            <a:extLst>
              <a:ext uri="{FF2B5EF4-FFF2-40B4-BE49-F238E27FC236}">
                <a16:creationId xmlns:a16="http://schemas.microsoft.com/office/drawing/2014/main" id="{D53C23F9-4D4B-A3CF-7FF9-52EFF01EF0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21</xdr:col>
      <xdr:colOff>185964</xdr:colOff>
      <xdr:row>32</xdr:row>
      <xdr:rowOff>210911</xdr:rowOff>
    </xdr:from>
    <xdr:to>
      <xdr:col>22</xdr:col>
      <xdr:colOff>138339</xdr:colOff>
      <xdr:row>33</xdr:row>
      <xdr:rowOff>104936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C2551A-74B7-4906-B016-89C965C65DCB}"/>
            </a:ext>
          </a:extLst>
        </xdr:cNvPr>
        <xdr:cNvSpPr txBox="1"/>
      </xdr:nvSpPr>
      <xdr:spPr>
        <a:xfrm>
          <a:off x="13548178" y="7286625"/>
          <a:ext cx="564697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408214</xdr:colOff>
      <xdr:row>33</xdr:row>
      <xdr:rowOff>94438</xdr:rowOff>
    </xdr:from>
    <xdr:to>
      <xdr:col>21</xdr:col>
      <xdr:colOff>185964</xdr:colOff>
      <xdr:row>34</xdr:row>
      <xdr:rowOff>78563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ABCC65DE-9DCE-4832-9DA1-D160B52453BC}"/>
            </a:ext>
          </a:extLst>
        </xdr:cNvPr>
        <xdr:cNvCxnSpPr/>
      </xdr:nvCxnSpPr>
      <xdr:spPr>
        <a:xfrm flipH="1">
          <a:off x="13158107" y="7551152"/>
          <a:ext cx="390071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598714</xdr:colOff>
      <xdr:row>32</xdr:row>
      <xdr:rowOff>195036</xdr:rowOff>
    </xdr:from>
    <xdr:to>
      <xdr:col>39</xdr:col>
      <xdr:colOff>542018</xdr:colOff>
      <xdr:row>33</xdr:row>
      <xdr:rowOff>89061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C88FEDCD-7355-41C6-99CD-4485EB6CFA16}"/>
            </a:ext>
          </a:extLst>
        </xdr:cNvPr>
        <xdr:cNvSpPr txBox="1"/>
      </xdr:nvSpPr>
      <xdr:spPr>
        <a:xfrm>
          <a:off x="24492857" y="727075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208643</xdr:colOff>
      <xdr:row>33</xdr:row>
      <xdr:rowOff>78563</xdr:rowOff>
    </xdr:from>
    <xdr:to>
      <xdr:col>38</xdr:col>
      <xdr:colOff>598714</xdr:colOff>
      <xdr:row>34</xdr:row>
      <xdr:rowOff>62688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C50D280F-D77C-4EF2-9DAA-FEB8F104DD03}"/>
            </a:ext>
          </a:extLst>
        </xdr:cNvPr>
        <xdr:cNvCxnSpPr/>
      </xdr:nvCxnSpPr>
      <xdr:spPr>
        <a:xfrm flipH="1">
          <a:off x="24102786" y="7535277"/>
          <a:ext cx="390071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131535</xdr:colOff>
      <xdr:row>56</xdr:row>
      <xdr:rowOff>208643</xdr:rowOff>
    </xdr:from>
    <xdr:to>
      <xdr:col>22</xdr:col>
      <xdr:colOff>83910</xdr:colOff>
      <xdr:row>57</xdr:row>
      <xdr:rowOff>102668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F56560EE-CA71-49B3-BC85-941E973E794F}"/>
            </a:ext>
          </a:extLst>
        </xdr:cNvPr>
        <xdr:cNvSpPr txBox="1"/>
      </xdr:nvSpPr>
      <xdr:spPr>
        <a:xfrm>
          <a:off x="13493749" y="13053786"/>
          <a:ext cx="564697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353785</xdr:colOff>
      <xdr:row>57</xdr:row>
      <xdr:rowOff>92170</xdr:rowOff>
    </xdr:from>
    <xdr:to>
      <xdr:col>21</xdr:col>
      <xdr:colOff>131535</xdr:colOff>
      <xdr:row>58</xdr:row>
      <xdr:rowOff>76295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C502D1E6-3BC5-46AF-A1B0-E469A3BA87D9}"/>
            </a:ext>
          </a:extLst>
        </xdr:cNvPr>
        <xdr:cNvCxnSpPr/>
      </xdr:nvCxnSpPr>
      <xdr:spPr>
        <a:xfrm flipH="1">
          <a:off x="13103678" y="13318313"/>
          <a:ext cx="390071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496661</xdr:colOff>
      <xdr:row>56</xdr:row>
      <xdr:rowOff>179161</xdr:rowOff>
    </xdr:from>
    <xdr:to>
      <xdr:col>39</xdr:col>
      <xdr:colOff>449036</xdr:colOff>
      <xdr:row>57</xdr:row>
      <xdr:rowOff>73186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227FE555-6885-45E0-BBC7-1AB15162CF98}"/>
            </a:ext>
          </a:extLst>
        </xdr:cNvPr>
        <xdr:cNvSpPr txBox="1"/>
      </xdr:nvSpPr>
      <xdr:spPr>
        <a:xfrm>
          <a:off x="24390804" y="13024304"/>
          <a:ext cx="564696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115661</xdr:colOff>
      <xdr:row>57</xdr:row>
      <xdr:rowOff>62688</xdr:rowOff>
    </xdr:from>
    <xdr:to>
      <xdr:col>38</xdr:col>
      <xdr:colOff>496661</xdr:colOff>
      <xdr:row>58</xdr:row>
      <xdr:rowOff>46813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B1533886-B0F2-47FB-9279-0FA9B5319FC5}"/>
            </a:ext>
          </a:extLst>
        </xdr:cNvPr>
        <xdr:cNvCxnSpPr/>
      </xdr:nvCxnSpPr>
      <xdr:spPr>
        <a:xfrm flipH="1">
          <a:off x="24009804" y="13288831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176893</xdr:colOff>
      <xdr:row>82</xdr:row>
      <xdr:rowOff>170089</xdr:rowOff>
    </xdr:from>
    <xdr:to>
      <xdr:col>22</xdr:col>
      <xdr:colOff>129268</xdr:colOff>
      <xdr:row>83</xdr:row>
      <xdr:rowOff>64114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7A0AF666-E360-46F1-A969-0286C08E2207}"/>
            </a:ext>
          </a:extLst>
        </xdr:cNvPr>
        <xdr:cNvSpPr txBox="1"/>
      </xdr:nvSpPr>
      <xdr:spPr>
        <a:xfrm>
          <a:off x="13539107" y="18975160"/>
          <a:ext cx="564697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399143</xdr:colOff>
      <xdr:row>83</xdr:row>
      <xdr:rowOff>53616</xdr:rowOff>
    </xdr:from>
    <xdr:to>
      <xdr:col>21</xdr:col>
      <xdr:colOff>176893</xdr:colOff>
      <xdr:row>84</xdr:row>
      <xdr:rowOff>37741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B5712F62-14CF-455C-BF9B-EA51EE188FF6}"/>
            </a:ext>
          </a:extLst>
        </xdr:cNvPr>
        <xdr:cNvCxnSpPr/>
      </xdr:nvCxnSpPr>
      <xdr:spPr>
        <a:xfrm flipH="1">
          <a:off x="13149036" y="19239687"/>
          <a:ext cx="390071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36286</xdr:colOff>
      <xdr:row>82</xdr:row>
      <xdr:rowOff>192767</xdr:rowOff>
    </xdr:from>
    <xdr:to>
      <xdr:col>39</xdr:col>
      <xdr:colOff>600983</xdr:colOff>
      <xdr:row>83</xdr:row>
      <xdr:rowOff>86792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D48D17AD-3210-499C-8004-513F9C55B6B6}"/>
            </a:ext>
          </a:extLst>
        </xdr:cNvPr>
        <xdr:cNvSpPr txBox="1"/>
      </xdr:nvSpPr>
      <xdr:spPr>
        <a:xfrm>
          <a:off x="24542750" y="18997838"/>
          <a:ext cx="564697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258536</xdr:colOff>
      <xdr:row>83</xdr:row>
      <xdr:rowOff>76294</xdr:rowOff>
    </xdr:from>
    <xdr:to>
      <xdr:col>39</xdr:col>
      <xdr:colOff>36286</xdr:colOff>
      <xdr:row>84</xdr:row>
      <xdr:rowOff>60419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F6DE9E9E-686D-4A89-9F9F-8DC52E72EAB4}"/>
            </a:ext>
          </a:extLst>
        </xdr:cNvPr>
        <xdr:cNvCxnSpPr/>
      </xdr:nvCxnSpPr>
      <xdr:spPr>
        <a:xfrm flipH="1">
          <a:off x="24152679" y="19262365"/>
          <a:ext cx="390071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6</xdr:row>
      <xdr:rowOff>142875</xdr:rowOff>
    </xdr:from>
    <xdr:to>
      <xdr:col>40</xdr:col>
      <xdr:colOff>560237</xdr:colOff>
      <xdr:row>8</xdr:row>
      <xdr:rowOff>83848</xdr:rowOff>
    </xdr:to>
    <xdr:sp macro="[0]!OCULTAR1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00F5DA5-7876-4D09-BC0F-6011DEBACEC4}"/>
            </a:ext>
          </a:extLst>
        </xdr:cNvPr>
        <xdr:cNvSpPr/>
      </xdr:nvSpPr>
      <xdr:spPr>
        <a:xfrm>
          <a:off x="19558000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6</xdr:row>
      <xdr:rowOff>142875</xdr:rowOff>
    </xdr:from>
    <xdr:to>
      <xdr:col>38</xdr:col>
      <xdr:colOff>576112</xdr:colOff>
      <xdr:row>8</xdr:row>
      <xdr:rowOff>83848</xdr:rowOff>
    </xdr:to>
    <xdr:sp macro="[0]!EXIBIR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237C801-0E4A-4182-B4B1-6811651146B4}"/>
            </a:ext>
          </a:extLst>
        </xdr:cNvPr>
        <xdr:cNvSpPr/>
      </xdr:nvSpPr>
      <xdr:spPr>
        <a:xfrm>
          <a:off x="18367375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127000</xdr:colOff>
      <xdr:row>27</xdr:row>
      <xdr:rowOff>142875</xdr:rowOff>
    </xdr:from>
    <xdr:to>
      <xdr:col>40</xdr:col>
      <xdr:colOff>560237</xdr:colOff>
      <xdr:row>29</xdr:row>
      <xdr:rowOff>83848</xdr:rowOff>
    </xdr:to>
    <xdr:sp macro="[0]!OCULTAR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382BF6-E15A-4B9E-AB1C-4CC40CA10BFF}"/>
            </a:ext>
          </a:extLst>
        </xdr:cNvPr>
        <xdr:cNvSpPr/>
      </xdr:nvSpPr>
      <xdr:spPr>
        <a:xfrm>
          <a:off x="19558000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27</xdr:row>
      <xdr:rowOff>142875</xdr:rowOff>
    </xdr:from>
    <xdr:to>
      <xdr:col>38</xdr:col>
      <xdr:colOff>576112</xdr:colOff>
      <xdr:row>29</xdr:row>
      <xdr:rowOff>83848</xdr:rowOff>
    </xdr:to>
    <xdr:sp macro="[0]!EXIBIR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491602B-4A51-4DBE-99EC-41D5FCFE7A7E}"/>
            </a:ext>
          </a:extLst>
        </xdr:cNvPr>
        <xdr:cNvSpPr/>
      </xdr:nvSpPr>
      <xdr:spPr>
        <a:xfrm>
          <a:off x="18367375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51</xdr:row>
      <xdr:rowOff>142875</xdr:rowOff>
    </xdr:from>
    <xdr:to>
      <xdr:col>40</xdr:col>
      <xdr:colOff>544362</xdr:colOff>
      <xdr:row>53</xdr:row>
      <xdr:rowOff>83848</xdr:rowOff>
    </xdr:to>
    <xdr:sp macro="[0]!OCULTAR3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7F0A5EC-D7BC-4FAE-AA2F-FC9EC6F292C8}"/>
            </a:ext>
          </a:extLst>
        </xdr:cNvPr>
        <xdr:cNvSpPr/>
      </xdr:nvSpPr>
      <xdr:spPr>
        <a:xfrm>
          <a:off x="19542125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51</xdr:row>
      <xdr:rowOff>142875</xdr:rowOff>
    </xdr:from>
    <xdr:to>
      <xdr:col>38</xdr:col>
      <xdr:colOff>560237</xdr:colOff>
      <xdr:row>53</xdr:row>
      <xdr:rowOff>83848</xdr:rowOff>
    </xdr:to>
    <xdr:sp macro="[0]!EXIB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D067D7E-7C14-43E7-8467-A38E1D26CB96}"/>
            </a:ext>
          </a:extLst>
        </xdr:cNvPr>
        <xdr:cNvSpPr/>
      </xdr:nvSpPr>
      <xdr:spPr>
        <a:xfrm>
          <a:off x="18351500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76</xdr:row>
      <xdr:rowOff>142875</xdr:rowOff>
    </xdr:from>
    <xdr:to>
      <xdr:col>40</xdr:col>
      <xdr:colOff>544362</xdr:colOff>
      <xdr:row>78</xdr:row>
      <xdr:rowOff>83848</xdr:rowOff>
    </xdr:to>
    <xdr:sp macro="[0]!OCULTAR4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71B84BB-7ABB-403A-A381-9548D7C8A152}"/>
            </a:ext>
          </a:extLst>
        </xdr:cNvPr>
        <xdr:cNvSpPr/>
      </xdr:nvSpPr>
      <xdr:spPr>
        <a:xfrm>
          <a:off x="19542125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76</xdr:row>
      <xdr:rowOff>142875</xdr:rowOff>
    </xdr:from>
    <xdr:to>
      <xdr:col>38</xdr:col>
      <xdr:colOff>560237</xdr:colOff>
      <xdr:row>78</xdr:row>
      <xdr:rowOff>83848</xdr:rowOff>
    </xdr:to>
    <xdr:sp macro="[0]!EXIBIR4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9C11A28-DFC3-4530-BBFF-A7DE3728E2E3}"/>
            </a:ext>
          </a:extLst>
        </xdr:cNvPr>
        <xdr:cNvSpPr/>
      </xdr:nvSpPr>
      <xdr:spPr>
        <a:xfrm>
          <a:off x="18351500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25</xdr:col>
      <xdr:colOff>212053</xdr:colOff>
      <xdr:row>109</xdr:row>
      <xdr:rowOff>69938</xdr:rowOff>
    </xdr:from>
    <xdr:to>
      <xdr:col>39</xdr:col>
      <xdr:colOff>416353</xdr:colOff>
      <xdr:row>125</xdr:row>
      <xdr:rowOff>52263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1E6D89E-2A7D-4702-AF98-F267B9115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190500</xdr:colOff>
      <xdr:row>109</xdr:row>
      <xdr:rowOff>29482</xdr:rowOff>
    </xdr:from>
    <xdr:to>
      <xdr:col>21</xdr:col>
      <xdr:colOff>521800</xdr:colOff>
      <xdr:row>125</xdr:row>
      <xdr:rowOff>13649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F89884F1-36EF-48D7-9D6D-C86BD9DEE7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176893</xdr:colOff>
      <xdr:row>109</xdr:row>
      <xdr:rowOff>156482</xdr:rowOff>
    </xdr:from>
    <xdr:to>
      <xdr:col>22</xdr:col>
      <xdr:colOff>129268</xdr:colOff>
      <xdr:row>110</xdr:row>
      <xdr:rowOff>50507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2A8A3F98-942D-40B8-80D4-405138B74586}"/>
            </a:ext>
          </a:extLst>
        </xdr:cNvPr>
        <xdr:cNvSpPr txBox="1"/>
      </xdr:nvSpPr>
      <xdr:spPr>
        <a:xfrm>
          <a:off x="13539107" y="25125589"/>
          <a:ext cx="564697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399143</xdr:colOff>
      <xdr:row>110</xdr:row>
      <xdr:rowOff>40009</xdr:rowOff>
    </xdr:from>
    <xdr:to>
      <xdr:col>21</xdr:col>
      <xdr:colOff>176893</xdr:colOff>
      <xdr:row>111</xdr:row>
      <xdr:rowOff>24134</xdr:rowOff>
    </xdr:to>
    <xdr:cxnSp macro="">
      <xdr:nvCxnSpPr>
        <xdr:cNvPr id="21" name="Conector de Seta Reta 20">
          <a:extLst>
            <a:ext uri="{FF2B5EF4-FFF2-40B4-BE49-F238E27FC236}">
              <a16:creationId xmlns:a16="http://schemas.microsoft.com/office/drawing/2014/main" id="{7CB5C79D-8185-42BC-B14B-9F021A4D1DA7}"/>
            </a:ext>
          </a:extLst>
        </xdr:cNvPr>
        <xdr:cNvCxnSpPr/>
      </xdr:nvCxnSpPr>
      <xdr:spPr>
        <a:xfrm flipH="1">
          <a:off x="13149036" y="25390116"/>
          <a:ext cx="390071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109</xdr:row>
      <xdr:rowOff>192767</xdr:rowOff>
    </xdr:from>
    <xdr:to>
      <xdr:col>40</xdr:col>
      <xdr:colOff>15875</xdr:colOff>
      <xdr:row>110</xdr:row>
      <xdr:rowOff>86792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B1333462-647F-4C3F-9ED1-32414FC56F09}"/>
            </a:ext>
          </a:extLst>
        </xdr:cNvPr>
        <xdr:cNvSpPr txBox="1"/>
      </xdr:nvSpPr>
      <xdr:spPr>
        <a:xfrm>
          <a:off x="24569964" y="25161874"/>
          <a:ext cx="564697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285750</xdr:colOff>
      <xdr:row>110</xdr:row>
      <xdr:rowOff>76294</xdr:rowOff>
    </xdr:from>
    <xdr:to>
      <xdr:col>39</xdr:col>
      <xdr:colOff>63500</xdr:colOff>
      <xdr:row>111</xdr:row>
      <xdr:rowOff>60419</xdr:rowOff>
    </xdr:to>
    <xdr:cxnSp macro="">
      <xdr:nvCxnSpPr>
        <xdr:cNvPr id="25" name="Conector de Seta Reta 24">
          <a:extLst>
            <a:ext uri="{FF2B5EF4-FFF2-40B4-BE49-F238E27FC236}">
              <a16:creationId xmlns:a16="http://schemas.microsoft.com/office/drawing/2014/main" id="{1DBB2394-FD5D-46EB-BAF9-27542BC58032}"/>
            </a:ext>
          </a:extLst>
        </xdr:cNvPr>
        <xdr:cNvCxnSpPr/>
      </xdr:nvCxnSpPr>
      <xdr:spPr>
        <a:xfrm flipH="1">
          <a:off x="24179893" y="25426401"/>
          <a:ext cx="390071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111125</xdr:colOff>
      <xdr:row>103</xdr:row>
      <xdr:rowOff>142875</xdr:rowOff>
    </xdr:from>
    <xdr:to>
      <xdr:col>40</xdr:col>
      <xdr:colOff>544362</xdr:colOff>
      <xdr:row>105</xdr:row>
      <xdr:rowOff>83848</xdr:rowOff>
    </xdr:to>
    <xdr:sp macro="[0]!OCULTAR4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5C1C8C67-C369-497E-AE62-425C94F1D52B}"/>
            </a:ext>
          </a:extLst>
        </xdr:cNvPr>
        <xdr:cNvSpPr/>
      </xdr:nvSpPr>
      <xdr:spPr>
        <a:xfrm>
          <a:off x="24617589" y="17777732"/>
          <a:ext cx="1045559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103</xdr:row>
      <xdr:rowOff>142875</xdr:rowOff>
    </xdr:from>
    <xdr:to>
      <xdr:col>38</xdr:col>
      <xdr:colOff>560237</xdr:colOff>
      <xdr:row>105</xdr:row>
      <xdr:rowOff>83848</xdr:rowOff>
    </xdr:to>
    <xdr:sp macro="[0]!EXIBIR4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3A0CED2F-4750-4D1A-B89B-E8FB9DD90E98}"/>
            </a:ext>
          </a:extLst>
        </xdr:cNvPr>
        <xdr:cNvSpPr/>
      </xdr:nvSpPr>
      <xdr:spPr>
        <a:xfrm>
          <a:off x="23408821" y="17777732"/>
          <a:ext cx="1045559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1673678</xdr:colOff>
      <xdr:row>10</xdr:row>
      <xdr:rowOff>2269</xdr:rowOff>
    </xdr:from>
    <xdr:to>
      <xdr:col>18</xdr:col>
      <xdr:colOff>99978</xdr:colOff>
      <xdr:row>26</xdr:row>
      <xdr:rowOff>176936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10E393F-ED00-40D3-8CBB-C8D151A86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54429</xdr:rowOff>
    </xdr:from>
    <xdr:to>
      <xdr:col>23</xdr:col>
      <xdr:colOff>0</xdr:colOff>
      <xdr:row>5</xdr:row>
      <xdr:rowOff>40822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BEF1BFD-4332-4E7D-AE2A-79FD363CD4CE}"/>
            </a:ext>
          </a:extLst>
        </xdr:cNvPr>
        <xdr:cNvGrpSpPr/>
      </xdr:nvGrpSpPr>
      <xdr:grpSpPr>
        <a:xfrm>
          <a:off x="609600" y="54429"/>
          <a:ext cx="16141700" cy="951593"/>
          <a:chOff x="0" y="0"/>
          <a:chExt cx="20669250" cy="95250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5180B6B0-4669-7EE2-CF46-32F0B48A9A32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679D1A7E-DE9F-4DE1-807E-EBAD76799CC8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28" name="Retângulo 27">
                <a:extLst>
                  <a:ext uri="{FF2B5EF4-FFF2-40B4-BE49-F238E27FC236}">
                    <a16:creationId xmlns:a16="http://schemas.microsoft.com/office/drawing/2014/main" id="{19FDD56D-01E8-0D54-4410-AC855AAAA1DC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29" name="Imagem 28">
                <a:extLst>
                  <a:ext uri="{FF2B5EF4-FFF2-40B4-BE49-F238E27FC236}">
                    <a16:creationId xmlns:a16="http://schemas.microsoft.com/office/drawing/2014/main" id="{36A88AD6-9E96-9CD5-8C97-07D6377CFD9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549705" y="158307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B7B8FE38-E31F-FDCB-3D98-D56484A01061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26" name="Retângulo: Cantos Arredondados 25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04EADB02-D9F3-9BFB-2ACE-C73A6CD8C676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27" name="Imagem 26" descr="ícones Do Computador, Gráfico, Gráfico De Barras png transparente grátis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A99F4203-7336-55E6-8B4F-C58494B88A7C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4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5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1A960F10-CA29-A29A-5F82-FDF1E0BCE1CB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24" name="Retângulo: Cantos Arredondados 23">
                <a:extLst>
                  <a:ext uri="{FF2B5EF4-FFF2-40B4-BE49-F238E27FC236}">
                    <a16:creationId xmlns:a16="http://schemas.microsoft.com/office/drawing/2014/main" id="{2A94D754-B89D-5C83-B5F3-BCF58B408A65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25" name="Imagem 24" descr="Opção de salvar arquivo - ícones de interface grátis">
                <a:extLst>
                  <a:ext uri="{FF2B5EF4-FFF2-40B4-BE49-F238E27FC236}">
                    <a16:creationId xmlns:a16="http://schemas.microsoft.com/office/drawing/2014/main" id="{2321053C-56C2-EC69-D142-50AE1A66A9A9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14" name="Imagem 13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A22F0A4D-99A4-6E67-2EF1-FA649502B9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15" name="Imagem 14">
            <a:extLst>
              <a:ext uri="{FF2B5EF4-FFF2-40B4-BE49-F238E27FC236}">
                <a16:creationId xmlns:a16="http://schemas.microsoft.com/office/drawing/2014/main" id="{B16DDA82-D6C0-D4CE-2C1E-9499E27C42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7</xdr:col>
      <xdr:colOff>1673678</xdr:colOff>
      <xdr:row>83</xdr:row>
      <xdr:rowOff>108857</xdr:rowOff>
    </xdr:from>
    <xdr:to>
      <xdr:col>18</xdr:col>
      <xdr:colOff>367392</xdr:colOff>
      <xdr:row>98</xdr:row>
      <xdr:rowOff>176936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257FC5E-2539-4C94-AE51-ED87ADCD1C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13606</xdr:colOff>
      <xdr:row>103</xdr:row>
      <xdr:rowOff>136072</xdr:rowOff>
    </xdr:from>
    <xdr:to>
      <xdr:col>18</xdr:col>
      <xdr:colOff>462641</xdr:colOff>
      <xdr:row>126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D74101C-A903-4C2E-BB63-53EAB1D3B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1673678</xdr:colOff>
      <xdr:row>35</xdr:row>
      <xdr:rowOff>2269</xdr:rowOff>
    </xdr:from>
    <xdr:to>
      <xdr:col>18</xdr:col>
      <xdr:colOff>99978</xdr:colOff>
      <xdr:row>52</xdr:row>
      <xdr:rowOff>176936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84C475C-CB64-4C92-964B-CDC992206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1673677</xdr:colOff>
      <xdr:row>58</xdr:row>
      <xdr:rowOff>2268</xdr:rowOff>
    </xdr:from>
    <xdr:to>
      <xdr:col>18</xdr:col>
      <xdr:colOff>244928</xdr:colOff>
      <xdr:row>74</xdr:row>
      <xdr:rowOff>122464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7A0A2C-E8C0-46CC-AE2D-0E016F7D8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Marco.Outubro%20-%20ANA.xlsm" TargetMode="External"/><Relationship Id="rId1" Type="http://schemas.openxmlformats.org/officeDocument/2006/relationships/externalLinkPath" Target="Marco.Outubro%20-%20ANA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Marco.Outubro%20-%20ADRIANO.xlsm" TargetMode="External"/><Relationship Id="rId1" Type="http://schemas.openxmlformats.org/officeDocument/2006/relationships/externalLinkPath" Target="Marco.Outubro%20-%20ADRIANO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Marco.Outubro%20-%20MAURO.xlsm" TargetMode="External"/><Relationship Id="rId1" Type="http://schemas.openxmlformats.org/officeDocument/2006/relationships/externalLinkPath" Target="Marco.Outubro%20-%20MAURO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Marco.Outubro%20-%20ROG&#201;RIO.xlsm" TargetMode="External"/><Relationship Id="rId1" Type="http://schemas.openxmlformats.org/officeDocument/2006/relationships/externalLinkPath" Target="Marco.Outubro%20-%20ROG&#201;RIO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Marco.Outubro%20-%20MARCOS.xlsm" TargetMode="External"/><Relationship Id="rId1" Type="http://schemas.openxmlformats.org/officeDocument/2006/relationships/externalLinkPath" Target="Marco.Outubro%20-%20MARCOS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PLANEJAMENTO\GEST&#195;O%20&#192;%20VISTA\Marco%20-%20Setembro%202023\Marco.Setembro%20-%20ADRIANO.xlsm" TargetMode="External"/><Relationship Id="rId1" Type="http://schemas.openxmlformats.org/officeDocument/2006/relationships/externalLinkPath" Target="file:///W:\PLANEJAMENTO\GEST&#195;O%20&#192;%20VISTA\Marco%20-%20Setembro%202023\Marco.Setembro%20-%20ADRI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A"/>
      <sheetName val="PA ANA"/>
      <sheetName val="ADERÊNCIA"/>
      <sheetName val="% DE DESVIO"/>
    </sheetNames>
    <sheetDataSet>
      <sheetData sheetId="0">
        <row r="9">
          <cell r="AT9">
            <v>0.42857142857142855</v>
          </cell>
          <cell r="AY9">
            <v>0.48571428571428571</v>
          </cell>
          <cell r="BD9">
            <v>0.34615384615384615</v>
          </cell>
          <cell r="BI9">
            <v>0.29032258064516131</v>
          </cell>
          <cell r="BN9">
            <v>0.26470588235294118</v>
          </cell>
        </row>
        <row r="14">
          <cell r="AY14">
            <v>0.22857142857142856</v>
          </cell>
          <cell r="BD14">
            <v>5.8823529411764705E-2</v>
          </cell>
          <cell r="BI14">
            <v>0</v>
          </cell>
          <cell r="BN14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DRIANO"/>
      <sheetName val="PA ADRIANO"/>
      <sheetName val="% DE DESVIO"/>
      <sheetName val="ADERÊNCIA"/>
    </sheetNames>
    <sheetDataSet>
      <sheetData sheetId="0">
        <row r="9">
          <cell r="AV9">
            <v>0.5714285714285714</v>
          </cell>
          <cell r="BA9">
            <v>1</v>
          </cell>
          <cell r="BF9">
            <v>0.95833333333333337</v>
          </cell>
          <cell r="BK9">
            <v>0.51111111111111107</v>
          </cell>
          <cell r="BP9">
            <v>0.31944444444444442</v>
          </cell>
        </row>
        <row r="14">
          <cell r="BA14">
            <v>0.33333333333333331</v>
          </cell>
          <cell r="BF14">
            <v>0.81818181818181823</v>
          </cell>
          <cell r="BK14">
            <v>0</v>
          </cell>
          <cell r="BP14">
            <v>0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URO"/>
      <sheetName val="PA MAURO"/>
      <sheetName val="ADERÊNCIA"/>
    </sheetNames>
    <sheetDataSet>
      <sheetData sheetId="0">
        <row r="9">
          <cell r="AV9">
            <v>0.4</v>
          </cell>
          <cell r="BA9">
            <v>1</v>
          </cell>
          <cell r="BF9">
            <v>0.91666666666666663</v>
          </cell>
          <cell r="BK9">
            <v>0.54838709677419351</v>
          </cell>
          <cell r="BP9">
            <v>0.40384615384615385</v>
          </cell>
        </row>
        <row r="14">
          <cell r="BA14">
            <v>0.5</v>
          </cell>
          <cell r="BF14">
            <v>0.8</v>
          </cell>
          <cell r="BK14">
            <v>0.21052631578947367</v>
          </cell>
          <cell r="BP14">
            <v>0.19047619047619047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GERIO"/>
      <sheetName val="PA ROGERIO"/>
      <sheetName val="ADERÊNCIA"/>
    </sheetNames>
    <sheetDataSet>
      <sheetData sheetId="0">
        <row r="9">
          <cell r="AV9">
            <v>0</v>
          </cell>
          <cell r="BA9">
            <v>0.2109704641350211</v>
          </cell>
          <cell r="BF9">
            <v>0.16473317865429235</v>
          </cell>
          <cell r="BK9">
            <v>0.12519561815336464</v>
          </cell>
          <cell r="BP9">
            <v>0.11188811188811189</v>
          </cell>
        </row>
        <row r="14">
          <cell r="BA14">
            <v>0</v>
          </cell>
          <cell r="BF14">
            <v>0</v>
          </cell>
          <cell r="BK14">
            <v>1.4423076923076924E-2</v>
          </cell>
          <cell r="BP14">
            <v>0</v>
          </cell>
        </row>
      </sheetData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COS"/>
      <sheetName val="PA MARCOS"/>
      <sheetName val="ADERÊNCIA"/>
    </sheetNames>
    <sheetDataSet>
      <sheetData sheetId="0">
        <row r="44">
          <cell r="AX44">
            <v>0.4</v>
          </cell>
          <cell r="BC44">
            <v>1</v>
          </cell>
          <cell r="BH44">
            <v>1</v>
          </cell>
          <cell r="BM44">
            <v>3.8461538461538464E-2</v>
          </cell>
          <cell r="BR44">
            <v>1.6528925619834711E-2</v>
          </cell>
        </row>
        <row r="49">
          <cell r="BC49">
            <v>1</v>
          </cell>
          <cell r="BM49">
            <v>0</v>
          </cell>
          <cell r="BR49">
            <v>0</v>
          </cell>
        </row>
      </sheetData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DRIANO"/>
      <sheetName val="PA ADRIANO"/>
      <sheetName val="% DE DESVIO"/>
      <sheetName val="ADERÊNCIA"/>
    </sheetNames>
    <sheetDataSet>
      <sheetData sheetId="0">
        <row r="14">
          <cell r="BP14">
            <v>0.18181818181818182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53BB4-8E49-4B32-82C0-1C438AC4FBE6}">
  <sheetPr codeName="Planilha3"/>
  <dimension ref="A1:BA285"/>
  <sheetViews>
    <sheetView showGridLines="0" tabSelected="1" zoomScale="60" zoomScaleNormal="60" workbookViewId="0">
      <pane ySplit="5" topLeftCell="A73" activePane="bottomLeft" state="frozen"/>
      <selection pane="bottomLeft" activeCell="E50" sqref="E50"/>
    </sheetView>
  </sheetViews>
  <sheetFormatPr defaultRowHeight="14.5" x14ac:dyDescent="0.35"/>
  <cols>
    <col min="1" max="1" width="9.54296875" customWidth="1"/>
    <col min="2" max="2" width="10.1796875" customWidth="1"/>
    <col min="3" max="3" width="13.26953125" customWidth="1"/>
    <col min="4" max="4" width="9.1796875" customWidth="1"/>
    <col min="5" max="5" width="13.54296875" customWidth="1"/>
    <col min="6" max="6" width="12.81640625" customWidth="1"/>
    <col min="7" max="7" width="18.453125" customWidth="1"/>
    <col min="8" max="8" width="9.1796875" customWidth="1"/>
    <col min="32" max="32" width="11" customWidth="1"/>
    <col min="47" max="47" width="7" customWidth="1"/>
    <col min="48" max="48" width="42.54296875" hidden="1" customWidth="1"/>
  </cols>
  <sheetData>
    <row r="1" spans="1:48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</row>
    <row r="2" spans="1:48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8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8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8" ht="15.75" customHeight="1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16"/>
      <c r="X5" s="16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8" ht="15.75" customHeight="1" thickBot="1" x14ac:dyDescent="0.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8" ht="15" customHeight="1" x14ac:dyDescent="0.35">
      <c r="A7" s="40" t="s">
        <v>10</v>
      </c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9">
        <f>AV13</f>
        <v>45205</v>
      </c>
      <c r="X7" s="50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30"/>
      <c r="AV7" s="17" t="s">
        <v>9</v>
      </c>
    </row>
    <row r="8" spans="1:48" ht="15" customHeight="1" x14ac:dyDescent="0.3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5"/>
      <c r="W8" s="51"/>
      <c r="X8" s="50"/>
      <c r="Y8" s="31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3"/>
      <c r="AV8" s="21"/>
    </row>
    <row r="9" spans="1:48" ht="15.75" customHeight="1" thickBot="1" x14ac:dyDescent="0.4">
      <c r="A9" s="46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8"/>
      <c r="W9" s="51"/>
      <c r="X9" s="50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6"/>
      <c r="AV9" s="21">
        <v>45201</v>
      </c>
    </row>
    <row r="10" spans="1:48" ht="19.5" customHeight="1" thickBot="1" x14ac:dyDescent="0.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2"/>
      <c r="AI10" s="2"/>
      <c r="AJ10" s="2"/>
      <c r="AK10" s="2"/>
      <c r="AL10" s="2"/>
      <c r="AM10" s="2"/>
      <c r="AN10" s="2"/>
      <c r="AO10" s="2"/>
      <c r="AV10" s="21">
        <v>45202</v>
      </c>
    </row>
    <row r="11" spans="1:48" ht="30" customHeight="1" thickBot="1" x14ac:dyDescent="0.4">
      <c r="A11" s="3"/>
      <c r="B11" s="37" t="s">
        <v>10</v>
      </c>
      <c r="C11" s="38"/>
      <c r="D11" s="38"/>
      <c r="E11" s="38"/>
      <c r="F11" s="38"/>
      <c r="G11" s="39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2"/>
      <c r="AI11" s="2"/>
      <c r="AJ11" s="2"/>
      <c r="AK11" s="2"/>
      <c r="AL11" s="2"/>
      <c r="AM11" s="2"/>
      <c r="AN11" s="2"/>
      <c r="AO11" s="2"/>
      <c r="AV11" s="21">
        <v>45203</v>
      </c>
    </row>
    <row r="12" spans="1:48" ht="30" customHeight="1" x14ac:dyDescent="0.35">
      <c r="A12" s="3"/>
      <c r="B12" s="4" t="s">
        <v>0</v>
      </c>
      <c r="C12" s="5" t="s">
        <v>1</v>
      </c>
      <c r="D12" s="5" t="s">
        <v>19</v>
      </c>
      <c r="E12" s="5" t="s">
        <v>4</v>
      </c>
      <c r="F12" s="5" t="s">
        <v>2</v>
      </c>
      <c r="G12" s="6" t="s">
        <v>3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2"/>
      <c r="AI12" s="2"/>
      <c r="AJ12" s="2"/>
      <c r="AK12" s="2"/>
      <c r="AL12" s="2"/>
      <c r="AM12" s="2"/>
      <c r="AN12" s="2"/>
      <c r="AO12" s="2"/>
      <c r="AV12" s="21">
        <v>45204</v>
      </c>
    </row>
    <row r="13" spans="1:48" ht="30" customHeight="1" thickBot="1" x14ac:dyDescent="0.4">
      <c r="A13" s="3"/>
      <c r="B13" s="7">
        <f>[1]ANA!$AT$9</f>
        <v>0.42857142857142855</v>
      </c>
      <c r="C13" s="8">
        <f>[2]ADRIANO!$AV$9</f>
        <v>0.5714285714285714</v>
      </c>
      <c r="D13" s="8">
        <f>[3]MAURO!$AV$9</f>
        <v>0.4</v>
      </c>
      <c r="E13" s="8">
        <f>[4]ROGERIO!$AV$9</f>
        <v>0</v>
      </c>
      <c r="F13" s="8">
        <f>[5]MARCOS!$AX$44</f>
        <v>0.4</v>
      </c>
      <c r="G13" s="9">
        <f>(SUM(B13+C13+F13+D13))/400%</f>
        <v>0.44999999999999996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2"/>
      <c r="AI13" s="2"/>
      <c r="AJ13" s="2"/>
      <c r="AK13" s="2"/>
      <c r="AL13" s="2"/>
      <c r="AM13" s="2"/>
      <c r="AN13" s="2"/>
      <c r="AO13" s="2"/>
      <c r="AV13" s="21">
        <v>45205</v>
      </c>
    </row>
    <row r="14" spans="1:48" x14ac:dyDescent="0.35">
      <c r="A14" s="3"/>
      <c r="B14" s="10">
        <v>0.8</v>
      </c>
      <c r="C14" s="10">
        <v>0.8</v>
      </c>
      <c r="D14" s="10">
        <v>0.8</v>
      </c>
      <c r="E14" s="10">
        <v>0.8</v>
      </c>
      <c r="F14" s="10">
        <v>0.8</v>
      </c>
      <c r="G14" s="10">
        <v>0.8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2"/>
      <c r="AI14" s="2"/>
      <c r="AJ14" s="2"/>
      <c r="AK14" s="2"/>
      <c r="AL14" s="2"/>
      <c r="AM14" s="2"/>
      <c r="AN14" s="2"/>
      <c r="AO14" s="2"/>
      <c r="AV14" s="21"/>
    </row>
    <row r="15" spans="1:48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2"/>
      <c r="AI15" s="2"/>
      <c r="AJ15" s="2"/>
      <c r="AK15" s="2"/>
      <c r="AL15" s="2"/>
      <c r="AM15" s="2"/>
      <c r="AN15" s="2"/>
      <c r="AO15" s="2"/>
      <c r="AV15" s="21"/>
    </row>
    <row r="16" spans="1:48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10"/>
      <c r="AC16" s="3"/>
      <c r="AD16" s="3"/>
      <c r="AE16" s="3"/>
      <c r="AF16" s="3"/>
      <c r="AG16" s="3"/>
      <c r="AH16" s="2"/>
      <c r="AI16" s="2"/>
      <c r="AJ16" s="2"/>
      <c r="AK16" s="2"/>
      <c r="AL16" s="2"/>
      <c r="AM16" s="2"/>
      <c r="AN16" s="2"/>
      <c r="AO16" s="2"/>
      <c r="AV16" s="21">
        <v>45208</v>
      </c>
    </row>
    <row r="17" spans="1:48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2"/>
      <c r="AI17" s="2"/>
      <c r="AJ17" s="2"/>
      <c r="AK17" s="2"/>
      <c r="AL17" s="2"/>
      <c r="AM17" s="2"/>
      <c r="AN17" s="2"/>
      <c r="AO17" s="2"/>
      <c r="AV17" s="21">
        <v>45209</v>
      </c>
    </row>
    <row r="18" spans="1:48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2"/>
      <c r="AI18" s="2"/>
      <c r="AJ18" s="2"/>
      <c r="AK18" s="2"/>
      <c r="AL18" s="2"/>
      <c r="AM18" s="2"/>
      <c r="AN18" s="2"/>
      <c r="AO18" s="2"/>
      <c r="AV18" s="21">
        <v>45210</v>
      </c>
    </row>
    <row r="19" spans="1:48" x14ac:dyDescent="0.35">
      <c r="A19" s="3"/>
      <c r="B19" s="10"/>
      <c r="C19" s="10"/>
      <c r="D19" s="10"/>
      <c r="E19" s="10"/>
      <c r="F19" s="10"/>
      <c r="G19" s="10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2"/>
      <c r="AI19" s="2"/>
      <c r="AJ19" s="2"/>
      <c r="AK19" s="2"/>
      <c r="AL19" s="2"/>
      <c r="AM19" s="2"/>
      <c r="AN19" s="2"/>
      <c r="AO19" s="2"/>
      <c r="AV19" s="21">
        <v>45211</v>
      </c>
    </row>
    <row r="20" spans="1:48" x14ac:dyDescent="0.35">
      <c r="A20" s="3"/>
      <c r="B20" s="3"/>
      <c r="C20" s="3"/>
      <c r="D20" s="3"/>
      <c r="E20" s="3"/>
      <c r="F20" s="27" t="s">
        <v>31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2"/>
      <c r="AI20" s="2"/>
      <c r="AJ20" s="2"/>
      <c r="AK20" s="2"/>
      <c r="AL20" s="2"/>
      <c r="AM20" s="2"/>
      <c r="AN20" s="2"/>
      <c r="AO20" s="2"/>
      <c r="AV20" s="21">
        <v>45212</v>
      </c>
    </row>
    <row r="21" spans="1:48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2"/>
      <c r="AI21" s="2"/>
      <c r="AJ21" s="2"/>
      <c r="AK21" s="2"/>
      <c r="AL21" s="2"/>
      <c r="AM21" s="2"/>
      <c r="AN21" s="2"/>
      <c r="AO21" s="2"/>
      <c r="AV21" s="21"/>
    </row>
    <row r="22" spans="1:48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2"/>
      <c r="AI22" s="2"/>
      <c r="AJ22" s="2"/>
      <c r="AK22" s="2"/>
      <c r="AL22" s="2"/>
      <c r="AM22" s="2"/>
      <c r="AN22" s="2"/>
      <c r="AO22" s="2"/>
      <c r="AV22" s="21"/>
    </row>
    <row r="23" spans="1:48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2"/>
      <c r="AI23" s="2"/>
      <c r="AJ23" s="2"/>
      <c r="AK23" s="2"/>
      <c r="AL23" s="2"/>
      <c r="AM23" s="2"/>
      <c r="AN23" s="2"/>
      <c r="AO23" s="2"/>
      <c r="AV23" s="21">
        <v>45215</v>
      </c>
    </row>
    <row r="24" spans="1:48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2"/>
      <c r="AI24" s="2"/>
      <c r="AJ24" s="2"/>
      <c r="AK24" s="2"/>
      <c r="AL24" s="2"/>
      <c r="AM24" s="2"/>
      <c r="AN24" s="2"/>
      <c r="AO24" s="2"/>
      <c r="AV24" s="21">
        <v>45216</v>
      </c>
    </row>
    <row r="25" spans="1:48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2"/>
      <c r="AI25" s="2"/>
      <c r="AJ25" s="2"/>
      <c r="AK25" s="2"/>
      <c r="AL25" s="2"/>
      <c r="AM25" s="2"/>
      <c r="AN25" s="2"/>
      <c r="AO25" s="2"/>
      <c r="AV25" s="21">
        <v>45217</v>
      </c>
    </row>
    <row r="26" spans="1:48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2"/>
      <c r="AI26" s="2"/>
      <c r="AJ26" s="2"/>
      <c r="AK26" s="2"/>
      <c r="AL26" s="2"/>
      <c r="AM26" s="2"/>
      <c r="AN26" s="2"/>
      <c r="AO26" s="2"/>
      <c r="AV26" s="21">
        <v>45218</v>
      </c>
    </row>
    <row r="27" spans="1:48" ht="20.149999999999999" customHeight="1" thickBot="1" x14ac:dyDescent="0.4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2"/>
      <c r="AI27" s="2"/>
      <c r="AJ27" s="2"/>
      <c r="AK27" s="2"/>
      <c r="AL27" s="2"/>
      <c r="AM27" s="2"/>
      <c r="AN27" s="2"/>
      <c r="AO27" s="2"/>
      <c r="AV27" s="21">
        <v>45219</v>
      </c>
    </row>
    <row r="28" spans="1:48" ht="15" customHeight="1" x14ac:dyDescent="0.35">
      <c r="A28" s="40" t="s">
        <v>11</v>
      </c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2"/>
      <c r="W28" s="49">
        <f>AV20</f>
        <v>45212</v>
      </c>
      <c r="X28" s="50"/>
      <c r="Y28" s="28" t="s">
        <v>12</v>
      </c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30"/>
      <c r="AV28" s="21"/>
    </row>
    <row r="29" spans="1:48" ht="15" customHeight="1" x14ac:dyDescent="0.3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5"/>
      <c r="W29" s="51"/>
      <c r="X29" s="50"/>
      <c r="Y29" s="31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3"/>
      <c r="AV29" s="21"/>
    </row>
    <row r="30" spans="1:48" ht="15.75" customHeight="1" thickBot="1" x14ac:dyDescent="0.4">
      <c r="A30" s="46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8"/>
      <c r="W30" s="51"/>
      <c r="X30" s="50"/>
      <c r="Y30" s="34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6"/>
      <c r="AV30" s="21">
        <v>45222</v>
      </c>
    </row>
    <row r="31" spans="1:48" ht="20.149999999999999" customHeight="1" thickBot="1" x14ac:dyDescent="0.4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2"/>
      <c r="AH31" s="2"/>
      <c r="AI31" s="2"/>
      <c r="AJ31" s="2"/>
      <c r="AK31" s="2"/>
      <c r="AL31" s="2"/>
      <c r="AM31" s="2"/>
      <c r="AN31" s="2"/>
      <c r="AO31" s="2"/>
      <c r="AV31" s="21">
        <v>45223</v>
      </c>
    </row>
    <row r="32" spans="1:48" ht="30" customHeight="1" thickBot="1" x14ac:dyDescent="0.4">
      <c r="A32" s="3"/>
      <c r="B32" s="37" t="s">
        <v>12</v>
      </c>
      <c r="C32" s="38"/>
      <c r="D32" s="38"/>
      <c r="E32" s="38"/>
      <c r="F32" s="38"/>
      <c r="G32" s="39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2"/>
      <c r="AH32" s="2"/>
      <c r="AI32" s="2"/>
      <c r="AJ32" s="2"/>
      <c r="AK32" s="2"/>
      <c r="AL32" s="2"/>
      <c r="AM32" s="2"/>
      <c r="AN32" s="2"/>
      <c r="AO32" s="2"/>
      <c r="AV32" s="21">
        <v>45224</v>
      </c>
    </row>
    <row r="33" spans="1:53" ht="30" customHeight="1" x14ac:dyDescent="0.35">
      <c r="A33" s="3"/>
      <c r="B33" s="4" t="s">
        <v>0</v>
      </c>
      <c r="C33" s="5" t="s">
        <v>1</v>
      </c>
      <c r="D33" s="5" t="s">
        <v>19</v>
      </c>
      <c r="E33" s="5" t="s">
        <v>4</v>
      </c>
      <c r="F33" s="5" t="s">
        <v>2</v>
      </c>
      <c r="G33" s="6" t="s">
        <v>3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2"/>
      <c r="AH33" s="2"/>
      <c r="AI33" s="2"/>
      <c r="AJ33" s="2"/>
      <c r="AK33" s="2"/>
      <c r="AL33" s="2"/>
      <c r="AM33" s="2"/>
      <c r="AN33" s="2"/>
      <c r="AO33" s="2"/>
      <c r="AV33" s="21">
        <v>45225</v>
      </c>
    </row>
    <row r="34" spans="1:53" ht="30" customHeight="1" thickBot="1" x14ac:dyDescent="0.4">
      <c r="A34" s="3"/>
      <c r="B34" s="7">
        <f>[1]ANA!$AY$9</f>
        <v>0.48571428571428571</v>
      </c>
      <c r="C34" s="8">
        <f>[2]ADRIANO!$BA$9</f>
        <v>1</v>
      </c>
      <c r="D34" s="8">
        <f>[3]MAURO!$BA$9</f>
        <v>1</v>
      </c>
      <c r="E34" s="8">
        <f>[4]ROGERIO!$BA$9</f>
        <v>0.2109704641350211</v>
      </c>
      <c r="F34" s="8">
        <f>[5]MARCOS!$BC$44</f>
        <v>1</v>
      </c>
      <c r="G34" s="9">
        <f>(SUM(F34+E34+D34+C34+B34))/500%</f>
        <v>0.73933694996986143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2"/>
      <c r="AH34" s="2"/>
      <c r="AI34" s="2"/>
      <c r="AJ34" s="2"/>
      <c r="AK34" s="2"/>
      <c r="AL34" s="2"/>
      <c r="AM34" s="2"/>
      <c r="AN34" s="2"/>
      <c r="AO34" s="2"/>
      <c r="AV34" s="21">
        <v>45226</v>
      </c>
    </row>
    <row r="35" spans="1:53" x14ac:dyDescent="0.35">
      <c r="A35" s="3"/>
      <c r="B35" s="10">
        <v>0.8</v>
      </c>
      <c r="C35" s="10">
        <v>0.8</v>
      </c>
      <c r="D35" s="10">
        <v>0.8</v>
      </c>
      <c r="E35" s="10">
        <v>0.8</v>
      </c>
      <c r="F35" s="10">
        <v>0.8</v>
      </c>
      <c r="G35" s="10">
        <v>0.8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2"/>
      <c r="AH35" s="2"/>
      <c r="AI35" s="2"/>
      <c r="AJ35" s="2"/>
      <c r="AK35" s="2"/>
      <c r="AL35" s="2"/>
      <c r="AM35" s="2"/>
      <c r="AN35" s="2"/>
      <c r="AO35" s="2"/>
      <c r="AV35" s="21"/>
    </row>
    <row r="36" spans="1:53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2"/>
      <c r="AH36" s="2"/>
      <c r="AI36" s="2"/>
      <c r="AJ36" s="2"/>
      <c r="AK36" s="2"/>
      <c r="AL36" s="2"/>
      <c r="AM36" s="2"/>
      <c r="AN36" s="2"/>
      <c r="AO36" s="2"/>
      <c r="AV36" s="21"/>
    </row>
    <row r="37" spans="1:53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2"/>
      <c r="AH37" s="2"/>
      <c r="AI37" s="2"/>
      <c r="AJ37" s="2"/>
      <c r="AK37" s="2"/>
      <c r="AL37" s="2"/>
      <c r="AM37" s="2"/>
      <c r="AN37" s="2"/>
      <c r="AO37" s="2"/>
      <c r="AV37" s="21">
        <v>45229</v>
      </c>
    </row>
    <row r="38" spans="1:53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1"/>
      <c r="AQ38" s="1"/>
      <c r="AR38" s="1"/>
      <c r="AS38" s="1"/>
      <c r="AT38" s="1"/>
      <c r="AU38" s="1"/>
      <c r="AV38" s="21">
        <v>45230</v>
      </c>
      <c r="AW38" s="1"/>
      <c r="AX38" s="1"/>
      <c r="AY38" s="1"/>
      <c r="AZ38" s="1"/>
      <c r="BA38" s="1"/>
    </row>
    <row r="39" spans="1:53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2"/>
      <c r="AH39" s="2"/>
      <c r="AI39" s="2"/>
      <c r="AJ39" s="2"/>
      <c r="AK39" s="2"/>
      <c r="AL39" s="2"/>
      <c r="AM39" s="2"/>
      <c r="AN39" s="2"/>
      <c r="AO39" s="2"/>
    </row>
    <row r="40" spans="1:53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2"/>
      <c r="AH40" s="2"/>
      <c r="AI40" s="2"/>
      <c r="AJ40" s="2"/>
      <c r="AK40" s="2"/>
      <c r="AL40" s="2"/>
      <c r="AM40" s="2"/>
      <c r="AN40" s="2"/>
      <c r="AO40" s="2"/>
    </row>
    <row r="41" spans="1:53" x14ac:dyDescent="0.3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2"/>
      <c r="AH41" s="2"/>
      <c r="AI41" s="2"/>
      <c r="AJ41" s="2"/>
      <c r="AK41" s="2"/>
      <c r="AL41" s="2"/>
      <c r="AM41" s="2"/>
      <c r="AN41" s="2"/>
      <c r="AO41" s="2"/>
    </row>
    <row r="42" spans="1:53" x14ac:dyDescent="0.3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2"/>
      <c r="AH42" s="2"/>
      <c r="AI42" s="2"/>
      <c r="AJ42" s="2"/>
      <c r="AK42" s="2"/>
      <c r="AL42" s="2"/>
      <c r="AM42" s="2"/>
      <c r="AN42" s="2"/>
      <c r="AO42" s="2"/>
    </row>
    <row r="43" spans="1:53" x14ac:dyDescent="0.3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2"/>
      <c r="AH43" s="2"/>
      <c r="AI43" s="2"/>
      <c r="AJ43" s="2"/>
      <c r="AK43" s="2"/>
      <c r="AL43" s="2"/>
      <c r="AM43" s="2"/>
      <c r="AN43" s="2"/>
      <c r="AO43" s="2"/>
    </row>
    <row r="44" spans="1:53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2"/>
      <c r="AH44" s="2"/>
      <c r="AI44" s="2"/>
      <c r="AJ44" s="2"/>
      <c r="AK44" s="2"/>
      <c r="AL44" s="2"/>
      <c r="AM44" s="2"/>
      <c r="AN44" s="2"/>
      <c r="AO44" s="2"/>
    </row>
    <row r="45" spans="1:53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2"/>
      <c r="AH45" s="2"/>
      <c r="AI45" s="2"/>
      <c r="AJ45" s="2"/>
      <c r="AK45" s="2"/>
      <c r="AL45" s="2"/>
      <c r="AM45" s="2"/>
      <c r="AN45" s="2"/>
      <c r="AO45" s="2"/>
    </row>
    <row r="46" spans="1:53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2"/>
      <c r="AH46" s="2"/>
      <c r="AI46" s="2"/>
      <c r="AJ46" s="2"/>
      <c r="AK46" s="2"/>
      <c r="AL46" s="2"/>
      <c r="AM46" s="2"/>
      <c r="AN46" s="2"/>
      <c r="AO46" s="2"/>
    </row>
    <row r="47" spans="1:53" ht="15" thickBot="1" x14ac:dyDescent="0.4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2"/>
      <c r="AH47" s="2"/>
      <c r="AI47" s="2"/>
      <c r="AJ47" s="2"/>
      <c r="AK47" s="2"/>
      <c r="AL47" s="2"/>
      <c r="AM47" s="2"/>
      <c r="AN47" s="2"/>
      <c r="AO47" s="2"/>
    </row>
    <row r="48" spans="1:53" ht="30" customHeight="1" thickBot="1" x14ac:dyDescent="0.4">
      <c r="A48" s="3"/>
      <c r="B48" s="37" t="s">
        <v>11</v>
      </c>
      <c r="C48" s="38"/>
      <c r="D48" s="38"/>
      <c r="E48" s="38"/>
      <c r="F48" s="38"/>
      <c r="G48" s="39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2"/>
      <c r="AH48" s="2"/>
      <c r="AI48" s="2"/>
      <c r="AJ48" s="2"/>
      <c r="AK48" s="2"/>
      <c r="AL48" s="2"/>
      <c r="AM48" s="2"/>
      <c r="AN48" s="2"/>
      <c r="AO48" s="2"/>
    </row>
    <row r="49" spans="1:41" ht="30" customHeight="1" x14ac:dyDescent="0.35">
      <c r="A49" s="3"/>
      <c r="B49" s="4" t="s">
        <v>0</v>
      </c>
      <c r="C49" s="5" t="s">
        <v>1</v>
      </c>
      <c r="D49" s="5" t="s">
        <v>19</v>
      </c>
      <c r="E49" s="5" t="s">
        <v>4</v>
      </c>
      <c r="F49" s="5" t="s">
        <v>2</v>
      </c>
      <c r="G49" s="6" t="s">
        <v>3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2"/>
      <c r="AH49" s="2"/>
      <c r="AI49" s="2"/>
      <c r="AJ49" s="2"/>
      <c r="AK49" s="2"/>
      <c r="AL49" s="2"/>
      <c r="AM49" s="2"/>
      <c r="AN49" s="2"/>
      <c r="AO49" s="2"/>
    </row>
    <row r="50" spans="1:41" ht="30" customHeight="1" thickBot="1" x14ac:dyDescent="0.4">
      <c r="A50" s="3"/>
      <c r="B50" s="7">
        <f>[1]ANA!$AY$14</f>
        <v>0.22857142857142856</v>
      </c>
      <c r="C50" s="8">
        <f>[2]ADRIANO!$BA$14</f>
        <v>0.33333333333333331</v>
      </c>
      <c r="D50" s="8">
        <f>[3]MAURO!$BA$14</f>
        <v>0.5</v>
      </c>
      <c r="E50" s="8">
        <f>[4]ROGERIO!$BA$14</f>
        <v>0</v>
      </c>
      <c r="F50" s="8">
        <f>[5]MARCOS!$BC$49</f>
        <v>1</v>
      </c>
      <c r="G50" s="9">
        <f>(SUM(B50+D50+C50+F50))/400%</f>
        <v>0.51547619047619042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2"/>
      <c r="AH50" s="2"/>
      <c r="AI50" s="2"/>
      <c r="AJ50" s="2"/>
      <c r="AK50" s="2"/>
      <c r="AL50" s="2"/>
      <c r="AM50" s="2"/>
      <c r="AN50" s="2"/>
      <c r="AO50" s="2"/>
    </row>
    <row r="51" spans="1:41" ht="15" thickBot="1" x14ac:dyDescent="0.4">
      <c r="A51" s="3"/>
      <c r="B51" s="10">
        <v>0.8</v>
      </c>
      <c r="C51" s="10">
        <v>0.8</v>
      </c>
      <c r="D51" s="10">
        <v>0.8</v>
      </c>
      <c r="E51" s="10">
        <v>0.8</v>
      </c>
      <c r="F51" s="10">
        <v>0.8</v>
      </c>
      <c r="G51" s="10">
        <v>0.8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2"/>
      <c r="AH51" s="2"/>
      <c r="AI51" s="2"/>
      <c r="AJ51" s="2"/>
      <c r="AK51" s="2"/>
      <c r="AL51" s="2"/>
      <c r="AM51" s="2"/>
      <c r="AN51" s="2"/>
      <c r="AO51" s="2"/>
    </row>
    <row r="52" spans="1:41" ht="15" customHeight="1" x14ac:dyDescent="0.35">
      <c r="A52" s="40" t="s">
        <v>13</v>
      </c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2"/>
      <c r="W52" s="49">
        <f>AV27</f>
        <v>45219</v>
      </c>
      <c r="X52" s="50"/>
      <c r="Y52" s="28" t="s">
        <v>16</v>
      </c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30"/>
    </row>
    <row r="53" spans="1:41" ht="15" customHeight="1" x14ac:dyDescent="0.35">
      <c r="A53" s="43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5"/>
      <c r="W53" s="51"/>
      <c r="X53" s="50"/>
      <c r="Y53" s="31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3"/>
    </row>
    <row r="54" spans="1:41" ht="15.75" customHeight="1" thickBot="1" x14ac:dyDescent="0.4">
      <c r="A54" s="46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8"/>
      <c r="W54" s="51"/>
      <c r="X54" s="50"/>
      <c r="Y54" s="34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6"/>
    </row>
    <row r="55" spans="1:41" ht="15" thickBot="1" x14ac:dyDescent="0.4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2"/>
      <c r="AH55" s="2"/>
      <c r="AI55" s="2"/>
      <c r="AJ55" s="2"/>
      <c r="AK55" s="2"/>
      <c r="AL55" s="2"/>
      <c r="AM55" s="2"/>
      <c r="AN55" s="2"/>
      <c r="AO55" s="2"/>
    </row>
    <row r="56" spans="1:41" ht="30" customHeight="1" thickBot="1" x14ac:dyDescent="0.4">
      <c r="A56" s="3"/>
      <c r="B56" s="37" t="s">
        <v>16</v>
      </c>
      <c r="C56" s="38"/>
      <c r="D56" s="38"/>
      <c r="E56" s="38"/>
      <c r="F56" s="38"/>
      <c r="G56" s="39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2"/>
      <c r="AH56" s="2"/>
      <c r="AI56" s="2"/>
      <c r="AJ56" s="2"/>
      <c r="AK56" s="2"/>
      <c r="AL56" s="2"/>
      <c r="AM56" s="2"/>
      <c r="AN56" s="2"/>
      <c r="AO56" s="2"/>
    </row>
    <row r="57" spans="1:41" ht="30" customHeight="1" x14ac:dyDescent="0.35">
      <c r="A57" s="3"/>
      <c r="B57" s="4" t="s">
        <v>0</v>
      </c>
      <c r="C57" s="5" t="s">
        <v>1</v>
      </c>
      <c r="D57" s="5" t="s">
        <v>19</v>
      </c>
      <c r="E57" s="5" t="s">
        <v>4</v>
      </c>
      <c r="F57" s="12" t="s">
        <v>2</v>
      </c>
      <c r="G57" s="13" t="s">
        <v>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2"/>
      <c r="AH57" s="2"/>
      <c r="AI57" s="2"/>
      <c r="AJ57" s="2"/>
      <c r="AK57" s="2"/>
      <c r="AL57" s="2"/>
      <c r="AM57" s="2"/>
      <c r="AN57" s="2"/>
      <c r="AO57" s="2"/>
    </row>
    <row r="58" spans="1:41" ht="30" customHeight="1" thickBot="1" x14ac:dyDescent="0.4">
      <c r="A58" s="3"/>
      <c r="B58" s="7">
        <f>[1]ANA!$BD$9</f>
        <v>0.34615384615384615</v>
      </c>
      <c r="C58" s="8">
        <f>[2]ADRIANO!$BF$9</f>
        <v>0.95833333333333337</v>
      </c>
      <c r="D58" s="8">
        <f>[3]MAURO!$BF$9</f>
        <v>0.91666666666666663</v>
      </c>
      <c r="E58" s="8">
        <f>[4]ROGERIO!$BF$9</f>
        <v>0.16473317865429235</v>
      </c>
      <c r="F58" s="8">
        <f>[5]MARCOS!$BH$44</f>
        <v>1</v>
      </c>
      <c r="G58" s="9">
        <f>(SUM(B58:F58))/500%</f>
        <v>0.6771774049616277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2"/>
      <c r="AH58" s="2"/>
      <c r="AI58" s="2"/>
      <c r="AJ58" s="2"/>
      <c r="AK58" s="2"/>
      <c r="AL58" s="2"/>
      <c r="AM58" s="2"/>
      <c r="AN58" s="2"/>
      <c r="AO58" s="2"/>
    </row>
    <row r="59" spans="1:41" x14ac:dyDescent="0.35">
      <c r="A59" s="3"/>
      <c r="B59" s="10">
        <v>0.8</v>
      </c>
      <c r="C59" s="10">
        <v>0.8</v>
      </c>
      <c r="D59" s="10">
        <v>0.8</v>
      </c>
      <c r="E59" s="10">
        <v>0.8</v>
      </c>
      <c r="F59" s="10">
        <v>0.8</v>
      </c>
      <c r="G59" s="10">
        <v>0.8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2"/>
      <c r="AH59" s="2"/>
      <c r="AI59" s="2"/>
      <c r="AJ59" s="2"/>
      <c r="AK59" s="2"/>
      <c r="AL59" s="2"/>
      <c r="AM59" s="2"/>
      <c r="AN59" s="2"/>
      <c r="AO59" s="2"/>
    </row>
    <row r="60" spans="1:4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2"/>
      <c r="AH60" s="2"/>
      <c r="AI60" s="2"/>
      <c r="AJ60" s="2"/>
      <c r="AK60" s="2"/>
      <c r="AL60" s="2"/>
      <c r="AM60" s="2"/>
      <c r="AN60" s="2"/>
      <c r="AO60" s="2"/>
    </row>
    <row r="61" spans="1:41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2"/>
      <c r="AH61" s="2"/>
      <c r="AI61" s="2"/>
      <c r="AJ61" s="2"/>
      <c r="AK61" s="2"/>
      <c r="AL61" s="2"/>
      <c r="AM61" s="2"/>
      <c r="AN61" s="2"/>
      <c r="AO61" s="2"/>
    </row>
    <row r="62" spans="1:4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2"/>
      <c r="AH62" s="2"/>
      <c r="AI62" s="2"/>
      <c r="AJ62" s="2"/>
      <c r="AK62" s="2"/>
      <c r="AL62" s="2"/>
      <c r="AM62" s="2"/>
      <c r="AN62" s="2"/>
      <c r="AO62" s="2"/>
    </row>
    <row r="63" spans="1:4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2"/>
      <c r="AH63" s="2"/>
      <c r="AI63" s="2"/>
      <c r="AJ63" s="2"/>
      <c r="AK63" s="2"/>
      <c r="AL63" s="2"/>
      <c r="AM63" s="2"/>
      <c r="AN63" s="2"/>
      <c r="AO63" s="2"/>
    </row>
    <row r="64" spans="1:41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2"/>
      <c r="AH64" s="2"/>
      <c r="AI64" s="2"/>
      <c r="AJ64" s="2"/>
      <c r="AK64" s="2"/>
      <c r="AL64" s="2"/>
      <c r="AM64" s="2"/>
      <c r="AN64" s="2"/>
      <c r="AO64" s="2"/>
    </row>
    <row r="65" spans="1:41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2"/>
      <c r="AH65" s="2"/>
      <c r="AI65" s="2"/>
      <c r="AJ65" s="2"/>
      <c r="AK65" s="2"/>
      <c r="AL65" s="2"/>
      <c r="AM65" s="2"/>
      <c r="AN65" s="2"/>
      <c r="AO65" s="2"/>
    </row>
    <row r="66" spans="1:4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2"/>
      <c r="AH66" s="2"/>
      <c r="AI66" s="2"/>
      <c r="AJ66" s="2"/>
      <c r="AK66" s="2"/>
      <c r="AL66" s="2"/>
      <c r="AM66" s="2"/>
      <c r="AN66" s="2"/>
      <c r="AO66" s="2"/>
    </row>
    <row r="67" spans="1:41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2"/>
      <c r="AH67" s="2"/>
      <c r="AI67" s="2"/>
      <c r="AJ67" s="2"/>
      <c r="AK67" s="2"/>
      <c r="AL67" s="2"/>
      <c r="AM67" s="2"/>
      <c r="AN67" s="2"/>
      <c r="AO67" s="2"/>
    </row>
    <row r="68" spans="1:41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2"/>
      <c r="AH68" s="2"/>
      <c r="AI68" s="2"/>
      <c r="AJ68" s="2"/>
      <c r="AK68" s="2"/>
      <c r="AL68" s="2"/>
      <c r="AM68" s="2"/>
      <c r="AN68" s="2"/>
      <c r="AO68" s="2"/>
    </row>
    <row r="69" spans="1:41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2"/>
      <c r="AH69" s="2"/>
      <c r="AI69" s="2"/>
      <c r="AJ69" s="2"/>
      <c r="AK69" s="2"/>
      <c r="AL69" s="2"/>
      <c r="AM69" s="2"/>
      <c r="AN69" s="2"/>
      <c r="AO69" s="2"/>
    </row>
    <row r="70" spans="1:4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2"/>
      <c r="AH70" s="2"/>
      <c r="AI70" s="2"/>
      <c r="AJ70" s="2"/>
      <c r="AK70" s="2"/>
      <c r="AL70" s="2"/>
      <c r="AM70" s="2"/>
      <c r="AN70" s="2"/>
      <c r="AO70" s="2"/>
    </row>
    <row r="71" spans="1:41" ht="15" thickBot="1" x14ac:dyDescent="0.4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2"/>
      <c r="AH71" s="2"/>
      <c r="AI71" s="2"/>
      <c r="AJ71" s="2"/>
      <c r="AK71" s="2"/>
      <c r="AL71" s="2"/>
      <c r="AM71" s="2"/>
      <c r="AN71" s="2"/>
      <c r="AO71" s="2"/>
    </row>
    <row r="72" spans="1:41" ht="30" customHeight="1" thickBot="1" x14ac:dyDescent="0.4">
      <c r="A72" s="3"/>
      <c r="B72" s="37" t="s">
        <v>13</v>
      </c>
      <c r="C72" s="38"/>
      <c r="D72" s="38"/>
      <c r="E72" s="38"/>
      <c r="F72" s="38"/>
      <c r="G72" s="39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2"/>
      <c r="AH72" s="2"/>
      <c r="AI72" s="2"/>
      <c r="AJ72" s="2"/>
      <c r="AK72" s="2"/>
      <c r="AL72" s="2"/>
      <c r="AM72" s="2"/>
      <c r="AN72" s="2"/>
      <c r="AO72" s="2"/>
    </row>
    <row r="73" spans="1:41" ht="30" customHeight="1" x14ac:dyDescent="0.35">
      <c r="A73" s="3"/>
      <c r="B73" s="4" t="s">
        <v>0</v>
      </c>
      <c r="C73" s="5" t="s">
        <v>1</v>
      </c>
      <c r="D73" s="5" t="s">
        <v>19</v>
      </c>
      <c r="E73" s="5" t="s">
        <v>4</v>
      </c>
      <c r="F73" s="5" t="s">
        <v>2</v>
      </c>
      <c r="G73" s="6" t="s">
        <v>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2"/>
      <c r="AH73" s="2"/>
      <c r="AI73" s="2"/>
      <c r="AJ73" s="2"/>
      <c r="AK73" s="2"/>
      <c r="AL73" s="2"/>
      <c r="AM73" s="2"/>
      <c r="AN73" s="2"/>
      <c r="AO73" s="2"/>
    </row>
    <row r="74" spans="1:41" ht="30" customHeight="1" thickBot="1" x14ac:dyDescent="0.4">
      <c r="A74" s="3"/>
      <c r="B74" s="7">
        <f>[1]ANA!$BD$14</f>
        <v>5.8823529411764705E-2</v>
      </c>
      <c r="C74" s="8">
        <f>[2]ADRIANO!$BF$14</f>
        <v>0.81818181818181823</v>
      </c>
      <c r="D74" s="8">
        <f>[3]MAURO!$BF$14</f>
        <v>0.8</v>
      </c>
      <c r="E74" s="8">
        <f>[4]ROGERIO!$BF$14</f>
        <v>0</v>
      </c>
      <c r="F74" s="8">
        <f>[5]MARCOS!$BF$14</f>
        <v>0</v>
      </c>
      <c r="G74" s="9">
        <f>(SUM(B74:F74))/300%</f>
        <v>0.55900178253119437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2"/>
      <c r="AH74" s="2"/>
      <c r="AI74" s="2"/>
      <c r="AJ74" s="2"/>
      <c r="AK74" s="2"/>
      <c r="AL74" s="2"/>
      <c r="AM74" s="2"/>
      <c r="AN74" s="2"/>
      <c r="AO74" s="2"/>
    </row>
    <row r="75" spans="1:41" x14ac:dyDescent="0.35">
      <c r="A75" s="3"/>
      <c r="B75" s="10">
        <v>0.8</v>
      </c>
      <c r="C75" s="10">
        <v>0.8</v>
      </c>
      <c r="D75" s="10">
        <v>0.8</v>
      </c>
      <c r="E75" s="10">
        <v>0.8</v>
      </c>
      <c r="F75" s="10">
        <v>0.8</v>
      </c>
      <c r="G75" s="10">
        <v>0.8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2"/>
      <c r="AH75" s="2"/>
      <c r="AI75" s="2"/>
      <c r="AJ75" s="2"/>
      <c r="AK75" s="2"/>
      <c r="AL75" s="2"/>
      <c r="AM75" s="2"/>
      <c r="AN75" s="2"/>
      <c r="AO75" s="2"/>
    </row>
    <row r="76" spans="1:41" ht="15" thickBot="1" x14ac:dyDescent="0.4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2"/>
      <c r="AH76" s="2"/>
      <c r="AI76" s="2"/>
      <c r="AJ76" s="2"/>
      <c r="AK76" s="2"/>
      <c r="AL76" s="2"/>
      <c r="AM76" s="2"/>
      <c r="AN76" s="2"/>
      <c r="AO76" s="2"/>
    </row>
    <row r="77" spans="1:41" ht="15" customHeight="1" x14ac:dyDescent="0.35">
      <c r="A77" s="11"/>
      <c r="B77" s="11"/>
      <c r="C77" s="11"/>
      <c r="D77" s="11"/>
      <c r="E77" s="11"/>
      <c r="F77" s="11"/>
      <c r="G77" s="11"/>
      <c r="H77" s="40" t="s">
        <v>14</v>
      </c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2"/>
      <c r="W77" s="49">
        <f>AV34</f>
        <v>45226</v>
      </c>
      <c r="X77" s="50"/>
      <c r="Y77" s="28" t="s">
        <v>17</v>
      </c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30"/>
    </row>
    <row r="78" spans="1:41" ht="15" customHeight="1" x14ac:dyDescent="0.35">
      <c r="A78" s="11"/>
      <c r="B78" s="11"/>
      <c r="C78" s="11"/>
      <c r="D78" s="11"/>
      <c r="E78" s="11"/>
      <c r="F78" s="11"/>
      <c r="G78" s="11"/>
      <c r="H78" s="43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5"/>
      <c r="W78" s="51"/>
      <c r="X78" s="50"/>
      <c r="Y78" s="31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3"/>
    </row>
    <row r="79" spans="1:41" ht="15.75" customHeight="1" thickBot="1" x14ac:dyDescent="0.4">
      <c r="A79" s="11"/>
      <c r="B79" s="11"/>
      <c r="C79" s="11"/>
      <c r="D79" s="11"/>
      <c r="E79" s="11"/>
      <c r="F79" s="11"/>
      <c r="G79" s="11"/>
      <c r="H79" s="46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8"/>
      <c r="W79" s="51"/>
      <c r="X79" s="50"/>
      <c r="Y79" s="34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6"/>
    </row>
    <row r="80" spans="1:4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2"/>
      <c r="AH80" s="2"/>
      <c r="AI80" s="2"/>
      <c r="AJ80" s="2"/>
      <c r="AK80" s="2"/>
      <c r="AL80" s="2"/>
      <c r="AM80" s="2"/>
      <c r="AN80" s="2"/>
      <c r="AO80" s="2"/>
    </row>
    <row r="81" spans="1:4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2"/>
      <c r="AH81" s="2"/>
      <c r="AI81" s="2"/>
      <c r="AJ81" s="2"/>
      <c r="AK81" s="2"/>
      <c r="AL81" s="2"/>
      <c r="AM81" s="2"/>
      <c r="AN81" s="2"/>
      <c r="AO81" s="2"/>
    </row>
    <row r="82" spans="1:41" ht="15" thickBot="1" x14ac:dyDescent="0.4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2"/>
      <c r="AH82" s="2"/>
      <c r="AI82" s="2"/>
      <c r="AJ82" s="2"/>
      <c r="AK82" s="2"/>
      <c r="AL82" s="2"/>
      <c r="AM82" s="2"/>
      <c r="AN82" s="2"/>
      <c r="AO82" s="2"/>
    </row>
    <row r="83" spans="1:41" ht="30" customHeight="1" thickBot="1" x14ac:dyDescent="0.4">
      <c r="A83" s="3"/>
      <c r="B83" s="37" t="s">
        <v>17</v>
      </c>
      <c r="C83" s="38"/>
      <c r="D83" s="38"/>
      <c r="E83" s="38"/>
      <c r="F83" s="38"/>
      <c r="G83" s="39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2"/>
      <c r="AH83" s="2"/>
      <c r="AI83" s="2"/>
      <c r="AJ83" s="2"/>
      <c r="AK83" s="2"/>
      <c r="AL83" s="2"/>
      <c r="AM83" s="2"/>
      <c r="AN83" s="2"/>
      <c r="AO83" s="2"/>
    </row>
    <row r="84" spans="1:41" ht="30" customHeight="1" x14ac:dyDescent="0.35">
      <c r="A84" s="3"/>
      <c r="B84" s="14" t="s">
        <v>0</v>
      </c>
      <c r="C84" s="15" t="s">
        <v>1</v>
      </c>
      <c r="D84" s="5" t="s">
        <v>19</v>
      </c>
      <c r="E84" s="5" t="s">
        <v>4</v>
      </c>
      <c r="F84" s="5" t="s">
        <v>2</v>
      </c>
      <c r="G84" s="6" t="s">
        <v>3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2"/>
      <c r="AH84" s="2"/>
      <c r="AI84" s="2"/>
      <c r="AJ84" s="2"/>
      <c r="AK84" s="2"/>
      <c r="AL84" s="2"/>
      <c r="AM84" s="2"/>
      <c r="AN84" s="2"/>
      <c r="AO84" s="2"/>
    </row>
    <row r="85" spans="1:41" ht="30" customHeight="1" thickBot="1" x14ac:dyDescent="0.4">
      <c r="A85" s="3"/>
      <c r="B85" s="7">
        <f>[1]ANA!$BI$9</f>
        <v>0.29032258064516131</v>
      </c>
      <c r="C85" s="8">
        <f>[2]ADRIANO!$BK$9</f>
        <v>0.51111111111111107</v>
      </c>
      <c r="D85" s="8">
        <f>[3]MAURO!$BK$9</f>
        <v>0.54838709677419351</v>
      </c>
      <c r="E85" s="8">
        <f>[4]ROGERIO!$BK$9</f>
        <v>0.12519561815336464</v>
      </c>
      <c r="F85" s="8">
        <f>[5]MARCOS!$BM$44</f>
        <v>3.8461538461538464E-2</v>
      </c>
      <c r="G85" s="9">
        <f>(SUM(B85:F85))/500%</f>
        <v>0.30269558902907379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2"/>
      <c r="AH85" s="2"/>
      <c r="AI85" s="2"/>
      <c r="AJ85" s="2"/>
      <c r="AK85" s="2"/>
      <c r="AL85" s="2"/>
      <c r="AM85" s="2"/>
      <c r="AN85" s="2"/>
      <c r="AO85" s="2"/>
    </row>
    <row r="86" spans="1:41" x14ac:dyDescent="0.35">
      <c r="A86" s="3"/>
      <c r="B86" s="10">
        <v>0.8</v>
      </c>
      <c r="C86" s="10">
        <v>0.8</v>
      </c>
      <c r="D86" s="10">
        <v>0.8</v>
      </c>
      <c r="E86" s="10">
        <v>0.8</v>
      </c>
      <c r="F86" s="10">
        <v>0.8</v>
      </c>
      <c r="G86" s="10">
        <v>0.8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2"/>
      <c r="AH86" s="2"/>
      <c r="AI86" s="2"/>
      <c r="AJ86" s="2"/>
      <c r="AK86" s="2"/>
      <c r="AL86" s="2"/>
      <c r="AM86" s="2"/>
      <c r="AN86" s="2"/>
      <c r="AO86" s="2"/>
    </row>
    <row r="87" spans="1:41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2"/>
      <c r="AH87" s="2"/>
      <c r="AI87" s="2"/>
      <c r="AJ87" s="2"/>
      <c r="AK87" s="2"/>
      <c r="AL87" s="2"/>
      <c r="AM87" s="2"/>
      <c r="AN87" s="2"/>
      <c r="AO87" s="2"/>
    </row>
    <row r="88" spans="1:4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2"/>
      <c r="AH88" s="2"/>
      <c r="AI88" s="2"/>
      <c r="AJ88" s="2"/>
      <c r="AK88" s="2"/>
      <c r="AL88" s="2"/>
      <c r="AM88" s="2"/>
      <c r="AN88" s="2"/>
      <c r="AO88" s="2"/>
    </row>
    <row r="89" spans="1:41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2"/>
      <c r="AH89" s="2"/>
      <c r="AI89" s="2"/>
      <c r="AJ89" s="2"/>
      <c r="AK89" s="2"/>
      <c r="AL89" s="2"/>
      <c r="AM89" s="2"/>
      <c r="AN89" s="2"/>
      <c r="AO89" s="2"/>
    </row>
    <row r="90" spans="1:41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2"/>
      <c r="AH90" s="2"/>
      <c r="AI90" s="2"/>
      <c r="AJ90" s="2"/>
      <c r="AK90" s="2"/>
      <c r="AL90" s="2"/>
      <c r="AM90" s="2"/>
      <c r="AN90" s="2"/>
      <c r="AO90" s="2"/>
    </row>
    <row r="91" spans="1:41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2"/>
      <c r="AH91" s="2"/>
      <c r="AI91" s="2"/>
      <c r="AJ91" s="2"/>
      <c r="AK91" s="2"/>
      <c r="AL91" s="2"/>
      <c r="AM91" s="2"/>
      <c r="AN91" s="2"/>
      <c r="AO91" s="2"/>
    </row>
    <row r="92" spans="1:41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2"/>
      <c r="AH92" s="2"/>
      <c r="AI92" s="2"/>
      <c r="AJ92" s="2"/>
      <c r="AK92" s="2"/>
      <c r="AL92" s="2"/>
      <c r="AM92" s="2"/>
      <c r="AN92" s="2"/>
      <c r="AO92" s="2"/>
    </row>
    <row r="93" spans="1:41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2"/>
      <c r="AH93" s="2"/>
      <c r="AI93" s="2"/>
      <c r="AJ93" s="2"/>
      <c r="AK93" s="2"/>
      <c r="AL93" s="2"/>
      <c r="AM93" s="2"/>
      <c r="AN93" s="2"/>
      <c r="AO93" s="2"/>
    </row>
    <row r="94" spans="1:41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2"/>
      <c r="AH94" s="2"/>
      <c r="AI94" s="2"/>
      <c r="AJ94" s="2"/>
      <c r="AK94" s="2"/>
      <c r="AL94" s="2"/>
      <c r="AM94" s="2"/>
      <c r="AN94" s="2"/>
      <c r="AO94" s="2"/>
    </row>
    <row r="95" spans="1:41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2"/>
      <c r="AH95" s="2"/>
      <c r="AI95" s="2"/>
      <c r="AJ95" s="2"/>
      <c r="AK95" s="2"/>
      <c r="AL95" s="2"/>
      <c r="AM95" s="2"/>
      <c r="AN95" s="2"/>
      <c r="AO95" s="2"/>
    </row>
    <row r="96" spans="1:41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2"/>
      <c r="AH96" s="2"/>
      <c r="AI96" s="2"/>
      <c r="AJ96" s="2"/>
      <c r="AK96" s="2"/>
      <c r="AL96" s="2"/>
      <c r="AM96" s="2"/>
      <c r="AN96" s="2"/>
      <c r="AO96" s="2"/>
    </row>
    <row r="97" spans="1:41" ht="9" customHeight="1" thickBot="1" x14ac:dyDescent="0.4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2"/>
      <c r="AH97" s="2"/>
      <c r="AI97" s="2"/>
      <c r="AJ97" s="2"/>
      <c r="AK97" s="2"/>
      <c r="AL97" s="2"/>
      <c r="AM97" s="2"/>
      <c r="AN97" s="2"/>
      <c r="AO97" s="2"/>
    </row>
    <row r="98" spans="1:41" ht="33.75" customHeight="1" thickBot="1" x14ac:dyDescent="0.4">
      <c r="A98" s="3"/>
      <c r="B98" s="37" t="s">
        <v>14</v>
      </c>
      <c r="C98" s="38"/>
      <c r="D98" s="38"/>
      <c r="E98" s="38"/>
      <c r="F98" s="38"/>
      <c r="G98" s="39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2"/>
      <c r="AH98" s="2"/>
      <c r="AI98" s="2"/>
      <c r="AJ98" s="2"/>
      <c r="AK98" s="2"/>
      <c r="AL98" s="2"/>
      <c r="AM98" s="2"/>
      <c r="AN98" s="2"/>
      <c r="AO98" s="2"/>
    </row>
    <row r="99" spans="1:41" ht="30" customHeight="1" x14ac:dyDescent="0.35">
      <c r="A99" s="3"/>
      <c r="B99" s="4" t="s">
        <v>0</v>
      </c>
      <c r="C99" s="5" t="s">
        <v>1</v>
      </c>
      <c r="D99" s="5" t="s">
        <v>19</v>
      </c>
      <c r="E99" s="5" t="s">
        <v>4</v>
      </c>
      <c r="F99" s="5" t="s">
        <v>2</v>
      </c>
      <c r="G99" s="6" t="s">
        <v>3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2"/>
      <c r="AH99" s="2"/>
      <c r="AI99" s="2"/>
      <c r="AJ99" s="2"/>
      <c r="AK99" s="2"/>
      <c r="AL99" s="2"/>
      <c r="AM99" s="2"/>
      <c r="AN99" s="2"/>
      <c r="AO99" s="2"/>
    </row>
    <row r="100" spans="1:41" ht="30" customHeight="1" thickBot="1" x14ac:dyDescent="0.4">
      <c r="A100" s="3"/>
      <c r="B100" s="7">
        <f>[1]ANA!$BI$14</f>
        <v>0</v>
      </c>
      <c r="C100" s="8">
        <f>[2]ADRIANO!$BK$14</f>
        <v>0</v>
      </c>
      <c r="D100" s="8">
        <f>[3]MAURO!$BK$14</f>
        <v>0.21052631578947367</v>
      </c>
      <c r="E100" s="8">
        <f>[4]ROGERIO!$BK$14</f>
        <v>1.4423076923076924E-2</v>
      </c>
      <c r="F100" s="8">
        <f>[5]MARCOS!$BM$49</f>
        <v>0</v>
      </c>
      <c r="G100" s="9">
        <f>(SUM(B100:F100))/500%</f>
        <v>4.4989878542510117E-2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2"/>
      <c r="AH100" s="2"/>
      <c r="AI100" s="2"/>
      <c r="AJ100" s="2"/>
      <c r="AK100" s="2"/>
      <c r="AL100" s="2"/>
      <c r="AM100" s="2"/>
      <c r="AN100" s="2"/>
      <c r="AO100" s="2"/>
    </row>
    <row r="101" spans="1:41" x14ac:dyDescent="0.35">
      <c r="A101" s="3"/>
      <c r="B101" s="10">
        <v>0.8</v>
      </c>
      <c r="C101" s="10">
        <v>0.8</v>
      </c>
      <c r="D101" s="10">
        <v>0.8</v>
      </c>
      <c r="E101" s="10">
        <v>0.8</v>
      </c>
      <c r="F101" s="10">
        <v>0.8</v>
      </c>
      <c r="G101" s="10">
        <v>0.8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2"/>
      <c r="AH101" s="2"/>
      <c r="AI101" s="2"/>
      <c r="AJ101" s="2"/>
      <c r="AK101" s="2"/>
      <c r="AL101" s="2"/>
      <c r="AM101" s="2"/>
      <c r="AN101" s="2"/>
      <c r="AO101" s="2"/>
    </row>
    <row r="102" spans="1:41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2"/>
      <c r="AH102" s="2"/>
      <c r="AI102" s="2"/>
      <c r="AJ102" s="2"/>
      <c r="AK102" s="2"/>
      <c r="AL102" s="2"/>
      <c r="AM102" s="2"/>
      <c r="AN102" s="2"/>
      <c r="AO102" s="2"/>
    </row>
    <row r="103" spans="1:41" ht="15" thickBot="1" x14ac:dyDescent="0.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</row>
    <row r="104" spans="1:41" ht="15" customHeight="1" x14ac:dyDescent="0.35">
      <c r="A104" s="11"/>
      <c r="B104" s="11"/>
      <c r="C104" s="11"/>
      <c r="D104" s="11"/>
      <c r="E104" s="11"/>
      <c r="F104" s="11"/>
      <c r="G104" s="11"/>
      <c r="H104" s="40" t="s">
        <v>15</v>
      </c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2"/>
      <c r="W104" s="49">
        <f>AV38</f>
        <v>45230</v>
      </c>
      <c r="X104" s="50"/>
      <c r="Y104" s="28" t="s">
        <v>18</v>
      </c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30"/>
    </row>
    <row r="105" spans="1:41" ht="15" customHeight="1" x14ac:dyDescent="0.35">
      <c r="A105" s="11"/>
      <c r="B105" s="11"/>
      <c r="C105" s="11"/>
      <c r="D105" s="11"/>
      <c r="E105" s="11"/>
      <c r="F105" s="11"/>
      <c r="G105" s="11"/>
      <c r="H105" s="43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5"/>
      <c r="W105" s="51"/>
      <c r="X105" s="50"/>
      <c r="Y105" s="31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3"/>
    </row>
    <row r="106" spans="1:41" ht="15.75" customHeight="1" thickBot="1" x14ac:dyDescent="0.4">
      <c r="A106" s="11"/>
      <c r="B106" s="11"/>
      <c r="C106" s="11"/>
      <c r="D106" s="11"/>
      <c r="E106" s="11"/>
      <c r="F106" s="11"/>
      <c r="G106" s="11"/>
      <c r="H106" s="46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8"/>
      <c r="W106" s="51"/>
      <c r="X106" s="50"/>
      <c r="Y106" s="34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6"/>
    </row>
    <row r="107" spans="1:41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"/>
      <c r="AH107" s="2"/>
      <c r="AI107" s="2"/>
      <c r="AJ107" s="2"/>
      <c r="AK107" s="2"/>
      <c r="AL107" s="2"/>
      <c r="AM107" s="2"/>
      <c r="AN107" s="2"/>
      <c r="AO107" s="2"/>
    </row>
    <row r="108" spans="1:41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"/>
      <c r="AH108" s="2"/>
      <c r="AI108" s="2"/>
      <c r="AJ108" s="2"/>
      <c r="AK108" s="2"/>
      <c r="AL108" s="2"/>
      <c r="AM108" s="2"/>
      <c r="AN108" s="2"/>
      <c r="AO108" s="2"/>
    </row>
    <row r="109" spans="1:41" ht="15" thickBot="1" x14ac:dyDescent="0.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"/>
      <c r="AH109" s="2"/>
      <c r="AI109" s="2"/>
      <c r="AJ109" s="2"/>
      <c r="AK109" s="2"/>
      <c r="AL109" s="2"/>
      <c r="AM109" s="2"/>
      <c r="AN109" s="2"/>
      <c r="AO109" s="2"/>
    </row>
    <row r="110" spans="1:41" ht="30" customHeight="1" thickBot="1" x14ac:dyDescent="0.4">
      <c r="A110" s="3"/>
      <c r="B110" s="37" t="s">
        <v>18</v>
      </c>
      <c r="C110" s="38"/>
      <c r="D110" s="38"/>
      <c r="E110" s="38"/>
      <c r="F110" s="38"/>
      <c r="G110" s="39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2"/>
      <c r="AH110" s="2"/>
      <c r="AI110" s="2"/>
      <c r="AJ110" s="2"/>
      <c r="AK110" s="2"/>
      <c r="AL110" s="2"/>
      <c r="AM110" s="2"/>
      <c r="AN110" s="2"/>
      <c r="AO110" s="2"/>
    </row>
    <row r="111" spans="1:41" ht="30" customHeight="1" x14ac:dyDescent="0.35">
      <c r="A111" s="3"/>
      <c r="B111" s="14" t="s">
        <v>0</v>
      </c>
      <c r="C111" s="15" t="s">
        <v>1</v>
      </c>
      <c r="D111" s="5" t="s">
        <v>19</v>
      </c>
      <c r="E111" s="5" t="s">
        <v>4</v>
      </c>
      <c r="F111" s="5" t="s">
        <v>2</v>
      </c>
      <c r="G111" s="6" t="s">
        <v>3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2"/>
      <c r="AH111" s="2"/>
      <c r="AI111" s="2"/>
      <c r="AJ111" s="2"/>
      <c r="AK111" s="2"/>
      <c r="AL111" s="2"/>
      <c r="AM111" s="2"/>
      <c r="AN111" s="2"/>
      <c r="AO111" s="2"/>
    </row>
    <row r="112" spans="1:41" ht="30" customHeight="1" thickBot="1" x14ac:dyDescent="0.4">
      <c r="A112" s="3"/>
      <c r="B112" s="7">
        <f>[1]ANA!$BN$9</f>
        <v>0.26470588235294118</v>
      </c>
      <c r="C112" s="8">
        <f>[2]ADRIANO!$BP$9</f>
        <v>0.31944444444444442</v>
      </c>
      <c r="D112" s="8">
        <f>[3]MAURO!$BP$9</f>
        <v>0.40384615384615385</v>
      </c>
      <c r="E112" s="8">
        <f>[4]ROGERIO!$BP$9</f>
        <v>0.11188811188811189</v>
      </c>
      <c r="F112" s="8">
        <f>[5]MARCOS!$BR$44</f>
        <v>1.6528925619834711E-2</v>
      </c>
      <c r="G112" s="9">
        <f>(SUM(B112:F112))/500%</f>
        <v>0.2232827036302972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2"/>
      <c r="AH112" s="2"/>
      <c r="AI112" s="2"/>
      <c r="AJ112" s="2"/>
      <c r="AK112" s="2"/>
      <c r="AL112" s="2"/>
      <c r="AM112" s="2"/>
      <c r="AN112" s="2"/>
      <c r="AO112" s="2"/>
    </row>
    <row r="113" spans="1:41" x14ac:dyDescent="0.35">
      <c r="A113" s="3"/>
      <c r="B113" s="10">
        <v>0.8</v>
      </c>
      <c r="C113" s="10">
        <v>0.8</v>
      </c>
      <c r="D113" s="10">
        <v>0.8</v>
      </c>
      <c r="E113" s="10">
        <v>0.8</v>
      </c>
      <c r="F113" s="10">
        <v>0.8</v>
      </c>
      <c r="G113" s="10">
        <v>0.8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2"/>
      <c r="AH113" s="2"/>
      <c r="AI113" s="2"/>
      <c r="AJ113" s="2"/>
      <c r="AK113" s="2"/>
      <c r="AL113" s="2"/>
      <c r="AM113" s="2"/>
      <c r="AN113" s="2"/>
      <c r="AO113" s="2"/>
    </row>
    <row r="114" spans="1:41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2"/>
      <c r="AH114" s="2"/>
      <c r="AI114" s="2"/>
      <c r="AJ114" s="2"/>
      <c r="AK114" s="2"/>
      <c r="AL114" s="2"/>
      <c r="AM114" s="2"/>
      <c r="AN114" s="2"/>
      <c r="AO114" s="2"/>
    </row>
    <row r="115" spans="1:41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"/>
      <c r="AH115" s="2"/>
      <c r="AI115" s="2"/>
      <c r="AJ115" s="2"/>
      <c r="AK115" s="2"/>
      <c r="AL115" s="2"/>
      <c r="AM115" s="2"/>
      <c r="AN115" s="2"/>
      <c r="AO115" s="2"/>
    </row>
    <row r="116" spans="1:41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"/>
      <c r="AH116" s="2"/>
      <c r="AI116" s="2"/>
      <c r="AJ116" s="2"/>
      <c r="AK116" s="2"/>
      <c r="AL116" s="2"/>
      <c r="AM116" s="2"/>
      <c r="AN116" s="2"/>
      <c r="AO116" s="2"/>
    </row>
    <row r="117" spans="1:41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"/>
      <c r="AH117" s="2"/>
      <c r="AI117" s="2"/>
      <c r="AJ117" s="2"/>
      <c r="AK117" s="2"/>
      <c r="AL117" s="2"/>
      <c r="AM117" s="2"/>
      <c r="AN117" s="2"/>
      <c r="AO117" s="2"/>
    </row>
    <row r="118" spans="1:41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"/>
      <c r="AH118" s="2"/>
      <c r="AI118" s="2"/>
      <c r="AJ118" s="2"/>
      <c r="AK118" s="2"/>
      <c r="AL118" s="2"/>
      <c r="AM118" s="2"/>
      <c r="AN118" s="2"/>
      <c r="AO118" s="2"/>
    </row>
    <row r="119" spans="1:41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"/>
      <c r="AH119" s="2"/>
      <c r="AI119" s="2"/>
      <c r="AJ119" s="2"/>
      <c r="AK119" s="2"/>
      <c r="AL119" s="2"/>
      <c r="AM119" s="2"/>
      <c r="AN119" s="2"/>
      <c r="AO119" s="2"/>
    </row>
    <row r="120" spans="1:41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"/>
      <c r="AH120" s="2"/>
      <c r="AI120" s="2"/>
      <c r="AJ120" s="2"/>
      <c r="AK120" s="2"/>
      <c r="AL120" s="2"/>
      <c r="AM120" s="2"/>
      <c r="AN120" s="2"/>
      <c r="AO120" s="2"/>
    </row>
    <row r="121" spans="1:41" x14ac:dyDescent="0.35">
      <c r="A121" s="3"/>
      <c r="B121" s="3"/>
      <c r="C121" s="3"/>
      <c r="D121" s="26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"/>
      <c r="AH121" s="2"/>
      <c r="AI121" s="2"/>
      <c r="AJ121" s="2"/>
      <c r="AK121" s="2"/>
      <c r="AL121" s="2"/>
      <c r="AM121" s="2"/>
      <c r="AN121" s="2"/>
      <c r="AO121" s="2"/>
    </row>
    <row r="122" spans="1:41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"/>
      <c r="AH122" s="2"/>
      <c r="AI122" s="2"/>
      <c r="AJ122" s="2"/>
      <c r="AK122" s="2"/>
      <c r="AL122" s="2"/>
      <c r="AM122" s="2"/>
      <c r="AN122" s="2"/>
      <c r="AO122" s="2"/>
    </row>
    <row r="123" spans="1:41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"/>
      <c r="AH123" s="2"/>
      <c r="AI123" s="2"/>
      <c r="AJ123" s="2"/>
      <c r="AK123" s="2"/>
      <c r="AL123" s="2"/>
      <c r="AM123" s="2"/>
      <c r="AN123" s="2"/>
      <c r="AO123" s="2"/>
    </row>
    <row r="124" spans="1:41" ht="15" thickBot="1" x14ac:dyDescent="0.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"/>
      <c r="AH124" s="2"/>
      <c r="AI124" s="2"/>
      <c r="AJ124" s="2"/>
      <c r="AK124" s="2"/>
      <c r="AL124" s="2"/>
      <c r="AM124" s="2"/>
      <c r="AN124" s="2"/>
      <c r="AO124" s="2"/>
    </row>
    <row r="125" spans="1:41" ht="31.5" customHeight="1" thickBot="1" x14ac:dyDescent="0.4">
      <c r="A125" s="3"/>
      <c r="B125" s="37" t="s">
        <v>15</v>
      </c>
      <c r="C125" s="38"/>
      <c r="D125" s="38"/>
      <c r="E125" s="38"/>
      <c r="F125" s="38"/>
      <c r="G125" s="39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"/>
      <c r="AH125" s="2"/>
      <c r="AI125" s="2"/>
      <c r="AJ125" s="2"/>
      <c r="AK125" s="2"/>
      <c r="AL125" s="2"/>
      <c r="AM125" s="2"/>
      <c r="AN125" s="2"/>
      <c r="AO125" s="2"/>
    </row>
    <row r="126" spans="1:41" ht="30" customHeight="1" x14ac:dyDescent="0.35">
      <c r="A126" s="3"/>
      <c r="B126" s="4" t="s">
        <v>0</v>
      </c>
      <c r="C126" s="5" t="s">
        <v>1</v>
      </c>
      <c r="D126" s="5" t="s">
        <v>19</v>
      </c>
      <c r="E126" s="5" t="s">
        <v>4</v>
      </c>
      <c r="F126" s="5" t="s">
        <v>2</v>
      </c>
      <c r="G126" s="6" t="s">
        <v>3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"/>
      <c r="AH126" s="2"/>
      <c r="AI126" s="2"/>
      <c r="AJ126" s="2"/>
      <c r="AK126" s="2"/>
      <c r="AL126" s="2"/>
      <c r="AM126" s="2"/>
      <c r="AN126" s="2"/>
      <c r="AO126" s="2"/>
    </row>
    <row r="127" spans="1:41" ht="30" customHeight="1" thickBot="1" x14ac:dyDescent="0.4">
      <c r="A127" s="3"/>
      <c r="B127" s="7">
        <f>[1]ANA!$BN$14</f>
        <v>0</v>
      </c>
      <c r="C127" s="8">
        <f>[2]ADRIANO!$BP$14</f>
        <v>0</v>
      </c>
      <c r="D127" s="8">
        <f>[3]MAURO!$BP$14</f>
        <v>0.19047619047619047</v>
      </c>
      <c r="E127" s="8">
        <f>[4]ROGERIO!$BP$14</f>
        <v>0</v>
      </c>
      <c r="F127" s="8">
        <f>[5]MARCOS!$BR$49</f>
        <v>0</v>
      </c>
      <c r="G127" s="9">
        <f>(SUM(B127+D127+F127+C127))/400%</f>
        <v>4.7619047619047616E-2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"/>
      <c r="AH127" s="2"/>
      <c r="AI127" s="2"/>
      <c r="AJ127" s="2"/>
      <c r="AK127" s="2"/>
      <c r="AL127" s="2"/>
      <c r="AM127" s="2"/>
      <c r="AN127" s="2"/>
      <c r="AO127" s="2"/>
    </row>
    <row r="128" spans="1:41" x14ac:dyDescent="0.35">
      <c r="A128" s="3"/>
      <c r="B128" s="10">
        <v>0.8</v>
      </c>
      <c r="C128" s="10">
        <v>0.8</v>
      </c>
      <c r="D128" s="10">
        <v>0.8</v>
      </c>
      <c r="E128" s="10">
        <v>0.8</v>
      </c>
      <c r="F128" s="10">
        <v>0.8</v>
      </c>
      <c r="G128" s="10">
        <v>0.8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"/>
      <c r="AH128" s="2"/>
      <c r="AI128" s="2"/>
      <c r="AJ128" s="2"/>
      <c r="AK128" s="2"/>
      <c r="AL128" s="2"/>
      <c r="AM128" s="2"/>
      <c r="AN128" s="2"/>
      <c r="AO128" s="2"/>
    </row>
    <row r="129" spans="1:41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"/>
      <c r="AH129" s="2"/>
      <c r="AI129" s="2"/>
      <c r="AJ129" s="2"/>
      <c r="AK129" s="2"/>
      <c r="AL129" s="2"/>
      <c r="AM129" s="2"/>
      <c r="AN129" s="2"/>
      <c r="AO129" s="2"/>
    </row>
    <row r="130" spans="1:41" x14ac:dyDescent="0.3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3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3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</row>
    <row r="134" spans="1:41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</row>
    <row r="135" spans="1:41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</row>
    <row r="136" spans="1:41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</row>
    <row r="137" spans="1:41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</row>
    <row r="138" spans="1:41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</row>
    <row r="139" spans="1:41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</row>
    <row r="140" spans="1:41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</row>
    <row r="141" spans="1:41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</row>
    <row r="142" spans="1:41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</row>
    <row r="143" spans="1:41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</row>
    <row r="144" spans="1:41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</row>
    <row r="145" spans="1:41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</row>
    <row r="146" spans="1:41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</row>
    <row r="147" spans="1:41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</row>
    <row r="148" spans="1:41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</row>
    <row r="149" spans="1:41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</row>
    <row r="150" spans="1:41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</row>
    <row r="151" spans="1:41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</row>
    <row r="152" spans="1:41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</row>
    <row r="153" spans="1:41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</row>
    <row r="154" spans="1:41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</row>
    <row r="155" spans="1:41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</row>
    <row r="156" spans="1:41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</row>
    <row r="157" spans="1:41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</row>
    <row r="158" spans="1:41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</row>
    <row r="159" spans="1:41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</row>
    <row r="160" spans="1:41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</row>
    <row r="161" spans="1:41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</row>
    <row r="162" spans="1:41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</row>
    <row r="163" spans="1:41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</row>
    <row r="164" spans="1:41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</row>
    <row r="165" spans="1:41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</row>
    <row r="166" spans="1:41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</row>
    <row r="167" spans="1:41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</row>
    <row r="168" spans="1:41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</row>
    <row r="169" spans="1:41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</row>
    <row r="170" spans="1:41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</row>
    <row r="171" spans="1:41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</row>
    <row r="172" spans="1:41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</row>
    <row r="173" spans="1:41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</row>
    <row r="174" spans="1:41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</row>
    <row r="175" spans="1:41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</row>
    <row r="176" spans="1:41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</row>
    <row r="177" spans="1:41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</row>
    <row r="178" spans="1:41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</row>
    <row r="179" spans="1:41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</row>
    <row r="180" spans="1:41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</row>
    <row r="181" spans="1:41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</row>
    <row r="182" spans="1:41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</row>
    <row r="183" spans="1:41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</row>
    <row r="184" spans="1:41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</row>
    <row r="185" spans="1:41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</row>
    <row r="186" spans="1:41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</row>
    <row r="187" spans="1:41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</row>
    <row r="188" spans="1:41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</row>
    <row r="189" spans="1:41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</row>
    <row r="190" spans="1:41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</row>
    <row r="191" spans="1:41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</row>
    <row r="192" spans="1:41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</row>
    <row r="193" spans="1:41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</row>
    <row r="194" spans="1:41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</row>
    <row r="195" spans="1:41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</row>
    <row r="196" spans="1:41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</row>
    <row r="197" spans="1:41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</row>
    <row r="198" spans="1:41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</row>
    <row r="199" spans="1:41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</row>
    <row r="200" spans="1:41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</row>
    <row r="201" spans="1:41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</row>
    <row r="202" spans="1:41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</row>
    <row r="203" spans="1:41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</row>
    <row r="204" spans="1:41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</row>
    <row r="205" spans="1:41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</row>
    <row r="206" spans="1:41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</row>
    <row r="207" spans="1:41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</row>
    <row r="208" spans="1:41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</row>
    <row r="209" spans="1:41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</row>
    <row r="210" spans="1:41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</row>
    <row r="211" spans="1:41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</row>
    <row r="212" spans="1:41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</row>
    <row r="213" spans="1:41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</row>
    <row r="214" spans="1:41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</row>
    <row r="215" spans="1:41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</row>
    <row r="216" spans="1:41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</row>
    <row r="217" spans="1:41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</row>
    <row r="218" spans="1:41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</row>
    <row r="219" spans="1:41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</row>
    <row r="220" spans="1:41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</row>
    <row r="221" spans="1:41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</row>
    <row r="222" spans="1:41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</row>
    <row r="223" spans="1:41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</row>
    <row r="224" spans="1:41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</row>
    <row r="225" spans="1:41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</row>
    <row r="226" spans="1:41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</row>
    <row r="227" spans="1:41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</row>
    <row r="228" spans="1:41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</row>
    <row r="229" spans="1:41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</row>
    <row r="230" spans="1:41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</row>
    <row r="231" spans="1:41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</row>
    <row r="232" spans="1:41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</row>
    <row r="233" spans="1:41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</row>
    <row r="234" spans="1:41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</row>
    <row r="235" spans="1:41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</row>
    <row r="236" spans="1:41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</row>
    <row r="237" spans="1:41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</row>
    <row r="238" spans="1:41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</row>
    <row r="239" spans="1:41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</row>
    <row r="240" spans="1:41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</row>
    <row r="241" spans="1:41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</row>
    <row r="242" spans="1:41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</row>
    <row r="243" spans="1:41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</row>
    <row r="244" spans="1:41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</row>
    <row r="245" spans="1:41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</row>
    <row r="246" spans="1:41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</row>
    <row r="247" spans="1:41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</row>
    <row r="248" spans="1:41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</row>
    <row r="249" spans="1:41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</row>
    <row r="250" spans="1:41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</row>
    <row r="251" spans="1:41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</row>
    <row r="252" spans="1:41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</row>
    <row r="253" spans="1:41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</row>
    <row r="254" spans="1:41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</row>
    <row r="255" spans="1:41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</row>
    <row r="256" spans="1:41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</row>
    <row r="257" spans="1:41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</row>
    <row r="258" spans="1:41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</row>
    <row r="259" spans="1:41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</row>
    <row r="260" spans="1:41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</row>
    <row r="261" spans="1:41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</row>
    <row r="262" spans="1:41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</row>
    <row r="263" spans="1:41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</row>
    <row r="264" spans="1:41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</row>
    <row r="265" spans="1:41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</row>
    <row r="266" spans="1:41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</row>
    <row r="267" spans="1:41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</row>
    <row r="268" spans="1:41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</row>
    <row r="269" spans="1:41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</row>
    <row r="270" spans="1:41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</row>
    <row r="271" spans="1:41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</row>
    <row r="272" spans="1:41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</row>
    <row r="273" spans="1:41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</row>
    <row r="274" spans="1:41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</row>
    <row r="275" spans="1:41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</row>
    <row r="276" spans="1:41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</row>
    <row r="277" spans="1:41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</row>
    <row r="278" spans="1:41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</row>
    <row r="279" spans="1:41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</row>
    <row r="280" spans="1:41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</row>
    <row r="281" spans="1:41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</row>
    <row r="282" spans="1:41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</row>
    <row r="283" spans="1:41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</row>
    <row r="284" spans="1:41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</row>
    <row r="285" spans="1:41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</row>
  </sheetData>
  <sheetProtection selectLockedCells="1" selectUnlockedCells="1"/>
  <mergeCells count="24">
    <mergeCell ref="B72:G72"/>
    <mergeCell ref="B110:G110"/>
    <mergeCell ref="B125:G125"/>
    <mergeCell ref="Y77:AO79"/>
    <mergeCell ref="B83:G83"/>
    <mergeCell ref="H104:V106"/>
    <mergeCell ref="W104:X106"/>
    <mergeCell ref="Y104:AO106"/>
    <mergeCell ref="B98:G98"/>
    <mergeCell ref="H77:V79"/>
    <mergeCell ref="W77:X79"/>
    <mergeCell ref="Y52:AO54"/>
    <mergeCell ref="B56:G56"/>
    <mergeCell ref="A7:V9"/>
    <mergeCell ref="W7:X9"/>
    <mergeCell ref="Y7:AO9"/>
    <mergeCell ref="B11:G11"/>
    <mergeCell ref="A28:V30"/>
    <mergeCell ref="W28:X30"/>
    <mergeCell ref="Y28:AO30"/>
    <mergeCell ref="B32:G32"/>
    <mergeCell ref="B48:G48"/>
    <mergeCell ref="A52:V54"/>
    <mergeCell ref="W52:X54"/>
  </mergeCells>
  <pageMargins left="0.511811024" right="0.511811024" top="0.78740157499999996" bottom="0.78740157499999996" header="0.31496062000000002" footer="0.31496062000000002"/>
  <pageSetup paperSize="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D64D2-15A5-4672-811C-FA1D3F1494E1}">
  <sheetPr codeName="Planilha1"/>
  <dimension ref="A1:BA285"/>
  <sheetViews>
    <sheetView showGridLines="0" zoomScale="60" zoomScaleNormal="60" workbookViewId="0">
      <pane ySplit="5" topLeftCell="A6" activePane="bottomLeft" state="frozen"/>
      <selection pane="bottomLeft" activeCell="AR22" sqref="AR22"/>
    </sheetView>
  </sheetViews>
  <sheetFormatPr defaultRowHeight="14.5" x14ac:dyDescent="0.35"/>
  <cols>
    <col min="1" max="1" width="9.54296875" customWidth="1"/>
    <col min="2" max="2" width="10.1796875" hidden="1" customWidth="1"/>
    <col min="3" max="3" width="13.26953125" hidden="1" customWidth="1"/>
    <col min="4" max="4" width="9.1796875" hidden="1" customWidth="1"/>
    <col min="5" max="5" width="13.54296875" hidden="1" customWidth="1"/>
    <col min="6" max="6" width="12.81640625" hidden="1" customWidth="1"/>
    <col min="7" max="7" width="18.453125" hidden="1" customWidth="1"/>
    <col min="8" max="8" width="9.1796875" customWidth="1"/>
    <col min="32" max="32" width="11" customWidth="1"/>
    <col min="47" max="47" width="7" customWidth="1"/>
    <col min="48" max="48" width="42.54296875" hidden="1" customWidth="1"/>
  </cols>
  <sheetData>
    <row r="1" spans="1:48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</row>
    <row r="2" spans="1:48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8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8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8" ht="15.75" customHeight="1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16"/>
      <c r="X5" s="16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8" ht="15.75" customHeight="1" thickBot="1" x14ac:dyDescent="0.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8" ht="15" customHeight="1" x14ac:dyDescent="0.35">
      <c r="A7" s="40" t="s">
        <v>10</v>
      </c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9">
        <f>AV8</f>
        <v>45170</v>
      </c>
      <c r="X7" s="50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30"/>
      <c r="AV7" s="17" t="s">
        <v>9</v>
      </c>
    </row>
    <row r="8" spans="1:48" ht="15" customHeight="1" x14ac:dyDescent="0.3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5"/>
      <c r="W8" s="51"/>
      <c r="X8" s="50"/>
      <c r="Y8" s="31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3"/>
      <c r="AV8" s="21">
        <v>45170</v>
      </c>
    </row>
    <row r="9" spans="1:48" ht="15.75" customHeight="1" thickBot="1" x14ac:dyDescent="0.4">
      <c r="A9" s="46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8"/>
      <c r="W9" s="51"/>
      <c r="X9" s="50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6"/>
      <c r="AV9" s="21"/>
    </row>
    <row r="10" spans="1:48" ht="19.5" customHeight="1" thickBot="1" x14ac:dyDescent="0.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2"/>
      <c r="AI10" s="2"/>
      <c r="AJ10" s="2"/>
      <c r="AK10" s="2"/>
      <c r="AL10" s="2"/>
      <c r="AM10" s="2"/>
      <c r="AN10" s="2"/>
      <c r="AO10" s="2"/>
      <c r="AV10" s="21"/>
    </row>
    <row r="11" spans="1:48" ht="30" customHeight="1" thickBot="1" x14ac:dyDescent="0.4">
      <c r="A11" s="3"/>
      <c r="B11" s="37" t="s">
        <v>10</v>
      </c>
      <c r="C11" s="38"/>
      <c r="D11" s="38"/>
      <c r="E11" s="38"/>
      <c r="F11" s="38"/>
      <c r="G11" s="39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2"/>
      <c r="AI11" s="2"/>
      <c r="AJ11" s="2"/>
      <c r="AK11" s="2"/>
      <c r="AL11" s="2"/>
      <c r="AM11" s="2"/>
      <c r="AN11" s="2"/>
      <c r="AO11" s="2"/>
      <c r="AV11" s="21">
        <v>45173</v>
      </c>
    </row>
    <row r="12" spans="1:48" ht="30" customHeight="1" x14ac:dyDescent="0.35">
      <c r="A12" s="3"/>
      <c r="B12" s="4" t="s">
        <v>0</v>
      </c>
      <c r="C12" s="5" t="s">
        <v>1</v>
      </c>
      <c r="D12" s="5" t="s">
        <v>19</v>
      </c>
      <c r="E12" s="5" t="s">
        <v>4</v>
      </c>
      <c r="F12" s="5" t="s">
        <v>2</v>
      </c>
      <c r="G12" s="6" t="s">
        <v>3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2"/>
      <c r="AI12" s="2"/>
      <c r="AJ12" s="2"/>
      <c r="AK12" s="2"/>
      <c r="AL12" s="2"/>
      <c r="AM12" s="2"/>
      <c r="AN12" s="2"/>
      <c r="AO12" s="2"/>
      <c r="AV12" s="21">
        <v>45174</v>
      </c>
    </row>
    <row r="13" spans="1:48" ht="30" customHeight="1" thickBot="1" x14ac:dyDescent="0.4">
      <c r="A13" s="3"/>
      <c r="B13" s="7">
        <v>0</v>
      </c>
      <c r="C13" s="8">
        <v>0</v>
      </c>
      <c r="D13" s="8">
        <v>0</v>
      </c>
      <c r="E13" s="8">
        <v>0</v>
      </c>
      <c r="F13" s="8">
        <v>0</v>
      </c>
      <c r="G13" s="9">
        <f>(SUM(B13+C13+E13))/300%</f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2"/>
      <c r="AI13" s="2"/>
      <c r="AJ13" s="2"/>
      <c r="AK13" s="2"/>
      <c r="AL13" s="2"/>
      <c r="AM13" s="2"/>
      <c r="AN13" s="2"/>
      <c r="AO13" s="2"/>
      <c r="AV13" s="21">
        <v>45175</v>
      </c>
    </row>
    <row r="14" spans="1:48" x14ac:dyDescent="0.35">
      <c r="A14" s="3"/>
      <c r="B14" s="10">
        <v>0.8</v>
      </c>
      <c r="C14" s="10">
        <v>0.8</v>
      </c>
      <c r="D14" s="10">
        <v>0.8</v>
      </c>
      <c r="E14" s="10">
        <v>0.8</v>
      </c>
      <c r="F14" s="10">
        <v>0.8</v>
      </c>
      <c r="G14" s="10">
        <v>0.8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2"/>
      <c r="AI14" s="2"/>
      <c r="AJ14" s="2"/>
      <c r="AK14" s="2"/>
      <c r="AL14" s="2"/>
      <c r="AM14" s="2"/>
      <c r="AN14" s="2"/>
      <c r="AO14" s="2"/>
      <c r="AV14" s="21">
        <v>45176</v>
      </c>
    </row>
    <row r="15" spans="1:48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2"/>
      <c r="AI15" s="2"/>
      <c r="AJ15" s="2"/>
      <c r="AK15" s="2"/>
      <c r="AL15" s="2"/>
      <c r="AM15" s="2"/>
      <c r="AN15" s="2"/>
      <c r="AO15" s="2"/>
      <c r="AV15" s="21">
        <v>45177</v>
      </c>
    </row>
    <row r="16" spans="1:48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10"/>
      <c r="AC16" s="3"/>
      <c r="AD16" s="3"/>
      <c r="AE16" s="3"/>
      <c r="AF16" s="3"/>
      <c r="AG16" s="3"/>
      <c r="AH16" s="2"/>
      <c r="AI16" s="2"/>
      <c r="AJ16" s="2"/>
      <c r="AK16" s="2"/>
      <c r="AL16" s="2"/>
      <c r="AM16" s="2"/>
      <c r="AN16" s="2"/>
      <c r="AO16" s="2"/>
      <c r="AV16" s="21"/>
    </row>
    <row r="17" spans="1:48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2"/>
      <c r="AI17" s="2"/>
      <c r="AJ17" s="2"/>
      <c r="AK17" s="2"/>
      <c r="AL17" s="2"/>
      <c r="AM17" s="2"/>
      <c r="AN17" s="2"/>
      <c r="AO17" s="2"/>
      <c r="AV17" s="21"/>
    </row>
    <row r="18" spans="1:48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2"/>
      <c r="AI18" s="2"/>
      <c r="AJ18" s="2"/>
      <c r="AK18" s="2"/>
      <c r="AL18" s="2"/>
      <c r="AM18" s="2"/>
      <c r="AN18" s="2"/>
      <c r="AO18" s="2"/>
      <c r="AV18" s="21">
        <v>45180</v>
      </c>
    </row>
    <row r="19" spans="1:48" x14ac:dyDescent="0.35">
      <c r="A19" s="3"/>
      <c r="B19" s="10"/>
      <c r="C19" s="10"/>
      <c r="D19" s="10"/>
      <c r="E19" s="10"/>
      <c r="F19" s="10"/>
      <c r="G19" s="10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2"/>
      <c r="AI19" s="2"/>
      <c r="AJ19" s="2"/>
      <c r="AK19" s="2"/>
      <c r="AL19" s="2"/>
      <c r="AM19" s="2"/>
      <c r="AN19" s="2"/>
      <c r="AO19" s="2"/>
      <c r="AV19" s="21">
        <v>45181</v>
      </c>
    </row>
    <row r="20" spans="1:48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2"/>
      <c r="AI20" s="2"/>
      <c r="AJ20" s="2"/>
      <c r="AK20" s="2"/>
      <c r="AL20" s="2"/>
      <c r="AM20" s="2"/>
      <c r="AN20" s="2"/>
      <c r="AO20" s="2"/>
      <c r="AV20" s="21">
        <v>45182</v>
      </c>
    </row>
    <row r="21" spans="1:48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2"/>
      <c r="AI21" s="2"/>
      <c r="AJ21" s="2"/>
      <c r="AK21" s="2"/>
      <c r="AL21" s="2"/>
      <c r="AM21" s="2"/>
      <c r="AN21" s="2"/>
      <c r="AO21" s="2"/>
      <c r="AV21" s="21">
        <v>45183</v>
      </c>
    </row>
    <row r="22" spans="1:48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2"/>
      <c r="AI22" s="2"/>
      <c r="AJ22" s="2"/>
      <c r="AK22" s="2"/>
      <c r="AL22" s="2"/>
      <c r="AM22" s="2"/>
      <c r="AN22" s="2"/>
      <c r="AO22" s="2"/>
      <c r="AV22" s="21">
        <v>45184</v>
      </c>
    </row>
    <row r="23" spans="1:48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2"/>
      <c r="AI23" s="2"/>
      <c r="AJ23" s="2"/>
      <c r="AK23" s="2"/>
      <c r="AL23" s="2"/>
      <c r="AM23" s="2"/>
      <c r="AN23" s="2"/>
      <c r="AO23" s="2"/>
      <c r="AV23" s="21"/>
    </row>
    <row r="24" spans="1:48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2"/>
      <c r="AI24" s="2"/>
      <c r="AJ24" s="2"/>
      <c r="AK24" s="2"/>
      <c r="AL24" s="2"/>
      <c r="AM24" s="2"/>
      <c r="AN24" s="2"/>
      <c r="AO24" s="2"/>
      <c r="AV24" s="21"/>
    </row>
    <row r="25" spans="1:48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2"/>
      <c r="AI25" s="2"/>
      <c r="AJ25" s="2"/>
      <c r="AK25" s="2"/>
      <c r="AL25" s="2"/>
      <c r="AM25" s="2"/>
      <c r="AN25" s="2"/>
      <c r="AO25" s="2"/>
      <c r="AV25" s="21">
        <v>45187</v>
      </c>
    </row>
    <row r="26" spans="1:48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2"/>
      <c r="AI26" s="2"/>
      <c r="AJ26" s="2"/>
      <c r="AK26" s="2"/>
      <c r="AL26" s="2"/>
      <c r="AM26" s="2"/>
      <c r="AN26" s="2"/>
      <c r="AO26" s="2"/>
      <c r="AV26" s="21">
        <v>45188</v>
      </c>
    </row>
    <row r="27" spans="1:48" ht="20.149999999999999" customHeight="1" thickBot="1" x14ac:dyDescent="0.4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2"/>
      <c r="AI27" s="2"/>
      <c r="AJ27" s="2"/>
      <c r="AK27" s="2"/>
      <c r="AL27" s="2"/>
      <c r="AM27" s="2"/>
      <c r="AN27" s="2"/>
      <c r="AO27" s="2"/>
      <c r="AV27" s="21">
        <v>45189</v>
      </c>
    </row>
    <row r="28" spans="1:48" ht="15" customHeight="1" x14ac:dyDescent="0.35">
      <c r="A28" s="40" t="s">
        <v>11</v>
      </c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2"/>
      <c r="W28" s="49">
        <f>AV15</f>
        <v>45177</v>
      </c>
      <c r="X28" s="50"/>
      <c r="Y28" s="28" t="s">
        <v>12</v>
      </c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30"/>
      <c r="AV28" s="21">
        <v>45190</v>
      </c>
    </row>
    <row r="29" spans="1:48" ht="15" customHeight="1" x14ac:dyDescent="0.3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5"/>
      <c r="W29" s="51"/>
      <c r="X29" s="50"/>
      <c r="Y29" s="31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3"/>
      <c r="AV29" s="21">
        <v>45191</v>
      </c>
    </row>
    <row r="30" spans="1:48" ht="15.75" customHeight="1" thickBot="1" x14ac:dyDescent="0.4">
      <c r="A30" s="46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8"/>
      <c r="W30" s="51"/>
      <c r="X30" s="50"/>
      <c r="Y30" s="34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6"/>
      <c r="AV30" s="21"/>
    </row>
    <row r="31" spans="1:48" ht="20.149999999999999" customHeight="1" thickBot="1" x14ac:dyDescent="0.4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2"/>
      <c r="AH31" s="2"/>
      <c r="AI31" s="2"/>
      <c r="AJ31" s="2"/>
      <c r="AK31" s="2"/>
      <c r="AL31" s="2"/>
      <c r="AM31" s="2"/>
      <c r="AN31" s="2"/>
      <c r="AO31" s="2"/>
      <c r="AV31" s="21"/>
    </row>
    <row r="32" spans="1:48" ht="30" customHeight="1" thickBot="1" x14ac:dyDescent="0.4">
      <c r="A32" s="3"/>
      <c r="B32" s="37" t="s">
        <v>12</v>
      </c>
      <c r="C32" s="38"/>
      <c r="D32" s="38"/>
      <c r="E32" s="38"/>
      <c r="F32" s="38"/>
      <c r="G32" s="39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2"/>
      <c r="AH32" s="2"/>
      <c r="AI32" s="2"/>
      <c r="AJ32" s="2"/>
      <c r="AK32" s="2"/>
      <c r="AL32" s="2"/>
      <c r="AM32" s="2"/>
      <c r="AN32" s="2"/>
      <c r="AO32" s="2"/>
      <c r="AV32" s="21">
        <v>45194</v>
      </c>
    </row>
    <row r="33" spans="1:53" ht="30" customHeight="1" x14ac:dyDescent="0.35">
      <c r="A33" s="3"/>
      <c r="B33" s="4" t="s">
        <v>0</v>
      </c>
      <c r="C33" s="5" t="s">
        <v>1</v>
      </c>
      <c r="D33" s="5" t="s">
        <v>19</v>
      </c>
      <c r="E33" s="5" t="s">
        <v>4</v>
      </c>
      <c r="F33" s="5" t="s">
        <v>2</v>
      </c>
      <c r="G33" s="6" t="s">
        <v>3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2"/>
      <c r="AH33" s="2"/>
      <c r="AI33" s="2"/>
      <c r="AJ33" s="2"/>
      <c r="AK33" s="2"/>
      <c r="AL33" s="2"/>
      <c r="AM33" s="2"/>
      <c r="AN33" s="2"/>
      <c r="AO33" s="2"/>
      <c r="AV33" s="21">
        <v>45195</v>
      </c>
    </row>
    <row r="34" spans="1:53" ht="30" customHeight="1" thickBot="1" x14ac:dyDescent="0.4">
      <c r="A34" s="3"/>
      <c r="B34" s="7">
        <v>1</v>
      </c>
      <c r="C34" s="8">
        <v>0</v>
      </c>
      <c r="D34" s="8">
        <v>1</v>
      </c>
      <c r="E34" s="8">
        <v>1</v>
      </c>
      <c r="F34" s="8">
        <v>0</v>
      </c>
      <c r="G34" s="9">
        <f>(SUM(D34+B34+E34))/300%</f>
        <v>1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2"/>
      <c r="AH34" s="2"/>
      <c r="AI34" s="2"/>
      <c r="AJ34" s="2"/>
      <c r="AK34" s="2"/>
      <c r="AL34" s="2"/>
      <c r="AM34" s="2"/>
      <c r="AN34" s="2"/>
      <c r="AO34" s="2"/>
      <c r="AV34" s="21">
        <v>45196</v>
      </c>
    </row>
    <row r="35" spans="1:53" x14ac:dyDescent="0.35">
      <c r="A35" s="3"/>
      <c r="B35" s="10">
        <v>0.8</v>
      </c>
      <c r="C35" s="10">
        <v>0.8</v>
      </c>
      <c r="D35" s="10">
        <v>0.8</v>
      </c>
      <c r="E35" s="10">
        <v>0.8</v>
      </c>
      <c r="F35" s="10">
        <v>0.8</v>
      </c>
      <c r="G35" s="10">
        <v>0.8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2"/>
      <c r="AH35" s="2"/>
      <c r="AI35" s="2"/>
      <c r="AJ35" s="2"/>
      <c r="AK35" s="2"/>
      <c r="AL35" s="2"/>
      <c r="AM35" s="2"/>
      <c r="AN35" s="2"/>
      <c r="AO35" s="2"/>
      <c r="AV35" s="21">
        <v>45197</v>
      </c>
    </row>
    <row r="36" spans="1:53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2"/>
      <c r="AH36" s="2"/>
      <c r="AI36" s="2"/>
      <c r="AJ36" s="2"/>
      <c r="AK36" s="2"/>
      <c r="AL36" s="2"/>
      <c r="AM36" s="2"/>
      <c r="AN36" s="2"/>
      <c r="AO36" s="2"/>
      <c r="AV36" s="21">
        <v>45198</v>
      </c>
    </row>
    <row r="37" spans="1:53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2"/>
      <c r="AH37" s="2"/>
      <c r="AI37" s="2"/>
      <c r="AJ37" s="2"/>
      <c r="AK37" s="2"/>
      <c r="AL37" s="2"/>
      <c r="AM37" s="2"/>
      <c r="AN37" s="2"/>
      <c r="AO37" s="2"/>
      <c r="AV37" s="21"/>
    </row>
    <row r="38" spans="1:53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1"/>
      <c r="AQ38" s="1"/>
      <c r="AR38" s="1"/>
      <c r="AS38" s="1"/>
      <c r="AT38" s="1"/>
      <c r="AU38" s="1"/>
      <c r="AW38" s="1"/>
      <c r="AX38" s="1"/>
      <c r="AY38" s="1"/>
      <c r="AZ38" s="1"/>
      <c r="BA38" s="1"/>
    </row>
    <row r="39" spans="1:53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2"/>
      <c r="AH39" s="2"/>
      <c r="AI39" s="2"/>
      <c r="AJ39" s="2"/>
      <c r="AK39" s="2"/>
      <c r="AL39" s="2"/>
      <c r="AM39" s="2"/>
      <c r="AN39" s="2"/>
      <c r="AO39" s="2"/>
    </row>
    <row r="40" spans="1:53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2"/>
      <c r="AH40" s="2"/>
      <c r="AI40" s="2"/>
      <c r="AJ40" s="2"/>
      <c r="AK40" s="2"/>
      <c r="AL40" s="2"/>
      <c r="AM40" s="2"/>
      <c r="AN40" s="2"/>
      <c r="AO40" s="2"/>
    </row>
    <row r="41" spans="1:53" x14ac:dyDescent="0.3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2"/>
      <c r="AH41" s="2"/>
      <c r="AI41" s="2"/>
      <c r="AJ41" s="2"/>
      <c r="AK41" s="2"/>
      <c r="AL41" s="2"/>
      <c r="AM41" s="2"/>
      <c r="AN41" s="2"/>
      <c r="AO41" s="2"/>
    </row>
    <row r="42" spans="1:53" x14ac:dyDescent="0.3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2"/>
      <c r="AH42" s="2"/>
      <c r="AI42" s="2"/>
      <c r="AJ42" s="2"/>
      <c r="AK42" s="2"/>
      <c r="AL42" s="2"/>
      <c r="AM42" s="2"/>
      <c r="AN42" s="2"/>
      <c r="AO42" s="2"/>
    </row>
    <row r="43" spans="1:53" x14ac:dyDescent="0.3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2"/>
      <c r="AH43" s="2"/>
      <c r="AI43" s="2"/>
      <c r="AJ43" s="2"/>
      <c r="AK43" s="2"/>
      <c r="AL43" s="2"/>
      <c r="AM43" s="2"/>
      <c r="AN43" s="2"/>
      <c r="AO43" s="2"/>
    </row>
    <row r="44" spans="1:53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2"/>
      <c r="AH44" s="2"/>
      <c r="AI44" s="2"/>
      <c r="AJ44" s="2"/>
      <c r="AK44" s="2"/>
      <c r="AL44" s="2"/>
      <c r="AM44" s="2"/>
      <c r="AN44" s="2"/>
      <c r="AO44" s="2"/>
    </row>
    <row r="45" spans="1:53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2"/>
      <c r="AH45" s="2"/>
      <c r="AI45" s="2"/>
      <c r="AJ45" s="2"/>
      <c r="AK45" s="2"/>
      <c r="AL45" s="2"/>
      <c r="AM45" s="2"/>
      <c r="AN45" s="2"/>
      <c r="AO45" s="2"/>
    </row>
    <row r="46" spans="1:53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2"/>
      <c r="AH46" s="2"/>
      <c r="AI46" s="2"/>
      <c r="AJ46" s="2"/>
      <c r="AK46" s="2"/>
      <c r="AL46" s="2"/>
      <c r="AM46" s="2"/>
      <c r="AN46" s="2"/>
      <c r="AO46" s="2"/>
    </row>
    <row r="47" spans="1:53" ht="15" thickBot="1" x14ac:dyDescent="0.4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2"/>
      <c r="AH47" s="2"/>
      <c r="AI47" s="2"/>
      <c r="AJ47" s="2"/>
      <c r="AK47" s="2"/>
      <c r="AL47" s="2"/>
      <c r="AM47" s="2"/>
      <c r="AN47" s="2"/>
      <c r="AO47" s="2"/>
    </row>
    <row r="48" spans="1:53" ht="30" customHeight="1" thickBot="1" x14ac:dyDescent="0.4">
      <c r="A48" s="3"/>
      <c r="B48" s="37" t="s">
        <v>11</v>
      </c>
      <c r="C48" s="38"/>
      <c r="D48" s="38"/>
      <c r="E48" s="38"/>
      <c r="F48" s="38"/>
      <c r="G48" s="39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2"/>
      <c r="AH48" s="2"/>
      <c r="AI48" s="2"/>
      <c r="AJ48" s="2"/>
      <c r="AK48" s="2"/>
      <c r="AL48" s="2"/>
      <c r="AM48" s="2"/>
      <c r="AN48" s="2"/>
      <c r="AO48" s="2"/>
    </row>
    <row r="49" spans="1:41" ht="30" customHeight="1" x14ac:dyDescent="0.35">
      <c r="A49" s="3"/>
      <c r="B49" s="4" t="s">
        <v>0</v>
      </c>
      <c r="C49" s="5" t="s">
        <v>1</v>
      </c>
      <c r="D49" s="5" t="s">
        <v>19</v>
      </c>
      <c r="E49" s="5" t="s">
        <v>4</v>
      </c>
      <c r="F49" s="5" t="s">
        <v>2</v>
      </c>
      <c r="G49" s="6" t="s">
        <v>3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2"/>
      <c r="AH49" s="2"/>
      <c r="AI49" s="2"/>
      <c r="AJ49" s="2"/>
      <c r="AK49" s="2"/>
      <c r="AL49" s="2"/>
      <c r="AM49" s="2"/>
      <c r="AN49" s="2"/>
      <c r="AO49" s="2"/>
    </row>
    <row r="50" spans="1:41" ht="30" customHeight="1" thickBot="1" x14ac:dyDescent="0.4">
      <c r="A50" s="3"/>
      <c r="B50" s="7">
        <v>0.67</v>
      </c>
      <c r="C50" s="8">
        <v>0.78</v>
      </c>
      <c r="D50" s="8">
        <v>1</v>
      </c>
      <c r="E50" s="8">
        <v>0</v>
      </c>
      <c r="F50" s="8">
        <v>0</v>
      </c>
      <c r="G50" s="9">
        <f>(SUM(B50+D50+C50))/300%</f>
        <v>0.81666666666666676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2"/>
      <c r="AH50" s="2"/>
      <c r="AI50" s="2"/>
      <c r="AJ50" s="2"/>
      <c r="AK50" s="2"/>
      <c r="AL50" s="2"/>
      <c r="AM50" s="2"/>
      <c r="AN50" s="2"/>
      <c r="AO50" s="2"/>
    </row>
    <row r="51" spans="1:41" ht="15" thickBot="1" x14ac:dyDescent="0.4">
      <c r="A51" s="3"/>
      <c r="B51" s="10">
        <v>0.8</v>
      </c>
      <c r="C51" s="10">
        <v>0.8</v>
      </c>
      <c r="D51" s="10">
        <v>0.8</v>
      </c>
      <c r="E51" s="10">
        <v>0.8</v>
      </c>
      <c r="F51" s="10">
        <v>0.8</v>
      </c>
      <c r="G51" s="10">
        <v>0.8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2"/>
      <c r="AH51" s="2"/>
      <c r="AI51" s="2"/>
      <c r="AJ51" s="2"/>
      <c r="AK51" s="2"/>
      <c r="AL51" s="2"/>
      <c r="AM51" s="2"/>
      <c r="AN51" s="2"/>
      <c r="AO51" s="2"/>
    </row>
    <row r="52" spans="1:41" ht="15" customHeight="1" x14ac:dyDescent="0.35">
      <c r="A52" s="40" t="s">
        <v>13</v>
      </c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2"/>
      <c r="W52" s="49">
        <f>AV22</f>
        <v>45184</v>
      </c>
      <c r="X52" s="50"/>
      <c r="Y52" s="28" t="s">
        <v>16</v>
      </c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30"/>
    </row>
    <row r="53" spans="1:41" ht="15" customHeight="1" x14ac:dyDescent="0.35">
      <c r="A53" s="43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5"/>
      <c r="W53" s="51"/>
      <c r="X53" s="50"/>
      <c r="Y53" s="31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3"/>
    </row>
    <row r="54" spans="1:41" ht="15.75" customHeight="1" thickBot="1" x14ac:dyDescent="0.4">
      <c r="A54" s="46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8"/>
      <c r="W54" s="51"/>
      <c r="X54" s="50"/>
      <c r="Y54" s="34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6"/>
    </row>
    <row r="55" spans="1:41" ht="15" thickBot="1" x14ac:dyDescent="0.4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2"/>
      <c r="AH55" s="2"/>
      <c r="AI55" s="2"/>
      <c r="AJ55" s="2"/>
      <c r="AK55" s="2"/>
      <c r="AL55" s="2"/>
      <c r="AM55" s="2"/>
      <c r="AN55" s="2"/>
      <c r="AO55" s="2"/>
    </row>
    <row r="56" spans="1:41" ht="30" customHeight="1" thickBot="1" x14ac:dyDescent="0.4">
      <c r="A56" s="3"/>
      <c r="B56" s="37" t="s">
        <v>16</v>
      </c>
      <c r="C56" s="38"/>
      <c r="D56" s="38"/>
      <c r="E56" s="38"/>
      <c r="F56" s="38"/>
      <c r="G56" s="39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2"/>
      <c r="AH56" s="2"/>
      <c r="AI56" s="2"/>
      <c r="AJ56" s="2"/>
      <c r="AK56" s="2"/>
      <c r="AL56" s="2"/>
      <c r="AM56" s="2"/>
      <c r="AN56" s="2"/>
      <c r="AO56" s="2"/>
    </row>
    <row r="57" spans="1:41" ht="30" customHeight="1" x14ac:dyDescent="0.35">
      <c r="A57" s="3"/>
      <c r="B57" s="4" t="s">
        <v>0</v>
      </c>
      <c r="C57" s="5" t="s">
        <v>1</v>
      </c>
      <c r="D57" s="5" t="s">
        <v>19</v>
      </c>
      <c r="E57" s="5" t="s">
        <v>4</v>
      </c>
      <c r="F57" s="12" t="s">
        <v>2</v>
      </c>
      <c r="G57" s="13" t="s">
        <v>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2"/>
      <c r="AH57" s="2"/>
      <c r="AI57" s="2"/>
      <c r="AJ57" s="2"/>
      <c r="AK57" s="2"/>
      <c r="AL57" s="2"/>
      <c r="AM57" s="2"/>
      <c r="AN57" s="2"/>
      <c r="AO57" s="2"/>
    </row>
    <row r="58" spans="1:41" ht="30" customHeight="1" thickBot="1" x14ac:dyDescent="0.4">
      <c r="A58" s="3"/>
      <c r="B58" s="7">
        <v>1</v>
      </c>
      <c r="C58" s="8">
        <v>0.78</v>
      </c>
      <c r="D58" s="8">
        <v>1</v>
      </c>
      <c r="E58" s="8">
        <v>0.88</v>
      </c>
      <c r="F58" s="8">
        <v>0.88</v>
      </c>
      <c r="G58" s="9">
        <f>(SUM(B58:F58))/500%</f>
        <v>0.90800000000000003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2"/>
      <c r="AH58" s="2"/>
      <c r="AI58" s="2"/>
      <c r="AJ58" s="2"/>
      <c r="AK58" s="2"/>
      <c r="AL58" s="2"/>
      <c r="AM58" s="2"/>
      <c r="AN58" s="2"/>
      <c r="AO58" s="2"/>
    </row>
    <row r="59" spans="1:41" x14ac:dyDescent="0.35">
      <c r="A59" s="3"/>
      <c r="B59" s="10">
        <v>0.8</v>
      </c>
      <c r="C59" s="10">
        <v>0.8</v>
      </c>
      <c r="D59" s="10">
        <v>0.8</v>
      </c>
      <c r="E59" s="10">
        <v>0.8</v>
      </c>
      <c r="F59" s="10">
        <v>0.8</v>
      </c>
      <c r="G59" s="10">
        <v>0.8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2"/>
      <c r="AH59" s="2"/>
      <c r="AI59" s="2"/>
      <c r="AJ59" s="2"/>
      <c r="AK59" s="2"/>
      <c r="AL59" s="2"/>
      <c r="AM59" s="2"/>
      <c r="AN59" s="2"/>
      <c r="AO59" s="2"/>
    </row>
    <row r="60" spans="1:4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2"/>
      <c r="AH60" s="2"/>
      <c r="AI60" s="2"/>
      <c r="AJ60" s="2"/>
      <c r="AK60" s="2"/>
      <c r="AL60" s="2"/>
      <c r="AM60" s="2"/>
      <c r="AN60" s="2"/>
      <c r="AO60" s="2"/>
    </row>
    <row r="61" spans="1:41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2"/>
      <c r="AH61" s="2"/>
      <c r="AI61" s="2"/>
      <c r="AJ61" s="2"/>
      <c r="AK61" s="2"/>
      <c r="AL61" s="2"/>
      <c r="AM61" s="2"/>
      <c r="AN61" s="2"/>
      <c r="AO61" s="2"/>
    </row>
    <row r="62" spans="1:4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2"/>
      <c r="AH62" s="2"/>
      <c r="AI62" s="2"/>
      <c r="AJ62" s="2"/>
      <c r="AK62" s="2"/>
      <c r="AL62" s="2"/>
      <c r="AM62" s="2"/>
      <c r="AN62" s="2"/>
      <c r="AO62" s="2"/>
    </row>
    <row r="63" spans="1:4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2"/>
      <c r="AH63" s="2"/>
      <c r="AI63" s="2"/>
      <c r="AJ63" s="2"/>
      <c r="AK63" s="2"/>
      <c r="AL63" s="2"/>
      <c r="AM63" s="2"/>
      <c r="AN63" s="2"/>
      <c r="AO63" s="2"/>
    </row>
    <row r="64" spans="1:41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2"/>
      <c r="AH64" s="2"/>
      <c r="AI64" s="2"/>
      <c r="AJ64" s="2"/>
      <c r="AK64" s="2"/>
      <c r="AL64" s="2"/>
      <c r="AM64" s="2"/>
      <c r="AN64" s="2"/>
      <c r="AO64" s="2"/>
    </row>
    <row r="65" spans="1:41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2"/>
      <c r="AH65" s="2"/>
      <c r="AI65" s="2"/>
      <c r="AJ65" s="2"/>
      <c r="AK65" s="2"/>
      <c r="AL65" s="2"/>
      <c r="AM65" s="2"/>
      <c r="AN65" s="2"/>
      <c r="AO65" s="2"/>
    </row>
    <row r="66" spans="1:4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2"/>
      <c r="AH66" s="2"/>
      <c r="AI66" s="2"/>
      <c r="AJ66" s="2"/>
      <c r="AK66" s="2"/>
      <c r="AL66" s="2"/>
      <c r="AM66" s="2"/>
      <c r="AN66" s="2"/>
      <c r="AO66" s="2"/>
    </row>
    <row r="67" spans="1:41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2"/>
      <c r="AH67" s="2"/>
      <c r="AI67" s="2"/>
      <c r="AJ67" s="2"/>
      <c r="AK67" s="2"/>
      <c r="AL67" s="2"/>
      <c r="AM67" s="2"/>
      <c r="AN67" s="2"/>
      <c r="AO67" s="2"/>
    </row>
    <row r="68" spans="1:41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2"/>
      <c r="AH68" s="2"/>
      <c r="AI68" s="2"/>
      <c r="AJ68" s="2"/>
      <c r="AK68" s="2"/>
      <c r="AL68" s="2"/>
      <c r="AM68" s="2"/>
      <c r="AN68" s="2"/>
      <c r="AO68" s="2"/>
    </row>
    <row r="69" spans="1:41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2"/>
      <c r="AH69" s="2"/>
      <c r="AI69" s="2"/>
      <c r="AJ69" s="2"/>
      <c r="AK69" s="2"/>
      <c r="AL69" s="2"/>
      <c r="AM69" s="2"/>
      <c r="AN69" s="2"/>
      <c r="AO69" s="2"/>
    </row>
    <row r="70" spans="1:4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2"/>
      <c r="AH70" s="2"/>
      <c r="AI70" s="2"/>
      <c r="AJ70" s="2"/>
      <c r="AK70" s="2"/>
      <c r="AL70" s="2"/>
      <c r="AM70" s="2"/>
      <c r="AN70" s="2"/>
      <c r="AO70" s="2"/>
    </row>
    <row r="71" spans="1:41" ht="15" thickBot="1" x14ac:dyDescent="0.4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2"/>
      <c r="AH71" s="2"/>
      <c r="AI71" s="2"/>
      <c r="AJ71" s="2"/>
      <c r="AK71" s="2"/>
      <c r="AL71" s="2"/>
      <c r="AM71" s="2"/>
      <c r="AN71" s="2"/>
      <c r="AO71" s="2"/>
    </row>
    <row r="72" spans="1:41" ht="30" customHeight="1" thickBot="1" x14ac:dyDescent="0.4">
      <c r="A72" s="3"/>
      <c r="B72" s="37" t="s">
        <v>13</v>
      </c>
      <c r="C72" s="38"/>
      <c r="D72" s="38"/>
      <c r="E72" s="38"/>
      <c r="F72" s="38"/>
      <c r="G72" s="39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2"/>
      <c r="AH72" s="2"/>
      <c r="AI72" s="2"/>
      <c r="AJ72" s="2"/>
      <c r="AK72" s="2"/>
      <c r="AL72" s="2"/>
      <c r="AM72" s="2"/>
      <c r="AN72" s="2"/>
      <c r="AO72" s="2"/>
    </row>
    <row r="73" spans="1:41" ht="30" customHeight="1" x14ac:dyDescent="0.35">
      <c r="A73" s="3"/>
      <c r="B73" s="4" t="s">
        <v>0</v>
      </c>
      <c r="C73" s="5" t="s">
        <v>1</v>
      </c>
      <c r="D73" s="5" t="s">
        <v>19</v>
      </c>
      <c r="E73" s="5" t="s">
        <v>4</v>
      </c>
      <c r="F73" s="5" t="s">
        <v>2</v>
      </c>
      <c r="G73" s="6" t="s">
        <v>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2"/>
      <c r="AH73" s="2"/>
      <c r="AI73" s="2"/>
      <c r="AJ73" s="2"/>
      <c r="AK73" s="2"/>
      <c r="AL73" s="2"/>
      <c r="AM73" s="2"/>
      <c r="AN73" s="2"/>
      <c r="AO73" s="2"/>
    </row>
    <row r="74" spans="1:41" ht="30" customHeight="1" thickBot="1" x14ac:dyDescent="0.4">
      <c r="A74" s="3"/>
      <c r="B74" s="7">
        <v>0.64</v>
      </c>
      <c r="C74" s="8">
        <v>0.78</v>
      </c>
      <c r="D74" s="8">
        <v>1</v>
      </c>
      <c r="E74" s="8">
        <v>0.45</v>
      </c>
      <c r="F74" s="8">
        <v>0.13</v>
      </c>
      <c r="G74" s="9">
        <f>(SUM(B74:F74))/500%</f>
        <v>0.6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2"/>
      <c r="AH74" s="2"/>
      <c r="AI74" s="2"/>
      <c r="AJ74" s="2"/>
      <c r="AK74" s="2"/>
      <c r="AL74" s="2"/>
      <c r="AM74" s="2"/>
      <c r="AN74" s="2"/>
      <c r="AO74" s="2"/>
    </row>
    <row r="75" spans="1:41" x14ac:dyDescent="0.35">
      <c r="A75" s="3"/>
      <c r="B75" s="10">
        <v>0.8</v>
      </c>
      <c r="C75" s="10">
        <v>0.8</v>
      </c>
      <c r="D75" s="10">
        <v>0.8</v>
      </c>
      <c r="E75" s="10">
        <v>0.8</v>
      </c>
      <c r="F75" s="10">
        <v>0.8</v>
      </c>
      <c r="G75" s="10">
        <v>0.8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2"/>
      <c r="AH75" s="2"/>
      <c r="AI75" s="2"/>
      <c r="AJ75" s="2"/>
      <c r="AK75" s="2"/>
      <c r="AL75" s="2"/>
      <c r="AM75" s="2"/>
      <c r="AN75" s="2"/>
      <c r="AO75" s="2"/>
    </row>
    <row r="76" spans="1:41" ht="15" thickBot="1" x14ac:dyDescent="0.4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2"/>
      <c r="AH76" s="2"/>
      <c r="AI76" s="2"/>
      <c r="AJ76" s="2"/>
      <c r="AK76" s="2"/>
      <c r="AL76" s="2"/>
      <c r="AM76" s="2"/>
      <c r="AN76" s="2"/>
      <c r="AO76" s="2"/>
    </row>
    <row r="77" spans="1:41" ht="15" customHeight="1" x14ac:dyDescent="0.35">
      <c r="A77" s="11"/>
      <c r="B77" s="11"/>
      <c r="C77" s="11"/>
      <c r="D77" s="11"/>
      <c r="E77" s="11"/>
      <c r="F77" s="11"/>
      <c r="G77" s="11"/>
      <c r="H77" s="40" t="s">
        <v>14</v>
      </c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2"/>
      <c r="W77" s="49">
        <f>AV29</f>
        <v>45191</v>
      </c>
      <c r="X77" s="50"/>
      <c r="Y77" s="28" t="s">
        <v>17</v>
      </c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30"/>
    </row>
    <row r="78" spans="1:41" ht="15" customHeight="1" x14ac:dyDescent="0.35">
      <c r="A78" s="11"/>
      <c r="B78" s="11"/>
      <c r="C78" s="11"/>
      <c r="D78" s="11"/>
      <c r="E78" s="11"/>
      <c r="F78" s="11"/>
      <c r="G78" s="11"/>
      <c r="H78" s="43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5"/>
      <c r="W78" s="51"/>
      <c r="X78" s="50"/>
      <c r="Y78" s="31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3"/>
    </row>
    <row r="79" spans="1:41" ht="15.75" customHeight="1" thickBot="1" x14ac:dyDescent="0.4">
      <c r="A79" s="11"/>
      <c r="B79" s="11"/>
      <c r="C79" s="11"/>
      <c r="D79" s="11"/>
      <c r="E79" s="11"/>
      <c r="F79" s="11"/>
      <c r="G79" s="11"/>
      <c r="H79" s="46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8"/>
      <c r="W79" s="51"/>
      <c r="X79" s="50"/>
      <c r="Y79" s="34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6"/>
    </row>
    <row r="80" spans="1:4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2"/>
      <c r="AH80" s="2"/>
      <c r="AI80" s="2"/>
      <c r="AJ80" s="2"/>
      <c r="AK80" s="2"/>
      <c r="AL80" s="2"/>
      <c r="AM80" s="2"/>
      <c r="AN80" s="2"/>
      <c r="AO80" s="2"/>
    </row>
    <row r="81" spans="1:4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2"/>
      <c r="AH81" s="2"/>
      <c r="AI81" s="2"/>
      <c r="AJ81" s="2"/>
      <c r="AK81" s="2"/>
      <c r="AL81" s="2"/>
      <c r="AM81" s="2"/>
      <c r="AN81" s="2"/>
      <c r="AO81" s="2"/>
    </row>
    <row r="82" spans="1:41" ht="15" thickBot="1" x14ac:dyDescent="0.4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2"/>
      <c r="AH82" s="2"/>
      <c r="AI82" s="2"/>
      <c r="AJ82" s="2"/>
      <c r="AK82" s="2"/>
      <c r="AL82" s="2"/>
      <c r="AM82" s="2"/>
      <c r="AN82" s="2"/>
      <c r="AO82" s="2"/>
    </row>
    <row r="83" spans="1:41" ht="30" customHeight="1" thickBot="1" x14ac:dyDescent="0.4">
      <c r="A83" s="3"/>
      <c r="B83" s="37" t="s">
        <v>17</v>
      </c>
      <c r="C83" s="38"/>
      <c r="D83" s="38"/>
      <c r="E83" s="38"/>
      <c r="F83" s="38"/>
      <c r="G83" s="39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2"/>
      <c r="AH83" s="2"/>
      <c r="AI83" s="2"/>
      <c r="AJ83" s="2"/>
      <c r="AK83" s="2"/>
      <c r="AL83" s="2"/>
      <c r="AM83" s="2"/>
      <c r="AN83" s="2"/>
      <c r="AO83" s="2"/>
    </row>
    <row r="84" spans="1:41" ht="30" customHeight="1" x14ac:dyDescent="0.35">
      <c r="A84" s="3"/>
      <c r="B84" s="14" t="s">
        <v>0</v>
      </c>
      <c r="C84" s="15" t="s">
        <v>1</v>
      </c>
      <c r="D84" s="5" t="s">
        <v>19</v>
      </c>
      <c r="E84" s="5" t="s">
        <v>4</v>
      </c>
      <c r="F84" s="5" t="s">
        <v>2</v>
      </c>
      <c r="G84" s="6" t="s">
        <v>3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2"/>
      <c r="AH84" s="2"/>
      <c r="AI84" s="2"/>
      <c r="AJ84" s="2"/>
      <c r="AK84" s="2"/>
      <c r="AL84" s="2"/>
      <c r="AM84" s="2"/>
      <c r="AN84" s="2"/>
      <c r="AO84" s="2"/>
    </row>
    <row r="85" spans="1:41" ht="30" customHeight="1" thickBot="1" x14ac:dyDescent="0.4">
      <c r="A85" s="3"/>
      <c r="B85" s="7">
        <v>0.93</v>
      </c>
      <c r="C85" s="8">
        <v>0.75</v>
      </c>
      <c r="D85" s="8">
        <v>1</v>
      </c>
      <c r="E85" s="8">
        <v>0.51</v>
      </c>
      <c r="F85" s="8">
        <v>0.93</v>
      </c>
      <c r="G85" s="9">
        <f>(SUM(B85:F85))/500%</f>
        <v>0.82400000000000007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2"/>
      <c r="AH85" s="2"/>
      <c r="AI85" s="2"/>
      <c r="AJ85" s="2"/>
      <c r="AK85" s="2"/>
      <c r="AL85" s="2"/>
      <c r="AM85" s="2"/>
      <c r="AN85" s="2"/>
      <c r="AO85" s="2"/>
    </row>
    <row r="86" spans="1:41" x14ac:dyDescent="0.35">
      <c r="A86" s="3"/>
      <c r="B86" s="10">
        <v>0.8</v>
      </c>
      <c r="C86" s="10">
        <v>0.8</v>
      </c>
      <c r="D86" s="10">
        <v>0.8</v>
      </c>
      <c r="E86" s="10">
        <v>0.8</v>
      </c>
      <c r="F86" s="10">
        <v>0.8</v>
      </c>
      <c r="G86" s="10">
        <v>0.8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2"/>
      <c r="AH86" s="2"/>
      <c r="AI86" s="2"/>
      <c r="AJ86" s="2"/>
      <c r="AK86" s="2"/>
      <c r="AL86" s="2"/>
      <c r="AM86" s="2"/>
      <c r="AN86" s="2"/>
      <c r="AO86" s="2"/>
    </row>
    <row r="87" spans="1:41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2"/>
      <c r="AH87" s="2"/>
      <c r="AI87" s="2"/>
      <c r="AJ87" s="2"/>
      <c r="AK87" s="2"/>
      <c r="AL87" s="2"/>
      <c r="AM87" s="2"/>
      <c r="AN87" s="2"/>
      <c r="AO87" s="2"/>
    </row>
    <row r="88" spans="1:4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2"/>
      <c r="AH88" s="2"/>
      <c r="AI88" s="2"/>
      <c r="AJ88" s="2"/>
      <c r="AK88" s="2"/>
      <c r="AL88" s="2"/>
      <c r="AM88" s="2"/>
      <c r="AN88" s="2"/>
      <c r="AO88" s="2"/>
    </row>
    <row r="89" spans="1:41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2"/>
      <c r="AH89" s="2"/>
      <c r="AI89" s="2"/>
      <c r="AJ89" s="2"/>
      <c r="AK89" s="2"/>
      <c r="AL89" s="2"/>
      <c r="AM89" s="2"/>
      <c r="AN89" s="2"/>
      <c r="AO89" s="2"/>
    </row>
    <row r="90" spans="1:41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2"/>
      <c r="AH90" s="2"/>
      <c r="AI90" s="2"/>
      <c r="AJ90" s="2"/>
      <c r="AK90" s="2"/>
      <c r="AL90" s="2"/>
      <c r="AM90" s="2"/>
      <c r="AN90" s="2"/>
      <c r="AO90" s="2"/>
    </row>
    <row r="91" spans="1:41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2"/>
      <c r="AH91" s="2"/>
      <c r="AI91" s="2"/>
      <c r="AJ91" s="2"/>
      <c r="AK91" s="2"/>
      <c r="AL91" s="2"/>
      <c r="AM91" s="2"/>
      <c r="AN91" s="2"/>
      <c r="AO91" s="2"/>
    </row>
    <row r="92" spans="1:41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2"/>
      <c r="AH92" s="2"/>
      <c r="AI92" s="2"/>
      <c r="AJ92" s="2"/>
      <c r="AK92" s="2"/>
      <c r="AL92" s="2"/>
      <c r="AM92" s="2"/>
      <c r="AN92" s="2"/>
      <c r="AO92" s="2"/>
    </row>
    <row r="93" spans="1:41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2"/>
      <c r="AH93" s="2"/>
      <c r="AI93" s="2"/>
      <c r="AJ93" s="2"/>
      <c r="AK93" s="2"/>
      <c r="AL93" s="2"/>
      <c r="AM93" s="2"/>
      <c r="AN93" s="2"/>
      <c r="AO93" s="2"/>
    </row>
    <row r="94" spans="1:41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2"/>
      <c r="AH94" s="2"/>
      <c r="AI94" s="2"/>
      <c r="AJ94" s="2"/>
      <c r="AK94" s="2"/>
      <c r="AL94" s="2"/>
      <c r="AM94" s="2"/>
      <c r="AN94" s="2"/>
      <c r="AO94" s="2"/>
    </row>
    <row r="95" spans="1:41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2"/>
      <c r="AH95" s="2"/>
      <c r="AI95" s="2"/>
      <c r="AJ95" s="2"/>
      <c r="AK95" s="2"/>
      <c r="AL95" s="2"/>
      <c r="AM95" s="2"/>
      <c r="AN95" s="2"/>
      <c r="AO95" s="2"/>
    </row>
    <row r="96" spans="1:41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2"/>
      <c r="AH96" s="2"/>
      <c r="AI96" s="2"/>
      <c r="AJ96" s="2"/>
      <c r="AK96" s="2"/>
      <c r="AL96" s="2"/>
      <c r="AM96" s="2"/>
      <c r="AN96" s="2"/>
      <c r="AO96" s="2"/>
    </row>
    <row r="97" spans="1:41" ht="9" customHeight="1" thickBot="1" x14ac:dyDescent="0.4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2"/>
      <c r="AH97" s="2"/>
      <c r="AI97" s="2"/>
      <c r="AJ97" s="2"/>
      <c r="AK97" s="2"/>
      <c r="AL97" s="2"/>
      <c r="AM97" s="2"/>
      <c r="AN97" s="2"/>
      <c r="AO97" s="2"/>
    </row>
    <row r="98" spans="1:41" ht="33.75" customHeight="1" thickBot="1" x14ac:dyDescent="0.4">
      <c r="A98" s="3"/>
      <c r="B98" s="37" t="s">
        <v>14</v>
      </c>
      <c r="C98" s="38"/>
      <c r="D98" s="38"/>
      <c r="E98" s="38"/>
      <c r="F98" s="38"/>
      <c r="G98" s="39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2"/>
      <c r="AH98" s="2"/>
      <c r="AI98" s="2"/>
      <c r="AJ98" s="2"/>
      <c r="AK98" s="2"/>
      <c r="AL98" s="2"/>
      <c r="AM98" s="2"/>
      <c r="AN98" s="2"/>
      <c r="AO98" s="2"/>
    </row>
    <row r="99" spans="1:41" ht="30" customHeight="1" x14ac:dyDescent="0.35">
      <c r="A99" s="3"/>
      <c r="B99" s="4" t="s">
        <v>0</v>
      </c>
      <c r="C99" s="5" t="s">
        <v>1</v>
      </c>
      <c r="D99" s="5" t="s">
        <v>19</v>
      </c>
      <c r="E99" s="5" t="s">
        <v>4</v>
      </c>
      <c r="F99" s="5" t="s">
        <v>2</v>
      </c>
      <c r="G99" s="6" t="s">
        <v>3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2"/>
      <c r="AH99" s="2"/>
      <c r="AI99" s="2"/>
      <c r="AJ99" s="2"/>
      <c r="AK99" s="2"/>
      <c r="AL99" s="2"/>
      <c r="AM99" s="2"/>
      <c r="AN99" s="2"/>
      <c r="AO99" s="2"/>
    </row>
    <row r="100" spans="1:41" ht="30" customHeight="1" thickBot="1" x14ac:dyDescent="0.4">
      <c r="A100" s="3"/>
      <c r="B100" s="7">
        <v>0.74</v>
      </c>
      <c r="C100" s="8">
        <v>0.65</v>
      </c>
      <c r="D100" s="8">
        <v>0.64</v>
      </c>
      <c r="E100" s="8">
        <v>0.28000000000000003</v>
      </c>
      <c r="F100" s="8">
        <v>0.78</v>
      </c>
      <c r="G100" s="9">
        <f>(SUM(B100:F100))/500%</f>
        <v>0.6180000000000001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2"/>
      <c r="AH100" s="2"/>
      <c r="AI100" s="2"/>
      <c r="AJ100" s="2"/>
      <c r="AK100" s="2"/>
      <c r="AL100" s="2"/>
      <c r="AM100" s="2"/>
      <c r="AN100" s="2"/>
      <c r="AO100" s="2"/>
    </row>
    <row r="101" spans="1:41" x14ac:dyDescent="0.35">
      <c r="A101" s="3"/>
      <c r="B101" s="10">
        <v>0.8</v>
      </c>
      <c r="C101" s="10">
        <v>0.8</v>
      </c>
      <c r="D101" s="10">
        <v>0.8</v>
      </c>
      <c r="E101" s="10">
        <v>0.8</v>
      </c>
      <c r="F101" s="10">
        <v>0.8</v>
      </c>
      <c r="G101" s="10">
        <v>0.8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2"/>
      <c r="AH101" s="2"/>
      <c r="AI101" s="2"/>
      <c r="AJ101" s="2"/>
      <c r="AK101" s="2"/>
      <c r="AL101" s="2"/>
      <c r="AM101" s="2"/>
      <c r="AN101" s="2"/>
      <c r="AO101" s="2"/>
    </row>
    <row r="102" spans="1:41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2"/>
      <c r="AH102" s="2"/>
      <c r="AI102" s="2"/>
      <c r="AJ102" s="2"/>
      <c r="AK102" s="2"/>
      <c r="AL102" s="2"/>
      <c r="AM102" s="2"/>
      <c r="AN102" s="2"/>
      <c r="AO102" s="2"/>
    </row>
    <row r="103" spans="1:41" ht="15" thickBot="1" x14ac:dyDescent="0.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</row>
    <row r="104" spans="1:41" ht="15" customHeight="1" x14ac:dyDescent="0.35">
      <c r="A104" s="11"/>
      <c r="B104" s="11"/>
      <c r="C104" s="11"/>
      <c r="D104" s="11"/>
      <c r="E104" s="11"/>
      <c r="F104" s="11"/>
      <c r="G104" s="11"/>
      <c r="H104" s="40" t="s">
        <v>15</v>
      </c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2"/>
      <c r="W104" s="49">
        <f>AV36</f>
        <v>45198</v>
      </c>
      <c r="X104" s="50"/>
      <c r="Y104" s="28" t="s">
        <v>18</v>
      </c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30"/>
    </row>
    <row r="105" spans="1:41" ht="15" customHeight="1" x14ac:dyDescent="0.35">
      <c r="A105" s="11"/>
      <c r="B105" s="11"/>
      <c r="C105" s="11"/>
      <c r="D105" s="11"/>
      <c r="E105" s="11"/>
      <c r="F105" s="11"/>
      <c r="G105" s="11"/>
      <c r="H105" s="43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5"/>
      <c r="W105" s="51"/>
      <c r="X105" s="50"/>
      <c r="Y105" s="31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3"/>
    </row>
    <row r="106" spans="1:41" ht="15.75" customHeight="1" thickBot="1" x14ac:dyDescent="0.4">
      <c r="A106" s="11"/>
      <c r="B106" s="11"/>
      <c r="C106" s="11"/>
      <c r="D106" s="11"/>
      <c r="E106" s="11"/>
      <c r="F106" s="11"/>
      <c r="G106" s="11"/>
      <c r="H106" s="46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8"/>
      <c r="W106" s="51"/>
      <c r="X106" s="50"/>
      <c r="Y106" s="34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6"/>
    </row>
    <row r="107" spans="1:41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"/>
      <c r="AH107" s="2"/>
      <c r="AI107" s="2"/>
      <c r="AJ107" s="2"/>
      <c r="AK107" s="2"/>
      <c r="AL107" s="2"/>
      <c r="AM107" s="2"/>
      <c r="AN107" s="2"/>
      <c r="AO107" s="2"/>
    </row>
    <row r="108" spans="1:41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"/>
      <c r="AH108" s="2"/>
      <c r="AI108" s="2"/>
      <c r="AJ108" s="2"/>
      <c r="AK108" s="2"/>
      <c r="AL108" s="2"/>
      <c r="AM108" s="2"/>
      <c r="AN108" s="2"/>
      <c r="AO108" s="2"/>
    </row>
    <row r="109" spans="1:41" ht="15" thickBot="1" x14ac:dyDescent="0.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"/>
      <c r="AH109" s="2"/>
      <c r="AI109" s="2"/>
      <c r="AJ109" s="2"/>
      <c r="AK109" s="2"/>
      <c r="AL109" s="2"/>
      <c r="AM109" s="2"/>
      <c r="AN109" s="2"/>
      <c r="AO109" s="2"/>
    </row>
    <row r="110" spans="1:41" ht="30" customHeight="1" thickBot="1" x14ac:dyDescent="0.4">
      <c r="A110" s="3"/>
      <c r="B110" s="37" t="s">
        <v>18</v>
      </c>
      <c r="C110" s="38"/>
      <c r="D110" s="38"/>
      <c r="E110" s="38"/>
      <c r="F110" s="38"/>
      <c r="G110" s="39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2"/>
      <c r="AH110" s="2"/>
      <c r="AI110" s="2"/>
      <c r="AJ110" s="2"/>
      <c r="AK110" s="2"/>
      <c r="AL110" s="2"/>
      <c r="AM110" s="2"/>
      <c r="AN110" s="2"/>
      <c r="AO110" s="2"/>
    </row>
    <row r="111" spans="1:41" ht="30" customHeight="1" x14ac:dyDescent="0.35">
      <c r="A111" s="3"/>
      <c r="B111" s="14" t="s">
        <v>0</v>
      </c>
      <c r="C111" s="15" t="s">
        <v>1</v>
      </c>
      <c r="D111" s="5" t="s">
        <v>19</v>
      </c>
      <c r="E111" s="5" t="s">
        <v>4</v>
      </c>
      <c r="F111" s="5" t="s">
        <v>2</v>
      </c>
      <c r="G111" s="6" t="s">
        <v>3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2"/>
      <c r="AH111" s="2"/>
      <c r="AI111" s="2"/>
      <c r="AJ111" s="2"/>
      <c r="AK111" s="2"/>
      <c r="AL111" s="2"/>
      <c r="AM111" s="2"/>
      <c r="AN111" s="2"/>
      <c r="AO111" s="2"/>
    </row>
    <row r="112" spans="1:41" ht="30" customHeight="1" thickBot="1" x14ac:dyDescent="0.4">
      <c r="A112" s="3"/>
      <c r="B112" s="7">
        <v>0.67</v>
      </c>
      <c r="C112" s="8">
        <v>0.8</v>
      </c>
      <c r="D112" s="8">
        <v>0.54</v>
      </c>
      <c r="E112" s="8">
        <v>0.32</v>
      </c>
      <c r="F112" s="8">
        <v>0.41</v>
      </c>
      <c r="G112" s="9">
        <f>(SUM(B112:F112))/500%</f>
        <v>0.54800000000000004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2"/>
      <c r="AH112" s="2"/>
      <c r="AI112" s="2"/>
      <c r="AJ112" s="2"/>
      <c r="AK112" s="2"/>
      <c r="AL112" s="2"/>
      <c r="AM112" s="2"/>
      <c r="AN112" s="2"/>
      <c r="AO112" s="2"/>
    </row>
    <row r="113" spans="1:41" x14ac:dyDescent="0.35">
      <c r="A113" s="3"/>
      <c r="B113" s="10">
        <v>0.8</v>
      </c>
      <c r="C113" s="10">
        <v>0.8</v>
      </c>
      <c r="D113" s="10">
        <v>0.8</v>
      </c>
      <c r="E113" s="10">
        <v>0.8</v>
      </c>
      <c r="F113" s="10">
        <v>0.8</v>
      </c>
      <c r="G113" s="10">
        <v>0.8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2"/>
      <c r="AH113" s="2"/>
      <c r="AI113" s="2"/>
      <c r="AJ113" s="2"/>
      <c r="AK113" s="2"/>
      <c r="AL113" s="2"/>
      <c r="AM113" s="2"/>
      <c r="AN113" s="2"/>
      <c r="AO113" s="2"/>
    </row>
    <row r="114" spans="1:41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2"/>
      <c r="AH114" s="2"/>
      <c r="AI114" s="2"/>
      <c r="AJ114" s="2"/>
      <c r="AK114" s="2"/>
      <c r="AL114" s="2"/>
      <c r="AM114" s="2"/>
      <c r="AN114" s="2"/>
      <c r="AO114" s="2"/>
    </row>
    <row r="115" spans="1:41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"/>
      <c r="AH115" s="2"/>
      <c r="AI115" s="2"/>
      <c r="AJ115" s="2"/>
      <c r="AK115" s="2"/>
      <c r="AL115" s="2"/>
      <c r="AM115" s="2"/>
      <c r="AN115" s="2"/>
      <c r="AO115" s="2"/>
    </row>
    <row r="116" spans="1:41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"/>
      <c r="AH116" s="2"/>
      <c r="AI116" s="2"/>
      <c r="AJ116" s="2"/>
      <c r="AK116" s="2"/>
      <c r="AL116" s="2"/>
      <c r="AM116" s="2"/>
      <c r="AN116" s="2"/>
      <c r="AO116" s="2"/>
    </row>
    <row r="117" spans="1:41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"/>
      <c r="AH117" s="2"/>
      <c r="AI117" s="2"/>
      <c r="AJ117" s="2"/>
      <c r="AK117" s="2"/>
      <c r="AL117" s="2"/>
      <c r="AM117" s="2"/>
      <c r="AN117" s="2"/>
      <c r="AO117" s="2"/>
    </row>
    <row r="118" spans="1:41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"/>
      <c r="AH118" s="2"/>
      <c r="AI118" s="2"/>
      <c r="AJ118" s="2"/>
      <c r="AK118" s="2"/>
      <c r="AL118" s="2"/>
      <c r="AM118" s="2"/>
      <c r="AN118" s="2"/>
      <c r="AO118" s="2"/>
    </row>
    <row r="119" spans="1:41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"/>
      <c r="AH119" s="2"/>
      <c r="AI119" s="2"/>
      <c r="AJ119" s="2"/>
      <c r="AK119" s="2"/>
      <c r="AL119" s="2"/>
      <c r="AM119" s="2"/>
      <c r="AN119" s="2"/>
      <c r="AO119" s="2"/>
    </row>
    <row r="120" spans="1:41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"/>
      <c r="AH120" s="2"/>
      <c r="AI120" s="2"/>
      <c r="AJ120" s="2"/>
      <c r="AK120" s="2"/>
      <c r="AL120" s="2"/>
      <c r="AM120" s="2"/>
      <c r="AN120" s="2"/>
      <c r="AO120" s="2"/>
    </row>
    <row r="121" spans="1:41" x14ac:dyDescent="0.35">
      <c r="A121" s="3"/>
      <c r="B121" s="3"/>
      <c r="C121" s="3"/>
      <c r="D121" s="26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"/>
      <c r="AH121" s="2"/>
      <c r="AI121" s="2"/>
      <c r="AJ121" s="2"/>
      <c r="AK121" s="2"/>
      <c r="AL121" s="2"/>
      <c r="AM121" s="2"/>
      <c r="AN121" s="2"/>
      <c r="AO121" s="2"/>
    </row>
    <row r="122" spans="1:41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"/>
      <c r="AH122" s="2"/>
      <c r="AI122" s="2"/>
      <c r="AJ122" s="2"/>
      <c r="AK122" s="2"/>
      <c r="AL122" s="2"/>
      <c r="AM122" s="2"/>
      <c r="AN122" s="2"/>
      <c r="AO122" s="2"/>
    </row>
    <row r="123" spans="1:41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"/>
      <c r="AH123" s="2"/>
      <c r="AI123" s="2"/>
      <c r="AJ123" s="2"/>
      <c r="AK123" s="2"/>
      <c r="AL123" s="2"/>
      <c r="AM123" s="2"/>
      <c r="AN123" s="2"/>
      <c r="AO123" s="2"/>
    </row>
    <row r="124" spans="1:41" ht="15" thickBot="1" x14ac:dyDescent="0.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"/>
      <c r="AH124" s="2"/>
      <c r="AI124" s="2"/>
      <c r="AJ124" s="2"/>
      <c r="AK124" s="2"/>
      <c r="AL124" s="2"/>
      <c r="AM124" s="2"/>
      <c r="AN124" s="2"/>
      <c r="AO124" s="2"/>
    </row>
    <row r="125" spans="1:41" ht="31.5" customHeight="1" thickBot="1" x14ac:dyDescent="0.4">
      <c r="A125" s="3"/>
      <c r="B125" s="37" t="s">
        <v>15</v>
      </c>
      <c r="C125" s="38"/>
      <c r="D125" s="38"/>
      <c r="E125" s="38"/>
      <c r="F125" s="38"/>
      <c r="G125" s="39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"/>
      <c r="AH125" s="2"/>
      <c r="AI125" s="2"/>
      <c r="AJ125" s="2"/>
      <c r="AK125" s="2"/>
      <c r="AL125" s="2"/>
      <c r="AM125" s="2"/>
      <c r="AN125" s="2"/>
      <c r="AO125" s="2"/>
    </row>
    <row r="126" spans="1:41" ht="30" customHeight="1" x14ac:dyDescent="0.35">
      <c r="A126" s="3"/>
      <c r="B126" s="4" t="s">
        <v>0</v>
      </c>
      <c r="C126" s="5" t="s">
        <v>1</v>
      </c>
      <c r="D126" s="5" t="s">
        <v>19</v>
      </c>
      <c r="E126" s="5" t="s">
        <v>4</v>
      </c>
      <c r="F126" s="5" t="s">
        <v>2</v>
      </c>
      <c r="G126" s="6" t="s">
        <v>3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"/>
      <c r="AH126" s="2"/>
      <c r="AI126" s="2"/>
      <c r="AJ126" s="2"/>
      <c r="AK126" s="2"/>
      <c r="AL126" s="2"/>
      <c r="AM126" s="2"/>
      <c r="AN126" s="2"/>
      <c r="AO126" s="2"/>
    </row>
    <row r="127" spans="1:41" ht="30" customHeight="1" thickBot="1" x14ac:dyDescent="0.4">
      <c r="A127" s="3"/>
      <c r="B127" s="7">
        <v>0.3</v>
      </c>
      <c r="C127" s="8">
        <f>[6]ADRIANO!$BP$14</f>
        <v>0.18181818181818182</v>
      </c>
      <c r="D127" s="8">
        <v>0.33</v>
      </c>
      <c r="E127" s="8">
        <v>0</v>
      </c>
      <c r="F127" s="8">
        <v>0.16</v>
      </c>
      <c r="G127" s="9">
        <f>(SUM(B127+D127+F127+C127))/400%</f>
        <v>0.24295454545454548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"/>
      <c r="AH127" s="2"/>
      <c r="AI127" s="2"/>
      <c r="AJ127" s="2"/>
      <c r="AK127" s="2"/>
      <c r="AL127" s="2"/>
      <c r="AM127" s="2"/>
      <c r="AN127" s="2"/>
      <c r="AO127" s="2"/>
    </row>
    <row r="128" spans="1:41" x14ac:dyDescent="0.35">
      <c r="A128" s="3"/>
      <c r="B128" s="10">
        <v>0.8</v>
      </c>
      <c r="C128" s="10">
        <v>0.8</v>
      </c>
      <c r="D128" s="10">
        <v>0.8</v>
      </c>
      <c r="E128" s="10">
        <v>0.8</v>
      </c>
      <c r="F128" s="10">
        <v>0.8</v>
      </c>
      <c r="G128" s="10">
        <v>0.8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"/>
      <c r="AH128" s="2"/>
      <c r="AI128" s="2"/>
      <c r="AJ128" s="2"/>
      <c r="AK128" s="2"/>
      <c r="AL128" s="2"/>
      <c r="AM128" s="2"/>
      <c r="AN128" s="2"/>
      <c r="AO128" s="2"/>
    </row>
    <row r="129" spans="1:41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"/>
      <c r="AH129" s="2"/>
      <c r="AI129" s="2"/>
      <c r="AJ129" s="2"/>
      <c r="AK129" s="2"/>
      <c r="AL129" s="2"/>
      <c r="AM129" s="2"/>
      <c r="AN129" s="2"/>
      <c r="AO129" s="2"/>
    </row>
    <row r="130" spans="1:41" x14ac:dyDescent="0.3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3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3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</row>
    <row r="134" spans="1:41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</row>
    <row r="135" spans="1:41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</row>
    <row r="136" spans="1:41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</row>
    <row r="137" spans="1:41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</row>
    <row r="138" spans="1:41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</row>
    <row r="139" spans="1:41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</row>
    <row r="140" spans="1:41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</row>
    <row r="141" spans="1:41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</row>
    <row r="142" spans="1:41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</row>
    <row r="143" spans="1:41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</row>
    <row r="144" spans="1:41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</row>
    <row r="145" spans="1:41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</row>
    <row r="146" spans="1:41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</row>
    <row r="147" spans="1:41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</row>
    <row r="148" spans="1:41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</row>
    <row r="149" spans="1:41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</row>
    <row r="150" spans="1:41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</row>
    <row r="151" spans="1:41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</row>
    <row r="152" spans="1:41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</row>
    <row r="153" spans="1:41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</row>
    <row r="154" spans="1:41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</row>
    <row r="155" spans="1:41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</row>
    <row r="156" spans="1:41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</row>
    <row r="157" spans="1:41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</row>
    <row r="158" spans="1:41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</row>
    <row r="159" spans="1:41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</row>
    <row r="160" spans="1:41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</row>
    <row r="161" spans="1:41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</row>
    <row r="162" spans="1:41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</row>
    <row r="163" spans="1:41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</row>
    <row r="164" spans="1:41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</row>
    <row r="165" spans="1:41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</row>
    <row r="166" spans="1:41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</row>
    <row r="167" spans="1:41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</row>
    <row r="168" spans="1:41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</row>
    <row r="169" spans="1:41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</row>
    <row r="170" spans="1:41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</row>
    <row r="171" spans="1:41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</row>
    <row r="172" spans="1:41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</row>
    <row r="173" spans="1:41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</row>
    <row r="174" spans="1:41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</row>
    <row r="175" spans="1:41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</row>
    <row r="176" spans="1:41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</row>
    <row r="177" spans="1:41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</row>
    <row r="178" spans="1:41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</row>
    <row r="179" spans="1:41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</row>
    <row r="180" spans="1:41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</row>
    <row r="181" spans="1:41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</row>
    <row r="182" spans="1:41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</row>
    <row r="183" spans="1:41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</row>
    <row r="184" spans="1:41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</row>
    <row r="185" spans="1:41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</row>
    <row r="186" spans="1:41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</row>
    <row r="187" spans="1:41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</row>
    <row r="188" spans="1:41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</row>
    <row r="189" spans="1:41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</row>
    <row r="190" spans="1:41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</row>
    <row r="191" spans="1:41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</row>
    <row r="192" spans="1:41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</row>
    <row r="193" spans="1:41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</row>
    <row r="194" spans="1:41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</row>
    <row r="195" spans="1:41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</row>
    <row r="196" spans="1:41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</row>
    <row r="197" spans="1:41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</row>
    <row r="198" spans="1:41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</row>
    <row r="199" spans="1:41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</row>
    <row r="200" spans="1:41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</row>
    <row r="201" spans="1:41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</row>
    <row r="202" spans="1:41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</row>
    <row r="203" spans="1:41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</row>
    <row r="204" spans="1:41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</row>
    <row r="205" spans="1:41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</row>
    <row r="206" spans="1:41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</row>
    <row r="207" spans="1:41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</row>
    <row r="208" spans="1:41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</row>
    <row r="209" spans="1:41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</row>
    <row r="210" spans="1:41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</row>
    <row r="211" spans="1:41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</row>
    <row r="212" spans="1:41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</row>
    <row r="213" spans="1:41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</row>
    <row r="214" spans="1:41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</row>
    <row r="215" spans="1:41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</row>
    <row r="216" spans="1:41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</row>
    <row r="217" spans="1:41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</row>
    <row r="218" spans="1:41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</row>
    <row r="219" spans="1:41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</row>
    <row r="220" spans="1:41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</row>
    <row r="221" spans="1:41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</row>
    <row r="222" spans="1:41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</row>
    <row r="223" spans="1:41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</row>
    <row r="224" spans="1:41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</row>
    <row r="225" spans="1:41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</row>
    <row r="226" spans="1:41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</row>
    <row r="227" spans="1:41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</row>
    <row r="228" spans="1:41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</row>
    <row r="229" spans="1:41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</row>
    <row r="230" spans="1:41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</row>
    <row r="231" spans="1:41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</row>
    <row r="232" spans="1:41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</row>
    <row r="233" spans="1:41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</row>
    <row r="234" spans="1:41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</row>
    <row r="235" spans="1:41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</row>
    <row r="236" spans="1:41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</row>
    <row r="237" spans="1:41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</row>
    <row r="238" spans="1:41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</row>
    <row r="239" spans="1:41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</row>
    <row r="240" spans="1:41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</row>
    <row r="241" spans="1:41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</row>
    <row r="242" spans="1:41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</row>
    <row r="243" spans="1:41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</row>
    <row r="244" spans="1:41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</row>
    <row r="245" spans="1:41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</row>
    <row r="246" spans="1:41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</row>
    <row r="247" spans="1:41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</row>
    <row r="248" spans="1:41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</row>
    <row r="249" spans="1:41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</row>
    <row r="250" spans="1:41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</row>
    <row r="251" spans="1:41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</row>
    <row r="252" spans="1:41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</row>
    <row r="253" spans="1:41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</row>
    <row r="254" spans="1:41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</row>
    <row r="255" spans="1:41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</row>
    <row r="256" spans="1:41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</row>
    <row r="257" spans="1:41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</row>
    <row r="258" spans="1:41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</row>
    <row r="259" spans="1:41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</row>
    <row r="260" spans="1:41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</row>
    <row r="261" spans="1:41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</row>
    <row r="262" spans="1:41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</row>
    <row r="263" spans="1:41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</row>
    <row r="264" spans="1:41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</row>
    <row r="265" spans="1:41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</row>
    <row r="266" spans="1:41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</row>
    <row r="267" spans="1:41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</row>
    <row r="268" spans="1:41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</row>
    <row r="269" spans="1:41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</row>
    <row r="270" spans="1:41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</row>
    <row r="271" spans="1:41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</row>
    <row r="272" spans="1:41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</row>
    <row r="273" spans="1:41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</row>
    <row r="274" spans="1:41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</row>
    <row r="275" spans="1:41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</row>
    <row r="276" spans="1:41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</row>
    <row r="277" spans="1:41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</row>
    <row r="278" spans="1:41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</row>
    <row r="279" spans="1:41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</row>
    <row r="280" spans="1:41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</row>
    <row r="281" spans="1:41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</row>
    <row r="282" spans="1:41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</row>
    <row r="283" spans="1:41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</row>
    <row r="284" spans="1:41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</row>
    <row r="285" spans="1:41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</row>
  </sheetData>
  <sheetProtection selectLockedCells="1" selectUnlockedCells="1"/>
  <mergeCells count="24">
    <mergeCell ref="Y28:AO30"/>
    <mergeCell ref="Y7:AO9"/>
    <mergeCell ref="H77:V79"/>
    <mergeCell ref="Y77:AO79"/>
    <mergeCell ref="Y52:AO54"/>
    <mergeCell ref="W7:X9"/>
    <mergeCell ref="W28:X30"/>
    <mergeCell ref="W52:X54"/>
    <mergeCell ref="W77:X79"/>
    <mergeCell ref="B83:G83"/>
    <mergeCell ref="A28:V30"/>
    <mergeCell ref="A52:V54"/>
    <mergeCell ref="B98:G98"/>
    <mergeCell ref="A7:V9"/>
    <mergeCell ref="B11:G11"/>
    <mergeCell ref="B48:G48"/>
    <mergeCell ref="B72:G72"/>
    <mergeCell ref="B32:G32"/>
    <mergeCell ref="B56:G56"/>
    <mergeCell ref="H104:V106"/>
    <mergeCell ref="W104:X106"/>
    <mergeCell ref="Y104:AO106"/>
    <mergeCell ref="B110:G110"/>
    <mergeCell ref="B125:G125"/>
  </mergeCells>
  <pageMargins left="0.511811024" right="0.511811024" top="0.78740157499999996" bottom="0.78740157499999996" header="0.31496062000000002" footer="0.31496062000000002"/>
  <pageSetup paperSize="8" orientation="landscape" r:id="rId1"/>
  <ignoredErrors>
    <ignoredError sqref="A15:V18 A51 A48 C48:V48 A36:V47 A32 C32:V32 A60:V71 A56 C56:V56 A76:V76 A72 C72:V72 A87:V97 A83 C83:V83 A100 A33:C33 F33:V33 A49:C49 F49:V49 A57:C57 F57:V57 A73:C73 F73:V73 A84:C84 F84:V84 A99:C99 F99:V99 A58 H58:V58 A74 H74:V74 A85 H85:V85 H100:V100 A13 A34 A50 A80:V82 A77:G77 A78:G79 A31:V31 A53:V55 B52:V52 H34:V34 H50:V50 H13:V13 A14 H14:V14 A35 H35:V35 H51:V51 A59 H59:V59 A75 H75:V75 A86 H86:V86 A20:V27 A19 I19:V19 W8:X27 A98 H98:V98 X7 W29:X51 X28 W53:X76 X52 W78:X79 X77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EDF72-0897-4CBE-A515-C5B89E5DF515}">
  <sheetPr codeName="Planilha2"/>
  <dimension ref="B1:W161"/>
  <sheetViews>
    <sheetView showGridLines="0" zoomScale="50" zoomScaleNormal="50" workbookViewId="0">
      <pane ySplit="5" topLeftCell="A97" activePane="bottomLeft" state="frozen"/>
      <selection pane="bottomLeft" activeCell="E1" sqref="B1:E1048576"/>
    </sheetView>
  </sheetViews>
  <sheetFormatPr defaultRowHeight="14.5" x14ac:dyDescent="0.35"/>
  <cols>
    <col min="2" max="2" width="38.26953125" hidden="1" customWidth="1"/>
    <col min="3" max="3" width="5.7265625" hidden="1" customWidth="1"/>
    <col min="4" max="4" width="6.36328125" hidden="1" customWidth="1"/>
    <col min="5" max="5" width="7.36328125" hidden="1" customWidth="1"/>
    <col min="6" max="6" width="13" customWidth="1"/>
    <col min="7" max="7" width="19" customWidth="1"/>
    <col min="8" max="8" width="25.453125" bestFit="1" customWidth="1"/>
    <col min="9" max="9" width="31.453125" bestFit="1" customWidth="1"/>
    <col min="10" max="10" width="11.7265625" bestFit="1" customWidth="1"/>
    <col min="11" max="11" width="17.7265625" bestFit="1" customWidth="1"/>
    <col min="12" max="12" width="15.7265625" customWidth="1"/>
    <col min="13" max="13" width="9.1796875" customWidth="1"/>
  </cols>
  <sheetData>
    <row r="1" spans="2:23" x14ac:dyDescent="0.35"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2:23" x14ac:dyDescent="0.35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35"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35"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5.75" customHeight="1" x14ac:dyDescent="0.35"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ht="15.75" customHeight="1" thickBot="1" x14ac:dyDescent="0.4"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ht="15" customHeight="1" x14ac:dyDescent="0.35">
      <c r="F7" s="40" t="s">
        <v>6</v>
      </c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2"/>
    </row>
    <row r="8" spans="2:23" ht="15" customHeight="1" x14ac:dyDescent="0.35">
      <c r="F8" s="43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5"/>
    </row>
    <row r="9" spans="2:23" ht="15.75" customHeight="1" thickBot="1" x14ac:dyDescent="0.4">
      <c r="F9" s="46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8"/>
    </row>
    <row r="10" spans="2:23" x14ac:dyDescent="0.35">
      <c r="F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2:23" x14ac:dyDescent="0.35"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2:23" ht="30" customHeight="1" thickBot="1" x14ac:dyDescent="0.4"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2:23" ht="30" customHeight="1" thickBot="1" x14ac:dyDescent="0.4">
      <c r="B13" s="4" t="s">
        <v>21</v>
      </c>
      <c r="C13" s="20">
        <v>272</v>
      </c>
      <c r="D13" s="19">
        <v>0.68</v>
      </c>
      <c r="E13" s="19">
        <v>1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2:23" ht="30" customHeight="1" thickBot="1" x14ac:dyDescent="0.4">
      <c r="B14" s="4" t="s">
        <v>22</v>
      </c>
      <c r="C14" s="20">
        <v>117</v>
      </c>
      <c r="D14" s="19">
        <v>0.25</v>
      </c>
      <c r="E14" s="19">
        <v>0.37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2:23" ht="15" thickBot="1" x14ac:dyDescent="0.4">
      <c r="B15" s="4" t="s">
        <v>23</v>
      </c>
      <c r="C15" s="20">
        <v>80</v>
      </c>
      <c r="D15" s="19">
        <v>0.17</v>
      </c>
      <c r="E15" s="19">
        <v>0.25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2:23" ht="15" thickBot="1" x14ac:dyDescent="0.4">
      <c r="B16" s="4" t="s">
        <v>24</v>
      </c>
      <c r="C16" s="20">
        <v>75</v>
      </c>
      <c r="D16" s="19">
        <v>0.16</v>
      </c>
      <c r="E16" s="19">
        <v>0.23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35">
      <c r="B17" s="4" t="s">
        <v>30</v>
      </c>
      <c r="C17" s="24">
        <v>48</v>
      </c>
      <c r="D17" s="25">
        <v>0.1</v>
      </c>
      <c r="E17" s="25">
        <v>0.15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35"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35"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35"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35"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2:23" x14ac:dyDescent="0.35"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2:23" x14ac:dyDescent="0.35"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2:23" x14ac:dyDescent="0.35">
      <c r="F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2:23" x14ac:dyDescent="0.35">
      <c r="F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2:23" x14ac:dyDescent="0.35">
      <c r="F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2:23" ht="30" customHeight="1" x14ac:dyDescent="0.35">
      <c r="F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</row>
    <row r="30" spans="2:23" ht="15.75" customHeight="1" thickBot="1" x14ac:dyDescent="0.4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ht="15" customHeight="1" x14ac:dyDescent="0.35">
      <c r="F31" s="40" t="s">
        <v>20</v>
      </c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2"/>
    </row>
    <row r="32" spans="2:23" ht="15" customHeight="1" x14ac:dyDescent="0.35">
      <c r="F32" s="43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5"/>
    </row>
    <row r="33" spans="2:23" ht="15.75" customHeight="1" thickBot="1" x14ac:dyDescent="0.4">
      <c r="F33" s="46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8"/>
    </row>
    <row r="34" spans="2:23" x14ac:dyDescent="0.35">
      <c r="F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2:23" x14ac:dyDescent="0.35">
      <c r="F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2:23" x14ac:dyDescent="0.35"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2:23" ht="30" customHeight="1" thickBot="1" x14ac:dyDescent="0.4">
      <c r="F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2:23" ht="30" customHeight="1" thickBot="1" x14ac:dyDescent="0.4">
      <c r="B38" s="4" t="s">
        <v>25</v>
      </c>
      <c r="C38" s="4">
        <v>28</v>
      </c>
      <c r="D38" s="23">
        <v>0.46</v>
      </c>
      <c r="E38" s="22">
        <v>1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2:23" ht="30" customHeight="1" thickBot="1" x14ac:dyDescent="0.4">
      <c r="B39" s="4" t="s">
        <v>22</v>
      </c>
      <c r="C39" s="4">
        <v>21</v>
      </c>
      <c r="D39" s="23">
        <v>0.34</v>
      </c>
      <c r="E39" s="22">
        <v>0.75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2:23" ht="25" customHeight="1" thickBot="1" x14ac:dyDescent="0.4">
      <c r="B40" s="4" t="s">
        <v>26</v>
      </c>
      <c r="C40" s="4">
        <v>5</v>
      </c>
      <c r="D40" s="23">
        <v>0.08</v>
      </c>
      <c r="E40" s="22">
        <v>0.18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2:23" x14ac:dyDescent="0.35">
      <c r="B41" s="4" t="s">
        <v>27</v>
      </c>
      <c r="C41" s="4">
        <v>2</v>
      </c>
      <c r="D41" s="23">
        <v>0.03</v>
      </c>
      <c r="E41" s="22">
        <v>7.0000000000000007E-2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2:23" x14ac:dyDescent="0.35"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2:23" x14ac:dyDescent="0.35"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2:23" x14ac:dyDescent="0.35"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2:23" x14ac:dyDescent="0.35"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2:23" x14ac:dyDescent="0.35"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2:23" x14ac:dyDescent="0.35"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2:23" x14ac:dyDescent="0.35"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2:23" x14ac:dyDescent="0.35"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2:23" ht="32.25" customHeight="1" x14ac:dyDescent="0.35">
      <c r="F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2:23" x14ac:dyDescent="0.35">
      <c r="F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2:23" x14ac:dyDescent="0.35">
      <c r="F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2:23" ht="30" customHeight="1" x14ac:dyDescent="0.35">
      <c r="F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2:23" ht="15.75" customHeight="1" thickBot="1" x14ac:dyDescent="0.4"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2:23" ht="15" customHeight="1" x14ac:dyDescent="0.35">
      <c r="F55" s="40" t="s">
        <v>8</v>
      </c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2"/>
    </row>
    <row r="56" spans="2:23" ht="15" customHeight="1" x14ac:dyDescent="0.35">
      <c r="F56" s="43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5"/>
    </row>
    <row r="57" spans="2:23" ht="15.75" customHeight="1" thickBot="1" x14ac:dyDescent="0.4">
      <c r="F57" s="46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8"/>
    </row>
    <row r="58" spans="2:23" x14ac:dyDescent="0.35">
      <c r="F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2:23" x14ac:dyDescent="0.35"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2:23" ht="30" customHeight="1" thickBot="1" x14ac:dyDescent="0.4">
      <c r="F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2:23" ht="30" customHeight="1" thickBot="1" x14ac:dyDescent="0.4">
      <c r="B61" s="4" t="s">
        <v>25</v>
      </c>
      <c r="C61" s="4">
        <v>75</v>
      </c>
      <c r="D61" s="22">
        <v>0.59</v>
      </c>
      <c r="E61" s="22">
        <v>1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2:23" ht="30" customHeight="1" thickBot="1" x14ac:dyDescent="0.4">
      <c r="B62" s="4" t="s">
        <v>22</v>
      </c>
      <c r="C62" s="4">
        <v>31</v>
      </c>
      <c r="D62" s="22">
        <v>0.24</v>
      </c>
      <c r="E62" s="22">
        <v>0.41</v>
      </c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2:23" ht="15" thickBot="1" x14ac:dyDescent="0.4">
      <c r="B63" s="4" t="s">
        <v>28</v>
      </c>
      <c r="C63" s="4">
        <v>31</v>
      </c>
      <c r="D63" s="22">
        <v>0.24</v>
      </c>
      <c r="E63" s="22">
        <v>0.41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2:23" x14ac:dyDescent="0.35">
      <c r="B64" s="4" t="s">
        <v>29</v>
      </c>
      <c r="C64" s="4">
        <v>13</v>
      </c>
      <c r="D64" s="22">
        <v>0.13</v>
      </c>
      <c r="E64" s="22">
        <v>0.17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6" spans="6:23" x14ac:dyDescent="0.35">
      <c r="F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6:23" x14ac:dyDescent="0.35">
      <c r="F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6:23" x14ac:dyDescent="0.35">
      <c r="F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6:23" x14ac:dyDescent="0.35">
      <c r="F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6:23" ht="30" customHeight="1" x14ac:dyDescent="0.35">
      <c r="F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6:23" ht="30" customHeight="1" x14ac:dyDescent="0.35"/>
    <row r="76" spans="6:23" x14ac:dyDescent="0.35"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6:23" x14ac:dyDescent="0.35"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6:23" ht="15.75" customHeight="1" thickBot="1" x14ac:dyDescent="0.4"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6:23" ht="15" customHeight="1" x14ac:dyDescent="0.35">
      <c r="F79" s="40" t="s">
        <v>5</v>
      </c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2"/>
    </row>
    <row r="80" spans="6:23" ht="15" customHeight="1" x14ac:dyDescent="0.35">
      <c r="F80" s="43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5"/>
    </row>
    <row r="81" spans="2:23" ht="15.75" customHeight="1" thickBot="1" x14ac:dyDescent="0.4">
      <c r="F81" s="46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8"/>
    </row>
    <row r="82" spans="2:23" x14ac:dyDescent="0.35">
      <c r="F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2:23" x14ac:dyDescent="0.35">
      <c r="F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2:23" x14ac:dyDescent="0.35">
      <c r="F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2:23" x14ac:dyDescent="0.35">
      <c r="F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5">
      <c r="F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2:23" ht="15" thickBot="1" x14ac:dyDescent="0.4">
      <c r="F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2:23" ht="15" thickBot="1" x14ac:dyDescent="0.4">
      <c r="B89" s="4" t="s">
        <v>25</v>
      </c>
      <c r="C89" s="18">
        <v>11</v>
      </c>
      <c r="D89" s="19">
        <v>0.2</v>
      </c>
      <c r="E89" s="19">
        <v>1</v>
      </c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2:23" ht="15" thickBot="1" x14ac:dyDescent="0.4">
      <c r="B90" s="4" t="s">
        <v>22</v>
      </c>
      <c r="C90" s="18">
        <v>4</v>
      </c>
      <c r="D90" s="19">
        <v>7.0000000000000007E-2</v>
      </c>
      <c r="E90" s="19">
        <v>0.36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2:23" ht="30" customHeight="1" thickBot="1" x14ac:dyDescent="0.4">
      <c r="B91" s="4" t="s">
        <v>29</v>
      </c>
      <c r="C91" s="18">
        <v>7</v>
      </c>
      <c r="D91" s="19">
        <v>0.13</v>
      </c>
      <c r="E91" s="19">
        <v>0.64</v>
      </c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2:23" ht="30" customHeight="1" x14ac:dyDescent="0.35"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2:23" ht="30" customHeight="1" x14ac:dyDescent="0.35"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2:23" x14ac:dyDescent="0.35"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7" spans="2:23" x14ac:dyDescent="0.35"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2:23" x14ac:dyDescent="0.35"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2:23" ht="30" customHeight="1" x14ac:dyDescent="0.35">
      <c r="F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2:23" ht="15.75" customHeight="1" thickBot="1" x14ac:dyDescent="0.4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2:23" ht="15" customHeight="1" x14ac:dyDescent="0.35">
      <c r="F101" s="40" t="s">
        <v>7</v>
      </c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2"/>
    </row>
    <row r="102" spans="2:23" ht="15" customHeight="1" x14ac:dyDescent="0.35">
      <c r="F102" s="43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5"/>
    </row>
    <row r="103" spans="2:23" ht="15.75" customHeight="1" thickBot="1" x14ac:dyDescent="0.4">
      <c r="F103" s="46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8"/>
    </row>
    <row r="104" spans="2:23" x14ac:dyDescent="0.35">
      <c r="F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2:23" x14ac:dyDescent="0.35">
      <c r="F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2:23" ht="15" thickBot="1" x14ac:dyDescent="0.4">
      <c r="F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2:23" ht="15" thickBot="1" x14ac:dyDescent="0.4">
      <c r="B107" s="4" t="s">
        <v>25</v>
      </c>
      <c r="C107" s="18">
        <v>42</v>
      </c>
      <c r="D107" s="19">
        <v>0.33</v>
      </c>
      <c r="E107" s="19">
        <v>1</v>
      </c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8" spans="2:23" ht="15" thickBot="1" x14ac:dyDescent="0.4">
      <c r="B108" s="4" t="s">
        <v>22</v>
      </c>
      <c r="C108" s="18">
        <v>22</v>
      </c>
      <c r="D108" s="19">
        <v>0.19</v>
      </c>
      <c r="E108" s="19">
        <v>0.52</v>
      </c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2:23" ht="15" thickBot="1" x14ac:dyDescent="0.4">
      <c r="B109" s="4" t="s">
        <v>29</v>
      </c>
      <c r="C109" s="18">
        <v>20</v>
      </c>
      <c r="D109" s="19">
        <v>0.06</v>
      </c>
      <c r="E109" s="19">
        <v>0.48</v>
      </c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</row>
    <row r="110" spans="2:23" x14ac:dyDescent="0.35"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2:23" ht="30" customHeight="1" x14ac:dyDescent="0.3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2:23" x14ac:dyDescent="0.35"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6:23" x14ac:dyDescent="0.35"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6:23" x14ac:dyDescent="0.35"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6:23" x14ac:dyDescent="0.35"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24" spans="6:23" x14ac:dyDescent="0.35"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6:23" x14ac:dyDescent="0.35"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6:23" x14ac:dyDescent="0.35"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7" spans="6:23" x14ac:dyDescent="0.35"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6:23" x14ac:dyDescent="0.35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6:23" x14ac:dyDescent="0.35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6:23" x14ac:dyDescent="0.35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6:23" x14ac:dyDescent="0.35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6:23" x14ac:dyDescent="0.35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6:23" x14ac:dyDescent="0.35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6:23" x14ac:dyDescent="0.35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6:23" x14ac:dyDescent="0.35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6:23" x14ac:dyDescent="0.35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6:23" x14ac:dyDescent="0.35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6:23" x14ac:dyDescent="0.35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6:23" x14ac:dyDescent="0.35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6:23" x14ac:dyDescent="0.35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6:23" x14ac:dyDescent="0.35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6:23" x14ac:dyDescent="0.35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6:23" x14ac:dyDescent="0.35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6:23" x14ac:dyDescent="0.35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6:23" x14ac:dyDescent="0.35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6:23" x14ac:dyDescent="0.35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6:23" x14ac:dyDescent="0.35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6:23" x14ac:dyDescent="0.35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6:23" x14ac:dyDescent="0.35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6:23" x14ac:dyDescent="0.35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6:23" x14ac:dyDescent="0.35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6:23" x14ac:dyDescent="0.35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6:23" x14ac:dyDescent="0.35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6:23" x14ac:dyDescent="0.35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6:23" x14ac:dyDescent="0.35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6:23" x14ac:dyDescent="0.35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6:23" x14ac:dyDescent="0.35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6:23" x14ac:dyDescent="0.35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6:23" x14ac:dyDescent="0.35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6:23" x14ac:dyDescent="0.35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6:23" x14ac:dyDescent="0.35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</sheetData>
  <sheetProtection selectLockedCells="1" selectUnlockedCells="1"/>
  <mergeCells count="5">
    <mergeCell ref="F7:W9"/>
    <mergeCell ref="F79:W81"/>
    <mergeCell ref="F101:W103"/>
    <mergeCell ref="F31:W33"/>
    <mergeCell ref="F55:W57"/>
  </mergeCells>
  <pageMargins left="0.511811024" right="0.511811024" top="0.78740157499999996" bottom="0.78740157499999996" header="0.31496062000000002" footer="0.31496062000000002"/>
  <pageSetup paperSize="8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ADERÊNCIA OUTUBRO</vt:lpstr>
      <vt:lpstr>ADERÊNCIA SETEMBRO</vt:lpstr>
      <vt:lpstr>% DE DESVIO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Honorato</dc:creator>
  <cp:lastModifiedBy>Maiza Porto</cp:lastModifiedBy>
  <cp:lastPrinted>2022-09-27T19:29:13Z</cp:lastPrinted>
  <dcterms:created xsi:type="dcterms:W3CDTF">2022-08-31T13:32:23Z</dcterms:created>
  <dcterms:modified xsi:type="dcterms:W3CDTF">2023-10-30T12:47:59Z</dcterms:modified>
</cp:coreProperties>
</file>