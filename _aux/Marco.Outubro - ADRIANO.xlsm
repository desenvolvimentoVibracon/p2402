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iza.porto\Desktop\Marco - Outubro 2023\"/>
    </mc:Choice>
  </mc:AlternateContent>
  <xr:revisionPtr revIDLastSave="0" documentId="13_ncr:1_{8C5FBA2F-778B-47BB-9DB3-97ED9CC600F3}" xr6:coauthVersionLast="47" xr6:coauthVersionMax="47" xr10:uidLastSave="{00000000-0000-0000-0000-000000000000}"/>
  <bookViews>
    <workbookView showSheetTabs="0" xWindow="28680" yWindow="-120" windowWidth="29040" windowHeight="15840" tabRatio="855" xr2:uid="{00000000-000D-0000-FFFF-FFFF00000000}"/>
  </bookViews>
  <sheets>
    <sheet name="ADRIANO" sheetId="26" r:id="rId1"/>
    <sheet name="PA ADRIANO" sheetId="13" r:id="rId2"/>
    <sheet name="% DE DESVIO" sheetId="29" r:id="rId3"/>
    <sheet name="ADERÊNCIA" sheetId="11" state="hidden" r:id="rId4"/>
  </sheets>
  <externalReferences>
    <externalReference r:id="rId5"/>
  </externalReferences>
  <definedNames>
    <definedName name="_xlnm._FilterDatabase" localSheetId="0" hidden="1">ADRIANO!$A$4:$AB$149</definedName>
    <definedName name="primeiro" localSheetId="0">ADRIANO!#REF!</definedName>
    <definedName name="primeiro" localSheetId="1">'PA ADRIANO'!#REF!</definedName>
    <definedName name="primeir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9" i="26" l="1"/>
  <c r="U109" i="26"/>
  <c r="V109" i="26"/>
  <c r="W109" i="26"/>
  <c r="X109" i="26"/>
  <c r="C109" i="26"/>
  <c r="C110" i="26"/>
  <c r="C111" i="26"/>
  <c r="D108" i="26"/>
  <c r="E108" i="26"/>
  <c r="F108" i="26"/>
  <c r="G108" i="26"/>
  <c r="H108" i="26"/>
  <c r="I108" i="26"/>
  <c r="J108" i="26"/>
  <c r="K108" i="26"/>
  <c r="L108" i="26"/>
  <c r="M108" i="26"/>
  <c r="N108" i="26"/>
  <c r="O108" i="26"/>
  <c r="Q108" i="26"/>
  <c r="R108" i="26"/>
  <c r="S108" i="26"/>
  <c r="T108" i="26"/>
  <c r="U108" i="26"/>
  <c r="V108" i="26"/>
  <c r="W108" i="26"/>
  <c r="X108" i="26"/>
  <c r="D109" i="26"/>
  <c r="E109" i="26"/>
  <c r="F109" i="26"/>
  <c r="G109" i="26"/>
  <c r="H109" i="26"/>
  <c r="I109" i="26"/>
  <c r="J109" i="26"/>
  <c r="K109" i="26"/>
  <c r="L109" i="26"/>
  <c r="M109" i="26"/>
  <c r="N109" i="26"/>
  <c r="O109" i="26"/>
  <c r="P109" i="26"/>
  <c r="Q109" i="26"/>
  <c r="R109" i="26"/>
  <c r="D110" i="26"/>
  <c r="E110" i="26"/>
  <c r="F110" i="26"/>
  <c r="G110" i="26"/>
  <c r="H110" i="26"/>
  <c r="I110" i="26"/>
  <c r="J110" i="26"/>
  <c r="K110" i="26"/>
  <c r="L110" i="26"/>
  <c r="M110" i="26"/>
  <c r="N110" i="26"/>
  <c r="O110" i="26"/>
  <c r="P110" i="26"/>
  <c r="Q110" i="26"/>
  <c r="R110" i="26"/>
  <c r="S110" i="26"/>
  <c r="T110" i="26"/>
  <c r="U110" i="26"/>
  <c r="V110" i="26"/>
  <c r="W110" i="26"/>
  <c r="X110" i="26"/>
  <c r="D111" i="26"/>
  <c r="E111" i="26"/>
  <c r="F111" i="26"/>
  <c r="G111" i="26"/>
  <c r="H111" i="26"/>
  <c r="I111" i="26"/>
  <c r="J111" i="26"/>
  <c r="K111" i="26"/>
  <c r="L111" i="26"/>
  <c r="M111" i="26"/>
  <c r="N111" i="26"/>
  <c r="O111" i="26"/>
  <c r="P111" i="26"/>
  <c r="Q111" i="26"/>
  <c r="R111" i="26"/>
  <c r="S111" i="26"/>
  <c r="T111" i="26"/>
  <c r="U111" i="26"/>
  <c r="V111" i="26"/>
  <c r="W111" i="26"/>
  <c r="X11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P42" i="26"/>
  <c r="Q42" i="26"/>
  <c r="R42" i="26"/>
  <c r="S42" i="26"/>
  <c r="T42" i="26"/>
  <c r="U42" i="26"/>
  <c r="V42" i="26"/>
  <c r="W42" i="26"/>
  <c r="X42" i="26"/>
  <c r="N12" i="26"/>
  <c r="O12" i="26"/>
  <c r="P12" i="26"/>
  <c r="Q12" i="26"/>
  <c r="BI19" i="26"/>
  <c r="BI24" i="26"/>
  <c r="BI23" i="26"/>
  <c r="BI16" i="26"/>
  <c r="BP8" i="26" l="1"/>
  <c r="BI17" i="26"/>
  <c r="BI20" i="26" s="1"/>
  <c r="D20" i="26" l="1"/>
  <c r="E20" i="26"/>
  <c r="F20" i="26"/>
  <c r="G20" i="26"/>
  <c r="H20" i="26"/>
  <c r="I20" i="26"/>
  <c r="J20" i="26"/>
  <c r="K20" i="26"/>
  <c r="L20" i="26"/>
  <c r="M20" i="26"/>
  <c r="N20" i="26"/>
  <c r="O20" i="26"/>
  <c r="P20" i="26"/>
  <c r="Q20" i="26"/>
  <c r="R20" i="26"/>
  <c r="S20" i="26"/>
  <c r="T20" i="26"/>
  <c r="U20" i="26"/>
  <c r="V20" i="26"/>
  <c r="W20" i="26"/>
  <c r="X20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P15" i="26"/>
  <c r="Q15" i="26"/>
  <c r="R15" i="26"/>
  <c r="S15" i="26"/>
  <c r="T15" i="26"/>
  <c r="U15" i="26"/>
  <c r="V15" i="26"/>
  <c r="W15" i="26"/>
  <c r="X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P16" i="26"/>
  <c r="Q16" i="26"/>
  <c r="R16" i="26"/>
  <c r="S16" i="26"/>
  <c r="T16" i="26"/>
  <c r="U16" i="26"/>
  <c r="V16" i="26"/>
  <c r="W16" i="26"/>
  <c r="X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P17" i="26"/>
  <c r="Q17" i="26"/>
  <c r="R17" i="26"/>
  <c r="S17" i="26"/>
  <c r="T17" i="26"/>
  <c r="U17" i="26"/>
  <c r="V17" i="26"/>
  <c r="W17" i="26"/>
  <c r="X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P18" i="26"/>
  <c r="Q18" i="26"/>
  <c r="R18" i="26"/>
  <c r="S18" i="26"/>
  <c r="T18" i="26"/>
  <c r="U18" i="26"/>
  <c r="V18" i="26"/>
  <c r="W18" i="26"/>
  <c r="X18" i="26"/>
  <c r="I116" i="26"/>
  <c r="J116" i="26"/>
  <c r="K116" i="26"/>
  <c r="L116" i="26"/>
  <c r="M116" i="26"/>
  <c r="N116" i="26"/>
  <c r="O116" i="26"/>
  <c r="P116" i="26"/>
  <c r="Q116" i="26"/>
  <c r="R116" i="26"/>
  <c r="S116" i="26"/>
  <c r="T116" i="26"/>
  <c r="U116" i="26"/>
  <c r="I117" i="26"/>
  <c r="J117" i="26"/>
  <c r="K117" i="26"/>
  <c r="L117" i="26"/>
  <c r="M117" i="26"/>
  <c r="N117" i="26"/>
  <c r="O117" i="26"/>
  <c r="P117" i="26"/>
  <c r="Q117" i="26"/>
  <c r="R117" i="26"/>
  <c r="S117" i="26"/>
  <c r="T117" i="26"/>
  <c r="U117" i="26"/>
  <c r="I119" i="26"/>
  <c r="J119" i="26"/>
  <c r="K119" i="26"/>
  <c r="L119" i="26"/>
  <c r="M119" i="26"/>
  <c r="N119" i="26"/>
  <c r="O119" i="26"/>
  <c r="P119" i="26"/>
  <c r="Q119" i="26"/>
  <c r="R119" i="26"/>
  <c r="S119" i="26"/>
  <c r="T119" i="26"/>
  <c r="U119" i="26"/>
  <c r="Q72" i="26"/>
  <c r="D122" i="26"/>
  <c r="E122" i="26"/>
  <c r="F122" i="26"/>
  <c r="G122" i="26"/>
  <c r="H122" i="26"/>
  <c r="I122" i="26"/>
  <c r="J122" i="26"/>
  <c r="K122" i="26"/>
  <c r="L122" i="26"/>
  <c r="M122" i="26"/>
  <c r="N122" i="26"/>
  <c r="O122" i="26"/>
  <c r="P122" i="26"/>
  <c r="Q122" i="26"/>
  <c r="R122" i="26"/>
  <c r="S122" i="26"/>
  <c r="T122" i="26"/>
  <c r="U122" i="26"/>
  <c r="V122" i="26"/>
  <c r="W122" i="26"/>
  <c r="X122" i="26"/>
  <c r="D123" i="26"/>
  <c r="E123" i="26"/>
  <c r="F123" i="26"/>
  <c r="G123" i="26"/>
  <c r="H123" i="26"/>
  <c r="I123" i="26"/>
  <c r="J123" i="26"/>
  <c r="K123" i="26"/>
  <c r="L123" i="26"/>
  <c r="M123" i="26"/>
  <c r="N123" i="26"/>
  <c r="O123" i="26"/>
  <c r="P123" i="26"/>
  <c r="Q123" i="26"/>
  <c r="R123" i="26"/>
  <c r="S123" i="26"/>
  <c r="T123" i="26"/>
  <c r="U123" i="26"/>
  <c r="V123" i="26"/>
  <c r="W123" i="26"/>
  <c r="X123" i="26"/>
  <c r="C123" i="26"/>
  <c r="C122" i="26"/>
  <c r="A147" i="26" l="1"/>
  <c r="A148" i="26"/>
  <c r="A149" i="26"/>
  <c r="A146" i="26"/>
  <c r="A143" i="26"/>
  <c r="A144" i="26"/>
  <c r="A142" i="26"/>
  <c r="A134" i="26"/>
  <c r="A135" i="26"/>
  <c r="A136" i="26"/>
  <c r="A138" i="26"/>
  <c r="A133" i="26"/>
  <c r="A127" i="26"/>
  <c r="A128" i="26"/>
  <c r="A126" i="26"/>
  <c r="A117" i="26"/>
  <c r="A119" i="26"/>
  <c r="A116" i="26"/>
  <c r="A106" i="26"/>
  <c r="A107" i="26"/>
  <c r="A108" i="26"/>
  <c r="A109" i="26"/>
  <c r="A110" i="26"/>
  <c r="A111" i="26"/>
  <c r="A105" i="26"/>
  <c r="A102" i="26"/>
  <c r="A96" i="26"/>
  <c r="A95" i="26"/>
  <c r="A93" i="26"/>
  <c r="A92" i="26"/>
  <c r="A88" i="26"/>
  <c r="A87" i="26"/>
  <c r="A85" i="26"/>
  <c r="A84" i="26"/>
  <c r="A80" i="26"/>
  <c r="A75" i="26"/>
  <c r="A74" i="26"/>
  <c r="A72" i="26"/>
  <c r="A69" i="26"/>
  <c r="A68" i="26"/>
  <c r="A66" i="26"/>
  <c r="A65" i="26"/>
  <c r="A61" i="26"/>
  <c r="A59" i="26"/>
  <c r="A57" i="26"/>
  <c r="A56" i="26"/>
  <c r="A53" i="26"/>
  <c r="A54" i="26"/>
  <c r="A52" i="26"/>
  <c r="A47" i="26"/>
  <c r="A48" i="26"/>
  <c r="A46" i="26"/>
  <c r="A43" i="26"/>
  <c r="A44" i="26"/>
  <c r="A42" i="26"/>
  <c r="A38" i="26"/>
  <c r="A39" i="26"/>
  <c r="A40" i="26"/>
  <c r="A37" i="26"/>
  <c r="A32" i="26"/>
  <c r="A31" i="26"/>
  <c r="A18" i="26"/>
  <c r="A20" i="26"/>
  <c r="A21" i="26"/>
  <c r="A22" i="26"/>
  <c r="A23" i="26"/>
  <c r="A15" i="26"/>
  <c r="A16" i="26"/>
  <c r="A17" i="26"/>
  <c r="A10" i="26"/>
  <c r="A12" i="26"/>
  <c r="A9" i="26"/>
  <c r="AI7" i="26"/>
  <c r="AJ7" i="26" s="1"/>
  <c r="AK7" i="26"/>
  <c r="AL7" i="26" s="1"/>
  <c r="AM7" i="26"/>
  <c r="AN7" i="26" s="1"/>
  <c r="AO7" i="26"/>
  <c r="AP7" i="26" s="1"/>
  <c r="AQ7" i="26"/>
  <c r="AR7" i="26" s="1"/>
  <c r="AI8" i="26"/>
  <c r="AJ8" i="26" s="1"/>
  <c r="AK8" i="26"/>
  <c r="AL8" i="26" s="1"/>
  <c r="AM8" i="26"/>
  <c r="AN8" i="26" s="1"/>
  <c r="AO8" i="26"/>
  <c r="AP8" i="26" s="1"/>
  <c r="AQ8" i="26"/>
  <c r="AR8" i="26" s="1"/>
  <c r="AI11" i="26"/>
  <c r="AJ11" i="26" s="1"/>
  <c r="AK11" i="26"/>
  <c r="AL11" i="26" s="1"/>
  <c r="AM11" i="26"/>
  <c r="AN11" i="26" s="1"/>
  <c r="AO11" i="26"/>
  <c r="AP11" i="26" s="1"/>
  <c r="AQ11" i="26"/>
  <c r="AR11" i="26" s="1"/>
  <c r="AI13" i="26"/>
  <c r="AJ13" i="26" s="1"/>
  <c r="AK13" i="26"/>
  <c r="AL13" i="26" s="1"/>
  <c r="AM13" i="26"/>
  <c r="AN13" i="26" s="1"/>
  <c r="AO13" i="26"/>
  <c r="AP13" i="26" s="1"/>
  <c r="AQ13" i="26"/>
  <c r="AR13" i="26" s="1"/>
  <c r="AI14" i="26"/>
  <c r="AJ14" i="26" s="1"/>
  <c r="AK14" i="26"/>
  <c r="AL14" i="26" s="1"/>
  <c r="AM14" i="26"/>
  <c r="AN14" i="26" s="1"/>
  <c r="AO14" i="26"/>
  <c r="AP14" i="26" s="1"/>
  <c r="AQ14" i="26"/>
  <c r="AR14" i="26" s="1"/>
  <c r="AI19" i="26"/>
  <c r="AJ19" i="26" s="1"/>
  <c r="AK19" i="26"/>
  <c r="AL19" i="26" s="1"/>
  <c r="AM19" i="26"/>
  <c r="AN19" i="26" s="1"/>
  <c r="AO19" i="26"/>
  <c r="AP19" i="26" s="1"/>
  <c r="AQ19" i="26"/>
  <c r="AR19" i="26" s="1"/>
  <c r="AI24" i="26"/>
  <c r="AJ24" i="26" s="1"/>
  <c r="AK24" i="26"/>
  <c r="AL24" i="26" s="1"/>
  <c r="AM24" i="26"/>
  <c r="AN24" i="26" s="1"/>
  <c r="AO24" i="26"/>
  <c r="AP24" i="26" s="1"/>
  <c r="AQ24" i="26"/>
  <c r="AR24" i="26" s="1"/>
  <c r="AI25" i="26"/>
  <c r="AJ25" i="26" s="1"/>
  <c r="AK25" i="26"/>
  <c r="AL25" i="26" s="1"/>
  <c r="AM25" i="26"/>
  <c r="AN25" i="26" s="1"/>
  <c r="AO25" i="26"/>
  <c r="AP25" i="26" s="1"/>
  <c r="AQ25" i="26"/>
  <c r="AR25" i="26" s="1"/>
  <c r="AI26" i="26"/>
  <c r="AJ26" i="26" s="1"/>
  <c r="AK26" i="26"/>
  <c r="AL26" i="26" s="1"/>
  <c r="AM26" i="26"/>
  <c r="AN26" i="26" s="1"/>
  <c r="AO26" i="26"/>
  <c r="AP26" i="26" s="1"/>
  <c r="AQ26" i="26"/>
  <c r="AR26" i="26" s="1"/>
  <c r="AI27" i="26"/>
  <c r="AJ27" i="26" s="1"/>
  <c r="AK27" i="26"/>
  <c r="AL27" i="26" s="1"/>
  <c r="AM27" i="26"/>
  <c r="AN27" i="26" s="1"/>
  <c r="AO27" i="26"/>
  <c r="AP27" i="26" s="1"/>
  <c r="AQ27" i="26"/>
  <c r="AR27" i="26" s="1"/>
  <c r="AI28" i="26"/>
  <c r="AJ28" i="26" s="1"/>
  <c r="AK28" i="26"/>
  <c r="AL28" i="26" s="1"/>
  <c r="AM28" i="26"/>
  <c r="AN28" i="26" s="1"/>
  <c r="AO28" i="26"/>
  <c r="AP28" i="26" s="1"/>
  <c r="AQ28" i="26"/>
  <c r="AR28" i="26" s="1"/>
  <c r="AI29" i="26"/>
  <c r="AJ29" i="26" s="1"/>
  <c r="AK29" i="26"/>
  <c r="AL29" i="26" s="1"/>
  <c r="AM29" i="26"/>
  <c r="AN29" i="26" s="1"/>
  <c r="AO29" i="26"/>
  <c r="AP29" i="26" s="1"/>
  <c r="AQ29" i="26"/>
  <c r="AR29" i="26" s="1"/>
  <c r="AI30" i="26"/>
  <c r="AJ30" i="26" s="1"/>
  <c r="AK30" i="26"/>
  <c r="AL30" i="26" s="1"/>
  <c r="AM30" i="26"/>
  <c r="AN30" i="26" s="1"/>
  <c r="AO30" i="26"/>
  <c r="AP30" i="26" s="1"/>
  <c r="AQ30" i="26"/>
  <c r="AR30" i="26" s="1"/>
  <c r="AI33" i="26"/>
  <c r="AJ33" i="26" s="1"/>
  <c r="AK33" i="26"/>
  <c r="AL33" i="26"/>
  <c r="AM33" i="26"/>
  <c r="AN33" i="26" s="1"/>
  <c r="AO33" i="26"/>
  <c r="AP33" i="26" s="1"/>
  <c r="AQ33" i="26"/>
  <c r="AR33" i="26" s="1"/>
  <c r="AI34" i="26"/>
  <c r="AJ34" i="26" s="1"/>
  <c r="AK34" i="26"/>
  <c r="AL34" i="26" s="1"/>
  <c r="AM34" i="26"/>
  <c r="AN34" i="26" s="1"/>
  <c r="AO34" i="26"/>
  <c r="AP34" i="26" s="1"/>
  <c r="AQ34" i="26"/>
  <c r="AR34" i="26" s="1"/>
  <c r="AI35" i="26"/>
  <c r="AJ35" i="26" s="1"/>
  <c r="AK35" i="26"/>
  <c r="AL35" i="26" s="1"/>
  <c r="AM35" i="26"/>
  <c r="AN35" i="26" s="1"/>
  <c r="AO35" i="26"/>
  <c r="AP35" i="26" s="1"/>
  <c r="AQ35" i="26"/>
  <c r="AR35" i="26" s="1"/>
  <c r="AI36" i="26"/>
  <c r="AJ36" i="26" s="1"/>
  <c r="AK36" i="26"/>
  <c r="AL36" i="26" s="1"/>
  <c r="AM36" i="26"/>
  <c r="AN36" i="26" s="1"/>
  <c r="AO36" i="26"/>
  <c r="AP36" i="26" s="1"/>
  <c r="AQ36" i="26"/>
  <c r="AR36" i="26" s="1"/>
  <c r="AI41" i="26"/>
  <c r="AJ41" i="26" s="1"/>
  <c r="AK41" i="26"/>
  <c r="AL41" i="26" s="1"/>
  <c r="AM41" i="26"/>
  <c r="AN41" i="26" s="1"/>
  <c r="AO41" i="26"/>
  <c r="AP41" i="26" s="1"/>
  <c r="AQ41" i="26"/>
  <c r="AR41" i="26" s="1"/>
  <c r="AI45" i="26"/>
  <c r="AJ45" i="26" s="1"/>
  <c r="AK45" i="26"/>
  <c r="AL45" i="26" s="1"/>
  <c r="AM45" i="26"/>
  <c r="AN45" i="26" s="1"/>
  <c r="AO45" i="26"/>
  <c r="AP45" i="26" s="1"/>
  <c r="AQ45" i="26"/>
  <c r="AR45" i="26" s="1"/>
  <c r="AI49" i="26"/>
  <c r="AJ49" i="26" s="1"/>
  <c r="AK49" i="26"/>
  <c r="AL49" i="26" s="1"/>
  <c r="AM49" i="26"/>
  <c r="AN49" i="26" s="1"/>
  <c r="AO49" i="26"/>
  <c r="AP49" i="26" s="1"/>
  <c r="AQ49" i="26"/>
  <c r="AR49" i="26" s="1"/>
  <c r="AI50" i="26"/>
  <c r="AJ50" i="26" s="1"/>
  <c r="AK50" i="26"/>
  <c r="AL50" i="26" s="1"/>
  <c r="AM50" i="26"/>
  <c r="AN50" i="26" s="1"/>
  <c r="AO50" i="26"/>
  <c r="AP50" i="26" s="1"/>
  <c r="AQ50" i="26"/>
  <c r="AR50" i="26" s="1"/>
  <c r="AI51" i="26"/>
  <c r="AJ51" i="26" s="1"/>
  <c r="AK51" i="26"/>
  <c r="AL51" i="26" s="1"/>
  <c r="AM51" i="26"/>
  <c r="AN51" i="26" s="1"/>
  <c r="AO51" i="26"/>
  <c r="AP51" i="26" s="1"/>
  <c r="AQ51" i="26"/>
  <c r="AR51" i="26" s="1"/>
  <c r="AI55" i="26"/>
  <c r="AJ55" i="26" s="1"/>
  <c r="AK55" i="26"/>
  <c r="AL55" i="26" s="1"/>
  <c r="AM55" i="26"/>
  <c r="AN55" i="26" s="1"/>
  <c r="AO55" i="26"/>
  <c r="AP55" i="26"/>
  <c r="AQ55" i="26"/>
  <c r="AR55" i="26" s="1"/>
  <c r="AI58" i="26"/>
  <c r="AJ58" i="26" s="1"/>
  <c r="AK58" i="26"/>
  <c r="AL58" i="26" s="1"/>
  <c r="AM58" i="26"/>
  <c r="AN58" i="26" s="1"/>
  <c r="AO58" i="26"/>
  <c r="AP58" i="26" s="1"/>
  <c r="AQ58" i="26"/>
  <c r="AR58" i="26" s="1"/>
  <c r="AI60" i="26"/>
  <c r="AJ60" i="26" s="1"/>
  <c r="AK60" i="26"/>
  <c r="AL60" i="26" s="1"/>
  <c r="AM60" i="26"/>
  <c r="AN60" i="26" s="1"/>
  <c r="AO60" i="26"/>
  <c r="AP60" i="26" s="1"/>
  <c r="AQ60" i="26"/>
  <c r="AR60" i="26" s="1"/>
  <c r="AI62" i="26"/>
  <c r="AJ62" i="26" s="1"/>
  <c r="AK62" i="26"/>
  <c r="AL62" i="26" s="1"/>
  <c r="AM62" i="26"/>
  <c r="AN62" i="26" s="1"/>
  <c r="AO62" i="26"/>
  <c r="AP62" i="26" s="1"/>
  <c r="AQ62" i="26"/>
  <c r="AR62" i="26" s="1"/>
  <c r="AI63" i="26"/>
  <c r="AJ63" i="26" s="1"/>
  <c r="AK63" i="26"/>
  <c r="AL63" i="26" s="1"/>
  <c r="AM63" i="26"/>
  <c r="AN63" i="26" s="1"/>
  <c r="AO63" i="26"/>
  <c r="AP63" i="26" s="1"/>
  <c r="AQ63" i="26"/>
  <c r="AR63" i="26" s="1"/>
  <c r="AI64" i="26"/>
  <c r="AJ64" i="26" s="1"/>
  <c r="AK64" i="26"/>
  <c r="AL64" i="26" s="1"/>
  <c r="AM64" i="26"/>
  <c r="AN64" i="26" s="1"/>
  <c r="AO64" i="26"/>
  <c r="AP64" i="26" s="1"/>
  <c r="AQ64" i="26"/>
  <c r="AR64" i="26" s="1"/>
  <c r="AI67" i="26"/>
  <c r="AJ67" i="26" s="1"/>
  <c r="AK67" i="26"/>
  <c r="AL67" i="26" s="1"/>
  <c r="AM67" i="26"/>
  <c r="AN67" i="26" s="1"/>
  <c r="AO67" i="26"/>
  <c r="AP67" i="26" s="1"/>
  <c r="AQ67" i="26"/>
  <c r="AR67" i="26" s="1"/>
  <c r="AI70" i="26"/>
  <c r="AJ70" i="26" s="1"/>
  <c r="AK70" i="26"/>
  <c r="AL70" i="26" s="1"/>
  <c r="AM70" i="26"/>
  <c r="AN70" i="26" s="1"/>
  <c r="AO70" i="26"/>
  <c r="AP70" i="26" s="1"/>
  <c r="AQ70" i="26"/>
  <c r="AR70" i="26" s="1"/>
  <c r="AI71" i="26"/>
  <c r="AJ71" i="26" s="1"/>
  <c r="AK71" i="26"/>
  <c r="AL71" i="26" s="1"/>
  <c r="AM71" i="26"/>
  <c r="AN71" i="26" s="1"/>
  <c r="AO71" i="26"/>
  <c r="AP71" i="26" s="1"/>
  <c r="AQ71" i="26"/>
  <c r="AR71" i="26" s="1"/>
  <c r="AI73" i="26"/>
  <c r="AJ73" i="26" s="1"/>
  <c r="AK73" i="26"/>
  <c r="AL73" i="26" s="1"/>
  <c r="AM73" i="26"/>
  <c r="AN73" i="26" s="1"/>
  <c r="AO73" i="26"/>
  <c r="AP73" i="26" s="1"/>
  <c r="AQ73" i="26"/>
  <c r="AR73" i="26" s="1"/>
  <c r="AI76" i="26"/>
  <c r="AJ76" i="26" s="1"/>
  <c r="AK76" i="26"/>
  <c r="AL76" i="26" s="1"/>
  <c r="AM76" i="26"/>
  <c r="AN76" i="26" s="1"/>
  <c r="AO76" i="26"/>
  <c r="AP76" i="26" s="1"/>
  <c r="AQ76" i="26"/>
  <c r="AR76" i="26" s="1"/>
  <c r="AI77" i="26"/>
  <c r="AJ77" i="26" s="1"/>
  <c r="AK77" i="26"/>
  <c r="AL77" i="26" s="1"/>
  <c r="AM77" i="26"/>
  <c r="AN77" i="26" s="1"/>
  <c r="AO77" i="26"/>
  <c r="AP77" i="26" s="1"/>
  <c r="AQ77" i="26"/>
  <c r="AR77" i="26" s="1"/>
  <c r="AI78" i="26"/>
  <c r="AJ78" i="26" s="1"/>
  <c r="AK78" i="26"/>
  <c r="AL78" i="26" s="1"/>
  <c r="AM78" i="26"/>
  <c r="AN78" i="26" s="1"/>
  <c r="AO78" i="26"/>
  <c r="AP78" i="26" s="1"/>
  <c r="AQ78" i="26"/>
  <c r="AR78" i="26" s="1"/>
  <c r="AI79" i="26"/>
  <c r="AJ79" i="26" s="1"/>
  <c r="AK79" i="26"/>
  <c r="AL79" i="26" s="1"/>
  <c r="AM79" i="26"/>
  <c r="AN79" i="26" s="1"/>
  <c r="AO79" i="26"/>
  <c r="AP79" i="26" s="1"/>
  <c r="AQ79" i="26"/>
  <c r="AR79" i="26" s="1"/>
  <c r="AI81" i="26"/>
  <c r="AJ81" i="26" s="1"/>
  <c r="AK81" i="26"/>
  <c r="AL81" i="26" s="1"/>
  <c r="AM81" i="26"/>
  <c r="AN81" i="26" s="1"/>
  <c r="AO81" i="26"/>
  <c r="AP81" i="26" s="1"/>
  <c r="AQ81" i="26"/>
  <c r="AR81" i="26" s="1"/>
  <c r="AI82" i="26"/>
  <c r="AJ82" i="26" s="1"/>
  <c r="AK82" i="26"/>
  <c r="AL82" i="26" s="1"/>
  <c r="AM82" i="26"/>
  <c r="AN82" i="26" s="1"/>
  <c r="AO82" i="26"/>
  <c r="AP82" i="26" s="1"/>
  <c r="AQ82" i="26"/>
  <c r="AR82" i="26" s="1"/>
  <c r="AI83" i="26"/>
  <c r="AJ83" i="26" s="1"/>
  <c r="AK83" i="26"/>
  <c r="AL83" i="26" s="1"/>
  <c r="AM83" i="26"/>
  <c r="AN83" i="26" s="1"/>
  <c r="AO83" i="26"/>
  <c r="AP83" i="26" s="1"/>
  <c r="AQ83" i="26"/>
  <c r="AR83" i="26" s="1"/>
  <c r="AI86" i="26"/>
  <c r="AJ86" i="26" s="1"/>
  <c r="AK86" i="26"/>
  <c r="AL86" i="26" s="1"/>
  <c r="AM86" i="26"/>
  <c r="AN86" i="26" s="1"/>
  <c r="AO86" i="26"/>
  <c r="AP86" i="26" s="1"/>
  <c r="AQ86" i="26"/>
  <c r="AR86" i="26" s="1"/>
  <c r="AI89" i="26"/>
  <c r="AJ89" i="26" s="1"/>
  <c r="AK89" i="26"/>
  <c r="AL89" i="26" s="1"/>
  <c r="AM89" i="26"/>
  <c r="AN89" i="26" s="1"/>
  <c r="AO89" i="26"/>
  <c r="AP89" i="26" s="1"/>
  <c r="AQ89" i="26"/>
  <c r="AR89" i="26" s="1"/>
  <c r="AI90" i="26"/>
  <c r="AJ90" i="26" s="1"/>
  <c r="AK90" i="26"/>
  <c r="AL90" i="26" s="1"/>
  <c r="AM90" i="26"/>
  <c r="AN90" i="26" s="1"/>
  <c r="AO90" i="26"/>
  <c r="AP90" i="26" s="1"/>
  <c r="AQ90" i="26"/>
  <c r="AR90" i="26" s="1"/>
  <c r="AI91" i="26"/>
  <c r="AJ91" i="26" s="1"/>
  <c r="AK91" i="26"/>
  <c r="AL91" i="26" s="1"/>
  <c r="AM91" i="26"/>
  <c r="AN91" i="26" s="1"/>
  <c r="AO91" i="26"/>
  <c r="AP91" i="26" s="1"/>
  <c r="AQ91" i="26"/>
  <c r="AR91" i="26" s="1"/>
  <c r="AI94" i="26"/>
  <c r="AJ94" i="26" s="1"/>
  <c r="AK94" i="26"/>
  <c r="AL94" i="26" s="1"/>
  <c r="AM94" i="26"/>
  <c r="AN94" i="26" s="1"/>
  <c r="AO94" i="26"/>
  <c r="AP94" i="26" s="1"/>
  <c r="AQ94" i="26"/>
  <c r="AR94" i="26" s="1"/>
  <c r="AI97" i="26"/>
  <c r="AJ97" i="26" s="1"/>
  <c r="AK97" i="26"/>
  <c r="AL97" i="26" s="1"/>
  <c r="AM97" i="26"/>
  <c r="AN97" i="26" s="1"/>
  <c r="AO97" i="26"/>
  <c r="AP97" i="26" s="1"/>
  <c r="AQ97" i="26"/>
  <c r="AR97" i="26" s="1"/>
  <c r="AI98" i="26"/>
  <c r="AJ98" i="26" s="1"/>
  <c r="AK98" i="26"/>
  <c r="AL98" i="26" s="1"/>
  <c r="AM98" i="26"/>
  <c r="AN98" i="26" s="1"/>
  <c r="AO98" i="26"/>
  <c r="AP98" i="26" s="1"/>
  <c r="AQ98" i="26"/>
  <c r="AR98" i="26" s="1"/>
  <c r="AI99" i="26"/>
  <c r="AJ99" i="26" s="1"/>
  <c r="AK99" i="26"/>
  <c r="AL99" i="26" s="1"/>
  <c r="AM99" i="26"/>
  <c r="AN99" i="26" s="1"/>
  <c r="AO99" i="26"/>
  <c r="AP99" i="26" s="1"/>
  <c r="AQ99" i="26"/>
  <c r="AR99" i="26" s="1"/>
  <c r="AI100" i="26"/>
  <c r="AJ100" i="26" s="1"/>
  <c r="AK100" i="26"/>
  <c r="AL100" i="26" s="1"/>
  <c r="AM100" i="26"/>
  <c r="AN100" i="26" s="1"/>
  <c r="AO100" i="26"/>
  <c r="AP100" i="26" s="1"/>
  <c r="AQ100" i="26"/>
  <c r="AR100" i="26" s="1"/>
  <c r="AI101" i="26"/>
  <c r="AJ101" i="26" s="1"/>
  <c r="AK101" i="26"/>
  <c r="AL101" i="26" s="1"/>
  <c r="AM101" i="26"/>
  <c r="AN101" i="26" s="1"/>
  <c r="AO101" i="26"/>
  <c r="AP101" i="26" s="1"/>
  <c r="AQ101" i="26"/>
  <c r="AR101" i="26" s="1"/>
  <c r="AI103" i="26"/>
  <c r="AJ103" i="26" s="1"/>
  <c r="AK103" i="26"/>
  <c r="AL103" i="26" s="1"/>
  <c r="AM103" i="26"/>
  <c r="AN103" i="26" s="1"/>
  <c r="AO103" i="26"/>
  <c r="AP103" i="26" s="1"/>
  <c r="AQ103" i="26"/>
  <c r="AR103" i="26" s="1"/>
  <c r="AI104" i="26"/>
  <c r="AJ104" i="26" s="1"/>
  <c r="AK104" i="26"/>
  <c r="AL104" i="26" s="1"/>
  <c r="AM104" i="26"/>
  <c r="AN104" i="26" s="1"/>
  <c r="AO104" i="26"/>
  <c r="AP104" i="26" s="1"/>
  <c r="AQ104" i="26"/>
  <c r="AR104" i="26" s="1"/>
  <c r="AI107" i="26"/>
  <c r="AJ107" i="26" s="1"/>
  <c r="AK107" i="26"/>
  <c r="AL107" i="26" s="1"/>
  <c r="AM107" i="26"/>
  <c r="AN107" i="26" s="1"/>
  <c r="AO107" i="26"/>
  <c r="AP107" i="26" s="1"/>
  <c r="AQ107" i="26"/>
  <c r="AR107" i="26" s="1"/>
  <c r="AI112" i="26"/>
  <c r="AJ112" i="26" s="1"/>
  <c r="AK112" i="26"/>
  <c r="AL112" i="26" s="1"/>
  <c r="AM112" i="26"/>
  <c r="AN112" i="26" s="1"/>
  <c r="AO112" i="26"/>
  <c r="AP112" i="26" s="1"/>
  <c r="AQ112" i="26"/>
  <c r="AR112" i="26" s="1"/>
  <c r="AI113" i="26"/>
  <c r="AJ113" i="26" s="1"/>
  <c r="AK113" i="26"/>
  <c r="AL113" i="26" s="1"/>
  <c r="AM113" i="26"/>
  <c r="AN113" i="26" s="1"/>
  <c r="AO113" i="26"/>
  <c r="AP113" i="26" s="1"/>
  <c r="AQ113" i="26"/>
  <c r="AR113" i="26" s="1"/>
  <c r="AI114" i="26"/>
  <c r="AJ114" i="26" s="1"/>
  <c r="AK114" i="26"/>
  <c r="AL114" i="26" s="1"/>
  <c r="AM114" i="26"/>
  <c r="AN114" i="26" s="1"/>
  <c r="AO114" i="26"/>
  <c r="AP114" i="26" s="1"/>
  <c r="AQ114" i="26"/>
  <c r="AR114" i="26" s="1"/>
  <c r="AI115" i="26"/>
  <c r="AJ115" i="26" s="1"/>
  <c r="AK115" i="26"/>
  <c r="AL115" i="26" s="1"/>
  <c r="AM115" i="26"/>
  <c r="AN115" i="26" s="1"/>
  <c r="AO115" i="26"/>
  <c r="AP115" i="26" s="1"/>
  <c r="AQ115" i="26"/>
  <c r="AR115" i="26" s="1"/>
  <c r="AI118" i="26"/>
  <c r="AJ118" i="26" s="1"/>
  <c r="AK118" i="26"/>
  <c r="AL118" i="26" s="1"/>
  <c r="AM118" i="26"/>
  <c r="AN118" i="26" s="1"/>
  <c r="AO118" i="26"/>
  <c r="AP118" i="26" s="1"/>
  <c r="AQ118" i="26"/>
  <c r="AR118" i="26" s="1"/>
  <c r="AI124" i="26"/>
  <c r="AJ124" i="26" s="1"/>
  <c r="AK124" i="26"/>
  <c r="AL124" i="26" s="1"/>
  <c r="AM124" i="26"/>
  <c r="AN124" i="26" s="1"/>
  <c r="AO124" i="26"/>
  <c r="AP124" i="26" s="1"/>
  <c r="AQ124" i="26"/>
  <c r="AR124" i="26" s="1"/>
  <c r="AI125" i="26"/>
  <c r="AJ125" i="26" s="1"/>
  <c r="AK125" i="26"/>
  <c r="AL125" i="26" s="1"/>
  <c r="AM125" i="26"/>
  <c r="AN125" i="26" s="1"/>
  <c r="AO125" i="26"/>
  <c r="AP125" i="26" s="1"/>
  <c r="AQ125" i="26"/>
  <c r="AR125" i="26" s="1"/>
  <c r="AI129" i="26"/>
  <c r="AJ129" i="26" s="1"/>
  <c r="AK129" i="26"/>
  <c r="AL129" i="26" s="1"/>
  <c r="AM129" i="26"/>
  <c r="AN129" i="26" s="1"/>
  <c r="AO129" i="26"/>
  <c r="AP129" i="26" s="1"/>
  <c r="AQ129" i="26"/>
  <c r="AR129" i="26" s="1"/>
  <c r="AI130" i="26"/>
  <c r="AJ130" i="26" s="1"/>
  <c r="AK130" i="26"/>
  <c r="AL130" i="26" s="1"/>
  <c r="AM130" i="26"/>
  <c r="AN130" i="26" s="1"/>
  <c r="AO130" i="26"/>
  <c r="AP130" i="26" s="1"/>
  <c r="AQ130" i="26"/>
  <c r="AR130" i="26" s="1"/>
  <c r="AI131" i="26"/>
  <c r="AJ131" i="26" s="1"/>
  <c r="AK131" i="26"/>
  <c r="AL131" i="26" s="1"/>
  <c r="AM131" i="26"/>
  <c r="AN131" i="26" s="1"/>
  <c r="AO131" i="26"/>
  <c r="AP131" i="26" s="1"/>
  <c r="AQ131" i="26"/>
  <c r="AR131" i="26" s="1"/>
  <c r="AI132" i="26"/>
  <c r="AJ132" i="26" s="1"/>
  <c r="AK132" i="26"/>
  <c r="AL132" i="26" s="1"/>
  <c r="AM132" i="26"/>
  <c r="AN132" i="26" s="1"/>
  <c r="AO132" i="26"/>
  <c r="AP132" i="26" s="1"/>
  <c r="AQ132" i="26"/>
  <c r="AR132" i="26" s="1"/>
  <c r="AI137" i="26"/>
  <c r="AJ137" i="26" s="1"/>
  <c r="AK137" i="26"/>
  <c r="AL137" i="26" s="1"/>
  <c r="AM137" i="26"/>
  <c r="AN137" i="26" s="1"/>
  <c r="AO137" i="26"/>
  <c r="AP137" i="26" s="1"/>
  <c r="AQ137" i="26"/>
  <c r="AR137" i="26" s="1"/>
  <c r="AI139" i="26"/>
  <c r="AJ139" i="26" s="1"/>
  <c r="AK139" i="26"/>
  <c r="AL139" i="26" s="1"/>
  <c r="AM139" i="26"/>
  <c r="AN139" i="26" s="1"/>
  <c r="AO139" i="26"/>
  <c r="AP139" i="26" s="1"/>
  <c r="AQ139" i="26"/>
  <c r="AR139" i="26" s="1"/>
  <c r="AI140" i="26"/>
  <c r="AJ140" i="26" s="1"/>
  <c r="AK140" i="26"/>
  <c r="AL140" i="26" s="1"/>
  <c r="AM140" i="26"/>
  <c r="AN140" i="26" s="1"/>
  <c r="AO140" i="26"/>
  <c r="AP140" i="26" s="1"/>
  <c r="AQ140" i="26"/>
  <c r="AR140" i="26" s="1"/>
  <c r="AI141" i="26"/>
  <c r="AJ141" i="26" s="1"/>
  <c r="AK141" i="26"/>
  <c r="AL141" i="26" s="1"/>
  <c r="AM141" i="26"/>
  <c r="AN141" i="26" s="1"/>
  <c r="AO141" i="26"/>
  <c r="AP141" i="26" s="1"/>
  <c r="AQ141" i="26"/>
  <c r="AR141" i="26" s="1"/>
  <c r="AI143" i="26"/>
  <c r="AJ143" i="26" s="1"/>
  <c r="AK143" i="26"/>
  <c r="AL143" i="26" s="1"/>
  <c r="AM143" i="26"/>
  <c r="AN143" i="26" s="1"/>
  <c r="AO143" i="26"/>
  <c r="AP143" i="26" s="1"/>
  <c r="AQ143" i="26"/>
  <c r="AR143" i="26" s="1"/>
  <c r="AI145" i="26"/>
  <c r="AJ145" i="26" s="1"/>
  <c r="AK145" i="26"/>
  <c r="AL145" i="26" s="1"/>
  <c r="AM145" i="26"/>
  <c r="AN145" i="26" s="1"/>
  <c r="AO145" i="26"/>
  <c r="AP145" i="26" s="1"/>
  <c r="AQ145" i="26"/>
  <c r="AR145" i="26" s="1"/>
  <c r="AQ6" i="26"/>
  <c r="AO6" i="26"/>
  <c r="AM6" i="26"/>
  <c r="AK6" i="26"/>
  <c r="AI6" i="26"/>
  <c r="AE37" i="26"/>
  <c r="AE38" i="26"/>
  <c r="AE39" i="26"/>
  <c r="AE40" i="26"/>
  <c r="AE41" i="26"/>
  <c r="AE42" i="26"/>
  <c r="AE43" i="26"/>
  <c r="AE44" i="26"/>
  <c r="AE45" i="26"/>
  <c r="AE46" i="26"/>
  <c r="AE47" i="26"/>
  <c r="AE48" i="26"/>
  <c r="AE49" i="26"/>
  <c r="AE50" i="26"/>
  <c r="AE51" i="26"/>
  <c r="AE52" i="26"/>
  <c r="AE53" i="26"/>
  <c r="AE54" i="26"/>
  <c r="AE55" i="26"/>
  <c r="AE56" i="26"/>
  <c r="AE57" i="26"/>
  <c r="AE58" i="26"/>
  <c r="AE59" i="26"/>
  <c r="AE60" i="26"/>
  <c r="AE61" i="26"/>
  <c r="AE62" i="26"/>
  <c r="AE63" i="26"/>
  <c r="AE64" i="26"/>
  <c r="AE65" i="26"/>
  <c r="AE66" i="26"/>
  <c r="AE67" i="26"/>
  <c r="AE68" i="26"/>
  <c r="AE69" i="26"/>
  <c r="AE70" i="26"/>
  <c r="AE71" i="26"/>
  <c r="AE72" i="26"/>
  <c r="AE73" i="26"/>
  <c r="AE74" i="26"/>
  <c r="AE75" i="26"/>
  <c r="AE76" i="26"/>
  <c r="AE77" i="26"/>
  <c r="AE78" i="26"/>
  <c r="AE79" i="26"/>
  <c r="AE80" i="26"/>
  <c r="AE81" i="26"/>
  <c r="AE82" i="26"/>
  <c r="AE83" i="26"/>
  <c r="AE84" i="26"/>
  <c r="AE85" i="26"/>
  <c r="AE86" i="26"/>
  <c r="AE87" i="26"/>
  <c r="AE88" i="26"/>
  <c r="AE89" i="26"/>
  <c r="AE90" i="26"/>
  <c r="AE91" i="26"/>
  <c r="AE92" i="26"/>
  <c r="AE93" i="26"/>
  <c r="AE94" i="26"/>
  <c r="AE95" i="26"/>
  <c r="AE96" i="26"/>
  <c r="AE97" i="26"/>
  <c r="AE98" i="26"/>
  <c r="AE99" i="26"/>
  <c r="AE100" i="26"/>
  <c r="AE101" i="26"/>
  <c r="AE102" i="26"/>
  <c r="AE103" i="26"/>
  <c r="AE104" i="26"/>
  <c r="AE105" i="26"/>
  <c r="AE106" i="26"/>
  <c r="AE107" i="26"/>
  <c r="AE108" i="26"/>
  <c r="AE109" i="26"/>
  <c r="AE110" i="26"/>
  <c r="AE111" i="26"/>
  <c r="AE112" i="26"/>
  <c r="AE113" i="26"/>
  <c r="AE114" i="26"/>
  <c r="AE115" i="26"/>
  <c r="AE116" i="26"/>
  <c r="AE117" i="26"/>
  <c r="AE118" i="26"/>
  <c r="AE119" i="26"/>
  <c r="AE124" i="26"/>
  <c r="AE125" i="26"/>
  <c r="AE126" i="26"/>
  <c r="AE127" i="26"/>
  <c r="AE128" i="26"/>
  <c r="AE129" i="26"/>
  <c r="AE130" i="26"/>
  <c r="AE131" i="26"/>
  <c r="AE132" i="26"/>
  <c r="AE133" i="26"/>
  <c r="AE134" i="26"/>
  <c r="AE135" i="26"/>
  <c r="AE136" i="26"/>
  <c r="AE137" i="26"/>
  <c r="AE138" i="26"/>
  <c r="AE139" i="26"/>
  <c r="AE140" i="26"/>
  <c r="AE141" i="26"/>
  <c r="AE142" i="26"/>
  <c r="AE143" i="26"/>
  <c r="AE144" i="26"/>
  <c r="AE145" i="26"/>
  <c r="AE146" i="26"/>
  <c r="AE147" i="26"/>
  <c r="AE148" i="26"/>
  <c r="AE149" i="26"/>
  <c r="AE7" i="26"/>
  <c r="AE8" i="26"/>
  <c r="AE9" i="26"/>
  <c r="AE10" i="26"/>
  <c r="AE11" i="26"/>
  <c r="AE12" i="26"/>
  <c r="AE13" i="26"/>
  <c r="AE14" i="26"/>
  <c r="AE15" i="26"/>
  <c r="AE16" i="26"/>
  <c r="AE17" i="26"/>
  <c r="AE18" i="26"/>
  <c r="AE19" i="26"/>
  <c r="AE20" i="26"/>
  <c r="AE21" i="26"/>
  <c r="AE22" i="26"/>
  <c r="AE23" i="26"/>
  <c r="AE24" i="26"/>
  <c r="AE25" i="26"/>
  <c r="AE26" i="26"/>
  <c r="AE27" i="26"/>
  <c r="AE28" i="26"/>
  <c r="AE29" i="26"/>
  <c r="AE30" i="26"/>
  <c r="AE31" i="26"/>
  <c r="AE32" i="26"/>
  <c r="AE33" i="26"/>
  <c r="AE34" i="26"/>
  <c r="AE35" i="26"/>
  <c r="AE36" i="26"/>
  <c r="X149" i="26"/>
  <c r="W149" i="26"/>
  <c r="V149" i="26"/>
  <c r="U149" i="26"/>
  <c r="T149" i="26"/>
  <c r="S149" i="26"/>
  <c r="R149" i="26"/>
  <c r="Q149" i="26"/>
  <c r="P149" i="26"/>
  <c r="O149" i="26"/>
  <c r="N149" i="26"/>
  <c r="M149" i="26"/>
  <c r="L149" i="26"/>
  <c r="K149" i="26"/>
  <c r="J149" i="26"/>
  <c r="I149" i="26"/>
  <c r="H149" i="26"/>
  <c r="G149" i="26"/>
  <c r="F149" i="26"/>
  <c r="E149" i="26"/>
  <c r="D149" i="26"/>
  <c r="C149" i="26"/>
  <c r="X148" i="26"/>
  <c r="W148" i="26"/>
  <c r="V148" i="26"/>
  <c r="U148" i="26"/>
  <c r="T148" i="26"/>
  <c r="S148" i="26"/>
  <c r="R148" i="26"/>
  <c r="Q148" i="26"/>
  <c r="P148" i="26"/>
  <c r="O148" i="26"/>
  <c r="N148" i="26"/>
  <c r="M148" i="26"/>
  <c r="L148" i="26"/>
  <c r="K148" i="26"/>
  <c r="J148" i="26"/>
  <c r="I148" i="26"/>
  <c r="H148" i="26"/>
  <c r="G148" i="26"/>
  <c r="F148" i="26"/>
  <c r="E148" i="26"/>
  <c r="D148" i="26"/>
  <c r="C148" i="26"/>
  <c r="X147" i="26"/>
  <c r="W147" i="26"/>
  <c r="V147" i="26"/>
  <c r="U147" i="26"/>
  <c r="T147" i="26"/>
  <c r="S147" i="26"/>
  <c r="R147" i="26"/>
  <c r="Q147" i="26"/>
  <c r="P147" i="26"/>
  <c r="O147" i="26"/>
  <c r="N147" i="26"/>
  <c r="M147" i="26"/>
  <c r="L147" i="26"/>
  <c r="K147" i="26"/>
  <c r="J147" i="26"/>
  <c r="I147" i="26"/>
  <c r="H147" i="26"/>
  <c r="G147" i="26"/>
  <c r="F147" i="26"/>
  <c r="E147" i="26"/>
  <c r="D147" i="26"/>
  <c r="C147" i="26"/>
  <c r="X146" i="26"/>
  <c r="W146" i="26"/>
  <c r="V146" i="26"/>
  <c r="U146" i="26"/>
  <c r="T146" i="26"/>
  <c r="S146" i="26"/>
  <c r="R146" i="26"/>
  <c r="Q146" i="26"/>
  <c r="P146" i="26"/>
  <c r="O146" i="26"/>
  <c r="N146" i="26"/>
  <c r="M146" i="26"/>
  <c r="L146" i="26"/>
  <c r="K146" i="26"/>
  <c r="J146" i="26"/>
  <c r="I146" i="26"/>
  <c r="H146" i="26"/>
  <c r="G146" i="26"/>
  <c r="F146" i="26"/>
  <c r="E146" i="26"/>
  <c r="D146" i="26"/>
  <c r="C146" i="26"/>
  <c r="X144" i="26"/>
  <c r="W144" i="26"/>
  <c r="V144" i="26"/>
  <c r="U144" i="26"/>
  <c r="T144" i="26"/>
  <c r="S144" i="26"/>
  <c r="R144" i="26"/>
  <c r="Q144" i="26"/>
  <c r="P144" i="26"/>
  <c r="O144" i="26"/>
  <c r="N144" i="26"/>
  <c r="M144" i="26"/>
  <c r="L144" i="26"/>
  <c r="K144" i="26"/>
  <c r="J144" i="26"/>
  <c r="I144" i="26"/>
  <c r="H144" i="26"/>
  <c r="G144" i="26"/>
  <c r="F144" i="26"/>
  <c r="E144" i="26"/>
  <c r="D144" i="26"/>
  <c r="C144" i="26"/>
  <c r="X142" i="26"/>
  <c r="W142" i="26"/>
  <c r="V142" i="26"/>
  <c r="U142" i="26"/>
  <c r="T142" i="26"/>
  <c r="S142" i="26"/>
  <c r="R142" i="26"/>
  <c r="Q142" i="26"/>
  <c r="P142" i="26"/>
  <c r="O142" i="26"/>
  <c r="N142" i="26"/>
  <c r="M142" i="26"/>
  <c r="L142" i="26"/>
  <c r="K142" i="26"/>
  <c r="J142" i="26"/>
  <c r="I142" i="26"/>
  <c r="H142" i="26"/>
  <c r="G142" i="26"/>
  <c r="F142" i="26"/>
  <c r="E142" i="26"/>
  <c r="D142" i="26"/>
  <c r="C142" i="26"/>
  <c r="X138" i="26"/>
  <c r="W138" i="26"/>
  <c r="V138" i="26"/>
  <c r="U138" i="26"/>
  <c r="T138" i="26"/>
  <c r="S138" i="26"/>
  <c r="R138" i="26"/>
  <c r="Q138" i="26"/>
  <c r="P138" i="26"/>
  <c r="O138" i="26"/>
  <c r="M138" i="26"/>
  <c r="L138" i="26"/>
  <c r="K138" i="26"/>
  <c r="J138" i="26"/>
  <c r="I138" i="26"/>
  <c r="H138" i="26"/>
  <c r="G138" i="26"/>
  <c r="F138" i="26"/>
  <c r="E138" i="26"/>
  <c r="D138" i="26"/>
  <c r="C138" i="26"/>
  <c r="X136" i="26"/>
  <c r="W136" i="26"/>
  <c r="V136" i="26"/>
  <c r="U136" i="26"/>
  <c r="T136" i="26"/>
  <c r="S136" i="26"/>
  <c r="R136" i="26"/>
  <c r="Q136" i="26"/>
  <c r="P136" i="26"/>
  <c r="O136" i="26"/>
  <c r="M136" i="26"/>
  <c r="L136" i="26"/>
  <c r="K136" i="26"/>
  <c r="J136" i="26"/>
  <c r="I136" i="26"/>
  <c r="H136" i="26"/>
  <c r="G136" i="26"/>
  <c r="F136" i="26"/>
  <c r="E136" i="26"/>
  <c r="D136" i="26"/>
  <c r="C136" i="26"/>
  <c r="X135" i="26"/>
  <c r="W135" i="26"/>
  <c r="V135" i="26"/>
  <c r="U135" i="26"/>
  <c r="T135" i="26"/>
  <c r="S135" i="26"/>
  <c r="R135" i="26"/>
  <c r="Q135" i="26"/>
  <c r="P135" i="26"/>
  <c r="O135" i="26"/>
  <c r="N135" i="26"/>
  <c r="M135" i="26"/>
  <c r="K135" i="26"/>
  <c r="J135" i="26"/>
  <c r="I135" i="26"/>
  <c r="H135" i="26"/>
  <c r="G135" i="26"/>
  <c r="F135" i="26"/>
  <c r="E135" i="26"/>
  <c r="D135" i="26"/>
  <c r="C135" i="26"/>
  <c r="X134" i="26"/>
  <c r="W134" i="26"/>
  <c r="V134" i="26"/>
  <c r="U134" i="26"/>
  <c r="T134" i="26"/>
  <c r="S134" i="26"/>
  <c r="R134" i="26"/>
  <c r="Q134" i="26"/>
  <c r="P134" i="26"/>
  <c r="O134" i="26"/>
  <c r="N134" i="26"/>
  <c r="M134" i="26"/>
  <c r="L134" i="26"/>
  <c r="K134" i="26"/>
  <c r="J134" i="26"/>
  <c r="I134" i="26"/>
  <c r="H134" i="26"/>
  <c r="F134" i="26"/>
  <c r="E134" i="26"/>
  <c r="D134" i="26"/>
  <c r="C134" i="26"/>
  <c r="X133" i="26"/>
  <c r="W133" i="26"/>
  <c r="V133" i="26"/>
  <c r="U133" i="26"/>
  <c r="T133" i="26"/>
  <c r="S133" i="26"/>
  <c r="R133" i="26"/>
  <c r="Q133" i="26"/>
  <c r="P133" i="26"/>
  <c r="O133" i="26"/>
  <c r="N133" i="26"/>
  <c r="M133" i="26"/>
  <c r="L133" i="26"/>
  <c r="K133" i="26"/>
  <c r="J133" i="26"/>
  <c r="I133" i="26"/>
  <c r="H133" i="26"/>
  <c r="G133" i="26"/>
  <c r="F133" i="26"/>
  <c r="E133" i="26"/>
  <c r="C133" i="26"/>
  <c r="X128" i="26"/>
  <c r="W128" i="26"/>
  <c r="U128" i="26"/>
  <c r="T128" i="26"/>
  <c r="S128" i="26"/>
  <c r="R128" i="26"/>
  <c r="Q128" i="26"/>
  <c r="P128" i="26"/>
  <c r="O128" i="26"/>
  <c r="N128" i="26"/>
  <c r="M128" i="26"/>
  <c r="L128" i="26"/>
  <c r="K128" i="26"/>
  <c r="J128" i="26"/>
  <c r="I128" i="26"/>
  <c r="H128" i="26"/>
  <c r="G128" i="26"/>
  <c r="F128" i="26"/>
  <c r="E128" i="26"/>
  <c r="D128" i="26"/>
  <c r="C128" i="26"/>
  <c r="X127" i="26"/>
  <c r="W127" i="26"/>
  <c r="V127" i="26"/>
  <c r="U127" i="26"/>
  <c r="T127" i="26"/>
  <c r="S127" i="26"/>
  <c r="Q127" i="26"/>
  <c r="P127" i="26"/>
  <c r="O127" i="26"/>
  <c r="N127" i="26"/>
  <c r="M127" i="26"/>
  <c r="L127" i="26"/>
  <c r="K127" i="26"/>
  <c r="J127" i="26"/>
  <c r="I127" i="26"/>
  <c r="H127" i="26"/>
  <c r="G127" i="26"/>
  <c r="F127" i="26"/>
  <c r="E127" i="26"/>
  <c r="D127" i="26"/>
  <c r="C127" i="26"/>
  <c r="X126" i="26"/>
  <c r="W126" i="26"/>
  <c r="V126" i="26"/>
  <c r="U126" i="26"/>
  <c r="T126" i="26"/>
  <c r="S126" i="26"/>
  <c r="R126" i="26"/>
  <c r="Q126" i="26"/>
  <c r="P126" i="26"/>
  <c r="O126" i="26"/>
  <c r="N126" i="26"/>
  <c r="M126" i="26"/>
  <c r="L126" i="26"/>
  <c r="K126" i="26"/>
  <c r="J126" i="26"/>
  <c r="I126" i="26"/>
  <c r="G126" i="26"/>
  <c r="F126" i="26"/>
  <c r="E126" i="26"/>
  <c r="D126" i="26"/>
  <c r="C126" i="26"/>
  <c r="X119" i="26"/>
  <c r="W119" i="26"/>
  <c r="V119" i="26"/>
  <c r="H119" i="26"/>
  <c r="G119" i="26"/>
  <c r="F119" i="26"/>
  <c r="E119" i="26"/>
  <c r="D119" i="26"/>
  <c r="C119" i="26"/>
  <c r="X117" i="26"/>
  <c r="W117" i="26"/>
  <c r="V117" i="26"/>
  <c r="H117" i="26"/>
  <c r="G117" i="26"/>
  <c r="F117" i="26"/>
  <c r="E117" i="26"/>
  <c r="D117" i="26"/>
  <c r="C117" i="26"/>
  <c r="X116" i="26"/>
  <c r="W116" i="26"/>
  <c r="V116" i="26"/>
  <c r="H116" i="26"/>
  <c r="G116" i="26"/>
  <c r="F116" i="26"/>
  <c r="E116" i="26"/>
  <c r="D116" i="26"/>
  <c r="C116" i="26"/>
  <c r="C108" i="26"/>
  <c r="X106" i="26"/>
  <c r="W106" i="26"/>
  <c r="V106" i="26"/>
  <c r="U106" i="26"/>
  <c r="T106" i="26"/>
  <c r="S106" i="26"/>
  <c r="R106" i="26"/>
  <c r="Q106" i="26"/>
  <c r="P106" i="26"/>
  <c r="N106" i="26"/>
  <c r="M106" i="26"/>
  <c r="L106" i="26"/>
  <c r="K106" i="26"/>
  <c r="J106" i="26"/>
  <c r="I106" i="26"/>
  <c r="H106" i="26"/>
  <c r="G106" i="26"/>
  <c r="F106" i="26"/>
  <c r="E106" i="26"/>
  <c r="D106" i="26"/>
  <c r="C106" i="26"/>
  <c r="X105" i="26"/>
  <c r="W105" i="26"/>
  <c r="V105" i="26"/>
  <c r="U105" i="26"/>
  <c r="T105" i="26"/>
  <c r="S105" i="26"/>
  <c r="R105" i="26"/>
  <c r="Q105" i="26"/>
  <c r="P105" i="26"/>
  <c r="N105" i="26"/>
  <c r="M105" i="26"/>
  <c r="L105" i="26"/>
  <c r="K105" i="26"/>
  <c r="J105" i="26"/>
  <c r="I105" i="26"/>
  <c r="H105" i="26"/>
  <c r="G105" i="26"/>
  <c r="F105" i="26"/>
  <c r="E105" i="26"/>
  <c r="D105" i="26"/>
  <c r="C105" i="26"/>
  <c r="X102" i="26"/>
  <c r="W102" i="26"/>
  <c r="V102" i="26"/>
  <c r="U102" i="26"/>
  <c r="T102" i="26"/>
  <c r="S102" i="26"/>
  <c r="R102" i="26"/>
  <c r="Q102" i="26"/>
  <c r="P102" i="26"/>
  <c r="O102" i="26"/>
  <c r="N102" i="26"/>
  <c r="M102" i="26"/>
  <c r="L102" i="26"/>
  <c r="K102" i="26"/>
  <c r="J102" i="26"/>
  <c r="I102" i="26"/>
  <c r="H102" i="26"/>
  <c r="G102" i="26"/>
  <c r="F102" i="26"/>
  <c r="E102" i="26"/>
  <c r="D102" i="26"/>
  <c r="X96" i="26"/>
  <c r="W96" i="26"/>
  <c r="V96" i="26"/>
  <c r="U96" i="26"/>
  <c r="T96" i="26"/>
  <c r="S96" i="26"/>
  <c r="R96" i="26"/>
  <c r="Q96" i="26"/>
  <c r="P96" i="26"/>
  <c r="O96" i="26"/>
  <c r="N96" i="26"/>
  <c r="M96" i="26"/>
  <c r="L96" i="26"/>
  <c r="K96" i="26"/>
  <c r="J96" i="26"/>
  <c r="I96" i="26"/>
  <c r="H96" i="26"/>
  <c r="G96" i="26"/>
  <c r="F96" i="26"/>
  <c r="D96" i="26"/>
  <c r="C96" i="26"/>
  <c r="X95" i="26"/>
  <c r="W95" i="26"/>
  <c r="V95" i="26"/>
  <c r="U95" i="26"/>
  <c r="T95" i="26"/>
  <c r="S95" i="26"/>
  <c r="R95" i="26"/>
  <c r="Q95" i="26"/>
  <c r="P95" i="26"/>
  <c r="O95" i="26"/>
  <c r="N95" i="26"/>
  <c r="M95" i="26"/>
  <c r="L95" i="26"/>
  <c r="K95" i="26"/>
  <c r="J95" i="26"/>
  <c r="I95" i="26"/>
  <c r="H95" i="26"/>
  <c r="G95" i="26"/>
  <c r="F95" i="26"/>
  <c r="D95" i="26"/>
  <c r="C95" i="26"/>
  <c r="X93" i="26"/>
  <c r="W93" i="26"/>
  <c r="V93" i="26"/>
  <c r="U93" i="26"/>
  <c r="T93" i="26"/>
  <c r="S93" i="26"/>
  <c r="R93" i="26"/>
  <c r="Q93" i="26"/>
  <c r="P93" i="26"/>
  <c r="O93" i="26"/>
  <c r="N93" i="26"/>
  <c r="M93" i="26"/>
  <c r="L93" i="26"/>
  <c r="K93" i="26"/>
  <c r="J93" i="26"/>
  <c r="I93" i="26"/>
  <c r="H93" i="26"/>
  <c r="G93" i="26"/>
  <c r="F93" i="26"/>
  <c r="D93" i="26"/>
  <c r="C93" i="26"/>
  <c r="X92" i="26"/>
  <c r="W92" i="26"/>
  <c r="V92" i="26"/>
  <c r="U92" i="26"/>
  <c r="T92" i="26"/>
  <c r="S92" i="26"/>
  <c r="R92" i="26"/>
  <c r="Q92" i="26"/>
  <c r="P92" i="26"/>
  <c r="O92" i="26"/>
  <c r="N92" i="26"/>
  <c r="M92" i="26"/>
  <c r="L92" i="26"/>
  <c r="K92" i="26"/>
  <c r="J92" i="26"/>
  <c r="I92" i="26"/>
  <c r="H92" i="26"/>
  <c r="G92" i="26"/>
  <c r="F92" i="26"/>
  <c r="D92" i="26"/>
  <c r="C92" i="26"/>
  <c r="X88" i="26"/>
  <c r="W88" i="26"/>
  <c r="V88" i="26"/>
  <c r="U88" i="26"/>
  <c r="T88" i="26"/>
  <c r="S88" i="26"/>
  <c r="R88" i="26"/>
  <c r="Q88" i="26"/>
  <c r="P88" i="26"/>
  <c r="O88" i="26"/>
  <c r="N88" i="26"/>
  <c r="M88" i="26"/>
  <c r="L88" i="26"/>
  <c r="K88" i="26"/>
  <c r="J88" i="26"/>
  <c r="I88" i="26"/>
  <c r="H88" i="26"/>
  <c r="G88" i="26"/>
  <c r="F88" i="26"/>
  <c r="D88" i="26"/>
  <c r="C88" i="26"/>
  <c r="X87" i="26"/>
  <c r="W87" i="26"/>
  <c r="V87" i="26"/>
  <c r="U87" i="26"/>
  <c r="T87" i="26"/>
  <c r="S87" i="26"/>
  <c r="R87" i="26"/>
  <c r="Q87" i="26"/>
  <c r="P87" i="26"/>
  <c r="O87" i="26"/>
  <c r="N87" i="26"/>
  <c r="M87" i="26"/>
  <c r="L87" i="26"/>
  <c r="K87" i="26"/>
  <c r="J87" i="26"/>
  <c r="I87" i="26"/>
  <c r="H87" i="26"/>
  <c r="G87" i="26"/>
  <c r="F87" i="26"/>
  <c r="D87" i="26"/>
  <c r="C87" i="26"/>
  <c r="X85" i="26"/>
  <c r="W85" i="26"/>
  <c r="V85" i="26"/>
  <c r="U85" i="26"/>
  <c r="T85" i="26"/>
  <c r="S85" i="26"/>
  <c r="R85" i="26"/>
  <c r="Q85" i="26"/>
  <c r="P85" i="26"/>
  <c r="O85" i="26"/>
  <c r="N85" i="26"/>
  <c r="M85" i="26"/>
  <c r="L85" i="26"/>
  <c r="K85" i="26"/>
  <c r="J85" i="26"/>
  <c r="I85" i="26"/>
  <c r="H85" i="26"/>
  <c r="G85" i="26"/>
  <c r="F85" i="26"/>
  <c r="D85" i="26"/>
  <c r="C85" i="26"/>
  <c r="X84" i="26"/>
  <c r="W84" i="26"/>
  <c r="V84" i="26"/>
  <c r="U84" i="26"/>
  <c r="T84" i="26"/>
  <c r="S84" i="26"/>
  <c r="R84" i="26"/>
  <c r="Q84" i="26"/>
  <c r="P84" i="26"/>
  <c r="O84" i="26"/>
  <c r="N84" i="26"/>
  <c r="M84" i="26"/>
  <c r="L84" i="26"/>
  <c r="K84" i="26"/>
  <c r="J84" i="26"/>
  <c r="I84" i="26"/>
  <c r="H84" i="26"/>
  <c r="G84" i="26"/>
  <c r="F84" i="26"/>
  <c r="D84" i="26"/>
  <c r="C84" i="26"/>
  <c r="X80" i="26"/>
  <c r="W80" i="26"/>
  <c r="V80" i="26"/>
  <c r="U80" i="26"/>
  <c r="T80" i="26"/>
  <c r="S80" i="26"/>
  <c r="R80" i="26"/>
  <c r="Q80" i="26"/>
  <c r="P80" i="26"/>
  <c r="O80" i="26"/>
  <c r="N80" i="26"/>
  <c r="M80" i="26"/>
  <c r="L80" i="26"/>
  <c r="K80" i="26"/>
  <c r="J80" i="26"/>
  <c r="I80" i="26"/>
  <c r="H80" i="26"/>
  <c r="G80" i="26"/>
  <c r="F80" i="26"/>
  <c r="E80" i="26"/>
  <c r="D80" i="26"/>
  <c r="X75" i="26"/>
  <c r="X74" i="26"/>
  <c r="W75" i="26"/>
  <c r="V75" i="26"/>
  <c r="U75" i="26"/>
  <c r="T75" i="26"/>
  <c r="S75" i="26"/>
  <c r="R75" i="26"/>
  <c r="Q75" i="26"/>
  <c r="P75" i="26"/>
  <c r="O75" i="26"/>
  <c r="N75" i="26"/>
  <c r="M75" i="26"/>
  <c r="L75" i="26"/>
  <c r="J75" i="26"/>
  <c r="I75" i="26"/>
  <c r="H75" i="26"/>
  <c r="G75" i="26"/>
  <c r="F75" i="26"/>
  <c r="E75" i="26"/>
  <c r="D75" i="26"/>
  <c r="C75" i="26"/>
  <c r="W74" i="26"/>
  <c r="V74" i="26"/>
  <c r="U74" i="26"/>
  <c r="T74" i="26"/>
  <c r="S74" i="26"/>
  <c r="R74" i="26"/>
  <c r="Q74" i="26"/>
  <c r="P74" i="26"/>
  <c r="O74" i="26"/>
  <c r="N74" i="26"/>
  <c r="M74" i="26"/>
  <c r="L74" i="26"/>
  <c r="J74" i="26"/>
  <c r="I74" i="26"/>
  <c r="H74" i="26"/>
  <c r="G74" i="26"/>
  <c r="F74" i="26"/>
  <c r="E74" i="26"/>
  <c r="D74" i="26"/>
  <c r="C74" i="26"/>
  <c r="X72" i="26"/>
  <c r="W72" i="26"/>
  <c r="V72" i="26"/>
  <c r="U72" i="26"/>
  <c r="T72" i="26"/>
  <c r="S72" i="26"/>
  <c r="R72" i="26"/>
  <c r="P72" i="26"/>
  <c r="O72" i="26"/>
  <c r="N72" i="26"/>
  <c r="M72" i="26"/>
  <c r="L72" i="26"/>
  <c r="K72" i="26"/>
  <c r="J72" i="26"/>
  <c r="I72" i="26"/>
  <c r="H72" i="26"/>
  <c r="G72" i="26"/>
  <c r="F72" i="26"/>
  <c r="E72" i="26"/>
  <c r="D72" i="26"/>
  <c r="C72" i="26"/>
  <c r="X69" i="26"/>
  <c r="W69" i="26"/>
  <c r="V69" i="26"/>
  <c r="U69" i="26"/>
  <c r="T69" i="26"/>
  <c r="S69" i="26"/>
  <c r="R69" i="26"/>
  <c r="Q69" i="26"/>
  <c r="P69" i="26"/>
  <c r="O69" i="26"/>
  <c r="N69" i="26"/>
  <c r="M69" i="26"/>
  <c r="L69" i="26"/>
  <c r="K69" i="26"/>
  <c r="J69" i="26"/>
  <c r="I69" i="26"/>
  <c r="H69" i="26"/>
  <c r="G69" i="26"/>
  <c r="F69" i="26"/>
  <c r="E69" i="26"/>
  <c r="D69" i="26"/>
  <c r="C69" i="26"/>
  <c r="X68" i="26"/>
  <c r="W68" i="26"/>
  <c r="V68" i="26"/>
  <c r="U68" i="26"/>
  <c r="T68" i="26"/>
  <c r="S68" i="26"/>
  <c r="R68" i="26"/>
  <c r="Q68" i="26"/>
  <c r="P68" i="26"/>
  <c r="O68" i="26"/>
  <c r="N68" i="26"/>
  <c r="M68" i="26"/>
  <c r="L68" i="26"/>
  <c r="K68" i="26"/>
  <c r="J68" i="26"/>
  <c r="I68" i="26"/>
  <c r="H68" i="26"/>
  <c r="G68" i="26"/>
  <c r="F68" i="26"/>
  <c r="E68" i="26"/>
  <c r="D68" i="26"/>
  <c r="C68" i="26"/>
  <c r="X66" i="26"/>
  <c r="W66" i="26"/>
  <c r="V66" i="26"/>
  <c r="U66" i="26"/>
  <c r="T66" i="26"/>
  <c r="S66" i="26"/>
  <c r="R66" i="26"/>
  <c r="Q66" i="26"/>
  <c r="P66" i="26"/>
  <c r="O66" i="26"/>
  <c r="N66" i="26"/>
  <c r="M66" i="26"/>
  <c r="L66" i="26"/>
  <c r="K66" i="26"/>
  <c r="J66" i="26"/>
  <c r="I66" i="26"/>
  <c r="H66" i="26"/>
  <c r="G66" i="26"/>
  <c r="F66" i="26"/>
  <c r="E66" i="26"/>
  <c r="D66" i="26"/>
  <c r="C66" i="26"/>
  <c r="X65" i="26"/>
  <c r="W65" i="26"/>
  <c r="V65" i="26"/>
  <c r="U65" i="26"/>
  <c r="T65" i="26"/>
  <c r="S65" i="26"/>
  <c r="R65" i="26"/>
  <c r="Q65" i="26"/>
  <c r="P65" i="26"/>
  <c r="O65" i="26"/>
  <c r="N65" i="26"/>
  <c r="M65" i="26"/>
  <c r="L65" i="26"/>
  <c r="K65" i="26"/>
  <c r="J65" i="26"/>
  <c r="I65" i="26"/>
  <c r="H65" i="26"/>
  <c r="G65" i="26"/>
  <c r="F65" i="26"/>
  <c r="E65" i="26"/>
  <c r="D65" i="26"/>
  <c r="C65" i="26"/>
  <c r="X61" i="26"/>
  <c r="W61" i="26"/>
  <c r="V61" i="26"/>
  <c r="U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E61" i="26"/>
  <c r="D61" i="26"/>
  <c r="C61" i="26"/>
  <c r="X59" i="26"/>
  <c r="W59" i="26"/>
  <c r="V59" i="26"/>
  <c r="U59" i="26"/>
  <c r="S59" i="26"/>
  <c r="R59" i="26"/>
  <c r="Q59" i="26"/>
  <c r="P59" i="26"/>
  <c r="O59" i="26"/>
  <c r="N59" i="26"/>
  <c r="M59" i="26"/>
  <c r="L59" i="26"/>
  <c r="K59" i="26"/>
  <c r="J59" i="26"/>
  <c r="I59" i="26"/>
  <c r="H59" i="26"/>
  <c r="G59" i="26"/>
  <c r="F59" i="26"/>
  <c r="E59" i="26"/>
  <c r="D59" i="26"/>
  <c r="C59" i="26"/>
  <c r="X57" i="26"/>
  <c r="W57" i="26"/>
  <c r="V57" i="26"/>
  <c r="U57" i="26"/>
  <c r="T57" i="26"/>
  <c r="S57" i="26"/>
  <c r="R57" i="26"/>
  <c r="P57" i="26"/>
  <c r="O57" i="26"/>
  <c r="N57" i="26"/>
  <c r="M57" i="26"/>
  <c r="L57" i="26"/>
  <c r="K57" i="26"/>
  <c r="J57" i="26"/>
  <c r="I57" i="26"/>
  <c r="H57" i="26"/>
  <c r="G57" i="26"/>
  <c r="F57" i="26"/>
  <c r="E57" i="26"/>
  <c r="D57" i="26"/>
  <c r="C57" i="26"/>
  <c r="X56" i="26"/>
  <c r="W56" i="26"/>
  <c r="V56" i="26"/>
  <c r="U56" i="26"/>
  <c r="T56" i="26"/>
  <c r="S56" i="26"/>
  <c r="R56" i="26"/>
  <c r="Q56" i="26"/>
  <c r="P56" i="26"/>
  <c r="N56" i="26"/>
  <c r="M56" i="26"/>
  <c r="L56" i="26"/>
  <c r="K56" i="26"/>
  <c r="J56" i="26"/>
  <c r="I56" i="26"/>
  <c r="H56" i="26"/>
  <c r="G56" i="26"/>
  <c r="F56" i="26"/>
  <c r="E56" i="26"/>
  <c r="D56" i="26"/>
  <c r="C56" i="26"/>
  <c r="X54" i="26"/>
  <c r="W54" i="26"/>
  <c r="V54" i="26"/>
  <c r="U54" i="26"/>
  <c r="T54" i="26"/>
  <c r="S54" i="26"/>
  <c r="R54" i="26"/>
  <c r="Q54" i="26"/>
  <c r="P54" i="26"/>
  <c r="O54" i="26"/>
  <c r="M54" i="26"/>
  <c r="L54" i="26"/>
  <c r="K54" i="26"/>
  <c r="J54" i="26"/>
  <c r="I54" i="26"/>
  <c r="H54" i="26"/>
  <c r="G54" i="26"/>
  <c r="F54" i="26"/>
  <c r="E54" i="26"/>
  <c r="D54" i="26"/>
  <c r="C54" i="26"/>
  <c r="X53" i="26"/>
  <c r="W53" i="26"/>
  <c r="V53" i="26"/>
  <c r="U53" i="26"/>
  <c r="T53" i="26"/>
  <c r="S53" i="26"/>
  <c r="R53" i="26"/>
  <c r="Q53" i="26"/>
  <c r="P53" i="26"/>
  <c r="O53" i="26"/>
  <c r="N53" i="26"/>
  <c r="M53" i="26"/>
  <c r="K53" i="26"/>
  <c r="J53" i="26"/>
  <c r="I53" i="26"/>
  <c r="H53" i="26"/>
  <c r="G53" i="26"/>
  <c r="F53" i="26"/>
  <c r="E53" i="26"/>
  <c r="D53" i="26"/>
  <c r="C53" i="26"/>
  <c r="X52" i="26"/>
  <c r="W52" i="26"/>
  <c r="V52" i="26"/>
  <c r="U52" i="26"/>
  <c r="T52" i="26"/>
  <c r="S52" i="26"/>
  <c r="R52" i="26"/>
  <c r="Q52" i="26"/>
  <c r="P52" i="26"/>
  <c r="O52" i="26"/>
  <c r="N52" i="26"/>
  <c r="M52" i="26"/>
  <c r="L52" i="26"/>
  <c r="J52" i="26"/>
  <c r="I52" i="26"/>
  <c r="H52" i="26"/>
  <c r="G52" i="26"/>
  <c r="F52" i="26"/>
  <c r="E52" i="26"/>
  <c r="D52" i="26"/>
  <c r="C52" i="26"/>
  <c r="X48" i="26"/>
  <c r="W48" i="26"/>
  <c r="U48" i="26"/>
  <c r="T48" i="26"/>
  <c r="S48" i="26"/>
  <c r="R48" i="26"/>
  <c r="Q48" i="26"/>
  <c r="P48" i="26"/>
  <c r="O48" i="26"/>
  <c r="N48" i="26"/>
  <c r="M48" i="26"/>
  <c r="L48" i="26"/>
  <c r="K48" i="26"/>
  <c r="J48" i="26"/>
  <c r="I48" i="26"/>
  <c r="H48" i="26"/>
  <c r="G48" i="26"/>
  <c r="F48" i="26"/>
  <c r="E48" i="26"/>
  <c r="D48" i="26"/>
  <c r="C48" i="26"/>
  <c r="X47" i="26"/>
  <c r="W47" i="26"/>
  <c r="V47" i="26"/>
  <c r="U47" i="26"/>
  <c r="S47" i="26"/>
  <c r="R47" i="26"/>
  <c r="Q47" i="26"/>
  <c r="P47" i="26"/>
  <c r="O47" i="26"/>
  <c r="N47" i="26"/>
  <c r="M47" i="26"/>
  <c r="L47" i="26"/>
  <c r="K47" i="26"/>
  <c r="J47" i="26"/>
  <c r="I47" i="26"/>
  <c r="H47" i="26"/>
  <c r="G47" i="26"/>
  <c r="F47" i="26"/>
  <c r="E47" i="26"/>
  <c r="D47" i="26"/>
  <c r="C47" i="26"/>
  <c r="X46" i="26"/>
  <c r="W46" i="26"/>
  <c r="V46" i="26"/>
  <c r="U46" i="26"/>
  <c r="T46" i="26"/>
  <c r="S46" i="26"/>
  <c r="R46" i="26"/>
  <c r="Q46" i="26"/>
  <c r="P46" i="26"/>
  <c r="N46" i="26"/>
  <c r="M46" i="26"/>
  <c r="L46" i="26"/>
  <c r="K46" i="26"/>
  <c r="J46" i="26"/>
  <c r="I46" i="26"/>
  <c r="H46" i="26"/>
  <c r="G46" i="26"/>
  <c r="F46" i="26"/>
  <c r="E46" i="26"/>
  <c r="D46" i="26"/>
  <c r="C46" i="26"/>
  <c r="X44" i="26"/>
  <c r="W44" i="26"/>
  <c r="V44" i="26"/>
  <c r="T44" i="26"/>
  <c r="S44" i="26"/>
  <c r="R44" i="26"/>
  <c r="Q44" i="26"/>
  <c r="P44" i="26"/>
  <c r="O44" i="26"/>
  <c r="N44" i="26"/>
  <c r="M44" i="26"/>
  <c r="L44" i="26"/>
  <c r="K44" i="26"/>
  <c r="J44" i="26"/>
  <c r="I44" i="26"/>
  <c r="H44" i="26"/>
  <c r="G44" i="26"/>
  <c r="F44" i="26"/>
  <c r="E44" i="26"/>
  <c r="D44" i="26"/>
  <c r="C44" i="26"/>
  <c r="X43" i="26"/>
  <c r="W43" i="26"/>
  <c r="V43" i="26"/>
  <c r="U43" i="26"/>
  <c r="T43" i="26"/>
  <c r="R43" i="26"/>
  <c r="Q43" i="26"/>
  <c r="P43" i="26"/>
  <c r="O43" i="26"/>
  <c r="N43" i="26"/>
  <c r="M43" i="26"/>
  <c r="L43" i="26"/>
  <c r="K43" i="26"/>
  <c r="J43" i="26"/>
  <c r="I43" i="26"/>
  <c r="H43" i="26"/>
  <c r="G43" i="26"/>
  <c r="F43" i="26"/>
  <c r="E43" i="26"/>
  <c r="D43" i="26"/>
  <c r="C43" i="26"/>
  <c r="C42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J40" i="26"/>
  <c r="I40" i="26"/>
  <c r="H40" i="26"/>
  <c r="G40" i="26"/>
  <c r="F40" i="26"/>
  <c r="E40" i="26"/>
  <c r="D40" i="26"/>
  <c r="C40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H39" i="26"/>
  <c r="G39" i="26"/>
  <c r="F39" i="26"/>
  <c r="E39" i="26"/>
  <c r="D39" i="26"/>
  <c r="C39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F38" i="26"/>
  <c r="E38" i="26"/>
  <c r="D38" i="26"/>
  <c r="C38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G37" i="26"/>
  <c r="F37" i="26"/>
  <c r="D37" i="26"/>
  <c r="C37" i="26"/>
  <c r="X31" i="26"/>
  <c r="X32" i="26"/>
  <c r="W32" i="26"/>
  <c r="V32" i="26"/>
  <c r="U32" i="26"/>
  <c r="T32" i="26"/>
  <c r="S32" i="26"/>
  <c r="R32" i="26"/>
  <c r="Q32" i="26"/>
  <c r="P32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W31" i="26"/>
  <c r="V31" i="26"/>
  <c r="U31" i="26"/>
  <c r="T31" i="26"/>
  <c r="S31" i="26"/>
  <c r="R31" i="26"/>
  <c r="Q31" i="26"/>
  <c r="P31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X23" i="26"/>
  <c r="W23" i="26"/>
  <c r="V23" i="26"/>
  <c r="U23" i="26"/>
  <c r="S23" i="26"/>
  <c r="R23" i="26"/>
  <c r="Q23" i="26"/>
  <c r="P23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X22" i="26"/>
  <c r="W22" i="26"/>
  <c r="V22" i="26"/>
  <c r="U22" i="26"/>
  <c r="S22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X21" i="26"/>
  <c r="W21" i="26"/>
  <c r="V21" i="26"/>
  <c r="U21" i="26"/>
  <c r="T21" i="26"/>
  <c r="S21" i="26"/>
  <c r="R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C20" i="26"/>
  <c r="C18" i="26"/>
  <c r="C17" i="26"/>
  <c r="C16" i="26"/>
  <c r="C15" i="26"/>
  <c r="X12" i="26"/>
  <c r="W12" i="26"/>
  <c r="V12" i="26"/>
  <c r="U12" i="26"/>
  <c r="T12" i="26"/>
  <c r="S12" i="26"/>
  <c r="R12" i="26"/>
  <c r="M12" i="26"/>
  <c r="L12" i="26"/>
  <c r="K12" i="26"/>
  <c r="J12" i="26"/>
  <c r="I12" i="26"/>
  <c r="H12" i="26"/>
  <c r="G12" i="26"/>
  <c r="F12" i="26"/>
  <c r="E12" i="26"/>
  <c r="D12" i="26"/>
  <c r="C12" i="26"/>
  <c r="C10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P10" i="26"/>
  <c r="Q10" i="26"/>
  <c r="R10" i="26"/>
  <c r="S10" i="26"/>
  <c r="T10" i="26"/>
  <c r="U10" i="26"/>
  <c r="V10" i="26"/>
  <c r="W10" i="26"/>
  <c r="X10" i="26"/>
  <c r="D9" i="26"/>
  <c r="E9" i="26"/>
  <c r="F9" i="26"/>
  <c r="G9" i="26"/>
  <c r="H9" i="26"/>
  <c r="I9" i="26"/>
  <c r="J9" i="26"/>
  <c r="K9" i="26"/>
  <c r="L9" i="26"/>
  <c r="M9" i="26"/>
  <c r="N9" i="26"/>
  <c r="O9" i="26"/>
  <c r="P9" i="26"/>
  <c r="Q9" i="26"/>
  <c r="R9" i="26"/>
  <c r="S9" i="26"/>
  <c r="T9" i="26"/>
  <c r="U9" i="26"/>
  <c r="V9" i="26"/>
  <c r="W9" i="26"/>
  <c r="X9" i="26"/>
  <c r="C9" i="26"/>
  <c r="AQ111" i="26" l="1"/>
  <c r="AR111" i="26" s="1"/>
  <c r="AQ136" i="26"/>
  <c r="AR136" i="26" s="1"/>
  <c r="AQ10" i="26"/>
  <c r="AR10" i="26" s="1"/>
  <c r="BK13" i="26"/>
  <c r="AQ144" i="26"/>
  <c r="AR144" i="26" s="1"/>
  <c r="BF13" i="26"/>
  <c r="AQ12" i="26"/>
  <c r="AR12" i="26" s="1"/>
  <c r="AQ16" i="26"/>
  <c r="AR16" i="26" s="1"/>
  <c r="AQ18" i="26"/>
  <c r="AR18" i="26" s="1"/>
  <c r="AQ21" i="26"/>
  <c r="AR21" i="26" s="1"/>
  <c r="AQ23" i="26"/>
  <c r="AR23" i="26" s="1"/>
  <c r="AQ72" i="26"/>
  <c r="AR72" i="26" s="1"/>
  <c r="AQ85" i="26"/>
  <c r="AR85" i="26" s="1"/>
  <c r="AQ88" i="26"/>
  <c r="AR88" i="26" s="1"/>
  <c r="AQ93" i="26"/>
  <c r="AR93" i="26" s="1"/>
  <c r="AQ96" i="26"/>
  <c r="AR96" i="26" s="1"/>
  <c r="AQ105" i="26"/>
  <c r="AR105" i="26" s="1"/>
  <c r="AO109" i="26"/>
  <c r="AP109" i="26" s="1"/>
  <c r="AI147" i="26"/>
  <c r="AJ147" i="26" s="1"/>
  <c r="AV8" i="26"/>
  <c r="AQ52" i="26"/>
  <c r="AR52" i="26" s="1"/>
  <c r="AQ142" i="26"/>
  <c r="AR142" i="26" s="1"/>
  <c r="AQ148" i="26"/>
  <c r="AR148" i="26" s="1"/>
  <c r="BA13" i="26"/>
  <c r="BK8" i="26"/>
  <c r="AQ9" i="26"/>
  <c r="AR9" i="26" s="1"/>
  <c r="AK9" i="26"/>
  <c r="AL9" i="26" s="1"/>
  <c r="BF8" i="26"/>
  <c r="BA8" i="26"/>
  <c r="AI10" i="26"/>
  <c r="AJ10" i="26" s="1"/>
  <c r="AO12" i="26"/>
  <c r="AP12" i="26" s="1"/>
  <c r="AQ108" i="26"/>
  <c r="AR108" i="26" s="1"/>
  <c r="AQ110" i="26"/>
  <c r="AR110" i="26" s="1"/>
  <c r="AQ116" i="26"/>
  <c r="AR116" i="26" s="1"/>
  <c r="AQ119" i="26"/>
  <c r="AR119" i="26" s="1"/>
  <c r="AQ127" i="26"/>
  <c r="AR127" i="26" s="1"/>
  <c r="AM134" i="26"/>
  <c r="AN134" i="26" s="1"/>
  <c r="AQ135" i="26"/>
  <c r="AR135" i="26" s="1"/>
  <c r="AQ138" i="26"/>
  <c r="AR138" i="26" s="1"/>
  <c r="AQ147" i="26"/>
  <c r="AR147" i="26" s="1"/>
  <c r="AQ149" i="26"/>
  <c r="AR149" i="26" s="1"/>
  <c r="BP13" i="26"/>
  <c r="AI31" i="26"/>
  <c r="AJ31" i="26" s="1"/>
  <c r="AQ31" i="26"/>
  <c r="AR31" i="26" s="1"/>
  <c r="AQ69" i="26"/>
  <c r="AR69" i="26" s="1"/>
  <c r="AI74" i="26"/>
  <c r="AJ74" i="26" s="1"/>
  <c r="AQ74" i="26"/>
  <c r="AR74" i="26" s="1"/>
  <c r="AI84" i="26"/>
  <c r="AJ84" i="26" s="1"/>
  <c r="AI95" i="26"/>
  <c r="AJ95" i="26" s="1"/>
  <c r="AM105" i="26"/>
  <c r="AN105" i="26" s="1"/>
  <c r="AI106" i="26"/>
  <c r="AJ106" i="26" s="1"/>
  <c r="AM108" i="26"/>
  <c r="AN108" i="26" s="1"/>
  <c r="AI117" i="26"/>
  <c r="AJ117" i="26" s="1"/>
  <c r="AM119" i="26"/>
  <c r="AN119" i="26" s="1"/>
  <c r="AM127" i="26"/>
  <c r="AN127" i="26" s="1"/>
  <c r="AI128" i="26"/>
  <c r="AJ128" i="26" s="1"/>
  <c r="AM133" i="26"/>
  <c r="AN133" i="26" s="1"/>
  <c r="AI142" i="26"/>
  <c r="AJ142" i="26" s="1"/>
  <c r="AM144" i="26"/>
  <c r="AN144" i="26" s="1"/>
  <c r="AI146" i="26"/>
  <c r="AJ146" i="26" s="1"/>
  <c r="AQ146" i="26"/>
  <c r="AR146" i="26" s="1"/>
  <c r="AM147" i="26"/>
  <c r="AN147" i="26" s="1"/>
  <c r="AM149" i="26"/>
  <c r="AN149" i="26" s="1"/>
  <c r="AK15" i="26"/>
  <c r="AL15" i="26" s="1"/>
  <c r="AO16" i="26"/>
  <c r="AP16" i="26" s="1"/>
  <c r="AK17" i="26"/>
  <c r="AL17" i="26" s="1"/>
  <c r="AO18" i="26"/>
  <c r="AP18" i="26" s="1"/>
  <c r="AK20" i="26"/>
  <c r="AL20" i="26" s="1"/>
  <c r="AO21" i="26"/>
  <c r="AP21" i="26" s="1"/>
  <c r="AK22" i="26"/>
  <c r="AL22" i="26" s="1"/>
  <c r="AO23" i="26"/>
  <c r="AP23" i="26" s="1"/>
  <c r="AK31" i="26"/>
  <c r="AL31" i="26" s="1"/>
  <c r="AI32" i="26"/>
  <c r="AJ32" i="26" s="1"/>
  <c r="AQ32" i="26"/>
  <c r="AR32" i="26" s="1"/>
  <c r="AK37" i="26"/>
  <c r="AL37" i="26" s="1"/>
  <c r="AO38" i="26"/>
  <c r="AP38" i="26" s="1"/>
  <c r="AK39" i="26"/>
  <c r="AL39" i="26" s="1"/>
  <c r="AO40" i="26"/>
  <c r="AP40" i="26" s="1"/>
  <c r="AK42" i="26"/>
  <c r="AL42" i="26" s="1"/>
  <c r="AO43" i="26"/>
  <c r="AP43" i="26" s="1"/>
  <c r="AK44" i="26"/>
  <c r="AL44" i="26" s="1"/>
  <c r="AO46" i="26"/>
  <c r="AP46" i="26" s="1"/>
  <c r="AK47" i="26"/>
  <c r="AL47" i="26" s="1"/>
  <c r="AO48" i="26"/>
  <c r="AP48" i="26" s="1"/>
  <c r="AK52" i="26"/>
  <c r="AL52" i="26" s="1"/>
  <c r="AO53" i="26"/>
  <c r="AP53" i="26" s="1"/>
  <c r="AK54" i="26"/>
  <c r="AL54" i="26" s="1"/>
  <c r="AO56" i="26"/>
  <c r="AP56" i="26" s="1"/>
  <c r="AK57" i="26"/>
  <c r="AL57" i="26" s="1"/>
  <c r="AO59" i="26"/>
  <c r="AP59" i="26" s="1"/>
  <c r="AK61" i="26"/>
  <c r="AL61" i="26" s="1"/>
  <c r="AO65" i="26"/>
  <c r="AP65" i="26" s="1"/>
  <c r="AK66" i="26"/>
  <c r="AL66" i="26" s="1"/>
  <c r="AO68" i="26"/>
  <c r="AP68" i="26" s="1"/>
  <c r="AK69" i="26"/>
  <c r="AL69" i="26" s="1"/>
  <c r="AO72" i="26"/>
  <c r="AP72" i="26" s="1"/>
  <c r="AK74" i="26"/>
  <c r="AL74" i="26" s="1"/>
  <c r="AI75" i="26"/>
  <c r="AJ75" i="26" s="1"/>
  <c r="AQ75" i="26"/>
  <c r="AR75" i="26" s="1"/>
  <c r="AK80" i="26"/>
  <c r="AL80" i="26" s="1"/>
  <c r="AK84" i="26"/>
  <c r="AL84" i="26" s="1"/>
  <c r="AI85" i="26"/>
  <c r="AJ85" i="26" s="1"/>
  <c r="AO85" i="26"/>
  <c r="AP85" i="26" s="1"/>
  <c r="AK87" i="26"/>
  <c r="AL87" i="26" s="1"/>
  <c r="AM87" i="26"/>
  <c r="AN87" i="26" s="1"/>
  <c r="AO88" i="26"/>
  <c r="AP88" i="26" s="1"/>
  <c r="AK92" i="26"/>
  <c r="AL92" i="26" s="1"/>
  <c r="AO93" i="26"/>
  <c r="AP93" i="26" s="1"/>
  <c r="AK95" i="26"/>
  <c r="AL95" i="26" s="1"/>
  <c r="AO96" i="26"/>
  <c r="AP96" i="26" s="1"/>
  <c r="AI102" i="26"/>
  <c r="AJ102" i="26" s="1"/>
  <c r="AK102" i="26"/>
  <c r="AL102" i="26" s="1"/>
  <c r="AO105" i="26"/>
  <c r="AP105" i="26" s="1"/>
  <c r="AK106" i="26"/>
  <c r="AL106" i="26" s="1"/>
  <c r="AO106" i="26"/>
  <c r="AP106" i="26" s="1"/>
  <c r="AO108" i="26"/>
  <c r="AP108" i="26" s="1"/>
  <c r="AK109" i="26"/>
  <c r="AL109" i="26" s="1"/>
  <c r="AO110" i="26"/>
  <c r="AP110" i="26" s="1"/>
  <c r="AK111" i="26"/>
  <c r="AL111" i="26" s="1"/>
  <c r="AO116" i="26"/>
  <c r="AP116" i="26" s="1"/>
  <c r="AK117" i="26"/>
  <c r="AL117" i="26" s="1"/>
  <c r="AO119" i="26"/>
  <c r="AP119" i="26" s="1"/>
  <c r="AK126" i="26"/>
  <c r="AL126" i="26" s="1"/>
  <c r="AM126" i="26"/>
  <c r="AN126" i="26" s="1"/>
  <c r="AO127" i="26"/>
  <c r="AP127" i="26" s="1"/>
  <c r="AK128" i="26"/>
  <c r="AL128" i="26" s="1"/>
  <c r="AO128" i="26"/>
  <c r="AP128" i="26" s="1"/>
  <c r="AO133" i="26"/>
  <c r="AP133" i="26" s="1"/>
  <c r="AK134" i="26"/>
  <c r="AL134" i="26" s="1"/>
  <c r="AO135" i="26"/>
  <c r="AP135" i="26" s="1"/>
  <c r="AI136" i="26"/>
  <c r="AJ136" i="26" s="1"/>
  <c r="AK136" i="26"/>
  <c r="AL136" i="26" s="1"/>
  <c r="AM138" i="26"/>
  <c r="AN138" i="26" s="1"/>
  <c r="AO138" i="26"/>
  <c r="AP138" i="26" s="1"/>
  <c r="AK142" i="26"/>
  <c r="AL142" i="26" s="1"/>
  <c r="AO144" i="26"/>
  <c r="AP144" i="26" s="1"/>
  <c r="AK146" i="26"/>
  <c r="AL146" i="26" s="1"/>
  <c r="AM146" i="26"/>
  <c r="AN146" i="26" s="1"/>
  <c r="AO147" i="26"/>
  <c r="AP147" i="26" s="1"/>
  <c r="AI148" i="26"/>
  <c r="AJ148" i="26" s="1"/>
  <c r="AK148" i="26"/>
  <c r="AL148" i="26" s="1"/>
  <c r="AO148" i="26"/>
  <c r="AP148" i="26" s="1"/>
  <c r="AO149" i="26"/>
  <c r="AP149" i="26" s="1"/>
  <c r="AO9" i="26"/>
  <c r="AP9" i="26" s="1"/>
  <c r="AI9" i="26"/>
  <c r="AJ9" i="26" s="1"/>
  <c r="AM9" i="26"/>
  <c r="AN9" i="26" s="1"/>
  <c r="AI48" i="26"/>
  <c r="AJ48" i="26" s="1"/>
  <c r="AM57" i="26"/>
  <c r="AN57" i="26" s="1"/>
  <c r="AM66" i="26"/>
  <c r="AN66" i="26" s="1"/>
  <c r="AI88" i="26"/>
  <c r="AJ88" i="26" s="1"/>
  <c r="AI116" i="26"/>
  <c r="AJ116" i="26" s="1"/>
  <c r="AI135" i="26"/>
  <c r="AJ135" i="26" s="1"/>
  <c r="AI138" i="26"/>
  <c r="AJ138" i="26" s="1"/>
  <c r="AM142" i="26"/>
  <c r="AN142" i="26" s="1"/>
  <c r="AI144" i="26"/>
  <c r="AJ144" i="26" s="1"/>
  <c r="AM148" i="26"/>
  <c r="AN148" i="26" s="1"/>
  <c r="AI149" i="26"/>
  <c r="AJ149" i="26" s="1"/>
  <c r="AK43" i="26"/>
  <c r="AL43" i="26" s="1"/>
  <c r="AK65" i="26"/>
  <c r="AL65" i="26" s="1"/>
  <c r="AO92" i="26"/>
  <c r="AP92" i="26" s="1"/>
  <c r="AK93" i="26"/>
  <c r="AL93" i="26" s="1"/>
  <c r="AO95" i="26"/>
  <c r="AP95" i="26" s="1"/>
  <c r="AO136" i="26"/>
  <c r="AP136" i="26" s="1"/>
  <c r="AK138" i="26"/>
  <c r="AL138" i="26" s="1"/>
  <c r="AO142" i="26"/>
  <c r="AP142" i="26" s="1"/>
  <c r="AK144" i="26"/>
  <c r="AL144" i="26" s="1"/>
  <c r="AO146" i="26"/>
  <c r="AP146" i="26" s="1"/>
  <c r="AK147" i="26"/>
  <c r="AL147" i="26" s="1"/>
  <c r="AK149" i="26"/>
  <c r="AL149" i="26" s="1"/>
  <c r="AO10" i="26"/>
  <c r="AP10" i="26" s="1"/>
  <c r="AI12" i="26"/>
  <c r="AJ12" i="26" s="1"/>
  <c r="AM15" i="26"/>
  <c r="AN15" i="26" s="1"/>
  <c r="AI16" i="26"/>
  <c r="AJ16" i="26" s="1"/>
  <c r="AM17" i="26"/>
  <c r="AN17" i="26" s="1"/>
  <c r="AI18" i="26"/>
  <c r="AJ18" i="26" s="1"/>
  <c r="AM20" i="26"/>
  <c r="AN20" i="26" s="1"/>
  <c r="AI21" i="26"/>
  <c r="AJ21" i="26" s="1"/>
  <c r="AM22" i="26"/>
  <c r="AN22" i="26" s="1"/>
  <c r="AI23" i="26"/>
  <c r="AJ23" i="26" s="1"/>
  <c r="AM31" i="26"/>
  <c r="AN31" i="26" s="1"/>
  <c r="AK32" i="26"/>
  <c r="AL32" i="26" s="1"/>
  <c r="AM37" i="26"/>
  <c r="AN37" i="26" s="1"/>
  <c r="AI38" i="26"/>
  <c r="AJ38" i="26" s="1"/>
  <c r="AQ38" i="26"/>
  <c r="AR38" i="26" s="1"/>
  <c r="AM39" i="26"/>
  <c r="AN39" i="26" s="1"/>
  <c r="AI40" i="26"/>
  <c r="AJ40" i="26" s="1"/>
  <c r="AQ40" i="26"/>
  <c r="AR40" i="26" s="1"/>
  <c r="AM42" i="26"/>
  <c r="AN42" i="26" s="1"/>
  <c r="AI43" i="26"/>
  <c r="AJ43" i="26" s="1"/>
  <c r="AQ43" i="26"/>
  <c r="AR43" i="26" s="1"/>
  <c r="AM44" i="26"/>
  <c r="AN44" i="26" s="1"/>
  <c r="AI46" i="26"/>
  <c r="AJ46" i="26" s="1"/>
  <c r="AQ46" i="26"/>
  <c r="AR46" i="26" s="1"/>
  <c r="AM47" i="26"/>
  <c r="AN47" i="26" s="1"/>
  <c r="AQ48" i="26"/>
  <c r="AR48" i="26" s="1"/>
  <c r="AM52" i="26"/>
  <c r="AN52" i="26" s="1"/>
  <c r="AI53" i="26"/>
  <c r="AJ53" i="26" s="1"/>
  <c r="AQ53" i="26"/>
  <c r="AR53" i="26" s="1"/>
  <c r="AM54" i="26"/>
  <c r="AN54" i="26" s="1"/>
  <c r="AI56" i="26"/>
  <c r="AJ56" i="26" s="1"/>
  <c r="AQ56" i="26"/>
  <c r="AR56" i="26" s="1"/>
  <c r="AI59" i="26"/>
  <c r="AJ59" i="26" s="1"/>
  <c r="AQ59" i="26"/>
  <c r="AR59" i="26" s="1"/>
  <c r="AM61" i="26"/>
  <c r="AN61" i="26" s="1"/>
  <c r="AI65" i="26"/>
  <c r="AJ65" i="26" s="1"/>
  <c r="AQ65" i="26"/>
  <c r="AR65" i="26" s="1"/>
  <c r="AI68" i="26"/>
  <c r="AJ68" i="26" s="1"/>
  <c r="AQ68" i="26"/>
  <c r="AR68" i="26" s="1"/>
  <c r="AM69" i="26"/>
  <c r="AN69" i="26" s="1"/>
  <c r="AI72" i="26"/>
  <c r="AJ72" i="26" s="1"/>
  <c r="AM74" i="26"/>
  <c r="AN74" i="26" s="1"/>
  <c r="AK75" i="26"/>
  <c r="AL75" i="26" s="1"/>
  <c r="AM80" i="26"/>
  <c r="AN80" i="26" s="1"/>
  <c r="AM84" i="26"/>
  <c r="AN84" i="26" s="1"/>
  <c r="AM92" i="26"/>
  <c r="AN92" i="26" s="1"/>
  <c r="AI93" i="26"/>
  <c r="AJ93" i="26" s="1"/>
  <c r="AM95" i="26"/>
  <c r="AN95" i="26" s="1"/>
  <c r="AI96" i="26"/>
  <c r="AJ96" i="26" s="1"/>
  <c r="AM102" i="26"/>
  <c r="AN102" i="26" s="1"/>
  <c r="AI105" i="26"/>
  <c r="AJ105" i="26" s="1"/>
  <c r="AM106" i="26"/>
  <c r="AN106" i="26" s="1"/>
  <c r="AI108" i="26"/>
  <c r="AJ108" i="26" s="1"/>
  <c r="AM109" i="26"/>
  <c r="AN109" i="26" s="1"/>
  <c r="AI110" i="26"/>
  <c r="AJ110" i="26" s="1"/>
  <c r="AM111" i="26"/>
  <c r="AN111" i="26" s="1"/>
  <c r="AM117" i="26"/>
  <c r="AN117" i="26" s="1"/>
  <c r="AI119" i="26"/>
  <c r="AJ119" i="26" s="1"/>
  <c r="AI127" i="26"/>
  <c r="AJ127" i="26" s="1"/>
  <c r="AM128" i="26"/>
  <c r="AN128" i="26" s="1"/>
  <c r="AI133" i="26"/>
  <c r="AJ133" i="26" s="1"/>
  <c r="AQ133" i="26"/>
  <c r="AR133" i="26" s="1"/>
  <c r="AM136" i="26"/>
  <c r="AN136" i="26" s="1"/>
  <c r="AM10" i="26"/>
  <c r="AN10" i="26" s="1"/>
  <c r="AK12" i="26"/>
  <c r="AL12" i="26" s="1"/>
  <c r="AO15" i="26"/>
  <c r="AP15" i="26" s="1"/>
  <c r="AK16" i="26"/>
  <c r="AL16" i="26" s="1"/>
  <c r="AO17" i="26"/>
  <c r="AP17" i="26" s="1"/>
  <c r="AK18" i="26"/>
  <c r="AL18" i="26" s="1"/>
  <c r="AO20" i="26"/>
  <c r="AP20" i="26" s="1"/>
  <c r="AK21" i="26"/>
  <c r="AL21" i="26" s="1"/>
  <c r="AO22" i="26"/>
  <c r="AP22" i="26" s="1"/>
  <c r="AK23" i="26"/>
  <c r="AL23" i="26" s="1"/>
  <c r="AO31" i="26"/>
  <c r="AP31" i="26" s="1"/>
  <c r="AM32" i="26"/>
  <c r="AN32" i="26" s="1"/>
  <c r="AO37" i="26"/>
  <c r="AP37" i="26" s="1"/>
  <c r="AK38" i="26"/>
  <c r="AL38" i="26" s="1"/>
  <c r="AO39" i="26"/>
  <c r="AP39" i="26" s="1"/>
  <c r="AK40" i="26"/>
  <c r="AL40" i="26" s="1"/>
  <c r="AO42" i="26"/>
  <c r="AP42" i="26" s="1"/>
  <c r="AO44" i="26"/>
  <c r="AP44" i="26" s="1"/>
  <c r="AK46" i="26"/>
  <c r="AL46" i="26" s="1"/>
  <c r="AO47" i="26"/>
  <c r="AP47" i="26" s="1"/>
  <c r="AK48" i="26"/>
  <c r="AL48" i="26" s="1"/>
  <c r="AO52" i="26"/>
  <c r="AP52" i="26" s="1"/>
  <c r="AK53" i="26"/>
  <c r="AL53" i="26" s="1"/>
  <c r="AO54" i="26"/>
  <c r="AP54" i="26" s="1"/>
  <c r="AK56" i="26"/>
  <c r="AL56" i="26" s="1"/>
  <c r="AO57" i="26"/>
  <c r="AP57" i="26" s="1"/>
  <c r="AK59" i="26"/>
  <c r="AL59" i="26" s="1"/>
  <c r="AO61" i="26"/>
  <c r="AP61" i="26" s="1"/>
  <c r="AO66" i="26"/>
  <c r="AP66" i="26" s="1"/>
  <c r="AK68" i="26"/>
  <c r="AL68" i="26" s="1"/>
  <c r="AO69" i="26"/>
  <c r="AP69" i="26" s="1"/>
  <c r="AK72" i="26"/>
  <c r="AL72" i="26" s="1"/>
  <c r="AO74" i="26"/>
  <c r="AP74" i="26" s="1"/>
  <c r="AM75" i="26"/>
  <c r="AN75" i="26" s="1"/>
  <c r="AO80" i="26"/>
  <c r="AP80" i="26" s="1"/>
  <c r="AO84" i="26"/>
  <c r="AP84" i="26" s="1"/>
  <c r="AK85" i="26"/>
  <c r="AL85" i="26" s="1"/>
  <c r="AO87" i="26"/>
  <c r="AP87" i="26" s="1"/>
  <c r="AK88" i="26"/>
  <c r="AL88" i="26" s="1"/>
  <c r="AK96" i="26"/>
  <c r="AL96" i="26" s="1"/>
  <c r="AO102" i="26"/>
  <c r="AP102" i="26" s="1"/>
  <c r="AK105" i="26"/>
  <c r="AL105" i="26" s="1"/>
  <c r="AK108" i="26"/>
  <c r="AL108" i="26" s="1"/>
  <c r="AK110" i="26"/>
  <c r="AL110" i="26" s="1"/>
  <c r="AO111" i="26"/>
  <c r="AP111" i="26" s="1"/>
  <c r="AK116" i="26"/>
  <c r="AL116" i="26" s="1"/>
  <c r="AO117" i="26"/>
  <c r="AP117" i="26" s="1"/>
  <c r="AK119" i="26"/>
  <c r="AL119" i="26" s="1"/>
  <c r="AO126" i="26"/>
  <c r="AP126" i="26" s="1"/>
  <c r="AK127" i="26"/>
  <c r="AL127" i="26" s="1"/>
  <c r="AK133" i="26"/>
  <c r="AL133" i="26" s="1"/>
  <c r="AO134" i="26"/>
  <c r="AP134" i="26" s="1"/>
  <c r="AK135" i="26"/>
  <c r="AL135" i="26" s="1"/>
  <c r="AK10" i="26"/>
  <c r="AL10" i="26" s="1"/>
  <c r="AM12" i="26"/>
  <c r="AI15" i="26"/>
  <c r="AJ15" i="26" s="1"/>
  <c r="AQ15" i="26"/>
  <c r="AR15" i="26" s="1"/>
  <c r="AM16" i="26"/>
  <c r="AN16" i="26" s="1"/>
  <c r="AI17" i="26"/>
  <c r="AJ17" i="26" s="1"/>
  <c r="AQ17" i="26"/>
  <c r="AR17" i="26" s="1"/>
  <c r="AM18" i="26"/>
  <c r="AN18" i="26" s="1"/>
  <c r="AI20" i="26"/>
  <c r="AJ20" i="26" s="1"/>
  <c r="AQ20" i="26"/>
  <c r="AR20" i="26" s="1"/>
  <c r="AM21" i="26"/>
  <c r="AN21" i="26" s="1"/>
  <c r="AI22" i="26"/>
  <c r="AJ22" i="26" s="1"/>
  <c r="AQ22" i="26"/>
  <c r="AR22" i="26" s="1"/>
  <c r="AM23" i="26"/>
  <c r="AN23" i="26" s="1"/>
  <c r="AO32" i="26"/>
  <c r="AP32" i="26" s="1"/>
  <c r="AI37" i="26"/>
  <c r="AJ37" i="26" s="1"/>
  <c r="AQ37" i="26"/>
  <c r="AR37" i="26" s="1"/>
  <c r="AM38" i="26"/>
  <c r="AN38" i="26" s="1"/>
  <c r="AI39" i="26"/>
  <c r="AJ39" i="26" s="1"/>
  <c r="AQ39" i="26"/>
  <c r="AR39" i="26" s="1"/>
  <c r="AM40" i="26"/>
  <c r="AN40" i="26" s="1"/>
  <c r="AI42" i="26"/>
  <c r="AJ42" i="26" s="1"/>
  <c r="AQ42" i="26"/>
  <c r="AR42" i="26" s="1"/>
  <c r="AM43" i="26"/>
  <c r="AN43" i="26" s="1"/>
  <c r="AI44" i="26"/>
  <c r="AJ44" i="26" s="1"/>
  <c r="AQ44" i="26"/>
  <c r="AR44" i="26" s="1"/>
  <c r="AM46" i="26"/>
  <c r="AN46" i="26" s="1"/>
  <c r="AI47" i="26"/>
  <c r="AJ47" i="26" s="1"/>
  <c r="AQ47" i="26"/>
  <c r="AR47" i="26" s="1"/>
  <c r="AM48" i="26"/>
  <c r="AN48" i="26" s="1"/>
  <c r="AI52" i="26"/>
  <c r="AJ52" i="26" s="1"/>
  <c r="AM53" i="26"/>
  <c r="AN53" i="26" s="1"/>
  <c r="AI54" i="26"/>
  <c r="AJ54" i="26" s="1"/>
  <c r="AQ54" i="26"/>
  <c r="AR54" i="26" s="1"/>
  <c r="AM56" i="26"/>
  <c r="AN56" i="26" s="1"/>
  <c r="AI57" i="26"/>
  <c r="AJ57" i="26" s="1"/>
  <c r="AQ57" i="26"/>
  <c r="AR57" i="26" s="1"/>
  <c r="AM59" i="26"/>
  <c r="AN59" i="26" s="1"/>
  <c r="AI61" i="26"/>
  <c r="AJ61" i="26" s="1"/>
  <c r="AQ61" i="26"/>
  <c r="AR61" i="26" s="1"/>
  <c r="AM65" i="26"/>
  <c r="AN65" i="26" s="1"/>
  <c r="AI66" i="26"/>
  <c r="AJ66" i="26" s="1"/>
  <c r="AQ66" i="26"/>
  <c r="AR66" i="26" s="1"/>
  <c r="AM68" i="26"/>
  <c r="AN68" i="26" s="1"/>
  <c r="AI69" i="26"/>
  <c r="AJ69" i="26" s="1"/>
  <c r="AM72" i="26"/>
  <c r="AN72" i="26" s="1"/>
  <c r="AO75" i="26"/>
  <c r="AP75" i="26" s="1"/>
  <c r="AI80" i="26"/>
  <c r="AJ80" i="26" s="1"/>
  <c r="AQ80" i="26"/>
  <c r="AR80" i="26" s="1"/>
  <c r="AQ84" i="26"/>
  <c r="AR84" i="26" s="1"/>
  <c r="AM85" i="26"/>
  <c r="AN85" i="26" s="1"/>
  <c r="AI87" i="26"/>
  <c r="AJ87" i="26" s="1"/>
  <c r="AQ87" i="26"/>
  <c r="AR87" i="26" s="1"/>
  <c r="AM88" i="26"/>
  <c r="AN88" i="26" s="1"/>
  <c r="AI92" i="26"/>
  <c r="AJ92" i="26" s="1"/>
  <c r="AQ92" i="26"/>
  <c r="AR92" i="26" s="1"/>
  <c r="AM93" i="26"/>
  <c r="AN93" i="26" s="1"/>
  <c r="AQ95" i="26"/>
  <c r="AR95" i="26" s="1"/>
  <c r="AM96" i="26"/>
  <c r="AN96" i="26" s="1"/>
  <c r="AQ102" i="26"/>
  <c r="AR102" i="26" s="1"/>
  <c r="AQ106" i="26"/>
  <c r="AR106" i="26" s="1"/>
  <c r="AI109" i="26"/>
  <c r="AJ109" i="26" s="1"/>
  <c r="AQ109" i="26"/>
  <c r="AR109" i="26" s="1"/>
  <c r="AM110" i="26"/>
  <c r="AN110" i="26" s="1"/>
  <c r="AI111" i="26"/>
  <c r="AJ111" i="26" s="1"/>
  <c r="AM116" i="26"/>
  <c r="AN116" i="26" s="1"/>
  <c r="AQ117" i="26"/>
  <c r="AR117" i="26" s="1"/>
  <c r="AI126" i="26"/>
  <c r="AJ126" i="26" s="1"/>
  <c r="AQ126" i="26"/>
  <c r="AR126" i="26" s="1"/>
  <c r="AQ128" i="26"/>
  <c r="AR128" i="26" s="1"/>
  <c r="AI134" i="26"/>
  <c r="AJ134" i="26" s="1"/>
  <c r="AQ134" i="26"/>
  <c r="AR134" i="26" s="1"/>
  <c r="AM135" i="26"/>
  <c r="AN135" i="26" s="1"/>
  <c r="AN12" i="26" l="1"/>
  <c r="BP7" i="26" a="1"/>
  <c r="BP7" i="26" s="1"/>
  <c r="BD17" i="26"/>
  <c r="AZ20" i="26"/>
  <c r="BR12" i="26"/>
  <c r="AZ18" i="26" l="1"/>
  <c r="BA20" i="26" s="1"/>
  <c r="AY36" i="26" l="1"/>
  <c r="AR6" i="26" l="1"/>
  <c r="BP12" i="26" s="1"/>
  <c r="BP14" i="26" s="1"/>
  <c r="W77" i="11"/>
  <c r="W52" i="11"/>
  <c r="W28" i="11"/>
  <c r="W7" i="11"/>
  <c r="BI18" i="26" l="1"/>
  <c r="AZ36" i="26" l="1"/>
  <c r="AZ19" i="26"/>
  <c r="BM17" i="26" l="1"/>
  <c r="BM19" i="26"/>
  <c r="BM18" i="26"/>
  <c r="BM16" i="26"/>
  <c r="BM20" i="26" l="1"/>
  <c r="AE6" i="26" l="1"/>
  <c r="AV37" i="26" s="1" a="1"/>
  <c r="AY49" i="26" s="1"/>
  <c r="AV37" i="26" l="1"/>
  <c r="E8" i="13" a="1"/>
  <c r="E8" i="13" s="1"/>
  <c r="D8" i="13" a="1"/>
  <c r="D8" i="13" s="1"/>
  <c r="C8" i="13" a="1"/>
  <c r="C8" i="13" s="1"/>
  <c r="B8" i="13" a="1"/>
  <c r="B8" i="13" s="1"/>
  <c r="A8" i="13" a="1"/>
  <c r="A8" i="13" s="1"/>
  <c r="B19" i="29" l="1"/>
  <c r="A19" i="29"/>
  <c r="B18" i="29"/>
  <c r="B17" i="29"/>
  <c r="A17" i="29"/>
  <c r="B16" i="29"/>
  <c r="A16" i="29"/>
  <c r="B15" i="29"/>
  <c r="A15" i="29"/>
  <c r="B14" i="29"/>
  <c r="A14" i="29"/>
  <c r="A13" i="29"/>
  <c r="C15" i="29"/>
  <c r="C18" i="29" l="1"/>
  <c r="C17" i="29"/>
  <c r="B13" i="29"/>
  <c r="C16" i="29"/>
  <c r="C19" i="29"/>
  <c r="C14" i="29"/>
  <c r="AN6" i="26" l="1"/>
  <c r="BF12" i="26" s="1"/>
  <c r="BF14" i="26" s="1"/>
  <c r="AL6" i="26"/>
  <c r="BA12" i="26" s="1"/>
  <c r="BA14" i="26" s="1"/>
  <c r="AJ6" i="26" l="1"/>
  <c r="AP6" i="26"/>
  <c r="BK12" i="26" s="1"/>
  <c r="BK14" i="26" s="1"/>
  <c r="A18" i="29"/>
  <c r="BA7" i="26" l="1" a="1"/>
  <c r="BA7" i="26" s="1"/>
  <c r="BA9" i="26" s="1"/>
  <c r="BP9" i="26"/>
  <c r="BK7" i="26" a="1"/>
  <c r="BK7" i="26" s="1"/>
  <c r="BK9" i="26" s="1"/>
  <c r="AV7" i="26"/>
  <c r="AV9" i="26" s="1"/>
  <c r="BF7" i="26" a="1"/>
  <c r="BF7" i="26" s="1"/>
  <c r="BF9" i="26" s="1"/>
  <c r="C13" i="29"/>
  <c r="BA19" i="26"/>
  <c r="BA18" i="26" s="1"/>
  <c r="C50" i="11" l="1"/>
  <c r="C58" i="11"/>
  <c r="C85" i="11"/>
  <c r="C74" i="11"/>
  <c r="C34" i="11"/>
  <c r="C100" i="11"/>
  <c r="B74" i="11"/>
  <c r="B100" i="11"/>
  <c r="B50" i="11"/>
  <c r="B34" i="11"/>
  <c r="B58" i="11" l="1"/>
  <c r="B85" i="11"/>
  <c r="B13" i="11"/>
  <c r="F74" i="11" l="1"/>
  <c r="F100" i="11"/>
  <c r="D100" i="11"/>
  <c r="D74" i="11"/>
  <c r="D13" i="11"/>
  <c r="D50" i="11"/>
  <c r="F50" i="11"/>
  <c r="F13" i="11" l="1"/>
  <c r="D85" i="11"/>
  <c r="D58" i="11"/>
  <c r="D34" i="11"/>
  <c r="E13" i="11" l="1"/>
  <c r="G13" i="11" s="1"/>
  <c r="E58" i="11"/>
  <c r="E50" i="11"/>
  <c r="G50" i="11" s="1"/>
  <c r="F85" i="11"/>
  <c r="E74" i="11"/>
  <c r="G74" i="11" s="1"/>
  <c r="F58" i="11"/>
  <c r="E100" i="11"/>
  <c r="G100" i="11" s="1"/>
  <c r="G58" i="11" l="1"/>
  <c r="E85" i="11"/>
  <c r="G85" i="11" s="1"/>
  <c r="E34" i="11"/>
  <c r="G34" i="11" s="1"/>
  <c r="AY48" i="26" s="1"/>
  <c r="AY47" i="26" s="1"/>
  <c r="AY46" i="26" s="1"/>
  <c r="AY45" i="26" s="1"/>
  <c r="AY44" i="26" s="1"/>
  <c r="AY43" i="26" s="1"/>
  <c r="AY42" i="26" s="1"/>
  <c r="AY41" i="26" s="1"/>
  <c r="AY40" i="26" s="1"/>
  <c r="AY39" i="26" s="1"/>
  <c r="AY38" i="2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<sst xmlns="http://schemas.openxmlformats.org/spreadsheetml/2006/main" count="444" uniqueCount="133">
  <si>
    <t>QUEM?</t>
  </si>
  <si>
    <t>QUANDO?</t>
  </si>
  <si>
    <t>ENTREGUE</t>
  </si>
  <si>
    <t>TOTAL</t>
  </si>
  <si>
    <t>ADERENCIA</t>
  </si>
  <si>
    <t>ANA</t>
  </si>
  <si>
    <t>ADRIANO</t>
  </si>
  <si>
    <t>JOÃO</t>
  </si>
  <si>
    <t>MARCOS</t>
  </si>
  <si>
    <t>STATUS</t>
  </si>
  <si>
    <t>ENGENHARIA</t>
  </si>
  <si>
    <t>ROGERIO</t>
  </si>
  <si>
    <t>PLANO DE AÇÃO</t>
  </si>
  <si>
    <t>ADERÊNCIA SEMANAL</t>
  </si>
  <si>
    <t>ADERÊNCIA ACUMULADA</t>
  </si>
  <si>
    <t>VAZIO</t>
  </si>
  <si>
    <t>MARCO | ENTREGA</t>
  </si>
  <si>
    <t>ENTREGA</t>
  </si>
  <si>
    <t>MARCO</t>
  </si>
  <si>
    <t>Aprovação do Cliente</t>
  </si>
  <si>
    <t>MARCO - Emissão Inicial (Rev_A)</t>
  </si>
  <si>
    <t>ADERÊNCIA ACUMULADA 1</t>
  </si>
  <si>
    <t>ADERÊNCIA SEMANA 1</t>
  </si>
  <si>
    <t>ADERÊNCIA SEMANA 2</t>
  </si>
  <si>
    <t>ADERÊNCIA SEMANA 3</t>
  </si>
  <si>
    <t>ADERÊNCIA SEMANA 4</t>
  </si>
  <si>
    <t>ADERÊNCIA ACUMULADA 3</t>
  </si>
  <si>
    <t>ADERÊNCIA ACUMULADA 2</t>
  </si>
  <si>
    <t>ATRASO MENSAL</t>
  </si>
  <si>
    <t xml:space="preserve">ADERÊNCIA SEMANAL </t>
  </si>
  <si>
    <t xml:space="preserve">ADERÊNCIA ACUMULADA </t>
  </si>
  <si>
    <t>OBS</t>
  </si>
  <si>
    <t>CAUSA DO DESVIO - ADRIANO</t>
  </si>
  <si>
    <t>EFPRAZO E ENTREGUE</t>
  </si>
  <si>
    <t>ATRASADO</t>
  </si>
  <si>
    <t>RISCO</t>
  </si>
  <si>
    <t>EFPRAZO</t>
  </si>
  <si>
    <t>Falta de Recurso</t>
  </si>
  <si>
    <t>ADERÊNCIA SEMANA 5</t>
  </si>
  <si>
    <t>ADERÊNCIA ACUMULADA 4</t>
  </si>
  <si>
    <t>X</t>
  </si>
  <si>
    <t>OK</t>
  </si>
  <si>
    <t>ARCELORMITTAL (VIBRACON SERVICE)</t>
  </si>
  <si>
    <t>ETAPA DE ESCRITÓRIO</t>
  </si>
  <si>
    <t>MARCO - MEMÓRIA DE CÁLCULO</t>
  </si>
  <si>
    <t>Certificação do documento - Vibracon</t>
  </si>
  <si>
    <t>MARCO - Envio do documento Certificado (Rev_0)</t>
  </si>
  <si>
    <t>ETAPA DE CAMPO</t>
  </si>
  <si>
    <t>Modelagem FEM e Cálculo</t>
  </si>
  <si>
    <t>VALE - CONTRATO 580 - ACG</t>
  </si>
  <si>
    <t>PT146 - Projeto S-2087 - IB3 12 MTA - ANÁLISE ESTRUTURAL (alegria)</t>
  </si>
  <si>
    <t>1211LL - PRÉDIO DA BRITAGEM SECUNDÁRIA IB3</t>
  </si>
  <si>
    <t>Metálica</t>
  </si>
  <si>
    <t>MEMÓRIA DE CÁLCULO: MC-1211LL-S-00002</t>
  </si>
  <si>
    <t>Análise VALE</t>
  </si>
  <si>
    <t>PROJETO DE REFORÇO: 1211LL-S-70169 e 1211LL-S-70170</t>
  </si>
  <si>
    <t>Civil</t>
  </si>
  <si>
    <t>MEMÓRIA DE CÁLCULO: MC-1211LL-C-00004</t>
  </si>
  <si>
    <t>Análise do documento revisado (VALE)</t>
  </si>
  <si>
    <t>Emissão final</t>
  </si>
  <si>
    <t>1310LL - PRÉDIO DO PENEIRAMENTO TERCIÁRIO IB3</t>
  </si>
  <si>
    <t>MEMÓRIA DE CÁLCULO: MC-1310LL-C-00005</t>
  </si>
  <si>
    <t>PROJETO DE REFORÇO: 1310LL-C-00003</t>
  </si>
  <si>
    <t>VALE - CONTRATO 456</t>
  </si>
  <si>
    <t>PT012 - ANÁLISE ESTRUTURAL DO SISTEMA DE TRANSLAÇÃO DA CABEÇA MÓVEL TR-313K-88/89 - AGUARDANDO APROVAÇÃO DA ADP</t>
  </si>
  <si>
    <t>MARCO - Emissão Inicial (Rev_B)</t>
  </si>
  <si>
    <t>PT014 - ANÁLISE ESTRUTURAL - BATENTE - ER - 313K - 01</t>
  </si>
  <si>
    <t>MARCO - PROJETO DETALHADO</t>
  </si>
  <si>
    <t>085 - 0219 - VALE - VIT</t>
  </si>
  <si>
    <t>RECUPERADORA - RC - 03</t>
  </si>
  <si>
    <t>Verificação Interna</t>
  </si>
  <si>
    <t>STELLANTIS</t>
  </si>
  <si>
    <t>SISTEMA - T4 AT6</t>
  </si>
  <si>
    <t>ETAPA INICIAL</t>
  </si>
  <si>
    <t>Check step 1</t>
  </si>
  <si>
    <t>SISTEMA - 521 T3 CVT</t>
  </si>
  <si>
    <t>Step 0</t>
  </si>
  <si>
    <t>Ações do Cliente</t>
  </si>
  <si>
    <t>FASE 2 - (A DEFINIR COM O CLIENTE)</t>
  </si>
  <si>
    <t>Elaborar o Plano de Coleta</t>
  </si>
  <si>
    <t>Coleta Acelerométrica</t>
  </si>
  <si>
    <t>Modelagem CAD</t>
  </si>
  <si>
    <t>VOTORANTIM - PRUFTECHINIK</t>
  </si>
  <si>
    <t>Proposta de Reforços, se necessário</t>
  </si>
  <si>
    <t>Elaboração da Memória de Cálculo</t>
  </si>
  <si>
    <t>Verificação da Memória de Cálculo</t>
  </si>
  <si>
    <t>FASE 1</t>
  </si>
  <si>
    <t>FASE 2</t>
  </si>
  <si>
    <t>1ª Condição: Situação atual (Levantamento de Campo)</t>
  </si>
  <si>
    <t>Análise Estática</t>
  </si>
  <si>
    <t>Modelagem FEM</t>
  </si>
  <si>
    <t>Aplicação de carregamento e condições de contorno</t>
  </si>
  <si>
    <t>Análise dos resultados</t>
  </si>
  <si>
    <t>Proposta de Reforço (caso necessário)</t>
  </si>
  <si>
    <t>Desenvolvimento e emissão inicial</t>
  </si>
  <si>
    <t>Atendimento aos comentários</t>
  </si>
  <si>
    <t>Modelagem da Estrutura</t>
  </si>
  <si>
    <t>Análise Dinâmica</t>
  </si>
  <si>
    <t>Proposta de Reforços (caso necessário)</t>
  </si>
  <si>
    <t>PROJETO DE REFORÇO: 1211LL-C-00003</t>
  </si>
  <si>
    <t>PT199 - ANÁLISE ESTRUTURAL - ED2032KS01</t>
  </si>
  <si>
    <t>Mobilização</t>
  </si>
  <si>
    <t>Modelagem CAD 3D</t>
  </si>
  <si>
    <t>PT009 - Projeto Conceitual - Sistema de Troca de Tambores</t>
  </si>
  <si>
    <t>KOMATSU</t>
  </si>
  <si>
    <t>001_0123_KMT - ADEQUAÇÃO DE INTEGRIDADE ESTRUTURAL PÓRTICOS</t>
  </si>
  <si>
    <t>PÓRTICO 20/40 toneladas</t>
  </si>
  <si>
    <t>METÁLICA</t>
  </si>
  <si>
    <t>Análise das Juntas Soldadas</t>
  </si>
  <si>
    <t>PÓRTICO 15 toneladas</t>
  </si>
  <si>
    <t>Análise de Pinos e Parafusos</t>
  </si>
  <si>
    <t>Modelo FEM</t>
  </si>
  <si>
    <t>MARCO - MODELO FEM</t>
  </si>
  <si>
    <t>MOSAIC</t>
  </si>
  <si>
    <t>Estudo de Fadiga</t>
  </si>
  <si>
    <t>Revisão da Análise Modal e Diffnorm</t>
  </si>
  <si>
    <t>Revisão do Posicionamento dos Centros Elásticos</t>
  </si>
  <si>
    <t>Atualização das Curvas de Coxim</t>
  </si>
  <si>
    <t>Elaboração da Análise de Sistema</t>
  </si>
  <si>
    <t>MARCO - ANÁLISE DE SISTEMA</t>
  </si>
  <si>
    <t>MARCO - Emissão do Documento</t>
  </si>
  <si>
    <t>Elaboração da Análise de Sistema do Step 0</t>
  </si>
  <si>
    <t>MARCO - ANÁLISE DE SISTEMA DO STEP 0</t>
  </si>
  <si>
    <t>Step A</t>
  </si>
  <si>
    <t>Definição do Mapa Modal</t>
  </si>
  <si>
    <t>Análise de Alta Frequência</t>
  </si>
  <si>
    <t>Definição da Progressividade das Curvas em Manobras Estásicas</t>
  </si>
  <si>
    <t>Definição de Cargas de Missão</t>
  </si>
  <si>
    <t>Adriano</t>
  </si>
  <si>
    <t>Solicitar ao cliente</t>
  </si>
  <si>
    <t>TRANSPORTADOR - TR-H20</t>
  </si>
  <si>
    <t>Entrega dos documentos</t>
  </si>
  <si>
    <t>Análise de Documentação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</si>
</sst>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2C4594"/>
      <name val="Calibri"/>
      <family val="2"/>
      <scheme val="minor"/>
    </font>
    <font>
      <b/>
      <sz val="16"/>
      <color rgb="FF5D9145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6"/>
      <color rgb="FFA5A8A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375623"/>
      <name val="Calibri"/>
      <family val="2"/>
      <scheme val="minor"/>
    </font>
    <font>
      <sz val="11"/>
      <color rgb="FF3756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2C4594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1F386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C4594"/>
        <bgColor indexed="64"/>
      </patternFill>
    </fill>
    <fill>
      <patternFill patternType="solid">
        <fgColor rgb="FF2C94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0326A"/>
        <bgColor indexed="64"/>
      </patternFill>
    </fill>
    <fill>
      <patternFill patternType="solid">
        <fgColor rgb="FF3B5CC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8F2"/>
        <bgColor indexed="64"/>
      </patternFill>
    </fill>
    <fill>
      <patternFill patternType="solid">
        <fgColor rgb="FF5A76CE"/>
        <bgColor indexed="64"/>
      </patternFill>
    </fill>
    <fill>
      <patternFill patternType="solid">
        <fgColor rgb="FF889CDC"/>
        <bgColor indexed="64"/>
      </patternFill>
    </fill>
    <fill>
      <patternFill patternType="solid">
        <fgColor rgb="FFB8C4EA"/>
        <bgColor indexed="64"/>
      </patternFill>
    </fill>
    <fill>
      <patternFill patternType="solid">
        <fgColor rgb="FFCCD5F0"/>
        <bgColor indexed="64"/>
      </patternFill>
    </fill>
    <fill>
      <patternFill patternType="solid">
        <fgColor rgb="FFE8ECF8"/>
        <bgColor indexed="64"/>
      </patternFill>
    </fill>
    <fill>
      <patternFill patternType="solid">
        <fgColor rgb="FFD5E5D1"/>
        <bgColor indexed="64"/>
      </patternFill>
    </fill>
    <fill>
      <patternFill patternType="solid">
        <fgColor theme="2" tint="-9.9978637043366805E-2"/>
        <bgColor indexed="64"/>
      </patternFill>
    </fill>
  </fills>
  <borders count="58">
    <border>
      <left/>
      <right/>
      <top/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rgb="FF2C4594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theme="2"/>
      </bottom>
      <diagonal/>
    </border>
    <border>
      <left/>
      <right style="thin">
        <color rgb="FF2C4594"/>
      </right>
      <top/>
      <bottom/>
      <diagonal/>
    </border>
    <border>
      <left style="thin">
        <color theme="2"/>
      </left>
      <right style="thin">
        <color rgb="FF2C4594"/>
      </right>
      <top/>
      <bottom/>
      <diagonal/>
    </border>
    <border>
      <left style="thin">
        <color rgb="FF2C4594"/>
      </left>
      <right style="thin">
        <color rgb="FF2C4594"/>
      </right>
      <top style="thin">
        <color rgb="FF2C4594"/>
      </top>
      <bottom/>
      <diagonal/>
    </border>
    <border>
      <left style="medium">
        <color rgb="FF2C4594"/>
      </left>
      <right/>
      <top style="medium">
        <color rgb="FF2C4594"/>
      </top>
      <bottom/>
      <diagonal/>
    </border>
    <border>
      <left/>
      <right/>
      <top style="medium">
        <color rgb="FF2C4594"/>
      </top>
      <bottom/>
      <diagonal/>
    </border>
    <border>
      <left/>
      <right style="medium">
        <color rgb="FF2C4594"/>
      </right>
      <top style="medium">
        <color rgb="FF2C4594"/>
      </top>
      <bottom/>
      <diagonal/>
    </border>
    <border>
      <left style="medium">
        <color rgb="FF2C4594"/>
      </left>
      <right/>
      <top/>
      <bottom/>
      <diagonal/>
    </border>
    <border>
      <left/>
      <right style="medium">
        <color rgb="FF2C4594"/>
      </right>
      <top/>
      <bottom/>
      <diagonal/>
    </border>
    <border>
      <left style="medium">
        <color rgb="FF2C4594"/>
      </left>
      <right/>
      <top/>
      <bottom style="medium">
        <color rgb="FF2C4594"/>
      </bottom>
      <diagonal/>
    </border>
    <border>
      <left/>
      <right/>
      <top/>
      <bottom style="medium">
        <color rgb="FF2C4594"/>
      </bottom>
      <diagonal/>
    </border>
    <border>
      <left/>
      <right style="medium">
        <color rgb="FF2C4594"/>
      </right>
      <top/>
      <bottom style="medium">
        <color rgb="FF2C4594"/>
      </bottom>
      <diagonal/>
    </border>
    <border>
      <left/>
      <right/>
      <top/>
      <bottom style="thin">
        <color rgb="FF2C4594"/>
      </bottom>
      <diagonal/>
    </border>
    <border>
      <left style="medium">
        <color rgb="FF2C9449"/>
      </left>
      <right/>
      <top style="medium">
        <color rgb="FF2C9449"/>
      </top>
      <bottom/>
      <diagonal/>
    </border>
    <border>
      <left/>
      <right/>
      <top style="medium">
        <color rgb="FF2C9449"/>
      </top>
      <bottom/>
      <diagonal/>
    </border>
    <border>
      <left/>
      <right style="medium">
        <color rgb="FF2C9449"/>
      </right>
      <top style="medium">
        <color rgb="FF2C9449"/>
      </top>
      <bottom/>
      <diagonal/>
    </border>
    <border>
      <left style="medium">
        <color rgb="FF2C9449"/>
      </left>
      <right/>
      <top/>
      <bottom/>
      <diagonal/>
    </border>
    <border>
      <left/>
      <right style="medium">
        <color rgb="FF2C9449"/>
      </right>
      <top/>
      <bottom/>
      <diagonal/>
    </border>
    <border>
      <left style="medium">
        <color rgb="FF2C9449"/>
      </left>
      <right/>
      <top/>
      <bottom style="medium">
        <color rgb="FF2C9449"/>
      </bottom>
      <diagonal/>
    </border>
    <border>
      <left/>
      <right/>
      <top/>
      <bottom style="medium">
        <color rgb="FF2C9449"/>
      </bottom>
      <diagonal/>
    </border>
    <border>
      <left/>
      <right style="medium">
        <color rgb="FF2C9449"/>
      </right>
      <top/>
      <bottom style="medium">
        <color rgb="FF2C9449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rgb="FFB1BBCC"/>
      </bottom>
      <diagonal/>
    </border>
    <border>
      <left/>
      <right/>
      <top/>
      <bottom style="thin">
        <color rgb="FFB1BBCC"/>
      </bottom>
      <diagonal/>
    </border>
    <border>
      <left/>
      <right style="thin">
        <color theme="2"/>
      </right>
      <top/>
      <bottom style="thin">
        <color rgb="FFB1BB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82">
    <xf numFmtId="0" fontId="0" fillId="0" borderId="0" xfId="0"/>
    <xf numFmtId="0" fontId="0" fillId="2" borderId="0" xfId="0" applyFill="1"/>
    <xf numFmtId="0" fontId="0" fillId="0" borderId="0" xfId="0" applyAlignment="1">
      <alignment horizontal="left" vertical="center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 applyProtection="1">
      <alignment horizontal="center" vertical="center"/>
      <protection locked="0"/>
    </xf>
    <xf numFmtId="0" fontId="1" fillId="5" borderId="15" xfId="0" applyFont="1" applyFill="1" applyBorder="1" applyAlignment="1" applyProtection="1">
      <alignment horizontal="center" vertical="center"/>
      <protection locked="0"/>
    </xf>
    <xf numFmtId="9" fontId="1" fillId="4" borderId="12" xfId="0" applyNumberFormat="1" applyFont="1" applyFill="1" applyBorder="1" applyAlignment="1" applyProtection="1">
      <alignment horizontal="center" vertical="center"/>
      <protection locked="0"/>
    </xf>
    <xf numFmtId="9" fontId="1" fillId="4" borderId="13" xfId="0" applyNumberFormat="1" applyFont="1" applyFill="1" applyBorder="1" applyAlignment="1" applyProtection="1">
      <alignment horizontal="center" vertical="center"/>
      <protection locked="0"/>
    </xf>
    <xf numFmtId="9" fontId="1" fillId="4" borderId="16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Protection="1">
      <protection locked="0"/>
    </xf>
    <xf numFmtId="0" fontId="0" fillId="6" borderId="0" xfId="0" applyFill="1" applyProtection="1">
      <protection locked="0"/>
    </xf>
    <xf numFmtId="0" fontId="1" fillId="5" borderId="17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9" fontId="1" fillId="4" borderId="18" xfId="0" applyNumberFormat="1" applyFont="1" applyFill="1" applyBorder="1" applyAlignment="1" applyProtection="1">
      <alignment horizontal="center" vertical="center"/>
      <protection locked="0"/>
    </xf>
    <xf numFmtId="9" fontId="1" fillId="4" borderId="14" xfId="0" applyNumberFormat="1" applyFont="1" applyFill="1" applyBorder="1" applyAlignment="1" applyProtection="1">
      <alignment horizontal="center" vertical="center"/>
      <protection locked="0"/>
    </xf>
    <xf numFmtId="0" fontId="1" fillId="5" borderId="19" xfId="0" applyFont="1" applyFill="1" applyBorder="1" applyAlignment="1" applyProtection="1">
      <alignment horizontal="center" vertical="center"/>
      <protection locked="0"/>
    </xf>
    <xf numFmtId="0" fontId="1" fillId="5" borderId="20" xfId="0" applyFont="1" applyFill="1" applyBorder="1" applyAlignment="1" applyProtection="1">
      <alignment horizontal="center" vertical="center"/>
      <protection locked="0"/>
    </xf>
    <xf numFmtId="0" fontId="0" fillId="6" borderId="0" xfId="0" applyFill="1"/>
    <xf numFmtId="0" fontId="0" fillId="6" borderId="24" xfId="0" applyFill="1" applyBorder="1"/>
    <xf numFmtId="0" fontId="0" fillId="3" borderId="25" xfId="0" applyFill="1" applyBorder="1"/>
    <xf numFmtId="0" fontId="0" fillId="0" borderId="35" xfId="0" applyBorder="1" applyProtection="1">
      <protection locked="0"/>
    </xf>
    <xf numFmtId="0" fontId="8" fillId="2" borderId="2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7" fillId="4" borderId="26" xfId="0" applyFont="1" applyFill="1" applyBorder="1" applyAlignment="1">
      <alignment horizontal="center" vertical="center"/>
    </xf>
    <xf numFmtId="0" fontId="3" fillId="0" borderId="21" xfId="0" applyFont="1" applyBorder="1" applyAlignment="1">
      <alignment vertical="center" wrapText="1"/>
    </xf>
    <xf numFmtId="0" fontId="3" fillId="8" borderId="21" xfId="0" applyFont="1" applyFill="1" applyBorder="1" applyAlignment="1">
      <alignment vertical="center" wrapText="1"/>
    </xf>
    <xf numFmtId="0" fontId="8" fillId="8" borderId="21" xfId="0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11" fillId="9" borderId="44" xfId="0" applyFont="1" applyFill="1" applyBorder="1" applyAlignment="1">
      <alignment vertical="center" wrapText="1"/>
    </xf>
    <xf numFmtId="0" fontId="11" fillId="6" borderId="44" xfId="0" applyFont="1" applyFill="1" applyBorder="1" applyAlignment="1">
      <alignment vertical="center" wrapText="1"/>
    </xf>
    <xf numFmtId="0" fontId="11" fillId="10" borderId="44" xfId="0" applyFont="1" applyFill="1" applyBorder="1" applyAlignment="1">
      <alignment vertical="center" wrapText="1"/>
    </xf>
    <xf numFmtId="0" fontId="12" fillId="11" borderId="44" xfId="0" applyFont="1" applyFill="1" applyBorder="1" applyAlignment="1">
      <alignment vertical="center" wrapText="1"/>
    </xf>
    <xf numFmtId="0" fontId="13" fillId="12" borderId="44" xfId="0" applyFont="1" applyFill="1" applyBorder="1" applyAlignment="1">
      <alignment vertical="center" wrapText="1"/>
    </xf>
    <xf numFmtId="0" fontId="14" fillId="11" borderId="44" xfId="0" applyFont="1" applyFill="1" applyBorder="1" applyAlignment="1">
      <alignment vertical="center" wrapText="1"/>
    </xf>
    <xf numFmtId="0" fontId="11" fillId="13" borderId="44" xfId="0" applyFont="1" applyFill="1" applyBorder="1" applyAlignment="1">
      <alignment vertical="center" wrapText="1"/>
    </xf>
    <xf numFmtId="0" fontId="11" fillId="14" borderId="44" xfId="0" applyFont="1" applyFill="1" applyBorder="1" applyAlignment="1">
      <alignment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13" fillId="11" borderId="44" xfId="0" applyFont="1" applyFill="1" applyBorder="1" applyAlignment="1">
      <alignment vertical="center" wrapText="1"/>
    </xf>
    <xf numFmtId="0" fontId="15" fillId="0" borderId="0" xfId="0" applyFont="1"/>
    <xf numFmtId="0" fontId="16" fillId="2" borderId="44" xfId="0" applyFont="1" applyFill="1" applyBorder="1" applyAlignment="1">
      <alignment horizontal="center" vertical="center"/>
    </xf>
    <xf numFmtId="0" fontId="7" fillId="11" borderId="44" xfId="0" applyFont="1" applyFill="1" applyBorder="1" applyAlignment="1">
      <alignment vertical="center" wrapText="1"/>
    </xf>
    <xf numFmtId="0" fontId="15" fillId="0" borderId="52" xfId="0" applyFont="1" applyBorder="1" applyAlignment="1">
      <alignment horizontal="center" vertical="center"/>
    </xf>
    <xf numFmtId="10" fontId="15" fillId="0" borderId="52" xfId="0" applyNumberFormat="1" applyFont="1" applyBorder="1" applyAlignment="1">
      <alignment horizontal="center" vertical="center"/>
    </xf>
    <xf numFmtId="0" fontId="11" fillId="13" borderId="0" xfId="0" applyFont="1" applyFill="1" applyAlignment="1">
      <alignment vertical="center" wrapText="1"/>
    </xf>
    <xf numFmtId="9" fontId="0" fillId="0" borderId="0" xfId="1" applyFont="1"/>
    <xf numFmtId="9" fontId="1" fillId="4" borderId="13" xfId="1" applyFont="1" applyFill="1" applyBorder="1" applyAlignment="1" applyProtection="1">
      <alignment horizontal="center" vertical="center"/>
      <protection locked="0"/>
    </xf>
    <xf numFmtId="0" fontId="3" fillId="8" borderId="21" xfId="0" applyFont="1" applyFill="1" applyBorder="1" applyAlignment="1">
      <alignment horizontal="center" vertical="center" wrapText="1"/>
    </xf>
    <xf numFmtId="14" fontId="3" fillId="8" borderId="21" xfId="0" applyNumberFormat="1" applyFont="1" applyFill="1" applyBorder="1" applyAlignment="1">
      <alignment horizontal="center" vertical="center" wrapText="1"/>
    </xf>
    <xf numFmtId="0" fontId="0" fillId="8" borderId="0" xfId="0" applyFill="1"/>
    <xf numFmtId="0" fontId="18" fillId="15" borderId="44" xfId="0" applyFont="1" applyFill="1" applyBorder="1" applyAlignment="1">
      <alignment vertical="center" wrapText="1"/>
    </xf>
    <xf numFmtId="9" fontId="0" fillId="0" borderId="52" xfId="1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9" fontId="0" fillId="0" borderId="52" xfId="0" applyNumberFormat="1" applyBorder="1" applyAlignment="1">
      <alignment horizontal="center" vertical="center"/>
    </xf>
    <xf numFmtId="16" fontId="0" fillId="5" borderId="0" xfId="0" applyNumberFormat="1" applyFill="1" applyAlignment="1">
      <alignment horizontal="center" vertical="center" wrapText="1"/>
    </xf>
    <xf numFmtId="0" fontId="0" fillId="0" borderId="56" xfId="0" applyBorder="1" applyAlignment="1">
      <alignment wrapText="1"/>
    </xf>
    <xf numFmtId="0" fontId="0" fillId="0" borderId="57" xfId="0" applyBorder="1" applyAlignment="1">
      <alignment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6" fillId="2" borderId="44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left" vertical="center" wrapText="1"/>
    </xf>
    <xf numFmtId="0" fontId="0" fillId="3" borderId="1" xfId="0" applyFill="1" applyBorder="1" applyAlignment="1">
      <alignment wrapText="1"/>
    </xf>
    <xf numFmtId="0" fontId="0" fillId="3" borderId="25" xfId="0" applyFill="1" applyBorder="1" applyAlignment="1">
      <alignment horizontal="left" vertical="center" wrapText="1"/>
    </xf>
    <xf numFmtId="0" fontId="0" fillId="6" borderId="0" xfId="0" applyFill="1" applyAlignment="1">
      <alignment wrapText="1"/>
    </xf>
    <xf numFmtId="0" fontId="0" fillId="6" borderId="24" xfId="0" applyFill="1" applyBorder="1" applyAlignment="1">
      <alignment horizontal="left" vertical="center" wrapText="1"/>
    </xf>
    <xf numFmtId="0" fontId="7" fillId="4" borderId="2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3" fillId="8" borderId="21" xfId="0" applyFont="1" applyFill="1" applyBorder="1" applyAlignment="1">
      <alignment horizontal="left" vertical="center" wrapText="1"/>
    </xf>
    <xf numFmtId="0" fontId="3" fillId="0" borderId="21" xfId="0" applyFont="1" applyBorder="1" applyAlignment="1">
      <alignment horizontal="center" vertical="center" wrapText="1"/>
    </xf>
    <xf numFmtId="14" fontId="3" fillId="0" borderId="21" xfId="0" applyNumberFormat="1" applyFont="1" applyBorder="1" applyAlignment="1">
      <alignment horizontal="center" vertical="center" wrapText="1"/>
    </xf>
    <xf numFmtId="0" fontId="3" fillId="0" borderId="21" xfId="0" applyFont="1" applyBorder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wrapText="1"/>
    </xf>
    <xf numFmtId="0" fontId="2" fillId="6" borderId="23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Border="1" applyAlignment="1">
      <alignment horizontal="center" wrapText="1"/>
    </xf>
    <xf numFmtId="0" fontId="0" fillId="6" borderId="0" xfId="0" applyFill="1" applyAlignment="1" applyProtection="1">
      <alignment horizontal="center" wrapText="1"/>
      <protection locked="0"/>
    </xf>
    <xf numFmtId="0" fontId="14" fillId="2" borderId="44" xfId="0" applyFont="1" applyFill="1" applyBorder="1" applyAlignment="1">
      <alignment vertical="center" wrapText="1"/>
    </xf>
    <xf numFmtId="0" fontId="18" fillId="16" borderId="44" xfId="0" applyFont="1" applyFill="1" applyBorder="1" applyAlignment="1">
      <alignment vertical="center" wrapText="1"/>
    </xf>
    <xf numFmtId="0" fontId="18" fillId="17" borderId="44" xfId="0" applyFont="1" applyFill="1" applyBorder="1" applyAlignment="1">
      <alignment vertical="center" wrapText="1"/>
    </xf>
    <xf numFmtId="14" fontId="16" fillId="2" borderId="44" xfId="0" applyNumberFormat="1" applyFont="1" applyFill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0" fontId="15" fillId="0" borderId="52" xfId="0" applyFont="1" applyBorder="1" applyAlignment="1">
      <alignment horizontal="left" vertical="center"/>
    </xf>
    <xf numFmtId="0" fontId="15" fillId="0" borderId="53" xfId="0" applyFont="1" applyBorder="1" applyAlignment="1">
      <alignment horizontal="left" vertical="center"/>
    </xf>
    <xf numFmtId="0" fontId="15" fillId="0" borderId="54" xfId="0" applyFont="1" applyBorder="1" applyAlignment="1">
      <alignment horizontal="left" vertical="center"/>
    </xf>
    <xf numFmtId="0" fontId="15" fillId="0" borderId="55" xfId="0" applyFont="1" applyBorder="1" applyAlignment="1">
      <alignment horizontal="left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 wrapText="1"/>
    </xf>
    <xf numFmtId="0" fontId="13" fillId="11" borderId="46" xfId="0" applyFont="1" applyFill="1" applyBorder="1" applyAlignment="1">
      <alignment horizontal="center" vertical="center" wrapText="1"/>
    </xf>
    <xf numFmtId="0" fontId="13" fillId="11" borderId="47" xfId="0" applyFont="1" applyFill="1" applyBorder="1" applyAlignment="1">
      <alignment horizontal="center" vertical="center" wrapText="1"/>
    </xf>
    <xf numFmtId="0" fontId="11" fillId="10" borderId="45" xfId="0" applyFont="1" applyFill="1" applyBorder="1" applyAlignment="1">
      <alignment horizontal="center" vertical="center" wrapText="1"/>
    </xf>
    <xf numFmtId="0" fontId="11" fillId="10" borderId="46" xfId="0" applyFont="1" applyFill="1" applyBorder="1" applyAlignment="1">
      <alignment horizontal="center" vertical="center" wrapText="1"/>
    </xf>
    <xf numFmtId="0" fontId="11" fillId="10" borderId="47" xfId="0" applyFont="1" applyFill="1" applyBorder="1" applyAlignment="1">
      <alignment horizontal="center" vertical="center" wrapText="1"/>
    </xf>
    <xf numFmtId="0" fontId="11" fillId="14" borderId="45" xfId="0" applyFont="1" applyFill="1" applyBorder="1" applyAlignment="1">
      <alignment horizontal="center" vertical="center" wrapText="1"/>
    </xf>
    <xf numFmtId="0" fontId="11" fillId="14" borderId="46" xfId="0" applyFont="1" applyFill="1" applyBorder="1" applyAlignment="1">
      <alignment horizontal="center" vertical="center" wrapText="1"/>
    </xf>
    <xf numFmtId="0" fontId="11" fillId="14" borderId="47" xfId="0" applyFont="1" applyFill="1" applyBorder="1" applyAlignment="1">
      <alignment horizontal="center" vertical="center" wrapText="1"/>
    </xf>
    <xf numFmtId="0" fontId="18" fillId="15" borderId="45" xfId="0" applyFont="1" applyFill="1" applyBorder="1" applyAlignment="1">
      <alignment horizontal="center" vertical="center" wrapText="1"/>
    </xf>
    <xf numFmtId="0" fontId="18" fillId="15" borderId="46" xfId="0" applyFont="1" applyFill="1" applyBorder="1" applyAlignment="1">
      <alignment horizontal="center" vertical="center" wrapText="1"/>
    </xf>
    <xf numFmtId="0" fontId="18" fillId="15" borderId="47" xfId="0" applyFont="1" applyFill="1" applyBorder="1" applyAlignment="1">
      <alignment horizontal="center" vertical="center" wrapText="1"/>
    </xf>
    <xf numFmtId="0" fontId="18" fillId="16" borderId="45" xfId="0" applyFont="1" applyFill="1" applyBorder="1" applyAlignment="1">
      <alignment horizontal="center" vertical="center" wrapText="1"/>
    </xf>
    <xf numFmtId="0" fontId="18" fillId="16" borderId="46" xfId="0" applyFont="1" applyFill="1" applyBorder="1" applyAlignment="1">
      <alignment horizontal="center" vertical="center" wrapText="1"/>
    </xf>
    <xf numFmtId="0" fontId="18" fillId="16" borderId="47" xfId="0" applyFont="1" applyFill="1" applyBorder="1" applyAlignment="1">
      <alignment horizontal="center" vertical="center" wrapText="1"/>
    </xf>
    <xf numFmtId="0" fontId="18" fillId="17" borderId="45" xfId="0" applyFont="1" applyFill="1" applyBorder="1" applyAlignment="1">
      <alignment horizontal="center" vertical="center" wrapText="1"/>
    </xf>
    <xf numFmtId="0" fontId="18" fillId="17" borderId="46" xfId="0" applyFont="1" applyFill="1" applyBorder="1" applyAlignment="1">
      <alignment horizontal="center" vertical="center" wrapText="1"/>
    </xf>
    <xf numFmtId="0" fontId="18" fillId="17" borderId="47" xfId="0" applyFont="1" applyFill="1" applyBorder="1" applyAlignment="1">
      <alignment horizontal="center" vertical="center" wrapText="1"/>
    </xf>
    <xf numFmtId="0" fontId="0" fillId="12" borderId="45" xfId="0" applyFill="1" applyBorder="1" applyAlignment="1">
      <alignment horizontal="center"/>
    </xf>
    <xf numFmtId="0" fontId="0" fillId="12" borderId="46" xfId="0" applyFill="1" applyBorder="1" applyAlignment="1">
      <alignment horizontal="center"/>
    </xf>
    <xf numFmtId="0" fontId="0" fillId="12" borderId="47" xfId="0" applyFill="1" applyBorder="1" applyAlignment="1">
      <alignment horizontal="center"/>
    </xf>
    <xf numFmtId="0" fontId="11" fillId="13" borderId="45" xfId="0" applyFont="1" applyFill="1" applyBorder="1" applyAlignment="1">
      <alignment horizontal="center" vertical="center" wrapText="1"/>
    </xf>
    <xf numFmtId="0" fontId="11" fillId="13" borderId="46" xfId="0" applyFont="1" applyFill="1" applyBorder="1" applyAlignment="1">
      <alignment horizontal="center" vertical="center" wrapText="1"/>
    </xf>
    <xf numFmtId="0" fontId="11" fillId="13" borderId="47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51" xfId="0" applyFill="1" applyBorder="1" applyAlignment="1">
      <alignment horizontal="center" vertical="center" wrapText="1"/>
    </xf>
    <xf numFmtId="16" fontId="0" fillId="12" borderId="1" xfId="0" applyNumberFormat="1" applyFill="1" applyBorder="1" applyAlignment="1">
      <alignment horizontal="center" vertical="center" wrapText="1"/>
    </xf>
    <xf numFmtId="16" fontId="0" fillId="12" borderId="4" xfId="0" applyNumberFormat="1" applyFill="1" applyBorder="1" applyAlignment="1">
      <alignment horizontal="center" vertical="center" wrapText="1"/>
    </xf>
    <xf numFmtId="0" fontId="11" fillId="9" borderId="45" xfId="0" applyFont="1" applyFill="1" applyBorder="1" applyAlignment="1">
      <alignment horizontal="center" vertical="center" wrapText="1"/>
    </xf>
    <xf numFmtId="0" fontId="11" fillId="9" borderId="46" xfId="0" applyFont="1" applyFill="1" applyBorder="1" applyAlignment="1">
      <alignment horizontal="center" vertical="center" wrapText="1"/>
    </xf>
    <xf numFmtId="0" fontId="11" fillId="9" borderId="47" xfId="0" applyFont="1" applyFill="1" applyBorder="1" applyAlignment="1">
      <alignment horizontal="center" vertical="center" wrapText="1"/>
    </xf>
    <xf numFmtId="16" fontId="7" fillId="5" borderId="48" xfId="0" applyNumberFormat="1" applyFont="1" applyFill="1" applyBorder="1" applyAlignment="1">
      <alignment horizontal="center" vertical="center" wrapText="1"/>
    </xf>
    <xf numFmtId="16" fontId="7" fillId="5" borderId="0" xfId="0" applyNumberFormat="1" applyFont="1" applyFill="1" applyAlignment="1">
      <alignment horizontal="center" vertical="center" wrapText="1"/>
    </xf>
    <xf numFmtId="16" fontId="7" fillId="5" borderId="2" xfId="0" applyNumberFormat="1" applyFont="1" applyFill="1" applyBorder="1" applyAlignment="1">
      <alignment horizontal="center" vertical="center" wrapText="1"/>
    </xf>
    <xf numFmtId="16" fontId="7" fillId="5" borderId="49" xfId="0" applyNumberFormat="1" applyFont="1" applyFill="1" applyBorder="1" applyAlignment="1">
      <alignment horizontal="center" vertical="center" wrapText="1"/>
    </xf>
    <xf numFmtId="16" fontId="7" fillId="5" borderId="50" xfId="0" applyNumberFormat="1" applyFont="1" applyFill="1" applyBorder="1" applyAlignment="1">
      <alignment horizontal="center" vertical="center" wrapText="1"/>
    </xf>
    <xf numFmtId="16" fontId="7" fillId="5" borderId="51" xfId="0" applyNumberFormat="1" applyFont="1" applyFill="1" applyBorder="1" applyAlignment="1">
      <alignment horizontal="center"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16" fontId="9" fillId="6" borderId="3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16" fontId="2" fillId="6" borderId="5" xfId="0" applyNumberFormat="1" applyFont="1" applyFill="1" applyBorder="1" applyAlignment="1">
      <alignment horizontal="center" vertical="center"/>
    </xf>
    <xf numFmtId="16" fontId="2" fillId="6" borderId="48" xfId="0" applyNumberFormat="1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16" fontId="2" fillId="7" borderId="3" xfId="0" applyNumberFormat="1" applyFont="1" applyFill="1" applyBorder="1" applyAlignment="1" applyProtection="1">
      <alignment horizontal="center" vertical="center" wrapText="1"/>
      <protection locked="0"/>
    </xf>
    <xf numFmtId="16" fontId="2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6" borderId="45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0" fontId="11" fillId="6" borderId="47" xfId="0" applyFont="1" applyFill="1" applyBorder="1" applyAlignment="1">
      <alignment horizontal="center" vertical="center" wrapText="1"/>
    </xf>
    <xf numFmtId="16" fontId="0" fillId="5" borderId="24" xfId="0" applyNumberForma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16" fontId="0" fillId="5" borderId="0" xfId="0" applyNumberFormat="1" applyFill="1" applyAlignment="1">
      <alignment horizontal="center" vertical="center" wrapText="1"/>
    </xf>
    <xf numFmtId="16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0" fontId="6" fillId="6" borderId="27" xfId="0" applyFont="1" applyFill="1" applyBorder="1" applyAlignment="1" applyProtection="1">
      <alignment horizontal="center" vertical="center"/>
      <protection locked="0"/>
    </xf>
    <xf numFmtId="0" fontId="6" fillId="6" borderId="2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6" fillId="6" borderId="30" xfId="0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31" xfId="0" applyFont="1" applyFill="1" applyBorder="1" applyAlignment="1" applyProtection="1">
      <alignment horizontal="center" vertical="center"/>
      <protection locked="0"/>
    </xf>
    <xf numFmtId="0" fontId="6" fillId="6" borderId="32" xfId="0" applyFont="1" applyFill="1" applyBorder="1" applyAlignment="1" applyProtection="1">
      <alignment horizontal="center" vertical="center"/>
      <protection locked="0"/>
    </xf>
    <xf numFmtId="0" fontId="6" fillId="6" borderId="33" xfId="0" applyFont="1" applyFill="1" applyBorder="1" applyAlignment="1" applyProtection="1">
      <alignment horizontal="center" vertical="center"/>
      <protection locked="0"/>
    </xf>
    <xf numFmtId="0" fontId="6" fillId="6" borderId="34" xfId="0" applyFont="1" applyFill="1" applyBorder="1" applyAlignment="1" applyProtection="1">
      <alignment horizontal="center" vertical="center"/>
      <protection locked="0"/>
    </xf>
    <xf numFmtId="0" fontId="6" fillId="7" borderId="36" xfId="0" applyFont="1" applyFill="1" applyBorder="1" applyAlignment="1" applyProtection="1">
      <alignment horizontal="center" vertical="center"/>
      <protection locked="0"/>
    </xf>
    <xf numFmtId="0" fontId="6" fillId="7" borderId="37" xfId="0" applyFont="1" applyFill="1" applyBorder="1" applyAlignment="1" applyProtection="1">
      <alignment horizontal="center" vertical="center"/>
      <protection locked="0"/>
    </xf>
    <xf numFmtId="0" fontId="6" fillId="7" borderId="38" xfId="0" applyFont="1" applyFill="1" applyBorder="1" applyAlignment="1" applyProtection="1">
      <alignment horizontal="center" vertical="center"/>
      <protection locked="0"/>
    </xf>
    <xf numFmtId="0" fontId="6" fillId="7" borderId="39" xfId="0" applyFont="1" applyFill="1" applyBorder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center" vertical="center"/>
      <protection locked="0"/>
    </xf>
    <xf numFmtId="0" fontId="6" fillId="7" borderId="40" xfId="0" applyFont="1" applyFill="1" applyBorder="1" applyAlignment="1" applyProtection="1">
      <alignment horizontal="center" vertical="center"/>
      <protection locked="0"/>
    </xf>
    <xf numFmtId="0" fontId="6" fillId="7" borderId="41" xfId="0" applyFont="1" applyFill="1" applyBorder="1" applyAlignment="1" applyProtection="1">
      <alignment horizontal="center" vertical="center"/>
      <protection locked="0"/>
    </xf>
    <xf numFmtId="0" fontId="6" fillId="7" borderId="42" xfId="0" applyFont="1" applyFill="1" applyBorder="1" applyAlignment="1" applyProtection="1">
      <alignment horizontal="center" vertical="center"/>
      <protection locked="0"/>
    </xf>
    <xf numFmtId="0" fontId="6" fillId="7" borderId="43" xfId="0" applyFont="1" applyFill="1" applyBorder="1" applyAlignment="1" applyProtection="1">
      <alignment horizontal="center" vertical="center"/>
      <protection locked="0"/>
    </xf>
    <xf numFmtId="16" fontId="10" fillId="2" borderId="30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30" xfId="0" applyFont="1" applyFill="1" applyBorder="1" applyAlignment="1" applyProtection="1">
      <alignment horizontal="center" vertical="center"/>
      <protection locked="0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14" fillId="18" borderId="44" xfId="0" applyFont="1" applyFill="1" applyBorder="1" applyAlignment="1">
      <alignment vertical="center" wrapText="1"/>
    </xf>
    <xf numFmtId="16" fontId="0" fillId="19" borderId="1" xfId="0" applyNumberFormat="1" applyFill="1" applyBorder="1" applyAlignment="1">
      <alignment horizontal="center" vertical="center" wrapText="1"/>
    </xf>
    <xf numFmtId="16" fontId="0" fillId="19" borderId="4" xfId="0" applyNumberFormat="1" applyFill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 wrapText="1"/>
    </xf>
  </cellXfs>
  <cellStyles count="2">
    <cellStyle name="Normal" xfId="0" builtinId="0"/>
    <cellStyle name="Porcentagem" xfId="1" builtinId="5"/>
  </cellStyles>
  <dxfs count="400"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rgb="FF5D9145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</font>
    </dxf>
    <dxf>
      <font>
        <b val="0"/>
        <i val="0"/>
        <color auto="1"/>
      </font>
    </dxf>
    <dxf>
      <font>
        <b/>
        <i val="0"/>
      </font>
    </dxf>
    <dxf>
      <font>
        <b val="0"/>
        <i val="0"/>
        <color auto="1"/>
      </font>
    </dxf>
  </dxfs>
  <tableStyles count="2" defaultTableStyle="TableStyleMedium2" defaultPivotStyle="PivotStyleLight16">
    <tableStyle name="Estilo de Segmentação de Dados 1" pivot="0" table="0" count="5" xr9:uid="{00000000-0011-0000-FFFF-FFFF00000000}">
      <tableStyleElement type="wholeTable" dxfId="399"/>
      <tableStyleElement type="headerRow" dxfId="398"/>
    </tableStyle>
    <tableStyle name="Estilo de Segmentação de Dados 1 2" pivot="0" table="0" count="5" xr9:uid="{00000000-0011-0000-FFFF-FFFF01000000}">
      <tableStyleElement type="wholeTable" dxfId="397"/>
      <tableStyleElement type="headerRow" dxfId="396"/>
    </tableStyle>
  </tableStyles>
  <colors>
    <mruColors>
      <color rgb="FFD5E5D1"/>
      <color rgb="FFF4F8F2"/>
      <color rgb="FFA5A8A6"/>
      <color rgb="FFB8C4EA"/>
      <color rgb="FF3BC385"/>
      <color rgb="FF2C4594"/>
      <color rgb="FF211E5D"/>
      <color rgb="FF2C9449"/>
      <color rgb="FF07485C"/>
      <color rgb="FF5D9145"/>
    </mruColors>
  </colors>
  <extLst>
    <ext xmlns:x14="http://schemas.microsoft.com/office/spreadsheetml/2009/9/main" uri="{46F421CA-312F-682f-3DD2-61675219B42D}">
      <x14:dxfs count="6"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7030A0"/>
            </patternFill>
          </fill>
        </dxf>
        <dxf>
          <fill>
            <patternFill>
              <bgColor theme="2"/>
            </patternFill>
          </fill>
        </dxf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2C4594"/>
            </patternFill>
          </fill>
        </dxf>
        <dxf>
          <fill>
            <patternFill>
              <bgColor theme="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</x14:slicerStyleElements>
        </x14:slicerStyle>
        <x14:slicerStyle name="Estilo de Segmentação de Dados 1 2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'% DE DESVIO'!$A$13:$A$19</c15:sqref>
                  </c15:fullRef>
                </c:ext>
              </c:extLst>
              <c:f>'% DE DESVIO'!$A$14:$A$19</c:f>
              <c:strCache>
                <c:ptCount val="6"/>
                <c:pt idx="0">
                  <c:v>Ações do Cliente</c:v>
                </c:pt>
                <c:pt idx="1">
                  <c:v>Falta de Recurso</c:v>
                </c:pt>
                <c:pt idx="2">
                  <c:v>0</c:v>
                </c:pt>
                <c:pt idx="3">
                  <c:v>0</c:v>
                </c:pt>
                <c:pt idx="4">
                  <c:v>#REF!</c:v>
                </c:pt>
                <c:pt idx="5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'% DE DESVIO'!$C$13:$C$19</c15:sqref>
                  </c15:fullRef>
                </c:ext>
              </c:extLst>
              <c:f>'% DE DESVIO'!$C$14:$C$19</c:f>
              <c:numCache>
                <c:formatCode>0%</c:formatCode>
                <c:ptCount val="6"/>
                <c:pt idx="0">
                  <c:v>0.36363636363636365</c:v>
                </c:pt>
                <c:pt idx="1">
                  <c:v>0.63636363636363635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3-4156-841D-07AF1BDAA3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C-41F7-8743-D301F03D107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2EC-41F7-8743-D301F03D1073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175-4765-BED0-61933FE6F8B8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C-41F7-8743-D301F03D1073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2EC-41F7-8743-D301F03D1073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CB6-4A3F-B288-90719D9ABF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ADERÊNCIA!$B$12:$G$12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ADERÊNCIA!$B$13:$G$13</c:f>
              <c:numCache>
                <c:formatCode>0%</c:formatCode>
                <c:ptCount val="6"/>
                <c:pt idx="0">
                  <c:v>0</c:v>
                </c:pt>
                <c:pt idx="1">
                  <c:v>0.37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C-41F7-8743-D301F03D10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ADERÊNCIA!$B$14:$G$14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CB6-4A3F-B288-90719D9A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>
          <a:alpha val="97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3A1-49FE-991C-289004721C6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3A1-49FE-991C-289004721C65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3A1-49FE-991C-289004721C6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3A1-49FE-991C-289004721C6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94-43A6-BBB4-607AD21EC147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97B-439F-A288-A7906625DAC6}"/>
              </c:ext>
            </c:extLst>
          </c:dPt>
          <c:dLbls>
            <c:dLbl>
              <c:idx val="1"/>
              <c:layout>
                <c:manualLayout>
                  <c:x val="0"/>
                  <c:y val="1.11403508771929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A1-49FE-991C-289004721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ADERÊNCIA!$B$50:$G$50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A1-49FE-991C-289004721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7B-439F-A288-A7906625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DCC-48F3-BF06-79D4F2E64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CC-48F3-BF06-79D4F2E6403C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39-498C-86DE-02180584722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39-498C-86DE-02180584722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DCC-48F3-BF06-79D4F2E6403C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BF8-4E7C-903D-3427DE664F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ADERÊNCIA!$B$74:$G$74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39-498C-86DE-021805847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ADERÊNCIA!$B$75:$G$75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F8-4E7C-903D-3427DE66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23-4A36-8220-BAE534BB9CF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23-4A36-8220-BAE534BB9CFA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36E-4DE0-94F9-7E52BA8D098A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523-4A36-8220-BAE534BB9CFA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523-4A36-8220-BAE534BB9CFA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3AB-468B-A94C-5BC7F4A3FECA}"/>
              </c:ext>
            </c:extLst>
          </c:dPt>
          <c:dLbls>
            <c:dLbl>
              <c:idx val="0"/>
              <c:layout>
                <c:manualLayout>
                  <c:x val="0"/>
                  <c:y val="1.48538011695906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23-4A36-8220-BAE534BB9CFA}"/>
                </c:ext>
              </c:extLst>
            </c:dLbl>
            <c:dLbl>
              <c:idx val="1"/>
              <c:layout>
                <c:manualLayout>
                  <c:x val="0"/>
                  <c:y val="2.228070175438596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23-4A36-8220-BAE534BB9C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ADERÊNCIA!$B$34:$G$34</c:f>
              <c:numCache>
                <c:formatCode>0%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23-4A36-8220-BAE534BB9C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ADERÊNCIA!$B$35:$G$35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AA-4DFE-9752-705AEDCF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49-405C-9A02-C4BD354BAD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49-405C-9A02-C4BD354BADA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8AE-4104-898C-0B704422A6B0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49-405C-9A02-C4BD354BADA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49-405C-9A02-C4BD354BADAE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18A-446A-A392-F56CCA8CE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ADERÊNCIA!$B$58:$G$58</c:f>
              <c:numCache>
                <c:formatCode>0%</c:formatCode>
                <c:ptCount val="6"/>
                <c:pt idx="0">
                  <c:v>0</c:v>
                </c:pt>
                <c:pt idx="1">
                  <c:v>0.95833333333333337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49-405C-9A02-C4BD354BAD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ADERÊNCIA!$B$59:$G$59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65-458C-B372-5682BEFB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27-468B-997F-0DAE0397A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27-468B-997F-0DAE0397AA62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8C0-489B-9904-1528924EF6C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27-468B-997F-0DAE0397AA62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27-468B-997F-0DAE0397AA62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AFE-44FC-A20D-5335EF534F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ADERÊNCIA!$B$85:$G$85</c:f>
              <c:numCache>
                <c:formatCode>0%</c:formatCode>
                <c:ptCount val="6"/>
                <c:pt idx="0">
                  <c:v>0</c:v>
                </c:pt>
                <c:pt idx="1">
                  <c:v>0.51111111111111107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7-468B-997F-0DAE0397AA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07-41C5-88B7-015A432F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24-4563-AC29-49A28C2E78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24-4563-AC29-49A28C2E78FB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4F24-4563-AC29-49A28C2E78FB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24-4563-AC29-49A28C2E78FB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24-4563-AC29-49A28C2E78FB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24-4563-AC29-49A28C2E78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ADERÊNCIA!$B$100:$G$100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62-451E-B59C-B240422801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24-4563-AC29-49A28C2E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image" Target="../media/image4.svg"/><Relationship Id="rId12" Type="http://schemas.openxmlformats.org/officeDocument/2006/relationships/hyperlink" Target="#'% DE DESVIO'!A1"/><Relationship Id="rId2" Type="http://schemas.openxmlformats.org/officeDocument/2006/relationships/image" Target="../media/image1.png"/><Relationship Id="rId1" Type="http://schemas.openxmlformats.org/officeDocument/2006/relationships/hyperlink" Target="#ADER&#202;NCIA!A1"/><Relationship Id="rId6" Type="http://schemas.openxmlformats.org/officeDocument/2006/relationships/image" Target="../media/image3.png"/><Relationship Id="rId11" Type="http://schemas.microsoft.com/office/2007/relationships/hdphoto" Target="../media/hdphoto2.wdp"/><Relationship Id="rId5" Type="http://schemas.openxmlformats.org/officeDocument/2006/relationships/hyperlink" Target="#'PA ROGERIO'!A1"/><Relationship Id="rId10" Type="http://schemas.openxmlformats.org/officeDocument/2006/relationships/image" Target="../media/image6.png"/><Relationship Id="rId4" Type="http://schemas.openxmlformats.org/officeDocument/2006/relationships/hyperlink" Target="#'PA ADRIANO'!A1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image" Target="../media/image4.svg"/><Relationship Id="rId2" Type="http://schemas.openxmlformats.org/officeDocument/2006/relationships/hyperlink" Target="#ADER&#202;NCIA!A1"/><Relationship Id="rId1" Type="http://schemas.openxmlformats.org/officeDocument/2006/relationships/image" Target="../media/image7.png"/><Relationship Id="rId6" Type="http://schemas.openxmlformats.org/officeDocument/2006/relationships/image" Target="../media/image3.png"/><Relationship Id="rId11" Type="http://schemas.microsoft.com/office/2007/relationships/hdphoto" Target="../media/hdphoto2.wdp"/><Relationship Id="rId5" Type="http://schemas.openxmlformats.org/officeDocument/2006/relationships/image" Target="../media/image2.png"/><Relationship Id="rId10" Type="http://schemas.openxmlformats.org/officeDocument/2006/relationships/image" Target="../media/image6.png"/><Relationship Id="rId4" Type="http://schemas.openxmlformats.org/officeDocument/2006/relationships/hyperlink" Target="#ADRIANO!A1"/><Relationship Id="rId9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8.png"/><Relationship Id="rId7" Type="http://schemas.openxmlformats.org/officeDocument/2006/relationships/image" Target="../media/image5.png"/><Relationship Id="rId2" Type="http://schemas.openxmlformats.org/officeDocument/2006/relationships/hyperlink" Target="#ADER&#202;NCIA!A1"/><Relationship Id="rId1" Type="http://schemas.openxmlformats.org/officeDocument/2006/relationships/image" Target="../media/image7.png"/><Relationship Id="rId6" Type="http://schemas.openxmlformats.org/officeDocument/2006/relationships/image" Target="../media/image2.png"/><Relationship Id="rId11" Type="http://schemas.openxmlformats.org/officeDocument/2006/relationships/chart" Target="../charts/chart1.xml"/><Relationship Id="rId5" Type="http://schemas.openxmlformats.org/officeDocument/2006/relationships/hyperlink" Target="#ADRIANO!A1"/><Relationship Id="rId10" Type="http://schemas.microsoft.com/office/2007/relationships/hdphoto" Target="../media/hdphoto2.wdp"/><Relationship Id="rId4" Type="http://schemas.microsoft.com/office/2007/relationships/hdphoto" Target="../media/hdphoto3.wdp"/><Relationship Id="rId9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ADRIANO!A1"/><Relationship Id="rId18" Type="http://schemas.openxmlformats.org/officeDocument/2006/relationships/image" Target="../media/image5.png"/><Relationship Id="rId3" Type="http://schemas.openxmlformats.org/officeDocument/2006/relationships/chart" Target="../charts/chart4.xml"/><Relationship Id="rId21" Type="http://schemas.microsoft.com/office/2007/relationships/hdphoto" Target="../media/hdphoto2.wdp"/><Relationship Id="rId7" Type="http://schemas.openxmlformats.org/officeDocument/2006/relationships/chart" Target="../charts/chart8.xml"/><Relationship Id="rId12" Type="http://schemas.openxmlformats.org/officeDocument/2006/relationships/hyperlink" Target="#ANA!A1"/><Relationship Id="rId17" Type="http://schemas.openxmlformats.org/officeDocument/2006/relationships/image" Target="../media/image2.png"/><Relationship Id="rId2" Type="http://schemas.openxmlformats.org/officeDocument/2006/relationships/chart" Target="../charts/chart3.xml"/><Relationship Id="rId16" Type="http://schemas.openxmlformats.org/officeDocument/2006/relationships/hyperlink" Target="#MARCOS!A1"/><Relationship Id="rId20" Type="http://schemas.openxmlformats.org/officeDocument/2006/relationships/image" Target="../media/image6.png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microsoft.com/office/2007/relationships/hdphoto" Target="../media/hdphoto3.wdp"/><Relationship Id="rId5" Type="http://schemas.openxmlformats.org/officeDocument/2006/relationships/chart" Target="../charts/chart6.xml"/><Relationship Id="rId15" Type="http://schemas.openxmlformats.org/officeDocument/2006/relationships/hyperlink" Target="#ROGERIO!A1"/><Relationship Id="rId10" Type="http://schemas.openxmlformats.org/officeDocument/2006/relationships/image" Target="../media/image8.png"/><Relationship Id="rId19" Type="http://schemas.microsoft.com/office/2007/relationships/hdphoto" Target="../media/hdphoto1.wdp"/><Relationship Id="rId4" Type="http://schemas.openxmlformats.org/officeDocument/2006/relationships/chart" Target="../charts/chart5.xml"/><Relationship Id="rId9" Type="http://schemas.openxmlformats.org/officeDocument/2006/relationships/hyperlink" Target="#ADER&#202;NCIA!A1"/><Relationship Id="rId14" Type="http://schemas.openxmlformats.org/officeDocument/2006/relationships/hyperlink" Target="#JO&#195;O!A1"/><Relationship Id="rId22" Type="http://schemas.openxmlformats.org/officeDocument/2006/relationships/hyperlink" Target="#CG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45966</xdr:colOff>
      <xdr:row>3</xdr:row>
      <xdr:rowOff>171449</xdr:rowOff>
    </xdr:from>
    <xdr:to>
      <xdr:col>1</xdr:col>
      <xdr:colOff>5492749</xdr:colOff>
      <xdr:row>4</xdr:row>
      <xdr:rowOff>206374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33FE76B-2D3F-449A-8B59-6D4BF0E4A444}"/>
            </a:ext>
          </a:extLst>
        </xdr:cNvPr>
        <xdr:cNvSpPr/>
      </xdr:nvSpPr>
      <xdr:spPr>
        <a:xfrm>
          <a:off x="45966" y="996949"/>
          <a:ext cx="5446783" cy="352425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ADRIANO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30</xdr:col>
      <xdr:colOff>49145</xdr:colOff>
      <xdr:row>3</xdr:row>
      <xdr:rowOff>66912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CCDE5A7-EB09-4735-BBE4-2E2697DA1984}"/>
            </a:ext>
          </a:extLst>
        </xdr:cNvPr>
        <xdr:cNvGrpSpPr/>
      </xdr:nvGrpSpPr>
      <xdr:grpSpPr>
        <a:xfrm>
          <a:off x="0" y="0"/>
          <a:ext cx="20461220" cy="889237"/>
          <a:chOff x="0" y="0"/>
          <a:chExt cx="19664666" cy="814021"/>
        </a:xfrm>
        <a:effectLst>
          <a:outerShdw blurRad="50800" dist="38100" dir="16200000" rotWithShape="0">
            <a:prstClr val="black">
              <a:alpha val="40000"/>
            </a:prstClr>
          </a:outerShdw>
        </a:effectLst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5B5E8F10-00FA-6F64-218E-1713DF492915}"/>
              </a:ext>
            </a:extLst>
          </xdr:cNvPr>
          <xdr:cNvSpPr/>
        </xdr:nvSpPr>
        <xdr:spPr>
          <a:xfrm>
            <a:off x="0" y="0"/>
            <a:ext cx="19664666" cy="814021"/>
          </a:xfrm>
          <a:prstGeom prst="rect">
            <a:avLst/>
          </a:prstGeom>
          <a:solidFill>
            <a:srgbClr val="2C4594"/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2FECF309-CC7E-686C-27AC-317B9F566859}"/>
              </a:ext>
            </a:extLst>
          </xdr:cNvPr>
          <xdr:cNvGrpSpPr/>
        </xdr:nvGrpSpPr>
        <xdr:grpSpPr>
          <a:xfrm>
            <a:off x="14898859" y="264150"/>
            <a:ext cx="774107" cy="306456"/>
            <a:chOff x="16683879" y="257175"/>
            <a:chExt cx="771526" cy="323850"/>
          </a:xfrm>
        </xdr:grpSpPr>
        <xdr:sp macro="" textlink="">
          <xdr:nvSpPr>
            <xdr:cNvPr id="14" name="Retângulo: Cantos Arredondados 1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08A544-F987-2AF1-A813-0D27BAF99F62}"/>
                </a:ext>
              </a:extLst>
            </xdr:cNvPr>
            <xdr:cNvSpPr/>
          </xdr:nvSpPr>
          <xdr:spPr>
            <a:xfrm>
              <a:off x="16683879" y="257175"/>
              <a:ext cx="771526" cy="32385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1</a:t>
              </a:r>
            </a:p>
          </xdr:txBody>
        </xdr:sp>
        <xdr:pic>
          <xdr:nvPicPr>
            <xdr:cNvPr id="15" name="Imagem 14" descr="ícones Do Computador, Gráfico, Gráfico De Barras png transparente grátis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195CF43-A71E-D043-3563-3412C85ACB0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clrChange>
                <a:clrFrom>
                  <a:srgbClr val="EDEDED"/>
                </a:clrFrom>
                <a:clrTo>
                  <a:srgbClr val="EDEDED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6826734" y="295277"/>
              <a:ext cx="504825" cy="27622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9A966E36-B5DF-F04C-53E0-EA24F1D77B92}"/>
              </a:ext>
            </a:extLst>
          </xdr:cNvPr>
          <xdr:cNvGrpSpPr/>
        </xdr:nvGrpSpPr>
        <xdr:grpSpPr>
          <a:xfrm>
            <a:off x="13931864" y="263768"/>
            <a:ext cx="805960" cy="307732"/>
            <a:chOff x="13931864" y="293076"/>
            <a:chExt cx="805960" cy="307732"/>
          </a:xfrm>
        </xdr:grpSpPr>
        <xdr:sp macro="[0]!Salvar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A488D21D-A102-A52B-B0E4-BF07E56173C3}"/>
                </a:ext>
              </a:extLst>
            </xdr:cNvPr>
            <xdr:cNvSpPr/>
          </xdr:nvSpPr>
          <xdr:spPr>
            <a:xfrm>
              <a:off x="13931864" y="293076"/>
              <a:ext cx="805960" cy="307732"/>
            </a:xfrm>
            <a:prstGeom prst="roundRect">
              <a:avLst/>
            </a:prstGeom>
            <a:solidFill>
              <a:sysClr val="window" lastClr="FFFFFF"/>
            </a:solidFill>
            <a:ln>
              <a:solidFill>
                <a:srgbClr val="2C4594"/>
              </a:solidFill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2C4594"/>
                  </a:solidFill>
                </a:rPr>
                <a:t>         </a:t>
              </a:r>
            </a:p>
          </xdr:txBody>
        </xdr:sp>
        <xdr:pic macro="[0]!Salvar">
          <xdr:nvPicPr>
            <xdr:cNvPr id="13" name="Imagem 12" descr="Opção de salvar arquivo - ícones de interface grátis">
              <a:extLst>
                <a:ext uri="{FF2B5EF4-FFF2-40B4-BE49-F238E27FC236}">
                  <a16:creationId xmlns:a16="http://schemas.microsoft.com/office/drawing/2014/main" id="{5AC35FB2-41EF-3B67-3D50-CC38AA054F7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210276" y="337038"/>
              <a:ext cx="248093" cy="23646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21</xdr:col>
      <xdr:colOff>447218</xdr:colOff>
      <xdr:row>1</xdr:row>
      <xdr:rowOff>176498</xdr:rowOff>
    </xdr:from>
    <xdr:to>
      <xdr:col>23</xdr:col>
      <xdr:colOff>91553</xdr:colOff>
      <xdr:row>2</xdr:row>
      <xdr:rowOff>296294</xdr:rowOff>
    </xdr:to>
    <xdr:grpSp>
      <xdr:nvGrpSpPr>
        <xdr:cNvPr id="16" name="Agrupar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706059-3B1E-4591-8E66-0CED178409D8}"/>
            </a:ext>
          </a:extLst>
        </xdr:cNvPr>
        <xdr:cNvGrpSpPr/>
      </xdr:nvGrpSpPr>
      <xdr:grpSpPr>
        <a:xfrm>
          <a:off x="16865143" y="354298"/>
          <a:ext cx="780985" cy="303946"/>
          <a:chOff x="15898346" y="266139"/>
          <a:chExt cx="777481" cy="308168"/>
        </a:xfrm>
      </xdr:grpSpPr>
      <xdr:sp macro="" textlink="">
        <xdr:nvSpPr>
          <xdr:cNvPr id="17" name="Retângulo: Cantos Arredondados 1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AA667E5-8321-97A0-E18B-925043DA881C}"/>
              </a:ext>
            </a:extLst>
          </xdr:cNvPr>
          <xdr:cNvSpPr/>
        </xdr:nvSpPr>
        <xdr:spPr>
          <a:xfrm>
            <a:off x="15898346" y="266139"/>
            <a:ext cx="777481" cy="304590"/>
          </a:xfrm>
          <a:prstGeom prst="roundRect">
            <a:avLst/>
          </a:prstGeom>
          <a:solidFill>
            <a:sysClr val="window" lastClr="FFFFFF"/>
          </a:solidFill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</a:t>
            </a:r>
          </a:p>
        </xdr:txBody>
      </xdr:sp>
      <xdr:pic>
        <xdr:nvPicPr>
          <xdr:cNvPr id="18" name="Gráfico 17" descr="Lista de Verificação com preenchimento sólido">
            <a:extLst>
              <a:ext uri="{FF2B5EF4-FFF2-40B4-BE49-F238E27FC236}">
                <a16:creationId xmlns:a16="http://schemas.microsoft.com/office/drawing/2014/main" id="{79549553-B8E1-1EFA-B42E-518F87242D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122464" y="266146"/>
            <a:ext cx="308161" cy="308161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314555</xdr:colOff>
      <xdr:row>1</xdr:row>
      <xdr:rowOff>120685</xdr:rowOff>
    </xdr:from>
    <xdr:to>
      <xdr:col>26</xdr:col>
      <xdr:colOff>463163</xdr:colOff>
      <xdr:row>2</xdr:row>
      <xdr:rowOff>331343</xdr:rowOff>
    </xdr:to>
    <xdr:pic macro="[0]!EstaPastaDeTrabalho.telaCheia">
      <xdr:nvPicPr>
        <xdr:cNvPr id="19" name="Imagem 18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7C459DAE-8D74-40FF-8278-18A0D6F17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730" y="206410"/>
          <a:ext cx="691533" cy="401158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494910</xdr:colOff>
      <xdr:row>1</xdr:row>
      <xdr:rowOff>148970</xdr:rowOff>
    </xdr:from>
    <xdr:to>
      <xdr:col>27</xdr:col>
      <xdr:colOff>300108</xdr:colOff>
      <xdr:row>2</xdr:row>
      <xdr:rowOff>336594</xdr:rowOff>
    </xdr:to>
    <xdr:pic macro="[0]!EstaPastaDeTrabalho.telaNormal">
      <xdr:nvPicPr>
        <xdr:cNvPr id="20" name="Imagem 19">
          <a:extLst>
            <a:ext uri="{FF2B5EF4-FFF2-40B4-BE49-F238E27FC236}">
              <a16:creationId xmlns:a16="http://schemas.microsoft.com/office/drawing/2014/main" id="{FEC993D0-44E1-49D9-B693-16DFEFE71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 bright="70000" contrast="-70000"/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8821010" y="234695"/>
          <a:ext cx="348123" cy="378124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42650</xdr:colOff>
      <xdr:row>1</xdr:row>
      <xdr:rowOff>28432</xdr:rowOff>
    </xdr:from>
    <xdr:to>
      <xdr:col>10</xdr:col>
      <xdr:colOff>454926</xdr:colOff>
      <xdr:row>3</xdr:row>
      <xdr:rowOff>14216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481A190-A07C-4E97-B0F7-BA11C26F04D0}"/>
            </a:ext>
          </a:extLst>
        </xdr:cNvPr>
        <xdr:cNvSpPr/>
      </xdr:nvSpPr>
      <xdr:spPr>
        <a:xfrm>
          <a:off x="7510250" y="114157"/>
          <a:ext cx="3126901" cy="6430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3600" b="1">
              <a:latin typeface="Gill Sans MT" panose="020B0502020104020203" pitchFamily="34" charset="0"/>
            </a:rPr>
            <a:t>VIBRAPLAN</a:t>
          </a:r>
        </a:p>
      </xdr:txBody>
    </xdr:sp>
    <xdr:clientData/>
  </xdr:twoCellAnchor>
  <xdr:twoCellAnchor>
    <xdr:from>
      <xdr:col>23</xdr:col>
      <xdr:colOff>190501</xdr:colOff>
      <xdr:row>1</xdr:row>
      <xdr:rowOff>176892</xdr:rowOff>
    </xdr:from>
    <xdr:to>
      <xdr:col>24</xdr:col>
      <xdr:colOff>0</xdr:colOff>
      <xdr:row>2</xdr:row>
      <xdr:rowOff>312964</xdr:rowOff>
    </xdr:to>
    <xdr:sp macro="" textlink="">
      <xdr:nvSpPr>
        <xdr:cNvPr id="6" name="Retângulo: Cantos Arredondados 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A7FAB9E-B865-42F7-BF5E-56DFA3126C18}"/>
            </a:ext>
          </a:extLst>
        </xdr:cNvPr>
        <xdr:cNvSpPr/>
      </xdr:nvSpPr>
      <xdr:spPr>
        <a:xfrm>
          <a:off x="17199430" y="258535"/>
          <a:ext cx="789213" cy="326572"/>
        </a:xfrm>
        <a:prstGeom prst="roundRect">
          <a:avLst>
            <a:gd name="adj" fmla="val 20834"/>
          </a:avLst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4677985</xdr:colOff>
      <xdr:row>3</xdr:row>
      <xdr:rowOff>179956</xdr:rowOff>
    </xdr:from>
    <xdr:to>
      <xdr:col>3</xdr:col>
      <xdr:colOff>1732793</xdr:colOff>
      <xdr:row>4</xdr:row>
      <xdr:rowOff>318349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4C2D1BB5-97DD-45D3-B96A-743A75364224}"/>
            </a:ext>
          </a:extLst>
        </xdr:cNvPr>
        <xdr:cNvSpPr/>
      </xdr:nvSpPr>
      <xdr:spPr>
        <a:xfrm>
          <a:off x="9392053" y="922583"/>
          <a:ext cx="4610232" cy="364410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ADRIANO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2131017</xdr:colOff>
      <xdr:row>3</xdr:row>
      <xdr:rowOff>66675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C1D3D5B-DE8B-9EAF-1382-1DEC4D07A94F}"/>
            </a:ext>
          </a:extLst>
        </xdr:cNvPr>
        <xdr:cNvGrpSpPr/>
      </xdr:nvGrpSpPr>
      <xdr:grpSpPr>
        <a:xfrm>
          <a:off x="0" y="0"/>
          <a:ext cx="23150593" cy="806127"/>
          <a:chOff x="23182881" y="3713136"/>
          <a:chExt cx="19744193" cy="809302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4F72F15E-466F-5AB4-7F81-2051F506616B}"/>
              </a:ext>
            </a:extLst>
          </xdr:cNvPr>
          <xdr:cNvGrpSpPr/>
        </xdr:nvGrpSpPr>
        <xdr:grpSpPr>
          <a:xfrm>
            <a:off x="23182881" y="3713136"/>
            <a:ext cx="19744193" cy="809302"/>
            <a:chOff x="0" y="0"/>
            <a:chExt cx="19750368" cy="809065"/>
          </a:xfrm>
        </xdr:grpSpPr>
        <xdr:grpSp>
          <xdr:nvGrpSpPr>
            <xdr:cNvPr id="6" name="Agrupar 5">
              <a:extLst>
                <a:ext uri="{FF2B5EF4-FFF2-40B4-BE49-F238E27FC236}">
                  <a16:creationId xmlns:a16="http://schemas.microsoft.com/office/drawing/2014/main" id="{E926C4C8-800A-DD83-2810-009137AAC97F}"/>
                </a:ext>
              </a:extLst>
            </xdr:cNvPr>
            <xdr:cNvGrpSpPr/>
          </xdr:nvGrpSpPr>
          <xdr:grpSpPr>
            <a:xfrm>
              <a:off x="0" y="0"/>
              <a:ext cx="19750368" cy="809065"/>
              <a:chOff x="0" y="0"/>
              <a:chExt cx="19664666" cy="814021"/>
            </a:xfrm>
          </xdr:grpSpPr>
          <xdr:grpSp>
            <xdr:nvGrpSpPr>
              <xdr:cNvPr id="9" name="Agrupar 8">
                <a:extLst>
                  <a:ext uri="{FF2B5EF4-FFF2-40B4-BE49-F238E27FC236}">
                    <a16:creationId xmlns:a16="http://schemas.microsoft.com/office/drawing/2014/main" id="{D3B916CB-FA42-A623-6A92-DF1D31DABFD8}"/>
                  </a:ext>
                </a:extLst>
              </xdr:cNvPr>
              <xdr:cNvGrpSpPr/>
            </xdr:nvGrpSpPr>
            <xdr:grpSpPr>
              <a:xfrm>
                <a:off x="0" y="0"/>
                <a:ext cx="19664666" cy="814021"/>
                <a:chOff x="0" y="0"/>
                <a:chExt cx="19527543" cy="809625"/>
              </a:xfrm>
            </xdr:grpSpPr>
            <xdr:sp macro="" textlink="">
              <xdr:nvSpPr>
                <xdr:cNvPr id="21" name="Retângulo 20">
                  <a:extLst>
                    <a:ext uri="{FF2B5EF4-FFF2-40B4-BE49-F238E27FC236}">
                      <a16:creationId xmlns:a16="http://schemas.microsoft.com/office/drawing/2014/main" id="{AC8CB70F-0885-69BE-D1AE-EAA308918F62}"/>
                    </a:ext>
                  </a:extLst>
                </xdr:cNvPr>
                <xdr:cNvSpPr/>
              </xdr:nvSpPr>
              <xdr:spPr>
                <a:xfrm>
                  <a:off x="0" y="0"/>
                  <a:ext cx="19527543" cy="809625"/>
                </a:xfrm>
                <a:prstGeom prst="rect">
                  <a:avLst/>
                </a:prstGeom>
                <a:solidFill>
                  <a:srgbClr val="2C4594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>
              <xdr:nvPicPr>
                <xdr:cNvPr id="22" name="Imagem 21">
                  <a:extLst>
                    <a:ext uri="{FF2B5EF4-FFF2-40B4-BE49-F238E27FC236}">
                      <a16:creationId xmlns:a16="http://schemas.microsoft.com/office/drawing/2014/main" id="{0CA803BA-A6AD-CAEE-F1B4-7B5F72E85B2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828611" y="133351"/>
                  <a:ext cx="2905125" cy="624904"/>
                </a:xfrm>
                <a:prstGeom prst="rect">
                  <a:avLst/>
                </a:prstGeom>
                <a:effectLst>
                  <a:outerShdw blurRad="50800" dist="38100" dir="16200000" rotWithShape="0">
                    <a:prstClr val="black">
                      <a:alpha val="40000"/>
                    </a:prstClr>
                  </a:outerShdw>
                </a:effectLst>
              </xdr:spPr>
            </xdr:pic>
          </xdr:grpSp>
          <xdr:grpSp>
            <xdr:nvGrpSpPr>
              <xdr:cNvPr id="10" name="Agrupar 9">
                <a:extLst>
                  <a:ext uri="{FF2B5EF4-FFF2-40B4-BE49-F238E27FC236}">
                    <a16:creationId xmlns:a16="http://schemas.microsoft.com/office/drawing/2014/main" id="{2C9C11D7-F5C2-2BCA-D1AF-9AB94FD653AD}"/>
                  </a:ext>
                </a:extLst>
              </xdr:cNvPr>
              <xdr:cNvGrpSpPr/>
            </xdr:nvGrpSpPr>
            <xdr:grpSpPr>
              <a:xfrm>
                <a:off x="14898859" y="264150"/>
                <a:ext cx="774107" cy="306456"/>
                <a:chOff x="16683879" y="257175"/>
                <a:chExt cx="771526" cy="323850"/>
              </a:xfrm>
            </xdr:grpSpPr>
            <xdr:sp macro="" textlink="">
              <xdr:nvSpPr>
                <xdr:cNvPr id="19" name="Retângulo: Cantos Arredondados 18">
                  <a:hlinkClick xmlns:r="http://schemas.openxmlformats.org/officeDocument/2006/relationships" r:id="rId2"/>
                  <a:extLst>
                    <a:ext uri="{FF2B5EF4-FFF2-40B4-BE49-F238E27FC236}">
                      <a16:creationId xmlns:a16="http://schemas.microsoft.com/office/drawing/2014/main" id="{B88DC7A8-5590-C665-AD61-07AA18C90196}"/>
                    </a:ext>
                  </a:extLst>
                </xdr:cNvPr>
                <xdr:cNvSpPr/>
              </xdr:nvSpPr>
              <xdr:spPr>
                <a:xfrm>
                  <a:off x="16683879" y="257175"/>
                  <a:ext cx="771526" cy="323850"/>
                </a:xfrm>
                <a:prstGeom prst="roundRect">
                  <a:avLst/>
                </a:prstGeom>
                <a:solidFill>
                  <a:sysClr val="window" lastClr="FFFFFF"/>
                </a:solidFill>
                <a:effectLst>
                  <a:outerShdw blurRad="50800" dist="38100" dir="16200000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pt-BR" sz="1100"/>
                    <a:t>1</a:t>
                  </a:r>
                </a:p>
              </xdr:txBody>
            </xdr:sp>
            <xdr:pic>
              <xdr:nvPicPr>
                <xdr:cNvPr id="20" name="Imagem 19" descr="ícones Do Computador, Gráfico, Gráfico De Barras png transparente grátis">
                  <a:hlinkClick xmlns:r="http://schemas.openxmlformats.org/officeDocument/2006/relationships" r:id="rId2"/>
                  <a:extLst>
                    <a:ext uri="{FF2B5EF4-FFF2-40B4-BE49-F238E27FC236}">
                      <a16:creationId xmlns:a16="http://schemas.microsoft.com/office/drawing/2014/main" id="{9F7036EA-43A6-FB8B-6F16-B22CD3CAAC99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3" cstate="print">
                  <a:clrChange>
                    <a:clrFrom>
                      <a:srgbClr val="EDEDED"/>
                    </a:clrFrom>
                    <a:clrTo>
                      <a:srgbClr val="EDEDED">
                        <a:alpha val="0"/>
                      </a:srgbClr>
                    </a:clrTo>
                  </a:clrChang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826734" y="295277"/>
                  <a:ext cx="504825" cy="27622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sp macro="" textlink="">
            <xdr:nvSpPr>
              <xdr:cNvPr id="12" name="Retângulo: Cantos Arredondados 11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8812F4D8-9FC2-0042-40CB-74E20633164D}"/>
                  </a:ext>
                </a:extLst>
              </xdr:cNvPr>
              <xdr:cNvSpPr/>
            </xdr:nvSpPr>
            <xdr:spPr>
              <a:xfrm>
                <a:off x="171618" y="224084"/>
                <a:ext cx="1294781" cy="409205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600">
                    <a:solidFill>
                      <a:srgbClr val="2C4594"/>
                    </a:solidFill>
                  </a:rPr>
                  <a:t>ADRIANO</a:t>
                </a:r>
              </a:p>
            </xdr:txBody>
          </xdr:sp>
          <xdr:grpSp>
            <xdr:nvGrpSpPr>
              <xdr:cNvPr id="16" name="Agrupar 15">
                <a:extLst>
                  <a:ext uri="{FF2B5EF4-FFF2-40B4-BE49-F238E27FC236}">
                    <a16:creationId xmlns:a16="http://schemas.microsoft.com/office/drawing/2014/main" id="{78B1D936-03DB-8C40-9855-B18641FDF544}"/>
                  </a:ext>
                </a:extLst>
              </xdr:cNvPr>
              <xdr:cNvGrpSpPr/>
            </xdr:nvGrpSpPr>
            <xdr:grpSpPr>
              <a:xfrm>
                <a:off x="13931864" y="263768"/>
                <a:ext cx="805960" cy="307732"/>
                <a:chOff x="13931864" y="293076"/>
                <a:chExt cx="805960" cy="307732"/>
              </a:xfrm>
            </xdr:grpSpPr>
            <xdr:sp macro="[0]!Salvar" textlink="">
              <xdr:nvSpPr>
                <xdr:cNvPr id="17" name="Retângulo: Cantos Arredondados 16">
                  <a:extLst>
                    <a:ext uri="{FF2B5EF4-FFF2-40B4-BE49-F238E27FC236}">
                      <a16:creationId xmlns:a16="http://schemas.microsoft.com/office/drawing/2014/main" id="{B0B3EB3D-46E6-F850-35FD-FEBA673943A0}"/>
                    </a:ext>
                  </a:extLst>
                </xdr:cNvPr>
                <xdr:cNvSpPr/>
              </xdr:nvSpPr>
              <xdr:spPr>
                <a:xfrm>
                  <a:off x="13931864" y="293076"/>
                  <a:ext cx="805960" cy="307732"/>
                </a:xfrm>
                <a:prstGeom prst="roundRect">
                  <a:avLst/>
                </a:prstGeom>
                <a:solidFill>
                  <a:sysClr val="window" lastClr="FFFFFF"/>
                </a:solidFill>
                <a:ln>
                  <a:solidFill>
                    <a:srgbClr val="2C4594"/>
                  </a:solidFill>
                </a:ln>
                <a:effectLst>
                  <a:outerShdw blurRad="50800" dist="38100" dir="16200000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100" b="1">
                      <a:solidFill>
                        <a:srgbClr val="2C4594"/>
                      </a:solidFill>
                    </a:rPr>
                    <a:t>         </a:t>
                  </a:r>
                </a:p>
              </xdr:txBody>
            </xdr:sp>
            <xdr:pic macro="[0]!Salvar">
              <xdr:nvPicPr>
                <xdr:cNvPr id="18" name="Imagem 17" descr="Opção de salvar arquivo - ícones de interface grátis">
                  <a:extLst>
                    <a:ext uri="{FF2B5EF4-FFF2-40B4-BE49-F238E27FC236}">
                      <a16:creationId xmlns:a16="http://schemas.microsoft.com/office/drawing/2014/main" id="{4744A31A-7185-FF2E-7644-A9CDF3F8FA0B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4210276" y="337038"/>
                  <a:ext cx="248093" cy="23646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927062CB-7EC4-B6F9-1C97-B875DA28A432}"/>
                </a:ext>
              </a:extLst>
            </xdr:cNvPr>
            <xdr:cNvSpPr/>
          </xdr:nvSpPr>
          <xdr:spPr>
            <a:xfrm>
              <a:off x="15898346" y="266139"/>
              <a:ext cx="777481" cy="304590"/>
            </a:xfrm>
            <a:prstGeom prst="roundRect">
              <a:avLst/>
            </a:prstGeom>
            <a:solidFill>
              <a:sysClr val="window" lastClr="FFFFFF"/>
            </a:solidFill>
            <a:effectLst>
              <a:innerShdw blurRad="63500" dist="50800" dir="189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1</a:t>
              </a:r>
            </a:p>
          </xdr:txBody>
        </xdr:sp>
        <xdr:pic>
          <xdr:nvPicPr>
            <xdr:cNvPr id="8" name="Gráfico 7" descr="Lista de Verificação com preenchimento sólido">
              <a:extLst>
                <a:ext uri="{FF2B5EF4-FFF2-40B4-BE49-F238E27FC236}">
                  <a16:creationId xmlns:a16="http://schemas.microsoft.com/office/drawing/2014/main" id="{5DA38AF3-3A01-CF0B-D36D-D87341B1C5F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6122464" y="266146"/>
              <a:ext cx="308161" cy="308161"/>
            </a:xfrm>
            <a:prstGeom prst="rect">
              <a:avLst/>
            </a:prstGeom>
            <a:effectLst>
              <a:innerShdw blurRad="63500" dist="50800" dir="18900000">
                <a:prstClr val="black">
                  <a:alpha val="50000"/>
                </a:prstClr>
              </a:innerShdw>
            </a:effectLst>
          </xdr:spPr>
        </xdr:pic>
      </xdr:grpSp>
      <xdr:pic macro="[0]!EstaPastaDeTrabalho.telaCheia">
        <xdr:nvPicPr>
          <xdr:cNvPr id="24" name="Imagem 23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794FAF56-386E-483F-AC6F-CF9D3CC113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1700127" y="3906867"/>
            <a:ext cx="717384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5" name="Imagem 24">
            <a:extLst>
              <a:ext uri="{FF2B5EF4-FFF2-40B4-BE49-F238E27FC236}">
                <a16:creationId xmlns:a16="http://schemas.microsoft.com/office/drawing/2014/main" id="{7DC12442-3D9F-4228-9902-21F4DF8874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2450868" y="3935262"/>
            <a:ext cx="369305" cy="364361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0</xdr:colOff>
      <xdr:row>4</xdr:row>
      <xdr:rowOff>190500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BEF1BFD-4332-4E7D-AE2A-79FD363CD4CE}"/>
            </a:ext>
          </a:extLst>
        </xdr:cNvPr>
        <xdr:cNvGrpSpPr/>
      </xdr:nvGrpSpPr>
      <xdr:grpSpPr>
        <a:xfrm>
          <a:off x="0" y="0"/>
          <a:ext cx="20574000" cy="898071"/>
          <a:chOff x="0" y="0"/>
          <a:chExt cx="20669250" cy="95250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5180B6B0-4669-7EE2-CF46-32F0B48A9A32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679D1A7E-DE9F-4DE1-807E-EBAD76799CC8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28" name="Retângulo 27">
                <a:extLst>
                  <a:ext uri="{FF2B5EF4-FFF2-40B4-BE49-F238E27FC236}">
                    <a16:creationId xmlns:a16="http://schemas.microsoft.com/office/drawing/2014/main" id="{19FDD56D-01E8-0D54-4410-AC855AAAA1DC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29" name="Imagem 28">
                <a:extLst>
                  <a:ext uri="{FF2B5EF4-FFF2-40B4-BE49-F238E27FC236}">
                    <a16:creationId xmlns:a16="http://schemas.microsoft.com/office/drawing/2014/main" id="{36A88AD6-9E96-9CD5-8C97-07D6377CFD9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B7B8FE38-E31F-FDCB-3D98-D56484A01061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26" name="Retângulo: Cantos Arredondados 25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4EADB02-D9F3-9BFB-2ACE-C73A6CD8C676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27" name="Imagem 26" descr="ícones Do Computador, Gráfico, Gráfico De Barras png transparente grátis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99F4203-7336-55E6-8B4F-C58494B88A7C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3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4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19" name="Retângulo: Cantos Arredondados 1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83DA1ED9-2B1A-E65A-A9A4-A6F111EE920E}"/>
                </a:ext>
              </a:extLst>
            </xdr:cNvPr>
            <xdr:cNvSpPr/>
          </xdr:nvSpPr>
          <xdr:spPr>
            <a:xfrm>
              <a:off x="139646" y="333847"/>
              <a:ext cx="1365466" cy="364163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ADRIANO</a:t>
              </a:r>
            </a:p>
          </xdr:txBody>
        </xdr:sp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1A960F10-CA29-A29A-5F82-FDF1E0BCE1CB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24" name="Retângulo: Cantos Arredondados 23">
                <a:extLst>
                  <a:ext uri="{FF2B5EF4-FFF2-40B4-BE49-F238E27FC236}">
                    <a16:creationId xmlns:a16="http://schemas.microsoft.com/office/drawing/2014/main" id="{2A94D754-B89D-5C83-B5F3-BCF58B408A65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25" name="Imagem 24" descr="Opção de salvar arquivo - ícones de interface grátis">
                <a:extLst>
                  <a:ext uri="{FF2B5EF4-FFF2-40B4-BE49-F238E27FC236}">
                    <a16:creationId xmlns:a16="http://schemas.microsoft.com/office/drawing/2014/main" id="{2321053C-56C2-EC69-D142-50AE1A66A9A9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14" name="Imagem 13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A22F0A4D-99A4-6E67-2EF1-FA649502B9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15" name="Imagem 14">
            <a:extLst>
              <a:ext uri="{FF2B5EF4-FFF2-40B4-BE49-F238E27FC236}">
                <a16:creationId xmlns:a16="http://schemas.microsoft.com/office/drawing/2014/main" id="{B16DDA82-D6C0-D4CE-2C1E-9499E27C42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5</xdr:col>
      <xdr:colOff>244929</xdr:colOff>
      <xdr:row>11</xdr:row>
      <xdr:rowOff>70304</xdr:rowOff>
    </xdr:from>
    <xdr:to>
      <xdr:col>15</xdr:col>
      <xdr:colOff>372122</xdr:colOff>
      <xdr:row>27</xdr:row>
      <xdr:rowOff>54471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9D94A89-F46E-4B1E-A277-44D59295F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9</xdr:row>
      <xdr:rowOff>190501</xdr:rowOff>
    </xdr:from>
    <xdr:to>
      <xdr:col>22</xdr:col>
      <xdr:colOff>111125</xdr:colOff>
      <xdr:row>25</xdr:row>
      <xdr:rowOff>171450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42DD813-49D0-12DA-08FC-6913870D62B8}"/>
            </a:ext>
          </a:extLst>
        </xdr:cNvPr>
        <xdr:cNvGrpSpPr/>
      </xdr:nvGrpSpPr>
      <xdr:grpSpPr>
        <a:xfrm>
          <a:off x="5277303" y="1891394"/>
          <a:ext cx="9053286" cy="3491592"/>
          <a:chOff x="4524374" y="1158876"/>
          <a:chExt cx="8890001" cy="3425824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F47C543C-B8F0-A6C4-F408-3216BB23A337}"/>
              </a:ext>
            </a:extLst>
          </xdr:cNvPr>
          <xdr:cNvGraphicFramePr/>
        </xdr:nvGraphicFramePr>
        <xdr:xfrm>
          <a:off x="4524374" y="1158876"/>
          <a:ext cx="8645526" cy="3425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40F0787-0693-8B33-F653-C245011B2ECB}"/>
              </a:ext>
            </a:extLst>
          </xdr:cNvPr>
          <xdr:cNvSpPr txBox="1"/>
        </xdr:nvSpPr>
        <xdr:spPr>
          <a:xfrm>
            <a:off x="12858750" y="1460741"/>
            <a:ext cx="555625" cy="2571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2C4594"/>
                </a:solidFill>
              </a:rPr>
              <a:t>META</a:t>
            </a:r>
          </a:p>
        </xdr:txBody>
      </xdr: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5F86C6ED-07AE-2EAC-74A6-32196522D7D1}"/>
              </a:ext>
            </a:extLst>
          </xdr:cNvPr>
          <xdr:cNvCxnSpPr/>
        </xdr:nvCxnSpPr>
        <xdr:spPr>
          <a:xfrm flipH="1">
            <a:off x="12477750" y="1708076"/>
            <a:ext cx="381000" cy="34139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158750</xdr:colOff>
      <xdr:row>32</xdr:row>
      <xdr:rowOff>95250</xdr:rowOff>
    </xdr:from>
    <xdr:to>
      <xdr:col>21</xdr:col>
      <xdr:colOff>488128</xdr:colOff>
      <xdr:row>48</xdr:row>
      <xdr:rowOff>70375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F6DB4C7-E23F-47DA-86A1-754F35E73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158750</xdr:colOff>
      <xdr:row>56</xdr:row>
      <xdr:rowOff>105683</xdr:rowOff>
    </xdr:from>
    <xdr:to>
      <xdr:col>21</xdr:col>
      <xdr:colOff>490050</xdr:colOff>
      <xdr:row>72</xdr:row>
      <xdr:rowOff>83983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688FCA0-FD85-4088-9FD1-F7B57FDC1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257175</xdr:colOff>
      <xdr:row>32</xdr:row>
      <xdr:rowOff>95252</xdr:rowOff>
    </xdr:from>
    <xdr:to>
      <xdr:col>39</xdr:col>
      <xdr:colOff>329375</xdr:colOff>
      <xdr:row>48</xdr:row>
      <xdr:rowOff>77577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565B9FD-A6C4-48E1-A51E-C8F6A2A84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213485</xdr:colOff>
      <xdr:row>56</xdr:row>
      <xdr:rowOff>70565</xdr:rowOff>
    </xdr:from>
    <xdr:to>
      <xdr:col>39</xdr:col>
      <xdr:colOff>285685</xdr:colOff>
      <xdr:row>72</xdr:row>
      <xdr:rowOff>52890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9ABD8-DA6A-4626-B946-D179E9CC1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212053</xdr:colOff>
      <xdr:row>82</xdr:row>
      <xdr:rowOff>69938</xdr:rowOff>
    </xdr:from>
    <xdr:to>
      <xdr:col>39</xdr:col>
      <xdr:colOff>416353</xdr:colOff>
      <xdr:row>98</xdr:row>
      <xdr:rowOff>52263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BC6442-EE0F-4F40-9A67-955497430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82</xdr:row>
      <xdr:rowOff>29482</xdr:rowOff>
    </xdr:from>
    <xdr:to>
      <xdr:col>21</xdr:col>
      <xdr:colOff>521800</xdr:colOff>
      <xdr:row>98</xdr:row>
      <xdr:rowOff>13649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7DB6F49-ED7B-4F1C-8146-18D8B271F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41</xdr:col>
      <xdr:colOff>31750</xdr:colOff>
      <xdr:row>4</xdr:row>
      <xdr:rowOff>190500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380A68D-07A7-49C8-9D3E-35F132BF2CA0}"/>
            </a:ext>
          </a:extLst>
        </xdr:cNvPr>
        <xdr:cNvGrpSpPr/>
      </xdr:nvGrpSpPr>
      <xdr:grpSpPr>
        <a:xfrm>
          <a:off x="0" y="0"/>
          <a:ext cx="26045432" cy="898071"/>
          <a:chOff x="0" y="0"/>
          <a:chExt cx="20669250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C54AFD20-EAF8-385A-8ABA-5C95822AA780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37" name="Agrupar 36">
              <a:extLst>
                <a:ext uri="{FF2B5EF4-FFF2-40B4-BE49-F238E27FC236}">
                  <a16:creationId xmlns:a16="http://schemas.microsoft.com/office/drawing/2014/main" id="{19C575EC-6600-668C-8AEC-BD350E451149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61" name="Retângulo 60">
                <a:extLst>
                  <a:ext uri="{FF2B5EF4-FFF2-40B4-BE49-F238E27FC236}">
                    <a16:creationId xmlns:a16="http://schemas.microsoft.com/office/drawing/2014/main" id="{319905CE-7E14-0534-B179-E2E4E15BF196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62" name="Imagem 61">
                <a:extLst>
                  <a:ext uri="{FF2B5EF4-FFF2-40B4-BE49-F238E27FC236}">
                    <a16:creationId xmlns:a16="http://schemas.microsoft.com/office/drawing/2014/main" id="{68E0DDE7-A2AC-9AD8-E19C-61A8396FBAB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38" name="Agrupar 37">
              <a:extLst>
                <a:ext uri="{FF2B5EF4-FFF2-40B4-BE49-F238E27FC236}">
                  <a16:creationId xmlns:a16="http://schemas.microsoft.com/office/drawing/2014/main" id="{4AC779E2-392D-3A12-9B5A-2445A5751B4F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48" name="Retângulo: Cantos Arredondados 4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3313AEB0-F94E-6638-0A2D-3B032C9B4D98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60" name="Imagem 59" descr="ícones Do Computador, Gráfico, Gráfico De Barras png transparente grátis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2D4E1C2E-AEB6-FF16-7C59-0204F2E090B0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10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39" name="Retângulo: Cantos Arredondados 3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35BE6696-E7D7-EC82-CE0C-1BA3112A2A6D}"/>
                </a:ext>
              </a:extLst>
            </xdr:cNvPr>
            <xdr:cNvSpPr/>
          </xdr:nvSpPr>
          <xdr:spPr>
            <a:xfrm>
              <a:off x="47625" y="320161"/>
              <a:ext cx="7620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ANA</a:t>
              </a:r>
            </a:p>
          </xdr:txBody>
        </xdr:sp>
        <xdr:sp macro="" textlink="">
          <xdr:nvSpPr>
            <xdr:cNvPr id="40" name="Retângulo: Cantos Arredondados 3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474F414B-EC05-F52C-8524-22530AB9B963}"/>
                </a:ext>
              </a:extLst>
            </xdr:cNvPr>
            <xdr:cNvSpPr/>
          </xdr:nvSpPr>
          <xdr:spPr>
            <a:xfrm>
              <a:off x="876300" y="320161"/>
              <a:ext cx="104775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ADRIANO</a:t>
              </a:r>
            </a:p>
          </xdr:txBody>
        </xdr:sp>
        <xdr:sp macro="" textlink="">
          <xdr:nvSpPr>
            <xdr:cNvPr id="41" name="Retângulo: Cantos Arredondados 40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5F388E5-E7AF-A9A1-8CDF-8D4BEBD103E8}"/>
                </a:ext>
              </a:extLst>
            </xdr:cNvPr>
            <xdr:cNvSpPr/>
          </xdr:nvSpPr>
          <xdr:spPr>
            <a:xfrm>
              <a:off x="1990725" y="320161"/>
              <a:ext cx="10287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JOÃO</a:t>
              </a:r>
            </a:p>
          </xdr:txBody>
        </xdr:sp>
        <xdr:sp macro="" textlink="">
          <xdr:nvSpPr>
            <xdr:cNvPr id="42" name="Retângulo: Cantos Arredondados 41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CFA2527B-076B-0749-AB9E-35FC92EABD35}"/>
                </a:ext>
              </a:extLst>
            </xdr:cNvPr>
            <xdr:cNvSpPr/>
          </xdr:nvSpPr>
          <xdr:spPr>
            <a:xfrm>
              <a:off x="3105150" y="320161"/>
              <a:ext cx="10287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ROGERIO</a:t>
              </a:r>
            </a:p>
          </xdr:txBody>
        </xdr:sp>
        <xdr:sp macro="" textlink="">
          <xdr:nvSpPr>
            <xdr:cNvPr id="43" name="Retângulo: Cantos Arredondados 42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507DD6D2-4379-A40E-7D3E-CF6265A18877}"/>
                </a:ext>
              </a:extLst>
            </xdr:cNvPr>
            <xdr:cNvSpPr/>
          </xdr:nvSpPr>
          <xdr:spPr>
            <a:xfrm>
              <a:off x="4219575" y="320162"/>
              <a:ext cx="1028700" cy="32385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MARCOS</a:t>
              </a:r>
            </a:p>
          </xdr:txBody>
        </xdr: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AFD029C7-4D19-FB14-A730-D61E036857BF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C2144C13-F837-27F9-166F-1B31B1412354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46" name="Imagem 45" descr="Opção de salvar arquivo - ícones de interface grátis">
                <a:extLst>
                  <a:ext uri="{FF2B5EF4-FFF2-40B4-BE49-F238E27FC236}">
                    <a16:creationId xmlns:a16="http://schemas.microsoft.com/office/drawing/2014/main" id="{352D64F0-2F9C-7B0B-97EE-EE3F061862C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28" name="Imagem 27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E151222B-D9AE-5ECB-1285-968B596BB2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9" name="Imagem 28">
            <a:extLst>
              <a:ext uri="{FF2B5EF4-FFF2-40B4-BE49-F238E27FC236}">
                <a16:creationId xmlns:a16="http://schemas.microsoft.com/office/drawing/2014/main" id="{D53C23F9-4D4B-A3CF-7FF9-52EFF01EF0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21</xdr:col>
      <xdr:colOff>158750</xdr:colOff>
      <xdr:row>33</xdr:row>
      <xdr:rowOff>47625</xdr:rowOff>
    </xdr:from>
    <xdr:to>
      <xdr:col>22</xdr:col>
      <xdr:colOff>111125</xdr:colOff>
      <xdr:row>33</xdr:row>
      <xdr:rowOff>322650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C2551A-74B7-4906-B016-89C965C65DCB}"/>
            </a:ext>
          </a:extLst>
        </xdr:cNvPr>
        <xdr:cNvSpPr txBox="1"/>
      </xdr:nvSpPr>
      <xdr:spPr>
        <a:xfrm>
          <a:off x="8604250" y="754062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33</xdr:row>
      <xdr:rowOff>312152</xdr:rowOff>
    </xdr:from>
    <xdr:to>
      <xdr:col>21</xdr:col>
      <xdr:colOff>158750</xdr:colOff>
      <xdr:row>35</xdr:row>
      <xdr:rowOff>105777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ABCC65DE-9DCE-4832-9DA1-D160B52453BC}"/>
            </a:ext>
          </a:extLst>
        </xdr:cNvPr>
        <xdr:cNvCxnSpPr/>
      </xdr:nvCxnSpPr>
      <xdr:spPr>
        <a:xfrm flipH="1">
          <a:off x="8223250" y="780515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33</xdr:row>
      <xdr:rowOff>31750</xdr:rowOff>
    </xdr:from>
    <xdr:to>
      <xdr:col>39</xdr:col>
      <xdr:colOff>555625</xdr:colOff>
      <xdr:row>33</xdr:row>
      <xdr:rowOff>306775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C88FEDCD-7355-41C6-99CD-4485EB6CFA16}"/>
            </a:ext>
          </a:extLst>
        </xdr:cNvPr>
        <xdr:cNvSpPr txBox="1"/>
      </xdr:nvSpPr>
      <xdr:spPr>
        <a:xfrm>
          <a:off x="19431000" y="752475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222250</xdr:colOff>
      <xdr:row>33</xdr:row>
      <xdr:rowOff>296277</xdr:rowOff>
    </xdr:from>
    <xdr:to>
      <xdr:col>39</xdr:col>
      <xdr:colOff>0</xdr:colOff>
      <xdr:row>35</xdr:row>
      <xdr:rowOff>89902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C50D280F-D77C-4EF2-9DAA-FEB8F104DD03}"/>
            </a:ext>
          </a:extLst>
        </xdr:cNvPr>
        <xdr:cNvCxnSpPr/>
      </xdr:nvCxnSpPr>
      <xdr:spPr>
        <a:xfrm flipH="1">
          <a:off x="19050000" y="778927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158750</xdr:colOff>
      <xdr:row>57</xdr:row>
      <xdr:rowOff>127000</xdr:rowOff>
    </xdr:from>
    <xdr:to>
      <xdr:col>22</xdr:col>
      <xdr:colOff>111125</xdr:colOff>
      <xdr:row>58</xdr:row>
      <xdr:rowOff>21025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F56560EE-CA71-49B3-BC85-941E973E794F}"/>
            </a:ext>
          </a:extLst>
        </xdr:cNvPr>
        <xdr:cNvSpPr txBox="1"/>
      </xdr:nvSpPr>
      <xdr:spPr>
        <a:xfrm>
          <a:off x="8604250" y="1339850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58</xdr:row>
      <xdr:rowOff>10527</xdr:rowOff>
    </xdr:from>
    <xdr:to>
      <xdr:col>21</xdr:col>
      <xdr:colOff>158750</xdr:colOff>
      <xdr:row>59</xdr:row>
      <xdr:rowOff>185152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C502D1E6-3BC5-46AF-A1B0-E469A3BA87D9}"/>
            </a:ext>
          </a:extLst>
        </xdr:cNvPr>
        <xdr:cNvCxnSpPr/>
      </xdr:nvCxnSpPr>
      <xdr:spPr>
        <a:xfrm flipH="1">
          <a:off x="8223250" y="1366302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523875</xdr:colOff>
      <xdr:row>57</xdr:row>
      <xdr:rowOff>15875</xdr:rowOff>
    </xdr:from>
    <xdr:to>
      <xdr:col>39</xdr:col>
      <xdr:colOff>476250</xdr:colOff>
      <xdr:row>57</xdr:row>
      <xdr:rowOff>290900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227FE555-6885-45E0-BBC7-1AB15162CF98}"/>
            </a:ext>
          </a:extLst>
        </xdr:cNvPr>
        <xdr:cNvSpPr txBox="1"/>
      </xdr:nvSpPr>
      <xdr:spPr>
        <a:xfrm>
          <a:off x="19351625" y="13287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142875</xdr:colOff>
      <xdr:row>57</xdr:row>
      <xdr:rowOff>280402</xdr:rowOff>
    </xdr:from>
    <xdr:to>
      <xdr:col>38</xdr:col>
      <xdr:colOff>523875</xdr:colOff>
      <xdr:row>59</xdr:row>
      <xdr:rowOff>74027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B1533886-B0F2-47FB-9279-0FA9B5319FC5}"/>
            </a:ext>
          </a:extLst>
        </xdr:cNvPr>
        <xdr:cNvCxnSpPr/>
      </xdr:nvCxnSpPr>
      <xdr:spPr>
        <a:xfrm flipH="1">
          <a:off x="18970625" y="13551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190500</xdr:colOff>
      <xdr:row>82</xdr:row>
      <xdr:rowOff>333375</xdr:rowOff>
    </xdr:from>
    <xdr:to>
      <xdr:col>22</xdr:col>
      <xdr:colOff>142875</xdr:colOff>
      <xdr:row>83</xdr:row>
      <xdr:rowOff>227400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7A0AF666-E360-46F1-A969-0286C08E2207}"/>
            </a:ext>
          </a:extLst>
        </xdr:cNvPr>
        <xdr:cNvSpPr txBox="1"/>
      </xdr:nvSpPr>
      <xdr:spPr>
        <a:xfrm>
          <a:off x="8636000" y="191928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412750</xdr:colOff>
      <xdr:row>83</xdr:row>
      <xdr:rowOff>216902</xdr:rowOff>
    </xdr:from>
    <xdr:to>
      <xdr:col>21</xdr:col>
      <xdr:colOff>190500</xdr:colOff>
      <xdr:row>84</xdr:row>
      <xdr:rowOff>201027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B5712F62-14CF-455C-BF9B-EA51EE188FF6}"/>
            </a:ext>
          </a:extLst>
        </xdr:cNvPr>
        <xdr:cNvCxnSpPr/>
      </xdr:nvCxnSpPr>
      <xdr:spPr>
        <a:xfrm flipH="1">
          <a:off x="8255000" y="194574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83</xdr:row>
      <xdr:rowOff>15875</xdr:rowOff>
    </xdr:from>
    <xdr:to>
      <xdr:col>40</xdr:col>
      <xdr:colOff>15875</xdr:colOff>
      <xdr:row>83</xdr:row>
      <xdr:rowOff>290900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D48D17AD-3210-499C-8004-513F9C55B6B6}"/>
            </a:ext>
          </a:extLst>
        </xdr:cNvPr>
        <xdr:cNvSpPr txBox="1"/>
      </xdr:nvSpPr>
      <xdr:spPr>
        <a:xfrm>
          <a:off x="19494500" y="19256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285750</xdr:colOff>
      <xdr:row>83</xdr:row>
      <xdr:rowOff>280402</xdr:rowOff>
    </xdr:from>
    <xdr:to>
      <xdr:col>39</xdr:col>
      <xdr:colOff>63500</xdr:colOff>
      <xdr:row>84</xdr:row>
      <xdr:rowOff>264527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F6DE9E9E-686D-4A89-9F9F-8DC52E72EAB4}"/>
            </a:ext>
          </a:extLst>
        </xdr:cNvPr>
        <xdr:cNvCxnSpPr/>
      </xdr:nvCxnSpPr>
      <xdr:spPr>
        <a:xfrm flipH="1">
          <a:off x="19113500" y="19520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6</xdr:row>
      <xdr:rowOff>142875</xdr:rowOff>
    </xdr:from>
    <xdr:to>
      <xdr:col>40</xdr:col>
      <xdr:colOff>560237</xdr:colOff>
      <xdr:row>8</xdr:row>
      <xdr:rowOff>83848</xdr:rowOff>
    </xdr:to>
    <xdr:sp macro="[0]!OCULTAR1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00F5DA5-7876-4D09-BC0F-6011DEBACEC4}"/>
            </a:ext>
          </a:extLst>
        </xdr:cNvPr>
        <xdr:cNvSpPr/>
      </xdr:nvSpPr>
      <xdr:spPr>
        <a:xfrm>
          <a:off x="19558000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6</xdr:row>
      <xdr:rowOff>142875</xdr:rowOff>
    </xdr:from>
    <xdr:to>
      <xdr:col>38</xdr:col>
      <xdr:colOff>576112</xdr:colOff>
      <xdr:row>8</xdr:row>
      <xdr:rowOff>83848</xdr:rowOff>
    </xdr:to>
    <xdr:sp macro="[0]!EXIBIR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237C801-0E4A-4182-B4B1-6811651146B4}"/>
            </a:ext>
          </a:extLst>
        </xdr:cNvPr>
        <xdr:cNvSpPr/>
      </xdr:nvSpPr>
      <xdr:spPr>
        <a:xfrm>
          <a:off x="18367375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127000</xdr:colOff>
      <xdr:row>27</xdr:row>
      <xdr:rowOff>142875</xdr:rowOff>
    </xdr:from>
    <xdr:to>
      <xdr:col>40</xdr:col>
      <xdr:colOff>560237</xdr:colOff>
      <xdr:row>29</xdr:row>
      <xdr:rowOff>83848</xdr:rowOff>
    </xdr:to>
    <xdr:sp macro="[0]!OCULTAR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382BF6-E15A-4B9E-AB1C-4CC40CA10BFF}"/>
            </a:ext>
          </a:extLst>
        </xdr:cNvPr>
        <xdr:cNvSpPr/>
      </xdr:nvSpPr>
      <xdr:spPr>
        <a:xfrm>
          <a:off x="19558000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27</xdr:row>
      <xdr:rowOff>142875</xdr:rowOff>
    </xdr:from>
    <xdr:to>
      <xdr:col>38</xdr:col>
      <xdr:colOff>576112</xdr:colOff>
      <xdr:row>29</xdr:row>
      <xdr:rowOff>83848</xdr:rowOff>
    </xdr:to>
    <xdr:sp macro="[0]!EXIBIR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491602B-4A51-4DBE-99EC-41D5FCFE7A7E}"/>
            </a:ext>
          </a:extLst>
        </xdr:cNvPr>
        <xdr:cNvSpPr/>
      </xdr:nvSpPr>
      <xdr:spPr>
        <a:xfrm>
          <a:off x="18367375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51</xdr:row>
      <xdr:rowOff>142875</xdr:rowOff>
    </xdr:from>
    <xdr:to>
      <xdr:col>40</xdr:col>
      <xdr:colOff>544362</xdr:colOff>
      <xdr:row>53</xdr:row>
      <xdr:rowOff>83848</xdr:rowOff>
    </xdr:to>
    <xdr:sp macro="[0]!OCULTAR3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7F0A5EC-D7BC-4FAE-AA2F-FC9EC6F292C8}"/>
            </a:ext>
          </a:extLst>
        </xdr:cNvPr>
        <xdr:cNvSpPr/>
      </xdr:nvSpPr>
      <xdr:spPr>
        <a:xfrm>
          <a:off x="19542125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51</xdr:row>
      <xdr:rowOff>142875</xdr:rowOff>
    </xdr:from>
    <xdr:to>
      <xdr:col>38</xdr:col>
      <xdr:colOff>560237</xdr:colOff>
      <xdr:row>53</xdr:row>
      <xdr:rowOff>83848</xdr:rowOff>
    </xdr:to>
    <xdr:sp macro="[0]!EXIB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D067D7E-7C14-43E7-8467-A38E1D26CB96}"/>
            </a:ext>
          </a:extLst>
        </xdr:cNvPr>
        <xdr:cNvSpPr/>
      </xdr:nvSpPr>
      <xdr:spPr>
        <a:xfrm>
          <a:off x="18351500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76</xdr:row>
      <xdr:rowOff>142875</xdr:rowOff>
    </xdr:from>
    <xdr:to>
      <xdr:col>40</xdr:col>
      <xdr:colOff>544362</xdr:colOff>
      <xdr:row>78</xdr:row>
      <xdr:rowOff>83848</xdr:rowOff>
    </xdr:to>
    <xdr:sp macro="[0]!OCULTAR4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71B84BB-7ABB-403A-A381-9548D7C8A152}"/>
            </a:ext>
          </a:extLst>
        </xdr:cNvPr>
        <xdr:cNvSpPr/>
      </xdr:nvSpPr>
      <xdr:spPr>
        <a:xfrm>
          <a:off x="19542125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76</xdr:row>
      <xdr:rowOff>142875</xdr:rowOff>
    </xdr:from>
    <xdr:to>
      <xdr:col>38</xdr:col>
      <xdr:colOff>560237</xdr:colOff>
      <xdr:row>78</xdr:row>
      <xdr:rowOff>83848</xdr:rowOff>
    </xdr:to>
    <xdr:sp macro="[0]!EXIBIR4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9C11A28-DFC3-4530-BBFF-A7DE3728E2E3}"/>
            </a:ext>
          </a:extLst>
        </xdr:cNvPr>
        <xdr:cNvSpPr/>
      </xdr:nvSpPr>
      <xdr:spPr>
        <a:xfrm>
          <a:off x="18351500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10</xdr:col>
      <xdr:colOff>40821</xdr:colOff>
      <xdr:row>1</xdr:row>
      <xdr:rowOff>122464</xdr:rowOff>
    </xdr:from>
    <xdr:to>
      <xdr:col>12</xdr:col>
      <xdr:colOff>108092</xdr:colOff>
      <xdr:row>3</xdr:row>
      <xdr:rowOff>63437</xdr:rowOff>
    </xdr:to>
    <xdr:sp macro="" textlink="">
      <xdr:nvSpPr>
        <xdr:cNvPr id="16" name="Retângulo: Cantos Arredondados 1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F123E90-0EF8-49EC-A4E4-010051062E6E}"/>
            </a:ext>
          </a:extLst>
        </xdr:cNvPr>
        <xdr:cNvSpPr/>
      </xdr:nvSpPr>
      <xdr:spPr>
        <a:xfrm>
          <a:off x="6667500" y="312964"/>
          <a:ext cx="1291913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CGA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Pasta.Outubro.xlsx" TargetMode="External"/><Relationship Id="rId1" Type="http://schemas.openxmlformats.org/officeDocument/2006/relationships/externalLinkPath" Target="Pasta.Outub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gério"/>
      <sheetName val="mauro"/>
      <sheetName val="marcos"/>
      <sheetName val="ana"/>
      <sheetName val="adriano"/>
      <sheetName val="CGA"/>
    </sheetNames>
    <sheetDataSet>
      <sheetData sheetId="0"/>
      <sheetData sheetId="1"/>
      <sheetData sheetId="2"/>
      <sheetData sheetId="3"/>
      <sheetData sheetId="4">
        <row r="6">
          <cell r="A6" t="str">
            <v>Elaborar o Plano de Coleta</v>
          </cell>
          <cell r="B6">
            <v>45201</v>
          </cell>
        </row>
        <row r="7">
          <cell r="A7" t="str">
            <v>Coleta Acelerométrica</v>
          </cell>
          <cell r="B7">
            <v>45208</v>
          </cell>
        </row>
        <row r="9">
          <cell r="A9" t="str">
            <v>Modelagem CAD</v>
          </cell>
          <cell r="B9">
            <v>45217</v>
          </cell>
        </row>
        <row r="12">
          <cell r="A12" t="str">
            <v>Modelagem FEM e Cálculo</v>
          </cell>
          <cell r="B12">
            <v>45202</v>
          </cell>
        </row>
        <row r="13">
          <cell r="A13" t="str">
            <v>Proposta de Reforços, se necessário</v>
          </cell>
          <cell r="B13">
            <v>45204</v>
          </cell>
        </row>
        <row r="14">
          <cell r="A14" t="str">
            <v>Elaboração da Memória de Cálculo</v>
          </cell>
          <cell r="B14">
            <v>45209</v>
          </cell>
        </row>
        <row r="15">
          <cell r="A15" t="str">
            <v>Verificação da Memória de Cálculo</v>
          </cell>
          <cell r="B15">
            <v>45210</v>
          </cell>
        </row>
        <row r="17">
          <cell r="A17" t="str">
            <v>MARCO - Emissão Inicial (Rev_A)</v>
          </cell>
          <cell r="B17">
            <v>45210</v>
          </cell>
        </row>
        <row r="18">
          <cell r="A18" t="str">
            <v>Aprovação do Cliente</v>
          </cell>
          <cell r="B18">
            <v>45230</v>
          </cell>
        </row>
        <row r="19">
          <cell r="A19" t="str">
            <v>Certificação do documento - Vibracon</v>
          </cell>
          <cell r="B19">
            <v>45230</v>
          </cell>
        </row>
        <row r="20">
          <cell r="A20" t="str">
            <v>MARCO - Envio do documento Certificado (Rev_0)</v>
          </cell>
          <cell r="B20">
            <v>45230</v>
          </cell>
        </row>
        <row r="28">
          <cell r="A28" t="str">
            <v>Análise do documento revisado (VALE)</v>
          </cell>
          <cell r="B28">
            <v>45203</v>
          </cell>
        </row>
        <row r="29">
          <cell r="A29" t="str">
            <v>Emissão final</v>
          </cell>
          <cell r="B29">
            <v>45203</v>
          </cell>
        </row>
        <row r="34">
          <cell r="A34" t="str">
            <v>Modelagem FEM</v>
          </cell>
          <cell r="B34">
            <v>45225</v>
          </cell>
        </row>
        <row r="35">
          <cell r="A35" t="str">
            <v>Aplicação de carregamento e condições de contorno</v>
          </cell>
          <cell r="B35">
            <v>45226</v>
          </cell>
        </row>
        <row r="36">
          <cell r="A36" t="str">
            <v>Análise dos resultados</v>
          </cell>
          <cell r="B36">
            <v>45229</v>
          </cell>
        </row>
        <row r="37">
          <cell r="A37" t="str">
            <v>Proposta de Reforço (caso necessário)</v>
          </cell>
          <cell r="B37">
            <v>45230</v>
          </cell>
        </row>
        <row r="39">
          <cell r="A39" t="str">
            <v>Desenvolvimento e emissão inicial</v>
          </cell>
          <cell r="B39">
            <v>45216</v>
          </cell>
        </row>
        <row r="40">
          <cell r="A40" t="str">
            <v>Análise VALE</v>
          </cell>
          <cell r="B40">
            <v>45226</v>
          </cell>
        </row>
        <row r="41">
          <cell r="A41" t="str">
            <v>Atendimento aos comentários</v>
          </cell>
          <cell r="B41">
            <v>45230</v>
          </cell>
        </row>
        <row r="43">
          <cell r="A43" t="str">
            <v>Desenvolvimento e emissão inicial</v>
          </cell>
          <cell r="B43">
            <v>45230</v>
          </cell>
        </row>
        <row r="44">
          <cell r="A44" t="str">
            <v>Análise VALE</v>
          </cell>
          <cell r="B44">
            <v>45230</v>
          </cell>
        </row>
        <row r="45">
          <cell r="A45" t="str">
            <v>Atendimento aos comentários</v>
          </cell>
          <cell r="B45">
            <v>45230</v>
          </cell>
        </row>
        <row r="49">
          <cell r="A49" t="str">
            <v>Modelagem da Estrutura</v>
          </cell>
          <cell r="B49">
            <v>45226</v>
          </cell>
        </row>
        <row r="50">
          <cell r="A50" t="str">
            <v>Aplicação de carregamento e condições de contorno</v>
          </cell>
          <cell r="B50">
            <v>45229</v>
          </cell>
        </row>
        <row r="51">
          <cell r="A51" t="str">
            <v>Análise dos resultados</v>
          </cell>
          <cell r="B51">
            <v>45230</v>
          </cell>
        </row>
        <row r="53">
          <cell r="A53" t="str">
            <v>Análise dos resultados</v>
          </cell>
          <cell r="B53">
            <v>45229</v>
          </cell>
        </row>
        <row r="54">
          <cell r="A54" t="str">
            <v>Proposta de Reforços (caso necessário)</v>
          </cell>
          <cell r="B54">
            <v>45230</v>
          </cell>
        </row>
        <row r="56">
          <cell r="A56" t="str">
            <v>Desenvolvimento e emissão inicial</v>
          </cell>
          <cell r="B56">
            <v>45230</v>
          </cell>
        </row>
        <row r="58">
          <cell r="A58" t="str">
            <v>Desenvolvimento e emissão inicial</v>
          </cell>
          <cell r="B58">
            <v>45230</v>
          </cell>
        </row>
        <row r="62">
          <cell r="A62" t="str">
            <v>Análise do documento revisado (VALE)</v>
          </cell>
          <cell r="B62">
            <v>45217</v>
          </cell>
        </row>
        <row r="63">
          <cell r="A63" t="str">
            <v>Emissão final</v>
          </cell>
          <cell r="B63">
            <v>45217</v>
          </cell>
        </row>
        <row r="65">
          <cell r="A65" t="str">
            <v>Análise do documento revisado (VALE)</v>
          </cell>
          <cell r="B65">
            <v>45217</v>
          </cell>
        </row>
        <row r="66">
          <cell r="A66" t="str">
            <v>Emissão final</v>
          </cell>
          <cell r="B66">
            <v>45217</v>
          </cell>
        </row>
        <row r="69">
          <cell r="A69" t="str">
            <v>Mobilização</v>
          </cell>
          <cell r="B69">
            <v>45219</v>
          </cell>
        </row>
        <row r="71">
          <cell r="A71" t="str">
            <v>Modelagem CAD 3D</v>
          </cell>
          <cell r="B71">
            <v>45230</v>
          </cell>
        </row>
        <row r="72">
          <cell r="A72" t="str">
            <v>Modelagem FEM</v>
          </cell>
          <cell r="B72">
            <v>45230</v>
          </cell>
        </row>
        <row r="77">
          <cell r="A77" t="str">
            <v>MARCO - Emissão Inicial (Rev_B)</v>
          </cell>
          <cell r="B77">
            <v>45230</v>
          </cell>
        </row>
        <row r="81">
          <cell r="A81" t="str">
            <v>Certificação do documento - Vibracon</v>
          </cell>
          <cell r="B81">
            <v>45230</v>
          </cell>
        </row>
        <row r="82">
          <cell r="A82" t="str">
            <v>MARCO - Envio do documento Certificado (Rev_0)</v>
          </cell>
          <cell r="B82">
            <v>45230</v>
          </cell>
        </row>
        <row r="84">
          <cell r="A84" t="str">
            <v>Certificação do documento - Vibracon</v>
          </cell>
          <cell r="B84">
            <v>45230</v>
          </cell>
        </row>
        <row r="85">
          <cell r="A85" t="str">
            <v>MARCO - Envio do documento Certificado (Rev_0)</v>
          </cell>
          <cell r="B85">
            <v>45230</v>
          </cell>
        </row>
        <row r="89">
          <cell r="A89" t="str">
            <v>Certificação do documento - Vibracon</v>
          </cell>
          <cell r="B89">
            <v>45223</v>
          </cell>
        </row>
        <row r="90">
          <cell r="A90" t="str">
            <v>MARCO - Envio do documento Certificado (Rev_0)</v>
          </cell>
          <cell r="B90">
            <v>45224</v>
          </cell>
        </row>
        <row r="92">
          <cell r="A92" t="str">
            <v>Certificação do documento - Vibracon</v>
          </cell>
          <cell r="B92">
            <v>45225</v>
          </cell>
        </row>
        <row r="93">
          <cell r="A93" t="str">
            <v>MARCO - Envio do documento Certificado (Rev_0)</v>
          </cell>
          <cell r="B93">
            <v>45226</v>
          </cell>
        </row>
        <row r="99">
          <cell r="A99" t="str">
            <v>Análise das Juntas Soldadas</v>
          </cell>
          <cell r="B99">
            <v>45224</v>
          </cell>
        </row>
        <row r="102">
          <cell r="A102" t="str">
            <v>Análise das Juntas Soldadas</v>
          </cell>
          <cell r="B102">
            <v>45225</v>
          </cell>
        </row>
        <row r="103">
          <cell r="A103" t="str">
            <v>Análise de Pinos e Parafusos</v>
          </cell>
          <cell r="B103">
            <v>45225</v>
          </cell>
        </row>
        <row r="105">
          <cell r="A105" t="str">
            <v>MARCO - Emissão Inicial (Rev_A)</v>
          </cell>
          <cell r="B105">
            <v>45226</v>
          </cell>
        </row>
        <row r="106">
          <cell r="A106" t="str">
            <v>Aprovação do Cliente</v>
          </cell>
          <cell r="B106">
            <v>45229</v>
          </cell>
        </row>
        <row r="107">
          <cell r="A107" t="str">
            <v>Certificação do documento - Vibracon</v>
          </cell>
          <cell r="B107">
            <v>45230</v>
          </cell>
        </row>
        <row r="108">
          <cell r="A108" t="str">
            <v>MARCO - Envio do documento Certificado (Rev_0)</v>
          </cell>
          <cell r="B108">
            <v>45230</v>
          </cell>
        </row>
        <row r="113">
          <cell r="A113" t="str">
            <v>Modelagem FEM</v>
          </cell>
          <cell r="B113">
            <v>45217</v>
          </cell>
        </row>
        <row r="114">
          <cell r="A114" t="str">
            <v>Verificação Interna</v>
          </cell>
          <cell r="B114">
            <v>45219</v>
          </cell>
        </row>
        <row r="116">
          <cell r="A116" t="str">
            <v>MARCO - Emissão Inicial (Rev_A)</v>
          </cell>
          <cell r="B116">
            <v>45219</v>
          </cell>
        </row>
        <row r="119">
          <cell r="A119" t="str">
            <v>Entrega dos documentos</v>
          </cell>
          <cell r="B119">
            <v>45224</v>
          </cell>
        </row>
        <row r="120">
          <cell r="A120" t="str">
            <v>Análise de Documentação</v>
          </cell>
          <cell r="B120">
            <v>45225</v>
          </cell>
        </row>
        <row r="123">
          <cell r="A123" t="str">
            <v>Modelagem CAD</v>
          </cell>
          <cell r="B123">
            <v>45225</v>
          </cell>
        </row>
        <row r="124">
          <cell r="A124" t="str">
            <v>Modelagem FEM e Cálculo</v>
          </cell>
          <cell r="B124">
            <v>45226</v>
          </cell>
        </row>
        <row r="125">
          <cell r="A125" t="str">
            <v>Estudo de Fadiga</v>
          </cell>
          <cell r="B125">
            <v>45229</v>
          </cell>
        </row>
        <row r="130">
          <cell r="A130" t="str">
            <v>Revisão da Análise Modal e Diffnorm</v>
          </cell>
          <cell r="B130">
            <v>45222</v>
          </cell>
        </row>
        <row r="131">
          <cell r="A131" t="str">
            <v>Revisão do Posicionamento dos Centros Elásticos</v>
          </cell>
          <cell r="B131">
            <v>45223</v>
          </cell>
        </row>
        <row r="132">
          <cell r="A132" t="str">
            <v>Atualização das Curvas de Coxim</v>
          </cell>
          <cell r="B132">
            <v>45224</v>
          </cell>
        </row>
        <row r="133">
          <cell r="A133" t="str">
            <v>Elaboração da Análise de Sistema</v>
          </cell>
          <cell r="B133">
            <v>45225</v>
          </cell>
        </row>
        <row r="135">
          <cell r="A135" t="str">
            <v>MARCO - Emissão do Documento</v>
          </cell>
          <cell r="B135">
            <v>45229</v>
          </cell>
        </row>
        <row r="139">
          <cell r="A139" t="str">
            <v>Elaboração da Análise de Sistema do Step 0</v>
          </cell>
          <cell r="B139">
            <v>45201</v>
          </cell>
        </row>
        <row r="141">
          <cell r="A141" t="str">
            <v>MARCO - Emissão do Documento</v>
          </cell>
          <cell r="B141">
            <v>45201</v>
          </cell>
        </row>
        <row r="143">
          <cell r="A143" t="str">
            <v>Definição do Mapa Modal</v>
          </cell>
          <cell r="B143">
            <v>45208</v>
          </cell>
        </row>
        <row r="144">
          <cell r="A144" t="str">
            <v>Análise de Alta Frequência</v>
          </cell>
          <cell r="B144">
            <v>45212</v>
          </cell>
        </row>
        <row r="145">
          <cell r="A145" t="str">
            <v>Definição da Progressividade das Curvas em Manobras Estásicas</v>
          </cell>
          <cell r="B145">
            <v>45219</v>
          </cell>
        </row>
        <row r="146">
          <cell r="A146" t="str">
            <v>Definição de Cargas de Missão</v>
          </cell>
          <cell r="B146">
            <v>45226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3"/>
  <dimension ref="A1:BR149"/>
  <sheetViews>
    <sheetView showGridLines="0" tabSelected="1" topLeftCell="B1" zoomScale="60" zoomScaleNormal="60" workbookViewId="0">
      <pane ySplit="5" topLeftCell="A6" activePane="bottomLeft" state="frozen"/>
      <selection activeCell="B1" sqref="B1"/>
      <selection pane="bottomLeft" activeCell="BP19" sqref="BP19"/>
    </sheetView>
  </sheetViews>
  <sheetFormatPr defaultRowHeight="14.5" x14ac:dyDescent="0.35"/>
  <cols>
    <col min="1" max="1" width="20.1796875" hidden="1" customWidth="1"/>
    <col min="2" max="2" width="79.453125" style="24" customWidth="1"/>
    <col min="3" max="5" width="8.1796875" style="24" customWidth="1"/>
    <col min="6" max="6" width="8.1796875" style="63" customWidth="1"/>
    <col min="7" max="7" width="8.1796875" style="64" customWidth="1"/>
    <col min="8" max="10" width="8.1796875" style="24" customWidth="1"/>
    <col min="11" max="11" width="8.1796875" style="63" customWidth="1"/>
    <col min="12" max="12" width="8.1796875" style="64" customWidth="1"/>
    <col min="13" max="15" width="8.1796875" style="24" customWidth="1"/>
    <col min="16" max="16" width="8.1796875" style="63" customWidth="1"/>
    <col min="17" max="17" width="8.1796875" style="64" customWidth="1"/>
    <col min="18" max="20" width="8.1796875" style="24" customWidth="1"/>
    <col min="21" max="21" width="8.1796875" style="63" customWidth="1"/>
    <col min="22" max="28" width="8.1796875" style="24" customWidth="1"/>
    <col min="29" max="30" width="8.1796875" style="24" hidden="1" customWidth="1"/>
    <col min="31" max="31" width="72.453125" style="2" customWidth="1"/>
    <col min="32" max="32" width="37.81640625" style="31" customWidth="1"/>
    <col min="33" max="33" width="35.54296875" style="33" customWidth="1"/>
    <col min="34" max="34" width="81.453125" style="65" customWidth="1"/>
    <col min="35" max="44" width="17.54296875" style="24" customWidth="1"/>
    <col min="45" max="45" width="9.1796875" style="3" customWidth="1"/>
    <col min="46" max="47" width="9.1796875" customWidth="1"/>
    <col min="48" max="48" width="20.81640625" customWidth="1"/>
    <col min="49" max="68" width="9.1796875" customWidth="1"/>
  </cols>
  <sheetData>
    <row r="1" spans="1:70" ht="14" customHeight="1" x14ac:dyDescent="0.35">
      <c r="AE1"/>
    </row>
    <row r="2" spans="1:70" ht="15" customHeight="1" x14ac:dyDescent="0.35">
      <c r="AE2" s="1"/>
      <c r="AF2" s="32"/>
      <c r="AG2" s="34"/>
      <c r="AH2" s="66"/>
    </row>
    <row r="3" spans="1:70" ht="36.75" customHeight="1" x14ac:dyDescent="0.35">
      <c r="AE3" s="1"/>
      <c r="AF3" s="32"/>
      <c r="AG3" s="34"/>
      <c r="AH3" s="66"/>
    </row>
    <row r="4" spans="1:70" ht="25" customHeight="1" x14ac:dyDescent="0.35">
      <c r="B4" s="121"/>
      <c r="C4" s="123">
        <v>45201</v>
      </c>
      <c r="D4" s="123">
        <v>45202</v>
      </c>
      <c r="E4" s="123">
        <v>45203</v>
      </c>
      <c r="F4" s="123">
        <v>45204</v>
      </c>
      <c r="G4" s="123">
        <v>45205</v>
      </c>
      <c r="H4" s="123">
        <v>45208</v>
      </c>
      <c r="I4" s="123">
        <v>45209</v>
      </c>
      <c r="J4" s="123">
        <v>45210</v>
      </c>
      <c r="K4" s="123">
        <v>45211</v>
      </c>
      <c r="L4" s="123">
        <v>45212</v>
      </c>
      <c r="M4" s="123">
        <v>45215</v>
      </c>
      <c r="N4" s="123">
        <v>45216</v>
      </c>
      <c r="O4" s="123">
        <v>45217</v>
      </c>
      <c r="P4" s="123">
        <v>45218</v>
      </c>
      <c r="Q4" s="123">
        <v>45219</v>
      </c>
      <c r="R4" s="123">
        <v>45222</v>
      </c>
      <c r="S4" s="123">
        <v>45223</v>
      </c>
      <c r="T4" s="123">
        <v>45224</v>
      </c>
      <c r="U4" s="123">
        <v>45225</v>
      </c>
      <c r="V4" s="123">
        <v>45226</v>
      </c>
      <c r="W4" s="179">
        <v>45229</v>
      </c>
      <c r="X4" s="179">
        <v>45230</v>
      </c>
      <c r="Y4" s="128" t="s">
        <v>9</v>
      </c>
      <c r="Z4" s="129"/>
      <c r="AA4" s="129"/>
      <c r="AB4" s="130"/>
      <c r="AC4" s="134"/>
      <c r="AD4" s="134"/>
      <c r="AE4" s="136" t="s">
        <v>16</v>
      </c>
      <c r="AF4" s="138" t="s">
        <v>0</v>
      </c>
      <c r="AG4" s="140" t="s">
        <v>1</v>
      </c>
      <c r="AH4" s="142" t="s">
        <v>12</v>
      </c>
      <c r="AI4" s="45"/>
      <c r="AJ4" s="45"/>
      <c r="AK4" s="43"/>
      <c r="AL4" s="43"/>
      <c r="AM4" s="43"/>
      <c r="AN4" s="43"/>
      <c r="AO4" s="43"/>
      <c r="AP4" s="43"/>
      <c r="AQ4" s="62"/>
      <c r="AR4" s="62"/>
    </row>
    <row r="5" spans="1:70" ht="26.5" customHeight="1" x14ac:dyDescent="0.35">
      <c r="B5" s="122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80"/>
      <c r="X5" s="180"/>
      <c r="Y5" s="131"/>
      <c r="Z5" s="132"/>
      <c r="AA5" s="132"/>
      <c r="AB5" s="133"/>
      <c r="AC5" s="135"/>
      <c r="AD5" s="135"/>
      <c r="AE5" s="137"/>
      <c r="AF5" s="139"/>
      <c r="AG5" s="141"/>
      <c r="AH5" s="143"/>
      <c r="AI5" s="45"/>
      <c r="AJ5" s="45"/>
      <c r="AK5" s="44"/>
      <c r="AL5" s="44"/>
      <c r="AM5" s="44"/>
      <c r="AN5" s="44"/>
      <c r="AO5" s="44"/>
      <c r="AP5" s="44"/>
      <c r="AQ5" s="62"/>
      <c r="AR5" s="62"/>
    </row>
    <row r="6" spans="1:70" ht="30" customHeight="1" x14ac:dyDescent="0.35">
      <c r="B6" s="35" t="s">
        <v>42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125"/>
      <c r="Z6" s="126"/>
      <c r="AA6" s="126"/>
      <c r="AB6" s="127"/>
      <c r="AC6" s="35"/>
      <c r="AD6" s="35"/>
      <c r="AE6" s="48" t="str">
        <f>IF(Y6="ATRASADO",B6,"")</f>
        <v/>
      </c>
      <c r="AF6" s="48"/>
      <c r="AG6" s="48"/>
      <c r="AH6" s="67"/>
      <c r="AI6" s="49">
        <f>COUNTIF(C6:G6,"ok")</f>
        <v>0</v>
      </c>
      <c r="AJ6" s="49" t="str">
        <f t="shared" ref="AJ6" si="0">IF(AND(AI6=1,OR($Y6="entregue",$Y6="efprazo")),$Y6,"")</f>
        <v/>
      </c>
      <c r="AK6" s="49">
        <f>COUNTIF(H6:L6,"ok")</f>
        <v>0</v>
      </c>
      <c r="AL6" s="49" t="str">
        <f t="shared" ref="AL6" si="1">IF(AND(AK6=1,OR(Y6="entregue",Y6="efprazo")),Y6,"")</f>
        <v/>
      </c>
      <c r="AM6" s="49">
        <f>COUNTIF(M6:Q6,"ok")</f>
        <v>0</v>
      </c>
      <c r="AN6" s="49" t="str">
        <f t="shared" ref="AN6" si="2">IF(AND(AM6=1,OR($Y6="entregue",$Y6="efprazo")),$Y6,"")</f>
        <v/>
      </c>
      <c r="AO6" s="49">
        <f>COUNTIF(R6:V6,"ok")</f>
        <v>0</v>
      </c>
      <c r="AP6" s="49" t="str">
        <f t="shared" ref="AP6" si="3">IF(AND(AO6=1,OR($Y6="entregue",$Y6="efprazo")),$Y6,"")</f>
        <v/>
      </c>
      <c r="AQ6" s="49">
        <f>COUNTIF(W6:X6,"ok")</f>
        <v>0</v>
      </c>
      <c r="AR6" s="49" t="str">
        <f>IF(AND(AQ6=1,OR($Y6="entregue",$Y6="efprazo")),$Y6,"")</f>
        <v/>
      </c>
      <c r="AS6" s="89" t="s">
        <v>22</v>
      </c>
      <c r="AT6" s="89"/>
      <c r="AU6" s="89"/>
      <c r="AV6" s="89"/>
      <c r="AW6" s="47"/>
      <c r="AX6" s="89" t="s">
        <v>21</v>
      </c>
      <c r="AY6" s="89"/>
      <c r="AZ6" s="89"/>
      <c r="BA6" s="89"/>
      <c r="BB6" s="47"/>
      <c r="BC6" s="89" t="s">
        <v>27</v>
      </c>
      <c r="BD6" s="89"/>
      <c r="BE6" s="89"/>
      <c r="BF6" s="89"/>
      <c r="BG6" s="47"/>
      <c r="BH6" s="89" t="s">
        <v>26</v>
      </c>
      <c r="BI6" s="89"/>
      <c r="BJ6" s="89"/>
      <c r="BK6" s="89"/>
      <c r="BL6" s="47"/>
      <c r="BM6" s="89" t="s">
        <v>39</v>
      </c>
      <c r="BN6" s="89"/>
      <c r="BO6" s="89"/>
      <c r="BP6" s="89"/>
    </row>
    <row r="7" spans="1:70" ht="30" customHeight="1" x14ac:dyDescent="0.35">
      <c r="B7" s="35" t="s">
        <v>78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125"/>
      <c r="Z7" s="126"/>
      <c r="AA7" s="126"/>
      <c r="AB7" s="127"/>
      <c r="AC7" s="36"/>
      <c r="AD7" s="36"/>
      <c r="AE7" s="48" t="str">
        <f t="shared" ref="AE7:AE37" si="4">IF(Y7="ATRASADO",B7,"")</f>
        <v/>
      </c>
      <c r="AF7" s="48"/>
      <c r="AG7" s="48"/>
      <c r="AH7" s="67"/>
      <c r="AI7" s="49">
        <f t="shared" ref="AI7:AI70" si="5">COUNTIF(C7:G7,"ok")</f>
        <v>0</v>
      </c>
      <c r="AJ7" s="49" t="str">
        <f t="shared" ref="AJ7:AJ70" si="6">IF(AND(AI7=1,OR($Y7="entregue",$Y7="efprazo")),$Y7,"")</f>
        <v/>
      </c>
      <c r="AK7" s="49">
        <f t="shared" ref="AK7:AK70" si="7">COUNTIF(H7:L7,"ok")</f>
        <v>0</v>
      </c>
      <c r="AL7" s="49" t="str">
        <f t="shared" ref="AL7:AL70" si="8">IF(AND(AK7=1,OR(Y7="entregue",Y7="efprazo")),Y7,"")</f>
        <v/>
      </c>
      <c r="AM7" s="49">
        <f t="shared" ref="AM7:AM70" si="9">COUNTIF(M7:Q7,"ok")</f>
        <v>0</v>
      </c>
      <c r="AN7" s="49" t="str">
        <f t="shared" ref="AN7:AN70" si="10">IF(AND(AM7=1,OR($Y7="entregue",$Y7="efprazo")),$Y7,"")</f>
        <v/>
      </c>
      <c r="AO7" s="49">
        <f t="shared" ref="AO7:AO70" si="11">COUNTIF(R7:V7,"ok")</f>
        <v>0</v>
      </c>
      <c r="AP7" s="49" t="str">
        <f t="shared" ref="AP7:AP70" si="12">IF(AND(AO7=1,OR($Y7="entregue",$Y7="efprazo")),$Y7,"")</f>
        <v/>
      </c>
      <c r="AQ7" s="49">
        <f t="shared" ref="AQ7:AQ70" si="13">COUNTIF(W7:X7,"ok")</f>
        <v>0</v>
      </c>
      <c r="AR7" s="49" t="str">
        <f t="shared" ref="AR7:AR70" si="14">IF(AND(AQ7=1,OR($Y7="entregue",$Y7="efprazo")),$Y7,"")</f>
        <v/>
      </c>
      <c r="AS7" s="90" t="s">
        <v>2</v>
      </c>
      <c r="AT7" s="90"/>
      <c r="AU7" s="90"/>
      <c r="AV7" s="50">
        <f>COUNTIF(AJ:AJ,"ENTREGUE")</f>
        <v>4</v>
      </c>
      <c r="AW7" s="47"/>
      <c r="AX7" s="90" t="s">
        <v>2</v>
      </c>
      <c r="AY7" s="90"/>
      <c r="AZ7" s="90"/>
      <c r="BA7" s="50" cm="1">
        <f t="array" ref="BA7">SUM(COUNTIF(AJ:AL,{"ENTREGUE";"EFPRAZO"}))</f>
        <v>13</v>
      </c>
      <c r="BB7" s="47"/>
      <c r="BC7" s="90" t="s">
        <v>2</v>
      </c>
      <c r="BD7" s="90"/>
      <c r="BE7" s="90"/>
      <c r="BF7" s="50" cm="1">
        <f t="array" ref="BF7">SUM(COUNTIF(AJ:AN,{"ENTREGUE";"EFPRAZO"}))</f>
        <v>23</v>
      </c>
      <c r="BG7" s="47"/>
      <c r="BH7" s="90" t="s">
        <v>2</v>
      </c>
      <c r="BI7" s="90"/>
      <c r="BJ7" s="90"/>
      <c r="BK7" s="50" cm="1">
        <f t="array" ref="BK7">SUM(COUNTIF(AJ:AP,{"ENTREGUE";"EFPRAZO"}))</f>
        <v>23</v>
      </c>
      <c r="BL7" s="47"/>
      <c r="BM7" s="90" t="s">
        <v>2</v>
      </c>
      <c r="BN7" s="90"/>
      <c r="BO7" s="90"/>
      <c r="BP7" s="50" cm="1">
        <f t="array" ref="BP7">SUM(COUNTIF(AI:AR,{"ENTREGUE";"EFPRAZO"}))</f>
        <v>23</v>
      </c>
    </row>
    <row r="8" spans="1:70" ht="30" customHeight="1" x14ac:dyDescent="0.35">
      <c r="B8" s="37" t="s">
        <v>47</v>
      </c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100"/>
      <c r="Z8" s="101"/>
      <c r="AA8" s="101"/>
      <c r="AB8" s="102"/>
      <c r="AC8" s="37"/>
      <c r="AD8" s="37"/>
      <c r="AE8" s="48" t="str">
        <f t="shared" si="4"/>
        <v/>
      </c>
      <c r="AF8" s="48"/>
      <c r="AG8" s="48"/>
      <c r="AH8" s="67"/>
      <c r="AI8" s="49">
        <f t="shared" si="5"/>
        <v>0</v>
      </c>
      <c r="AJ8" s="49" t="str">
        <f t="shared" si="6"/>
        <v/>
      </c>
      <c r="AK8" s="49">
        <f t="shared" si="7"/>
        <v>0</v>
      </c>
      <c r="AL8" s="49" t="str">
        <f t="shared" si="8"/>
        <v/>
      </c>
      <c r="AM8" s="49">
        <f t="shared" si="9"/>
        <v>0</v>
      </c>
      <c r="AN8" s="49" t="str">
        <f t="shared" si="10"/>
        <v/>
      </c>
      <c r="AO8" s="49">
        <f t="shared" si="11"/>
        <v>0</v>
      </c>
      <c r="AP8" s="49" t="str">
        <f t="shared" si="12"/>
        <v/>
      </c>
      <c r="AQ8" s="49">
        <f t="shared" si="13"/>
        <v>0</v>
      </c>
      <c r="AR8" s="49" t="str">
        <f t="shared" si="14"/>
        <v/>
      </c>
      <c r="AS8" s="90" t="s">
        <v>3</v>
      </c>
      <c r="AT8" s="90"/>
      <c r="AU8" s="90"/>
      <c r="AV8" s="50">
        <f>SUM(COUNTIF(C:G,"OK"))</f>
        <v>7</v>
      </c>
      <c r="AW8" s="47"/>
      <c r="AX8" s="90" t="s">
        <v>3</v>
      </c>
      <c r="AY8" s="90"/>
      <c r="AZ8" s="90"/>
      <c r="BA8" s="50">
        <f>SUM(COUNTIF(C:L,"OK"))</f>
        <v>13</v>
      </c>
      <c r="BB8" s="47"/>
      <c r="BC8" s="90" t="s">
        <v>3</v>
      </c>
      <c r="BD8" s="90"/>
      <c r="BE8" s="90"/>
      <c r="BF8" s="50">
        <f>SUM(COUNTIF(C:Q,"OK"))</f>
        <v>24</v>
      </c>
      <c r="BG8" s="47"/>
      <c r="BH8" s="90" t="s">
        <v>3</v>
      </c>
      <c r="BI8" s="90"/>
      <c r="BJ8" s="90"/>
      <c r="BK8" s="50">
        <f>SUM(COUNTIF(C:V,"OK"))</f>
        <v>45</v>
      </c>
      <c r="BL8" s="47"/>
      <c r="BM8" s="90" t="s">
        <v>3</v>
      </c>
      <c r="BN8" s="90"/>
      <c r="BO8" s="90"/>
      <c r="BP8" s="50">
        <f>SUM(COUNTIF(C:X,"OK"))</f>
        <v>72</v>
      </c>
    </row>
    <row r="9" spans="1:70" ht="30" customHeight="1" x14ac:dyDescent="0.35">
      <c r="A9" t="str">
        <f>CONCATENATE($B$6,"
",$B$7)</f>
        <v>ARCELORMITTAL (VIBRACON SERVICE)
FASE 2 - (A DEFINIR COM O CLIENTE)</v>
      </c>
      <c r="B9" s="38" t="s">
        <v>79</v>
      </c>
      <c r="C9" s="85" t="str">
        <f>IF(AND($B9=[1]adriano!$A6,[1]adriano!$B6=C$4),"ok","nok")</f>
        <v>ok</v>
      </c>
      <c r="D9" s="85" t="str">
        <f>IF(AND($B9=[1]adriano!$A6,[1]adriano!$B6=D$4),"ok","nok")</f>
        <v>nok</v>
      </c>
      <c r="E9" s="85" t="str">
        <f>IF(AND($B9=[1]adriano!$A6,[1]adriano!$B6=E$4),"ok","nok")</f>
        <v>nok</v>
      </c>
      <c r="F9" s="85" t="str">
        <f>IF(AND($B9=[1]adriano!$A6,[1]adriano!$B6=F$4),"ok","nok")</f>
        <v>nok</v>
      </c>
      <c r="G9" s="85" t="str">
        <f>IF(AND($B9=[1]adriano!$A6,[1]adriano!$B6=G$4),"ok","nok")</f>
        <v>nok</v>
      </c>
      <c r="H9" s="85" t="str">
        <f>IF(AND($B9=[1]adriano!$A6,[1]adriano!$B6=H$4),"ok","nok")</f>
        <v>nok</v>
      </c>
      <c r="I9" s="85" t="str">
        <f>IF(AND($B9=[1]adriano!$A6,[1]adriano!$B6=I$4),"ok","nok")</f>
        <v>nok</v>
      </c>
      <c r="J9" s="85" t="str">
        <f>IF(AND($B9=[1]adriano!$A6,[1]adriano!$B6=J$4),"ok","nok")</f>
        <v>nok</v>
      </c>
      <c r="K9" s="85" t="str">
        <f>IF(AND($B9=[1]adriano!$A6,[1]adriano!$B6=K$4),"ok","nok")</f>
        <v>nok</v>
      </c>
      <c r="L9" s="85" t="str">
        <f>IF(AND($B9=[1]adriano!$A6,[1]adriano!$B6=L$4),"ok","nok")</f>
        <v>nok</v>
      </c>
      <c r="M9" s="85" t="str">
        <f>IF(AND($B9=[1]adriano!$A6,[1]adriano!$B6=M$4),"ok","nok")</f>
        <v>nok</v>
      </c>
      <c r="N9" s="85" t="str">
        <f>IF(AND($B9=[1]adriano!$A6,[1]adriano!$B6=N$4),"ok","nok")</f>
        <v>nok</v>
      </c>
      <c r="O9" s="85" t="str">
        <f>IF(AND($B9=[1]adriano!$A6,[1]adriano!$B6=O$4),"ok","nok")</f>
        <v>nok</v>
      </c>
      <c r="P9" s="85" t="str">
        <f>IF(AND($B9=[1]adriano!$A6,[1]adriano!$B6=P$4),"ok","nok")</f>
        <v>nok</v>
      </c>
      <c r="Q9" s="85" t="str">
        <f>IF(AND($B9=[1]adriano!$A6,[1]adriano!$B6=Q$4),"ok","nok")</f>
        <v>nok</v>
      </c>
      <c r="R9" s="85" t="str">
        <f>IF(AND($B9=[1]adriano!$A6,[1]adriano!$B6=R$4),"ok","nok")</f>
        <v>nok</v>
      </c>
      <c r="S9" s="85" t="str">
        <f>IF(AND($B9=[1]adriano!$A6,[1]adriano!$B6=S$4),"ok","nok")</f>
        <v>nok</v>
      </c>
      <c r="T9" s="85" t="str">
        <f>IF(AND($B9=[1]adriano!$A6,[1]adriano!$B6=T$4),"ok","nok")</f>
        <v>nok</v>
      </c>
      <c r="U9" s="85" t="str">
        <f>IF(AND($B9=[1]adriano!$A6,[1]adriano!$B6=U$4),"ok","nok")</f>
        <v>nok</v>
      </c>
      <c r="V9" s="85" t="str">
        <f>IF(AND($B9=[1]adriano!$A6,[1]adriano!$B6=V$4),"ok","nok")</f>
        <v>nok</v>
      </c>
      <c r="W9" s="85" t="str">
        <f>IF(AND($B9=[1]adriano!$A6,[1]adriano!$B6=W$4),"ok","nok")</f>
        <v>nok</v>
      </c>
      <c r="X9" s="85" t="str">
        <f>IF(AND($B9=[1]adriano!$A6,[1]adriano!$B6=X$4),"ok","nok")</f>
        <v>nok</v>
      </c>
      <c r="Y9" s="97" t="s">
        <v>36</v>
      </c>
      <c r="Z9" s="98"/>
      <c r="AA9" s="98"/>
      <c r="AB9" s="99"/>
      <c r="AC9" s="46"/>
      <c r="AD9" s="46"/>
      <c r="AE9" s="48" t="str">
        <f t="shared" si="4"/>
        <v/>
      </c>
      <c r="AF9" s="48"/>
      <c r="AG9" s="48"/>
      <c r="AH9" s="67"/>
      <c r="AI9" s="49">
        <f t="shared" si="5"/>
        <v>1</v>
      </c>
      <c r="AJ9" s="49" t="str">
        <f t="shared" si="6"/>
        <v>EFPRAZO</v>
      </c>
      <c r="AK9" s="49">
        <f t="shared" si="7"/>
        <v>0</v>
      </c>
      <c r="AL9" s="49" t="str">
        <f t="shared" si="8"/>
        <v/>
      </c>
      <c r="AM9" s="49">
        <f t="shared" si="9"/>
        <v>0</v>
      </c>
      <c r="AN9" s="49" t="str">
        <f t="shared" si="10"/>
        <v/>
      </c>
      <c r="AO9" s="49">
        <f t="shared" si="11"/>
        <v>0</v>
      </c>
      <c r="AP9" s="49" t="str">
        <f t="shared" si="12"/>
        <v/>
      </c>
      <c r="AQ9" s="49">
        <f t="shared" si="13"/>
        <v>0</v>
      </c>
      <c r="AR9" s="49" t="str">
        <f t="shared" si="14"/>
        <v/>
      </c>
      <c r="AS9" s="90" t="s">
        <v>4</v>
      </c>
      <c r="AT9" s="90"/>
      <c r="AU9" s="90"/>
      <c r="AV9" s="51">
        <f>IF(AV8=0,0,AV7/AV8)</f>
        <v>0.5714285714285714</v>
      </c>
      <c r="AW9" s="47"/>
      <c r="AX9" s="90" t="s">
        <v>4</v>
      </c>
      <c r="AY9" s="90"/>
      <c r="AZ9" s="90"/>
      <c r="BA9" s="51">
        <f>IF(BA8=0,0,BA7/BA8)</f>
        <v>1</v>
      </c>
      <c r="BB9" s="47"/>
      <c r="BC9" s="90" t="s">
        <v>4</v>
      </c>
      <c r="BD9" s="90"/>
      <c r="BE9" s="90"/>
      <c r="BF9" s="51">
        <f>IF(BF8=0,0,BF7/BF8)</f>
        <v>0.95833333333333337</v>
      </c>
      <c r="BG9" s="47"/>
      <c r="BH9" s="90" t="s">
        <v>4</v>
      </c>
      <c r="BI9" s="90"/>
      <c r="BJ9" s="90"/>
      <c r="BK9" s="51">
        <f>IF(BK8=0,0,BK7/BK8)</f>
        <v>0.51111111111111107</v>
      </c>
      <c r="BL9" s="47"/>
      <c r="BM9" s="90" t="s">
        <v>4</v>
      </c>
      <c r="BN9" s="90"/>
      <c r="BO9" s="90"/>
      <c r="BP9" s="51">
        <f>IF(BP8=0,0,BP7/BP8)</f>
        <v>0.31944444444444442</v>
      </c>
    </row>
    <row r="10" spans="1:70" ht="30" customHeight="1" x14ac:dyDescent="0.35">
      <c r="A10" t="str">
        <f t="shared" ref="A10:A12" si="15">CONCATENATE($B$6,"
",$B$7)</f>
        <v>ARCELORMITTAL (VIBRACON SERVICE)
FASE 2 - (A DEFINIR COM O CLIENTE)</v>
      </c>
      <c r="B10" s="38" t="s">
        <v>80</v>
      </c>
      <c r="C10" s="85" t="str">
        <f>IF(AND($B10=[1]adriano!$A7,[1]adriano!$B7=C$4),"ok","nok")</f>
        <v>nok</v>
      </c>
      <c r="D10" s="85" t="str">
        <f>IF(AND($B10=[1]adriano!$A7,[1]adriano!$B7=D$4),"ok","nok")</f>
        <v>nok</v>
      </c>
      <c r="E10" s="85" t="str">
        <f>IF(AND($B10=[1]adriano!$A7,[1]adriano!$B7=E$4),"ok","nok")</f>
        <v>nok</v>
      </c>
      <c r="F10" s="85" t="str">
        <f>IF(AND($B10=[1]adriano!$A7,[1]adriano!$B7=F$4),"ok","nok")</f>
        <v>nok</v>
      </c>
      <c r="G10" s="85" t="str">
        <f>IF(AND($B10=[1]adriano!$A7,[1]adriano!$B7=G$4),"ok","nok")</f>
        <v>nok</v>
      </c>
      <c r="H10" s="85" t="str">
        <f>IF(AND($B10=[1]adriano!$A7,[1]adriano!$B7=H$4),"ok","nok")</f>
        <v>ok</v>
      </c>
      <c r="I10" s="85" t="str">
        <f>IF(AND($B10=[1]adriano!$A7,[1]adriano!$B7=I$4),"ok","nok")</f>
        <v>nok</v>
      </c>
      <c r="J10" s="85" t="str">
        <f>IF(AND($B10=[1]adriano!$A7,[1]adriano!$B7=J$4),"ok","nok")</f>
        <v>nok</v>
      </c>
      <c r="K10" s="85" t="str">
        <f>IF(AND($B10=[1]adriano!$A7,[1]adriano!$B7=K$4),"ok","nok")</f>
        <v>nok</v>
      </c>
      <c r="L10" s="85" t="str">
        <f>IF(AND($B10=[1]adriano!$A7,[1]adriano!$B7=L$4),"ok","nok")</f>
        <v>nok</v>
      </c>
      <c r="M10" s="85" t="str">
        <f>IF(AND($B10=[1]adriano!$A7,[1]adriano!$B7=M$4),"ok","nok")</f>
        <v>nok</v>
      </c>
      <c r="N10" s="85" t="str">
        <f>IF(AND($B10=[1]adriano!$A7,[1]adriano!$B7=N$4),"ok","nok")</f>
        <v>nok</v>
      </c>
      <c r="O10" s="85" t="str">
        <f>IF(AND($B10=[1]adriano!$A7,[1]adriano!$B7=O$4),"ok","nok")</f>
        <v>nok</v>
      </c>
      <c r="P10" s="85" t="str">
        <f>IF(AND($B10=[1]adriano!$A7,[1]adriano!$B7=P$4),"ok","nok")</f>
        <v>nok</v>
      </c>
      <c r="Q10" s="85" t="str">
        <f>IF(AND($B10=[1]adriano!$A7,[1]adriano!$B7=Q$4),"ok","nok")</f>
        <v>nok</v>
      </c>
      <c r="R10" s="85" t="str">
        <f>IF(AND($B10=[1]adriano!$A7,[1]adriano!$B7=R$4),"ok","nok")</f>
        <v>nok</v>
      </c>
      <c r="S10" s="85" t="str">
        <f>IF(AND($B10=[1]adriano!$A7,[1]adriano!$B7=S$4),"ok","nok")</f>
        <v>nok</v>
      </c>
      <c r="T10" s="85" t="str">
        <f>IF(AND($B10=[1]adriano!$A7,[1]adriano!$B7=T$4),"ok","nok")</f>
        <v>nok</v>
      </c>
      <c r="U10" s="85" t="str">
        <f>IF(AND($B10=[1]adriano!$A7,[1]adriano!$B7=U$4),"ok","nok")</f>
        <v>nok</v>
      </c>
      <c r="V10" s="85" t="str">
        <f>IF(AND($B10=[1]adriano!$A7,[1]adriano!$B7=V$4),"ok","nok")</f>
        <v>nok</v>
      </c>
      <c r="W10" s="85" t="str">
        <f>IF(AND($B10=[1]adriano!$A7,[1]adriano!$B7=W$4),"ok","nok")</f>
        <v>nok</v>
      </c>
      <c r="X10" s="85" t="str">
        <f>IF(AND($B10=[1]adriano!$A7,[1]adriano!$B7=X$4),"ok","nok")</f>
        <v>nok</v>
      </c>
      <c r="Y10" s="97" t="s">
        <v>36</v>
      </c>
      <c r="Z10" s="98"/>
      <c r="AA10" s="98"/>
      <c r="AB10" s="99"/>
      <c r="AC10" s="40"/>
      <c r="AD10" s="40"/>
      <c r="AE10" s="48" t="str">
        <f t="shared" si="4"/>
        <v/>
      </c>
      <c r="AF10" s="48"/>
      <c r="AG10" s="48"/>
      <c r="AH10" s="67"/>
      <c r="AI10" s="49">
        <f t="shared" si="5"/>
        <v>0</v>
      </c>
      <c r="AJ10" s="49" t="str">
        <f t="shared" si="6"/>
        <v/>
      </c>
      <c r="AK10" s="49">
        <f t="shared" si="7"/>
        <v>1</v>
      </c>
      <c r="AL10" s="49" t="str">
        <f t="shared" si="8"/>
        <v>EFPRAZO</v>
      </c>
      <c r="AM10" s="49">
        <f t="shared" si="9"/>
        <v>0</v>
      </c>
      <c r="AN10" s="49" t="str">
        <f t="shared" si="10"/>
        <v/>
      </c>
      <c r="AO10" s="49">
        <f t="shared" si="11"/>
        <v>0</v>
      </c>
      <c r="AP10" s="49" t="str">
        <f t="shared" si="12"/>
        <v/>
      </c>
      <c r="AQ10" s="49">
        <f t="shared" si="13"/>
        <v>0</v>
      </c>
      <c r="AR10" s="49" t="str">
        <f t="shared" si="14"/>
        <v/>
      </c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</row>
    <row r="11" spans="1:70" ht="30" customHeight="1" x14ac:dyDescent="0.35">
      <c r="B11" s="37" t="s">
        <v>43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100"/>
      <c r="Z11" s="101"/>
      <c r="AA11" s="101"/>
      <c r="AB11" s="102"/>
      <c r="AC11" s="40"/>
      <c r="AD11" s="40"/>
      <c r="AE11" s="48" t="str">
        <f t="shared" si="4"/>
        <v/>
      </c>
      <c r="AF11" s="48"/>
      <c r="AG11" s="48"/>
      <c r="AH11" s="67"/>
      <c r="AI11" s="49">
        <f t="shared" si="5"/>
        <v>0</v>
      </c>
      <c r="AJ11" s="49" t="str">
        <f t="shared" si="6"/>
        <v/>
      </c>
      <c r="AK11" s="49">
        <f t="shared" si="7"/>
        <v>0</v>
      </c>
      <c r="AL11" s="49" t="str">
        <f t="shared" si="8"/>
        <v/>
      </c>
      <c r="AM11" s="49">
        <f t="shared" si="9"/>
        <v>0</v>
      </c>
      <c r="AN11" s="49" t="str">
        <f t="shared" si="10"/>
        <v/>
      </c>
      <c r="AO11" s="49">
        <f t="shared" si="11"/>
        <v>0</v>
      </c>
      <c r="AP11" s="49" t="str">
        <f t="shared" si="12"/>
        <v/>
      </c>
      <c r="AQ11" s="49">
        <f t="shared" si="13"/>
        <v>0</v>
      </c>
      <c r="AR11" s="49" t="str">
        <f t="shared" si="14"/>
        <v/>
      </c>
      <c r="AS11" s="47"/>
      <c r="AT11" s="47"/>
      <c r="AU11" s="47"/>
      <c r="AV11" s="47"/>
      <c r="AW11" s="47"/>
      <c r="AX11" s="89" t="s">
        <v>23</v>
      </c>
      <c r="AY11" s="89"/>
      <c r="AZ11" s="89"/>
      <c r="BA11" s="89"/>
      <c r="BB11" s="47"/>
      <c r="BC11" s="89" t="s">
        <v>24</v>
      </c>
      <c r="BD11" s="89"/>
      <c r="BE11" s="89"/>
      <c r="BF11" s="89"/>
      <c r="BG11" s="47"/>
      <c r="BH11" s="89" t="s">
        <v>25</v>
      </c>
      <c r="BI11" s="89"/>
      <c r="BJ11" s="89"/>
      <c r="BK11" s="89"/>
      <c r="BL11" s="47"/>
      <c r="BM11" s="89" t="s">
        <v>38</v>
      </c>
      <c r="BN11" s="89"/>
      <c r="BO11" s="89"/>
      <c r="BP11" s="89"/>
    </row>
    <row r="12" spans="1:70" ht="30" customHeight="1" x14ac:dyDescent="0.35">
      <c r="A12" t="str">
        <f t="shared" si="15"/>
        <v>ARCELORMITTAL (VIBRACON SERVICE)
FASE 2 - (A DEFINIR COM O CLIENTE)</v>
      </c>
      <c r="B12" s="38" t="s">
        <v>81</v>
      </c>
      <c r="C12" s="85" t="str">
        <f>IF(AND($B12=[1]adriano!$A9,[1]adriano!$B9=C$4),"ok","nok")</f>
        <v>nok</v>
      </c>
      <c r="D12" s="85" t="str">
        <f>IF(AND($B12=[1]adriano!$A9,[1]adriano!$B9=D$4),"ok","nok")</f>
        <v>nok</v>
      </c>
      <c r="E12" s="85" t="str">
        <f>IF(AND($B12=[1]adriano!$A9,[1]adriano!$B9=E$4),"ok","nok")</f>
        <v>nok</v>
      </c>
      <c r="F12" s="85" t="str">
        <f>IF(AND($B12=[1]adriano!$A9,[1]adriano!$B9=F$4),"ok","nok")</f>
        <v>nok</v>
      </c>
      <c r="G12" s="85" t="str">
        <f>IF(AND($B12=[1]adriano!$A9,[1]adriano!$B9=G$4),"ok","nok")</f>
        <v>nok</v>
      </c>
      <c r="H12" s="85" t="str">
        <f>IF(AND($B12=[1]adriano!$A9,[1]adriano!$B9=H$4),"ok","nok")</f>
        <v>nok</v>
      </c>
      <c r="I12" s="85" t="str">
        <f>IF(AND($B12=[1]adriano!$A9,[1]adriano!$B9=I$4),"ok","nok")</f>
        <v>nok</v>
      </c>
      <c r="J12" s="85" t="str">
        <f>IF(AND($B12=[1]adriano!$A9,[1]adriano!$B9=J$4),"ok","nok")</f>
        <v>nok</v>
      </c>
      <c r="K12" s="85" t="str">
        <f>IF(AND($B12=[1]adriano!$A9,[1]adriano!$B9=K$4),"ok","nok")</f>
        <v>nok</v>
      </c>
      <c r="L12" s="85" t="str">
        <f>IF(AND($B12=[1]adriano!$A9,[1]adriano!$B9=L$4),"ok","nok")</f>
        <v>nok</v>
      </c>
      <c r="M12" s="85" t="str">
        <f>IF(AND($B12=[1]adriano!$A9,[1]adriano!$B9=M$4),"ok","nok")</f>
        <v>nok</v>
      </c>
      <c r="N12" s="85" t="str">
        <f>IF(AND($B12=[1]adriano!$A9,[1]adriano!$B9=N$4),"ok","nok")</f>
        <v>nok</v>
      </c>
      <c r="O12" s="85" t="str">
        <f>IF(AND($B12=[1]adriano!$A9,[1]adriano!$B9=O$4),"ok","nok")</f>
        <v>ok</v>
      </c>
      <c r="P12" s="85" t="str">
        <f>IF(AND($B12=[1]adriano!$A9,[1]adriano!$B9=P$4),"ok","nok")</f>
        <v>nok</v>
      </c>
      <c r="Q12" s="85" t="str">
        <f>IF(AND($B12=[1]adriano!$A9,[1]adriano!$B9=Q$4),"ok","nok")</f>
        <v>nok</v>
      </c>
      <c r="R12" s="85" t="str">
        <f>IF(AND($B12=[1]adriano!$A9,[1]adriano!$B9=R$4),"ok","nok")</f>
        <v>nok</v>
      </c>
      <c r="S12" s="85" t="str">
        <f>IF(AND($B12=[1]adriano!$A9,[1]adriano!$B9=S$4),"ok","nok")</f>
        <v>nok</v>
      </c>
      <c r="T12" s="85" t="str">
        <f>IF(AND($B12=[1]adriano!$A9,[1]adriano!$B9=T$4),"ok","nok")</f>
        <v>nok</v>
      </c>
      <c r="U12" s="85" t="str">
        <f>IF(AND($B12=[1]adriano!$A9,[1]adriano!$B9=U$4),"ok","nok")</f>
        <v>nok</v>
      </c>
      <c r="V12" s="85" t="str">
        <f>IF(AND($B12=[1]adriano!$A9,[1]adriano!$B9=V$4),"ok","nok")</f>
        <v>nok</v>
      </c>
      <c r="W12" s="85" t="str">
        <f>IF(AND($B12=[1]adriano!$A9,[1]adriano!$B9=W$4),"ok","nok")</f>
        <v>nok</v>
      </c>
      <c r="X12" s="85" t="str">
        <f>IF(AND($B12=[1]adriano!$A9,[1]adriano!$B9=X$4),"ok","nok")</f>
        <v>nok</v>
      </c>
      <c r="Y12" s="97" t="s">
        <v>36</v>
      </c>
      <c r="Z12" s="98"/>
      <c r="AA12" s="98"/>
      <c r="AB12" s="99"/>
      <c r="AC12" s="40"/>
      <c r="AD12" s="40"/>
      <c r="AE12" s="48" t="str">
        <f t="shared" si="4"/>
        <v/>
      </c>
      <c r="AF12" s="48"/>
      <c r="AG12" s="48"/>
      <c r="AH12" s="67"/>
      <c r="AI12" s="49">
        <f t="shared" si="5"/>
        <v>0</v>
      </c>
      <c r="AJ12" s="49" t="str">
        <f t="shared" si="6"/>
        <v/>
      </c>
      <c r="AK12" s="49">
        <f t="shared" si="7"/>
        <v>0</v>
      </c>
      <c r="AL12" s="49" t="str">
        <f t="shared" si="8"/>
        <v/>
      </c>
      <c r="AM12" s="49">
        <f t="shared" si="9"/>
        <v>1</v>
      </c>
      <c r="AN12" s="49" t="str">
        <f t="shared" si="10"/>
        <v>EFPRAZO</v>
      </c>
      <c r="AO12" s="49">
        <f t="shared" si="11"/>
        <v>0</v>
      </c>
      <c r="AP12" s="49" t="str">
        <f t="shared" si="12"/>
        <v/>
      </c>
      <c r="AQ12" s="49">
        <f t="shared" si="13"/>
        <v>0</v>
      </c>
      <c r="AR12" s="49" t="str">
        <f t="shared" si="14"/>
        <v/>
      </c>
      <c r="AS12" s="47"/>
      <c r="AT12" s="47"/>
      <c r="AU12" s="47"/>
      <c r="AV12" s="47"/>
      <c r="AW12" s="47"/>
      <c r="AX12" s="90" t="s">
        <v>2</v>
      </c>
      <c r="AY12" s="90"/>
      <c r="AZ12" s="90"/>
      <c r="BA12" s="50">
        <f>SUM(COUNTIF(AL:AL,"ENTREGUE"))</f>
        <v>2</v>
      </c>
      <c r="BB12" s="47"/>
      <c r="BC12" s="90" t="s">
        <v>2</v>
      </c>
      <c r="BD12" s="90"/>
      <c r="BE12" s="90"/>
      <c r="BF12" s="50">
        <f>SUM(COUNTIF(AN:AN,"ENTREGUE"))</f>
        <v>9</v>
      </c>
      <c r="BG12" s="47"/>
      <c r="BH12" s="90" t="s">
        <v>2</v>
      </c>
      <c r="BI12" s="90"/>
      <c r="BJ12" s="90"/>
      <c r="BK12" s="50">
        <f>SUM(COUNTIF(AP:AP,"ENTREGUE"))</f>
        <v>0</v>
      </c>
      <c r="BL12" s="47"/>
      <c r="BM12" s="90" t="s">
        <v>2</v>
      </c>
      <c r="BN12" s="90"/>
      <c r="BO12" s="90"/>
      <c r="BP12" s="50">
        <f>SUM(COUNTIF(AR:AR,"ENTREGUE"))</f>
        <v>0</v>
      </c>
      <c r="BR12">
        <f>54-32</f>
        <v>22</v>
      </c>
    </row>
    <row r="13" spans="1:70" ht="30" customHeight="1" x14ac:dyDescent="0.35">
      <c r="B13" s="35" t="s">
        <v>82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125"/>
      <c r="Z13" s="126"/>
      <c r="AA13" s="126"/>
      <c r="AB13" s="127"/>
      <c r="AC13" s="46"/>
      <c r="AD13" s="46"/>
      <c r="AE13" s="48" t="str">
        <f t="shared" si="4"/>
        <v/>
      </c>
      <c r="AF13" s="48"/>
      <c r="AG13" s="48"/>
      <c r="AH13" s="67"/>
      <c r="AI13" s="49">
        <f t="shared" si="5"/>
        <v>0</v>
      </c>
      <c r="AJ13" s="49" t="str">
        <f t="shared" si="6"/>
        <v/>
      </c>
      <c r="AK13" s="49">
        <f t="shared" si="7"/>
        <v>0</v>
      </c>
      <c r="AL13" s="49" t="str">
        <f t="shared" si="8"/>
        <v/>
      </c>
      <c r="AM13" s="49">
        <f t="shared" si="9"/>
        <v>0</v>
      </c>
      <c r="AN13" s="49" t="str">
        <f t="shared" si="10"/>
        <v/>
      </c>
      <c r="AO13" s="49">
        <f t="shared" si="11"/>
        <v>0</v>
      </c>
      <c r="AP13" s="49" t="str">
        <f t="shared" si="12"/>
        <v/>
      </c>
      <c r="AQ13" s="49">
        <f t="shared" si="13"/>
        <v>0</v>
      </c>
      <c r="AR13" s="49" t="str">
        <f t="shared" si="14"/>
        <v/>
      </c>
      <c r="AS13" s="47"/>
      <c r="AT13" s="47"/>
      <c r="AU13" s="47"/>
      <c r="AV13" s="47"/>
      <c r="AW13" s="47"/>
      <c r="AX13" s="90" t="s">
        <v>3</v>
      </c>
      <c r="AY13" s="90"/>
      <c r="AZ13" s="90"/>
      <c r="BA13" s="50">
        <f>SUM(COUNTIF(H:L,"OK"))</f>
        <v>6</v>
      </c>
      <c r="BB13" s="47"/>
      <c r="BC13" s="90" t="s">
        <v>3</v>
      </c>
      <c r="BD13" s="90"/>
      <c r="BE13" s="90"/>
      <c r="BF13" s="50">
        <f>SUM(COUNTIF(M:Q,"OK"))</f>
        <v>11</v>
      </c>
      <c r="BG13" s="47"/>
      <c r="BH13" s="90" t="s">
        <v>3</v>
      </c>
      <c r="BI13" s="90"/>
      <c r="BJ13" s="90"/>
      <c r="BK13" s="50">
        <f>SUM(COUNTIF(R:V,"OK"))</f>
        <v>21</v>
      </c>
      <c r="BL13" s="47"/>
      <c r="BM13" s="90" t="s">
        <v>3</v>
      </c>
      <c r="BN13" s="90"/>
      <c r="BO13" s="90"/>
      <c r="BP13" s="50">
        <f>SUM(COUNTIF(W:X,"OK"))</f>
        <v>27</v>
      </c>
    </row>
    <row r="14" spans="1:70" ht="30" customHeight="1" x14ac:dyDescent="0.35">
      <c r="B14" s="37" t="s">
        <v>43</v>
      </c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100"/>
      <c r="Z14" s="101"/>
      <c r="AA14" s="101"/>
      <c r="AB14" s="102"/>
      <c r="AC14" s="40"/>
      <c r="AD14" s="40"/>
      <c r="AE14" s="48" t="str">
        <f t="shared" si="4"/>
        <v/>
      </c>
      <c r="AF14" s="48"/>
      <c r="AG14" s="48"/>
      <c r="AH14" s="67"/>
      <c r="AI14" s="49">
        <f t="shared" si="5"/>
        <v>0</v>
      </c>
      <c r="AJ14" s="49" t="str">
        <f t="shared" si="6"/>
        <v/>
      </c>
      <c r="AK14" s="49">
        <f t="shared" si="7"/>
        <v>0</v>
      </c>
      <c r="AL14" s="49" t="str">
        <f t="shared" si="8"/>
        <v/>
      </c>
      <c r="AM14" s="49">
        <f t="shared" si="9"/>
        <v>0</v>
      </c>
      <c r="AN14" s="49" t="str">
        <f t="shared" si="10"/>
        <v/>
      </c>
      <c r="AO14" s="49">
        <f t="shared" si="11"/>
        <v>0</v>
      </c>
      <c r="AP14" s="49" t="str">
        <f t="shared" si="12"/>
        <v/>
      </c>
      <c r="AQ14" s="49">
        <f t="shared" si="13"/>
        <v>0</v>
      </c>
      <c r="AR14" s="49" t="str">
        <f t="shared" si="14"/>
        <v/>
      </c>
      <c r="AX14" s="90" t="s">
        <v>4</v>
      </c>
      <c r="AY14" s="90"/>
      <c r="AZ14" s="90"/>
      <c r="BA14" s="51">
        <f>IF(BA13=0,0,BA12/BA13)</f>
        <v>0.33333333333333331</v>
      </c>
      <c r="BB14" s="47"/>
      <c r="BC14" s="90" t="s">
        <v>4</v>
      </c>
      <c r="BD14" s="90"/>
      <c r="BE14" s="90"/>
      <c r="BF14" s="51">
        <f>IF(BF13=0,0,BF12/BF13)</f>
        <v>0.81818181818181823</v>
      </c>
      <c r="BG14" s="47"/>
      <c r="BH14" s="90" t="s">
        <v>4</v>
      </c>
      <c r="BI14" s="90"/>
      <c r="BJ14" s="90"/>
      <c r="BK14" s="51">
        <f>IF(BK13=0,0,BK12/BK13)</f>
        <v>0</v>
      </c>
      <c r="BL14" s="47"/>
      <c r="BM14" s="90" t="s">
        <v>4</v>
      </c>
      <c r="BN14" s="90"/>
      <c r="BO14" s="90"/>
      <c r="BP14" s="51">
        <f>IF(BP13=0,0,BP12/BP13)</f>
        <v>0</v>
      </c>
    </row>
    <row r="15" spans="1:70" ht="30" customHeight="1" x14ac:dyDescent="0.35">
      <c r="A15" t="str">
        <f t="shared" ref="A15:A23" si="16">CONCATENATE($B$13,"
",$B$14)</f>
        <v>VOTORANTIM - PRUFTECHINIK
ETAPA DE ESCRITÓRIO</v>
      </c>
      <c r="B15" s="38" t="s">
        <v>48</v>
      </c>
      <c r="C15" s="85" t="str">
        <f>IF(AND($B15=[1]adriano!$A12,[1]adriano!$B12=C$4),"ok","nok")</f>
        <v>nok</v>
      </c>
      <c r="D15" s="85" t="str">
        <f>IF(AND($B15=[1]adriano!$A12,[1]adriano!$B12=D$4),"ok","nok")</f>
        <v>ok</v>
      </c>
      <c r="E15" s="85" t="str">
        <f>IF(AND($B15=[1]adriano!$A12,[1]adriano!$B12=E$4),"ok","nok")</f>
        <v>nok</v>
      </c>
      <c r="F15" s="85" t="str">
        <f>IF(AND($B15=[1]adriano!$A12,[1]adriano!$B12=F$4),"ok","nok")</f>
        <v>nok</v>
      </c>
      <c r="G15" s="85" t="str">
        <f>IF(AND($B15=[1]adriano!$A12,[1]adriano!$B12=G$4),"ok","nok")</f>
        <v>nok</v>
      </c>
      <c r="H15" s="85" t="str">
        <f>IF(AND($B15=[1]adriano!$A12,[1]adriano!$B12=H$4),"ok","nok")</f>
        <v>nok</v>
      </c>
      <c r="I15" s="85" t="str">
        <f>IF(AND($B15=[1]adriano!$A12,[1]adriano!$B12=I$4),"ok","nok")</f>
        <v>nok</v>
      </c>
      <c r="J15" s="85" t="str">
        <f>IF(AND($B15=[1]adriano!$A12,[1]adriano!$B12=J$4),"ok","nok")</f>
        <v>nok</v>
      </c>
      <c r="K15" s="85" t="str">
        <f>IF(AND($B15=[1]adriano!$A12,[1]adriano!$B12=K$4),"ok","nok")</f>
        <v>nok</v>
      </c>
      <c r="L15" s="85" t="str">
        <f>IF(AND($B15=[1]adriano!$A12,[1]adriano!$B12=L$4),"ok","nok")</f>
        <v>nok</v>
      </c>
      <c r="M15" s="85" t="str">
        <f>IF(AND($B15=[1]adriano!$A12,[1]adriano!$B12=M$4),"ok","nok")</f>
        <v>nok</v>
      </c>
      <c r="N15" s="85" t="str">
        <f>IF(AND($B15=[1]adriano!$A12,[1]adriano!$B12=N$4),"ok","nok")</f>
        <v>nok</v>
      </c>
      <c r="O15" s="85" t="str">
        <f>IF(AND($B15=[1]adriano!$A12,[1]adriano!$B12=O$4),"ok","nok")</f>
        <v>nok</v>
      </c>
      <c r="P15" s="85" t="str">
        <f>IF(AND($B15=[1]adriano!$A12,[1]adriano!$B12=P$4),"ok","nok")</f>
        <v>nok</v>
      </c>
      <c r="Q15" s="85" t="str">
        <f>IF(AND($B15=[1]adriano!$A12,[1]adriano!$B12=Q$4),"ok","nok")</f>
        <v>nok</v>
      </c>
      <c r="R15" s="85" t="str">
        <f>IF(AND($B15=[1]adriano!$A12,[1]adriano!$B12=R$4),"ok","nok")</f>
        <v>nok</v>
      </c>
      <c r="S15" s="85" t="str">
        <f>IF(AND($B15=[1]adriano!$A12,[1]adriano!$B12=S$4),"ok","nok")</f>
        <v>nok</v>
      </c>
      <c r="T15" s="85" t="str">
        <f>IF(AND($B15=[1]adriano!$A12,[1]adriano!$B12=T$4),"ok","nok")</f>
        <v>nok</v>
      </c>
      <c r="U15" s="85" t="str">
        <f>IF(AND($B15=[1]adriano!$A12,[1]adriano!$B12=U$4),"ok","nok")</f>
        <v>nok</v>
      </c>
      <c r="V15" s="85" t="str">
        <f>IF(AND($B15=[1]adriano!$A12,[1]adriano!$B12=V$4),"ok","nok")</f>
        <v>nok</v>
      </c>
      <c r="W15" s="85" t="str">
        <f>IF(AND($B15=[1]adriano!$A12,[1]adriano!$B12=W$4),"ok","nok")</f>
        <v>nok</v>
      </c>
      <c r="X15" s="85" t="str">
        <f>IF(AND($B15=[1]adriano!$A12,[1]adriano!$B12=X$4),"ok","nok")</f>
        <v>nok</v>
      </c>
      <c r="Y15" s="97" t="s">
        <v>2</v>
      </c>
      <c r="Z15" s="98"/>
      <c r="AA15" s="98"/>
      <c r="AB15" s="99"/>
      <c r="AC15" s="40"/>
      <c r="AD15" s="40"/>
      <c r="AE15" s="48" t="str">
        <f t="shared" si="4"/>
        <v/>
      </c>
      <c r="AF15" s="48"/>
      <c r="AG15" s="48"/>
      <c r="AH15" s="67"/>
      <c r="AI15" s="49">
        <f t="shared" si="5"/>
        <v>1</v>
      </c>
      <c r="AJ15" s="49" t="str">
        <f t="shared" si="6"/>
        <v>ENTREGUE</v>
      </c>
      <c r="AK15" s="49">
        <f t="shared" si="7"/>
        <v>0</v>
      </c>
      <c r="AL15" s="49" t="str">
        <f t="shared" si="8"/>
        <v/>
      </c>
      <c r="AM15" s="49">
        <f t="shared" si="9"/>
        <v>0</v>
      </c>
      <c r="AN15" s="49" t="str">
        <f t="shared" si="10"/>
        <v/>
      </c>
      <c r="AO15" s="49">
        <f t="shared" si="11"/>
        <v>0</v>
      </c>
      <c r="AP15" s="49" t="str">
        <f t="shared" si="12"/>
        <v/>
      </c>
      <c r="AQ15" s="49">
        <f t="shared" si="13"/>
        <v>0</v>
      </c>
      <c r="AR15" s="49" t="str">
        <f t="shared" si="14"/>
        <v/>
      </c>
    </row>
    <row r="16" spans="1:70" ht="30" customHeight="1" x14ac:dyDescent="0.35">
      <c r="A16" t="str">
        <f t="shared" si="16"/>
        <v>VOTORANTIM - PRUFTECHINIK
ETAPA DE ESCRITÓRIO</v>
      </c>
      <c r="B16" s="38" t="s">
        <v>83</v>
      </c>
      <c r="C16" s="85" t="str">
        <f>IF(AND($B16=[1]adriano!$A13,[1]adriano!$B13=C$4),"ok","nok")</f>
        <v>nok</v>
      </c>
      <c r="D16" s="85" t="str">
        <f>IF(AND($B16=[1]adriano!$A13,[1]adriano!$B13=D$4),"ok","nok")</f>
        <v>nok</v>
      </c>
      <c r="E16" s="85" t="str">
        <f>IF(AND($B16=[1]adriano!$A13,[1]adriano!$B13=E$4),"ok","nok")</f>
        <v>nok</v>
      </c>
      <c r="F16" s="85" t="str">
        <f>IF(AND($B16=[1]adriano!$A13,[1]adriano!$B13=F$4),"ok","nok")</f>
        <v>ok</v>
      </c>
      <c r="G16" s="85" t="str">
        <f>IF(AND($B16=[1]adriano!$A13,[1]adriano!$B13=G$4),"ok","nok")</f>
        <v>nok</v>
      </c>
      <c r="H16" s="85" t="str">
        <f>IF(AND($B16=[1]adriano!$A13,[1]adriano!$B13=H$4),"ok","nok")</f>
        <v>nok</v>
      </c>
      <c r="I16" s="85" t="str">
        <f>IF(AND($B16=[1]adriano!$A13,[1]adriano!$B13=I$4),"ok","nok")</f>
        <v>nok</v>
      </c>
      <c r="J16" s="85" t="str">
        <f>IF(AND($B16=[1]adriano!$A13,[1]adriano!$B13=J$4),"ok","nok")</f>
        <v>nok</v>
      </c>
      <c r="K16" s="85" t="str">
        <f>IF(AND($B16=[1]adriano!$A13,[1]adriano!$B13=K$4),"ok","nok")</f>
        <v>nok</v>
      </c>
      <c r="L16" s="85" t="str">
        <f>IF(AND($B16=[1]adriano!$A13,[1]adriano!$B13=L$4),"ok","nok")</f>
        <v>nok</v>
      </c>
      <c r="M16" s="85" t="str">
        <f>IF(AND($B16=[1]adriano!$A13,[1]adriano!$B13=M$4),"ok","nok")</f>
        <v>nok</v>
      </c>
      <c r="N16" s="85" t="str">
        <f>IF(AND($B16=[1]adriano!$A13,[1]adriano!$B13=N$4),"ok","nok")</f>
        <v>nok</v>
      </c>
      <c r="O16" s="85" t="str">
        <f>IF(AND($B16=[1]adriano!$A13,[1]adriano!$B13=O$4),"ok","nok")</f>
        <v>nok</v>
      </c>
      <c r="P16" s="85" t="str">
        <f>IF(AND($B16=[1]adriano!$A13,[1]adriano!$B13=P$4),"ok","nok")</f>
        <v>nok</v>
      </c>
      <c r="Q16" s="85" t="str">
        <f>IF(AND($B16=[1]adriano!$A13,[1]adriano!$B13=Q$4),"ok","nok")</f>
        <v>nok</v>
      </c>
      <c r="R16" s="85" t="str">
        <f>IF(AND($B16=[1]adriano!$A13,[1]adriano!$B13=R$4),"ok","nok")</f>
        <v>nok</v>
      </c>
      <c r="S16" s="85" t="str">
        <f>IF(AND($B16=[1]adriano!$A13,[1]adriano!$B13=S$4),"ok","nok")</f>
        <v>nok</v>
      </c>
      <c r="T16" s="85" t="str">
        <f>IF(AND($B16=[1]adriano!$A13,[1]adriano!$B13=T$4),"ok","nok")</f>
        <v>nok</v>
      </c>
      <c r="U16" s="85" t="str">
        <f>IF(AND($B16=[1]adriano!$A13,[1]adriano!$B13=U$4),"ok","nok")</f>
        <v>nok</v>
      </c>
      <c r="V16" s="85" t="str">
        <f>IF(AND($B16=[1]adriano!$A13,[1]adriano!$B13=V$4),"ok","nok")</f>
        <v>nok</v>
      </c>
      <c r="W16" s="85" t="str">
        <f>IF(AND($B16=[1]adriano!$A13,[1]adriano!$B13=W$4),"ok","nok")</f>
        <v>nok</v>
      </c>
      <c r="X16" s="85" t="str">
        <f>IF(AND($B16=[1]adriano!$A13,[1]adriano!$B13=X$4),"ok","nok")</f>
        <v>nok</v>
      </c>
      <c r="Y16" s="97" t="s">
        <v>2</v>
      </c>
      <c r="Z16" s="98"/>
      <c r="AA16" s="98"/>
      <c r="AB16" s="99"/>
      <c r="AC16" s="37"/>
      <c r="AD16" s="37"/>
      <c r="AE16" s="48" t="str">
        <f t="shared" si="4"/>
        <v/>
      </c>
      <c r="AF16" s="48"/>
      <c r="AG16" s="48"/>
      <c r="AH16" s="67"/>
      <c r="AI16" s="49">
        <f t="shared" si="5"/>
        <v>1</v>
      </c>
      <c r="AJ16" s="49" t="str">
        <f t="shared" si="6"/>
        <v>ENTREGUE</v>
      </c>
      <c r="AK16" s="49">
        <f t="shared" si="7"/>
        <v>0</v>
      </c>
      <c r="AL16" s="49" t="str">
        <f t="shared" si="8"/>
        <v/>
      </c>
      <c r="AM16" s="49">
        <f t="shared" si="9"/>
        <v>0</v>
      </c>
      <c r="AN16" s="49" t="str">
        <f t="shared" si="10"/>
        <v/>
      </c>
      <c r="AO16" s="49">
        <f t="shared" si="11"/>
        <v>0</v>
      </c>
      <c r="AP16" s="49" t="str">
        <f t="shared" si="12"/>
        <v/>
      </c>
      <c r="AQ16" s="49">
        <f t="shared" si="13"/>
        <v>0</v>
      </c>
      <c r="AR16" s="49" t="str">
        <f t="shared" si="14"/>
        <v/>
      </c>
      <c r="BI16" s="50">
        <f>SUM(COUNTIF(Y:AB,"VAZIO"))</f>
        <v>21</v>
      </c>
      <c r="BJ16" s="94" t="s">
        <v>15</v>
      </c>
      <c r="BK16" s="95"/>
      <c r="BL16" s="96"/>
      <c r="BM16" s="59">
        <f>BI16/BI20</f>
        <v>0.29166666666666669</v>
      </c>
    </row>
    <row r="17" spans="1:65" ht="30" customHeight="1" x14ac:dyDescent="0.35">
      <c r="A17" t="str">
        <f>CONCATENATE($B$13,"
",$B$14)</f>
        <v>VOTORANTIM - PRUFTECHINIK
ETAPA DE ESCRITÓRIO</v>
      </c>
      <c r="B17" s="38" t="s">
        <v>84</v>
      </c>
      <c r="C17" s="85" t="str">
        <f>IF(AND($B17=[1]adriano!$A14,[1]adriano!$B14=C$4),"ok","nok")</f>
        <v>nok</v>
      </c>
      <c r="D17" s="85" t="str">
        <f>IF(AND($B17=[1]adriano!$A14,[1]adriano!$B14=D$4),"ok","nok")</f>
        <v>nok</v>
      </c>
      <c r="E17" s="85" t="str">
        <f>IF(AND($B17=[1]adriano!$A14,[1]adriano!$B14=E$4),"ok","nok")</f>
        <v>nok</v>
      </c>
      <c r="F17" s="85" t="str">
        <f>IF(AND($B17=[1]adriano!$A14,[1]adriano!$B14=F$4),"ok","nok")</f>
        <v>nok</v>
      </c>
      <c r="G17" s="85" t="str">
        <f>IF(AND($B17=[1]adriano!$A14,[1]adriano!$B14=G$4),"ok","nok")</f>
        <v>nok</v>
      </c>
      <c r="H17" s="85" t="str">
        <f>IF(AND($B17=[1]adriano!$A14,[1]adriano!$B14=H$4),"ok","nok")</f>
        <v>nok</v>
      </c>
      <c r="I17" s="85" t="str">
        <f>IF(AND($B17=[1]adriano!$A14,[1]adriano!$B14=I$4),"ok","nok")</f>
        <v>ok</v>
      </c>
      <c r="J17" s="85" t="str">
        <f>IF(AND($B17=[1]adriano!$A14,[1]adriano!$B14=J$4),"ok","nok")</f>
        <v>nok</v>
      </c>
      <c r="K17" s="85" t="str">
        <f>IF(AND($B17=[1]adriano!$A14,[1]adriano!$B14=K$4),"ok","nok")</f>
        <v>nok</v>
      </c>
      <c r="L17" s="85" t="str">
        <f>IF(AND($B17=[1]adriano!$A14,[1]adriano!$B14=L$4),"ok","nok")</f>
        <v>nok</v>
      </c>
      <c r="M17" s="85" t="str">
        <f>IF(AND($B17=[1]adriano!$A14,[1]adriano!$B14=M$4),"ok","nok")</f>
        <v>nok</v>
      </c>
      <c r="N17" s="85" t="str">
        <f>IF(AND($B17=[1]adriano!$A14,[1]adriano!$B14=N$4),"ok","nok")</f>
        <v>nok</v>
      </c>
      <c r="O17" s="85" t="str">
        <f>IF(AND($B17=[1]adriano!$A14,[1]adriano!$B14=O$4),"ok","nok")</f>
        <v>nok</v>
      </c>
      <c r="P17" s="85" t="str">
        <f>IF(AND($B17=[1]adriano!$A14,[1]adriano!$B14=P$4),"ok","nok")</f>
        <v>nok</v>
      </c>
      <c r="Q17" s="85" t="str">
        <f>IF(AND($B17=[1]adriano!$A14,[1]adriano!$B14=Q$4),"ok","nok")</f>
        <v>nok</v>
      </c>
      <c r="R17" s="85" t="str">
        <f>IF(AND($B17=[1]adriano!$A14,[1]adriano!$B14=R$4),"ok","nok")</f>
        <v>nok</v>
      </c>
      <c r="S17" s="85" t="str">
        <f>IF(AND($B17=[1]adriano!$A14,[1]adriano!$B14=S$4),"ok","nok")</f>
        <v>nok</v>
      </c>
      <c r="T17" s="85" t="str">
        <f>IF(AND($B17=[1]adriano!$A14,[1]adriano!$B14=T$4),"ok","nok")</f>
        <v>nok</v>
      </c>
      <c r="U17" s="85" t="str">
        <f>IF(AND($B17=[1]adriano!$A14,[1]adriano!$B14=U$4),"ok","nok")</f>
        <v>nok</v>
      </c>
      <c r="V17" s="85" t="str">
        <f>IF(AND($B17=[1]adriano!$A14,[1]adriano!$B14=V$4),"ok","nok")</f>
        <v>nok</v>
      </c>
      <c r="W17" s="85" t="str">
        <f>IF(AND($B17=[1]adriano!$A14,[1]adriano!$B14=W$4),"ok","nok")</f>
        <v>nok</v>
      </c>
      <c r="X17" s="85" t="str">
        <f>IF(AND($B17=[1]adriano!$A14,[1]adriano!$B14=X$4),"ok","nok")</f>
        <v>nok</v>
      </c>
      <c r="Y17" s="97" t="s">
        <v>36</v>
      </c>
      <c r="Z17" s="98"/>
      <c r="AA17" s="98"/>
      <c r="AB17" s="99"/>
      <c r="AC17" s="46"/>
      <c r="AD17" s="46"/>
      <c r="AE17" s="48" t="str">
        <f t="shared" si="4"/>
        <v/>
      </c>
      <c r="AF17" s="48"/>
      <c r="AG17" s="48"/>
      <c r="AH17" s="67"/>
      <c r="AI17" s="49">
        <f t="shared" si="5"/>
        <v>0</v>
      </c>
      <c r="AJ17" s="49" t="str">
        <f t="shared" si="6"/>
        <v/>
      </c>
      <c r="AK17" s="49">
        <f t="shared" si="7"/>
        <v>1</v>
      </c>
      <c r="AL17" s="49" t="str">
        <f t="shared" si="8"/>
        <v>EFPRAZO</v>
      </c>
      <c r="AM17" s="49">
        <f t="shared" si="9"/>
        <v>0</v>
      </c>
      <c r="AN17" s="49" t="str">
        <f t="shared" si="10"/>
        <v/>
      </c>
      <c r="AO17" s="49">
        <f t="shared" si="11"/>
        <v>0</v>
      </c>
      <c r="AP17" s="49" t="str">
        <f t="shared" si="12"/>
        <v/>
      </c>
      <c r="AQ17" s="49">
        <f t="shared" si="13"/>
        <v>0</v>
      </c>
      <c r="AR17" s="49" t="str">
        <f t="shared" si="14"/>
        <v/>
      </c>
      <c r="AV17" s="89" t="s">
        <v>28</v>
      </c>
      <c r="AW17" s="89"/>
      <c r="AX17" s="89"/>
      <c r="AY17" s="89"/>
      <c r="BD17">
        <f>54-38</f>
        <v>16</v>
      </c>
      <c r="BI17" s="50">
        <f>SUM(BI23:BI24)</f>
        <v>23</v>
      </c>
      <c r="BJ17" s="94" t="s">
        <v>33</v>
      </c>
      <c r="BK17" s="95"/>
      <c r="BL17" s="96"/>
      <c r="BM17" s="59">
        <f>BI17/BI20</f>
        <v>0.31944444444444442</v>
      </c>
    </row>
    <row r="18" spans="1:65" ht="30" customHeight="1" x14ac:dyDescent="0.35">
      <c r="A18" t="str">
        <f t="shared" si="16"/>
        <v>VOTORANTIM - PRUFTECHINIK
ETAPA DE ESCRITÓRIO</v>
      </c>
      <c r="B18" s="38" t="s">
        <v>85</v>
      </c>
      <c r="C18" s="85" t="str">
        <f>IF(AND($B18=[1]adriano!$A15,[1]adriano!$B15=C$4),"ok","nok")</f>
        <v>nok</v>
      </c>
      <c r="D18" s="85" t="str">
        <f>IF(AND($B18=[1]adriano!$A15,[1]adriano!$B15=D$4),"ok","nok")</f>
        <v>nok</v>
      </c>
      <c r="E18" s="85" t="str">
        <f>IF(AND($B18=[1]adriano!$A15,[1]adriano!$B15=E$4),"ok","nok")</f>
        <v>nok</v>
      </c>
      <c r="F18" s="85" t="str">
        <f>IF(AND($B18=[1]adriano!$A15,[1]adriano!$B15=F$4),"ok","nok")</f>
        <v>nok</v>
      </c>
      <c r="G18" s="85" t="str">
        <f>IF(AND($B18=[1]adriano!$A15,[1]adriano!$B15=G$4),"ok","nok")</f>
        <v>nok</v>
      </c>
      <c r="H18" s="85" t="str">
        <f>IF(AND($B18=[1]adriano!$A15,[1]adriano!$B15=H$4),"ok","nok")</f>
        <v>nok</v>
      </c>
      <c r="I18" s="85" t="str">
        <f>IF(AND($B18=[1]adriano!$A15,[1]adriano!$B15=I$4),"ok","nok")</f>
        <v>nok</v>
      </c>
      <c r="J18" s="85" t="str">
        <f>IF(AND($B18=[1]adriano!$A15,[1]adriano!$B15=J$4),"ok","nok")</f>
        <v>ok</v>
      </c>
      <c r="K18" s="85" t="str">
        <f>IF(AND($B18=[1]adriano!$A15,[1]adriano!$B15=K$4),"ok","nok")</f>
        <v>nok</v>
      </c>
      <c r="L18" s="85" t="str">
        <f>IF(AND($B18=[1]adriano!$A15,[1]adriano!$B15=L$4),"ok","nok")</f>
        <v>nok</v>
      </c>
      <c r="M18" s="85" t="str">
        <f>IF(AND($B18=[1]adriano!$A15,[1]adriano!$B15=M$4),"ok","nok")</f>
        <v>nok</v>
      </c>
      <c r="N18" s="85" t="str">
        <f>IF(AND($B18=[1]adriano!$A15,[1]adriano!$B15=N$4),"ok","nok")</f>
        <v>nok</v>
      </c>
      <c r="O18" s="85" t="str">
        <f>IF(AND($B18=[1]adriano!$A15,[1]adriano!$B15=O$4),"ok","nok")</f>
        <v>nok</v>
      </c>
      <c r="P18" s="85" t="str">
        <f>IF(AND($B18=[1]adriano!$A15,[1]adriano!$B15=P$4),"ok","nok")</f>
        <v>nok</v>
      </c>
      <c r="Q18" s="85" t="str">
        <f>IF(AND($B18=[1]adriano!$A15,[1]adriano!$B15=Q$4),"ok","nok")</f>
        <v>nok</v>
      </c>
      <c r="R18" s="85" t="str">
        <f>IF(AND($B18=[1]adriano!$A15,[1]adriano!$B15=R$4),"ok","nok")</f>
        <v>nok</v>
      </c>
      <c r="S18" s="85" t="str">
        <f>IF(AND($B18=[1]adriano!$A15,[1]adriano!$B15=S$4),"ok","nok")</f>
        <v>nok</v>
      </c>
      <c r="T18" s="85" t="str">
        <f>IF(AND($B18=[1]adriano!$A15,[1]adriano!$B15=T$4),"ok","nok")</f>
        <v>nok</v>
      </c>
      <c r="U18" s="85" t="str">
        <f>IF(AND($B18=[1]adriano!$A15,[1]adriano!$B15=U$4),"ok","nok")</f>
        <v>nok</v>
      </c>
      <c r="V18" s="85" t="str">
        <f>IF(AND($B18=[1]adriano!$A15,[1]adriano!$B15=V$4),"ok","nok")</f>
        <v>nok</v>
      </c>
      <c r="W18" s="85" t="str">
        <f>IF(AND($B18=[1]adriano!$A15,[1]adriano!$B15=W$4),"ok","nok")</f>
        <v>nok</v>
      </c>
      <c r="X18" s="85" t="str">
        <f>IF(AND($B18=[1]adriano!$A15,[1]adriano!$B15=X$4),"ok","nok")</f>
        <v>nok</v>
      </c>
      <c r="Y18" s="97" t="s">
        <v>36</v>
      </c>
      <c r="Z18" s="98"/>
      <c r="AA18" s="98"/>
      <c r="AB18" s="99"/>
      <c r="AC18" s="40"/>
      <c r="AD18" s="40"/>
      <c r="AE18" s="48" t="str">
        <f t="shared" si="4"/>
        <v/>
      </c>
      <c r="AF18" s="48"/>
      <c r="AG18" s="48"/>
      <c r="AH18" s="67"/>
      <c r="AI18" s="49">
        <f t="shared" si="5"/>
        <v>0</v>
      </c>
      <c r="AJ18" s="49" t="str">
        <f t="shared" si="6"/>
        <v/>
      </c>
      <c r="AK18" s="49">
        <f t="shared" si="7"/>
        <v>1</v>
      </c>
      <c r="AL18" s="49" t="str">
        <f t="shared" si="8"/>
        <v>EFPRAZO</v>
      </c>
      <c r="AM18" s="49">
        <f t="shared" si="9"/>
        <v>0</v>
      </c>
      <c r="AN18" s="49" t="str">
        <f t="shared" si="10"/>
        <v/>
      </c>
      <c r="AO18" s="49">
        <f t="shared" si="11"/>
        <v>0</v>
      </c>
      <c r="AP18" s="49" t="str">
        <f t="shared" si="12"/>
        <v/>
      </c>
      <c r="AQ18" s="49">
        <f t="shared" si="13"/>
        <v>0</v>
      </c>
      <c r="AR18" s="49" t="str">
        <f t="shared" si="14"/>
        <v/>
      </c>
      <c r="AV18" s="91" t="s">
        <v>28</v>
      </c>
      <c r="AW18" s="92"/>
      <c r="AX18" s="93"/>
      <c r="AY18" s="50">
        <v>11</v>
      </c>
      <c r="AZ18" s="53">
        <f>AY18/$BP$8</f>
        <v>0.15277777777777779</v>
      </c>
      <c r="BA18" s="53">
        <f>SUM(BA19:BA27)</f>
        <v>0.15277777777777779</v>
      </c>
      <c r="BI18" s="50">
        <f>SUM(COUNTIF(Y:AB,"ATRASADO"))</f>
        <v>19</v>
      </c>
      <c r="BJ18" s="94" t="s">
        <v>34</v>
      </c>
      <c r="BK18" s="95"/>
      <c r="BL18" s="96"/>
      <c r="BM18" s="59">
        <f>BI18/BI20</f>
        <v>0.2638888888888889</v>
      </c>
    </row>
    <row r="19" spans="1:65" ht="30" customHeight="1" x14ac:dyDescent="0.35">
      <c r="B19" s="39" t="s">
        <v>44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115"/>
      <c r="Z19" s="116"/>
      <c r="AA19" s="116"/>
      <c r="AB19" s="117"/>
      <c r="AC19" s="40"/>
      <c r="AD19" s="40"/>
      <c r="AE19" s="48" t="str">
        <f t="shared" si="4"/>
        <v/>
      </c>
      <c r="AF19" s="48"/>
      <c r="AG19" s="48"/>
      <c r="AH19" s="67"/>
      <c r="AI19" s="49">
        <f t="shared" si="5"/>
        <v>0</v>
      </c>
      <c r="AJ19" s="49" t="str">
        <f t="shared" si="6"/>
        <v/>
      </c>
      <c r="AK19" s="49">
        <f t="shared" si="7"/>
        <v>0</v>
      </c>
      <c r="AL19" s="49" t="str">
        <f t="shared" si="8"/>
        <v/>
      </c>
      <c r="AM19" s="49">
        <f t="shared" si="9"/>
        <v>0</v>
      </c>
      <c r="AN19" s="49" t="str">
        <f t="shared" si="10"/>
        <v/>
      </c>
      <c r="AO19" s="49">
        <f t="shared" si="11"/>
        <v>0</v>
      </c>
      <c r="AP19" s="49" t="str">
        <f t="shared" si="12"/>
        <v/>
      </c>
      <c r="AQ19" s="49">
        <f t="shared" si="13"/>
        <v>0</v>
      </c>
      <c r="AR19" s="49" t="str">
        <f t="shared" si="14"/>
        <v/>
      </c>
      <c r="AV19" s="91" t="s">
        <v>77</v>
      </c>
      <c r="AW19" s="92"/>
      <c r="AX19" s="93"/>
      <c r="AY19" s="50">
        <v>4</v>
      </c>
      <c r="AZ19" s="53">
        <f>AY19/$AY$18</f>
        <v>0.36363636363636365</v>
      </c>
      <c r="BA19" s="53">
        <f>(($AZ$18*AY19)/$AY$18)</f>
        <v>5.5555555555555559E-2</v>
      </c>
      <c r="BI19" s="50">
        <f>SUM(COUNTIF(Y:AB,"RISCO"))</f>
        <v>9</v>
      </c>
      <c r="BJ19" s="94" t="s">
        <v>35</v>
      </c>
      <c r="BK19" s="95"/>
      <c r="BL19" s="96"/>
      <c r="BM19" s="59">
        <f>BI19/BI20</f>
        <v>0.125</v>
      </c>
    </row>
    <row r="20" spans="1:65" ht="30" customHeight="1" x14ac:dyDescent="0.35">
      <c r="A20" t="str">
        <f t="shared" si="16"/>
        <v>VOTORANTIM - PRUFTECHINIK
ETAPA DE ESCRITÓRIO</v>
      </c>
      <c r="B20" s="40" t="s">
        <v>20</v>
      </c>
      <c r="C20" s="85" t="str">
        <f>IF(AND($B20=[1]adriano!$A17,[1]adriano!$B17=C$4),"ok","nok")</f>
        <v>nok</v>
      </c>
      <c r="D20" s="85" t="str">
        <f>IF(AND($B20=[1]adriano!$A17,[1]adriano!$B17=D$4),"ok","nok")</f>
        <v>nok</v>
      </c>
      <c r="E20" s="85" t="str">
        <f>IF(AND($B20=[1]adriano!$A17,[1]adriano!$B17=E$4),"ok","nok")</f>
        <v>nok</v>
      </c>
      <c r="F20" s="85" t="str">
        <f>IF(AND($B20=[1]adriano!$A17,[1]adriano!$B17=F$4),"ok","nok")</f>
        <v>nok</v>
      </c>
      <c r="G20" s="85" t="str">
        <f>IF(AND($B20=[1]adriano!$A17,[1]adriano!$B17=G$4),"ok","nok")</f>
        <v>nok</v>
      </c>
      <c r="H20" s="85" t="str">
        <f>IF(AND($B20=[1]adriano!$A17,[1]adriano!$B17=H$4),"ok","nok")</f>
        <v>nok</v>
      </c>
      <c r="I20" s="85" t="str">
        <f>IF(AND($B20=[1]adriano!$A17,[1]adriano!$B17=I$4),"ok","nok")</f>
        <v>nok</v>
      </c>
      <c r="J20" s="85" t="str">
        <f>IF(AND($B20=[1]adriano!$A17,[1]adriano!$B17=J$4),"ok","nok")</f>
        <v>ok</v>
      </c>
      <c r="K20" s="85" t="str">
        <f>IF(AND($B20=[1]adriano!$A17,[1]adriano!$B17=K$4),"ok","nok")</f>
        <v>nok</v>
      </c>
      <c r="L20" s="85" t="str">
        <f>IF(AND($B20=[1]adriano!$A17,[1]adriano!$B17=L$4),"ok","nok")</f>
        <v>nok</v>
      </c>
      <c r="M20" s="85" t="str">
        <f>IF(AND($B20=[1]adriano!$A17,[1]adriano!$B17=M$4),"ok","nok")</f>
        <v>nok</v>
      </c>
      <c r="N20" s="85" t="str">
        <f>IF(AND($B20=[1]adriano!$A17,[1]adriano!$B17=N$4),"ok","nok")</f>
        <v>nok</v>
      </c>
      <c r="O20" s="85" t="str">
        <f>IF(AND($B20=[1]adriano!$A17,[1]adriano!$B17=O$4),"ok","nok")</f>
        <v>nok</v>
      </c>
      <c r="P20" s="85" t="str">
        <f>IF(AND($B20=[1]adriano!$A17,[1]adriano!$B17=P$4),"ok","nok")</f>
        <v>nok</v>
      </c>
      <c r="Q20" s="85" t="str">
        <f>IF(AND($B20=[1]adriano!$A17,[1]adriano!$B17=Q$4),"ok","nok")</f>
        <v>nok</v>
      </c>
      <c r="R20" s="85" t="str">
        <f>IF(AND($B20=[1]adriano!$A17,[1]adriano!$B17=R$4),"ok","nok")</f>
        <v>nok</v>
      </c>
      <c r="S20" s="85" t="str">
        <f>IF(AND($B20=[1]adriano!$A17,[1]adriano!$B17=S$4),"ok","nok")</f>
        <v>nok</v>
      </c>
      <c r="T20" s="85" t="str">
        <f>IF(AND($B20=[1]adriano!$A17,[1]adriano!$B17=T$4),"ok","nok")</f>
        <v>nok</v>
      </c>
      <c r="U20" s="85" t="str">
        <f>IF(AND($B20=[1]adriano!$A17,[1]adriano!$B17=U$4),"ok","nok")</f>
        <v>nok</v>
      </c>
      <c r="V20" s="85" t="str">
        <f>IF(AND($B20=[1]adriano!$A17,[1]adriano!$B17=V$4),"ok","nok")</f>
        <v>nok</v>
      </c>
      <c r="W20" s="85" t="str">
        <f>IF(AND($B20=[1]adriano!$A17,[1]adriano!$B17=W$4),"ok","nok")</f>
        <v>nok</v>
      </c>
      <c r="X20" s="85" t="str">
        <f>IF(AND($B20=[1]adriano!$A17,[1]adriano!$B17=X$4),"ok","nok")</f>
        <v>nok</v>
      </c>
      <c r="Y20" s="97" t="s">
        <v>36</v>
      </c>
      <c r="Z20" s="98"/>
      <c r="AA20" s="98"/>
      <c r="AB20" s="99"/>
      <c r="AC20" s="40"/>
      <c r="AD20" s="40"/>
      <c r="AE20" s="48" t="str">
        <f t="shared" si="4"/>
        <v/>
      </c>
      <c r="AF20" s="48"/>
      <c r="AG20" s="48"/>
      <c r="AH20" s="67"/>
      <c r="AI20" s="49">
        <f t="shared" si="5"/>
        <v>0</v>
      </c>
      <c r="AJ20" s="49" t="str">
        <f t="shared" si="6"/>
        <v/>
      </c>
      <c r="AK20" s="49">
        <f t="shared" si="7"/>
        <v>1</v>
      </c>
      <c r="AL20" s="49" t="str">
        <f t="shared" si="8"/>
        <v>EFPRAZO</v>
      </c>
      <c r="AM20" s="49">
        <f t="shared" si="9"/>
        <v>0</v>
      </c>
      <c r="AN20" s="49" t="str">
        <f t="shared" si="10"/>
        <v/>
      </c>
      <c r="AO20" s="49">
        <f t="shared" si="11"/>
        <v>0</v>
      </c>
      <c r="AP20" s="49" t="str">
        <f t="shared" si="12"/>
        <v/>
      </c>
      <c r="AQ20" s="49">
        <f t="shared" si="13"/>
        <v>0</v>
      </c>
      <c r="AR20" s="49" t="str">
        <f t="shared" si="14"/>
        <v/>
      </c>
      <c r="AV20" s="91" t="s">
        <v>37</v>
      </c>
      <c r="AW20" s="92"/>
      <c r="AX20" s="93"/>
      <c r="AY20" s="50">
        <v>7</v>
      </c>
      <c r="AZ20" s="53">
        <f>AY20/$AY$18</f>
        <v>0.63636363636363635</v>
      </c>
      <c r="BA20" s="53">
        <f>(($AZ$18*AY20)/$AY$18)</f>
        <v>9.7222222222222238E-2</v>
      </c>
      <c r="BI20" s="60">
        <f>SUM(BI16:BI19)</f>
        <v>72</v>
      </c>
      <c r="BJ20" s="94" t="s">
        <v>3</v>
      </c>
      <c r="BK20" s="95"/>
      <c r="BL20" s="96"/>
      <c r="BM20" s="61">
        <f>SUM(BM16:BM19)</f>
        <v>1</v>
      </c>
    </row>
    <row r="21" spans="1:65" ht="30" customHeight="1" x14ac:dyDescent="0.35">
      <c r="A21" t="str">
        <f t="shared" si="16"/>
        <v>VOTORANTIM - PRUFTECHINIK
ETAPA DE ESCRITÓRIO</v>
      </c>
      <c r="B21" s="40" t="s">
        <v>19</v>
      </c>
      <c r="C21" s="85" t="str">
        <f>IF(AND($B21=[1]adriano!$A18,[1]adriano!$B18=C$4),"ok","nok")</f>
        <v>nok</v>
      </c>
      <c r="D21" s="85" t="str">
        <f>IF(AND($B21=[1]adriano!$A18,[1]adriano!$B18=D$4),"ok","nok")</f>
        <v>nok</v>
      </c>
      <c r="E21" s="85" t="str">
        <f>IF(AND($B21=[1]adriano!$A18,[1]adriano!$B18=E$4),"ok","nok")</f>
        <v>nok</v>
      </c>
      <c r="F21" s="85" t="str">
        <f>IF(AND($B21=[1]adriano!$A18,[1]adriano!$B18=F$4),"ok","nok")</f>
        <v>nok</v>
      </c>
      <c r="G21" s="85" t="str">
        <f>IF(AND($B21=[1]adriano!$A18,[1]adriano!$B18=G$4),"ok","nok")</f>
        <v>nok</v>
      </c>
      <c r="H21" s="85" t="str">
        <f>IF(AND($B21=[1]adriano!$A18,[1]adriano!$B18=H$4),"ok","nok")</f>
        <v>nok</v>
      </c>
      <c r="I21" s="85" t="str">
        <f>IF(AND($B21=[1]adriano!$A18,[1]adriano!$B18=I$4),"ok","nok")</f>
        <v>nok</v>
      </c>
      <c r="J21" s="85" t="str">
        <f>IF(AND($B21=[1]adriano!$A18,[1]adriano!$B18=J$4),"ok","nok")</f>
        <v>nok</v>
      </c>
      <c r="K21" s="85" t="str">
        <f>IF(AND($B21=[1]adriano!$A18,[1]adriano!$B18=K$4),"ok","nok")</f>
        <v>nok</v>
      </c>
      <c r="L21" s="85" t="str">
        <f>IF(AND($B21=[1]adriano!$A18,[1]adriano!$B18=L$4),"ok","nok")</f>
        <v>nok</v>
      </c>
      <c r="M21" s="85" t="str">
        <f>IF(AND($B21=[1]adriano!$A18,[1]adriano!$B18=M$4),"ok","nok")</f>
        <v>nok</v>
      </c>
      <c r="N21" s="85" t="str">
        <f>IF(AND($B21=[1]adriano!$A18,[1]adriano!$B18=N$4),"ok","nok")</f>
        <v>nok</v>
      </c>
      <c r="O21" s="85" t="str">
        <f>IF(AND($B21=[1]adriano!$A18,[1]adriano!$B18=O$4),"ok","nok")</f>
        <v>nok</v>
      </c>
      <c r="P21" s="85" t="str">
        <f>IF(AND($B21=[1]adriano!$A18,[1]adriano!$B18=P$4),"ok","nok")</f>
        <v>nok</v>
      </c>
      <c r="Q21" s="178"/>
      <c r="R21" s="85" t="str">
        <f>IF(AND($B21=[1]adriano!$A18,[1]adriano!$B18=R$4),"ok","nok")</f>
        <v>nok</v>
      </c>
      <c r="S21" s="85" t="str">
        <f>IF(AND($B21=[1]adriano!$A18,[1]adriano!$B18=S$4),"ok","nok")</f>
        <v>nok</v>
      </c>
      <c r="T21" s="85" t="str">
        <f>IF(AND($B21=[1]adriano!$A18,[1]adriano!$B18=T$4),"ok","nok")</f>
        <v>nok</v>
      </c>
      <c r="U21" s="85" t="str">
        <f>IF(AND($B21=[1]adriano!$A18,[1]adriano!$B18=U$4),"ok","nok")</f>
        <v>nok</v>
      </c>
      <c r="V21" s="85" t="str">
        <f>IF(AND($B21=[1]adriano!$A18,[1]adriano!$B18=V$4),"ok","nok")</f>
        <v>nok</v>
      </c>
      <c r="W21" s="85" t="str">
        <f>IF(AND($B21=[1]adriano!$A18,[1]adriano!$B18=W$4),"ok","nok")</f>
        <v>nok</v>
      </c>
      <c r="X21" s="85" t="str">
        <f>IF(AND($B21=[1]adriano!$A18,[1]adriano!$B18=X$4),"ok","nok")</f>
        <v>ok</v>
      </c>
      <c r="Y21" s="97" t="s">
        <v>15</v>
      </c>
      <c r="Z21" s="98"/>
      <c r="AA21" s="98"/>
      <c r="AB21" s="99"/>
      <c r="AC21" s="46"/>
      <c r="AD21" s="46"/>
      <c r="AE21" s="48" t="str">
        <f t="shared" si="4"/>
        <v/>
      </c>
      <c r="AF21" s="48"/>
      <c r="AG21" s="48"/>
      <c r="AH21" s="67"/>
      <c r="AI21" s="49">
        <f t="shared" si="5"/>
        <v>0</v>
      </c>
      <c r="AJ21" s="49" t="str">
        <f t="shared" si="6"/>
        <v/>
      </c>
      <c r="AK21" s="49">
        <f t="shared" si="7"/>
        <v>0</v>
      </c>
      <c r="AL21" s="49" t="str">
        <f t="shared" si="8"/>
        <v/>
      </c>
      <c r="AM21" s="49">
        <f t="shared" si="9"/>
        <v>0</v>
      </c>
      <c r="AN21" s="49" t="str">
        <f t="shared" si="10"/>
        <v/>
      </c>
      <c r="AO21" s="49">
        <f t="shared" si="11"/>
        <v>0</v>
      </c>
      <c r="AP21" s="49" t="str">
        <f t="shared" si="12"/>
        <v/>
      </c>
      <c r="AQ21" s="49">
        <f t="shared" si="13"/>
        <v>1</v>
      </c>
      <c r="AR21" s="49" t="str">
        <f t="shared" si="14"/>
        <v/>
      </c>
      <c r="AV21" s="91"/>
      <c r="AW21" s="92"/>
      <c r="AX21" s="93"/>
      <c r="AY21" s="50"/>
      <c r="AZ21" s="53"/>
    </row>
    <row r="22" spans="1:65" ht="30" customHeight="1" x14ac:dyDescent="0.35">
      <c r="A22" t="str">
        <f t="shared" si="16"/>
        <v>VOTORANTIM - PRUFTECHINIK
ETAPA DE ESCRITÓRIO</v>
      </c>
      <c r="B22" s="40" t="s">
        <v>45</v>
      </c>
      <c r="C22" s="85" t="str">
        <f>IF(AND($B22=[1]adriano!$A19,[1]adriano!$B19=C$4),"ok","nok")</f>
        <v>nok</v>
      </c>
      <c r="D22" s="85" t="str">
        <f>IF(AND($B22=[1]adriano!$A19,[1]adriano!$B19=D$4),"ok","nok")</f>
        <v>nok</v>
      </c>
      <c r="E22" s="85" t="str">
        <f>IF(AND($B22=[1]adriano!$A19,[1]adriano!$B19=E$4),"ok","nok")</f>
        <v>nok</v>
      </c>
      <c r="F22" s="85" t="str">
        <f>IF(AND($B22=[1]adriano!$A19,[1]adriano!$B19=F$4),"ok","nok")</f>
        <v>nok</v>
      </c>
      <c r="G22" s="85" t="str">
        <f>IF(AND($B22=[1]adriano!$A19,[1]adriano!$B19=G$4),"ok","nok")</f>
        <v>nok</v>
      </c>
      <c r="H22" s="85" t="str">
        <f>IF(AND($B22=[1]adriano!$A19,[1]adriano!$B19=H$4),"ok","nok")</f>
        <v>nok</v>
      </c>
      <c r="I22" s="85" t="str">
        <f>IF(AND($B22=[1]adriano!$A19,[1]adriano!$B19=I$4),"ok","nok")</f>
        <v>nok</v>
      </c>
      <c r="J22" s="85" t="str">
        <f>IF(AND($B22=[1]adriano!$A19,[1]adriano!$B19=J$4),"ok","nok")</f>
        <v>nok</v>
      </c>
      <c r="K22" s="85" t="str">
        <f>IF(AND($B22=[1]adriano!$A19,[1]adriano!$B19=K$4),"ok","nok")</f>
        <v>nok</v>
      </c>
      <c r="L22" s="85" t="str">
        <f>IF(AND($B22=[1]adriano!$A19,[1]adriano!$B19=L$4),"ok","nok")</f>
        <v>nok</v>
      </c>
      <c r="M22" s="85" t="str">
        <f>IF(AND($B22=[1]adriano!$A19,[1]adriano!$B19=M$4),"ok","nok")</f>
        <v>nok</v>
      </c>
      <c r="N22" s="85" t="str">
        <f>IF(AND($B22=[1]adriano!$A19,[1]adriano!$B19=N$4),"ok","nok")</f>
        <v>nok</v>
      </c>
      <c r="O22" s="85" t="str">
        <f>IF(AND($B22=[1]adriano!$A19,[1]adriano!$B19=O$4),"ok","nok")</f>
        <v>nok</v>
      </c>
      <c r="P22" s="85" t="str">
        <f>IF(AND($B22=[1]adriano!$A19,[1]adriano!$B19=P$4),"ok","nok")</f>
        <v>nok</v>
      </c>
      <c r="Q22" s="85" t="str">
        <f>IF(AND($B22=[1]adriano!$A19,[1]adriano!$B19=Q$4),"ok","nok")</f>
        <v>nok</v>
      </c>
      <c r="R22" s="85" t="str">
        <f>IF(AND($B22=[1]adriano!$A19,[1]adriano!$B19=R$4),"ok","nok")</f>
        <v>nok</v>
      </c>
      <c r="S22" s="85" t="str">
        <f>IF(AND($B22=[1]adriano!$A19,[1]adriano!$B19=S$4),"ok","nok")</f>
        <v>nok</v>
      </c>
      <c r="T22" s="178"/>
      <c r="U22" s="85" t="str">
        <f>IF(AND($B22=[1]adriano!$A19,[1]adriano!$B19=U$4),"ok","nok")</f>
        <v>nok</v>
      </c>
      <c r="V22" s="85" t="str">
        <f>IF(AND($B22=[1]adriano!$A19,[1]adriano!$B19=V$4),"ok","nok")</f>
        <v>nok</v>
      </c>
      <c r="W22" s="85" t="str">
        <f>IF(AND($B22=[1]adriano!$A19,[1]adriano!$B19=W$4),"ok","nok")</f>
        <v>nok</v>
      </c>
      <c r="X22" s="85" t="str">
        <f>IF(AND($B22=[1]adriano!$A19,[1]adriano!$B19=X$4),"ok","nok")</f>
        <v>ok</v>
      </c>
      <c r="Y22" s="97" t="s">
        <v>15</v>
      </c>
      <c r="Z22" s="98"/>
      <c r="AA22" s="98"/>
      <c r="AB22" s="99"/>
      <c r="AC22" s="40"/>
      <c r="AD22" s="40"/>
      <c r="AE22" s="48" t="str">
        <f t="shared" si="4"/>
        <v/>
      </c>
      <c r="AF22" s="48"/>
      <c r="AG22" s="48"/>
      <c r="AH22" s="67"/>
      <c r="AI22" s="49">
        <f t="shared" si="5"/>
        <v>0</v>
      </c>
      <c r="AJ22" s="49" t="str">
        <f t="shared" si="6"/>
        <v/>
      </c>
      <c r="AK22" s="49">
        <f t="shared" si="7"/>
        <v>0</v>
      </c>
      <c r="AL22" s="49" t="str">
        <f t="shared" si="8"/>
        <v/>
      </c>
      <c r="AM22" s="49">
        <f t="shared" si="9"/>
        <v>0</v>
      </c>
      <c r="AN22" s="49" t="str">
        <f t="shared" si="10"/>
        <v/>
      </c>
      <c r="AO22" s="49">
        <f t="shared" si="11"/>
        <v>0</v>
      </c>
      <c r="AP22" s="49" t="str">
        <f t="shared" si="12"/>
        <v/>
      </c>
      <c r="AQ22" s="49">
        <f t="shared" si="13"/>
        <v>1</v>
      </c>
      <c r="AR22" s="49" t="str">
        <f t="shared" si="14"/>
        <v/>
      </c>
      <c r="AV22" s="91"/>
      <c r="AW22" s="92"/>
      <c r="AX22" s="93"/>
      <c r="AY22" s="50"/>
      <c r="AZ22" s="53"/>
    </row>
    <row r="23" spans="1:65" ht="30" customHeight="1" x14ac:dyDescent="0.35">
      <c r="A23" t="str">
        <f t="shared" si="16"/>
        <v>VOTORANTIM - PRUFTECHINIK
ETAPA DE ESCRITÓRIO</v>
      </c>
      <c r="B23" s="40" t="s">
        <v>46</v>
      </c>
      <c r="C23" s="85" t="str">
        <f>IF(AND($B23=[1]adriano!$A20,[1]adriano!$B20=C$4),"ok","nok")</f>
        <v>nok</v>
      </c>
      <c r="D23" s="85" t="str">
        <f>IF(AND($B23=[1]adriano!$A20,[1]adriano!$B20=D$4),"ok","nok")</f>
        <v>nok</v>
      </c>
      <c r="E23" s="85" t="str">
        <f>IF(AND($B23=[1]adriano!$A20,[1]adriano!$B20=E$4),"ok","nok")</f>
        <v>nok</v>
      </c>
      <c r="F23" s="85" t="str">
        <f>IF(AND($B23=[1]adriano!$A20,[1]adriano!$B20=F$4),"ok","nok")</f>
        <v>nok</v>
      </c>
      <c r="G23" s="85" t="str">
        <f>IF(AND($B23=[1]adriano!$A20,[1]adriano!$B20=G$4),"ok","nok")</f>
        <v>nok</v>
      </c>
      <c r="H23" s="85" t="str">
        <f>IF(AND($B23=[1]adriano!$A20,[1]adriano!$B20=H$4),"ok","nok")</f>
        <v>nok</v>
      </c>
      <c r="I23" s="85" t="str">
        <f>IF(AND($B23=[1]adriano!$A20,[1]adriano!$B20=I$4),"ok","nok")</f>
        <v>nok</v>
      </c>
      <c r="J23" s="85" t="str">
        <f>IF(AND($B23=[1]adriano!$A20,[1]adriano!$B20=J$4),"ok","nok")</f>
        <v>nok</v>
      </c>
      <c r="K23" s="85" t="str">
        <f>IF(AND($B23=[1]adriano!$A20,[1]adriano!$B20=K$4),"ok","nok")</f>
        <v>nok</v>
      </c>
      <c r="L23" s="85" t="str">
        <f>IF(AND($B23=[1]adriano!$A20,[1]adriano!$B20=L$4),"ok","nok")</f>
        <v>nok</v>
      </c>
      <c r="M23" s="85" t="str">
        <f>IF(AND($B23=[1]adriano!$A20,[1]adriano!$B20=M$4),"ok","nok")</f>
        <v>nok</v>
      </c>
      <c r="N23" s="85" t="str">
        <f>IF(AND($B23=[1]adriano!$A20,[1]adriano!$B20=N$4),"ok","nok")</f>
        <v>nok</v>
      </c>
      <c r="O23" s="85" t="str">
        <f>IF(AND($B23=[1]adriano!$A20,[1]adriano!$B20=O$4),"ok","nok")</f>
        <v>nok</v>
      </c>
      <c r="P23" s="85" t="str">
        <f>IF(AND($B23=[1]adriano!$A20,[1]adriano!$B20=P$4),"ok","nok")</f>
        <v>nok</v>
      </c>
      <c r="Q23" s="85" t="str">
        <f>IF(AND($B23=[1]adriano!$A20,[1]adriano!$B20=Q$4),"ok","nok")</f>
        <v>nok</v>
      </c>
      <c r="R23" s="85" t="str">
        <f>IF(AND($B23=[1]adriano!$A20,[1]adriano!$B20=R$4),"ok","nok")</f>
        <v>nok</v>
      </c>
      <c r="S23" s="85" t="str">
        <f>IF(AND($B23=[1]adriano!$A20,[1]adriano!$B20=S$4),"ok","nok")</f>
        <v>nok</v>
      </c>
      <c r="T23" s="178"/>
      <c r="U23" s="85" t="str">
        <f>IF(AND($B23=[1]adriano!$A20,[1]adriano!$B20=U$4),"ok","nok")</f>
        <v>nok</v>
      </c>
      <c r="V23" s="85" t="str">
        <f>IF(AND($B23=[1]adriano!$A20,[1]adriano!$B20=V$4),"ok","nok")</f>
        <v>nok</v>
      </c>
      <c r="W23" s="85" t="str">
        <f>IF(AND($B23=[1]adriano!$A20,[1]adriano!$B20=W$4),"ok","nok")</f>
        <v>nok</v>
      </c>
      <c r="X23" s="85" t="str">
        <f>IF(AND($B23=[1]adriano!$A20,[1]adriano!$B20=X$4),"ok","nok")</f>
        <v>ok</v>
      </c>
      <c r="Y23" s="97" t="s">
        <v>15</v>
      </c>
      <c r="Z23" s="98"/>
      <c r="AA23" s="98"/>
      <c r="AB23" s="99"/>
      <c r="AC23" s="40"/>
      <c r="AD23" s="40"/>
      <c r="AE23" s="48" t="str">
        <f t="shared" si="4"/>
        <v/>
      </c>
      <c r="AF23" s="48"/>
      <c r="AG23" s="48"/>
      <c r="AH23" s="67"/>
      <c r="AI23" s="49">
        <f t="shared" si="5"/>
        <v>0</v>
      </c>
      <c r="AJ23" s="49" t="str">
        <f t="shared" si="6"/>
        <v/>
      </c>
      <c r="AK23" s="49">
        <f t="shared" si="7"/>
        <v>0</v>
      </c>
      <c r="AL23" s="49" t="str">
        <f t="shared" si="8"/>
        <v/>
      </c>
      <c r="AM23" s="49">
        <f t="shared" si="9"/>
        <v>0</v>
      </c>
      <c r="AN23" s="49" t="str">
        <f t="shared" si="10"/>
        <v/>
      </c>
      <c r="AO23" s="49">
        <f t="shared" si="11"/>
        <v>0</v>
      </c>
      <c r="AP23" s="49" t="str">
        <f t="shared" si="12"/>
        <v/>
      </c>
      <c r="AQ23" s="49">
        <f t="shared" si="13"/>
        <v>1</v>
      </c>
      <c r="AR23" s="49" t="str">
        <f t="shared" si="14"/>
        <v/>
      </c>
      <c r="AV23" s="91"/>
      <c r="AW23" s="92"/>
      <c r="AX23" s="93"/>
      <c r="AY23" s="50"/>
      <c r="AZ23" s="53"/>
      <c r="BI23" s="50">
        <f>SUM(COUNTIF(Y:AB,"ENTREGUE"))</f>
        <v>15</v>
      </c>
      <c r="BJ23" t="s">
        <v>2</v>
      </c>
    </row>
    <row r="24" spans="1:65" ht="30" customHeight="1" x14ac:dyDescent="0.35">
      <c r="B24" s="35" t="s">
        <v>49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125"/>
      <c r="Z24" s="126"/>
      <c r="AA24" s="126"/>
      <c r="AB24" s="127"/>
      <c r="AC24" s="40"/>
      <c r="AD24" s="40"/>
      <c r="AE24" s="48" t="str">
        <f t="shared" si="4"/>
        <v/>
      </c>
      <c r="AF24" s="48"/>
      <c r="AG24" s="48"/>
      <c r="AH24" s="67"/>
      <c r="AI24" s="49">
        <f t="shared" si="5"/>
        <v>0</v>
      </c>
      <c r="AJ24" s="49" t="str">
        <f t="shared" si="6"/>
        <v/>
      </c>
      <c r="AK24" s="49">
        <f t="shared" si="7"/>
        <v>0</v>
      </c>
      <c r="AL24" s="49" t="str">
        <f t="shared" si="8"/>
        <v/>
      </c>
      <c r="AM24" s="49">
        <f t="shared" si="9"/>
        <v>0</v>
      </c>
      <c r="AN24" s="49" t="str">
        <f t="shared" si="10"/>
        <v/>
      </c>
      <c r="AO24" s="49">
        <f t="shared" si="11"/>
        <v>0</v>
      </c>
      <c r="AP24" s="49" t="str">
        <f t="shared" si="12"/>
        <v/>
      </c>
      <c r="AQ24" s="49">
        <f t="shared" si="13"/>
        <v>0</v>
      </c>
      <c r="AR24" s="49" t="str">
        <f t="shared" si="14"/>
        <v/>
      </c>
      <c r="AV24" s="91"/>
      <c r="AW24" s="92"/>
      <c r="AX24" s="93"/>
      <c r="AY24" s="50"/>
      <c r="AZ24" s="53"/>
      <c r="BI24" s="50">
        <f>SUM(COUNTIF(Y:AB,"EFPRAZO"))</f>
        <v>8</v>
      </c>
      <c r="BJ24" t="s">
        <v>36</v>
      </c>
    </row>
    <row r="25" spans="1:65" ht="30" customHeight="1" x14ac:dyDescent="0.35">
      <c r="B25" s="36" t="s">
        <v>50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144"/>
      <c r="Z25" s="145"/>
      <c r="AA25" s="145"/>
      <c r="AB25" s="146"/>
      <c r="AC25" s="37"/>
      <c r="AD25" s="37"/>
      <c r="AE25" s="48" t="str">
        <f t="shared" si="4"/>
        <v/>
      </c>
      <c r="AF25" s="48"/>
      <c r="AG25" s="48"/>
      <c r="AH25" s="67"/>
      <c r="AI25" s="49">
        <f t="shared" si="5"/>
        <v>0</v>
      </c>
      <c r="AJ25" s="49" t="str">
        <f t="shared" si="6"/>
        <v/>
      </c>
      <c r="AK25" s="49">
        <f t="shared" si="7"/>
        <v>0</v>
      </c>
      <c r="AL25" s="49" t="str">
        <f t="shared" si="8"/>
        <v/>
      </c>
      <c r="AM25" s="49">
        <f t="shared" si="9"/>
        <v>0</v>
      </c>
      <c r="AN25" s="49" t="str">
        <f t="shared" si="10"/>
        <v/>
      </c>
      <c r="AO25" s="49">
        <f t="shared" si="11"/>
        <v>0</v>
      </c>
      <c r="AP25" s="49" t="str">
        <f t="shared" si="12"/>
        <v/>
      </c>
      <c r="AQ25" s="49">
        <f t="shared" si="13"/>
        <v>0</v>
      </c>
      <c r="AR25" s="49" t="str">
        <f t="shared" si="14"/>
        <v/>
      </c>
      <c r="AV25" s="91"/>
      <c r="AW25" s="92"/>
      <c r="AX25" s="93"/>
      <c r="AY25" s="50"/>
      <c r="AZ25" s="53"/>
    </row>
    <row r="26" spans="1:65" ht="30" customHeight="1" x14ac:dyDescent="0.35">
      <c r="B26" s="37" t="s">
        <v>43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100"/>
      <c r="Z26" s="101"/>
      <c r="AA26" s="101"/>
      <c r="AB26" s="102"/>
      <c r="AC26" s="46"/>
      <c r="AD26" s="46"/>
      <c r="AE26" s="48" t="str">
        <f t="shared" si="4"/>
        <v/>
      </c>
      <c r="AF26" s="48"/>
      <c r="AG26" s="48"/>
      <c r="AH26" s="67"/>
      <c r="AI26" s="49">
        <f t="shared" si="5"/>
        <v>0</v>
      </c>
      <c r="AJ26" s="49" t="str">
        <f t="shared" si="6"/>
        <v/>
      </c>
      <c r="AK26" s="49">
        <f t="shared" si="7"/>
        <v>0</v>
      </c>
      <c r="AL26" s="49" t="str">
        <f t="shared" si="8"/>
        <v/>
      </c>
      <c r="AM26" s="49">
        <f t="shared" si="9"/>
        <v>0</v>
      </c>
      <c r="AN26" s="49" t="str">
        <f t="shared" si="10"/>
        <v/>
      </c>
      <c r="AO26" s="49">
        <f t="shared" si="11"/>
        <v>0</v>
      </c>
      <c r="AP26" s="49" t="str">
        <f t="shared" si="12"/>
        <v/>
      </c>
      <c r="AQ26" s="49">
        <f t="shared" si="13"/>
        <v>0</v>
      </c>
      <c r="AR26" s="49" t="str">
        <f t="shared" si="14"/>
        <v/>
      </c>
      <c r="AV26" s="91"/>
      <c r="AW26" s="92"/>
      <c r="AX26" s="93"/>
      <c r="AY26" s="50"/>
      <c r="AZ26" s="53"/>
    </row>
    <row r="27" spans="1:65" ht="30" customHeight="1" x14ac:dyDescent="0.35">
      <c r="B27" s="41" t="s">
        <v>51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118"/>
      <c r="Z27" s="119"/>
      <c r="AA27" s="119"/>
      <c r="AB27" s="120"/>
      <c r="AC27" s="40"/>
      <c r="AD27" s="40"/>
      <c r="AE27" s="48" t="str">
        <f t="shared" si="4"/>
        <v/>
      </c>
      <c r="AF27" s="48"/>
      <c r="AG27" s="48"/>
      <c r="AH27" s="67"/>
      <c r="AI27" s="49">
        <f t="shared" si="5"/>
        <v>0</v>
      </c>
      <c r="AJ27" s="49" t="str">
        <f t="shared" si="6"/>
        <v/>
      </c>
      <c r="AK27" s="49">
        <f t="shared" si="7"/>
        <v>0</v>
      </c>
      <c r="AL27" s="49" t="str">
        <f t="shared" si="8"/>
        <v/>
      </c>
      <c r="AM27" s="49">
        <f t="shared" si="9"/>
        <v>0</v>
      </c>
      <c r="AN27" s="49" t="str">
        <f t="shared" si="10"/>
        <v/>
      </c>
      <c r="AO27" s="49">
        <f t="shared" si="11"/>
        <v>0</v>
      </c>
      <c r="AP27" s="49" t="str">
        <f t="shared" si="12"/>
        <v/>
      </c>
      <c r="AQ27" s="49">
        <f t="shared" si="13"/>
        <v>0</v>
      </c>
      <c r="AR27" s="49" t="str">
        <f t="shared" si="14"/>
        <v/>
      </c>
      <c r="AZ27" s="53"/>
    </row>
    <row r="28" spans="1:65" ht="30" customHeight="1" x14ac:dyDescent="0.35">
      <c r="A28" s="24"/>
      <c r="B28" s="42" t="s">
        <v>86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103"/>
      <c r="Z28" s="104"/>
      <c r="AA28" s="104"/>
      <c r="AB28" s="105"/>
      <c r="AC28" s="40"/>
      <c r="AD28" s="40"/>
      <c r="AE28" s="48" t="str">
        <f t="shared" si="4"/>
        <v/>
      </c>
      <c r="AF28" s="48"/>
      <c r="AG28" s="48"/>
      <c r="AH28" s="67"/>
      <c r="AI28" s="49">
        <f t="shared" si="5"/>
        <v>0</v>
      </c>
      <c r="AJ28" s="49" t="str">
        <f t="shared" si="6"/>
        <v/>
      </c>
      <c r="AK28" s="49">
        <f t="shared" si="7"/>
        <v>0</v>
      </c>
      <c r="AL28" s="49" t="str">
        <f t="shared" si="8"/>
        <v/>
      </c>
      <c r="AM28" s="49">
        <f t="shared" si="9"/>
        <v>0</v>
      </c>
      <c r="AN28" s="49" t="str">
        <f t="shared" si="10"/>
        <v/>
      </c>
      <c r="AO28" s="49">
        <f t="shared" si="11"/>
        <v>0</v>
      </c>
      <c r="AP28" s="49" t="str">
        <f t="shared" si="12"/>
        <v/>
      </c>
      <c r="AQ28" s="49">
        <f t="shared" si="13"/>
        <v>0</v>
      </c>
      <c r="AR28" s="49" t="str">
        <f t="shared" si="14"/>
        <v/>
      </c>
    </row>
    <row r="29" spans="1:65" ht="30" customHeight="1" x14ac:dyDescent="0.35">
      <c r="B29" s="58" t="s">
        <v>56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106"/>
      <c r="Z29" s="107"/>
      <c r="AA29" s="107"/>
      <c r="AB29" s="108"/>
      <c r="AC29" s="40"/>
      <c r="AD29" s="40"/>
      <c r="AE29" s="48" t="str">
        <f t="shared" si="4"/>
        <v/>
      </c>
      <c r="AF29" s="48"/>
      <c r="AG29" s="48"/>
      <c r="AH29" s="67"/>
      <c r="AI29" s="49">
        <f t="shared" si="5"/>
        <v>0</v>
      </c>
      <c r="AJ29" s="49" t="str">
        <f t="shared" si="6"/>
        <v/>
      </c>
      <c r="AK29" s="49">
        <f t="shared" si="7"/>
        <v>0</v>
      </c>
      <c r="AL29" s="49" t="str">
        <f t="shared" si="8"/>
        <v/>
      </c>
      <c r="AM29" s="49">
        <f t="shared" si="9"/>
        <v>0</v>
      </c>
      <c r="AN29" s="49" t="str">
        <f t="shared" si="10"/>
        <v/>
      </c>
      <c r="AO29" s="49">
        <f t="shared" si="11"/>
        <v>0</v>
      </c>
      <c r="AP29" s="49" t="str">
        <f t="shared" si="12"/>
        <v/>
      </c>
      <c r="AQ29" s="49">
        <f t="shared" si="13"/>
        <v>0</v>
      </c>
      <c r="AR29" s="49" t="str">
        <f t="shared" si="14"/>
        <v/>
      </c>
    </row>
    <row r="30" spans="1:65" ht="30" customHeight="1" x14ac:dyDescent="0.35">
      <c r="B30" s="86" t="s">
        <v>57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109"/>
      <c r="Z30" s="110"/>
      <c r="AA30" s="110"/>
      <c r="AB30" s="111"/>
      <c r="AC30" s="40"/>
      <c r="AD30" s="40"/>
      <c r="AE30" s="48" t="str">
        <f t="shared" si="4"/>
        <v/>
      </c>
      <c r="AF30" s="48"/>
      <c r="AG30" s="48"/>
      <c r="AH30" s="67"/>
      <c r="AI30" s="49">
        <f t="shared" si="5"/>
        <v>0</v>
      </c>
      <c r="AJ30" s="49" t="str">
        <f t="shared" si="6"/>
        <v/>
      </c>
      <c r="AK30" s="49">
        <f t="shared" si="7"/>
        <v>0</v>
      </c>
      <c r="AL30" s="49" t="str">
        <f t="shared" si="8"/>
        <v/>
      </c>
      <c r="AM30" s="49">
        <f t="shared" si="9"/>
        <v>0</v>
      </c>
      <c r="AN30" s="49" t="str">
        <f t="shared" si="10"/>
        <v/>
      </c>
      <c r="AO30" s="49">
        <f t="shared" si="11"/>
        <v>0</v>
      </c>
      <c r="AP30" s="49" t="str">
        <f t="shared" si="12"/>
        <v/>
      </c>
      <c r="AQ30" s="49">
        <f t="shared" si="13"/>
        <v>0</v>
      </c>
      <c r="AR30" s="49" t="str">
        <f t="shared" si="14"/>
        <v/>
      </c>
    </row>
    <row r="31" spans="1:65" ht="30" customHeight="1" x14ac:dyDescent="0.35">
      <c r="A31" t="str">
        <f>CONCATENATE($B$25,"
",$B$27,"
",$B$28,"
",$B$29,"
",$B$30)</f>
        <v>PT146 - Projeto S-2087 - IB3 12 MTA - ANÁLISE ESTRUTURAL (alegria)
1211LL - PRÉDIO DA BRITAGEM SECUNDÁRIA IB3
FASE 1
Civil
MEMÓRIA DE CÁLCULO: MC-1211LL-C-00004</v>
      </c>
      <c r="B31" s="38" t="s">
        <v>58</v>
      </c>
      <c r="C31" s="85" t="str">
        <f>IF(AND($B31=[1]adriano!$A28,[1]adriano!$B28=C$4),"ok","nok")</f>
        <v>nok</v>
      </c>
      <c r="D31" s="85" t="str">
        <f>IF(AND($B31=[1]adriano!$A28,[1]adriano!$B28=D$4),"ok","nok")</f>
        <v>nok</v>
      </c>
      <c r="E31" s="85" t="str">
        <f>IF(AND($B31=[1]adriano!$A28,[1]adriano!$B28=E$4),"ok","nok")</f>
        <v>ok</v>
      </c>
      <c r="F31" s="85" t="str">
        <f>IF(AND($B31=[1]adriano!$A28,[1]adriano!$B28=F$4),"ok","nok")</f>
        <v>nok</v>
      </c>
      <c r="G31" s="85" t="str">
        <f>IF(AND($B31=[1]adriano!$A28,[1]adriano!$B28=G$4),"ok","nok")</f>
        <v>nok</v>
      </c>
      <c r="H31" s="85" t="str">
        <f>IF(AND($B31=[1]adriano!$A28,[1]adriano!$B28=H$4),"ok","nok")</f>
        <v>nok</v>
      </c>
      <c r="I31" s="85" t="str">
        <f>IF(AND($B31=[1]adriano!$A28,[1]adriano!$B28=I$4),"ok","nok")</f>
        <v>nok</v>
      </c>
      <c r="J31" s="85" t="str">
        <f>IF(AND($B31=[1]adriano!$A28,[1]adriano!$B28=J$4),"ok","nok")</f>
        <v>nok</v>
      </c>
      <c r="K31" s="85" t="str">
        <f>IF(AND($B31=[1]adriano!$A28,[1]adriano!$B28=K$4),"ok","nok")</f>
        <v>nok</v>
      </c>
      <c r="L31" s="85" t="str">
        <f>IF(AND($B31=[1]adriano!$A28,[1]adriano!$B28=L$4),"ok","nok")</f>
        <v>nok</v>
      </c>
      <c r="M31" s="85" t="str">
        <f>IF(AND($B31=[1]adriano!$A28,[1]adriano!$B28=M$4),"ok","nok")</f>
        <v>nok</v>
      </c>
      <c r="N31" s="85" t="str">
        <f>IF(AND($B31=[1]adriano!$A28,[1]adriano!$B28=N$4),"ok","nok")</f>
        <v>nok</v>
      </c>
      <c r="O31" s="85" t="str">
        <f>IF(AND($B31=[1]adriano!$A28,[1]adriano!$B28=O$4),"ok","nok")</f>
        <v>nok</v>
      </c>
      <c r="P31" s="85" t="str">
        <f>IF(AND($B31=[1]adriano!$A28,[1]adriano!$B28=P$4),"ok","nok")</f>
        <v>nok</v>
      </c>
      <c r="Q31" s="85" t="str">
        <f>IF(AND($B31=[1]adriano!$A28,[1]adriano!$B28=Q$4),"ok","nok")</f>
        <v>nok</v>
      </c>
      <c r="R31" s="85" t="str">
        <f>IF(AND($B31=[1]adriano!$A28,[1]adriano!$B28=R$4),"ok","nok")</f>
        <v>nok</v>
      </c>
      <c r="S31" s="85" t="str">
        <f>IF(AND($B31=[1]adriano!$A28,[1]adriano!$B28=S$4),"ok","nok")</f>
        <v>nok</v>
      </c>
      <c r="T31" s="85" t="str">
        <f>IF(AND($B31=[1]adriano!$A28,[1]adriano!$B28=T$4),"ok","nok")</f>
        <v>nok</v>
      </c>
      <c r="U31" s="85" t="str">
        <f>IF(AND($B31=[1]adriano!$A28,[1]adriano!$B28=U$4),"ok","nok")</f>
        <v>nok</v>
      </c>
      <c r="V31" s="85" t="str">
        <f>IF(AND($B31=[1]adriano!$A28,[1]adriano!$B28=V$4),"ok","nok")</f>
        <v>nok</v>
      </c>
      <c r="W31" s="85" t="str">
        <f>IF(AND($B31=[1]adriano!$A28,[1]adriano!$B28=W$4),"ok","nok")</f>
        <v>nok</v>
      </c>
      <c r="X31" s="85" t="str">
        <f>IF(AND($B31=[1]adriano!$A28,[1]adriano!$B28=X$4),"ok","nok")</f>
        <v>nok</v>
      </c>
      <c r="Y31" s="97" t="s">
        <v>2</v>
      </c>
      <c r="Z31" s="98"/>
      <c r="AA31" s="98"/>
      <c r="AB31" s="99"/>
      <c r="AC31" s="37"/>
      <c r="AD31" s="37"/>
      <c r="AE31" s="48" t="str">
        <f t="shared" si="4"/>
        <v/>
      </c>
      <c r="AF31" s="48"/>
      <c r="AG31" s="48"/>
      <c r="AH31" s="67"/>
      <c r="AI31" s="49">
        <f t="shared" si="5"/>
        <v>1</v>
      </c>
      <c r="AJ31" s="49" t="str">
        <f t="shared" si="6"/>
        <v>ENTREGUE</v>
      </c>
      <c r="AK31" s="49">
        <f t="shared" si="7"/>
        <v>0</v>
      </c>
      <c r="AL31" s="49" t="str">
        <f t="shared" si="8"/>
        <v/>
      </c>
      <c r="AM31" s="49">
        <f t="shared" si="9"/>
        <v>0</v>
      </c>
      <c r="AN31" s="49" t="str">
        <f t="shared" si="10"/>
        <v/>
      </c>
      <c r="AO31" s="49">
        <f t="shared" si="11"/>
        <v>0</v>
      </c>
      <c r="AP31" s="49" t="str">
        <f t="shared" si="12"/>
        <v/>
      </c>
      <c r="AQ31" s="49">
        <f t="shared" si="13"/>
        <v>0</v>
      </c>
      <c r="AR31" s="49" t="str">
        <f t="shared" si="14"/>
        <v/>
      </c>
    </row>
    <row r="32" spans="1:65" ht="30" customHeight="1" x14ac:dyDescent="0.35">
      <c r="A32" t="str">
        <f>CONCATENATE($B$25,"
",$B$27,"
",$B$28,"
",$B$29,"
",$B$30)</f>
        <v>PT146 - Projeto S-2087 - IB3 12 MTA - ANÁLISE ESTRUTURAL (alegria)
1211LL - PRÉDIO DA BRITAGEM SECUNDÁRIA IB3
FASE 1
Civil
MEMÓRIA DE CÁLCULO: MC-1211LL-C-00004</v>
      </c>
      <c r="B32" s="38" t="s">
        <v>59</v>
      </c>
      <c r="C32" s="85" t="str">
        <f>IF(AND($B32=[1]adriano!$A29,[1]adriano!$B29=C$4),"ok","nok")</f>
        <v>nok</v>
      </c>
      <c r="D32" s="85" t="str">
        <f>IF(AND($B32=[1]adriano!$A29,[1]adriano!$B29=D$4),"ok","nok")</f>
        <v>nok</v>
      </c>
      <c r="E32" s="85" t="str">
        <f>IF(AND($B32=[1]adriano!$A29,[1]adriano!$B29=E$4),"ok","nok")</f>
        <v>ok</v>
      </c>
      <c r="F32" s="85" t="str">
        <f>IF(AND($B32=[1]adriano!$A29,[1]adriano!$B29=F$4),"ok","nok")</f>
        <v>nok</v>
      </c>
      <c r="G32" s="85" t="str">
        <f>IF(AND($B32=[1]adriano!$A29,[1]adriano!$B29=G$4),"ok","nok")</f>
        <v>nok</v>
      </c>
      <c r="H32" s="85" t="str">
        <f>IF(AND($B32=[1]adriano!$A29,[1]adriano!$B29=H$4),"ok","nok")</f>
        <v>nok</v>
      </c>
      <c r="I32" s="85" t="str">
        <f>IF(AND($B32=[1]adriano!$A29,[1]adriano!$B29=I$4),"ok","nok")</f>
        <v>nok</v>
      </c>
      <c r="J32" s="85" t="str">
        <f>IF(AND($B32=[1]adriano!$A29,[1]adriano!$B29=J$4),"ok","nok")</f>
        <v>nok</v>
      </c>
      <c r="K32" s="85" t="str">
        <f>IF(AND($B32=[1]adriano!$A29,[1]adriano!$B29=K$4),"ok","nok")</f>
        <v>nok</v>
      </c>
      <c r="L32" s="85" t="str">
        <f>IF(AND($B32=[1]adriano!$A29,[1]adriano!$B29=L$4),"ok","nok")</f>
        <v>nok</v>
      </c>
      <c r="M32" s="85" t="str">
        <f>IF(AND($B32=[1]adriano!$A29,[1]adriano!$B29=M$4),"ok","nok")</f>
        <v>nok</v>
      </c>
      <c r="N32" s="85" t="str">
        <f>IF(AND($B32=[1]adriano!$A29,[1]adriano!$B29=N$4),"ok","nok")</f>
        <v>nok</v>
      </c>
      <c r="O32" s="85" t="str">
        <f>IF(AND($B32=[1]adriano!$A29,[1]adriano!$B29=O$4),"ok","nok")</f>
        <v>nok</v>
      </c>
      <c r="P32" s="85" t="str">
        <f>IF(AND($B32=[1]adriano!$A29,[1]adriano!$B29=P$4),"ok","nok")</f>
        <v>nok</v>
      </c>
      <c r="Q32" s="85" t="str">
        <f>IF(AND($B32=[1]adriano!$A29,[1]adriano!$B29=Q$4),"ok","nok")</f>
        <v>nok</v>
      </c>
      <c r="R32" s="85" t="str">
        <f>IF(AND($B32=[1]adriano!$A29,[1]adriano!$B29=R$4),"ok","nok")</f>
        <v>nok</v>
      </c>
      <c r="S32" s="85" t="str">
        <f>IF(AND($B32=[1]adriano!$A29,[1]adriano!$B29=S$4),"ok","nok")</f>
        <v>nok</v>
      </c>
      <c r="T32" s="85" t="str">
        <f>IF(AND($B32=[1]adriano!$A29,[1]adriano!$B29=T$4),"ok","nok")</f>
        <v>nok</v>
      </c>
      <c r="U32" s="85" t="str">
        <f>IF(AND($B32=[1]adriano!$A29,[1]adriano!$B29=U$4),"ok","nok")</f>
        <v>nok</v>
      </c>
      <c r="V32" s="85" t="str">
        <f>IF(AND($B32=[1]adriano!$A29,[1]adriano!$B29=V$4),"ok","nok")</f>
        <v>nok</v>
      </c>
      <c r="W32" s="85" t="str">
        <f>IF(AND($B32=[1]adriano!$A29,[1]adriano!$B29=W$4),"ok","nok")</f>
        <v>nok</v>
      </c>
      <c r="X32" s="85" t="str">
        <f>IF(AND($B32=[1]adriano!$A29,[1]adriano!$B29=X$4),"ok","nok")</f>
        <v>nok</v>
      </c>
      <c r="Y32" s="97" t="s">
        <v>2</v>
      </c>
      <c r="Z32" s="98"/>
      <c r="AA32" s="98"/>
      <c r="AB32" s="99"/>
      <c r="AC32" s="38"/>
      <c r="AD32" s="38"/>
      <c r="AE32" s="48" t="str">
        <f t="shared" si="4"/>
        <v/>
      </c>
      <c r="AF32" s="48"/>
      <c r="AG32" s="48"/>
      <c r="AH32" s="67"/>
      <c r="AI32" s="49">
        <f t="shared" si="5"/>
        <v>1</v>
      </c>
      <c r="AJ32" s="49" t="str">
        <f t="shared" si="6"/>
        <v>ENTREGUE</v>
      </c>
      <c r="AK32" s="49">
        <f t="shared" si="7"/>
        <v>0</v>
      </c>
      <c r="AL32" s="49" t="str">
        <f t="shared" si="8"/>
        <v/>
      </c>
      <c r="AM32" s="49">
        <f t="shared" si="9"/>
        <v>0</v>
      </c>
      <c r="AN32" s="49" t="str">
        <f t="shared" si="10"/>
        <v/>
      </c>
      <c r="AO32" s="49">
        <f t="shared" si="11"/>
        <v>0</v>
      </c>
      <c r="AP32" s="49" t="str">
        <f t="shared" si="12"/>
        <v/>
      </c>
      <c r="AQ32" s="49">
        <f t="shared" si="13"/>
        <v>0</v>
      </c>
      <c r="AR32" s="49" t="str">
        <f t="shared" si="14"/>
        <v/>
      </c>
    </row>
    <row r="33" spans="1:52" ht="30" customHeight="1" x14ac:dyDescent="0.35">
      <c r="B33" s="42" t="s">
        <v>87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103"/>
      <c r="Z33" s="104"/>
      <c r="AA33" s="104"/>
      <c r="AB33" s="105"/>
      <c r="AC33" s="38"/>
      <c r="AD33" s="38"/>
      <c r="AE33" s="48" t="str">
        <f t="shared" si="4"/>
        <v/>
      </c>
      <c r="AF33" s="48"/>
      <c r="AG33" s="48"/>
      <c r="AH33" s="67"/>
      <c r="AI33" s="49">
        <f t="shared" si="5"/>
        <v>0</v>
      </c>
      <c r="AJ33" s="49" t="str">
        <f t="shared" si="6"/>
        <v/>
      </c>
      <c r="AK33" s="49">
        <f t="shared" si="7"/>
        <v>0</v>
      </c>
      <c r="AL33" s="49" t="str">
        <f t="shared" si="8"/>
        <v/>
      </c>
      <c r="AM33" s="49">
        <f t="shared" si="9"/>
        <v>0</v>
      </c>
      <c r="AN33" s="49" t="str">
        <f t="shared" si="10"/>
        <v/>
      </c>
      <c r="AO33" s="49">
        <f t="shared" si="11"/>
        <v>0</v>
      </c>
      <c r="AP33" s="49" t="str">
        <f t="shared" si="12"/>
        <v/>
      </c>
      <c r="AQ33" s="49">
        <f t="shared" si="13"/>
        <v>0</v>
      </c>
      <c r="AR33" s="49" t="str">
        <f t="shared" si="14"/>
        <v/>
      </c>
    </row>
    <row r="34" spans="1:52" ht="30" customHeight="1" x14ac:dyDescent="0.35">
      <c r="B34" s="58" t="s">
        <v>52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106"/>
      <c r="Z34" s="107"/>
      <c r="AA34" s="107"/>
      <c r="AB34" s="108"/>
      <c r="AC34" s="46"/>
      <c r="AD34" s="46"/>
      <c r="AE34" s="48" t="str">
        <f t="shared" si="4"/>
        <v/>
      </c>
      <c r="AF34" s="48"/>
      <c r="AG34" s="48"/>
      <c r="AH34" s="67"/>
      <c r="AI34" s="49">
        <f t="shared" si="5"/>
        <v>0</v>
      </c>
      <c r="AJ34" s="49" t="str">
        <f t="shared" si="6"/>
        <v/>
      </c>
      <c r="AK34" s="49">
        <f t="shared" si="7"/>
        <v>0</v>
      </c>
      <c r="AL34" s="49" t="str">
        <f t="shared" si="8"/>
        <v/>
      </c>
      <c r="AM34" s="49">
        <f t="shared" si="9"/>
        <v>0</v>
      </c>
      <c r="AN34" s="49" t="str">
        <f t="shared" si="10"/>
        <v/>
      </c>
      <c r="AO34" s="49">
        <f t="shared" si="11"/>
        <v>0</v>
      </c>
      <c r="AP34" s="49" t="str">
        <f t="shared" si="12"/>
        <v/>
      </c>
      <c r="AQ34" s="49">
        <f t="shared" si="13"/>
        <v>0</v>
      </c>
      <c r="AR34" s="49" t="str">
        <f t="shared" si="14"/>
        <v/>
      </c>
    </row>
    <row r="35" spans="1:52" ht="30" customHeight="1" x14ac:dyDescent="0.35">
      <c r="B35" s="86" t="s">
        <v>88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109"/>
      <c r="Z35" s="110"/>
      <c r="AA35" s="110"/>
      <c r="AB35" s="111"/>
      <c r="AC35" s="40"/>
      <c r="AD35" s="40"/>
      <c r="AE35" s="48" t="str">
        <f t="shared" si="4"/>
        <v/>
      </c>
      <c r="AF35" s="48"/>
      <c r="AG35" s="48"/>
      <c r="AH35" s="67"/>
      <c r="AI35" s="49">
        <f t="shared" si="5"/>
        <v>0</v>
      </c>
      <c r="AJ35" s="49" t="str">
        <f t="shared" si="6"/>
        <v/>
      </c>
      <c r="AK35" s="49">
        <f t="shared" si="7"/>
        <v>0</v>
      </c>
      <c r="AL35" s="49" t="str">
        <f t="shared" si="8"/>
        <v/>
      </c>
      <c r="AM35" s="49">
        <f t="shared" si="9"/>
        <v>0</v>
      </c>
      <c r="AN35" s="49" t="str">
        <f t="shared" si="10"/>
        <v/>
      </c>
      <c r="AO35" s="49">
        <f t="shared" si="11"/>
        <v>0</v>
      </c>
      <c r="AP35" s="49" t="str">
        <f t="shared" si="12"/>
        <v/>
      </c>
      <c r="AQ35" s="49">
        <f t="shared" si="13"/>
        <v>0</v>
      </c>
      <c r="AR35" s="49" t="str">
        <f t="shared" si="14"/>
        <v/>
      </c>
    </row>
    <row r="36" spans="1:52" ht="30" customHeight="1" x14ac:dyDescent="0.35">
      <c r="B36" s="87" t="s">
        <v>89</v>
      </c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112"/>
      <c r="Z36" s="113"/>
      <c r="AA36" s="113"/>
      <c r="AB36" s="114"/>
      <c r="AC36" s="40"/>
      <c r="AD36" s="40"/>
      <c r="AE36" s="48" t="str">
        <f t="shared" si="4"/>
        <v/>
      </c>
      <c r="AF36" s="48"/>
      <c r="AG36" s="48"/>
      <c r="AH36" s="67"/>
      <c r="AI36" s="49">
        <f t="shared" si="5"/>
        <v>0</v>
      </c>
      <c r="AJ36" s="49" t="str">
        <f t="shared" si="6"/>
        <v/>
      </c>
      <c r="AK36" s="49">
        <f t="shared" si="7"/>
        <v>0</v>
      </c>
      <c r="AL36" s="49" t="str">
        <f t="shared" si="8"/>
        <v/>
      </c>
      <c r="AM36" s="49">
        <f t="shared" si="9"/>
        <v>0</v>
      </c>
      <c r="AN36" s="49" t="str">
        <f t="shared" si="10"/>
        <v/>
      </c>
      <c r="AO36" s="49">
        <f t="shared" si="11"/>
        <v>0</v>
      </c>
      <c r="AP36" s="49" t="str">
        <f t="shared" si="12"/>
        <v/>
      </c>
      <c r="AQ36" s="49">
        <f t="shared" si="13"/>
        <v>0</v>
      </c>
      <c r="AR36" s="49" t="str">
        <f t="shared" si="14"/>
        <v/>
      </c>
      <c r="AV36" s="91" t="s">
        <v>28</v>
      </c>
      <c r="AW36" s="92"/>
      <c r="AX36" s="93"/>
      <c r="AY36" s="50">
        <f>SUM(COUNTIF(Y:AB,"ATRASADO"))</f>
        <v>19</v>
      </c>
      <c r="AZ36" s="53">
        <f>AY36/$BK$8</f>
        <v>0.42222222222222222</v>
      </c>
    </row>
    <row r="37" spans="1:52" ht="30" customHeight="1" x14ac:dyDescent="0.35">
      <c r="A37" t="str">
        <f>CONCATENATE($B$25,"
",$B$27,"
",$B$33,"
",$B$34,"
",$B$35)</f>
        <v>PT146 - Projeto S-2087 - IB3 12 MTA - ANÁLISE ESTRUTURAL (alegria)
1211LL - PRÉDIO DA BRITAGEM SECUNDÁRIA IB3
FASE 2
Metálica
1ª Condição: Situação atual (Levantamento de Campo)</v>
      </c>
      <c r="B37" s="38" t="s">
        <v>90</v>
      </c>
      <c r="C37" s="85" t="str">
        <f>IF(AND($B37=[1]adriano!$A34,[1]adriano!$B34=C$4),"ok","nok")</f>
        <v>nok</v>
      </c>
      <c r="D37" s="85" t="str">
        <f>IF(AND($B37=[1]adriano!$A34,[1]adriano!$B34=D$4),"ok","nok")</f>
        <v>nok</v>
      </c>
      <c r="E37" s="178"/>
      <c r="F37" s="85" t="str">
        <f>IF(AND($B37=[1]adriano!$A34,[1]adriano!$B34=F$4),"ok","nok")</f>
        <v>nok</v>
      </c>
      <c r="G37" s="85" t="str">
        <f>IF(AND($B37=[1]adriano!$A34,[1]adriano!$B34=G$4),"ok","nok")</f>
        <v>nok</v>
      </c>
      <c r="H37" s="85" t="str">
        <f>IF(AND($B37=[1]adriano!$A34,[1]adriano!$B34=H$4),"ok","nok")</f>
        <v>nok</v>
      </c>
      <c r="I37" s="85" t="str">
        <f>IF(AND($B37=[1]adriano!$A34,[1]adriano!$B34=I$4),"ok","nok")</f>
        <v>nok</v>
      </c>
      <c r="J37" s="85" t="str">
        <f>IF(AND($B37=[1]adriano!$A34,[1]adriano!$B34=J$4),"ok","nok")</f>
        <v>nok</v>
      </c>
      <c r="K37" s="85" t="str">
        <f>IF(AND($B37=[1]adriano!$A34,[1]adriano!$B34=K$4),"ok","nok")</f>
        <v>nok</v>
      </c>
      <c r="L37" s="85" t="str">
        <f>IF(AND($B37=[1]adriano!$A34,[1]adriano!$B34=L$4),"ok","nok")</f>
        <v>nok</v>
      </c>
      <c r="M37" s="85" t="str">
        <f>IF(AND($B37=[1]adriano!$A34,[1]adriano!$B34=M$4),"ok","nok")</f>
        <v>nok</v>
      </c>
      <c r="N37" s="85" t="str">
        <f>IF(AND($B37=[1]adriano!$A34,[1]adriano!$B34=N$4),"ok","nok")</f>
        <v>nok</v>
      </c>
      <c r="O37" s="85" t="str">
        <f>IF(AND($B37=[1]adriano!$A34,[1]adriano!$B34=O$4),"ok","nok")</f>
        <v>nok</v>
      </c>
      <c r="P37" s="85" t="str">
        <f>IF(AND($B37=[1]adriano!$A34,[1]adriano!$B34=P$4),"ok","nok")</f>
        <v>nok</v>
      </c>
      <c r="Q37" s="85" t="str">
        <f>IF(AND($B37=[1]adriano!$A34,[1]adriano!$B34=Q$4),"ok","nok")</f>
        <v>nok</v>
      </c>
      <c r="R37" s="85" t="str">
        <f>IF(AND($B37=[1]adriano!$A34,[1]adriano!$B34=R$4),"ok","nok")</f>
        <v>nok</v>
      </c>
      <c r="S37" s="85" t="str">
        <f>IF(AND($B37=[1]adriano!$A34,[1]adriano!$B34=S$4),"ok","nok")</f>
        <v>nok</v>
      </c>
      <c r="T37" s="85" t="str">
        <f>IF(AND($B37=[1]adriano!$A34,[1]adriano!$B34=T$4),"ok","nok")</f>
        <v>nok</v>
      </c>
      <c r="U37" s="85" t="str">
        <f>IF(AND($B37=[1]adriano!$A34,[1]adriano!$B34=U$4),"ok","nok")</f>
        <v>ok</v>
      </c>
      <c r="V37" s="85" t="str">
        <f>IF(AND($B37=[1]adriano!$A34,[1]adriano!$B34=V$4),"ok","nok")</f>
        <v>nok</v>
      </c>
      <c r="W37" s="85" t="str">
        <f>IF(AND($B37=[1]adriano!$A34,[1]adriano!$B34=W$4),"ok","nok")</f>
        <v>nok</v>
      </c>
      <c r="X37" s="85" t="str">
        <f>IF(AND($B37=[1]adriano!$A34,[1]adriano!$B34=X$4),"ok","nok")</f>
        <v>nok</v>
      </c>
      <c r="Y37" s="97" t="s">
        <v>34</v>
      </c>
      <c r="Z37" s="98"/>
      <c r="AA37" s="98"/>
      <c r="AB37" s="99"/>
      <c r="AC37" s="40"/>
      <c r="AD37" s="40"/>
      <c r="AE37" s="48" t="str">
        <f t="shared" si="4"/>
        <v>Modelagem FEM</v>
      </c>
      <c r="AF37" s="48"/>
      <c r="AG37" s="48"/>
      <c r="AH37" s="67"/>
      <c r="AI37" s="49">
        <f t="shared" si="5"/>
        <v>0</v>
      </c>
      <c r="AJ37" s="49" t="str">
        <f t="shared" si="6"/>
        <v/>
      </c>
      <c r="AK37" s="49">
        <f t="shared" si="7"/>
        <v>0</v>
      </c>
      <c r="AL37" s="49" t="str">
        <f t="shared" si="8"/>
        <v/>
      </c>
      <c r="AM37" s="49">
        <f t="shared" si="9"/>
        <v>0</v>
      </c>
      <c r="AN37" s="49" t="str">
        <f t="shared" si="10"/>
        <v/>
      </c>
      <c r="AO37" s="49">
        <f t="shared" si="11"/>
        <v>1</v>
      </c>
      <c r="AP37" s="49" t="str">
        <f t="shared" si="12"/>
        <v/>
      </c>
      <c r="AQ37" s="49">
        <f t="shared" si="13"/>
        <v>0</v>
      </c>
      <c r="AR37" s="49" t="str">
        <f t="shared" si="14"/>
        <v/>
      </c>
      <c r="AV37" t="str" cm="1">
        <f t="array" ref="AV37:AV45">_xlfn.UNIQUE(AE6:AE110)</f>
        <v/>
      </c>
    </row>
    <row r="38" spans="1:52" ht="30" customHeight="1" x14ac:dyDescent="0.35">
      <c r="A38" t="str">
        <f t="shared" ref="A38:A40" si="17">CONCATENATE($B$25,"
",$B$27,"
",$B$33,"
",$B$34,"
",$B$35)</f>
        <v>PT146 - Projeto S-2087 - IB3 12 MTA - ANÁLISE ESTRUTURAL (alegria)
1211LL - PRÉDIO DA BRITAGEM SECUNDÁRIA IB3
FASE 2
Metálica
1ª Condição: Situação atual (Levantamento de Campo)</v>
      </c>
      <c r="B38" s="38" t="s">
        <v>91</v>
      </c>
      <c r="C38" s="85" t="str">
        <f>IF(AND($B38=[1]adriano!$A35,[1]adriano!$B35=C$4),"ok","nok")</f>
        <v>nok</v>
      </c>
      <c r="D38" s="85" t="str">
        <f>IF(AND($B38=[1]adriano!$A35,[1]adriano!$B35=D$4),"ok","nok")</f>
        <v>nok</v>
      </c>
      <c r="E38" s="85" t="str">
        <f>IF(AND($B38=[1]adriano!$A35,[1]adriano!$B35=E$4),"ok","nok")</f>
        <v>nok</v>
      </c>
      <c r="F38" s="85" t="str">
        <f>IF(AND($B38=[1]adriano!$A35,[1]adriano!$B35=F$4),"ok","nok")</f>
        <v>nok</v>
      </c>
      <c r="G38" s="178"/>
      <c r="H38" s="85" t="str">
        <f>IF(AND($B38=[1]adriano!$A35,[1]adriano!$B35=H$4),"ok","nok")</f>
        <v>nok</v>
      </c>
      <c r="I38" s="85" t="str">
        <f>IF(AND($B38=[1]adriano!$A35,[1]adriano!$B35=I$4),"ok","nok")</f>
        <v>nok</v>
      </c>
      <c r="J38" s="85" t="str">
        <f>IF(AND($B38=[1]adriano!$A35,[1]adriano!$B35=J$4),"ok","nok")</f>
        <v>nok</v>
      </c>
      <c r="K38" s="85" t="str">
        <f>IF(AND($B38=[1]adriano!$A35,[1]adriano!$B35=K$4),"ok","nok")</f>
        <v>nok</v>
      </c>
      <c r="L38" s="85" t="str">
        <f>IF(AND($B38=[1]adriano!$A35,[1]adriano!$B35=L$4),"ok","nok")</f>
        <v>nok</v>
      </c>
      <c r="M38" s="85" t="str">
        <f>IF(AND($B38=[1]adriano!$A35,[1]adriano!$B35=M$4),"ok","nok")</f>
        <v>nok</v>
      </c>
      <c r="N38" s="85" t="str">
        <f>IF(AND($B38=[1]adriano!$A35,[1]adriano!$B35=N$4),"ok","nok")</f>
        <v>nok</v>
      </c>
      <c r="O38" s="85" t="str">
        <f>IF(AND($B38=[1]adriano!$A35,[1]adriano!$B35=O$4),"ok","nok")</f>
        <v>nok</v>
      </c>
      <c r="P38" s="85" t="str">
        <f>IF(AND($B38=[1]adriano!$A35,[1]adriano!$B35=P$4),"ok","nok")</f>
        <v>nok</v>
      </c>
      <c r="Q38" s="85" t="str">
        <f>IF(AND($B38=[1]adriano!$A35,[1]adriano!$B35=Q$4),"ok","nok")</f>
        <v>nok</v>
      </c>
      <c r="R38" s="85" t="str">
        <f>IF(AND($B38=[1]adriano!$A35,[1]adriano!$B35=R$4),"ok","nok")</f>
        <v>nok</v>
      </c>
      <c r="S38" s="85" t="str">
        <f>IF(AND($B38=[1]adriano!$A35,[1]adriano!$B35=S$4),"ok","nok")</f>
        <v>nok</v>
      </c>
      <c r="T38" s="85" t="str">
        <f>IF(AND($B38=[1]adriano!$A35,[1]adriano!$B35=T$4),"ok","nok")</f>
        <v>nok</v>
      </c>
      <c r="U38" s="85" t="str">
        <f>IF(AND($B38=[1]adriano!$A35,[1]adriano!$B35=U$4),"ok","nok")</f>
        <v>nok</v>
      </c>
      <c r="V38" s="85" t="str">
        <f>IF(AND($B38=[1]adriano!$A35,[1]adriano!$B35=V$4),"ok","nok")</f>
        <v>ok</v>
      </c>
      <c r="W38" s="85" t="str">
        <f>IF(AND($B38=[1]adriano!$A35,[1]adriano!$B35=W$4),"ok","nok")</f>
        <v>nok</v>
      </c>
      <c r="X38" s="85" t="str">
        <f>IF(AND($B38=[1]adriano!$A35,[1]adriano!$B35=X$4),"ok","nok")</f>
        <v>nok</v>
      </c>
      <c r="Y38" s="97" t="s">
        <v>34</v>
      </c>
      <c r="Z38" s="98"/>
      <c r="AA38" s="98"/>
      <c r="AB38" s="99"/>
      <c r="AC38" s="40"/>
      <c r="AD38" s="40"/>
      <c r="AE38" s="48" t="str">
        <f t="shared" ref="AE38:AE98" si="18">IF(Y38="ATRASADO",B38,"")</f>
        <v>Aplicação de carregamento e condições de contorno</v>
      </c>
      <c r="AF38" s="48"/>
      <c r="AG38" s="48"/>
      <c r="AH38" s="67"/>
      <c r="AI38" s="49">
        <f t="shared" si="5"/>
        <v>0</v>
      </c>
      <c r="AJ38" s="49" t="str">
        <f t="shared" si="6"/>
        <v/>
      </c>
      <c r="AK38" s="49">
        <f t="shared" si="7"/>
        <v>0</v>
      </c>
      <c r="AL38" s="49" t="str">
        <f t="shared" si="8"/>
        <v/>
      </c>
      <c r="AM38" s="49">
        <f t="shared" si="9"/>
        <v>0</v>
      </c>
      <c r="AN38" s="49" t="str">
        <f t="shared" si="10"/>
        <v/>
      </c>
      <c r="AO38" s="49">
        <f t="shared" si="11"/>
        <v>1</v>
      </c>
      <c r="AP38" s="49" t="str">
        <f t="shared" si="12"/>
        <v/>
      </c>
      <c r="AQ38" s="49">
        <f t="shared" si="13"/>
        <v>0</v>
      </c>
      <c r="AR38" s="49" t="str">
        <f t="shared" si="14"/>
        <v/>
      </c>
      <c r="AV38" t="str">
        <v>Modelagem FEM</v>
      </c>
      <c r="AY38">
        <f>COUNTIF(AE6:AE110,AV38)</f>
        <v>2</v>
      </c>
      <c r="AZ38" s="53"/>
    </row>
    <row r="39" spans="1:52" ht="30" customHeight="1" x14ac:dyDescent="0.35">
      <c r="A39" t="str">
        <f t="shared" si="17"/>
        <v>PT146 - Projeto S-2087 - IB3 12 MTA - ANÁLISE ESTRUTURAL (alegria)
1211LL - PRÉDIO DA BRITAGEM SECUNDÁRIA IB3
FASE 2
Metálica
1ª Condição: Situação atual (Levantamento de Campo)</v>
      </c>
      <c r="B39" s="38" t="s">
        <v>92</v>
      </c>
      <c r="C39" s="85" t="str">
        <f>IF(AND($B39=[1]adriano!$A36,[1]adriano!$B36=C$4),"ok","nok")</f>
        <v>nok</v>
      </c>
      <c r="D39" s="85" t="str">
        <f>IF(AND($B39=[1]adriano!$A36,[1]adriano!$B36=D$4),"ok","nok")</f>
        <v>nok</v>
      </c>
      <c r="E39" s="85" t="str">
        <f>IF(AND($B39=[1]adriano!$A36,[1]adriano!$B36=E$4),"ok","nok")</f>
        <v>nok</v>
      </c>
      <c r="F39" s="85" t="str">
        <f>IF(AND($B39=[1]adriano!$A36,[1]adriano!$B36=F$4),"ok","nok")</f>
        <v>nok</v>
      </c>
      <c r="G39" s="85" t="str">
        <f>IF(AND($B39=[1]adriano!$A36,[1]adriano!$B36=G$4),"ok","nok")</f>
        <v>nok</v>
      </c>
      <c r="H39" s="85" t="str">
        <f>IF(AND($B39=[1]adriano!$A36,[1]adriano!$B36=H$4),"ok","nok")</f>
        <v>nok</v>
      </c>
      <c r="I39" s="178"/>
      <c r="J39" s="85" t="str">
        <f>IF(AND($B39=[1]adriano!$A36,[1]adriano!$B36=J$4),"ok","nok")</f>
        <v>nok</v>
      </c>
      <c r="K39" s="85" t="str">
        <f>IF(AND($B39=[1]adriano!$A36,[1]adriano!$B36=K$4),"ok","nok")</f>
        <v>nok</v>
      </c>
      <c r="L39" s="85" t="str">
        <f>IF(AND($B39=[1]adriano!$A36,[1]adriano!$B36=L$4),"ok","nok")</f>
        <v>nok</v>
      </c>
      <c r="M39" s="85" t="str">
        <f>IF(AND($B39=[1]adriano!$A36,[1]adriano!$B36=M$4),"ok","nok")</f>
        <v>nok</v>
      </c>
      <c r="N39" s="85" t="str">
        <f>IF(AND($B39=[1]adriano!$A36,[1]adriano!$B36=N$4),"ok","nok")</f>
        <v>nok</v>
      </c>
      <c r="O39" s="85" t="str">
        <f>IF(AND($B39=[1]adriano!$A36,[1]adriano!$B36=O$4),"ok","nok")</f>
        <v>nok</v>
      </c>
      <c r="P39" s="85" t="str">
        <f>IF(AND($B39=[1]adriano!$A36,[1]adriano!$B36=P$4),"ok","nok")</f>
        <v>nok</v>
      </c>
      <c r="Q39" s="85" t="str">
        <f>IF(AND($B39=[1]adriano!$A36,[1]adriano!$B36=Q$4),"ok","nok")</f>
        <v>nok</v>
      </c>
      <c r="R39" s="85" t="str">
        <f>IF(AND($B39=[1]adriano!$A36,[1]adriano!$B36=R$4),"ok","nok")</f>
        <v>nok</v>
      </c>
      <c r="S39" s="85" t="str">
        <f>IF(AND($B39=[1]adriano!$A36,[1]adriano!$B36=S$4),"ok","nok")</f>
        <v>nok</v>
      </c>
      <c r="T39" s="85" t="str">
        <f>IF(AND($B39=[1]adriano!$A36,[1]adriano!$B36=T$4),"ok","nok")</f>
        <v>nok</v>
      </c>
      <c r="U39" s="85" t="str">
        <f>IF(AND($B39=[1]adriano!$A36,[1]adriano!$B36=U$4),"ok","nok")</f>
        <v>nok</v>
      </c>
      <c r="V39" s="85" t="str">
        <f>IF(AND($B39=[1]adriano!$A36,[1]adriano!$B36=V$4),"ok","nok")</f>
        <v>nok</v>
      </c>
      <c r="W39" s="85" t="str">
        <f>IF(AND($B39=[1]adriano!$A36,[1]adriano!$B36=W$4),"ok","nok")</f>
        <v>ok</v>
      </c>
      <c r="X39" s="85" t="str">
        <f>IF(AND($B39=[1]adriano!$A36,[1]adriano!$B36=X$4),"ok","nok")</f>
        <v>nok</v>
      </c>
      <c r="Y39" s="97" t="s">
        <v>35</v>
      </c>
      <c r="Z39" s="98"/>
      <c r="AA39" s="98"/>
      <c r="AB39" s="99"/>
      <c r="AC39" s="46"/>
      <c r="AD39" s="46"/>
      <c r="AE39" s="48" t="str">
        <f t="shared" si="18"/>
        <v/>
      </c>
      <c r="AF39" s="48"/>
      <c r="AG39" s="48"/>
      <c r="AH39" s="67"/>
      <c r="AI39" s="49">
        <f t="shared" si="5"/>
        <v>0</v>
      </c>
      <c r="AJ39" s="49" t="str">
        <f t="shared" si="6"/>
        <v/>
      </c>
      <c r="AK39" s="49">
        <f t="shared" si="7"/>
        <v>0</v>
      </c>
      <c r="AL39" s="49" t="str">
        <f t="shared" si="8"/>
        <v/>
      </c>
      <c r="AM39" s="49">
        <f t="shared" si="9"/>
        <v>0</v>
      </c>
      <c r="AN39" s="49" t="str">
        <f t="shared" si="10"/>
        <v/>
      </c>
      <c r="AO39" s="49">
        <f t="shared" si="11"/>
        <v>0</v>
      </c>
      <c r="AP39" s="49" t="str">
        <f t="shared" si="12"/>
        <v/>
      </c>
      <c r="AQ39" s="49">
        <f t="shared" si="13"/>
        <v>1</v>
      </c>
      <c r="AR39" s="49" t="str">
        <f t="shared" si="14"/>
        <v/>
      </c>
      <c r="AV39" t="str">
        <v>Aplicação de carregamento e condições de contorno</v>
      </c>
      <c r="AY39">
        <f>COUNTIF(AE7:AE111,AV39)</f>
        <v>2</v>
      </c>
      <c r="AZ39" s="53"/>
    </row>
    <row r="40" spans="1:52" ht="30" customHeight="1" x14ac:dyDescent="0.35">
      <c r="A40" t="str">
        <f t="shared" si="17"/>
        <v>PT146 - Projeto S-2087 - IB3 12 MTA - ANÁLISE ESTRUTURAL (alegria)
1211LL - PRÉDIO DA BRITAGEM SECUNDÁRIA IB3
FASE 2
Metálica
1ª Condição: Situação atual (Levantamento de Campo)</v>
      </c>
      <c r="B40" s="38" t="s">
        <v>93</v>
      </c>
      <c r="C40" s="85" t="str">
        <f>IF(AND($B40=[1]adriano!$A37,[1]adriano!$B37=C$4),"ok","nok")</f>
        <v>nok</v>
      </c>
      <c r="D40" s="85" t="str">
        <f>IF(AND($B40=[1]adriano!$A37,[1]adriano!$B37=D$4),"ok","nok")</f>
        <v>nok</v>
      </c>
      <c r="E40" s="85" t="str">
        <f>IF(AND($B40=[1]adriano!$A37,[1]adriano!$B37=E$4),"ok","nok")</f>
        <v>nok</v>
      </c>
      <c r="F40" s="85" t="str">
        <f>IF(AND($B40=[1]adriano!$A37,[1]adriano!$B37=F$4),"ok","nok")</f>
        <v>nok</v>
      </c>
      <c r="G40" s="85" t="str">
        <f>IF(AND($B40=[1]adriano!$A37,[1]adriano!$B37=G$4),"ok","nok")</f>
        <v>nok</v>
      </c>
      <c r="H40" s="85" t="str">
        <f>IF(AND($B40=[1]adriano!$A37,[1]adriano!$B37=H$4),"ok","nok")</f>
        <v>nok</v>
      </c>
      <c r="I40" s="85" t="str">
        <f>IF(AND($B40=[1]adriano!$A37,[1]adriano!$B37=I$4),"ok","nok")</f>
        <v>nok</v>
      </c>
      <c r="J40" s="85" t="str">
        <f>IF(AND($B40=[1]adriano!$A37,[1]adriano!$B37=J$4),"ok","nok")</f>
        <v>nok</v>
      </c>
      <c r="K40" s="178"/>
      <c r="L40" s="85" t="str">
        <f>IF(AND($B40=[1]adriano!$A37,[1]adriano!$B37=L$4),"ok","nok")</f>
        <v>nok</v>
      </c>
      <c r="M40" s="85" t="str">
        <f>IF(AND($B40=[1]adriano!$A37,[1]adriano!$B37=M$4),"ok","nok")</f>
        <v>nok</v>
      </c>
      <c r="N40" s="85" t="str">
        <f>IF(AND($B40=[1]adriano!$A37,[1]adriano!$B37=N$4),"ok","nok")</f>
        <v>nok</v>
      </c>
      <c r="O40" s="85" t="str">
        <f>IF(AND($B40=[1]adriano!$A37,[1]adriano!$B37=O$4),"ok","nok")</f>
        <v>nok</v>
      </c>
      <c r="P40" s="85" t="str">
        <f>IF(AND($B40=[1]adriano!$A37,[1]adriano!$B37=P$4),"ok","nok")</f>
        <v>nok</v>
      </c>
      <c r="Q40" s="85" t="str">
        <f>IF(AND($B40=[1]adriano!$A37,[1]adriano!$B37=Q$4),"ok","nok")</f>
        <v>nok</v>
      </c>
      <c r="R40" s="85" t="str">
        <f>IF(AND($B40=[1]adriano!$A37,[1]adriano!$B37=R$4),"ok","nok")</f>
        <v>nok</v>
      </c>
      <c r="S40" s="85" t="str">
        <f>IF(AND($B40=[1]adriano!$A37,[1]adriano!$B37=S$4),"ok","nok")</f>
        <v>nok</v>
      </c>
      <c r="T40" s="85" t="str">
        <f>IF(AND($B40=[1]adriano!$A37,[1]adriano!$B37=T$4),"ok","nok")</f>
        <v>nok</v>
      </c>
      <c r="U40" s="85" t="str">
        <f>IF(AND($B40=[1]adriano!$A37,[1]adriano!$B37=U$4),"ok","nok")</f>
        <v>nok</v>
      </c>
      <c r="V40" s="85" t="str">
        <f>IF(AND($B40=[1]adriano!$A37,[1]adriano!$B37=V$4),"ok","nok")</f>
        <v>nok</v>
      </c>
      <c r="W40" s="85" t="str">
        <f>IF(AND($B40=[1]adriano!$A37,[1]adriano!$B37=W$4),"ok","nok")</f>
        <v>nok</v>
      </c>
      <c r="X40" s="85" t="str">
        <f>IF(AND($B40=[1]adriano!$A37,[1]adriano!$B37=X$4),"ok","nok")</f>
        <v>ok</v>
      </c>
      <c r="Y40" s="97" t="s">
        <v>35</v>
      </c>
      <c r="Z40" s="98"/>
      <c r="AA40" s="98"/>
      <c r="AB40" s="99"/>
      <c r="AC40" s="40"/>
      <c r="AD40" s="40"/>
      <c r="AE40" s="48" t="str">
        <f t="shared" si="18"/>
        <v/>
      </c>
      <c r="AF40" s="48"/>
      <c r="AG40" s="48"/>
      <c r="AH40" s="67"/>
      <c r="AI40" s="49">
        <f t="shared" si="5"/>
        <v>0</v>
      </c>
      <c r="AJ40" s="49" t="str">
        <f t="shared" si="6"/>
        <v/>
      </c>
      <c r="AK40" s="49">
        <f t="shared" si="7"/>
        <v>0</v>
      </c>
      <c r="AL40" s="49" t="str">
        <f t="shared" si="8"/>
        <v/>
      </c>
      <c r="AM40" s="49">
        <f t="shared" si="9"/>
        <v>0</v>
      </c>
      <c r="AN40" s="49" t="str">
        <f t="shared" si="10"/>
        <v/>
      </c>
      <c r="AO40" s="49">
        <f t="shared" si="11"/>
        <v>0</v>
      </c>
      <c r="AP40" s="49" t="str">
        <f t="shared" si="12"/>
        <v/>
      </c>
      <c r="AQ40" s="49">
        <f t="shared" si="13"/>
        <v>1</v>
      </c>
      <c r="AR40" s="49" t="str">
        <f t="shared" si="14"/>
        <v/>
      </c>
      <c r="AV40" t="str">
        <v>Modelagem da Estrutura</v>
      </c>
      <c r="AY40">
        <f>COUNTIF(AE8:AE112,AV40)</f>
        <v>1</v>
      </c>
      <c r="AZ40" s="53"/>
    </row>
    <row r="41" spans="1:52" ht="30" customHeight="1" x14ac:dyDescent="0.35">
      <c r="B41" s="86" t="s">
        <v>53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109"/>
      <c r="Z41" s="110"/>
      <c r="AA41" s="110"/>
      <c r="AB41" s="111"/>
      <c r="AC41" s="40"/>
      <c r="AD41" s="40"/>
      <c r="AE41" s="48" t="str">
        <f t="shared" si="18"/>
        <v/>
      </c>
      <c r="AF41" s="48"/>
      <c r="AG41" s="48"/>
      <c r="AH41" s="67"/>
      <c r="AI41" s="49">
        <f t="shared" si="5"/>
        <v>0</v>
      </c>
      <c r="AJ41" s="49" t="str">
        <f t="shared" si="6"/>
        <v/>
      </c>
      <c r="AK41" s="49">
        <f t="shared" si="7"/>
        <v>0</v>
      </c>
      <c r="AL41" s="49" t="str">
        <f t="shared" si="8"/>
        <v/>
      </c>
      <c r="AM41" s="49">
        <f t="shared" si="9"/>
        <v>0</v>
      </c>
      <c r="AN41" s="49" t="str">
        <f t="shared" si="10"/>
        <v/>
      </c>
      <c r="AO41" s="49">
        <f t="shared" si="11"/>
        <v>0</v>
      </c>
      <c r="AP41" s="49" t="str">
        <f t="shared" si="12"/>
        <v/>
      </c>
      <c r="AQ41" s="49">
        <f t="shared" si="13"/>
        <v>0</v>
      </c>
      <c r="AR41" s="49" t="str">
        <f t="shared" si="14"/>
        <v/>
      </c>
      <c r="AV41" t="str">
        <v>Modelagem CAD 3D</v>
      </c>
      <c r="AY41">
        <f>COUNTIF(AE9:AE113,AV41)</f>
        <v>1</v>
      </c>
      <c r="AZ41" s="53"/>
    </row>
    <row r="42" spans="1:52" ht="30" customHeight="1" x14ac:dyDescent="0.35">
      <c r="A42" t="str">
        <f>CONCATENATE($B$25,"
",$B$27,"
",$B$33,"
",$B$34,"
",$B$41)</f>
        <v>PT146 - Projeto S-2087 - IB3 12 MTA - ANÁLISE ESTRUTURAL (alegria)
1211LL - PRÉDIO DA BRITAGEM SECUNDÁRIA IB3
FASE 2
Metálica
MEMÓRIA DE CÁLCULO: MC-1211LL-S-00002</v>
      </c>
      <c r="B42" s="38" t="s">
        <v>94</v>
      </c>
      <c r="C42" s="85" t="str">
        <f>IF(AND($B42=[1]adriano!$A39,[1]adriano!$B39=C$4),"ok","nok")</f>
        <v>nok</v>
      </c>
      <c r="D42" s="85" t="str">
        <f>IF(AND($B42=[1]adriano!$A39,[1]adriano!$B39=D$4),"ok","nok")</f>
        <v>nok</v>
      </c>
      <c r="E42" s="85" t="str">
        <f>IF(AND($B42=[1]adriano!$A39,[1]adriano!$B39=E$4),"ok","nok")</f>
        <v>nok</v>
      </c>
      <c r="F42" s="85" t="str">
        <f>IF(AND($B42=[1]adriano!$A39,[1]adriano!$B39=F$4),"ok","nok")</f>
        <v>nok</v>
      </c>
      <c r="G42" s="85" t="str">
        <f>IF(AND($B42=[1]adriano!$A39,[1]adriano!$B39=G$4),"ok","nok")</f>
        <v>nok</v>
      </c>
      <c r="H42" s="85" t="str">
        <f>IF(AND($B42=[1]adriano!$A39,[1]adriano!$B39=H$4),"ok","nok")</f>
        <v>nok</v>
      </c>
      <c r="I42" s="85" t="str">
        <f>IF(AND($B42=[1]adriano!$A39,[1]adriano!$B39=I$4),"ok","nok")</f>
        <v>nok</v>
      </c>
      <c r="J42" s="85" t="str">
        <f>IF(AND($B42=[1]adriano!$A39,[1]adriano!$B39=J$4),"ok","nok")</f>
        <v>nok</v>
      </c>
      <c r="K42" s="85" t="str">
        <f>IF(AND($B42=[1]adriano!$A39,[1]adriano!$B39=K$4),"ok","nok")</f>
        <v>nok</v>
      </c>
      <c r="L42" s="85" t="str">
        <f>IF(AND($B42=[1]adriano!$A39,[1]adriano!$B39=L$4),"ok","nok")</f>
        <v>nok</v>
      </c>
      <c r="M42" s="85" t="str">
        <f>IF(AND($B42=[1]adriano!$A39,[1]adriano!$B39=M$4),"ok","nok")</f>
        <v>nok</v>
      </c>
      <c r="N42" s="85" t="str">
        <f>IF(AND($B42=[1]adriano!$A39,[1]adriano!$B39=N$4),"ok","nok")</f>
        <v>ok</v>
      </c>
      <c r="O42" s="85" t="str">
        <f>IF(AND($B42=[1]adriano!$A39,[1]adriano!$B39=O$4),"ok","nok")</f>
        <v>nok</v>
      </c>
      <c r="P42" s="85" t="str">
        <f>IF(AND($B42=[1]adriano!$A39,[1]adriano!$B39=P$4),"ok","nok")</f>
        <v>nok</v>
      </c>
      <c r="Q42" s="85" t="str">
        <f>IF(AND($B42=[1]adriano!$A39,[1]adriano!$B39=Q$4),"ok","nok")</f>
        <v>nok</v>
      </c>
      <c r="R42" s="85" t="str">
        <f>IF(AND($B42=[1]adriano!$A39,[1]adriano!$B39=R$4),"ok","nok")</f>
        <v>nok</v>
      </c>
      <c r="S42" s="85" t="str">
        <f>IF(AND($B42=[1]adriano!$A39,[1]adriano!$B39=S$4),"ok","nok")</f>
        <v>nok</v>
      </c>
      <c r="T42" s="85" t="str">
        <f>IF(AND($B42=[1]adriano!$A39,[1]adriano!$B39=T$4),"ok","nok")</f>
        <v>nok</v>
      </c>
      <c r="U42" s="85" t="str">
        <f>IF(AND($B42=[1]adriano!$A39,[1]adriano!$B39=U$4),"ok","nok")</f>
        <v>nok</v>
      </c>
      <c r="V42" s="85" t="str">
        <f>IF(AND($B42=[1]adriano!$A39,[1]adriano!$B39=V$4),"ok","nok")</f>
        <v>nok</v>
      </c>
      <c r="W42" s="85" t="str">
        <f>IF(AND($B42=[1]adriano!$A39,[1]adriano!$B39=W$4),"ok","nok")</f>
        <v>nok</v>
      </c>
      <c r="X42" s="85" t="str">
        <f>IF(AND($B42=[1]adriano!$A39,[1]adriano!$B39=X$4),"ok","nok")</f>
        <v>nok</v>
      </c>
      <c r="Y42" s="97" t="s">
        <v>15</v>
      </c>
      <c r="Z42" s="98"/>
      <c r="AA42" s="98"/>
      <c r="AB42" s="99"/>
      <c r="AC42" s="40"/>
      <c r="AD42" s="40"/>
      <c r="AE42" s="48" t="str">
        <f t="shared" si="18"/>
        <v/>
      </c>
      <c r="AF42" s="48"/>
      <c r="AG42" s="48"/>
      <c r="AH42" s="67"/>
      <c r="AI42" s="49">
        <f t="shared" si="5"/>
        <v>0</v>
      </c>
      <c r="AJ42" s="49" t="str">
        <f t="shared" si="6"/>
        <v/>
      </c>
      <c r="AK42" s="49">
        <f t="shared" si="7"/>
        <v>0</v>
      </c>
      <c r="AL42" s="49" t="str">
        <f t="shared" si="8"/>
        <v/>
      </c>
      <c r="AM42" s="49">
        <f t="shared" si="9"/>
        <v>1</v>
      </c>
      <c r="AN42" s="49" t="str">
        <f t="shared" si="10"/>
        <v/>
      </c>
      <c r="AO42" s="49">
        <f t="shared" si="11"/>
        <v>0</v>
      </c>
      <c r="AP42" s="49" t="str">
        <f t="shared" si="12"/>
        <v/>
      </c>
      <c r="AQ42" s="49">
        <f t="shared" si="13"/>
        <v>0</v>
      </c>
      <c r="AR42" s="49" t="str">
        <f t="shared" si="14"/>
        <v/>
      </c>
      <c r="AV42" t="str">
        <v>MARCO - Emissão Inicial (Rev_B)</v>
      </c>
      <c r="AY42">
        <f>COUNTIF(AE10:AE114,AV42)</f>
        <v>1</v>
      </c>
      <c r="AZ42" s="53"/>
    </row>
    <row r="43" spans="1:52" ht="30" customHeight="1" x14ac:dyDescent="0.35">
      <c r="A43" t="str">
        <f t="shared" ref="A43:A44" si="19">CONCATENATE($B$25,"
",$B$27,"
",$B$33,"
",$B$34,"
",$B$41)</f>
        <v>PT146 - Projeto S-2087 - IB3 12 MTA - ANÁLISE ESTRUTURAL (alegria)
1211LL - PRÉDIO DA BRITAGEM SECUNDÁRIA IB3
FASE 2
Metálica
MEMÓRIA DE CÁLCULO: MC-1211LL-S-00002</v>
      </c>
      <c r="B43" s="38" t="s">
        <v>54</v>
      </c>
      <c r="C43" s="85" t="str">
        <f>IF(AND($B43=[1]adriano!$A40,[1]adriano!$B40=C$4),"ok","nok")</f>
        <v>nok</v>
      </c>
      <c r="D43" s="85" t="str">
        <f>IF(AND($B43=[1]adriano!$A40,[1]adriano!$B40=D$4),"ok","nok")</f>
        <v>nok</v>
      </c>
      <c r="E43" s="85" t="str">
        <f>IF(AND($B43=[1]adriano!$A40,[1]adriano!$B40=E$4),"ok","nok")</f>
        <v>nok</v>
      </c>
      <c r="F43" s="85" t="str">
        <f>IF(AND($B43=[1]adriano!$A40,[1]adriano!$B40=F$4),"ok","nok")</f>
        <v>nok</v>
      </c>
      <c r="G43" s="85" t="str">
        <f>IF(AND($B43=[1]adriano!$A40,[1]adriano!$B40=G$4),"ok","nok")</f>
        <v>nok</v>
      </c>
      <c r="H43" s="85" t="str">
        <f>IF(AND($B43=[1]adriano!$A40,[1]adriano!$B40=H$4),"ok","nok")</f>
        <v>nok</v>
      </c>
      <c r="I43" s="85" t="str">
        <f>IF(AND($B43=[1]adriano!$A40,[1]adriano!$B40=I$4),"ok","nok")</f>
        <v>nok</v>
      </c>
      <c r="J43" s="85" t="str">
        <f>IF(AND($B43=[1]adriano!$A40,[1]adriano!$B40=J$4),"ok","nok")</f>
        <v>nok</v>
      </c>
      <c r="K43" s="85" t="str">
        <f>IF(AND($B43=[1]adriano!$A40,[1]adriano!$B40=K$4),"ok","nok")</f>
        <v>nok</v>
      </c>
      <c r="L43" s="85" t="str">
        <f>IF(AND($B43=[1]adriano!$A40,[1]adriano!$B40=L$4),"ok","nok")</f>
        <v>nok</v>
      </c>
      <c r="M43" s="85" t="str">
        <f>IF(AND($B43=[1]adriano!$A40,[1]adriano!$B40=M$4),"ok","nok")</f>
        <v>nok</v>
      </c>
      <c r="N43" s="85" t="str">
        <f>IF(AND($B43=[1]adriano!$A40,[1]adriano!$B40=N$4),"ok","nok")</f>
        <v>nok</v>
      </c>
      <c r="O43" s="85" t="str">
        <f>IF(AND($B43=[1]adriano!$A40,[1]adriano!$B40=O$4),"ok","nok")</f>
        <v>nok</v>
      </c>
      <c r="P43" s="85" t="str">
        <f>IF(AND($B43=[1]adriano!$A40,[1]adriano!$B40=P$4),"ok","nok")</f>
        <v>nok</v>
      </c>
      <c r="Q43" s="85" t="str">
        <f>IF(AND($B43=[1]adriano!$A40,[1]adriano!$B40=Q$4),"ok","nok")</f>
        <v>nok</v>
      </c>
      <c r="R43" s="85" t="str">
        <f>IF(AND($B43=[1]adriano!$A40,[1]adriano!$B40=R$4),"ok","nok")</f>
        <v>nok</v>
      </c>
      <c r="S43" s="178"/>
      <c r="T43" s="85" t="str">
        <f>IF(AND($B43=[1]adriano!$A40,[1]adriano!$B40=T$4),"ok","nok")</f>
        <v>nok</v>
      </c>
      <c r="U43" s="85" t="str">
        <f>IF(AND($B43=[1]adriano!$A40,[1]adriano!$B40=U$4),"ok","nok")</f>
        <v>nok</v>
      </c>
      <c r="V43" s="85" t="str">
        <f>IF(AND($B43=[1]adriano!$A40,[1]adriano!$B40=V$4),"ok","nok")</f>
        <v>ok</v>
      </c>
      <c r="W43" s="85" t="str">
        <f>IF(AND($B43=[1]adriano!$A40,[1]adriano!$B40=W$4),"ok","nok")</f>
        <v>nok</v>
      </c>
      <c r="X43" s="85" t="str">
        <f>IF(AND($B43=[1]adriano!$A40,[1]adriano!$B40=X$4),"ok","nok")</f>
        <v>nok</v>
      </c>
      <c r="Y43" s="97" t="s">
        <v>15</v>
      </c>
      <c r="Z43" s="98"/>
      <c r="AA43" s="98"/>
      <c r="AB43" s="99"/>
      <c r="AC43" s="40"/>
      <c r="AD43" s="40"/>
      <c r="AE43" s="48" t="str">
        <f t="shared" si="18"/>
        <v/>
      </c>
      <c r="AF43" s="48"/>
      <c r="AG43" s="48"/>
      <c r="AH43" s="67"/>
      <c r="AI43" s="49">
        <f t="shared" si="5"/>
        <v>0</v>
      </c>
      <c r="AJ43" s="49" t="str">
        <f t="shared" si="6"/>
        <v/>
      </c>
      <c r="AK43" s="49">
        <f t="shared" si="7"/>
        <v>0</v>
      </c>
      <c r="AL43" s="49" t="str">
        <f t="shared" si="8"/>
        <v/>
      </c>
      <c r="AM43" s="49">
        <f t="shared" si="9"/>
        <v>0</v>
      </c>
      <c r="AN43" s="49" t="str">
        <f t="shared" si="10"/>
        <v/>
      </c>
      <c r="AO43" s="49">
        <f t="shared" si="11"/>
        <v>1</v>
      </c>
      <c r="AP43" s="49" t="str">
        <f t="shared" si="12"/>
        <v/>
      </c>
      <c r="AQ43" s="49">
        <f t="shared" si="13"/>
        <v>0</v>
      </c>
      <c r="AR43" s="49" t="str">
        <f t="shared" si="14"/>
        <v/>
      </c>
      <c r="AV43" t="str">
        <v>Certificação do documento - Vibracon</v>
      </c>
      <c r="AY43">
        <f>COUNTIF(AE11:AE115,AV43)</f>
        <v>4</v>
      </c>
      <c r="AZ43" s="53"/>
    </row>
    <row r="44" spans="1:52" ht="30" customHeight="1" x14ac:dyDescent="0.35">
      <c r="A44" t="str">
        <f t="shared" si="19"/>
        <v>PT146 - Projeto S-2087 - IB3 12 MTA - ANÁLISE ESTRUTURAL (alegria)
1211LL - PRÉDIO DA BRITAGEM SECUNDÁRIA IB3
FASE 2
Metálica
MEMÓRIA DE CÁLCULO: MC-1211LL-S-00002</v>
      </c>
      <c r="B44" s="38" t="s">
        <v>95</v>
      </c>
      <c r="C44" s="85" t="str">
        <f>IF(AND($B44=[1]adriano!$A41,[1]adriano!$B41=C$4),"ok","nok")</f>
        <v>nok</v>
      </c>
      <c r="D44" s="85" t="str">
        <f>IF(AND($B44=[1]adriano!$A41,[1]adriano!$B41=D$4),"ok","nok")</f>
        <v>nok</v>
      </c>
      <c r="E44" s="85" t="str">
        <f>IF(AND($B44=[1]adriano!$A41,[1]adriano!$B41=E$4),"ok","nok")</f>
        <v>nok</v>
      </c>
      <c r="F44" s="85" t="str">
        <f>IF(AND($B44=[1]adriano!$A41,[1]adriano!$B41=F$4),"ok","nok")</f>
        <v>nok</v>
      </c>
      <c r="G44" s="85" t="str">
        <f>IF(AND($B44=[1]adriano!$A41,[1]adriano!$B41=G$4),"ok","nok")</f>
        <v>nok</v>
      </c>
      <c r="H44" s="85" t="str">
        <f>IF(AND($B44=[1]adriano!$A41,[1]adriano!$B41=H$4),"ok","nok")</f>
        <v>nok</v>
      </c>
      <c r="I44" s="85" t="str">
        <f>IF(AND($B44=[1]adriano!$A41,[1]adriano!$B41=I$4),"ok","nok")</f>
        <v>nok</v>
      </c>
      <c r="J44" s="85" t="str">
        <f>IF(AND($B44=[1]adriano!$A41,[1]adriano!$B41=J$4),"ok","nok")</f>
        <v>nok</v>
      </c>
      <c r="K44" s="85" t="str">
        <f>IF(AND($B44=[1]adriano!$A41,[1]adriano!$B41=K$4),"ok","nok")</f>
        <v>nok</v>
      </c>
      <c r="L44" s="85" t="str">
        <f>IF(AND($B44=[1]adriano!$A41,[1]adriano!$B41=L$4),"ok","nok")</f>
        <v>nok</v>
      </c>
      <c r="M44" s="85" t="str">
        <f>IF(AND($B44=[1]adriano!$A41,[1]adriano!$B41=M$4),"ok","nok")</f>
        <v>nok</v>
      </c>
      <c r="N44" s="85" t="str">
        <f>IF(AND($B44=[1]adriano!$A41,[1]adriano!$B41=N$4),"ok","nok")</f>
        <v>nok</v>
      </c>
      <c r="O44" s="85" t="str">
        <f>IF(AND($B44=[1]adriano!$A41,[1]adriano!$B41=O$4),"ok","nok")</f>
        <v>nok</v>
      </c>
      <c r="P44" s="85" t="str">
        <f>IF(AND($B44=[1]adriano!$A41,[1]adriano!$B41=P$4),"ok","nok")</f>
        <v>nok</v>
      </c>
      <c r="Q44" s="85" t="str">
        <f>IF(AND($B44=[1]adriano!$A41,[1]adriano!$B41=Q$4),"ok","nok")</f>
        <v>nok</v>
      </c>
      <c r="R44" s="85" t="str">
        <f>IF(AND($B44=[1]adriano!$A41,[1]adriano!$B41=R$4),"ok","nok")</f>
        <v>nok</v>
      </c>
      <c r="S44" s="85" t="str">
        <f>IF(AND($B44=[1]adriano!$A41,[1]adriano!$B41=S$4),"ok","nok")</f>
        <v>nok</v>
      </c>
      <c r="T44" s="85" t="str">
        <f>IF(AND($B44=[1]adriano!$A41,[1]adriano!$B41=T$4),"ok","nok")</f>
        <v>nok</v>
      </c>
      <c r="U44" s="178"/>
      <c r="V44" s="85" t="str">
        <f>IF(AND($B44=[1]adriano!$A41,[1]adriano!$B41=V$4),"ok","nok")</f>
        <v>nok</v>
      </c>
      <c r="W44" s="85" t="str">
        <f>IF(AND($B44=[1]adriano!$A41,[1]adriano!$B41=W$4),"ok","nok")</f>
        <v>nok</v>
      </c>
      <c r="X44" s="85" t="str">
        <f>IF(AND($B44=[1]adriano!$A41,[1]adriano!$B41=X$4),"ok","nok")</f>
        <v>ok</v>
      </c>
      <c r="Y44" s="97" t="s">
        <v>15</v>
      </c>
      <c r="Z44" s="98"/>
      <c r="AA44" s="98"/>
      <c r="AB44" s="99"/>
      <c r="AC44" s="37"/>
      <c r="AD44" s="37"/>
      <c r="AE44" s="48" t="str">
        <f t="shared" si="18"/>
        <v/>
      </c>
      <c r="AF44" s="48"/>
      <c r="AG44" s="48"/>
      <c r="AH44" s="67"/>
      <c r="AI44" s="49">
        <f t="shared" si="5"/>
        <v>0</v>
      </c>
      <c r="AJ44" s="49" t="str">
        <f t="shared" si="6"/>
        <v/>
      </c>
      <c r="AK44" s="49">
        <f t="shared" si="7"/>
        <v>0</v>
      </c>
      <c r="AL44" s="49" t="str">
        <f t="shared" si="8"/>
        <v/>
      </c>
      <c r="AM44" s="49">
        <f t="shared" si="9"/>
        <v>0</v>
      </c>
      <c r="AN44" s="49" t="str">
        <f t="shared" si="10"/>
        <v/>
      </c>
      <c r="AO44" s="49">
        <f t="shared" si="11"/>
        <v>0</v>
      </c>
      <c r="AP44" s="49" t="str">
        <f t="shared" si="12"/>
        <v/>
      </c>
      <c r="AQ44" s="49">
        <f t="shared" si="13"/>
        <v>1</v>
      </c>
      <c r="AR44" s="49" t="str">
        <f t="shared" si="14"/>
        <v/>
      </c>
      <c r="AV44" t="str">
        <v>MARCO - Envio do documento Certificado (Rev_0)</v>
      </c>
      <c r="AY44">
        <f>COUNTIF(AE12:AE116,AV44)</f>
        <v>4</v>
      </c>
      <c r="AZ44" s="53"/>
    </row>
    <row r="45" spans="1:52" ht="30" customHeight="1" x14ac:dyDescent="0.35">
      <c r="B45" s="86" t="s">
        <v>55</v>
      </c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109"/>
      <c r="Z45" s="110"/>
      <c r="AA45" s="110"/>
      <c r="AB45" s="111"/>
      <c r="AC45" s="38"/>
      <c r="AD45" s="38"/>
      <c r="AE45" s="48" t="str">
        <f t="shared" si="18"/>
        <v/>
      </c>
      <c r="AF45" s="48"/>
      <c r="AG45" s="48"/>
      <c r="AH45" s="67"/>
      <c r="AI45" s="49">
        <f t="shared" si="5"/>
        <v>0</v>
      </c>
      <c r="AJ45" s="49" t="str">
        <f t="shared" si="6"/>
        <v/>
      </c>
      <c r="AK45" s="49">
        <f t="shared" si="7"/>
        <v>0</v>
      </c>
      <c r="AL45" s="49" t="str">
        <f t="shared" si="8"/>
        <v/>
      </c>
      <c r="AM45" s="49">
        <f t="shared" si="9"/>
        <v>0</v>
      </c>
      <c r="AN45" s="49" t="str">
        <f t="shared" si="10"/>
        <v/>
      </c>
      <c r="AO45" s="49">
        <f t="shared" si="11"/>
        <v>0</v>
      </c>
      <c r="AP45" s="49" t="str">
        <f t="shared" si="12"/>
        <v/>
      </c>
      <c r="AQ45" s="49">
        <f t="shared" si="13"/>
        <v>0</v>
      </c>
      <c r="AR45" s="49" t="str">
        <f t="shared" si="14"/>
        <v/>
      </c>
      <c r="AV45" t="str">
        <v>Análise das Juntas Soldadas</v>
      </c>
      <c r="AY45">
        <f>COUNTIF(AE13:AE117,AV45)</f>
        <v>1</v>
      </c>
      <c r="AZ45" s="53"/>
    </row>
    <row r="46" spans="1:52" ht="30" customHeight="1" x14ac:dyDescent="0.35">
      <c r="A46" t="str">
        <f>CONCATENATE($B$25,"
",$B$27,"
",$B$33,"
",$B$34,"
",$B$45)</f>
        <v>PT146 - Projeto S-2087 - IB3 12 MTA - ANÁLISE ESTRUTURAL (alegria)
1211LL - PRÉDIO DA BRITAGEM SECUNDÁRIA IB3
FASE 2
Metálica
PROJETO DE REFORÇO: 1211LL-S-70169 e 1211LL-S-70170</v>
      </c>
      <c r="B46" s="38" t="s">
        <v>94</v>
      </c>
      <c r="C46" s="85" t="str">
        <f>IF(AND($B46=[1]adriano!$A43,[1]adriano!$B43=C$4),"ok","nok")</f>
        <v>nok</v>
      </c>
      <c r="D46" s="85" t="str">
        <f>IF(AND($B46=[1]adriano!$A43,[1]adriano!$B43=D$4),"ok","nok")</f>
        <v>nok</v>
      </c>
      <c r="E46" s="85" t="str">
        <f>IF(AND($B46=[1]adriano!$A43,[1]adriano!$B43=E$4),"ok","nok")</f>
        <v>nok</v>
      </c>
      <c r="F46" s="85" t="str">
        <f>IF(AND($B46=[1]adriano!$A43,[1]adriano!$B43=F$4),"ok","nok")</f>
        <v>nok</v>
      </c>
      <c r="G46" s="85" t="str">
        <f>IF(AND($B46=[1]adriano!$A43,[1]adriano!$B43=G$4),"ok","nok")</f>
        <v>nok</v>
      </c>
      <c r="H46" s="85" t="str">
        <f>IF(AND($B46=[1]adriano!$A43,[1]adriano!$B43=H$4),"ok","nok")</f>
        <v>nok</v>
      </c>
      <c r="I46" s="85" t="str">
        <f>IF(AND($B46=[1]adriano!$A43,[1]adriano!$B43=I$4),"ok","nok")</f>
        <v>nok</v>
      </c>
      <c r="J46" s="85" t="str">
        <f>IF(AND($B46=[1]adriano!$A43,[1]adriano!$B43=J$4),"ok","nok")</f>
        <v>nok</v>
      </c>
      <c r="K46" s="85" t="str">
        <f>IF(AND($B46=[1]adriano!$A43,[1]adriano!$B43=K$4),"ok","nok")</f>
        <v>nok</v>
      </c>
      <c r="L46" s="85" t="str">
        <f>IF(AND($B46=[1]adriano!$A43,[1]adriano!$B43=L$4),"ok","nok")</f>
        <v>nok</v>
      </c>
      <c r="M46" s="85" t="str">
        <f>IF(AND($B46=[1]adriano!$A43,[1]adriano!$B43=M$4),"ok","nok")</f>
        <v>nok</v>
      </c>
      <c r="N46" s="85" t="str">
        <f>IF(AND($B46=[1]adriano!$A43,[1]adriano!$B43=N$4),"ok","nok")</f>
        <v>nok</v>
      </c>
      <c r="O46" s="178"/>
      <c r="P46" s="85" t="str">
        <f>IF(AND($B46=[1]adriano!$A43,[1]adriano!$B43=P$4),"ok","nok")</f>
        <v>nok</v>
      </c>
      <c r="Q46" s="85" t="str">
        <f>IF(AND($B46=[1]adriano!$A43,[1]adriano!$B43=Q$4),"ok","nok")</f>
        <v>nok</v>
      </c>
      <c r="R46" s="85" t="str">
        <f>IF(AND($B46=[1]adriano!$A43,[1]adriano!$B43=R$4),"ok","nok")</f>
        <v>nok</v>
      </c>
      <c r="S46" s="85" t="str">
        <f>IF(AND($B46=[1]adriano!$A43,[1]adriano!$B43=S$4),"ok","nok")</f>
        <v>nok</v>
      </c>
      <c r="T46" s="85" t="str">
        <f>IF(AND($B46=[1]adriano!$A43,[1]adriano!$B43=T$4),"ok","nok")</f>
        <v>nok</v>
      </c>
      <c r="U46" s="85" t="str">
        <f>IF(AND($B46=[1]adriano!$A43,[1]adriano!$B43=U$4),"ok","nok")</f>
        <v>nok</v>
      </c>
      <c r="V46" s="85" t="str">
        <f>IF(AND($B46=[1]adriano!$A43,[1]adriano!$B43=V$4),"ok","nok")</f>
        <v>nok</v>
      </c>
      <c r="W46" s="85" t="str">
        <f>IF(AND($B46=[1]adriano!$A43,[1]adriano!$B43=W$4),"ok","nok")</f>
        <v>nok</v>
      </c>
      <c r="X46" s="85" t="str">
        <f>IF(AND($B46=[1]adriano!$A43,[1]adriano!$B43=X$4),"ok","nok")</f>
        <v>ok</v>
      </c>
      <c r="Y46" s="97" t="s">
        <v>15</v>
      </c>
      <c r="Z46" s="98"/>
      <c r="AA46" s="98"/>
      <c r="AB46" s="99"/>
      <c r="AC46" s="38"/>
      <c r="AD46" s="38"/>
      <c r="AE46" s="48" t="str">
        <f t="shared" si="18"/>
        <v/>
      </c>
      <c r="AF46" s="48"/>
      <c r="AG46" s="48"/>
      <c r="AH46" s="67"/>
      <c r="AI46" s="49">
        <f t="shared" si="5"/>
        <v>0</v>
      </c>
      <c r="AJ46" s="49" t="str">
        <f t="shared" si="6"/>
        <v/>
      </c>
      <c r="AK46" s="49">
        <f t="shared" si="7"/>
        <v>0</v>
      </c>
      <c r="AL46" s="49" t="str">
        <f t="shared" si="8"/>
        <v/>
      </c>
      <c r="AM46" s="49">
        <f t="shared" si="9"/>
        <v>0</v>
      </c>
      <c r="AN46" s="49" t="str">
        <f t="shared" si="10"/>
        <v/>
      </c>
      <c r="AO46" s="49">
        <f t="shared" si="11"/>
        <v>0</v>
      </c>
      <c r="AP46" s="49" t="str">
        <f t="shared" si="12"/>
        <v/>
      </c>
      <c r="AQ46" s="49">
        <f t="shared" si="13"/>
        <v>1</v>
      </c>
      <c r="AR46" s="49" t="str">
        <f t="shared" si="14"/>
        <v/>
      </c>
      <c r="AY46">
        <f>COUNTIF(AE14:AE118,AV46)</f>
        <v>0</v>
      </c>
      <c r="AZ46" s="53"/>
    </row>
    <row r="47" spans="1:52" ht="30" customHeight="1" x14ac:dyDescent="0.35">
      <c r="A47" t="str">
        <f t="shared" ref="A47:A48" si="20">CONCATENATE($B$25,"
",$B$27,"
",$B$33,"
",$B$34,"
",$B$45)</f>
        <v>PT146 - Projeto S-2087 - IB3 12 MTA - ANÁLISE ESTRUTURAL (alegria)
1211LL - PRÉDIO DA BRITAGEM SECUNDÁRIA IB3
FASE 2
Metálica
PROJETO DE REFORÇO: 1211LL-S-70169 e 1211LL-S-70170</v>
      </c>
      <c r="B47" s="38" t="s">
        <v>54</v>
      </c>
      <c r="C47" s="85" t="str">
        <f>IF(AND($B47=[1]adriano!$A44,[1]adriano!$B44=C$4),"ok","nok")</f>
        <v>nok</v>
      </c>
      <c r="D47" s="85" t="str">
        <f>IF(AND($B47=[1]adriano!$A44,[1]adriano!$B44=D$4),"ok","nok")</f>
        <v>nok</v>
      </c>
      <c r="E47" s="85" t="str">
        <f>IF(AND($B47=[1]adriano!$A44,[1]adriano!$B44=E$4),"ok","nok")</f>
        <v>nok</v>
      </c>
      <c r="F47" s="85" t="str">
        <f>IF(AND($B47=[1]adriano!$A44,[1]adriano!$B44=F$4),"ok","nok")</f>
        <v>nok</v>
      </c>
      <c r="G47" s="85" t="str">
        <f>IF(AND($B47=[1]adriano!$A44,[1]adriano!$B44=G$4),"ok","nok")</f>
        <v>nok</v>
      </c>
      <c r="H47" s="85" t="str">
        <f>IF(AND($B47=[1]adriano!$A44,[1]adriano!$B44=H$4),"ok","nok")</f>
        <v>nok</v>
      </c>
      <c r="I47" s="85" t="str">
        <f>IF(AND($B47=[1]adriano!$A44,[1]adriano!$B44=I$4),"ok","nok")</f>
        <v>nok</v>
      </c>
      <c r="J47" s="85" t="str">
        <f>IF(AND($B47=[1]adriano!$A44,[1]adriano!$B44=J$4),"ok","nok")</f>
        <v>nok</v>
      </c>
      <c r="K47" s="85" t="str">
        <f>IF(AND($B47=[1]adriano!$A44,[1]adriano!$B44=K$4),"ok","nok")</f>
        <v>nok</v>
      </c>
      <c r="L47" s="85" t="str">
        <f>IF(AND($B47=[1]adriano!$A44,[1]adriano!$B44=L$4),"ok","nok")</f>
        <v>nok</v>
      </c>
      <c r="M47" s="85" t="str">
        <f>IF(AND($B47=[1]adriano!$A44,[1]adriano!$B44=M$4),"ok","nok")</f>
        <v>nok</v>
      </c>
      <c r="N47" s="85" t="str">
        <f>IF(AND($B47=[1]adriano!$A44,[1]adriano!$B44=N$4),"ok","nok")</f>
        <v>nok</v>
      </c>
      <c r="O47" s="85" t="str">
        <f>IF(AND($B47=[1]adriano!$A44,[1]adriano!$B44=O$4),"ok","nok")</f>
        <v>nok</v>
      </c>
      <c r="P47" s="85" t="str">
        <f>IF(AND($B47=[1]adriano!$A44,[1]adriano!$B44=P$4),"ok","nok")</f>
        <v>nok</v>
      </c>
      <c r="Q47" s="85" t="str">
        <f>IF(AND($B47=[1]adriano!$A44,[1]adriano!$B44=Q$4),"ok","nok")</f>
        <v>nok</v>
      </c>
      <c r="R47" s="85" t="str">
        <f>IF(AND($B47=[1]adriano!$A44,[1]adriano!$B44=R$4),"ok","nok")</f>
        <v>nok</v>
      </c>
      <c r="S47" s="85" t="str">
        <f>IF(AND($B47=[1]adriano!$A44,[1]adriano!$B44=S$4),"ok","nok")</f>
        <v>nok</v>
      </c>
      <c r="T47" s="178"/>
      <c r="U47" s="85" t="str">
        <f>IF(AND($B47=[1]adriano!$A44,[1]adriano!$B44=U$4),"ok","nok")</f>
        <v>nok</v>
      </c>
      <c r="V47" s="85" t="str">
        <f>IF(AND($B47=[1]adriano!$A44,[1]adriano!$B44=V$4),"ok","nok")</f>
        <v>nok</v>
      </c>
      <c r="W47" s="85" t="str">
        <f>IF(AND($B47=[1]adriano!$A44,[1]adriano!$B44=W$4),"ok","nok")</f>
        <v>nok</v>
      </c>
      <c r="X47" s="85" t="str">
        <f>IF(AND($B47=[1]adriano!$A44,[1]adriano!$B44=X$4),"ok","nok")</f>
        <v>ok</v>
      </c>
      <c r="Y47" s="97" t="s">
        <v>15</v>
      </c>
      <c r="Z47" s="98"/>
      <c r="AA47" s="98"/>
      <c r="AB47" s="99"/>
      <c r="AC47" s="37"/>
      <c r="AD47" s="37"/>
      <c r="AE47" s="48" t="str">
        <f t="shared" si="18"/>
        <v/>
      </c>
      <c r="AF47" s="48"/>
      <c r="AG47" s="48"/>
      <c r="AH47" s="67"/>
      <c r="AI47" s="49">
        <f t="shared" si="5"/>
        <v>0</v>
      </c>
      <c r="AJ47" s="49" t="str">
        <f t="shared" si="6"/>
        <v/>
      </c>
      <c r="AK47" s="49">
        <f t="shared" si="7"/>
        <v>0</v>
      </c>
      <c r="AL47" s="49" t="str">
        <f t="shared" si="8"/>
        <v/>
      </c>
      <c r="AM47" s="49">
        <f t="shared" si="9"/>
        <v>0</v>
      </c>
      <c r="AN47" s="49" t="str">
        <f t="shared" si="10"/>
        <v/>
      </c>
      <c r="AO47" s="49">
        <f t="shared" si="11"/>
        <v>0</v>
      </c>
      <c r="AP47" s="49" t="str">
        <f t="shared" si="12"/>
        <v/>
      </c>
      <c r="AQ47" s="49">
        <f t="shared" si="13"/>
        <v>1</v>
      </c>
      <c r="AR47" s="49" t="str">
        <f t="shared" si="14"/>
        <v/>
      </c>
      <c r="AY47">
        <f>COUNTIF(AE15:AE119,AV47)</f>
        <v>0</v>
      </c>
      <c r="AZ47" s="53"/>
    </row>
    <row r="48" spans="1:52" ht="30" customHeight="1" x14ac:dyDescent="0.35">
      <c r="A48" t="str">
        <f t="shared" si="20"/>
        <v>PT146 - Projeto S-2087 - IB3 12 MTA - ANÁLISE ESTRUTURAL (alegria)
1211LL - PRÉDIO DA BRITAGEM SECUNDÁRIA IB3
FASE 2
Metálica
PROJETO DE REFORÇO: 1211LL-S-70169 e 1211LL-S-70170</v>
      </c>
      <c r="B48" s="38" t="s">
        <v>95</v>
      </c>
      <c r="C48" s="85" t="str">
        <f>IF(AND($B48=[1]adriano!$A45,[1]adriano!$B45=C$4),"ok","nok")</f>
        <v>nok</v>
      </c>
      <c r="D48" s="85" t="str">
        <f>IF(AND($B48=[1]adriano!$A45,[1]adriano!$B45=D$4),"ok","nok")</f>
        <v>nok</v>
      </c>
      <c r="E48" s="85" t="str">
        <f>IF(AND($B48=[1]adriano!$A45,[1]adriano!$B45=E$4),"ok","nok")</f>
        <v>nok</v>
      </c>
      <c r="F48" s="85" t="str">
        <f>IF(AND($B48=[1]adriano!$A45,[1]adriano!$B45=F$4),"ok","nok")</f>
        <v>nok</v>
      </c>
      <c r="G48" s="85" t="str">
        <f>IF(AND($B48=[1]adriano!$A45,[1]adriano!$B45=G$4),"ok","nok")</f>
        <v>nok</v>
      </c>
      <c r="H48" s="85" t="str">
        <f>IF(AND($B48=[1]adriano!$A45,[1]adriano!$B45=H$4),"ok","nok")</f>
        <v>nok</v>
      </c>
      <c r="I48" s="85" t="str">
        <f>IF(AND($B48=[1]adriano!$A45,[1]adriano!$B45=I$4),"ok","nok")</f>
        <v>nok</v>
      </c>
      <c r="J48" s="85" t="str">
        <f>IF(AND($B48=[1]adriano!$A45,[1]adriano!$B45=J$4),"ok","nok")</f>
        <v>nok</v>
      </c>
      <c r="K48" s="85" t="str">
        <f>IF(AND($B48=[1]adriano!$A45,[1]adriano!$B45=K$4),"ok","nok")</f>
        <v>nok</v>
      </c>
      <c r="L48" s="85" t="str">
        <f>IF(AND($B48=[1]adriano!$A45,[1]adriano!$B45=L$4),"ok","nok")</f>
        <v>nok</v>
      </c>
      <c r="M48" s="85" t="str">
        <f>IF(AND($B48=[1]adriano!$A45,[1]adriano!$B45=M$4),"ok","nok")</f>
        <v>nok</v>
      </c>
      <c r="N48" s="85" t="str">
        <f>IF(AND($B48=[1]adriano!$A45,[1]adriano!$B45=N$4),"ok","nok")</f>
        <v>nok</v>
      </c>
      <c r="O48" s="85" t="str">
        <f>IF(AND($B48=[1]adriano!$A45,[1]adriano!$B45=O$4),"ok","nok")</f>
        <v>nok</v>
      </c>
      <c r="P48" s="85" t="str">
        <f>IF(AND($B48=[1]adriano!$A45,[1]adriano!$B45=P$4),"ok","nok")</f>
        <v>nok</v>
      </c>
      <c r="Q48" s="85" t="str">
        <f>IF(AND($B48=[1]adriano!$A45,[1]adriano!$B45=Q$4),"ok","nok")</f>
        <v>nok</v>
      </c>
      <c r="R48" s="85" t="str">
        <f>IF(AND($B48=[1]adriano!$A45,[1]adriano!$B45=R$4),"ok","nok")</f>
        <v>nok</v>
      </c>
      <c r="S48" s="85" t="str">
        <f>IF(AND($B48=[1]adriano!$A45,[1]adriano!$B45=S$4),"ok","nok")</f>
        <v>nok</v>
      </c>
      <c r="T48" s="85" t="str">
        <f>IF(AND($B48=[1]adriano!$A45,[1]adriano!$B45=T$4),"ok","nok")</f>
        <v>nok</v>
      </c>
      <c r="U48" s="85" t="str">
        <f>IF(AND($B48=[1]adriano!$A45,[1]adriano!$B45=U$4),"ok","nok")</f>
        <v>nok</v>
      </c>
      <c r="V48" s="178"/>
      <c r="W48" s="85" t="str">
        <f>IF(AND($B48=[1]adriano!$A45,[1]adriano!$B45=W$4),"ok","nok")</f>
        <v>nok</v>
      </c>
      <c r="X48" s="85" t="str">
        <f>IF(AND($B48=[1]adriano!$A45,[1]adriano!$B45=X$4),"ok","nok")</f>
        <v>ok</v>
      </c>
      <c r="Y48" s="97" t="s">
        <v>15</v>
      </c>
      <c r="Z48" s="98"/>
      <c r="AA48" s="98"/>
      <c r="AB48" s="99"/>
      <c r="AC48" s="38"/>
      <c r="AD48" s="38"/>
      <c r="AE48" s="48" t="str">
        <f t="shared" si="18"/>
        <v/>
      </c>
      <c r="AF48" s="48"/>
      <c r="AG48" s="48"/>
      <c r="AH48" s="67"/>
      <c r="AI48" s="49">
        <f t="shared" si="5"/>
        <v>0</v>
      </c>
      <c r="AJ48" s="49" t="str">
        <f t="shared" si="6"/>
        <v/>
      </c>
      <c r="AK48" s="49">
        <f t="shared" si="7"/>
        <v>0</v>
      </c>
      <c r="AL48" s="49" t="str">
        <f t="shared" si="8"/>
        <v/>
      </c>
      <c r="AM48" s="49">
        <f t="shared" si="9"/>
        <v>0</v>
      </c>
      <c r="AN48" s="49" t="str">
        <f t="shared" si="10"/>
        <v/>
      </c>
      <c r="AO48" s="49">
        <f t="shared" si="11"/>
        <v>0</v>
      </c>
      <c r="AP48" s="49" t="str">
        <f t="shared" si="12"/>
        <v/>
      </c>
      <c r="AQ48" s="49">
        <f t="shared" si="13"/>
        <v>1</v>
      </c>
      <c r="AR48" s="49" t="str">
        <f t="shared" si="14"/>
        <v/>
      </c>
      <c r="AY48">
        <f>COUNTIF(AE16:AE124,AV48)</f>
        <v>0</v>
      </c>
      <c r="AZ48" s="53"/>
    </row>
    <row r="49" spans="1:52" ht="30" customHeight="1" x14ac:dyDescent="0.35">
      <c r="B49" s="58" t="s">
        <v>56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106"/>
      <c r="Z49" s="107"/>
      <c r="AA49" s="107"/>
      <c r="AB49" s="108"/>
      <c r="AC49" s="38"/>
      <c r="AD49" s="38"/>
      <c r="AE49" s="48" t="str">
        <f t="shared" si="18"/>
        <v/>
      </c>
      <c r="AF49" s="48"/>
      <c r="AG49" s="48"/>
      <c r="AH49" s="67"/>
      <c r="AI49" s="49">
        <f t="shared" si="5"/>
        <v>0</v>
      </c>
      <c r="AJ49" s="49" t="str">
        <f t="shared" si="6"/>
        <v/>
      </c>
      <c r="AK49" s="49">
        <f t="shared" si="7"/>
        <v>0</v>
      </c>
      <c r="AL49" s="49" t="str">
        <f t="shared" si="8"/>
        <v/>
      </c>
      <c r="AM49" s="49">
        <f t="shared" si="9"/>
        <v>0</v>
      </c>
      <c r="AN49" s="49" t="str">
        <f t="shared" si="10"/>
        <v/>
      </c>
      <c r="AO49" s="49">
        <f t="shared" si="11"/>
        <v>0</v>
      </c>
      <c r="AP49" s="49" t="str">
        <f t="shared" si="12"/>
        <v/>
      </c>
      <c r="AQ49" s="49">
        <f t="shared" si="13"/>
        <v>0</v>
      </c>
      <c r="AR49" s="49" t="str">
        <f t="shared" si="14"/>
        <v/>
      </c>
      <c r="AY49">
        <f>COUNTIF(AE17:AE125,AV49)</f>
        <v>0</v>
      </c>
      <c r="AZ49" s="53"/>
    </row>
    <row r="50" spans="1:52" ht="30" customHeight="1" x14ac:dyDescent="0.35">
      <c r="B50" s="86" t="s">
        <v>88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109"/>
      <c r="Z50" s="110"/>
      <c r="AA50" s="110"/>
      <c r="AB50" s="111"/>
      <c r="AC50" s="36"/>
      <c r="AD50" s="36"/>
      <c r="AE50" s="48" t="str">
        <f t="shared" si="18"/>
        <v/>
      </c>
      <c r="AF50" s="48"/>
      <c r="AG50" s="48"/>
      <c r="AH50" s="67"/>
      <c r="AI50" s="49">
        <f t="shared" si="5"/>
        <v>0</v>
      </c>
      <c r="AJ50" s="49" t="str">
        <f t="shared" si="6"/>
        <v/>
      </c>
      <c r="AK50" s="49">
        <f t="shared" si="7"/>
        <v>0</v>
      </c>
      <c r="AL50" s="49" t="str">
        <f t="shared" si="8"/>
        <v/>
      </c>
      <c r="AM50" s="49">
        <f t="shared" si="9"/>
        <v>0</v>
      </c>
      <c r="AN50" s="49" t="str">
        <f t="shared" si="10"/>
        <v/>
      </c>
      <c r="AO50" s="49">
        <f t="shared" si="11"/>
        <v>0</v>
      </c>
      <c r="AP50" s="49" t="str">
        <f t="shared" si="12"/>
        <v/>
      </c>
      <c r="AQ50" s="49">
        <f t="shared" si="13"/>
        <v>0</v>
      </c>
      <c r="AR50" s="49" t="str">
        <f t="shared" si="14"/>
        <v/>
      </c>
      <c r="AZ50" s="53"/>
    </row>
    <row r="51" spans="1:52" ht="30" customHeight="1" x14ac:dyDescent="0.35">
      <c r="B51" s="87" t="s">
        <v>89</v>
      </c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112"/>
      <c r="Z51" s="113"/>
      <c r="AA51" s="113"/>
      <c r="AB51" s="114"/>
      <c r="AC51" s="37"/>
      <c r="AD51" s="37"/>
      <c r="AE51" s="48" t="str">
        <f t="shared" si="18"/>
        <v/>
      </c>
      <c r="AF51" s="48"/>
      <c r="AG51" s="48"/>
      <c r="AH51" s="67"/>
      <c r="AI51" s="49">
        <f t="shared" si="5"/>
        <v>0</v>
      </c>
      <c r="AJ51" s="49" t="str">
        <f t="shared" si="6"/>
        <v/>
      </c>
      <c r="AK51" s="49">
        <f t="shared" si="7"/>
        <v>0</v>
      </c>
      <c r="AL51" s="49" t="str">
        <f t="shared" si="8"/>
        <v/>
      </c>
      <c r="AM51" s="49">
        <f t="shared" si="9"/>
        <v>0</v>
      </c>
      <c r="AN51" s="49" t="str">
        <f t="shared" si="10"/>
        <v/>
      </c>
      <c r="AO51" s="49">
        <f t="shared" si="11"/>
        <v>0</v>
      </c>
      <c r="AP51" s="49" t="str">
        <f t="shared" si="12"/>
        <v/>
      </c>
      <c r="AQ51" s="49">
        <f t="shared" si="13"/>
        <v>0</v>
      </c>
      <c r="AR51" s="49" t="str">
        <f t="shared" si="14"/>
        <v/>
      </c>
      <c r="AZ51" s="53"/>
    </row>
    <row r="52" spans="1:52" ht="30" customHeight="1" x14ac:dyDescent="0.35">
      <c r="A52" t="str">
        <f>CONCATENATE($B$25,"
",$B$27,"
",$B$33,"
",$B$50,"
",$B$51)</f>
        <v>PT146 - Projeto S-2087 - IB3 12 MTA - ANÁLISE ESTRUTURAL (alegria)
1211LL - PRÉDIO DA BRITAGEM SECUNDÁRIA IB3
FASE 2
1ª Condição: Situação atual (Levantamento de Campo)
Análise Estática</v>
      </c>
      <c r="B52" s="38" t="s">
        <v>96</v>
      </c>
      <c r="C52" s="85" t="str">
        <f>IF(AND($B52=[1]adriano!$A49,[1]adriano!$B49=C$4),"ok","nok")</f>
        <v>nok</v>
      </c>
      <c r="D52" s="85" t="str">
        <f>IF(AND($B52=[1]adriano!$A49,[1]adriano!$B49=D$4),"ok","nok")</f>
        <v>nok</v>
      </c>
      <c r="E52" s="85" t="str">
        <f>IF(AND($B52=[1]adriano!$A49,[1]adriano!$B49=E$4),"ok","nok")</f>
        <v>nok</v>
      </c>
      <c r="F52" s="85" t="str">
        <f>IF(AND($B52=[1]adriano!$A49,[1]adriano!$B49=F$4),"ok","nok")</f>
        <v>nok</v>
      </c>
      <c r="G52" s="85" t="str">
        <f>IF(AND($B52=[1]adriano!$A49,[1]adriano!$B49=G$4),"ok","nok")</f>
        <v>nok</v>
      </c>
      <c r="H52" s="85" t="str">
        <f>IF(AND($B52=[1]adriano!$A49,[1]adriano!$B49=H$4),"ok","nok")</f>
        <v>nok</v>
      </c>
      <c r="I52" s="85" t="str">
        <f>IF(AND($B52=[1]adriano!$A49,[1]adriano!$B49=I$4),"ok","nok")</f>
        <v>nok</v>
      </c>
      <c r="J52" s="85" t="str">
        <f>IF(AND($B52=[1]adriano!$A49,[1]adriano!$B49=J$4),"ok","nok")</f>
        <v>nok</v>
      </c>
      <c r="K52" s="178"/>
      <c r="L52" s="85" t="str">
        <f>IF(AND($B52=[1]adriano!$A49,[1]adriano!$B49=L$4),"ok","nok")</f>
        <v>nok</v>
      </c>
      <c r="M52" s="85" t="str">
        <f>IF(AND($B52=[1]adriano!$A49,[1]adriano!$B49=M$4),"ok","nok")</f>
        <v>nok</v>
      </c>
      <c r="N52" s="85" t="str">
        <f>IF(AND($B52=[1]adriano!$A49,[1]adriano!$B49=N$4),"ok","nok")</f>
        <v>nok</v>
      </c>
      <c r="O52" s="85" t="str">
        <f>IF(AND($B52=[1]adriano!$A49,[1]adriano!$B49=O$4),"ok","nok")</f>
        <v>nok</v>
      </c>
      <c r="P52" s="85" t="str">
        <f>IF(AND($B52=[1]adriano!$A49,[1]adriano!$B49=P$4),"ok","nok")</f>
        <v>nok</v>
      </c>
      <c r="Q52" s="85" t="str">
        <f>IF(AND($B52=[1]adriano!$A49,[1]adriano!$B49=Q$4),"ok","nok")</f>
        <v>nok</v>
      </c>
      <c r="R52" s="85" t="str">
        <f>IF(AND($B52=[1]adriano!$A49,[1]adriano!$B49=R$4),"ok","nok")</f>
        <v>nok</v>
      </c>
      <c r="S52" s="85" t="str">
        <f>IF(AND($B52=[1]adriano!$A49,[1]adriano!$B49=S$4),"ok","nok")</f>
        <v>nok</v>
      </c>
      <c r="T52" s="85" t="str">
        <f>IF(AND($B52=[1]adriano!$A49,[1]adriano!$B49=T$4),"ok","nok")</f>
        <v>nok</v>
      </c>
      <c r="U52" s="85" t="str">
        <f>IF(AND($B52=[1]adriano!$A49,[1]adriano!$B49=U$4),"ok","nok")</f>
        <v>nok</v>
      </c>
      <c r="V52" s="85" t="str">
        <f>IF(AND($B52=[1]adriano!$A49,[1]adriano!$B49=V$4),"ok","nok")</f>
        <v>ok</v>
      </c>
      <c r="W52" s="85" t="str">
        <f>IF(AND($B52=[1]adriano!$A49,[1]adriano!$B49=W$4),"ok","nok")</f>
        <v>nok</v>
      </c>
      <c r="X52" s="85" t="str">
        <f>IF(AND($B52=[1]adriano!$A49,[1]adriano!$B49=X$4),"ok","nok")</f>
        <v>nok</v>
      </c>
      <c r="Y52" s="97" t="s">
        <v>34</v>
      </c>
      <c r="Z52" s="98"/>
      <c r="AA52" s="98"/>
      <c r="AB52" s="99"/>
      <c r="AC52" s="41"/>
      <c r="AD52" s="41"/>
      <c r="AE52" s="48" t="str">
        <f t="shared" si="18"/>
        <v>Modelagem da Estrutura</v>
      </c>
      <c r="AF52" s="48"/>
      <c r="AG52" s="48"/>
      <c r="AH52" s="67"/>
      <c r="AI52" s="49">
        <f t="shared" si="5"/>
        <v>0</v>
      </c>
      <c r="AJ52" s="49" t="str">
        <f t="shared" si="6"/>
        <v/>
      </c>
      <c r="AK52" s="49">
        <f t="shared" si="7"/>
        <v>0</v>
      </c>
      <c r="AL52" s="49" t="str">
        <f t="shared" si="8"/>
        <v/>
      </c>
      <c r="AM52" s="49">
        <f t="shared" si="9"/>
        <v>0</v>
      </c>
      <c r="AN52" s="49" t="str">
        <f t="shared" si="10"/>
        <v/>
      </c>
      <c r="AO52" s="49">
        <f t="shared" si="11"/>
        <v>1</v>
      </c>
      <c r="AP52" s="49" t="str">
        <f t="shared" si="12"/>
        <v/>
      </c>
      <c r="AQ52" s="49">
        <f t="shared" si="13"/>
        <v>0</v>
      </c>
      <c r="AR52" s="49" t="str">
        <f t="shared" si="14"/>
        <v/>
      </c>
      <c r="AZ52" s="53"/>
    </row>
    <row r="53" spans="1:52" ht="30" customHeight="1" x14ac:dyDescent="0.35">
      <c r="A53" t="str">
        <f t="shared" ref="A53:A54" si="21">CONCATENATE($B$25,"
",$B$27,"
",$B$33,"
",$B$50,"
",$B$51)</f>
        <v>PT146 - Projeto S-2087 - IB3 12 MTA - ANÁLISE ESTRUTURAL (alegria)
1211LL - PRÉDIO DA BRITAGEM SECUNDÁRIA IB3
FASE 2
1ª Condição: Situação atual (Levantamento de Campo)
Análise Estática</v>
      </c>
      <c r="B53" s="38" t="s">
        <v>91</v>
      </c>
      <c r="C53" s="85" t="str">
        <f>IF(AND($B53=[1]adriano!$A50,[1]adriano!$B50=C$4),"ok","nok")</f>
        <v>nok</v>
      </c>
      <c r="D53" s="85" t="str">
        <f>IF(AND($B53=[1]adriano!$A50,[1]adriano!$B50=D$4),"ok","nok")</f>
        <v>nok</v>
      </c>
      <c r="E53" s="85" t="str">
        <f>IF(AND($B53=[1]adriano!$A50,[1]adriano!$B50=E$4),"ok","nok")</f>
        <v>nok</v>
      </c>
      <c r="F53" s="85" t="str">
        <f>IF(AND($B53=[1]adriano!$A50,[1]adriano!$B50=F$4),"ok","nok")</f>
        <v>nok</v>
      </c>
      <c r="G53" s="85" t="str">
        <f>IF(AND($B53=[1]adriano!$A50,[1]adriano!$B50=G$4),"ok","nok")</f>
        <v>nok</v>
      </c>
      <c r="H53" s="85" t="str">
        <f>IF(AND($B53=[1]adriano!$A50,[1]adriano!$B50=H$4),"ok","nok")</f>
        <v>nok</v>
      </c>
      <c r="I53" s="85" t="str">
        <f>IF(AND($B53=[1]adriano!$A50,[1]adriano!$B50=I$4),"ok","nok")</f>
        <v>nok</v>
      </c>
      <c r="J53" s="85" t="str">
        <f>IF(AND($B53=[1]adriano!$A50,[1]adriano!$B50=J$4),"ok","nok")</f>
        <v>nok</v>
      </c>
      <c r="K53" s="85" t="str">
        <f>IF(AND($B53=[1]adriano!$A50,[1]adriano!$B50=K$4),"ok","nok")</f>
        <v>nok</v>
      </c>
      <c r="L53" s="178"/>
      <c r="M53" s="85" t="str">
        <f>IF(AND($B53=[1]adriano!$A50,[1]adriano!$B50=M$4),"ok","nok")</f>
        <v>nok</v>
      </c>
      <c r="N53" s="85" t="str">
        <f>IF(AND($B53=[1]adriano!$A50,[1]adriano!$B50=N$4),"ok","nok")</f>
        <v>nok</v>
      </c>
      <c r="O53" s="85" t="str">
        <f>IF(AND($B53=[1]adriano!$A50,[1]adriano!$B50=O$4),"ok","nok")</f>
        <v>nok</v>
      </c>
      <c r="P53" s="85" t="str">
        <f>IF(AND($B53=[1]adriano!$A50,[1]adriano!$B50=P$4),"ok","nok")</f>
        <v>nok</v>
      </c>
      <c r="Q53" s="85" t="str">
        <f>IF(AND($B53=[1]adriano!$A50,[1]adriano!$B50=Q$4),"ok","nok")</f>
        <v>nok</v>
      </c>
      <c r="R53" s="85" t="str">
        <f>IF(AND($B53=[1]adriano!$A50,[1]adriano!$B50=R$4),"ok","nok")</f>
        <v>nok</v>
      </c>
      <c r="S53" s="85" t="str">
        <f>IF(AND($B53=[1]adriano!$A50,[1]adriano!$B50=S$4),"ok","nok")</f>
        <v>nok</v>
      </c>
      <c r="T53" s="85" t="str">
        <f>IF(AND($B53=[1]adriano!$A50,[1]adriano!$B50=T$4),"ok","nok")</f>
        <v>nok</v>
      </c>
      <c r="U53" s="85" t="str">
        <f>IF(AND($B53=[1]adriano!$A50,[1]adriano!$B50=U$4),"ok","nok")</f>
        <v>nok</v>
      </c>
      <c r="V53" s="85" t="str">
        <f>IF(AND($B53=[1]adriano!$A50,[1]adriano!$B50=V$4),"ok","nok")</f>
        <v>nok</v>
      </c>
      <c r="W53" s="85" t="str">
        <f>IF(AND($B53=[1]adriano!$A50,[1]adriano!$B50=W$4),"ok","nok")</f>
        <v>ok</v>
      </c>
      <c r="X53" s="85" t="str">
        <f>IF(AND($B53=[1]adriano!$A50,[1]adriano!$B50=X$4),"ok","nok")</f>
        <v>nok</v>
      </c>
      <c r="Y53" s="97" t="s">
        <v>34</v>
      </c>
      <c r="Z53" s="98"/>
      <c r="AA53" s="98"/>
      <c r="AB53" s="99"/>
      <c r="AC53" s="46"/>
      <c r="AD53" s="46"/>
      <c r="AE53" s="48" t="str">
        <f t="shared" si="18"/>
        <v>Aplicação de carregamento e condições de contorno</v>
      </c>
      <c r="AF53" s="48"/>
      <c r="AG53" s="48"/>
      <c r="AH53" s="67"/>
      <c r="AI53" s="49">
        <f t="shared" si="5"/>
        <v>0</v>
      </c>
      <c r="AJ53" s="49" t="str">
        <f t="shared" si="6"/>
        <v/>
      </c>
      <c r="AK53" s="49">
        <f t="shared" si="7"/>
        <v>0</v>
      </c>
      <c r="AL53" s="49" t="str">
        <f t="shared" si="8"/>
        <v/>
      </c>
      <c r="AM53" s="49">
        <f t="shared" si="9"/>
        <v>0</v>
      </c>
      <c r="AN53" s="49" t="str">
        <f t="shared" si="10"/>
        <v/>
      </c>
      <c r="AO53" s="49">
        <f t="shared" si="11"/>
        <v>0</v>
      </c>
      <c r="AP53" s="49" t="str">
        <f t="shared" si="12"/>
        <v/>
      </c>
      <c r="AQ53" s="49">
        <f t="shared" si="13"/>
        <v>1</v>
      </c>
      <c r="AR53" s="49" t="str">
        <f t="shared" si="14"/>
        <v/>
      </c>
      <c r="AZ53" s="53"/>
    </row>
    <row r="54" spans="1:52" ht="30" customHeight="1" x14ac:dyDescent="0.35">
      <c r="A54" t="str">
        <f t="shared" si="21"/>
        <v>PT146 - Projeto S-2087 - IB3 12 MTA - ANÁLISE ESTRUTURAL (alegria)
1211LL - PRÉDIO DA BRITAGEM SECUNDÁRIA IB3
FASE 2
1ª Condição: Situação atual (Levantamento de Campo)
Análise Estática</v>
      </c>
      <c r="B54" s="38" t="s">
        <v>92</v>
      </c>
      <c r="C54" s="85" t="str">
        <f>IF(AND($B54=[1]adriano!$A51,[1]adriano!$B51=C$4),"ok","nok")</f>
        <v>nok</v>
      </c>
      <c r="D54" s="85" t="str">
        <f>IF(AND($B54=[1]adriano!$A51,[1]adriano!$B51=D$4),"ok","nok")</f>
        <v>nok</v>
      </c>
      <c r="E54" s="85" t="str">
        <f>IF(AND($B54=[1]adriano!$A51,[1]adriano!$B51=E$4),"ok","nok")</f>
        <v>nok</v>
      </c>
      <c r="F54" s="85" t="str">
        <f>IF(AND($B54=[1]adriano!$A51,[1]adriano!$B51=F$4),"ok","nok")</f>
        <v>nok</v>
      </c>
      <c r="G54" s="85" t="str">
        <f>IF(AND($B54=[1]adriano!$A51,[1]adriano!$B51=G$4),"ok","nok")</f>
        <v>nok</v>
      </c>
      <c r="H54" s="85" t="str">
        <f>IF(AND($B54=[1]adriano!$A51,[1]adriano!$B51=H$4),"ok","nok")</f>
        <v>nok</v>
      </c>
      <c r="I54" s="85" t="str">
        <f>IF(AND($B54=[1]adriano!$A51,[1]adriano!$B51=I$4),"ok","nok")</f>
        <v>nok</v>
      </c>
      <c r="J54" s="85" t="str">
        <f>IF(AND($B54=[1]adriano!$A51,[1]adriano!$B51=J$4),"ok","nok")</f>
        <v>nok</v>
      </c>
      <c r="K54" s="85" t="str">
        <f>IF(AND($B54=[1]adriano!$A51,[1]adriano!$B51=K$4),"ok","nok")</f>
        <v>nok</v>
      </c>
      <c r="L54" s="85" t="str">
        <f>IF(AND($B54=[1]adriano!$A51,[1]adriano!$B51=L$4),"ok","nok")</f>
        <v>nok</v>
      </c>
      <c r="M54" s="85" t="str">
        <f>IF(AND($B54=[1]adriano!$A51,[1]adriano!$B51=M$4),"ok","nok")</f>
        <v>nok</v>
      </c>
      <c r="N54" s="178"/>
      <c r="O54" s="85" t="str">
        <f>IF(AND($B54=[1]adriano!$A51,[1]adriano!$B51=O$4),"ok","nok")</f>
        <v>nok</v>
      </c>
      <c r="P54" s="85" t="str">
        <f>IF(AND($B54=[1]adriano!$A51,[1]adriano!$B51=P$4),"ok","nok")</f>
        <v>nok</v>
      </c>
      <c r="Q54" s="85" t="str">
        <f>IF(AND($B54=[1]adriano!$A51,[1]adriano!$B51=Q$4),"ok","nok")</f>
        <v>nok</v>
      </c>
      <c r="R54" s="85" t="str">
        <f>IF(AND($B54=[1]adriano!$A51,[1]adriano!$B51=R$4),"ok","nok")</f>
        <v>nok</v>
      </c>
      <c r="S54" s="85" t="str">
        <f>IF(AND($B54=[1]adriano!$A51,[1]adriano!$B51=S$4),"ok","nok")</f>
        <v>nok</v>
      </c>
      <c r="T54" s="85" t="str">
        <f>IF(AND($B54=[1]adriano!$A51,[1]adriano!$B51=T$4),"ok","nok")</f>
        <v>nok</v>
      </c>
      <c r="U54" s="85" t="str">
        <f>IF(AND($B54=[1]adriano!$A51,[1]adriano!$B51=U$4),"ok","nok")</f>
        <v>nok</v>
      </c>
      <c r="V54" s="85" t="str">
        <f>IF(AND($B54=[1]adriano!$A51,[1]adriano!$B51=V$4),"ok","nok")</f>
        <v>nok</v>
      </c>
      <c r="W54" s="85" t="str">
        <f>IF(AND($B54=[1]adriano!$A51,[1]adriano!$B51=W$4),"ok","nok")</f>
        <v>nok</v>
      </c>
      <c r="X54" s="85" t="str">
        <f>IF(AND($B54=[1]adriano!$A51,[1]adriano!$B51=X$4),"ok","nok")</f>
        <v>ok</v>
      </c>
      <c r="Y54" s="97" t="s">
        <v>15</v>
      </c>
      <c r="Z54" s="98"/>
      <c r="AA54" s="98"/>
      <c r="AB54" s="99"/>
      <c r="AC54" s="40"/>
      <c r="AD54" s="40"/>
      <c r="AE54" s="48" t="str">
        <f t="shared" si="18"/>
        <v/>
      </c>
      <c r="AF54" s="48"/>
      <c r="AG54" s="48"/>
      <c r="AH54" s="67"/>
      <c r="AI54" s="49">
        <f t="shared" si="5"/>
        <v>0</v>
      </c>
      <c r="AJ54" s="49" t="str">
        <f t="shared" si="6"/>
        <v/>
      </c>
      <c r="AK54" s="49">
        <f t="shared" si="7"/>
        <v>0</v>
      </c>
      <c r="AL54" s="49" t="str">
        <f t="shared" si="8"/>
        <v/>
      </c>
      <c r="AM54" s="49">
        <f t="shared" si="9"/>
        <v>0</v>
      </c>
      <c r="AN54" s="49" t="str">
        <f t="shared" si="10"/>
        <v/>
      </c>
      <c r="AO54" s="49">
        <f t="shared" si="11"/>
        <v>0</v>
      </c>
      <c r="AP54" s="49" t="str">
        <f t="shared" si="12"/>
        <v/>
      </c>
      <c r="AQ54" s="49">
        <f t="shared" si="13"/>
        <v>1</v>
      </c>
      <c r="AR54" s="49" t="str">
        <f t="shared" si="14"/>
        <v/>
      </c>
      <c r="AZ54" s="53"/>
    </row>
    <row r="55" spans="1:52" ht="30" customHeight="1" x14ac:dyDescent="0.35">
      <c r="B55" s="87" t="s">
        <v>97</v>
      </c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112"/>
      <c r="Z55" s="113"/>
      <c r="AA55" s="113"/>
      <c r="AB55" s="114"/>
      <c r="AC55" s="40"/>
      <c r="AD55" s="40"/>
      <c r="AE55" s="48" t="str">
        <f t="shared" si="18"/>
        <v/>
      </c>
      <c r="AF55" s="48"/>
      <c r="AG55" s="48"/>
      <c r="AH55" s="67"/>
      <c r="AI55" s="49">
        <f t="shared" si="5"/>
        <v>0</v>
      </c>
      <c r="AJ55" s="49" t="str">
        <f t="shared" si="6"/>
        <v/>
      </c>
      <c r="AK55" s="49">
        <f t="shared" si="7"/>
        <v>0</v>
      </c>
      <c r="AL55" s="49" t="str">
        <f t="shared" si="8"/>
        <v/>
      </c>
      <c r="AM55" s="49">
        <f t="shared" si="9"/>
        <v>0</v>
      </c>
      <c r="AN55" s="49" t="str">
        <f t="shared" si="10"/>
        <v/>
      </c>
      <c r="AO55" s="49">
        <f t="shared" si="11"/>
        <v>0</v>
      </c>
      <c r="AP55" s="49" t="str">
        <f t="shared" si="12"/>
        <v/>
      </c>
      <c r="AQ55" s="49">
        <f t="shared" si="13"/>
        <v>0</v>
      </c>
      <c r="AR55" s="49" t="str">
        <f t="shared" si="14"/>
        <v/>
      </c>
    </row>
    <row r="56" spans="1:52" ht="30" customHeight="1" x14ac:dyDescent="0.35">
      <c r="A56" t="str">
        <f>CONCATENATE($B$25,"
",$B$27,"
",$B$33,"
",$B$50,"
",$B$55)</f>
        <v>PT146 - Projeto S-2087 - IB3 12 MTA - ANÁLISE ESTRUTURAL (alegria)
1211LL - PRÉDIO DA BRITAGEM SECUNDÁRIA IB3
FASE 2
1ª Condição: Situação atual (Levantamento de Campo)
Análise Dinâmica</v>
      </c>
      <c r="B56" s="38" t="s">
        <v>92</v>
      </c>
      <c r="C56" s="85" t="str">
        <f>IF(AND($B56=[1]adriano!$A53,[1]adriano!$B53=C$4),"ok","nok")</f>
        <v>nok</v>
      </c>
      <c r="D56" s="85" t="str">
        <f>IF(AND($B56=[1]adriano!$A53,[1]adriano!$B53=D$4),"ok","nok")</f>
        <v>nok</v>
      </c>
      <c r="E56" s="85" t="str">
        <f>IF(AND($B56=[1]adriano!$A53,[1]adriano!$B53=E$4),"ok","nok")</f>
        <v>nok</v>
      </c>
      <c r="F56" s="85" t="str">
        <f>IF(AND($B56=[1]adriano!$A53,[1]adriano!$B53=F$4),"ok","nok")</f>
        <v>nok</v>
      </c>
      <c r="G56" s="85" t="str">
        <f>IF(AND($B56=[1]adriano!$A53,[1]adriano!$B53=G$4),"ok","nok")</f>
        <v>nok</v>
      </c>
      <c r="H56" s="85" t="str">
        <f>IF(AND($B56=[1]adriano!$A53,[1]adriano!$B53=H$4),"ok","nok")</f>
        <v>nok</v>
      </c>
      <c r="I56" s="85" t="str">
        <f>IF(AND($B56=[1]adriano!$A53,[1]adriano!$B53=I$4),"ok","nok")</f>
        <v>nok</v>
      </c>
      <c r="J56" s="85" t="str">
        <f>IF(AND($B56=[1]adriano!$A53,[1]adriano!$B53=J$4),"ok","nok")</f>
        <v>nok</v>
      </c>
      <c r="K56" s="85" t="str">
        <f>IF(AND($B56=[1]adriano!$A53,[1]adriano!$B53=K$4),"ok","nok")</f>
        <v>nok</v>
      </c>
      <c r="L56" s="85" t="str">
        <f>IF(AND($B56=[1]adriano!$A53,[1]adriano!$B53=L$4),"ok","nok")</f>
        <v>nok</v>
      </c>
      <c r="M56" s="85" t="str">
        <f>IF(AND($B56=[1]adriano!$A53,[1]adriano!$B53=M$4),"ok","nok")</f>
        <v>nok</v>
      </c>
      <c r="N56" s="85" t="str">
        <f>IF(AND($B56=[1]adriano!$A53,[1]adriano!$B53=N$4),"ok","nok")</f>
        <v>nok</v>
      </c>
      <c r="O56" s="178"/>
      <c r="P56" s="85" t="str">
        <f>IF(AND($B56=[1]adriano!$A53,[1]adriano!$B53=P$4),"ok","nok")</f>
        <v>nok</v>
      </c>
      <c r="Q56" s="85" t="str">
        <f>IF(AND($B56=[1]adriano!$A53,[1]adriano!$B53=Q$4),"ok","nok")</f>
        <v>nok</v>
      </c>
      <c r="R56" s="85" t="str">
        <f>IF(AND($B56=[1]adriano!$A53,[1]adriano!$B53=R$4),"ok","nok")</f>
        <v>nok</v>
      </c>
      <c r="S56" s="85" t="str">
        <f>IF(AND($B56=[1]adriano!$A53,[1]adriano!$B53=S$4),"ok","nok")</f>
        <v>nok</v>
      </c>
      <c r="T56" s="85" t="str">
        <f>IF(AND($B56=[1]adriano!$A53,[1]adriano!$B53=T$4),"ok","nok")</f>
        <v>nok</v>
      </c>
      <c r="U56" s="85" t="str">
        <f>IF(AND($B56=[1]adriano!$A53,[1]adriano!$B53=U$4),"ok","nok")</f>
        <v>nok</v>
      </c>
      <c r="V56" s="85" t="str">
        <f>IF(AND($B56=[1]adriano!$A53,[1]adriano!$B53=V$4),"ok","nok")</f>
        <v>nok</v>
      </c>
      <c r="W56" s="85" t="str">
        <f>IF(AND($B56=[1]adriano!$A53,[1]adriano!$B53=W$4),"ok","nok")</f>
        <v>ok</v>
      </c>
      <c r="X56" s="85" t="str">
        <f>IF(AND($B56=[1]adriano!$A53,[1]adriano!$B53=X$4),"ok","nok")</f>
        <v>nok</v>
      </c>
      <c r="Y56" s="97" t="s">
        <v>15</v>
      </c>
      <c r="Z56" s="98"/>
      <c r="AA56" s="98"/>
      <c r="AB56" s="99"/>
      <c r="AC56" s="40"/>
      <c r="AD56" s="40"/>
      <c r="AE56" s="48" t="str">
        <f t="shared" si="18"/>
        <v/>
      </c>
      <c r="AF56" s="48"/>
      <c r="AG56" s="48"/>
      <c r="AH56" s="67"/>
      <c r="AI56" s="49">
        <f t="shared" si="5"/>
        <v>0</v>
      </c>
      <c r="AJ56" s="49" t="str">
        <f t="shared" si="6"/>
        <v/>
      </c>
      <c r="AK56" s="49">
        <f t="shared" si="7"/>
        <v>0</v>
      </c>
      <c r="AL56" s="49" t="str">
        <f t="shared" si="8"/>
        <v/>
      </c>
      <c r="AM56" s="49">
        <f t="shared" si="9"/>
        <v>0</v>
      </c>
      <c r="AN56" s="49" t="str">
        <f t="shared" si="10"/>
        <v/>
      </c>
      <c r="AO56" s="49">
        <f t="shared" si="11"/>
        <v>0</v>
      </c>
      <c r="AP56" s="49" t="str">
        <f t="shared" si="12"/>
        <v/>
      </c>
      <c r="AQ56" s="49">
        <f t="shared" si="13"/>
        <v>1</v>
      </c>
      <c r="AR56" s="49" t="str">
        <f t="shared" si="14"/>
        <v/>
      </c>
    </row>
    <row r="57" spans="1:52" ht="30" customHeight="1" x14ac:dyDescent="0.35">
      <c r="A57" t="str">
        <f>CONCATENATE($B$25,"
",$B$27,"
",$B$33,"
",$B$50,"
",$B$55)</f>
        <v>PT146 - Projeto S-2087 - IB3 12 MTA - ANÁLISE ESTRUTURAL (alegria)
1211LL - PRÉDIO DA BRITAGEM SECUNDÁRIA IB3
FASE 2
1ª Condição: Situação atual (Levantamento de Campo)
Análise Dinâmica</v>
      </c>
      <c r="B57" s="38" t="s">
        <v>98</v>
      </c>
      <c r="C57" s="85" t="str">
        <f>IF(AND($B57=[1]adriano!$A54,[1]adriano!$B54=C$4),"ok","nok")</f>
        <v>nok</v>
      </c>
      <c r="D57" s="85" t="str">
        <f>IF(AND($B57=[1]adriano!$A54,[1]adriano!$B54=D$4),"ok","nok")</f>
        <v>nok</v>
      </c>
      <c r="E57" s="85" t="str">
        <f>IF(AND($B57=[1]adriano!$A54,[1]adriano!$B54=E$4),"ok","nok")</f>
        <v>nok</v>
      </c>
      <c r="F57" s="85" t="str">
        <f>IF(AND($B57=[1]adriano!$A54,[1]adriano!$B54=F$4),"ok","nok")</f>
        <v>nok</v>
      </c>
      <c r="G57" s="85" t="str">
        <f>IF(AND($B57=[1]adriano!$A54,[1]adriano!$B54=G$4),"ok","nok")</f>
        <v>nok</v>
      </c>
      <c r="H57" s="85" t="str">
        <f>IF(AND($B57=[1]adriano!$A54,[1]adriano!$B54=H$4),"ok","nok")</f>
        <v>nok</v>
      </c>
      <c r="I57" s="85" t="str">
        <f>IF(AND($B57=[1]adriano!$A54,[1]adriano!$B54=I$4),"ok","nok")</f>
        <v>nok</v>
      </c>
      <c r="J57" s="85" t="str">
        <f>IF(AND($B57=[1]adriano!$A54,[1]adriano!$B54=J$4),"ok","nok")</f>
        <v>nok</v>
      </c>
      <c r="K57" s="85" t="str">
        <f>IF(AND($B57=[1]adriano!$A54,[1]adriano!$B54=K$4),"ok","nok")</f>
        <v>nok</v>
      </c>
      <c r="L57" s="85" t="str">
        <f>IF(AND($B57=[1]adriano!$A54,[1]adriano!$B54=L$4),"ok","nok")</f>
        <v>nok</v>
      </c>
      <c r="M57" s="85" t="str">
        <f>IF(AND($B57=[1]adriano!$A54,[1]adriano!$B54=M$4),"ok","nok")</f>
        <v>nok</v>
      </c>
      <c r="N57" s="85" t="str">
        <f>IF(AND($B57=[1]adriano!$A54,[1]adriano!$B54=N$4),"ok","nok")</f>
        <v>nok</v>
      </c>
      <c r="O57" s="85" t="str">
        <f>IF(AND($B57=[1]adriano!$A54,[1]adriano!$B54=O$4),"ok","nok")</f>
        <v>nok</v>
      </c>
      <c r="P57" s="85" t="str">
        <f>IF(AND($B57=[1]adriano!$A54,[1]adriano!$B54=P$4),"ok","nok")</f>
        <v>nok</v>
      </c>
      <c r="Q57" s="178"/>
      <c r="R57" s="85" t="str">
        <f>IF(AND($B57=[1]adriano!$A54,[1]adriano!$B54=R$4),"ok","nok")</f>
        <v>nok</v>
      </c>
      <c r="S57" s="85" t="str">
        <f>IF(AND($B57=[1]adriano!$A54,[1]adriano!$B54=S$4),"ok","nok")</f>
        <v>nok</v>
      </c>
      <c r="T57" s="85" t="str">
        <f>IF(AND($B57=[1]adriano!$A54,[1]adriano!$B54=T$4),"ok","nok")</f>
        <v>nok</v>
      </c>
      <c r="U57" s="85" t="str">
        <f>IF(AND($B57=[1]adriano!$A54,[1]adriano!$B54=U$4),"ok","nok")</f>
        <v>nok</v>
      </c>
      <c r="V57" s="85" t="str">
        <f>IF(AND($B57=[1]adriano!$A54,[1]adriano!$B54=V$4),"ok","nok")</f>
        <v>nok</v>
      </c>
      <c r="W57" s="85" t="str">
        <f>IF(AND($B57=[1]adriano!$A54,[1]adriano!$B54=W$4),"ok","nok")</f>
        <v>nok</v>
      </c>
      <c r="X57" s="85" t="str">
        <f>IF(AND($B57=[1]adriano!$A54,[1]adriano!$B54=X$4),"ok","nok")</f>
        <v>ok</v>
      </c>
      <c r="Y57" s="97" t="s">
        <v>15</v>
      </c>
      <c r="Z57" s="98"/>
      <c r="AA57" s="98"/>
      <c r="AB57" s="99"/>
      <c r="AC57" s="46"/>
      <c r="AD57" s="46"/>
      <c r="AE57" s="48" t="str">
        <f t="shared" si="18"/>
        <v/>
      </c>
      <c r="AF57" s="48"/>
      <c r="AG57" s="48"/>
      <c r="AH57" s="67"/>
      <c r="AI57" s="49">
        <f t="shared" si="5"/>
        <v>0</v>
      </c>
      <c r="AJ57" s="49" t="str">
        <f t="shared" si="6"/>
        <v/>
      </c>
      <c r="AK57" s="49">
        <f t="shared" si="7"/>
        <v>0</v>
      </c>
      <c r="AL57" s="49" t="str">
        <f t="shared" si="8"/>
        <v/>
      </c>
      <c r="AM57" s="49">
        <f t="shared" si="9"/>
        <v>0</v>
      </c>
      <c r="AN57" s="49" t="str">
        <f t="shared" si="10"/>
        <v/>
      </c>
      <c r="AO57" s="49">
        <f t="shared" si="11"/>
        <v>0</v>
      </c>
      <c r="AP57" s="49" t="str">
        <f t="shared" si="12"/>
        <v/>
      </c>
      <c r="AQ57" s="49">
        <f t="shared" si="13"/>
        <v>1</v>
      </c>
      <c r="AR57" s="49" t="str">
        <f t="shared" si="14"/>
        <v/>
      </c>
    </row>
    <row r="58" spans="1:52" ht="30" customHeight="1" x14ac:dyDescent="0.35">
      <c r="B58" s="86" t="s">
        <v>57</v>
      </c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109"/>
      <c r="Z58" s="110"/>
      <c r="AA58" s="110"/>
      <c r="AB58" s="111"/>
      <c r="AC58" s="40"/>
      <c r="AD58" s="40"/>
      <c r="AE58" s="48" t="str">
        <f t="shared" si="18"/>
        <v/>
      </c>
      <c r="AF58" s="48"/>
      <c r="AG58" s="48"/>
      <c r="AH58" s="67"/>
      <c r="AI58" s="49">
        <f t="shared" si="5"/>
        <v>0</v>
      </c>
      <c r="AJ58" s="49" t="str">
        <f t="shared" si="6"/>
        <v/>
      </c>
      <c r="AK58" s="49">
        <f t="shared" si="7"/>
        <v>0</v>
      </c>
      <c r="AL58" s="49" t="str">
        <f t="shared" si="8"/>
        <v/>
      </c>
      <c r="AM58" s="49">
        <f t="shared" si="9"/>
        <v>0</v>
      </c>
      <c r="AN58" s="49" t="str">
        <f t="shared" si="10"/>
        <v/>
      </c>
      <c r="AO58" s="49">
        <f t="shared" si="11"/>
        <v>0</v>
      </c>
      <c r="AP58" s="49" t="str">
        <f t="shared" si="12"/>
        <v/>
      </c>
      <c r="AQ58" s="49">
        <f t="shared" si="13"/>
        <v>0</v>
      </c>
      <c r="AR58" s="49" t="str">
        <f t="shared" si="14"/>
        <v/>
      </c>
    </row>
    <row r="59" spans="1:52" ht="30" customHeight="1" x14ac:dyDescent="0.35">
      <c r="A59" t="str">
        <f>CONCATENATE($B$25,"
",$B$27,"
",$B$33,"
",$B$50,"
",$B$58)</f>
        <v>PT146 - Projeto S-2087 - IB3 12 MTA - ANÁLISE ESTRUTURAL (alegria)
1211LL - PRÉDIO DA BRITAGEM SECUNDÁRIA IB3
FASE 2
1ª Condição: Situação atual (Levantamento de Campo)
MEMÓRIA DE CÁLCULO: MC-1211LL-C-00004</v>
      </c>
      <c r="B59" s="38" t="s">
        <v>94</v>
      </c>
      <c r="C59" s="85" t="str">
        <f>IF(AND($B59=[1]adriano!$A56,[1]adriano!$B56=C$4),"ok","nok")</f>
        <v>nok</v>
      </c>
      <c r="D59" s="85" t="str">
        <f>IF(AND($B59=[1]adriano!$A56,[1]adriano!$B56=D$4),"ok","nok")</f>
        <v>nok</v>
      </c>
      <c r="E59" s="85" t="str">
        <f>IF(AND($B59=[1]adriano!$A56,[1]adriano!$B56=E$4),"ok","nok")</f>
        <v>nok</v>
      </c>
      <c r="F59" s="85" t="str">
        <f>IF(AND($B59=[1]adriano!$A56,[1]adriano!$B56=F$4),"ok","nok")</f>
        <v>nok</v>
      </c>
      <c r="G59" s="85" t="str">
        <f>IF(AND($B59=[1]adriano!$A56,[1]adriano!$B56=G$4),"ok","nok")</f>
        <v>nok</v>
      </c>
      <c r="H59" s="85" t="str">
        <f>IF(AND($B59=[1]adriano!$A56,[1]adriano!$B56=H$4),"ok","nok")</f>
        <v>nok</v>
      </c>
      <c r="I59" s="85" t="str">
        <f>IF(AND($B59=[1]adriano!$A56,[1]adriano!$B56=I$4),"ok","nok")</f>
        <v>nok</v>
      </c>
      <c r="J59" s="85" t="str">
        <f>IF(AND($B59=[1]adriano!$A56,[1]adriano!$B56=J$4),"ok","nok")</f>
        <v>nok</v>
      </c>
      <c r="K59" s="85" t="str">
        <f>IF(AND($B59=[1]adriano!$A56,[1]adriano!$B56=K$4),"ok","nok")</f>
        <v>nok</v>
      </c>
      <c r="L59" s="85" t="str">
        <f>IF(AND($B59=[1]adriano!$A56,[1]adriano!$B56=L$4),"ok","nok")</f>
        <v>nok</v>
      </c>
      <c r="M59" s="85" t="str">
        <f>IF(AND($B59=[1]adriano!$A56,[1]adriano!$B56=M$4),"ok","nok")</f>
        <v>nok</v>
      </c>
      <c r="N59" s="85" t="str">
        <f>IF(AND($B59=[1]adriano!$A56,[1]adriano!$B56=N$4),"ok","nok")</f>
        <v>nok</v>
      </c>
      <c r="O59" s="85" t="str">
        <f>IF(AND($B59=[1]adriano!$A56,[1]adriano!$B56=O$4),"ok","nok")</f>
        <v>nok</v>
      </c>
      <c r="P59" s="85" t="str">
        <f>IF(AND($B59=[1]adriano!$A56,[1]adriano!$B56=P$4),"ok","nok")</f>
        <v>nok</v>
      </c>
      <c r="Q59" s="85" t="str">
        <f>IF(AND($B59=[1]adriano!$A56,[1]adriano!$B56=Q$4),"ok","nok")</f>
        <v>nok</v>
      </c>
      <c r="R59" s="85" t="str">
        <f>IF(AND($B59=[1]adriano!$A56,[1]adriano!$B56=R$4),"ok","nok")</f>
        <v>nok</v>
      </c>
      <c r="S59" s="85" t="str">
        <f>IF(AND($B59=[1]adriano!$A56,[1]adriano!$B56=S$4),"ok","nok")</f>
        <v>nok</v>
      </c>
      <c r="T59" s="178"/>
      <c r="U59" s="85" t="str">
        <f>IF(AND($B59=[1]adriano!$A56,[1]adriano!$B56=U$4),"ok","nok")</f>
        <v>nok</v>
      </c>
      <c r="V59" s="85" t="str">
        <f>IF(AND($B59=[1]adriano!$A56,[1]adriano!$B56=V$4),"ok","nok")</f>
        <v>nok</v>
      </c>
      <c r="W59" s="85" t="str">
        <f>IF(AND($B59=[1]adriano!$A56,[1]adriano!$B56=W$4),"ok","nok")</f>
        <v>nok</v>
      </c>
      <c r="X59" s="85" t="str">
        <f>IF(AND($B59=[1]adriano!$A56,[1]adriano!$B56=X$4),"ok","nok")</f>
        <v>ok</v>
      </c>
      <c r="Y59" s="97" t="s">
        <v>15</v>
      </c>
      <c r="Z59" s="98"/>
      <c r="AA59" s="98"/>
      <c r="AB59" s="99"/>
      <c r="AC59" s="40"/>
      <c r="AD59" s="40"/>
      <c r="AE59" s="48" t="str">
        <f t="shared" si="18"/>
        <v/>
      </c>
      <c r="AF59" s="48"/>
      <c r="AG59" s="48"/>
      <c r="AH59" s="67"/>
      <c r="AI59" s="49">
        <f t="shared" si="5"/>
        <v>0</v>
      </c>
      <c r="AJ59" s="49" t="str">
        <f t="shared" si="6"/>
        <v/>
      </c>
      <c r="AK59" s="49">
        <f t="shared" si="7"/>
        <v>0</v>
      </c>
      <c r="AL59" s="49" t="str">
        <f t="shared" si="8"/>
        <v/>
      </c>
      <c r="AM59" s="49">
        <f t="shared" si="9"/>
        <v>0</v>
      </c>
      <c r="AN59" s="49" t="str">
        <f t="shared" si="10"/>
        <v/>
      </c>
      <c r="AO59" s="49">
        <f t="shared" si="11"/>
        <v>0</v>
      </c>
      <c r="AP59" s="49" t="str">
        <f t="shared" si="12"/>
        <v/>
      </c>
      <c r="AQ59" s="49">
        <f t="shared" si="13"/>
        <v>1</v>
      </c>
      <c r="AR59" s="49" t="str">
        <f t="shared" si="14"/>
        <v/>
      </c>
    </row>
    <row r="60" spans="1:52" ht="30" customHeight="1" x14ac:dyDescent="0.35">
      <c r="B60" s="86" t="s">
        <v>99</v>
      </c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109"/>
      <c r="Z60" s="110"/>
      <c r="AA60" s="110"/>
      <c r="AB60" s="111"/>
      <c r="AC60" s="40"/>
      <c r="AD60" s="40"/>
      <c r="AE60" s="48" t="str">
        <f t="shared" si="18"/>
        <v/>
      </c>
      <c r="AF60" s="48"/>
      <c r="AG60" s="48"/>
      <c r="AH60" s="67"/>
      <c r="AI60" s="49">
        <f t="shared" si="5"/>
        <v>0</v>
      </c>
      <c r="AJ60" s="49" t="str">
        <f t="shared" si="6"/>
        <v/>
      </c>
      <c r="AK60" s="49">
        <f t="shared" si="7"/>
        <v>0</v>
      </c>
      <c r="AL60" s="49" t="str">
        <f t="shared" si="8"/>
        <v/>
      </c>
      <c r="AM60" s="49">
        <f t="shared" si="9"/>
        <v>0</v>
      </c>
      <c r="AN60" s="49" t="str">
        <f t="shared" si="10"/>
        <v/>
      </c>
      <c r="AO60" s="49">
        <f t="shared" si="11"/>
        <v>0</v>
      </c>
      <c r="AP60" s="49" t="str">
        <f t="shared" si="12"/>
        <v/>
      </c>
      <c r="AQ60" s="49">
        <f t="shared" si="13"/>
        <v>0</v>
      </c>
      <c r="AR60" s="49" t="str">
        <f t="shared" si="14"/>
        <v/>
      </c>
    </row>
    <row r="61" spans="1:52" ht="30" customHeight="1" x14ac:dyDescent="0.35">
      <c r="A61" t="str">
        <f>CONCATENATE($B$25,"
",$B$27,"
",$B$33,"
",$B$50,"
",$B$60)</f>
        <v>PT146 - Projeto S-2087 - IB3 12 MTA - ANÁLISE ESTRUTURAL (alegria)
1211LL - PRÉDIO DA BRITAGEM SECUNDÁRIA IB3
FASE 2
1ª Condição: Situação atual (Levantamento de Campo)
PROJETO DE REFORÇO: 1211LL-C-00003</v>
      </c>
      <c r="B61" s="38" t="s">
        <v>94</v>
      </c>
      <c r="C61" s="85" t="str">
        <f>IF(AND($B61=[1]adriano!$A58,[1]adriano!$B58=C$4),"ok","nok")</f>
        <v>nok</v>
      </c>
      <c r="D61" s="85" t="str">
        <f>IF(AND($B61=[1]adriano!$A58,[1]adriano!$B58=D$4),"ok","nok")</f>
        <v>nok</v>
      </c>
      <c r="E61" s="85" t="str">
        <f>IF(AND($B61=[1]adriano!$A58,[1]adriano!$B58=E$4),"ok","nok")</f>
        <v>nok</v>
      </c>
      <c r="F61" s="85" t="str">
        <f>IF(AND($B61=[1]adriano!$A58,[1]adriano!$B58=F$4),"ok","nok")</f>
        <v>nok</v>
      </c>
      <c r="G61" s="85" t="str">
        <f>IF(AND($B61=[1]adriano!$A58,[1]adriano!$B58=G$4),"ok","nok")</f>
        <v>nok</v>
      </c>
      <c r="H61" s="85" t="str">
        <f>IF(AND($B61=[1]adriano!$A58,[1]adriano!$B58=H$4),"ok","nok")</f>
        <v>nok</v>
      </c>
      <c r="I61" s="85" t="str">
        <f>IF(AND($B61=[1]adriano!$A58,[1]adriano!$B58=I$4),"ok","nok")</f>
        <v>nok</v>
      </c>
      <c r="J61" s="85" t="str">
        <f>IF(AND($B61=[1]adriano!$A58,[1]adriano!$B58=J$4),"ok","nok")</f>
        <v>nok</v>
      </c>
      <c r="K61" s="85" t="str">
        <f>IF(AND($B61=[1]adriano!$A58,[1]adriano!$B58=K$4),"ok","nok")</f>
        <v>nok</v>
      </c>
      <c r="L61" s="85" t="str">
        <f>IF(AND($B61=[1]adriano!$A58,[1]adriano!$B58=L$4),"ok","nok")</f>
        <v>nok</v>
      </c>
      <c r="M61" s="85" t="str">
        <f>IF(AND($B61=[1]adriano!$A58,[1]adriano!$B58=M$4),"ok","nok")</f>
        <v>nok</v>
      </c>
      <c r="N61" s="85" t="str">
        <f>IF(AND($B61=[1]adriano!$A58,[1]adriano!$B58=N$4),"ok","nok")</f>
        <v>nok</v>
      </c>
      <c r="O61" s="85" t="str">
        <f>IF(AND($B61=[1]adriano!$A58,[1]adriano!$B58=O$4),"ok","nok")</f>
        <v>nok</v>
      </c>
      <c r="P61" s="85" t="str">
        <f>IF(AND($B61=[1]adriano!$A58,[1]adriano!$B58=P$4),"ok","nok")</f>
        <v>nok</v>
      </c>
      <c r="Q61" s="85" t="str">
        <f>IF(AND($B61=[1]adriano!$A58,[1]adriano!$B58=Q$4),"ok","nok")</f>
        <v>nok</v>
      </c>
      <c r="R61" s="85" t="str">
        <f>IF(AND($B61=[1]adriano!$A58,[1]adriano!$B58=R$4),"ok","nok")</f>
        <v>nok</v>
      </c>
      <c r="S61" s="85" t="str">
        <f>IF(AND($B61=[1]adriano!$A58,[1]adriano!$B58=S$4),"ok","nok")</f>
        <v>nok</v>
      </c>
      <c r="T61" s="178"/>
      <c r="U61" s="85" t="str">
        <f>IF(AND($B61=[1]adriano!$A58,[1]adriano!$B58=U$4),"ok","nok")</f>
        <v>nok</v>
      </c>
      <c r="V61" s="85" t="str">
        <f>IF(AND($B61=[1]adriano!$A58,[1]adriano!$B58=V$4),"ok","nok")</f>
        <v>nok</v>
      </c>
      <c r="W61" s="85" t="str">
        <f>IF(AND($B61=[1]adriano!$A58,[1]adriano!$B58=W$4),"ok","nok")</f>
        <v>nok</v>
      </c>
      <c r="X61" s="85" t="str">
        <f>IF(AND($B61=[1]adriano!$A58,[1]adriano!$B58=X$4),"ok","nok")</f>
        <v>ok</v>
      </c>
      <c r="Y61" s="97" t="s">
        <v>15</v>
      </c>
      <c r="Z61" s="98"/>
      <c r="AA61" s="98"/>
      <c r="AB61" s="99"/>
      <c r="AC61" s="41"/>
      <c r="AD61" s="41"/>
      <c r="AE61" s="48" t="str">
        <f t="shared" si="18"/>
        <v/>
      </c>
      <c r="AF61" s="48"/>
      <c r="AG61" s="48"/>
      <c r="AH61" s="67"/>
      <c r="AI61" s="49">
        <f t="shared" si="5"/>
        <v>0</v>
      </c>
      <c r="AJ61" s="49" t="str">
        <f t="shared" si="6"/>
        <v/>
      </c>
      <c r="AK61" s="49">
        <f t="shared" si="7"/>
        <v>0</v>
      </c>
      <c r="AL61" s="49" t="str">
        <f t="shared" si="8"/>
        <v/>
      </c>
      <c r="AM61" s="49">
        <f t="shared" si="9"/>
        <v>0</v>
      </c>
      <c r="AN61" s="49" t="str">
        <f t="shared" si="10"/>
        <v/>
      </c>
      <c r="AO61" s="49">
        <f t="shared" si="11"/>
        <v>0</v>
      </c>
      <c r="AP61" s="49" t="str">
        <f t="shared" si="12"/>
        <v/>
      </c>
      <c r="AQ61" s="49">
        <f t="shared" si="13"/>
        <v>1</v>
      </c>
      <c r="AR61" s="49" t="str">
        <f t="shared" si="14"/>
        <v/>
      </c>
    </row>
    <row r="62" spans="1:52" ht="30" customHeight="1" x14ac:dyDescent="0.35">
      <c r="B62" s="41" t="s">
        <v>60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118"/>
      <c r="Z62" s="119"/>
      <c r="AA62" s="119"/>
      <c r="AB62" s="120"/>
      <c r="AC62" s="46"/>
      <c r="AD62" s="46"/>
      <c r="AE62" s="48" t="str">
        <f t="shared" si="18"/>
        <v/>
      </c>
      <c r="AF62" s="48"/>
      <c r="AG62" s="48"/>
      <c r="AH62" s="67"/>
      <c r="AI62" s="49">
        <f t="shared" si="5"/>
        <v>0</v>
      </c>
      <c r="AJ62" s="49" t="str">
        <f t="shared" si="6"/>
        <v/>
      </c>
      <c r="AK62" s="49">
        <f t="shared" si="7"/>
        <v>0</v>
      </c>
      <c r="AL62" s="49" t="str">
        <f t="shared" si="8"/>
        <v/>
      </c>
      <c r="AM62" s="49">
        <f t="shared" si="9"/>
        <v>0</v>
      </c>
      <c r="AN62" s="49" t="str">
        <f t="shared" si="10"/>
        <v/>
      </c>
      <c r="AO62" s="49">
        <f t="shared" si="11"/>
        <v>0</v>
      </c>
      <c r="AP62" s="49" t="str">
        <f t="shared" si="12"/>
        <v/>
      </c>
      <c r="AQ62" s="49">
        <f t="shared" si="13"/>
        <v>0</v>
      </c>
      <c r="AR62" s="49" t="str">
        <f t="shared" si="14"/>
        <v/>
      </c>
    </row>
    <row r="63" spans="1:52" ht="30" customHeight="1" x14ac:dyDescent="0.35">
      <c r="B63" s="42" t="s">
        <v>56</v>
      </c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103"/>
      <c r="Z63" s="104"/>
      <c r="AA63" s="104"/>
      <c r="AB63" s="105"/>
      <c r="AC63" s="40"/>
      <c r="AD63" s="40"/>
      <c r="AE63" s="48" t="str">
        <f t="shared" si="18"/>
        <v/>
      </c>
      <c r="AF63" s="48"/>
      <c r="AG63" s="48"/>
      <c r="AH63" s="67"/>
      <c r="AI63" s="49">
        <f t="shared" si="5"/>
        <v>0</v>
      </c>
      <c r="AJ63" s="49" t="str">
        <f t="shared" si="6"/>
        <v/>
      </c>
      <c r="AK63" s="49">
        <f t="shared" si="7"/>
        <v>0</v>
      </c>
      <c r="AL63" s="49" t="str">
        <f t="shared" si="8"/>
        <v/>
      </c>
      <c r="AM63" s="49">
        <f t="shared" si="9"/>
        <v>0</v>
      </c>
      <c r="AN63" s="49" t="str">
        <f t="shared" si="10"/>
        <v/>
      </c>
      <c r="AO63" s="49">
        <f t="shared" si="11"/>
        <v>0</v>
      </c>
      <c r="AP63" s="49" t="str">
        <f t="shared" si="12"/>
        <v/>
      </c>
      <c r="AQ63" s="49">
        <f t="shared" si="13"/>
        <v>0</v>
      </c>
      <c r="AR63" s="49" t="str">
        <f t="shared" si="14"/>
        <v/>
      </c>
    </row>
    <row r="64" spans="1:52" ht="30" customHeight="1" x14ac:dyDescent="0.35">
      <c r="B64" s="58" t="s">
        <v>61</v>
      </c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106"/>
      <c r="Z64" s="107"/>
      <c r="AA64" s="107"/>
      <c r="AB64" s="108"/>
      <c r="AC64" s="40"/>
      <c r="AD64" s="40"/>
      <c r="AE64" s="48" t="str">
        <f t="shared" si="18"/>
        <v/>
      </c>
      <c r="AF64" s="48"/>
      <c r="AG64" s="48"/>
      <c r="AH64" s="67"/>
      <c r="AI64" s="49">
        <f t="shared" si="5"/>
        <v>0</v>
      </c>
      <c r="AJ64" s="49" t="str">
        <f t="shared" si="6"/>
        <v/>
      </c>
      <c r="AK64" s="49">
        <f t="shared" si="7"/>
        <v>0</v>
      </c>
      <c r="AL64" s="49" t="str">
        <f t="shared" si="8"/>
        <v/>
      </c>
      <c r="AM64" s="49">
        <f t="shared" si="9"/>
        <v>0</v>
      </c>
      <c r="AN64" s="49" t="str">
        <f t="shared" si="10"/>
        <v/>
      </c>
      <c r="AO64" s="49">
        <f t="shared" si="11"/>
        <v>0</v>
      </c>
      <c r="AP64" s="49" t="str">
        <f t="shared" si="12"/>
        <v/>
      </c>
      <c r="AQ64" s="49">
        <f t="shared" si="13"/>
        <v>0</v>
      </c>
      <c r="AR64" s="49" t="str">
        <f t="shared" si="14"/>
        <v/>
      </c>
    </row>
    <row r="65" spans="1:64" ht="30" customHeight="1" x14ac:dyDescent="0.35">
      <c r="A65" t="str">
        <f>CONCATENATE($B$25,"
",$B$62,"
",$B$63,"
",$B$64,""
)</f>
        <v>PT146 - Projeto S-2087 - IB3 12 MTA - ANÁLISE ESTRUTURAL (alegria)
1310LL - PRÉDIO DO PENEIRAMENTO TERCIÁRIO IB3
Civil
MEMÓRIA DE CÁLCULO: MC-1310LL-C-00005</v>
      </c>
      <c r="B65" s="38" t="s">
        <v>58</v>
      </c>
      <c r="C65" s="85" t="str">
        <f>IF(AND($B65=[1]adriano!$A62,[1]adriano!$B62=C$4),"ok","nok")</f>
        <v>nok</v>
      </c>
      <c r="D65" s="85" t="str">
        <f>IF(AND($B65=[1]adriano!$A62,[1]adriano!$B62=D$4),"ok","nok")</f>
        <v>nok</v>
      </c>
      <c r="E65" s="85" t="str">
        <f>IF(AND($B65=[1]adriano!$A62,[1]adriano!$B62=E$4),"ok","nok")</f>
        <v>nok</v>
      </c>
      <c r="F65" s="85" t="str">
        <f>IF(AND($B65=[1]adriano!$A62,[1]adriano!$B62=F$4),"ok","nok")</f>
        <v>nok</v>
      </c>
      <c r="G65" s="85" t="str">
        <f>IF(AND($B65=[1]adriano!$A62,[1]adriano!$B62=G$4),"ok","nok")</f>
        <v>nok</v>
      </c>
      <c r="H65" s="85" t="str">
        <f>IF(AND($B65=[1]adriano!$A62,[1]adriano!$B62=H$4),"ok","nok")</f>
        <v>nok</v>
      </c>
      <c r="I65" s="85" t="str">
        <f>IF(AND($B65=[1]adriano!$A62,[1]adriano!$B62=I$4),"ok","nok")</f>
        <v>nok</v>
      </c>
      <c r="J65" s="85" t="str">
        <f>IF(AND($B65=[1]adriano!$A62,[1]adriano!$B62=J$4),"ok","nok")</f>
        <v>nok</v>
      </c>
      <c r="K65" s="85" t="str">
        <f>IF(AND($B65=[1]adriano!$A62,[1]adriano!$B62=K$4),"ok","nok")</f>
        <v>nok</v>
      </c>
      <c r="L65" s="85" t="str">
        <f>IF(AND($B65=[1]adriano!$A62,[1]adriano!$B62=L$4),"ok","nok")</f>
        <v>nok</v>
      </c>
      <c r="M65" s="85" t="str">
        <f>IF(AND($B65=[1]adriano!$A62,[1]adriano!$B62=M$4),"ok","nok")</f>
        <v>nok</v>
      </c>
      <c r="N65" s="85" t="str">
        <f>IF(AND($B65=[1]adriano!$A62,[1]adriano!$B62=N$4),"ok","nok")</f>
        <v>nok</v>
      </c>
      <c r="O65" s="85" t="str">
        <f>IF(AND($B65=[1]adriano!$A62,[1]adriano!$B62=O$4),"ok","nok")</f>
        <v>ok</v>
      </c>
      <c r="P65" s="85" t="str">
        <f>IF(AND($B65=[1]adriano!$A62,[1]adriano!$B62=P$4),"ok","nok")</f>
        <v>nok</v>
      </c>
      <c r="Q65" s="85" t="str">
        <f>IF(AND($B65=[1]adriano!$A62,[1]adriano!$B62=Q$4),"ok","nok")</f>
        <v>nok</v>
      </c>
      <c r="R65" s="85" t="str">
        <f>IF(AND($B65=[1]adriano!$A62,[1]adriano!$B62=R$4),"ok","nok")</f>
        <v>nok</v>
      </c>
      <c r="S65" s="85" t="str">
        <f>IF(AND($B65=[1]adriano!$A62,[1]adriano!$B62=S$4),"ok","nok")</f>
        <v>nok</v>
      </c>
      <c r="T65" s="85" t="str">
        <f>IF(AND($B65=[1]adriano!$A62,[1]adriano!$B62=T$4),"ok","nok")</f>
        <v>nok</v>
      </c>
      <c r="U65" s="85" t="str">
        <f>IF(AND($B65=[1]adriano!$A62,[1]adriano!$B62=U$4),"ok","nok")</f>
        <v>nok</v>
      </c>
      <c r="V65" s="85" t="str">
        <f>IF(AND($B65=[1]adriano!$A62,[1]adriano!$B62=V$4),"ok","nok")</f>
        <v>nok</v>
      </c>
      <c r="W65" s="85" t="str">
        <f>IF(AND($B65=[1]adriano!$A62,[1]adriano!$B62=W$4),"ok","nok")</f>
        <v>nok</v>
      </c>
      <c r="X65" s="85" t="str">
        <f>IF(AND($B65=[1]adriano!$A62,[1]adriano!$B62=X$4),"ok","nok")</f>
        <v>nok</v>
      </c>
      <c r="Y65" s="97" t="s">
        <v>2</v>
      </c>
      <c r="Z65" s="98"/>
      <c r="AA65" s="98"/>
      <c r="AB65" s="99"/>
      <c r="AC65" s="40"/>
      <c r="AD65" s="40"/>
      <c r="AE65" s="48" t="str">
        <f t="shared" si="18"/>
        <v/>
      </c>
      <c r="AF65" s="48"/>
      <c r="AG65" s="48"/>
      <c r="AH65" s="67"/>
      <c r="AI65" s="49">
        <f t="shared" si="5"/>
        <v>0</v>
      </c>
      <c r="AJ65" s="49" t="str">
        <f t="shared" si="6"/>
        <v/>
      </c>
      <c r="AK65" s="49">
        <f t="shared" si="7"/>
        <v>0</v>
      </c>
      <c r="AL65" s="49" t="str">
        <f t="shared" si="8"/>
        <v/>
      </c>
      <c r="AM65" s="49">
        <f t="shared" si="9"/>
        <v>1</v>
      </c>
      <c r="AN65" s="49" t="str">
        <f t="shared" si="10"/>
        <v>ENTREGUE</v>
      </c>
      <c r="AO65" s="49">
        <f t="shared" si="11"/>
        <v>0</v>
      </c>
      <c r="AP65" s="49" t="str">
        <f t="shared" si="12"/>
        <v/>
      </c>
      <c r="AQ65" s="49">
        <f t="shared" si="13"/>
        <v>0</v>
      </c>
      <c r="AR65" s="49" t="str">
        <f t="shared" si="14"/>
        <v/>
      </c>
    </row>
    <row r="66" spans="1:64" ht="30" customHeight="1" x14ac:dyDescent="0.35">
      <c r="A66" t="str">
        <f t="shared" ref="A66" si="22">CONCATENATE($B$25,"
",$B$62,"
",$B$63,"
",$B$64,""
)</f>
        <v>PT146 - Projeto S-2087 - IB3 12 MTA - ANÁLISE ESTRUTURAL (alegria)
1310LL - PRÉDIO DO PENEIRAMENTO TERCIÁRIO IB3
Civil
MEMÓRIA DE CÁLCULO: MC-1310LL-C-00005</v>
      </c>
      <c r="B66" s="38" t="s">
        <v>59</v>
      </c>
      <c r="C66" s="85" t="str">
        <f>IF(AND($B66=[1]adriano!$A63,[1]adriano!$B63=C$4),"ok","nok")</f>
        <v>nok</v>
      </c>
      <c r="D66" s="85" t="str">
        <f>IF(AND($B66=[1]adriano!$A63,[1]adriano!$B63=D$4),"ok","nok")</f>
        <v>nok</v>
      </c>
      <c r="E66" s="85" t="str">
        <f>IF(AND($B66=[1]adriano!$A63,[1]adriano!$B63=E$4),"ok","nok")</f>
        <v>nok</v>
      </c>
      <c r="F66" s="85" t="str">
        <f>IF(AND($B66=[1]adriano!$A63,[1]adriano!$B63=F$4),"ok","nok")</f>
        <v>nok</v>
      </c>
      <c r="G66" s="85" t="str">
        <f>IF(AND($B66=[1]adriano!$A63,[1]adriano!$B63=G$4),"ok","nok")</f>
        <v>nok</v>
      </c>
      <c r="H66" s="85" t="str">
        <f>IF(AND($B66=[1]adriano!$A63,[1]adriano!$B63=H$4),"ok","nok")</f>
        <v>nok</v>
      </c>
      <c r="I66" s="85" t="str">
        <f>IF(AND($B66=[1]adriano!$A63,[1]adriano!$B63=I$4),"ok","nok")</f>
        <v>nok</v>
      </c>
      <c r="J66" s="85" t="str">
        <f>IF(AND($B66=[1]adriano!$A63,[1]adriano!$B63=J$4),"ok","nok")</f>
        <v>nok</v>
      </c>
      <c r="K66" s="85" t="str">
        <f>IF(AND($B66=[1]adriano!$A63,[1]adriano!$B63=K$4),"ok","nok")</f>
        <v>nok</v>
      </c>
      <c r="L66" s="85" t="str">
        <f>IF(AND($B66=[1]adriano!$A63,[1]adriano!$B63=L$4),"ok","nok")</f>
        <v>nok</v>
      </c>
      <c r="M66" s="85" t="str">
        <f>IF(AND($B66=[1]adriano!$A63,[1]adriano!$B63=M$4),"ok","nok")</f>
        <v>nok</v>
      </c>
      <c r="N66" s="85" t="str">
        <f>IF(AND($B66=[1]adriano!$A63,[1]adriano!$B63=N$4),"ok","nok")</f>
        <v>nok</v>
      </c>
      <c r="O66" s="85" t="str">
        <f>IF(AND($B66=[1]adriano!$A63,[1]adriano!$B63=O$4),"ok","nok")</f>
        <v>ok</v>
      </c>
      <c r="P66" s="85" t="str">
        <f>IF(AND($B66=[1]adriano!$A63,[1]adriano!$B63=P$4),"ok","nok")</f>
        <v>nok</v>
      </c>
      <c r="Q66" s="85" t="str">
        <f>IF(AND($B66=[1]adriano!$A63,[1]adriano!$B63=Q$4),"ok","nok")</f>
        <v>nok</v>
      </c>
      <c r="R66" s="85" t="str">
        <f>IF(AND($B66=[1]adriano!$A63,[1]adriano!$B63=R$4),"ok","nok")</f>
        <v>nok</v>
      </c>
      <c r="S66" s="85" t="str">
        <f>IF(AND($B66=[1]adriano!$A63,[1]adriano!$B63=S$4),"ok","nok")</f>
        <v>nok</v>
      </c>
      <c r="T66" s="85" t="str">
        <f>IF(AND($B66=[1]adriano!$A63,[1]adriano!$B63=T$4),"ok","nok")</f>
        <v>nok</v>
      </c>
      <c r="U66" s="85" t="str">
        <f>IF(AND($B66=[1]adriano!$A63,[1]adriano!$B63=U$4),"ok","nok")</f>
        <v>nok</v>
      </c>
      <c r="V66" s="85" t="str">
        <f>IF(AND($B66=[1]adriano!$A63,[1]adriano!$B63=V$4),"ok","nok")</f>
        <v>nok</v>
      </c>
      <c r="W66" s="85" t="str">
        <f>IF(AND($B66=[1]adriano!$A63,[1]adriano!$B63=W$4),"ok","nok")</f>
        <v>nok</v>
      </c>
      <c r="X66" s="85" t="str">
        <f>IF(AND($B66=[1]adriano!$A63,[1]adriano!$B63=X$4),"ok","nok")</f>
        <v>nok</v>
      </c>
      <c r="Y66" s="97" t="s">
        <v>2</v>
      </c>
      <c r="Z66" s="98"/>
      <c r="AA66" s="98"/>
      <c r="AB66" s="99"/>
      <c r="AC66" s="41"/>
      <c r="AD66" s="41"/>
      <c r="AE66" s="48" t="str">
        <f t="shared" si="18"/>
        <v/>
      </c>
      <c r="AF66" s="48"/>
      <c r="AG66" s="48"/>
      <c r="AH66" s="67"/>
      <c r="AI66" s="49">
        <f t="shared" si="5"/>
        <v>0</v>
      </c>
      <c r="AJ66" s="49" t="str">
        <f t="shared" si="6"/>
        <v/>
      </c>
      <c r="AK66" s="49">
        <f t="shared" si="7"/>
        <v>0</v>
      </c>
      <c r="AL66" s="49" t="str">
        <f t="shared" si="8"/>
        <v/>
      </c>
      <c r="AM66" s="49">
        <f t="shared" si="9"/>
        <v>1</v>
      </c>
      <c r="AN66" s="49" t="str">
        <f t="shared" si="10"/>
        <v>ENTREGUE</v>
      </c>
      <c r="AO66" s="49">
        <f t="shared" si="11"/>
        <v>0</v>
      </c>
      <c r="AP66" s="49" t="str">
        <f t="shared" si="12"/>
        <v/>
      </c>
      <c r="AQ66" s="49">
        <f t="shared" si="13"/>
        <v>0</v>
      </c>
      <c r="AR66" s="49" t="str">
        <f t="shared" si="14"/>
        <v/>
      </c>
    </row>
    <row r="67" spans="1:64" ht="30" customHeight="1" x14ac:dyDescent="0.35">
      <c r="B67" s="58" t="s">
        <v>62</v>
      </c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106"/>
      <c r="Z67" s="107"/>
      <c r="AA67" s="107"/>
      <c r="AB67" s="108"/>
      <c r="AC67" s="46"/>
      <c r="AD67" s="46"/>
      <c r="AE67" s="48" t="str">
        <f t="shared" si="18"/>
        <v/>
      </c>
      <c r="AF67" s="48"/>
      <c r="AG67" s="48"/>
      <c r="AH67" s="67"/>
      <c r="AI67" s="49">
        <f t="shared" si="5"/>
        <v>0</v>
      </c>
      <c r="AJ67" s="49" t="str">
        <f t="shared" si="6"/>
        <v/>
      </c>
      <c r="AK67" s="49">
        <f t="shared" si="7"/>
        <v>0</v>
      </c>
      <c r="AL67" s="49" t="str">
        <f t="shared" si="8"/>
        <v/>
      </c>
      <c r="AM67" s="49">
        <f t="shared" si="9"/>
        <v>0</v>
      </c>
      <c r="AN67" s="49" t="str">
        <f t="shared" si="10"/>
        <v/>
      </c>
      <c r="AO67" s="49">
        <f t="shared" si="11"/>
        <v>0</v>
      </c>
      <c r="AP67" s="49" t="str">
        <f t="shared" si="12"/>
        <v/>
      </c>
      <c r="AQ67" s="49">
        <f t="shared" si="13"/>
        <v>0</v>
      </c>
      <c r="AR67" s="49" t="str">
        <f t="shared" si="14"/>
        <v/>
      </c>
    </row>
    <row r="68" spans="1:64" ht="30" customHeight="1" x14ac:dyDescent="0.35">
      <c r="A68" t="str">
        <f>CONCATENATE($B$25,"
",$B$62,"
",$B$63,"
",$B$67,""
)</f>
        <v>PT146 - Projeto S-2087 - IB3 12 MTA - ANÁLISE ESTRUTURAL (alegria)
1310LL - PRÉDIO DO PENEIRAMENTO TERCIÁRIO IB3
Civil
PROJETO DE REFORÇO: 1310LL-C-00003</v>
      </c>
      <c r="B68" s="38" t="s">
        <v>58</v>
      </c>
      <c r="C68" s="85" t="str">
        <f>IF(AND($B68=[1]adriano!$A65,[1]adriano!$B65=C$4),"ok","nok")</f>
        <v>nok</v>
      </c>
      <c r="D68" s="85" t="str">
        <f>IF(AND($B68=[1]adriano!$A65,[1]adriano!$B65=D$4),"ok","nok")</f>
        <v>nok</v>
      </c>
      <c r="E68" s="85" t="str">
        <f>IF(AND($B68=[1]adriano!$A65,[1]adriano!$B65=E$4),"ok","nok")</f>
        <v>nok</v>
      </c>
      <c r="F68" s="85" t="str">
        <f>IF(AND($B68=[1]adriano!$A65,[1]adriano!$B65=F$4),"ok","nok")</f>
        <v>nok</v>
      </c>
      <c r="G68" s="85" t="str">
        <f>IF(AND($B68=[1]adriano!$A65,[1]adriano!$B65=G$4),"ok","nok")</f>
        <v>nok</v>
      </c>
      <c r="H68" s="85" t="str">
        <f>IF(AND($B68=[1]adriano!$A65,[1]adriano!$B65=H$4),"ok","nok")</f>
        <v>nok</v>
      </c>
      <c r="I68" s="85" t="str">
        <f>IF(AND($B68=[1]adriano!$A65,[1]adriano!$B65=I$4),"ok","nok")</f>
        <v>nok</v>
      </c>
      <c r="J68" s="85" t="str">
        <f>IF(AND($B68=[1]adriano!$A65,[1]adriano!$B65=J$4),"ok","nok")</f>
        <v>nok</v>
      </c>
      <c r="K68" s="85" t="str">
        <f>IF(AND($B68=[1]adriano!$A65,[1]adriano!$B65=K$4),"ok","nok")</f>
        <v>nok</v>
      </c>
      <c r="L68" s="85" t="str">
        <f>IF(AND($B68=[1]adriano!$A65,[1]adriano!$B65=L$4),"ok","nok")</f>
        <v>nok</v>
      </c>
      <c r="M68" s="85" t="str">
        <f>IF(AND($B68=[1]adriano!$A65,[1]adriano!$B65=M$4),"ok","nok")</f>
        <v>nok</v>
      </c>
      <c r="N68" s="85" t="str">
        <f>IF(AND($B68=[1]adriano!$A65,[1]adriano!$B65=N$4),"ok","nok")</f>
        <v>nok</v>
      </c>
      <c r="O68" s="85" t="str">
        <f>IF(AND($B68=[1]adriano!$A65,[1]adriano!$B65=O$4),"ok","nok")</f>
        <v>ok</v>
      </c>
      <c r="P68" s="85" t="str">
        <f>IF(AND($B68=[1]adriano!$A65,[1]adriano!$B65=P$4),"ok","nok")</f>
        <v>nok</v>
      </c>
      <c r="Q68" s="85" t="str">
        <f>IF(AND($B68=[1]adriano!$A65,[1]adriano!$B65=Q$4),"ok","nok")</f>
        <v>nok</v>
      </c>
      <c r="R68" s="85" t="str">
        <f>IF(AND($B68=[1]adriano!$A65,[1]adriano!$B65=R$4),"ok","nok")</f>
        <v>nok</v>
      </c>
      <c r="S68" s="85" t="str">
        <f>IF(AND($B68=[1]adriano!$A65,[1]adriano!$B65=S$4),"ok","nok")</f>
        <v>nok</v>
      </c>
      <c r="T68" s="85" t="str">
        <f>IF(AND($B68=[1]adriano!$A65,[1]adriano!$B65=T$4),"ok","nok")</f>
        <v>nok</v>
      </c>
      <c r="U68" s="85" t="str">
        <f>IF(AND($B68=[1]adriano!$A65,[1]adriano!$B65=U$4),"ok","nok")</f>
        <v>nok</v>
      </c>
      <c r="V68" s="85" t="str">
        <f>IF(AND($B68=[1]adriano!$A65,[1]adriano!$B65=V$4),"ok","nok")</f>
        <v>nok</v>
      </c>
      <c r="W68" s="85" t="str">
        <f>IF(AND($B68=[1]adriano!$A65,[1]adriano!$B65=W$4),"ok","nok")</f>
        <v>nok</v>
      </c>
      <c r="X68" s="85" t="str">
        <f>IF(AND($B68=[1]adriano!$A65,[1]adriano!$B65=X$4),"ok","nok")</f>
        <v>nok</v>
      </c>
      <c r="Y68" s="97" t="s">
        <v>2</v>
      </c>
      <c r="Z68" s="98"/>
      <c r="AA68" s="98"/>
      <c r="AB68" s="99"/>
      <c r="AC68" s="40"/>
      <c r="AD68" s="40"/>
      <c r="AE68" s="48" t="str">
        <f t="shared" si="18"/>
        <v/>
      </c>
      <c r="AF68" s="48"/>
      <c r="AG68" s="48"/>
      <c r="AH68" s="67"/>
      <c r="AI68" s="49">
        <f t="shared" si="5"/>
        <v>0</v>
      </c>
      <c r="AJ68" s="49" t="str">
        <f t="shared" si="6"/>
        <v/>
      </c>
      <c r="AK68" s="49">
        <f t="shared" si="7"/>
        <v>0</v>
      </c>
      <c r="AL68" s="49" t="str">
        <f t="shared" si="8"/>
        <v/>
      </c>
      <c r="AM68" s="49">
        <f t="shared" si="9"/>
        <v>1</v>
      </c>
      <c r="AN68" s="49" t="str">
        <f t="shared" si="10"/>
        <v>ENTREGUE</v>
      </c>
      <c r="AO68" s="49">
        <f t="shared" si="11"/>
        <v>0</v>
      </c>
      <c r="AP68" s="49" t="str">
        <f t="shared" si="12"/>
        <v/>
      </c>
      <c r="AQ68" s="49">
        <f t="shared" si="13"/>
        <v>0</v>
      </c>
      <c r="AR68" s="49" t="str">
        <f t="shared" si="14"/>
        <v/>
      </c>
    </row>
    <row r="69" spans="1:64" ht="30" customHeight="1" x14ac:dyDescent="0.35">
      <c r="A69" t="str">
        <f>CONCATENATE($B$25,"
",$B$62,"
",$B$63,"
",$B$67,""
)</f>
        <v>PT146 - Projeto S-2087 - IB3 12 MTA - ANÁLISE ESTRUTURAL (alegria)
1310LL - PRÉDIO DO PENEIRAMENTO TERCIÁRIO IB3
Civil
PROJETO DE REFORÇO: 1310LL-C-00003</v>
      </c>
      <c r="B69" s="38" t="s">
        <v>59</v>
      </c>
      <c r="C69" s="85" t="str">
        <f>IF(AND($B69=[1]adriano!$A66,[1]adriano!$B66=C$4),"ok","nok")</f>
        <v>nok</v>
      </c>
      <c r="D69" s="85" t="str">
        <f>IF(AND($B69=[1]adriano!$A66,[1]adriano!$B66=D$4),"ok","nok")</f>
        <v>nok</v>
      </c>
      <c r="E69" s="85" t="str">
        <f>IF(AND($B69=[1]adriano!$A66,[1]adriano!$B66=E$4),"ok","nok")</f>
        <v>nok</v>
      </c>
      <c r="F69" s="85" t="str">
        <f>IF(AND($B69=[1]adriano!$A66,[1]adriano!$B66=F$4),"ok","nok")</f>
        <v>nok</v>
      </c>
      <c r="G69" s="85" t="str">
        <f>IF(AND($B69=[1]adriano!$A66,[1]adriano!$B66=G$4),"ok","nok")</f>
        <v>nok</v>
      </c>
      <c r="H69" s="85" t="str">
        <f>IF(AND($B69=[1]adriano!$A66,[1]adriano!$B66=H$4),"ok","nok")</f>
        <v>nok</v>
      </c>
      <c r="I69" s="85" t="str">
        <f>IF(AND($B69=[1]adriano!$A66,[1]adriano!$B66=I$4),"ok","nok")</f>
        <v>nok</v>
      </c>
      <c r="J69" s="85" t="str">
        <f>IF(AND($B69=[1]adriano!$A66,[1]adriano!$B66=J$4),"ok","nok")</f>
        <v>nok</v>
      </c>
      <c r="K69" s="85" t="str">
        <f>IF(AND($B69=[1]adriano!$A66,[1]adriano!$B66=K$4),"ok","nok")</f>
        <v>nok</v>
      </c>
      <c r="L69" s="85" t="str">
        <f>IF(AND($B69=[1]adriano!$A66,[1]adriano!$B66=L$4),"ok","nok")</f>
        <v>nok</v>
      </c>
      <c r="M69" s="85" t="str">
        <f>IF(AND($B69=[1]adriano!$A66,[1]adriano!$B66=M$4),"ok","nok")</f>
        <v>nok</v>
      </c>
      <c r="N69" s="85" t="str">
        <f>IF(AND($B69=[1]adriano!$A66,[1]adriano!$B66=N$4),"ok","nok")</f>
        <v>nok</v>
      </c>
      <c r="O69" s="85" t="str">
        <f>IF(AND($B69=[1]adriano!$A66,[1]adriano!$B66=O$4),"ok","nok")</f>
        <v>ok</v>
      </c>
      <c r="P69" s="85" t="str">
        <f>IF(AND($B69=[1]adriano!$A66,[1]adriano!$B66=P$4),"ok","nok")</f>
        <v>nok</v>
      </c>
      <c r="Q69" s="85" t="str">
        <f>IF(AND($B69=[1]adriano!$A66,[1]adriano!$B66=Q$4),"ok","nok")</f>
        <v>nok</v>
      </c>
      <c r="R69" s="85" t="str">
        <f>IF(AND($B69=[1]adriano!$A66,[1]adriano!$B66=R$4),"ok","nok")</f>
        <v>nok</v>
      </c>
      <c r="S69" s="85" t="str">
        <f>IF(AND($B69=[1]adriano!$A66,[1]adriano!$B66=S$4),"ok","nok")</f>
        <v>nok</v>
      </c>
      <c r="T69" s="85" t="str">
        <f>IF(AND($B69=[1]adriano!$A66,[1]adriano!$B66=T$4),"ok","nok")</f>
        <v>nok</v>
      </c>
      <c r="U69" s="85" t="str">
        <f>IF(AND($B69=[1]adriano!$A66,[1]adriano!$B66=U$4),"ok","nok")</f>
        <v>nok</v>
      </c>
      <c r="V69" s="85" t="str">
        <f>IF(AND($B69=[1]adriano!$A66,[1]adriano!$B66=V$4),"ok","nok")</f>
        <v>nok</v>
      </c>
      <c r="W69" s="85" t="str">
        <f>IF(AND($B69=[1]adriano!$A66,[1]adriano!$B66=W$4),"ok","nok")</f>
        <v>nok</v>
      </c>
      <c r="X69" s="85" t="str">
        <f>IF(AND($B69=[1]adriano!$A66,[1]adriano!$B66=X$4),"ok","nok")</f>
        <v>nok</v>
      </c>
      <c r="Y69" s="97" t="s">
        <v>2</v>
      </c>
      <c r="Z69" s="98"/>
      <c r="AA69" s="98"/>
      <c r="AB69" s="99"/>
      <c r="AC69" s="40"/>
      <c r="AD69" s="40"/>
      <c r="AE69" s="48" t="str">
        <f t="shared" si="18"/>
        <v/>
      </c>
      <c r="AF69" s="48"/>
      <c r="AG69" s="48"/>
      <c r="AH69" s="67"/>
      <c r="AI69" s="49">
        <f t="shared" si="5"/>
        <v>0</v>
      </c>
      <c r="AJ69" s="49" t="str">
        <f t="shared" si="6"/>
        <v/>
      </c>
      <c r="AK69" s="49">
        <f t="shared" si="7"/>
        <v>0</v>
      </c>
      <c r="AL69" s="49" t="str">
        <f t="shared" si="8"/>
        <v/>
      </c>
      <c r="AM69" s="49">
        <f t="shared" si="9"/>
        <v>1</v>
      </c>
      <c r="AN69" s="49" t="str">
        <f t="shared" si="10"/>
        <v>ENTREGUE</v>
      </c>
      <c r="AO69" s="49">
        <f t="shared" si="11"/>
        <v>0</v>
      </c>
      <c r="AP69" s="49" t="str">
        <f t="shared" si="12"/>
        <v/>
      </c>
      <c r="AQ69" s="49">
        <f t="shared" si="13"/>
        <v>0</v>
      </c>
      <c r="AR69" s="49" t="str">
        <f t="shared" si="14"/>
        <v/>
      </c>
    </row>
    <row r="70" spans="1:64" ht="30" customHeight="1" x14ac:dyDescent="0.35">
      <c r="B70" s="36" t="s">
        <v>100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144"/>
      <c r="Z70" s="145"/>
      <c r="AA70" s="145"/>
      <c r="AB70" s="146"/>
      <c r="AC70" s="40"/>
      <c r="AD70" s="40"/>
      <c r="AE70" s="48" t="str">
        <f t="shared" si="18"/>
        <v/>
      </c>
      <c r="AF70" s="48"/>
      <c r="AG70" s="48"/>
      <c r="AH70" s="67"/>
      <c r="AI70" s="49">
        <f t="shared" si="5"/>
        <v>0</v>
      </c>
      <c r="AJ70" s="49" t="str">
        <f t="shared" si="6"/>
        <v/>
      </c>
      <c r="AK70" s="49">
        <f t="shared" si="7"/>
        <v>0</v>
      </c>
      <c r="AL70" s="49" t="str">
        <f t="shared" si="8"/>
        <v/>
      </c>
      <c r="AM70" s="49">
        <f t="shared" si="9"/>
        <v>0</v>
      </c>
      <c r="AN70" s="49" t="str">
        <f t="shared" si="10"/>
        <v/>
      </c>
      <c r="AO70" s="49">
        <f t="shared" si="11"/>
        <v>0</v>
      </c>
      <c r="AP70" s="49" t="str">
        <f t="shared" si="12"/>
        <v/>
      </c>
      <c r="AQ70" s="49">
        <f t="shared" si="13"/>
        <v>0</v>
      </c>
      <c r="AR70" s="49" t="str">
        <f t="shared" si="14"/>
        <v/>
      </c>
    </row>
    <row r="71" spans="1:64" ht="30" customHeight="1" x14ac:dyDescent="0.35">
      <c r="B71" s="37" t="s">
        <v>73</v>
      </c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100"/>
      <c r="Z71" s="101"/>
      <c r="AA71" s="101"/>
      <c r="AB71" s="102"/>
      <c r="AC71" s="41"/>
      <c r="AD71" s="41"/>
      <c r="AE71" s="48" t="str">
        <f t="shared" si="18"/>
        <v/>
      </c>
      <c r="AF71" s="48"/>
      <c r="AG71" s="48"/>
      <c r="AH71" s="67"/>
      <c r="AI71" s="49">
        <f t="shared" ref="AI71:AI135" si="23">COUNTIF(C71:G71,"ok")</f>
        <v>0</v>
      </c>
      <c r="AJ71" s="49" t="str">
        <f t="shared" ref="AJ71:AJ135" si="24">IF(AND(AI71=1,OR($Y71="entregue",$Y71="efprazo")),$Y71,"")</f>
        <v/>
      </c>
      <c r="AK71" s="49">
        <f t="shared" ref="AK71:AK135" si="25">COUNTIF(H71:L71,"ok")</f>
        <v>0</v>
      </c>
      <c r="AL71" s="49" t="str">
        <f t="shared" ref="AL71:AL135" si="26">IF(AND(AK71=1,OR(Y71="entregue",Y71="efprazo")),Y71,"")</f>
        <v/>
      </c>
      <c r="AM71" s="49">
        <f t="shared" ref="AM71:AM135" si="27">COUNTIF(M71:Q71,"ok")</f>
        <v>0</v>
      </c>
      <c r="AN71" s="49" t="str">
        <f t="shared" ref="AN71:AN135" si="28">IF(AND(AM71=1,OR($Y71="entregue",$Y71="efprazo")),$Y71,"")</f>
        <v/>
      </c>
      <c r="AO71" s="49">
        <f t="shared" ref="AO71:AO135" si="29">COUNTIF(R71:V71,"ok")</f>
        <v>0</v>
      </c>
      <c r="AP71" s="49" t="str">
        <f t="shared" ref="AP71:AP135" si="30">IF(AND(AO71=1,OR($Y71="entregue",$Y71="efprazo")),$Y71,"")</f>
        <v/>
      </c>
      <c r="AQ71" s="49">
        <f t="shared" ref="AQ71:AQ135" si="31">COUNTIF(W71:X71,"ok")</f>
        <v>0</v>
      </c>
      <c r="AR71" s="49" t="str">
        <f t="shared" ref="AR71:AR135" si="32">IF(AND(AQ71=1,OR($Y71="entregue",$Y71="efprazo")),$Y71,"")</f>
        <v/>
      </c>
    </row>
    <row r="72" spans="1:64" ht="30" customHeight="1" x14ac:dyDescent="0.35">
      <c r="A72" t="str">
        <f>CONCATENATE($B$70,"
",$B$71,"")</f>
        <v>PT199 - ANÁLISE ESTRUTURAL - ED2032KS01
ETAPA INICIAL</v>
      </c>
      <c r="B72" s="38" t="s">
        <v>101</v>
      </c>
      <c r="C72" s="85" t="str">
        <f>IF(AND($B72=[1]adriano!$A69,[1]adriano!$B69=C$4),"ok","nok")</f>
        <v>nok</v>
      </c>
      <c r="D72" s="85" t="str">
        <f>IF(AND($B72=[1]adriano!$A69,[1]adriano!$B69=D$4),"ok","nok")</f>
        <v>nok</v>
      </c>
      <c r="E72" s="85" t="str">
        <f>IF(AND($B72=[1]adriano!$A69,[1]adriano!$B69=E$4),"ok","nok")</f>
        <v>nok</v>
      </c>
      <c r="F72" s="85" t="str">
        <f>IF(AND($B72=[1]adriano!$A69,[1]adriano!$B69=F$4),"ok","nok")</f>
        <v>nok</v>
      </c>
      <c r="G72" s="85" t="str">
        <f>IF(AND($B72=[1]adriano!$A69,[1]adriano!$B69=G$4),"ok","nok")</f>
        <v>nok</v>
      </c>
      <c r="H72" s="85" t="str">
        <f>IF(AND($B72=[1]adriano!$A69,[1]adriano!$B69=H$4),"ok","nok")</f>
        <v>nok</v>
      </c>
      <c r="I72" s="85" t="str">
        <f>IF(AND($B72=[1]adriano!$A69,[1]adriano!$B69=I$4),"ok","nok")</f>
        <v>nok</v>
      </c>
      <c r="J72" s="85" t="str">
        <f>IF(AND($B72=[1]adriano!$A69,[1]adriano!$B69=J$4),"ok","nok")</f>
        <v>nok</v>
      </c>
      <c r="K72" s="85" t="str">
        <f>IF(AND($B72=[1]adriano!$A69,[1]adriano!$B69=K$4),"ok","nok")</f>
        <v>nok</v>
      </c>
      <c r="L72" s="85" t="str">
        <f>IF(AND($B72=[1]adriano!$A69,[1]adriano!$B69=L$4),"ok","nok")</f>
        <v>nok</v>
      </c>
      <c r="M72" s="85" t="str">
        <f>IF(AND($B72=[1]adriano!$A69,[1]adriano!$B69=M$4),"ok","nok")</f>
        <v>nok</v>
      </c>
      <c r="N72" s="85" t="str">
        <f>IF(AND($B72=[1]adriano!$A69,[1]adriano!$B69=N$4),"ok","nok")</f>
        <v>nok</v>
      </c>
      <c r="O72" s="85" t="str">
        <f>IF(AND($B72=[1]adriano!$A69,[1]adriano!$B69=O$4),"ok","nok")</f>
        <v>nok</v>
      </c>
      <c r="P72" s="85" t="str">
        <f>IF(AND($B72=[1]adriano!$A69,[1]adriano!$B69=P$4),"ok","nok")</f>
        <v>nok</v>
      </c>
      <c r="Q72" s="85" t="str">
        <f>IF(AND($B72=[1]adriano!$A69,[1]adriano!$B69=Q$4),"ok","nok")</f>
        <v>ok</v>
      </c>
      <c r="R72" s="85" t="str">
        <f>IF(AND($B72=[1]adriano!$A69,[1]adriano!$B69=R$4),"ok","nok")</f>
        <v>nok</v>
      </c>
      <c r="S72" s="85" t="str">
        <f>IF(AND($B72=[1]adriano!$A69,[1]adriano!$B69=S$4),"ok","nok")</f>
        <v>nok</v>
      </c>
      <c r="T72" s="85" t="str">
        <f>IF(AND($B72=[1]adriano!$A69,[1]adriano!$B69=T$4),"ok","nok")</f>
        <v>nok</v>
      </c>
      <c r="U72" s="85" t="str">
        <f>IF(AND($B72=[1]adriano!$A69,[1]adriano!$B69=U$4),"ok","nok")</f>
        <v>nok</v>
      </c>
      <c r="V72" s="85" t="str">
        <f>IF(AND($B72=[1]adriano!$A69,[1]adriano!$B69=V$4),"ok","nok")</f>
        <v>nok</v>
      </c>
      <c r="W72" s="85" t="str">
        <f>IF(AND($B72=[1]adriano!$A69,[1]adriano!$B69=W$4),"ok","nok")</f>
        <v>nok</v>
      </c>
      <c r="X72" s="85" t="str">
        <f>IF(AND($B72=[1]adriano!$A69,[1]adriano!$B69=X$4),"ok","nok")</f>
        <v>nok</v>
      </c>
      <c r="Y72" s="97" t="s">
        <v>2</v>
      </c>
      <c r="Z72" s="98"/>
      <c r="AA72" s="98"/>
      <c r="AB72" s="99"/>
      <c r="AC72" s="46"/>
      <c r="AD72" s="46"/>
      <c r="AE72" s="48" t="str">
        <f t="shared" si="18"/>
        <v/>
      </c>
      <c r="AF72" s="48"/>
      <c r="AG72" s="48"/>
      <c r="AH72" s="67"/>
      <c r="AI72" s="49">
        <f t="shared" si="23"/>
        <v>0</v>
      </c>
      <c r="AJ72" s="49" t="str">
        <f t="shared" si="24"/>
        <v/>
      </c>
      <c r="AK72" s="49">
        <f t="shared" si="25"/>
        <v>0</v>
      </c>
      <c r="AL72" s="49" t="str">
        <f t="shared" si="26"/>
        <v/>
      </c>
      <c r="AM72" s="49">
        <f t="shared" si="27"/>
        <v>1</v>
      </c>
      <c r="AN72" s="49" t="str">
        <f t="shared" si="28"/>
        <v>ENTREGUE</v>
      </c>
      <c r="AO72" s="49">
        <f t="shared" si="29"/>
        <v>0</v>
      </c>
      <c r="AP72" s="49" t="str">
        <f t="shared" si="30"/>
        <v/>
      </c>
      <c r="AQ72" s="49">
        <f t="shared" si="31"/>
        <v>0</v>
      </c>
      <c r="AR72" s="49" t="str">
        <f t="shared" si="32"/>
        <v/>
      </c>
    </row>
    <row r="73" spans="1:64" ht="30" customHeight="1" x14ac:dyDescent="0.35">
      <c r="B73" s="37" t="s">
        <v>43</v>
      </c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100"/>
      <c r="Z73" s="101"/>
      <c r="AA73" s="101"/>
      <c r="AB73" s="102"/>
      <c r="AC73" s="40"/>
      <c r="AD73" s="40"/>
      <c r="AE73" s="48" t="str">
        <f t="shared" si="18"/>
        <v/>
      </c>
      <c r="AF73" s="48"/>
      <c r="AG73" s="48"/>
      <c r="AH73" s="67"/>
      <c r="AI73" s="49">
        <f t="shared" si="23"/>
        <v>0</v>
      </c>
      <c r="AJ73" s="49" t="str">
        <f t="shared" si="24"/>
        <v/>
      </c>
      <c r="AK73" s="49">
        <f t="shared" si="25"/>
        <v>0</v>
      </c>
      <c r="AL73" s="49" t="str">
        <f t="shared" si="26"/>
        <v/>
      </c>
      <c r="AM73" s="49">
        <f t="shared" si="27"/>
        <v>0</v>
      </c>
      <c r="AN73" s="49" t="str">
        <f t="shared" si="28"/>
        <v/>
      </c>
      <c r="AO73" s="49">
        <f t="shared" si="29"/>
        <v>0</v>
      </c>
      <c r="AP73" s="49" t="str">
        <f t="shared" si="30"/>
        <v/>
      </c>
      <c r="AQ73" s="49">
        <f t="shared" si="31"/>
        <v>0</v>
      </c>
      <c r="AR73" s="49" t="str">
        <f t="shared" si="32"/>
        <v/>
      </c>
    </row>
    <row r="74" spans="1:64" ht="30" customHeight="1" x14ac:dyDescent="0.35">
      <c r="A74" t="str">
        <f>CONCATENATE($B$70,"
",$B$73,"")</f>
        <v>PT199 - ANÁLISE ESTRUTURAL - ED2032KS01
ETAPA DE ESCRITÓRIO</v>
      </c>
      <c r="B74" s="38" t="s">
        <v>102</v>
      </c>
      <c r="C74" s="85" t="str">
        <f>IF(AND($B74=[1]adriano!$A71,[1]adriano!$B71=C$4),"ok","nok")</f>
        <v>nok</v>
      </c>
      <c r="D74" s="85" t="str">
        <f>IF(AND($B74=[1]adriano!$A71,[1]adriano!$B71=D$4),"ok","nok")</f>
        <v>nok</v>
      </c>
      <c r="E74" s="85" t="str">
        <f>IF(AND($B74=[1]adriano!$A71,[1]adriano!$B71=E$4),"ok","nok")</f>
        <v>nok</v>
      </c>
      <c r="F74" s="85" t="str">
        <f>IF(AND($B74=[1]adriano!$A71,[1]adriano!$B71=F$4),"ok","nok")</f>
        <v>nok</v>
      </c>
      <c r="G74" s="85" t="str">
        <f>IF(AND($B74=[1]adriano!$A71,[1]adriano!$B71=G$4),"ok","nok")</f>
        <v>nok</v>
      </c>
      <c r="H74" s="85" t="str">
        <f>IF(AND($B74=[1]adriano!$A71,[1]adriano!$B71=H$4),"ok","nok")</f>
        <v>nok</v>
      </c>
      <c r="I74" s="85" t="str">
        <f>IF(AND($B74=[1]adriano!$A71,[1]adriano!$B71=I$4),"ok","nok")</f>
        <v>nok</v>
      </c>
      <c r="J74" s="85" t="str">
        <f>IF(AND($B74=[1]adriano!$A71,[1]adriano!$B71=J$4),"ok","nok")</f>
        <v>nok</v>
      </c>
      <c r="K74" s="178"/>
      <c r="L74" s="85" t="str">
        <f>IF(AND($B74=[1]adriano!$A71,[1]adriano!$B71=L$4),"ok","nok")</f>
        <v>nok</v>
      </c>
      <c r="M74" s="85" t="str">
        <f>IF(AND($B74=[1]adriano!$A71,[1]adriano!$B71=M$4),"ok","nok")</f>
        <v>nok</v>
      </c>
      <c r="N74" s="85" t="str">
        <f>IF(AND($B74=[1]adriano!$A71,[1]adriano!$B71=N$4),"ok","nok")</f>
        <v>nok</v>
      </c>
      <c r="O74" s="85" t="str">
        <f>IF(AND($B74=[1]adriano!$A71,[1]adriano!$B71=O$4),"ok","nok")</f>
        <v>nok</v>
      </c>
      <c r="P74" s="85" t="str">
        <f>IF(AND($B74=[1]adriano!$A71,[1]adriano!$B71=P$4),"ok","nok")</f>
        <v>nok</v>
      </c>
      <c r="Q74" s="85" t="str">
        <f>IF(AND($B74=[1]adriano!$A71,[1]adriano!$B71=Q$4),"ok","nok")</f>
        <v>nok</v>
      </c>
      <c r="R74" s="85" t="str">
        <f>IF(AND($B74=[1]adriano!$A71,[1]adriano!$B71=R$4),"ok","nok")</f>
        <v>nok</v>
      </c>
      <c r="S74" s="85" t="str">
        <f>IF(AND($B74=[1]adriano!$A71,[1]adriano!$B71=S$4),"ok","nok")</f>
        <v>nok</v>
      </c>
      <c r="T74" s="85" t="str">
        <f>IF(AND($B74=[1]adriano!$A71,[1]adriano!$B71=T$4),"ok","nok")</f>
        <v>nok</v>
      </c>
      <c r="U74" s="85" t="str">
        <f>IF(AND($B74=[1]adriano!$A71,[1]adriano!$B71=U$4),"ok","nok")</f>
        <v>nok</v>
      </c>
      <c r="V74" s="85" t="str">
        <f>IF(AND($B74=[1]adriano!$A71,[1]adriano!$B71=V$4),"ok","nok")</f>
        <v>nok</v>
      </c>
      <c r="W74" s="85" t="str">
        <f>IF(AND($B74=[1]adriano!$A71,[1]adriano!$B71=W$4),"ok","nok")</f>
        <v>nok</v>
      </c>
      <c r="X74" s="85" t="str">
        <f>IF(AND($B74=[1]adriano!$A71,[1]adriano!$B71=X$4),"ok","nok")</f>
        <v>ok</v>
      </c>
      <c r="Y74" s="97" t="s">
        <v>34</v>
      </c>
      <c r="Z74" s="98"/>
      <c r="AA74" s="98"/>
      <c r="AB74" s="99"/>
      <c r="AC74" s="40"/>
      <c r="AD74" s="40"/>
      <c r="AE74" s="48" t="str">
        <f t="shared" si="18"/>
        <v>Modelagem CAD 3D</v>
      </c>
      <c r="AF74" s="48" t="s">
        <v>128</v>
      </c>
      <c r="AG74" s="88">
        <v>45210</v>
      </c>
      <c r="AH74" s="67" t="s">
        <v>129</v>
      </c>
      <c r="AI74" s="49">
        <f t="shared" si="23"/>
        <v>0</v>
      </c>
      <c r="AJ74" s="49" t="str">
        <f t="shared" si="24"/>
        <v/>
      </c>
      <c r="AK74" s="49">
        <f t="shared" si="25"/>
        <v>0</v>
      </c>
      <c r="AL74" s="49" t="str">
        <f t="shared" si="26"/>
        <v/>
      </c>
      <c r="AM74" s="49">
        <f t="shared" si="27"/>
        <v>0</v>
      </c>
      <c r="AN74" s="49" t="str">
        <f t="shared" si="28"/>
        <v/>
      </c>
      <c r="AO74" s="49">
        <f t="shared" si="29"/>
        <v>0</v>
      </c>
      <c r="AP74" s="49" t="str">
        <f t="shared" si="30"/>
        <v/>
      </c>
      <c r="AQ74" s="49">
        <f t="shared" si="31"/>
        <v>1</v>
      </c>
      <c r="AR74" s="49" t="str">
        <f t="shared" si="32"/>
        <v/>
      </c>
    </row>
    <row r="75" spans="1:64" ht="30" customHeight="1" x14ac:dyDescent="0.35">
      <c r="A75" t="str">
        <f>CONCATENATE($B$70,"
",$B$73,"")</f>
        <v>PT199 - ANÁLISE ESTRUTURAL - ED2032KS01
ETAPA DE ESCRITÓRIO</v>
      </c>
      <c r="B75" s="38" t="s">
        <v>90</v>
      </c>
      <c r="C75" s="85" t="str">
        <f>IF(AND($B75=[1]adriano!$A72,[1]adriano!$B72=C$4),"ok","nok")</f>
        <v>nok</v>
      </c>
      <c r="D75" s="85" t="str">
        <f>IF(AND($B75=[1]adriano!$A72,[1]adriano!$B72=D$4),"ok","nok")</f>
        <v>nok</v>
      </c>
      <c r="E75" s="85" t="str">
        <f>IF(AND($B75=[1]adriano!$A72,[1]adriano!$B72=E$4),"ok","nok")</f>
        <v>nok</v>
      </c>
      <c r="F75" s="85" t="str">
        <f>IF(AND($B75=[1]adriano!$A72,[1]adriano!$B72=F$4),"ok","nok")</f>
        <v>nok</v>
      </c>
      <c r="G75" s="85" t="str">
        <f>IF(AND($B75=[1]adriano!$A72,[1]adriano!$B72=G$4),"ok","nok")</f>
        <v>nok</v>
      </c>
      <c r="H75" s="85" t="str">
        <f>IF(AND($B75=[1]adriano!$A72,[1]adriano!$B72=H$4),"ok","nok")</f>
        <v>nok</v>
      </c>
      <c r="I75" s="85" t="str">
        <f>IF(AND($B75=[1]adriano!$A72,[1]adriano!$B72=I$4),"ok","nok")</f>
        <v>nok</v>
      </c>
      <c r="J75" s="85" t="str">
        <f>IF(AND($B75=[1]adriano!$A72,[1]adriano!$B72=J$4),"ok","nok")</f>
        <v>nok</v>
      </c>
      <c r="K75" s="178"/>
      <c r="L75" s="85" t="str">
        <f>IF(AND($B75=[1]adriano!$A72,[1]adriano!$B72=L$4),"ok","nok")</f>
        <v>nok</v>
      </c>
      <c r="M75" s="85" t="str">
        <f>IF(AND($B75=[1]adriano!$A72,[1]adriano!$B72=M$4),"ok","nok")</f>
        <v>nok</v>
      </c>
      <c r="N75" s="85" t="str">
        <f>IF(AND($B75=[1]adriano!$A72,[1]adriano!$B72=N$4),"ok","nok")</f>
        <v>nok</v>
      </c>
      <c r="O75" s="85" t="str">
        <f>IF(AND($B75=[1]adriano!$A72,[1]adriano!$B72=O$4),"ok","nok")</f>
        <v>nok</v>
      </c>
      <c r="P75" s="85" t="str">
        <f>IF(AND($B75=[1]adriano!$A72,[1]adriano!$B72=P$4),"ok","nok")</f>
        <v>nok</v>
      </c>
      <c r="Q75" s="85" t="str">
        <f>IF(AND($B75=[1]adriano!$A72,[1]adriano!$B72=Q$4),"ok","nok")</f>
        <v>nok</v>
      </c>
      <c r="R75" s="85" t="str">
        <f>IF(AND($B75=[1]adriano!$A72,[1]adriano!$B72=R$4),"ok","nok")</f>
        <v>nok</v>
      </c>
      <c r="S75" s="85" t="str">
        <f>IF(AND($B75=[1]adriano!$A72,[1]adriano!$B72=S$4),"ok","nok")</f>
        <v>nok</v>
      </c>
      <c r="T75" s="85" t="str">
        <f>IF(AND($B75=[1]adriano!$A72,[1]adriano!$B72=T$4),"ok","nok")</f>
        <v>nok</v>
      </c>
      <c r="U75" s="85" t="str">
        <f>IF(AND($B75=[1]adriano!$A72,[1]adriano!$B72=U$4),"ok","nok")</f>
        <v>nok</v>
      </c>
      <c r="V75" s="85" t="str">
        <f>IF(AND($B75=[1]adriano!$A72,[1]adriano!$B72=V$4),"ok","nok")</f>
        <v>nok</v>
      </c>
      <c r="W75" s="85" t="str">
        <f>IF(AND($B75=[1]adriano!$A72,[1]adriano!$B72=W$4),"ok","nok")</f>
        <v>nok</v>
      </c>
      <c r="X75" s="85" t="str">
        <f>IF(AND($B75=[1]adriano!$A72,[1]adriano!$B72=X$4),"ok","nok")</f>
        <v>ok</v>
      </c>
      <c r="Y75" s="97" t="s">
        <v>34</v>
      </c>
      <c r="Z75" s="98"/>
      <c r="AA75" s="98"/>
      <c r="AB75" s="99"/>
      <c r="AC75" s="40"/>
      <c r="AD75" s="40"/>
      <c r="AE75" s="48" t="str">
        <f t="shared" si="18"/>
        <v>Modelagem FEM</v>
      </c>
      <c r="AF75" s="48"/>
      <c r="AG75" s="48"/>
      <c r="AH75" s="67"/>
      <c r="AI75" s="49">
        <f t="shared" si="23"/>
        <v>0</v>
      </c>
      <c r="AJ75" s="49" t="str">
        <f t="shared" si="24"/>
        <v/>
      </c>
      <c r="AK75" s="49">
        <f t="shared" si="25"/>
        <v>0</v>
      </c>
      <c r="AL75" s="49" t="str">
        <f t="shared" si="26"/>
        <v/>
      </c>
      <c r="AM75" s="49">
        <f t="shared" si="27"/>
        <v>0</v>
      </c>
      <c r="AN75" s="49" t="str">
        <f t="shared" si="28"/>
        <v/>
      </c>
      <c r="AO75" s="49">
        <f t="shared" si="29"/>
        <v>0</v>
      </c>
      <c r="AP75" s="49" t="str">
        <f t="shared" si="30"/>
        <v/>
      </c>
      <c r="AQ75" s="49">
        <f t="shared" si="31"/>
        <v>1</v>
      </c>
      <c r="AR75" s="49" t="str">
        <f t="shared" si="32"/>
        <v/>
      </c>
    </row>
    <row r="76" spans="1:64" s="3" customFormat="1" ht="30" customHeight="1" x14ac:dyDescent="0.35">
      <c r="A76"/>
      <c r="B76" s="35" t="s">
        <v>63</v>
      </c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125"/>
      <c r="Z76" s="126"/>
      <c r="AA76" s="126"/>
      <c r="AB76" s="127"/>
      <c r="AC76" s="41"/>
      <c r="AD76" s="41"/>
      <c r="AE76" s="48" t="str">
        <f t="shared" si="18"/>
        <v/>
      </c>
      <c r="AF76" s="48"/>
      <c r="AG76" s="48"/>
      <c r="AH76" s="67"/>
      <c r="AI76" s="49">
        <f t="shared" si="23"/>
        <v>0</v>
      </c>
      <c r="AJ76" s="49" t="str">
        <f t="shared" si="24"/>
        <v/>
      </c>
      <c r="AK76" s="49">
        <f t="shared" si="25"/>
        <v>0</v>
      </c>
      <c r="AL76" s="49" t="str">
        <f t="shared" si="26"/>
        <v/>
      </c>
      <c r="AM76" s="49">
        <f t="shared" si="27"/>
        <v>0</v>
      </c>
      <c r="AN76" s="49" t="str">
        <f t="shared" si="28"/>
        <v/>
      </c>
      <c r="AO76" s="49">
        <f t="shared" si="29"/>
        <v>0</v>
      </c>
      <c r="AP76" s="49" t="str">
        <f t="shared" si="30"/>
        <v/>
      </c>
      <c r="AQ76" s="49">
        <f t="shared" si="31"/>
        <v>0</v>
      </c>
      <c r="AR76" s="49" t="str">
        <f t="shared" si="32"/>
        <v/>
      </c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</row>
    <row r="77" spans="1:64" s="3" customFormat="1" ht="30" customHeight="1" x14ac:dyDescent="0.35">
      <c r="A77"/>
      <c r="B77" s="36" t="s">
        <v>64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144"/>
      <c r="Z77" s="145"/>
      <c r="AA77" s="145"/>
      <c r="AB77" s="146"/>
      <c r="AC77" s="52"/>
      <c r="AD77" s="52"/>
      <c r="AE77" s="48" t="str">
        <f t="shared" si="18"/>
        <v/>
      </c>
      <c r="AF77" s="48"/>
      <c r="AG77" s="48"/>
      <c r="AH77" s="67"/>
      <c r="AI77" s="49">
        <f t="shared" si="23"/>
        <v>0</v>
      </c>
      <c r="AJ77" s="49" t="str">
        <f t="shared" si="24"/>
        <v/>
      </c>
      <c r="AK77" s="49">
        <f t="shared" si="25"/>
        <v>0</v>
      </c>
      <c r="AL77" s="49" t="str">
        <f t="shared" si="26"/>
        <v/>
      </c>
      <c r="AM77" s="49">
        <f t="shared" si="27"/>
        <v>0</v>
      </c>
      <c r="AN77" s="49" t="str">
        <f t="shared" si="28"/>
        <v/>
      </c>
      <c r="AO77" s="49">
        <f t="shared" si="29"/>
        <v>0</v>
      </c>
      <c r="AP77" s="49" t="str">
        <f t="shared" si="30"/>
        <v/>
      </c>
      <c r="AQ77" s="49">
        <f t="shared" si="31"/>
        <v>0</v>
      </c>
      <c r="AR77" s="49" t="str">
        <f t="shared" si="32"/>
        <v/>
      </c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</row>
    <row r="78" spans="1:64" s="3" customFormat="1" ht="30" customHeight="1" x14ac:dyDescent="0.35">
      <c r="A78"/>
      <c r="B78" s="37" t="s">
        <v>43</v>
      </c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100"/>
      <c r="Z78" s="101"/>
      <c r="AA78" s="101"/>
      <c r="AB78" s="102"/>
      <c r="AC78" s="52"/>
      <c r="AD78" s="52"/>
      <c r="AE78" s="48" t="str">
        <f t="shared" si="18"/>
        <v/>
      </c>
      <c r="AF78" s="48"/>
      <c r="AG78" s="48"/>
      <c r="AH78" s="67"/>
      <c r="AI78" s="49">
        <f t="shared" si="23"/>
        <v>0</v>
      </c>
      <c r="AJ78" s="49" t="str">
        <f t="shared" si="24"/>
        <v/>
      </c>
      <c r="AK78" s="49">
        <f t="shared" si="25"/>
        <v>0</v>
      </c>
      <c r="AL78" s="49" t="str">
        <f t="shared" si="26"/>
        <v/>
      </c>
      <c r="AM78" s="49">
        <f t="shared" si="27"/>
        <v>0</v>
      </c>
      <c r="AN78" s="49" t="str">
        <f t="shared" si="28"/>
        <v/>
      </c>
      <c r="AO78" s="49">
        <f t="shared" si="29"/>
        <v>0</v>
      </c>
      <c r="AP78" s="49" t="str">
        <f t="shared" si="30"/>
        <v/>
      </c>
      <c r="AQ78" s="49">
        <f t="shared" si="31"/>
        <v>0</v>
      </c>
      <c r="AR78" s="49" t="str">
        <f t="shared" si="32"/>
        <v/>
      </c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</row>
    <row r="79" spans="1:64" s="3" customFormat="1" ht="30" customHeight="1" x14ac:dyDescent="0.35">
      <c r="A79"/>
      <c r="B79" s="39" t="s">
        <v>44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115"/>
      <c r="Z79" s="116"/>
      <c r="AA79" s="116"/>
      <c r="AB79" s="117"/>
      <c r="AC79" s="52"/>
      <c r="AD79" s="52"/>
      <c r="AE79" s="48" t="str">
        <f t="shared" si="18"/>
        <v/>
      </c>
      <c r="AF79" s="48"/>
      <c r="AG79" s="48"/>
      <c r="AH79" s="67"/>
      <c r="AI79" s="49">
        <f t="shared" si="23"/>
        <v>0</v>
      </c>
      <c r="AJ79" s="49" t="str">
        <f t="shared" si="24"/>
        <v/>
      </c>
      <c r="AK79" s="49">
        <f t="shared" si="25"/>
        <v>0</v>
      </c>
      <c r="AL79" s="49" t="str">
        <f t="shared" si="26"/>
        <v/>
      </c>
      <c r="AM79" s="49">
        <f t="shared" si="27"/>
        <v>0</v>
      </c>
      <c r="AN79" s="49" t="str">
        <f t="shared" si="28"/>
        <v/>
      </c>
      <c r="AO79" s="49">
        <f t="shared" si="29"/>
        <v>0</v>
      </c>
      <c r="AP79" s="49" t="str">
        <f t="shared" si="30"/>
        <v/>
      </c>
      <c r="AQ79" s="49">
        <f t="shared" si="31"/>
        <v>0</v>
      </c>
      <c r="AR79" s="49" t="str">
        <f t="shared" si="32"/>
        <v/>
      </c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</row>
    <row r="80" spans="1:64" s="3" customFormat="1" ht="30" customHeight="1" x14ac:dyDescent="0.35">
      <c r="A80" t="str">
        <f>CONCATENATE($B$76,"
",$B$77,"
",$B$78,"
",$B$79,""
)</f>
        <v>VALE - CONTRATO 456
PT012 - ANÁLISE ESTRUTURAL DO SISTEMA DE TRANSLAÇÃO DA CABEÇA MÓVEL TR-313K-88/89 - AGUARDANDO APROVAÇÃO DA ADP
ETAPA DE ESCRITÓRIO
MARCO - MEMÓRIA DE CÁLCULO</v>
      </c>
      <c r="B80" s="40" t="s">
        <v>65</v>
      </c>
      <c r="C80" s="178"/>
      <c r="D80" s="85" t="str">
        <f>IF(AND($B80=[1]adriano!$A77,[1]adriano!$B77=D$4),"ok","nok")</f>
        <v>nok</v>
      </c>
      <c r="E80" s="85" t="str">
        <f>IF(AND($B80=[1]adriano!$A77,[1]adriano!$B77=E$4),"ok","nok")</f>
        <v>nok</v>
      </c>
      <c r="F80" s="85" t="str">
        <f>IF(AND($B80=[1]adriano!$A77,[1]adriano!$B77=F$4),"ok","nok")</f>
        <v>nok</v>
      </c>
      <c r="G80" s="85" t="str">
        <f>IF(AND($B80=[1]adriano!$A77,[1]adriano!$B77=G$4),"ok","nok")</f>
        <v>nok</v>
      </c>
      <c r="H80" s="85" t="str">
        <f>IF(AND($B80=[1]adriano!$A77,[1]adriano!$B77=H$4),"ok","nok")</f>
        <v>nok</v>
      </c>
      <c r="I80" s="85" t="str">
        <f>IF(AND($B80=[1]adriano!$A77,[1]adriano!$B77=I$4),"ok","nok")</f>
        <v>nok</v>
      </c>
      <c r="J80" s="85" t="str">
        <f>IF(AND($B80=[1]adriano!$A77,[1]adriano!$B77=J$4),"ok","nok")</f>
        <v>nok</v>
      </c>
      <c r="K80" s="85" t="str">
        <f>IF(AND($B80=[1]adriano!$A77,[1]adriano!$B77=K$4),"ok","nok")</f>
        <v>nok</v>
      </c>
      <c r="L80" s="85" t="str">
        <f>IF(AND($B80=[1]adriano!$A77,[1]adriano!$B77=L$4),"ok","nok")</f>
        <v>nok</v>
      </c>
      <c r="M80" s="85" t="str">
        <f>IF(AND($B80=[1]adriano!$A77,[1]adriano!$B77=M$4),"ok","nok")</f>
        <v>nok</v>
      </c>
      <c r="N80" s="85" t="str">
        <f>IF(AND($B80=[1]adriano!$A77,[1]adriano!$B77=N$4),"ok","nok")</f>
        <v>nok</v>
      </c>
      <c r="O80" s="85" t="str">
        <f>IF(AND($B80=[1]adriano!$A77,[1]adriano!$B77=O$4),"ok","nok")</f>
        <v>nok</v>
      </c>
      <c r="P80" s="85" t="str">
        <f>IF(AND($B80=[1]adriano!$A77,[1]adriano!$B77=P$4),"ok","nok")</f>
        <v>nok</v>
      </c>
      <c r="Q80" s="85" t="str">
        <f>IF(AND($B80=[1]adriano!$A77,[1]adriano!$B77=Q$4),"ok","nok")</f>
        <v>nok</v>
      </c>
      <c r="R80" s="85" t="str">
        <f>IF(AND($B80=[1]adriano!$A77,[1]adriano!$B77=R$4),"ok","nok")</f>
        <v>nok</v>
      </c>
      <c r="S80" s="85" t="str">
        <f>IF(AND($B80=[1]adriano!$A77,[1]adriano!$B77=S$4),"ok","nok")</f>
        <v>nok</v>
      </c>
      <c r="T80" s="85" t="str">
        <f>IF(AND($B80=[1]adriano!$A77,[1]adriano!$B77=T$4),"ok","nok")</f>
        <v>nok</v>
      </c>
      <c r="U80" s="85" t="str">
        <f>IF(AND($B80=[1]adriano!$A77,[1]adriano!$B77=U$4),"ok","nok")</f>
        <v>nok</v>
      </c>
      <c r="V80" s="85" t="str">
        <f>IF(AND($B80=[1]adriano!$A77,[1]adriano!$B77=V$4),"ok","nok")</f>
        <v>nok</v>
      </c>
      <c r="W80" s="85" t="str">
        <f>IF(AND($B80=[1]adriano!$A77,[1]adriano!$B77=W$4),"ok","nok")</f>
        <v>nok</v>
      </c>
      <c r="X80" s="85" t="str">
        <f>IF(AND($B80=[1]adriano!$A77,[1]adriano!$B77=X$4),"ok","nok")</f>
        <v>ok</v>
      </c>
      <c r="Y80" s="97" t="s">
        <v>34</v>
      </c>
      <c r="Z80" s="98"/>
      <c r="AA80" s="98"/>
      <c r="AB80" s="99"/>
      <c r="AC80" s="52"/>
      <c r="AD80" s="52"/>
      <c r="AE80" s="48" t="str">
        <f t="shared" si="18"/>
        <v>MARCO - Emissão Inicial (Rev_B)</v>
      </c>
      <c r="AF80" s="48"/>
      <c r="AG80" s="48"/>
      <c r="AH80" s="67"/>
      <c r="AI80" s="49">
        <f t="shared" si="23"/>
        <v>0</v>
      </c>
      <c r="AJ80" s="49" t="str">
        <f t="shared" si="24"/>
        <v/>
      </c>
      <c r="AK80" s="49">
        <f t="shared" si="25"/>
        <v>0</v>
      </c>
      <c r="AL80" s="49" t="str">
        <f t="shared" si="26"/>
        <v/>
      </c>
      <c r="AM80" s="49">
        <f t="shared" si="27"/>
        <v>0</v>
      </c>
      <c r="AN80" s="49" t="str">
        <f t="shared" si="28"/>
        <v/>
      </c>
      <c r="AO80" s="49">
        <f t="shared" si="29"/>
        <v>0</v>
      </c>
      <c r="AP80" s="49" t="str">
        <f t="shared" si="30"/>
        <v/>
      </c>
      <c r="AQ80" s="49">
        <f t="shared" si="31"/>
        <v>1</v>
      </c>
      <c r="AR80" s="49" t="str">
        <f t="shared" si="32"/>
        <v/>
      </c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</row>
    <row r="81" spans="1:64" s="3" customFormat="1" ht="30" customHeight="1" x14ac:dyDescent="0.35">
      <c r="A81"/>
      <c r="B81" s="36" t="s">
        <v>66</v>
      </c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144"/>
      <c r="Z81" s="145"/>
      <c r="AA81" s="145"/>
      <c r="AB81" s="146"/>
      <c r="AC81" s="52"/>
      <c r="AD81" s="52"/>
      <c r="AE81" s="48" t="str">
        <f t="shared" si="18"/>
        <v/>
      </c>
      <c r="AF81" s="48"/>
      <c r="AG81" s="48"/>
      <c r="AH81" s="67"/>
      <c r="AI81" s="49">
        <f t="shared" si="23"/>
        <v>0</v>
      </c>
      <c r="AJ81" s="49" t="str">
        <f t="shared" si="24"/>
        <v/>
      </c>
      <c r="AK81" s="49">
        <f t="shared" si="25"/>
        <v>0</v>
      </c>
      <c r="AL81" s="49" t="str">
        <f t="shared" si="26"/>
        <v/>
      </c>
      <c r="AM81" s="49">
        <f t="shared" si="27"/>
        <v>0</v>
      </c>
      <c r="AN81" s="49" t="str">
        <f t="shared" si="28"/>
        <v/>
      </c>
      <c r="AO81" s="49">
        <f t="shared" si="29"/>
        <v>0</v>
      </c>
      <c r="AP81" s="49" t="str">
        <f t="shared" si="30"/>
        <v/>
      </c>
      <c r="AQ81" s="49">
        <f t="shared" si="31"/>
        <v>0</v>
      </c>
      <c r="AR81" s="49" t="str">
        <f t="shared" si="32"/>
        <v/>
      </c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</row>
    <row r="82" spans="1:64" s="3" customFormat="1" ht="30" customHeight="1" x14ac:dyDescent="0.35">
      <c r="A82"/>
      <c r="B82" s="37" t="s">
        <v>43</v>
      </c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100"/>
      <c r="Z82" s="101"/>
      <c r="AA82" s="101"/>
      <c r="AB82" s="102"/>
      <c r="AC82" s="52"/>
      <c r="AD82" s="52"/>
      <c r="AE82" s="48" t="str">
        <f t="shared" si="18"/>
        <v/>
      </c>
      <c r="AF82" s="48"/>
      <c r="AG82" s="48"/>
      <c r="AH82" s="67"/>
      <c r="AI82" s="49">
        <f t="shared" si="23"/>
        <v>0</v>
      </c>
      <c r="AJ82" s="49" t="str">
        <f t="shared" si="24"/>
        <v/>
      </c>
      <c r="AK82" s="49">
        <f t="shared" si="25"/>
        <v>0</v>
      </c>
      <c r="AL82" s="49" t="str">
        <f t="shared" si="26"/>
        <v/>
      </c>
      <c r="AM82" s="49">
        <f t="shared" si="27"/>
        <v>0</v>
      </c>
      <c r="AN82" s="49" t="str">
        <f t="shared" si="28"/>
        <v/>
      </c>
      <c r="AO82" s="49">
        <f t="shared" si="29"/>
        <v>0</v>
      </c>
      <c r="AP82" s="49" t="str">
        <f t="shared" si="30"/>
        <v/>
      </c>
      <c r="AQ82" s="49">
        <f t="shared" si="31"/>
        <v>0</v>
      </c>
      <c r="AR82" s="49" t="str">
        <f t="shared" si="32"/>
        <v/>
      </c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</row>
    <row r="83" spans="1:64" s="3" customFormat="1" ht="30" customHeight="1" x14ac:dyDescent="0.35">
      <c r="A83"/>
      <c r="B83" s="39" t="s">
        <v>44</v>
      </c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115"/>
      <c r="Z83" s="116"/>
      <c r="AA83" s="116"/>
      <c r="AB83" s="117"/>
      <c r="AC83" s="52"/>
      <c r="AD83" s="52"/>
      <c r="AE83" s="48" t="str">
        <f t="shared" si="18"/>
        <v/>
      </c>
      <c r="AF83" s="48"/>
      <c r="AG83" s="48"/>
      <c r="AH83" s="67"/>
      <c r="AI83" s="49">
        <f t="shared" si="23"/>
        <v>0</v>
      </c>
      <c r="AJ83" s="49" t="str">
        <f t="shared" si="24"/>
        <v/>
      </c>
      <c r="AK83" s="49">
        <f t="shared" si="25"/>
        <v>0</v>
      </c>
      <c r="AL83" s="49" t="str">
        <f t="shared" si="26"/>
        <v/>
      </c>
      <c r="AM83" s="49">
        <f t="shared" si="27"/>
        <v>0</v>
      </c>
      <c r="AN83" s="49" t="str">
        <f t="shared" si="28"/>
        <v/>
      </c>
      <c r="AO83" s="49">
        <f t="shared" si="29"/>
        <v>0</v>
      </c>
      <c r="AP83" s="49" t="str">
        <f t="shared" si="30"/>
        <v/>
      </c>
      <c r="AQ83" s="49">
        <f t="shared" si="31"/>
        <v>0</v>
      </c>
      <c r="AR83" s="49" t="str">
        <f t="shared" si="32"/>
        <v/>
      </c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</row>
    <row r="84" spans="1:64" s="3" customFormat="1" ht="30" customHeight="1" x14ac:dyDescent="0.35">
      <c r="A84" t="str">
        <f>CONCATENATE($B$76,"
",$B$81,"
",$B$82,"
",$B$83,""
)</f>
        <v>VALE - CONTRATO 456
PT014 - ANÁLISE ESTRUTURAL - BATENTE - ER - 313K - 01
ETAPA DE ESCRITÓRIO
MARCO - MEMÓRIA DE CÁLCULO</v>
      </c>
      <c r="B84" s="40" t="s">
        <v>45</v>
      </c>
      <c r="C84" s="85" t="str">
        <f>IF(AND($B84=[1]adriano!$A81,[1]adriano!$B81=C$4),"ok","nok")</f>
        <v>nok</v>
      </c>
      <c r="D84" s="85" t="str">
        <f>IF(AND($B84=[1]adriano!$A81,[1]adriano!$B81=D$4),"ok","nok")</f>
        <v>nok</v>
      </c>
      <c r="E84" s="178"/>
      <c r="F84" s="85" t="str">
        <f>IF(AND($B84=[1]adriano!$A81,[1]adriano!$B81=F$4),"ok","nok")</f>
        <v>nok</v>
      </c>
      <c r="G84" s="85" t="str">
        <f>IF(AND($B84=[1]adriano!$A81,[1]adriano!$B81=G$4),"ok","nok")</f>
        <v>nok</v>
      </c>
      <c r="H84" s="85" t="str">
        <f>IF(AND($B84=[1]adriano!$A81,[1]adriano!$B81=H$4),"ok","nok")</f>
        <v>nok</v>
      </c>
      <c r="I84" s="85" t="str">
        <f>IF(AND($B84=[1]adriano!$A81,[1]adriano!$B81=I$4),"ok","nok")</f>
        <v>nok</v>
      </c>
      <c r="J84" s="85" t="str">
        <f>IF(AND($B84=[1]adriano!$A81,[1]adriano!$B81=J$4),"ok","nok")</f>
        <v>nok</v>
      </c>
      <c r="K84" s="85" t="str">
        <f>IF(AND($B84=[1]adriano!$A81,[1]adriano!$B81=K$4),"ok","nok")</f>
        <v>nok</v>
      </c>
      <c r="L84" s="85" t="str">
        <f>IF(AND($B84=[1]adriano!$A81,[1]adriano!$B81=L$4),"ok","nok")</f>
        <v>nok</v>
      </c>
      <c r="M84" s="85" t="str">
        <f>IF(AND($B84=[1]adriano!$A81,[1]adriano!$B81=M$4),"ok","nok")</f>
        <v>nok</v>
      </c>
      <c r="N84" s="85" t="str">
        <f>IF(AND($B84=[1]adriano!$A81,[1]adriano!$B81=N$4),"ok","nok")</f>
        <v>nok</v>
      </c>
      <c r="O84" s="85" t="str">
        <f>IF(AND($B84=[1]adriano!$A81,[1]adriano!$B81=O$4),"ok","nok")</f>
        <v>nok</v>
      </c>
      <c r="P84" s="85" t="str">
        <f>IF(AND($B84=[1]adriano!$A81,[1]adriano!$B81=P$4),"ok","nok")</f>
        <v>nok</v>
      </c>
      <c r="Q84" s="85" t="str">
        <f>IF(AND($B84=[1]adriano!$A81,[1]adriano!$B81=Q$4),"ok","nok")</f>
        <v>nok</v>
      </c>
      <c r="R84" s="85" t="str">
        <f>IF(AND($B84=[1]adriano!$A81,[1]adriano!$B81=R$4),"ok","nok")</f>
        <v>nok</v>
      </c>
      <c r="S84" s="85" t="str">
        <f>IF(AND($B84=[1]adriano!$A81,[1]adriano!$B81=S$4),"ok","nok")</f>
        <v>nok</v>
      </c>
      <c r="T84" s="85" t="str">
        <f>IF(AND($B84=[1]adriano!$A81,[1]adriano!$B81=T$4),"ok","nok")</f>
        <v>nok</v>
      </c>
      <c r="U84" s="85" t="str">
        <f>IF(AND($B84=[1]adriano!$A81,[1]adriano!$B81=U$4),"ok","nok")</f>
        <v>nok</v>
      </c>
      <c r="V84" s="85" t="str">
        <f>IF(AND($B84=[1]adriano!$A81,[1]adriano!$B81=V$4),"ok","nok")</f>
        <v>nok</v>
      </c>
      <c r="W84" s="85" t="str">
        <f>IF(AND($B84=[1]adriano!$A81,[1]adriano!$B81=W$4),"ok","nok")</f>
        <v>nok</v>
      </c>
      <c r="X84" s="85" t="str">
        <f>IF(AND($B84=[1]adriano!$A81,[1]adriano!$B81=X$4),"ok","nok")</f>
        <v>ok</v>
      </c>
      <c r="Y84" s="97" t="s">
        <v>34</v>
      </c>
      <c r="Z84" s="98"/>
      <c r="AA84" s="98"/>
      <c r="AB84" s="99"/>
      <c r="AC84" s="52"/>
      <c r="AD84" s="52"/>
      <c r="AE84" s="48" t="str">
        <f t="shared" si="18"/>
        <v>Certificação do documento - Vibracon</v>
      </c>
      <c r="AF84" s="48"/>
      <c r="AG84" s="48"/>
      <c r="AH84" s="67"/>
      <c r="AI84" s="49">
        <f t="shared" si="23"/>
        <v>0</v>
      </c>
      <c r="AJ84" s="49" t="str">
        <f t="shared" si="24"/>
        <v/>
      </c>
      <c r="AK84" s="49">
        <f t="shared" si="25"/>
        <v>0</v>
      </c>
      <c r="AL84" s="49" t="str">
        <f t="shared" si="26"/>
        <v/>
      </c>
      <c r="AM84" s="49">
        <f t="shared" si="27"/>
        <v>0</v>
      </c>
      <c r="AN84" s="49" t="str">
        <f t="shared" si="28"/>
        <v/>
      </c>
      <c r="AO84" s="49">
        <f t="shared" si="29"/>
        <v>0</v>
      </c>
      <c r="AP84" s="49" t="str">
        <f t="shared" si="30"/>
        <v/>
      </c>
      <c r="AQ84" s="49">
        <f t="shared" si="31"/>
        <v>1</v>
      </c>
      <c r="AR84" s="49" t="str">
        <f t="shared" si="32"/>
        <v/>
      </c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</row>
    <row r="85" spans="1:64" s="3" customFormat="1" ht="30" customHeight="1" x14ac:dyDescent="0.35">
      <c r="A85" t="str">
        <f>CONCATENATE($B$76,"
",$B$81,"
",$B$82,"
",$B$83,""
)</f>
        <v>VALE - CONTRATO 456
PT014 - ANÁLISE ESTRUTURAL - BATENTE - ER - 313K - 01
ETAPA DE ESCRITÓRIO
MARCO - MEMÓRIA DE CÁLCULO</v>
      </c>
      <c r="B85" s="40" t="s">
        <v>46</v>
      </c>
      <c r="C85" s="85" t="str">
        <f>IF(AND($B85=[1]adriano!$A82,[1]adriano!$B82=C$4),"ok","nok")</f>
        <v>nok</v>
      </c>
      <c r="D85" s="85" t="str">
        <f>IF(AND($B85=[1]adriano!$A82,[1]adriano!$B82=D$4),"ok","nok")</f>
        <v>nok</v>
      </c>
      <c r="E85" s="178"/>
      <c r="F85" s="85" t="str">
        <f>IF(AND($B85=[1]adriano!$A82,[1]adriano!$B82=F$4),"ok","nok")</f>
        <v>nok</v>
      </c>
      <c r="G85" s="85" t="str">
        <f>IF(AND($B85=[1]adriano!$A82,[1]adriano!$B82=G$4),"ok","nok")</f>
        <v>nok</v>
      </c>
      <c r="H85" s="85" t="str">
        <f>IF(AND($B85=[1]adriano!$A82,[1]adriano!$B82=H$4),"ok","nok")</f>
        <v>nok</v>
      </c>
      <c r="I85" s="85" t="str">
        <f>IF(AND($B85=[1]adriano!$A82,[1]adriano!$B82=I$4),"ok","nok")</f>
        <v>nok</v>
      </c>
      <c r="J85" s="85" t="str">
        <f>IF(AND($B85=[1]adriano!$A82,[1]adriano!$B82=J$4),"ok","nok")</f>
        <v>nok</v>
      </c>
      <c r="K85" s="85" t="str">
        <f>IF(AND($B85=[1]adriano!$A82,[1]adriano!$B82=K$4),"ok","nok")</f>
        <v>nok</v>
      </c>
      <c r="L85" s="85" t="str">
        <f>IF(AND($B85=[1]adriano!$A82,[1]adriano!$B82=L$4),"ok","nok")</f>
        <v>nok</v>
      </c>
      <c r="M85" s="85" t="str">
        <f>IF(AND($B85=[1]adriano!$A82,[1]adriano!$B82=M$4),"ok","nok")</f>
        <v>nok</v>
      </c>
      <c r="N85" s="85" t="str">
        <f>IF(AND($B85=[1]adriano!$A82,[1]adriano!$B82=N$4),"ok","nok")</f>
        <v>nok</v>
      </c>
      <c r="O85" s="85" t="str">
        <f>IF(AND($B85=[1]adriano!$A82,[1]adriano!$B82=O$4),"ok","nok")</f>
        <v>nok</v>
      </c>
      <c r="P85" s="85" t="str">
        <f>IF(AND($B85=[1]adriano!$A82,[1]adriano!$B82=P$4),"ok","nok")</f>
        <v>nok</v>
      </c>
      <c r="Q85" s="85" t="str">
        <f>IF(AND($B85=[1]adriano!$A82,[1]adriano!$B82=Q$4),"ok","nok")</f>
        <v>nok</v>
      </c>
      <c r="R85" s="85" t="str">
        <f>IF(AND($B85=[1]adriano!$A82,[1]adriano!$B82=R$4),"ok","nok")</f>
        <v>nok</v>
      </c>
      <c r="S85" s="85" t="str">
        <f>IF(AND($B85=[1]adriano!$A82,[1]adriano!$B82=S$4),"ok","nok")</f>
        <v>nok</v>
      </c>
      <c r="T85" s="85" t="str">
        <f>IF(AND($B85=[1]adriano!$A82,[1]adriano!$B82=T$4),"ok","nok")</f>
        <v>nok</v>
      </c>
      <c r="U85" s="85" t="str">
        <f>IF(AND($B85=[1]adriano!$A82,[1]adriano!$B82=U$4),"ok","nok")</f>
        <v>nok</v>
      </c>
      <c r="V85" s="85" t="str">
        <f>IF(AND($B85=[1]adriano!$A82,[1]adriano!$B82=V$4),"ok","nok")</f>
        <v>nok</v>
      </c>
      <c r="W85" s="85" t="str">
        <f>IF(AND($B85=[1]adriano!$A82,[1]adriano!$B82=W$4),"ok","nok")</f>
        <v>nok</v>
      </c>
      <c r="X85" s="85" t="str">
        <f>IF(AND($B85=[1]adriano!$A82,[1]adriano!$B82=X$4),"ok","nok")</f>
        <v>ok</v>
      </c>
      <c r="Y85" s="97" t="s">
        <v>34</v>
      </c>
      <c r="Z85" s="98"/>
      <c r="AA85" s="98"/>
      <c r="AB85" s="99"/>
      <c r="AC85" s="52"/>
      <c r="AD85" s="52"/>
      <c r="AE85" s="48" t="str">
        <f t="shared" si="18"/>
        <v>MARCO - Envio do documento Certificado (Rev_0)</v>
      </c>
      <c r="AF85" s="48"/>
      <c r="AG85" s="48"/>
      <c r="AH85" s="67"/>
      <c r="AI85" s="49">
        <f t="shared" si="23"/>
        <v>0</v>
      </c>
      <c r="AJ85" s="49" t="str">
        <f t="shared" si="24"/>
        <v/>
      </c>
      <c r="AK85" s="49">
        <f t="shared" si="25"/>
        <v>0</v>
      </c>
      <c r="AL85" s="49" t="str">
        <f t="shared" si="26"/>
        <v/>
      </c>
      <c r="AM85" s="49">
        <f t="shared" si="27"/>
        <v>0</v>
      </c>
      <c r="AN85" s="49" t="str">
        <f t="shared" si="28"/>
        <v/>
      </c>
      <c r="AO85" s="49">
        <f t="shared" si="29"/>
        <v>0</v>
      </c>
      <c r="AP85" s="49" t="str">
        <f t="shared" si="30"/>
        <v/>
      </c>
      <c r="AQ85" s="49">
        <f t="shared" si="31"/>
        <v>1</v>
      </c>
      <c r="AR85" s="49" t="str">
        <f t="shared" si="32"/>
        <v/>
      </c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</row>
    <row r="86" spans="1:64" s="3" customFormat="1" ht="30" customHeight="1" x14ac:dyDescent="0.35">
      <c r="A86"/>
      <c r="B86" s="39" t="s">
        <v>67</v>
      </c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115"/>
      <c r="Z86" s="116"/>
      <c r="AA86" s="116"/>
      <c r="AB86" s="117"/>
      <c r="AC86" s="52"/>
      <c r="AD86" s="52"/>
      <c r="AE86" s="48" t="str">
        <f t="shared" si="18"/>
        <v/>
      </c>
      <c r="AF86" s="48"/>
      <c r="AG86" s="48"/>
      <c r="AH86" s="67"/>
      <c r="AI86" s="49">
        <f t="shared" si="23"/>
        <v>0</v>
      </c>
      <c r="AJ86" s="49" t="str">
        <f t="shared" si="24"/>
        <v/>
      </c>
      <c r="AK86" s="49">
        <f t="shared" si="25"/>
        <v>0</v>
      </c>
      <c r="AL86" s="49" t="str">
        <f t="shared" si="26"/>
        <v/>
      </c>
      <c r="AM86" s="49">
        <f t="shared" si="27"/>
        <v>0</v>
      </c>
      <c r="AN86" s="49" t="str">
        <f t="shared" si="28"/>
        <v/>
      </c>
      <c r="AO86" s="49">
        <f t="shared" si="29"/>
        <v>0</v>
      </c>
      <c r="AP86" s="49" t="str">
        <f t="shared" si="30"/>
        <v/>
      </c>
      <c r="AQ86" s="49">
        <f t="shared" si="31"/>
        <v>0</v>
      </c>
      <c r="AR86" s="49" t="str">
        <f t="shared" si="32"/>
        <v/>
      </c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</row>
    <row r="87" spans="1:64" s="3" customFormat="1" ht="30" customHeight="1" x14ac:dyDescent="0.35">
      <c r="A87" t="str">
        <f>CONCATENATE($B$76,"
",$B$81,"
",$B$82,"
",$B$86,""
)</f>
        <v>VALE - CONTRATO 456
PT014 - ANÁLISE ESTRUTURAL - BATENTE - ER - 313K - 01
ETAPA DE ESCRITÓRIO
MARCO - PROJETO DETALHADO</v>
      </c>
      <c r="B87" s="40" t="s">
        <v>45</v>
      </c>
      <c r="C87" s="85" t="str">
        <f>IF(AND($B87=[1]adriano!$A84,[1]adriano!$B84=C$4),"ok","nok")</f>
        <v>nok</v>
      </c>
      <c r="D87" s="85" t="str">
        <f>IF(AND($B87=[1]adriano!$A84,[1]adriano!$B84=D$4),"ok","nok")</f>
        <v>nok</v>
      </c>
      <c r="E87" s="178"/>
      <c r="F87" s="85" t="str">
        <f>IF(AND($B87=[1]adriano!$A84,[1]adriano!$B84=F$4),"ok","nok")</f>
        <v>nok</v>
      </c>
      <c r="G87" s="85" t="str">
        <f>IF(AND($B87=[1]adriano!$A84,[1]adriano!$B84=G$4),"ok","nok")</f>
        <v>nok</v>
      </c>
      <c r="H87" s="85" t="str">
        <f>IF(AND($B87=[1]adriano!$A84,[1]adriano!$B84=H$4),"ok","nok")</f>
        <v>nok</v>
      </c>
      <c r="I87" s="85" t="str">
        <f>IF(AND($B87=[1]adriano!$A84,[1]adriano!$B84=I$4),"ok","nok")</f>
        <v>nok</v>
      </c>
      <c r="J87" s="85" t="str">
        <f>IF(AND($B87=[1]adriano!$A84,[1]adriano!$B84=J$4),"ok","nok")</f>
        <v>nok</v>
      </c>
      <c r="K87" s="85" t="str">
        <f>IF(AND($B87=[1]adriano!$A84,[1]adriano!$B84=K$4),"ok","nok")</f>
        <v>nok</v>
      </c>
      <c r="L87" s="85" t="str">
        <f>IF(AND($B87=[1]adriano!$A84,[1]adriano!$B84=L$4),"ok","nok")</f>
        <v>nok</v>
      </c>
      <c r="M87" s="85" t="str">
        <f>IF(AND($B87=[1]adriano!$A84,[1]adriano!$B84=M$4),"ok","nok")</f>
        <v>nok</v>
      </c>
      <c r="N87" s="85" t="str">
        <f>IF(AND($B87=[1]adriano!$A84,[1]adriano!$B84=N$4),"ok","nok")</f>
        <v>nok</v>
      </c>
      <c r="O87" s="85" t="str">
        <f>IF(AND($B87=[1]adriano!$A84,[1]adriano!$B84=O$4),"ok","nok")</f>
        <v>nok</v>
      </c>
      <c r="P87" s="85" t="str">
        <f>IF(AND($B87=[1]adriano!$A84,[1]adriano!$B84=P$4),"ok","nok")</f>
        <v>nok</v>
      </c>
      <c r="Q87" s="85" t="str">
        <f>IF(AND($B87=[1]adriano!$A84,[1]adriano!$B84=Q$4),"ok","nok")</f>
        <v>nok</v>
      </c>
      <c r="R87" s="85" t="str">
        <f>IF(AND($B87=[1]adriano!$A84,[1]adriano!$B84=R$4),"ok","nok")</f>
        <v>nok</v>
      </c>
      <c r="S87" s="85" t="str">
        <f>IF(AND($B87=[1]adriano!$A84,[1]adriano!$B84=S$4),"ok","nok")</f>
        <v>nok</v>
      </c>
      <c r="T87" s="85" t="str">
        <f>IF(AND($B87=[1]adriano!$A84,[1]adriano!$B84=T$4),"ok","nok")</f>
        <v>nok</v>
      </c>
      <c r="U87" s="85" t="str">
        <f>IF(AND($B87=[1]adriano!$A84,[1]adriano!$B84=U$4),"ok","nok")</f>
        <v>nok</v>
      </c>
      <c r="V87" s="85" t="str">
        <f>IF(AND($B87=[1]adriano!$A84,[1]adriano!$B84=V$4),"ok","nok")</f>
        <v>nok</v>
      </c>
      <c r="W87" s="85" t="str">
        <f>IF(AND($B87=[1]adriano!$A84,[1]adriano!$B84=W$4),"ok","nok")</f>
        <v>nok</v>
      </c>
      <c r="X87" s="85" t="str">
        <f>IF(AND($B87=[1]adriano!$A84,[1]adriano!$B84=X$4),"ok","nok")</f>
        <v>ok</v>
      </c>
      <c r="Y87" s="97" t="s">
        <v>34</v>
      </c>
      <c r="Z87" s="98"/>
      <c r="AA87" s="98"/>
      <c r="AB87" s="99"/>
      <c r="AC87" s="52"/>
      <c r="AD87" s="52"/>
      <c r="AE87" s="48" t="str">
        <f t="shared" si="18"/>
        <v>Certificação do documento - Vibracon</v>
      </c>
      <c r="AF87" s="48"/>
      <c r="AG87" s="48"/>
      <c r="AH87" s="67"/>
      <c r="AI87" s="49">
        <f t="shared" si="23"/>
        <v>0</v>
      </c>
      <c r="AJ87" s="49" t="str">
        <f t="shared" si="24"/>
        <v/>
      </c>
      <c r="AK87" s="49">
        <f t="shared" si="25"/>
        <v>0</v>
      </c>
      <c r="AL87" s="49" t="str">
        <f t="shared" si="26"/>
        <v/>
      </c>
      <c r="AM87" s="49">
        <f t="shared" si="27"/>
        <v>0</v>
      </c>
      <c r="AN87" s="49" t="str">
        <f t="shared" si="28"/>
        <v/>
      </c>
      <c r="AO87" s="49">
        <f t="shared" si="29"/>
        <v>0</v>
      </c>
      <c r="AP87" s="49" t="str">
        <f t="shared" si="30"/>
        <v/>
      </c>
      <c r="AQ87" s="49">
        <f t="shared" si="31"/>
        <v>1</v>
      </c>
      <c r="AR87" s="49" t="str">
        <f t="shared" si="32"/>
        <v/>
      </c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</row>
    <row r="88" spans="1:64" s="3" customFormat="1" ht="30" customHeight="1" x14ac:dyDescent="0.35">
      <c r="A88" t="str">
        <f>CONCATENATE($B$76,"
",$B$81,"
",$B$82,"
",$B$86,""
)</f>
        <v>VALE - CONTRATO 456
PT014 - ANÁLISE ESTRUTURAL - BATENTE - ER - 313K - 01
ETAPA DE ESCRITÓRIO
MARCO - PROJETO DETALHADO</v>
      </c>
      <c r="B88" s="40" t="s">
        <v>46</v>
      </c>
      <c r="C88" s="85" t="str">
        <f>IF(AND($B88=[1]adriano!$A85,[1]adriano!$B85=C$4),"ok","nok")</f>
        <v>nok</v>
      </c>
      <c r="D88" s="85" t="str">
        <f>IF(AND($B88=[1]adriano!$A85,[1]adriano!$B85=D$4),"ok","nok")</f>
        <v>nok</v>
      </c>
      <c r="E88" s="178"/>
      <c r="F88" s="85" t="str">
        <f>IF(AND($B88=[1]adriano!$A85,[1]adriano!$B85=F$4),"ok","nok")</f>
        <v>nok</v>
      </c>
      <c r="G88" s="85" t="str">
        <f>IF(AND($B88=[1]adriano!$A85,[1]adriano!$B85=G$4),"ok","nok")</f>
        <v>nok</v>
      </c>
      <c r="H88" s="85" t="str">
        <f>IF(AND($B88=[1]adriano!$A85,[1]adriano!$B85=H$4),"ok","nok")</f>
        <v>nok</v>
      </c>
      <c r="I88" s="85" t="str">
        <f>IF(AND($B88=[1]adriano!$A85,[1]adriano!$B85=I$4),"ok","nok")</f>
        <v>nok</v>
      </c>
      <c r="J88" s="85" t="str">
        <f>IF(AND($B88=[1]adriano!$A85,[1]adriano!$B85=J$4),"ok","nok")</f>
        <v>nok</v>
      </c>
      <c r="K88" s="85" t="str">
        <f>IF(AND($B88=[1]adriano!$A85,[1]adriano!$B85=K$4),"ok","nok")</f>
        <v>nok</v>
      </c>
      <c r="L88" s="85" t="str">
        <f>IF(AND($B88=[1]adriano!$A85,[1]adriano!$B85=L$4),"ok","nok")</f>
        <v>nok</v>
      </c>
      <c r="M88" s="85" t="str">
        <f>IF(AND($B88=[1]adriano!$A85,[1]adriano!$B85=M$4),"ok","nok")</f>
        <v>nok</v>
      </c>
      <c r="N88" s="85" t="str">
        <f>IF(AND($B88=[1]adriano!$A85,[1]adriano!$B85=N$4),"ok","nok")</f>
        <v>nok</v>
      </c>
      <c r="O88" s="85" t="str">
        <f>IF(AND($B88=[1]adriano!$A85,[1]adriano!$B85=O$4),"ok","nok")</f>
        <v>nok</v>
      </c>
      <c r="P88" s="85" t="str">
        <f>IF(AND($B88=[1]adriano!$A85,[1]adriano!$B85=P$4),"ok","nok")</f>
        <v>nok</v>
      </c>
      <c r="Q88" s="85" t="str">
        <f>IF(AND($B88=[1]adriano!$A85,[1]adriano!$B85=Q$4),"ok","nok")</f>
        <v>nok</v>
      </c>
      <c r="R88" s="85" t="str">
        <f>IF(AND($B88=[1]adriano!$A85,[1]adriano!$B85=R$4),"ok","nok")</f>
        <v>nok</v>
      </c>
      <c r="S88" s="85" t="str">
        <f>IF(AND($B88=[1]adriano!$A85,[1]adriano!$B85=S$4),"ok","nok")</f>
        <v>nok</v>
      </c>
      <c r="T88" s="85" t="str">
        <f>IF(AND($B88=[1]adriano!$A85,[1]adriano!$B85=T$4),"ok","nok")</f>
        <v>nok</v>
      </c>
      <c r="U88" s="85" t="str">
        <f>IF(AND($B88=[1]adriano!$A85,[1]adriano!$B85=U$4),"ok","nok")</f>
        <v>nok</v>
      </c>
      <c r="V88" s="85" t="str">
        <f>IF(AND($B88=[1]adriano!$A85,[1]adriano!$B85=V$4),"ok","nok")</f>
        <v>nok</v>
      </c>
      <c r="W88" s="85" t="str">
        <f>IF(AND($B88=[1]adriano!$A85,[1]adriano!$B85=W$4),"ok","nok")</f>
        <v>nok</v>
      </c>
      <c r="X88" s="85" t="str">
        <f>IF(AND($B88=[1]adriano!$A85,[1]adriano!$B85=X$4),"ok","nok")</f>
        <v>ok</v>
      </c>
      <c r="Y88" s="97" t="s">
        <v>34</v>
      </c>
      <c r="Z88" s="98"/>
      <c r="AA88" s="98"/>
      <c r="AB88" s="99"/>
      <c r="AC88" s="52"/>
      <c r="AD88" s="52"/>
      <c r="AE88" s="48" t="str">
        <f t="shared" si="18"/>
        <v>MARCO - Envio do documento Certificado (Rev_0)</v>
      </c>
      <c r="AF88" s="48"/>
      <c r="AG88" s="48"/>
      <c r="AH88" s="67"/>
      <c r="AI88" s="49">
        <f t="shared" si="23"/>
        <v>0</v>
      </c>
      <c r="AJ88" s="49" t="str">
        <f t="shared" si="24"/>
        <v/>
      </c>
      <c r="AK88" s="49">
        <f t="shared" si="25"/>
        <v>0</v>
      </c>
      <c r="AL88" s="49" t="str">
        <f t="shared" si="26"/>
        <v/>
      </c>
      <c r="AM88" s="49">
        <f t="shared" si="27"/>
        <v>0</v>
      </c>
      <c r="AN88" s="49" t="str">
        <f t="shared" si="28"/>
        <v/>
      </c>
      <c r="AO88" s="49">
        <f t="shared" si="29"/>
        <v>0</v>
      </c>
      <c r="AP88" s="49" t="str">
        <f t="shared" si="30"/>
        <v/>
      </c>
      <c r="AQ88" s="49">
        <f t="shared" si="31"/>
        <v>1</v>
      </c>
      <c r="AR88" s="49" t="str">
        <f t="shared" si="32"/>
        <v/>
      </c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</row>
    <row r="89" spans="1:64" s="3" customFormat="1" ht="30" customHeight="1" x14ac:dyDescent="0.35">
      <c r="A89"/>
      <c r="B89" s="36" t="s">
        <v>103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144"/>
      <c r="Z89" s="145"/>
      <c r="AA89" s="145"/>
      <c r="AB89" s="146"/>
      <c r="AC89" s="52"/>
      <c r="AD89" s="52"/>
      <c r="AE89" s="48" t="str">
        <f t="shared" si="18"/>
        <v/>
      </c>
      <c r="AF89" s="48"/>
      <c r="AG89" s="48"/>
      <c r="AH89" s="67"/>
      <c r="AI89" s="49">
        <f t="shared" si="23"/>
        <v>0</v>
      </c>
      <c r="AJ89" s="49" t="str">
        <f t="shared" si="24"/>
        <v/>
      </c>
      <c r="AK89" s="49">
        <f t="shared" si="25"/>
        <v>0</v>
      </c>
      <c r="AL89" s="49" t="str">
        <f t="shared" si="26"/>
        <v/>
      </c>
      <c r="AM89" s="49">
        <f t="shared" si="27"/>
        <v>0</v>
      </c>
      <c r="AN89" s="49" t="str">
        <f t="shared" si="28"/>
        <v/>
      </c>
      <c r="AO89" s="49">
        <f t="shared" si="29"/>
        <v>0</v>
      </c>
      <c r="AP89" s="49" t="str">
        <f t="shared" si="30"/>
        <v/>
      </c>
      <c r="AQ89" s="49">
        <f t="shared" si="31"/>
        <v>0</v>
      </c>
      <c r="AR89" s="49" t="str">
        <f t="shared" si="32"/>
        <v/>
      </c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</row>
    <row r="90" spans="1:64" s="3" customFormat="1" ht="30" customHeight="1" x14ac:dyDescent="0.35">
      <c r="A90"/>
      <c r="B90" s="37" t="s">
        <v>43</v>
      </c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100"/>
      <c r="Z90" s="101"/>
      <c r="AA90" s="101"/>
      <c r="AB90" s="102"/>
      <c r="AC90" s="52"/>
      <c r="AD90" s="52"/>
      <c r="AE90" s="48" t="str">
        <f t="shared" si="18"/>
        <v/>
      </c>
      <c r="AF90" s="48"/>
      <c r="AG90" s="48"/>
      <c r="AH90" s="67"/>
      <c r="AI90" s="49">
        <f t="shared" si="23"/>
        <v>0</v>
      </c>
      <c r="AJ90" s="49" t="str">
        <f t="shared" si="24"/>
        <v/>
      </c>
      <c r="AK90" s="49">
        <f t="shared" si="25"/>
        <v>0</v>
      </c>
      <c r="AL90" s="49" t="str">
        <f t="shared" si="26"/>
        <v/>
      </c>
      <c r="AM90" s="49">
        <f t="shared" si="27"/>
        <v>0</v>
      </c>
      <c r="AN90" s="49" t="str">
        <f t="shared" si="28"/>
        <v/>
      </c>
      <c r="AO90" s="49">
        <f t="shared" si="29"/>
        <v>0</v>
      </c>
      <c r="AP90" s="49" t="str">
        <f t="shared" si="30"/>
        <v/>
      </c>
      <c r="AQ90" s="49">
        <f t="shared" si="31"/>
        <v>0</v>
      </c>
      <c r="AR90" s="49" t="str">
        <f t="shared" si="32"/>
        <v/>
      </c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</row>
    <row r="91" spans="1:64" s="3" customFormat="1" ht="30" customHeight="1" x14ac:dyDescent="0.35">
      <c r="A91"/>
      <c r="B91" s="39" t="s">
        <v>44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115"/>
      <c r="Z91" s="116"/>
      <c r="AA91" s="116"/>
      <c r="AB91" s="117"/>
      <c r="AC91" s="52"/>
      <c r="AD91" s="52"/>
      <c r="AE91" s="48" t="str">
        <f t="shared" si="18"/>
        <v/>
      </c>
      <c r="AF91" s="48"/>
      <c r="AG91" s="48"/>
      <c r="AH91" s="67"/>
      <c r="AI91" s="49">
        <f t="shared" si="23"/>
        <v>0</v>
      </c>
      <c r="AJ91" s="49" t="str">
        <f t="shared" si="24"/>
        <v/>
      </c>
      <c r="AK91" s="49">
        <f t="shared" si="25"/>
        <v>0</v>
      </c>
      <c r="AL91" s="49" t="str">
        <f t="shared" si="26"/>
        <v/>
      </c>
      <c r="AM91" s="49">
        <f t="shared" si="27"/>
        <v>0</v>
      </c>
      <c r="AN91" s="49" t="str">
        <f t="shared" si="28"/>
        <v/>
      </c>
      <c r="AO91" s="49">
        <f t="shared" si="29"/>
        <v>0</v>
      </c>
      <c r="AP91" s="49" t="str">
        <f t="shared" si="30"/>
        <v/>
      </c>
      <c r="AQ91" s="49">
        <f t="shared" si="31"/>
        <v>0</v>
      </c>
      <c r="AR91" s="49" t="str">
        <f t="shared" si="32"/>
        <v/>
      </c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</row>
    <row r="92" spans="1:64" s="3" customFormat="1" ht="30" customHeight="1" x14ac:dyDescent="0.35">
      <c r="A92" t="str">
        <f>CONCATENATE($B$76,"
",$B$89,"
",$B$90,"
",$B$91,""
)</f>
        <v>VALE - CONTRATO 456
PT009 - Projeto Conceitual - Sistema de Troca de Tambores
ETAPA DE ESCRITÓRIO
MARCO - MEMÓRIA DE CÁLCULO</v>
      </c>
      <c r="B92" s="40" t="s">
        <v>45</v>
      </c>
      <c r="C92" s="85" t="str">
        <f>IF(AND($B92=[1]adriano!$A89,[1]adriano!$B89=C$4),"ok","nok")</f>
        <v>nok</v>
      </c>
      <c r="D92" s="85" t="str">
        <f>IF(AND($B92=[1]adriano!$A89,[1]adriano!$B89=D$4),"ok","nok")</f>
        <v>nok</v>
      </c>
      <c r="E92" s="178"/>
      <c r="F92" s="85" t="str">
        <f>IF(AND($B92=[1]adriano!$A89,[1]adriano!$B89=F$4),"ok","nok")</f>
        <v>nok</v>
      </c>
      <c r="G92" s="85" t="str">
        <f>IF(AND($B92=[1]adriano!$A89,[1]adriano!$B89=G$4),"ok","nok")</f>
        <v>nok</v>
      </c>
      <c r="H92" s="85" t="str">
        <f>IF(AND($B92=[1]adriano!$A89,[1]adriano!$B89=H$4),"ok","nok")</f>
        <v>nok</v>
      </c>
      <c r="I92" s="85" t="str">
        <f>IF(AND($B92=[1]adriano!$A89,[1]adriano!$B89=I$4),"ok","nok")</f>
        <v>nok</v>
      </c>
      <c r="J92" s="85" t="str">
        <f>IF(AND($B92=[1]adriano!$A89,[1]adriano!$B89=J$4),"ok","nok")</f>
        <v>nok</v>
      </c>
      <c r="K92" s="85" t="str">
        <f>IF(AND($B92=[1]adriano!$A89,[1]adriano!$B89=K$4),"ok","nok")</f>
        <v>nok</v>
      </c>
      <c r="L92" s="85" t="str">
        <f>IF(AND($B92=[1]adriano!$A89,[1]adriano!$B89=L$4),"ok","nok")</f>
        <v>nok</v>
      </c>
      <c r="M92" s="85" t="str">
        <f>IF(AND($B92=[1]adriano!$A89,[1]adriano!$B89=M$4),"ok","nok")</f>
        <v>nok</v>
      </c>
      <c r="N92" s="85" t="str">
        <f>IF(AND($B92=[1]adriano!$A89,[1]adriano!$B89=N$4),"ok","nok")</f>
        <v>nok</v>
      </c>
      <c r="O92" s="85" t="str">
        <f>IF(AND($B92=[1]adriano!$A89,[1]adriano!$B89=O$4),"ok","nok")</f>
        <v>nok</v>
      </c>
      <c r="P92" s="85" t="str">
        <f>IF(AND($B92=[1]adriano!$A89,[1]adriano!$B89=P$4),"ok","nok")</f>
        <v>nok</v>
      </c>
      <c r="Q92" s="85" t="str">
        <f>IF(AND($B92=[1]adriano!$A89,[1]adriano!$B89=Q$4),"ok","nok")</f>
        <v>nok</v>
      </c>
      <c r="R92" s="85" t="str">
        <f>IF(AND($B92=[1]adriano!$A89,[1]adriano!$B89=R$4),"ok","nok")</f>
        <v>nok</v>
      </c>
      <c r="S92" s="85" t="str">
        <f>IF(AND($B92=[1]adriano!$A89,[1]adriano!$B89=S$4),"ok","nok")</f>
        <v>ok</v>
      </c>
      <c r="T92" s="85" t="str">
        <f>IF(AND($B92=[1]adriano!$A89,[1]adriano!$B89=T$4),"ok","nok")</f>
        <v>nok</v>
      </c>
      <c r="U92" s="85" t="str">
        <f>IF(AND($B92=[1]adriano!$A89,[1]adriano!$B89=U$4),"ok","nok")</f>
        <v>nok</v>
      </c>
      <c r="V92" s="85" t="str">
        <f>IF(AND($B92=[1]adriano!$A89,[1]adriano!$B89=V$4),"ok","nok")</f>
        <v>nok</v>
      </c>
      <c r="W92" s="85" t="str">
        <f>IF(AND($B92=[1]adriano!$A89,[1]adriano!$B89=W$4),"ok","nok")</f>
        <v>nok</v>
      </c>
      <c r="X92" s="85" t="str">
        <f>IF(AND($B92=[1]adriano!$A89,[1]adriano!$B89=X$4),"ok","nok")</f>
        <v>nok</v>
      </c>
      <c r="Y92" s="97" t="s">
        <v>34</v>
      </c>
      <c r="Z92" s="98"/>
      <c r="AA92" s="98"/>
      <c r="AB92" s="99"/>
      <c r="AC92" s="52"/>
      <c r="AD92" s="52"/>
      <c r="AE92" s="48" t="str">
        <f t="shared" si="18"/>
        <v>Certificação do documento - Vibracon</v>
      </c>
      <c r="AF92" s="48"/>
      <c r="AG92" s="48"/>
      <c r="AH92" s="67"/>
      <c r="AI92" s="49">
        <f t="shared" si="23"/>
        <v>0</v>
      </c>
      <c r="AJ92" s="49" t="str">
        <f t="shared" si="24"/>
        <v/>
      </c>
      <c r="AK92" s="49">
        <f t="shared" si="25"/>
        <v>0</v>
      </c>
      <c r="AL92" s="49" t="str">
        <f t="shared" si="26"/>
        <v/>
      </c>
      <c r="AM92" s="49">
        <f t="shared" si="27"/>
        <v>0</v>
      </c>
      <c r="AN92" s="49" t="str">
        <f t="shared" si="28"/>
        <v/>
      </c>
      <c r="AO92" s="49">
        <f t="shared" si="29"/>
        <v>1</v>
      </c>
      <c r="AP92" s="49" t="str">
        <f t="shared" si="30"/>
        <v/>
      </c>
      <c r="AQ92" s="49">
        <f t="shared" si="31"/>
        <v>0</v>
      </c>
      <c r="AR92" s="49" t="str">
        <f t="shared" si="32"/>
        <v/>
      </c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</row>
    <row r="93" spans="1:64" s="3" customFormat="1" ht="30" customHeight="1" x14ac:dyDescent="0.35">
      <c r="A93" t="str">
        <f>CONCATENATE($B$76,"
",$B$89,"
",$B$90,"
",$B$91,""
)</f>
        <v>VALE - CONTRATO 456
PT009 - Projeto Conceitual - Sistema de Troca de Tambores
ETAPA DE ESCRITÓRIO
MARCO - MEMÓRIA DE CÁLCULO</v>
      </c>
      <c r="B93" s="40" t="s">
        <v>46</v>
      </c>
      <c r="C93" s="85" t="str">
        <f>IF(AND($B93=[1]adriano!$A90,[1]adriano!$B90=C$4),"ok","nok")</f>
        <v>nok</v>
      </c>
      <c r="D93" s="85" t="str">
        <f>IF(AND($B93=[1]adriano!$A90,[1]adriano!$B90=D$4),"ok","nok")</f>
        <v>nok</v>
      </c>
      <c r="E93" s="178"/>
      <c r="F93" s="85" t="str">
        <f>IF(AND($B93=[1]adriano!$A90,[1]adriano!$B90=F$4),"ok","nok")</f>
        <v>nok</v>
      </c>
      <c r="G93" s="85" t="str">
        <f>IF(AND($B93=[1]adriano!$A90,[1]adriano!$B90=G$4),"ok","nok")</f>
        <v>nok</v>
      </c>
      <c r="H93" s="85" t="str">
        <f>IF(AND($B93=[1]adriano!$A90,[1]adriano!$B90=H$4),"ok","nok")</f>
        <v>nok</v>
      </c>
      <c r="I93" s="85" t="str">
        <f>IF(AND($B93=[1]adriano!$A90,[1]adriano!$B90=I$4),"ok","nok")</f>
        <v>nok</v>
      </c>
      <c r="J93" s="85" t="str">
        <f>IF(AND($B93=[1]adriano!$A90,[1]adriano!$B90=J$4),"ok","nok")</f>
        <v>nok</v>
      </c>
      <c r="K93" s="85" t="str">
        <f>IF(AND($B93=[1]adriano!$A90,[1]adriano!$B90=K$4),"ok","nok")</f>
        <v>nok</v>
      </c>
      <c r="L93" s="85" t="str">
        <f>IF(AND($B93=[1]adriano!$A90,[1]adriano!$B90=L$4),"ok","nok")</f>
        <v>nok</v>
      </c>
      <c r="M93" s="85" t="str">
        <f>IF(AND($B93=[1]adriano!$A90,[1]adriano!$B90=M$4),"ok","nok")</f>
        <v>nok</v>
      </c>
      <c r="N93" s="85" t="str">
        <f>IF(AND($B93=[1]adriano!$A90,[1]adriano!$B90=N$4),"ok","nok")</f>
        <v>nok</v>
      </c>
      <c r="O93" s="85" t="str">
        <f>IF(AND($B93=[1]adriano!$A90,[1]adriano!$B90=O$4),"ok","nok")</f>
        <v>nok</v>
      </c>
      <c r="P93" s="85" t="str">
        <f>IF(AND($B93=[1]adriano!$A90,[1]adriano!$B90=P$4),"ok","nok")</f>
        <v>nok</v>
      </c>
      <c r="Q93" s="85" t="str">
        <f>IF(AND($B93=[1]adriano!$A90,[1]adriano!$B90=Q$4),"ok","nok")</f>
        <v>nok</v>
      </c>
      <c r="R93" s="85" t="str">
        <f>IF(AND($B93=[1]adriano!$A90,[1]adriano!$B90=R$4),"ok","nok")</f>
        <v>nok</v>
      </c>
      <c r="S93" s="85" t="str">
        <f>IF(AND($B93=[1]adriano!$A90,[1]adriano!$B90=S$4),"ok","nok")</f>
        <v>nok</v>
      </c>
      <c r="T93" s="85" t="str">
        <f>IF(AND($B93=[1]adriano!$A90,[1]adriano!$B90=T$4),"ok","nok")</f>
        <v>ok</v>
      </c>
      <c r="U93" s="85" t="str">
        <f>IF(AND($B93=[1]adriano!$A90,[1]adriano!$B90=U$4),"ok","nok")</f>
        <v>nok</v>
      </c>
      <c r="V93" s="85" t="str">
        <f>IF(AND($B93=[1]adriano!$A90,[1]adriano!$B90=V$4),"ok","nok")</f>
        <v>nok</v>
      </c>
      <c r="W93" s="85" t="str">
        <f>IF(AND($B93=[1]adriano!$A90,[1]adriano!$B90=W$4),"ok","nok")</f>
        <v>nok</v>
      </c>
      <c r="X93" s="85" t="str">
        <f>IF(AND($B93=[1]adriano!$A90,[1]adriano!$B90=X$4),"ok","nok")</f>
        <v>nok</v>
      </c>
      <c r="Y93" s="97" t="s">
        <v>34</v>
      </c>
      <c r="Z93" s="98"/>
      <c r="AA93" s="98"/>
      <c r="AB93" s="99"/>
      <c r="AC93" s="52"/>
      <c r="AD93" s="52"/>
      <c r="AE93" s="48" t="str">
        <f t="shared" si="18"/>
        <v>MARCO - Envio do documento Certificado (Rev_0)</v>
      </c>
      <c r="AF93" s="48"/>
      <c r="AG93" s="48"/>
      <c r="AH93" s="67"/>
      <c r="AI93" s="49">
        <f t="shared" si="23"/>
        <v>0</v>
      </c>
      <c r="AJ93" s="49" t="str">
        <f t="shared" si="24"/>
        <v/>
      </c>
      <c r="AK93" s="49">
        <f t="shared" si="25"/>
        <v>0</v>
      </c>
      <c r="AL93" s="49" t="str">
        <f t="shared" si="26"/>
        <v/>
      </c>
      <c r="AM93" s="49">
        <f t="shared" si="27"/>
        <v>0</v>
      </c>
      <c r="AN93" s="49" t="str">
        <f t="shared" si="28"/>
        <v/>
      </c>
      <c r="AO93" s="49">
        <f t="shared" si="29"/>
        <v>1</v>
      </c>
      <c r="AP93" s="49" t="str">
        <f t="shared" si="30"/>
        <v/>
      </c>
      <c r="AQ93" s="49">
        <f t="shared" si="31"/>
        <v>0</v>
      </c>
      <c r="AR93" s="49" t="str">
        <f t="shared" si="32"/>
        <v/>
      </c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</row>
    <row r="94" spans="1:64" s="3" customFormat="1" ht="30" customHeight="1" x14ac:dyDescent="0.35">
      <c r="A94"/>
      <c r="B94" s="39" t="s">
        <v>67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115"/>
      <c r="Z94" s="116"/>
      <c r="AA94" s="116"/>
      <c r="AB94" s="117"/>
      <c r="AC94" s="52"/>
      <c r="AD94" s="52"/>
      <c r="AE94" s="48" t="str">
        <f t="shared" si="18"/>
        <v/>
      </c>
      <c r="AF94" s="48"/>
      <c r="AG94" s="48"/>
      <c r="AH94" s="67"/>
      <c r="AI94" s="49">
        <f t="shared" si="23"/>
        <v>0</v>
      </c>
      <c r="AJ94" s="49" t="str">
        <f t="shared" si="24"/>
        <v/>
      </c>
      <c r="AK94" s="49">
        <f t="shared" si="25"/>
        <v>0</v>
      </c>
      <c r="AL94" s="49" t="str">
        <f t="shared" si="26"/>
        <v/>
      </c>
      <c r="AM94" s="49">
        <f t="shared" si="27"/>
        <v>0</v>
      </c>
      <c r="AN94" s="49" t="str">
        <f t="shared" si="28"/>
        <v/>
      </c>
      <c r="AO94" s="49">
        <f t="shared" si="29"/>
        <v>0</v>
      </c>
      <c r="AP94" s="49" t="str">
        <f t="shared" si="30"/>
        <v/>
      </c>
      <c r="AQ94" s="49">
        <f t="shared" si="31"/>
        <v>0</v>
      </c>
      <c r="AR94" s="49" t="str">
        <f t="shared" si="32"/>
        <v/>
      </c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</row>
    <row r="95" spans="1:64" s="3" customFormat="1" ht="30" customHeight="1" x14ac:dyDescent="0.35">
      <c r="A95" t="str">
        <f>CONCATENATE($B$76,"
",$B$89,"
",$B$90,"
",$B$94,""
)</f>
        <v>VALE - CONTRATO 456
PT009 - Projeto Conceitual - Sistema de Troca de Tambores
ETAPA DE ESCRITÓRIO
MARCO - PROJETO DETALHADO</v>
      </c>
      <c r="B95" s="40" t="s">
        <v>45</v>
      </c>
      <c r="C95" s="85" t="str">
        <f>IF(AND($B95=[1]adriano!$A92,[1]adriano!$B92=C$4),"ok","nok")</f>
        <v>nok</v>
      </c>
      <c r="D95" s="85" t="str">
        <f>IF(AND($B95=[1]adriano!$A92,[1]adriano!$B92=D$4),"ok","nok")</f>
        <v>nok</v>
      </c>
      <c r="E95" s="178"/>
      <c r="F95" s="85" t="str">
        <f>IF(AND($B95=[1]adriano!$A92,[1]adriano!$B92=F$4),"ok","nok")</f>
        <v>nok</v>
      </c>
      <c r="G95" s="85" t="str">
        <f>IF(AND($B95=[1]adriano!$A92,[1]adriano!$B92=G$4),"ok","nok")</f>
        <v>nok</v>
      </c>
      <c r="H95" s="85" t="str">
        <f>IF(AND($B95=[1]adriano!$A92,[1]adriano!$B92=H$4),"ok","nok")</f>
        <v>nok</v>
      </c>
      <c r="I95" s="85" t="str">
        <f>IF(AND($B95=[1]adriano!$A92,[1]adriano!$B92=I$4),"ok","nok")</f>
        <v>nok</v>
      </c>
      <c r="J95" s="85" t="str">
        <f>IF(AND($B95=[1]adriano!$A92,[1]adriano!$B92=J$4),"ok","nok")</f>
        <v>nok</v>
      </c>
      <c r="K95" s="85" t="str">
        <f>IF(AND($B95=[1]adriano!$A92,[1]adriano!$B92=K$4),"ok","nok")</f>
        <v>nok</v>
      </c>
      <c r="L95" s="85" t="str">
        <f>IF(AND($B95=[1]adriano!$A92,[1]adriano!$B92=L$4),"ok","nok")</f>
        <v>nok</v>
      </c>
      <c r="M95" s="85" t="str">
        <f>IF(AND($B95=[1]adriano!$A92,[1]adriano!$B92=M$4),"ok","nok")</f>
        <v>nok</v>
      </c>
      <c r="N95" s="85" t="str">
        <f>IF(AND($B95=[1]adriano!$A92,[1]adriano!$B92=N$4),"ok","nok")</f>
        <v>nok</v>
      </c>
      <c r="O95" s="85" t="str">
        <f>IF(AND($B95=[1]adriano!$A92,[1]adriano!$B92=O$4),"ok","nok")</f>
        <v>nok</v>
      </c>
      <c r="P95" s="85" t="str">
        <f>IF(AND($B95=[1]adriano!$A92,[1]adriano!$B92=P$4),"ok","nok")</f>
        <v>nok</v>
      </c>
      <c r="Q95" s="85" t="str">
        <f>IF(AND($B95=[1]adriano!$A92,[1]adriano!$B92=Q$4),"ok","nok")</f>
        <v>nok</v>
      </c>
      <c r="R95" s="85" t="str">
        <f>IF(AND($B95=[1]adriano!$A92,[1]adriano!$B92=R$4),"ok","nok")</f>
        <v>nok</v>
      </c>
      <c r="S95" s="85" t="str">
        <f>IF(AND($B95=[1]adriano!$A92,[1]adriano!$B92=S$4),"ok","nok")</f>
        <v>nok</v>
      </c>
      <c r="T95" s="85" t="str">
        <f>IF(AND($B95=[1]adriano!$A92,[1]adriano!$B92=T$4),"ok","nok")</f>
        <v>nok</v>
      </c>
      <c r="U95" s="85" t="str">
        <f>IF(AND($B95=[1]adriano!$A92,[1]adriano!$B92=U$4),"ok","nok")</f>
        <v>ok</v>
      </c>
      <c r="V95" s="85" t="str">
        <f>IF(AND($B95=[1]adriano!$A92,[1]adriano!$B92=V$4),"ok","nok")</f>
        <v>nok</v>
      </c>
      <c r="W95" s="85" t="str">
        <f>IF(AND($B95=[1]adriano!$A92,[1]adriano!$B92=W$4),"ok","nok")</f>
        <v>nok</v>
      </c>
      <c r="X95" s="85" t="str">
        <f>IF(AND($B95=[1]adriano!$A92,[1]adriano!$B92=X$4),"ok","nok")</f>
        <v>nok</v>
      </c>
      <c r="Y95" s="97" t="s">
        <v>34</v>
      </c>
      <c r="Z95" s="98"/>
      <c r="AA95" s="98"/>
      <c r="AB95" s="99"/>
      <c r="AC95" s="52"/>
      <c r="AD95" s="52"/>
      <c r="AE95" s="48" t="str">
        <f t="shared" si="18"/>
        <v>Certificação do documento - Vibracon</v>
      </c>
      <c r="AF95" s="48"/>
      <c r="AG95" s="48"/>
      <c r="AH95" s="67"/>
      <c r="AI95" s="49">
        <f t="shared" si="23"/>
        <v>0</v>
      </c>
      <c r="AJ95" s="49" t="str">
        <f t="shared" si="24"/>
        <v/>
      </c>
      <c r="AK95" s="49">
        <f t="shared" si="25"/>
        <v>0</v>
      </c>
      <c r="AL95" s="49" t="str">
        <f t="shared" si="26"/>
        <v/>
      </c>
      <c r="AM95" s="49">
        <f t="shared" si="27"/>
        <v>0</v>
      </c>
      <c r="AN95" s="49" t="str">
        <f t="shared" si="28"/>
        <v/>
      </c>
      <c r="AO95" s="49">
        <f t="shared" si="29"/>
        <v>1</v>
      </c>
      <c r="AP95" s="49" t="str">
        <f t="shared" si="30"/>
        <v/>
      </c>
      <c r="AQ95" s="49">
        <f t="shared" si="31"/>
        <v>0</v>
      </c>
      <c r="AR95" s="49" t="str">
        <f t="shared" si="32"/>
        <v/>
      </c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</row>
    <row r="96" spans="1:64" s="3" customFormat="1" ht="30" customHeight="1" x14ac:dyDescent="0.35">
      <c r="A96" t="str">
        <f>CONCATENATE($B$76,"
",$B$89,"
",$B$90,"
",$B$94,""
)</f>
        <v>VALE - CONTRATO 456
PT009 - Projeto Conceitual - Sistema de Troca de Tambores
ETAPA DE ESCRITÓRIO
MARCO - PROJETO DETALHADO</v>
      </c>
      <c r="B96" s="40" t="s">
        <v>46</v>
      </c>
      <c r="C96" s="85" t="str">
        <f>IF(AND($B96=[1]adriano!$A93,[1]adriano!$B93=C$4),"ok","nok")</f>
        <v>nok</v>
      </c>
      <c r="D96" s="85" t="str">
        <f>IF(AND($B96=[1]adriano!$A93,[1]adriano!$B93=D$4),"ok","nok")</f>
        <v>nok</v>
      </c>
      <c r="E96" s="178"/>
      <c r="F96" s="85" t="str">
        <f>IF(AND($B96=[1]adriano!$A93,[1]adriano!$B93=F$4),"ok","nok")</f>
        <v>nok</v>
      </c>
      <c r="G96" s="85" t="str">
        <f>IF(AND($B96=[1]adriano!$A93,[1]adriano!$B93=G$4),"ok","nok")</f>
        <v>nok</v>
      </c>
      <c r="H96" s="85" t="str">
        <f>IF(AND($B96=[1]adriano!$A93,[1]adriano!$B93=H$4),"ok","nok")</f>
        <v>nok</v>
      </c>
      <c r="I96" s="85" t="str">
        <f>IF(AND($B96=[1]adriano!$A93,[1]adriano!$B93=I$4),"ok","nok")</f>
        <v>nok</v>
      </c>
      <c r="J96" s="85" t="str">
        <f>IF(AND($B96=[1]adriano!$A93,[1]adriano!$B93=J$4),"ok","nok")</f>
        <v>nok</v>
      </c>
      <c r="K96" s="85" t="str">
        <f>IF(AND($B96=[1]adriano!$A93,[1]adriano!$B93=K$4),"ok","nok")</f>
        <v>nok</v>
      </c>
      <c r="L96" s="85" t="str">
        <f>IF(AND($B96=[1]adriano!$A93,[1]adriano!$B93=L$4),"ok","nok")</f>
        <v>nok</v>
      </c>
      <c r="M96" s="85" t="str">
        <f>IF(AND($B96=[1]adriano!$A93,[1]adriano!$B93=M$4),"ok","nok")</f>
        <v>nok</v>
      </c>
      <c r="N96" s="85" t="str">
        <f>IF(AND($B96=[1]adriano!$A93,[1]adriano!$B93=N$4),"ok","nok")</f>
        <v>nok</v>
      </c>
      <c r="O96" s="85" t="str">
        <f>IF(AND($B96=[1]adriano!$A93,[1]adriano!$B93=O$4),"ok","nok")</f>
        <v>nok</v>
      </c>
      <c r="P96" s="85" t="str">
        <f>IF(AND($B96=[1]adriano!$A93,[1]adriano!$B93=P$4),"ok","nok")</f>
        <v>nok</v>
      </c>
      <c r="Q96" s="85" t="str">
        <f>IF(AND($B96=[1]adriano!$A93,[1]adriano!$B93=Q$4),"ok","nok")</f>
        <v>nok</v>
      </c>
      <c r="R96" s="85" t="str">
        <f>IF(AND($B96=[1]adriano!$A93,[1]adriano!$B93=R$4),"ok","nok")</f>
        <v>nok</v>
      </c>
      <c r="S96" s="85" t="str">
        <f>IF(AND($B96=[1]adriano!$A93,[1]adriano!$B93=S$4),"ok","nok")</f>
        <v>nok</v>
      </c>
      <c r="T96" s="85" t="str">
        <f>IF(AND($B96=[1]adriano!$A93,[1]adriano!$B93=T$4),"ok","nok")</f>
        <v>nok</v>
      </c>
      <c r="U96" s="85" t="str">
        <f>IF(AND($B96=[1]adriano!$A93,[1]adriano!$B93=U$4),"ok","nok")</f>
        <v>nok</v>
      </c>
      <c r="V96" s="85" t="str">
        <f>IF(AND($B96=[1]adriano!$A93,[1]adriano!$B93=V$4),"ok","nok")</f>
        <v>ok</v>
      </c>
      <c r="W96" s="85" t="str">
        <f>IF(AND($B96=[1]adriano!$A93,[1]adriano!$B93=W$4),"ok","nok")</f>
        <v>nok</v>
      </c>
      <c r="X96" s="85" t="str">
        <f>IF(AND($B96=[1]adriano!$A93,[1]adriano!$B93=X$4),"ok","nok")</f>
        <v>nok</v>
      </c>
      <c r="Y96" s="97" t="s">
        <v>34</v>
      </c>
      <c r="Z96" s="98"/>
      <c r="AA96" s="98"/>
      <c r="AB96" s="99"/>
      <c r="AC96" s="52"/>
      <c r="AD96" s="52"/>
      <c r="AE96" s="48" t="str">
        <f t="shared" si="18"/>
        <v>MARCO - Envio do documento Certificado (Rev_0)</v>
      </c>
      <c r="AF96" s="48"/>
      <c r="AG96" s="48"/>
      <c r="AH96" s="67"/>
      <c r="AI96" s="49">
        <f t="shared" si="23"/>
        <v>0</v>
      </c>
      <c r="AJ96" s="49" t="str">
        <f t="shared" si="24"/>
        <v/>
      </c>
      <c r="AK96" s="49">
        <f t="shared" si="25"/>
        <v>0</v>
      </c>
      <c r="AL96" s="49" t="str">
        <f t="shared" si="26"/>
        <v/>
      </c>
      <c r="AM96" s="49">
        <f t="shared" si="27"/>
        <v>0</v>
      </c>
      <c r="AN96" s="49" t="str">
        <f t="shared" si="28"/>
        <v/>
      </c>
      <c r="AO96" s="49">
        <f t="shared" si="29"/>
        <v>1</v>
      </c>
      <c r="AP96" s="49" t="str">
        <f t="shared" si="30"/>
        <v/>
      </c>
      <c r="AQ96" s="49">
        <f t="shared" si="31"/>
        <v>0</v>
      </c>
      <c r="AR96" s="49" t="str">
        <f t="shared" si="32"/>
        <v/>
      </c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</row>
    <row r="97" spans="1:64" s="3" customFormat="1" ht="30" customHeight="1" x14ac:dyDescent="0.35">
      <c r="A97"/>
      <c r="B97" s="35" t="s">
        <v>104</v>
      </c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125"/>
      <c r="Z97" s="126"/>
      <c r="AA97" s="126"/>
      <c r="AB97" s="127"/>
      <c r="AC97" s="52"/>
      <c r="AD97" s="52"/>
      <c r="AE97" s="48" t="str">
        <f t="shared" si="18"/>
        <v/>
      </c>
      <c r="AF97" s="48"/>
      <c r="AG97" s="48"/>
      <c r="AH97" s="67"/>
      <c r="AI97" s="49">
        <f t="shared" si="23"/>
        <v>0</v>
      </c>
      <c r="AJ97" s="49" t="str">
        <f t="shared" si="24"/>
        <v/>
      </c>
      <c r="AK97" s="49">
        <f t="shared" si="25"/>
        <v>0</v>
      </c>
      <c r="AL97" s="49" t="str">
        <f t="shared" si="26"/>
        <v/>
      </c>
      <c r="AM97" s="49">
        <f t="shared" si="27"/>
        <v>0</v>
      </c>
      <c r="AN97" s="49" t="str">
        <f t="shared" si="28"/>
        <v/>
      </c>
      <c r="AO97" s="49">
        <f t="shared" si="29"/>
        <v>0</v>
      </c>
      <c r="AP97" s="49" t="str">
        <f t="shared" si="30"/>
        <v/>
      </c>
      <c r="AQ97" s="49">
        <f t="shared" si="31"/>
        <v>0</v>
      </c>
      <c r="AR97" s="49" t="str">
        <f t="shared" si="32"/>
        <v/>
      </c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</row>
    <row r="98" spans="1:64" s="3" customFormat="1" ht="30" customHeight="1" x14ac:dyDescent="0.35">
      <c r="A98"/>
      <c r="B98" s="36" t="s">
        <v>105</v>
      </c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144"/>
      <c r="Z98" s="145"/>
      <c r="AA98" s="145"/>
      <c r="AB98" s="146"/>
      <c r="AC98" s="52"/>
      <c r="AD98" s="52"/>
      <c r="AE98" s="48" t="str">
        <f t="shared" si="18"/>
        <v/>
      </c>
      <c r="AF98" s="48"/>
      <c r="AG98" s="48"/>
      <c r="AH98" s="67"/>
      <c r="AI98" s="49">
        <f t="shared" si="23"/>
        <v>0</v>
      </c>
      <c r="AJ98" s="49" t="str">
        <f t="shared" si="24"/>
        <v/>
      </c>
      <c r="AK98" s="49">
        <f t="shared" si="25"/>
        <v>0</v>
      </c>
      <c r="AL98" s="49" t="str">
        <f t="shared" si="26"/>
        <v/>
      </c>
      <c r="AM98" s="49">
        <f t="shared" si="27"/>
        <v>0</v>
      </c>
      <c r="AN98" s="49" t="str">
        <f t="shared" si="28"/>
        <v/>
      </c>
      <c r="AO98" s="49">
        <f t="shared" si="29"/>
        <v>0</v>
      </c>
      <c r="AP98" s="49" t="str">
        <f t="shared" si="30"/>
        <v/>
      </c>
      <c r="AQ98" s="49">
        <f t="shared" si="31"/>
        <v>0</v>
      </c>
      <c r="AR98" s="49" t="str">
        <f t="shared" si="32"/>
        <v/>
      </c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</row>
    <row r="99" spans="1:64" s="3" customFormat="1" ht="30" customHeight="1" x14ac:dyDescent="0.35">
      <c r="A99"/>
      <c r="B99" s="37" t="s">
        <v>43</v>
      </c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100"/>
      <c r="Z99" s="101"/>
      <c r="AA99" s="101"/>
      <c r="AB99" s="102"/>
      <c r="AC99" s="52"/>
      <c r="AD99" s="52"/>
      <c r="AE99" s="48" t="str">
        <f t="shared" ref="AE99:AE149" si="33">IF(Y99="ATRASADO",B99,"")</f>
        <v/>
      </c>
      <c r="AF99" s="48"/>
      <c r="AG99" s="48"/>
      <c r="AH99" s="67"/>
      <c r="AI99" s="49">
        <f t="shared" si="23"/>
        <v>0</v>
      </c>
      <c r="AJ99" s="49" t="str">
        <f t="shared" si="24"/>
        <v/>
      </c>
      <c r="AK99" s="49">
        <f t="shared" si="25"/>
        <v>0</v>
      </c>
      <c r="AL99" s="49" t="str">
        <f t="shared" si="26"/>
        <v/>
      </c>
      <c r="AM99" s="49">
        <f t="shared" si="27"/>
        <v>0</v>
      </c>
      <c r="AN99" s="49" t="str">
        <f t="shared" si="28"/>
        <v/>
      </c>
      <c r="AO99" s="49">
        <f t="shared" si="29"/>
        <v>0</v>
      </c>
      <c r="AP99" s="49" t="str">
        <f t="shared" si="30"/>
        <v/>
      </c>
      <c r="AQ99" s="49">
        <f t="shared" si="31"/>
        <v>0</v>
      </c>
      <c r="AR99" s="49" t="str">
        <f t="shared" si="32"/>
        <v/>
      </c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</row>
    <row r="100" spans="1:64" s="3" customFormat="1" ht="30" customHeight="1" x14ac:dyDescent="0.35">
      <c r="A100"/>
      <c r="B100" s="41" t="s">
        <v>106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118"/>
      <c r="Z100" s="119"/>
      <c r="AA100" s="119"/>
      <c r="AB100" s="120"/>
      <c r="AC100" s="52"/>
      <c r="AD100" s="52"/>
      <c r="AE100" s="48" t="str">
        <f t="shared" si="33"/>
        <v/>
      </c>
      <c r="AF100" s="48"/>
      <c r="AG100" s="48"/>
      <c r="AH100" s="67"/>
      <c r="AI100" s="49">
        <f t="shared" si="23"/>
        <v>0</v>
      </c>
      <c r="AJ100" s="49" t="str">
        <f t="shared" si="24"/>
        <v/>
      </c>
      <c r="AK100" s="49">
        <f t="shared" si="25"/>
        <v>0</v>
      </c>
      <c r="AL100" s="49" t="str">
        <f t="shared" si="26"/>
        <v/>
      </c>
      <c r="AM100" s="49">
        <f t="shared" si="27"/>
        <v>0</v>
      </c>
      <c r="AN100" s="49" t="str">
        <f t="shared" si="28"/>
        <v/>
      </c>
      <c r="AO100" s="49">
        <f t="shared" si="29"/>
        <v>0</v>
      </c>
      <c r="AP100" s="49" t="str">
        <f t="shared" si="30"/>
        <v/>
      </c>
      <c r="AQ100" s="49">
        <f t="shared" si="31"/>
        <v>0</v>
      </c>
      <c r="AR100" s="49" t="str">
        <f t="shared" si="32"/>
        <v/>
      </c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1:64" s="3" customFormat="1" ht="30" customHeight="1" x14ac:dyDescent="0.35">
      <c r="A101"/>
      <c r="B101" s="42" t="s">
        <v>107</v>
      </c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103"/>
      <c r="Z101" s="104"/>
      <c r="AA101" s="104"/>
      <c r="AB101" s="105"/>
      <c r="AC101" s="52"/>
      <c r="AD101" s="52"/>
      <c r="AE101" s="48" t="str">
        <f t="shared" si="33"/>
        <v/>
      </c>
      <c r="AF101" s="48"/>
      <c r="AG101" s="48"/>
      <c r="AH101" s="67"/>
      <c r="AI101" s="49">
        <f t="shared" si="23"/>
        <v>0</v>
      </c>
      <c r="AJ101" s="49" t="str">
        <f t="shared" si="24"/>
        <v/>
      </c>
      <c r="AK101" s="49">
        <f t="shared" si="25"/>
        <v>0</v>
      </c>
      <c r="AL101" s="49" t="str">
        <f t="shared" si="26"/>
        <v/>
      </c>
      <c r="AM101" s="49">
        <f t="shared" si="27"/>
        <v>0</v>
      </c>
      <c r="AN101" s="49" t="str">
        <f t="shared" si="28"/>
        <v/>
      </c>
      <c r="AO101" s="49">
        <f t="shared" si="29"/>
        <v>0</v>
      </c>
      <c r="AP101" s="49" t="str">
        <f t="shared" si="30"/>
        <v/>
      </c>
      <c r="AQ101" s="49">
        <f t="shared" si="31"/>
        <v>0</v>
      </c>
      <c r="AR101" s="49" t="str">
        <f t="shared" si="32"/>
        <v/>
      </c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1:64" s="3" customFormat="1" ht="30" customHeight="1" x14ac:dyDescent="0.35">
      <c r="A102" t="str">
        <f>CONCATENATE($B$97,"
",$B$98,"
",$B$100,"
",$B$101,""
)</f>
        <v>KOMATSU
001_0123_KMT - ADEQUAÇÃO DE INTEGRIDADE ESTRUTURAL PÓRTICOS
PÓRTICO 20/40 toneladas
METÁLICA</v>
      </c>
      <c r="B102" s="38" t="s">
        <v>108</v>
      </c>
      <c r="C102" s="178"/>
      <c r="D102" s="85" t="str">
        <f>IF(AND($B102=[1]adriano!$A99,[1]adriano!$B99=D$4),"ok","nok")</f>
        <v>nok</v>
      </c>
      <c r="E102" s="85" t="str">
        <f>IF(AND($B102=[1]adriano!$A99,[1]adriano!$B99=E$4),"ok","nok")</f>
        <v>nok</v>
      </c>
      <c r="F102" s="85" t="str">
        <f>IF(AND($B102=[1]adriano!$A99,[1]adriano!$B99=F$4),"ok","nok")</f>
        <v>nok</v>
      </c>
      <c r="G102" s="85" t="str">
        <f>IF(AND($B102=[1]adriano!$A99,[1]adriano!$B99=G$4),"ok","nok")</f>
        <v>nok</v>
      </c>
      <c r="H102" s="85" t="str">
        <f>IF(AND($B102=[1]adriano!$A99,[1]adriano!$B99=H$4),"ok","nok")</f>
        <v>nok</v>
      </c>
      <c r="I102" s="85" t="str">
        <f>IF(AND($B102=[1]adriano!$A99,[1]adriano!$B99=I$4),"ok","nok")</f>
        <v>nok</v>
      </c>
      <c r="J102" s="85" t="str">
        <f>IF(AND($B102=[1]adriano!$A99,[1]adriano!$B99=J$4),"ok","nok")</f>
        <v>nok</v>
      </c>
      <c r="K102" s="85" t="str">
        <f>IF(AND($B102=[1]adriano!$A99,[1]adriano!$B99=K$4),"ok","nok")</f>
        <v>nok</v>
      </c>
      <c r="L102" s="85" t="str">
        <f>IF(AND($B102=[1]adriano!$A99,[1]adriano!$B99=L$4),"ok","nok")</f>
        <v>nok</v>
      </c>
      <c r="M102" s="85" t="str">
        <f>IF(AND($B102=[1]adriano!$A99,[1]adriano!$B99=M$4),"ok","nok")</f>
        <v>nok</v>
      </c>
      <c r="N102" s="85" t="str">
        <f>IF(AND($B102=[1]adriano!$A99,[1]adriano!$B99=N$4),"ok","nok")</f>
        <v>nok</v>
      </c>
      <c r="O102" s="85" t="str">
        <f>IF(AND($B102=[1]adriano!$A99,[1]adriano!$B99=O$4),"ok","nok")</f>
        <v>nok</v>
      </c>
      <c r="P102" s="85" t="str">
        <f>IF(AND($B102=[1]adriano!$A99,[1]adriano!$B99=P$4),"ok","nok")</f>
        <v>nok</v>
      </c>
      <c r="Q102" s="85" t="str">
        <f>IF(AND($B102=[1]adriano!$A99,[1]adriano!$B99=Q$4),"ok","nok")</f>
        <v>nok</v>
      </c>
      <c r="R102" s="85" t="str">
        <f>IF(AND($B102=[1]adriano!$A99,[1]adriano!$B99=R$4),"ok","nok")</f>
        <v>nok</v>
      </c>
      <c r="S102" s="85" t="str">
        <f>IF(AND($B102=[1]adriano!$A99,[1]adriano!$B99=S$4),"ok","nok")</f>
        <v>nok</v>
      </c>
      <c r="T102" s="85" t="str">
        <f>IF(AND($B102=[1]adriano!$A99,[1]adriano!$B99=T$4),"ok","nok")</f>
        <v>ok</v>
      </c>
      <c r="U102" s="85" t="str">
        <f>IF(AND($B102=[1]adriano!$A99,[1]adriano!$B99=U$4),"ok","nok")</f>
        <v>nok</v>
      </c>
      <c r="V102" s="85" t="str">
        <f>IF(AND($B102=[1]adriano!$A99,[1]adriano!$B99=V$4),"ok","nok")</f>
        <v>nok</v>
      </c>
      <c r="W102" s="85" t="str">
        <f>IF(AND($B102=[1]adriano!$A99,[1]adriano!$B99=W$4),"ok","nok")</f>
        <v>nok</v>
      </c>
      <c r="X102" s="85" t="str">
        <f>IF(AND($B102=[1]adriano!$A99,[1]adriano!$B99=X$4),"ok","nok")</f>
        <v>nok</v>
      </c>
      <c r="Y102" s="97" t="s">
        <v>34</v>
      </c>
      <c r="Z102" s="98"/>
      <c r="AA102" s="98"/>
      <c r="AB102" s="99"/>
      <c r="AC102" s="52"/>
      <c r="AD102" s="52"/>
      <c r="AE102" s="48" t="str">
        <f t="shared" si="33"/>
        <v>Análise das Juntas Soldadas</v>
      </c>
      <c r="AF102" s="48"/>
      <c r="AG102" s="48"/>
      <c r="AH102" s="67"/>
      <c r="AI102" s="49">
        <f t="shared" si="23"/>
        <v>0</v>
      </c>
      <c r="AJ102" s="49" t="str">
        <f t="shared" si="24"/>
        <v/>
      </c>
      <c r="AK102" s="49">
        <f t="shared" si="25"/>
        <v>0</v>
      </c>
      <c r="AL102" s="49" t="str">
        <f t="shared" si="26"/>
        <v/>
      </c>
      <c r="AM102" s="49">
        <f t="shared" si="27"/>
        <v>0</v>
      </c>
      <c r="AN102" s="49" t="str">
        <f t="shared" si="28"/>
        <v/>
      </c>
      <c r="AO102" s="49">
        <f t="shared" si="29"/>
        <v>1</v>
      </c>
      <c r="AP102" s="49" t="str">
        <f t="shared" si="30"/>
        <v/>
      </c>
      <c r="AQ102" s="49">
        <f t="shared" si="31"/>
        <v>0</v>
      </c>
      <c r="AR102" s="49" t="str">
        <f t="shared" si="32"/>
        <v/>
      </c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1:64" s="3" customFormat="1" ht="30" customHeight="1" x14ac:dyDescent="0.35">
      <c r="A103"/>
      <c r="B103" s="41" t="s">
        <v>109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118"/>
      <c r="Z103" s="119"/>
      <c r="AA103" s="119"/>
      <c r="AB103" s="120"/>
      <c r="AC103" s="52"/>
      <c r="AD103" s="52"/>
      <c r="AE103" s="48" t="str">
        <f t="shared" si="33"/>
        <v/>
      </c>
      <c r="AF103" s="48"/>
      <c r="AG103" s="48"/>
      <c r="AH103" s="67"/>
      <c r="AI103" s="49">
        <f t="shared" si="23"/>
        <v>0</v>
      </c>
      <c r="AJ103" s="49" t="str">
        <f t="shared" si="24"/>
        <v/>
      </c>
      <c r="AK103" s="49">
        <f t="shared" si="25"/>
        <v>0</v>
      </c>
      <c r="AL103" s="49" t="str">
        <f t="shared" si="26"/>
        <v/>
      </c>
      <c r="AM103" s="49">
        <f t="shared" si="27"/>
        <v>0</v>
      </c>
      <c r="AN103" s="49" t="str">
        <f t="shared" si="28"/>
        <v/>
      </c>
      <c r="AO103" s="49">
        <f t="shared" si="29"/>
        <v>0</v>
      </c>
      <c r="AP103" s="49" t="str">
        <f t="shared" si="30"/>
        <v/>
      </c>
      <c r="AQ103" s="49">
        <f t="shared" si="31"/>
        <v>0</v>
      </c>
      <c r="AR103" s="49" t="str">
        <f t="shared" si="32"/>
        <v/>
      </c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1:64" s="3" customFormat="1" ht="30" customHeight="1" x14ac:dyDescent="0.35">
      <c r="A104"/>
      <c r="B104" s="42" t="s">
        <v>107</v>
      </c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103"/>
      <c r="Z104" s="104"/>
      <c r="AA104" s="104"/>
      <c r="AB104" s="105"/>
      <c r="AC104" s="52"/>
      <c r="AD104" s="52"/>
      <c r="AE104" s="48" t="str">
        <f t="shared" si="33"/>
        <v/>
      </c>
      <c r="AF104" s="48"/>
      <c r="AG104" s="48"/>
      <c r="AH104" s="67"/>
      <c r="AI104" s="49">
        <f t="shared" si="23"/>
        <v>0</v>
      </c>
      <c r="AJ104" s="49" t="str">
        <f t="shared" si="24"/>
        <v/>
      </c>
      <c r="AK104" s="49">
        <f t="shared" si="25"/>
        <v>0</v>
      </c>
      <c r="AL104" s="49" t="str">
        <f t="shared" si="26"/>
        <v/>
      </c>
      <c r="AM104" s="49">
        <f t="shared" si="27"/>
        <v>0</v>
      </c>
      <c r="AN104" s="49" t="str">
        <f t="shared" si="28"/>
        <v/>
      </c>
      <c r="AO104" s="49">
        <f t="shared" si="29"/>
        <v>0</v>
      </c>
      <c r="AP104" s="49" t="str">
        <f t="shared" si="30"/>
        <v/>
      </c>
      <c r="AQ104" s="49">
        <f t="shared" si="31"/>
        <v>0</v>
      </c>
      <c r="AR104" s="49" t="str">
        <f t="shared" si="32"/>
        <v/>
      </c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1:64" s="3" customFormat="1" ht="30" customHeight="1" x14ac:dyDescent="0.35">
      <c r="A105" t="str">
        <f>CONCATENATE($B$97,"
",$B$98,"
",$B$103,"
",$B$104,""
)</f>
        <v>KOMATSU
001_0123_KMT - ADEQUAÇÃO DE INTEGRIDADE ESTRUTURAL PÓRTICOS
PÓRTICO 15 toneladas
METÁLICA</v>
      </c>
      <c r="B105" s="38" t="s">
        <v>108</v>
      </c>
      <c r="C105" s="85" t="str">
        <f>IF(AND($B105=[1]adriano!$A102,[1]adriano!$B102=C$4),"ok","nok")</f>
        <v>nok</v>
      </c>
      <c r="D105" s="85" t="str">
        <f>IF(AND($B105=[1]adriano!$A102,[1]adriano!$B102=D$4),"ok","nok")</f>
        <v>nok</v>
      </c>
      <c r="E105" s="85" t="str">
        <f>IF(AND($B105=[1]adriano!$A102,[1]adriano!$B102=E$4),"ok","nok")</f>
        <v>nok</v>
      </c>
      <c r="F105" s="85" t="str">
        <f>IF(AND($B105=[1]adriano!$A102,[1]adriano!$B102=F$4),"ok","nok")</f>
        <v>nok</v>
      </c>
      <c r="G105" s="85" t="str">
        <f>IF(AND($B105=[1]adriano!$A102,[1]adriano!$B102=G$4),"ok","nok")</f>
        <v>nok</v>
      </c>
      <c r="H105" s="85" t="str">
        <f>IF(AND($B105=[1]adriano!$A102,[1]adriano!$B102=H$4),"ok","nok")</f>
        <v>nok</v>
      </c>
      <c r="I105" s="85" t="str">
        <f>IF(AND($B105=[1]adriano!$A102,[1]adriano!$B102=I$4),"ok","nok")</f>
        <v>nok</v>
      </c>
      <c r="J105" s="85" t="str">
        <f>IF(AND($B105=[1]adriano!$A102,[1]adriano!$B102=J$4),"ok","nok")</f>
        <v>nok</v>
      </c>
      <c r="K105" s="85" t="str">
        <f>IF(AND($B105=[1]adriano!$A102,[1]adriano!$B102=K$4),"ok","nok")</f>
        <v>nok</v>
      </c>
      <c r="L105" s="85" t="str">
        <f>IF(AND($B105=[1]adriano!$A102,[1]adriano!$B102=L$4),"ok","nok")</f>
        <v>nok</v>
      </c>
      <c r="M105" s="85" t="str">
        <f>IF(AND($B105=[1]adriano!$A102,[1]adriano!$B102=M$4),"ok","nok")</f>
        <v>nok</v>
      </c>
      <c r="N105" s="85" t="str">
        <f>IF(AND($B105=[1]adriano!$A102,[1]adriano!$B102=N$4),"ok","nok")</f>
        <v>nok</v>
      </c>
      <c r="O105" s="178"/>
      <c r="P105" s="85" t="str">
        <f>IF(AND($B105=[1]adriano!$A102,[1]adriano!$B102=P$4),"ok","nok")</f>
        <v>nok</v>
      </c>
      <c r="Q105" s="85" t="str">
        <f>IF(AND($B105=[1]adriano!$A102,[1]adriano!$B102=Q$4),"ok","nok")</f>
        <v>nok</v>
      </c>
      <c r="R105" s="85" t="str">
        <f>IF(AND($B105=[1]adriano!$A102,[1]adriano!$B102=R$4),"ok","nok")</f>
        <v>nok</v>
      </c>
      <c r="S105" s="85" t="str">
        <f>IF(AND($B105=[1]adriano!$A102,[1]adriano!$B102=S$4),"ok","nok")</f>
        <v>nok</v>
      </c>
      <c r="T105" s="85" t="str">
        <f>IF(AND($B105=[1]adriano!$A102,[1]adriano!$B102=T$4),"ok","nok")</f>
        <v>nok</v>
      </c>
      <c r="U105" s="85" t="str">
        <f>IF(AND($B105=[1]adriano!$A102,[1]adriano!$B102=U$4),"ok","nok")</f>
        <v>ok</v>
      </c>
      <c r="V105" s="85" t="str">
        <f>IF(AND($B105=[1]adriano!$A102,[1]adriano!$B102=V$4),"ok","nok")</f>
        <v>nok</v>
      </c>
      <c r="W105" s="85" t="str">
        <f>IF(AND($B105=[1]adriano!$A102,[1]adriano!$B102=W$4),"ok","nok")</f>
        <v>nok</v>
      </c>
      <c r="X105" s="85" t="str">
        <f>IF(AND($B105=[1]adriano!$A102,[1]adriano!$B102=X$4),"ok","nok")</f>
        <v>nok</v>
      </c>
      <c r="Y105" s="97" t="s">
        <v>35</v>
      </c>
      <c r="Z105" s="98"/>
      <c r="AA105" s="98"/>
      <c r="AB105" s="99"/>
      <c r="AC105" s="52"/>
      <c r="AD105" s="52"/>
      <c r="AE105" s="48" t="str">
        <f t="shared" si="33"/>
        <v/>
      </c>
      <c r="AF105" s="48"/>
      <c r="AG105" s="48"/>
      <c r="AH105" s="67"/>
      <c r="AI105" s="49">
        <f t="shared" si="23"/>
        <v>0</v>
      </c>
      <c r="AJ105" s="49" t="str">
        <f t="shared" si="24"/>
        <v/>
      </c>
      <c r="AK105" s="49">
        <f t="shared" si="25"/>
        <v>0</v>
      </c>
      <c r="AL105" s="49" t="str">
        <f t="shared" si="26"/>
        <v/>
      </c>
      <c r="AM105" s="49">
        <f t="shared" si="27"/>
        <v>0</v>
      </c>
      <c r="AN105" s="49" t="str">
        <f t="shared" si="28"/>
        <v/>
      </c>
      <c r="AO105" s="49">
        <f t="shared" si="29"/>
        <v>1</v>
      </c>
      <c r="AP105" s="49" t="str">
        <f t="shared" si="30"/>
        <v/>
      </c>
      <c r="AQ105" s="49">
        <f t="shared" si="31"/>
        <v>0</v>
      </c>
      <c r="AR105" s="49" t="str">
        <f t="shared" si="32"/>
        <v/>
      </c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1:64" s="3" customFormat="1" ht="30" customHeight="1" x14ac:dyDescent="0.35">
      <c r="A106" t="str">
        <f t="shared" ref="A106:A111" si="34">CONCATENATE($B$97,"
",$B$98,"
",$B$103,"
",$B$104,""
)</f>
        <v>KOMATSU
001_0123_KMT - ADEQUAÇÃO DE INTEGRIDADE ESTRUTURAL PÓRTICOS
PÓRTICO 15 toneladas
METÁLICA</v>
      </c>
      <c r="B106" s="38" t="s">
        <v>110</v>
      </c>
      <c r="C106" s="85" t="str">
        <f>IF(AND($B106=[1]adriano!$A103,[1]adriano!$B103=C$4),"ok","nok")</f>
        <v>nok</v>
      </c>
      <c r="D106" s="85" t="str">
        <f>IF(AND($B106=[1]adriano!$A103,[1]adriano!$B103=D$4),"ok","nok")</f>
        <v>nok</v>
      </c>
      <c r="E106" s="85" t="str">
        <f>IF(AND($B106=[1]adriano!$A103,[1]adriano!$B103=E$4),"ok","nok")</f>
        <v>nok</v>
      </c>
      <c r="F106" s="85" t="str">
        <f>IF(AND($B106=[1]adriano!$A103,[1]adriano!$B103=F$4),"ok","nok")</f>
        <v>nok</v>
      </c>
      <c r="G106" s="85" t="str">
        <f>IF(AND($B106=[1]adriano!$A103,[1]adriano!$B103=G$4),"ok","nok")</f>
        <v>nok</v>
      </c>
      <c r="H106" s="85" t="str">
        <f>IF(AND($B106=[1]adriano!$A103,[1]adriano!$B103=H$4),"ok","nok")</f>
        <v>nok</v>
      </c>
      <c r="I106" s="85" t="str">
        <f>IF(AND($B106=[1]adriano!$A103,[1]adriano!$B103=I$4),"ok","nok")</f>
        <v>nok</v>
      </c>
      <c r="J106" s="85" t="str">
        <f>IF(AND($B106=[1]adriano!$A103,[1]adriano!$B103=J$4),"ok","nok")</f>
        <v>nok</v>
      </c>
      <c r="K106" s="85" t="str">
        <f>IF(AND($B106=[1]adriano!$A103,[1]adriano!$B103=K$4),"ok","nok")</f>
        <v>nok</v>
      </c>
      <c r="L106" s="85" t="str">
        <f>IF(AND($B106=[1]adriano!$A103,[1]adriano!$B103=L$4),"ok","nok")</f>
        <v>nok</v>
      </c>
      <c r="M106" s="85" t="str">
        <f>IF(AND($B106=[1]adriano!$A103,[1]adriano!$B103=M$4),"ok","nok")</f>
        <v>nok</v>
      </c>
      <c r="N106" s="85" t="str">
        <f>IF(AND($B106=[1]adriano!$A103,[1]adriano!$B103=N$4),"ok","nok")</f>
        <v>nok</v>
      </c>
      <c r="O106" s="178"/>
      <c r="P106" s="85" t="str">
        <f>IF(AND($B106=[1]adriano!$A103,[1]adriano!$B103=P$4),"ok","nok")</f>
        <v>nok</v>
      </c>
      <c r="Q106" s="85" t="str">
        <f>IF(AND($B106=[1]adriano!$A103,[1]adriano!$B103=Q$4),"ok","nok")</f>
        <v>nok</v>
      </c>
      <c r="R106" s="85" t="str">
        <f>IF(AND($B106=[1]adriano!$A103,[1]adriano!$B103=R$4),"ok","nok")</f>
        <v>nok</v>
      </c>
      <c r="S106" s="85" t="str">
        <f>IF(AND($B106=[1]adriano!$A103,[1]adriano!$B103=S$4),"ok","nok")</f>
        <v>nok</v>
      </c>
      <c r="T106" s="85" t="str">
        <f>IF(AND($B106=[1]adriano!$A103,[1]adriano!$B103=T$4),"ok","nok")</f>
        <v>nok</v>
      </c>
      <c r="U106" s="85" t="str">
        <f>IF(AND($B106=[1]adriano!$A103,[1]adriano!$B103=U$4),"ok","nok")</f>
        <v>ok</v>
      </c>
      <c r="V106" s="85" t="str">
        <f>IF(AND($B106=[1]adriano!$A103,[1]adriano!$B103=V$4),"ok","nok")</f>
        <v>nok</v>
      </c>
      <c r="W106" s="85" t="str">
        <f>IF(AND($B106=[1]adriano!$A103,[1]adriano!$B103=W$4),"ok","nok")</f>
        <v>nok</v>
      </c>
      <c r="X106" s="85" t="str">
        <f>IF(AND($B106=[1]adriano!$A103,[1]adriano!$B103=X$4),"ok","nok")</f>
        <v>nok</v>
      </c>
      <c r="Y106" s="97" t="s">
        <v>35</v>
      </c>
      <c r="Z106" s="98"/>
      <c r="AA106" s="98"/>
      <c r="AB106" s="99"/>
      <c r="AC106" s="52"/>
      <c r="AD106" s="52"/>
      <c r="AE106" s="48" t="str">
        <f t="shared" si="33"/>
        <v/>
      </c>
      <c r="AF106" s="48"/>
      <c r="AG106" s="48"/>
      <c r="AH106" s="67"/>
      <c r="AI106" s="49">
        <f t="shared" si="23"/>
        <v>0</v>
      </c>
      <c r="AJ106" s="49" t="str">
        <f t="shared" si="24"/>
        <v/>
      </c>
      <c r="AK106" s="49">
        <f t="shared" si="25"/>
        <v>0</v>
      </c>
      <c r="AL106" s="49" t="str">
        <f t="shared" si="26"/>
        <v/>
      </c>
      <c r="AM106" s="49">
        <f t="shared" si="27"/>
        <v>0</v>
      </c>
      <c r="AN106" s="49" t="str">
        <f t="shared" si="28"/>
        <v/>
      </c>
      <c r="AO106" s="49">
        <f t="shared" si="29"/>
        <v>1</v>
      </c>
      <c r="AP106" s="49" t="str">
        <f t="shared" si="30"/>
        <v/>
      </c>
      <c r="AQ106" s="49">
        <f t="shared" si="31"/>
        <v>0</v>
      </c>
      <c r="AR106" s="49" t="str">
        <f t="shared" si="32"/>
        <v/>
      </c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1:64" s="3" customFormat="1" ht="30" customHeight="1" x14ac:dyDescent="0.35">
      <c r="A107" t="str">
        <f t="shared" si="34"/>
        <v>KOMATSU
001_0123_KMT - ADEQUAÇÃO DE INTEGRIDADE ESTRUTURAL PÓRTICOS
PÓRTICO 15 toneladas
METÁLICA</v>
      </c>
      <c r="B107" s="39" t="s">
        <v>44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115"/>
      <c r="Z107" s="116"/>
      <c r="AA107" s="116"/>
      <c r="AB107" s="117"/>
      <c r="AC107" s="52"/>
      <c r="AD107" s="52"/>
      <c r="AE107" s="48" t="str">
        <f t="shared" si="33"/>
        <v/>
      </c>
      <c r="AF107" s="48"/>
      <c r="AG107" s="48"/>
      <c r="AH107" s="67"/>
      <c r="AI107" s="49">
        <f t="shared" si="23"/>
        <v>0</v>
      </c>
      <c r="AJ107" s="49" t="str">
        <f t="shared" si="24"/>
        <v/>
      </c>
      <c r="AK107" s="49">
        <f t="shared" si="25"/>
        <v>0</v>
      </c>
      <c r="AL107" s="49" t="str">
        <f t="shared" si="26"/>
        <v/>
      </c>
      <c r="AM107" s="49">
        <f t="shared" si="27"/>
        <v>0</v>
      </c>
      <c r="AN107" s="49" t="str">
        <f t="shared" si="28"/>
        <v/>
      </c>
      <c r="AO107" s="49">
        <f t="shared" si="29"/>
        <v>0</v>
      </c>
      <c r="AP107" s="49" t="str">
        <f t="shared" si="30"/>
        <v/>
      </c>
      <c r="AQ107" s="49">
        <f t="shared" si="31"/>
        <v>0</v>
      </c>
      <c r="AR107" s="49" t="str">
        <f t="shared" si="32"/>
        <v/>
      </c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1:64" s="3" customFormat="1" ht="30" customHeight="1" x14ac:dyDescent="0.35">
      <c r="A108" t="str">
        <f t="shared" si="34"/>
        <v>KOMATSU
001_0123_KMT - ADEQUAÇÃO DE INTEGRIDADE ESTRUTURAL PÓRTICOS
PÓRTICO 15 toneladas
METÁLICA</v>
      </c>
      <c r="B108" s="38" t="s">
        <v>20</v>
      </c>
      <c r="C108" s="85" t="str">
        <f>IF(AND($B108=[1]adriano!$A105,[1]adriano!$B105=C$4),"ok","nok")</f>
        <v>nok</v>
      </c>
      <c r="D108" s="85" t="str">
        <f>IF(AND($B108=[1]adriano!$A105,[1]adriano!$B105=D$4),"ok","nok")</f>
        <v>nok</v>
      </c>
      <c r="E108" s="85" t="str">
        <f>IF(AND($B108=[1]adriano!$A105,[1]adriano!$B105=E$4),"ok","nok")</f>
        <v>nok</v>
      </c>
      <c r="F108" s="85" t="str">
        <f>IF(AND($B108=[1]adriano!$A105,[1]adriano!$B105=F$4),"ok","nok")</f>
        <v>nok</v>
      </c>
      <c r="G108" s="85" t="str">
        <f>IF(AND($B108=[1]adriano!$A105,[1]adriano!$B105=G$4),"ok","nok")</f>
        <v>nok</v>
      </c>
      <c r="H108" s="85" t="str">
        <f>IF(AND($B108=[1]adriano!$A105,[1]adriano!$B105=H$4),"ok","nok")</f>
        <v>nok</v>
      </c>
      <c r="I108" s="85" t="str">
        <f>IF(AND($B108=[1]adriano!$A105,[1]adriano!$B105=I$4),"ok","nok")</f>
        <v>nok</v>
      </c>
      <c r="J108" s="85" t="str">
        <f>IF(AND($B108=[1]adriano!$A105,[1]adriano!$B105=J$4),"ok","nok")</f>
        <v>nok</v>
      </c>
      <c r="K108" s="85" t="str">
        <f>IF(AND($B108=[1]adriano!$A105,[1]adriano!$B105=K$4),"ok","nok")</f>
        <v>nok</v>
      </c>
      <c r="L108" s="85" t="str">
        <f>IF(AND($B108=[1]adriano!$A105,[1]adriano!$B105=L$4),"ok","nok")</f>
        <v>nok</v>
      </c>
      <c r="M108" s="85" t="str">
        <f>IF(AND($B108=[1]adriano!$A105,[1]adriano!$B105=M$4),"ok","nok")</f>
        <v>nok</v>
      </c>
      <c r="N108" s="85" t="str">
        <f>IF(AND($B108=[1]adriano!$A105,[1]adriano!$B105=N$4),"ok","nok")</f>
        <v>nok</v>
      </c>
      <c r="O108" s="85" t="str">
        <f>IF(AND($B108=[1]adriano!$A105,[1]adriano!$B105=O$4),"ok","nok")</f>
        <v>nok</v>
      </c>
      <c r="P108" s="178"/>
      <c r="Q108" s="85" t="str">
        <f>IF(AND($B108=[1]adriano!$A105,[1]adriano!$B105=Q$4),"ok","nok")</f>
        <v>nok</v>
      </c>
      <c r="R108" s="85" t="str">
        <f>IF(AND($B108=[1]adriano!$A105,[1]adriano!$B105=R$4),"ok","nok")</f>
        <v>nok</v>
      </c>
      <c r="S108" s="85" t="str">
        <f>IF(AND($B108=[1]adriano!$A105,[1]adriano!$B105=S$4),"ok","nok")</f>
        <v>nok</v>
      </c>
      <c r="T108" s="85" t="str">
        <f>IF(AND($B108=[1]adriano!$A105,[1]adriano!$B105=T$4),"ok","nok")</f>
        <v>nok</v>
      </c>
      <c r="U108" s="85" t="str">
        <f>IF(AND($B108=[1]adriano!$A105,[1]adriano!$B105=U$4),"ok","nok")</f>
        <v>nok</v>
      </c>
      <c r="V108" s="85" t="str">
        <f>IF(AND($B108=[1]adriano!$A105,[1]adriano!$B105=V$4),"ok","nok")</f>
        <v>ok</v>
      </c>
      <c r="W108" s="85" t="str">
        <f>IF(AND($B108=[1]adriano!$A105,[1]adriano!$B105=W$4),"ok","nok")</f>
        <v>nok</v>
      </c>
      <c r="X108" s="85" t="str">
        <f>IF(AND($B108=[1]adriano!$A105,[1]adriano!$B105=X$4),"ok","nok")</f>
        <v>nok</v>
      </c>
      <c r="Y108" s="97" t="s">
        <v>35</v>
      </c>
      <c r="Z108" s="98"/>
      <c r="AA108" s="98"/>
      <c r="AB108" s="99"/>
      <c r="AC108" s="52"/>
      <c r="AD108" s="52"/>
      <c r="AE108" s="48" t="str">
        <f t="shared" si="33"/>
        <v/>
      </c>
      <c r="AF108" s="48"/>
      <c r="AG108" s="48"/>
      <c r="AH108" s="67"/>
      <c r="AI108" s="49">
        <f t="shared" si="23"/>
        <v>0</v>
      </c>
      <c r="AJ108" s="49" t="str">
        <f t="shared" si="24"/>
        <v/>
      </c>
      <c r="AK108" s="49">
        <f t="shared" si="25"/>
        <v>0</v>
      </c>
      <c r="AL108" s="49" t="str">
        <f t="shared" si="26"/>
        <v/>
      </c>
      <c r="AM108" s="49">
        <f t="shared" si="27"/>
        <v>0</v>
      </c>
      <c r="AN108" s="49" t="str">
        <f t="shared" si="28"/>
        <v/>
      </c>
      <c r="AO108" s="49">
        <f t="shared" si="29"/>
        <v>1</v>
      </c>
      <c r="AP108" s="49" t="str">
        <f t="shared" si="30"/>
        <v/>
      </c>
      <c r="AQ108" s="49">
        <f t="shared" si="31"/>
        <v>0</v>
      </c>
      <c r="AR108" s="49" t="str">
        <f t="shared" si="32"/>
        <v/>
      </c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1:64" s="3" customFormat="1" ht="30" customHeight="1" x14ac:dyDescent="0.35">
      <c r="A109" t="str">
        <f t="shared" si="34"/>
        <v>KOMATSU
001_0123_KMT - ADEQUAÇÃO DE INTEGRIDADE ESTRUTURAL PÓRTICOS
PÓRTICO 15 toneladas
METÁLICA</v>
      </c>
      <c r="B109" s="38" t="s">
        <v>19</v>
      </c>
      <c r="C109" s="85" t="str">
        <f>IF(AND($B109=[1]adriano!$A106,[1]adriano!$B106=C$4),"ok","nok")</f>
        <v>nok</v>
      </c>
      <c r="D109" s="85" t="str">
        <f>IF(AND($B109=[1]adriano!$A106,[1]adriano!$B106=D$4),"ok","nok")</f>
        <v>nok</v>
      </c>
      <c r="E109" s="85" t="str">
        <f>IF(AND($B109=[1]adriano!$A106,[1]adriano!$B106=E$4),"ok","nok")</f>
        <v>nok</v>
      </c>
      <c r="F109" s="85" t="str">
        <f>IF(AND($B109=[1]adriano!$A106,[1]adriano!$B106=F$4),"ok","nok")</f>
        <v>nok</v>
      </c>
      <c r="G109" s="85" t="str">
        <f>IF(AND($B109=[1]adriano!$A106,[1]adriano!$B106=G$4),"ok","nok")</f>
        <v>nok</v>
      </c>
      <c r="H109" s="85" t="str">
        <f>IF(AND($B109=[1]adriano!$A106,[1]adriano!$B106=H$4),"ok","nok")</f>
        <v>nok</v>
      </c>
      <c r="I109" s="85" t="str">
        <f>IF(AND($B109=[1]adriano!$A106,[1]adriano!$B106=I$4),"ok","nok")</f>
        <v>nok</v>
      </c>
      <c r="J109" s="85" t="str">
        <f>IF(AND($B109=[1]adriano!$A106,[1]adriano!$B106=J$4),"ok","nok")</f>
        <v>nok</v>
      </c>
      <c r="K109" s="85" t="str">
        <f>IF(AND($B109=[1]adriano!$A106,[1]adriano!$B106=K$4),"ok","nok")</f>
        <v>nok</v>
      </c>
      <c r="L109" s="85" t="str">
        <f>IF(AND($B109=[1]adriano!$A106,[1]adriano!$B106=L$4),"ok","nok")</f>
        <v>nok</v>
      </c>
      <c r="M109" s="85" t="str">
        <f>IF(AND($B109=[1]adriano!$A106,[1]adriano!$B106=M$4),"ok","nok")</f>
        <v>nok</v>
      </c>
      <c r="N109" s="85" t="str">
        <f>IF(AND($B109=[1]adriano!$A106,[1]adriano!$B106=N$4),"ok","nok")</f>
        <v>nok</v>
      </c>
      <c r="O109" s="85" t="str">
        <f>IF(AND($B109=[1]adriano!$A106,[1]adriano!$B106=O$4),"ok","nok")</f>
        <v>nok</v>
      </c>
      <c r="P109" s="85" t="str">
        <f>IF(AND($B109=[1]adriano!$A106,[1]adriano!$B106=P$4),"ok","nok")</f>
        <v>nok</v>
      </c>
      <c r="Q109" s="85" t="str">
        <f>IF(AND($B109=[1]adriano!$A106,[1]adriano!$B106=Q$4),"ok","nok")</f>
        <v>nok</v>
      </c>
      <c r="R109" s="85" t="str">
        <f>IF(AND($B109=[1]adriano!$A106,[1]adriano!$B106=R$4),"ok","nok")</f>
        <v>nok</v>
      </c>
      <c r="S109" s="178"/>
      <c r="T109" s="85" t="str">
        <f>IF(AND($B109=[1]adriano!$A106,[1]adriano!$B106=T$4),"ok","nok")</f>
        <v>nok</v>
      </c>
      <c r="U109" s="85" t="str">
        <f>IF(AND($B109=[1]adriano!$A106,[1]adriano!$B106=U$4),"ok","nok")</f>
        <v>nok</v>
      </c>
      <c r="V109" s="85" t="str">
        <f>IF(AND($B109=[1]adriano!$A106,[1]adriano!$B106=V$4),"ok","nok")</f>
        <v>nok</v>
      </c>
      <c r="W109" s="85" t="str">
        <f>IF(AND($B109=[1]adriano!$A106,[1]adriano!$B106=W$4),"ok","nok")</f>
        <v>ok</v>
      </c>
      <c r="X109" s="85" t="str">
        <f>IF(AND($B109=[1]adriano!$A106,[1]adriano!$B106=X$4),"ok","nok")</f>
        <v>nok</v>
      </c>
      <c r="Y109" s="97" t="s">
        <v>35</v>
      </c>
      <c r="Z109" s="98"/>
      <c r="AA109" s="98"/>
      <c r="AB109" s="99"/>
      <c r="AC109" s="52"/>
      <c r="AD109" s="52"/>
      <c r="AE109" s="48" t="str">
        <f t="shared" si="33"/>
        <v/>
      </c>
      <c r="AF109" s="48"/>
      <c r="AG109" s="48"/>
      <c r="AH109" s="67"/>
      <c r="AI109" s="49">
        <f t="shared" si="23"/>
        <v>0</v>
      </c>
      <c r="AJ109" s="49" t="str">
        <f t="shared" si="24"/>
        <v/>
      </c>
      <c r="AK109" s="49">
        <f t="shared" si="25"/>
        <v>0</v>
      </c>
      <c r="AL109" s="49" t="str">
        <f t="shared" si="26"/>
        <v/>
      </c>
      <c r="AM109" s="49">
        <f t="shared" si="27"/>
        <v>0</v>
      </c>
      <c r="AN109" s="49" t="str">
        <f t="shared" si="28"/>
        <v/>
      </c>
      <c r="AO109" s="49">
        <f t="shared" si="29"/>
        <v>0</v>
      </c>
      <c r="AP109" s="49" t="str">
        <f t="shared" si="30"/>
        <v/>
      </c>
      <c r="AQ109" s="49">
        <f t="shared" si="31"/>
        <v>1</v>
      </c>
      <c r="AR109" s="49" t="str">
        <f t="shared" si="32"/>
        <v/>
      </c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1:64" s="3" customFormat="1" ht="30" customHeight="1" x14ac:dyDescent="0.35">
      <c r="A110" t="str">
        <f t="shared" si="34"/>
        <v>KOMATSU
001_0123_KMT - ADEQUAÇÃO DE INTEGRIDADE ESTRUTURAL PÓRTICOS
PÓRTICO 15 toneladas
METÁLICA</v>
      </c>
      <c r="B110" s="38" t="s">
        <v>45</v>
      </c>
      <c r="C110" s="85" t="str">
        <f>IF(AND($B110=[1]adriano!$A107,[1]adriano!$B107=C$4),"ok","nok")</f>
        <v>nok</v>
      </c>
      <c r="D110" s="85" t="str">
        <f>IF(AND($B110=[1]adriano!$A107,[1]adriano!$B107=D$4),"ok","nok")</f>
        <v>nok</v>
      </c>
      <c r="E110" s="85" t="str">
        <f>IF(AND($B110=[1]adriano!$A107,[1]adriano!$B107=E$4),"ok","nok")</f>
        <v>nok</v>
      </c>
      <c r="F110" s="85" t="str">
        <f>IF(AND($B110=[1]adriano!$A107,[1]adriano!$B107=F$4),"ok","nok")</f>
        <v>nok</v>
      </c>
      <c r="G110" s="85" t="str">
        <f>IF(AND($B110=[1]adriano!$A107,[1]adriano!$B107=G$4),"ok","nok")</f>
        <v>nok</v>
      </c>
      <c r="H110" s="85" t="str">
        <f>IF(AND($B110=[1]adriano!$A107,[1]adriano!$B107=H$4),"ok","nok")</f>
        <v>nok</v>
      </c>
      <c r="I110" s="85" t="str">
        <f>IF(AND($B110=[1]adriano!$A107,[1]adriano!$B107=I$4),"ok","nok")</f>
        <v>nok</v>
      </c>
      <c r="J110" s="85" t="str">
        <f>IF(AND($B110=[1]adriano!$A107,[1]adriano!$B107=J$4),"ok","nok")</f>
        <v>nok</v>
      </c>
      <c r="K110" s="85" t="str">
        <f>IF(AND($B110=[1]adriano!$A107,[1]adriano!$B107=K$4),"ok","nok")</f>
        <v>nok</v>
      </c>
      <c r="L110" s="85" t="str">
        <f>IF(AND($B110=[1]adriano!$A107,[1]adriano!$B107=L$4),"ok","nok")</f>
        <v>nok</v>
      </c>
      <c r="M110" s="85" t="str">
        <f>IF(AND($B110=[1]adriano!$A107,[1]adriano!$B107=M$4),"ok","nok")</f>
        <v>nok</v>
      </c>
      <c r="N110" s="85" t="str">
        <f>IF(AND($B110=[1]adriano!$A107,[1]adriano!$B107=N$4),"ok","nok")</f>
        <v>nok</v>
      </c>
      <c r="O110" s="85" t="str">
        <f>IF(AND($B110=[1]adriano!$A107,[1]adriano!$B107=O$4),"ok","nok")</f>
        <v>nok</v>
      </c>
      <c r="P110" s="85" t="str">
        <f>IF(AND($B110=[1]adriano!$A107,[1]adriano!$B107=P$4),"ok","nok")</f>
        <v>nok</v>
      </c>
      <c r="Q110" s="85" t="str">
        <f>IF(AND($B110=[1]adriano!$A107,[1]adriano!$B107=Q$4),"ok","nok")</f>
        <v>nok</v>
      </c>
      <c r="R110" s="85" t="str">
        <f>IF(AND($B110=[1]adriano!$A107,[1]adriano!$B107=R$4),"ok","nok")</f>
        <v>nok</v>
      </c>
      <c r="S110" s="85" t="str">
        <f>IF(AND($B110=[1]adriano!$A107,[1]adriano!$B107=S$4),"ok","nok")</f>
        <v>nok</v>
      </c>
      <c r="T110" s="85" t="str">
        <f>IF(AND($B110=[1]adriano!$A107,[1]adriano!$B107=T$4),"ok","nok")</f>
        <v>nok</v>
      </c>
      <c r="U110" s="85" t="str">
        <f>IF(AND($B110=[1]adriano!$A107,[1]adriano!$B107=U$4),"ok","nok")</f>
        <v>nok</v>
      </c>
      <c r="V110" s="85" t="str">
        <f>IF(AND($B110=[1]adriano!$A107,[1]adriano!$B107=V$4),"ok","nok")</f>
        <v>nok</v>
      </c>
      <c r="W110" s="85" t="str">
        <f>IF(AND($B110=[1]adriano!$A107,[1]adriano!$B107=W$4),"ok","nok")</f>
        <v>nok</v>
      </c>
      <c r="X110" s="85" t="str">
        <f>IF(AND($B110=[1]adriano!$A107,[1]adriano!$B107=X$4),"ok","nok")</f>
        <v>ok</v>
      </c>
      <c r="Y110" s="97" t="s">
        <v>35</v>
      </c>
      <c r="Z110" s="98"/>
      <c r="AA110" s="98"/>
      <c r="AB110" s="99"/>
      <c r="AC110" s="52"/>
      <c r="AD110" s="52"/>
      <c r="AE110" s="48" t="str">
        <f t="shared" si="33"/>
        <v/>
      </c>
      <c r="AF110" s="48"/>
      <c r="AG110" s="48"/>
      <c r="AH110" s="67"/>
      <c r="AI110" s="49">
        <f t="shared" si="23"/>
        <v>0</v>
      </c>
      <c r="AJ110" s="49" t="str">
        <f t="shared" si="24"/>
        <v/>
      </c>
      <c r="AK110" s="49">
        <f t="shared" si="25"/>
        <v>0</v>
      </c>
      <c r="AL110" s="49" t="str">
        <f t="shared" si="26"/>
        <v/>
      </c>
      <c r="AM110" s="49">
        <f t="shared" si="27"/>
        <v>0</v>
      </c>
      <c r="AN110" s="49" t="str">
        <f t="shared" si="28"/>
        <v/>
      </c>
      <c r="AO110" s="49">
        <f t="shared" si="29"/>
        <v>0</v>
      </c>
      <c r="AP110" s="49" t="str">
        <f t="shared" si="30"/>
        <v/>
      </c>
      <c r="AQ110" s="49">
        <f t="shared" si="31"/>
        <v>1</v>
      </c>
      <c r="AR110" s="49" t="str">
        <f t="shared" si="32"/>
        <v/>
      </c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1:64" s="19" customFormat="1" ht="30" customHeight="1" x14ac:dyDescent="0.35">
      <c r="A111" t="str">
        <f t="shared" si="34"/>
        <v>KOMATSU
001_0123_KMT - ADEQUAÇÃO DE INTEGRIDADE ESTRUTURAL PÓRTICOS
PÓRTICO 15 toneladas
METÁLICA</v>
      </c>
      <c r="B111" s="38" t="s">
        <v>46</v>
      </c>
      <c r="C111" s="85" t="str">
        <f>IF(AND($B111=[1]adriano!$A108,[1]adriano!$B108=C$4),"ok","nok")</f>
        <v>nok</v>
      </c>
      <c r="D111" s="85" t="str">
        <f>IF(AND($B111=[1]adriano!$A108,[1]adriano!$B108=D$4),"ok","nok")</f>
        <v>nok</v>
      </c>
      <c r="E111" s="85" t="str">
        <f>IF(AND($B111=[1]adriano!$A108,[1]adriano!$B108=E$4),"ok","nok")</f>
        <v>nok</v>
      </c>
      <c r="F111" s="85" t="str">
        <f>IF(AND($B111=[1]adriano!$A108,[1]adriano!$B108=F$4),"ok","nok")</f>
        <v>nok</v>
      </c>
      <c r="G111" s="85" t="str">
        <f>IF(AND($B111=[1]adriano!$A108,[1]adriano!$B108=G$4),"ok","nok")</f>
        <v>nok</v>
      </c>
      <c r="H111" s="85" t="str">
        <f>IF(AND($B111=[1]adriano!$A108,[1]adriano!$B108=H$4),"ok","nok")</f>
        <v>nok</v>
      </c>
      <c r="I111" s="85" t="str">
        <f>IF(AND($B111=[1]adriano!$A108,[1]adriano!$B108=I$4),"ok","nok")</f>
        <v>nok</v>
      </c>
      <c r="J111" s="85" t="str">
        <f>IF(AND($B111=[1]adriano!$A108,[1]adriano!$B108=J$4),"ok","nok")</f>
        <v>nok</v>
      </c>
      <c r="K111" s="85" t="str">
        <f>IF(AND($B111=[1]adriano!$A108,[1]adriano!$B108=K$4),"ok","nok")</f>
        <v>nok</v>
      </c>
      <c r="L111" s="85" t="str">
        <f>IF(AND($B111=[1]adriano!$A108,[1]adriano!$B108=L$4),"ok","nok")</f>
        <v>nok</v>
      </c>
      <c r="M111" s="85" t="str">
        <f>IF(AND($B111=[1]adriano!$A108,[1]adriano!$B108=M$4),"ok","nok")</f>
        <v>nok</v>
      </c>
      <c r="N111" s="85" t="str">
        <f>IF(AND($B111=[1]adriano!$A108,[1]adriano!$B108=N$4),"ok","nok")</f>
        <v>nok</v>
      </c>
      <c r="O111" s="85" t="str">
        <f>IF(AND($B111=[1]adriano!$A108,[1]adriano!$B108=O$4),"ok","nok")</f>
        <v>nok</v>
      </c>
      <c r="P111" s="85" t="str">
        <f>IF(AND($B111=[1]adriano!$A108,[1]adriano!$B108=P$4),"ok","nok")</f>
        <v>nok</v>
      </c>
      <c r="Q111" s="85" t="str">
        <f>IF(AND($B111=[1]adriano!$A108,[1]adriano!$B108=Q$4),"ok","nok")</f>
        <v>nok</v>
      </c>
      <c r="R111" s="85" t="str">
        <f>IF(AND($B111=[1]adriano!$A108,[1]adriano!$B108=R$4),"ok","nok")</f>
        <v>nok</v>
      </c>
      <c r="S111" s="85" t="str">
        <f>IF(AND($B111=[1]adriano!$A108,[1]adriano!$B108=S$4),"ok","nok")</f>
        <v>nok</v>
      </c>
      <c r="T111" s="85" t="str">
        <f>IF(AND($B111=[1]adriano!$A108,[1]adriano!$B108=T$4),"ok","nok")</f>
        <v>nok</v>
      </c>
      <c r="U111" s="85" t="str">
        <f>IF(AND($B111=[1]adriano!$A108,[1]adriano!$B108=U$4),"ok","nok")</f>
        <v>nok</v>
      </c>
      <c r="V111" s="85" t="str">
        <f>IF(AND($B111=[1]adriano!$A108,[1]adriano!$B108=V$4),"ok","nok")</f>
        <v>nok</v>
      </c>
      <c r="W111" s="85" t="str">
        <f>IF(AND($B111=[1]adriano!$A108,[1]adriano!$B108=W$4),"ok","nok")</f>
        <v>nok</v>
      </c>
      <c r="X111" s="85" t="str">
        <f>IF(AND($B111=[1]adriano!$A108,[1]adriano!$B108=X$4),"ok","nok")</f>
        <v>ok</v>
      </c>
      <c r="Y111" s="97" t="s">
        <v>35</v>
      </c>
      <c r="Z111" s="98"/>
      <c r="AA111" s="98"/>
      <c r="AB111" s="99"/>
      <c r="AC111" s="25"/>
      <c r="AD111" s="25"/>
      <c r="AE111" s="48" t="str">
        <f t="shared" si="33"/>
        <v/>
      </c>
      <c r="AF111" s="48"/>
      <c r="AG111" s="48"/>
      <c r="AH111" s="67"/>
      <c r="AI111" s="49">
        <f t="shared" si="23"/>
        <v>0</v>
      </c>
      <c r="AJ111" s="49" t="str">
        <f t="shared" si="24"/>
        <v/>
      </c>
      <c r="AK111" s="49">
        <f t="shared" si="25"/>
        <v>0</v>
      </c>
      <c r="AL111" s="49" t="str">
        <f t="shared" si="26"/>
        <v/>
      </c>
      <c r="AM111" s="49">
        <f t="shared" si="27"/>
        <v>0</v>
      </c>
      <c r="AN111" s="49" t="str">
        <f t="shared" si="28"/>
        <v/>
      </c>
      <c r="AO111" s="49">
        <f t="shared" si="29"/>
        <v>0</v>
      </c>
      <c r="AP111" s="49" t="str">
        <f t="shared" si="30"/>
        <v/>
      </c>
      <c r="AQ111" s="49">
        <f t="shared" si="31"/>
        <v>1</v>
      </c>
      <c r="AR111" s="49" t="str">
        <f t="shared" si="32"/>
        <v/>
      </c>
      <c r="AS111" s="12"/>
    </row>
    <row r="112" spans="1:64" ht="30" customHeight="1" x14ac:dyDescent="0.35">
      <c r="B112" s="35" t="s">
        <v>68</v>
      </c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125"/>
      <c r="Z112" s="126"/>
      <c r="AA112" s="126"/>
      <c r="AB112" s="127"/>
      <c r="AE112" s="48" t="str">
        <f t="shared" si="33"/>
        <v/>
      </c>
      <c r="AF112" s="48"/>
      <c r="AG112" s="48"/>
      <c r="AH112" s="67"/>
      <c r="AI112" s="49">
        <f t="shared" si="23"/>
        <v>0</v>
      </c>
      <c r="AJ112" s="49" t="str">
        <f t="shared" si="24"/>
        <v/>
      </c>
      <c r="AK112" s="49">
        <f t="shared" si="25"/>
        <v>0</v>
      </c>
      <c r="AL112" s="49" t="str">
        <f t="shared" si="26"/>
        <v/>
      </c>
      <c r="AM112" s="49">
        <f t="shared" si="27"/>
        <v>0</v>
      </c>
      <c r="AN112" s="49" t="str">
        <f t="shared" si="28"/>
        <v/>
      </c>
      <c r="AO112" s="49">
        <f t="shared" si="29"/>
        <v>0</v>
      </c>
      <c r="AP112" s="49" t="str">
        <f t="shared" si="30"/>
        <v/>
      </c>
      <c r="AQ112" s="49">
        <f t="shared" si="31"/>
        <v>0</v>
      </c>
      <c r="AR112" s="49" t="str">
        <f t="shared" si="32"/>
        <v/>
      </c>
    </row>
    <row r="113" spans="1:44" ht="30" customHeight="1" x14ac:dyDescent="0.35">
      <c r="B113" s="36" t="s">
        <v>69</v>
      </c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144"/>
      <c r="Z113" s="145"/>
      <c r="AA113" s="145"/>
      <c r="AB113" s="146"/>
      <c r="AE113" s="48" t="str">
        <f t="shared" si="33"/>
        <v/>
      </c>
      <c r="AF113" s="48"/>
      <c r="AG113" s="48"/>
      <c r="AH113" s="67"/>
      <c r="AI113" s="49">
        <f t="shared" si="23"/>
        <v>0</v>
      </c>
      <c r="AJ113" s="49" t="str">
        <f t="shared" si="24"/>
        <v/>
      </c>
      <c r="AK113" s="49">
        <f t="shared" si="25"/>
        <v>0</v>
      </c>
      <c r="AL113" s="49" t="str">
        <f t="shared" si="26"/>
        <v/>
      </c>
      <c r="AM113" s="49">
        <f t="shared" si="27"/>
        <v>0</v>
      </c>
      <c r="AN113" s="49" t="str">
        <f t="shared" si="28"/>
        <v/>
      </c>
      <c r="AO113" s="49">
        <f t="shared" si="29"/>
        <v>0</v>
      </c>
      <c r="AP113" s="49" t="str">
        <f t="shared" si="30"/>
        <v/>
      </c>
      <c r="AQ113" s="49">
        <f t="shared" si="31"/>
        <v>0</v>
      </c>
      <c r="AR113" s="49" t="str">
        <f t="shared" si="32"/>
        <v/>
      </c>
    </row>
    <row r="114" spans="1:44" ht="30" customHeight="1" x14ac:dyDescent="0.35">
      <c r="B114" s="37" t="s">
        <v>43</v>
      </c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100"/>
      <c r="Z114" s="101"/>
      <c r="AA114" s="101"/>
      <c r="AB114" s="102"/>
      <c r="AE114" s="48" t="str">
        <f t="shared" si="33"/>
        <v/>
      </c>
      <c r="AF114" s="48"/>
      <c r="AG114" s="48"/>
      <c r="AH114" s="67"/>
      <c r="AI114" s="49">
        <f t="shared" si="23"/>
        <v>0</v>
      </c>
      <c r="AJ114" s="49" t="str">
        <f t="shared" si="24"/>
        <v/>
      </c>
      <c r="AK114" s="49">
        <f t="shared" si="25"/>
        <v>0</v>
      </c>
      <c r="AL114" s="49" t="str">
        <f t="shared" si="26"/>
        <v/>
      </c>
      <c r="AM114" s="49">
        <f t="shared" si="27"/>
        <v>0</v>
      </c>
      <c r="AN114" s="49" t="str">
        <f t="shared" si="28"/>
        <v/>
      </c>
      <c r="AO114" s="49">
        <f t="shared" si="29"/>
        <v>0</v>
      </c>
      <c r="AP114" s="49" t="str">
        <f t="shared" si="30"/>
        <v/>
      </c>
      <c r="AQ114" s="49">
        <f t="shared" si="31"/>
        <v>0</v>
      </c>
      <c r="AR114" s="49" t="str">
        <f t="shared" si="32"/>
        <v/>
      </c>
    </row>
    <row r="115" spans="1:44" ht="30" customHeight="1" x14ac:dyDescent="0.35">
      <c r="B115" s="41" t="s">
        <v>111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118"/>
      <c r="Z115" s="119"/>
      <c r="AA115" s="119"/>
      <c r="AB115" s="120"/>
      <c r="AE115" s="48" t="str">
        <f t="shared" si="33"/>
        <v/>
      </c>
      <c r="AF115" s="48"/>
      <c r="AG115" s="48"/>
      <c r="AH115" s="67"/>
      <c r="AI115" s="49">
        <f t="shared" si="23"/>
        <v>0</v>
      </c>
      <c r="AJ115" s="49" t="str">
        <f t="shared" si="24"/>
        <v/>
      </c>
      <c r="AK115" s="49">
        <f t="shared" si="25"/>
        <v>0</v>
      </c>
      <c r="AL115" s="49" t="str">
        <f t="shared" si="26"/>
        <v/>
      </c>
      <c r="AM115" s="49">
        <f t="shared" si="27"/>
        <v>0</v>
      </c>
      <c r="AN115" s="49" t="str">
        <f t="shared" si="28"/>
        <v/>
      </c>
      <c r="AO115" s="49">
        <f t="shared" si="29"/>
        <v>0</v>
      </c>
      <c r="AP115" s="49" t="str">
        <f t="shared" si="30"/>
        <v/>
      </c>
      <c r="AQ115" s="49">
        <f t="shared" si="31"/>
        <v>0</v>
      </c>
      <c r="AR115" s="49" t="str">
        <f t="shared" si="32"/>
        <v/>
      </c>
    </row>
    <row r="116" spans="1:44" ht="30" customHeight="1" x14ac:dyDescent="0.35">
      <c r="A116" t="str">
        <f>CONCATENATE($B$112,"
",$B$113,"
",$B$114,"
",$B$115,""
)</f>
        <v>085 - 0219 - VALE - VIT
RECUPERADORA - RC - 03
ETAPA DE ESCRITÓRIO
Modelo FEM</v>
      </c>
      <c r="B116" s="38" t="s">
        <v>90</v>
      </c>
      <c r="C116" s="85" t="str">
        <f>IF(AND($B116=[1]adriano!$A113,[1]adriano!$B113=C$4),"ok","nok")</f>
        <v>nok</v>
      </c>
      <c r="D116" s="85" t="str">
        <f>IF(AND($B116=[1]adriano!$A113,[1]adriano!$B113=D$4),"ok","nok")</f>
        <v>nok</v>
      </c>
      <c r="E116" s="85" t="str">
        <f>IF(AND($B116=[1]adriano!$A113,[1]adriano!$B113=E$4),"ok","nok")</f>
        <v>nok</v>
      </c>
      <c r="F116" s="85" t="str">
        <f>IF(AND($B116=[1]adriano!$A113,[1]adriano!$B113=F$4),"ok","nok")</f>
        <v>nok</v>
      </c>
      <c r="G116" s="85" t="str">
        <f>IF(AND($B116=[1]adriano!$A113,[1]adriano!$B113=G$4),"ok","nok")</f>
        <v>nok</v>
      </c>
      <c r="H116" s="85" t="str">
        <f>IF(AND($B116=[1]adriano!$A113,[1]adriano!$B113=H$4),"ok","nok")</f>
        <v>nok</v>
      </c>
      <c r="I116" s="85" t="str">
        <f>IF(AND($B116=[1]adriano!$A113,[1]adriano!$B113=I$4),"ok","nok")</f>
        <v>nok</v>
      </c>
      <c r="J116" s="85" t="str">
        <f>IF(AND($B116=[1]adriano!$A113,[1]adriano!$B113=J$4),"ok","nok")</f>
        <v>nok</v>
      </c>
      <c r="K116" s="85" t="str">
        <f>IF(AND($B116=[1]adriano!$A113,[1]adriano!$B113=K$4),"ok","nok")</f>
        <v>nok</v>
      </c>
      <c r="L116" s="85" t="str">
        <f>IF(AND($B116=[1]adriano!$A113,[1]adriano!$B113=L$4),"ok","nok")</f>
        <v>nok</v>
      </c>
      <c r="M116" s="85" t="str">
        <f>IF(AND($B116=[1]adriano!$A113,[1]adriano!$B113=M$4),"ok","nok")</f>
        <v>nok</v>
      </c>
      <c r="N116" s="85" t="str">
        <f>IF(AND($B116=[1]adriano!$A113,[1]adriano!$B113=N$4),"ok","nok")</f>
        <v>nok</v>
      </c>
      <c r="O116" s="85" t="str">
        <f>IF(AND($B116=[1]adriano!$A113,[1]adriano!$B113=O$4),"ok","nok")</f>
        <v>ok</v>
      </c>
      <c r="P116" s="85" t="str">
        <f>IF(AND($B116=[1]adriano!$A113,[1]adriano!$B113=P$4),"ok","nok")</f>
        <v>nok</v>
      </c>
      <c r="Q116" s="85" t="str">
        <f>IF(AND($B116=[1]adriano!$A113,[1]adriano!$B113=Q$4),"ok","nok")</f>
        <v>nok</v>
      </c>
      <c r="R116" s="85" t="str">
        <f>IF(AND($B116=[1]adriano!$A113,[1]adriano!$B113=R$4),"ok","nok")</f>
        <v>nok</v>
      </c>
      <c r="S116" s="85" t="str">
        <f>IF(AND($B116=[1]adriano!$A113,[1]adriano!$B113=S$4),"ok","nok")</f>
        <v>nok</v>
      </c>
      <c r="T116" s="85" t="str">
        <f>IF(AND($B116=[1]adriano!$A113,[1]adriano!$B113=T$4),"ok","nok")</f>
        <v>nok</v>
      </c>
      <c r="U116" s="85" t="str">
        <f>IF(AND($B116=[1]adriano!$A113,[1]adriano!$B113=U$4),"ok","nok")</f>
        <v>nok</v>
      </c>
      <c r="V116" s="85" t="str">
        <f>IF(AND($B116=[1]adriano!$A113,[1]adriano!$B113=V$4),"ok","nok")</f>
        <v>nok</v>
      </c>
      <c r="W116" s="85" t="str">
        <f>IF(AND($B116=[1]adriano!$A113,[1]adriano!$B113=W$4),"ok","nok")</f>
        <v>nok</v>
      </c>
      <c r="X116" s="85" t="str">
        <f>IF(AND($B116=[1]adriano!$A113,[1]adriano!$B113=X$4),"ok","nok")</f>
        <v>nok</v>
      </c>
      <c r="Y116" s="97" t="s">
        <v>2</v>
      </c>
      <c r="Z116" s="98"/>
      <c r="AA116" s="98"/>
      <c r="AB116" s="99"/>
      <c r="AE116" s="48" t="str">
        <f t="shared" si="33"/>
        <v/>
      </c>
      <c r="AF116" s="48"/>
      <c r="AG116" s="48"/>
      <c r="AH116" s="67"/>
      <c r="AI116" s="49">
        <f t="shared" si="23"/>
        <v>0</v>
      </c>
      <c r="AJ116" s="49" t="str">
        <f t="shared" si="24"/>
        <v/>
      </c>
      <c r="AK116" s="49">
        <f t="shared" si="25"/>
        <v>0</v>
      </c>
      <c r="AL116" s="49" t="str">
        <f t="shared" si="26"/>
        <v/>
      </c>
      <c r="AM116" s="49">
        <f t="shared" si="27"/>
        <v>1</v>
      </c>
      <c r="AN116" s="49" t="str">
        <f t="shared" si="28"/>
        <v>ENTREGUE</v>
      </c>
      <c r="AO116" s="49">
        <f t="shared" si="29"/>
        <v>0</v>
      </c>
      <c r="AP116" s="49" t="str">
        <f t="shared" si="30"/>
        <v/>
      </c>
      <c r="AQ116" s="49">
        <f t="shared" si="31"/>
        <v>0</v>
      </c>
      <c r="AR116" s="49" t="str">
        <f t="shared" si="32"/>
        <v/>
      </c>
    </row>
    <row r="117" spans="1:44" ht="30" customHeight="1" x14ac:dyDescent="0.35">
      <c r="A117" t="str">
        <f t="shared" ref="A117:A119" si="35">CONCATENATE($B$112,"
",$B$113,"
",$B$114,"
",$B$115,""
)</f>
        <v>085 - 0219 - VALE - VIT
RECUPERADORA - RC - 03
ETAPA DE ESCRITÓRIO
Modelo FEM</v>
      </c>
      <c r="B117" s="38" t="s">
        <v>70</v>
      </c>
      <c r="C117" s="85" t="str">
        <f>IF(AND($B117=[1]adriano!$A114,[1]adriano!$B114=C$4),"ok","nok")</f>
        <v>nok</v>
      </c>
      <c r="D117" s="85" t="str">
        <f>IF(AND($B117=[1]adriano!$A114,[1]adriano!$B114=D$4),"ok","nok")</f>
        <v>nok</v>
      </c>
      <c r="E117" s="85" t="str">
        <f>IF(AND($B117=[1]adriano!$A114,[1]adriano!$B114=E$4),"ok","nok")</f>
        <v>nok</v>
      </c>
      <c r="F117" s="85" t="str">
        <f>IF(AND($B117=[1]adriano!$A114,[1]adriano!$B114=F$4),"ok","nok")</f>
        <v>nok</v>
      </c>
      <c r="G117" s="85" t="str">
        <f>IF(AND($B117=[1]adriano!$A114,[1]adriano!$B114=G$4),"ok","nok")</f>
        <v>nok</v>
      </c>
      <c r="H117" s="85" t="str">
        <f>IF(AND($B117=[1]adriano!$A114,[1]adriano!$B114=H$4),"ok","nok")</f>
        <v>nok</v>
      </c>
      <c r="I117" s="85" t="str">
        <f>IF(AND($B117=[1]adriano!$A114,[1]adriano!$B114=I$4),"ok","nok")</f>
        <v>nok</v>
      </c>
      <c r="J117" s="85" t="str">
        <f>IF(AND($B117=[1]adriano!$A114,[1]adriano!$B114=J$4),"ok","nok")</f>
        <v>nok</v>
      </c>
      <c r="K117" s="85" t="str">
        <f>IF(AND($B117=[1]adriano!$A114,[1]adriano!$B114=K$4),"ok","nok")</f>
        <v>nok</v>
      </c>
      <c r="L117" s="85" t="str">
        <f>IF(AND($B117=[1]adriano!$A114,[1]adriano!$B114=L$4),"ok","nok")</f>
        <v>nok</v>
      </c>
      <c r="M117" s="85" t="str">
        <f>IF(AND($B117=[1]adriano!$A114,[1]adriano!$B114=M$4),"ok","nok")</f>
        <v>nok</v>
      </c>
      <c r="N117" s="85" t="str">
        <f>IF(AND($B117=[1]adriano!$A114,[1]adriano!$B114=N$4),"ok","nok")</f>
        <v>nok</v>
      </c>
      <c r="O117" s="85" t="str">
        <f>IF(AND($B117=[1]adriano!$A114,[1]adriano!$B114=O$4),"ok","nok")</f>
        <v>nok</v>
      </c>
      <c r="P117" s="85" t="str">
        <f>IF(AND($B117=[1]adriano!$A114,[1]adriano!$B114=P$4),"ok","nok")</f>
        <v>nok</v>
      </c>
      <c r="Q117" s="85" t="str">
        <f>IF(AND($B117=[1]adriano!$A114,[1]adriano!$B114=Q$4),"ok","nok")</f>
        <v>ok</v>
      </c>
      <c r="R117" s="85" t="str">
        <f>IF(AND($B117=[1]adriano!$A114,[1]adriano!$B114=R$4),"ok","nok")</f>
        <v>nok</v>
      </c>
      <c r="S117" s="85" t="str">
        <f>IF(AND($B117=[1]adriano!$A114,[1]adriano!$B114=S$4),"ok","nok")</f>
        <v>nok</v>
      </c>
      <c r="T117" s="85" t="str">
        <f>IF(AND($B117=[1]adriano!$A114,[1]adriano!$B114=T$4),"ok","nok")</f>
        <v>nok</v>
      </c>
      <c r="U117" s="85" t="str">
        <f>IF(AND($B117=[1]adriano!$A114,[1]adriano!$B114=U$4),"ok","nok")</f>
        <v>nok</v>
      </c>
      <c r="V117" s="85" t="str">
        <f>IF(AND($B117=[1]adriano!$A114,[1]adriano!$B114=V$4),"ok","nok")</f>
        <v>nok</v>
      </c>
      <c r="W117" s="85" t="str">
        <f>IF(AND($B117=[1]adriano!$A114,[1]adriano!$B114=W$4),"ok","nok")</f>
        <v>nok</v>
      </c>
      <c r="X117" s="85" t="str">
        <f>IF(AND($B117=[1]adriano!$A114,[1]adriano!$B114=X$4),"ok","nok")</f>
        <v>nok</v>
      </c>
      <c r="Y117" s="97" t="s">
        <v>2</v>
      </c>
      <c r="Z117" s="98"/>
      <c r="AA117" s="98"/>
      <c r="AB117" s="99"/>
      <c r="AE117" s="48" t="str">
        <f t="shared" si="33"/>
        <v/>
      </c>
      <c r="AF117" s="48"/>
      <c r="AG117" s="48"/>
      <c r="AH117" s="67"/>
      <c r="AI117" s="49">
        <f t="shared" si="23"/>
        <v>0</v>
      </c>
      <c r="AJ117" s="49" t="str">
        <f t="shared" si="24"/>
        <v/>
      </c>
      <c r="AK117" s="49">
        <f t="shared" si="25"/>
        <v>0</v>
      </c>
      <c r="AL117" s="49" t="str">
        <f t="shared" si="26"/>
        <v/>
      </c>
      <c r="AM117" s="49">
        <f t="shared" si="27"/>
        <v>1</v>
      </c>
      <c r="AN117" s="49" t="str">
        <f t="shared" si="28"/>
        <v>ENTREGUE</v>
      </c>
      <c r="AO117" s="49">
        <f t="shared" si="29"/>
        <v>0</v>
      </c>
      <c r="AP117" s="49" t="str">
        <f t="shared" si="30"/>
        <v/>
      </c>
      <c r="AQ117" s="49">
        <f t="shared" si="31"/>
        <v>0</v>
      </c>
      <c r="AR117" s="49" t="str">
        <f t="shared" si="32"/>
        <v/>
      </c>
    </row>
    <row r="118" spans="1:44" ht="30" customHeight="1" x14ac:dyDescent="0.35">
      <c r="B118" s="39" t="s">
        <v>112</v>
      </c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115"/>
      <c r="Z118" s="116"/>
      <c r="AA118" s="116"/>
      <c r="AB118" s="117"/>
      <c r="AE118" s="48" t="str">
        <f t="shared" si="33"/>
        <v/>
      </c>
      <c r="AF118" s="48"/>
      <c r="AG118" s="48"/>
      <c r="AH118" s="67"/>
      <c r="AI118" s="49">
        <f t="shared" si="23"/>
        <v>0</v>
      </c>
      <c r="AJ118" s="49" t="str">
        <f t="shared" si="24"/>
        <v/>
      </c>
      <c r="AK118" s="49">
        <f t="shared" si="25"/>
        <v>0</v>
      </c>
      <c r="AL118" s="49" t="str">
        <f t="shared" si="26"/>
        <v/>
      </c>
      <c r="AM118" s="49">
        <f t="shared" si="27"/>
        <v>0</v>
      </c>
      <c r="AN118" s="49" t="str">
        <f t="shared" si="28"/>
        <v/>
      </c>
      <c r="AO118" s="49">
        <f t="shared" si="29"/>
        <v>0</v>
      </c>
      <c r="AP118" s="49" t="str">
        <f t="shared" si="30"/>
        <v/>
      </c>
      <c r="AQ118" s="49">
        <f t="shared" si="31"/>
        <v>0</v>
      </c>
      <c r="AR118" s="49" t="str">
        <f t="shared" si="32"/>
        <v/>
      </c>
    </row>
    <row r="119" spans="1:44" ht="30" customHeight="1" x14ac:dyDescent="0.35">
      <c r="A119" t="str">
        <f t="shared" si="35"/>
        <v>085 - 0219 - VALE - VIT
RECUPERADORA - RC - 03
ETAPA DE ESCRITÓRIO
Modelo FEM</v>
      </c>
      <c r="B119" s="40" t="s">
        <v>20</v>
      </c>
      <c r="C119" s="85" t="str">
        <f>IF(AND($B119=[1]adriano!$A116,[1]adriano!$B116=C$4),"ok","nok")</f>
        <v>nok</v>
      </c>
      <c r="D119" s="85" t="str">
        <f>IF(AND($B119=[1]adriano!$A116,[1]adriano!$B116=D$4),"ok","nok")</f>
        <v>nok</v>
      </c>
      <c r="E119" s="85" t="str">
        <f>IF(AND($B119=[1]adriano!$A116,[1]adriano!$B116=E$4),"ok","nok")</f>
        <v>nok</v>
      </c>
      <c r="F119" s="85" t="str">
        <f>IF(AND($B119=[1]adriano!$A116,[1]adriano!$B116=F$4),"ok","nok")</f>
        <v>nok</v>
      </c>
      <c r="G119" s="85" t="str">
        <f>IF(AND($B119=[1]adriano!$A116,[1]adriano!$B116=G$4),"ok","nok")</f>
        <v>nok</v>
      </c>
      <c r="H119" s="85" t="str">
        <f>IF(AND($B119=[1]adriano!$A116,[1]adriano!$B116=H$4),"ok","nok")</f>
        <v>nok</v>
      </c>
      <c r="I119" s="85" t="str">
        <f>IF(AND($B119=[1]adriano!$A116,[1]adriano!$B116=I$4),"ok","nok")</f>
        <v>nok</v>
      </c>
      <c r="J119" s="85" t="str">
        <f>IF(AND($B119=[1]adriano!$A116,[1]adriano!$B116=J$4),"ok","nok")</f>
        <v>nok</v>
      </c>
      <c r="K119" s="85" t="str">
        <f>IF(AND($B119=[1]adriano!$A116,[1]adriano!$B116=K$4),"ok","nok")</f>
        <v>nok</v>
      </c>
      <c r="L119" s="85" t="str">
        <f>IF(AND($B119=[1]adriano!$A116,[1]adriano!$B116=L$4),"ok","nok")</f>
        <v>nok</v>
      </c>
      <c r="M119" s="85" t="str">
        <f>IF(AND($B119=[1]adriano!$A116,[1]adriano!$B116=M$4),"ok","nok")</f>
        <v>nok</v>
      </c>
      <c r="N119" s="85" t="str">
        <f>IF(AND($B119=[1]adriano!$A116,[1]adriano!$B116=N$4),"ok","nok")</f>
        <v>nok</v>
      </c>
      <c r="O119" s="85" t="str">
        <f>IF(AND($B119=[1]adriano!$A116,[1]adriano!$B116=O$4),"ok","nok")</f>
        <v>nok</v>
      </c>
      <c r="P119" s="85" t="str">
        <f>IF(AND($B119=[1]adriano!$A116,[1]adriano!$B116=P$4),"ok","nok")</f>
        <v>nok</v>
      </c>
      <c r="Q119" s="85" t="str">
        <f>IF(AND($B119=[1]adriano!$A116,[1]adriano!$B116=Q$4),"ok","nok")</f>
        <v>ok</v>
      </c>
      <c r="R119" s="85" t="str">
        <f>IF(AND($B119=[1]adriano!$A116,[1]adriano!$B116=R$4),"ok","nok")</f>
        <v>nok</v>
      </c>
      <c r="S119" s="85" t="str">
        <f>IF(AND($B119=[1]adriano!$A116,[1]adriano!$B116=S$4),"ok","nok")</f>
        <v>nok</v>
      </c>
      <c r="T119" s="85" t="str">
        <f>IF(AND($B119=[1]adriano!$A116,[1]adriano!$B116=T$4),"ok","nok")</f>
        <v>nok</v>
      </c>
      <c r="U119" s="85" t="str">
        <f>IF(AND($B119=[1]adriano!$A116,[1]adriano!$B116=U$4),"ok","nok")</f>
        <v>nok</v>
      </c>
      <c r="V119" s="85" t="str">
        <f>IF(AND($B119=[1]adriano!$A116,[1]adriano!$B116=V$4),"ok","nok")</f>
        <v>nok</v>
      </c>
      <c r="W119" s="85" t="str">
        <f>IF(AND($B119=[1]adriano!$A116,[1]adriano!$B116=W$4),"ok","nok")</f>
        <v>nok</v>
      </c>
      <c r="X119" s="85" t="str">
        <f>IF(AND($B119=[1]adriano!$A116,[1]adriano!$B116=X$4),"ok","nok")</f>
        <v>nok</v>
      </c>
      <c r="Y119" s="97" t="s">
        <v>2</v>
      </c>
      <c r="Z119" s="98"/>
      <c r="AA119" s="98"/>
      <c r="AB119" s="99"/>
      <c r="AE119" s="48" t="str">
        <f t="shared" si="33"/>
        <v/>
      </c>
      <c r="AF119" s="48"/>
      <c r="AG119" s="48"/>
      <c r="AH119" s="67"/>
      <c r="AI119" s="49">
        <f t="shared" si="23"/>
        <v>0</v>
      </c>
      <c r="AJ119" s="49" t="str">
        <f t="shared" si="24"/>
        <v/>
      </c>
      <c r="AK119" s="49">
        <f t="shared" si="25"/>
        <v>0</v>
      </c>
      <c r="AL119" s="49" t="str">
        <f t="shared" si="26"/>
        <v/>
      </c>
      <c r="AM119" s="49">
        <f t="shared" si="27"/>
        <v>1</v>
      </c>
      <c r="AN119" s="49" t="str">
        <f t="shared" si="28"/>
        <v>ENTREGUE</v>
      </c>
      <c r="AO119" s="49">
        <f t="shared" si="29"/>
        <v>0</v>
      </c>
      <c r="AP119" s="49" t="str">
        <f t="shared" si="30"/>
        <v/>
      </c>
      <c r="AQ119" s="49">
        <f t="shared" si="31"/>
        <v>0</v>
      </c>
      <c r="AR119" s="49" t="str">
        <f t="shared" si="32"/>
        <v/>
      </c>
    </row>
    <row r="120" spans="1:44" ht="30" customHeight="1" x14ac:dyDescent="0.35">
      <c r="B120" s="181" t="s">
        <v>130</v>
      </c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144"/>
      <c r="Z120" s="145"/>
      <c r="AA120" s="145"/>
      <c r="AB120" s="146"/>
      <c r="AE120" s="48"/>
      <c r="AF120" s="48"/>
      <c r="AG120" s="48"/>
      <c r="AH120" s="67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</row>
    <row r="121" spans="1:44" ht="30" customHeight="1" x14ac:dyDescent="0.35">
      <c r="B121" s="37" t="s">
        <v>73</v>
      </c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100"/>
      <c r="Z121" s="101"/>
      <c r="AA121" s="101"/>
      <c r="AB121" s="102"/>
      <c r="AE121" s="48"/>
      <c r="AF121" s="48"/>
      <c r="AG121" s="48"/>
      <c r="AH121" s="67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</row>
    <row r="122" spans="1:44" ht="30" customHeight="1" x14ac:dyDescent="0.35">
      <c r="B122" s="38" t="s">
        <v>131</v>
      </c>
      <c r="C122" s="85" t="str">
        <f>IF(AND($B122=[1]adriano!$A119,[1]adriano!$B119=C$4),"ok","nok")</f>
        <v>nok</v>
      </c>
      <c r="D122" s="85" t="str">
        <f>IF(AND($B122=[1]adriano!$A119,[1]adriano!$B119=D$4),"ok","nok")</f>
        <v>nok</v>
      </c>
      <c r="E122" s="85" t="str">
        <f>IF(AND($B122=[1]adriano!$A119,[1]adriano!$B119=E$4),"ok","nok")</f>
        <v>nok</v>
      </c>
      <c r="F122" s="85" t="str">
        <f>IF(AND($B122=[1]adriano!$A119,[1]adriano!$B119=F$4),"ok","nok")</f>
        <v>nok</v>
      </c>
      <c r="G122" s="85" t="str">
        <f>IF(AND($B122=[1]adriano!$A119,[1]adriano!$B119=G$4),"ok","nok")</f>
        <v>nok</v>
      </c>
      <c r="H122" s="85" t="str">
        <f>IF(AND($B122=[1]adriano!$A119,[1]adriano!$B119=H$4),"ok","nok")</f>
        <v>nok</v>
      </c>
      <c r="I122" s="85" t="str">
        <f>IF(AND($B122=[1]adriano!$A119,[1]adriano!$B119=I$4),"ok","nok")</f>
        <v>nok</v>
      </c>
      <c r="J122" s="85" t="str">
        <f>IF(AND($B122=[1]adriano!$A119,[1]adriano!$B119=J$4),"ok","nok")</f>
        <v>nok</v>
      </c>
      <c r="K122" s="85" t="str">
        <f>IF(AND($B122=[1]adriano!$A119,[1]adriano!$B119=K$4),"ok","nok")</f>
        <v>nok</v>
      </c>
      <c r="L122" s="85" t="str">
        <f>IF(AND($B122=[1]adriano!$A119,[1]adriano!$B119=L$4),"ok","nok")</f>
        <v>nok</v>
      </c>
      <c r="M122" s="85" t="str">
        <f>IF(AND($B122=[1]adriano!$A119,[1]adriano!$B119=M$4),"ok","nok")</f>
        <v>nok</v>
      </c>
      <c r="N122" s="85" t="str">
        <f>IF(AND($B122=[1]adriano!$A119,[1]adriano!$B119=N$4),"ok","nok")</f>
        <v>nok</v>
      </c>
      <c r="O122" s="85" t="str">
        <f>IF(AND($B122=[1]adriano!$A119,[1]adriano!$B119=O$4),"ok","nok")</f>
        <v>nok</v>
      </c>
      <c r="P122" s="85" t="str">
        <f>IF(AND($B122=[1]adriano!$A119,[1]adriano!$B119=P$4),"ok","nok")</f>
        <v>nok</v>
      </c>
      <c r="Q122" s="85" t="str">
        <f>IF(AND($B122=[1]adriano!$A119,[1]adriano!$B119=Q$4),"ok","nok")</f>
        <v>nok</v>
      </c>
      <c r="R122" s="85" t="str">
        <f>IF(AND($B122=[1]adriano!$A119,[1]adriano!$B119=R$4),"ok","nok")</f>
        <v>nok</v>
      </c>
      <c r="S122" s="85" t="str">
        <f>IF(AND($B122=[1]adriano!$A119,[1]adriano!$B119=S$4),"ok","nok")</f>
        <v>nok</v>
      </c>
      <c r="T122" s="85" t="str">
        <f>IF(AND($B122=[1]adriano!$A119,[1]adriano!$B119=T$4),"ok","nok")</f>
        <v>ok</v>
      </c>
      <c r="U122" s="85" t="str">
        <f>IF(AND($B122=[1]adriano!$A119,[1]adriano!$B119=U$4),"ok","nok")</f>
        <v>nok</v>
      </c>
      <c r="V122" s="85" t="str">
        <f>IF(AND($B122=[1]adriano!$A119,[1]adriano!$B119=V$4),"ok","nok")</f>
        <v>nok</v>
      </c>
      <c r="W122" s="85" t="str">
        <f>IF(AND($B122=[1]adriano!$A119,[1]adriano!$B119=W$4),"ok","nok")</f>
        <v>nok</v>
      </c>
      <c r="X122" s="85" t="str">
        <f>IF(AND($B122=[1]adriano!$A119,[1]adriano!$B119=X$4),"ok","nok")</f>
        <v>nok</v>
      </c>
      <c r="Y122" s="97" t="s">
        <v>15</v>
      </c>
      <c r="Z122" s="98"/>
      <c r="AA122" s="98"/>
      <c r="AB122" s="99"/>
      <c r="AE122" s="48"/>
      <c r="AF122" s="48"/>
      <c r="AG122" s="48"/>
      <c r="AH122" s="67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</row>
    <row r="123" spans="1:44" ht="30" customHeight="1" x14ac:dyDescent="0.35">
      <c r="B123" s="38" t="s">
        <v>132</v>
      </c>
      <c r="C123" s="85" t="str">
        <f>IF(AND($B123=[1]adriano!$A120,[1]adriano!$B120=C$4),"ok","nok")</f>
        <v>nok</v>
      </c>
      <c r="D123" s="85" t="str">
        <f>IF(AND($B123=[1]adriano!$A120,[1]adriano!$B120=D$4),"ok","nok")</f>
        <v>nok</v>
      </c>
      <c r="E123" s="85" t="str">
        <f>IF(AND($B123=[1]adriano!$A120,[1]adriano!$B120=E$4),"ok","nok")</f>
        <v>nok</v>
      </c>
      <c r="F123" s="85" t="str">
        <f>IF(AND($B123=[1]adriano!$A120,[1]adriano!$B120=F$4),"ok","nok")</f>
        <v>nok</v>
      </c>
      <c r="G123" s="85" t="str">
        <f>IF(AND($B123=[1]adriano!$A120,[1]adriano!$B120=G$4),"ok","nok")</f>
        <v>nok</v>
      </c>
      <c r="H123" s="85" t="str">
        <f>IF(AND($B123=[1]adriano!$A120,[1]adriano!$B120=H$4),"ok","nok")</f>
        <v>nok</v>
      </c>
      <c r="I123" s="85" t="str">
        <f>IF(AND($B123=[1]adriano!$A120,[1]adriano!$B120=I$4),"ok","nok")</f>
        <v>nok</v>
      </c>
      <c r="J123" s="85" t="str">
        <f>IF(AND($B123=[1]adriano!$A120,[1]adriano!$B120=J$4),"ok","nok")</f>
        <v>nok</v>
      </c>
      <c r="K123" s="85" t="str">
        <f>IF(AND($B123=[1]adriano!$A120,[1]adriano!$B120=K$4),"ok","nok")</f>
        <v>nok</v>
      </c>
      <c r="L123" s="85" t="str">
        <f>IF(AND($B123=[1]adriano!$A120,[1]adriano!$B120=L$4),"ok","nok")</f>
        <v>nok</v>
      </c>
      <c r="M123" s="85" t="str">
        <f>IF(AND($B123=[1]adriano!$A120,[1]adriano!$B120=M$4),"ok","nok")</f>
        <v>nok</v>
      </c>
      <c r="N123" s="85" t="str">
        <f>IF(AND($B123=[1]adriano!$A120,[1]adriano!$B120=N$4),"ok","nok")</f>
        <v>nok</v>
      </c>
      <c r="O123" s="85" t="str">
        <f>IF(AND($B123=[1]adriano!$A120,[1]adriano!$B120=O$4),"ok","nok")</f>
        <v>nok</v>
      </c>
      <c r="P123" s="85" t="str">
        <f>IF(AND($B123=[1]adriano!$A120,[1]adriano!$B120=P$4),"ok","nok")</f>
        <v>nok</v>
      </c>
      <c r="Q123" s="85" t="str">
        <f>IF(AND($B123=[1]adriano!$A120,[1]adriano!$B120=Q$4),"ok","nok")</f>
        <v>nok</v>
      </c>
      <c r="R123" s="85" t="str">
        <f>IF(AND($B123=[1]adriano!$A120,[1]adriano!$B120=R$4),"ok","nok")</f>
        <v>nok</v>
      </c>
      <c r="S123" s="85" t="str">
        <f>IF(AND($B123=[1]adriano!$A120,[1]adriano!$B120=S$4),"ok","nok")</f>
        <v>nok</v>
      </c>
      <c r="T123" s="85" t="str">
        <f>IF(AND($B123=[1]adriano!$A120,[1]adriano!$B120=T$4),"ok","nok")</f>
        <v>nok</v>
      </c>
      <c r="U123" s="85" t="str">
        <f>IF(AND($B123=[1]adriano!$A120,[1]adriano!$B120=U$4),"ok","nok")</f>
        <v>ok</v>
      </c>
      <c r="V123" s="85" t="str">
        <f>IF(AND($B123=[1]adriano!$A120,[1]adriano!$B120=V$4),"ok","nok")</f>
        <v>nok</v>
      </c>
      <c r="W123" s="85" t="str">
        <f>IF(AND($B123=[1]adriano!$A120,[1]adriano!$B120=W$4),"ok","nok")</f>
        <v>nok</v>
      </c>
      <c r="X123" s="85" t="str">
        <f>IF(AND($B123=[1]adriano!$A120,[1]adriano!$B120=X$4),"ok","nok")</f>
        <v>nok</v>
      </c>
      <c r="Y123" s="97" t="s">
        <v>15</v>
      </c>
      <c r="Z123" s="98"/>
      <c r="AA123" s="98"/>
      <c r="AB123" s="99"/>
      <c r="AE123" s="48"/>
      <c r="AF123" s="48"/>
      <c r="AG123" s="48"/>
      <c r="AH123" s="67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</row>
    <row r="124" spans="1:44" ht="30" customHeight="1" x14ac:dyDescent="0.35">
      <c r="B124" s="35" t="s">
        <v>113</v>
      </c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125"/>
      <c r="Z124" s="126"/>
      <c r="AA124" s="126"/>
      <c r="AB124" s="127"/>
      <c r="AE124" s="48" t="str">
        <f t="shared" si="33"/>
        <v/>
      </c>
      <c r="AF124" s="48"/>
      <c r="AG124" s="48"/>
      <c r="AH124" s="67"/>
      <c r="AI124" s="49">
        <f t="shared" si="23"/>
        <v>0</v>
      </c>
      <c r="AJ124" s="49" t="str">
        <f t="shared" si="24"/>
        <v/>
      </c>
      <c r="AK124" s="49">
        <f t="shared" si="25"/>
        <v>0</v>
      </c>
      <c r="AL124" s="49" t="str">
        <f t="shared" si="26"/>
        <v/>
      </c>
      <c r="AM124" s="49">
        <f t="shared" si="27"/>
        <v>0</v>
      </c>
      <c r="AN124" s="49" t="str">
        <f t="shared" si="28"/>
        <v/>
      </c>
      <c r="AO124" s="49">
        <f t="shared" si="29"/>
        <v>0</v>
      </c>
      <c r="AP124" s="49" t="str">
        <f t="shared" si="30"/>
        <v/>
      </c>
      <c r="AQ124" s="49">
        <f t="shared" si="31"/>
        <v>0</v>
      </c>
      <c r="AR124" s="49" t="str">
        <f t="shared" si="32"/>
        <v/>
      </c>
    </row>
    <row r="125" spans="1:44" ht="30" customHeight="1" x14ac:dyDescent="0.35">
      <c r="B125" s="36" t="s">
        <v>43</v>
      </c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144"/>
      <c r="Z125" s="145"/>
      <c r="AA125" s="145"/>
      <c r="AB125" s="146"/>
      <c r="AE125" s="48" t="str">
        <f t="shared" si="33"/>
        <v/>
      </c>
      <c r="AF125" s="48"/>
      <c r="AG125" s="48"/>
      <c r="AH125" s="67"/>
      <c r="AI125" s="49">
        <f t="shared" si="23"/>
        <v>0</v>
      </c>
      <c r="AJ125" s="49" t="str">
        <f t="shared" si="24"/>
        <v/>
      </c>
      <c r="AK125" s="49">
        <f t="shared" si="25"/>
        <v>0</v>
      </c>
      <c r="AL125" s="49" t="str">
        <f t="shared" si="26"/>
        <v/>
      </c>
      <c r="AM125" s="49">
        <f t="shared" si="27"/>
        <v>0</v>
      </c>
      <c r="AN125" s="49" t="str">
        <f t="shared" si="28"/>
        <v/>
      </c>
      <c r="AO125" s="49">
        <f t="shared" si="29"/>
        <v>0</v>
      </c>
      <c r="AP125" s="49" t="str">
        <f t="shared" si="30"/>
        <v/>
      </c>
      <c r="AQ125" s="49">
        <f t="shared" si="31"/>
        <v>0</v>
      </c>
      <c r="AR125" s="49" t="str">
        <f t="shared" si="32"/>
        <v/>
      </c>
    </row>
    <row r="126" spans="1:44" ht="30" customHeight="1" x14ac:dyDescent="0.35">
      <c r="A126" t="str">
        <f>CONCATENATE($B$124,"
",$B$125,""
)</f>
        <v>MOSAIC
ETAPA DE ESCRITÓRIO</v>
      </c>
      <c r="B126" s="38" t="s">
        <v>81</v>
      </c>
      <c r="C126" s="85" t="str">
        <f>IF(AND($B126=[1]adriano!$A123,[1]adriano!$B123=C$4),"ok","nok")</f>
        <v>nok</v>
      </c>
      <c r="D126" s="85" t="str">
        <f>IF(AND($B126=[1]adriano!$A123,[1]adriano!$B123=D$4),"ok","nok")</f>
        <v>nok</v>
      </c>
      <c r="E126" s="85" t="str">
        <f>IF(AND($B126=[1]adriano!$A123,[1]adriano!$B123=E$4),"ok","nok")</f>
        <v>nok</v>
      </c>
      <c r="F126" s="85" t="str">
        <f>IF(AND($B126=[1]adriano!$A123,[1]adriano!$B123=F$4),"ok","nok")</f>
        <v>nok</v>
      </c>
      <c r="G126" s="85" t="str">
        <f>IF(AND($B126=[1]adriano!$A123,[1]adriano!$B123=G$4),"ok","nok")</f>
        <v>nok</v>
      </c>
      <c r="H126" s="178"/>
      <c r="I126" s="85" t="str">
        <f>IF(AND($B126=[1]adriano!$A123,[1]adriano!$B123=I$4),"ok","nok")</f>
        <v>nok</v>
      </c>
      <c r="J126" s="85" t="str">
        <f>IF(AND($B126=[1]adriano!$A123,[1]adriano!$B123=J$4),"ok","nok")</f>
        <v>nok</v>
      </c>
      <c r="K126" s="85" t="str">
        <f>IF(AND($B126=[1]adriano!$A123,[1]adriano!$B123=K$4),"ok","nok")</f>
        <v>nok</v>
      </c>
      <c r="L126" s="85" t="str">
        <f>IF(AND($B126=[1]adriano!$A123,[1]adriano!$B123=L$4),"ok","nok")</f>
        <v>nok</v>
      </c>
      <c r="M126" s="85" t="str">
        <f>IF(AND($B126=[1]adriano!$A123,[1]adriano!$B123=M$4),"ok","nok")</f>
        <v>nok</v>
      </c>
      <c r="N126" s="85" t="str">
        <f>IF(AND($B126=[1]adriano!$A123,[1]adriano!$B123=N$4),"ok","nok")</f>
        <v>nok</v>
      </c>
      <c r="O126" s="85" t="str">
        <f>IF(AND($B126=[1]adriano!$A123,[1]adriano!$B123=O$4),"ok","nok")</f>
        <v>nok</v>
      </c>
      <c r="P126" s="85" t="str">
        <f>IF(AND($B126=[1]adriano!$A123,[1]adriano!$B123=P$4),"ok","nok")</f>
        <v>nok</v>
      </c>
      <c r="Q126" s="85" t="str">
        <f>IF(AND($B126=[1]adriano!$A123,[1]adriano!$B123=Q$4),"ok","nok")</f>
        <v>nok</v>
      </c>
      <c r="R126" s="85" t="str">
        <f>IF(AND($B126=[1]adriano!$A123,[1]adriano!$B123=R$4),"ok","nok")</f>
        <v>nok</v>
      </c>
      <c r="S126" s="85" t="str">
        <f>IF(AND($B126=[1]adriano!$A123,[1]adriano!$B123=S$4),"ok","nok")</f>
        <v>nok</v>
      </c>
      <c r="T126" s="85" t="str">
        <f>IF(AND($B126=[1]adriano!$A123,[1]adriano!$B123=T$4),"ok","nok")</f>
        <v>nok</v>
      </c>
      <c r="U126" s="85" t="str">
        <f>IF(AND($B126=[1]adriano!$A123,[1]adriano!$B123=U$4),"ok","nok")</f>
        <v>ok</v>
      </c>
      <c r="V126" s="85" t="str">
        <f>IF(AND($B126=[1]adriano!$A123,[1]adriano!$B123=V$4),"ok","nok")</f>
        <v>nok</v>
      </c>
      <c r="W126" s="85" t="str">
        <f>IF(AND($B126=[1]adriano!$A123,[1]adriano!$B123=W$4),"ok","nok")</f>
        <v>nok</v>
      </c>
      <c r="X126" s="85" t="str">
        <f>IF(AND($B126=[1]adriano!$A123,[1]adriano!$B123=X$4),"ok","nok")</f>
        <v>nok</v>
      </c>
      <c r="Y126" s="97" t="s">
        <v>34</v>
      </c>
      <c r="Z126" s="98"/>
      <c r="AA126" s="98"/>
      <c r="AB126" s="99"/>
      <c r="AE126" s="48" t="str">
        <f t="shared" si="33"/>
        <v>Modelagem CAD</v>
      </c>
      <c r="AF126" s="48"/>
      <c r="AG126" s="48"/>
      <c r="AH126" s="67"/>
      <c r="AI126" s="49">
        <f t="shared" si="23"/>
        <v>0</v>
      </c>
      <c r="AJ126" s="49" t="str">
        <f t="shared" si="24"/>
        <v/>
      </c>
      <c r="AK126" s="49">
        <f t="shared" si="25"/>
        <v>0</v>
      </c>
      <c r="AL126" s="49" t="str">
        <f t="shared" si="26"/>
        <v/>
      </c>
      <c r="AM126" s="49">
        <f t="shared" si="27"/>
        <v>0</v>
      </c>
      <c r="AN126" s="49" t="str">
        <f t="shared" si="28"/>
        <v/>
      </c>
      <c r="AO126" s="49">
        <f t="shared" si="29"/>
        <v>1</v>
      </c>
      <c r="AP126" s="49" t="str">
        <f t="shared" si="30"/>
        <v/>
      </c>
      <c r="AQ126" s="49">
        <f t="shared" si="31"/>
        <v>0</v>
      </c>
      <c r="AR126" s="49" t="str">
        <f t="shared" si="32"/>
        <v/>
      </c>
    </row>
    <row r="127" spans="1:44" ht="30" customHeight="1" x14ac:dyDescent="0.35">
      <c r="A127" t="str">
        <f t="shared" ref="A127:A128" si="36">CONCATENATE($B$124,"
",$B$125,""
)</f>
        <v>MOSAIC
ETAPA DE ESCRITÓRIO</v>
      </c>
      <c r="B127" s="38" t="s">
        <v>48</v>
      </c>
      <c r="C127" s="85" t="str">
        <f>IF(AND($B127=[1]adriano!$A124,[1]adriano!$B124=C$4),"ok","nok")</f>
        <v>nok</v>
      </c>
      <c r="D127" s="85" t="str">
        <f>IF(AND($B127=[1]adriano!$A124,[1]adriano!$B124=D$4),"ok","nok")</f>
        <v>nok</v>
      </c>
      <c r="E127" s="85" t="str">
        <f>IF(AND($B127=[1]adriano!$A124,[1]adriano!$B124=E$4),"ok","nok")</f>
        <v>nok</v>
      </c>
      <c r="F127" s="85" t="str">
        <f>IF(AND($B127=[1]adriano!$A124,[1]adriano!$B124=F$4),"ok","nok")</f>
        <v>nok</v>
      </c>
      <c r="G127" s="85" t="str">
        <f>IF(AND($B127=[1]adriano!$A124,[1]adriano!$B124=G$4),"ok","nok")</f>
        <v>nok</v>
      </c>
      <c r="H127" s="85" t="str">
        <f>IF(AND($B127=[1]adriano!$A124,[1]adriano!$B124=H$4),"ok","nok")</f>
        <v>nok</v>
      </c>
      <c r="I127" s="85" t="str">
        <f>IF(AND($B127=[1]adriano!$A124,[1]adriano!$B124=I$4),"ok","nok")</f>
        <v>nok</v>
      </c>
      <c r="J127" s="85" t="str">
        <f>IF(AND($B127=[1]adriano!$A124,[1]adriano!$B124=J$4),"ok","nok")</f>
        <v>nok</v>
      </c>
      <c r="K127" s="85" t="str">
        <f>IF(AND($B127=[1]adriano!$A124,[1]adriano!$B124=K$4),"ok","nok")</f>
        <v>nok</v>
      </c>
      <c r="L127" s="85" t="str">
        <f>IF(AND($B127=[1]adriano!$A124,[1]adriano!$B124=L$4),"ok","nok")</f>
        <v>nok</v>
      </c>
      <c r="M127" s="85" t="str">
        <f>IF(AND($B127=[1]adriano!$A124,[1]adriano!$B124=M$4),"ok","nok")</f>
        <v>nok</v>
      </c>
      <c r="N127" s="85" t="str">
        <f>IF(AND($B127=[1]adriano!$A124,[1]adriano!$B124=N$4),"ok","nok")</f>
        <v>nok</v>
      </c>
      <c r="O127" s="85" t="str">
        <f>IF(AND($B127=[1]adriano!$A124,[1]adriano!$B124=O$4),"ok","nok")</f>
        <v>nok</v>
      </c>
      <c r="P127" s="85" t="str">
        <f>IF(AND($B127=[1]adriano!$A124,[1]adriano!$B124=P$4),"ok","nok")</f>
        <v>nok</v>
      </c>
      <c r="Q127" s="85" t="str">
        <f>IF(AND($B127=[1]adriano!$A124,[1]adriano!$B124=Q$4),"ok","nok")</f>
        <v>nok</v>
      </c>
      <c r="R127" s="178"/>
      <c r="S127" s="85" t="str">
        <f>IF(AND($B127=[1]adriano!$A124,[1]adriano!$B124=S$4),"ok","nok")</f>
        <v>nok</v>
      </c>
      <c r="T127" s="85" t="str">
        <f>IF(AND($B127=[1]adriano!$A124,[1]adriano!$B124=T$4),"ok","nok")</f>
        <v>nok</v>
      </c>
      <c r="U127" s="85" t="str">
        <f>IF(AND($B127=[1]adriano!$A124,[1]adriano!$B124=U$4),"ok","nok")</f>
        <v>nok</v>
      </c>
      <c r="V127" s="85" t="str">
        <f>IF(AND($B127=[1]adriano!$A124,[1]adriano!$B124=V$4),"ok","nok")</f>
        <v>ok</v>
      </c>
      <c r="W127" s="85" t="str">
        <f>IF(AND($B127=[1]adriano!$A124,[1]adriano!$B124=W$4),"ok","nok")</f>
        <v>nok</v>
      </c>
      <c r="X127" s="85" t="str">
        <f>IF(AND($B127=[1]adriano!$A124,[1]adriano!$B124=X$4),"ok","nok")</f>
        <v>nok</v>
      </c>
      <c r="Y127" s="97" t="s">
        <v>15</v>
      </c>
      <c r="Z127" s="98"/>
      <c r="AA127" s="98"/>
      <c r="AB127" s="99"/>
      <c r="AE127" s="48" t="str">
        <f t="shared" si="33"/>
        <v/>
      </c>
      <c r="AF127" s="48"/>
      <c r="AG127" s="48"/>
      <c r="AH127" s="67"/>
      <c r="AI127" s="49">
        <f t="shared" si="23"/>
        <v>0</v>
      </c>
      <c r="AJ127" s="49" t="str">
        <f t="shared" si="24"/>
        <v/>
      </c>
      <c r="AK127" s="49">
        <f t="shared" si="25"/>
        <v>0</v>
      </c>
      <c r="AL127" s="49" t="str">
        <f t="shared" si="26"/>
        <v/>
      </c>
      <c r="AM127" s="49">
        <f t="shared" si="27"/>
        <v>0</v>
      </c>
      <c r="AN127" s="49" t="str">
        <f t="shared" si="28"/>
        <v/>
      </c>
      <c r="AO127" s="49">
        <f t="shared" si="29"/>
        <v>1</v>
      </c>
      <c r="AP127" s="49" t="str">
        <f t="shared" si="30"/>
        <v/>
      </c>
      <c r="AQ127" s="49">
        <f t="shared" si="31"/>
        <v>0</v>
      </c>
      <c r="AR127" s="49" t="str">
        <f t="shared" si="32"/>
        <v/>
      </c>
    </row>
    <row r="128" spans="1:44" ht="30" customHeight="1" x14ac:dyDescent="0.35">
      <c r="A128" t="str">
        <f t="shared" si="36"/>
        <v>MOSAIC
ETAPA DE ESCRITÓRIO</v>
      </c>
      <c r="B128" s="38" t="s">
        <v>114</v>
      </c>
      <c r="C128" s="85" t="str">
        <f>IF(AND($B128=[1]adriano!$A125,[1]adriano!$B125=C$4),"ok","nok")</f>
        <v>nok</v>
      </c>
      <c r="D128" s="85" t="str">
        <f>IF(AND($B128=[1]adriano!$A125,[1]adriano!$B125=D$4),"ok","nok")</f>
        <v>nok</v>
      </c>
      <c r="E128" s="85" t="str">
        <f>IF(AND($B128=[1]adriano!$A125,[1]adriano!$B125=E$4),"ok","nok")</f>
        <v>nok</v>
      </c>
      <c r="F128" s="85" t="str">
        <f>IF(AND($B128=[1]adriano!$A125,[1]adriano!$B125=F$4),"ok","nok")</f>
        <v>nok</v>
      </c>
      <c r="G128" s="85" t="str">
        <f>IF(AND($B128=[1]adriano!$A125,[1]adriano!$B125=G$4),"ok","nok")</f>
        <v>nok</v>
      </c>
      <c r="H128" s="85" t="str">
        <f>IF(AND($B128=[1]adriano!$A125,[1]adriano!$B125=H$4),"ok","nok")</f>
        <v>nok</v>
      </c>
      <c r="I128" s="85" t="str">
        <f>IF(AND($B128=[1]adriano!$A125,[1]adriano!$B125=I$4),"ok","nok")</f>
        <v>nok</v>
      </c>
      <c r="J128" s="85" t="str">
        <f>IF(AND($B128=[1]adriano!$A125,[1]adriano!$B125=J$4),"ok","nok")</f>
        <v>nok</v>
      </c>
      <c r="K128" s="85" t="str">
        <f>IF(AND($B128=[1]adriano!$A125,[1]adriano!$B125=K$4),"ok","nok")</f>
        <v>nok</v>
      </c>
      <c r="L128" s="85" t="str">
        <f>IF(AND($B128=[1]adriano!$A125,[1]adriano!$B125=L$4),"ok","nok")</f>
        <v>nok</v>
      </c>
      <c r="M128" s="85" t="str">
        <f>IF(AND($B128=[1]adriano!$A125,[1]adriano!$B125=M$4),"ok","nok")</f>
        <v>nok</v>
      </c>
      <c r="N128" s="85" t="str">
        <f>IF(AND($B128=[1]adriano!$A125,[1]adriano!$B125=N$4),"ok","nok")</f>
        <v>nok</v>
      </c>
      <c r="O128" s="85" t="str">
        <f>IF(AND($B128=[1]adriano!$A125,[1]adriano!$B125=O$4),"ok","nok")</f>
        <v>nok</v>
      </c>
      <c r="P128" s="85" t="str">
        <f>IF(AND($B128=[1]adriano!$A125,[1]adriano!$B125=P$4),"ok","nok")</f>
        <v>nok</v>
      </c>
      <c r="Q128" s="85" t="str">
        <f>IF(AND($B128=[1]adriano!$A125,[1]adriano!$B125=Q$4),"ok","nok")</f>
        <v>nok</v>
      </c>
      <c r="R128" s="85" t="str">
        <f>IF(AND($B128=[1]adriano!$A125,[1]adriano!$B125=R$4),"ok","nok")</f>
        <v>nok</v>
      </c>
      <c r="S128" s="85" t="str">
        <f>IF(AND($B128=[1]adriano!$A125,[1]adriano!$B125=S$4),"ok","nok")</f>
        <v>nok</v>
      </c>
      <c r="T128" s="85" t="str">
        <f>IF(AND($B128=[1]adriano!$A125,[1]adriano!$B125=T$4),"ok","nok")</f>
        <v>nok</v>
      </c>
      <c r="U128" s="85" t="str">
        <f>IF(AND($B128=[1]adriano!$A125,[1]adriano!$B125=U$4),"ok","nok")</f>
        <v>nok</v>
      </c>
      <c r="V128" s="178"/>
      <c r="W128" s="85" t="str">
        <f>IF(AND($B128=[1]adriano!$A125,[1]adriano!$B125=W$4),"ok","nok")</f>
        <v>ok</v>
      </c>
      <c r="X128" s="85" t="str">
        <f>IF(AND($B128=[1]adriano!$A125,[1]adriano!$B125=X$4),"ok","nok")</f>
        <v>nok</v>
      </c>
      <c r="Y128" s="97" t="s">
        <v>15</v>
      </c>
      <c r="Z128" s="98"/>
      <c r="AA128" s="98"/>
      <c r="AB128" s="99"/>
      <c r="AE128" s="48" t="str">
        <f t="shared" si="33"/>
        <v/>
      </c>
      <c r="AF128" s="48"/>
      <c r="AG128" s="48"/>
      <c r="AH128" s="67"/>
      <c r="AI128" s="49">
        <f t="shared" si="23"/>
        <v>0</v>
      </c>
      <c r="AJ128" s="49" t="str">
        <f t="shared" si="24"/>
        <v/>
      </c>
      <c r="AK128" s="49">
        <f t="shared" si="25"/>
        <v>0</v>
      </c>
      <c r="AL128" s="49" t="str">
        <f t="shared" si="26"/>
        <v/>
      </c>
      <c r="AM128" s="49">
        <f t="shared" si="27"/>
        <v>0</v>
      </c>
      <c r="AN128" s="49" t="str">
        <f t="shared" si="28"/>
        <v/>
      </c>
      <c r="AO128" s="49">
        <f t="shared" si="29"/>
        <v>0</v>
      </c>
      <c r="AP128" s="49" t="str">
        <f t="shared" si="30"/>
        <v/>
      </c>
      <c r="AQ128" s="49">
        <f t="shared" si="31"/>
        <v>1</v>
      </c>
      <c r="AR128" s="49" t="str">
        <f t="shared" si="32"/>
        <v/>
      </c>
    </row>
    <row r="129" spans="1:44" ht="30" customHeight="1" x14ac:dyDescent="0.35">
      <c r="B129" s="35" t="s">
        <v>71</v>
      </c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125"/>
      <c r="Z129" s="126"/>
      <c r="AA129" s="126"/>
      <c r="AB129" s="127"/>
      <c r="AE129" s="48" t="str">
        <f t="shared" si="33"/>
        <v/>
      </c>
      <c r="AF129" s="48"/>
      <c r="AG129" s="48"/>
      <c r="AH129" s="67"/>
      <c r="AI129" s="49">
        <f t="shared" si="23"/>
        <v>0</v>
      </c>
      <c r="AJ129" s="49" t="str">
        <f t="shared" si="24"/>
        <v/>
      </c>
      <c r="AK129" s="49">
        <f t="shared" si="25"/>
        <v>0</v>
      </c>
      <c r="AL129" s="49" t="str">
        <f t="shared" si="26"/>
        <v/>
      </c>
      <c r="AM129" s="49">
        <f t="shared" si="27"/>
        <v>0</v>
      </c>
      <c r="AN129" s="49" t="str">
        <f t="shared" si="28"/>
        <v/>
      </c>
      <c r="AO129" s="49">
        <f t="shared" si="29"/>
        <v>0</v>
      </c>
      <c r="AP129" s="49" t="str">
        <f t="shared" si="30"/>
        <v/>
      </c>
      <c r="AQ129" s="49">
        <f t="shared" si="31"/>
        <v>0</v>
      </c>
      <c r="AR129" s="49" t="str">
        <f t="shared" si="32"/>
        <v/>
      </c>
    </row>
    <row r="130" spans="1:44" ht="30" customHeight="1" x14ac:dyDescent="0.35">
      <c r="B130" s="36" t="s">
        <v>72</v>
      </c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144"/>
      <c r="Z130" s="145"/>
      <c r="AA130" s="145"/>
      <c r="AB130" s="146"/>
      <c r="AE130" s="48" t="str">
        <f t="shared" si="33"/>
        <v/>
      </c>
      <c r="AF130" s="48"/>
      <c r="AG130" s="48"/>
      <c r="AH130" s="67"/>
      <c r="AI130" s="49">
        <f t="shared" si="23"/>
        <v>0</v>
      </c>
      <c r="AJ130" s="49" t="str">
        <f t="shared" si="24"/>
        <v/>
      </c>
      <c r="AK130" s="49">
        <f t="shared" si="25"/>
        <v>0</v>
      </c>
      <c r="AL130" s="49" t="str">
        <f t="shared" si="26"/>
        <v/>
      </c>
      <c r="AM130" s="49">
        <f t="shared" si="27"/>
        <v>0</v>
      </c>
      <c r="AN130" s="49" t="str">
        <f t="shared" si="28"/>
        <v/>
      </c>
      <c r="AO130" s="49">
        <f t="shared" si="29"/>
        <v>0</v>
      </c>
      <c r="AP130" s="49" t="str">
        <f t="shared" si="30"/>
        <v/>
      </c>
      <c r="AQ130" s="49">
        <f t="shared" si="31"/>
        <v>0</v>
      </c>
      <c r="AR130" s="49" t="str">
        <f t="shared" si="32"/>
        <v/>
      </c>
    </row>
    <row r="131" spans="1:44" ht="30" customHeight="1" x14ac:dyDescent="0.35">
      <c r="B131" s="37" t="s">
        <v>43</v>
      </c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100"/>
      <c r="Z131" s="101"/>
      <c r="AA131" s="101"/>
      <c r="AB131" s="102"/>
      <c r="AE131" s="48" t="str">
        <f t="shared" si="33"/>
        <v/>
      </c>
      <c r="AF131" s="48"/>
      <c r="AG131" s="48"/>
      <c r="AH131" s="67"/>
      <c r="AI131" s="49">
        <f t="shared" si="23"/>
        <v>0</v>
      </c>
      <c r="AJ131" s="49" t="str">
        <f t="shared" si="24"/>
        <v/>
      </c>
      <c r="AK131" s="49">
        <f t="shared" si="25"/>
        <v>0</v>
      </c>
      <c r="AL131" s="49" t="str">
        <f t="shared" si="26"/>
        <v/>
      </c>
      <c r="AM131" s="49">
        <f t="shared" si="27"/>
        <v>0</v>
      </c>
      <c r="AN131" s="49" t="str">
        <f t="shared" si="28"/>
        <v/>
      </c>
      <c r="AO131" s="49">
        <f t="shared" si="29"/>
        <v>0</v>
      </c>
      <c r="AP131" s="49" t="str">
        <f t="shared" si="30"/>
        <v/>
      </c>
      <c r="AQ131" s="49">
        <f t="shared" si="31"/>
        <v>0</v>
      </c>
      <c r="AR131" s="49" t="str">
        <f t="shared" si="32"/>
        <v/>
      </c>
    </row>
    <row r="132" spans="1:44" ht="30" customHeight="1" x14ac:dyDescent="0.35">
      <c r="B132" s="41" t="s">
        <v>74</v>
      </c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118"/>
      <c r="Z132" s="119"/>
      <c r="AA132" s="119"/>
      <c r="AB132" s="120"/>
      <c r="AE132" s="48" t="str">
        <f t="shared" si="33"/>
        <v/>
      </c>
      <c r="AF132" s="48"/>
      <c r="AG132" s="48"/>
      <c r="AH132" s="67"/>
      <c r="AI132" s="49">
        <f t="shared" si="23"/>
        <v>0</v>
      </c>
      <c r="AJ132" s="49" t="str">
        <f t="shared" si="24"/>
        <v/>
      </c>
      <c r="AK132" s="49">
        <f t="shared" si="25"/>
        <v>0</v>
      </c>
      <c r="AL132" s="49" t="str">
        <f t="shared" si="26"/>
        <v/>
      </c>
      <c r="AM132" s="49">
        <f t="shared" si="27"/>
        <v>0</v>
      </c>
      <c r="AN132" s="49" t="str">
        <f t="shared" si="28"/>
        <v/>
      </c>
      <c r="AO132" s="49">
        <f t="shared" si="29"/>
        <v>0</v>
      </c>
      <c r="AP132" s="49" t="str">
        <f t="shared" si="30"/>
        <v/>
      </c>
      <c r="AQ132" s="49">
        <f t="shared" si="31"/>
        <v>0</v>
      </c>
      <c r="AR132" s="49" t="str">
        <f t="shared" si="32"/>
        <v/>
      </c>
    </row>
    <row r="133" spans="1:44" ht="30" customHeight="1" x14ac:dyDescent="0.35">
      <c r="A133" t="str">
        <f>CONCATENATE($B$129,"
",$B$130,"
",$B$131,"
",$B$132,""
)</f>
        <v>STELLANTIS
SISTEMA - T4 AT6
ETAPA DE ESCRITÓRIO
Check step 1</v>
      </c>
      <c r="B133" s="38" t="s">
        <v>115</v>
      </c>
      <c r="C133" s="85" t="str">
        <f>IF(AND($B133=[1]adriano!$A130,[1]adriano!$B130=C$4),"ok","nok")</f>
        <v>nok</v>
      </c>
      <c r="D133" s="178"/>
      <c r="E133" s="85" t="str">
        <f>IF(AND($B133=[1]adriano!$A130,[1]adriano!$B130=E$4),"ok","nok")</f>
        <v>nok</v>
      </c>
      <c r="F133" s="85" t="str">
        <f>IF(AND($B133=[1]adriano!$A130,[1]adriano!$B130=F$4),"ok","nok")</f>
        <v>nok</v>
      </c>
      <c r="G133" s="85" t="str">
        <f>IF(AND($B133=[1]adriano!$A130,[1]adriano!$B130=G$4),"ok","nok")</f>
        <v>nok</v>
      </c>
      <c r="H133" s="85" t="str">
        <f>IF(AND($B133=[1]adriano!$A130,[1]adriano!$B130=H$4),"ok","nok")</f>
        <v>nok</v>
      </c>
      <c r="I133" s="85" t="str">
        <f>IF(AND($B133=[1]adriano!$A130,[1]adriano!$B130=I$4),"ok","nok")</f>
        <v>nok</v>
      </c>
      <c r="J133" s="85" t="str">
        <f>IF(AND($B133=[1]adriano!$A130,[1]adriano!$B130=J$4),"ok","nok")</f>
        <v>nok</v>
      </c>
      <c r="K133" s="85" t="str">
        <f>IF(AND($B133=[1]adriano!$A130,[1]adriano!$B130=K$4),"ok","nok")</f>
        <v>nok</v>
      </c>
      <c r="L133" s="85" t="str">
        <f>IF(AND($B133=[1]adriano!$A130,[1]adriano!$B130=L$4),"ok","nok")</f>
        <v>nok</v>
      </c>
      <c r="M133" s="85" t="str">
        <f>IF(AND($B133=[1]adriano!$A130,[1]adriano!$B130=M$4),"ok","nok")</f>
        <v>nok</v>
      </c>
      <c r="N133" s="85" t="str">
        <f>IF(AND($B133=[1]adriano!$A130,[1]adriano!$B130=N$4),"ok","nok")</f>
        <v>nok</v>
      </c>
      <c r="O133" s="85" t="str">
        <f>IF(AND($B133=[1]adriano!$A130,[1]adriano!$B130=O$4),"ok","nok")</f>
        <v>nok</v>
      </c>
      <c r="P133" s="85" t="str">
        <f>IF(AND($B133=[1]adriano!$A130,[1]adriano!$B130=P$4),"ok","nok")</f>
        <v>nok</v>
      </c>
      <c r="Q133" s="85" t="str">
        <f>IF(AND($B133=[1]adriano!$A130,[1]adriano!$B130=Q$4),"ok","nok")</f>
        <v>nok</v>
      </c>
      <c r="R133" s="85" t="str">
        <f>IF(AND($B133=[1]adriano!$A130,[1]adriano!$B130=R$4),"ok","nok")</f>
        <v>ok</v>
      </c>
      <c r="S133" s="85" t="str">
        <f>IF(AND($B133=[1]adriano!$A130,[1]adriano!$B130=S$4),"ok","nok")</f>
        <v>nok</v>
      </c>
      <c r="T133" s="85" t="str">
        <f>IF(AND($B133=[1]adriano!$A130,[1]adriano!$B130=T$4),"ok","nok")</f>
        <v>nok</v>
      </c>
      <c r="U133" s="85" t="str">
        <f>IF(AND($B133=[1]adriano!$A130,[1]adriano!$B130=U$4),"ok","nok")</f>
        <v>nok</v>
      </c>
      <c r="V133" s="85" t="str">
        <f>IF(AND($B133=[1]adriano!$A130,[1]adriano!$B130=V$4),"ok","nok")</f>
        <v>nok</v>
      </c>
      <c r="W133" s="85" t="str">
        <f>IF(AND($B133=[1]adriano!$A130,[1]adriano!$B130=W$4),"ok","nok")</f>
        <v>nok</v>
      </c>
      <c r="X133" s="85" t="str">
        <f>IF(AND($B133=[1]adriano!$A130,[1]adriano!$B130=X$4),"ok","nok")</f>
        <v>nok</v>
      </c>
      <c r="Y133" s="97" t="s">
        <v>34</v>
      </c>
      <c r="Z133" s="98"/>
      <c r="AA133" s="98"/>
      <c r="AB133" s="99"/>
      <c r="AE133" s="48" t="str">
        <f t="shared" si="33"/>
        <v>Revisão da Análise Modal e Diffnorm</v>
      </c>
      <c r="AF133" s="48"/>
      <c r="AG133" s="48"/>
      <c r="AH133" s="67"/>
      <c r="AI133" s="49">
        <f t="shared" si="23"/>
        <v>0</v>
      </c>
      <c r="AJ133" s="49" t="str">
        <f t="shared" si="24"/>
        <v/>
      </c>
      <c r="AK133" s="49">
        <f t="shared" si="25"/>
        <v>0</v>
      </c>
      <c r="AL133" s="49" t="str">
        <f t="shared" si="26"/>
        <v/>
      </c>
      <c r="AM133" s="49">
        <f t="shared" si="27"/>
        <v>0</v>
      </c>
      <c r="AN133" s="49" t="str">
        <f t="shared" si="28"/>
        <v/>
      </c>
      <c r="AO133" s="49">
        <f t="shared" si="29"/>
        <v>1</v>
      </c>
      <c r="AP133" s="49" t="str">
        <f t="shared" si="30"/>
        <v/>
      </c>
      <c r="AQ133" s="49">
        <f t="shared" si="31"/>
        <v>0</v>
      </c>
      <c r="AR133" s="49" t="str">
        <f t="shared" si="32"/>
        <v/>
      </c>
    </row>
    <row r="134" spans="1:44" ht="30" customHeight="1" x14ac:dyDescent="0.35">
      <c r="A134" t="str">
        <f t="shared" ref="A134:A138" si="37">CONCATENATE($B$129,"
",$B$130,"
",$B$131,"
",$B$132,""
)</f>
        <v>STELLANTIS
SISTEMA - T4 AT6
ETAPA DE ESCRITÓRIO
Check step 1</v>
      </c>
      <c r="B134" s="38" t="s">
        <v>116</v>
      </c>
      <c r="C134" s="85" t="str">
        <f>IF(AND($B134=[1]adriano!$A131,[1]adriano!$B131=C$4),"ok","nok")</f>
        <v>nok</v>
      </c>
      <c r="D134" s="85" t="str">
        <f>IF(AND($B134=[1]adriano!$A131,[1]adriano!$B131=D$4),"ok","nok")</f>
        <v>nok</v>
      </c>
      <c r="E134" s="85" t="str">
        <f>IF(AND($B134=[1]adriano!$A131,[1]adriano!$B131=E$4),"ok","nok")</f>
        <v>nok</v>
      </c>
      <c r="F134" s="85" t="str">
        <f>IF(AND($B134=[1]adriano!$A131,[1]adriano!$B131=F$4),"ok","nok")</f>
        <v>nok</v>
      </c>
      <c r="G134" s="178"/>
      <c r="H134" s="85" t="str">
        <f>IF(AND($B134=[1]adriano!$A131,[1]adriano!$B131=H$4),"ok","nok")</f>
        <v>nok</v>
      </c>
      <c r="I134" s="85" t="str">
        <f>IF(AND($B134=[1]adriano!$A131,[1]adriano!$B131=I$4),"ok","nok")</f>
        <v>nok</v>
      </c>
      <c r="J134" s="85" t="str">
        <f>IF(AND($B134=[1]adriano!$A131,[1]adriano!$B131=J$4),"ok","nok")</f>
        <v>nok</v>
      </c>
      <c r="K134" s="85" t="str">
        <f>IF(AND($B134=[1]adriano!$A131,[1]adriano!$B131=K$4),"ok","nok")</f>
        <v>nok</v>
      </c>
      <c r="L134" s="85" t="str">
        <f>IF(AND($B134=[1]adriano!$A131,[1]adriano!$B131=L$4),"ok","nok")</f>
        <v>nok</v>
      </c>
      <c r="M134" s="85" t="str">
        <f>IF(AND($B134=[1]adriano!$A131,[1]adriano!$B131=M$4),"ok","nok")</f>
        <v>nok</v>
      </c>
      <c r="N134" s="85" t="str">
        <f>IF(AND($B134=[1]adriano!$A131,[1]adriano!$B131=N$4),"ok","nok")</f>
        <v>nok</v>
      </c>
      <c r="O134" s="85" t="str">
        <f>IF(AND($B134=[1]adriano!$A131,[1]adriano!$B131=O$4),"ok","nok")</f>
        <v>nok</v>
      </c>
      <c r="P134" s="85" t="str">
        <f>IF(AND($B134=[1]adriano!$A131,[1]adriano!$B131=P$4),"ok","nok")</f>
        <v>nok</v>
      </c>
      <c r="Q134" s="85" t="str">
        <f>IF(AND($B134=[1]adriano!$A131,[1]adriano!$B131=Q$4),"ok","nok")</f>
        <v>nok</v>
      </c>
      <c r="R134" s="85" t="str">
        <f>IF(AND($B134=[1]adriano!$A131,[1]adriano!$B131=R$4),"ok","nok")</f>
        <v>nok</v>
      </c>
      <c r="S134" s="85" t="str">
        <f>IF(AND($B134=[1]adriano!$A131,[1]adriano!$B131=S$4),"ok","nok")</f>
        <v>ok</v>
      </c>
      <c r="T134" s="85" t="str">
        <f>IF(AND($B134=[1]adriano!$A131,[1]adriano!$B131=T$4),"ok","nok")</f>
        <v>nok</v>
      </c>
      <c r="U134" s="85" t="str">
        <f>IF(AND($B134=[1]adriano!$A131,[1]adriano!$B131=U$4),"ok","nok")</f>
        <v>nok</v>
      </c>
      <c r="V134" s="85" t="str">
        <f>IF(AND($B134=[1]adriano!$A131,[1]adriano!$B131=V$4),"ok","nok")</f>
        <v>nok</v>
      </c>
      <c r="W134" s="85" t="str">
        <f>IF(AND($B134=[1]adriano!$A131,[1]adriano!$B131=W$4),"ok","nok")</f>
        <v>nok</v>
      </c>
      <c r="X134" s="85" t="str">
        <f>IF(AND($B134=[1]adriano!$A131,[1]adriano!$B131=X$4),"ok","nok")</f>
        <v>nok</v>
      </c>
      <c r="Y134" s="97" t="s">
        <v>34</v>
      </c>
      <c r="Z134" s="98"/>
      <c r="AA134" s="98"/>
      <c r="AB134" s="99"/>
      <c r="AE134" s="48" t="str">
        <f t="shared" si="33"/>
        <v>Revisão do Posicionamento dos Centros Elásticos</v>
      </c>
      <c r="AF134" s="48"/>
      <c r="AG134" s="48"/>
      <c r="AH134" s="67"/>
      <c r="AI134" s="49">
        <f t="shared" si="23"/>
        <v>0</v>
      </c>
      <c r="AJ134" s="49" t="str">
        <f t="shared" si="24"/>
        <v/>
      </c>
      <c r="AK134" s="49">
        <f t="shared" si="25"/>
        <v>0</v>
      </c>
      <c r="AL134" s="49" t="str">
        <f t="shared" si="26"/>
        <v/>
      </c>
      <c r="AM134" s="49">
        <f t="shared" si="27"/>
        <v>0</v>
      </c>
      <c r="AN134" s="49" t="str">
        <f t="shared" si="28"/>
        <v/>
      </c>
      <c r="AO134" s="49">
        <f t="shared" si="29"/>
        <v>1</v>
      </c>
      <c r="AP134" s="49" t="str">
        <f t="shared" si="30"/>
        <v/>
      </c>
      <c r="AQ134" s="49">
        <f t="shared" si="31"/>
        <v>0</v>
      </c>
      <c r="AR134" s="49" t="str">
        <f t="shared" si="32"/>
        <v/>
      </c>
    </row>
    <row r="135" spans="1:44" ht="30" customHeight="1" x14ac:dyDescent="0.35">
      <c r="A135" t="str">
        <f t="shared" si="37"/>
        <v>STELLANTIS
SISTEMA - T4 AT6
ETAPA DE ESCRITÓRIO
Check step 1</v>
      </c>
      <c r="B135" s="38" t="s">
        <v>117</v>
      </c>
      <c r="C135" s="85" t="str">
        <f>IF(AND($B135=[1]adriano!$A132,[1]adriano!$B132=C$4),"ok","nok")</f>
        <v>nok</v>
      </c>
      <c r="D135" s="85" t="str">
        <f>IF(AND($B135=[1]adriano!$A132,[1]adriano!$B132=D$4),"ok","nok")</f>
        <v>nok</v>
      </c>
      <c r="E135" s="85" t="str">
        <f>IF(AND($B135=[1]adriano!$A132,[1]adriano!$B132=E$4),"ok","nok")</f>
        <v>nok</v>
      </c>
      <c r="F135" s="85" t="str">
        <f>IF(AND($B135=[1]adriano!$A132,[1]adriano!$B132=F$4),"ok","nok")</f>
        <v>nok</v>
      </c>
      <c r="G135" s="85" t="str">
        <f>IF(AND($B135=[1]adriano!$A132,[1]adriano!$B132=G$4),"ok","nok")</f>
        <v>nok</v>
      </c>
      <c r="H135" s="85" t="str">
        <f>IF(AND($B135=[1]adriano!$A132,[1]adriano!$B132=H$4),"ok","nok")</f>
        <v>nok</v>
      </c>
      <c r="I135" s="85" t="str">
        <f>IF(AND($B135=[1]adriano!$A132,[1]adriano!$B132=I$4),"ok","nok")</f>
        <v>nok</v>
      </c>
      <c r="J135" s="85" t="str">
        <f>IF(AND($B135=[1]adriano!$A132,[1]adriano!$B132=J$4),"ok","nok")</f>
        <v>nok</v>
      </c>
      <c r="K135" s="85" t="str">
        <f>IF(AND($B135=[1]adriano!$A132,[1]adriano!$B132=K$4),"ok","nok")</f>
        <v>nok</v>
      </c>
      <c r="L135" s="178"/>
      <c r="M135" s="85" t="str">
        <f>IF(AND($B135=[1]adriano!$A132,[1]adriano!$B132=M$4),"ok","nok")</f>
        <v>nok</v>
      </c>
      <c r="N135" s="85" t="str">
        <f>IF(AND($B135=[1]adriano!$A132,[1]adriano!$B132=N$4),"ok","nok")</f>
        <v>nok</v>
      </c>
      <c r="O135" s="85" t="str">
        <f>IF(AND($B135=[1]adriano!$A132,[1]adriano!$B132=O$4),"ok","nok")</f>
        <v>nok</v>
      </c>
      <c r="P135" s="85" t="str">
        <f>IF(AND($B135=[1]adriano!$A132,[1]adriano!$B132=P$4),"ok","nok")</f>
        <v>nok</v>
      </c>
      <c r="Q135" s="85" t="str">
        <f>IF(AND($B135=[1]adriano!$A132,[1]adriano!$B132=Q$4),"ok","nok")</f>
        <v>nok</v>
      </c>
      <c r="R135" s="85" t="str">
        <f>IF(AND($B135=[1]adriano!$A132,[1]adriano!$B132=R$4),"ok","nok")</f>
        <v>nok</v>
      </c>
      <c r="S135" s="85" t="str">
        <f>IF(AND($B135=[1]adriano!$A132,[1]adriano!$B132=S$4),"ok","nok")</f>
        <v>nok</v>
      </c>
      <c r="T135" s="85" t="str">
        <f>IF(AND($B135=[1]adriano!$A132,[1]adriano!$B132=T$4),"ok","nok")</f>
        <v>ok</v>
      </c>
      <c r="U135" s="85" t="str">
        <f>IF(AND($B135=[1]adriano!$A132,[1]adriano!$B132=U$4),"ok","nok")</f>
        <v>nok</v>
      </c>
      <c r="V135" s="85" t="str">
        <f>IF(AND($B135=[1]adriano!$A132,[1]adriano!$B132=V$4),"ok","nok")</f>
        <v>nok</v>
      </c>
      <c r="W135" s="85" t="str">
        <f>IF(AND($B135=[1]adriano!$A132,[1]adriano!$B132=W$4),"ok","nok")</f>
        <v>nok</v>
      </c>
      <c r="X135" s="85" t="str">
        <f>IF(AND($B135=[1]adriano!$A132,[1]adriano!$B132=X$4),"ok","nok")</f>
        <v>nok</v>
      </c>
      <c r="Y135" s="97" t="s">
        <v>35</v>
      </c>
      <c r="Z135" s="98"/>
      <c r="AA135" s="98"/>
      <c r="AB135" s="99"/>
      <c r="AE135" s="48" t="str">
        <f t="shared" si="33"/>
        <v/>
      </c>
      <c r="AF135" s="48"/>
      <c r="AG135" s="48"/>
      <c r="AH135" s="67"/>
      <c r="AI135" s="49">
        <f t="shared" si="23"/>
        <v>0</v>
      </c>
      <c r="AJ135" s="49" t="str">
        <f t="shared" si="24"/>
        <v/>
      </c>
      <c r="AK135" s="49">
        <f t="shared" si="25"/>
        <v>0</v>
      </c>
      <c r="AL135" s="49" t="str">
        <f t="shared" si="26"/>
        <v/>
      </c>
      <c r="AM135" s="49">
        <f t="shared" si="27"/>
        <v>0</v>
      </c>
      <c r="AN135" s="49" t="str">
        <f t="shared" si="28"/>
        <v/>
      </c>
      <c r="AO135" s="49">
        <f t="shared" si="29"/>
        <v>1</v>
      </c>
      <c r="AP135" s="49" t="str">
        <f t="shared" si="30"/>
        <v/>
      </c>
      <c r="AQ135" s="49">
        <f t="shared" si="31"/>
        <v>0</v>
      </c>
      <c r="AR135" s="49" t="str">
        <f t="shared" si="32"/>
        <v/>
      </c>
    </row>
    <row r="136" spans="1:44" ht="30" customHeight="1" x14ac:dyDescent="0.35">
      <c r="A136" t="str">
        <f t="shared" si="37"/>
        <v>STELLANTIS
SISTEMA - T4 AT6
ETAPA DE ESCRITÓRIO
Check step 1</v>
      </c>
      <c r="B136" s="38" t="s">
        <v>118</v>
      </c>
      <c r="C136" s="85" t="str">
        <f>IF(AND($B136=[1]adriano!$A133,[1]adriano!$B133=C$4),"ok","nok")</f>
        <v>nok</v>
      </c>
      <c r="D136" s="85" t="str">
        <f>IF(AND($B136=[1]adriano!$A133,[1]adriano!$B133=D$4),"ok","nok")</f>
        <v>nok</v>
      </c>
      <c r="E136" s="85" t="str">
        <f>IF(AND($B136=[1]adriano!$A133,[1]adriano!$B133=E$4),"ok","nok")</f>
        <v>nok</v>
      </c>
      <c r="F136" s="85" t="str">
        <f>IF(AND($B136=[1]adriano!$A133,[1]adriano!$B133=F$4),"ok","nok")</f>
        <v>nok</v>
      </c>
      <c r="G136" s="85" t="str">
        <f>IF(AND($B136=[1]adriano!$A133,[1]adriano!$B133=G$4),"ok","nok")</f>
        <v>nok</v>
      </c>
      <c r="H136" s="85" t="str">
        <f>IF(AND($B136=[1]adriano!$A133,[1]adriano!$B133=H$4),"ok","nok")</f>
        <v>nok</v>
      </c>
      <c r="I136" s="85" t="str">
        <f>IF(AND($B136=[1]adriano!$A133,[1]adriano!$B133=I$4),"ok","nok")</f>
        <v>nok</v>
      </c>
      <c r="J136" s="85" t="str">
        <f>IF(AND($B136=[1]adriano!$A133,[1]adriano!$B133=J$4),"ok","nok")</f>
        <v>nok</v>
      </c>
      <c r="K136" s="85" t="str">
        <f>IF(AND($B136=[1]adriano!$A133,[1]adriano!$B133=K$4),"ok","nok")</f>
        <v>nok</v>
      </c>
      <c r="L136" s="85" t="str">
        <f>IF(AND($B136=[1]adriano!$A133,[1]adriano!$B133=L$4),"ok","nok")</f>
        <v>nok</v>
      </c>
      <c r="M136" s="85" t="str">
        <f>IF(AND($B136=[1]adriano!$A133,[1]adriano!$B133=M$4),"ok","nok")</f>
        <v>nok</v>
      </c>
      <c r="N136" s="178"/>
      <c r="O136" s="85" t="str">
        <f>IF(AND($B136=[1]adriano!$A133,[1]adriano!$B133=O$4),"ok","nok")</f>
        <v>nok</v>
      </c>
      <c r="P136" s="85" t="str">
        <f>IF(AND($B136=[1]adriano!$A133,[1]adriano!$B133=P$4),"ok","nok")</f>
        <v>nok</v>
      </c>
      <c r="Q136" s="85" t="str">
        <f>IF(AND($B136=[1]adriano!$A133,[1]adriano!$B133=Q$4),"ok","nok")</f>
        <v>nok</v>
      </c>
      <c r="R136" s="85" t="str">
        <f>IF(AND($B136=[1]adriano!$A133,[1]adriano!$B133=R$4),"ok","nok")</f>
        <v>nok</v>
      </c>
      <c r="S136" s="85" t="str">
        <f>IF(AND($B136=[1]adriano!$A133,[1]adriano!$B133=S$4),"ok","nok")</f>
        <v>nok</v>
      </c>
      <c r="T136" s="85" t="str">
        <f>IF(AND($B136=[1]adriano!$A133,[1]adriano!$B133=T$4),"ok","nok")</f>
        <v>nok</v>
      </c>
      <c r="U136" s="85" t="str">
        <f>IF(AND($B136=[1]adriano!$A133,[1]adriano!$B133=U$4),"ok","nok")</f>
        <v>ok</v>
      </c>
      <c r="V136" s="85" t="str">
        <f>IF(AND($B136=[1]adriano!$A133,[1]adriano!$B133=V$4),"ok","nok")</f>
        <v>nok</v>
      </c>
      <c r="W136" s="85" t="str">
        <f>IF(AND($B136=[1]adriano!$A133,[1]adriano!$B133=W$4),"ok","nok")</f>
        <v>nok</v>
      </c>
      <c r="X136" s="85" t="str">
        <f>IF(AND($B136=[1]adriano!$A133,[1]adriano!$B133=X$4),"ok","nok")</f>
        <v>nok</v>
      </c>
      <c r="Y136" s="97" t="s">
        <v>15</v>
      </c>
      <c r="Z136" s="98"/>
      <c r="AA136" s="98"/>
      <c r="AB136" s="99"/>
      <c r="AE136" s="48" t="str">
        <f t="shared" si="33"/>
        <v/>
      </c>
      <c r="AF136" s="48"/>
      <c r="AG136" s="48"/>
      <c r="AH136" s="67"/>
      <c r="AI136" s="49">
        <f t="shared" ref="AI136:AI149" si="38">COUNTIF(C136:G136,"ok")</f>
        <v>0</v>
      </c>
      <c r="AJ136" s="49" t="str">
        <f t="shared" ref="AJ136:AJ149" si="39">IF(AND(AI136=1,OR($Y136="entregue",$Y136="efprazo")),$Y136,"")</f>
        <v/>
      </c>
      <c r="AK136" s="49">
        <f t="shared" ref="AK136:AK149" si="40">COUNTIF(H136:L136,"ok")</f>
        <v>0</v>
      </c>
      <c r="AL136" s="49" t="str">
        <f t="shared" ref="AL136:AL149" si="41">IF(AND(AK136=1,OR(Y136="entregue",Y136="efprazo")),Y136,"")</f>
        <v/>
      </c>
      <c r="AM136" s="49">
        <f t="shared" ref="AM136:AM149" si="42">COUNTIF(M136:Q136,"ok")</f>
        <v>0</v>
      </c>
      <c r="AN136" s="49" t="str">
        <f t="shared" ref="AN136:AN149" si="43">IF(AND(AM136=1,OR($Y136="entregue",$Y136="efprazo")),$Y136,"")</f>
        <v/>
      </c>
      <c r="AO136" s="49">
        <f t="shared" ref="AO136:AO149" si="44">COUNTIF(R136:V136,"ok")</f>
        <v>1</v>
      </c>
      <c r="AP136" s="49" t="str">
        <f t="shared" ref="AP136:AP149" si="45">IF(AND(AO136=1,OR($Y136="entregue",$Y136="efprazo")),$Y136,"")</f>
        <v/>
      </c>
      <c r="AQ136" s="49">
        <f t="shared" ref="AQ136:AQ149" si="46">COUNTIF(W136:X136,"ok")</f>
        <v>0</v>
      </c>
      <c r="AR136" s="49" t="str">
        <f t="shared" ref="AR136:AR149" si="47">IF(AND(AQ136=1,OR($Y136="entregue",$Y136="efprazo")),$Y136,"")</f>
        <v/>
      </c>
    </row>
    <row r="137" spans="1:44" ht="30" customHeight="1" x14ac:dyDescent="0.35">
      <c r="B137" s="39" t="s">
        <v>119</v>
      </c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115"/>
      <c r="Z137" s="116"/>
      <c r="AA137" s="116"/>
      <c r="AB137" s="117"/>
      <c r="AE137" s="48" t="str">
        <f t="shared" si="33"/>
        <v/>
      </c>
      <c r="AF137" s="48"/>
      <c r="AG137" s="48"/>
      <c r="AH137" s="67"/>
      <c r="AI137" s="49">
        <f t="shared" si="38"/>
        <v>0</v>
      </c>
      <c r="AJ137" s="49" t="str">
        <f t="shared" si="39"/>
        <v/>
      </c>
      <c r="AK137" s="49">
        <f t="shared" si="40"/>
        <v>0</v>
      </c>
      <c r="AL137" s="49" t="str">
        <f t="shared" si="41"/>
        <v/>
      </c>
      <c r="AM137" s="49">
        <f t="shared" si="42"/>
        <v>0</v>
      </c>
      <c r="AN137" s="49" t="str">
        <f t="shared" si="43"/>
        <v/>
      </c>
      <c r="AO137" s="49">
        <f t="shared" si="44"/>
        <v>0</v>
      </c>
      <c r="AP137" s="49" t="str">
        <f t="shared" si="45"/>
        <v/>
      </c>
      <c r="AQ137" s="49">
        <f t="shared" si="46"/>
        <v>0</v>
      </c>
      <c r="AR137" s="49" t="str">
        <f t="shared" si="47"/>
        <v/>
      </c>
    </row>
    <row r="138" spans="1:44" ht="30" customHeight="1" x14ac:dyDescent="0.35">
      <c r="A138" t="str">
        <f t="shared" si="37"/>
        <v>STELLANTIS
SISTEMA - T4 AT6
ETAPA DE ESCRITÓRIO
Check step 1</v>
      </c>
      <c r="B138" s="38" t="s">
        <v>120</v>
      </c>
      <c r="C138" s="85" t="str">
        <f>IF(AND($B138=[1]adriano!$A135,[1]adriano!$B135=C$4),"ok","nok")</f>
        <v>nok</v>
      </c>
      <c r="D138" s="85" t="str">
        <f>IF(AND($B138=[1]adriano!$A135,[1]adriano!$B135=D$4),"ok","nok")</f>
        <v>nok</v>
      </c>
      <c r="E138" s="85" t="str">
        <f>IF(AND($B138=[1]adriano!$A135,[1]adriano!$B135=E$4),"ok","nok")</f>
        <v>nok</v>
      </c>
      <c r="F138" s="85" t="str">
        <f>IF(AND($B138=[1]adriano!$A135,[1]adriano!$B135=F$4),"ok","nok")</f>
        <v>nok</v>
      </c>
      <c r="G138" s="85" t="str">
        <f>IF(AND($B138=[1]adriano!$A135,[1]adriano!$B135=G$4),"ok","nok")</f>
        <v>nok</v>
      </c>
      <c r="H138" s="85" t="str">
        <f>IF(AND($B138=[1]adriano!$A135,[1]adriano!$B135=H$4),"ok","nok")</f>
        <v>nok</v>
      </c>
      <c r="I138" s="85" t="str">
        <f>IF(AND($B138=[1]adriano!$A135,[1]adriano!$B135=I$4),"ok","nok")</f>
        <v>nok</v>
      </c>
      <c r="J138" s="85" t="str">
        <f>IF(AND($B138=[1]adriano!$A135,[1]adriano!$B135=J$4),"ok","nok")</f>
        <v>nok</v>
      </c>
      <c r="K138" s="85" t="str">
        <f>IF(AND($B138=[1]adriano!$A135,[1]adriano!$B135=K$4),"ok","nok")</f>
        <v>nok</v>
      </c>
      <c r="L138" s="85" t="str">
        <f>IF(AND($B138=[1]adriano!$A135,[1]adriano!$B135=L$4),"ok","nok")</f>
        <v>nok</v>
      </c>
      <c r="M138" s="85" t="str">
        <f>IF(AND($B138=[1]adriano!$A135,[1]adriano!$B135=M$4),"ok","nok")</f>
        <v>nok</v>
      </c>
      <c r="N138" s="178"/>
      <c r="O138" s="85" t="str">
        <f>IF(AND($B138=[1]adriano!$A135,[1]adriano!$B135=O$4),"ok","nok")</f>
        <v>nok</v>
      </c>
      <c r="P138" s="85" t="str">
        <f>IF(AND($B138=[1]adriano!$A135,[1]adriano!$B135=P$4),"ok","nok")</f>
        <v>nok</v>
      </c>
      <c r="Q138" s="85" t="str">
        <f>IF(AND($B138=[1]adriano!$A135,[1]adriano!$B135=Q$4),"ok","nok")</f>
        <v>nok</v>
      </c>
      <c r="R138" s="85" t="str">
        <f>IF(AND($B138=[1]adriano!$A135,[1]adriano!$B135=R$4),"ok","nok")</f>
        <v>nok</v>
      </c>
      <c r="S138" s="85" t="str">
        <f>IF(AND($B138=[1]adriano!$A135,[1]adriano!$B135=S$4),"ok","nok")</f>
        <v>nok</v>
      </c>
      <c r="T138" s="85" t="str">
        <f>IF(AND($B138=[1]adriano!$A135,[1]adriano!$B135=T$4),"ok","nok")</f>
        <v>nok</v>
      </c>
      <c r="U138" s="85" t="str">
        <f>IF(AND($B138=[1]adriano!$A135,[1]adriano!$B135=U$4),"ok","nok")</f>
        <v>nok</v>
      </c>
      <c r="V138" s="85" t="str">
        <f>IF(AND($B138=[1]adriano!$A135,[1]adriano!$B135=V$4),"ok","nok")</f>
        <v>nok</v>
      </c>
      <c r="W138" s="85" t="str">
        <f>IF(AND($B138=[1]adriano!$A135,[1]adriano!$B135=W$4),"ok","nok")</f>
        <v>ok</v>
      </c>
      <c r="X138" s="85" t="str">
        <f>IF(AND($B138=[1]adriano!$A135,[1]adriano!$B135=X$4),"ok","nok")</f>
        <v>nok</v>
      </c>
      <c r="Y138" s="97" t="s">
        <v>15</v>
      </c>
      <c r="Z138" s="98"/>
      <c r="AA138" s="98"/>
      <c r="AB138" s="99"/>
      <c r="AE138" s="48" t="str">
        <f t="shared" si="33"/>
        <v/>
      </c>
      <c r="AF138" s="48"/>
      <c r="AG138" s="48"/>
      <c r="AH138" s="67"/>
      <c r="AI138" s="49">
        <f t="shared" si="38"/>
        <v>0</v>
      </c>
      <c r="AJ138" s="49" t="str">
        <f t="shared" si="39"/>
        <v/>
      </c>
      <c r="AK138" s="49">
        <f t="shared" si="40"/>
        <v>0</v>
      </c>
      <c r="AL138" s="49" t="str">
        <f t="shared" si="41"/>
        <v/>
      </c>
      <c r="AM138" s="49">
        <f t="shared" si="42"/>
        <v>0</v>
      </c>
      <c r="AN138" s="49" t="str">
        <f t="shared" si="43"/>
        <v/>
      </c>
      <c r="AO138" s="49">
        <f t="shared" si="44"/>
        <v>0</v>
      </c>
      <c r="AP138" s="49" t="str">
        <f t="shared" si="45"/>
        <v/>
      </c>
      <c r="AQ138" s="49">
        <f t="shared" si="46"/>
        <v>1</v>
      </c>
      <c r="AR138" s="49" t="str">
        <f t="shared" si="47"/>
        <v/>
      </c>
    </row>
    <row r="139" spans="1:44" ht="30" customHeight="1" x14ac:dyDescent="0.35">
      <c r="B139" s="36" t="s">
        <v>75</v>
      </c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144"/>
      <c r="Z139" s="145"/>
      <c r="AA139" s="145"/>
      <c r="AB139" s="146"/>
      <c r="AE139" s="48" t="str">
        <f t="shared" si="33"/>
        <v/>
      </c>
      <c r="AF139" s="48"/>
      <c r="AG139" s="48"/>
      <c r="AH139" s="67"/>
      <c r="AI139" s="49">
        <f t="shared" si="38"/>
        <v>0</v>
      </c>
      <c r="AJ139" s="49" t="str">
        <f t="shared" si="39"/>
        <v/>
      </c>
      <c r="AK139" s="49">
        <f t="shared" si="40"/>
        <v>0</v>
      </c>
      <c r="AL139" s="49" t="str">
        <f t="shared" si="41"/>
        <v/>
      </c>
      <c r="AM139" s="49">
        <f t="shared" si="42"/>
        <v>0</v>
      </c>
      <c r="AN139" s="49" t="str">
        <f t="shared" si="43"/>
        <v/>
      </c>
      <c r="AO139" s="49">
        <f t="shared" si="44"/>
        <v>0</v>
      </c>
      <c r="AP139" s="49" t="str">
        <f t="shared" si="45"/>
        <v/>
      </c>
      <c r="AQ139" s="49">
        <f t="shared" si="46"/>
        <v>0</v>
      </c>
      <c r="AR139" s="49" t="str">
        <f t="shared" si="47"/>
        <v/>
      </c>
    </row>
    <row r="140" spans="1:44" ht="30" customHeight="1" x14ac:dyDescent="0.35">
      <c r="B140" s="37" t="s">
        <v>43</v>
      </c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100"/>
      <c r="Z140" s="101"/>
      <c r="AA140" s="101"/>
      <c r="AB140" s="102"/>
      <c r="AE140" s="48" t="str">
        <f t="shared" si="33"/>
        <v/>
      </c>
      <c r="AF140" s="48"/>
      <c r="AG140" s="48"/>
      <c r="AH140" s="67"/>
      <c r="AI140" s="49">
        <f t="shared" si="38"/>
        <v>0</v>
      </c>
      <c r="AJ140" s="49" t="str">
        <f t="shared" si="39"/>
        <v/>
      </c>
      <c r="AK140" s="49">
        <f t="shared" si="40"/>
        <v>0</v>
      </c>
      <c r="AL140" s="49" t="str">
        <f t="shared" si="41"/>
        <v/>
      </c>
      <c r="AM140" s="49">
        <f t="shared" si="42"/>
        <v>0</v>
      </c>
      <c r="AN140" s="49" t="str">
        <f t="shared" si="43"/>
        <v/>
      </c>
      <c r="AO140" s="49">
        <f t="shared" si="44"/>
        <v>0</v>
      </c>
      <c r="AP140" s="49" t="str">
        <f t="shared" si="45"/>
        <v/>
      </c>
      <c r="AQ140" s="49">
        <f t="shared" si="46"/>
        <v>0</v>
      </c>
      <c r="AR140" s="49" t="str">
        <f t="shared" si="47"/>
        <v/>
      </c>
    </row>
    <row r="141" spans="1:44" ht="30" customHeight="1" x14ac:dyDescent="0.35">
      <c r="B141" s="41" t="s">
        <v>76</v>
      </c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118"/>
      <c r="Z141" s="119"/>
      <c r="AA141" s="119"/>
      <c r="AB141" s="120"/>
      <c r="AE141" s="48" t="str">
        <f t="shared" si="33"/>
        <v/>
      </c>
      <c r="AF141" s="48"/>
      <c r="AG141" s="48"/>
      <c r="AH141" s="67"/>
      <c r="AI141" s="49">
        <f t="shared" si="38"/>
        <v>0</v>
      </c>
      <c r="AJ141" s="49" t="str">
        <f t="shared" si="39"/>
        <v/>
      </c>
      <c r="AK141" s="49">
        <f t="shared" si="40"/>
        <v>0</v>
      </c>
      <c r="AL141" s="49" t="str">
        <f t="shared" si="41"/>
        <v/>
      </c>
      <c r="AM141" s="49">
        <f t="shared" si="42"/>
        <v>0</v>
      </c>
      <c r="AN141" s="49" t="str">
        <f t="shared" si="43"/>
        <v/>
      </c>
      <c r="AO141" s="49">
        <f t="shared" si="44"/>
        <v>0</v>
      </c>
      <c r="AP141" s="49" t="str">
        <f t="shared" si="45"/>
        <v/>
      </c>
      <c r="AQ141" s="49">
        <f t="shared" si="46"/>
        <v>0</v>
      </c>
      <c r="AR141" s="49" t="str">
        <f t="shared" si="47"/>
        <v/>
      </c>
    </row>
    <row r="142" spans="1:44" ht="30" customHeight="1" x14ac:dyDescent="0.35">
      <c r="A142" t="str">
        <f>CONCATENATE($B$129,"
",$B$139,"
",$B$140,"
",$B$141,""
)</f>
        <v>STELLANTIS
SISTEMA - 521 T3 CVT
ETAPA DE ESCRITÓRIO
Step 0</v>
      </c>
      <c r="B142" s="38" t="s">
        <v>121</v>
      </c>
      <c r="C142" s="85" t="str">
        <f>IF(AND($B142=[1]adriano!$A139,[1]adriano!$B139=C$4),"ok","nok")</f>
        <v>ok</v>
      </c>
      <c r="D142" s="85" t="str">
        <f>IF(AND($B142=[1]adriano!$A139,[1]adriano!$B139=D$4),"ok","nok")</f>
        <v>nok</v>
      </c>
      <c r="E142" s="85" t="str">
        <f>IF(AND($B142=[1]adriano!$A139,[1]adriano!$B139=E$4),"ok","nok")</f>
        <v>nok</v>
      </c>
      <c r="F142" s="85" t="str">
        <f>IF(AND($B142=[1]adriano!$A139,[1]adriano!$B139=F$4),"ok","nok")</f>
        <v>nok</v>
      </c>
      <c r="G142" s="85" t="str">
        <f>IF(AND($B142=[1]adriano!$A139,[1]adriano!$B139=G$4),"ok","nok")</f>
        <v>nok</v>
      </c>
      <c r="H142" s="85" t="str">
        <f>IF(AND($B142=[1]adriano!$A139,[1]adriano!$B139=H$4),"ok","nok")</f>
        <v>nok</v>
      </c>
      <c r="I142" s="85" t="str">
        <f>IF(AND($B142=[1]adriano!$A139,[1]adriano!$B139=I$4),"ok","nok")</f>
        <v>nok</v>
      </c>
      <c r="J142" s="85" t="str">
        <f>IF(AND($B142=[1]adriano!$A139,[1]adriano!$B139=J$4),"ok","nok")</f>
        <v>nok</v>
      </c>
      <c r="K142" s="85" t="str">
        <f>IF(AND($B142=[1]adriano!$A139,[1]adriano!$B139=K$4),"ok","nok")</f>
        <v>nok</v>
      </c>
      <c r="L142" s="85" t="str">
        <f>IF(AND($B142=[1]adriano!$A139,[1]adriano!$B139=L$4),"ok","nok")</f>
        <v>nok</v>
      </c>
      <c r="M142" s="85" t="str">
        <f>IF(AND($B142=[1]adriano!$A139,[1]adriano!$B139=M$4),"ok","nok")</f>
        <v>nok</v>
      </c>
      <c r="N142" s="85" t="str">
        <f>IF(AND($B142=[1]adriano!$A139,[1]adriano!$B139=N$4),"ok","nok")</f>
        <v>nok</v>
      </c>
      <c r="O142" s="85" t="str">
        <f>IF(AND($B142=[1]adriano!$A139,[1]adriano!$B139=O$4),"ok","nok")</f>
        <v>nok</v>
      </c>
      <c r="P142" s="85" t="str">
        <f>IF(AND($B142=[1]adriano!$A139,[1]adriano!$B139=P$4),"ok","nok")</f>
        <v>nok</v>
      </c>
      <c r="Q142" s="85" t="str">
        <f>IF(AND($B142=[1]adriano!$A139,[1]adriano!$B139=Q$4),"ok","nok")</f>
        <v>nok</v>
      </c>
      <c r="R142" s="85" t="str">
        <f>IF(AND($B142=[1]adriano!$A139,[1]adriano!$B139=R$4),"ok","nok")</f>
        <v>nok</v>
      </c>
      <c r="S142" s="85" t="str">
        <f>IF(AND($B142=[1]adriano!$A139,[1]adriano!$B139=S$4),"ok","nok")</f>
        <v>nok</v>
      </c>
      <c r="T142" s="85" t="str">
        <f>IF(AND($B142=[1]adriano!$A139,[1]adriano!$B139=T$4),"ok","nok")</f>
        <v>nok</v>
      </c>
      <c r="U142" s="85" t="str">
        <f>IF(AND($B142=[1]adriano!$A139,[1]adriano!$B139=U$4),"ok","nok")</f>
        <v>nok</v>
      </c>
      <c r="V142" s="85" t="str">
        <f>IF(AND($B142=[1]adriano!$A139,[1]adriano!$B139=V$4),"ok","nok")</f>
        <v>nok</v>
      </c>
      <c r="W142" s="85" t="str">
        <f>IF(AND($B142=[1]adriano!$A139,[1]adriano!$B139=W$4),"ok","nok")</f>
        <v>nok</v>
      </c>
      <c r="X142" s="85" t="str">
        <f>IF(AND($B142=[1]adriano!$A139,[1]adriano!$B139=X$4),"ok","nok")</f>
        <v>nok</v>
      </c>
      <c r="Y142" s="97" t="s">
        <v>36</v>
      </c>
      <c r="Z142" s="98"/>
      <c r="AA142" s="98"/>
      <c r="AB142" s="99"/>
      <c r="AE142" s="48" t="str">
        <f t="shared" si="33"/>
        <v/>
      </c>
      <c r="AF142" s="48"/>
      <c r="AG142" s="48"/>
      <c r="AH142" s="67"/>
      <c r="AI142" s="49">
        <f t="shared" si="38"/>
        <v>1</v>
      </c>
      <c r="AJ142" s="49" t="str">
        <f t="shared" si="39"/>
        <v>EFPRAZO</v>
      </c>
      <c r="AK142" s="49">
        <f t="shared" si="40"/>
        <v>0</v>
      </c>
      <c r="AL142" s="49" t="str">
        <f t="shared" si="41"/>
        <v/>
      </c>
      <c r="AM142" s="49">
        <f t="shared" si="42"/>
        <v>0</v>
      </c>
      <c r="AN142" s="49" t="str">
        <f t="shared" si="43"/>
        <v/>
      </c>
      <c r="AO142" s="49">
        <f t="shared" si="44"/>
        <v>0</v>
      </c>
      <c r="AP142" s="49" t="str">
        <f t="shared" si="45"/>
        <v/>
      </c>
      <c r="AQ142" s="49">
        <f t="shared" si="46"/>
        <v>0</v>
      </c>
      <c r="AR142" s="49" t="str">
        <f t="shared" si="47"/>
        <v/>
      </c>
    </row>
    <row r="143" spans="1:44" ht="30" customHeight="1" x14ac:dyDescent="0.35">
      <c r="A143" t="str">
        <f t="shared" ref="A143:A144" si="48">CONCATENATE($B$129,"
",$B$139,"
",$B$140,"
",$B$141,""
)</f>
        <v>STELLANTIS
SISTEMA - 521 T3 CVT
ETAPA DE ESCRITÓRIO
Step 0</v>
      </c>
      <c r="B143" s="39" t="s">
        <v>122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115"/>
      <c r="Z143" s="116"/>
      <c r="AA143" s="116"/>
      <c r="AB143" s="117"/>
      <c r="AE143" s="48" t="str">
        <f t="shared" si="33"/>
        <v/>
      </c>
      <c r="AF143" s="48"/>
      <c r="AG143" s="48"/>
      <c r="AH143" s="67"/>
      <c r="AI143" s="49">
        <f t="shared" si="38"/>
        <v>0</v>
      </c>
      <c r="AJ143" s="49" t="str">
        <f t="shared" si="39"/>
        <v/>
      </c>
      <c r="AK143" s="49">
        <f t="shared" si="40"/>
        <v>0</v>
      </c>
      <c r="AL143" s="49" t="str">
        <f t="shared" si="41"/>
        <v/>
      </c>
      <c r="AM143" s="49">
        <f t="shared" si="42"/>
        <v>0</v>
      </c>
      <c r="AN143" s="49" t="str">
        <f t="shared" si="43"/>
        <v/>
      </c>
      <c r="AO143" s="49">
        <f t="shared" si="44"/>
        <v>0</v>
      </c>
      <c r="AP143" s="49" t="str">
        <f t="shared" si="45"/>
        <v/>
      </c>
      <c r="AQ143" s="49">
        <f t="shared" si="46"/>
        <v>0</v>
      </c>
      <c r="AR143" s="49" t="str">
        <f t="shared" si="47"/>
        <v/>
      </c>
    </row>
    <row r="144" spans="1:44" ht="30" customHeight="1" x14ac:dyDescent="0.35">
      <c r="A144" t="str">
        <f t="shared" si="48"/>
        <v>STELLANTIS
SISTEMA - 521 T3 CVT
ETAPA DE ESCRITÓRIO
Step 0</v>
      </c>
      <c r="B144" s="38" t="s">
        <v>120</v>
      </c>
      <c r="C144" s="85" t="str">
        <f>IF(AND($B144=[1]adriano!$A141,[1]adriano!$B141=C$4),"ok","nok")</f>
        <v>ok</v>
      </c>
      <c r="D144" s="85" t="str">
        <f>IF(AND($B144=[1]adriano!$A141,[1]adriano!$B141=D$4),"ok","nok")</f>
        <v>nok</v>
      </c>
      <c r="E144" s="85" t="str">
        <f>IF(AND($B144=[1]adriano!$A141,[1]adriano!$B141=E$4),"ok","nok")</f>
        <v>nok</v>
      </c>
      <c r="F144" s="85" t="str">
        <f>IF(AND($B144=[1]adriano!$A141,[1]adriano!$B141=F$4),"ok","nok")</f>
        <v>nok</v>
      </c>
      <c r="G144" s="85" t="str">
        <f>IF(AND($B144=[1]adriano!$A141,[1]adriano!$B141=G$4),"ok","nok")</f>
        <v>nok</v>
      </c>
      <c r="H144" s="85" t="str">
        <f>IF(AND($B144=[1]adriano!$A141,[1]adriano!$B141=H$4),"ok","nok")</f>
        <v>nok</v>
      </c>
      <c r="I144" s="85" t="str">
        <f>IF(AND($B144=[1]adriano!$A141,[1]adriano!$B141=I$4),"ok","nok")</f>
        <v>nok</v>
      </c>
      <c r="J144" s="85" t="str">
        <f>IF(AND($B144=[1]adriano!$A141,[1]adriano!$B141=J$4),"ok","nok")</f>
        <v>nok</v>
      </c>
      <c r="K144" s="85" t="str">
        <f>IF(AND($B144=[1]adriano!$A141,[1]adriano!$B141=K$4),"ok","nok")</f>
        <v>nok</v>
      </c>
      <c r="L144" s="85" t="str">
        <f>IF(AND($B144=[1]adriano!$A141,[1]adriano!$B141=L$4),"ok","nok")</f>
        <v>nok</v>
      </c>
      <c r="M144" s="85" t="str">
        <f>IF(AND($B144=[1]adriano!$A141,[1]adriano!$B141=M$4),"ok","nok")</f>
        <v>nok</v>
      </c>
      <c r="N144" s="85" t="str">
        <f>IF(AND($B144=[1]adriano!$A141,[1]adriano!$B141=N$4),"ok","nok")</f>
        <v>nok</v>
      </c>
      <c r="O144" s="85" t="str">
        <f>IF(AND($B144=[1]adriano!$A141,[1]adriano!$B141=O$4),"ok","nok")</f>
        <v>nok</v>
      </c>
      <c r="P144" s="85" t="str">
        <f>IF(AND($B144=[1]adriano!$A141,[1]adriano!$B141=P$4),"ok","nok")</f>
        <v>nok</v>
      </c>
      <c r="Q144" s="85" t="str">
        <f>IF(AND($B144=[1]adriano!$A141,[1]adriano!$B141=Q$4),"ok","nok")</f>
        <v>nok</v>
      </c>
      <c r="R144" s="85" t="str">
        <f>IF(AND($B144=[1]adriano!$A141,[1]adriano!$B141=R$4),"ok","nok")</f>
        <v>nok</v>
      </c>
      <c r="S144" s="85" t="str">
        <f>IF(AND($B144=[1]adriano!$A141,[1]adriano!$B141=S$4),"ok","nok")</f>
        <v>nok</v>
      </c>
      <c r="T144" s="85" t="str">
        <f>IF(AND($B144=[1]adriano!$A141,[1]adriano!$B141=T$4),"ok","nok")</f>
        <v>nok</v>
      </c>
      <c r="U144" s="85" t="str">
        <f>IF(AND($B144=[1]adriano!$A141,[1]adriano!$B141=U$4),"ok","nok")</f>
        <v>nok</v>
      </c>
      <c r="V144" s="85" t="str">
        <f>IF(AND($B144=[1]adriano!$A141,[1]adriano!$B141=V$4),"ok","nok")</f>
        <v>nok</v>
      </c>
      <c r="W144" s="85" t="str">
        <f>IF(AND($B144=[1]adriano!$A141,[1]adriano!$B141=W$4),"ok","nok")</f>
        <v>nok</v>
      </c>
      <c r="X144" s="85" t="str">
        <f>IF(AND($B144=[1]adriano!$A141,[1]adriano!$B141=X$4),"ok","nok")</f>
        <v>nok</v>
      </c>
      <c r="Y144" s="97" t="s">
        <v>36</v>
      </c>
      <c r="Z144" s="98"/>
      <c r="AA144" s="98"/>
      <c r="AB144" s="99"/>
      <c r="AE144" s="48" t="str">
        <f t="shared" si="33"/>
        <v/>
      </c>
      <c r="AF144" s="48"/>
      <c r="AG144" s="48"/>
      <c r="AH144" s="67"/>
      <c r="AI144" s="49">
        <f t="shared" si="38"/>
        <v>1</v>
      </c>
      <c r="AJ144" s="49" t="str">
        <f t="shared" si="39"/>
        <v>EFPRAZO</v>
      </c>
      <c r="AK144" s="49">
        <f t="shared" si="40"/>
        <v>0</v>
      </c>
      <c r="AL144" s="49" t="str">
        <f t="shared" si="41"/>
        <v/>
      </c>
      <c r="AM144" s="49">
        <f t="shared" si="42"/>
        <v>0</v>
      </c>
      <c r="AN144" s="49" t="str">
        <f t="shared" si="43"/>
        <v/>
      </c>
      <c r="AO144" s="49">
        <f t="shared" si="44"/>
        <v>0</v>
      </c>
      <c r="AP144" s="49" t="str">
        <f t="shared" si="45"/>
        <v/>
      </c>
      <c r="AQ144" s="49">
        <f t="shared" si="46"/>
        <v>0</v>
      </c>
      <c r="AR144" s="49" t="str">
        <f t="shared" si="47"/>
        <v/>
      </c>
    </row>
    <row r="145" spans="1:44" ht="30" customHeight="1" x14ac:dyDescent="0.35">
      <c r="B145" s="41" t="s">
        <v>123</v>
      </c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118"/>
      <c r="Z145" s="119"/>
      <c r="AA145" s="119"/>
      <c r="AB145" s="120"/>
      <c r="AE145" s="48" t="str">
        <f t="shared" si="33"/>
        <v/>
      </c>
      <c r="AF145" s="48"/>
      <c r="AG145" s="48"/>
      <c r="AH145" s="67"/>
      <c r="AI145" s="49">
        <f t="shared" si="38"/>
        <v>0</v>
      </c>
      <c r="AJ145" s="49" t="str">
        <f t="shared" si="39"/>
        <v/>
      </c>
      <c r="AK145" s="49">
        <f t="shared" si="40"/>
        <v>0</v>
      </c>
      <c r="AL145" s="49" t="str">
        <f t="shared" si="41"/>
        <v/>
      </c>
      <c r="AM145" s="49">
        <f t="shared" si="42"/>
        <v>0</v>
      </c>
      <c r="AN145" s="49" t="str">
        <f t="shared" si="43"/>
        <v/>
      </c>
      <c r="AO145" s="49">
        <f t="shared" si="44"/>
        <v>0</v>
      </c>
      <c r="AP145" s="49" t="str">
        <f t="shared" si="45"/>
        <v/>
      </c>
      <c r="AQ145" s="49">
        <f t="shared" si="46"/>
        <v>0</v>
      </c>
      <c r="AR145" s="49" t="str">
        <f t="shared" si="47"/>
        <v/>
      </c>
    </row>
    <row r="146" spans="1:44" ht="30" customHeight="1" x14ac:dyDescent="0.35">
      <c r="A146" t="str">
        <f>CONCATENATE($B$129,"
",$B$139,"
",$B$140,"
",$B$145,""
)</f>
        <v>STELLANTIS
SISTEMA - 521 T3 CVT
ETAPA DE ESCRITÓRIO
Step A</v>
      </c>
      <c r="B146" s="38" t="s">
        <v>124</v>
      </c>
      <c r="C146" s="85" t="str">
        <f>IF(AND($B146=[1]adriano!$A143,[1]adriano!$B143=C$4),"ok","nok")</f>
        <v>nok</v>
      </c>
      <c r="D146" s="85" t="str">
        <f>IF(AND($B146=[1]adriano!$A143,[1]adriano!$B143=D$4),"ok","nok")</f>
        <v>nok</v>
      </c>
      <c r="E146" s="85" t="str">
        <f>IF(AND($B146=[1]adriano!$A143,[1]adriano!$B143=E$4),"ok","nok")</f>
        <v>nok</v>
      </c>
      <c r="F146" s="85" t="str">
        <f>IF(AND($B146=[1]adriano!$A143,[1]adriano!$B143=F$4),"ok","nok")</f>
        <v>nok</v>
      </c>
      <c r="G146" s="85" t="str">
        <f>IF(AND($B146=[1]adriano!$A143,[1]adriano!$B143=G$4),"ok","nok")</f>
        <v>nok</v>
      </c>
      <c r="H146" s="85" t="str">
        <f>IF(AND($B146=[1]adriano!$A143,[1]adriano!$B143=H$4),"ok","nok")</f>
        <v>ok</v>
      </c>
      <c r="I146" s="85" t="str">
        <f>IF(AND($B146=[1]adriano!$A143,[1]adriano!$B143=I$4),"ok","nok")</f>
        <v>nok</v>
      </c>
      <c r="J146" s="85" t="str">
        <f>IF(AND($B146=[1]adriano!$A143,[1]adriano!$B143=J$4),"ok","nok")</f>
        <v>nok</v>
      </c>
      <c r="K146" s="85" t="str">
        <f>IF(AND($B146=[1]adriano!$A143,[1]adriano!$B143=K$4),"ok","nok")</f>
        <v>nok</v>
      </c>
      <c r="L146" s="85" t="str">
        <f>IF(AND($B146=[1]adriano!$A143,[1]adriano!$B143=L$4),"ok","nok")</f>
        <v>nok</v>
      </c>
      <c r="M146" s="85" t="str">
        <f>IF(AND($B146=[1]adriano!$A143,[1]adriano!$B143=M$4),"ok","nok")</f>
        <v>nok</v>
      </c>
      <c r="N146" s="85" t="str">
        <f>IF(AND($B146=[1]adriano!$A143,[1]adriano!$B143=N$4),"ok","nok")</f>
        <v>nok</v>
      </c>
      <c r="O146" s="85" t="str">
        <f>IF(AND($B146=[1]adriano!$A143,[1]adriano!$B143=O$4),"ok","nok")</f>
        <v>nok</v>
      </c>
      <c r="P146" s="85" t="str">
        <f>IF(AND($B146=[1]adriano!$A143,[1]adriano!$B143=P$4),"ok","nok")</f>
        <v>nok</v>
      </c>
      <c r="Q146" s="85" t="str">
        <f>IF(AND($B146=[1]adriano!$A143,[1]adriano!$B143=Q$4),"ok","nok")</f>
        <v>nok</v>
      </c>
      <c r="R146" s="85" t="str">
        <f>IF(AND($B146=[1]adriano!$A143,[1]adriano!$B143=R$4),"ok","nok")</f>
        <v>nok</v>
      </c>
      <c r="S146" s="85" t="str">
        <f>IF(AND($B146=[1]adriano!$A143,[1]adriano!$B143=S$4),"ok","nok")</f>
        <v>nok</v>
      </c>
      <c r="T146" s="85" t="str">
        <f>IF(AND($B146=[1]adriano!$A143,[1]adriano!$B143=T$4),"ok","nok")</f>
        <v>nok</v>
      </c>
      <c r="U146" s="85" t="str">
        <f>IF(AND($B146=[1]adriano!$A143,[1]adriano!$B143=U$4),"ok","nok")</f>
        <v>nok</v>
      </c>
      <c r="V146" s="85" t="str">
        <f>IF(AND($B146=[1]adriano!$A143,[1]adriano!$B143=V$4),"ok","nok")</f>
        <v>nok</v>
      </c>
      <c r="W146" s="85" t="str">
        <f>IF(AND($B146=[1]adriano!$A143,[1]adriano!$B143=W$4),"ok","nok")</f>
        <v>nok</v>
      </c>
      <c r="X146" s="85" t="str">
        <f>IF(AND($B146=[1]adriano!$A143,[1]adriano!$B143=X$4),"ok","nok")</f>
        <v>nok</v>
      </c>
      <c r="Y146" s="97" t="s">
        <v>2</v>
      </c>
      <c r="Z146" s="98"/>
      <c r="AA146" s="98"/>
      <c r="AB146" s="99"/>
      <c r="AE146" s="48" t="str">
        <f t="shared" si="33"/>
        <v/>
      </c>
      <c r="AF146" s="48"/>
      <c r="AG146" s="48"/>
      <c r="AH146" s="67"/>
      <c r="AI146" s="49">
        <f t="shared" si="38"/>
        <v>0</v>
      </c>
      <c r="AJ146" s="49" t="str">
        <f t="shared" si="39"/>
        <v/>
      </c>
      <c r="AK146" s="49">
        <f t="shared" si="40"/>
        <v>1</v>
      </c>
      <c r="AL146" s="49" t="str">
        <f t="shared" si="41"/>
        <v>ENTREGUE</v>
      </c>
      <c r="AM146" s="49">
        <f t="shared" si="42"/>
        <v>0</v>
      </c>
      <c r="AN146" s="49" t="str">
        <f t="shared" si="43"/>
        <v/>
      </c>
      <c r="AO146" s="49">
        <f t="shared" si="44"/>
        <v>0</v>
      </c>
      <c r="AP146" s="49" t="str">
        <f t="shared" si="45"/>
        <v/>
      </c>
      <c r="AQ146" s="49">
        <f t="shared" si="46"/>
        <v>0</v>
      </c>
      <c r="AR146" s="49" t="str">
        <f t="shared" si="47"/>
        <v/>
      </c>
    </row>
    <row r="147" spans="1:44" ht="30" customHeight="1" x14ac:dyDescent="0.35">
      <c r="A147" t="str">
        <f t="shared" ref="A147:A149" si="49">CONCATENATE($B$129,"
",$B$139,"
",$B$140,"
",$B$145,""
)</f>
        <v>STELLANTIS
SISTEMA - 521 T3 CVT
ETAPA DE ESCRITÓRIO
Step A</v>
      </c>
      <c r="B147" s="38" t="s">
        <v>125</v>
      </c>
      <c r="C147" s="85" t="str">
        <f>IF(AND($B147=[1]adriano!$A144,[1]adriano!$B144=C$4),"ok","nok")</f>
        <v>nok</v>
      </c>
      <c r="D147" s="85" t="str">
        <f>IF(AND($B147=[1]adriano!$A144,[1]adriano!$B144=D$4),"ok","nok")</f>
        <v>nok</v>
      </c>
      <c r="E147" s="85" t="str">
        <f>IF(AND($B147=[1]adriano!$A144,[1]adriano!$B144=E$4),"ok","nok")</f>
        <v>nok</v>
      </c>
      <c r="F147" s="85" t="str">
        <f>IF(AND($B147=[1]adriano!$A144,[1]adriano!$B144=F$4),"ok","nok")</f>
        <v>nok</v>
      </c>
      <c r="G147" s="85" t="str">
        <f>IF(AND($B147=[1]adriano!$A144,[1]adriano!$B144=G$4),"ok","nok")</f>
        <v>nok</v>
      </c>
      <c r="H147" s="85" t="str">
        <f>IF(AND($B147=[1]adriano!$A144,[1]adriano!$B144=H$4),"ok","nok")</f>
        <v>nok</v>
      </c>
      <c r="I147" s="85" t="str">
        <f>IF(AND($B147=[1]adriano!$A144,[1]adriano!$B144=I$4),"ok","nok")</f>
        <v>nok</v>
      </c>
      <c r="J147" s="85" t="str">
        <f>IF(AND($B147=[1]adriano!$A144,[1]adriano!$B144=J$4),"ok","nok")</f>
        <v>nok</v>
      </c>
      <c r="K147" s="85" t="str">
        <f>IF(AND($B147=[1]adriano!$A144,[1]adriano!$B144=K$4),"ok","nok")</f>
        <v>nok</v>
      </c>
      <c r="L147" s="85" t="str">
        <f>IF(AND($B147=[1]adriano!$A144,[1]adriano!$B144=L$4),"ok","nok")</f>
        <v>ok</v>
      </c>
      <c r="M147" s="85" t="str">
        <f>IF(AND($B147=[1]adriano!$A144,[1]adriano!$B144=M$4),"ok","nok")</f>
        <v>nok</v>
      </c>
      <c r="N147" s="85" t="str">
        <f>IF(AND($B147=[1]adriano!$A144,[1]adriano!$B144=N$4),"ok","nok")</f>
        <v>nok</v>
      </c>
      <c r="O147" s="85" t="str">
        <f>IF(AND($B147=[1]adriano!$A144,[1]adriano!$B144=O$4),"ok","nok")</f>
        <v>nok</v>
      </c>
      <c r="P147" s="85" t="str">
        <f>IF(AND($B147=[1]adriano!$A144,[1]adriano!$B144=P$4),"ok","nok")</f>
        <v>nok</v>
      </c>
      <c r="Q147" s="85" t="str">
        <f>IF(AND($B147=[1]adriano!$A144,[1]adriano!$B144=Q$4),"ok","nok")</f>
        <v>nok</v>
      </c>
      <c r="R147" s="85" t="str">
        <f>IF(AND($B147=[1]adriano!$A144,[1]adriano!$B144=R$4),"ok","nok")</f>
        <v>nok</v>
      </c>
      <c r="S147" s="85" t="str">
        <f>IF(AND($B147=[1]adriano!$A144,[1]adriano!$B144=S$4),"ok","nok")</f>
        <v>nok</v>
      </c>
      <c r="T147" s="85" t="str">
        <f>IF(AND($B147=[1]adriano!$A144,[1]adriano!$B144=T$4),"ok","nok")</f>
        <v>nok</v>
      </c>
      <c r="U147" s="85" t="str">
        <f>IF(AND($B147=[1]adriano!$A144,[1]adriano!$B144=U$4),"ok","nok")</f>
        <v>nok</v>
      </c>
      <c r="V147" s="85" t="str">
        <f>IF(AND($B147=[1]adriano!$A144,[1]adriano!$B144=V$4),"ok","nok")</f>
        <v>nok</v>
      </c>
      <c r="W147" s="85" t="str">
        <f>IF(AND($B147=[1]adriano!$A144,[1]adriano!$B144=W$4),"ok","nok")</f>
        <v>nok</v>
      </c>
      <c r="X147" s="85" t="str">
        <f>IF(AND($B147=[1]adriano!$A144,[1]adriano!$B144=X$4),"ok","nok")</f>
        <v>nok</v>
      </c>
      <c r="Y147" s="97" t="s">
        <v>2</v>
      </c>
      <c r="Z147" s="98"/>
      <c r="AA147" s="98"/>
      <c r="AB147" s="99"/>
      <c r="AE147" s="48" t="str">
        <f t="shared" si="33"/>
        <v/>
      </c>
      <c r="AF147" s="48"/>
      <c r="AG147" s="48"/>
      <c r="AH147" s="67"/>
      <c r="AI147" s="49">
        <f t="shared" si="38"/>
        <v>0</v>
      </c>
      <c r="AJ147" s="49" t="str">
        <f t="shared" si="39"/>
        <v/>
      </c>
      <c r="AK147" s="49">
        <f t="shared" si="40"/>
        <v>1</v>
      </c>
      <c r="AL147" s="49" t="str">
        <f t="shared" si="41"/>
        <v>ENTREGUE</v>
      </c>
      <c r="AM147" s="49">
        <f t="shared" si="42"/>
        <v>0</v>
      </c>
      <c r="AN147" s="49" t="str">
        <f t="shared" si="43"/>
        <v/>
      </c>
      <c r="AO147" s="49">
        <f t="shared" si="44"/>
        <v>0</v>
      </c>
      <c r="AP147" s="49" t="str">
        <f t="shared" si="45"/>
        <v/>
      </c>
      <c r="AQ147" s="49">
        <f t="shared" si="46"/>
        <v>0</v>
      </c>
      <c r="AR147" s="49" t="str">
        <f t="shared" si="47"/>
        <v/>
      </c>
    </row>
    <row r="148" spans="1:44" ht="30" customHeight="1" x14ac:dyDescent="0.35">
      <c r="A148" t="str">
        <f t="shared" si="49"/>
        <v>STELLANTIS
SISTEMA - 521 T3 CVT
ETAPA DE ESCRITÓRIO
Step A</v>
      </c>
      <c r="B148" s="38" t="s">
        <v>126</v>
      </c>
      <c r="C148" s="85" t="str">
        <f>IF(AND($B148=[1]adriano!$A145,[1]adriano!$B145=C$4),"ok","nok")</f>
        <v>nok</v>
      </c>
      <c r="D148" s="85" t="str">
        <f>IF(AND($B148=[1]adriano!$A145,[1]adriano!$B145=D$4),"ok","nok")</f>
        <v>nok</v>
      </c>
      <c r="E148" s="85" t="str">
        <f>IF(AND($B148=[1]adriano!$A145,[1]adriano!$B145=E$4),"ok","nok")</f>
        <v>nok</v>
      </c>
      <c r="F148" s="85" t="str">
        <f>IF(AND($B148=[1]adriano!$A145,[1]adriano!$B145=F$4),"ok","nok")</f>
        <v>nok</v>
      </c>
      <c r="G148" s="85" t="str">
        <f>IF(AND($B148=[1]adriano!$A145,[1]adriano!$B145=G$4),"ok","nok")</f>
        <v>nok</v>
      </c>
      <c r="H148" s="85" t="str">
        <f>IF(AND($B148=[1]adriano!$A145,[1]adriano!$B145=H$4),"ok","nok")</f>
        <v>nok</v>
      </c>
      <c r="I148" s="85" t="str">
        <f>IF(AND($B148=[1]adriano!$A145,[1]adriano!$B145=I$4),"ok","nok")</f>
        <v>nok</v>
      </c>
      <c r="J148" s="85" t="str">
        <f>IF(AND($B148=[1]adriano!$A145,[1]adriano!$B145=J$4),"ok","nok")</f>
        <v>nok</v>
      </c>
      <c r="K148" s="85" t="str">
        <f>IF(AND($B148=[1]adriano!$A145,[1]adriano!$B145=K$4),"ok","nok")</f>
        <v>nok</v>
      </c>
      <c r="L148" s="85" t="str">
        <f>IF(AND($B148=[1]adriano!$A145,[1]adriano!$B145=L$4),"ok","nok")</f>
        <v>nok</v>
      </c>
      <c r="M148" s="85" t="str">
        <f>IF(AND($B148=[1]adriano!$A145,[1]adriano!$B145=M$4),"ok","nok")</f>
        <v>nok</v>
      </c>
      <c r="N148" s="85" t="str">
        <f>IF(AND($B148=[1]adriano!$A145,[1]adriano!$B145=N$4),"ok","nok")</f>
        <v>nok</v>
      </c>
      <c r="O148" s="85" t="str">
        <f>IF(AND($B148=[1]adriano!$A145,[1]adriano!$B145=O$4),"ok","nok")</f>
        <v>nok</v>
      </c>
      <c r="P148" s="85" t="str">
        <f>IF(AND($B148=[1]adriano!$A145,[1]adriano!$B145=P$4),"ok","nok")</f>
        <v>nok</v>
      </c>
      <c r="Q148" s="85" t="str">
        <f>IF(AND($B148=[1]adriano!$A145,[1]adriano!$B145=Q$4),"ok","nok")</f>
        <v>ok</v>
      </c>
      <c r="R148" s="85" t="str">
        <f>IF(AND($B148=[1]adriano!$A145,[1]adriano!$B145=R$4),"ok","nok")</f>
        <v>nok</v>
      </c>
      <c r="S148" s="85" t="str">
        <f>IF(AND($B148=[1]adriano!$A145,[1]adriano!$B145=S$4),"ok","nok")</f>
        <v>nok</v>
      </c>
      <c r="T148" s="85" t="str">
        <f>IF(AND($B148=[1]adriano!$A145,[1]adriano!$B145=T$4),"ok","nok")</f>
        <v>nok</v>
      </c>
      <c r="U148" s="85" t="str">
        <f>IF(AND($B148=[1]adriano!$A145,[1]adriano!$B145=U$4),"ok","nok")</f>
        <v>nok</v>
      </c>
      <c r="V148" s="85" t="str">
        <f>IF(AND($B148=[1]adriano!$A145,[1]adriano!$B145=V$4),"ok","nok")</f>
        <v>nok</v>
      </c>
      <c r="W148" s="85" t="str">
        <f>IF(AND($B148=[1]adriano!$A145,[1]adriano!$B145=W$4),"ok","nok")</f>
        <v>nok</v>
      </c>
      <c r="X148" s="85" t="str">
        <f>IF(AND($B148=[1]adriano!$A145,[1]adriano!$B145=X$4),"ok","nok")</f>
        <v>nok</v>
      </c>
      <c r="Y148" s="97" t="s">
        <v>2</v>
      </c>
      <c r="Z148" s="98"/>
      <c r="AA148" s="98"/>
      <c r="AB148" s="99"/>
      <c r="AE148" s="48" t="str">
        <f t="shared" si="33"/>
        <v/>
      </c>
      <c r="AF148" s="48"/>
      <c r="AG148" s="48"/>
      <c r="AH148" s="67"/>
      <c r="AI148" s="49">
        <f t="shared" si="38"/>
        <v>0</v>
      </c>
      <c r="AJ148" s="49" t="str">
        <f t="shared" si="39"/>
        <v/>
      </c>
      <c r="AK148" s="49">
        <f t="shared" si="40"/>
        <v>0</v>
      </c>
      <c r="AL148" s="49" t="str">
        <f t="shared" si="41"/>
        <v/>
      </c>
      <c r="AM148" s="49">
        <f t="shared" si="42"/>
        <v>1</v>
      </c>
      <c r="AN148" s="49" t="str">
        <f t="shared" si="43"/>
        <v>ENTREGUE</v>
      </c>
      <c r="AO148" s="49">
        <f t="shared" si="44"/>
        <v>0</v>
      </c>
      <c r="AP148" s="49" t="str">
        <f t="shared" si="45"/>
        <v/>
      </c>
      <c r="AQ148" s="49">
        <f t="shared" si="46"/>
        <v>0</v>
      </c>
      <c r="AR148" s="49" t="str">
        <f t="shared" si="47"/>
        <v/>
      </c>
    </row>
    <row r="149" spans="1:44" ht="30" customHeight="1" x14ac:dyDescent="0.35">
      <c r="A149" t="str">
        <f t="shared" si="49"/>
        <v>STELLANTIS
SISTEMA - 521 T3 CVT
ETAPA DE ESCRITÓRIO
Step A</v>
      </c>
      <c r="B149" s="38" t="s">
        <v>127</v>
      </c>
      <c r="C149" s="85" t="str">
        <f>IF(AND($B149=[1]adriano!$A146,[1]adriano!$B146=C$4),"ok","nok")</f>
        <v>nok</v>
      </c>
      <c r="D149" s="85" t="str">
        <f>IF(AND($B149=[1]adriano!$A146,[1]adriano!$B146=D$4),"ok","nok")</f>
        <v>nok</v>
      </c>
      <c r="E149" s="85" t="str">
        <f>IF(AND($B149=[1]adriano!$A146,[1]adriano!$B146=E$4),"ok","nok")</f>
        <v>nok</v>
      </c>
      <c r="F149" s="85" t="str">
        <f>IF(AND($B149=[1]adriano!$A146,[1]adriano!$B146=F$4),"ok","nok")</f>
        <v>nok</v>
      </c>
      <c r="G149" s="85" t="str">
        <f>IF(AND($B149=[1]adriano!$A146,[1]adriano!$B146=G$4),"ok","nok")</f>
        <v>nok</v>
      </c>
      <c r="H149" s="85" t="str">
        <f>IF(AND($B149=[1]adriano!$A146,[1]adriano!$B146=H$4),"ok","nok")</f>
        <v>nok</v>
      </c>
      <c r="I149" s="85" t="str">
        <f>IF(AND($B149=[1]adriano!$A146,[1]adriano!$B146=I$4),"ok","nok")</f>
        <v>nok</v>
      </c>
      <c r="J149" s="85" t="str">
        <f>IF(AND($B149=[1]adriano!$A146,[1]adriano!$B146=J$4),"ok","nok")</f>
        <v>nok</v>
      </c>
      <c r="K149" s="85" t="str">
        <f>IF(AND($B149=[1]adriano!$A146,[1]adriano!$B146=K$4),"ok","nok")</f>
        <v>nok</v>
      </c>
      <c r="L149" s="85" t="str">
        <f>IF(AND($B149=[1]adriano!$A146,[1]adriano!$B146=L$4),"ok","nok")</f>
        <v>nok</v>
      </c>
      <c r="M149" s="85" t="str">
        <f>IF(AND($B149=[1]adriano!$A146,[1]adriano!$B146=M$4),"ok","nok")</f>
        <v>nok</v>
      </c>
      <c r="N149" s="85" t="str">
        <f>IF(AND($B149=[1]adriano!$A146,[1]adriano!$B146=N$4),"ok","nok")</f>
        <v>nok</v>
      </c>
      <c r="O149" s="85" t="str">
        <f>IF(AND($B149=[1]adriano!$A146,[1]adriano!$B146=O$4),"ok","nok")</f>
        <v>nok</v>
      </c>
      <c r="P149" s="85" t="str">
        <f>IF(AND($B149=[1]adriano!$A146,[1]adriano!$B146=P$4),"ok","nok")</f>
        <v>nok</v>
      </c>
      <c r="Q149" s="85" t="str">
        <f>IF(AND($B149=[1]adriano!$A146,[1]adriano!$B146=Q$4),"ok","nok")</f>
        <v>nok</v>
      </c>
      <c r="R149" s="85" t="str">
        <f>IF(AND($B149=[1]adriano!$A146,[1]adriano!$B146=R$4),"ok","nok")</f>
        <v>nok</v>
      </c>
      <c r="S149" s="85" t="str">
        <f>IF(AND($B149=[1]adriano!$A146,[1]adriano!$B146=S$4),"ok","nok")</f>
        <v>nok</v>
      </c>
      <c r="T149" s="85" t="str">
        <f>IF(AND($B149=[1]adriano!$A146,[1]adriano!$B146=T$4),"ok","nok")</f>
        <v>nok</v>
      </c>
      <c r="U149" s="85" t="str">
        <f>IF(AND($B149=[1]adriano!$A146,[1]adriano!$B146=U$4),"ok","nok")</f>
        <v>nok</v>
      </c>
      <c r="V149" s="85" t="str">
        <f>IF(AND($B149=[1]adriano!$A146,[1]adriano!$B146=V$4),"ok","nok")</f>
        <v>ok</v>
      </c>
      <c r="W149" s="85" t="str">
        <f>IF(AND($B149=[1]adriano!$A146,[1]adriano!$B146=W$4),"ok","nok")</f>
        <v>nok</v>
      </c>
      <c r="X149" s="85" t="str">
        <f>IF(AND($B149=[1]adriano!$A146,[1]adriano!$B146=X$4),"ok","nok")</f>
        <v>nok</v>
      </c>
      <c r="Y149" s="97" t="s">
        <v>15</v>
      </c>
      <c r="Z149" s="98"/>
      <c r="AA149" s="98"/>
      <c r="AB149" s="99"/>
      <c r="AE149" s="48" t="str">
        <f t="shared" si="33"/>
        <v/>
      </c>
      <c r="AF149" s="48"/>
      <c r="AG149" s="48"/>
      <c r="AH149" s="67"/>
      <c r="AI149" s="49">
        <f t="shared" si="38"/>
        <v>0</v>
      </c>
      <c r="AJ149" s="49" t="str">
        <f t="shared" si="39"/>
        <v/>
      </c>
      <c r="AK149" s="49">
        <f t="shared" si="40"/>
        <v>0</v>
      </c>
      <c r="AL149" s="49" t="str">
        <f t="shared" si="41"/>
        <v/>
      </c>
      <c r="AM149" s="49">
        <f t="shared" si="42"/>
        <v>0</v>
      </c>
      <c r="AN149" s="49" t="str">
        <f t="shared" si="43"/>
        <v/>
      </c>
      <c r="AO149" s="49">
        <f t="shared" si="44"/>
        <v>1</v>
      </c>
      <c r="AP149" s="49" t="str">
        <f t="shared" si="45"/>
        <v/>
      </c>
      <c r="AQ149" s="49">
        <f t="shared" si="46"/>
        <v>0</v>
      </c>
      <c r="AR149" s="49" t="str">
        <f t="shared" si="47"/>
        <v/>
      </c>
    </row>
  </sheetData>
  <sheetProtection selectLockedCells="1"/>
  <mergeCells count="226">
    <mergeCell ref="Y148:AB148"/>
    <mergeCell ref="Y149:AB149"/>
    <mergeCell ref="Y137:AB137"/>
    <mergeCell ref="Y143:AB143"/>
    <mergeCell ref="Y139:AB139"/>
    <mergeCell ref="Y141:AB141"/>
    <mergeCell ref="Y145:AB145"/>
    <mergeCell ref="Y131:AB131"/>
    <mergeCell ref="Y140:AB140"/>
    <mergeCell ref="Y133:AB133"/>
    <mergeCell ref="Y134:AB134"/>
    <mergeCell ref="Y135:AB135"/>
    <mergeCell ref="Y136:AB136"/>
    <mergeCell ref="Y138:AB138"/>
    <mergeCell ref="Y142:AB142"/>
    <mergeCell ref="Y144:AB144"/>
    <mergeCell ref="Y146:AB146"/>
    <mergeCell ref="Y147:AB147"/>
    <mergeCell ref="Y111:AB111"/>
    <mergeCell ref="Y116:AB116"/>
    <mergeCell ref="Y117:AB117"/>
    <mergeCell ref="Y119:AB119"/>
    <mergeCell ref="Y126:AB126"/>
    <mergeCell ref="Y127:AB127"/>
    <mergeCell ref="Y128:AB128"/>
    <mergeCell ref="Y118:AB118"/>
    <mergeCell ref="Y113:AB113"/>
    <mergeCell ref="Y115:AB115"/>
    <mergeCell ref="Y125:AB125"/>
    <mergeCell ref="Y120:AB120"/>
    <mergeCell ref="Y121:AB121"/>
    <mergeCell ref="Y122:AB122"/>
    <mergeCell ref="Y123:AB123"/>
    <mergeCell ref="Y130:AB130"/>
    <mergeCell ref="Y132:AB132"/>
    <mergeCell ref="Y20:AB20"/>
    <mergeCell ref="Y21:AB21"/>
    <mergeCell ref="Y22:AB22"/>
    <mergeCell ref="Y23:AB23"/>
    <mergeCell ref="Y24:AB24"/>
    <mergeCell ref="Y112:AB112"/>
    <mergeCell ref="Y124:AB124"/>
    <mergeCell ref="Y129:AB129"/>
    <mergeCell ref="Y114:AB114"/>
    <mergeCell ref="Y25:AB25"/>
    <mergeCell ref="Y93:AB93"/>
    <mergeCell ref="Y94:AB94"/>
    <mergeCell ref="Y102:AB102"/>
    <mergeCell ref="Y95:AB95"/>
    <mergeCell ref="Y103:AB103"/>
    <mergeCell ref="Y107:AB107"/>
    <mergeCell ref="Y99:AB99"/>
    <mergeCell ref="Y100:AB100"/>
    <mergeCell ref="Y108:AB108"/>
    <mergeCell ref="Y96:AB96"/>
    <mergeCell ref="Y97:AB97"/>
    <mergeCell ref="Y98:AB98"/>
    <mergeCell ref="Y101:AB101"/>
    <mergeCell ref="Y104:AB104"/>
    <mergeCell ref="Y105:AB105"/>
    <mergeCell ref="Y106:AB106"/>
    <mergeCell ref="Y109:AB109"/>
    <mergeCell ref="Y110:AB110"/>
    <mergeCell ref="BM14:BO14"/>
    <mergeCell ref="Y81:AB81"/>
    <mergeCell ref="Y78:AB78"/>
    <mergeCell ref="Y79:AB79"/>
    <mergeCell ref="Y80:AB80"/>
    <mergeCell ref="Y89:AB89"/>
    <mergeCell ref="Y66:AB66"/>
    <mergeCell ref="Y56:AB56"/>
    <mergeCell ref="Y57:AB57"/>
    <mergeCell ref="Y58:AB58"/>
    <mergeCell ref="Y59:AB59"/>
    <mergeCell ref="Y60:AB60"/>
    <mergeCell ref="Y49:AB49"/>
    <mergeCell ref="Y45:AB45"/>
    <mergeCell ref="Y38:AB38"/>
    <mergeCell ref="Y41:AB41"/>
    <mergeCell ref="Y42:AB42"/>
    <mergeCell ref="Y43:AB43"/>
    <mergeCell ref="Y35:AB35"/>
    <mergeCell ref="Y90:AB90"/>
    <mergeCell ref="Y91:AB91"/>
    <mergeCell ref="Y88:AB88"/>
    <mergeCell ref="Y77:AB77"/>
    <mergeCell ref="Y85:AB85"/>
    <mergeCell ref="Y86:AB86"/>
    <mergeCell ref="Y87:AB87"/>
    <mergeCell ref="I4:I5"/>
    <mergeCell ref="T4:T5"/>
    <mergeCell ref="U4:U5"/>
    <mergeCell ref="V4:V5"/>
    <mergeCell ref="X4:X5"/>
    <mergeCell ref="Y73:AB73"/>
    <mergeCell ref="Y74:AB74"/>
    <mergeCell ref="Y75:AB75"/>
    <mergeCell ref="Y76:AB76"/>
    <mergeCell ref="Y67:AB67"/>
    <mergeCell ref="Y68:AB68"/>
    <mergeCell ref="Y69:AB69"/>
    <mergeCell ref="Y70:AB70"/>
    <mergeCell ref="Y71:AB71"/>
    <mergeCell ref="Y72:AB72"/>
    <mergeCell ref="Y61:AB61"/>
    <mergeCell ref="Y62:AB62"/>
    <mergeCell ref="Y63:AB63"/>
    <mergeCell ref="Y64:AB64"/>
    <mergeCell ref="Y65:AB65"/>
    <mergeCell ref="Y47:AB47"/>
    <mergeCell ref="Y48:AB48"/>
    <mergeCell ref="Y10:AB10"/>
    <mergeCell ref="Y9:AB9"/>
    <mergeCell ref="BH11:BK11"/>
    <mergeCell ref="Y36:AB36"/>
    <mergeCell ref="Y14:AB14"/>
    <mergeCell ref="Y15:AB15"/>
    <mergeCell ref="Y16:AB16"/>
    <mergeCell ref="Y17:AB17"/>
    <mergeCell ref="Y18:AB18"/>
    <mergeCell ref="Y19:AB19"/>
    <mergeCell ref="BH14:BJ14"/>
    <mergeCell ref="AV23:AX23"/>
    <mergeCell ref="AV21:AX21"/>
    <mergeCell ref="AV17:AY17"/>
    <mergeCell ref="BH12:BJ12"/>
    <mergeCell ref="AV36:AX36"/>
    <mergeCell ref="AV25:AX25"/>
    <mergeCell ref="Y13:AB13"/>
    <mergeCell ref="AX13:AZ13"/>
    <mergeCell ref="BC13:BE13"/>
    <mergeCell ref="AV18:AX18"/>
    <mergeCell ref="AV19:AX19"/>
    <mergeCell ref="Y11:AB11"/>
    <mergeCell ref="AX11:BA11"/>
    <mergeCell ref="BC11:BF11"/>
    <mergeCell ref="BC12:BE12"/>
    <mergeCell ref="AX9:AZ9"/>
    <mergeCell ref="Y12:AB12"/>
    <mergeCell ref="AX12:AZ12"/>
    <mergeCell ref="Y4:AB5"/>
    <mergeCell ref="Y8:AB8"/>
    <mergeCell ref="AS8:AU8"/>
    <mergeCell ref="AX8:AZ8"/>
    <mergeCell ref="AX6:BA6"/>
    <mergeCell ref="Y7:AB7"/>
    <mergeCell ref="AS7:AU7"/>
    <mergeCell ref="AX7:AZ7"/>
    <mergeCell ref="AC4:AC5"/>
    <mergeCell ref="AD4:AD5"/>
    <mergeCell ref="AE4:AE5"/>
    <mergeCell ref="AF4:AF5"/>
    <mergeCell ref="AG4:AG5"/>
    <mergeCell ref="AH4:AH5"/>
    <mergeCell ref="AV22:AX22"/>
    <mergeCell ref="AV26:AX26"/>
    <mergeCell ref="B4:B5"/>
    <mergeCell ref="C4:C5"/>
    <mergeCell ref="D4:D5"/>
    <mergeCell ref="E4:E5"/>
    <mergeCell ref="F4:F5"/>
    <mergeCell ref="J4:J5"/>
    <mergeCell ref="K4:K5"/>
    <mergeCell ref="L4:L5"/>
    <mergeCell ref="M4:M5"/>
    <mergeCell ref="N4:N5"/>
    <mergeCell ref="G4:G5"/>
    <mergeCell ref="H4:H5"/>
    <mergeCell ref="S4:S5"/>
    <mergeCell ref="Y6:AB6"/>
    <mergeCell ref="AS6:AV6"/>
    <mergeCell ref="AV24:AX24"/>
    <mergeCell ref="O4:O5"/>
    <mergeCell ref="P4:P5"/>
    <mergeCell ref="Q4:Q5"/>
    <mergeCell ref="R4:R5"/>
    <mergeCell ref="W4:W5"/>
    <mergeCell ref="AS9:AU9"/>
    <mergeCell ref="Y92:AB92"/>
    <mergeCell ref="Y26:AB26"/>
    <mergeCell ref="Y32:AB32"/>
    <mergeCell ref="Y33:AB33"/>
    <mergeCell ref="Y34:AB34"/>
    <mergeCell ref="Y37:AB37"/>
    <mergeCell ref="Y50:AB50"/>
    <mergeCell ref="Y51:AB51"/>
    <mergeCell ref="Y52:AB52"/>
    <mergeCell ref="Y53:AB53"/>
    <mergeCell ref="Y54:AB54"/>
    <mergeCell ref="Y55:AB55"/>
    <mergeCell ref="Y28:AB28"/>
    <mergeCell ref="Y29:AB29"/>
    <mergeCell ref="Y30:AB30"/>
    <mergeCell ref="Y31:AB31"/>
    <mergeCell ref="Y44:AB44"/>
    <mergeCell ref="Y46:AB46"/>
    <mergeCell ref="Y82:AB82"/>
    <mergeCell ref="Y83:AB83"/>
    <mergeCell ref="Y84:AB84"/>
    <mergeCell ref="Y27:AB27"/>
    <mergeCell ref="Y39:AB39"/>
    <mergeCell ref="Y40:AB40"/>
    <mergeCell ref="BM11:BP11"/>
    <mergeCell ref="BM12:BO12"/>
    <mergeCell ref="BM13:BO13"/>
    <mergeCell ref="BM6:BP6"/>
    <mergeCell ref="BM7:BO7"/>
    <mergeCell ref="BM8:BO8"/>
    <mergeCell ref="BM9:BO9"/>
    <mergeCell ref="AV20:AX20"/>
    <mergeCell ref="BC6:BF6"/>
    <mergeCell ref="BH6:BK6"/>
    <mergeCell ref="BC8:BE8"/>
    <mergeCell ref="BH8:BJ8"/>
    <mergeCell ref="BJ16:BL16"/>
    <mergeCell ref="BJ17:BL17"/>
    <mergeCell ref="BJ18:BL18"/>
    <mergeCell ref="BJ19:BL19"/>
    <mergeCell ref="BJ20:BL20"/>
    <mergeCell ref="BC7:BE7"/>
    <mergeCell ref="BH7:BJ7"/>
    <mergeCell ref="BC9:BE9"/>
    <mergeCell ref="AX14:AZ14"/>
    <mergeCell ref="BC14:BE14"/>
    <mergeCell ref="BH9:BJ9"/>
    <mergeCell ref="BH13:BJ13"/>
  </mergeCells>
  <phoneticPr fontId="17" type="noConversion"/>
  <conditionalFormatting sqref="AC10:AD10">
    <cfRule type="expression" dxfId="395" priority="1150">
      <formula>AC10="nok"</formula>
    </cfRule>
    <cfRule type="expression" dxfId="394" priority="1151">
      <formula>AC10="ok"</formula>
    </cfRule>
  </conditionalFormatting>
  <conditionalFormatting sqref="Y9:AB9">
    <cfRule type="expression" dxfId="393" priority="1145">
      <formula>Y9="risco"</formula>
    </cfRule>
    <cfRule type="expression" dxfId="392" priority="1146">
      <formula>Y9="entregue"</formula>
    </cfRule>
    <cfRule type="expression" dxfId="391" priority="1147">
      <formula>Y9="atrasado"</formula>
    </cfRule>
    <cfRule type="expression" dxfId="390" priority="1148">
      <formula>Y9="efprazo"</formula>
    </cfRule>
    <cfRule type="expression" dxfId="389" priority="1149">
      <formula>Y9="vazio"</formula>
    </cfRule>
  </conditionalFormatting>
  <conditionalFormatting sqref="Y12:AB12">
    <cfRule type="expression" dxfId="388" priority="498">
      <formula>Y12="risco"</formula>
    </cfRule>
    <cfRule type="expression" dxfId="387" priority="499">
      <formula>Y12="entregue"</formula>
    </cfRule>
    <cfRule type="expression" dxfId="386" priority="500">
      <formula>Y12="atrasado"</formula>
    </cfRule>
    <cfRule type="expression" dxfId="385" priority="501">
      <formula>Y12="efprazo"</formula>
    </cfRule>
    <cfRule type="expression" dxfId="384" priority="502">
      <formula>Y12="vazio"</formula>
    </cfRule>
  </conditionalFormatting>
  <conditionalFormatting sqref="Y15:AB18 Y20:AB23">
    <cfRule type="expression" dxfId="383" priority="493">
      <formula>Y15="risco"</formula>
    </cfRule>
    <cfRule type="expression" dxfId="382" priority="494">
      <formula>Y15="entregue"</formula>
    </cfRule>
    <cfRule type="expression" dxfId="381" priority="495">
      <formula>Y15="atrasado"</formula>
    </cfRule>
    <cfRule type="expression" dxfId="380" priority="496">
      <formula>Y15="efprazo"</formula>
    </cfRule>
    <cfRule type="expression" dxfId="379" priority="497">
      <formula>Y15="vazio"</formula>
    </cfRule>
  </conditionalFormatting>
  <conditionalFormatting sqref="Y31:AB31">
    <cfRule type="expression" dxfId="378" priority="488">
      <formula>Y31="risco"</formula>
    </cfRule>
    <cfRule type="expression" dxfId="377" priority="489">
      <formula>Y31="entregue"</formula>
    </cfRule>
    <cfRule type="expression" dxfId="376" priority="490">
      <formula>Y31="atrasado"</formula>
    </cfRule>
    <cfRule type="expression" dxfId="375" priority="491">
      <formula>Y31="efprazo"</formula>
    </cfRule>
    <cfRule type="expression" dxfId="374" priority="492">
      <formula>Y31="vazio"</formula>
    </cfRule>
  </conditionalFormatting>
  <conditionalFormatting sqref="Y32:AB32">
    <cfRule type="expression" dxfId="373" priority="483">
      <formula>Y32="risco"</formula>
    </cfRule>
    <cfRule type="expression" dxfId="372" priority="484">
      <formula>Y32="entregue"</formula>
    </cfRule>
    <cfRule type="expression" dxfId="371" priority="485">
      <formula>Y32="atrasado"</formula>
    </cfRule>
    <cfRule type="expression" dxfId="370" priority="486">
      <formula>Y32="efprazo"</formula>
    </cfRule>
    <cfRule type="expression" dxfId="369" priority="487">
      <formula>Y32="vazio"</formula>
    </cfRule>
  </conditionalFormatting>
  <conditionalFormatting sqref="Y37:AB37">
    <cfRule type="expression" dxfId="368" priority="478">
      <formula>Y37="risco"</formula>
    </cfRule>
    <cfRule type="expression" dxfId="367" priority="479">
      <formula>Y37="entregue"</formula>
    </cfRule>
    <cfRule type="expression" dxfId="366" priority="480">
      <formula>Y37="atrasado"</formula>
    </cfRule>
    <cfRule type="expression" dxfId="365" priority="481">
      <formula>Y37="efprazo"</formula>
    </cfRule>
    <cfRule type="expression" dxfId="364" priority="482">
      <formula>Y37="vazio"</formula>
    </cfRule>
  </conditionalFormatting>
  <conditionalFormatting sqref="Y38:AB38">
    <cfRule type="expression" dxfId="363" priority="473">
      <formula>Y38="risco"</formula>
    </cfRule>
    <cfRule type="expression" dxfId="362" priority="474">
      <formula>Y38="entregue"</formula>
    </cfRule>
    <cfRule type="expression" dxfId="361" priority="475">
      <formula>Y38="atrasado"</formula>
    </cfRule>
    <cfRule type="expression" dxfId="360" priority="476">
      <formula>Y38="efprazo"</formula>
    </cfRule>
    <cfRule type="expression" dxfId="359" priority="477">
      <formula>Y38="vazio"</formula>
    </cfRule>
  </conditionalFormatting>
  <conditionalFormatting sqref="Y39:AB39">
    <cfRule type="expression" dxfId="358" priority="468">
      <formula>Y39="risco"</formula>
    </cfRule>
    <cfRule type="expression" dxfId="357" priority="469">
      <formula>Y39="entregue"</formula>
    </cfRule>
    <cfRule type="expression" dxfId="356" priority="470">
      <formula>Y39="atrasado"</formula>
    </cfRule>
    <cfRule type="expression" dxfId="355" priority="471">
      <formula>Y39="efprazo"</formula>
    </cfRule>
    <cfRule type="expression" dxfId="354" priority="472">
      <formula>Y39="vazio"</formula>
    </cfRule>
  </conditionalFormatting>
  <conditionalFormatting sqref="Y42:AB42">
    <cfRule type="expression" dxfId="353" priority="463">
      <formula>Y42="risco"</formula>
    </cfRule>
    <cfRule type="expression" dxfId="352" priority="464">
      <formula>Y42="entregue"</formula>
    </cfRule>
    <cfRule type="expression" dxfId="351" priority="465">
      <formula>Y42="atrasado"</formula>
    </cfRule>
    <cfRule type="expression" dxfId="350" priority="466">
      <formula>Y42="efprazo"</formula>
    </cfRule>
    <cfRule type="expression" dxfId="349" priority="467">
      <formula>Y42="vazio"</formula>
    </cfRule>
  </conditionalFormatting>
  <conditionalFormatting sqref="Y44:AB44">
    <cfRule type="expression" dxfId="348" priority="458">
      <formula>Y44="risco"</formula>
    </cfRule>
    <cfRule type="expression" dxfId="347" priority="459">
      <formula>Y44="entregue"</formula>
    </cfRule>
    <cfRule type="expression" dxfId="346" priority="460">
      <formula>Y44="atrasado"</formula>
    </cfRule>
    <cfRule type="expression" dxfId="345" priority="461">
      <formula>Y44="efprazo"</formula>
    </cfRule>
    <cfRule type="expression" dxfId="344" priority="462">
      <formula>Y44="vazio"</formula>
    </cfRule>
  </conditionalFormatting>
  <conditionalFormatting sqref="Y46:AB46">
    <cfRule type="expression" dxfId="343" priority="453">
      <formula>Y46="risco"</formula>
    </cfRule>
    <cfRule type="expression" dxfId="342" priority="454">
      <formula>Y46="entregue"</formula>
    </cfRule>
    <cfRule type="expression" dxfId="341" priority="455">
      <formula>Y46="atrasado"</formula>
    </cfRule>
    <cfRule type="expression" dxfId="340" priority="456">
      <formula>Y46="efprazo"</formula>
    </cfRule>
    <cfRule type="expression" dxfId="339" priority="457">
      <formula>Y46="vazio"</formula>
    </cfRule>
  </conditionalFormatting>
  <conditionalFormatting sqref="Y40:AB40">
    <cfRule type="expression" dxfId="338" priority="438">
      <formula>Y40="risco"</formula>
    </cfRule>
    <cfRule type="expression" dxfId="337" priority="439">
      <formula>Y40="entregue"</formula>
    </cfRule>
    <cfRule type="expression" dxfId="336" priority="440">
      <formula>Y40="atrasado"</formula>
    </cfRule>
    <cfRule type="expression" dxfId="335" priority="441">
      <formula>Y40="efprazo"</formula>
    </cfRule>
    <cfRule type="expression" dxfId="334" priority="442">
      <formula>Y40="vazio"</formula>
    </cfRule>
  </conditionalFormatting>
  <conditionalFormatting sqref="Y43:AB43">
    <cfRule type="expression" dxfId="333" priority="433">
      <formula>Y43="risco"</formula>
    </cfRule>
    <cfRule type="expression" dxfId="332" priority="434">
      <formula>Y43="entregue"</formula>
    </cfRule>
    <cfRule type="expression" dxfId="331" priority="435">
      <formula>Y43="atrasado"</formula>
    </cfRule>
    <cfRule type="expression" dxfId="330" priority="436">
      <formula>Y43="efprazo"</formula>
    </cfRule>
    <cfRule type="expression" dxfId="329" priority="437">
      <formula>Y43="vazio"</formula>
    </cfRule>
  </conditionalFormatting>
  <conditionalFormatting sqref="Y47:AB47">
    <cfRule type="expression" dxfId="328" priority="428">
      <formula>Y47="risco"</formula>
    </cfRule>
    <cfRule type="expression" dxfId="327" priority="429">
      <formula>Y47="entregue"</formula>
    </cfRule>
    <cfRule type="expression" dxfId="326" priority="430">
      <formula>Y47="atrasado"</formula>
    </cfRule>
    <cfRule type="expression" dxfId="325" priority="431">
      <formula>Y47="efprazo"</formula>
    </cfRule>
    <cfRule type="expression" dxfId="324" priority="432">
      <formula>Y47="vazio"</formula>
    </cfRule>
  </conditionalFormatting>
  <conditionalFormatting sqref="Y48:AB48">
    <cfRule type="expression" dxfId="323" priority="423">
      <formula>Y48="risco"</formula>
    </cfRule>
    <cfRule type="expression" dxfId="322" priority="424">
      <formula>Y48="entregue"</formula>
    </cfRule>
    <cfRule type="expression" dxfId="321" priority="425">
      <formula>Y48="atrasado"</formula>
    </cfRule>
    <cfRule type="expression" dxfId="320" priority="426">
      <formula>Y48="efprazo"</formula>
    </cfRule>
    <cfRule type="expression" dxfId="319" priority="427">
      <formula>Y48="vazio"</formula>
    </cfRule>
  </conditionalFormatting>
  <conditionalFormatting sqref="Y54:AB54">
    <cfRule type="expression" dxfId="318" priority="418">
      <formula>Y54="risco"</formula>
    </cfRule>
    <cfRule type="expression" dxfId="317" priority="419">
      <formula>Y54="entregue"</formula>
    </cfRule>
    <cfRule type="expression" dxfId="316" priority="420">
      <formula>Y54="atrasado"</formula>
    </cfRule>
    <cfRule type="expression" dxfId="315" priority="421">
      <formula>Y54="efprazo"</formula>
    </cfRule>
    <cfRule type="expression" dxfId="314" priority="422">
      <formula>Y54="vazio"</formula>
    </cfRule>
  </conditionalFormatting>
  <conditionalFormatting sqref="Y56:AB56">
    <cfRule type="expression" dxfId="313" priority="413">
      <formula>Y56="risco"</formula>
    </cfRule>
    <cfRule type="expression" dxfId="312" priority="414">
      <formula>Y56="entregue"</formula>
    </cfRule>
    <cfRule type="expression" dxfId="311" priority="415">
      <formula>Y56="atrasado"</formula>
    </cfRule>
    <cfRule type="expression" dxfId="310" priority="416">
      <formula>Y56="efprazo"</formula>
    </cfRule>
    <cfRule type="expression" dxfId="309" priority="417">
      <formula>Y56="vazio"</formula>
    </cfRule>
  </conditionalFormatting>
  <conditionalFormatting sqref="Y57:AB57">
    <cfRule type="expression" dxfId="308" priority="408">
      <formula>Y57="risco"</formula>
    </cfRule>
    <cfRule type="expression" dxfId="307" priority="409">
      <formula>Y57="entregue"</formula>
    </cfRule>
    <cfRule type="expression" dxfId="306" priority="410">
      <formula>Y57="atrasado"</formula>
    </cfRule>
    <cfRule type="expression" dxfId="305" priority="411">
      <formula>Y57="efprazo"</formula>
    </cfRule>
    <cfRule type="expression" dxfId="304" priority="412">
      <formula>Y57="vazio"</formula>
    </cfRule>
  </conditionalFormatting>
  <conditionalFormatting sqref="Y59:AB59">
    <cfRule type="expression" dxfId="303" priority="403">
      <formula>Y59="risco"</formula>
    </cfRule>
    <cfRule type="expression" dxfId="302" priority="404">
      <formula>Y59="entregue"</formula>
    </cfRule>
    <cfRule type="expression" dxfId="301" priority="405">
      <formula>Y59="atrasado"</formula>
    </cfRule>
    <cfRule type="expression" dxfId="300" priority="406">
      <formula>Y59="efprazo"</formula>
    </cfRule>
    <cfRule type="expression" dxfId="299" priority="407">
      <formula>Y59="vazio"</formula>
    </cfRule>
  </conditionalFormatting>
  <conditionalFormatting sqref="Y61:AB61">
    <cfRule type="expression" dxfId="298" priority="398">
      <formula>Y61="risco"</formula>
    </cfRule>
    <cfRule type="expression" dxfId="297" priority="399">
      <formula>Y61="entregue"</formula>
    </cfRule>
    <cfRule type="expression" dxfId="296" priority="400">
      <formula>Y61="atrasado"</formula>
    </cfRule>
    <cfRule type="expression" dxfId="295" priority="401">
      <formula>Y61="efprazo"</formula>
    </cfRule>
    <cfRule type="expression" dxfId="294" priority="402">
      <formula>Y61="vazio"</formula>
    </cfRule>
  </conditionalFormatting>
  <conditionalFormatting sqref="Y65:AB65">
    <cfRule type="expression" dxfId="293" priority="393">
      <formula>Y65="risco"</formula>
    </cfRule>
    <cfRule type="expression" dxfId="292" priority="394">
      <formula>Y65="entregue"</formula>
    </cfRule>
    <cfRule type="expression" dxfId="291" priority="395">
      <formula>Y65="atrasado"</formula>
    </cfRule>
    <cfRule type="expression" dxfId="290" priority="396">
      <formula>Y65="efprazo"</formula>
    </cfRule>
    <cfRule type="expression" dxfId="289" priority="397">
      <formula>Y65="vazio"</formula>
    </cfRule>
  </conditionalFormatting>
  <conditionalFormatting sqref="Y66:AB66">
    <cfRule type="expression" dxfId="288" priority="388">
      <formula>Y66="risco"</formula>
    </cfRule>
    <cfRule type="expression" dxfId="287" priority="389">
      <formula>Y66="entregue"</formula>
    </cfRule>
    <cfRule type="expression" dxfId="286" priority="390">
      <formula>Y66="atrasado"</formula>
    </cfRule>
    <cfRule type="expression" dxfId="285" priority="391">
      <formula>Y66="efprazo"</formula>
    </cfRule>
    <cfRule type="expression" dxfId="284" priority="392">
      <formula>Y66="vazio"</formula>
    </cfRule>
  </conditionalFormatting>
  <conditionalFormatting sqref="Y72:AB72">
    <cfRule type="expression" dxfId="283" priority="373">
      <formula>Y72="risco"</formula>
    </cfRule>
    <cfRule type="expression" dxfId="282" priority="374">
      <formula>Y72="entregue"</formula>
    </cfRule>
    <cfRule type="expression" dxfId="281" priority="375">
      <formula>Y72="atrasado"</formula>
    </cfRule>
    <cfRule type="expression" dxfId="280" priority="376">
      <formula>Y72="efprazo"</formula>
    </cfRule>
    <cfRule type="expression" dxfId="279" priority="377">
      <formula>Y72="vazio"</formula>
    </cfRule>
  </conditionalFormatting>
  <conditionalFormatting sqref="Y74:AB74">
    <cfRule type="expression" dxfId="278" priority="368">
      <formula>Y74="risco"</formula>
    </cfRule>
    <cfRule type="expression" dxfId="277" priority="369">
      <formula>Y74="entregue"</formula>
    </cfRule>
    <cfRule type="expression" dxfId="276" priority="370">
      <formula>Y74="atrasado"</formula>
    </cfRule>
    <cfRule type="expression" dxfId="275" priority="371">
      <formula>Y74="efprazo"</formula>
    </cfRule>
    <cfRule type="expression" dxfId="274" priority="372">
      <formula>Y74="vazio"</formula>
    </cfRule>
  </conditionalFormatting>
  <conditionalFormatting sqref="Y75:AB75">
    <cfRule type="expression" dxfId="273" priority="363">
      <formula>Y75="risco"</formula>
    </cfRule>
    <cfRule type="expression" dxfId="272" priority="364">
      <formula>Y75="entregue"</formula>
    </cfRule>
    <cfRule type="expression" dxfId="271" priority="365">
      <formula>Y75="atrasado"</formula>
    </cfRule>
    <cfRule type="expression" dxfId="270" priority="366">
      <formula>Y75="efprazo"</formula>
    </cfRule>
    <cfRule type="expression" dxfId="269" priority="367">
      <formula>Y75="vazio"</formula>
    </cfRule>
  </conditionalFormatting>
  <conditionalFormatting sqref="Y116:AB116">
    <cfRule type="expression" dxfId="268" priority="263">
      <formula>Y116="risco"</formula>
    </cfRule>
    <cfRule type="expression" dxfId="267" priority="264">
      <formula>Y116="entregue"</formula>
    </cfRule>
    <cfRule type="expression" dxfId="266" priority="265">
      <formula>Y116="atrasado"</formula>
    </cfRule>
    <cfRule type="expression" dxfId="265" priority="266">
      <formula>Y116="efprazo"</formula>
    </cfRule>
    <cfRule type="expression" dxfId="264" priority="267">
      <formula>Y116="vazio"</formula>
    </cfRule>
  </conditionalFormatting>
  <conditionalFormatting sqref="Y122:AB123">
    <cfRule type="expression" dxfId="258" priority="253">
      <formula>Y122="risco"</formula>
    </cfRule>
    <cfRule type="expression" dxfId="257" priority="254">
      <formula>Y122="entregue"</formula>
    </cfRule>
    <cfRule type="expression" dxfId="256" priority="255">
      <formula>Y122="atrasado"</formula>
    </cfRule>
    <cfRule type="expression" dxfId="255" priority="256">
      <formula>Y122="efprazo"</formula>
    </cfRule>
    <cfRule type="expression" dxfId="254" priority="257">
      <formula>Y122="vazio"</formula>
    </cfRule>
  </conditionalFormatting>
  <conditionalFormatting sqref="Y126:AB126">
    <cfRule type="expression" dxfId="253" priority="248">
      <formula>Y126="risco"</formula>
    </cfRule>
    <cfRule type="expression" dxfId="252" priority="249">
      <formula>Y126="entregue"</formula>
    </cfRule>
    <cfRule type="expression" dxfId="251" priority="250">
      <formula>Y126="atrasado"</formula>
    </cfRule>
    <cfRule type="expression" dxfId="250" priority="251">
      <formula>Y126="efprazo"</formula>
    </cfRule>
    <cfRule type="expression" dxfId="249" priority="252">
      <formula>Y126="vazio"</formula>
    </cfRule>
  </conditionalFormatting>
  <conditionalFormatting sqref="Y127:AB128 Y138:AB138 Y142:AB142 Y146:AB149 Y133:AB136 Y144:AB144">
    <cfRule type="expression" dxfId="248" priority="243">
      <formula>Y127="risco"</formula>
    </cfRule>
    <cfRule type="expression" dxfId="247" priority="244">
      <formula>Y127="entregue"</formula>
    </cfRule>
    <cfRule type="expression" dxfId="246" priority="245">
      <formula>Y127="atrasado"</formula>
    </cfRule>
    <cfRule type="expression" dxfId="245" priority="246">
      <formula>Y127="efprazo"</formula>
    </cfRule>
    <cfRule type="expression" dxfId="244" priority="247">
      <formula>Y127="vazio"</formula>
    </cfRule>
  </conditionalFormatting>
  <conditionalFormatting sqref="C9:X10">
    <cfRule type="expression" dxfId="243" priority="241">
      <formula>C9="nok"</formula>
    </cfRule>
    <cfRule type="expression" dxfId="242" priority="242">
      <formula>C9="ok"</formula>
    </cfRule>
  </conditionalFormatting>
  <conditionalFormatting sqref="C12:X12">
    <cfRule type="expression" dxfId="241" priority="239">
      <formula>C12="nok"</formula>
    </cfRule>
    <cfRule type="expression" dxfId="240" priority="240">
      <formula>C12="ok"</formula>
    </cfRule>
  </conditionalFormatting>
  <conditionalFormatting sqref="C15:X18">
    <cfRule type="expression" dxfId="239" priority="237">
      <formula>C15="nok"</formula>
    </cfRule>
    <cfRule type="expression" dxfId="238" priority="238">
      <formula>C15="ok"</formula>
    </cfRule>
  </conditionalFormatting>
  <conditionalFormatting sqref="C21:P21 R21:X21 C22:S23 U22:X23 C20:X20">
    <cfRule type="expression" dxfId="237" priority="235">
      <formula>C20="nok"</formula>
    </cfRule>
    <cfRule type="expression" dxfId="236" priority="236">
      <formula>C20="ok"</formula>
    </cfRule>
  </conditionalFormatting>
  <conditionalFormatting sqref="C31:X32">
    <cfRule type="expression" dxfId="235" priority="233">
      <formula>C31="nok"</formula>
    </cfRule>
    <cfRule type="expression" dxfId="234" priority="234">
      <formula>C31="ok"</formula>
    </cfRule>
  </conditionalFormatting>
  <conditionalFormatting sqref="C40:J40 C37:D37 F37:X37 C38:F38 H38:X38 C39:H39 J39:X39 L40:X40">
    <cfRule type="expression" dxfId="233" priority="231">
      <formula>C37="nok"</formula>
    </cfRule>
    <cfRule type="expression" dxfId="232" priority="232">
      <formula>C37="ok"</formula>
    </cfRule>
  </conditionalFormatting>
  <conditionalFormatting sqref="C44:T44 C43:R43 T43:X43 V44:X44 C42:X42">
    <cfRule type="expression" dxfId="231" priority="229">
      <formula>C42="nok"</formula>
    </cfRule>
    <cfRule type="expression" dxfId="230" priority="230">
      <formula>C42="ok"</formula>
    </cfRule>
  </conditionalFormatting>
  <conditionalFormatting sqref="C46:N46 C48:U48 C47:S47 U47:X47 P46:X46 W48:X48">
    <cfRule type="expression" dxfId="229" priority="227">
      <formula>C46="nok"</formula>
    </cfRule>
    <cfRule type="expression" dxfId="228" priority="228">
      <formula>C46="ok"</formula>
    </cfRule>
  </conditionalFormatting>
  <conditionalFormatting sqref="C54:M54 C52:J52 L52:X52 C53:K53 M53:X53 O54:X54">
    <cfRule type="expression" dxfId="227" priority="225">
      <formula>C52="nok"</formula>
    </cfRule>
    <cfRule type="expression" dxfId="226" priority="226">
      <formula>C52="ok"</formula>
    </cfRule>
  </conditionalFormatting>
  <conditionalFormatting sqref="C57:P57 C56:N56 P56:X56 R57:X57">
    <cfRule type="expression" dxfId="225" priority="223">
      <formula>C56="nok"</formula>
    </cfRule>
    <cfRule type="expression" dxfId="224" priority="224">
      <formula>C56="ok"</formula>
    </cfRule>
  </conditionalFormatting>
  <conditionalFormatting sqref="C59:S59 U59:X59">
    <cfRule type="expression" dxfId="223" priority="221">
      <formula>C59="nok"</formula>
    </cfRule>
    <cfRule type="expression" dxfId="222" priority="222">
      <formula>C59="ok"</formula>
    </cfRule>
  </conditionalFormatting>
  <conditionalFormatting sqref="C61:S61 U61:X61">
    <cfRule type="expression" dxfId="221" priority="219">
      <formula>C61="nok"</formula>
    </cfRule>
    <cfRule type="expression" dxfId="220" priority="220">
      <formula>C61="ok"</formula>
    </cfRule>
  </conditionalFormatting>
  <conditionalFormatting sqref="C65:X66">
    <cfRule type="expression" dxfId="219" priority="217">
      <formula>C65="nok"</formula>
    </cfRule>
    <cfRule type="expression" dxfId="218" priority="218">
      <formula>C65="ok"</formula>
    </cfRule>
  </conditionalFormatting>
  <conditionalFormatting sqref="C68:X69">
    <cfRule type="expression" dxfId="217" priority="215">
      <formula>C68="nok"</formula>
    </cfRule>
    <cfRule type="expression" dxfId="216" priority="216">
      <formula>C68="ok"</formula>
    </cfRule>
  </conditionalFormatting>
  <conditionalFormatting sqref="C72:P72 R72:X72">
    <cfRule type="expression" dxfId="215" priority="213">
      <formula>C72="nok"</formula>
    </cfRule>
    <cfRule type="expression" dxfId="214" priority="214">
      <formula>C72="ok"</formula>
    </cfRule>
  </conditionalFormatting>
  <conditionalFormatting sqref="C74:J75 L74:W75">
    <cfRule type="expression" dxfId="213" priority="211">
      <formula>C74="nok"</formula>
    </cfRule>
    <cfRule type="expression" dxfId="212" priority="212">
      <formula>C74="ok"</formula>
    </cfRule>
  </conditionalFormatting>
  <conditionalFormatting sqref="X74:X75">
    <cfRule type="expression" dxfId="211" priority="209">
      <formula>X74="nok"</formula>
    </cfRule>
    <cfRule type="expression" dxfId="210" priority="210">
      <formula>X74="ok"</formula>
    </cfRule>
  </conditionalFormatting>
  <conditionalFormatting sqref="D80:X80">
    <cfRule type="expression" dxfId="209" priority="207">
      <formula>D80="nok"</formula>
    </cfRule>
    <cfRule type="expression" dxfId="208" priority="208">
      <formula>D80="ok"</formula>
    </cfRule>
  </conditionalFormatting>
  <conditionalFormatting sqref="C84:D85 F84:X85">
    <cfRule type="expression" dxfId="207" priority="205">
      <formula>C84="nok"</formula>
    </cfRule>
    <cfRule type="expression" dxfId="206" priority="206">
      <formula>C84="ok"</formula>
    </cfRule>
  </conditionalFormatting>
  <conditionalFormatting sqref="C87:D88 F87:X88">
    <cfRule type="expression" dxfId="205" priority="203">
      <formula>C87="nok"</formula>
    </cfRule>
    <cfRule type="expression" dxfId="204" priority="204">
      <formula>C87="ok"</formula>
    </cfRule>
  </conditionalFormatting>
  <conditionalFormatting sqref="C92:D93 F92:X93">
    <cfRule type="expression" dxfId="203" priority="201">
      <formula>C92="nok"</formula>
    </cfRule>
    <cfRule type="expression" dxfId="202" priority="202">
      <formula>C92="ok"</formula>
    </cfRule>
  </conditionalFormatting>
  <conditionalFormatting sqref="C95:D96 F95:X96">
    <cfRule type="expression" dxfId="201" priority="199">
      <formula>C95="nok"</formula>
    </cfRule>
    <cfRule type="expression" dxfId="200" priority="200">
      <formula>C95="ok"</formula>
    </cfRule>
  </conditionalFormatting>
  <conditionalFormatting sqref="D102:X102">
    <cfRule type="expression" dxfId="199" priority="197">
      <formula>D102="nok"</formula>
    </cfRule>
    <cfRule type="expression" dxfId="198" priority="198">
      <formula>D102="ok"</formula>
    </cfRule>
  </conditionalFormatting>
  <conditionalFormatting sqref="C105:N106 P105:X106">
    <cfRule type="expression" dxfId="197" priority="195">
      <formula>C105="nok"</formula>
    </cfRule>
    <cfRule type="expression" dxfId="196" priority="196">
      <formula>C105="ok"</formula>
    </cfRule>
  </conditionalFormatting>
  <conditionalFormatting sqref="C110:X111 C108:O108 Q108:X108 C109:R109 T109:X109">
    <cfRule type="expression" dxfId="1" priority="193">
      <formula>C108="nok"</formula>
    </cfRule>
    <cfRule type="expression" dxfId="0" priority="194">
      <formula>C108="ok"</formula>
    </cfRule>
  </conditionalFormatting>
  <conditionalFormatting sqref="C116:X117">
    <cfRule type="expression" dxfId="195" priority="191">
      <formula>C116="nok"</formula>
    </cfRule>
    <cfRule type="expression" dxfId="194" priority="192">
      <formula>C116="ok"</formula>
    </cfRule>
  </conditionalFormatting>
  <conditionalFormatting sqref="C122:X123 C119:X119">
    <cfRule type="expression" dxfId="193" priority="189">
      <formula>C119="nok"</formula>
    </cfRule>
    <cfRule type="expression" dxfId="192" priority="190">
      <formula>C119="ok"</formula>
    </cfRule>
  </conditionalFormatting>
  <conditionalFormatting sqref="C128:U128 C126:G126 I126:X126 C127:Q127 S127:X127 W128:X128">
    <cfRule type="expression" dxfId="191" priority="187">
      <formula>C126="nok"</formula>
    </cfRule>
    <cfRule type="expression" dxfId="190" priority="188">
      <formula>C126="ok"</formula>
    </cfRule>
  </conditionalFormatting>
  <conditionalFormatting sqref="C136:M136 C133 E133:X133 C134:F134 H134:X134 C135:K135 M135:X135 O136:X136">
    <cfRule type="expression" dxfId="189" priority="185">
      <formula>C133="nok"</formula>
    </cfRule>
    <cfRule type="expression" dxfId="188" priority="186">
      <formula>C133="ok"</formula>
    </cfRule>
  </conditionalFormatting>
  <conditionalFormatting sqref="C138:M138 O138:X138">
    <cfRule type="expression" dxfId="187" priority="183">
      <formula>C138="nok"</formula>
    </cfRule>
    <cfRule type="expression" dxfId="186" priority="184">
      <formula>C138="ok"</formula>
    </cfRule>
  </conditionalFormatting>
  <conditionalFormatting sqref="C142:X142">
    <cfRule type="expression" dxfId="185" priority="181">
      <formula>C142="nok"</formula>
    </cfRule>
    <cfRule type="expression" dxfId="184" priority="182">
      <formula>C142="ok"</formula>
    </cfRule>
  </conditionalFormatting>
  <conditionalFormatting sqref="C144:X144">
    <cfRule type="expression" dxfId="183" priority="179">
      <formula>C144="nok"</formula>
    </cfRule>
    <cfRule type="expression" dxfId="182" priority="180">
      <formula>C144="ok"</formula>
    </cfRule>
  </conditionalFormatting>
  <conditionalFormatting sqref="C146:X149">
    <cfRule type="expression" dxfId="181" priority="177">
      <formula>C146="nok"</formula>
    </cfRule>
    <cfRule type="expression" dxfId="180" priority="178">
      <formula>C146="ok"</formula>
    </cfRule>
  </conditionalFormatting>
  <conditionalFormatting sqref="Y80:AB80">
    <cfRule type="expression" dxfId="179" priority="172">
      <formula>Y80="risco"</formula>
    </cfRule>
    <cfRule type="expression" dxfId="178" priority="173">
      <formula>Y80="entregue"</formula>
    </cfRule>
    <cfRule type="expression" dxfId="177" priority="174">
      <formula>Y80="atrasado"</formula>
    </cfRule>
    <cfRule type="expression" dxfId="176" priority="175">
      <formula>Y80="efprazo"</formula>
    </cfRule>
    <cfRule type="expression" dxfId="175" priority="176">
      <formula>Y80="vazio"</formula>
    </cfRule>
  </conditionalFormatting>
  <conditionalFormatting sqref="Y84:AB85">
    <cfRule type="expression" dxfId="174" priority="167">
      <formula>Y84="risco"</formula>
    </cfRule>
    <cfRule type="expression" dxfId="173" priority="168">
      <formula>Y84="entregue"</formula>
    </cfRule>
    <cfRule type="expression" dxfId="172" priority="169">
      <formula>Y84="atrasado"</formula>
    </cfRule>
    <cfRule type="expression" dxfId="171" priority="170">
      <formula>Y84="efprazo"</formula>
    </cfRule>
    <cfRule type="expression" dxfId="170" priority="171">
      <formula>Y84="vazio"</formula>
    </cfRule>
  </conditionalFormatting>
  <conditionalFormatting sqref="Y87:AB88">
    <cfRule type="expression" dxfId="169" priority="162">
      <formula>Y87="risco"</formula>
    </cfRule>
    <cfRule type="expression" dxfId="168" priority="163">
      <formula>Y87="entregue"</formula>
    </cfRule>
    <cfRule type="expression" dxfId="167" priority="164">
      <formula>Y87="atrasado"</formula>
    </cfRule>
    <cfRule type="expression" dxfId="166" priority="165">
      <formula>Y87="efprazo"</formula>
    </cfRule>
    <cfRule type="expression" dxfId="165" priority="166">
      <formula>Y87="vazio"</formula>
    </cfRule>
  </conditionalFormatting>
  <conditionalFormatting sqref="Y92:AB93">
    <cfRule type="expression" dxfId="164" priority="157">
      <formula>Y92="risco"</formula>
    </cfRule>
    <cfRule type="expression" dxfId="163" priority="158">
      <formula>Y92="entregue"</formula>
    </cfRule>
    <cfRule type="expression" dxfId="162" priority="159">
      <formula>Y92="atrasado"</formula>
    </cfRule>
    <cfRule type="expression" dxfId="161" priority="160">
      <formula>Y92="efprazo"</formula>
    </cfRule>
    <cfRule type="expression" dxfId="160" priority="161">
      <formula>Y92="vazio"</formula>
    </cfRule>
  </conditionalFormatting>
  <conditionalFormatting sqref="Y95:AB96">
    <cfRule type="expression" dxfId="159" priority="152">
      <formula>Y95="risco"</formula>
    </cfRule>
    <cfRule type="expression" dxfId="158" priority="153">
      <formula>Y95="entregue"</formula>
    </cfRule>
    <cfRule type="expression" dxfId="157" priority="154">
      <formula>Y95="atrasado"</formula>
    </cfRule>
    <cfRule type="expression" dxfId="156" priority="155">
      <formula>Y95="efprazo"</formula>
    </cfRule>
    <cfRule type="expression" dxfId="155" priority="156">
      <formula>Y95="vazio"</formula>
    </cfRule>
  </conditionalFormatting>
  <conditionalFormatting sqref="Y102:AB102">
    <cfRule type="expression" dxfId="154" priority="147">
      <formula>Y102="risco"</formula>
    </cfRule>
    <cfRule type="expression" dxfId="153" priority="148">
      <formula>Y102="entregue"</formula>
    </cfRule>
    <cfRule type="expression" dxfId="152" priority="149">
      <formula>Y102="atrasado"</formula>
    </cfRule>
    <cfRule type="expression" dxfId="151" priority="150">
      <formula>Y102="efprazo"</formula>
    </cfRule>
    <cfRule type="expression" dxfId="150" priority="151">
      <formula>Y102="vazio"</formula>
    </cfRule>
  </conditionalFormatting>
  <conditionalFormatting sqref="Y105:AB106">
    <cfRule type="expression" dxfId="149" priority="142">
      <formula>Y105="risco"</formula>
    </cfRule>
    <cfRule type="expression" dxfId="148" priority="143">
      <formula>Y105="entregue"</formula>
    </cfRule>
    <cfRule type="expression" dxfId="147" priority="144">
      <formula>Y105="atrasado"</formula>
    </cfRule>
    <cfRule type="expression" dxfId="146" priority="145">
      <formula>Y105="efprazo"</formula>
    </cfRule>
    <cfRule type="expression" dxfId="145" priority="146">
      <formula>Y105="vazio"</formula>
    </cfRule>
  </conditionalFormatting>
  <conditionalFormatting sqref="Y108:AB111">
    <cfRule type="expression" dxfId="144" priority="132">
      <formula>Y108="risco"</formula>
    </cfRule>
    <cfRule type="expression" dxfId="143" priority="133">
      <formula>Y108="entregue"</formula>
    </cfRule>
    <cfRule type="expression" dxfId="142" priority="134">
      <formula>Y108="atrasado"</formula>
    </cfRule>
    <cfRule type="expression" dxfId="141" priority="135">
      <formula>Y108="efprazo"</formula>
    </cfRule>
    <cfRule type="expression" dxfId="140" priority="136">
      <formula>Y108="vazio"</formula>
    </cfRule>
  </conditionalFormatting>
  <conditionalFormatting sqref="Y10:AB10">
    <cfRule type="expression" dxfId="139" priority="127">
      <formula>Y10="risco"</formula>
    </cfRule>
    <cfRule type="expression" dxfId="138" priority="128">
      <formula>Y10="entregue"</formula>
    </cfRule>
    <cfRule type="expression" dxfId="137" priority="129">
      <formula>Y10="atrasado"</formula>
    </cfRule>
    <cfRule type="expression" dxfId="136" priority="130">
      <formula>Y10="efprazo"</formula>
    </cfRule>
    <cfRule type="expression" dxfId="135" priority="131">
      <formula>Y10="vazio"</formula>
    </cfRule>
  </conditionalFormatting>
  <conditionalFormatting sqref="Y52:AB52">
    <cfRule type="expression" dxfId="134" priority="122">
      <formula>Y52="risco"</formula>
    </cfRule>
    <cfRule type="expression" dxfId="133" priority="123">
      <formula>Y52="entregue"</formula>
    </cfRule>
    <cfRule type="expression" dxfId="132" priority="124">
      <formula>Y52="atrasado"</formula>
    </cfRule>
    <cfRule type="expression" dxfId="131" priority="125">
      <formula>Y52="efprazo"</formula>
    </cfRule>
    <cfRule type="expression" dxfId="130" priority="126">
      <formula>Y52="vazio"</formula>
    </cfRule>
  </conditionalFormatting>
  <conditionalFormatting sqref="Y53:AB53">
    <cfRule type="expression" dxfId="129" priority="117">
      <formula>Y53="risco"</formula>
    </cfRule>
    <cfRule type="expression" dxfId="128" priority="118">
      <formula>Y53="entregue"</formula>
    </cfRule>
    <cfRule type="expression" dxfId="127" priority="119">
      <formula>Y53="atrasado"</formula>
    </cfRule>
    <cfRule type="expression" dxfId="126" priority="120">
      <formula>Y53="efprazo"</formula>
    </cfRule>
    <cfRule type="expression" dxfId="125" priority="121">
      <formula>Y53="vazio"</formula>
    </cfRule>
  </conditionalFormatting>
  <conditionalFormatting sqref="Y68:AB68">
    <cfRule type="expression" dxfId="124" priority="112">
      <formula>Y68="risco"</formula>
    </cfRule>
    <cfRule type="expression" dxfId="123" priority="113">
      <formula>Y68="entregue"</formula>
    </cfRule>
    <cfRule type="expression" dxfId="122" priority="114">
      <formula>Y68="atrasado"</formula>
    </cfRule>
    <cfRule type="expression" dxfId="121" priority="115">
      <formula>Y68="efprazo"</formula>
    </cfRule>
    <cfRule type="expression" dxfId="120" priority="116">
      <formula>Y68="vazio"</formula>
    </cfRule>
  </conditionalFormatting>
  <conditionalFormatting sqref="Y69:AB69">
    <cfRule type="expression" dxfId="119" priority="107">
      <formula>Y69="risco"</formula>
    </cfRule>
    <cfRule type="expression" dxfId="118" priority="108">
      <formula>Y69="entregue"</formula>
    </cfRule>
    <cfRule type="expression" dxfId="117" priority="109">
      <formula>Y69="atrasado"</formula>
    </cfRule>
    <cfRule type="expression" dxfId="116" priority="110">
      <formula>Y69="efprazo"</formula>
    </cfRule>
    <cfRule type="expression" dxfId="115" priority="111">
      <formula>Y69="vazio"</formula>
    </cfRule>
  </conditionalFormatting>
  <conditionalFormatting sqref="Q21">
    <cfRule type="expression" dxfId="108" priority="99">
      <formula>Q21="nok"</formula>
    </cfRule>
    <cfRule type="expression" dxfId="107" priority="100">
      <formula>Q21="ok"</formula>
    </cfRule>
  </conditionalFormatting>
  <conditionalFormatting sqref="T22">
    <cfRule type="expression" dxfId="106" priority="97">
      <formula>T22="nok"</formula>
    </cfRule>
    <cfRule type="expression" dxfId="105" priority="98">
      <formula>T22="ok"</formula>
    </cfRule>
  </conditionalFormatting>
  <conditionalFormatting sqref="T23">
    <cfRule type="expression" dxfId="104" priority="95">
      <formula>T23="nok"</formula>
    </cfRule>
    <cfRule type="expression" dxfId="103" priority="96">
      <formula>T23="ok"</formula>
    </cfRule>
  </conditionalFormatting>
  <conditionalFormatting sqref="E37">
    <cfRule type="expression" dxfId="102" priority="93">
      <formula>E37="nok"</formula>
    </cfRule>
    <cfRule type="expression" dxfId="101" priority="94">
      <formula>E37="ok"</formula>
    </cfRule>
  </conditionalFormatting>
  <conditionalFormatting sqref="G38">
    <cfRule type="expression" dxfId="100" priority="91">
      <formula>G38="nok"</formula>
    </cfRule>
    <cfRule type="expression" dxfId="99" priority="92">
      <formula>G38="ok"</formula>
    </cfRule>
  </conditionalFormatting>
  <conditionalFormatting sqref="I39">
    <cfRule type="expression" dxfId="98" priority="89">
      <formula>I39="nok"</formula>
    </cfRule>
    <cfRule type="expression" dxfId="97" priority="90">
      <formula>I39="ok"</formula>
    </cfRule>
  </conditionalFormatting>
  <conditionalFormatting sqref="K40">
    <cfRule type="expression" dxfId="96" priority="87">
      <formula>K40="nok"</formula>
    </cfRule>
    <cfRule type="expression" dxfId="95" priority="88">
      <formula>K40="ok"</formula>
    </cfRule>
  </conditionalFormatting>
  <conditionalFormatting sqref="S43">
    <cfRule type="expression" dxfId="92" priority="83">
      <formula>S43="nok"</formula>
    </cfRule>
    <cfRule type="expression" dxfId="91" priority="84">
      <formula>S43="ok"</formula>
    </cfRule>
  </conditionalFormatting>
  <conditionalFormatting sqref="U44">
    <cfRule type="expression" dxfId="90" priority="81">
      <formula>U44="nok"</formula>
    </cfRule>
    <cfRule type="expression" dxfId="89" priority="82">
      <formula>U44="ok"</formula>
    </cfRule>
  </conditionalFormatting>
  <conditionalFormatting sqref="T47">
    <cfRule type="expression" dxfId="88" priority="79">
      <formula>T47="nok"</formula>
    </cfRule>
    <cfRule type="expression" dxfId="87" priority="80">
      <formula>T47="ok"</formula>
    </cfRule>
  </conditionalFormatting>
  <conditionalFormatting sqref="O46">
    <cfRule type="expression" dxfId="86" priority="77">
      <formula>O46="nok"</formula>
    </cfRule>
    <cfRule type="expression" dxfId="85" priority="78">
      <formula>O46="ok"</formula>
    </cfRule>
  </conditionalFormatting>
  <conditionalFormatting sqref="V48">
    <cfRule type="expression" dxfId="84" priority="75">
      <formula>V48="nok"</formula>
    </cfRule>
    <cfRule type="expression" dxfId="83" priority="76">
      <formula>V48="ok"</formula>
    </cfRule>
  </conditionalFormatting>
  <conditionalFormatting sqref="K52">
    <cfRule type="expression" dxfId="82" priority="73">
      <formula>K52="nok"</formula>
    </cfRule>
    <cfRule type="expression" dxfId="81" priority="74">
      <formula>K52="ok"</formula>
    </cfRule>
  </conditionalFormatting>
  <conditionalFormatting sqref="L53">
    <cfRule type="expression" dxfId="80" priority="71">
      <formula>L53="nok"</formula>
    </cfRule>
    <cfRule type="expression" dxfId="79" priority="72">
      <formula>L53="ok"</formula>
    </cfRule>
  </conditionalFormatting>
  <conditionalFormatting sqref="N54">
    <cfRule type="expression" dxfId="78" priority="69">
      <formula>N54="nok"</formula>
    </cfRule>
    <cfRule type="expression" dxfId="77" priority="70">
      <formula>N54="ok"</formula>
    </cfRule>
  </conditionalFormatting>
  <conditionalFormatting sqref="O56">
    <cfRule type="expression" dxfId="76" priority="67">
      <formula>O56="nok"</formula>
    </cfRule>
    <cfRule type="expression" dxfId="75" priority="68">
      <formula>O56="ok"</formula>
    </cfRule>
  </conditionalFormatting>
  <conditionalFormatting sqref="Q57">
    <cfRule type="expression" dxfId="74" priority="65">
      <formula>Q57="nok"</formula>
    </cfRule>
    <cfRule type="expression" dxfId="73" priority="66">
      <formula>Q57="ok"</formula>
    </cfRule>
  </conditionalFormatting>
  <conditionalFormatting sqref="T59">
    <cfRule type="expression" dxfId="72" priority="63">
      <formula>T59="nok"</formula>
    </cfRule>
    <cfRule type="expression" dxfId="71" priority="64">
      <formula>T59="ok"</formula>
    </cfRule>
  </conditionalFormatting>
  <conditionalFormatting sqref="T61">
    <cfRule type="expression" dxfId="68" priority="61">
      <formula>T61="nok"</formula>
    </cfRule>
    <cfRule type="expression" dxfId="67" priority="62">
      <formula>T61="ok"</formula>
    </cfRule>
  </conditionalFormatting>
  <conditionalFormatting sqref="K74:K75">
    <cfRule type="expression" dxfId="64" priority="57">
      <formula>K74="nok"</formula>
    </cfRule>
    <cfRule type="expression" dxfId="63" priority="58">
      <formula>K74="ok"</formula>
    </cfRule>
  </conditionalFormatting>
  <conditionalFormatting sqref="C80">
    <cfRule type="expression" dxfId="62" priority="55">
      <formula>C80="nok"</formula>
    </cfRule>
    <cfRule type="expression" dxfId="61" priority="56">
      <formula>C80="ok"</formula>
    </cfRule>
  </conditionalFormatting>
  <conditionalFormatting sqref="E84:E85">
    <cfRule type="expression" dxfId="56" priority="49">
      <formula>E84="nok"</formula>
    </cfRule>
    <cfRule type="expression" dxfId="55" priority="50">
      <formula>E84="ok"</formula>
    </cfRule>
  </conditionalFormatting>
  <conditionalFormatting sqref="E87:E88">
    <cfRule type="expression" dxfId="54" priority="47">
      <formula>E87="nok"</formula>
    </cfRule>
    <cfRule type="expression" dxfId="53" priority="48">
      <formula>E87="ok"</formula>
    </cfRule>
  </conditionalFormatting>
  <conditionalFormatting sqref="E92:E93">
    <cfRule type="expression" dxfId="52" priority="45">
      <formula>E92="nok"</formula>
    </cfRule>
    <cfRule type="expression" dxfId="51" priority="46">
      <formula>E92="ok"</formula>
    </cfRule>
  </conditionalFormatting>
  <conditionalFormatting sqref="E95:E96">
    <cfRule type="expression" dxfId="50" priority="43">
      <formula>E95="nok"</formula>
    </cfRule>
    <cfRule type="expression" dxfId="49" priority="44">
      <formula>E95="ok"</formula>
    </cfRule>
  </conditionalFormatting>
  <conditionalFormatting sqref="C102">
    <cfRule type="expression" dxfId="46" priority="41">
      <formula>C102="nok"</formula>
    </cfRule>
    <cfRule type="expression" dxfId="45" priority="42">
      <formula>C102="ok"</formula>
    </cfRule>
  </conditionalFormatting>
  <conditionalFormatting sqref="O105:O106">
    <cfRule type="expression" dxfId="44" priority="39">
      <formula>O105="nok"</formula>
    </cfRule>
    <cfRule type="expression" dxfId="43" priority="40">
      <formula>O105="ok"</formula>
    </cfRule>
  </conditionalFormatting>
  <conditionalFormatting sqref="P108">
    <cfRule type="expression" dxfId="42" priority="37">
      <formula>P108="nok"</formula>
    </cfRule>
    <cfRule type="expression" dxfId="41" priority="38">
      <formula>P108="ok"</formula>
    </cfRule>
  </conditionalFormatting>
  <conditionalFormatting sqref="S109">
    <cfRule type="expression" dxfId="40" priority="35">
      <formula>S109="nok"</formula>
    </cfRule>
    <cfRule type="expression" dxfId="39" priority="36">
      <formula>S109="ok"</formula>
    </cfRule>
  </conditionalFormatting>
  <conditionalFormatting sqref="H126">
    <cfRule type="expression" dxfId="32" priority="27">
      <formula>H126="nok"</formula>
    </cfRule>
    <cfRule type="expression" dxfId="31" priority="28">
      <formula>H126="ok"</formula>
    </cfRule>
  </conditionalFormatting>
  <conditionalFormatting sqref="R127">
    <cfRule type="expression" dxfId="30" priority="25">
      <formula>R127="nok"</formula>
    </cfRule>
    <cfRule type="expression" dxfId="29" priority="26">
      <formula>R127="ok"</formula>
    </cfRule>
  </conditionalFormatting>
  <conditionalFormatting sqref="V128">
    <cfRule type="expression" dxfId="28" priority="23">
      <formula>V128="nok"</formula>
    </cfRule>
    <cfRule type="expression" dxfId="27" priority="24">
      <formula>V128="ok"</formula>
    </cfRule>
  </conditionalFormatting>
  <conditionalFormatting sqref="D133">
    <cfRule type="expression" dxfId="26" priority="21">
      <formula>D133="nok"</formula>
    </cfRule>
    <cfRule type="expression" dxfId="25" priority="22">
      <formula>D133="ok"</formula>
    </cfRule>
  </conditionalFormatting>
  <conditionalFormatting sqref="G134">
    <cfRule type="expression" dxfId="24" priority="19">
      <formula>G134="nok"</formula>
    </cfRule>
    <cfRule type="expression" dxfId="23" priority="20">
      <formula>G134="ok"</formula>
    </cfRule>
  </conditionalFormatting>
  <conditionalFormatting sqref="L135">
    <cfRule type="expression" dxfId="22" priority="17">
      <formula>L135="nok"</formula>
    </cfRule>
    <cfRule type="expression" dxfId="21" priority="18">
      <formula>L135="ok"</formula>
    </cfRule>
  </conditionalFormatting>
  <conditionalFormatting sqref="N136">
    <cfRule type="expression" dxfId="20" priority="15">
      <formula>N136="nok"</formula>
    </cfRule>
    <cfRule type="expression" dxfId="19" priority="16">
      <formula>N136="ok"</formula>
    </cfRule>
  </conditionalFormatting>
  <conditionalFormatting sqref="N138">
    <cfRule type="expression" dxfId="18" priority="13">
      <formula>N138="nok"</formula>
    </cfRule>
    <cfRule type="expression" dxfId="17" priority="14">
      <formula>N138="ok"</formula>
    </cfRule>
  </conditionalFormatting>
  <conditionalFormatting sqref="Y117:AB117">
    <cfRule type="expression" dxfId="13" priority="8">
      <formula>Y117="risco"</formula>
    </cfRule>
    <cfRule type="expression" dxfId="12" priority="9">
      <formula>Y117="entregue"</formula>
    </cfRule>
    <cfRule type="expression" dxfId="11" priority="10">
      <formula>Y117="atrasado"</formula>
    </cfRule>
    <cfRule type="expression" dxfId="10" priority="11">
      <formula>Y117="efprazo"</formula>
    </cfRule>
    <cfRule type="expression" dxfId="9" priority="12">
      <formula>Y117="vazio"</formula>
    </cfRule>
  </conditionalFormatting>
  <conditionalFormatting sqref="Y119:AB119">
    <cfRule type="expression" dxfId="8" priority="3">
      <formula>Y119="risco"</formula>
    </cfRule>
    <cfRule type="expression" dxfId="7" priority="4">
      <formula>Y119="entregue"</formula>
    </cfRule>
    <cfRule type="expression" dxfId="6" priority="5">
      <formula>Y119="atrasado"</formula>
    </cfRule>
    <cfRule type="expression" dxfId="5" priority="6">
      <formula>Y119="efprazo"</formula>
    </cfRule>
    <cfRule type="expression" dxfId="4" priority="7">
      <formula>Y119="vazio"</formula>
    </cfRule>
  </conditionalFormatting>
  <conditionalFormatting sqref="Q72">
    <cfRule type="expression" dxfId="3" priority="1">
      <formula>Q72="nok"</formula>
    </cfRule>
    <cfRule type="expression" dxfId="2" priority="2">
      <formula>Q72="ok"</formula>
    </cfRule>
  </conditionalFormatting>
  <dataValidations count="1">
    <dataValidation type="list" allowBlank="1" showInputMessage="1" showErrorMessage="1" sqref="Y12:AB12 Y80:AB80 Y74:AB75 Y84:AB85 Y146:AB149 Y95:AB96 Y15:AB18 Y138:AB138 Y144:AB144 Y102:AB102 Y56:AB57 Y92:AB93 Y61:AB61 Y65:AB66 Y133:AB136 Y119:AB119 Y87:AB88 Y52:AB54 Y9:AB10 Y42:AB44 Y72:AB72 Y142:AB142 Y105:AB106 Y122:AB123 Y68:AB69 Y126:AB128 Y108:AB111 Y31:AB32 Y46:AB48 Y37:AB40 Y59:AB59 Y116:AB117 Y20:AB23" xr:uid="{00000000-0002-0000-0000-000000000000}">
      <formula1>"ENTREGUE,RISCO,ATRASADO,EFPRAZO,VAZIO"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G190"/>
  <sheetViews>
    <sheetView showGridLines="0" zoomScale="59" zoomScaleNormal="59" workbookViewId="0">
      <pane ySplit="7" topLeftCell="A8" activePane="bottomLeft" state="frozen"/>
      <selection pane="bottomLeft" activeCell="F18" sqref="F18"/>
    </sheetView>
  </sheetViews>
  <sheetFormatPr defaultRowHeight="14.5" x14ac:dyDescent="0.35"/>
  <cols>
    <col min="1" max="1" width="70.81640625" style="24" customWidth="1"/>
    <col min="2" max="2" width="75.81640625" style="81" customWidth="1"/>
    <col min="3" max="3" width="37.54296875" style="24" customWidth="1"/>
    <col min="4" max="4" width="26.81640625" style="24" customWidth="1"/>
    <col min="5" max="5" width="73.1796875" style="80" customWidth="1"/>
    <col min="6" max="6" width="16.81640625" customWidth="1"/>
    <col min="7" max="7" width="32.1796875" customWidth="1"/>
  </cols>
  <sheetData>
    <row r="1" spans="1:7" ht="6.75" customHeight="1" x14ac:dyDescent="0.35">
      <c r="A1" s="148"/>
      <c r="E1" s="68"/>
    </row>
    <row r="2" spans="1:7" ht="15" customHeight="1" x14ac:dyDescent="0.35">
      <c r="A2" s="148"/>
      <c r="C2" s="69"/>
      <c r="D2" s="69"/>
      <c r="E2" s="70"/>
      <c r="F2" s="21"/>
    </row>
    <row r="3" spans="1:7" ht="36.75" customHeight="1" x14ac:dyDescent="0.35">
      <c r="A3" s="148"/>
      <c r="C3" s="69"/>
      <c r="D3" s="69"/>
      <c r="E3" s="70"/>
      <c r="F3" s="21"/>
    </row>
    <row r="4" spans="1:7" ht="17.25" customHeight="1" x14ac:dyDescent="0.35">
      <c r="A4" s="148"/>
      <c r="B4" s="148"/>
      <c r="C4" s="151"/>
      <c r="D4" s="151"/>
      <c r="E4" s="152"/>
      <c r="F4" s="147"/>
      <c r="G4" s="147"/>
    </row>
    <row r="5" spans="1:7" ht="34.5" customHeight="1" x14ac:dyDescent="0.35">
      <c r="A5" s="30"/>
      <c r="B5" s="148"/>
      <c r="C5" s="148"/>
      <c r="D5" s="148"/>
      <c r="E5" s="153"/>
      <c r="F5" s="150"/>
      <c r="G5" s="147"/>
    </row>
    <row r="6" spans="1:7" ht="8.25" customHeight="1" x14ac:dyDescent="0.35">
      <c r="A6" s="149" t="s">
        <v>18</v>
      </c>
      <c r="B6" s="82"/>
      <c r="C6" s="71"/>
      <c r="D6" s="71"/>
      <c r="E6" s="72"/>
      <c r="F6" s="20"/>
      <c r="G6" s="20"/>
    </row>
    <row r="7" spans="1:7" ht="41.25" customHeight="1" x14ac:dyDescent="0.35">
      <c r="A7" s="149"/>
      <c r="B7" s="73" t="s">
        <v>17</v>
      </c>
      <c r="C7" s="73" t="s">
        <v>0</v>
      </c>
      <c r="D7" s="73" t="s">
        <v>1</v>
      </c>
      <c r="E7" s="74" t="s">
        <v>12</v>
      </c>
      <c r="F7" s="26" t="s">
        <v>9</v>
      </c>
      <c r="G7" s="26" t="s">
        <v>31</v>
      </c>
    </row>
    <row r="8" spans="1:7" ht="65.150000000000006" customHeight="1" x14ac:dyDescent="0.35">
      <c r="A8" s="28" t="str" cm="1">
        <f t="array" ref="A8">_xlfn._xlws.FILTER(ADRIANO!A6:A9922,ADRIANO!AF6:AF9922&lt;&gt;"","")</f>
        <v>PT199 - ANÁLISE ESTRUTURAL - ED2032KS01
ETAPA DE ESCRITÓRIO</v>
      </c>
      <c r="B8" s="55" t="str" cm="1">
        <f t="array" ref="B8">_xlfn._xlws.FILTER(ADRIANO!B6:B9922,ADRIANO!AF6:AF9922&lt;&gt;"","")</f>
        <v>Modelagem CAD 3D</v>
      </c>
      <c r="C8" s="55" t="str" cm="1">
        <f t="array" ref="C8">_xlfn._xlws.FILTER(ADRIANO!AF6:AF9922,ADRIANO!AF6:AF9922&lt;&gt;"","")</f>
        <v>Adriano</v>
      </c>
      <c r="D8" s="56" cm="1">
        <f t="array" ref="D8">_xlfn._xlws.FILTER(ADRIANO!AG6:AG9922,ADRIANO!AG6:AG9922&lt;&gt;"","")</f>
        <v>45210</v>
      </c>
      <c r="E8" s="28" t="str" cm="1">
        <f t="array" ref="E8">_xlfn._xlws.FILTER(ADRIANO!AH6:AH9922,ADRIANO!AH6:AH9922&lt;&gt;"","")</f>
        <v>Solicitar ao cliente</v>
      </c>
      <c r="F8" s="23" t="s">
        <v>15</v>
      </c>
    </row>
    <row r="9" spans="1:7" ht="65.150000000000006" customHeight="1" x14ac:dyDescent="0.35">
      <c r="A9" s="28"/>
      <c r="B9" s="55"/>
      <c r="C9" s="55"/>
      <c r="D9" s="56"/>
      <c r="E9" s="75"/>
      <c r="F9" s="23" t="s">
        <v>15</v>
      </c>
      <c r="G9" s="57"/>
    </row>
    <row r="10" spans="1:7" ht="65.150000000000006" customHeight="1" x14ac:dyDescent="0.35">
      <c r="A10" s="27"/>
      <c r="B10" s="76"/>
      <c r="C10" s="76"/>
      <c r="D10" s="77"/>
      <c r="E10" s="78"/>
      <c r="F10" s="23" t="s">
        <v>15</v>
      </c>
    </row>
    <row r="11" spans="1:7" ht="65.150000000000006" customHeight="1" x14ac:dyDescent="0.35">
      <c r="A11" s="28"/>
      <c r="B11" s="55"/>
      <c r="C11" s="55"/>
      <c r="D11" s="56"/>
      <c r="E11" s="75"/>
      <c r="F11" s="23" t="s">
        <v>40</v>
      </c>
      <c r="G11" s="57"/>
    </row>
    <row r="12" spans="1:7" ht="65.150000000000006" customHeight="1" x14ac:dyDescent="0.35">
      <c r="A12" s="27"/>
      <c r="B12" s="76"/>
      <c r="C12" s="76"/>
      <c r="D12" s="77"/>
      <c r="E12" s="78"/>
      <c r="F12" s="23" t="s">
        <v>40</v>
      </c>
    </row>
    <row r="13" spans="1:7" ht="65.150000000000006" customHeight="1" x14ac:dyDescent="0.35">
      <c r="A13" s="28"/>
      <c r="B13" s="55"/>
      <c r="C13" s="55"/>
      <c r="D13" s="56"/>
      <c r="E13" s="75"/>
      <c r="F13" s="23" t="s">
        <v>40</v>
      </c>
      <c r="G13" s="57"/>
    </row>
    <row r="14" spans="1:7" ht="65.150000000000006" customHeight="1" x14ac:dyDescent="0.35">
      <c r="A14" s="27"/>
      <c r="B14" s="76"/>
      <c r="C14" s="76"/>
      <c r="D14" s="77"/>
      <c r="E14" s="78"/>
      <c r="F14" s="23" t="s">
        <v>40</v>
      </c>
    </row>
    <row r="15" spans="1:7" ht="65.150000000000006" customHeight="1" x14ac:dyDescent="0.35">
      <c r="A15" s="28"/>
      <c r="B15" s="55"/>
      <c r="C15" s="55"/>
      <c r="D15" s="56"/>
      <c r="E15" s="75"/>
      <c r="F15" s="23" t="s">
        <v>41</v>
      </c>
      <c r="G15" s="57"/>
    </row>
    <row r="16" spans="1:7" ht="65.150000000000006" customHeight="1" x14ac:dyDescent="0.35">
      <c r="A16" s="27"/>
      <c r="B16" s="76"/>
      <c r="C16" s="76"/>
      <c r="D16" s="77"/>
      <c r="E16" s="78"/>
      <c r="F16" s="23" t="s">
        <v>41</v>
      </c>
    </row>
    <row r="17" spans="1:7" ht="65.150000000000006" customHeight="1" x14ac:dyDescent="0.35">
      <c r="A17" s="28"/>
      <c r="B17" s="55"/>
      <c r="C17" s="55"/>
      <c r="D17" s="56"/>
      <c r="E17" s="75"/>
      <c r="F17" s="23" t="s">
        <v>41</v>
      </c>
      <c r="G17" s="57"/>
    </row>
    <row r="18" spans="1:7" ht="65.150000000000006" customHeight="1" x14ac:dyDescent="0.35">
      <c r="A18" s="27"/>
      <c r="B18" s="76"/>
      <c r="C18" s="76"/>
      <c r="D18" s="77"/>
      <c r="E18" s="78"/>
      <c r="F18" s="23" t="s">
        <v>41</v>
      </c>
    </row>
    <row r="19" spans="1:7" ht="65.150000000000006" customHeight="1" x14ac:dyDescent="0.35">
      <c r="A19" s="28"/>
      <c r="B19" s="55"/>
      <c r="C19" s="55"/>
      <c r="D19" s="56"/>
      <c r="E19" s="75"/>
      <c r="F19" s="23" t="s">
        <v>15</v>
      </c>
      <c r="G19" s="57"/>
    </row>
    <row r="20" spans="1:7" ht="65.150000000000006" customHeight="1" x14ac:dyDescent="0.35">
      <c r="A20" s="27"/>
      <c r="B20" s="76"/>
      <c r="C20" s="76"/>
      <c r="D20" s="77"/>
      <c r="E20" s="78"/>
      <c r="F20" s="23" t="s">
        <v>15</v>
      </c>
    </row>
    <row r="21" spans="1:7" ht="65.150000000000006" customHeight="1" x14ac:dyDescent="0.35">
      <c r="A21" s="28"/>
      <c r="B21" s="55"/>
      <c r="C21" s="55"/>
      <c r="D21" s="56"/>
      <c r="E21" s="75"/>
      <c r="F21" s="23" t="s">
        <v>15</v>
      </c>
      <c r="G21" s="57"/>
    </row>
    <row r="22" spans="1:7" ht="65.150000000000006" customHeight="1" x14ac:dyDescent="0.35">
      <c r="A22" s="27"/>
      <c r="B22" s="76"/>
      <c r="C22" s="76"/>
      <c r="D22" s="77"/>
      <c r="E22" s="78"/>
      <c r="F22" s="23" t="s">
        <v>15</v>
      </c>
    </row>
    <row r="23" spans="1:7" ht="65.150000000000006" customHeight="1" x14ac:dyDescent="0.35">
      <c r="A23" s="28"/>
      <c r="B23" s="55"/>
      <c r="C23" s="55"/>
      <c r="D23" s="56"/>
      <c r="E23" s="75"/>
      <c r="F23" s="23" t="s">
        <v>15</v>
      </c>
      <c r="G23" s="57"/>
    </row>
    <row r="24" spans="1:7" ht="65.150000000000006" customHeight="1" x14ac:dyDescent="0.35">
      <c r="A24" s="27"/>
      <c r="B24" s="76"/>
      <c r="C24" s="76"/>
      <c r="D24" s="77"/>
      <c r="E24" s="78"/>
      <c r="F24" s="23" t="s">
        <v>15</v>
      </c>
    </row>
    <row r="25" spans="1:7" ht="65.150000000000006" customHeight="1" x14ac:dyDescent="0.35">
      <c r="A25" s="28"/>
      <c r="B25" s="55"/>
      <c r="C25" s="55"/>
      <c r="D25" s="56"/>
      <c r="E25" s="75"/>
      <c r="F25" s="23" t="s">
        <v>15</v>
      </c>
      <c r="G25" s="57"/>
    </row>
    <row r="26" spans="1:7" ht="65.150000000000006" customHeight="1" x14ac:dyDescent="0.35">
      <c r="A26" s="27"/>
      <c r="B26" s="76"/>
      <c r="C26" s="76"/>
      <c r="D26" s="77"/>
      <c r="E26" s="78"/>
      <c r="F26" s="23" t="s">
        <v>15</v>
      </c>
    </row>
    <row r="27" spans="1:7" ht="65.150000000000006" customHeight="1" x14ac:dyDescent="0.35">
      <c r="A27" s="28"/>
      <c r="B27" s="55"/>
      <c r="C27" s="55"/>
      <c r="D27" s="56"/>
      <c r="E27" s="75"/>
      <c r="F27" s="23" t="s">
        <v>15</v>
      </c>
      <c r="G27" s="57"/>
    </row>
    <row r="28" spans="1:7" ht="65.150000000000006" customHeight="1" x14ac:dyDescent="0.35">
      <c r="A28" s="27"/>
      <c r="B28" s="76"/>
      <c r="C28" s="76"/>
      <c r="D28" s="77"/>
      <c r="E28" s="78"/>
      <c r="F28" s="23" t="s">
        <v>15</v>
      </c>
    </row>
    <row r="29" spans="1:7" ht="65.150000000000006" customHeight="1" x14ac:dyDescent="0.35">
      <c r="A29" s="28"/>
      <c r="B29" s="55"/>
      <c r="C29" s="55"/>
      <c r="D29" s="56"/>
      <c r="E29" s="75"/>
      <c r="F29" s="23" t="s">
        <v>15</v>
      </c>
      <c r="G29" s="57"/>
    </row>
    <row r="30" spans="1:7" ht="65.150000000000006" customHeight="1" x14ac:dyDescent="0.35">
      <c r="A30" s="27"/>
      <c r="B30" s="76"/>
      <c r="C30" s="76"/>
      <c r="D30" s="77"/>
      <c r="E30" s="78"/>
      <c r="F30" s="23" t="s">
        <v>15</v>
      </c>
    </row>
    <row r="31" spans="1:7" ht="65.150000000000006" customHeight="1" x14ac:dyDescent="0.35">
      <c r="A31" s="28"/>
      <c r="B31" s="55"/>
      <c r="C31" s="55"/>
      <c r="D31" s="56"/>
      <c r="E31" s="75"/>
      <c r="F31" s="23" t="s">
        <v>15</v>
      </c>
      <c r="G31" s="57"/>
    </row>
    <row r="32" spans="1:7" ht="65.150000000000006" customHeight="1" x14ac:dyDescent="0.35">
      <c r="A32" s="27"/>
      <c r="B32" s="76"/>
      <c r="C32" s="76"/>
      <c r="D32" s="77"/>
      <c r="E32" s="78"/>
      <c r="F32" s="23" t="s">
        <v>15</v>
      </c>
    </row>
    <row r="33" spans="1:7" ht="65.150000000000006" customHeight="1" x14ac:dyDescent="0.35">
      <c r="A33" s="28"/>
      <c r="B33" s="55"/>
      <c r="C33" s="55"/>
      <c r="D33" s="56"/>
      <c r="E33" s="75"/>
      <c r="F33" s="23" t="s">
        <v>15</v>
      </c>
      <c r="G33" s="57"/>
    </row>
    <row r="34" spans="1:7" ht="65.150000000000006" customHeight="1" x14ac:dyDescent="0.35">
      <c r="A34" s="27"/>
      <c r="B34" s="76"/>
      <c r="C34" s="76"/>
      <c r="D34" s="77"/>
      <c r="E34" s="78"/>
      <c r="F34" s="23" t="s">
        <v>15</v>
      </c>
    </row>
    <row r="35" spans="1:7" ht="65.150000000000006" customHeight="1" x14ac:dyDescent="0.35">
      <c r="A35" s="28"/>
      <c r="B35" s="55"/>
      <c r="C35" s="55"/>
      <c r="D35" s="56"/>
      <c r="E35" s="75"/>
      <c r="F35" s="23" t="s">
        <v>15</v>
      </c>
      <c r="G35" s="57"/>
    </row>
    <row r="36" spans="1:7" ht="65.150000000000006" customHeight="1" x14ac:dyDescent="0.35">
      <c r="A36" s="27"/>
      <c r="B36" s="76"/>
      <c r="C36" s="76"/>
      <c r="D36" s="77"/>
      <c r="E36" s="78"/>
      <c r="F36" s="23" t="s">
        <v>15</v>
      </c>
    </row>
    <row r="37" spans="1:7" ht="65.150000000000006" customHeight="1" x14ac:dyDescent="0.35">
      <c r="A37" s="28"/>
      <c r="B37" s="55"/>
      <c r="C37" s="55"/>
      <c r="D37" s="56"/>
      <c r="E37" s="75"/>
      <c r="F37" s="23" t="s">
        <v>15</v>
      </c>
      <c r="G37" s="57"/>
    </row>
    <row r="38" spans="1:7" ht="65.150000000000006" customHeight="1" x14ac:dyDescent="0.35">
      <c r="A38" s="27"/>
      <c r="B38" s="76"/>
      <c r="C38" s="76"/>
      <c r="D38" s="77"/>
      <c r="E38" s="78"/>
      <c r="F38" s="23" t="s">
        <v>15</v>
      </c>
    </row>
    <row r="39" spans="1:7" ht="65.150000000000006" customHeight="1" x14ac:dyDescent="0.35">
      <c r="A39" s="28"/>
      <c r="B39" s="55"/>
      <c r="C39" s="55"/>
      <c r="D39" s="56"/>
      <c r="E39" s="75"/>
      <c r="F39" s="23" t="s">
        <v>15</v>
      </c>
      <c r="G39" s="57"/>
    </row>
    <row r="40" spans="1:7" ht="65.150000000000006" customHeight="1" x14ac:dyDescent="0.35">
      <c r="A40" s="27"/>
      <c r="B40" s="76"/>
      <c r="C40" s="76"/>
      <c r="D40" s="77"/>
      <c r="E40" s="78"/>
      <c r="F40" s="23" t="s">
        <v>15</v>
      </c>
    </row>
    <row r="41" spans="1:7" ht="65.150000000000006" customHeight="1" x14ac:dyDescent="0.35">
      <c r="A41" s="28"/>
      <c r="B41" s="55"/>
      <c r="C41" s="55"/>
      <c r="D41" s="56"/>
      <c r="E41" s="75"/>
      <c r="F41" s="23" t="s">
        <v>15</v>
      </c>
      <c r="G41" s="57"/>
    </row>
    <row r="42" spans="1:7" ht="65.150000000000006" customHeight="1" x14ac:dyDescent="0.35">
      <c r="A42" s="27"/>
      <c r="B42" s="76"/>
      <c r="C42" s="76"/>
      <c r="D42" s="77"/>
      <c r="E42" s="78"/>
      <c r="F42" s="23" t="s">
        <v>15</v>
      </c>
    </row>
    <row r="43" spans="1:7" ht="65.150000000000006" customHeight="1" x14ac:dyDescent="0.35">
      <c r="A43" s="28"/>
      <c r="B43" s="55"/>
      <c r="C43" s="55"/>
      <c r="D43" s="56"/>
      <c r="E43" s="75"/>
      <c r="F43" s="23" t="s">
        <v>15</v>
      </c>
      <c r="G43" s="57"/>
    </row>
    <row r="44" spans="1:7" ht="65.150000000000006" customHeight="1" x14ac:dyDescent="0.35">
      <c r="A44" s="27"/>
      <c r="B44" s="76"/>
      <c r="C44" s="76"/>
      <c r="D44" s="77"/>
      <c r="E44" s="78"/>
      <c r="F44" s="23" t="s">
        <v>15</v>
      </c>
    </row>
    <row r="45" spans="1:7" ht="65.150000000000006" customHeight="1" x14ac:dyDescent="0.35">
      <c r="A45" s="28"/>
      <c r="B45" s="55"/>
      <c r="C45" s="55"/>
      <c r="D45" s="56"/>
      <c r="E45" s="75"/>
      <c r="F45" s="23" t="s">
        <v>15</v>
      </c>
      <c r="G45" s="57"/>
    </row>
    <row r="46" spans="1:7" ht="65.150000000000006" customHeight="1" x14ac:dyDescent="0.35">
      <c r="A46" s="27"/>
      <c r="B46" s="76"/>
      <c r="C46" s="76"/>
      <c r="D46" s="77"/>
      <c r="E46" s="78"/>
      <c r="F46" s="23" t="s">
        <v>15</v>
      </c>
    </row>
    <row r="47" spans="1:7" ht="65.150000000000006" customHeight="1" x14ac:dyDescent="0.35">
      <c r="A47" s="28"/>
      <c r="B47" s="55"/>
      <c r="C47" s="55"/>
      <c r="D47" s="56"/>
      <c r="E47" s="75"/>
      <c r="F47" s="23" t="s">
        <v>15</v>
      </c>
      <c r="G47" s="57"/>
    </row>
    <row r="48" spans="1:7" ht="65.150000000000006" customHeight="1" x14ac:dyDescent="0.35">
      <c r="A48" s="27"/>
      <c r="B48" s="76"/>
      <c r="C48" s="76"/>
      <c r="D48" s="77"/>
      <c r="E48" s="78"/>
      <c r="F48" s="23" t="s">
        <v>15</v>
      </c>
    </row>
    <row r="49" spans="1:7" ht="65.150000000000006" customHeight="1" x14ac:dyDescent="0.35">
      <c r="A49" s="28"/>
      <c r="B49" s="55"/>
      <c r="C49" s="55"/>
      <c r="D49" s="56"/>
      <c r="E49" s="75"/>
      <c r="F49" s="23" t="s">
        <v>15</v>
      </c>
      <c r="G49" s="57"/>
    </row>
    <row r="50" spans="1:7" ht="65.150000000000006" customHeight="1" x14ac:dyDescent="0.35">
      <c r="A50" s="27"/>
      <c r="B50" s="76"/>
      <c r="C50" s="76"/>
      <c r="D50" s="77"/>
      <c r="E50" s="78"/>
      <c r="F50" s="23" t="s">
        <v>15</v>
      </c>
    </row>
    <row r="51" spans="1:7" ht="65.150000000000006" customHeight="1" x14ac:dyDescent="0.35">
      <c r="A51" s="28"/>
      <c r="B51" s="55"/>
      <c r="C51" s="55"/>
      <c r="D51" s="56"/>
      <c r="E51" s="75"/>
      <c r="F51" s="23" t="s">
        <v>15</v>
      </c>
      <c r="G51" s="57"/>
    </row>
    <row r="52" spans="1:7" ht="65.150000000000006" customHeight="1" x14ac:dyDescent="0.35">
      <c r="A52" s="27"/>
      <c r="B52" s="76"/>
      <c r="C52" s="76"/>
      <c r="D52" s="77"/>
      <c r="E52" s="78"/>
      <c r="F52" s="23" t="s">
        <v>15</v>
      </c>
    </row>
    <row r="53" spans="1:7" ht="65.150000000000006" customHeight="1" x14ac:dyDescent="0.35">
      <c r="A53" s="28"/>
      <c r="B53" s="55"/>
      <c r="C53" s="55"/>
      <c r="D53" s="56"/>
      <c r="E53" s="75"/>
      <c r="F53" s="23" t="s">
        <v>15</v>
      </c>
      <c r="G53" s="57"/>
    </row>
    <row r="54" spans="1:7" ht="65.150000000000006" customHeight="1" x14ac:dyDescent="0.35">
      <c r="A54" s="27"/>
      <c r="B54" s="76"/>
      <c r="C54" s="76"/>
      <c r="D54" s="77"/>
      <c r="E54" s="78"/>
      <c r="F54" s="23" t="s">
        <v>15</v>
      </c>
    </row>
    <row r="55" spans="1:7" ht="65.150000000000006" customHeight="1" x14ac:dyDescent="0.35">
      <c r="A55" s="28"/>
      <c r="B55" s="55"/>
      <c r="C55" s="55"/>
      <c r="D55" s="56"/>
      <c r="E55" s="75"/>
      <c r="F55" s="23" t="s">
        <v>15</v>
      </c>
      <c r="G55" s="57"/>
    </row>
    <row r="56" spans="1:7" ht="65.150000000000006" customHeight="1" x14ac:dyDescent="0.35">
      <c r="A56" s="27"/>
      <c r="B56" s="76"/>
      <c r="C56" s="76"/>
      <c r="D56" s="77"/>
      <c r="E56" s="78"/>
      <c r="F56" s="23" t="s">
        <v>15</v>
      </c>
    </row>
    <row r="57" spans="1:7" ht="65.150000000000006" customHeight="1" x14ac:dyDescent="0.35">
      <c r="A57" s="28"/>
      <c r="B57" s="55"/>
      <c r="C57" s="55"/>
      <c r="D57" s="56"/>
      <c r="E57" s="75"/>
      <c r="F57" s="23" t="s">
        <v>15</v>
      </c>
      <c r="G57" s="57"/>
    </row>
    <row r="58" spans="1:7" ht="65.150000000000006" customHeight="1" x14ac:dyDescent="0.35">
      <c r="A58" s="27"/>
      <c r="B58" s="76"/>
      <c r="C58" s="76"/>
      <c r="D58" s="77"/>
      <c r="E58" s="78"/>
      <c r="F58" s="23" t="s">
        <v>15</v>
      </c>
    </row>
    <row r="59" spans="1:7" ht="65.150000000000006" customHeight="1" x14ac:dyDescent="0.35">
      <c r="A59" s="28"/>
      <c r="B59" s="55"/>
      <c r="C59" s="55"/>
      <c r="D59" s="56"/>
      <c r="E59" s="75"/>
      <c r="F59" s="23" t="s">
        <v>15</v>
      </c>
      <c r="G59" s="57"/>
    </row>
    <row r="60" spans="1:7" ht="65.150000000000006" customHeight="1" x14ac:dyDescent="0.35">
      <c r="A60" s="27"/>
      <c r="B60" s="76"/>
      <c r="C60" s="76"/>
      <c r="D60" s="77"/>
      <c r="E60" s="78"/>
      <c r="F60" s="23" t="s">
        <v>15</v>
      </c>
    </row>
    <row r="61" spans="1:7" ht="65.150000000000006" customHeight="1" x14ac:dyDescent="0.35">
      <c r="A61" s="28"/>
      <c r="B61" s="55"/>
      <c r="C61" s="55"/>
      <c r="D61" s="56"/>
      <c r="E61" s="75"/>
      <c r="F61" s="23" t="s">
        <v>15</v>
      </c>
      <c r="G61" s="57"/>
    </row>
    <row r="62" spans="1:7" ht="65.150000000000006" customHeight="1" x14ac:dyDescent="0.35">
      <c r="A62" s="27"/>
      <c r="B62" s="76"/>
      <c r="C62" s="76"/>
      <c r="D62" s="77"/>
      <c r="E62" s="78"/>
      <c r="F62" s="23" t="s">
        <v>15</v>
      </c>
    </row>
    <row r="63" spans="1:7" ht="65.150000000000006" customHeight="1" x14ac:dyDescent="0.35">
      <c r="A63" s="28"/>
      <c r="B63" s="55"/>
      <c r="C63" s="55"/>
      <c r="D63" s="56"/>
      <c r="E63" s="75"/>
      <c r="F63" s="23" t="s">
        <v>15</v>
      </c>
      <c r="G63" s="57"/>
    </row>
    <row r="64" spans="1:7" ht="65.150000000000006" customHeight="1" x14ac:dyDescent="0.35">
      <c r="A64" s="27"/>
      <c r="B64" s="76"/>
      <c r="C64" s="76"/>
      <c r="D64" s="77"/>
      <c r="E64" s="78"/>
      <c r="F64" s="23" t="s">
        <v>15</v>
      </c>
    </row>
    <row r="65" spans="1:7" ht="65.150000000000006" customHeight="1" x14ac:dyDescent="0.35">
      <c r="A65" s="28"/>
      <c r="B65" s="55"/>
      <c r="C65" s="55"/>
      <c r="D65" s="56"/>
      <c r="E65" s="75"/>
      <c r="F65" s="23" t="s">
        <v>15</v>
      </c>
      <c r="G65" s="57"/>
    </row>
    <row r="66" spans="1:7" ht="65.150000000000006" customHeight="1" x14ac:dyDescent="0.35">
      <c r="A66" s="27"/>
      <c r="B66" s="76"/>
      <c r="C66" s="76"/>
      <c r="D66" s="77"/>
      <c r="E66" s="78"/>
      <c r="F66" s="23" t="s">
        <v>15</v>
      </c>
    </row>
    <row r="67" spans="1:7" ht="65.150000000000006" customHeight="1" x14ac:dyDescent="0.35">
      <c r="A67" s="28"/>
      <c r="B67" s="55"/>
      <c r="C67" s="55"/>
      <c r="D67" s="56"/>
      <c r="E67" s="75"/>
      <c r="F67" s="23" t="s">
        <v>15</v>
      </c>
      <c r="G67" s="57"/>
    </row>
    <row r="68" spans="1:7" ht="65.150000000000006" customHeight="1" x14ac:dyDescent="0.35">
      <c r="A68" s="27"/>
      <c r="B68" s="76"/>
      <c r="C68" s="76"/>
      <c r="D68" s="77"/>
      <c r="E68" s="78"/>
      <c r="F68" s="23" t="s">
        <v>15</v>
      </c>
    </row>
    <row r="69" spans="1:7" ht="65.150000000000006" customHeight="1" x14ac:dyDescent="0.35">
      <c r="A69" s="28"/>
      <c r="B69" s="55"/>
      <c r="C69" s="55"/>
      <c r="D69" s="56"/>
      <c r="E69" s="75"/>
      <c r="F69" s="23" t="s">
        <v>15</v>
      </c>
    </row>
    <row r="70" spans="1:7" ht="65.150000000000006" customHeight="1" x14ac:dyDescent="0.35">
      <c r="A70" s="27"/>
      <c r="B70" s="76"/>
      <c r="C70" s="76"/>
      <c r="D70" s="77"/>
      <c r="E70" s="78"/>
      <c r="F70" s="23" t="s">
        <v>15</v>
      </c>
    </row>
    <row r="71" spans="1:7" ht="65.150000000000006" customHeight="1" x14ac:dyDescent="0.35">
      <c r="A71" s="28"/>
      <c r="B71" s="55"/>
      <c r="C71" s="55"/>
      <c r="D71" s="56"/>
      <c r="E71" s="75"/>
      <c r="F71" s="29" t="s">
        <v>15</v>
      </c>
    </row>
    <row r="72" spans="1:7" ht="65.150000000000006" customHeight="1" x14ac:dyDescent="0.35">
      <c r="A72" s="27"/>
      <c r="B72" s="76"/>
      <c r="C72" s="76"/>
      <c r="D72" s="77"/>
      <c r="E72" s="78"/>
      <c r="F72" s="23" t="s">
        <v>15</v>
      </c>
    </row>
    <row r="73" spans="1:7" ht="65.150000000000006" customHeight="1" x14ac:dyDescent="0.35">
      <c r="A73" s="28"/>
      <c r="B73" s="55"/>
      <c r="C73" s="55"/>
      <c r="D73" s="56"/>
      <c r="E73" s="75"/>
      <c r="F73" s="29" t="s">
        <v>15</v>
      </c>
    </row>
    <row r="74" spans="1:7" ht="65.150000000000006" customHeight="1" x14ac:dyDescent="0.35">
      <c r="A74" s="27"/>
      <c r="B74" s="76"/>
      <c r="C74" s="76"/>
      <c r="D74" s="77"/>
      <c r="E74" s="78"/>
      <c r="F74" s="23" t="s">
        <v>15</v>
      </c>
    </row>
    <row r="75" spans="1:7" ht="65.150000000000006" customHeight="1" x14ac:dyDescent="0.35">
      <c r="A75" s="28"/>
      <c r="B75" s="55"/>
      <c r="C75" s="55"/>
      <c r="D75" s="56"/>
      <c r="E75" s="75"/>
      <c r="F75" s="29" t="s">
        <v>15</v>
      </c>
    </row>
    <row r="76" spans="1:7" ht="65.150000000000006" customHeight="1" x14ac:dyDescent="0.35">
      <c r="A76" s="27"/>
      <c r="B76" s="76"/>
      <c r="C76" s="76"/>
      <c r="D76" s="77"/>
      <c r="E76" s="78"/>
      <c r="F76" s="23" t="s">
        <v>15</v>
      </c>
    </row>
    <row r="77" spans="1:7" ht="65.150000000000006" customHeight="1" x14ac:dyDescent="0.35">
      <c r="A77" s="28"/>
      <c r="B77" s="55"/>
      <c r="C77" s="55"/>
      <c r="D77" s="56"/>
      <c r="E77" s="75"/>
      <c r="F77" s="29" t="s">
        <v>15</v>
      </c>
    </row>
    <row r="78" spans="1:7" ht="35.15" customHeight="1" x14ac:dyDescent="0.35">
      <c r="B78" s="83"/>
      <c r="C78" s="76"/>
      <c r="D78" s="77"/>
      <c r="E78" s="78"/>
      <c r="F78" s="23" t="s">
        <v>15</v>
      </c>
    </row>
    <row r="79" spans="1:7" ht="35.15" customHeight="1" x14ac:dyDescent="0.35">
      <c r="B79" s="83"/>
      <c r="C79" s="76"/>
      <c r="D79" s="77"/>
      <c r="E79" s="78"/>
      <c r="F79" s="23" t="s">
        <v>15</v>
      </c>
    </row>
    <row r="80" spans="1:7" ht="35.15" customHeight="1" x14ac:dyDescent="0.35">
      <c r="B80" s="83"/>
      <c r="C80" s="76"/>
      <c r="D80" s="77"/>
      <c r="E80" s="78"/>
      <c r="F80" s="23" t="s">
        <v>15</v>
      </c>
    </row>
    <row r="81" spans="2:6" ht="35.15" customHeight="1" x14ac:dyDescent="0.35">
      <c r="B81" s="83"/>
      <c r="C81" s="76"/>
      <c r="D81" s="77"/>
      <c r="E81" s="78"/>
      <c r="F81" s="23" t="s">
        <v>15</v>
      </c>
    </row>
    <row r="82" spans="2:6" ht="35.15" customHeight="1" x14ac:dyDescent="0.35">
      <c r="B82" s="83"/>
      <c r="C82" s="76"/>
      <c r="D82" s="77"/>
      <c r="E82" s="78"/>
      <c r="F82" s="23" t="s">
        <v>15</v>
      </c>
    </row>
    <row r="83" spans="2:6" ht="35.15" customHeight="1" x14ac:dyDescent="0.35">
      <c r="B83" s="83"/>
      <c r="C83" s="76"/>
      <c r="D83" s="77"/>
      <c r="E83" s="78"/>
      <c r="F83" s="23" t="s">
        <v>15</v>
      </c>
    </row>
    <row r="84" spans="2:6" ht="35.15" customHeight="1" x14ac:dyDescent="0.35">
      <c r="B84" s="83"/>
      <c r="C84" s="76"/>
      <c r="D84" s="77"/>
      <c r="E84" s="78"/>
      <c r="F84" s="23" t="s">
        <v>15</v>
      </c>
    </row>
    <row r="85" spans="2:6" ht="35.15" customHeight="1" x14ac:dyDescent="0.35">
      <c r="B85" s="83"/>
      <c r="C85" s="76"/>
      <c r="D85" s="77"/>
      <c r="E85" s="78"/>
      <c r="F85" s="23" t="s">
        <v>15</v>
      </c>
    </row>
    <row r="86" spans="2:6" ht="35.15" customHeight="1" x14ac:dyDescent="0.35">
      <c r="B86" s="83"/>
      <c r="C86" s="76"/>
      <c r="D86" s="77"/>
      <c r="E86" s="78"/>
      <c r="F86" s="23" t="s">
        <v>15</v>
      </c>
    </row>
    <row r="87" spans="2:6" ht="35.15" customHeight="1" x14ac:dyDescent="0.35">
      <c r="B87" s="83"/>
      <c r="C87" s="76"/>
      <c r="D87" s="77"/>
      <c r="E87" s="78"/>
      <c r="F87" s="23" t="s">
        <v>15</v>
      </c>
    </row>
    <row r="88" spans="2:6" ht="35.15" customHeight="1" x14ac:dyDescent="0.35">
      <c r="B88" s="83"/>
      <c r="C88" s="76"/>
      <c r="D88" s="77"/>
      <c r="E88" s="78"/>
      <c r="F88" s="23" t="s">
        <v>15</v>
      </c>
    </row>
    <row r="89" spans="2:6" ht="35.15" customHeight="1" x14ac:dyDescent="0.35">
      <c r="B89" s="83"/>
      <c r="C89" s="76"/>
      <c r="D89" s="77"/>
      <c r="E89" s="78"/>
      <c r="F89" s="23" t="s">
        <v>15</v>
      </c>
    </row>
    <row r="90" spans="2:6" ht="30" customHeight="1" x14ac:dyDescent="0.35">
      <c r="B90" s="83"/>
      <c r="C90" s="76"/>
      <c r="D90" s="77"/>
      <c r="E90" s="78"/>
      <c r="F90" s="23" t="s">
        <v>15</v>
      </c>
    </row>
    <row r="91" spans="2:6" ht="30" customHeight="1" x14ac:dyDescent="0.35">
      <c r="B91" s="83"/>
      <c r="C91" s="76"/>
      <c r="D91" s="77"/>
      <c r="E91" s="78"/>
      <c r="F91" s="23" t="s">
        <v>15</v>
      </c>
    </row>
    <row r="92" spans="2:6" ht="30" customHeight="1" x14ac:dyDescent="0.35">
      <c r="B92" s="83"/>
      <c r="C92" s="76"/>
      <c r="D92" s="77"/>
      <c r="E92" s="78"/>
      <c r="F92" s="23" t="s">
        <v>15</v>
      </c>
    </row>
    <row r="93" spans="2:6" ht="30" customHeight="1" x14ac:dyDescent="0.35">
      <c r="B93" s="83"/>
      <c r="C93" s="76"/>
      <c r="D93" s="77"/>
      <c r="E93" s="78"/>
      <c r="F93" s="23" t="s">
        <v>15</v>
      </c>
    </row>
    <row r="94" spans="2:6" ht="30" customHeight="1" x14ac:dyDescent="0.35">
      <c r="B94" s="83"/>
      <c r="C94" s="76"/>
      <c r="D94" s="77"/>
      <c r="E94" s="78"/>
      <c r="F94" s="23" t="s">
        <v>15</v>
      </c>
    </row>
    <row r="95" spans="2:6" ht="30" customHeight="1" x14ac:dyDescent="0.35">
      <c r="B95" s="83"/>
      <c r="C95" s="76"/>
      <c r="D95" s="77"/>
      <c r="E95" s="78"/>
      <c r="F95" s="23" t="s">
        <v>15</v>
      </c>
    </row>
    <row r="96" spans="2:6" ht="30" customHeight="1" x14ac:dyDescent="0.35">
      <c r="B96" s="83"/>
      <c r="C96" s="76"/>
      <c r="D96" s="77"/>
      <c r="E96" s="78"/>
      <c r="F96" s="23" t="s">
        <v>15</v>
      </c>
    </row>
    <row r="97" spans="2:6" ht="30" customHeight="1" x14ac:dyDescent="0.35">
      <c r="B97" s="83"/>
      <c r="C97" s="76"/>
      <c r="D97" s="77"/>
      <c r="E97" s="78"/>
      <c r="F97" s="23" t="s">
        <v>15</v>
      </c>
    </row>
    <row r="98" spans="2:6" ht="30" customHeight="1" x14ac:dyDescent="0.35">
      <c r="B98" s="83"/>
      <c r="C98" s="76"/>
      <c r="D98" s="77"/>
      <c r="E98" s="78"/>
      <c r="F98" s="23" t="s">
        <v>15</v>
      </c>
    </row>
    <row r="99" spans="2:6" ht="30" customHeight="1" x14ac:dyDescent="0.35">
      <c r="B99" s="83"/>
      <c r="C99" s="76"/>
      <c r="D99" s="77"/>
      <c r="E99" s="78"/>
      <c r="F99" s="23" t="s">
        <v>15</v>
      </c>
    </row>
    <row r="100" spans="2:6" ht="30" customHeight="1" x14ac:dyDescent="0.35">
      <c r="B100" s="83"/>
      <c r="C100" s="76"/>
      <c r="D100" s="77"/>
      <c r="E100" s="78"/>
      <c r="F100" s="23" t="s">
        <v>15</v>
      </c>
    </row>
    <row r="101" spans="2:6" ht="30" customHeight="1" x14ac:dyDescent="0.35">
      <c r="B101" s="83"/>
      <c r="C101" s="76"/>
      <c r="D101" s="77"/>
      <c r="E101" s="78"/>
      <c r="F101" s="23" t="s">
        <v>15</v>
      </c>
    </row>
    <row r="102" spans="2:6" ht="30" customHeight="1" x14ac:dyDescent="0.35">
      <c r="B102" s="83"/>
      <c r="C102" s="76"/>
      <c r="D102" s="77"/>
      <c r="E102" s="78"/>
      <c r="F102" s="23" t="s">
        <v>15</v>
      </c>
    </row>
    <row r="103" spans="2:6" ht="30" customHeight="1" x14ac:dyDescent="0.35">
      <c r="B103" s="83"/>
      <c r="C103" s="76"/>
      <c r="D103" s="77"/>
      <c r="E103" s="78"/>
      <c r="F103" s="23" t="s">
        <v>15</v>
      </c>
    </row>
    <row r="104" spans="2:6" ht="30" customHeight="1" x14ac:dyDescent="0.35">
      <c r="B104" s="83"/>
      <c r="C104" s="76"/>
      <c r="D104" s="77"/>
      <c r="E104" s="78"/>
      <c r="F104" s="23" t="s">
        <v>15</v>
      </c>
    </row>
    <row r="105" spans="2:6" ht="30" customHeight="1" x14ac:dyDescent="0.35">
      <c r="B105" s="83"/>
      <c r="C105" s="76"/>
      <c r="D105" s="77"/>
      <c r="E105" s="78"/>
      <c r="F105" s="23" t="s">
        <v>15</v>
      </c>
    </row>
    <row r="106" spans="2:6" ht="30" customHeight="1" x14ac:dyDescent="0.35">
      <c r="B106" s="83"/>
      <c r="C106" s="76"/>
      <c r="D106" s="77"/>
      <c r="E106" s="78"/>
      <c r="F106" s="23" t="s">
        <v>15</v>
      </c>
    </row>
    <row r="107" spans="2:6" ht="30" customHeight="1" x14ac:dyDescent="0.35">
      <c r="B107" s="83"/>
      <c r="C107" s="76"/>
      <c r="D107" s="77"/>
      <c r="E107" s="78"/>
      <c r="F107" s="23" t="s">
        <v>15</v>
      </c>
    </row>
    <row r="108" spans="2:6" ht="30" customHeight="1" x14ac:dyDescent="0.35">
      <c r="B108" s="83"/>
      <c r="C108" s="76"/>
      <c r="D108" s="77"/>
      <c r="E108" s="78"/>
      <c r="F108" s="23" t="s">
        <v>15</v>
      </c>
    </row>
    <row r="109" spans="2:6" ht="30" customHeight="1" x14ac:dyDescent="0.35">
      <c r="B109" s="83"/>
      <c r="C109" s="76"/>
      <c r="D109" s="77"/>
      <c r="E109" s="78"/>
      <c r="F109" s="23" t="s">
        <v>15</v>
      </c>
    </row>
    <row r="110" spans="2:6" ht="30" customHeight="1" x14ac:dyDescent="0.35">
      <c r="B110" s="83"/>
      <c r="C110" s="76"/>
      <c r="D110" s="77"/>
      <c r="E110" s="78"/>
      <c r="F110" s="23" t="s">
        <v>15</v>
      </c>
    </row>
    <row r="111" spans="2:6" ht="30" customHeight="1" x14ac:dyDescent="0.35">
      <c r="B111" s="83"/>
      <c r="C111" s="76"/>
      <c r="D111" s="77"/>
      <c r="E111" s="78"/>
      <c r="F111" s="23" t="s">
        <v>15</v>
      </c>
    </row>
    <row r="112" spans="2:6" ht="30" customHeight="1" x14ac:dyDescent="0.35">
      <c r="B112" s="83"/>
      <c r="C112" s="76"/>
      <c r="D112" s="77"/>
      <c r="E112" s="78"/>
      <c r="F112" s="23" t="s">
        <v>15</v>
      </c>
    </row>
    <row r="113" spans="1:7" ht="30" customHeight="1" x14ac:dyDescent="0.35">
      <c r="B113" s="83"/>
      <c r="C113" s="76"/>
      <c r="D113" s="77"/>
      <c r="E113" s="78"/>
      <c r="F113" s="23" t="s">
        <v>15</v>
      </c>
    </row>
    <row r="114" spans="1:7" ht="30" customHeight="1" x14ac:dyDescent="0.35">
      <c r="B114" s="83"/>
      <c r="C114" s="76"/>
      <c r="D114" s="77"/>
      <c r="E114" s="78"/>
      <c r="F114" s="23" t="s">
        <v>15</v>
      </c>
    </row>
    <row r="115" spans="1:7" ht="30" customHeight="1" x14ac:dyDescent="0.35">
      <c r="B115" s="83"/>
      <c r="C115" s="76"/>
      <c r="D115" s="77"/>
      <c r="E115" s="78"/>
      <c r="F115" s="23" t="s">
        <v>15</v>
      </c>
    </row>
    <row r="116" spans="1:7" ht="30" customHeight="1" x14ac:dyDescent="0.35">
      <c r="B116" s="83"/>
      <c r="C116" s="76"/>
      <c r="D116" s="77"/>
      <c r="E116" s="78"/>
      <c r="F116" s="23" t="s">
        <v>15</v>
      </c>
    </row>
    <row r="117" spans="1:7" s="19" customFormat="1" ht="16.5" customHeight="1" x14ac:dyDescent="0.35">
      <c r="A117" s="71"/>
      <c r="B117" s="84"/>
      <c r="C117" s="71"/>
      <c r="D117" s="71"/>
      <c r="E117" s="79"/>
      <c r="G117"/>
    </row>
    <row r="190" spans="7:7" x14ac:dyDescent="0.35">
      <c r="G190" s="19"/>
    </row>
  </sheetData>
  <sheetProtection selectLockedCells="1"/>
  <mergeCells count="9">
    <mergeCell ref="G4:G5"/>
    <mergeCell ref="A1:A2"/>
    <mergeCell ref="A3:A4"/>
    <mergeCell ref="A6:A7"/>
    <mergeCell ref="F4:F5"/>
    <mergeCell ref="B4:B5"/>
    <mergeCell ref="C4:C5"/>
    <mergeCell ref="D4:D5"/>
    <mergeCell ref="E4:E5"/>
  </mergeCells>
  <conditionalFormatting sqref="F8:F116">
    <cfRule type="expression" dxfId="16" priority="1">
      <formula>F8="VAZIO"</formula>
    </cfRule>
    <cfRule type="expression" dxfId="15" priority="2">
      <formula>F8="X"</formula>
    </cfRule>
    <cfRule type="expression" dxfId="14" priority="3">
      <formula>F8="OK"</formula>
    </cfRule>
  </conditionalFormatting>
  <dataValidations count="1">
    <dataValidation type="list" allowBlank="1" showInputMessage="1" showErrorMessage="1" sqref="F8:F116" xr:uid="{00000000-0002-0000-0100-000000000000}">
      <formula1>"OK,X,VAZIO"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X119"/>
  <sheetViews>
    <sheetView showGridLines="0" zoomScale="70" zoomScaleNormal="70" workbookViewId="0">
      <pane ySplit="5" topLeftCell="A6" activePane="bottomLeft" state="frozen"/>
      <selection pane="bottomLeft"/>
    </sheetView>
  </sheetViews>
  <sheetFormatPr defaultRowHeight="14.5" x14ac:dyDescent="0.35"/>
  <cols>
    <col min="1" max="1" width="24.1796875" hidden="1" customWidth="1"/>
    <col min="2" max="2" width="31.54296875" hidden="1" customWidth="1"/>
    <col min="3" max="3" width="33" hidden="1" customWidth="1"/>
    <col min="4" max="4" width="60" bestFit="1" customWidth="1"/>
    <col min="5" max="5" width="25.453125" bestFit="1" customWidth="1"/>
    <col min="6" max="6" width="31.453125" bestFit="1" customWidth="1"/>
    <col min="7" max="7" width="11.81640625" bestFit="1" customWidth="1"/>
    <col min="8" max="8" width="17.81640625" bestFit="1" customWidth="1"/>
    <col min="9" max="9" width="15.81640625" customWidth="1"/>
    <col min="10" max="10" width="9.1796875" customWidth="1"/>
  </cols>
  <sheetData>
    <row r="1" spans="1:24" x14ac:dyDescent="0.35"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x14ac:dyDescent="0.35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x14ac:dyDescent="0.35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x14ac:dyDescent="0.35"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ht="15.75" customHeight="1" x14ac:dyDescent="0.3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customHeight="1" thickBot="1" x14ac:dyDescent="0.4"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5" customHeight="1" x14ac:dyDescent="0.35">
      <c r="C7" s="154" t="s">
        <v>32</v>
      </c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6"/>
    </row>
    <row r="8" spans="1:24" ht="15" customHeight="1" x14ac:dyDescent="0.35">
      <c r="C8" s="157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9"/>
    </row>
    <row r="9" spans="1:24" ht="15.75" customHeight="1" thickBot="1" x14ac:dyDescent="0.4">
      <c r="C9" s="160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2"/>
    </row>
    <row r="10" spans="1:24" x14ac:dyDescent="0.35">
      <c r="C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x14ac:dyDescent="0.35"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ht="30" customHeight="1" thickBot="1" x14ac:dyDescent="0.4"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ht="30" customHeight="1" thickBot="1" x14ac:dyDescent="0.4">
      <c r="A13" s="5" t="str">
        <f>ADRIANO!AV18</f>
        <v>ATRASO MENSAL</v>
      </c>
      <c r="B13" s="5">
        <f>ADRIANO!AY18</f>
        <v>11</v>
      </c>
      <c r="C13" s="54">
        <f>ADRIANO!AZ18</f>
        <v>0.15277777777777779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ht="30" customHeight="1" thickBot="1" x14ac:dyDescent="0.4">
      <c r="A14" s="5" t="str">
        <f>ADRIANO!AV19</f>
        <v>Ações do Cliente</v>
      </c>
      <c r="B14" s="5">
        <f>ADRIANO!AY19</f>
        <v>4</v>
      </c>
      <c r="C14" s="54">
        <f>ADRIANO!AZ19</f>
        <v>0.36363636363636365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ht="15" thickBot="1" x14ac:dyDescent="0.4">
      <c r="A15" s="5" t="str">
        <f>ADRIANO!AV20</f>
        <v>Falta de Recurso</v>
      </c>
      <c r="B15" s="5">
        <f>ADRIANO!AY20</f>
        <v>7</v>
      </c>
      <c r="C15" s="54">
        <f>ADRIANO!AZ20</f>
        <v>0.63636363636363635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ht="15" thickBot="1" x14ac:dyDescent="0.4">
      <c r="A16" s="5">
        <f>ADRIANO!AV21</f>
        <v>0</v>
      </c>
      <c r="B16" s="5">
        <f>ADRIANO!AY21</f>
        <v>0</v>
      </c>
      <c r="C16" s="54">
        <f>ADRIANO!AZ21</f>
        <v>0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ht="15" thickBot="1" x14ac:dyDescent="0.4">
      <c r="A17" s="5">
        <f>ADRIANO!AV22</f>
        <v>0</v>
      </c>
      <c r="B17" s="5">
        <f>ADRIANO!AY22</f>
        <v>0</v>
      </c>
      <c r="C17" s="54">
        <f>ADRIANO!AZ22</f>
        <v>0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ht="15" thickBot="1" x14ac:dyDescent="0.4">
      <c r="A18" s="5" t="e">
        <f>ADRIANO!#REF!</f>
        <v>#REF!</v>
      </c>
      <c r="B18" s="5" t="e">
        <f>ADRIANO!#REF!</f>
        <v>#REF!</v>
      </c>
      <c r="C18" s="54">
        <f>ADRIANO!AZ23</f>
        <v>0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ht="15" thickBot="1" x14ac:dyDescent="0.4">
      <c r="A19" s="5">
        <f>ADRIANO!AV23</f>
        <v>0</v>
      </c>
      <c r="B19" s="5">
        <f>ADRIANO!AY23</f>
        <v>0</v>
      </c>
      <c r="C19" s="54">
        <f>ADRIANO!AZ24</f>
        <v>0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ht="15" thickBot="1" x14ac:dyDescent="0.4">
      <c r="A20" s="5"/>
      <c r="B20" s="5"/>
      <c r="C20" s="5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ht="15" thickBot="1" x14ac:dyDescent="0.4">
      <c r="A21" s="5"/>
      <c r="B21" s="5"/>
      <c r="C21" s="5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ht="15" thickBot="1" x14ac:dyDescent="0.4">
      <c r="A22" s="5"/>
      <c r="B22" s="5"/>
      <c r="C22" s="5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35">
      <c r="C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35">
      <c r="C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35">
      <c r="C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35">
      <c r="C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ht="30" customHeight="1" x14ac:dyDescent="0.35">
      <c r="C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24" x14ac:dyDescent="0.3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ht="18" customHeight="1" x14ac:dyDescent="0.3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3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3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3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3:24" x14ac:dyDescent="0.3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3:24" x14ac:dyDescent="0.3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3:24" x14ac:dyDescent="0.3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3:24" x14ac:dyDescent="0.3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3:24" x14ac:dyDescent="0.3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3:24" x14ac:dyDescent="0.3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3:24" x14ac:dyDescent="0.3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3:24" x14ac:dyDescent="0.3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3:24" x14ac:dyDescent="0.3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3:24" x14ac:dyDescent="0.3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3:24" x14ac:dyDescent="0.3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3:24" x14ac:dyDescent="0.3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3:24" x14ac:dyDescent="0.3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3:24" x14ac:dyDescent="0.3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3:24" x14ac:dyDescent="0.3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3:24" x14ac:dyDescent="0.3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3:24" x14ac:dyDescent="0.3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3:24" x14ac:dyDescent="0.3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3:24" x14ac:dyDescent="0.3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3:24" x14ac:dyDescent="0.3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3:24" x14ac:dyDescent="0.3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3:24" x14ac:dyDescent="0.3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3:24" x14ac:dyDescent="0.3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3:24" x14ac:dyDescent="0.3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3:24" x14ac:dyDescent="0.3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3:24" x14ac:dyDescent="0.3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3:24" x14ac:dyDescent="0.3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3:24" x14ac:dyDescent="0.3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3:24" x14ac:dyDescent="0.3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</row>
    <row r="62" spans="3:24" x14ac:dyDescent="0.3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</row>
    <row r="63" spans="3:24" x14ac:dyDescent="0.3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</row>
    <row r="64" spans="3:24" x14ac:dyDescent="0.3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</row>
    <row r="65" spans="3:24" x14ac:dyDescent="0.3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</row>
    <row r="66" spans="3:24" x14ac:dyDescent="0.3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</row>
    <row r="67" spans="3:24" x14ac:dyDescent="0.3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</row>
    <row r="68" spans="3:24" x14ac:dyDescent="0.3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</row>
    <row r="69" spans="3:24" x14ac:dyDescent="0.3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</row>
    <row r="70" spans="3:24" x14ac:dyDescent="0.3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</row>
    <row r="71" spans="3:24" x14ac:dyDescent="0.3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</row>
    <row r="72" spans="3:24" x14ac:dyDescent="0.3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</row>
    <row r="73" spans="3:24" x14ac:dyDescent="0.3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</row>
    <row r="74" spans="3:24" x14ac:dyDescent="0.3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</row>
    <row r="75" spans="3:24" x14ac:dyDescent="0.3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</row>
    <row r="76" spans="3:24" x14ac:dyDescent="0.3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</row>
    <row r="77" spans="3:24" x14ac:dyDescent="0.3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</row>
    <row r="78" spans="3:24" x14ac:dyDescent="0.3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</row>
    <row r="79" spans="3:24" x14ac:dyDescent="0.3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</row>
    <row r="80" spans="3:24" x14ac:dyDescent="0.3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</row>
    <row r="81" spans="3:24" x14ac:dyDescent="0.3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</row>
    <row r="82" spans="3:24" x14ac:dyDescent="0.3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</row>
    <row r="83" spans="3:24" x14ac:dyDescent="0.3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</row>
    <row r="84" spans="3:24" x14ac:dyDescent="0.3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</row>
    <row r="85" spans="3:24" x14ac:dyDescent="0.3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</row>
    <row r="86" spans="3:24" x14ac:dyDescent="0.3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</row>
    <row r="87" spans="3:24" x14ac:dyDescent="0.3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</row>
    <row r="88" spans="3:24" x14ac:dyDescent="0.3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</row>
    <row r="89" spans="3:24" x14ac:dyDescent="0.3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</row>
    <row r="90" spans="3:24" x14ac:dyDescent="0.3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</row>
    <row r="91" spans="3:24" x14ac:dyDescent="0.3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</row>
    <row r="92" spans="3:24" x14ac:dyDescent="0.3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</row>
    <row r="93" spans="3:24" x14ac:dyDescent="0.3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</row>
    <row r="94" spans="3:24" x14ac:dyDescent="0.3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</row>
    <row r="95" spans="3:24" x14ac:dyDescent="0.3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</row>
    <row r="96" spans="3:24" x14ac:dyDescent="0.3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</row>
    <row r="97" spans="3:24" x14ac:dyDescent="0.3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</row>
    <row r="98" spans="3:24" x14ac:dyDescent="0.3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</row>
    <row r="99" spans="3:24" x14ac:dyDescent="0.3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</row>
    <row r="100" spans="3:24" x14ac:dyDescent="0.3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</row>
    <row r="101" spans="3:24" x14ac:dyDescent="0.3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</row>
    <row r="102" spans="3:24" x14ac:dyDescent="0.3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</row>
    <row r="103" spans="3:24" x14ac:dyDescent="0.3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</row>
    <row r="104" spans="3:24" x14ac:dyDescent="0.3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</row>
    <row r="105" spans="3:24" x14ac:dyDescent="0.3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</row>
    <row r="106" spans="3:24" x14ac:dyDescent="0.3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</row>
    <row r="107" spans="3:24" x14ac:dyDescent="0.3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</row>
    <row r="108" spans="3:24" x14ac:dyDescent="0.3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</row>
    <row r="109" spans="3:24" x14ac:dyDescent="0.3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</row>
    <row r="110" spans="3:24" x14ac:dyDescent="0.3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</row>
    <row r="111" spans="3:24" x14ac:dyDescent="0.3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</row>
    <row r="112" spans="3:24" x14ac:dyDescent="0.3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</row>
    <row r="113" spans="3:24" x14ac:dyDescent="0.3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</row>
    <row r="114" spans="3:24" x14ac:dyDescent="0.3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</row>
    <row r="115" spans="3:24" x14ac:dyDescent="0.3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</row>
    <row r="116" spans="3:24" x14ac:dyDescent="0.3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</row>
    <row r="117" spans="3:24" x14ac:dyDescent="0.3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</row>
    <row r="118" spans="3:24" x14ac:dyDescent="0.3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</row>
    <row r="119" spans="3:24" x14ac:dyDescent="0.3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</row>
  </sheetData>
  <sheetProtection selectLockedCells="1" selectUnlockedCells="1"/>
  <mergeCells count="1">
    <mergeCell ref="C7:X9"/>
  </mergeCells>
  <pageMargins left="0.511811024" right="0.511811024" top="0.78740157499999996" bottom="0.78740157499999996" header="0.31496062000000002" footer="0.31496062000000002"/>
  <pageSetup paperSize="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A288"/>
  <sheetViews>
    <sheetView showGridLines="0" zoomScale="70" zoomScaleNormal="70" workbookViewId="0">
      <pane ySplit="5" topLeftCell="A6" activePane="bottomLeft" state="frozen"/>
      <selection pane="bottomLeft" activeCell="W80" sqref="W80"/>
    </sheetView>
  </sheetViews>
  <sheetFormatPr defaultRowHeight="14.5" x14ac:dyDescent="0.35"/>
  <cols>
    <col min="1" max="1" width="9.54296875" customWidth="1"/>
    <col min="2" max="2" width="7.81640625" customWidth="1"/>
    <col min="3" max="3" width="10.1796875" customWidth="1"/>
    <col min="4" max="4" width="8.1796875" customWidth="1"/>
    <col min="5" max="5" width="9.81640625" customWidth="1"/>
    <col min="6" max="6" width="10.1796875" customWidth="1"/>
    <col min="7" max="7" width="15.81640625" customWidth="1"/>
    <col min="8" max="8" width="9.1796875" customWidth="1"/>
    <col min="32" max="32" width="11" customWidth="1"/>
  </cols>
  <sheetData>
    <row r="1" spans="1:4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5.75" customHeigh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22"/>
      <c r="X5" s="22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5.75" customHeight="1" thickBot="1" x14ac:dyDescent="0.4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5" customHeight="1" x14ac:dyDescent="0.35">
      <c r="A7" s="154" t="s">
        <v>13</v>
      </c>
      <c r="B7" s="155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6"/>
      <c r="W7" s="172">
        <f>ADRIANO!D4</f>
        <v>45202</v>
      </c>
      <c r="X7" s="173"/>
      <c r="Y7" s="163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5"/>
    </row>
    <row r="8" spans="1:41" ht="15" customHeight="1" x14ac:dyDescent="0.35">
      <c r="A8" s="157"/>
      <c r="B8" s="158"/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9"/>
      <c r="W8" s="174"/>
      <c r="X8" s="173"/>
      <c r="Y8" s="166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8"/>
    </row>
    <row r="9" spans="1:41" ht="15.75" customHeight="1" thickBot="1" x14ac:dyDescent="0.4">
      <c r="A9" s="16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2"/>
      <c r="W9" s="174"/>
      <c r="X9" s="173"/>
      <c r="Y9" s="169"/>
      <c r="Z9" s="170"/>
      <c r="AA9" s="170"/>
      <c r="AB9" s="170"/>
      <c r="AC9" s="170"/>
      <c r="AD9" s="170"/>
      <c r="AE9" s="170"/>
      <c r="AF9" s="170"/>
      <c r="AG9" s="170"/>
      <c r="AH9" s="170"/>
      <c r="AI9" s="170"/>
      <c r="AJ9" s="170"/>
      <c r="AK9" s="170"/>
      <c r="AL9" s="170"/>
      <c r="AM9" s="170"/>
      <c r="AN9" s="170"/>
      <c r="AO9" s="171"/>
    </row>
    <row r="10" spans="1:41" ht="19.5" customHeight="1" thickBot="1" x14ac:dyDescent="0.4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3"/>
      <c r="AI10" s="3"/>
      <c r="AJ10" s="3"/>
      <c r="AK10" s="3"/>
      <c r="AL10" s="3"/>
      <c r="AM10" s="3"/>
      <c r="AN10" s="3"/>
      <c r="AO10" s="3"/>
    </row>
    <row r="11" spans="1:41" ht="30" customHeight="1" thickBot="1" x14ac:dyDescent="0.4">
      <c r="A11" s="4"/>
      <c r="B11" s="175" t="s">
        <v>29</v>
      </c>
      <c r="C11" s="176"/>
      <c r="D11" s="176"/>
      <c r="E11" s="176"/>
      <c r="F11" s="176"/>
      <c r="G11" s="177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3"/>
      <c r="AI11" s="3"/>
      <c r="AJ11" s="3"/>
      <c r="AK11" s="3"/>
      <c r="AL11" s="3"/>
      <c r="AM11" s="3"/>
      <c r="AN11" s="3"/>
      <c r="AO11" s="3"/>
    </row>
    <row r="12" spans="1:41" ht="30" customHeight="1" x14ac:dyDescent="0.35">
      <c r="A12" s="4"/>
      <c r="B12" s="5" t="s">
        <v>5</v>
      </c>
      <c r="C12" s="6" t="s">
        <v>6</v>
      </c>
      <c r="D12" s="6" t="s">
        <v>7</v>
      </c>
      <c r="E12" s="6" t="s">
        <v>11</v>
      </c>
      <c r="F12" s="6" t="s">
        <v>8</v>
      </c>
      <c r="G12" s="7" t="s">
        <v>10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3"/>
      <c r="AI12" s="3"/>
      <c r="AJ12" s="3"/>
      <c r="AK12" s="3"/>
      <c r="AL12" s="3"/>
      <c r="AM12" s="3"/>
      <c r="AN12" s="3"/>
      <c r="AO12" s="3"/>
    </row>
    <row r="13" spans="1:41" ht="30" customHeight="1" thickBot="1" x14ac:dyDescent="0.4">
      <c r="A13" s="4"/>
      <c r="B13" s="8" t="e">
        <f>#REF!</f>
        <v>#REF!</v>
      </c>
      <c r="C13" s="9">
        <v>0.37</v>
      </c>
      <c r="D13" s="9" t="e">
        <f>#REF!</f>
        <v>#REF!</v>
      </c>
      <c r="E13" s="9" t="e">
        <f>#REF!</f>
        <v>#REF!</v>
      </c>
      <c r="F13" s="9" t="e">
        <f>#REF!</f>
        <v>#REF!</v>
      </c>
      <c r="G13" s="10" t="e">
        <f>(SUM(B13:F13))/500%</f>
        <v>#REF!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3"/>
      <c r="AI13" s="3"/>
      <c r="AJ13" s="3"/>
      <c r="AK13" s="3"/>
      <c r="AL13" s="3"/>
      <c r="AM13" s="3"/>
      <c r="AN13" s="3"/>
      <c r="AO13" s="3"/>
    </row>
    <row r="14" spans="1:41" x14ac:dyDescent="0.35">
      <c r="A14" s="4"/>
      <c r="B14" s="11">
        <v>0.8</v>
      </c>
      <c r="C14" s="11">
        <v>0.8</v>
      </c>
      <c r="D14" s="11">
        <v>0.8</v>
      </c>
      <c r="E14" s="11">
        <v>0.8</v>
      </c>
      <c r="F14" s="11">
        <v>0.8</v>
      </c>
      <c r="G14" s="11">
        <v>0.8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3"/>
      <c r="AI14" s="3"/>
      <c r="AJ14" s="3"/>
      <c r="AK14" s="3"/>
      <c r="AL14" s="3"/>
      <c r="AM14" s="3"/>
      <c r="AN14" s="3"/>
      <c r="AO14" s="3"/>
    </row>
    <row r="15" spans="1:41" x14ac:dyDescent="0.3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3"/>
      <c r="AI15" s="3"/>
      <c r="AJ15" s="3"/>
      <c r="AK15" s="3"/>
      <c r="AL15" s="3"/>
      <c r="AM15" s="3"/>
      <c r="AN15" s="3"/>
      <c r="AO15" s="3"/>
    </row>
    <row r="16" spans="1:41" x14ac:dyDescent="0.3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11"/>
      <c r="AC16" s="4"/>
      <c r="AD16" s="4"/>
      <c r="AE16" s="4"/>
      <c r="AF16" s="4"/>
      <c r="AG16" s="4"/>
      <c r="AH16" s="3"/>
      <c r="AI16" s="3"/>
      <c r="AJ16" s="3"/>
      <c r="AK16" s="3"/>
      <c r="AL16" s="3"/>
      <c r="AM16" s="3"/>
      <c r="AN16" s="3"/>
      <c r="AO16" s="3"/>
    </row>
    <row r="17" spans="1:41" x14ac:dyDescent="0.3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3"/>
      <c r="AI17" s="3"/>
      <c r="AJ17" s="3"/>
      <c r="AK17" s="3"/>
      <c r="AL17" s="3"/>
      <c r="AM17" s="3"/>
      <c r="AN17" s="3"/>
      <c r="AO17" s="3"/>
    </row>
    <row r="18" spans="1:41" x14ac:dyDescent="0.3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3"/>
      <c r="AI18" s="3"/>
      <c r="AJ18" s="3"/>
      <c r="AK18" s="3"/>
      <c r="AL18" s="3"/>
      <c r="AM18" s="3"/>
      <c r="AN18" s="3"/>
      <c r="AO18" s="3"/>
    </row>
    <row r="19" spans="1:41" x14ac:dyDescent="0.35">
      <c r="A19" s="4"/>
      <c r="B19" s="11"/>
      <c r="C19" s="11"/>
      <c r="D19" s="11"/>
      <c r="E19" s="11"/>
      <c r="F19" s="11"/>
      <c r="G19" s="11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3"/>
      <c r="AI19" s="3"/>
      <c r="AJ19" s="3"/>
      <c r="AK19" s="3"/>
      <c r="AL19" s="3"/>
      <c r="AM19" s="3"/>
      <c r="AN19" s="3"/>
      <c r="AO19" s="3"/>
    </row>
    <row r="20" spans="1:41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3"/>
      <c r="AI20" s="3"/>
      <c r="AJ20" s="3"/>
      <c r="AK20" s="3"/>
      <c r="AL20" s="3"/>
      <c r="AM20" s="3"/>
      <c r="AN20" s="3"/>
      <c r="AO20" s="3"/>
    </row>
    <row r="21" spans="1:41" x14ac:dyDescent="0.3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3"/>
      <c r="AI21" s="3"/>
      <c r="AJ21" s="3"/>
      <c r="AK21" s="3"/>
      <c r="AL21" s="3"/>
      <c r="AM21" s="3"/>
      <c r="AN21" s="3"/>
      <c r="AO21" s="3"/>
    </row>
    <row r="22" spans="1:41" x14ac:dyDescent="0.3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3"/>
      <c r="AI22" s="3"/>
      <c r="AJ22" s="3"/>
      <c r="AK22" s="3"/>
      <c r="AL22" s="3"/>
      <c r="AM22" s="3"/>
      <c r="AN22" s="3"/>
      <c r="AO22" s="3"/>
    </row>
    <row r="23" spans="1:4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3"/>
      <c r="AI23" s="3"/>
      <c r="AJ23" s="3"/>
      <c r="AK23" s="3"/>
      <c r="AL23" s="3"/>
      <c r="AM23" s="3"/>
      <c r="AN23" s="3"/>
      <c r="AO23" s="3"/>
    </row>
    <row r="24" spans="1:4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3"/>
      <c r="AI24" s="3"/>
      <c r="AJ24" s="3"/>
      <c r="AK24" s="3"/>
      <c r="AL24" s="3"/>
      <c r="AM24" s="3"/>
      <c r="AN24" s="3"/>
      <c r="AO24" s="3"/>
    </row>
    <row r="25" spans="1:4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3"/>
      <c r="AI25" s="3"/>
      <c r="AJ25" s="3"/>
      <c r="AK25" s="3"/>
      <c r="AL25" s="3"/>
      <c r="AM25" s="3"/>
      <c r="AN25" s="3"/>
      <c r="AO25" s="3"/>
    </row>
    <row r="26" spans="1:41" x14ac:dyDescent="0.3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3"/>
      <c r="AI26" s="3"/>
      <c r="AJ26" s="3"/>
      <c r="AK26" s="3"/>
      <c r="AL26" s="3"/>
      <c r="AM26" s="3"/>
      <c r="AN26" s="3"/>
      <c r="AO26" s="3"/>
    </row>
    <row r="27" spans="1:41" ht="20.149999999999999" customHeight="1" thickBot="1" x14ac:dyDescent="0.4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3"/>
      <c r="AI27" s="3"/>
      <c r="AJ27" s="3"/>
      <c r="AK27" s="3"/>
      <c r="AL27" s="3"/>
      <c r="AM27" s="3"/>
      <c r="AN27" s="3"/>
      <c r="AO27" s="3"/>
    </row>
    <row r="28" spans="1:41" ht="15" customHeight="1" x14ac:dyDescent="0.35">
      <c r="A28" s="154" t="s">
        <v>13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6"/>
      <c r="W28" s="172" t="e">
        <f>ADRIANO!#REF!</f>
        <v>#REF!</v>
      </c>
      <c r="X28" s="173"/>
      <c r="Y28" s="163" t="s">
        <v>14</v>
      </c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5"/>
    </row>
    <row r="29" spans="1:41" ht="15" customHeight="1" x14ac:dyDescent="0.35">
      <c r="A29" s="157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174"/>
      <c r="X29" s="173"/>
      <c r="Y29" s="166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8"/>
    </row>
    <row r="30" spans="1:41" ht="15.75" customHeight="1" thickBot="1" x14ac:dyDescent="0.4">
      <c r="A30" s="160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2"/>
      <c r="W30" s="174"/>
      <c r="X30" s="173"/>
      <c r="Y30" s="169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1"/>
    </row>
    <row r="31" spans="1:41" ht="20.149999999999999" customHeight="1" thickBot="1" x14ac:dyDescent="0.4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30" customHeight="1" thickBot="1" x14ac:dyDescent="0.4">
      <c r="A32" s="4"/>
      <c r="B32" s="175" t="s">
        <v>30</v>
      </c>
      <c r="C32" s="176"/>
      <c r="D32" s="176"/>
      <c r="E32" s="176"/>
      <c r="F32" s="176"/>
      <c r="G32" s="177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3"/>
      <c r="AH32" s="3"/>
      <c r="AI32" s="3"/>
      <c r="AJ32" s="3"/>
      <c r="AK32" s="3"/>
      <c r="AL32" s="3"/>
      <c r="AM32" s="3"/>
      <c r="AN32" s="3"/>
      <c r="AO32" s="3"/>
    </row>
    <row r="33" spans="1:53" ht="30" customHeight="1" x14ac:dyDescent="0.35">
      <c r="A33" s="4"/>
      <c r="B33" s="5" t="s">
        <v>5</v>
      </c>
      <c r="C33" s="6" t="s">
        <v>6</v>
      </c>
      <c r="D33" s="6" t="s">
        <v>7</v>
      </c>
      <c r="E33" s="6" t="s">
        <v>11</v>
      </c>
      <c r="F33" s="6" t="s">
        <v>8</v>
      </c>
      <c r="G33" s="7" t="s">
        <v>10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3"/>
      <c r="AH33" s="3"/>
      <c r="AI33" s="3"/>
      <c r="AJ33" s="3"/>
      <c r="AK33" s="3"/>
      <c r="AL33" s="3"/>
      <c r="AM33" s="3"/>
      <c r="AN33" s="3"/>
      <c r="AO33" s="3"/>
    </row>
    <row r="34" spans="1:53" ht="30" customHeight="1" thickBot="1" x14ac:dyDescent="0.4">
      <c r="A34" s="4"/>
      <c r="B34" s="8" t="e">
        <f>#REF!</f>
        <v>#REF!</v>
      </c>
      <c r="C34" s="9">
        <f>ADRIANO!BA9</f>
        <v>1</v>
      </c>
      <c r="D34" s="9" t="e">
        <f>#REF!</f>
        <v>#REF!</v>
      </c>
      <c r="E34" s="9" t="e">
        <f>#REF!</f>
        <v>#REF!</v>
      </c>
      <c r="F34" s="9">
        <v>0.4</v>
      </c>
      <c r="G34" s="10" t="e">
        <f>(SUM(B34:F34))/500%</f>
        <v>#REF!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3"/>
      <c r="AH34" s="3"/>
      <c r="AI34" s="3"/>
      <c r="AJ34" s="3"/>
      <c r="AK34" s="3"/>
      <c r="AL34" s="3"/>
      <c r="AM34" s="3"/>
      <c r="AN34" s="3"/>
      <c r="AO34" s="3"/>
    </row>
    <row r="35" spans="1:53" x14ac:dyDescent="0.35">
      <c r="A35" s="4"/>
      <c r="B35" s="11">
        <v>0.8</v>
      </c>
      <c r="C35" s="11">
        <v>0.8</v>
      </c>
      <c r="D35" s="11">
        <v>0.8</v>
      </c>
      <c r="E35" s="11">
        <v>0.8</v>
      </c>
      <c r="F35" s="11">
        <v>0.8</v>
      </c>
      <c r="G35" s="11">
        <v>0.8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3"/>
      <c r="AH35" s="3"/>
      <c r="AI35" s="3"/>
      <c r="AJ35" s="3"/>
      <c r="AK35" s="3"/>
      <c r="AL35" s="3"/>
      <c r="AM35" s="3"/>
      <c r="AN35" s="3"/>
      <c r="AO35" s="3"/>
    </row>
    <row r="36" spans="1:53" x14ac:dyDescent="0.3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3"/>
      <c r="AH36" s="3"/>
      <c r="AI36" s="3"/>
      <c r="AJ36" s="3"/>
      <c r="AK36" s="3"/>
      <c r="AL36" s="3"/>
      <c r="AM36" s="3"/>
      <c r="AN36" s="3"/>
      <c r="AO36" s="3"/>
    </row>
    <row r="37" spans="1:53" x14ac:dyDescent="0.3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3"/>
      <c r="AH37" s="3"/>
      <c r="AI37" s="3"/>
      <c r="AJ37" s="3"/>
      <c r="AK37" s="3"/>
      <c r="AL37" s="3"/>
      <c r="AM37" s="3"/>
      <c r="AN37" s="3"/>
      <c r="AO37" s="3"/>
    </row>
    <row r="38" spans="1:53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3"/>
      <c r="AH39" s="3"/>
      <c r="AI39" s="3"/>
      <c r="AJ39" s="3"/>
      <c r="AK39" s="3"/>
      <c r="AL39" s="3"/>
      <c r="AM39" s="3"/>
      <c r="AN39" s="3"/>
      <c r="AO39" s="3"/>
    </row>
    <row r="40" spans="1:53" x14ac:dyDescent="0.3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3"/>
      <c r="AH40" s="3"/>
      <c r="AI40" s="3"/>
      <c r="AJ40" s="3"/>
      <c r="AK40" s="3"/>
      <c r="AL40" s="3"/>
      <c r="AM40" s="3"/>
      <c r="AN40" s="3"/>
      <c r="AO40" s="3"/>
    </row>
    <row r="41" spans="1:53" x14ac:dyDescent="0.3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3"/>
      <c r="AH41" s="3"/>
      <c r="AI41" s="3"/>
      <c r="AJ41" s="3"/>
      <c r="AK41" s="3"/>
      <c r="AL41" s="3"/>
      <c r="AM41" s="3"/>
      <c r="AN41" s="3"/>
      <c r="AO41" s="3"/>
    </row>
    <row r="42" spans="1:53" x14ac:dyDescent="0.3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3"/>
      <c r="AH42" s="3"/>
      <c r="AI42" s="3"/>
      <c r="AJ42" s="3"/>
      <c r="AK42" s="3"/>
      <c r="AL42" s="3"/>
      <c r="AM42" s="3"/>
      <c r="AN42" s="3"/>
      <c r="AO42" s="3"/>
    </row>
    <row r="43" spans="1:53" x14ac:dyDescent="0.3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3"/>
      <c r="AH43" s="3"/>
      <c r="AI43" s="3"/>
      <c r="AJ43" s="3"/>
      <c r="AK43" s="3"/>
      <c r="AL43" s="3"/>
      <c r="AM43" s="3"/>
      <c r="AN43" s="3"/>
      <c r="AO43" s="3"/>
    </row>
    <row r="44" spans="1:53" x14ac:dyDescent="0.3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3"/>
      <c r="AH44" s="3"/>
      <c r="AI44" s="3"/>
      <c r="AJ44" s="3"/>
      <c r="AK44" s="3"/>
      <c r="AL44" s="3"/>
      <c r="AM44" s="3"/>
      <c r="AN44" s="3"/>
      <c r="AO44" s="3"/>
    </row>
    <row r="45" spans="1:53" x14ac:dyDescent="0.3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3"/>
      <c r="AH45" s="3"/>
      <c r="AI45" s="3"/>
      <c r="AJ45" s="3"/>
      <c r="AK45" s="3"/>
      <c r="AL45" s="3"/>
      <c r="AM45" s="3"/>
      <c r="AN45" s="3"/>
      <c r="AO45" s="3"/>
    </row>
    <row r="46" spans="1:53" x14ac:dyDescent="0.3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3"/>
      <c r="AH46" s="3"/>
      <c r="AI46" s="3"/>
      <c r="AJ46" s="3"/>
      <c r="AK46" s="3"/>
      <c r="AL46" s="3"/>
      <c r="AM46" s="3"/>
      <c r="AN46" s="3"/>
      <c r="AO46" s="3"/>
    </row>
    <row r="47" spans="1:53" ht="15" thickBot="1" x14ac:dyDescent="0.4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3"/>
      <c r="AH47" s="3"/>
      <c r="AI47" s="3"/>
      <c r="AJ47" s="3"/>
      <c r="AK47" s="3"/>
      <c r="AL47" s="3"/>
      <c r="AM47" s="3"/>
      <c r="AN47" s="3"/>
      <c r="AO47" s="3"/>
    </row>
    <row r="48" spans="1:53" ht="30" customHeight="1" thickBot="1" x14ac:dyDescent="0.4">
      <c r="A48" s="4"/>
      <c r="B48" s="175" t="s">
        <v>29</v>
      </c>
      <c r="C48" s="176"/>
      <c r="D48" s="176"/>
      <c r="E48" s="176"/>
      <c r="F48" s="176"/>
      <c r="G48" s="17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3"/>
      <c r="AH48" s="3"/>
      <c r="AI48" s="3"/>
      <c r="AJ48" s="3"/>
      <c r="AK48" s="3"/>
      <c r="AL48" s="3"/>
      <c r="AM48" s="3"/>
      <c r="AN48" s="3"/>
      <c r="AO48" s="3"/>
    </row>
    <row r="49" spans="1:41" ht="30" customHeight="1" x14ac:dyDescent="0.35">
      <c r="A49" s="4"/>
      <c r="B49" s="5" t="s">
        <v>5</v>
      </c>
      <c r="C49" s="6" t="s">
        <v>6</v>
      </c>
      <c r="D49" s="6" t="s">
        <v>7</v>
      </c>
      <c r="E49" s="6" t="s">
        <v>11</v>
      </c>
      <c r="F49" s="6" t="s">
        <v>8</v>
      </c>
      <c r="G49" s="7" t="s">
        <v>10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3"/>
      <c r="AH49" s="3"/>
      <c r="AI49" s="3"/>
      <c r="AJ49" s="3"/>
      <c r="AK49" s="3"/>
      <c r="AL49" s="3"/>
      <c r="AM49" s="3"/>
      <c r="AN49" s="3"/>
      <c r="AO49" s="3"/>
    </row>
    <row r="50" spans="1:41" ht="30" customHeight="1" thickBot="1" x14ac:dyDescent="0.4">
      <c r="A50" s="4"/>
      <c r="B50" s="8" t="e">
        <f>#REF!</f>
        <v>#REF!</v>
      </c>
      <c r="C50" s="9" t="e">
        <f>ADRIANO!#REF!</f>
        <v>#REF!</v>
      </c>
      <c r="D50" s="9" t="e">
        <f>#REF!</f>
        <v>#REF!</v>
      </c>
      <c r="E50" s="9" t="e">
        <f>#REF!</f>
        <v>#REF!</v>
      </c>
      <c r="F50" s="9" t="e">
        <f>#REF!</f>
        <v>#REF!</v>
      </c>
      <c r="G50" s="10" t="e">
        <f>(SUM(B50:F50))/500%</f>
        <v>#REF!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3"/>
      <c r="AH50" s="3"/>
      <c r="AI50" s="3"/>
      <c r="AJ50" s="3"/>
      <c r="AK50" s="3"/>
      <c r="AL50" s="3"/>
      <c r="AM50" s="3"/>
      <c r="AN50" s="3"/>
      <c r="AO50" s="3"/>
    </row>
    <row r="51" spans="1:41" ht="15" thickBot="1" x14ac:dyDescent="0.4">
      <c r="A51" s="4"/>
      <c r="B51" s="11">
        <v>0.8</v>
      </c>
      <c r="C51" s="11">
        <v>0.8</v>
      </c>
      <c r="D51" s="11">
        <v>0.8</v>
      </c>
      <c r="E51" s="11">
        <v>0.8</v>
      </c>
      <c r="F51" s="11">
        <v>0.8</v>
      </c>
      <c r="G51" s="11">
        <v>0.8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3"/>
      <c r="AH51" s="3"/>
      <c r="AI51" s="3"/>
      <c r="AJ51" s="3"/>
      <c r="AK51" s="3"/>
      <c r="AL51" s="3"/>
      <c r="AM51" s="3"/>
      <c r="AN51" s="3"/>
      <c r="AO51" s="3"/>
    </row>
    <row r="52" spans="1:41" ht="15" customHeight="1" x14ac:dyDescent="0.35">
      <c r="A52" s="154" t="s">
        <v>13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6"/>
      <c r="W52" s="172">
        <f>ADRIANO!L4</f>
        <v>45212</v>
      </c>
      <c r="X52" s="173"/>
      <c r="Y52" s="163" t="s">
        <v>14</v>
      </c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5"/>
    </row>
    <row r="53" spans="1:41" ht="15" customHeight="1" x14ac:dyDescent="0.35">
      <c r="A53" s="157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9"/>
      <c r="W53" s="174"/>
      <c r="X53" s="173"/>
      <c r="Y53" s="166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8"/>
    </row>
    <row r="54" spans="1:41" ht="15.75" customHeight="1" thickBot="1" x14ac:dyDescent="0.4">
      <c r="A54" s="160"/>
      <c r="B54" s="161"/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2"/>
      <c r="W54" s="174"/>
      <c r="X54" s="173"/>
      <c r="Y54" s="169"/>
      <c r="Z54" s="170"/>
      <c r="AA54" s="170"/>
      <c r="AB54" s="170"/>
      <c r="AC54" s="170"/>
      <c r="AD54" s="170"/>
      <c r="AE54" s="170"/>
      <c r="AF54" s="170"/>
      <c r="AG54" s="170"/>
      <c r="AH54" s="170"/>
      <c r="AI54" s="170"/>
      <c r="AJ54" s="170"/>
      <c r="AK54" s="170"/>
      <c r="AL54" s="170"/>
      <c r="AM54" s="170"/>
      <c r="AN54" s="170"/>
      <c r="AO54" s="171"/>
    </row>
    <row r="55" spans="1:41" ht="15" thickBot="1" x14ac:dyDescent="0.4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3"/>
      <c r="AH55" s="3"/>
      <c r="AI55" s="3"/>
      <c r="AJ55" s="3"/>
      <c r="AK55" s="3"/>
      <c r="AL55" s="3"/>
      <c r="AM55" s="3"/>
      <c r="AN55" s="3"/>
      <c r="AO55" s="3"/>
    </row>
    <row r="56" spans="1:41" ht="30" customHeight="1" thickBot="1" x14ac:dyDescent="0.4">
      <c r="A56" s="4"/>
      <c r="B56" s="175" t="s">
        <v>30</v>
      </c>
      <c r="C56" s="176"/>
      <c r="D56" s="176"/>
      <c r="E56" s="176"/>
      <c r="F56" s="176"/>
      <c r="G56" s="17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3"/>
      <c r="AH56" s="3"/>
      <c r="AI56" s="3"/>
      <c r="AJ56" s="3"/>
      <c r="AK56" s="3"/>
      <c r="AL56" s="3"/>
      <c r="AM56" s="3"/>
      <c r="AN56" s="3"/>
      <c r="AO56" s="3"/>
    </row>
    <row r="57" spans="1:41" ht="30" customHeight="1" x14ac:dyDescent="0.35">
      <c r="A57" s="4"/>
      <c r="B57" s="5" t="s">
        <v>5</v>
      </c>
      <c r="C57" s="6" t="s">
        <v>6</v>
      </c>
      <c r="D57" s="6" t="s">
        <v>7</v>
      </c>
      <c r="E57" s="6" t="s">
        <v>11</v>
      </c>
      <c r="F57" s="13" t="s">
        <v>8</v>
      </c>
      <c r="G57" s="14" t="s">
        <v>10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3"/>
      <c r="AH57" s="3"/>
      <c r="AI57" s="3"/>
      <c r="AJ57" s="3"/>
      <c r="AK57" s="3"/>
      <c r="AL57" s="3"/>
      <c r="AM57" s="3"/>
      <c r="AN57" s="3"/>
      <c r="AO57" s="3"/>
    </row>
    <row r="58" spans="1:41" ht="30" customHeight="1" thickBot="1" x14ac:dyDescent="0.4">
      <c r="A58" s="4"/>
      <c r="B58" s="8" t="e">
        <f>#REF!</f>
        <v>#REF!</v>
      </c>
      <c r="C58" s="9">
        <f>ADRIANO!BF9</f>
        <v>0.95833333333333337</v>
      </c>
      <c r="D58" s="9" t="e">
        <f>#REF!</f>
        <v>#REF!</v>
      </c>
      <c r="E58" s="9" t="e">
        <f>#REF!</f>
        <v>#REF!</v>
      </c>
      <c r="F58" s="15" t="e">
        <f>#REF!</f>
        <v>#REF!</v>
      </c>
      <c r="G58" s="16" t="e">
        <f>(SUM(B58:F58))/500%</f>
        <v>#REF!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3"/>
      <c r="AH58" s="3"/>
      <c r="AI58" s="3"/>
      <c r="AJ58" s="3"/>
      <c r="AK58" s="3"/>
      <c r="AL58" s="3"/>
      <c r="AM58" s="3"/>
      <c r="AN58" s="3"/>
      <c r="AO58" s="3"/>
    </row>
    <row r="59" spans="1:41" x14ac:dyDescent="0.35">
      <c r="A59" s="4"/>
      <c r="B59" s="11">
        <v>0.8</v>
      </c>
      <c r="C59" s="11">
        <v>0.8</v>
      </c>
      <c r="D59" s="11">
        <v>0.8</v>
      </c>
      <c r="E59" s="11">
        <v>0.8</v>
      </c>
      <c r="F59" s="11">
        <v>0.8</v>
      </c>
      <c r="G59" s="11">
        <v>0.8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3"/>
      <c r="AH59" s="3"/>
      <c r="AI59" s="3"/>
      <c r="AJ59" s="3"/>
      <c r="AK59" s="3"/>
      <c r="AL59" s="3"/>
      <c r="AM59" s="3"/>
      <c r="AN59" s="3"/>
      <c r="AO59" s="3"/>
    </row>
    <row r="60" spans="1:41" x14ac:dyDescent="0.3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3"/>
      <c r="AH60" s="3"/>
      <c r="AI60" s="3"/>
      <c r="AJ60" s="3"/>
      <c r="AK60" s="3"/>
      <c r="AL60" s="3"/>
      <c r="AM60" s="3"/>
      <c r="AN60" s="3"/>
      <c r="AO60" s="3"/>
    </row>
    <row r="61" spans="1:41" x14ac:dyDescent="0.3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3"/>
      <c r="AH61" s="3"/>
      <c r="AI61" s="3"/>
      <c r="AJ61" s="3"/>
      <c r="AK61" s="3"/>
      <c r="AL61" s="3"/>
      <c r="AM61" s="3"/>
      <c r="AN61" s="3"/>
      <c r="AO61" s="3"/>
    </row>
    <row r="62" spans="1:41" x14ac:dyDescent="0.3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3"/>
      <c r="AH62" s="3"/>
      <c r="AI62" s="3"/>
      <c r="AJ62" s="3"/>
      <c r="AK62" s="3"/>
      <c r="AL62" s="3"/>
      <c r="AM62" s="3"/>
      <c r="AN62" s="3"/>
      <c r="AO62" s="3"/>
    </row>
    <row r="63" spans="1:41" x14ac:dyDescent="0.3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3"/>
      <c r="AH63" s="3"/>
      <c r="AI63" s="3"/>
      <c r="AJ63" s="3"/>
      <c r="AK63" s="3"/>
      <c r="AL63" s="3"/>
      <c r="AM63" s="3"/>
      <c r="AN63" s="3"/>
      <c r="AO63" s="3"/>
    </row>
    <row r="64" spans="1:41" x14ac:dyDescent="0.3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3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3"/>
      <c r="AH65" s="3"/>
      <c r="AI65" s="3"/>
      <c r="AJ65" s="3"/>
      <c r="AK65" s="3"/>
      <c r="AL65" s="3"/>
      <c r="AM65" s="3"/>
      <c r="AN65" s="3"/>
      <c r="AO65" s="3"/>
    </row>
    <row r="66" spans="1:41" x14ac:dyDescent="0.3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3"/>
      <c r="AH66" s="3"/>
      <c r="AI66" s="3"/>
      <c r="AJ66" s="3"/>
      <c r="AK66" s="3"/>
      <c r="AL66" s="3"/>
      <c r="AM66" s="3"/>
      <c r="AN66" s="3"/>
      <c r="AO66" s="3"/>
    </row>
    <row r="67" spans="1:41" x14ac:dyDescent="0.3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3"/>
      <c r="AH67" s="3"/>
      <c r="AI67" s="3"/>
      <c r="AJ67" s="3"/>
      <c r="AK67" s="3"/>
      <c r="AL67" s="3"/>
      <c r="AM67" s="3"/>
      <c r="AN67" s="3"/>
      <c r="AO67" s="3"/>
    </row>
    <row r="68" spans="1:41" x14ac:dyDescent="0.3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3"/>
      <c r="AH68" s="3"/>
      <c r="AI68" s="3"/>
      <c r="AJ68" s="3"/>
      <c r="AK68" s="3"/>
      <c r="AL68" s="3"/>
      <c r="AM68" s="3"/>
      <c r="AN68" s="3"/>
      <c r="AO68" s="3"/>
    </row>
    <row r="69" spans="1:41" x14ac:dyDescent="0.3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3"/>
      <c r="AH69" s="3"/>
      <c r="AI69" s="3"/>
      <c r="AJ69" s="3"/>
      <c r="AK69" s="3"/>
      <c r="AL69" s="3"/>
      <c r="AM69" s="3"/>
      <c r="AN69" s="3"/>
      <c r="AO69" s="3"/>
    </row>
    <row r="70" spans="1:41" x14ac:dyDescent="0.3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3"/>
      <c r="AH70" s="3"/>
      <c r="AI70" s="3"/>
      <c r="AJ70" s="3"/>
      <c r="AK70" s="3"/>
      <c r="AL70" s="3"/>
      <c r="AM70" s="3"/>
      <c r="AN70" s="3"/>
      <c r="AO70" s="3"/>
    </row>
    <row r="71" spans="1:41" ht="15" thickBot="1" x14ac:dyDescent="0.4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3"/>
      <c r="AH71" s="3"/>
      <c r="AI71" s="3"/>
      <c r="AJ71" s="3"/>
      <c r="AK71" s="3"/>
      <c r="AL71" s="3"/>
      <c r="AM71" s="3"/>
      <c r="AN71" s="3"/>
      <c r="AO71" s="3"/>
    </row>
    <row r="72" spans="1:41" ht="30" customHeight="1" thickBot="1" x14ac:dyDescent="0.4">
      <c r="A72" s="4"/>
      <c r="B72" s="175" t="s">
        <v>29</v>
      </c>
      <c r="C72" s="176"/>
      <c r="D72" s="176"/>
      <c r="E72" s="176"/>
      <c r="F72" s="176"/>
      <c r="G72" s="177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3"/>
      <c r="AH72" s="3"/>
      <c r="AI72" s="3"/>
      <c r="AJ72" s="3"/>
      <c r="AK72" s="3"/>
      <c r="AL72" s="3"/>
      <c r="AM72" s="3"/>
      <c r="AN72" s="3"/>
      <c r="AO72" s="3"/>
    </row>
    <row r="73" spans="1:41" ht="30" customHeight="1" x14ac:dyDescent="0.35">
      <c r="A73" s="4"/>
      <c r="B73" s="5" t="s">
        <v>5</v>
      </c>
      <c r="C73" s="6" t="s">
        <v>6</v>
      </c>
      <c r="D73" s="6" t="s">
        <v>7</v>
      </c>
      <c r="E73" s="6" t="s">
        <v>11</v>
      </c>
      <c r="F73" s="6" t="s">
        <v>8</v>
      </c>
      <c r="G73" s="7" t="s">
        <v>10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3"/>
      <c r="AH73" s="3"/>
      <c r="AI73" s="3"/>
      <c r="AJ73" s="3"/>
      <c r="AK73" s="3"/>
      <c r="AL73" s="3"/>
      <c r="AM73" s="3"/>
      <c r="AN73" s="3"/>
      <c r="AO73" s="3"/>
    </row>
    <row r="74" spans="1:41" ht="30" customHeight="1" thickBot="1" x14ac:dyDescent="0.4">
      <c r="A74" s="4"/>
      <c r="B74" s="8" t="e">
        <f>#REF!</f>
        <v>#REF!</v>
      </c>
      <c r="C74" s="9" t="e">
        <f>ADRIANO!#REF!</f>
        <v>#REF!</v>
      </c>
      <c r="D74" s="9" t="e">
        <f>#REF!</f>
        <v>#REF!</v>
      </c>
      <c r="E74" s="9" t="e">
        <f>#REF!</f>
        <v>#REF!</v>
      </c>
      <c r="F74" s="9" t="e">
        <f>#REF!</f>
        <v>#REF!</v>
      </c>
      <c r="G74" s="10" t="e">
        <f>(SUM(B74:F74))/500%</f>
        <v>#REF!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3"/>
      <c r="AH74" s="3"/>
      <c r="AI74" s="3"/>
      <c r="AJ74" s="3"/>
      <c r="AK74" s="3"/>
      <c r="AL74" s="3"/>
      <c r="AM74" s="3"/>
      <c r="AN74" s="3"/>
      <c r="AO74" s="3"/>
    </row>
    <row r="75" spans="1:41" x14ac:dyDescent="0.35">
      <c r="A75" s="4"/>
      <c r="B75" s="11">
        <v>0.8</v>
      </c>
      <c r="C75" s="11">
        <v>0.8</v>
      </c>
      <c r="D75" s="11">
        <v>0.8</v>
      </c>
      <c r="E75" s="11">
        <v>0.8</v>
      </c>
      <c r="F75" s="11">
        <v>0.8</v>
      </c>
      <c r="G75" s="11">
        <v>0.8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3"/>
      <c r="AH75" s="3"/>
      <c r="AI75" s="3"/>
      <c r="AJ75" s="3"/>
      <c r="AK75" s="3"/>
      <c r="AL75" s="3"/>
      <c r="AM75" s="3"/>
      <c r="AN75" s="3"/>
      <c r="AO75" s="3"/>
    </row>
    <row r="76" spans="1:41" ht="15" thickBot="1" x14ac:dyDescent="0.4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3"/>
      <c r="AH76" s="3"/>
      <c r="AI76" s="3"/>
      <c r="AJ76" s="3"/>
      <c r="AK76" s="3"/>
      <c r="AL76" s="3"/>
      <c r="AM76" s="3"/>
      <c r="AN76" s="3"/>
      <c r="AO76" s="3"/>
    </row>
    <row r="77" spans="1:41" ht="15" customHeight="1" x14ac:dyDescent="0.35">
      <c r="A77" s="12"/>
      <c r="B77" s="12"/>
      <c r="C77" s="12"/>
      <c r="D77" s="12"/>
      <c r="E77" s="12"/>
      <c r="F77" s="12"/>
      <c r="G77" s="12"/>
      <c r="H77" s="154" t="s">
        <v>13</v>
      </c>
      <c r="I77" s="155"/>
      <c r="J77" s="155"/>
      <c r="K77" s="155"/>
      <c r="L77" s="155"/>
      <c r="M77" s="155"/>
      <c r="N77" s="155"/>
      <c r="O77" s="155"/>
      <c r="P77" s="155"/>
      <c r="Q77" s="155"/>
      <c r="R77" s="155"/>
      <c r="S77" s="155"/>
      <c r="T77" s="155"/>
      <c r="U77" s="155"/>
      <c r="V77" s="156"/>
      <c r="W77" s="172">
        <f>ADRIANO!W4</f>
        <v>45229</v>
      </c>
      <c r="X77" s="173"/>
      <c r="Y77" s="163" t="s">
        <v>14</v>
      </c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5"/>
    </row>
    <row r="78" spans="1:41" ht="15" customHeight="1" x14ac:dyDescent="0.35">
      <c r="A78" s="12"/>
      <c r="B78" s="12"/>
      <c r="C78" s="12"/>
      <c r="D78" s="12"/>
      <c r="E78" s="12"/>
      <c r="F78" s="12"/>
      <c r="G78" s="12"/>
      <c r="H78" s="157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9"/>
      <c r="W78" s="174"/>
      <c r="X78" s="173"/>
      <c r="Y78" s="166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8"/>
    </row>
    <row r="79" spans="1:41" ht="15.75" customHeight="1" thickBot="1" x14ac:dyDescent="0.4">
      <c r="A79" s="12"/>
      <c r="B79" s="12"/>
      <c r="C79" s="12"/>
      <c r="D79" s="12"/>
      <c r="E79" s="12"/>
      <c r="F79" s="12"/>
      <c r="G79" s="12"/>
      <c r="H79" s="160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2"/>
      <c r="W79" s="174"/>
      <c r="X79" s="173"/>
      <c r="Y79" s="169"/>
      <c r="Z79" s="170"/>
      <c r="AA79" s="170"/>
      <c r="AB79" s="170"/>
      <c r="AC79" s="170"/>
      <c r="AD79" s="170"/>
      <c r="AE79" s="170"/>
      <c r="AF79" s="170"/>
      <c r="AG79" s="170"/>
      <c r="AH79" s="170"/>
      <c r="AI79" s="170"/>
      <c r="AJ79" s="170"/>
      <c r="AK79" s="170"/>
      <c r="AL79" s="170"/>
      <c r="AM79" s="170"/>
      <c r="AN79" s="170"/>
      <c r="AO79" s="171"/>
    </row>
    <row r="80" spans="1:41" x14ac:dyDescent="0.3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3"/>
      <c r="AH80" s="3"/>
      <c r="AI80" s="3"/>
      <c r="AJ80" s="3"/>
      <c r="AK80" s="3"/>
      <c r="AL80" s="3"/>
      <c r="AM80" s="3"/>
      <c r="AN80" s="3"/>
      <c r="AO80" s="3"/>
    </row>
    <row r="81" spans="1:41" x14ac:dyDescent="0.3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3"/>
      <c r="AH81" s="3"/>
      <c r="AI81" s="3"/>
      <c r="AJ81" s="3"/>
      <c r="AK81" s="3"/>
      <c r="AL81" s="3"/>
      <c r="AM81" s="3"/>
      <c r="AN81" s="3"/>
      <c r="AO81" s="3"/>
    </row>
    <row r="82" spans="1:41" ht="15" thickBot="1" x14ac:dyDescent="0.4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3"/>
      <c r="AH82" s="3"/>
      <c r="AI82" s="3"/>
      <c r="AJ82" s="3"/>
      <c r="AK82" s="3"/>
      <c r="AL82" s="3"/>
      <c r="AM82" s="3"/>
      <c r="AN82" s="3"/>
      <c r="AO82" s="3"/>
    </row>
    <row r="83" spans="1:41" ht="30" customHeight="1" thickBot="1" x14ac:dyDescent="0.4">
      <c r="A83" s="4"/>
      <c r="B83" s="175" t="s">
        <v>30</v>
      </c>
      <c r="C83" s="176"/>
      <c r="D83" s="176"/>
      <c r="E83" s="176"/>
      <c r="F83" s="176"/>
      <c r="G83" s="177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3"/>
      <c r="AH83" s="3"/>
      <c r="AI83" s="3"/>
      <c r="AJ83" s="3"/>
      <c r="AK83" s="3"/>
      <c r="AL83" s="3"/>
      <c r="AM83" s="3"/>
      <c r="AN83" s="3"/>
      <c r="AO83" s="3"/>
    </row>
    <row r="84" spans="1:41" ht="30" customHeight="1" x14ac:dyDescent="0.35">
      <c r="A84" s="4"/>
      <c r="B84" s="17" t="s">
        <v>5</v>
      </c>
      <c r="C84" s="18" t="s">
        <v>6</v>
      </c>
      <c r="D84" s="18" t="s">
        <v>7</v>
      </c>
      <c r="E84" s="6" t="s">
        <v>11</v>
      </c>
      <c r="F84" s="6" t="s">
        <v>8</v>
      </c>
      <c r="G84" s="7" t="s">
        <v>10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3"/>
      <c r="AH84" s="3"/>
      <c r="AI84" s="3"/>
      <c r="AJ84" s="3"/>
      <c r="AK84" s="3"/>
      <c r="AL84" s="3"/>
      <c r="AM84" s="3"/>
      <c r="AN84" s="3"/>
      <c r="AO84" s="3"/>
    </row>
    <row r="85" spans="1:41" ht="30" customHeight="1" thickBot="1" x14ac:dyDescent="0.4">
      <c r="A85" s="4"/>
      <c r="B85" s="8" t="e">
        <f>#REF!</f>
        <v>#REF!</v>
      </c>
      <c r="C85" s="9">
        <f>ADRIANO!BK9</f>
        <v>0.51111111111111107</v>
      </c>
      <c r="D85" s="9" t="e">
        <f>#REF!</f>
        <v>#REF!</v>
      </c>
      <c r="E85" s="9" t="e">
        <f>#REF!</f>
        <v>#REF!</v>
      </c>
      <c r="F85" s="9" t="e">
        <f>#REF!</f>
        <v>#REF!</v>
      </c>
      <c r="G85" s="10" t="e">
        <f>(SUM(B85:F85))/500%</f>
        <v>#REF!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3"/>
      <c r="AH85" s="3"/>
      <c r="AI85" s="3"/>
      <c r="AJ85" s="3"/>
      <c r="AK85" s="3"/>
      <c r="AL85" s="3"/>
      <c r="AM85" s="3"/>
      <c r="AN85" s="3"/>
      <c r="AO85" s="3"/>
    </row>
    <row r="86" spans="1:41" x14ac:dyDescent="0.35">
      <c r="A86" s="4"/>
      <c r="B86" s="11">
        <v>0.8</v>
      </c>
      <c r="C86" s="11">
        <v>0.8</v>
      </c>
      <c r="D86" s="11">
        <v>0.8</v>
      </c>
      <c r="E86" s="11">
        <v>0.8</v>
      </c>
      <c r="F86" s="11">
        <v>0.8</v>
      </c>
      <c r="G86" s="11">
        <v>0.8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3"/>
      <c r="AH86" s="3"/>
      <c r="AI86" s="3"/>
      <c r="AJ86" s="3"/>
      <c r="AK86" s="3"/>
      <c r="AL86" s="3"/>
      <c r="AM86" s="3"/>
      <c r="AN86" s="3"/>
      <c r="AO86" s="3"/>
    </row>
    <row r="87" spans="1:41" x14ac:dyDescent="0.3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3"/>
      <c r="AH87" s="3"/>
      <c r="AI87" s="3"/>
      <c r="AJ87" s="3"/>
      <c r="AK87" s="3"/>
      <c r="AL87" s="3"/>
      <c r="AM87" s="3"/>
      <c r="AN87" s="3"/>
      <c r="AO87" s="3"/>
    </row>
    <row r="88" spans="1:41" x14ac:dyDescent="0.3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3"/>
      <c r="AH88" s="3"/>
      <c r="AI88" s="3"/>
      <c r="AJ88" s="3"/>
      <c r="AK88" s="3"/>
      <c r="AL88" s="3"/>
      <c r="AM88" s="3"/>
      <c r="AN88" s="3"/>
      <c r="AO88" s="3"/>
    </row>
    <row r="89" spans="1:41" x14ac:dyDescent="0.3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3"/>
      <c r="AH89" s="3"/>
      <c r="AI89" s="3"/>
      <c r="AJ89" s="3"/>
      <c r="AK89" s="3"/>
      <c r="AL89" s="3"/>
      <c r="AM89" s="3"/>
      <c r="AN89" s="3"/>
      <c r="AO89" s="3"/>
    </row>
    <row r="90" spans="1:41" x14ac:dyDescent="0.3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3"/>
      <c r="AH90" s="3"/>
      <c r="AI90" s="3"/>
      <c r="AJ90" s="3"/>
      <c r="AK90" s="3"/>
      <c r="AL90" s="3"/>
      <c r="AM90" s="3"/>
      <c r="AN90" s="3"/>
      <c r="AO90" s="3"/>
    </row>
    <row r="91" spans="1:41" x14ac:dyDescent="0.3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3"/>
      <c r="AH91" s="3"/>
      <c r="AI91" s="3"/>
      <c r="AJ91" s="3"/>
      <c r="AK91" s="3"/>
      <c r="AL91" s="3"/>
      <c r="AM91" s="3"/>
      <c r="AN91" s="3"/>
      <c r="AO91" s="3"/>
    </row>
    <row r="92" spans="1:41" x14ac:dyDescent="0.3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3"/>
      <c r="AH92" s="3"/>
      <c r="AI92" s="3"/>
      <c r="AJ92" s="3"/>
      <c r="AK92" s="3"/>
      <c r="AL92" s="3"/>
      <c r="AM92" s="3"/>
      <c r="AN92" s="3"/>
      <c r="AO92" s="3"/>
    </row>
    <row r="93" spans="1:41" x14ac:dyDescent="0.3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3"/>
      <c r="AH93" s="3"/>
      <c r="AI93" s="3"/>
      <c r="AJ93" s="3"/>
      <c r="AK93" s="3"/>
      <c r="AL93" s="3"/>
      <c r="AM93" s="3"/>
      <c r="AN93" s="3"/>
      <c r="AO93" s="3"/>
    </row>
    <row r="94" spans="1:41" x14ac:dyDescent="0.3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3"/>
      <c r="AH94" s="3"/>
      <c r="AI94" s="3"/>
      <c r="AJ94" s="3"/>
      <c r="AK94" s="3"/>
      <c r="AL94" s="3"/>
      <c r="AM94" s="3"/>
      <c r="AN94" s="3"/>
      <c r="AO94" s="3"/>
    </row>
    <row r="95" spans="1:41" x14ac:dyDescent="0.3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3"/>
      <c r="AH95" s="3"/>
      <c r="AI95" s="3"/>
      <c r="AJ95" s="3"/>
      <c r="AK95" s="3"/>
      <c r="AL95" s="3"/>
      <c r="AM95" s="3"/>
      <c r="AN95" s="3"/>
      <c r="AO95" s="3"/>
    </row>
    <row r="96" spans="1:41" x14ac:dyDescent="0.3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3"/>
      <c r="AH96" s="3"/>
      <c r="AI96" s="3"/>
      <c r="AJ96" s="3"/>
      <c r="AK96" s="3"/>
      <c r="AL96" s="3"/>
      <c r="AM96" s="3"/>
      <c r="AN96" s="3"/>
      <c r="AO96" s="3"/>
    </row>
    <row r="97" spans="1:41" ht="15" thickBot="1" x14ac:dyDescent="0.4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3"/>
      <c r="AH97" s="3"/>
      <c r="AI97" s="3"/>
      <c r="AJ97" s="3"/>
      <c r="AK97" s="3"/>
      <c r="AL97" s="3"/>
      <c r="AM97" s="3"/>
      <c r="AN97" s="3"/>
      <c r="AO97" s="3"/>
    </row>
    <row r="98" spans="1:41" ht="16" thickBot="1" x14ac:dyDescent="0.4">
      <c r="A98" s="4"/>
      <c r="B98" s="175" t="s">
        <v>29</v>
      </c>
      <c r="C98" s="176"/>
      <c r="D98" s="176"/>
      <c r="E98" s="176"/>
      <c r="F98" s="176"/>
      <c r="G98" s="177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3"/>
      <c r="AH98" s="3"/>
      <c r="AI98" s="3"/>
      <c r="AJ98" s="3"/>
      <c r="AK98" s="3"/>
      <c r="AL98" s="3"/>
      <c r="AM98" s="3"/>
      <c r="AN98" s="3"/>
      <c r="AO98" s="3"/>
    </row>
    <row r="99" spans="1:41" ht="30" customHeight="1" x14ac:dyDescent="0.35">
      <c r="A99" s="4"/>
      <c r="B99" s="5" t="s">
        <v>5</v>
      </c>
      <c r="C99" s="6" t="s">
        <v>6</v>
      </c>
      <c r="D99" s="6" t="s">
        <v>7</v>
      </c>
      <c r="E99" s="6" t="s">
        <v>11</v>
      </c>
      <c r="F99" s="6" t="s">
        <v>8</v>
      </c>
      <c r="G99" s="7" t="s">
        <v>10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3"/>
      <c r="AH99" s="3"/>
      <c r="AI99" s="3"/>
      <c r="AJ99" s="3"/>
      <c r="AK99" s="3"/>
      <c r="AL99" s="3"/>
      <c r="AM99" s="3"/>
      <c r="AN99" s="3"/>
      <c r="AO99" s="3"/>
    </row>
    <row r="100" spans="1:41" ht="30" customHeight="1" thickBot="1" x14ac:dyDescent="0.4">
      <c r="A100" s="4"/>
      <c r="B100" s="8" t="e">
        <f>#REF!</f>
        <v>#REF!</v>
      </c>
      <c r="C100" s="9" t="e">
        <f>ADRIANO!#REF!</f>
        <v>#REF!</v>
      </c>
      <c r="D100" s="9" t="e">
        <f>#REF!</f>
        <v>#REF!</v>
      </c>
      <c r="E100" s="9" t="e">
        <f>#REF!</f>
        <v>#REF!</v>
      </c>
      <c r="F100" s="9" t="e">
        <f>#REF!</f>
        <v>#REF!</v>
      </c>
      <c r="G100" s="10" t="e">
        <f>(SUM(B100:F100))/500%</f>
        <v>#REF!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35">
      <c r="A101" s="4"/>
      <c r="B101" s="11">
        <v>0.8</v>
      </c>
      <c r="C101" s="11">
        <v>0.8</v>
      </c>
      <c r="D101" s="11">
        <v>0.8</v>
      </c>
      <c r="E101" s="11">
        <v>0.8</v>
      </c>
      <c r="F101" s="11">
        <v>0.8</v>
      </c>
      <c r="G101" s="11">
        <v>0.8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3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x14ac:dyDescent="0.3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x14ac:dyDescent="0.3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x14ac:dyDescent="0.3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x14ac:dyDescent="0.3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x14ac:dyDescent="0.3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x14ac:dyDescent="0.3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x14ac:dyDescent="0.3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x14ac:dyDescent="0.3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x14ac:dyDescent="0.3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x14ac:dyDescent="0.3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x14ac:dyDescent="0.3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x14ac:dyDescent="0.3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x14ac:dyDescent="0.3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x14ac:dyDescent="0.3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x14ac:dyDescent="0.3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x14ac:dyDescent="0.3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x14ac:dyDescent="0.3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x14ac:dyDescent="0.3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x14ac:dyDescent="0.3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x14ac:dyDescent="0.3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x14ac:dyDescent="0.3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x14ac:dyDescent="0.3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x14ac:dyDescent="0.3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x14ac:dyDescent="0.3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x14ac:dyDescent="0.3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x14ac:dyDescent="0.3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x14ac:dyDescent="0.3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x14ac:dyDescent="0.3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x14ac:dyDescent="0.3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x14ac:dyDescent="0.3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x14ac:dyDescent="0.3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x14ac:dyDescent="0.3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x14ac:dyDescent="0.3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x14ac:dyDescent="0.3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x14ac:dyDescent="0.3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x14ac:dyDescent="0.3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x14ac:dyDescent="0.3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x14ac:dyDescent="0.3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x14ac:dyDescent="0.3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x14ac:dyDescent="0.3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x14ac:dyDescent="0.3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x14ac:dyDescent="0.3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x14ac:dyDescent="0.3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x14ac:dyDescent="0.3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x14ac:dyDescent="0.3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x14ac:dyDescent="0.3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x14ac:dyDescent="0.3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x14ac:dyDescent="0.3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x14ac:dyDescent="0.3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x14ac:dyDescent="0.3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x14ac:dyDescent="0.3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x14ac:dyDescent="0.3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x14ac:dyDescent="0.3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x14ac:dyDescent="0.3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x14ac:dyDescent="0.3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x14ac:dyDescent="0.3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x14ac:dyDescent="0.3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x14ac:dyDescent="0.3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x14ac:dyDescent="0.3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x14ac:dyDescent="0.3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x14ac:dyDescent="0.3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x14ac:dyDescent="0.3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x14ac:dyDescent="0.3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x14ac:dyDescent="0.3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x14ac:dyDescent="0.3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x14ac:dyDescent="0.3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x14ac:dyDescent="0.3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x14ac:dyDescent="0.3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x14ac:dyDescent="0.3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x14ac:dyDescent="0.3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x14ac:dyDescent="0.3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x14ac:dyDescent="0.3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x14ac:dyDescent="0.3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x14ac:dyDescent="0.3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x14ac:dyDescent="0.3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x14ac:dyDescent="0.3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x14ac:dyDescent="0.3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x14ac:dyDescent="0.3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x14ac:dyDescent="0.3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x14ac:dyDescent="0.3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x14ac:dyDescent="0.3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x14ac:dyDescent="0.3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x14ac:dyDescent="0.3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x14ac:dyDescent="0.3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3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x14ac:dyDescent="0.3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x14ac:dyDescent="0.3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x14ac:dyDescent="0.3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x14ac:dyDescent="0.3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x14ac:dyDescent="0.3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x14ac:dyDescent="0.3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x14ac:dyDescent="0.3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3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x14ac:dyDescent="0.3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x14ac:dyDescent="0.3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x14ac:dyDescent="0.3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x14ac:dyDescent="0.3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x14ac:dyDescent="0.3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x14ac:dyDescent="0.3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x14ac:dyDescent="0.3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x14ac:dyDescent="0.3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x14ac:dyDescent="0.3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x14ac:dyDescent="0.3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x14ac:dyDescent="0.3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x14ac:dyDescent="0.3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x14ac:dyDescent="0.3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x14ac:dyDescent="0.3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x14ac:dyDescent="0.3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x14ac:dyDescent="0.3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x14ac:dyDescent="0.3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x14ac:dyDescent="0.3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x14ac:dyDescent="0.3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x14ac:dyDescent="0.3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x14ac:dyDescent="0.3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x14ac:dyDescent="0.3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x14ac:dyDescent="0.3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x14ac:dyDescent="0.3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x14ac:dyDescent="0.3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x14ac:dyDescent="0.3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x14ac:dyDescent="0.3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x14ac:dyDescent="0.3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x14ac:dyDescent="0.3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x14ac:dyDescent="0.3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x14ac:dyDescent="0.3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x14ac:dyDescent="0.3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x14ac:dyDescent="0.3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x14ac:dyDescent="0.3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x14ac:dyDescent="0.3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x14ac:dyDescent="0.3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x14ac:dyDescent="0.3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x14ac:dyDescent="0.3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x14ac:dyDescent="0.3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x14ac:dyDescent="0.3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x14ac:dyDescent="0.3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x14ac:dyDescent="0.3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</sheetData>
  <sheetProtection selectLockedCells="1" selectUnlockedCells="1"/>
  <mergeCells count="19">
    <mergeCell ref="B83:G83"/>
    <mergeCell ref="A28:V30"/>
    <mergeCell ref="A52:V54"/>
    <mergeCell ref="B98:G98"/>
    <mergeCell ref="A7:V9"/>
    <mergeCell ref="B11:G11"/>
    <mergeCell ref="B48:G48"/>
    <mergeCell ref="B72:G72"/>
    <mergeCell ref="B32:G32"/>
    <mergeCell ref="B56:G56"/>
    <mergeCell ref="Y28:AO30"/>
    <mergeCell ref="Y7:AO9"/>
    <mergeCell ref="H77:V79"/>
    <mergeCell ref="Y77:AO79"/>
    <mergeCell ref="Y52:AO54"/>
    <mergeCell ref="W7:X9"/>
    <mergeCell ref="W28:X30"/>
    <mergeCell ref="W52:X54"/>
    <mergeCell ref="W77:X79"/>
  </mergeCells>
  <pageMargins left="0.511811024" right="0.511811024" top="0.78740157499999996" bottom="0.78740157499999996" header="0.31496062000000002" footer="0.31496062000000002"/>
  <pageSetup paperSize="8" orientation="landscape" r:id="rId1"/>
  <ignoredErrors>
    <ignoredError sqref="A15:V18 A51 A48 C48:V48 A36:V47 A32 C32:V32 A60:V71 A56 C56:V56 A76:V76 A72 C72:V72 A87:V97 A83 C83:V83 A100 A33:D33 F33:V33 A49:D49 F49:V49 A57:D57 F57:V57 A73:D73 F73:V73 A84:D84 F84:V84 A99:D99 F99:V99 A58 H58:V58 A74 H74:V74 A85 H85:V85 H100:V100 A13 A34 A50 A80:V82 A77:G77 A78:G79 A31:V31 A53:V55 B52:V52 H34:V34 H50:V50 H13:V13 A14 H14:V14 A35 H35:V35 H51:V51 A59 H59:V59 A75 H75:V75 A86 H86:V86 A20:V27 A19 I19:V19 W8:X27 A98 H98:V98 X7 W29:X51 X28 W53:X76 X52 W78:X79 X77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ADRIANO</vt:lpstr>
      <vt:lpstr>PA ADRIANO</vt:lpstr>
      <vt:lpstr>% DE DESVIO</vt:lpstr>
      <vt:lpstr>ADERÊNCIA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Honorato</dc:creator>
  <cp:lastModifiedBy>Maiza Porto</cp:lastModifiedBy>
  <cp:lastPrinted>2022-09-27T19:29:13Z</cp:lastPrinted>
  <dcterms:created xsi:type="dcterms:W3CDTF">2022-08-31T13:32:23Z</dcterms:created>
  <dcterms:modified xsi:type="dcterms:W3CDTF">2023-10-27T14:09:22Z</dcterms:modified>
</cp:coreProperties>
</file>