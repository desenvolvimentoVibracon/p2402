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50EFBD2F-3510-4736-8840-356AB1D353E4}" xr6:coauthVersionLast="47" xr6:coauthVersionMax="47" xr10:uidLastSave="{00000000-0000-0000-0000-000000000000}"/>
  <bookViews>
    <workbookView xWindow="28680" yWindow="-120" windowWidth="29040" windowHeight="15840" tabRatio="525" xr2:uid="{FCF3E4BD-C91C-4330-B31E-E3BC2B293FBE}"/>
  </bookViews>
  <sheets>
    <sheet name="MARCOS" sheetId="22" r:id="rId1"/>
    <sheet name="PA MARCOS" sheetId="20" r:id="rId2"/>
    <sheet name="ADERÊNCIA" sheetId="11" state="hidden" r:id="rId3"/>
  </sheets>
  <externalReferences>
    <externalReference r:id="rId4"/>
    <externalReference r:id="rId5"/>
  </externalReferences>
  <definedNames>
    <definedName name="_xlnm._FilterDatabase" localSheetId="0" hidden="1">MARCOS!$A$4:$AB$216</definedName>
    <definedName name="primeiro" localSheetId="0">MARCOS!#REF!</definedName>
    <definedName name="primeiro" localSheetId="1">'PA MARCOS'!#REF!</definedName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J54" i="22" l="1"/>
  <c r="BJ53" i="22"/>
  <c r="BK58" i="22"/>
  <c r="BK57" i="22"/>
  <c r="BJ51" i="22"/>
  <c r="BJ52" i="22" l="1"/>
  <c r="BJ55" i="22" s="1"/>
  <c r="BN54" i="22" s="1"/>
  <c r="BN52" i="22" l="1"/>
  <c r="BN51" i="22"/>
  <c r="BN53" i="22"/>
  <c r="BN55" i="22" l="1"/>
  <c r="AE198" i="22" l="1"/>
  <c r="AI198" i="22"/>
  <c r="AJ198" i="22" s="1"/>
  <c r="AK198" i="22"/>
  <c r="AL198" i="22" s="1"/>
  <c r="AM198" i="22"/>
  <c r="AN198" i="22" s="1"/>
  <c r="AO198" i="22"/>
  <c r="AP198" i="22" s="1"/>
  <c r="AQ198" i="22"/>
  <c r="AR198" i="22" s="1"/>
  <c r="AE199" i="22"/>
  <c r="AI199" i="22"/>
  <c r="AJ199" i="22" s="1"/>
  <c r="AK199" i="22"/>
  <c r="AL199" i="22" s="1"/>
  <c r="AM199" i="22"/>
  <c r="AN199" i="22" s="1"/>
  <c r="AO199" i="22"/>
  <c r="AP199" i="22" s="1"/>
  <c r="AQ199" i="22"/>
  <c r="AR199" i="22" s="1"/>
  <c r="AE200" i="22"/>
  <c r="AE201" i="22"/>
  <c r="AI201" i="22"/>
  <c r="AJ201" i="22" s="1"/>
  <c r="AK201" i="22"/>
  <c r="AL201" i="22" s="1"/>
  <c r="AM201" i="22"/>
  <c r="AN201" i="22" s="1"/>
  <c r="AO201" i="22"/>
  <c r="AP201" i="22" s="1"/>
  <c r="AQ201" i="22"/>
  <c r="AR201" i="22"/>
  <c r="AE202" i="22"/>
  <c r="AI202" i="22"/>
  <c r="AJ202" i="22" s="1"/>
  <c r="AK202" i="22"/>
  <c r="AL202" i="22" s="1"/>
  <c r="AM202" i="22"/>
  <c r="AN202" i="22" s="1"/>
  <c r="AO202" i="22"/>
  <c r="AP202" i="22" s="1"/>
  <c r="AQ202" i="22"/>
  <c r="AR202" i="22" s="1"/>
  <c r="AE203" i="22"/>
  <c r="AI203" i="22"/>
  <c r="AJ203" i="22" s="1"/>
  <c r="AK203" i="22"/>
  <c r="AL203" i="22" s="1"/>
  <c r="AM203" i="22"/>
  <c r="AN203" i="22" s="1"/>
  <c r="AO203" i="22"/>
  <c r="AP203" i="22" s="1"/>
  <c r="AQ203" i="22"/>
  <c r="AR203" i="22" s="1"/>
  <c r="AE204" i="22"/>
  <c r="AE205" i="22"/>
  <c r="AI205" i="22"/>
  <c r="AJ205" i="22" s="1"/>
  <c r="AK205" i="22"/>
  <c r="AL205" i="22" s="1"/>
  <c r="AM205" i="22"/>
  <c r="AN205" i="22" s="1"/>
  <c r="AO205" i="22"/>
  <c r="AP205" i="22" s="1"/>
  <c r="AQ205" i="22"/>
  <c r="AR205" i="22" s="1"/>
  <c r="AE206" i="22"/>
  <c r="AI206" i="22"/>
  <c r="AJ206" i="22" s="1"/>
  <c r="AK206" i="22"/>
  <c r="AL206" i="22" s="1"/>
  <c r="AM206" i="22"/>
  <c r="AN206" i="22"/>
  <c r="AO206" i="22"/>
  <c r="AP206" i="22" s="1"/>
  <c r="AQ206" i="22"/>
  <c r="AR206" i="22" s="1"/>
  <c r="AE207" i="22"/>
  <c r="AE208" i="22"/>
  <c r="AE209" i="22"/>
  <c r="AI209" i="22"/>
  <c r="AJ209" i="22" s="1"/>
  <c r="AK209" i="22"/>
  <c r="AL209" i="22" s="1"/>
  <c r="AM209" i="22"/>
  <c r="AN209" i="22" s="1"/>
  <c r="AO209" i="22"/>
  <c r="AP209" i="22" s="1"/>
  <c r="AQ209" i="22"/>
  <c r="AR209" i="22" s="1"/>
  <c r="AE210" i="22"/>
  <c r="AE211" i="22"/>
  <c r="AI211" i="22"/>
  <c r="AJ211" i="22" s="1"/>
  <c r="AK211" i="22"/>
  <c r="AL211" i="22" s="1"/>
  <c r="AM211" i="22"/>
  <c r="AN211" i="22" s="1"/>
  <c r="AO211" i="22"/>
  <c r="AP211" i="22" s="1"/>
  <c r="AQ211" i="22"/>
  <c r="AR211" i="22" s="1"/>
  <c r="AE212" i="22"/>
  <c r="AI212" i="22"/>
  <c r="AJ212" i="22" s="1"/>
  <c r="AK212" i="22"/>
  <c r="AL212" i="22" s="1"/>
  <c r="AM212" i="22"/>
  <c r="AN212" i="22" s="1"/>
  <c r="AO212" i="22"/>
  <c r="AP212" i="22" s="1"/>
  <c r="AQ212" i="22"/>
  <c r="AR212" i="22" s="1"/>
  <c r="AE213" i="22"/>
  <c r="AI213" i="22"/>
  <c r="AJ213" i="22" s="1"/>
  <c r="AK213" i="22"/>
  <c r="AL213" i="22" s="1"/>
  <c r="AM213" i="22"/>
  <c r="AN213" i="22" s="1"/>
  <c r="AO213" i="22"/>
  <c r="AP213" i="22" s="1"/>
  <c r="AQ213" i="22"/>
  <c r="AR213" i="22" s="1"/>
  <c r="AE214" i="22"/>
  <c r="AE215" i="22"/>
  <c r="AI215" i="22"/>
  <c r="AJ215" i="22" s="1"/>
  <c r="AK215" i="22"/>
  <c r="AL215" i="22" s="1"/>
  <c r="AM215" i="22"/>
  <c r="AN215" i="22"/>
  <c r="AO215" i="22"/>
  <c r="AP215" i="22" s="1"/>
  <c r="AQ215" i="22"/>
  <c r="AR215" i="22" s="1"/>
  <c r="AE216" i="22"/>
  <c r="AI216" i="22"/>
  <c r="AJ216" i="22" s="1"/>
  <c r="AK216" i="22"/>
  <c r="AL216" i="22" s="1"/>
  <c r="AM216" i="22"/>
  <c r="AN216" i="22" s="1"/>
  <c r="AO216" i="22"/>
  <c r="AP216" i="22" s="1"/>
  <c r="AQ216" i="22"/>
  <c r="AR216" i="22" s="1"/>
  <c r="D214" i="22"/>
  <c r="E214" i="22"/>
  <c r="F214" i="22"/>
  <c r="G214" i="22"/>
  <c r="H214" i="22"/>
  <c r="I214" i="22"/>
  <c r="J214" i="22"/>
  <c r="K214" i="22"/>
  <c r="L214" i="22"/>
  <c r="M214" i="22"/>
  <c r="N214" i="22"/>
  <c r="O214" i="22"/>
  <c r="P214" i="22"/>
  <c r="Q214" i="22"/>
  <c r="R214" i="22"/>
  <c r="S214" i="22"/>
  <c r="T214" i="22"/>
  <c r="U214" i="22"/>
  <c r="V214" i="22"/>
  <c r="W214" i="22"/>
  <c r="X214" i="22"/>
  <c r="C214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I210" i="22"/>
  <c r="H210" i="22"/>
  <c r="G210" i="22"/>
  <c r="F210" i="22"/>
  <c r="E210" i="22"/>
  <c r="D210" i="22"/>
  <c r="C210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I208" i="22"/>
  <c r="H208" i="22"/>
  <c r="G208" i="22"/>
  <c r="F208" i="22"/>
  <c r="E208" i="22"/>
  <c r="D208" i="22"/>
  <c r="C208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I207" i="22"/>
  <c r="H207" i="22"/>
  <c r="G207" i="22"/>
  <c r="F207" i="22"/>
  <c r="E207" i="22"/>
  <c r="D207" i="22"/>
  <c r="C207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I204" i="22"/>
  <c r="H204" i="22"/>
  <c r="G204" i="22"/>
  <c r="F204" i="22"/>
  <c r="E204" i="22"/>
  <c r="D204" i="22"/>
  <c r="C204" i="22"/>
  <c r="D200" i="22"/>
  <c r="E200" i="22"/>
  <c r="F200" i="22"/>
  <c r="G200" i="22"/>
  <c r="H200" i="22"/>
  <c r="I200" i="22"/>
  <c r="J200" i="22"/>
  <c r="K200" i="22"/>
  <c r="L200" i="22"/>
  <c r="M200" i="22"/>
  <c r="N200" i="22"/>
  <c r="O200" i="22"/>
  <c r="P200" i="22"/>
  <c r="Q200" i="22"/>
  <c r="R200" i="22"/>
  <c r="S200" i="22"/>
  <c r="T200" i="22"/>
  <c r="U200" i="22"/>
  <c r="V200" i="22"/>
  <c r="W200" i="22"/>
  <c r="X200" i="22"/>
  <c r="C200" i="22"/>
  <c r="S197" i="22"/>
  <c r="R197" i="22"/>
  <c r="Q197" i="22"/>
  <c r="P197" i="22"/>
  <c r="O197" i="22"/>
  <c r="N197" i="22"/>
  <c r="M197" i="22"/>
  <c r="L197" i="22"/>
  <c r="K197" i="22"/>
  <c r="S196" i="22"/>
  <c r="R196" i="22"/>
  <c r="Q196" i="22"/>
  <c r="P196" i="22"/>
  <c r="O196" i="22"/>
  <c r="N196" i="22"/>
  <c r="M196" i="22"/>
  <c r="L196" i="22"/>
  <c r="K196" i="22"/>
  <c r="T195" i="22"/>
  <c r="S195" i="22"/>
  <c r="R195" i="22"/>
  <c r="P195" i="22"/>
  <c r="O195" i="22"/>
  <c r="N195" i="22"/>
  <c r="M195" i="22"/>
  <c r="L195" i="22"/>
  <c r="K195" i="22"/>
  <c r="T194" i="22"/>
  <c r="S194" i="22"/>
  <c r="R194" i="22"/>
  <c r="Q194" i="22"/>
  <c r="P194" i="22"/>
  <c r="O194" i="22"/>
  <c r="N194" i="22"/>
  <c r="M194" i="22"/>
  <c r="K194" i="22"/>
  <c r="T192" i="22"/>
  <c r="S192" i="22"/>
  <c r="R192" i="22"/>
  <c r="Q192" i="22"/>
  <c r="P192" i="22"/>
  <c r="O192" i="22"/>
  <c r="N192" i="22"/>
  <c r="M192" i="22"/>
  <c r="K192" i="22"/>
  <c r="S190" i="22"/>
  <c r="R190" i="22"/>
  <c r="Q190" i="22"/>
  <c r="P190" i="22"/>
  <c r="O190" i="22"/>
  <c r="N190" i="22"/>
  <c r="M190" i="22"/>
  <c r="L190" i="22"/>
  <c r="K190" i="22"/>
  <c r="S189" i="22"/>
  <c r="R189" i="22"/>
  <c r="Q189" i="22"/>
  <c r="P189" i="22"/>
  <c r="O189" i="22"/>
  <c r="N189" i="22"/>
  <c r="M189" i="22"/>
  <c r="L189" i="22"/>
  <c r="K189" i="22"/>
  <c r="T188" i="22"/>
  <c r="S188" i="22"/>
  <c r="R188" i="22"/>
  <c r="P188" i="22"/>
  <c r="O188" i="22"/>
  <c r="N188" i="22"/>
  <c r="M188" i="22"/>
  <c r="L188" i="22"/>
  <c r="K188" i="22"/>
  <c r="T187" i="22"/>
  <c r="S187" i="22"/>
  <c r="R187" i="22"/>
  <c r="Q187" i="22"/>
  <c r="P187" i="22"/>
  <c r="O187" i="22"/>
  <c r="N187" i="22"/>
  <c r="M187" i="22"/>
  <c r="K187" i="22"/>
  <c r="T185" i="22"/>
  <c r="S185" i="22"/>
  <c r="R185" i="22"/>
  <c r="Q185" i="22"/>
  <c r="P185" i="22"/>
  <c r="O185" i="22"/>
  <c r="N185" i="22"/>
  <c r="M185" i="22"/>
  <c r="K185" i="22"/>
  <c r="S183" i="22"/>
  <c r="R183" i="22"/>
  <c r="Q183" i="22"/>
  <c r="P183" i="22"/>
  <c r="O183" i="22"/>
  <c r="N183" i="22"/>
  <c r="M183" i="22"/>
  <c r="L183" i="22"/>
  <c r="K183" i="22"/>
  <c r="S182" i="22"/>
  <c r="R182" i="22"/>
  <c r="Q182" i="22"/>
  <c r="P182" i="22"/>
  <c r="O182" i="22"/>
  <c r="N182" i="22"/>
  <c r="M182" i="22"/>
  <c r="L182" i="22"/>
  <c r="K182" i="22"/>
  <c r="T181" i="22"/>
  <c r="S181" i="22"/>
  <c r="R181" i="22"/>
  <c r="P181" i="22"/>
  <c r="O181" i="22"/>
  <c r="N181" i="22"/>
  <c r="M181" i="22"/>
  <c r="L181" i="22"/>
  <c r="K181" i="22"/>
  <c r="T180" i="22"/>
  <c r="S180" i="22"/>
  <c r="R180" i="22"/>
  <c r="Q180" i="22"/>
  <c r="P180" i="22"/>
  <c r="O180" i="22"/>
  <c r="N180" i="22"/>
  <c r="M180" i="22"/>
  <c r="K180" i="22"/>
  <c r="T178" i="22"/>
  <c r="S178" i="22"/>
  <c r="R178" i="22"/>
  <c r="Q178" i="22"/>
  <c r="P178" i="22"/>
  <c r="O178" i="22"/>
  <c r="N178" i="22"/>
  <c r="M178" i="22"/>
  <c r="K178" i="22"/>
  <c r="R176" i="22"/>
  <c r="Q176" i="22"/>
  <c r="P176" i="22"/>
  <c r="O176" i="22"/>
  <c r="N176" i="22"/>
  <c r="M176" i="22"/>
  <c r="L176" i="22"/>
  <c r="K176" i="22"/>
  <c r="J176" i="22"/>
  <c r="R175" i="22"/>
  <c r="Q175" i="22"/>
  <c r="P175" i="22"/>
  <c r="O175" i="22"/>
  <c r="N175" i="22"/>
  <c r="M175" i="22"/>
  <c r="L175" i="22"/>
  <c r="K175" i="22"/>
  <c r="J175" i="22"/>
  <c r="S174" i="22"/>
  <c r="R174" i="22"/>
  <c r="Q174" i="22"/>
  <c r="O174" i="22"/>
  <c r="N174" i="22"/>
  <c r="M174" i="22"/>
  <c r="L174" i="22"/>
  <c r="K174" i="22"/>
  <c r="J174" i="22"/>
  <c r="S173" i="22"/>
  <c r="R173" i="22"/>
  <c r="Q173" i="22"/>
  <c r="P173" i="22"/>
  <c r="O173" i="22"/>
  <c r="N173" i="22"/>
  <c r="M173" i="22"/>
  <c r="L173" i="22"/>
  <c r="J173" i="22"/>
  <c r="S171" i="22"/>
  <c r="R171" i="22"/>
  <c r="Q171" i="22"/>
  <c r="P171" i="22"/>
  <c r="O171" i="22"/>
  <c r="N171" i="22"/>
  <c r="M171" i="22"/>
  <c r="L171" i="22"/>
  <c r="J171" i="22"/>
  <c r="R169" i="22"/>
  <c r="Q169" i="22"/>
  <c r="P169" i="22"/>
  <c r="O169" i="22"/>
  <c r="N169" i="22"/>
  <c r="M169" i="22"/>
  <c r="L169" i="22"/>
  <c r="K169" i="22"/>
  <c r="J169" i="22"/>
  <c r="R168" i="22"/>
  <c r="Q168" i="22"/>
  <c r="P168" i="22"/>
  <c r="O168" i="22"/>
  <c r="N168" i="22"/>
  <c r="M168" i="22"/>
  <c r="L168" i="22"/>
  <c r="K168" i="22"/>
  <c r="J168" i="22"/>
  <c r="S167" i="22"/>
  <c r="R167" i="22"/>
  <c r="Q167" i="22"/>
  <c r="O167" i="22"/>
  <c r="N167" i="22"/>
  <c r="M167" i="22"/>
  <c r="L167" i="22"/>
  <c r="K167" i="22"/>
  <c r="J167" i="22"/>
  <c r="S166" i="22"/>
  <c r="R166" i="22"/>
  <c r="Q166" i="22"/>
  <c r="P166" i="22"/>
  <c r="O166" i="22"/>
  <c r="N166" i="22"/>
  <c r="M166" i="22"/>
  <c r="L166" i="22"/>
  <c r="J166" i="22"/>
  <c r="S164" i="22"/>
  <c r="R164" i="22"/>
  <c r="Q164" i="22"/>
  <c r="P164" i="22"/>
  <c r="O164" i="22"/>
  <c r="N164" i="22"/>
  <c r="M164" i="22"/>
  <c r="L164" i="22"/>
  <c r="J164" i="22"/>
  <c r="R162" i="22"/>
  <c r="Q162" i="22"/>
  <c r="P162" i="22"/>
  <c r="O162" i="22"/>
  <c r="N162" i="22"/>
  <c r="M162" i="22"/>
  <c r="L162" i="22"/>
  <c r="K162" i="22"/>
  <c r="J162" i="22"/>
  <c r="R161" i="22"/>
  <c r="Q161" i="22"/>
  <c r="P161" i="22"/>
  <c r="O161" i="22"/>
  <c r="N161" i="22"/>
  <c r="M161" i="22"/>
  <c r="L161" i="22"/>
  <c r="K161" i="22"/>
  <c r="J161" i="22"/>
  <c r="S160" i="22"/>
  <c r="R160" i="22"/>
  <c r="Q160" i="22"/>
  <c r="O160" i="22"/>
  <c r="N160" i="22"/>
  <c r="M160" i="22"/>
  <c r="L160" i="22"/>
  <c r="K160" i="22"/>
  <c r="J160" i="22"/>
  <c r="S159" i="22"/>
  <c r="R159" i="22"/>
  <c r="Q159" i="22"/>
  <c r="P159" i="22"/>
  <c r="O159" i="22"/>
  <c r="N159" i="22"/>
  <c r="M159" i="22"/>
  <c r="L159" i="22"/>
  <c r="J159" i="22"/>
  <c r="S157" i="22"/>
  <c r="R157" i="22"/>
  <c r="Q157" i="22"/>
  <c r="P157" i="22"/>
  <c r="O157" i="22"/>
  <c r="N157" i="22"/>
  <c r="M157" i="22"/>
  <c r="L157" i="22"/>
  <c r="J157" i="22"/>
  <c r="R155" i="22"/>
  <c r="Q155" i="22"/>
  <c r="P155" i="22"/>
  <c r="O155" i="22"/>
  <c r="N155" i="22"/>
  <c r="M155" i="22"/>
  <c r="L155" i="22"/>
  <c r="K155" i="22"/>
  <c r="J155" i="22"/>
  <c r="R154" i="22"/>
  <c r="Q154" i="22"/>
  <c r="P154" i="22"/>
  <c r="O154" i="22"/>
  <c r="N154" i="22"/>
  <c r="M154" i="22"/>
  <c r="L154" i="22"/>
  <c r="K154" i="22"/>
  <c r="J154" i="22"/>
  <c r="S153" i="22"/>
  <c r="R153" i="22"/>
  <c r="Q153" i="22"/>
  <c r="O153" i="22"/>
  <c r="N153" i="22"/>
  <c r="M153" i="22"/>
  <c r="L153" i="22"/>
  <c r="K153" i="22"/>
  <c r="J153" i="22"/>
  <c r="S152" i="22"/>
  <c r="R152" i="22"/>
  <c r="Q152" i="22"/>
  <c r="P152" i="22"/>
  <c r="O152" i="22"/>
  <c r="N152" i="22"/>
  <c r="M152" i="22"/>
  <c r="L152" i="22"/>
  <c r="J152" i="22"/>
  <c r="S150" i="22"/>
  <c r="R150" i="22"/>
  <c r="Q150" i="22"/>
  <c r="P150" i="22"/>
  <c r="O150" i="22"/>
  <c r="N150" i="22"/>
  <c r="M150" i="22"/>
  <c r="L150" i="22"/>
  <c r="J150" i="22"/>
  <c r="Q147" i="22"/>
  <c r="P147" i="22"/>
  <c r="O147" i="22"/>
  <c r="N147" i="22"/>
  <c r="M147" i="22"/>
  <c r="L147" i="22"/>
  <c r="K147" i="22"/>
  <c r="J147" i="22"/>
  <c r="I147" i="22"/>
  <c r="Q146" i="22"/>
  <c r="P146" i="22"/>
  <c r="O146" i="22"/>
  <c r="N146" i="22"/>
  <c r="M146" i="22"/>
  <c r="L146" i="22"/>
  <c r="K146" i="22"/>
  <c r="J146" i="22"/>
  <c r="I146" i="22"/>
  <c r="R145" i="22"/>
  <c r="Q145" i="22"/>
  <c r="P145" i="22"/>
  <c r="N145" i="22"/>
  <c r="M145" i="22"/>
  <c r="L145" i="22"/>
  <c r="K145" i="22"/>
  <c r="J145" i="22"/>
  <c r="I145" i="22"/>
  <c r="R144" i="22"/>
  <c r="Q144" i="22"/>
  <c r="P144" i="22"/>
  <c r="O144" i="22"/>
  <c r="N144" i="22"/>
  <c r="M144" i="22"/>
  <c r="L144" i="22"/>
  <c r="K144" i="22"/>
  <c r="I144" i="22"/>
  <c r="R142" i="22"/>
  <c r="Q142" i="22"/>
  <c r="P142" i="22"/>
  <c r="O142" i="22"/>
  <c r="N142" i="22"/>
  <c r="M142" i="22"/>
  <c r="L142" i="22"/>
  <c r="K142" i="22"/>
  <c r="I142" i="22"/>
  <c r="Q140" i="22"/>
  <c r="P140" i="22"/>
  <c r="O140" i="22"/>
  <c r="N140" i="22"/>
  <c r="M140" i="22"/>
  <c r="L140" i="22"/>
  <c r="K140" i="22"/>
  <c r="J140" i="22"/>
  <c r="I140" i="22"/>
  <c r="Q139" i="22"/>
  <c r="P139" i="22"/>
  <c r="O139" i="22"/>
  <c r="N139" i="22"/>
  <c r="M139" i="22"/>
  <c r="L139" i="22"/>
  <c r="K139" i="22"/>
  <c r="J139" i="22"/>
  <c r="I139" i="22"/>
  <c r="R138" i="22"/>
  <c r="Q138" i="22"/>
  <c r="P138" i="22"/>
  <c r="N138" i="22"/>
  <c r="M138" i="22"/>
  <c r="L138" i="22"/>
  <c r="K138" i="22"/>
  <c r="J138" i="22"/>
  <c r="I138" i="22"/>
  <c r="R137" i="22"/>
  <c r="Q137" i="22"/>
  <c r="P137" i="22"/>
  <c r="O137" i="22"/>
  <c r="N137" i="22"/>
  <c r="M137" i="22"/>
  <c r="L137" i="22"/>
  <c r="K137" i="22"/>
  <c r="I137" i="22"/>
  <c r="R135" i="22"/>
  <c r="Q135" i="22"/>
  <c r="P135" i="22"/>
  <c r="O135" i="22"/>
  <c r="N135" i="22"/>
  <c r="M135" i="22"/>
  <c r="L135" i="22"/>
  <c r="K135" i="22"/>
  <c r="I135" i="22"/>
  <c r="Q133" i="22"/>
  <c r="P133" i="22"/>
  <c r="O133" i="22"/>
  <c r="N133" i="22"/>
  <c r="M133" i="22"/>
  <c r="L133" i="22"/>
  <c r="K133" i="22"/>
  <c r="J133" i="22"/>
  <c r="I133" i="22"/>
  <c r="Q132" i="22"/>
  <c r="P132" i="22"/>
  <c r="O132" i="22"/>
  <c r="N132" i="22"/>
  <c r="M132" i="22"/>
  <c r="L132" i="22"/>
  <c r="K132" i="22"/>
  <c r="J132" i="22"/>
  <c r="I132" i="22"/>
  <c r="R131" i="22"/>
  <c r="Q131" i="22"/>
  <c r="P131" i="22"/>
  <c r="N131" i="22"/>
  <c r="M131" i="22"/>
  <c r="L131" i="22"/>
  <c r="K131" i="22"/>
  <c r="J131" i="22"/>
  <c r="I131" i="22"/>
  <c r="R130" i="22"/>
  <c r="Q130" i="22"/>
  <c r="P130" i="22"/>
  <c r="O130" i="22"/>
  <c r="N130" i="22"/>
  <c r="M130" i="22"/>
  <c r="L130" i="22"/>
  <c r="K130" i="22"/>
  <c r="I130" i="22"/>
  <c r="R128" i="22"/>
  <c r="Q128" i="22"/>
  <c r="P128" i="22"/>
  <c r="O128" i="22"/>
  <c r="N128" i="22"/>
  <c r="M128" i="22"/>
  <c r="L128" i="22"/>
  <c r="K128" i="22"/>
  <c r="I128" i="22"/>
  <c r="Q126" i="22"/>
  <c r="P126" i="22"/>
  <c r="O126" i="22"/>
  <c r="N126" i="22"/>
  <c r="M126" i="22"/>
  <c r="L126" i="22"/>
  <c r="K126" i="22"/>
  <c r="J126" i="22"/>
  <c r="I126" i="22"/>
  <c r="Q125" i="22"/>
  <c r="P125" i="22"/>
  <c r="O125" i="22"/>
  <c r="N125" i="22"/>
  <c r="M125" i="22"/>
  <c r="L125" i="22"/>
  <c r="K125" i="22"/>
  <c r="J125" i="22"/>
  <c r="I125" i="22"/>
  <c r="R124" i="22"/>
  <c r="Q124" i="22"/>
  <c r="P124" i="22"/>
  <c r="N124" i="22"/>
  <c r="M124" i="22"/>
  <c r="L124" i="22"/>
  <c r="K124" i="22"/>
  <c r="J124" i="22"/>
  <c r="I124" i="22"/>
  <c r="R123" i="22"/>
  <c r="Q123" i="22"/>
  <c r="P123" i="22"/>
  <c r="O123" i="22"/>
  <c r="N123" i="22"/>
  <c r="M123" i="22"/>
  <c r="L123" i="22"/>
  <c r="K123" i="22"/>
  <c r="I123" i="22"/>
  <c r="R121" i="22"/>
  <c r="Q121" i="22"/>
  <c r="P121" i="22"/>
  <c r="O121" i="22"/>
  <c r="N121" i="22"/>
  <c r="M121" i="22"/>
  <c r="L121" i="22"/>
  <c r="K121" i="22"/>
  <c r="I121" i="22"/>
  <c r="P119" i="22"/>
  <c r="O119" i="22"/>
  <c r="N119" i="22"/>
  <c r="M119" i="22"/>
  <c r="L119" i="22"/>
  <c r="K119" i="22"/>
  <c r="J119" i="22"/>
  <c r="I119" i="22"/>
  <c r="H119" i="22"/>
  <c r="P118" i="22"/>
  <c r="O118" i="22"/>
  <c r="N118" i="22"/>
  <c r="M118" i="22"/>
  <c r="L118" i="22"/>
  <c r="K118" i="22"/>
  <c r="J118" i="22"/>
  <c r="I118" i="22"/>
  <c r="H118" i="22"/>
  <c r="Q117" i="22"/>
  <c r="P117" i="22"/>
  <c r="O117" i="22"/>
  <c r="M117" i="22"/>
  <c r="L117" i="22"/>
  <c r="K117" i="22"/>
  <c r="J117" i="22"/>
  <c r="I117" i="22"/>
  <c r="H117" i="22"/>
  <c r="Q116" i="22"/>
  <c r="P116" i="22"/>
  <c r="O116" i="22"/>
  <c r="N116" i="22"/>
  <c r="M116" i="22"/>
  <c r="L116" i="22"/>
  <c r="K116" i="22"/>
  <c r="J116" i="22"/>
  <c r="H116" i="22"/>
  <c r="Q114" i="22"/>
  <c r="P114" i="22"/>
  <c r="O114" i="22"/>
  <c r="N114" i="22"/>
  <c r="M114" i="22"/>
  <c r="L114" i="22"/>
  <c r="K114" i="22"/>
  <c r="J114" i="22"/>
  <c r="H114" i="22"/>
  <c r="P112" i="22"/>
  <c r="O112" i="22"/>
  <c r="N112" i="22"/>
  <c r="M112" i="22"/>
  <c r="L112" i="22"/>
  <c r="K112" i="22"/>
  <c r="J112" i="22"/>
  <c r="I112" i="22"/>
  <c r="H112" i="22"/>
  <c r="P111" i="22"/>
  <c r="O111" i="22"/>
  <c r="N111" i="22"/>
  <c r="M111" i="22"/>
  <c r="L111" i="22"/>
  <c r="K111" i="22"/>
  <c r="J111" i="22"/>
  <c r="I111" i="22"/>
  <c r="H111" i="22"/>
  <c r="Q110" i="22"/>
  <c r="P110" i="22"/>
  <c r="O110" i="22"/>
  <c r="M110" i="22"/>
  <c r="L110" i="22"/>
  <c r="K110" i="22"/>
  <c r="J110" i="22"/>
  <c r="I110" i="22"/>
  <c r="H110" i="22"/>
  <c r="Q109" i="22"/>
  <c r="P109" i="22"/>
  <c r="O109" i="22"/>
  <c r="N109" i="22"/>
  <c r="M109" i="22"/>
  <c r="L109" i="22"/>
  <c r="K109" i="22"/>
  <c r="J109" i="22"/>
  <c r="H109" i="22"/>
  <c r="Q107" i="22"/>
  <c r="P107" i="22"/>
  <c r="O107" i="22"/>
  <c r="N107" i="22"/>
  <c r="M107" i="22"/>
  <c r="L107" i="22"/>
  <c r="K107" i="22"/>
  <c r="J107" i="22"/>
  <c r="H107" i="22"/>
  <c r="AQ200" i="22" l="1"/>
  <c r="AR200" i="22" s="1"/>
  <c r="AQ207" i="22"/>
  <c r="AR207" i="22" s="1"/>
  <c r="AQ210" i="22"/>
  <c r="AR210" i="22" s="1"/>
  <c r="AI204" i="22"/>
  <c r="AJ204" i="22" s="1"/>
  <c r="AO204" i="22"/>
  <c r="AP204" i="22" s="1"/>
  <c r="AO207" i="22"/>
  <c r="AP207" i="22" s="1"/>
  <c r="AI208" i="22"/>
  <c r="AJ208" i="22" s="1"/>
  <c r="AK210" i="22"/>
  <c r="AL210" i="22" s="1"/>
  <c r="AK214" i="22"/>
  <c r="AL214" i="22" s="1"/>
  <c r="AM200" i="22"/>
  <c r="AN200" i="22" s="1"/>
  <c r="AK204" i="22"/>
  <c r="AL204" i="22" s="1"/>
  <c r="AI207" i="22"/>
  <c r="AJ207" i="22" s="1"/>
  <c r="AM207" i="22"/>
  <c r="AN207" i="22" s="1"/>
  <c r="AK208" i="22"/>
  <c r="AL208" i="22" s="1"/>
  <c r="AO208" i="22"/>
  <c r="AP208" i="22" s="1"/>
  <c r="AO210" i="22"/>
  <c r="AP210" i="22" s="1"/>
  <c r="AM214" i="22"/>
  <c r="AN214" i="22" s="1"/>
  <c r="AM208" i="22"/>
  <c r="AN208" i="22" s="1"/>
  <c r="AI210" i="22"/>
  <c r="AJ210" i="22" s="1"/>
  <c r="AK200" i="22"/>
  <c r="AL200" i="22" s="1"/>
  <c r="AK207" i="22"/>
  <c r="AL207" i="22" s="1"/>
  <c r="AO214" i="22"/>
  <c r="AP214" i="22" s="1"/>
  <c r="AO200" i="22"/>
  <c r="AP200" i="22" s="1"/>
  <c r="AI200" i="22"/>
  <c r="AJ200" i="22" s="1"/>
  <c r="AM204" i="22"/>
  <c r="AN204" i="22" s="1"/>
  <c r="AQ214" i="22"/>
  <c r="AR214" i="22" s="1"/>
  <c r="AQ204" i="22"/>
  <c r="AR204" i="22" s="1"/>
  <c r="AQ208" i="22"/>
  <c r="AR208" i="22" s="1"/>
  <c r="AM210" i="22"/>
  <c r="AN210" i="22" s="1"/>
  <c r="AI214" i="22"/>
  <c r="AJ214" i="22" s="1"/>
  <c r="X61" i="22"/>
  <c r="W61" i="22"/>
  <c r="V61" i="22"/>
  <c r="U61" i="22"/>
  <c r="T61" i="22"/>
  <c r="S61" i="22"/>
  <c r="R61" i="22"/>
  <c r="Q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X60" i="22"/>
  <c r="W60" i="22"/>
  <c r="V60" i="22"/>
  <c r="U60" i="22"/>
  <c r="T60" i="22"/>
  <c r="S60" i="22"/>
  <c r="R60" i="22"/>
  <c r="Q60" i="22"/>
  <c r="P60" i="22"/>
  <c r="N60" i="22"/>
  <c r="M60" i="22"/>
  <c r="L60" i="22"/>
  <c r="K60" i="22"/>
  <c r="J60" i="22"/>
  <c r="I60" i="22"/>
  <c r="H60" i="22"/>
  <c r="G60" i="22"/>
  <c r="F60" i="22"/>
  <c r="E60" i="22"/>
  <c r="D60" i="22"/>
  <c r="C60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J59" i="22"/>
  <c r="I59" i="22"/>
  <c r="H59" i="22"/>
  <c r="G59" i="22"/>
  <c r="F59" i="22"/>
  <c r="E59" i="22"/>
  <c r="D59" i="22"/>
  <c r="C59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H58" i="22"/>
  <c r="G58" i="22"/>
  <c r="F58" i="22"/>
  <c r="E58" i="22"/>
  <c r="D58" i="22"/>
  <c r="C58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F57" i="22"/>
  <c r="E57" i="22"/>
  <c r="D57" i="22"/>
  <c r="C57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C56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C55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C53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C52" i="22"/>
  <c r="AE7" i="22"/>
  <c r="AE8" i="22"/>
  <c r="AE9" i="22"/>
  <c r="AE10" i="22"/>
  <c r="AE11" i="22"/>
  <c r="AE12" i="22"/>
  <c r="AE13" i="22"/>
  <c r="AE14" i="22"/>
  <c r="AE15" i="22"/>
  <c r="AE16" i="22"/>
  <c r="AE17" i="22"/>
  <c r="AE18" i="22"/>
  <c r="AE19" i="22"/>
  <c r="AE20" i="22"/>
  <c r="AE21" i="22"/>
  <c r="AE22" i="22"/>
  <c r="AE23" i="22"/>
  <c r="AE24" i="22"/>
  <c r="AE25" i="22"/>
  <c r="AE26" i="22"/>
  <c r="AE27" i="22"/>
  <c r="AE28" i="22"/>
  <c r="AE29" i="22"/>
  <c r="AE30" i="22"/>
  <c r="AE31" i="22"/>
  <c r="AE32" i="22"/>
  <c r="AE33" i="22"/>
  <c r="AE34" i="22"/>
  <c r="AE35" i="22"/>
  <c r="AE36" i="22"/>
  <c r="AE37" i="22"/>
  <c r="AE38" i="22"/>
  <c r="AE39" i="22"/>
  <c r="AE40" i="22"/>
  <c r="AE41" i="22"/>
  <c r="AE42" i="22"/>
  <c r="AE43" i="22"/>
  <c r="AE44" i="22"/>
  <c r="AE45" i="22"/>
  <c r="AE46" i="22"/>
  <c r="AE47" i="22"/>
  <c r="AE48" i="22"/>
  <c r="AE49" i="22"/>
  <c r="AE50" i="22"/>
  <c r="AE51" i="22"/>
  <c r="AE52" i="22"/>
  <c r="AE53" i="22"/>
  <c r="AE54" i="22"/>
  <c r="AE55" i="22"/>
  <c r="AE56" i="22"/>
  <c r="AE57" i="22"/>
  <c r="AE58" i="22"/>
  <c r="AE59" i="22"/>
  <c r="AE60" i="22"/>
  <c r="AE61" i="22"/>
  <c r="AE62" i="22"/>
  <c r="AE63" i="22"/>
  <c r="AE64" i="22"/>
  <c r="AE65" i="22"/>
  <c r="AE66" i="22"/>
  <c r="AE67" i="22"/>
  <c r="AE68" i="22"/>
  <c r="AE69" i="22"/>
  <c r="AE70" i="22"/>
  <c r="AE71" i="22"/>
  <c r="AE72" i="22"/>
  <c r="AE73" i="22"/>
  <c r="AE74" i="22"/>
  <c r="AE75" i="22"/>
  <c r="AE76" i="22"/>
  <c r="AE77" i="22"/>
  <c r="AE78" i="22"/>
  <c r="AE79" i="22"/>
  <c r="AE80" i="22"/>
  <c r="AE81" i="22"/>
  <c r="AE82" i="22"/>
  <c r="AE83" i="22"/>
  <c r="AE84" i="22"/>
  <c r="AE85" i="22"/>
  <c r="AE86" i="22"/>
  <c r="AE87" i="22"/>
  <c r="AE88" i="22"/>
  <c r="AE89" i="22"/>
  <c r="AE90" i="22"/>
  <c r="AE91" i="22"/>
  <c r="AE92" i="22"/>
  <c r="AE93" i="22"/>
  <c r="AE94" i="22"/>
  <c r="AE95" i="22"/>
  <c r="AE96" i="22"/>
  <c r="AE97" i="22"/>
  <c r="AE98" i="22"/>
  <c r="AE99" i="22"/>
  <c r="AE100" i="22"/>
  <c r="AE101" i="22"/>
  <c r="AE102" i="22"/>
  <c r="AE103" i="22"/>
  <c r="AE104" i="22"/>
  <c r="AE105" i="22"/>
  <c r="AE106" i="22"/>
  <c r="AE107" i="22"/>
  <c r="AE108" i="22"/>
  <c r="AE109" i="22"/>
  <c r="AE110" i="22"/>
  <c r="AE111" i="22"/>
  <c r="AE112" i="22"/>
  <c r="AE113" i="22"/>
  <c r="AE114" i="22"/>
  <c r="AE115" i="22"/>
  <c r="AE116" i="22"/>
  <c r="AE117" i="22"/>
  <c r="AE118" i="22"/>
  <c r="AE119" i="22"/>
  <c r="AE120" i="22"/>
  <c r="AE121" i="22"/>
  <c r="AE122" i="22"/>
  <c r="AE123" i="22"/>
  <c r="AE124" i="22"/>
  <c r="AE125" i="22"/>
  <c r="AE126" i="22"/>
  <c r="AE127" i="22"/>
  <c r="AE128" i="22"/>
  <c r="AE129" i="22"/>
  <c r="AE130" i="22"/>
  <c r="AE131" i="22"/>
  <c r="AE132" i="22"/>
  <c r="AE133" i="22"/>
  <c r="AE134" i="22"/>
  <c r="AE135" i="22"/>
  <c r="AE136" i="22"/>
  <c r="AE137" i="22"/>
  <c r="AE138" i="22"/>
  <c r="AE139" i="22"/>
  <c r="AE140" i="22"/>
  <c r="AE141" i="22"/>
  <c r="AE142" i="22"/>
  <c r="AE143" i="22"/>
  <c r="AE144" i="22"/>
  <c r="AE145" i="22"/>
  <c r="AE146" i="22"/>
  <c r="AE147" i="22"/>
  <c r="AE148" i="22"/>
  <c r="AE149" i="22"/>
  <c r="AE150" i="22"/>
  <c r="AE151" i="22"/>
  <c r="AE152" i="22"/>
  <c r="AE153" i="22"/>
  <c r="AE154" i="22"/>
  <c r="AE155" i="22"/>
  <c r="AE156" i="22"/>
  <c r="AE157" i="22"/>
  <c r="AE158" i="22"/>
  <c r="AE159" i="22"/>
  <c r="AE160" i="22"/>
  <c r="AE161" i="22"/>
  <c r="AE162" i="22"/>
  <c r="AE163" i="22"/>
  <c r="AE164" i="22"/>
  <c r="AE165" i="22"/>
  <c r="AE166" i="22"/>
  <c r="AE167" i="22"/>
  <c r="AE168" i="22"/>
  <c r="AE169" i="22"/>
  <c r="AE170" i="22"/>
  <c r="AE171" i="22"/>
  <c r="AE172" i="22"/>
  <c r="AE173" i="22"/>
  <c r="AE174" i="22"/>
  <c r="AE175" i="22"/>
  <c r="AE176" i="22"/>
  <c r="AE177" i="22"/>
  <c r="AE178" i="22"/>
  <c r="AE179" i="22"/>
  <c r="AE180" i="22"/>
  <c r="AE181" i="22"/>
  <c r="AE182" i="22"/>
  <c r="AE183" i="22"/>
  <c r="AE184" i="22"/>
  <c r="AE185" i="22"/>
  <c r="AE186" i="22"/>
  <c r="AE187" i="22"/>
  <c r="AE188" i="22"/>
  <c r="AE189" i="22"/>
  <c r="AE190" i="22"/>
  <c r="AE191" i="22"/>
  <c r="AE192" i="22"/>
  <c r="AE193" i="22"/>
  <c r="AE194" i="22"/>
  <c r="AE195" i="22"/>
  <c r="AE196" i="22"/>
  <c r="AE197" i="22"/>
  <c r="A194" i="22"/>
  <c r="A195" i="22"/>
  <c r="A196" i="22"/>
  <c r="A197" i="22"/>
  <c r="A192" i="22"/>
  <c r="A187" i="22"/>
  <c r="A188" i="22"/>
  <c r="A189" i="22"/>
  <c r="A190" i="22"/>
  <c r="A185" i="22"/>
  <c r="A180" i="22"/>
  <c r="A181" i="22"/>
  <c r="A182" i="22"/>
  <c r="A183" i="22"/>
  <c r="A178" i="22"/>
  <c r="A173" i="22"/>
  <c r="A174" i="22"/>
  <c r="A175" i="22"/>
  <c r="A176" i="22"/>
  <c r="A171" i="22"/>
  <c r="A166" i="22"/>
  <c r="A167" i="22"/>
  <c r="A168" i="22"/>
  <c r="A169" i="22"/>
  <c r="A164" i="22"/>
  <c r="A159" i="22"/>
  <c r="A160" i="22"/>
  <c r="A161" i="22"/>
  <c r="A162" i="22"/>
  <c r="A157" i="22"/>
  <c r="A152" i="22"/>
  <c r="A153" i="22"/>
  <c r="A154" i="22"/>
  <c r="A155" i="22"/>
  <c r="A150" i="22"/>
  <c r="A144" i="22"/>
  <c r="A145" i="22"/>
  <c r="A146" i="22"/>
  <c r="A147" i="22"/>
  <c r="A142" i="22"/>
  <c r="A137" i="22"/>
  <c r="A138" i="22"/>
  <c r="A139" i="22"/>
  <c r="A140" i="22"/>
  <c r="A135" i="22"/>
  <c r="A130" i="22"/>
  <c r="A131" i="22"/>
  <c r="A132" i="22"/>
  <c r="A133" i="22"/>
  <c r="A128" i="22"/>
  <c r="A123" i="22"/>
  <c r="A124" i="22"/>
  <c r="A125" i="22"/>
  <c r="A126" i="22"/>
  <c r="A121" i="22"/>
  <c r="A116" i="22"/>
  <c r="A117" i="22"/>
  <c r="A118" i="22"/>
  <c r="A119" i="22"/>
  <c r="A114" i="22"/>
  <c r="A112" i="22"/>
  <c r="A109" i="22"/>
  <c r="A110" i="22"/>
  <c r="A111" i="22"/>
  <c r="A107" i="22"/>
  <c r="A102" i="22"/>
  <c r="A103" i="22"/>
  <c r="A104" i="22"/>
  <c r="A105" i="22"/>
  <c r="A100" i="22"/>
  <c r="A95" i="22"/>
  <c r="A96" i="22"/>
  <c r="A97" i="22"/>
  <c r="A98" i="22"/>
  <c r="A93" i="22"/>
  <c r="A88" i="22"/>
  <c r="A89" i="22"/>
  <c r="A90" i="22"/>
  <c r="A91" i="22"/>
  <c r="A86" i="22"/>
  <c r="A68" i="22"/>
  <c r="A70" i="22"/>
  <c r="A71" i="22"/>
  <c r="A72" i="22"/>
  <c r="A73" i="22"/>
  <c r="A74" i="22"/>
  <c r="A75" i="22"/>
  <c r="A76" i="22"/>
  <c r="A78" i="22"/>
  <c r="A79" i="22"/>
  <c r="A67" i="22"/>
  <c r="A59" i="22"/>
  <c r="A60" i="22"/>
  <c r="A61" i="22"/>
  <c r="A63" i="22"/>
  <c r="A64" i="22"/>
  <c r="A58" i="22"/>
  <c r="A36" i="22"/>
  <c r="A37" i="22"/>
  <c r="A39" i="22"/>
  <c r="A40" i="22"/>
  <c r="A41" i="22"/>
  <c r="A42" i="22"/>
  <c r="A43" i="22"/>
  <c r="A44" i="22"/>
  <c r="A46" i="22"/>
  <c r="A47" i="22"/>
  <c r="A48" i="22"/>
  <c r="A49" i="22"/>
  <c r="A35" i="22"/>
  <c r="A29" i="22"/>
  <c r="A30" i="22"/>
  <c r="A28" i="22"/>
  <c r="A23" i="22"/>
  <c r="A24" i="22"/>
  <c r="A22" i="22"/>
  <c r="A17" i="22"/>
  <c r="A18" i="22"/>
  <c r="A16" i="22"/>
  <c r="A12" i="22"/>
  <c r="A11" i="22"/>
  <c r="A10" i="22"/>
  <c r="X197" i="22"/>
  <c r="W197" i="22"/>
  <c r="V197" i="22"/>
  <c r="U197" i="22"/>
  <c r="J197" i="22"/>
  <c r="I197" i="22"/>
  <c r="H197" i="22"/>
  <c r="G197" i="22"/>
  <c r="F197" i="22"/>
  <c r="E197" i="22"/>
  <c r="D197" i="22"/>
  <c r="C197" i="22"/>
  <c r="X196" i="22"/>
  <c r="W196" i="22"/>
  <c r="V196" i="22"/>
  <c r="U196" i="22"/>
  <c r="J196" i="22"/>
  <c r="I196" i="22"/>
  <c r="H196" i="22"/>
  <c r="G196" i="22"/>
  <c r="F196" i="22"/>
  <c r="E196" i="22"/>
  <c r="D196" i="22"/>
  <c r="C196" i="22"/>
  <c r="X195" i="22"/>
  <c r="W195" i="22"/>
  <c r="V195" i="22"/>
  <c r="U195" i="22"/>
  <c r="J195" i="22"/>
  <c r="I195" i="22"/>
  <c r="H195" i="22"/>
  <c r="G195" i="22"/>
  <c r="F195" i="22"/>
  <c r="E195" i="22"/>
  <c r="D195" i="22"/>
  <c r="C195" i="22"/>
  <c r="X194" i="22"/>
  <c r="W194" i="22"/>
  <c r="V194" i="22"/>
  <c r="U194" i="22"/>
  <c r="J194" i="22"/>
  <c r="I194" i="22"/>
  <c r="H194" i="22"/>
  <c r="G194" i="22"/>
  <c r="F194" i="22"/>
  <c r="E194" i="22"/>
  <c r="D194" i="22"/>
  <c r="C194" i="22"/>
  <c r="X192" i="22"/>
  <c r="W192" i="22"/>
  <c r="V192" i="22"/>
  <c r="U192" i="22"/>
  <c r="J192" i="22"/>
  <c r="I192" i="22"/>
  <c r="H192" i="22"/>
  <c r="G192" i="22"/>
  <c r="F192" i="22"/>
  <c r="E192" i="22"/>
  <c r="D192" i="22"/>
  <c r="C192" i="22"/>
  <c r="X190" i="22"/>
  <c r="W190" i="22"/>
  <c r="V190" i="22"/>
  <c r="U190" i="22"/>
  <c r="J190" i="22"/>
  <c r="I190" i="22"/>
  <c r="H190" i="22"/>
  <c r="G190" i="22"/>
  <c r="F190" i="22"/>
  <c r="E190" i="22"/>
  <c r="D190" i="22"/>
  <c r="C190" i="22"/>
  <c r="X189" i="22"/>
  <c r="W189" i="22"/>
  <c r="V189" i="22"/>
  <c r="U189" i="22"/>
  <c r="J189" i="22"/>
  <c r="I189" i="22"/>
  <c r="H189" i="22"/>
  <c r="G189" i="22"/>
  <c r="F189" i="22"/>
  <c r="E189" i="22"/>
  <c r="D189" i="22"/>
  <c r="C189" i="22"/>
  <c r="X188" i="22"/>
  <c r="W188" i="22"/>
  <c r="V188" i="22"/>
  <c r="U188" i="22"/>
  <c r="J188" i="22"/>
  <c r="I188" i="22"/>
  <c r="H188" i="22"/>
  <c r="G188" i="22"/>
  <c r="F188" i="22"/>
  <c r="E188" i="22"/>
  <c r="D188" i="22"/>
  <c r="C188" i="22"/>
  <c r="X187" i="22"/>
  <c r="W187" i="22"/>
  <c r="V187" i="22"/>
  <c r="U187" i="22"/>
  <c r="J187" i="22"/>
  <c r="I187" i="22"/>
  <c r="H187" i="22"/>
  <c r="G187" i="22"/>
  <c r="F187" i="22"/>
  <c r="E187" i="22"/>
  <c r="D187" i="22"/>
  <c r="C187" i="22"/>
  <c r="X185" i="22"/>
  <c r="W185" i="22"/>
  <c r="V185" i="22"/>
  <c r="U185" i="22"/>
  <c r="J185" i="22"/>
  <c r="I185" i="22"/>
  <c r="H185" i="22"/>
  <c r="G185" i="22"/>
  <c r="F185" i="22"/>
  <c r="E185" i="22"/>
  <c r="D185" i="22"/>
  <c r="C185" i="22"/>
  <c r="X183" i="22"/>
  <c r="W183" i="22"/>
  <c r="V183" i="22"/>
  <c r="U183" i="22"/>
  <c r="J183" i="22"/>
  <c r="I183" i="22"/>
  <c r="H183" i="22"/>
  <c r="G183" i="22"/>
  <c r="F183" i="22"/>
  <c r="E183" i="22"/>
  <c r="D183" i="22"/>
  <c r="C183" i="22"/>
  <c r="X182" i="22"/>
  <c r="W182" i="22"/>
  <c r="V182" i="22"/>
  <c r="U182" i="22"/>
  <c r="J182" i="22"/>
  <c r="I182" i="22"/>
  <c r="H182" i="22"/>
  <c r="G182" i="22"/>
  <c r="F182" i="22"/>
  <c r="E182" i="22"/>
  <c r="D182" i="22"/>
  <c r="C182" i="22"/>
  <c r="X181" i="22"/>
  <c r="W181" i="22"/>
  <c r="V181" i="22"/>
  <c r="U181" i="22"/>
  <c r="J181" i="22"/>
  <c r="I181" i="22"/>
  <c r="H181" i="22"/>
  <c r="G181" i="22"/>
  <c r="F181" i="22"/>
  <c r="E181" i="22"/>
  <c r="D181" i="22"/>
  <c r="C181" i="22"/>
  <c r="X180" i="22"/>
  <c r="W180" i="22"/>
  <c r="V180" i="22"/>
  <c r="U180" i="22"/>
  <c r="J180" i="22"/>
  <c r="I180" i="22"/>
  <c r="H180" i="22"/>
  <c r="G180" i="22"/>
  <c r="F180" i="22"/>
  <c r="E180" i="22"/>
  <c r="D180" i="22"/>
  <c r="C180" i="22"/>
  <c r="X178" i="22"/>
  <c r="W178" i="22"/>
  <c r="V178" i="22"/>
  <c r="U178" i="22"/>
  <c r="J178" i="22"/>
  <c r="I178" i="22"/>
  <c r="H178" i="22"/>
  <c r="G178" i="22"/>
  <c r="F178" i="22"/>
  <c r="E178" i="22"/>
  <c r="D178" i="22"/>
  <c r="C178" i="22"/>
  <c r="X176" i="22"/>
  <c r="W176" i="22"/>
  <c r="V176" i="22"/>
  <c r="U176" i="22"/>
  <c r="T176" i="22"/>
  <c r="I176" i="22"/>
  <c r="H176" i="22"/>
  <c r="G176" i="22"/>
  <c r="F176" i="22"/>
  <c r="E176" i="22"/>
  <c r="D176" i="22"/>
  <c r="C176" i="22"/>
  <c r="X175" i="22"/>
  <c r="W175" i="22"/>
  <c r="V175" i="22"/>
  <c r="U175" i="22"/>
  <c r="T175" i="22"/>
  <c r="I175" i="22"/>
  <c r="H175" i="22"/>
  <c r="G175" i="22"/>
  <c r="F175" i="22"/>
  <c r="E175" i="22"/>
  <c r="D175" i="22"/>
  <c r="C175" i="22"/>
  <c r="X174" i="22"/>
  <c r="W174" i="22"/>
  <c r="V174" i="22"/>
  <c r="U174" i="22"/>
  <c r="T174" i="22"/>
  <c r="I174" i="22"/>
  <c r="H174" i="22"/>
  <c r="G174" i="22"/>
  <c r="F174" i="22"/>
  <c r="E174" i="22"/>
  <c r="D174" i="22"/>
  <c r="C174" i="22"/>
  <c r="X173" i="22"/>
  <c r="W173" i="22"/>
  <c r="V173" i="22"/>
  <c r="U173" i="22"/>
  <c r="T173" i="22"/>
  <c r="I173" i="22"/>
  <c r="H173" i="22"/>
  <c r="G173" i="22"/>
  <c r="F173" i="22"/>
  <c r="E173" i="22"/>
  <c r="D173" i="22"/>
  <c r="C173" i="22"/>
  <c r="X171" i="22"/>
  <c r="W171" i="22"/>
  <c r="V171" i="22"/>
  <c r="U171" i="22"/>
  <c r="T171" i="22"/>
  <c r="I171" i="22"/>
  <c r="H171" i="22"/>
  <c r="G171" i="22"/>
  <c r="F171" i="22"/>
  <c r="E171" i="22"/>
  <c r="D171" i="22"/>
  <c r="C171" i="22"/>
  <c r="X169" i="22"/>
  <c r="W169" i="22"/>
  <c r="V169" i="22"/>
  <c r="U169" i="22"/>
  <c r="T169" i="22"/>
  <c r="I169" i="22"/>
  <c r="H169" i="22"/>
  <c r="G169" i="22"/>
  <c r="F169" i="22"/>
  <c r="E169" i="22"/>
  <c r="D169" i="22"/>
  <c r="C169" i="22"/>
  <c r="X168" i="22"/>
  <c r="W168" i="22"/>
  <c r="V168" i="22"/>
  <c r="U168" i="22"/>
  <c r="T168" i="22"/>
  <c r="I168" i="22"/>
  <c r="H168" i="22"/>
  <c r="G168" i="22"/>
  <c r="F168" i="22"/>
  <c r="E168" i="22"/>
  <c r="D168" i="22"/>
  <c r="C168" i="22"/>
  <c r="X167" i="22"/>
  <c r="W167" i="22"/>
  <c r="V167" i="22"/>
  <c r="U167" i="22"/>
  <c r="T167" i="22"/>
  <c r="I167" i="22"/>
  <c r="H167" i="22"/>
  <c r="G167" i="22"/>
  <c r="F167" i="22"/>
  <c r="E167" i="22"/>
  <c r="D167" i="22"/>
  <c r="C167" i="22"/>
  <c r="X166" i="22"/>
  <c r="W166" i="22"/>
  <c r="V166" i="22"/>
  <c r="U166" i="22"/>
  <c r="T166" i="22"/>
  <c r="I166" i="22"/>
  <c r="H166" i="22"/>
  <c r="G166" i="22"/>
  <c r="F166" i="22"/>
  <c r="E166" i="22"/>
  <c r="D166" i="22"/>
  <c r="C166" i="22"/>
  <c r="X164" i="22"/>
  <c r="W164" i="22"/>
  <c r="V164" i="22"/>
  <c r="U164" i="22"/>
  <c r="T164" i="22"/>
  <c r="I164" i="22"/>
  <c r="H164" i="22"/>
  <c r="G164" i="22"/>
  <c r="F164" i="22"/>
  <c r="E164" i="22"/>
  <c r="D164" i="22"/>
  <c r="C164" i="22"/>
  <c r="X162" i="22"/>
  <c r="W162" i="22"/>
  <c r="V162" i="22"/>
  <c r="U162" i="22"/>
  <c r="T162" i="22"/>
  <c r="I162" i="22"/>
  <c r="H162" i="22"/>
  <c r="G162" i="22"/>
  <c r="F162" i="22"/>
  <c r="E162" i="22"/>
  <c r="D162" i="22"/>
  <c r="C162" i="22"/>
  <c r="X161" i="22"/>
  <c r="W161" i="22"/>
  <c r="V161" i="22"/>
  <c r="U161" i="22"/>
  <c r="T161" i="22"/>
  <c r="I161" i="22"/>
  <c r="H161" i="22"/>
  <c r="G161" i="22"/>
  <c r="F161" i="22"/>
  <c r="E161" i="22"/>
  <c r="D161" i="22"/>
  <c r="C161" i="22"/>
  <c r="X160" i="22"/>
  <c r="W160" i="22"/>
  <c r="V160" i="22"/>
  <c r="U160" i="22"/>
  <c r="T160" i="22"/>
  <c r="I160" i="22"/>
  <c r="H160" i="22"/>
  <c r="G160" i="22"/>
  <c r="F160" i="22"/>
  <c r="E160" i="22"/>
  <c r="D160" i="22"/>
  <c r="C160" i="22"/>
  <c r="X159" i="22"/>
  <c r="W159" i="22"/>
  <c r="V159" i="22"/>
  <c r="U159" i="22"/>
  <c r="T159" i="22"/>
  <c r="I159" i="22"/>
  <c r="H159" i="22"/>
  <c r="G159" i="22"/>
  <c r="F159" i="22"/>
  <c r="E159" i="22"/>
  <c r="D159" i="22"/>
  <c r="C159" i="22"/>
  <c r="X157" i="22"/>
  <c r="W157" i="22"/>
  <c r="V157" i="22"/>
  <c r="U157" i="22"/>
  <c r="T157" i="22"/>
  <c r="I157" i="22"/>
  <c r="H157" i="22"/>
  <c r="G157" i="22"/>
  <c r="F157" i="22"/>
  <c r="E157" i="22"/>
  <c r="D157" i="22"/>
  <c r="C157" i="22"/>
  <c r="X155" i="22"/>
  <c r="W155" i="22"/>
  <c r="V155" i="22"/>
  <c r="U155" i="22"/>
  <c r="T155" i="22"/>
  <c r="I155" i="22"/>
  <c r="H155" i="22"/>
  <c r="G155" i="22"/>
  <c r="F155" i="22"/>
  <c r="E155" i="22"/>
  <c r="D155" i="22"/>
  <c r="X154" i="22"/>
  <c r="W154" i="22"/>
  <c r="V154" i="22"/>
  <c r="U154" i="22"/>
  <c r="T154" i="22"/>
  <c r="I154" i="22"/>
  <c r="H154" i="22"/>
  <c r="G154" i="22"/>
  <c r="F154" i="22"/>
  <c r="E154" i="22"/>
  <c r="D154" i="22"/>
  <c r="C154" i="22"/>
  <c r="X153" i="22"/>
  <c r="W153" i="22"/>
  <c r="V153" i="22"/>
  <c r="U153" i="22"/>
  <c r="T153" i="22"/>
  <c r="I153" i="22"/>
  <c r="H153" i="22"/>
  <c r="G153" i="22"/>
  <c r="F153" i="22"/>
  <c r="E153" i="22"/>
  <c r="D153" i="22"/>
  <c r="C153" i="22"/>
  <c r="X152" i="22"/>
  <c r="W152" i="22"/>
  <c r="V152" i="22"/>
  <c r="U152" i="22"/>
  <c r="T152" i="22"/>
  <c r="I152" i="22"/>
  <c r="H152" i="22"/>
  <c r="G152" i="22"/>
  <c r="F152" i="22"/>
  <c r="E152" i="22"/>
  <c r="D152" i="22"/>
  <c r="C152" i="22"/>
  <c r="X150" i="22"/>
  <c r="W150" i="22"/>
  <c r="V150" i="22"/>
  <c r="U150" i="22"/>
  <c r="T150" i="22"/>
  <c r="I150" i="22"/>
  <c r="H150" i="22"/>
  <c r="G150" i="22"/>
  <c r="F150" i="22"/>
  <c r="E150" i="22"/>
  <c r="D150" i="22"/>
  <c r="C150" i="22"/>
  <c r="X147" i="22"/>
  <c r="W147" i="22"/>
  <c r="V147" i="22"/>
  <c r="U147" i="22"/>
  <c r="T147" i="22"/>
  <c r="S147" i="22"/>
  <c r="H147" i="22"/>
  <c r="G147" i="22"/>
  <c r="F147" i="22"/>
  <c r="E147" i="22"/>
  <c r="D147" i="22"/>
  <c r="C147" i="22"/>
  <c r="X146" i="22"/>
  <c r="W146" i="22"/>
  <c r="V146" i="22"/>
  <c r="U146" i="22"/>
  <c r="T146" i="22"/>
  <c r="S146" i="22"/>
  <c r="H146" i="22"/>
  <c r="G146" i="22"/>
  <c r="F146" i="22"/>
  <c r="E146" i="22"/>
  <c r="D146" i="22"/>
  <c r="C146" i="22"/>
  <c r="X145" i="22"/>
  <c r="W145" i="22"/>
  <c r="V145" i="22"/>
  <c r="U145" i="22"/>
  <c r="T145" i="22"/>
  <c r="S145" i="22"/>
  <c r="H145" i="22"/>
  <c r="G145" i="22"/>
  <c r="F145" i="22"/>
  <c r="E145" i="22"/>
  <c r="D145" i="22"/>
  <c r="C145" i="22"/>
  <c r="X144" i="22"/>
  <c r="W144" i="22"/>
  <c r="V144" i="22"/>
  <c r="U144" i="22"/>
  <c r="T144" i="22"/>
  <c r="S144" i="22"/>
  <c r="H144" i="22"/>
  <c r="G144" i="22"/>
  <c r="F144" i="22"/>
  <c r="E144" i="22"/>
  <c r="D144" i="22"/>
  <c r="C144" i="22"/>
  <c r="X142" i="22"/>
  <c r="W142" i="22"/>
  <c r="V142" i="22"/>
  <c r="U142" i="22"/>
  <c r="T142" i="22"/>
  <c r="S142" i="22"/>
  <c r="H142" i="22"/>
  <c r="G142" i="22"/>
  <c r="F142" i="22"/>
  <c r="E142" i="22"/>
  <c r="D142" i="22"/>
  <c r="C142" i="22"/>
  <c r="X140" i="22"/>
  <c r="W140" i="22"/>
  <c r="V140" i="22"/>
  <c r="U140" i="22"/>
  <c r="T140" i="22"/>
  <c r="S140" i="22"/>
  <c r="H140" i="22"/>
  <c r="G140" i="22"/>
  <c r="F140" i="22"/>
  <c r="E140" i="22"/>
  <c r="D140" i="22"/>
  <c r="C140" i="22"/>
  <c r="X139" i="22"/>
  <c r="W139" i="22"/>
  <c r="V139" i="22"/>
  <c r="U139" i="22"/>
  <c r="T139" i="22"/>
  <c r="S139" i="22"/>
  <c r="H139" i="22"/>
  <c r="G139" i="22"/>
  <c r="F139" i="22"/>
  <c r="E139" i="22"/>
  <c r="D139" i="22"/>
  <c r="C139" i="22"/>
  <c r="X138" i="22"/>
  <c r="W138" i="22"/>
  <c r="V138" i="22"/>
  <c r="U138" i="22"/>
  <c r="T138" i="22"/>
  <c r="S138" i="22"/>
  <c r="H138" i="22"/>
  <c r="G138" i="22"/>
  <c r="F138" i="22"/>
  <c r="E138" i="22"/>
  <c r="D138" i="22"/>
  <c r="C138" i="22"/>
  <c r="X137" i="22"/>
  <c r="W137" i="22"/>
  <c r="V137" i="22"/>
  <c r="U137" i="22"/>
  <c r="T137" i="22"/>
  <c r="S137" i="22"/>
  <c r="H137" i="22"/>
  <c r="G137" i="22"/>
  <c r="F137" i="22"/>
  <c r="E137" i="22"/>
  <c r="D137" i="22"/>
  <c r="C137" i="22"/>
  <c r="X135" i="22"/>
  <c r="W135" i="22"/>
  <c r="V135" i="22"/>
  <c r="U135" i="22"/>
  <c r="T135" i="22"/>
  <c r="S135" i="22"/>
  <c r="H135" i="22"/>
  <c r="G135" i="22"/>
  <c r="F135" i="22"/>
  <c r="E135" i="22"/>
  <c r="D135" i="22"/>
  <c r="C135" i="22"/>
  <c r="X133" i="22"/>
  <c r="W133" i="22"/>
  <c r="V133" i="22"/>
  <c r="U133" i="22"/>
  <c r="T133" i="22"/>
  <c r="S133" i="22"/>
  <c r="H133" i="22"/>
  <c r="G133" i="22"/>
  <c r="F133" i="22"/>
  <c r="E133" i="22"/>
  <c r="D133" i="22"/>
  <c r="C133" i="22"/>
  <c r="X132" i="22"/>
  <c r="W132" i="22"/>
  <c r="V132" i="22"/>
  <c r="U132" i="22"/>
  <c r="T132" i="22"/>
  <c r="S132" i="22"/>
  <c r="H132" i="22"/>
  <c r="G132" i="22"/>
  <c r="F132" i="22"/>
  <c r="E132" i="22"/>
  <c r="D132" i="22"/>
  <c r="C132" i="22"/>
  <c r="X131" i="22"/>
  <c r="W131" i="22"/>
  <c r="V131" i="22"/>
  <c r="U131" i="22"/>
  <c r="T131" i="22"/>
  <c r="S131" i="22"/>
  <c r="H131" i="22"/>
  <c r="G131" i="22"/>
  <c r="F131" i="22"/>
  <c r="E131" i="22"/>
  <c r="D131" i="22"/>
  <c r="C131" i="22"/>
  <c r="X130" i="22"/>
  <c r="W130" i="22"/>
  <c r="V130" i="22"/>
  <c r="U130" i="22"/>
  <c r="T130" i="22"/>
  <c r="S130" i="22"/>
  <c r="H130" i="22"/>
  <c r="G130" i="22"/>
  <c r="F130" i="22"/>
  <c r="E130" i="22"/>
  <c r="D130" i="22"/>
  <c r="C130" i="22"/>
  <c r="X128" i="22"/>
  <c r="W128" i="22"/>
  <c r="V128" i="22"/>
  <c r="U128" i="22"/>
  <c r="T128" i="22"/>
  <c r="S128" i="22"/>
  <c r="H128" i="22"/>
  <c r="G128" i="22"/>
  <c r="F128" i="22"/>
  <c r="E128" i="22"/>
  <c r="D128" i="22"/>
  <c r="C128" i="22"/>
  <c r="X126" i="22"/>
  <c r="W126" i="22"/>
  <c r="V126" i="22"/>
  <c r="U126" i="22"/>
  <c r="T126" i="22"/>
  <c r="S126" i="22"/>
  <c r="H126" i="22"/>
  <c r="G126" i="22"/>
  <c r="F126" i="22"/>
  <c r="E126" i="22"/>
  <c r="D126" i="22"/>
  <c r="C126" i="22"/>
  <c r="X125" i="22"/>
  <c r="W125" i="22"/>
  <c r="V125" i="22"/>
  <c r="U125" i="22"/>
  <c r="T125" i="22"/>
  <c r="S125" i="22"/>
  <c r="H125" i="22"/>
  <c r="G125" i="22"/>
  <c r="F125" i="22"/>
  <c r="E125" i="22"/>
  <c r="D125" i="22"/>
  <c r="C125" i="22"/>
  <c r="X124" i="22"/>
  <c r="W124" i="22"/>
  <c r="V124" i="22"/>
  <c r="U124" i="22"/>
  <c r="T124" i="22"/>
  <c r="S124" i="22"/>
  <c r="H124" i="22"/>
  <c r="G124" i="22"/>
  <c r="F124" i="22"/>
  <c r="E124" i="22"/>
  <c r="D124" i="22"/>
  <c r="C124" i="22"/>
  <c r="X123" i="22"/>
  <c r="W123" i="22"/>
  <c r="V123" i="22"/>
  <c r="U123" i="22"/>
  <c r="T123" i="22"/>
  <c r="S123" i="22"/>
  <c r="H123" i="22"/>
  <c r="G123" i="22"/>
  <c r="F123" i="22"/>
  <c r="E123" i="22"/>
  <c r="D123" i="22"/>
  <c r="C123" i="22"/>
  <c r="X121" i="22"/>
  <c r="W121" i="22"/>
  <c r="V121" i="22"/>
  <c r="U121" i="22"/>
  <c r="T121" i="22"/>
  <c r="S121" i="22"/>
  <c r="H121" i="22"/>
  <c r="G121" i="22"/>
  <c r="F121" i="22"/>
  <c r="E121" i="22"/>
  <c r="D121" i="22"/>
  <c r="C121" i="22"/>
  <c r="X119" i="22"/>
  <c r="W119" i="22"/>
  <c r="V119" i="22"/>
  <c r="U119" i="22"/>
  <c r="T119" i="22"/>
  <c r="S119" i="22"/>
  <c r="R119" i="22"/>
  <c r="G119" i="22"/>
  <c r="F119" i="22"/>
  <c r="E119" i="22"/>
  <c r="D119" i="22"/>
  <c r="C119" i="22"/>
  <c r="X118" i="22"/>
  <c r="W118" i="22"/>
  <c r="V118" i="22"/>
  <c r="U118" i="22"/>
  <c r="T118" i="22"/>
  <c r="S118" i="22"/>
  <c r="R118" i="22"/>
  <c r="G118" i="22"/>
  <c r="F118" i="22"/>
  <c r="E118" i="22"/>
  <c r="D118" i="22"/>
  <c r="C118" i="22"/>
  <c r="X117" i="22"/>
  <c r="W117" i="22"/>
  <c r="V117" i="22"/>
  <c r="U117" i="22"/>
  <c r="T117" i="22"/>
  <c r="S117" i="22"/>
  <c r="R117" i="22"/>
  <c r="G117" i="22"/>
  <c r="F117" i="22"/>
  <c r="E117" i="22"/>
  <c r="D117" i="22"/>
  <c r="C117" i="22"/>
  <c r="X116" i="22"/>
  <c r="W116" i="22"/>
  <c r="V116" i="22"/>
  <c r="U116" i="22"/>
  <c r="T116" i="22"/>
  <c r="S116" i="22"/>
  <c r="R116" i="22"/>
  <c r="G116" i="22"/>
  <c r="F116" i="22"/>
  <c r="E116" i="22"/>
  <c r="D116" i="22"/>
  <c r="C116" i="22"/>
  <c r="X114" i="22"/>
  <c r="W114" i="22"/>
  <c r="V114" i="22"/>
  <c r="U114" i="22"/>
  <c r="T114" i="22"/>
  <c r="S114" i="22"/>
  <c r="R114" i="22"/>
  <c r="G114" i="22"/>
  <c r="F114" i="22"/>
  <c r="E114" i="22"/>
  <c r="D114" i="22"/>
  <c r="C114" i="22"/>
  <c r="X112" i="22"/>
  <c r="W112" i="22"/>
  <c r="V112" i="22"/>
  <c r="U112" i="22"/>
  <c r="T112" i="22"/>
  <c r="S112" i="22"/>
  <c r="R112" i="22"/>
  <c r="G112" i="22"/>
  <c r="F112" i="22"/>
  <c r="E112" i="22"/>
  <c r="D112" i="22"/>
  <c r="C112" i="22"/>
  <c r="X111" i="22"/>
  <c r="W111" i="22"/>
  <c r="V111" i="22"/>
  <c r="U111" i="22"/>
  <c r="T111" i="22"/>
  <c r="S111" i="22"/>
  <c r="R111" i="22"/>
  <c r="G111" i="22"/>
  <c r="F111" i="22"/>
  <c r="E111" i="22"/>
  <c r="D111" i="22"/>
  <c r="C111" i="22"/>
  <c r="X110" i="22"/>
  <c r="W110" i="22"/>
  <c r="V110" i="22"/>
  <c r="U110" i="22"/>
  <c r="T110" i="22"/>
  <c r="S110" i="22"/>
  <c r="R110" i="22"/>
  <c r="G110" i="22"/>
  <c r="F110" i="22"/>
  <c r="E110" i="22"/>
  <c r="D110" i="22"/>
  <c r="C110" i="22"/>
  <c r="X109" i="22"/>
  <c r="W109" i="22"/>
  <c r="V109" i="22"/>
  <c r="U109" i="22"/>
  <c r="T109" i="22"/>
  <c r="S109" i="22"/>
  <c r="R109" i="22"/>
  <c r="G109" i="22"/>
  <c r="F109" i="22"/>
  <c r="E109" i="22"/>
  <c r="D109" i="22"/>
  <c r="C109" i="22"/>
  <c r="X107" i="22"/>
  <c r="W107" i="22"/>
  <c r="V107" i="22"/>
  <c r="U107" i="22"/>
  <c r="T107" i="22"/>
  <c r="S107" i="22"/>
  <c r="R107" i="22"/>
  <c r="G107" i="22"/>
  <c r="F107" i="22"/>
  <c r="E107" i="22"/>
  <c r="D107" i="22"/>
  <c r="C107" i="22"/>
  <c r="X105" i="22"/>
  <c r="W105" i="22"/>
  <c r="V105" i="22"/>
  <c r="U105" i="22"/>
  <c r="T105" i="22"/>
  <c r="S105" i="22"/>
  <c r="R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C105" i="22"/>
  <c r="X104" i="22"/>
  <c r="W104" i="22"/>
  <c r="V104" i="22"/>
  <c r="U104" i="22"/>
  <c r="T104" i="22"/>
  <c r="S104" i="22"/>
  <c r="R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C104" i="22"/>
  <c r="X103" i="22"/>
  <c r="W103" i="22"/>
  <c r="V103" i="22"/>
  <c r="U103" i="22"/>
  <c r="T103" i="22"/>
  <c r="S103" i="22"/>
  <c r="R103" i="22"/>
  <c r="Q103" i="22"/>
  <c r="P103" i="22"/>
  <c r="O103" i="22"/>
  <c r="M103" i="22"/>
  <c r="L103" i="22"/>
  <c r="K103" i="22"/>
  <c r="J103" i="22"/>
  <c r="I103" i="22"/>
  <c r="H103" i="22"/>
  <c r="G103" i="22"/>
  <c r="F103" i="22"/>
  <c r="E103" i="22"/>
  <c r="D103" i="22"/>
  <c r="C103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H102" i="22"/>
  <c r="G102" i="22"/>
  <c r="F102" i="22"/>
  <c r="E102" i="22"/>
  <c r="D102" i="22"/>
  <c r="C102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H100" i="22"/>
  <c r="G100" i="22"/>
  <c r="F100" i="22"/>
  <c r="E100" i="22"/>
  <c r="D100" i="22"/>
  <c r="C100" i="22"/>
  <c r="X98" i="22"/>
  <c r="W98" i="22"/>
  <c r="V98" i="22"/>
  <c r="U98" i="22"/>
  <c r="T98" i="22"/>
  <c r="S98" i="22"/>
  <c r="R98" i="22"/>
  <c r="P98" i="22"/>
  <c r="O98" i="22"/>
  <c r="N98" i="22"/>
  <c r="M98" i="22"/>
  <c r="L98" i="22"/>
  <c r="K98" i="22"/>
  <c r="J98" i="22"/>
  <c r="I98" i="22"/>
  <c r="H98" i="22"/>
  <c r="G98" i="22"/>
  <c r="F98" i="22"/>
  <c r="E98" i="22"/>
  <c r="D98" i="22"/>
  <c r="C98" i="22"/>
  <c r="X97" i="22"/>
  <c r="W97" i="22"/>
  <c r="V97" i="22"/>
  <c r="U97" i="22"/>
  <c r="T97" i="22"/>
  <c r="S97" i="22"/>
  <c r="R97" i="22"/>
  <c r="P97" i="22"/>
  <c r="O97" i="22"/>
  <c r="N97" i="22"/>
  <c r="M97" i="22"/>
  <c r="L97" i="22"/>
  <c r="K97" i="22"/>
  <c r="J97" i="22"/>
  <c r="I97" i="22"/>
  <c r="H97" i="22"/>
  <c r="G97" i="22"/>
  <c r="F97" i="22"/>
  <c r="E97" i="22"/>
  <c r="D97" i="22"/>
  <c r="C97" i="22"/>
  <c r="X96" i="22"/>
  <c r="W96" i="22"/>
  <c r="V96" i="22"/>
  <c r="U96" i="22"/>
  <c r="T96" i="22"/>
  <c r="S96" i="22"/>
  <c r="R96" i="22"/>
  <c r="Q96" i="22"/>
  <c r="P96" i="22"/>
  <c r="O96" i="22"/>
  <c r="M96" i="22"/>
  <c r="L96" i="22"/>
  <c r="K96" i="22"/>
  <c r="J96" i="22"/>
  <c r="I96" i="22"/>
  <c r="H96" i="22"/>
  <c r="G96" i="22"/>
  <c r="F96" i="22"/>
  <c r="E96" i="22"/>
  <c r="D96" i="22"/>
  <c r="C96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H95" i="22"/>
  <c r="G95" i="22"/>
  <c r="F95" i="22"/>
  <c r="E95" i="22"/>
  <c r="D95" i="22"/>
  <c r="C95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H93" i="22"/>
  <c r="G93" i="22"/>
  <c r="F93" i="22"/>
  <c r="E93" i="22"/>
  <c r="D93" i="22"/>
  <c r="C93" i="22"/>
  <c r="X91" i="22"/>
  <c r="W91" i="22"/>
  <c r="V91" i="22"/>
  <c r="U91" i="22"/>
  <c r="T91" i="22"/>
  <c r="S91" i="22"/>
  <c r="R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X90" i="22"/>
  <c r="W90" i="22"/>
  <c r="V90" i="22"/>
  <c r="U90" i="22"/>
  <c r="T90" i="22"/>
  <c r="S90" i="22"/>
  <c r="R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X89" i="22"/>
  <c r="W89" i="22"/>
  <c r="V89" i="22"/>
  <c r="U89" i="22"/>
  <c r="T89" i="22"/>
  <c r="S89" i="22"/>
  <c r="R89" i="22"/>
  <c r="Q89" i="22"/>
  <c r="P89" i="22"/>
  <c r="O89" i="22"/>
  <c r="M89" i="22"/>
  <c r="L89" i="22"/>
  <c r="K89" i="22"/>
  <c r="J89" i="22"/>
  <c r="I89" i="22"/>
  <c r="H89" i="22"/>
  <c r="G89" i="22"/>
  <c r="F89" i="22"/>
  <c r="E89" i="22"/>
  <c r="D89" i="22"/>
  <c r="C89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H88" i="22"/>
  <c r="G88" i="22"/>
  <c r="F88" i="22"/>
  <c r="E88" i="22"/>
  <c r="D88" i="22"/>
  <c r="C88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H86" i="22"/>
  <c r="G86" i="22"/>
  <c r="F86" i="22"/>
  <c r="E86" i="22"/>
  <c r="D86" i="22"/>
  <c r="C86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C79" i="22"/>
  <c r="X78" i="22"/>
  <c r="W78" i="22"/>
  <c r="V78" i="22"/>
  <c r="U78" i="22"/>
  <c r="T78" i="22"/>
  <c r="S78" i="22"/>
  <c r="R78" i="22"/>
  <c r="Q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C78" i="22"/>
  <c r="X76" i="22"/>
  <c r="W76" i="22"/>
  <c r="V76" i="22"/>
  <c r="U76" i="22"/>
  <c r="T76" i="22"/>
  <c r="S76" i="22"/>
  <c r="R76" i="22"/>
  <c r="Q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C76" i="22"/>
  <c r="X75" i="22"/>
  <c r="W75" i="22"/>
  <c r="V75" i="22"/>
  <c r="U75" i="22"/>
  <c r="T75" i="22"/>
  <c r="S75" i="22"/>
  <c r="R75" i="22"/>
  <c r="Q75" i="22"/>
  <c r="P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J74" i="22"/>
  <c r="I74" i="22"/>
  <c r="H74" i="22"/>
  <c r="G74" i="22"/>
  <c r="F74" i="22"/>
  <c r="E74" i="22"/>
  <c r="D74" i="22"/>
  <c r="C74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H73" i="22"/>
  <c r="G73" i="22"/>
  <c r="F73" i="22"/>
  <c r="E73" i="22"/>
  <c r="D73" i="22"/>
  <c r="C73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F72" i="22"/>
  <c r="E72" i="22"/>
  <c r="D72" i="22"/>
  <c r="C72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D71" i="22"/>
  <c r="C71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D70" i="22"/>
  <c r="C70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C68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C67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X63" i="22"/>
  <c r="W63" i="22"/>
  <c r="V63" i="22"/>
  <c r="U63" i="22"/>
  <c r="T63" i="22"/>
  <c r="S63" i="22"/>
  <c r="R63" i="22"/>
  <c r="Q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K46" i="22"/>
  <c r="J46" i="22"/>
  <c r="I46" i="22"/>
  <c r="H46" i="22"/>
  <c r="G46" i="22"/>
  <c r="F46" i="22"/>
  <c r="E46" i="22"/>
  <c r="D46" i="22"/>
  <c r="C46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K44" i="22"/>
  <c r="J44" i="22"/>
  <c r="I44" i="22"/>
  <c r="H44" i="22"/>
  <c r="G44" i="22"/>
  <c r="F44" i="22"/>
  <c r="E44" i="22"/>
  <c r="D44" i="22"/>
  <c r="C44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K41" i="22"/>
  <c r="J41" i="22"/>
  <c r="I41" i="22"/>
  <c r="H41" i="22"/>
  <c r="G41" i="22"/>
  <c r="F41" i="22"/>
  <c r="E41" i="22"/>
  <c r="D41" i="22"/>
  <c r="C41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K40" i="22"/>
  <c r="J40" i="22"/>
  <c r="I40" i="22"/>
  <c r="H40" i="22"/>
  <c r="G40" i="22"/>
  <c r="F40" i="22"/>
  <c r="E40" i="22"/>
  <c r="D40" i="22"/>
  <c r="C40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J39" i="22"/>
  <c r="I39" i="22"/>
  <c r="H39" i="22"/>
  <c r="G39" i="22"/>
  <c r="F39" i="22"/>
  <c r="E39" i="22"/>
  <c r="D39" i="22"/>
  <c r="C39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H37" i="22"/>
  <c r="G37" i="22"/>
  <c r="F37" i="22"/>
  <c r="E37" i="22"/>
  <c r="D37" i="22"/>
  <c r="C37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G36" i="22"/>
  <c r="F36" i="22"/>
  <c r="E36" i="22"/>
  <c r="D36" i="22"/>
  <c r="C36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F35" i="22"/>
  <c r="E35" i="22"/>
  <c r="D35" i="22"/>
  <c r="C35" i="22"/>
  <c r="AI7" i="22"/>
  <c r="AJ7" i="22" s="1"/>
  <c r="AK7" i="22"/>
  <c r="AL7" i="22" s="1"/>
  <c r="AM7" i="22"/>
  <c r="AN7" i="22" s="1"/>
  <c r="AO7" i="22"/>
  <c r="AP7" i="22" s="1"/>
  <c r="AQ7" i="22"/>
  <c r="AR7" i="22" s="1"/>
  <c r="AI8" i="22"/>
  <c r="AJ8" i="22" s="1"/>
  <c r="AK8" i="22"/>
  <c r="AL8" i="22" s="1"/>
  <c r="AM8" i="22"/>
  <c r="AN8" i="22" s="1"/>
  <c r="AO8" i="22"/>
  <c r="AP8" i="22" s="1"/>
  <c r="AQ8" i="22"/>
  <c r="AR8" i="22" s="1"/>
  <c r="AI9" i="22"/>
  <c r="AJ9" i="22" s="1"/>
  <c r="AK9" i="22"/>
  <c r="AL9" i="22" s="1"/>
  <c r="AM9" i="22"/>
  <c r="AN9" i="22" s="1"/>
  <c r="AO9" i="22"/>
  <c r="AP9" i="22" s="1"/>
  <c r="AQ9" i="22"/>
  <c r="AR9" i="22" s="1"/>
  <c r="AI13" i="22"/>
  <c r="AJ13" i="22" s="1"/>
  <c r="AK13" i="22"/>
  <c r="AL13" i="22" s="1"/>
  <c r="AM13" i="22"/>
  <c r="AN13" i="22" s="1"/>
  <c r="AO13" i="22"/>
  <c r="AP13" i="22" s="1"/>
  <c r="AQ13" i="22"/>
  <c r="AR13" i="22" s="1"/>
  <c r="AI14" i="22"/>
  <c r="AJ14" i="22" s="1"/>
  <c r="AK14" i="22"/>
  <c r="AL14" i="22" s="1"/>
  <c r="AM14" i="22"/>
  <c r="AN14" i="22" s="1"/>
  <c r="AO14" i="22"/>
  <c r="AP14" i="22" s="1"/>
  <c r="AQ14" i="22"/>
  <c r="AR14" i="22" s="1"/>
  <c r="AI15" i="22"/>
  <c r="AJ15" i="22" s="1"/>
  <c r="AK15" i="22"/>
  <c r="AL15" i="22" s="1"/>
  <c r="AM15" i="22"/>
  <c r="AN15" i="22" s="1"/>
  <c r="AO15" i="22"/>
  <c r="AP15" i="22" s="1"/>
  <c r="AQ15" i="22"/>
  <c r="AR15" i="22" s="1"/>
  <c r="AI19" i="22"/>
  <c r="AJ19" i="22" s="1"/>
  <c r="AK19" i="22"/>
  <c r="AL19" i="22" s="1"/>
  <c r="AM19" i="22"/>
  <c r="AN19" i="22" s="1"/>
  <c r="AO19" i="22"/>
  <c r="AP19" i="22" s="1"/>
  <c r="AQ19" i="22"/>
  <c r="AR19" i="22" s="1"/>
  <c r="AI20" i="22"/>
  <c r="AJ20" i="22" s="1"/>
  <c r="AK20" i="22"/>
  <c r="AL20" i="22" s="1"/>
  <c r="AM20" i="22"/>
  <c r="AN20" i="22" s="1"/>
  <c r="AO20" i="22"/>
  <c r="AP20" i="22" s="1"/>
  <c r="AQ20" i="22"/>
  <c r="AR20" i="22" s="1"/>
  <c r="AI21" i="22"/>
  <c r="AJ21" i="22" s="1"/>
  <c r="AK21" i="22"/>
  <c r="AL21" i="22" s="1"/>
  <c r="AM21" i="22"/>
  <c r="AN21" i="22" s="1"/>
  <c r="AO21" i="22"/>
  <c r="AP21" i="22" s="1"/>
  <c r="AQ21" i="22"/>
  <c r="AR21" i="22" s="1"/>
  <c r="AI25" i="22"/>
  <c r="AJ25" i="22" s="1"/>
  <c r="AK25" i="22"/>
  <c r="AL25" i="22" s="1"/>
  <c r="AM25" i="22"/>
  <c r="AN25" i="22" s="1"/>
  <c r="AO25" i="22"/>
  <c r="AP25" i="22" s="1"/>
  <c r="AQ25" i="22"/>
  <c r="AR25" i="22" s="1"/>
  <c r="AI26" i="22"/>
  <c r="AJ26" i="22" s="1"/>
  <c r="AK26" i="22"/>
  <c r="AL26" i="22" s="1"/>
  <c r="AM26" i="22"/>
  <c r="AN26" i="22" s="1"/>
  <c r="AO26" i="22"/>
  <c r="AP26" i="22" s="1"/>
  <c r="AQ26" i="22"/>
  <c r="AR26" i="22" s="1"/>
  <c r="AI27" i="22"/>
  <c r="AJ27" i="22" s="1"/>
  <c r="AK27" i="22"/>
  <c r="AL27" i="22" s="1"/>
  <c r="AM27" i="22"/>
  <c r="AN27" i="22" s="1"/>
  <c r="AO27" i="22"/>
  <c r="AP27" i="22" s="1"/>
  <c r="AQ27" i="22"/>
  <c r="AR27" i="22" s="1"/>
  <c r="AI31" i="22"/>
  <c r="AJ31" i="22" s="1"/>
  <c r="AK31" i="22"/>
  <c r="AL31" i="22" s="1"/>
  <c r="AM31" i="22"/>
  <c r="AN31" i="22" s="1"/>
  <c r="AO31" i="22"/>
  <c r="AP31" i="22" s="1"/>
  <c r="AQ31" i="22"/>
  <c r="AR31" i="22" s="1"/>
  <c r="AI32" i="22"/>
  <c r="AJ32" i="22" s="1"/>
  <c r="AK32" i="22"/>
  <c r="AL32" i="22" s="1"/>
  <c r="AM32" i="22"/>
  <c r="AN32" i="22" s="1"/>
  <c r="AO32" i="22"/>
  <c r="AP32" i="22" s="1"/>
  <c r="AQ32" i="22"/>
  <c r="AR32" i="22" s="1"/>
  <c r="AI33" i="22"/>
  <c r="AJ33" i="22" s="1"/>
  <c r="AK33" i="22"/>
  <c r="AL33" i="22" s="1"/>
  <c r="AM33" i="22"/>
  <c r="AN33" i="22" s="1"/>
  <c r="AO33" i="22"/>
  <c r="AP33" i="22" s="1"/>
  <c r="AQ33" i="22"/>
  <c r="AR33" i="22" s="1"/>
  <c r="AI34" i="22"/>
  <c r="AJ34" i="22" s="1"/>
  <c r="AK34" i="22"/>
  <c r="AL34" i="22" s="1"/>
  <c r="AM34" i="22"/>
  <c r="AN34" i="22" s="1"/>
  <c r="AO34" i="22"/>
  <c r="AP34" i="22" s="1"/>
  <c r="AQ34" i="22"/>
  <c r="AR34" i="22" s="1"/>
  <c r="AI38" i="22"/>
  <c r="AJ38" i="22" s="1"/>
  <c r="AK38" i="22"/>
  <c r="AL38" i="22" s="1"/>
  <c r="AM38" i="22"/>
  <c r="AN38" i="22" s="1"/>
  <c r="AO38" i="22"/>
  <c r="AP38" i="22" s="1"/>
  <c r="AQ38" i="22"/>
  <c r="AR38" i="22" s="1"/>
  <c r="AI45" i="22"/>
  <c r="AJ45" i="22" s="1"/>
  <c r="AK45" i="22"/>
  <c r="AL45" i="22" s="1"/>
  <c r="AM45" i="22"/>
  <c r="AN45" i="22" s="1"/>
  <c r="AO45" i="22"/>
  <c r="AP45" i="22" s="1"/>
  <c r="AQ45" i="22"/>
  <c r="AR45" i="22" s="1"/>
  <c r="AI50" i="22"/>
  <c r="AJ50" i="22" s="1"/>
  <c r="AK50" i="22"/>
  <c r="AL50" i="22" s="1"/>
  <c r="AM50" i="22"/>
  <c r="AN50" i="22" s="1"/>
  <c r="AO50" i="22"/>
  <c r="AP50" i="22" s="1"/>
  <c r="AQ50" i="22"/>
  <c r="AR50" i="22" s="1"/>
  <c r="AI51" i="22"/>
  <c r="AJ51" i="22" s="1"/>
  <c r="AK51" i="22"/>
  <c r="AL51" i="22" s="1"/>
  <c r="AM51" i="22"/>
  <c r="AN51" i="22" s="1"/>
  <c r="AO51" i="22"/>
  <c r="AP51" i="22" s="1"/>
  <c r="AQ51" i="22"/>
  <c r="AR51" i="22" s="1"/>
  <c r="AI54" i="22"/>
  <c r="AJ54" i="22" s="1"/>
  <c r="AK54" i="22"/>
  <c r="AL54" i="22" s="1"/>
  <c r="AM54" i="22"/>
  <c r="AN54" i="22" s="1"/>
  <c r="AO54" i="22"/>
  <c r="AP54" i="22" s="1"/>
  <c r="AQ54" i="22"/>
  <c r="AR54" i="22" s="1"/>
  <c r="AI62" i="22"/>
  <c r="AJ62" i="22" s="1"/>
  <c r="AK62" i="22"/>
  <c r="AL62" i="22" s="1"/>
  <c r="AM62" i="22"/>
  <c r="AN62" i="22" s="1"/>
  <c r="AO62" i="22"/>
  <c r="AP62" i="22" s="1"/>
  <c r="AQ62" i="22"/>
  <c r="AR62" i="22" s="1"/>
  <c r="AI65" i="22"/>
  <c r="AJ65" i="22" s="1"/>
  <c r="AK65" i="22"/>
  <c r="AL65" i="22" s="1"/>
  <c r="AM65" i="22"/>
  <c r="AN65" i="22" s="1"/>
  <c r="AO65" i="22"/>
  <c r="AP65" i="22" s="1"/>
  <c r="AQ65" i="22"/>
  <c r="AR65" i="22" s="1"/>
  <c r="AI66" i="22"/>
  <c r="AJ66" i="22" s="1"/>
  <c r="AK66" i="22"/>
  <c r="AL66" i="22" s="1"/>
  <c r="AM66" i="22"/>
  <c r="AN66" i="22" s="1"/>
  <c r="AO66" i="22"/>
  <c r="AP66" i="22" s="1"/>
  <c r="AQ66" i="22"/>
  <c r="AR66" i="22" s="1"/>
  <c r="AI69" i="22"/>
  <c r="AJ69" i="22" s="1"/>
  <c r="AK69" i="22"/>
  <c r="AL69" i="22" s="1"/>
  <c r="AM69" i="22"/>
  <c r="AN69" i="22" s="1"/>
  <c r="AO69" i="22"/>
  <c r="AP69" i="22" s="1"/>
  <c r="AQ69" i="22"/>
  <c r="AR69" i="22" s="1"/>
  <c r="AI77" i="22"/>
  <c r="AJ77" i="22" s="1"/>
  <c r="AK77" i="22"/>
  <c r="AL77" i="22" s="1"/>
  <c r="AM77" i="22"/>
  <c r="AN77" i="22" s="1"/>
  <c r="AO77" i="22"/>
  <c r="AP77" i="22" s="1"/>
  <c r="AQ77" i="22"/>
  <c r="AR77" i="22" s="1"/>
  <c r="AI80" i="22"/>
  <c r="AJ80" i="22" s="1"/>
  <c r="AK80" i="22"/>
  <c r="AL80" i="22" s="1"/>
  <c r="AM80" i="22"/>
  <c r="AN80" i="22" s="1"/>
  <c r="AO80" i="22"/>
  <c r="AP80" i="22" s="1"/>
  <c r="AQ80" i="22"/>
  <c r="AR80" i="22" s="1"/>
  <c r="AI81" i="22"/>
  <c r="AJ81" i="22" s="1"/>
  <c r="AK81" i="22"/>
  <c r="AL81" i="22" s="1"/>
  <c r="AM81" i="22"/>
  <c r="AN81" i="22" s="1"/>
  <c r="AO81" i="22"/>
  <c r="AP81" i="22" s="1"/>
  <c r="AQ81" i="22"/>
  <c r="AR81" i="22" s="1"/>
  <c r="AI82" i="22"/>
  <c r="AJ82" i="22" s="1"/>
  <c r="AK82" i="22"/>
  <c r="AL82" i="22" s="1"/>
  <c r="AM82" i="22"/>
  <c r="AN82" i="22" s="1"/>
  <c r="AO82" i="22"/>
  <c r="AP82" i="22" s="1"/>
  <c r="AQ82" i="22"/>
  <c r="AR82" i="22" s="1"/>
  <c r="AI83" i="22"/>
  <c r="AJ83" i="22" s="1"/>
  <c r="AK83" i="22"/>
  <c r="AL83" i="22" s="1"/>
  <c r="AM83" i="22"/>
  <c r="AN83" i="22" s="1"/>
  <c r="AO83" i="22"/>
  <c r="AP83" i="22" s="1"/>
  <c r="AQ83" i="22"/>
  <c r="AR83" i="22" s="1"/>
  <c r="AI84" i="22"/>
  <c r="AJ84" i="22" s="1"/>
  <c r="AK84" i="22"/>
  <c r="AL84" i="22" s="1"/>
  <c r="AM84" i="22"/>
  <c r="AN84" i="22" s="1"/>
  <c r="AO84" i="22"/>
  <c r="AP84" i="22" s="1"/>
  <c r="AQ84" i="22"/>
  <c r="AR84" i="22" s="1"/>
  <c r="AI85" i="22"/>
  <c r="AJ85" i="22" s="1"/>
  <c r="AK85" i="22"/>
  <c r="AL85" i="22" s="1"/>
  <c r="AM85" i="22"/>
  <c r="AN85" i="22" s="1"/>
  <c r="AO85" i="22"/>
  <c r="AP85" i="22" s="1"/>
  <c r="AQ85" i="22"/>
  <c r="AR85" i="22" s="1"/>
  <c r="AI87" i="22"/>
  <c r="AJ87" i="22" s="1"/>
  <c r="AK87" i="22"/>
  <c r="AL87" i="22" s="1"/>
  <c r="AM87" i="22"/>
  <c r="AN87" i="22" s="1"/>
  <c r="AO87" i="22"/>
  <c r="AP87" i="22" s="1"/>
  <c r="AQ87" i="22"/>
  <c r="AR87" i="22" s="1"/>
  <c r="AI92" i="22"/>
  <c r="AJ92" i="22" s="1"/>
  <c r="AK92" i="22"/>
  <c r="AL92" i="22" s="1"/>
  <c r="AM92" i="22"/>
  <c r="AN92" i="22" s="1"/>
  <c r="AO92" i="22"/>
  <c r="AP92" i="22" s="1"/>
  <c r="AQ92" i="22"/>
  <c r="AR92" i="22" s="1"/>
  <c r="AI94" i="22"/>
  <c r="AJ94" i="22" s="1"/>
  <c r="AK94" i="22"/>
  <c r="AL94" i="22" s="1"/>
  <c r="AM94" i="22"/>
  <c r="AN94" i="22" s="1"/>
  <c r="AO94" i="22"/>
  <c r="AP94" i="22" s="1"/>
  <c r="AQ94" i="22"/>
  <c r="AR94" i="22" s="1"/>
  <c r="AI99" i="22"/>
  <c r="AJ99" i="22" s="1"/>
  <c r="AK99" i="22"/>
  <c r="AL99" i="22" s="1"/>
  <c r="AM99" i="22"/>
  <c r="AN99" i="22" s="1"/>
  <c r="AO99" i="22"/>
  <c r="AP99" i="22" s="1"/>
  <c r="AQ99" i="22"/>
  <c r="AR99" i="22" s="1"/>
  <c r="AI101" i="22"/>
  <c r="AJ101" i="22" s="1"/>
  <c r="AK101" i="22"/>
  <c r="AL101" i="22" s="1"/>
  <c r="AM101" i="22"/>
  <c r="AN101" i="22" s="1"/>
  <c r="AO101" i="22"/>
  <c r="AP101" i="22" s="1"/>
  <c r="AQ101" i="22"/>
  <c r="AR101" i="22" s="1"/>
  <c r="AI106" i="22"/>
  <c r="AJ106" i="22" s="1"/>
  <c r="AK106" i="22"/>
  <c r="AL106" i="22" s="1"/>
  <c r="AM106" i="22"/>
  <c r="AN106" i="22" s="1"/>
  <c r="AO106" i="22"/>
  <c r="AP106" i="22" s="1"/>
  <c r="AQ106" i="22"/>
  <c r="AR106" i="22" s="1"/>
  <c r="AI108" i="22"/>
  <c r="AJ108" i="22" s="1"/>
  <c r="AK108" i="22"/>
  <c r="AL108" i="22" s="1"/>
  <c r="AM108" i="22"/>
  <c r="AN108" i="22" s="1"/>
  <c r="AO108" i="22"/>
  <c r="AP108" i="22" s="1"/>
  <c r="AQ108" i="22"/>
  <c r="AR108" i="22" s="1"/>
  <c r="AI113" i="22"/>
  <c r="AJ113" i="22" s="1"/>
  <c r="AK113" i="22"/>
  <c r="AL113" i="22" s="1"/>
  <c r="AM113" i="22"/>
  <c r="AN113" i="22" s="1"/>
  <c r="AO113" i="22"/>
  <c r="AP113" i="22" s="1"/>
  <c r="AQ113" i="22"/>
  <c r="AR113" i="22" s="1"/>
  <c r="AI115" i="22"/>
  <c r="AJ115" i="22" s="1"/>
  <c r="AK115" i="22"/>
  <c r="AL115" i="22" s="1"/>
  <c r="AM115" i="22"/>
  <c r="AN115" i="22" s="1"/>
  <c r="AO115" i="22"/>
  <c r="AP115" i="22" s="1"/>
  <c r="AQ115" i="22"/>
  <c r="AR115" i="22" s="1"/>
  <c r="AI120" i="22"/>
  <c r="AJ120" i="22" s="1"/>
  <c r="AK120" i="22"/>
  <c r="AL120" i="22" s="1"/>
  <c r="AM120" i="22"/>
  <c r="AN120" i="22" s="1"/>
  <c r="AO120" i="22"/>
  <c r="AP120" i="22" s="1"/>
  <c r="AQ120" i="22"/>
  <c r="AR120" i="22" s="1"/>
  <c r="AI122" i="22"/>
  <c r="AJ122" i="22" s="1"/>
  <c r="AK122" i="22"/>
  <c r="AL122" i="22" s="1"/>
  <c r="AM122" i="22"/>
  <c r="AN122" i="22" s="1"/>
  <c r="AO122" i="22"/>
  <c r="AP122" i="22" s="1"/>
  <c r="AQ122" i="22"/>
  <c r="AR122" i="22" s="1"/>
  <c r="AI127" i="22"/>
  <c r="AJ127" i="22" s="1"/>
  <c r="AK127" i="22"/>
  <c r="AL127" i="22" s="1"/>
  <c r="AM127" i="22"/>
  <c r="AN127" i="22" s="1"/>
  <c r="AO127" i="22"/>
  <c r="AP127" i="22" s="1"/>
  <c r="AQ127" i="22"/>
  <c r="AR127" i="22" s="1"/>
  <c r="AI129" i="22"/>
  <c r="AJ129" i="22" s="1"/>
  <c r="AK129" i="22"/>
  <c r="AL129" i="22" s="1"/>
  <c r="AM129" i="22"/>
  <c r="AN129" i="22" s="1"/>
  <c r="AO129" i="22"/>
  <c r="AP129" i="22" s="1"/>
  <c r="AQ129" i="22"/>
  <c r="AR129" i="22" s="1"/>
  <c r="AI134" i="22"/>
  <c r="AJ134" i="22" s="1"/>
  <c r="AK134" i="22"/>
  <c r="AL134" i="22" s="1"/>
  <c r="AM134" i="22"/>
  <c r="AN134" i="22" s="1"/>
  <c r="AO134" i="22"/>
  <c r="AP134" i="22" s="1"/>
  <c r="AQ134" i="22"/>
  <c r="AR134" i="22" s="1"/>
  <c r="AI136" i="22"/>
  <c r="AJ136" i="22" s="1"/>
  <c r="AK136" i="22"/>
  <c r="AL136" i="22" s="1"/>
  <c r="AM136" i="22"/>
  <c r="AN136" i="22" s="1"/>
  <c r="AO136" i="22"/>
  <c r="AP136" i="22" s="1"/>
  <c r="AQ136" i="22"/>
  <c r="AR136" i="22" s="1"/>
  <c r="AI141" i="22"/>
  <c r="AJ141" i="22" s="1"/>
  <c r="AK141" i="22"/>
  <c r="AL141" i="22" s="1"/>
  <c r="AM141" i="22"/>
  <c r="AN141" i="22" s="1"/>
  <c r="AO141" i="22"/>
  <c r="AP141" i="22" s="1"/>
  <c r="AQ141" i="22"/>
  <c r="AR141" i="22" s="1"/>
  <c r="AI143" i="22"/>
  <c r="AJ143" i="22" s="1"/>
  <c r="AK143" i="22"/>
  <c r="AL143" i="22" s="1"/>
  <c r="AM143" i="22"/>
  <c r="AN143" i="22" s="1"/>
  <c r="AO143" i="22"/>
  <c r="AP143" i="22" s="1"/>
  <c r="AQ143" i="22"/>
  <c r="AR143" i="22" s="1"/>
  <c r="AI148" i="22"/>
  <c r="AJ148" i="22" s="1"/>
  <c r="AK148" i="22"/>
  <c r="AL148" i="22" s="1"/>
  <c r="AM148" i="22"/>
  <c r="AN148" i="22" s="1"/>
  <c r="AO148" i="22"/>
  <c r="AP148" i="22" s="1"/>
  <c r="AQ148" i="22"/>
  <c r="AR148" i="22" s="1"/>
  <c r="AI149" i="22"/>
  <c r="AJ149" i="22" s="1"/>
  <c r="AK149" i="22"/>
  <c r="AL149" i="22" s="1"/>
  <c r="AM149" i="22"/>
  <c r="AN149" i="22" s="1"/>
  <c r="AO149" i="22"/>
  <c r="AP149" i="22" s="1"/>
  <c r="AQ149" i="22"/>
  <c r="AR149" i="22" s="1"/>
  <c r="AI151" i="22"/>
  <c r="AJ151" i="22" s="1"/>
  <c r="AK151" i="22"/>
  <c r="AL151" i="22" s="1"/>
  <c r="AM151" i="22"/>
  <c r="AN151" i="22" s="1"/>
  <c r="AO151" i="22"/>
  <c r="AP151" i="22" s="1"/>
  <c r="AQ151" i="22"/>
  <c r="AR151" i="22" s="1"/>
  <c r="AI156" i="22"/>
  <c r="AJ156" i="22" s="1"/>
  <c r="AK156" i="22"/>
  <c r="AL156" i="22" s="1"/>
  <c r="AM156" i="22"/>
  <c r="AN156" i="22" s="1"/>
  <c r="AO156" i="22"/>
  <c r="AP156" i="22" s="1"/>
  <c r="AQ156" i="22"/>
  <c r="AR156" i="22" s="1"/>
  <c r="AI158" i="22"/>
  <c r="AJ158" i="22" s="1"/>
  <c r="AK158" i="22"/>
  <c r="AL158" i="22" s="1"/>
  <c r="AM158" i="22"/>
  <c r="AN158" i="22" s="1"/>
  <c r="AO158" i="22"/>
  <c r="AP158" i="22" s="1"/>
  <c r="AQ158" i="22"/>
  <c r="AR158" i="22" s="1"/>
  <c r="AI163" i="22"/>
  <c r="AJ163" i="22" s="1"/>
  <c r="AK163" i="22"/>
  <c r="AL163" i="22" s="1"/>
  <c r="AM163" i="22"/>
  <c r="AN163" i="22" s="1"/>
  <c r="AO163" i="22"/>
  <c r="AP163" i="22" s="1"/>
  <c r="AQ163" i="22"/>
  <c r="AR163" i="22" s="1"/>
  <c r="AI165" i="22"/>
  <c r="AJ165" i="22" s="1"/>
  <c r="AK165" i="22"/>
  <c r="AL165" i="22" s="1"/>
  <c r="AM165" i="22"/>
  <c r="AN165" i="22" s="1"/>
  <c r="AO165" i="22"/>
  <c r="AP165" i="22" s="1"/>
  <c r="AQ165" i="22"/>
  <c r="AR165" i="22" s="1"/>
  <c r="AI170" i="22"/>
  <c r="AJ170" i="22" s="1"/>
  <c r="AK170" i="22"/>
  <c r="AL170" i="22" s="1"/>
  <c r="AM170" i="22"/>
  <c r="AN170" i="22" s="1"/>
  <c r="AO170" i="22"/>
  <c r="AP170" i="22" s="1"/>
  <c r="AQ170" i="22"/>
  <c r="AR170" i="22" s="1"/>
  <c r="AI172" i="22"/>
  <c r="AJ172" i="22" s="1"/>
  <c r="AK172" i="22"/>
  <c r="AL172" i="22" s="1"/>
  <c r="AM172" i="22"/>
  <c r="AN172" i="22" s="1"/>
  <c r="AO172" i="22"/>
  <c r="AP172" i="22" s="1"/>
  <c r="AQ172" i="22"/>
  <c r="AR172" i="22" s="1"/>
  <c r="AI177" i="22"/>
  <c r="AJ177" i="22" s="1"/>
  <c r="AK177" i="22"/>
  <c r="AL177" i="22" s="1"/>
  <c r="AM177" i="22"/>
  <c r="AN177" i="22" s="1"/>
  <c r="AO177" i="22"/>
  <c r="AP177" i="22" s="1"/>
  <c r="AQ177" i="22"/>
  <c r="AR177" i="22" s="1"/>
  <c r="AI179" i="22"/>
  <c r="AJ179" i="22" s="1"/>
  <c r="AK179" i="22"/>
  <c r="AL179" i="22" s="1"/>
  <c r="AM179" i="22"/>
  <c r="AN179" i="22" s="1"/>
  <c r="AO179" i="22"/>
  <c r="AP179" i="22" s="1"/>
  <c r="AQ179" i="22"/>
  <c r="AR179" i="22" s="1"/>
  <c r="AI184" i="22"/>
  <c r="AJ184" i="22" s="1"/>
  <c r="AK184" i="22"/>
  <c r="AL184" i="22" s="1"/>
  <c r="AM184" i="22"/>
  <c r="AN184" i="22" s="1"/>
  <c r="AO184" i="22"/>
  <c r="AP184" i="22" s="1"/>
  <c r="AQ184" i="22"/>
  <c r="AR184" i="22" s="1"/>
  <c r="AI186" i="22"/>
  <c r="AJ186" i="22" s="1"/>
  <c r="AK186" i="22"/>
  <c r="AL186" i="22" s="1"/>
  <c r="AM186" i="22"/>
  <c r="AN186" i="22" s="1"/>
  <c r="AO186" i="22"/>
  <c r="AP186" i="22" s="1"/>
  <c r="AQ186" i="22"/>
  <c r="AR186" i="22" s="1"/>
  <c r="AI191" i="22"/>
  <c r="AJ191" i="22" s="1"/>
  <c r="AK191" i="22"/>
  <c r="AL191" i="22" s="1"/>
  <c r="AM191" i="22"/>
  <c r="AN191" i="22" s="1"/>
  <c r="AO191" i="22"/>
  <c r="AP191" i="22" s="1"/>
  <c r="AQ191" i="22"/>
  <c r="AR191" i="22" s="1"/>
  <c r="AI193" i="22"/>
  <c r="AJ193" i="22" s="1"/>
  <c r="AK193" i="22"/>
  <c r="AL193" i="22" s="1"/>
  <c r="AM193" i="22"/>
  <c r="AN193" i="22" s="1"/>
  <c r="AO193" i="22"/>
  <c r="AP193" i="22" s="1"/>
  <c r="AQ193" i="22"/>
  <c r="AR193" i="22" s="1"/>
  <c r="AQ6" i="22"/>
  <c r="AO6" i="22"/>
  <c r="AM6" i="22"/>
  <c r="AK6" i="22"/>
  <c r="AI6" i="22"/>
  <c r="BR43" i="22" l="1"/>
  <c r="BC48" i="22"/>
  <c r="BH48" i="22"/>
  <c r="BC43" i="22"/>
  <c r="AX43" i="22"/>
  <c r="BM43" i="22"/>
  <c r="BH43" i="22"/>
  <c r="BM48" i="22"/>
  <c r="BR48" i="22"/>
  <c r="AQ121" i="22"/>
  <c r="AR121" i="22" s="1"/>
  <c r="AQ178" i="22"/>
  <c r="AR178" i="22" s="1"/>
  <c r="AQ192" i="22"/>
  <c r="AR192" i="22" s="1"/>
  <c r="AQ190" i="22"/>
  <c r="AR190" i="22" s="1"/>
  <c r="AQ52" i="22"/>
  <c r="AR52" i="22" s="1"/>
  <c r="AQ55" i="22"/>
  <c r="AR55" i="22" s="1"/>
  <c r="AQ57" i="22"/>
  <c r="AR57" i="22" s="1"/>
  <c r="AQ59" i="22"/>
  <c r="AR59" i="22" s="1"/>
  <c r="AQ63" i="22"/>
  <c r="AR63" i="22" s="1"/>
  <c r="AQ70" i="22"/>
  <c r="AR70" i="22" s="1"/>
  <c r="AQ72" i="22"/>
  <c r="AR72" i="22" s="1"/>
  <c r="AQ76" i="22"/>
  <c r="AR76" i="22" s="1"/>
  <c r="AQ79" i="22"/>
  <c r="AR79" i="22" s="1"/>
  <c r="AI89" i="22"/>
  <c r="AJ89" i="22" s="1"/>
  <c r="AQ93" i="22"/>
  <c r="AR93" i="22" s="1"/>
  <c r="AQ96" i="22"/>
  <c r="AR96" i="22" s="1"/>
  <c r="AQ107" i="22"/>
  <c r="AR107" i="22" s="1"/>
  <c r="AQ110" i="22"/>
  <c r="AR110" i="22" s="1"/>
  <c r="AQ112" i="22"/>
  <c r="AR112" i="22" s="1"/>
  <c r="AQ124" i="22"/>
  <c r="AR124" i="22" s="1"/>
  <c r="AQ126" i="22"/>
  <c r="AR126" i="22" s="1"/>
  <c r="AQ132" i="22"/>
  <c r="AR132" i="22" s="1"/>
  <c r="AQ135" i="22"/>
  <c r="AR135" i="22" s="1"/>
  <c r="AQ138" i="22"/>
  <c r="AR138" i="22" s="1"/>
  <c r="AQ140" i="22"/>
  <c r="AR140" i="22" s="1"/>
  <c r="AQ146" i="22"/>
  <c r="AR146" i="22" s="1"/>
  <c r="AQ150" i="22"/>
  <c r="AR150" i="22" s="1"/>
  <c r="AI155" i="22"/>
  <c r="AJ155" i="22" s="1"/>
  <c r="AK181" i="22"/>
  <c r="AL181" i="22" s="1"/>
  <c r="AI188" i="22"/>
  <c r="AJ188" i="22" s="1"/>
  <c r="AM194" i="22"/>
  <c r="AN194" i="22" s="1"/>
  <c r="AO53" i="22"/>
  <c r="AP53" i="22" s="1"/>
  <c r="AO56" i="22"/>
  <c r="AP56" i="22" s="1"/>
  <c r="AM59" i="22"/>
  <c r="AN59" i="22" s="1"/>
  <c r="AQ100" i="22"/>
  <c r="AR100" i="22" s="1"/>
  <c r="AQ181" i="22"/>
  <c r="AR181" i="22" s="1"/>
  <c r="AQ183" i="22"/>
  <c r="AR183" i="22" s="1"/>
  <c r="AQ187" i="22"/>
  <c r="AR187" i="22" s="1"/>
  <c r="AQ189" i="22"/>
  <c r="AR189" i="22" s="1"/>
  <c r="AQ195" i="22"/>
  <c r="AR195" i="22" s="1"/>
  <c r="AQ197" i="22"/>
  <c r="AR197" i="22" s="1"/>
  <c r="AQ11" i="22"/>
  <c r="AR11" i="22" s="1"/>
  <c r="AO30" i="22"/>
  <c r="AP30" i="22" s="1"/>
  <c r="AQ40" i="22"/>
  <c r="AR40" i="22" s="1"/>
  <c r="AQ47" i="22"/>
  <c r="AR47" i="22" s="1"/>
  <c r="AQ44" i="22"/>
  <c r="AR44" i="22" s="1"/>
  <c r="AQ12" i="22"/>
  <c r="AR12" i="22" s="1"/>
  <c r="AQ16" i="22"/>
  <c r="AR16" i="22" s="1"/>
  <c r="AQ18" i="22"/>
  <c r="AR18" i="22" s="1"/>
  <c r="AQ23" i="22"/>
  <c r="AR23" i="22" s="1"/>
  <c r="AQ28" i="22"/>
  <c r="AR28" i="22" s="1"/>
  <c r="AQ30" i="22"/>
  <c r="AR30" i="22" s="1"/>
  <c r="AQ36" i="22"/>
  <c r="AR36" i="22" s="1"/>
  <c r="AQ39" i="22"/>
  <c r="AR39" i="22" s="1"/>
  <c r="AQ41" i="22"/>
  <c r="AR41" i="22" s="1"/>
  <c r="AQ43" i="22"/>
  <c r="AR43" i="22" s="1"/>
  <c r="AQ46" i="22"/>
  <c r="AR46" i="22" s="1"/>
  <c r="AQ48" i="22"/>
  <c r="AR48" i="22" s="1"/>
  <c r="AQ155" i="22"/>
  <c r="AR155" i="22" s="1"/>
  <c r="AQ159" i="22"/>
  <c r="AR159" i="22" s="1"/>
  <c r="AQ161" i="22"/>
  <c r="AR161" i="22" s="1"/>
  <c r="AQ164" i="22"/>
  <c r="AR164" i="22" s="1"/>
  <c r="AQ167" i="22"/>
  <c r="AR167" i="22" s="1"/>
  <c r="AQ169" i="22"/>
  <c r="AR169" i="22" s="1"/>
  <c r="AQ173" i="22"/>
  <c r="AR173" i="22" s="1"/>
  <c r="AQ175" i="22"/>
  <c r="AR175" i="22" s="1"/>
  <c r="AI70" i="22"/>
  <c r="AJ70" i="22" s="1"/>
  <c r="AI55" i="22"/>
  <c r="AJ55" i="22" s="1"/>
  <c r="AI75" i="22"/>
  <c r="AJ75" i="22" s="1"/>
  <c r="AO97" i="22"/>
  <c r="AP97" i="22" s="1"/>
  <c r="AK104" i="22"/>
  <c r="AL104" i="22" s="1"/>
  <c r="AK130" i="22"/>
  <c r="AL130" i="22" s="1"/>
  <c r="AM135" i="22"/>
  <c r="AN135" i="22" s="1"/>
  <c r="AM137" i="22"/>
  <c r="AN137" i="22" s="1"/>
  <c r="AQ157" i="22"/>
  <c r="AR157" i="22" s="1"/>
  <c r="AK159" i="22"/>
  <c r="AL159" i="22" s="1"/>
  <c r="AQ160" i="22"/>
  <c r="AR160" i="22" s="1"/>
  <c r="AQ162" i="22"/>
  <c r="AR162" i="22" s="1"/>
  <c r="AQ166" i="22"/>
  <c r="AR166" i="22" s="1"/>
  <c r="AM167" i="22"/>
  <c r="AN167" i="22" s="1"/>
  <c r="AQ171" i="22"/>
  <c r="AR171" i="22" s="1"/>
  <c r="AM173" i="22"/>
  <c r="AN173" i="22" s="1"/>
  <c r="AQ174" i="22"/>
  <c r="AR174" i="22" s="1"/>
  <c r="AK175" i="22"/>
  <c r="AL175" i="22" s="1"/>
  <c r="AQ176" i="22"/>
  <c r="AR176" i="22" s="1"/>
  <c r="AQ185" i="22"/>
  <c r="AR185" i="22" s="1"/>
  <c r="AQ188" i="22"/>
  <c r="AR188" i="22" s="1"/>
  <c r="AK189" i="22"/>
  <c r="AL189" i="22" s="1"/>
  <c r="AQ194" i="22"/>
  <c r="AR194" i="22" s="1"/>
  <c r="AM195" i="22"/>
  <c r="AN195" i="22" s="1"/>
  <c r="AQ196" i="22"/>
  <c r="AR196" i="22" s="1"/>
  <c r="AI52" i="22"/>
  <c r="AJ52" i="22" s="1"/>
  <c r="AQ53" i="22"/>
  <c r="AR53" i="22" s="1"/>
  <c r="AM57" i="22"/>
  <c r="AN57" i="22" s="1"/>
  <c r="AO64" i="22"/>
  <c r="AP64" i="22" s="1"/>
  <c r="AO72" i="22"/>
  <c r="AP72" i="22" s="1"/>
  <c r="AK73" i="22"/>
  <c r="AL73" i="22" s="1"/>
  <c r="AK74" i="22"/>
  <c r="AL74" i="22" s="1"/>
  <c r="AK75" i="22"/>
  <c r="AL75" i="22" s="1"/>
  <c r="AO75" i="22"/>
  <c r="AP75" i="22" s="1"/>
  <c r="AO76" i="22"/>
  <c r="AP76" i="22" s="1"/>
  <c r="AM79" i="22"/>
  <c r="AN79" i="22" s="1"/>
  <c r="AK88" i="22"/>
  <c r="AL88" i="22" s="1"/>
  <c r="AQ89" i="22"/>
  <c r="AR89" i="22" s="1"/>
  <c r="AO90" i="22"/>
  <c r="AP90" i="22" s="1"/>
  <c r="AM91" i="22"/>
  <c r="AN91" i="22" s="1"/>
  <c r="AQ91" i="22"/>
  <c r="AR91" i="22" s="1"/>
  <c r="AK95" i="22"/>
  <c r="AL95" i="22" s="1"/>
  <c r="AK97" i="22"/>
  <c r="AL97" i="22" s="1"/>
  <c r="AM98" i="22"/>
  <c r="AN98" i="22" s="1"/>
  <c r="AO98" i="22"/>
  <c r="AP98" i="22" s="1"/>
  <c r="AI100" i="22"/>
  <c r="AJ100" i="22" s="1"/>
  <c r="AI102" i="22"/>
  <c r="AJ102" i="22" s="1"/>
  <c r="AO102" i="22"/>
  <c r="AP102" i="22" s="1"/>
  <c r="AQ103" i="22"/>
  <c r="AR103" i="22" s="1"/>
  <c r="AI104" i="22"/>
  <c r="AJ104" i="22" s="1"/>
  <c r="AK123" i="22"/>
  <c r="AL123" i="22" s="1"/>
  <c r="AO157" i="22"/>
  <c r="AP157" i="22" s="1"/>
  <c r="AM67" i="22"/>
  <c r="AN67" i="22" s="1"/>
  <c r="AK68" i="22"/>
  <c r="AL68" i="22" s="1"/>
  <c r="AK71" i="22"/>
  <c r="AL71" i="22" s="1"/>
  <c r="AM73" i="22"/>
  <c r="AN73" i="22" s="1"/>
  <c r="AM76" i="22"/>
  <c r="AN76" i="22" s="1"/>
  <c r="AO78" i="22"/>
  <c r="AP78" i="22" s="1"/>
  <c r="AI86" i="22"/>
  <c r="AJ86" i="22" s="1"/>
  <c r="AQ86" i="22"/>
  <c r="AR86" i="22" s="1"/>
  <c r="AM159" i="22"/>
  <c r="AN159" i="22" s="1"/>
  <c r="AO159" i="22"/>
  <c r="AP159" i="22" s="1"/>
  <c r="AI160" i="22"/>
  <c r="AJ160" i="22" s="1"/>
  <c r="AK160" i="22"/>
  <c r="AL160" i="22" s="1"/>
  <c r="AM160" i="22"/>
  <c r="AN160" i="22" s="1"/>
  <c r="AO160" i="22"/>
  <c r="AP160" i="22" s="1"/>
  <c r="AI161" i="22"/>
  <c r="AJ161" i="22" s="1"/>
  <c r="AK161" i="22"/>
  <c r="AL161" i="22" s="1"/>
  <c r="AM161" i="22"/>
  <c r="AN161" i="22" s="1"/>
  <c r="AO161" i="22"/>
  <c r="AP161" i="22" s="1"/>
  <c r="AI162" i="22"/>
  <c r="AJ162" i="22" s="1"/>
  <c r="AK162" i="22"/>
  <c r="AL162" i="22" s="1"/>
  <c r="AM162" i="22"/>
  <c r="AN162" i="22" s="1"/>
  <c r="AO162" i="22"/>
  <c r="AP162" i="22" s="1"/>
  <c r="AK164" i="22"/>
  <c r="AL164" i="22" s="1"/>
  <c r="AI166" i="22"/>
  <c r="AJ166" i="22" s="1"/>
  <c r="AI168" i="22"/>
  <c r="AJ168" i="22" s="1"/>
  <c r="AK169" i="22"/>
  <c r="AL169" i="22" s="1"/>
  <c r="AI171" i="22"/>
  <c r="AJ171" i="22" s="1"/>
  <c r="AK171" i="22"/>
  <c r="AL171" i="22" s="1"/>
  <c r="AM171" i="22"/>
  <c r="AN171" i="22" s="1"/>
  <c r="AO171" i="22"/>
  <c r="AP171" i="22" s="1"/>
  <c r="AI173" i="22"/>
  <c r="AJ173" i="22" s="1"/>
  <c r="AK173" i="22"/>
  <c r="AL173" i="22" s="1"/>
  <c r="AO173" i="22"/>
  <c r="AP173" i="22" s="1"/>
  <c r="AI174" i="22"/>
  <c r="AJ174" i="22" s="1"/>
  <c r="AK174" i="22"/>
  <c r="AL174" i="22" s="1"/>
  <c r="AM174" i="22"/>
  <c r="AN174" i="22" s="1"/>
  <c r="AO174" i="22"/>
  <c r="AP174" i="22" s="1"/>
  <c r="AI175" i="22"/>
  <c r="AJ175" i="22" s="1"/>
  <c r="AM175" i="22"/>
  <c r="AN175" i="22" s="1"/>
  <c r="AO175" i="22"/>
  <c r="AP175" i="22" s="1"/>
  <c r="AI176" i="22"/>
  <c r="AJ176" i="22" s="1"/>
  <c r="AK176" i="22"/>
  <c r="AL176" i="22" s="1"/>
  <c r="AM176" i="22"/>
  <c r="AN176" i="22" s="1"/>
  <c r="AO176" i="22"/>
  <c r="AP176" i="22" s="1"/>
  <c r="AM180" i="22"/>
  <c r="AN180" i="22" s="1"/>
  <c r="AM182" i="22"/>
  <c r="AN182" i="22" s="1"/>
  <c r="AO183" i="22"/>
  <c r="AP183" i="22" s="1"/>
  <c r="AI185" i="22"/>
  <c r="AJ185" i="22" s="1"/>
  <c r="AK185" i="22"/>
  <c r="AL185" i="22" s="1"/>
  <c r="AM185" i="22"/>
  <c r="AN185" i="22" s="1"/>
  <c r="AO185" i="22"/>
  <c r="AP185" i="22" s="1"/>
  <c r="AI187" i="22"/>
  <c r="AJ187" i="22" s="1"/>
  <c r="AM187" i="22"/>
  <c r="AN187" i="22" s="1"/>
  <c r="AO187" i="22"/>
  <c r="AP187" i="22" s="1"/>
  <c r="AK188" i="22"/>
  <c r="AL188" i="22" s="1"/>
  <c r="AM188" i="22"/>
  <c r="AN188" i="22" s="1"/>
  <c r="AO188" i="22"/>
  <c r="AP188" i="22" s="1"/>
  <c r="AI189" i="22"/>
  <c r="AJ189" i="22" s="1"/>
  <c r="AM189" i="22"/>
  <c r="AN189" i="22" s="1"/>
  <c r="AO189" i="22"/>
  <c r="AP189" i="22" s="1"/>
  <c r="AI190" i="22"/>
  <c r="AJ190" i="22" s="1"/>
  <c r="AK190" i="22"/>
  <c r="AL190" i="22" s="1"/>
  <c r="AM190" i="22"/>
  <c r="AN190" i="22" s="1"/>
  <c r="AO190" i="22"/>
  <c r="AP190" i="22" s="1"/>
  <c r="AM192" i="22"/>
  <c r="AN192" i="22" s="1"/>
  <c r="AI194" i="22"/>
  <c r="AJ194" i="22" s="1"/>
  <c r="AK194" i="22"/>
  <c r="AL194" i="22" s="1"/>
  <c r="AO194" i="22"/>
  <c r="AP194" i="22" s="1"/>
  <c r="AI195" i="22"/>
  <c r="AJ195" i="22" s="1"/>
  <c r="AK195" i="22"/>
  <c r="AL195" i="22" s="1"/>
  <c r="AO195" i="22"/>
  <c r="AP195" i="22" s="1"/>
  <c r="AI196" i="22"/>
  <c r="AJ196" i="22" s="1"/>
  <c r="AK196" i="22"/>
  <c r="AL196" i="22" s="1"/>
  <c r="AM196" i="22"/>
  <c r="AN196" i="22" s="1"/>
  <c r="AO196" i="22"/>
  <c r="AP196" i="22" s="1"/>
  <c r="AI197" i="22"/>
  <c r="AJ197" i="22" s="1"/>
  <c r="AM52" i="22"/>
  <c r="AN52" i="22" s="1"/>
  <c r="AO52" i="22"/>
  <c r="AP52" i="22" s="1"/>
  <c r="AI53" i="22"/>
  <c r="AJ53" i="22" s="1"/>
  <c r="AK53" i="22"/>
  <c r="AL53" i="22" s="1"/>
  <c r="AM53" i="22"/>
  <c r="AN53" i="22" s="1"/>
  <c r="AQ105" i="22"/>
  <c r="AR105" i="22" s="1"/>
  <c r="AM110" i="22"/>
  <c r="AN110" i="22" s="1"/>
  <c r="AO112" i="22"/>
  <c r="AP112" i="22" s="1"/>
  <c r="AQ114" i="22"/>
  <c r="AR114" i="22" s="1"/>
  <c r="AI119" i="22"/>
  <c r="AJ119" i="22" s="1"/>
  <c r="AK119" i="22"/>
  <c r="AL119" i="22" s="1"/>
  <c r="AQ119" i="22"/>
  <c r="AR119" i="22" s="1"/>
  <c r="AO121" i="22"/>
  <c r="AP121" i="22" s="1"/>
  <c r="AQ123" i="22"/>
  <c r="AR123" i="22" s="1"/>
  <c r="AO126" i="22"/>
  <c r="AP126" i="22" s="1"/>
  <c r="AK147" i="22"/>
  <c r="AL147" i="22" s="1"/>
  <c r="AO147" i="22"/>
  <c r="AP147" i="22" s="1"/>
  <c r="AQ147" i="22"/>
  <c r="AR147" i="22" s="1"/>
  <c r="AK150" i="22"/>
  <c r="AL150" i="22" s="1"/>
  <c r="AM152" i="22"/>
  <c r="AN152" i="22" s="1"/>
  <c r="AQ152" i="22"/>
  <c r="AR152" i="22" s="1"/>
  <c r="AI153" i="22"/>
  <c r="AJ153" i="22" s="1"/>
  <c r="AO153" i="22"/>
  <c r="AP153" i="22" s="1"/>
  <c r="AQ154" i="22"/>
  <c r="AR154" i="22" s="1"/>
  <c r="AI157" i="22"/>
  <c r="AJ157" i="22" s="1"/>
  <c r="AK157" i="22"/>
  <c r="AL157" i="22" s="1"/>
  <c r="AM157" i="22"/>
  <c r="AN157" i="22" s="1"/>
  <c r="AI159" i="22"/>
  <c r="AJ159" i="22" s="1"/>
  <c r="AI16" i="22"/>
  <c r="AJ16" i="22" s="1"/>
  <c r="AQ37" i="22"/>
  <c r="AR37" i="22" s="1"/>
  <c r="AQ67" i="22"/>
  <c r="AR67" i="22" s="1"/>
  <c r="AQ74" i="22"/>
  <c r="AR74" i="22" s="1"/>
  <c r="AQ88" i="22"/>
  <c r="AR88" i="22" s="1"/>
  <c r="AQ90" i="22"/>
  <c r="AR90" i="22" s="1"/>
  <c r="AQ98" i="22"/>
  <c r="AR98" i="22" s="1"/>
  <c r="AQ102" i="22"/>
  <c r="AR102" i="22" s="1"/>
  <c r="AQ104" i="22"/>
  <c r="AR104" i="22" s="1"/>
  <c r="AQ116" i="22"/>
  <c r="AR116" i="22" s="1"/>
  <c r="AQ118" i="22"/>
  <c r="AR118" i="22" s="1"/>
  <c r="AQ130" i="22"/>
  <c r="AR130" i="22" s="1"/>
  <c r="AQ144" i="22"/>
  <c r="AR144" i="22" s="1"/>
  <c r="AQ153" i="22"/>
  <c r="AR153" i="22" s="1"/>
  <c r="AK52" i="22"/>
  <c r="AL52" i="22" s="1"/>
  <c r="AO104" i="22"/>
  <c r="AP104" i="22" s="1"/>
  <c r="AK105" i="22"/>
  <c r="AL105" i="22" s="1"/>
  <c r="AO105" i="22"/>
  <c r="AP105" i="22" s="1"/>
  <c r="AM107" i="22"/>
  <c r="AN107" i="22" s="1"/>
  <c r="AK109" i="22"/>
  <c r="AL109" i="22" s="1"/>
  <c r="AO109" i="22"/>
  <c r="AP109" i="22" s="1"/>
  <c r="AO110" i="22"/>
  <c r="AP110" i="22" s="1"/>
  <c r="AK111" i="22"/>
  <c r="AL111" i="22" s="1"/>
  <c r="AO111" i="22"/>
  <c r="AP111" i="22" s="1"/>
  <c r="AI112" i="22"/>
  <c r="AJ112" i="22" s="1"/>
  <c r="AM112" i="22"/>
  <c r="AN112" i="22" s="1"/>
  <c r="AI114" i="22"/>
  <c r="AJ114" i="22" s="1"/>
  <c r="AM114" i="22"/>
  <c r="AN114" i="22" s="1"/>
  <c r="AQ117" i="22"/>
  <c r="AR117" i="22" s="1"/>
  <c r="AM118" i="22"/>
  <c r="AN118" i="22" s="1"/>
  <c r="AI121" i="22"/>
  <c r="AJ121" i="22" s="1"/>
  <c r="AO124" i="22"/>
  <c r="AP124" i="22" s="1"/>
  <c r="AM125" i="22"/>
  <c r="AN125" i="22" s="1"/>
  <c r="AM126" i="22"/>
  <c r="AN126" i="22" s="1"/>
  <c r="AQ128" i="22"/>
  <c r="AR128" i="22" s="1"/>
  <c r="AK131" i="22"/>
  <c r="AL131" i="22" s="1"/>
  <c r="AQ131" i="22"/>
  <c r="AR131" i="22" s="1"/>
  <c r="AM133" i="22"/>
  <c r="AN133" i="22" s="1"/>
  <c r="AQ133" i="22"/>
  <c r="AR133" i="22" s="1"/>
  <c r="AO135" i="22"/>
  <c r="AP135" i="22" s="1"/>
  <c r="AK138" i="22"/>
  <c r="AL138" i="22" s="1"/>
  <c r="AM139" i="22"/>
  <c r="AN139" i="22" s="1"/>
  <c r="AI140" i="22"/>
  <c r="AJ140" i="22" s="1"/>
  <c r="AO140" i="22"/>
  <c r="AP140" i="22" s="1"/>
  <c r="AO142" i="22"/>
  <c r="AP142" i="22" s="1"/>
  <c r="AQ142" i="22"/>
  <c r="AR142" i="22" s="1"/>
  <c r="AM144" i="22"/>
  <c r="AN144" i="22" s="1"/>
  <c r="AI145" i="22"/>
  <c r="AJ145" i="22" s="1"/>
  <c r="AO145" i="22"/>
  <c r="AP145" i="22" s="1"/>
  <c r="AQ145" i="22"/>
  <c r="AR145" i="22" s="1"/>
  <c r="AO146" i="22"/>
  <c r="AP146" i="22" s="1"/>
  <c r="AQ10" i="22"/>
  <c r="AR10" i="22" s="1"/>
  <c r="AK12" i="22"/>
  <c r="AL12" i="22" s="1"/>
  <c r="AO16" i="22"/>
  <c r="AP16" i="22" s="1"/>
  <c r="AK17" i="22"/>
  <c r="AL17" i="22" s="1"/>
  <c r="AI18" i="22"/>
  <c r="AJ18" i="22" s="1"/>
  <c r="AO18" i="22"/>
  <c r="AP18" i="22" s="1"/>
  <c r="AK22" i="22"/>
  <c r="AL22" i="22" s="1"/>
  <c r="AK24" i="22"/>
  <c r="AL24" i="22" s="1"/>
  <c r="AO28" i="22"/>
  <c r="AP28" i="22" s="1"/>
  <c r="AK29" i="22"/>
  <c r="AL29" i="22" s="1"/>
  <c r="AM30" i="22"/>
  <c r="AN30" i="22" s="1"/>
  <c r="AM35" i="22"/>
  <c r="AN35" i="22" s="1"/>
  <c r="AO36" i="22"/>
  <c r="AP36" i="22" s="1"/>
  <c r="AK40" i="22"/>
  <c r="AL40" i="22" s="1"/>
  <c r="AM42" i="22"/>
  <c r="AN42" i="22" s="1"/>
  <c r="AI44" i="22"/>
  <c r="AJ44" i="22" s="1"/>
  <c r="AM48" i="22"/>
  <c r="AN48" i="22" s="1"/>
  <c r="AK49" i="22"/>
  <c r="AL49" i="22" s="1"/>
  <c r="AK55" i="22"/>
  <c r="AL55" i="22" s="1"/>
  <c r="AM55" i="22"/>
  <c r="AN55" i="22" s="1"/>
  <c r="AO55" i="22"/>
  <c r="AP55" i="22" s="1"/>
  <c r="AI56" i="22"/>
  <c r="AJ56" i="22" s="1"/>
  <c r="AK56" i="22"/>
  <c r="AL56" i="22" s="1"/>
  <c r="AM56" i="22"/>
  <c r="AN56" i="22" s="1"/>
  <c r="AQ56" i="22"/>
  <c r="AR56" i="22" s="1"/>
  <c r="AI57" i="22"/>
  <c r="AJ57" i="22" s="1"/>
  <c r="AK57" i="22"/>
  <c r="AL57" i="22" s="1"/>
  <c r="AO57" i="22"/>
  <c r="AP57" i="22" s="1"/>
  <c r="AO58" i="22"/>
  <c r="AP58" i="22" s="1"/>
  <c r="AQ58" i="22"/>
  <c r="AR58" i="22" s="1"/>
  <c r="AQ60" i="22"/>
  <c r="AR60" i="22" s="1"/>
  <c r="AI61" i="22"/>
  <c r="AJ61" i="22" s="1"/>
  <c r="AO197" i="22"/>
  <c r="AP197" i="22" s="1"/>
  <c r="AI93" i="22"/>
  <c r="AJ93" i="22" s="1"/>
  <c r="AI96" i="22"/>
  <c r="AJ96" i="22" s="1"/>
  <c r="AI110" i="22"/>
  <c r="AJ110" i="22" s="1"/>
  <c r="AI28" i="22"/>
  <c r="AJ28" i="22" s="1"/>
  <c r="AI74" i="22"/>
  <c r="AJ74" i="22" s="1"/>
  <c r="AI10" i="22"/>
  <c r="AJ10" i="22" s="1"/>
  <c r="AM23" i="22"/>
  <c r="AN23" i="22" s="1"/>
  <c r="AQ29" i="22"/>
  <c r="AR29" i="22" s="1"/>
  <c r="AQ35" i="22"/>
  <c r="AR35" i="22" s="1"/>
  <c r="AM39" i="22"/>
  <c r="AN39" i="22" s="1"/>
  <c r="AQ42" i="22"/>
  <c r="AR42" i="22" s="1"/>
  <c r="AQ61" i="22"/>
  <c r="AR61" i="22" s="1"/>
  <c r="AQ64" i="22"/>
  <c r="AR64" i="22" s="1"/>
  <c r="AM72" i="22"/>
  <c r="AN72" i="22" s="1"/>
  <c r="AQ75" i="22"/>
  <c r="AR75" i="22" s="1"/>
  <c r="AM11" i="22"/>
  <c r="AN11" i="22" s="1"/>
  <c r="AM22" i="22"/>
  <c r="AN22" i="22" s="1"/>
  <c r="AI23" i="22"/>
  <c r="AJ23" i="22" s="1"/>
  <c r="AM24" i="22"/>
  <c r="AN24" i="22" s="1"/>
  <c r="AI35" i="22"/>
  <c r="AJ35" i="22" s="1"/>
  <c r="AK37" i="22"/>
  <c r="AL37" i="22" s="1"/>
  <c r="AM40" i="22"/>
  <c r="AN40" i="22" s="1"/>
  <c r="AI41" i="22"/>
  <c r="AJ41" i="22" s="1"/>
  <c r="AK41" i="22"/>
  <c r="AL41" i="22" s="1"/>
  <c r="AO41" i="22"/>
  <c r="AP41" i="22" s="1"/>
  <c r="AK42" i="22"/>
  <c r="AL42" i="22" s="1"/>
  <c r="AM44" i="22"/>
  <c r="AN44" i="22" s="1"/>
  <c r="AK46" i="22"/>
  <c r="AL46" i="22" s="1"/>
  <c r="AO46" i="22"/>
  <c r="AP46" i="22" s="1"/>
  <c r="AM47" i="22"/>
  <c r="AN47" i="22" s="1"/>
  <c r="AK48" i="22"/>
  <c r="AL48" i="22" s="1"/>
  <c r="AM49" i="22"/>
  <c r="AN49" i="22" s="1"/>
  <c r="AO49" i="22"/>
  <c r="AP49" i="22" s="1"/>
  <c r="AK59" i="22"/>
  <c r="AL59" i="22" s="1"/>
  <c r="AO60" i="22"/>
  <c r="AP60" i="22" s="1"/>
  <c r="AK61" i="22"/>
  <c r="AL61" i="22" s="1"/>
  <c r="AI63" i="22"/>
  <c r="AJ63" i="22" s="1"/>
  <c r="AM63" i="22"/>
  <c r="AN63" i="22" s="1"/>
  <c r="AK64" i="22"/>
  <c r="AL64" i="22" s="1"/>
  <c r="AI67" i="22"/>
  <c r="AJ67" i="22" s="1"/>
  <c r="AO67" i="22"/>
  <c r="AP67" i="22" s="1"/>
  <c r="AI68" i="22"/>
  <c r="AJ68" i="22" s="1"/>
  <c r="AK86" i="22"/>
  <c r="AL86" i="22" s="1"/>
  <c r="AM86" i="22"/>
  <c r="AN86" i="22" s="1"/>
  <c r="AI88" i="22"/>
  <c r="AJ88" i="22" s="1"/>
  <c r="AM88" i="22"/>
  <c r="AN88" i="22" s="1"/>
  <c r="AO88" i="22"/>
  <c r="AP88" i="22" s="1"/>
  <c r="AK89" i="22"/>
  <c r="AL89" i="22" s="1"/>
  <c r="AO89" i="22"/>
  <c r="AP89" i="22" s="1"/>
  <c r="AI90" i="22"/>
  <c r="AJ90" i="22" s="1"/>
  <c r="AI91" i="22"/>
  <c r="AJ91" i="22" s="1"/>
  <c r="AM100" i="22"/>
  <c r="AN100" i="22" s="1"/>
  <c r="AO100" i="22"/>
  <c r="AP100" i="22" s="1"/>
  <c r="AK102" i="22"/>
  <c r="AL102" i="22" s="1"/>
  <c r="AM102" i="22"/>
  <c r="AN102" i="22" s="1"/>
  <c r="AI103" i="22"/>
  <c r="AJ103" i="22" s="1"/>
  <c r="AK103" i="22"/>
  <c r="AL103" i="22" s="1"/>
  <c r="AM103" i="22"/>
  <c r="AN103" i="22" s="1"/>
  <c r="AO103" i="22"/>
  <c r="AP103" i="22" s="1"/>
  <c r="AM104" i="22"/>
  <c r="AN104" i="22" s="1"/>
  <c r="AI105" i="22"/>
  <c r="AJ105" i="22" s="1"/>
  <c r="AK114" i="22"/>
  <c r="AL114" i="22" s="1"/>
  <c r="AI116" i="22"/>
  <c r="AJ116" i="22" s="1"/>
  <c r="AK116" i="22"/>
  <c r="AL116" i="22" s="1"/>
  <c r="AM116" i="22"/>
  <c r="AN116" i="22" s="1"/>
  <c r="AO116" i="22"/>
  <c r="AP116" i="22" s="1"/>
  <c r="AI117" i="22"/>
  <c r="AJ117" i="22" s="1"/>
  <c r="AK117" i="22"/>
  <c r="AL117" i="22" s="1"/>
  <c r="AM117" i="22"/>
  <c r="AN117" i="22" s="1"/>
  <c r="AO117" i="22"/>
  <c r="AP117" i="22" s="1"/>
  <c r="AI118" i="22"/>
  <c r="AJ118" i="22" s="1"/>
  <c r="AK118" i="22"/>
  <c r="AL118" i="22" s="1"/>
  <c r="AO118" i="22"/>
  <c r="AP118" i="22" s="1"/>
  <c r="AM119" i="22"/>
  <c r="AN119" i="22" s="1"/>
  <c r="AO119" i="22"/>
  <c r="AP119" i="22" s="1"/>
  <c r="AI128" i="22"/>
  <c r="AJ128" i="22" s="1"/>
  <c r="AK128" i="22"/>
  <c r="AL128" i="22" s="1"/>
  <c r="AM128" i="22"/>
  <c r="AN128" i="22" s="1"/>
  <c r="AI130" i="22"/>
  <c r="AJ130" i="22" s="1"/>
  <c r="AM130" i="22"/>
  <c r="AN130" i="22" s="1"/>
  <c r="AO130" i="22"/>
  <c r="AP130" i="22" s="1"/>
  <c r="AI131" i="22"/>
  <c r="AJ131" i="22" s="1"/>
  <c r="AM131" i="22"/>
  <c r="AN131" i="22" s="1"/>
  <c r="AO131" i="22"/>
  <c r="AP131" i="22" s="1"/>
  <c r="AI132" i="22"/>
  <c r="AJ132" i="22" s="1"/>
  <c r="AK132" i="22"/>
  <c r="AL132" i="22" s="1"/>
  <c r="AM132" i="22"/>
  <c r="AN132" i="22" s="1"/>
  <c r="AO132" i="22"/>
  <c r="AP132" i="22" s="1"/>
  <c r="AI133" i="22"/>
  <c r="AJ133" i="22" s="1"/>
  <c r="AK133" i="22"/>
  <c r="AL133" i="22" s="1"/>
  <c r="AO10" i="22"/>
  <c r="AP10" i="22" s="1"/>
  <c r="AI12" i="22"/>
  <c r="AJ12" i="22" s="1"/>
  <c r="AO11" i="22"/>
  <c r="AP11" i="22" s="1"/>
  <c r="AI22" i="22"/>
  <c r="AJ22" i="22" s="1"/>
  <c r="AO22" i="22"/>
  <c r="AP22" i="22" s="1"/>
  <c r="AK23" i="22"/>
  <c r="AL23" i="22" s="1"/>
  <c r="AO23" i="22"/>
  <c r="AP23" i="22" s="1"/>
  <c r="AI24" i="22"/>
  <c r="AJ24" i="22" s="1"/>
  <c r="AO24" i="22"/>
  <c r="AP24" i="22" s="1"/>
  <c r="AK35" i="22"/>
  <c r="AL35" i="22" s="1"/>
  <c r="AI36" i="22"/>
  <c r="AJ36" i="22" s="1"/>
  <c r="AM36" i="22"/>
  <c r="AN36" i="22" s="1"/>
  <c r="AI37" i="22"/>
  <c r="AJ37" i="22" s="1"/>
  <c r="AM37" i="22"/>
  <c r="AN37" i="22" s="1"/>
  <c r="AI39" i="22"/>
  <c r="AJ39" i="22" s="1"/>
  <c r="AO39" i="22"/>
  <c r="AP39" i="22" s="1"/>
  <c r="AI40" i="22"/>
  <c r="AJ40" i="22" s="1"/>
  <c r="AO40" i="22"/>
  <c r="AP40" i="22" s="1"/>
  <c r="AM41" i="22"/>
  <c r="AN41" i="22" s="1"/>
  <c r="AI42" i="22"/>
  <c r="AJ42" i="22" s="1"/>
  <c r="AI43" i="22"/>
  <c r="AJ43" i="22" s="1"/>
  <c r="AO43" i="22"/>
  <c r="AP43" i="22" s="1"/>
  <c r="AK44" i="22"/>
  <c r="AL44" i="22" s="1"/>
  <c r="AI46" i="22"/>
  <c r="AJ46" i="22" s="1"/>
  <c r="AM46" i="22"/>
  <c r="AN46" i="22" s="1"/>
  <c r="AI47" i="22"/>
  <c r="AJ47" i="22" s="1"/>
  <c r="AK47" i="22"/>
  <c r="AL47" i="22" s="1"/>
  <c r="AI48" i="22"/>
  <c r="AJ48" i="22" s="1"/>
  <c r="AO48" i="22"/>
  <c r="AP48" i="22" s="1"/>
  <c r="AI49" i="22"/>
  <c r="AJ49" i="22" s="1"/>
  <c r="AI58" i="22"/>
  <c r="AJ58" i="22" s="1"/>
  <c r="AM58" i="22"/>
  <c r="AN58" i="22" s="1"/>
  <c r="AI59" i="22"/>
  <c r="AJ59" i="22" s="1"/>
  <c r="AI60" i="22"/>
  <c r="AJ60" i="22" s="1"/>
  <c r="AM61" i="22"/>
  <c r="AN61" i="22" s="1"/>
  <c r="AO61" i="22"/>
  <c r="AP61" i="22" s="1"/>
  <c r="AO63" i="22"/>
  <c r="AP63" i="22" s="1"/>
  <c r="AI64" i="22"/>
  <c r="AJ64" i="22" s="1"/>
  <c r="AM64" i="22"/>
  <c r="AN64" i="22" s="1"/>
  <c r="AK67" i="22"/>
  <c r="AL67" i="22" s="1"/>
  <c r="AM68" i="22"/>
  <c r="AN68" i="22" s="1"/>
  <c r="AO86" i="22"/>
  <c r="AP86" i="22" s="1"/>
  <c r="AM89" i="22"/>
  <c r="AN89" i="22" s="1"/>
  <c r="AM90" i="22"/>
  <c r="AN90" i="22" s="1"/>
  <c r="AK91" i="22"/>
  <c r="AL91" i="22" s="1"/>
  <c r="AK100" i="22"/>
  <c r="AL100" i="22" s="1"/>
  <c r="AM105" i="22"/>
  <c r="AN105" i="22" s="1"/>
  <c r="AK16" i="22"/>
  <c r="AL16" i="22" s="1"/>
  <c r="AM16" i="22"/>
  <c r="AN16" i="22" s="1"/>
  <c r="AI17" i="22"/>
  <c r="AJ17" i="22" s="1"/>
  <c r="AM17" i="22"/>
  <c r="AN17" i="22" s="1"/>
  <c r="AO17" i="22"/>
  <c r="AP17" i="22" s="1"/>
  <c r="AQ17" i="22"/>
  <c r="AR17" i="22" s="1"/>
  <c r="AK18" i="22"/>
  <c r="AL18" i="22" s="1"/>
  <c r="AM18" i="22"/>
  <c r="AN18" i="22" s="1"/>
  <c r="AQ22" i="22"/>
  <c r="AR22" i="22" s="1"/>
  <c r="AQ24" i="22"/>
  <c r="AR24" i="22" s="1"/>
  <c r="AK28" i="22"/>
  <c r="AL28" i="22" s="1"/>
  <c r="AM28" i="22"/>
  <c r="AN28" i="22" s="1"/>
  <c r="AI29" i="22"/>
  <c r="AJ29" i="22" s="1"/>
  <c r="AM29" i="22"/>
  <c r="AN29" i="22" s="1"/>
  <c r="AO29" i="22"/>
  <c r="AP29" i="22" s="1"/>
  <c r="AI30" i="22"/>
  <c r="AJ30" i="22" s="1"/>
  <c r="AK30" i="22"/>
  <c r="AL30" i="22" s="1"/>
  <c r="AM43" i="22"/>
  <c r="AN43" i="22" s="1"/>
  <c r="AO47" i="22"/>
  <c r="AP47" i="22" s="1"/>
  <c r="AQ49" i="22"/>
  <c r="AR49" i="22" s="1"/>
  <c r="AK60" i="22"/>
  <c r="AL60" i="22" s="1"/>
  <c r="AM60" i="22"/>
  <c r="AN60" i="22" s="1"/>
  <c r="AQ68" i="22"/>
  <c r="AR68" i="22" s="1"/>
  <c r="AM70" i="22"/>
  <c r="AN70" i="22" s="1"/>
  <c r="AO70" i="22"/>
  <c r="AP70" i="22" s="1"/>
  <c r="AI71" i="22"/>
  <c r="AJ71" i="22" s="1"/>
  <c r="AM71" i="22"/>
  <c r="AN71" i="22" s="1"/>
  <c r="AO71" i="22"/>
  <c r="AP71" i="22" s="1"/>
  <c r="AQ71" i="22"/>
  <c r="AR71" i="22" s="1"/>
  <c r="AI72" i="22"/>
  <c r="AJ72" i="22" s="1"/>
  <c r="AK72" i="22"/>
  <c r="AL72" i="22" s="1"/>
  <c r="AI73" i="22"/>
  <c r="AJ73" i="22" s="1"/>
  <c r="AO73" i="22"/>
  <c r="AP73" i="22" s="1"/>
  <c r="AQ73" i="22"/>
  <c r="AR73" i="22" s="1"/>
  <c r="AM74" i="22"/>
  <c r="AN74" i="22" s="1"/>
  <c r="AO74" i="22"/>
  <c r="AP74" i="22" s="1"/>
  <c r="AM75" i="22"/>
  <c r="AN75" i="22" s="1"/>
  <c r="AI76" i="22"/>
  <c r="AJ76" i="22" s="1"/>
  <c r="AK76" i="22"/>
  <c r="AL76" i="22" s="1"/>
  <c r="AI78" i="22"/>
  <c r="AJ78" i="22" s="1"/>
  <c r="AK78" i="22"/>
  <c r="AL78" i="22" s="1"/>
  <c r="AM78" i="22"/>
  <c r="AN78" i="22" s="1"/>
  <c r="AQ78" i="22"/>
  <c r="AR78" i="22" s="1"/>
  <c r="AI79" i="22"/>
  <c r="AJ79" i="22" s="1"/>
  <c r="AK79" i="22"/>
  <c r="AL79" i="22" s="1"/>
  <c r="AO79" i="22"/>
  <c r="AP79" i="22" s="1"/>
  <c r="AK93" i="22"/>
  <c r="AL93" i="22" s="1"/>
  <c r="AM93" i="22"/>
  <c r="AN93" i="22" s="1"/>
  <c r="AO93" i="22"/>
  <c r="AP93" i="22" s="1"/>
  <c r="AI95" i="22"/>
  <c r="AJ95" i="22" s="1"/>
  <c r="AM95" i="22"/>
  <c r="AN95" i="22" s="1"/>
  <c r="AO95" i="22"/>
  <c r="AP95" i="22" s="1"/>
  <c r="AQ95" i="22"/>
  <c r="AR95" i="22" s="1"/>
  <c r="AK96" i="22"/>
  <c r="AL96" i="22" s="1"/>
  <c r="AM96" i="22"/>
  <c r="AN96" i="22" s="1"/>
  <c r="AO96" i="22"/>
  <c r="AP96" i="22" s="1"/>
  <c r="AI97" i="22"/>
  <c r="AJ97" i="22" s="1"/>
  <c r="AM97" i="22"/>
  <c r="AN97" i="22" s="1"/>
  <c r="AQ97" i="22"/>
  <c r="AR97" i="22" s="1"/>
  <c r="AI98" i="22"/>
  <c r="AJ98" i="22" s="1"/>
  <c r="AK98" i="22"/>
  <c r="AL98" i="22" s="1"/>
  <c r="AI107" i="22"/>
  <c r="AJ107" i="22" s="1"/>
  <c r="AK107" i="22"/>
  <c r="AL107" i="22" s="1"/>
  <c r="AO107" i="22"/>
  <c r="AP107" i="22" s="1"/>
  <c r="AI109" i="22"/>
  <c r="AJ109" i="22" s="1"/>
  <c r="AM109" i="22"/>
  <c r="AN109" i="22" s="1"/>
  <c r="AQ109" i="22"/>
  <c r="AR109" i="22" s="1"/>
  <c r="AK110" i="22"/>
  <c r="AL110" i="22" s="1"/>
  <c r="AI111" i="22"/>
  <c r="AJ111" i="22" s="1"/>
  <c r="AM111" i="22"/>
  <c r="AN111" i="22" s="1"/>
  <c r="AQ111" i="22"/>
  <c r="AR111" i="22" s="1"/>
  <c r="AK112" i="22"/>
  <c r="AL112" i="22" s="1"/>
  <c r="AK121" i="22"/>
  <c r="AL121" i="22" s="1"/>
  <c r="AI142" i="22"/>
  <c r="AJ142" i="22" s="1"/>
  <c r="AK142" i="22"/>
  <c r="AL142" i="22" s="1"/>
  <c r="AM142" i="22"/>
  <c r="AN142" i="22" s="1"/>
  <c r="AI144" i="22"/>
  <c r="AJ144" i="22" s="1"/>
  <c r="AK144" i="22"/>
  <c r="AL144" i="22" s="1"/>
  <c r="AO144" i="22"/>
  <c r="AP144" i="22" s="1"/>
  <c r="AK145" i="22"/>
  <c r="AL145" i="22" s="1"/>
  <c r="AM145" i="22"/>
  <c r="AN145" i="22" s="1"/>
  <c r="AI146" i="22"/>
  <c r="AJ146" i="22" s="1"/>
  <c r="AK146" i="22"/>
  <c r="AL146" i="22" s="1"/>
  <c r="AM146" i="22"/>
  <c r="AN146" i="22" s="1"/>
  <c r="AI147" i="22"/>
  <c r="AJ147" i="22" s="1"/>
  <c r="AM147" i="22"/>
  <c r="AN147" i="22" s="1"/>
  <c r="AI152" i="22"/>
  <c r="AJ152" i="22" s="1"/>
  <c r="AK152" i="22"/>
  <c r="AL152" i="22" s="1"/>
  <c r="AM153" i="22"/>
  <c r="AN153" i="22" s="1"/>
  <c r="AI154" i="22"/>
  <c r="AJ154" i="22" s="1"/>
  <c r="AK154" i="22"/>
  <c r="AL154" i="22" s="1"/>
  <c r="AM154" i="22"/>
  <c r="AN154" i="22" s="1"/>
  <c r="AK187" i="22"/>
  <c r="AL187" i="22" s="1"/>
  <c r="AM10" i="22"/>
  <c r="AN10" i="22" s="1"/>
  <c r="AK10" i="22"/>
  <c r="AL10" i="22" s="1"/>
  <c r="AO12" i="22"/>
  <c r="AP12" i="22" s="1"/>
  <c r="AM12" i="22"/>
  <c r="AN12" i="22" s="1"/>
  <c r="AK11" i="22"/>
  <c r="AL11" i="22" s="1"/>
  <c r="AI11" i="22"/>
  <c r="AJ11" i="22" s="1"/>
  <c r="AO35" i="22"/>
  <c r="AP35" i="22" s="1"/>
  <c r="AK36" i="22"/>
  <c r="AL36" i="22" s="1"/>
  <c r="AO37" i="22"/>
  <c r="AP37" i="22" s="1"/>
  <c r="AK39" i="22"/>
  <c r="AL39" i="22" s="1"/>
  <c r="AO42" i="22"/>
  <c r="AP42" i="22" s="1"/>
  <c r="AK43" i="22"/>
  <c r="AL43" i="22" s="1"/>
  <c r="AO44" i="22"/>
  <c r="AP44" i="22" s="1"/>
  <c r="AK58" i="22"/>
  <c r="AL58" i="22" s="1"/>
  <c r="AO59" i="22"/>
  <c r="AP59" i="22" s="1"/>
  <c r="AK63" i="22"/>
  <c r="AL63" i="22" s="1"/>
  <c r="AO68" i="22"/>
  <c r="AP68" i="22" s="1"/>
  <c r="AK90" i="22"/>
  <c r="AL90" i="22" s="1"/>
  <c r="AO91" i="22"/>
  <c r="AP91" i="22" s="1"/>
  <c r="AO114" i="22"/>
  <c r="AP114" i="22" s="1"/>
  <c r="AO128" i="22"/>
  <c r="AP128" i="22" s="1"/>
  <c r="AO133" i="22"/>
  <c r="AP133" i="22" s="1"/>
  <c r="AO152" i="22"/>
  <c r="AP152" i="22" s="1"/>
  <c r="AK153" i="22"/>
  <c r="AL153" i="22" s="1"/>
  <c r="AO154" i="22"/>
  <c r="AP154" i="22" s="1"/>
  <c r="AK155" i="22"/>
  <c r="AL155" i="22" s="1"/>
  <c r="AM155" i="22"/>
  <c r="AN155" i="22" s="1"/>
  <c r="AO155" i="22"/>
  <c r="AP155" i="22" s="1"/>
  <c r="AI164" i="22"/>
  <c r="AJ164" i="22" s="1"/>
  <c r="AM164" i="22"/>
  <c r="AN164" i="22" s="1"/>
  <c r="AO164" i="22"/>
  <c r="AP164" i="22" s="1"/>
  <c r="AM166" i="22"/>
  <c r="AN166" i="22" s="1"/>
  <c r="AO166" i="22"/>
  <c r="AP166" i="22" s="1"/>
  <c r="AI167" i="22"/>
  <c r="AJ167" i="22" s="1"/>
  <c r="AK167" i="22"/>
  <c r="AL167" i="22" s="1"/>
  <c r="AM168" i="22"/>
  <c r="AN168" i="22" s="1"/>
  <c r="AO168" i="22"/>
  <c r="AP168" i="22" s="1"/>
  <c r="AQ168" i="22"/>
  <c r="AR168" i="22" s="1"/>
  <c r="AI169" i="22"/>
  <c r="AJ169" i="22" s="1"/>
  <c r="AM169" i="22"/>
  <c r="AN169" i="22" s="1"/>
  <c r="AI178" i="22"/>
  <c r="AJ178" i="22" s="1"/>
  <c r="AK178" i="22"/>
  <c r="AL178" i="22" s="1"/>
  <c r="AM178" i="22"/>
  <c r="AN178" i="22" s="1"/>
  <c r="AO178" i="22"/>
  <c r="AP178" i="22" s="1"/>
  <c r="AI180" i="22"/>
  <c r="AJ180" i="22" s="1"/>
  <c r="AO180" i="22"/>
  <c r="AP180" i="22" s="1"/>
  <c r="AQ180" i="22"/>
  <c r="AR180" i="22" s="1"/>
  <c r="AI181" i="22"/>
  <c r="AJ181" i="22" s="1"/>
  <c r="AM181" i="22"/>
  <c r="AN181" i="22" s="1"/>
  <c r="AO181" i="22"/>
  <c r="AP181" i="22" s="1"/>
  <c r="AI182" i="22"/>
  <c r="AJ182" i="22" s="1"/>
  <c r="AK182" i="22"/>
  <c r="AL182" i="22" s="1"/>
  <c r="AO182" i="22"/>
  <c r="AP182" i="22" s="1"/>
  <c r="AQ182" i="22"/>
  <c r="AR182" i="22" s="1"/>
  <c r="AI183" i="22"/>
  <c r="AJ183" i="22" s="1"/>
  <c r="AK183" i="22"/>
  <c r="AL183" i="22" s="1"/>
  <c r="AM183" i="22"/>
  <c r="AN183" i="22" s="1"/>
  <c r="AI192" i="22"/>
  <c r="AJ192" i="22" s="1"/>
  <c r="AK192" i="22"/>
  <c r="AL192" i="22" s="1"/>
  <c r="AO192" i="22"/>
  <c r="AP192" i="22" s="1"/>
  <c r="AK197" i="22"/>
  <c r="AL197" i="22" s="1"/>
  <c r="AM197" i="22"/>
  <c r="AN197" i="22" s="1"/>
  <c r="AM121" i="22"/>
  <c r="AN121" i="22" s="1"/>
  <c r="AI123" i="22"/>
  <c r="AJ123" i="22" s="1"/>
  <c r="AM123" i="22"/>
  <c r="AN123" i="22" s="1"/>
  <c r="AO123" i="22"/>
  <c r="AP123" i="22" s="1"/>
  <c r="AI124" i="22"/>
  <c r="AJ124" i="22" s="1"/>
  <c r="AK124" i="22"/>
  <c r="AL124" i="22" s="1"/>
  <c r="AM124" i="22"/>
  <c r="AN124" i="22" s="1"/>
  <c r="AI125" i="22"/>
  <c r="AJ125" i="22" s="1"/>
  <c r="AK125" i="22"/>
  <c r="AL125" i="22" s="1"/>
  <c r="AO125" i="22"/>
  <c r="AP125" i="22" s="1"/>
  <c r="AQ125" i="22"/>
  <c r="AR125" i="22" s="1"/>
  <c r="AI126" i="22"/>
  <c r="AJ126" i="22" s="1"/>
  <c r="AK126" i="22"/>
  <c r="AL126" i="22" s="1"/>
  <c r="AI135" i="22"/>
  <c r="AJ135" i="22" s="1"/>
  <c r="AK135" i="22"/>
  <c r="AL135" i="22" s="1"/>
  <c r="AI137" i="22"/>
  <c r="AJ137" i="22" s="1"/>
  <c r="AK137" i="22"/>
  <c r="AL137" i="22" s="1"/>
  <c r="AO137" i="22"/>
  <c r="AP137" i="22" s="1"/>
  <c r="AQ137" i="22"/>
  <c r="AR137" i="22" s="1"/>
  <c r="AI138" i="22"/>
  <c r="AJ138" i="22" s="1"/>
  <c r="AM138" i="22"/>
  <c r="AN138" i="22" s="1"/>
  <c r="AO138" i="22"/>
  <c r="AP138" i="22" s="1"/>
  <c r="AI139" i="22"/>
  <c r="AJ139" i="22" s="1"/>
  <c r="AK139" i="22"/>
  <c r="AL139" i="22" s="1"/>
  <c r="AO139" i="22"/>
  <c r="AP139" i="22" s="1"/>
  <c r="AQ139" i="22"/>
  <c r="AR139" i="22" s="1"/>
  <c r="AK140" i="22"/>
  <c r="AL140" i="22" s="1"/>
  <c r="AM140" i="22"/>
  <c r="AN140" i="22" s="1"/>
  <c r="AI150" i="22"/>
  <c r="AJ150" i="22" s="1"/>
  <c r="AM150" i="22"/>
  <c r="AN150" i="22" s="1"/>
  <c r="AO150" i="22"/>
  <c r="AP150" i="22" s="1"/>
  <c r="AK166" i="22"/>
  <c r="AL166" i="22" s="1"/>
  <c r="AO167" i="22"/>
  <c r="AP167" i="22" s="1"/>
  <c r="AK168" i="22"/>
  <c r="AL168" i="22" s="1"/>
  <c r="AO169" i="22"/>
  <c r="AP169" i="22" s="1"/>
  <c r="AK180" i="22"/>
  <c r="AL180" i="22" s="1"/>
  <c r="AK70" i="22"/>
  <c r="AL70" i="22" s="1"/>
  <c r="BR42" i="22" l="1" a="1"/>
  <c r="BR42" i="22" s="1"/>
  <c r="AR6" i="22"/>
  <c r="BR47" i="22" s="1"/>
  <c r="BR49" i="22" s="1"/>
  <c r="E8" i="20" l="1" a="1"/>
  <c r="E8" i="20" s="1"/>
  <c r="D8" i="20" a="1"/>
  <c r="D8" i="20" s="1"/>
  <c r="C8" i="20" a="1"/>
  <c r="C8" i="20" s="1"/>
  <c r="B8" i="20" a="1"/>
  <c r="B8" i="20" s="1"/>
  <c r="A8" i="20" a="1"/>
  <c r="A8" i="20" s="1"/>
  <c r="W77" i="11" l="1"/>
  <c r="W52" i="11"/>
  <c r="W28" i="11"/>
  <c r="W7" i="11"/>
  <c r="AJ6" i="22" l="1"/>
  <c r="AN6" i="22"/>
  <c r="BH47" i="22" s="1"/>
  <c r="BH49" i="22" s="1"/>
  <c r="AP6" i="22"/>
  <c r="BM47" i="22" s="1"/>
  <c r="BM49" i="22" s="1"/>
  <c r="BM42" i="22" l="1" a="1"/>
  <c r="BM42" i="22" s="1"/>
  <c r="BM44" i="22" s="1"/>
  <c r="AX42" i="22"/>
  <c r="AL6" i="22"/>
  <c r="BC47" i="22" s="1"/>
  <c r="BC49" i="22" s="1"/>
  <c r="AE6" i="22"/>
  <c r="BC42" i="22" l="1" a="1"/>
  <c r="BC42" i="22" s="1"/>
  <c r="BC44" i="22" s="1"/>
  <c r="BH42" i="22" a="1"/>
  <c r="BH42" i="22" s="1"/>
  <c r="BH44" i="22" s="1"/>
  <c r="BR44" i="22"/>
  <c r="C50" i="11"/>
  <c r="C58" i="11"/>
  <c r="C85" i="11"/>
  <c r="C74" i="11"/>
  <c r="C34" i="11"/>
  <c r="C100" i="11"/>
  <c r="B74" i="11"/>
  <c r="B100" i="11"/>
  <c r="B50" i="11"/>
  <c r="B34" i="11"/>
  <c r="B58" i="11" l="1"/>
  <c r="B85" i="11"/>
  <c r="B13" i="11"/>
  <c r="F74" i="11" l="1"/>
  <c r="F100" i="11"/>
  <c r="D100" i="11"/>
  <c r="D74" i="11"/>
  <c r="D13" i="11"/>
  <c r="D50" i="11"/>
  <c r="F50" i="11"/>
  <c r="F13" i="11" l="1"/>
  <c r="D85" i="11"/>
  <c r="D58" i="11"/>
  <c r="D34" i="11"/>
  <c r="E13" i="11" l="1"/>
  <c r="G13" i="11" s="1"/>
  <c r="E58" i="11"/>
  <c r="E50" i="11"/>
  <c r="G50" i="11" s="1"/>
  <c r="F85" i="11"/>
  <c r="E74" i="11"/>
  <c r="G74" i="11" s="1"/>
  <c r="F58" i="11"/>
  <c r="E100" i="11"/>
  <c r="G100" i="11" s="1"/>
  <c r="G58" i="11" l="1"/>
  <c r="E85" i="11"/>
  <c r="G85" i="11" s="1"/>
  <c r="E34" i="11"/>
  <c r="G34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<sst xmlns="http://schemas.openxmlformats.org/spreadsheetml/2006/main" count="560" uniqueCount="102">
  <si>
    <t>QUEM?</t>
  </si>
  <si>
    <t>QUANDO?</t>
  </si>
  <si>
    <t>ENTREGUE</t>
  </si>
  <si>
    <t>TOTAL</t>
  </si>
  <si>
    <t>ADERENCIA</t>
  </si>
  <si>
    <t>ANA</t>
  </si>
  <si>
    <t>ADRIANO</t>
  </si>
  <si>
    <t>JOÃO</t>
  </si>
  <si>
    <t>MARCOS</t>
  </si>
  <si>
    <t>STATUS</t>
  </si>
  <si>
    <t>ENGENHARIA</t>
  </si>
  <si>
    <t>ROGERIO</t>
  </si>
  <si>
    <t>PLANO DE AÇÃO</t>
  </si>
  <si>
    <t>NADA</t>
  </si>
  <si>
    <t>ADERÊNCIA SEMANAL</t>
  </si>
  <si>
    <t>ADERÊNCIA ACUMULADA</t>
  </si>
  <si>
    <t>VAZIO</t>
  </si>
  <si>
    <t>MARCO | ENTREGA</t>
  </si>
  <si>
    <t>ENTREGA</t>
  </si>
  <si>
    <t>MARCO</t>
  </si>
  <si>
    <t>Aprovação do Cliente</t>
  </si>
  <si>
    <t>ADERÊNCIA ACUMULADA 1</t>
  </si>
  <si>
    <t>ADERÊNCIA SEMANA 1</t>
  </si>
  <si>
    <t>ADERÊNCIA SEMANA 2</t>
  </si>
  <si>
    <t>ADERÊNCIA SEMANA 3</t>
  </si>
  <si>
    <t>ADERÊNCIA SEMANA 4</t>
  </si>
  <si>
    <t>ADERÊNCIA ACUMULADA 3</t>
  </si>
  <si>
    <t>ADERÊNCIA ACUMULADA 2</t>
  </si>
  <si>
    <t xml:space="preserve">ADERÊNCIA SEMANAL </t>
  </si>
  <si>
    <t xml:space="preserve">ADERÊNCIA ACUMULADA </t>
  </si>
  <si>
    <t>OBS</t>
  </si>
  <si>
    <t>EFPRAZO E ENTREGUE</t>
  </si>
  <si>
    <t>ATRASADO</t>
  </si>
  <si>
    <t>RISCO</t>
  </si>
  <si>
    <t>VALE - CONTRATO 580 - ACG</t>
  </si>
  <si>
    <t>ETAPA DE ESCRITÓRIO</t>
  </si>
  <si>
    <t>PT148 - Avaliação Estrutural - Telhados Refeitórios - Serra Leste</t>
  </si>
  <si>
    <t>MARCO - RELATÓRIOS TÉCNICOS</t>
  </si>
  <si>
    <t>Certificação do documento - Vibracon</t>
  </si>
  <si>
    <t>MARCO - Envio do documento Certificado (Rev_0)</t>
  </si>
  <si>
    <t>PT148 - Avaliação Estrutural - Telhados Refeitórios - Manganês</t>
  </si>
  <si>
    <t>PT148 - Avaliação Estrutural - Telhados Refeitórios - Açai, Cupuaçu, Graviola, N5</t>
  </si>
  <si>
    <t>PT148 - Avaliação Estrutural - Telhados Refeitórios - Igarapé Bahia</t>
  </si>
  <si>
    <t>PT208 - PROJETO RIO TANQUE (Itabira)</t>
  </si>
  <si>
    <t>MARCO - Emissão Inicial (Rev_A)</t>
  </si>
  <si>
    <t>PONTE METÁLICA</t>
  </si>
  <si>
    <t>MARCO - AS BUILT</t>
  </si>
  <si>
    <t>MARCO - RELATÓRIO DE CAMPO</t>
  </si>
  <si>
    <t>Modelagem</t>
  </si>
  <si>
    <t>Aplicação das cargas e condições de contorno</t>
  </si>
  <si>
    <t>Análise dos Resultados</t>
  </si>
  <si>
    <t>Elaboração da Memória de Cálculo</t>
  </si>
  <si>
    <t>PONTE DE CONCRETO</t>
  </si>
  <si>
    <t>MURO DE CONTENÇÃO</t>
  </si>
  <si>
    <t>LARGO VANÁDIO MARACÁS</t>
  </si>
  <si>
    <t>INTEGRIDADE ESTRUTURAL - EVAPORAÇÃO E PRÉ EVAPORAÇÃO</t>
  </si>
  <si>
    <t>PLANTA QUÍMICA</t>
  </si>
  <si>
    <t>ÁREA DE PRÉ EVAPORAÇÃO</t>
  </si>
  <si>
    <t>Silo 530 - SI 001</t>
  </si>
  <si>
    <t>Tanque 530 - TQ 08</t>
  </si>
  <si>
    <t>530 - HE 200</t>
  </si>
  <si>
    <t>Tanque - 230 - TQ 008</t>
  </si>
  <si>
    <t>Tanque - 530 - TQ 200</t>
  </si>
  <si>
    <t>ÁREA DE EVAPORAÇÃO</t>
  </si>
  <si>
    <t>550 - CZ 501</t>
  </si>
  <si>
    <t>550 - HE 201</t>
  </si>
  <si>
    <t>Tanque - 550 - TQ 201</t>
  </si>
  <si>
    <t>Tanque - 550 - TQ 203</t>
  </si>
  <si>
    <t>Tanque - 550 - TQ 205</t>
  </si>
  <si>
    <t>Tanque - 550 - TQ 202</t>
  </si>
  <si>
    <t>Tanque - 550 - TQ 206</t>
  </si>
  <si>
    <t>ETAPA DE ESCRITÓRIO - RELATÓRIOS</t>
  </si>
  <si>
    <t>ESTRUTURA DO PRÉDIO INDUSTRIAL</t>
  </si>
  <si>
    <t>Verificação do Laudo</t>
  </si>
  <si>
    <t>MARCO - LAUDO</t>
  </si>
  <si>
    <t>MARCO - Emissão Inicial</t>
  </si>
  <si>
    <t>MARCO - Envio do documento Certificado</t>
  </si>
  <si>
    <t>ADERÊNCIA ACUMULADA 4</t>
  </si>
  <si>
    <t>ADERÊNCIA SEMANA 5</t>
  </si>
  <si>
    <t>Verificação da Memória de Cálculo</t>
  </si>
  <si>
    <t>MARCO - MEMÓRIA DE CÁLCULO</t>
  </si>
  <si>
    <t>GERAL - ÁREA DE EVAPORAÇÃO</t>
  </si>
  <si>
    <t>Verificação do Relatório</t>
  </si>
  <si>
    <t>MARCO - RELATÓRIO</t>
  </si>
  <si>
    <t>GERAL - ÁREA DE PRÉ EVAPORAÇÃO</t>
  </si>
  <si>
    <t>Marcos Freitas</t>
  </si>
  <si>
    <t>Follow-up com o cliente.</t>
  </si>
  <si>
    <t>Alocar recurso (Terceiro ou interno).</t>
  </si>
  <si>
    <t>Entrar em contato com o cliente</t>
  </si>
  <si>
    <t>PT210 - ESPESSADORES</t>
  </si>
  <si>
    <t>ETAPA INICIAL</t>
  </si>
  <si>
    <t>Elaboração da Lista de Desenhos e Documentos</t>
  </si>
  <si>
    <t>ESPESSADOR - ES143K-02</t>
  </si>
  <si>
    <t>MODELO CAD</t>
  </si>
  <si>
    <t>Modelagem CAD 3D</t>
  </si>
  <si>
    <t>ESPESSADOR - ES143K-04</t>
  </si>
  <si>
    <t>Verificação Interna</t>
  </si>
  <si>
    <t>MARCO - MODELO CAD</t>
  </si>
  <si>
    <t>CSN</t>
  </si>
  <si>
    <t>ANÁLISE DE FALHA DA LINHA 2 DE TRANSPORTE DE CIMENTO</t>
  </si>
  <si>
    <t>Modelagem FEM</t>
  </si>
  <si>
    <t>PT211 - PROJETO DETALHADO REFORÇOS GALPÕES EFVM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</si>
</sst>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2C4594"/>
      <name val="Calibri"/>
      <family val="2"/>
      <scheme val="minor"/>
    </font>
    <font>
      <b/>
      <sz val="16"/>
      <color rgb="FF5D914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11"/>
      <color rgb="FF3756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2C4594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11"/>
      <color rgb="FFD5E5D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326A"/>
        <bgColor indexed="64"/>
      </patternFill>
    </fill>
    <fill>
      <patternFill patternType="solid">
        <fgColor rgb="FF3B5C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2"/>
        <bgColor indexed="64"/>
      </patternFill>
    </fill>
    <fill>
      <patternFill patternType="solid">
        <fgColor rgb="FF5A76CE"/>
        <bgColor indexed="64"/>
      </patternFill>
    </fill>
    <fill>
      <patternFill patternType="solid">
        <fgColor rgb="FF889CDC"/>
        <bgColor indexed="64"/>
      </patternFill>
    </fill>
    <fill>
      <patternFill patternType="solid">
        <fgColor rgb="FFB8C4EA"/>
        <bgColor indexed="64"/>
      </patternFill>
    </fill>
    <fill>
      <patternFill patternType="solid">
        <fgColor rgb="FFA5A8A6"/>
        <bgColor indexed="64"/>
      </patternFill>
    </fill>
    <fill>
      <patternFill patternType="solid">
        <fgColor rgb="FFD5E5D1"/>
        <bgColor indexed="64"/>
      </patternFill>
    </fill>
  </fills>
  <borders count="59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rgb="FF2C4594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theme="2"/>
      </bottom>
      <diagonal/>
    </border>
    <border>
      <left/>
      <right style="thin">
        <color rgb="FF2C4594"/>
      </right>
      <top/>
      <bottom/>
      <diagonal/>
    </border>
    <border>
      <left style="thin">
        <color theme="2"/>
      </left>
      <right style="thin">
        <color rgb="FF2C4594"/>
      </right>
      <top/>
      <bottom/>
      <diagonal/>
    </border>
    <border>
      <left style="thin">
        <color rgb="FF2C4594"/>
      </left>
      <right style="thin">
        <color rgb="FF2C4594"/>
      </right>
      <top style="thin">
        <color rgb="FF2C4594"/>
      </top>
      <bottom/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rgb="FFB1BBCC"/>
      </bottom>
      <diagonal/>
    </border>
    <border>
      <left/>
      <right/>
      <top/>
      <bottom style="thin">
        <color rgb="FFB1BBCC"/>
      </bottom>
      <diagonal/>
    </border>
    <border>
      <left/>
      <right style="thin">
        <color theme="2"/>
      </right>
      <top/>
      <bottom style="thin">
        <color rgb="FFB1BB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 applyProtection="1">
      <alignment horizontal="center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9" fontId="1" fillId="4" borderId="12" xfId="0" applyNumberFormat="1" applyFont="1" applyFill="1" applyBorder="1" applyAlignment="1" applyProtection="1">
      <alignment horizontal="center" vertical="center"/>
      <protection locked="0"/>
    </xf>
    <xf numFmtId="9" fontId="1" fillId="4" borderId="13" xfId="0" applyNumberFormat="1" applyFont="1" applyFill="1" applyBorder="1" applyAlignment="1" applyProtection="1">
      <alignment horizontal="center" vertical="center"/>
      <protection locked="0"/>
    </xf>
    <xf numFmtId="9" fontId="1" fillId="4" borderId="16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6" borderId="0" xfId="0" applyFill="1" applyProtection="1">
      <protection locked="0"/>
    </xf>
    <xf numFmtId="0" fontId="1" fillId="5" borderId="17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9" fontId="1" fillId="4" borderId="18" xfId="0" applyNumberFormat="1" applyFont="1" applyFill="1" applyBorder="1" applyAlignment="1" applyProtection="1">
      <alignment horizontal="center" vertical="center"/>
      <protection locked="0"/>
    </xf>
    <xf numFmtId="9" fontId="1" fillId="4" borderId="14" xfId="0" applyNumberFormat="1" applyFont="1" applyFill="1" applyBorder="1" applyAlignment="1" applyProtection="1">
      <alignment horizontal="center" vertical="center"/>
      <protection locked="0"/>
    </xf>
    <xf numFmtId="0" fontId="1" fillId="5" borderId="19" xfId="0" applyFont="1" applyFill="1" applyBorder="1" applyAlignment="1" applyProtection="1">
      <alignment horizontal="center" vertical="center"/>
      <protection locked="0"/>
    </xf>
    <xf numFmtId="0" fontId="1" fillId="5" borderId="20" xfId="0" applyFont="1" applyFill="1" applyBorder="1" applyAlignment="1" applyProtection="1">
      <alignment horizontal="center" vertical="center"/>
      <protection locked="0"/>
    </xf>
    <xf numFmtId="0" fontId="0" fillId="6" borderId="0" xfId="0" applyFill="1"/>
    <xf numFmtId="0" fontId="7" fillId="4" borderId="22" xfId="0" applyFont="1" applyFill="1" applyBorder="1" applyAlignment="1">
      <alignment horizontal="center" vertical="center"/>
    </xf>
    <xf numFmtId="0" fontId="0" fillId="6" borderId="24" xfId="0" applyFill="1" applyBorder="1"/>
    <xf numFmtId="0" fontId="3" fillId="0" borderId="21" xfId="0" applyFont="1" applyBorder="1" applyAlignment="1">
      <alignment horizontal="center" vertical="center"/>
    </xf>
    <xf numFmtId="14" fontId="3" fillId="0" borderId="21" xfId="0" applyNumberFormat="1" applyFont="1" applyBorder="1" applyAlignment="1">
      <alignment horizontal="center" vertical="center"/>
    </xf>
    <xf numFmtId="0" fontId="0" fillId="3" borderId="25" xfId="0" applyFill="1" applyBorder="1"/>
    <xf numFmtId="0" fontId="0" fillId="0" borderId="35" xfId="0" applyBorder="1" applyProtection="1">
      <protection locked="0"/>
    </xf>
    <xf numFmtId="0" fontId="8" fillId="2" borderId="2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2" fillId="7" borderId="22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6" borderId="24" xfId="0" applyFill="1" applyBorder="1" applyAlignment="1">
      <alignment horizontal="left" vertical="center"/>
    </xf>
    <xf numFmtId="0" fontId="3" fillId="0" borderId="21" xfId="0" applyFont="1" applyBorder="1" applyAlignment="1">
      <alignment wrapText="1"/>
    </xf>
    <xf numFmtId="0" fontId="2" fillId="6" borderId="23" xfId="0" applyFont="1" applyFill="1" applyBorder="1" applyAlignment="1" applyProtection="1">
      <alignment vertical="center" wrapText="1"/>
      <protection locked="0"/>
    </xf>
    <xf numFmtId="0" fontId="3" fillId="0" borderId="4" xfId="0" applyFont="1" applyBorder="1" applyAlignment="1">
      <alignment vertical="center" wrapText="1"/>
    </xf>
    <xf numFmtId="0" fontId="3" fillId="0" borderId="21" xfId="0" applyFont="1" applyBorder="1" applyAlignment="1">
      <alignment vertical="center" wrapText="1"/>
    </xf>
    <xf numFmtId="0" fontId="3" fillId="8" borderId="21" xfId="0" applyFont="1" applyFill="1" applyBorder="1" applyAlignment="1">
      <alignment vertical="center" wrapText="1"/>
    </xf>
    <xf numFmtId="0" fontId="3" fillId="8" borderId="21" xfId="0" applyFont="1" applyFill="1" applyBorder="1" applyAlignment="1">
      <alignment horizontal="center" vertical="center"/>
    </xf>
    <xf numFmtId="14" fontId="3" fillId="8" borderId="21" xfId="0" applyNumberFormat="1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left" vertical="center"/>
    </xf>
    <xf numFmtId="0" fontId="0" fillId="5" borderId="0" xfId="0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11" fillId="9" borderId="44" xfId="0" applyFont="1" applyFill="1" applyBorder="1" applyAlignment="1">
      <alignment vertical="center" wrapText="1"/>
    </xf>
    <xf numFmtId="0" fontId="11" fillId="6" borderId="44" xfId="0" applyFont="1" applyFill="1" applyBorder="1" applyAlignment="1">
      <alignment vertical="center" wrapText="1"/>
    </xf>
    <xf numFmtId="0" fontId="11" fillId="10" borderId="44" xfId="0" applyFont="1" applyFill="1" applyBorder="1" applyAlignment="1">
      <alignment vertical="center" wrapText="1"/>
    </xf>
    <xf numFmtId="0" fontId="12" fillId="11" borderId="44" xfId="0" applyFont="1" applyFill="1" applyBorder="1" applyAlignment="1">
      <alignment vertical="center" wrapText="1"/>
    </xf>
    <xf numFmtId="0" fontId="13" fillId="12" borderId="44" xfId="0" applyFont="1" applyFill="1" applyBorder="1" applyAlignment="1">
      <alignment vertical="center" wrapText="1"/>
    </xf>
    <xf numFmtId="0" fontId="14" fillId="11" borderId="44" xfId="0" applyFont="1" applyFill="1" applyBorder="1" applyAlignment="1">
      <alignment vertical="center" wrapText="1"/>
    </xf>
    <xf numFmtId="0" fontId="11" fillId="13" borderId="44" xfId="0" applyFont="1" applyFill="1" applyBorder="1" applyAlignment="1">
      <alignment vertical="center" wrapText="1"/>
    </xf>
    <xf numFmtId="0" fontId="11" fillId="14" borderId="44" xfId="0" applyFont="1" applyFill="1" applyBorder="1" applyAlignment="1">
      <alignment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13" fillId="11" borderId="44" xfId="0" applyFont="1" applyFill="1" applyBorder="1" applyAlignment="1">
      <alignment vertical="center" wrapText="1"/>
    </xf>
    <xf numFmtId="0" fontId="15" fillId="0" borderId="0" xfId="0" applyFont="1"/>
    <xf numFmtId="0" fontId="16" fillId="2" borderId="44" xfId="0" applyFont="1" applyFill="1" applyBorder="1" applyAlignment="1">
      <alignment horizontal="center" vertical="center"/>
    </xf>
    <xf numFmtId="0" fontId="7" fillId="11" borderId="44" xfId="0" applyFont="1" applyFill="1" applyBorder="1" applyAlignment="1">
      <alignment vertical="center" wrapText="1"/>
    </xf>
    <xf numFmtId="0" fontId="15" fillId="0" borderId="52" xfId="0" applyFont="1" applyBorder="1" applyAlignment="1">
      <alignment horizontal="center" vertical="center"/>
    </xf>
    <xf numFmtId="10" fontId="15" fillId="0" borderId="52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0" fillId="8" borderId="0" xfId="0" applyFill="1"/>
    <xf numFmtId="9" fontId="0" fillId="0" borderId="52" xfId="1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9" fontId="0" fillId="0" borderId="52" xfId="0" applyNumberFormat="1" applyBorder="1" applyAlignment="1">
      <alignment horizontal="center" vertical="center"/>
    </xf>
    <xf numFmtId="16" fontId="0" fillId="5" borderId="0" xfId="0" applyNumberFormat="1" applyFill="1" applyAlignment="1">
      <alignment horizontal="center" vertical="center" wrapText="1"/>
    </xf>
    <xf numFmtId="0" fontId="14" fillId="2" borderId="44" xfId="0" applyFont="1" applyFill="1" applyBorder="1" applyAlignment="1">
      <alignment vertical="center" wrapText="1"/>
    </xf>
    <xf numFmtId="0" fontId="0" fillId="0" borderId="56" xfId="0" applyBorder="1" applyAlignment="1">
      <alignment wrapText="1"/>
    </xf>
    <xf numFmtId="0" fontId="0" fillId="0" borderId="57" xfId="0" applyBorder="1" applyAlignment="1">
      <alignment wrapText="1"/>
    </xf>
    <xf numFmtId="0" fontId="18" fillId="15" borderId="44" xfId="0" applyFont="1" applyFill="1" applyBorder="1" applyAlignment="1">
      <alignment vertical="center" wrapText="1"/>
    </xf>
    <xf numFmtId="0" fontId="0" fillId="0" borderId="58" xfId="0" applyBorder="1" applyAlignment="1">
      <alignment wrapText="1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11" fillId="6" borderId="47" xfId="0" applyFont="1" applyFill="1" applyBorder="1" applyAlignment="1">
      <alignment horizontal="center" vertical="center" wrapText="1"/>
    </xf>
    <xf numFmtId="14" fontId="16" fillId="2" borderId="44" xfId="0" applyNumberFormat="1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vertical="center" wrapText="1"/>
    </xf>
    <xf numFmtId="0" fontId="20" fillId="6" borderId="44" xfId="0" applyFont="1" applyFill="1" applyBorder="1" applyAlignment="1">
      <alignment vertical="center" wrapText="1"/>
    </xf>
    <xf numFmtId="0" fontId="2" fillId="6" borderId="44" xfId="0" applyFont="1" applyFill="1" applyBorder="1" applyAlignment="1">
      <alignment vertical="center" wrapText="1"/>
    </xf>
    <xf numFmtId="0" fontId="20" fillId="9" borderId="44" xfId="0" applyFont="1" applyFill="1" applyBorder="1" applyAlignment="1">
      <alignment vertical="center" wrapText="1"/>
    </xf>
    <xf numFmtId="0" fontId="2" fillId="9" borderId="44" xfId="0" applyFont="1" applyFill="1" applyBorder="1" applyAlignment="1">
      <alignment vertical="center" wrapText="1"/>
    </xf>
    <xf numFmtId="0" fontId="15" fillId="0" borderId="52" xfId="0" applyFont="1" applyBorder="1" applyAlignment="1">
      <alignment horizontal="left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0" fontId="20" fillId="6" borderId="45" xfId="0" applyFont="1" applyFill="1" applyBorder="1" applyAlignment="1">
      <alignment horizontal="center" vertical="center" wrapText="1"/>
    </xf>
    <xf numFmtId="0" fontId="20" fillId="6" borderId="46" xfId="0" applyFont="1" applyFill="1" applyBorder="1" applyAlignment="1">
      <alignment horizontal="center" vertical="center" wrapText="1"/>
    </xf>
    <xf numFmtId="0" fontId="20" fillId="6" borderId="47" xfId="0" applyFont="1" applyFill="1" applyBorder="1" applyAlignment="1">
      <alignment horizontal="center" vertical="center" wrapText="1"/>
    </xf>
    <xf numFmtId="0" fontId="13" fillId="11" borderId="45" xfId="0" applyFont="1" applyFill="1" applyBorder="1" applyAlignment="1">
      <alignment horizontal="center" vertical="center" wrapText="1"/>
    </xf>
    <xf numFmtId="0" fontId="13" fillId="11" borderId="46" xfId="0" applyFont="1" applyFill="1" applyBorder="1" applyAlignment="1">
      <alignment horizontal="center" vertical="center" wrapText="1"/>
    </xf>
    <xf numFmtId="0" fontId="13" fillId="11" borderId="47" xfId="0" applyFont="1" applyFill="1" applyBorder="1" applyAlignment="1">
      <alignment horizontal="center" vertical="center" wrapText="1"/>
    </xf>
    <xf numFmtId="0" fontId="20" fillId="9" borderId="45" xfId="0" applyFont="1" applyFill="1" applyBorder="1" applyAlignment="1">
      <alignment horizontal="center" vertical="center" wrapText="1"/>
    </xf>
    <xf numFmtId="0" fontId="20" fillId="9" borderId="46" xfId="0" applyFont="1" applyFill="1" applyBorder="1" applyAlignment="1">
      <alignment horizontal="center" vertical="center" wrapText="1"/>
    </xf>
    <xf numFmtId="0" fontId="20" fillId="9" borderId="47" xfId="0" applyFont="1" applyFill="1" applyBorder="1" applyAlignment="1">
      <alignment horizontal="center" vertical="center" wrapText="1"/>
    </xf>
    <xf numFmtId="0" fontId="11" fillId="10" borderId="45" xfId="0" applyFont="1" applyFill="1" applyBorder="1" applyAlignment="1">
      <alignment horizontal="center" vertical="center" wrapText="1"/>
    </xf>
    <xf numFmtId="0" fontId="11" fillId="10" borderId="46" xfId="0" applyFont="1" applyFill="1" applyBorder="1" applyAlignment="1">
      <alignment horizontal="center" vertical="center" wrapText="1"/>
    </xf>
    <xf numFmtId="0" fontId="11" fillId="10" borderId="47" xfId="0" applyFont="1" applyFill="1" applyBorder="1" applyAlignment="1">
      <alignment horizontal="center" vertical="center" wrapText="1"/>
    </xf>
    <xf numFmtId="0" fontId="11" fillId="13" borderId="45" xfId="0" applyFont="1" applyFill="1" applyBorder="1" applyAlignment="1">
      <alignment horizontal="center" vertical="center" wrapText="1"/>
    </xf>
    <xf numFmtId="0" fontId="11" fillId="13" borderId="46" xfId="0" applyFont="1" applyFill="1" applyBorder="1" applyAlignment="1">
      <alignment horizontal="center" vertical="center" wrapText="1"/>
    </xf>
    <xf numFmtId="0" fontId="11" fillId="13" borderId="47" xfId="0" applyFont="1" applyFill="1" applyBorder="1" applyAlignment="1">
      <alignment horizontal="center" vertical="center" wrapText="1"/>
    </xf>
    <xf numFmtId="0" fontId="11" fillId="14" borderId="45" xfId="0" applyFont="1" applyFill="1" applyBorder="1" applyAlignment="1">
      <alignment horizontal="center" vertical="center" wrapText="1"/>
    </xf>
    <xf numFmtId="0" fontId="11" fillId="14" borderId="46" xfId="0" applyFont="1" applyFill="1" applyBorder="1" applyAlignment="1">
      <alignment horizontal="center" vertical="center" wrapText="1"/>
    </xf>
    <xf numFmtId="0" fontId="11" fillId="14" borderId="47" xfId="0" applyFont="1" applyFill="1" applyBorder="1" applyAlignment="1">
      <alignment horizontal="center" vertical="center" wrapText="1"/>
    </xf>
    <xf numFmtId="0" fontId="11" fillId="9" borderId="45" xfId="0" applyFont="1" applyFill="1" applyBorder="1" applyAlignment="1">
      <alignment horizontal="center" vertical="center" wrapText="1"/>
    </xf>
    <xf numFmtId="0" fontId="11" fillId="9" borderId="46" xfId="0" applyFont="1" applyFill="1" applyBorder="1" applyAlignment="1">
      <alignment horizontal="center" vertical="center" wrapText="1"/>
    </xf>
    <xf numFmtId="0" fontId="11" fillId="9" borderId="47" xfId="0" applyFont="1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12" borderId="47" xfId="0" applyFill="1" applyBorder="1" applyAlignment="1">
      <alignment horizontal="center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11" fillId="6" borderId="47" xfId="0" applyFont="1" applyFill="1" applyBorder="1" applyAlignment="1">
      <alignment horizontal="center" vertical="center" wrapText="1"/>
    </xf>
    <xf numFmtId="0" fontId="18" fillId="15" borderId="45" xfId="0" applyFont="1" applyFill="1" applyBorder="1" applyAlignment="1">
      <alignment horizontal="center" vertical="center" wrapText="1"/>
    </xf>
    <xf numFmtId="0" fontId="18" fillId="15" borderId="46" xfId="0" applyFont="1" applyFill="1" applyBorder="1" applyAlignment="1">
      <alignment horizontal="center" vertical="center" wrapText="1"/>
    </xf>
    <xf numFmtId="0" fontId="18" fillId="15" borderId="47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51" xfId="0" applyFill="1" applyBorder="1" applyAlignment="1">
      <alignment horizontal="center" vertical="center" wrapText="1"/>
    </xf>
    <xf numFmtId="16" fontId="0" fillId="12" borderId="1" xfId="0" applyNumberFormat="1" applyFill="1" applyBorder="1" applyAlignment="1">
      <alignment horizontal="center" vertical="center" wrapText="1"/>
    </xf>
    <xf numFmtId="16" fontId="0" fillId="12" borderId="4" xfId="0" applyNumberFormat="1" applyFill="1" applyBorder="1" applyAlignment="1">
      <alignment horizontal="center" vertical="center" wrapText="1"/>
    </xf>
    <xf numFmtId="16" fontId="0" fillId="16" borderId="1" xfId="0" applyNumberFormat="1" applyFill="1" applyBorder="1" applyAlignment="1">
      <alignment horizontal="center" vertical="center" wrapText="1"/>
    </xf>
    <xf numFmtId="16" fontId="0" fillId="16" borderId="4" xfId="0" applyNumberFormat="1" applyFill="1" applyBorder="1" applyAlignment="1">
      <alignment horizontal="center" vertical="center" wrapText="1"/>
    </xf>
    <xf numFmtId="16" fontId="7" fillId="5" borderId="48" xfId="0" applyNumberFormat="1" applyFont="1" applyFill="1" applyBorder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2" xfId="0" applyNumberFormat="1" applyFont="1" applyFill="1" applyBorder="1" applyAlignment="1">
      <alignment horizontal="center" vertical="center" wrapText="1"/>
    </xf>
    <xf numFmtId="16" fontId="7" fillId="5" borderId="49" xfId="0" applyNumberFormat="1" applyFont="1" applyFill="1" applyBorder="1" applyAlignment="1">
      <alignment horizontal="center" vertical="center" wrapText="1"/>
    </xf>
    <xf numFmtId="16" fontId="7" fillId="5" borderId="50" xfId="0" applyNumberFormat="1" applyFont="1" applyFill="1" applyBorder="1" applyAlignment="1">
      <alignment horizontal="center" vertical="center" wrapText="1"/>
    </xf>
    <xf numFmtId="16" fontId="7" fillId="5" borderId="51" xfId="0" applyNumberFormat="1" applyFont="1" applyFill="1" applyBorder="1" applyAlignment="1">
      <alignment horizontal="center"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16" fontId="9" fillId="6" borderId="3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" fontId="2" fillId="6" borderId="5" xfId="0" applyNumberFormat="1" applyFont="1" applyFill="1" applyBorder="1" applyAlignment="1">
      <alignment horizontal="center" vertical="center"/>
    </xf>
    <xf numFmtId="16" fontId="2" fillId="6" borderId="4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16" fontId="2" fillId="7" borderId="3" xfId="0" applyNumberFormat="1" applyFont="1" applyFill="1" applyBorder="1" applyAlignment="1" applyProtection="1">
      <alignment horizontal="center" vertical="center"/>
      <protection locked="0"/>
    </xf>
    <xf numFmtId="16" fontId="2" fillId="7" borderId="1" xfId="0" applyNumberFormat="1" applyFont="1" applyFill="1" applyBorder="1" applyAlignment="1" applyProtection="1">
      <alignment horizontal="center" vertical="center"/>
      <protection locked="0"/>
    </xf>
    <xf numFmtId="16" fontId="0" fillId="5" borderId="24" xfId="0" applyNumberForma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" fontId="0" fillId="5" borderId="0" xfId="0" applyNumberFormat="1" applyFill="1" applyAlignment="1">
      <alignment horizontal="center" vertical="center" wrapText="1"/>
    </xf>
    <xf numFmtId="16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6" fillId="7" borderId="36" xfId="0" applyFont="1" applyFill="1" applyBorder="1" applyAlignment="1" applyProtection="1">
      <alignment horizontal="center" vertical="center"/>
      <protection locked="0"/>
    </xf>
    <xf numFmtId="0" fontId="6" fillId="7" borderId="37" xfId="0" applyFont="1" applyFill="1" applyBorder="1" applyAlignment="1" applyProtection="1">
      <alignment horizontal="center" vertical="center"/>
      <protection locked="0"/>
    </xf>
    <xf numFmtId="0" fontId="6" fillId="7" borderId="38" xfId="0" applyFont="1" applyFill="1" applyBorder="1" applyAlignment="1" applyProtection="1">
      <alignment horizontal="center" vertical="center"/>
      <protection locked="0"/>
    </xf>
    <xf numFmtId="0" fontId="6" fillId="7" borderId="39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40" xfId="0" applyFont="1" applyFill="1" applyBorder="1" applyAlignment="1" applyProtection="1">
      <alignment horizontal="center" vertical="center"/>
      <protection locked="0"/>
    </xf>
    <xf numFmtId="0" fontId="6" fillId="7" borderId="41" xfId="0" applyFont="1" applyFill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 applyProtection="1">
      <alignment horizontal="center" vertical="center"/>
      <protection locked="0"/>
    </xf>
    <xf numFmtId="0" fontId="6" fillId="7" borderId="43" xfId="0" applyFont="1" applyFill="1" applyBorder="1" applyAlignment="1" applyProtection="1">
      <alignment horizontal="center" vertical="center"/>
      <protection locked="0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2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6" fillId="6" borderId="32" xfId="0" applyFont="1" applyFill="1" applyBorder="1" applyAlignment="1" applyProtection="1">
      <alignment horizontal="center" vertical="center"/>
      <protection locked="0"/>
    </xf>
    <xf numFmtId="0" fontId="6" fillId="6" borderId="33" xfId="0" applyFont="1" applyFill="1" applyBorder="1" applyAlignment="1" applyProtection="1">
      <alignment horizontal="center" vertical="center"/>
      <protection locked="0"/>
    </xf>
    <xf numFmtId="0" fontId="6" fillId="6" borderId="34" xfId="0" applyFont="1" applyFill="1" applyBorder="1" applyAlignment="1" applyProtection="1">
      <alignment horizontal="center" vertical="center"/>
      <protection locked="0"/>
    </xf>
    <xf numFmtId="16" fontId="10" fillId="2" borderId="30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630"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704B59EC-0DE0-421C-BE23-BCF915879D2C}">
      <tableStyleElement type="wholeTable" dxfId="629"/>
      <tableStyleElement type="headerRow" dxfId="628"/>
    </tableStyle>
    <tableStyle name="Estilo de Segmentação de Dados 1 2" pivot="0" table="0" count="5" xr9:uid="{ADA87C23-2F0C-4DF3-895A-21CE9CA9E690}">
      <tableStyleElement type="wholeTable" dxfId="627"/>
      <tableStyleElement type="headerRow" dxfId="626"/>
    </tableStyle>
  </tableStyles>
  <colors>
    <mruColors>
      <color rgb="FFD5E5D1"/>
      <color rgb="FFF4F8F2"/>
      <color rgb="FF3BC385"/>
      <color rgb="FF2C4594"/>
      <color rgb="FF211E5D"/>
      <color rgb="FF2C9449"/>
      <color rgb="FFA5A8A6"/>
      <color rgb="FF07485C"/>
      <color rgb="FF5D9145"/>
      <color rgb="FF472F91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ADERÊNCIA!$B$13:$G$13</c:f>
              <c:numCache>
                <c:formatCode>0%</c:formatCode>
                <c:ptCount val="6"/>
                <c:pt idx="0">
                  <c:v>0</c:v>
                </c:pt>
                <c:pt idx="1">
                  <c:v>0.37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ADERÊNCIA!$B$14:$G$14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ADERÊNCIA!$B$50:$G$50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ADERÊNCIA!$B$74:$G$74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ADERÊNCIA!$B$34:$G$34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ADERÊNCIA!$B$58:$G$58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ADERÊNCIA!$B$85:$G$85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ADERÊNCIA!$B$100:$G$100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svg"/><Relationship Id="rId12" Type="http://schemas.openxmlformats.org/officeDocument/2006/relationships/hyperlink" Target="#'% DE DESVIO'!A1"/><Relationship Id="rId2" Type="http://schemas.openxmlformats.org/officeDocument/2006/relationships/image" Target="../media/image1.png"/><Relationship Id="rId1" Type="http://schemas.openxmlformats.org/officeDocument/2006/relationships/hyperlink" Target="#ADER&#202;NCIA!A1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hyperlink" Target="#'PA ROGERIO'!A1"/><Relationship Id="rId10" Type="http://schemas.openxmlformats.org/officeDocument/2006/relationships/image" Target="../media/image6.png"/><Relationship Id="rId4" Type="http://schemas.openxmlformats.org/officeDocument/2006/relationships/hyperlink" Target="#'PA MARCOS'!A1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image" Target="../media/image4.sv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6.png"/><Relationship Id="rId4" Type="http://schemas.openxmlformats.org/officeDocument/2006/relationships/hyperlink" Target="#MARCOS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MARCOS!A1"/><Relationship Id="rId17" Type="http://schemas.microsoft.com/office/2007/relationships/hdphoto" Target="../media/hdphoto2.wdp"/><Relationship Id="rId2" Type="http://schemas.openxmlformats.org/officeDocument/2006/relationships/chart" Target="../charts/chart2.xml"/><Relationship Id="rId16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07/relationships/hdphoto" Target="../media/hdphoto3.wdp"/><Relationship Id="rId5" Type="http://schemas.openxmlformats.org/officeDocument/2006/relationships/chart" Target="../charts/chart5.xml"/><Relationship Id="rId15" Type="http://schemas.microsoft.com/office/2007/relationships/hdphoto" Target="../media/hdphoto1.wdp"/><Relationship Id="rId10" Type="http://schemas.openxmlformats.org/officeDocument/2006/relationships/image" Target="../media/image8.png"/><Relationship Id="rId4" Type="http://schemas.openxmlformats.org/officeDocument/2006/relationships/chart" Target="../charts/chart4.xml"/><Relationship Id="rId9" Type="http://schemas.openxmlformats.org/officeDocument/2006/relationships/hyperlink" Target="#ADER&#202;NCIA!A1"/><Relationship Id="rId1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52316</xdr:colOff>
      <xdr:row>3</xdr:row>
      <xdr:rowOff>127000</xdr:rowOff>
    </xdr:from>
    <xdr:to>
      <xdr:col>1</xdr:col>
      <xdr:colOff>4968875</xdr:colOff>
      <xdr:row>4</xdr:row>
      <xdr:rowOff>85725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1514EA0-3F7D-4BAD-BE14-D6EBFB3A4EE8}"/>
            </a:ext>
          </a:extLst>
        </xdr:cNvPr>
        <xdr:cNvSpPr/>
      </xdr:nvSpPr>
      <xdr:spPr>
        <a:xfrm>
          <a:off x="52316" y="857250"/>
          <a:ext cx="4916559" cy="403225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MARCOS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30</xdr:col>
      <xdr:colOff>49145</xdr:colOff>
      <xdr:row>3</xdr:row>
      <xdr:rowOff>66912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1D98FF5-CC63-022C-E781-B1ACA86F3982}"/>
            </a:ext>
          </a:extLst>
        </xdr:cNvPr>
        <xdr:cNvGrpSpPr/>
      </xdr:nvGrpSpPr>
      <xdr:grpSpPr>
        <a:xfrm>
          <a:off x="0" y="0"/>
          <a:ext cx="20845106" cy="808419"/>
          <a:chOff x="0" y="0"/>
          <a:chExt cx="19664666" cy="814021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E1D6965A-FC29-5E8B-0A12-8ED91225C7B9}"/>
              </a:ext>
            </a:extLst>
          </xdr:cNvPr>
          <xdr:cNvSpPr/>
        </xdr:nvSpPr>
        <xdr:spPr>
          <a:xfrm>
            <a:off x="0" y="0"/>
            <a:ext cx="19664666" cy="814021"/>
          </a:xfrm>
          <a:prstGeom prst="rect">
            <a:avLst/>
          </a:prstGeom>
          <a:solidFill>
            <a:srgbClr val="2C4594"/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10772769-CBB0-F5F8-A050-BDECEC22666D}"/>
              </a:ext>
            </a:extLst>
          </xdr:cNvPr>
          <xdr:cNvGrpSpPr/>
        </xdr:nvGrpSpPr>
        <xdr:grpSpPr>
          <a:xfrm>
            <a:off x="14898859" y="264150"/>
            <a:ext cx="774107" cy="306456"/>
            <a:chOff x="16683879" y="257175"/>
            <a:chExt cx="771526" cy="323850"/>
          </a:xfrm>
        </xdr:grpSpPr>
        <xdr:sp macro="" textlink="">
          <xdr:nvSpPr>
            <xdr:cNvPr id="19" name="Retângulo: Cantos Arredondados 1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6B375CB-FC69-6485-43FE-D1C8809534E6}"/>
                </a:ext>
              </a:extLst>
            </xdr:cNvPr>
            <xdr:cNvSpPr/>
          </xdr:nvSpPr>
          <xdr:spPr>
            <a:xfrm>
              <a:off x="16683879" y="257175"/>
              <a:ext cx="771526" cy="32385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20" name="Imagem 19" descr="ícones Do Computador, Gráfico, Gráfico De Barras png transparente grátis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565D0B-E595-0D14-8E35-D607EEF1D8A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clrChange>
                <a:clrFrom>
                  <a:srgbClr val="EDEDED"/>
                </a:clrFrom>
                <a:clrTo>
                  <a:srgbClr val="EDEDED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6826734" y="295277"/>
              <a:ext cx="504825" cy="27622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29AFEC29-63E5-1020-2602-DFF45D1804DE}"/>
              </a:ext>
            </a:extLst>
          </xdr:cNvPr>
          <xdr:cNvGrpSpPr/>
        </xdr:nvGrpSpPr>
        <xdr:grpSpPr>
          <a:xfrm>
            <a:off x="13931864" y="263768"/>
            <a:ext cx="805960" cy="307732"/>
            <a:chOff x="13931864" y="293076"/>
            <a:chExt cx="805960" cy="307732"/>
          </a:xfrm>
        </xdr:grpSpPr>
        <xdr:sp macro="[0]!Salvar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E23F5172-FD02-8F5C-E6FD-D6D76D1C9ED9}"/>
                </a:ext>
              </a:extLst>
            </xdr:cNvPr>
            <xdr:cNvSpPr/>
          </xdr:nvSpPr>
          <xdr:spPr>
            <a:xfrm>
              <a:off x="13931864" y="293076"/>
              <a:ext cx="805960" cy="307732"/>
            </a:xfrm>
            <a:prstGeom prst="roundRect">
              <a:avLst/>
            </a:prstGeom>
            <a:solidFill>
              <a:sysClr val="window" lastClr="FFFFFF"/>
            </a:solidFill>
            <a:ln>
              <a:solidFill>
                <a:srgbClr val="2C4594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2C4594"/>
                  </a:solidFill>
                </a:rPr>
                <a:t>         </a:t>
              </a:r>
            </a:p>
          </xdr:txBody>
        </xdr:sp>
        <xdr:pic macro="[0]!Salvar">
          <xdr:nvPicPr>
            <xdr:cNvPr id="18" name="Imagem 17" descr="Opção de salvar arquivo - ícones de interface grátis">
              <a:extLst>
                <a:ext uri="{FF2B5EF4-FFF2-40B4-BE49-F238E27FC236}">
                  <a16:creationId xmlns:a16="http://schemas.microsoft.com/office/drawing/2014/main" id="{C774491C-349A-7F7C-B820-CD019E4E801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210276" y="337038"/>
              <a:ext cx="248093" cy="23646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20</xdr:col>
      <xdr:colOff>493444</xdr:colOff>
      <xdr:row>1</xdr:row>
      <xdr:rowOff>176498</xdr:rowOff>
    </xdr:from>
    <xdr:to>
      <xdr:col>22</xdr:col>
      <xdr:colOff>138825</xdr:colOff>
      <xdr:row>2</xdr:row>
      <xdr:rowOff>296294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427FED-07C1-D93F-E1EA-534D0C528ECD}"/>
            </a:ext>
          </a:extLst>
        </xdr:cNvPr>
        <xdr:cNvGrpSpPr/>
      </xdr:nvGrpSpPr>
      <xdr:grpSpPr>
        <a:xfrm>
          <a:off x="16651308" y="266264"/>
          <a:ext cx="826192" cy="303946"/>
          <a:chOff x="15898346" y="266139"/>
          <a:chExt cx="777481" cy="308168"/>
        </a:xfrm>
      </xdr:grpSpPr>
      <xdr:sp macro="" textlink="">
        <xdr:nvSpPr>
          <xdr:cNvPr id="7" name="Retângulo: Cantos Arredondados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2D92FA-8B5F-DD4C-FC6A-7A004E596649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>
        <xdr:nvPicPr>
          <xdr:cNvPr id="8" name="Gráfico 7" descr="Lista de Verificação com preenchimento sólido">
            <a:extLst>
              <a:ext uri="{FF2B5EF4-FFF2-40B4-BE49-F238E27FC236}">
                <a16:creationId xmlns:a16="http://schemas.microsoft.com/office/drawing/2014/main" id="{62DEE9A1-4702-9597-2D3B-E0F27B6B11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314555</xdr:colOff>
      <xdr:row>1</xdr:row>
      <xdr:rowOff>120685</xdr:rowOff>
    </xdr:from>
    <xdr:to>
      <xdr:col>26</xdr:col>
      <xdr:colOff>463163</xdr:colOff>
      <xdr:row>2</xdr:row>
      <xdr:rowOff>331343</xdr:rowOff>
    </xdr:to>
    <xdr:pic macro="[0]!EstaPastaDeTrabalho.telaCheia">
      <xdr:nvPicPr>
        <xdr:cNvPr id="21" name="Imagem 20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4228DBEE-F7ED-4579-AFBF-893463119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54805" y="206410"/>
          <a:ext cx="691533" cy="401158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494910</xdr:colOff>
      <xdr:row>1</xdr:row>
      <xdr:rowOff>148970</xdr:rowOff>
    </xdr:from>
    <xdr:to>
      <xdr:col>27</xdr:col>
      <xdr:colOff>300108</xdr:colOff>
      <xdr:row>2</xdr:row>
      <xdr:rowOff>336594</xdr:rowOff>
    </xdr:to>
    <xdr:pic macro="[0]!EstaPastaDeTrabalho.telaNormal">
      <xdr:nvPicPr>
        <xdr:cNvPr id="22" name="Imagem 21">
          <a:extLst>
            <a:ext uri="{FF2B5EF4-FFF2-40B4-BE49-F238E27FC236}">
              <a16:creationId xmlns:a16="http://schemas.microsoft.com/office/drawing/2014/main" id="{24FFA0EA-1BF9-4971-8E0B-77F2D8813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 bright="70000" contrast="-70000"/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278085" y="234695"/>
          <a:ext cx="348123" cy="378124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42650</xdr:colOff>
      <xdr:row>1</xdr:row>
      <xdr:rowOff>28432</xdr:rowOff>
    </xdr:from>
    <xdr:to>
      <xdr:col>10</xdr:col>
      <xdr:colOff>454926</xdr:colOff>
      <xdr:row>3</xdr:row>
      <xdr:rowOff>14216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C9491513-A72A-4FBA-83F8-834A1370E89A}"/>
            </a:ext>
          </a:extLst>
        </xdr:cNvPr>
        <xdr:cNvSpPr/>
      </xdr:nvSpPr>
      <xdr:spPr>
        <a:xfrm>
          <a:off x="7510250" y="114157"/>
          <a:ext cx="3126901" cy="6430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3600" b="1">
              <a:latin typeface="Gill Sans MT" panose="020B0502020104020203" pitchFamily="34" charset="0"/>
            </a:rPr>
            <a:t>VIBRAPLAN</a:t>
          </a:r>
        </a:p>
      </xdr:txBody>
    </xdr:sp>
    <xdr:clientData/>
  </xdr:twoCellAnchor>
  <xdr:twoCellAnchor>
    <xdr:from>
      <xdr:col>22</xdr:col>
      <xdr:colOff>238125</xdr:colOff>
      <xdr:row>1</xdr:row>
      <xdr:rowOff>175847</xdr:rowOff>
    </xdr:from>
    <xdr:to>
      <xdr:col>24</xdr:col>
      <xdr:colOff>0</xdr:colOff>
      <xdr:row>2</xdr:row>
      <xdr:rowOff>269875</xdr:rowOff>
    </xdr:to>
    <xdr:sp macro="" textlink="">
      <xdr:nvSpPr>
        <xdr:cNvPr id="2" name="Retângulo: Cantos Arredondados 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57772B1-0BA2-4329-A701-9C1F5A13D3F3}"/>
            </a:ext>
          </a:extLst>
        </xdr:cNvPr>
        <xdr:cNvSpPr/>
      </xdr:nvSpPr>
      <xdr:spPr>
        <a:xfrm>
          <a:off x="16652875" y="255222"/>
          <a:ext cx="873125" cy="284528"/>
        </a:xfrm>
        <a:prstGeom prst="roundRect">
          <a:avLst>
            <a:gd name="adj" fmla="val 20834"/>
          </a:avLst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2147160</xdr:colOff>
      <xdr:row>3</xdr:row>
      <xdr:rowOff>66675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4C36487-5793-41F9-A453-4F3D03C9F480}"/>
            </a:ext>
          </a:extLst>
        </xdr:cNvPr>
        <xdr:cNvGrpSpPr/>
      </xdr:nvGrpSpPr>
      <xdr:grpSpPr>
        <a:xfrm>
          <a:off x="0" y="0"/>
          <a:ext cx="23155974" cy="809302"/>
          <a:chOff x="0" y="0"/>
          <a:chExt cx="19750368" cy="80906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4BDDD204-6DDF-C458-97BE-34B2BAA0B0D4}"/>
              </a:ext>
            </a:extLst>
          </xdr:cNvPr>
          <xdr:cNvGrpSpPr/>
        </xdr:nvGrpSpPr>
        <xdr:grpSpPr>
          <a:xfrm>
            <a:off x="0" y="0"/>
            <a:ext cx="19750368" cy="809065"/>
            <a:chOff x="0" y="0"/>
            <a:chExt cx="19664666" cy="814021"/>
          </a:xfrm>
        </xdr:grpSpPr>
        <xdr:grpSp>
          <xdr:nvGrpSpPr>
            <xdr:cNvPr id="6" name="Agrupar 5">
              <a:extLst>
                <a:ext uri="{FF2B5EF4-FFF2-40B4-BE49-F238E27FC236}">
                  <a16:creationId xmlns:a16="http://schemas.microsoft.com/office/drawing/2014/main" id="{3D184E2B-7F02-FA28-FF51-A17DB21FDDD9}"/>
                </a:ext>
              </a:extLst>
            </xdr:cNvPr>
            <xdr:cNvGrpSpPr/>
          </xdr:nvGrpSpPr>
          <xdr:grpSpPr>
            <a:xfrm>
              <a:off x="0" y="0"/>
              <a:ext cx="19664666" cy="814021"/>
              <a:chOff x="0" y="0"/>
              <a:chExt cx="19527543" cy="809625"/>
            </a:xfrm>
          </xdr:grpSpPr>
          <xdr:sp macro="[2]!Salvar" textlink="">
            <xdr:nvSpPr>
              <xdr:cNvPr id="18" name="Retângulo 17">
                <a:extLst>
                  <a:ext uri="{FF2B5EF4-FFF2-40B4-BE49-F238E27FC236}">
                    <a16:creationId xmlns:a16="http://schemas.microsoft.com/office/drawing/2014/main" id="{F7DBC85A-A943-6F2C-2CB4-A024499AA7C8}"/>
                  </a:ext>
                </a:extLst>
              </xdr:cNvPr>
              <xdr:cNvSpPr/>
            </xdr:nvSpPr>
            <xdr:spPr>
              <a:xfrm>
                <a:off x="0" y="0"/>
                <a:ext cx="19527543" cy="809625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2]!Salvar">
            <xdr:nvPicPr>
              <xdr:cNvPr id="19" name="Imagem 18">
                <a:extLst>
                  <a:ext uri="{FF2B5EF4-FFF2-40B4-BE49-F238E27FC236}">
                    <a16:creationId xmlns:a16="http://schemas.microsoft.com/office/drawing/2014/main" id="{8898C8D3-77CA-4A8A-3776-63D88DAE3F0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133351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7" name="Agrupar 6">
              <a:extLst>
                <a:ext uri="{FF2B5EF4-FFF2-40B4-BE49-F238E27FC236}">
                  <a16:creationId xmlns:a16="http://schemas.microsoft.com/office/drawing/2014/main" id="{40ECC786-FF95-EF1D-4F0F-FDA71CF91F95}"/>
                </a:ext>
              </a:extLst>
            </xdr:cNvPr>
            <xdr:cNvGrpSpPr/>
          </xdr:nvGrpSpPr>
          <xdr:grpSpPr>
            <a:xfrm>
              <a:off x="14898859" y="264150"/>
              <a:ext cx="774107" cy="306456"/>
              <a:chOff x="16683879" y="257175"/>
              <a:chExt cx="771526" cy="323850"/>
            </a:xfrm>
          </xdr:grpSpPr>
          <xdr:sp macro="[2]!Salvar" textlink="">
            <xdr:nvSpPr>
              <xdr:cNvPr id="16" name="Retângulo: Cantos Arredondados 15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F837C423-3B21-C81A-CE3A-544B95D5FF12}"/>
                  </a:ext>
                </a:extLst>
              </xdr:cNvPr>
              <xdr:cNvSpPr/>
            </xdr:nvSpPr>
            <xdr:spPr>
              <a:xfrm>
                <a:off x="16683879" y="25717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 macro="[2]!Salvar">
            <xdr:nvPicPr>
              <xdr:cNvPr id="17" name="Imagem 16" descr="ícones Do Computador, Gráfico, Gráfico De Barras png transparente grátis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E97D4D03-4B4B-C135-4A6B-85A2F6F121B7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clrChange>
                  <a:clrFrom>
                    <a:srgbClr val="EDEDED"/>
                  </a:clrFrom>
                  <a:clrTo>
                    <a:srgbClr val="EDEDED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826734" y="295277"/>
                <a:ext cx="504825" cy="2762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[2]!Salvar" textlink="">
          <xdr:nvSpPr>
            <xdr:cNvPr id="12" name="Retângulo: Cantos Arredondados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51042F0-CBA9-1AF8-7005-7F336196EAF2}"/>
                </a:ext>
              </a:extLst>
            </xdr:cNvPr>
            <xdr:cNvSpPr/>
          </xdr:nvSpPr>
          <xdr:spPr>
            <a:xfrm>
              <a:off x="132296" y="240324"/>
              <a:ext cx="1682685" cy="376728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MARCOS</a:t>
              </a:r>
            </a:p>
          </xdr:txBody>
        </xdr: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844B4828-A9DB-2F5B-CD19-0B0F7ABB752A}"/>
                </a:ext>
              </a:extLst>
            </xdr:cNvPr>
            <xdr:cNvGrpSpPr/>
          </xdr:nvGrpSpPr>
          <xdr:grpSpPr>
            <a:xfrm>
              <a:off x="13931864" y="263768"/>
              <a:ext cx="805960" cy="307732"/>
              <a:chOff x="13931864" y="293076"/>
              <a:chExt cx="805960" cy="307732"/>
            </a:xfrm>
          </xdr:grpSpPr>
          <xdr:sp macro="[2]!Salvar" textlink="">
            <xdr:nvSpPr>
              <xdr:cNvPr id="14" name="Retângulo: Cantos Arredondados 13">
                <a:extLst>
                  <a:ext uri="{FF2B5EF4-FFF2-40B4-BE49-F238E27FC236}">
                    <a16:creationId xmlns:a16="http://schemas.microsoft.com/office/drawing/2014/main" id="{6257777F-F20B-4AD2-C0A3-3F733FF1D432}"/>
                  </a:ext>
                </a:extLst>
              </xdr:cNvPr>
              <xdr:cNvSpPr/>
            </xdr:nvSpPr>
            <xdr:spPr>
              <a:xfrm>
                <a:off x="13931864" y="293076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2]!Salvar">
            <xdr:nvPicPr>
              <xdr:cNvPr id="15" name="Imagem 14" descr="Opção de salvar arquivo - ícones de interface grátis">
                <a:extLst>
                  <a:ext uri="{FF2B5EF4-FFF2-40B4-BE49-F238E27FC236}">
                    <a16:creationId xmlns:a16="http://schemas.microsoft.com/office/drawing/2014/main" id="{86D5B8B9-C0C0-CB3D-FF83-027A0B501D47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337038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[2]!Salvar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E7BBA54-F8C4-FF4C-A76B-F6D6392564E0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 macro="[2]!Salvar">
        <xdr:nvPicPr>
          <xdr:cNvPr id="5" name="Gráfico 4" descr="Lista de Verificação com preenchimento sólido">
            <a:extLst>
              <a:ext uri="{FF2B5EF4-FFF2-40B4-BE49-F238E27FC236}">
                <a16:creationId xmlns:a16="http://schemas.microsoft.com/office/drawing/2014/main" id="{F8608DBF-CEBA-40D0-7FB3-464021E6D0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  <a:effectLst>
            <a:innerShdw blurRad="63500" dist="50800" dir="189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</xdr:col>
      <xdr:colOff>3580185</xdr:colOff>
      <xdr:row>3</xdr:row>
      <xdr:rowOff>209873</xdr:rowOff>
    </xdr:from>
    <xdr:to>
      <xdr:col>3</xdr:col>
      <xdr:colOff>634994</xdr:colOff>
      <xdr:row>4</xdr:row>
      <xdr:rowOff>290593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5CFD933A-F330-4D28-9762-762E7DC7F820}"/>
            </a:ext>
          </a:extLst>
        </xdr:cNvPr>
        <xdr:cNvSpPr/>
      </xdr:nvSpPr>
      <xdr:spPr>
        <a:xfrm>
          <a:off x="8294253" y="952500"/>
          <a:ext cx="4610233" cy="306737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MARCOS</a:t>
          </a:r>
          <a:endParaRPr lang="pt-BR" sz="1100" b="1"/>
        </a:p>
      </xdr:txBody>
    </xdr:sp>
    <xdr:clientData/>
  </xdr:twoCellAnchor>
  <xdr:twoCellAnchor>
    <xdr:from>
      <xdr:col>5</xdr:col>
      <xdr:colOff>1033220</xdr:colOff>
      <xdr:row>1</xdr:row>
      <xdr:rowOff>96864</xdr:rowOff>
    </xdr:from>
    <xdr:to>
      <xdr:col>6</xdr:col>
      <xdr:colOff>620521</xdr:colOff>
      <xdr:row>2</xdr:row>
      <xdr:rowOff>300144</xdr:rowOff>
    </xdr:to>
    <xdr:pic macro="[0]!EstaPastaDeTrabalho.telaCheia">
      <xdr:nvPicPr>
        <xdr:cNvPr id="23" name="Imagem 22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A28F9AC6-000E-4EF1-9B5E-FA7B2F1FF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70212" y="177584"/>
          <a:ext cx="717385" cy="397009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734599</xdr:colOff>
      <xdr:row>1</xdr:row>
      <xdr:rowOff>141404</xdr:rowOff>
    </xdr:from>
    <xdr:to>
      <xdr:col>6</xdr:col>
      <xdr:colOff>1103905</xdr:colOff>
      <xdr:row>2</xdr:row>
      <xdr:rowOff>312036</xdr:rowOff>
    </xdr:to>
    <xdr:pic macro="[0]!EstaPastaDeTrabalho.telaNormal">
      <xdr:nvPicPr>
        <xdr:cNvPr id="24" name="Imagem 23">
          <a:extLst>
            <a:ext uri="{FF2B5EF4-FFF2-40B4-BE49-F238E27FC236}">
              <a16:creationId xmlns:a16="http://schemas.microsoft.com/office/drawing/2014/main" id="{F8726C87-1778-4111-8F36-72D625675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 bright="70000" contrast="-70000"/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801675" y="222124"/>
          <a:ext cx="369306" cy="364361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111125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5268231" y="1895930"/>
          <a:ext cx="8994323" cy="3546020"/>
          <a:chOff x="4524374" y="1158876"/>
          <a:chExt cx="8890001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58750" y="1460741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77750" y="1708076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5894393" cy="916214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43" name="Retângulo: Cantos Arredondados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507DD6D2-4379-A40E-7D3E-CF6265A18877}"/>
                </a:ext>
              </a:extLst>
            </xdr:cNvPr>
            <xdr:cNvSpPr/>
          </xdr:nvSpPr>
          <xdr:spPr>
            <a:xfrm>
              <a:off x="232353" y="333848"/>
              <a:ext cx="1360369" cy="391536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MARCOS</a:t>
              </a:r>
            </a:p>
          </xdr:txBody>
        </xdr: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158750</xdr:colOff>
      <xdr:row>33</xdr:row>
      <xdr:rowOff>47625</xdr:rowOff>
    </xdr:from>
    <xdr:to>
      <xdr:col>22</xdr:col>
      <xdr:colOff>111125</xdr:colOff>
      <xdr:row>33</xdr:row>
      <xdr:rowOff>322650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8604250" y="754062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33</xdr:row>
      <xdr:rowOff>312152</xdr:rowOff>
    </xdr:from>
    <xdr:to>
      <xdr:col>21</xdr:col>
      <xdr:colOff>158750</xdr:colOff>
      <xdr:row>35</xdr:row>
      <xdr:rowOff>105777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8223250" y="780515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33</xdr:row>
      <xdr:rowOff>31750</xdr:rowOff>
    </xdr:from>
    <xdr:to>
      <xdr:col>39</xdr:col>
      <xdr:colOff>555625</xdr:colOff>
      <xdr:row>33</xdr:row>
      <xdr:rowOff>306775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19431000" y="7524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222250</xdr:colOff>
      <xdr:row>33</xdr:row>
      <xdr:rowOff>296277</xdr:rowOff>
    </xdr:from>
    <xdr:to>
      <xdr:col>39</xdr:col>
      <xdr:colOff>0</xdr:colOff>
      <xdr:row>35</xdr:row>
      <xdr:rowOff>89902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19050000" y="778927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158750</xdr:colOff>
      <xdr:row>57</xdr:row>
      <xdr:rowOff>127000</xdr:rowOff>
    </xdr:from>
    <xdr:to>
      <xdr:col>22</xdr:col>
      <xdr:colOff>111125</xdr:colOff>
      <xdr:row>58</xdr:row>
      <xdr:rowOff>21025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8604250" y="1339850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58</xdr:row>
      <xdr:rowOff>10527</xdr:rowOff>
    </xdr:from>
    <xdr:to>
      <xdr:col>21</xdr:col>
      <xdr:colOff>158750</xdr:colOff>
      <xdr:row>59</xdr:row>
      <xdr:rowOff>185152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8223250" y="1366302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523875</xdr:colOff>
      <xdr:row>57</xdr:row>
      <xdr:rowOff>15875</xdr:rowOff>
    </xdr:from>
    <xdr:to>
      <xdr:col>39</xdr:col>
      <xdr:colOff>476250</xdr:colOff>
      <xdr:row>57</xdr:row>
      <xdr:rowOff>290900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19351625" y="13287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142875</xdr:colOff>
      <xdr:row>57</xdr:row>
      <xdr:rowOff>280402</xdr:rowOff>
    </xdr:from>
    <xdr:to>
      <xdr:col>38</xdr:col>
      <xdr:colOff>523875</xdr:colOff>
      <xdr:row>59</xdr:row>
      <xdr:rowOff>74027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18970625" y="13551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82</xdr:row>
      <xdr:rowOff>333375</xdr:rowOff>
    </xdr:from>
    <xdr:to>
      <xdr:col>22</xdr:col>
      <xdr:colOff>142875</xdr:colOff>
      <xdr:row>83</xdr:row>
      <xdr:rowOff>227400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8636000" y="191928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412750</xdr:colOff>
      <xdr:row>83</xdr:row>
      <xdr:rowOff>216902</xdr:rowOff>
    </xdr:from>
    <xdr:to>
      <xdr:col>21</xdr:col>
      <xdr:colOff>190500</xdr:colOff>
      <xdr:row>84</xdr:row>
      <xdr:rowOff>201027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8255000" y="194574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83</xdr:row>
      <xdr:rowOff>15875</xdr:rowOff>
    </xdr:from>
    <xdr:to>
      <xdr:col>40</xdr:col>
      <xdr:colOff>15875</xdr:colOff>
      <xdr:row>83</xdr:row>
      <xdr:rowOff>290900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19494500" y="19256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83</xdr:row>
      <xdr:rowOff>280402</xdr:rowOff>
    </xdr:from>
    <xdr:to>
      <xdr:col>39</xdr:col>
      <xdr:colOff>63500</xdr:colOff>
      <xdr:row>84</xdr:row>
      <xdr:rowOff>264527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19113500" y="19520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Pasta.Outubro.xlsx" TargetMode="External"/><Relationship Id="rId1" Type="http://schemas.openxmlformats.org/officeDocument/2006/relationships/externalLinkPath" Target="Pasta.Outubro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.honorato\Desktop\Marco%20Coordenadores%20-%20Fev-23-ANA.xlsm" TargetMode="External"/><Relationship Id="rId1" Type="http://schemas.openxmlformats.org/officeDocument/2006/relationships/externalLinkPath" Target="/Users/gabriel.honorato/Desktop/Marco%20Coordenadores%20-%20Fev-23-A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ério"/>
      <sheetName val="mauro"/>
      <sheetName val="marcos"/>
      <sheetName val="ana"/>
      <sheetName val="adriano"/>
      <sheetName val="CGA"/>
    </sheetNames>
    <sheetDataSet>
      <sheetData sheetId="0"/>
      <sheetData sheetId="1"/>
      <sheetData sheetId="2">
        <row r="32">
          <cell r="A32" t="str">
            <v>Aprovação do Cliente</v>
          </cell>
          <cell r="B32">
            <v>45230</v>
          </cell>
        </row>
        <row r="33">
          <cell r="A33" t="str">
            <v>Certificação do documento - Vibracon</v>
          </cell>
          <cell r="B33">
            <v>45230</v>
          </cell>
        </row>
        <row r="34">
          <cell r="A34" t="str">
            <v>MARCO - Envio do documento Certificado (Rev_0)</v>
          </cell>
          <cell r="B34">
            <v>45230</v>
          </cell>
        </row>
        <row r="36">
          <cell r="A36" t="str">
            <v>Aprovação do Cliente</v>
          </cell>
          <cell r="B36">
            <v>45230</v>
          </cell>
        </row>
        <row r="37">
          <cell r="A37" t="str">
            <v>Certificação do documento - Vibracon</v>
          </cell>
          <cell r="B37">
            <v>45230</v>
          </cell>
        </row>
        <row r="38">
          <cell r="A38" t="str">
            <v>MARCO - Envio do documento Certificado (Rev_0)</v>
          </cell>
          <cell r="B38">
            <v>45230</v>
          </cell>
        </row>
        <row r="39">
          <cell r="A39" t="str">
            <v>Análise dos Resultados</v>
          </cell>
          <cell r="B39">
            <v>45205</v>
          </cell>
        </row>
        <row r="40">
          <cell r="A40" t="str">
            <v>Elaboração da Memória de Cálculo</v>
          </cell>
          <cell r="B40">
            <v>45211</v>
          </cell>
        </row>
        <row r="41">
          <cell r="A41" t="str">
            <v>Verificação da Memória de Cálculo</v>
          </cell>
          <cell r="B41">
            <v>45230</v>
          </cell>
        </row>
        <row r="43">
          <cell r="A43" t="str">
            <v>MARCO - Emissão Inicial (Rev_A)</v>
          </cell>
          <cell r="B43">
            <v>45225</v>
          </cell>
        </row>
        <row r="44">
          <cell r="A44" t="str">
            <v>Aprovação do Cliente</v>
          </cell>
          <cell r="B44">
            <v>45226</v>
          </cell>
        </row>
        <row r="45">
          <cell r="A45" t="str">
            <v>Certificação do documento - Vibracon</v>
          </cell>
          <cell r="B45">
            <v>45229</v>
          </cell>
        </row>
        <row r="46">
          <cell r="A46" t="str">
            <v>MARCO - Envio do documento Certificado (Rev_0)</v>
          </cell>
          <cell r="B46">
            <v>45229</v>
          </cell>
        </row>
        <row r="49">
          <cell r="A49" t="str">
            <v>Certificação do documento - Vibracon</v>
          </cell>
          <cell r="B49">
            <v>45226</v>
          </cell>
        </row>
        <row r="50">
          <cell r="A50" t="str">
            <v>MARCO - Envio do documento Certificado (Rev_0)</v>
          </cell>
          <cell r="B50">
            <v>45226</v>
          </cell>
        </row>
        <row r="52">
          <cell r="A52" t="str">
            <v>Certificação do documento - Vibracon</v>
          </cell>
          <cell r="B52">
            <v>45226</v>
          </cell>
        </row>
        <row r="53">
          <cell r="A53" t="str">
            <v>MARCO - Envio do documento Certificado (Rev_0)</v>
          </cell>
          <cell r="B53">
            <v>45226</v>
          </cell>
        </row>
        <row r="54">
          <cell r="A54" t="str">
            <v>Modelagem</v>
          </cell>
          <cell r="B54">
            <v>45226</v>
          </cell>
        </row>
        <row r="55">
          <cell r="A55" t="str">
            <v>Aplicação das cargas e condições de contorno</v>
          </cell>
          <cell r="B55">
            <v>45229</v>
          </cell>
        </row>
        <row r="56">
          <cell r="A56" t="str">
            <v>Análise dos Resultados</v>
          </cell>
          <cell r="B56">
            <v>45229</v>
          </cell>
        </row>
        <row r="57">
          <cell r="A57" t="str">
            <v>Elaboração da Memória de Cálculo</v>
          </cell>
          <cell r="B57">
            <v>45229</v>
          </cell>
        </row>
        <row r="58">
          <cell r="A58" t="str">
            <v>Verificação da Memória de Cálculo</v>
          </cell>
          <cell r="B58">
            <v>45229</v>
          </cell>
        </row>
        <row r="60">
          <cell r="A60" t="str">
            <v>MARCO - Emissão Inicial (Rev_A)</v>
          </cell>
          <cell r="B60">
            <v>45230</v>
          </cell>
        </row>
        <row r="61">
          <cell r="A61" t="str">
            <v>Aprovação do Cliente</v>
          </cell>
          <cell r="B61">
            <v>45230</v>
          </cell>
        </row>
        <row r="64">
          <cell r="A64" t="str">
            <v>Certificação do documento - Vibracon</v>
          </cell>
          <cell r="B64">
            <v>45226</v>
          </cell>
        </row>
        <row r="65">
          <cell r="A65" t="str">
            <v>MARCO - Envio do documento Certificado (Rev_0)</v>
          </cell>
          <cell r="B65">
            <v>45226</v>
          </cell>
        </row>
        <row r="67">
          <cell r="A67" t="str">
            <v>Certificação do documento - Vibracon</v>
          </cell>
          <cell r="B67">
            <v>45226</v>
          </cell>
        </row>
        <row r="68">
          <cell r="A68" t="str">
            <v>MARCO - Envio do documento Certificado (Rev_0)</v>
          </cell>
          <cell r="B68">
            <v>45226</v>
          </cell>
        </row>
        <row r="69">
          <cell r="A69" t="str">
            <v>Modelagem</v>
          </cell>
          <cell r="B69">
            <v>45226</v>
          </cell>
        </row>
        <row r="70">
          <cell r="A70" t="str">
            <v>Aplicação das cargas e condições de contorno</v>
          </cell>
          <cell r="B70">
            <v>45229</v>
          </cell>
        </row>
        <row r="71">
          <cell r="A71" t="str">
            <v>Análise dos Resultados</v>
          </cell>
          <cell r="B71">
            <v>45229</v>
          </cell>
        </row>
        <row r="72">
          <cell r="A72" t="str">
            <v>Elaboração da Memória de Cálculo</v>
          </cell>
          <cell r="B72">
            <v>45229</v>
          </cell>
        </row>
        <row r="73">
          <cell r="A73" t="str">
            <v>Verificação da Memória de Cálculo</v>
          </cell>
          <cell r="B73">
            <v>45229</v>
          </cell>
        </row>
        <row r="75">
          <cell r="A75" t="str">
            <v>MARCO - Emissão Inicial (Rev_A)</v>
          </cell>
          <cell r="B75">
            <v>45230</v>
          </cell>
        </row>
        <row r="76">
          <cell r="A76" t="str">
            <v>Aprovação do Cliente</v>
          </cell>
          <cell r="B76">
            <v>45230</v>
          </cell>
        </row>
        <row r="83">
          <cell r="A83" t="str">
            <v>Verificação do Laudo</v>
          </cell>
          <cell r="B83">
            <v>45225</v>
          </cell>
        </row>
        <row r="85">
          <cell r="A85" t="str">
            <v>MARCO - Emissão Inicial</v>
          </cell>
          <cell r="B85">
            <v>45225</v>
          </cell>
        </row>
        <row r="86">
          <cell r="A86" t="str">
            <v>Aprovação do Cliente</v>
          </cell>
          <cell r="B86">
            <v>45226</v>
          </cell>
        </row>
        <row r="87">
          <cell r="A87" t="str">
            <v>Certificação do documento - Vibracon</v>
          </cell>
          <cell r="B87">
            <v>45229</v>
          </cell>
        </row>
        <row r="88">
          <cell r="A88" t="str">
            <v>MARCO - Envio do documento Certificado</v>
          </cell>
          <cell r="B88">
            <v>45229</v>
          </cell>
        </row>
        <row r="90">
          <cell r="A90" t="str">
            <v>Verificação do Laudo</v>
          </cell>
          <cell r="B90">
            <v>45225</v>
          </cell>
        </row>
        <row r="92">
          <cell r="A92" t="str">
            <v>MARCO - Emissão Inicial</v>
          </cell>
          <cell r="B92">
            <v>45225</v>
          </cell>
        </row>
        <row r="93">
          <cell r="A93" t="str">
            <v>Aprovação do Cliente</v>
          </cell>
          <cell r="B93">
            <v>45226</v>
          </cell>
        </row>
        <row r="94">
          <cell r="A94" t="str">
            <v>Certificação do documento - Vibracon</v>
          </cell>
          <cell r="B94">
            <v>45229</v>
          </cell>
        </row>
        <row r="95">
          <cell r="A95" t="str">
            <v>MARCO - Envio do documento Certificado</v>
          </cell>
          <cell r="B95">
            <v>45229</v>
          </cell>
        </row>
        <row r="97">
          <cell r="A97" t="str">
            <v>Verificação do Laudo</v>
          </cell>
          <cell r="B97">
            <v>45225</v>
          </cell>
        </row>
        <row r="99">
          <cell r="A99" t="str">
            <v>MARCO - Emissão Inicial</v>
          </cell>
          <cell r="B99">
            <v>45225</v>
          </cell>
        </row>
        <row r="100">
          <cell r="A100" t="str">
            <v>Aprovação do Cliente</v>
          </cell>
          <cell r="B100">
            <v>45226</v>
          </cell>
        </row>
        <row r="101">
          <cell r="A101" t="str">
            <v>Certificação do documento - Vibracon</v>
          </cell>
          <cell r="B101">
            <v>45229</v>
          </cell>
        </row>
        <row r="102">
          <cell r="A102" t="str">
            <v>MARCO - Envio do documento Certificado</v>
          </cell>
          <cell r="B102">
            <v>45229</v>
          </cell>
        </row>
        <row r="104">
          <cell r="A104" t="str">
            <v>Verificação do Laudo</v>
          </cell>
          <cell r="B104">
            <v>45225</v>
          </cell>
        </row>
        <row r="106">
          <cell r="A106" t="str">
            <v>MARCO - Emissão Inicial</v>
          </cell>
          <cell r="B106">
            <v>45225</v>
          </cell>
        </row>
        <row r="107">
          <cell r="A107" t="str">
            <v>Aprovação do Cliente</v>
          </cell>
          <cell r="B107">
            <v>45226</v>
          </cell>
        </row>
        <row r="108">
          <cell r="A108" t="str">
            <v>Certificação do documento - Vibracon</v>
          </cell>
          <cell r="B108">
            <v>45229</v>
          </cell>
        </row>
        <row r="109">
          <cell r="A109" t="str">
            <v>MARCO - Envio do documento Certificado</v>
          </cell>
          <cell r="B109">
            <v>45229</v>
          </cell>
        </row>
        <row r="111">
          <cell r="A111" t="str">
            <v>Verificação do Laudo</v>
          </cell>
          <cell r="B111">
            <v>45225</v>
          </cell>
        </row>
        <row r="113">
          <cell r="A113" t="str">
            <v>MARCO - Emissão Inicial</v>
          </cell>
          <cell r="B113">
            <v>45225</v>
          </cell>
        </row>
        <row r="114">
          <cell r="A114" t="str">
            <v>Aprovação do Cliente</v>
          </cell>
          <cell r="B114">
            <v>45226</v>
          </cell>
        </row>
        <row r="115">
          <cell r="A115" t="str">
            <v>Certificação do documento - Vibracon</v>
          </cell>
          <cell r="B115">
            <v>45229</v>
          </cell>
        </row>
        <row r="116">
          <cell r="A116" t="str">
            <v>MARCO - Envio do documento Certificado</v>
          </cell>
          <cell r="B116">
            <v>45229</v>
          </cell>
        </row>
        <row r="118">
          <cell r="A118" t="str">
            <v>Verificação do Laudo</v>
          </cell>
          <cell r="B118">
            <v>45225</v>
          </cell>
        </row>
        <row r="120">
          <cell r="A120" t="str">
            <v>MARCO - Emissão Inicial</v>
          </cell>
          <cell r="B120">
            <v>45225</v>
          </cell>
        </row>
        <row r="121">
          <cell r="A121" t="str">
            <v>Aprovação do Cliente</v>
          </cell>
          <cell r="B121">
            <v>45226</v>
          </cell>
        </row>
        <row r="122">
          <cell r="A122" t="str">
            <v>Certificação do documento - Vibracon</v>
          </cell>
          <cell r="B122">
            <v>45229</v>
          </cell>
        </row>
        <row r="123">
          <cell r="A123" t="str">
            <v>MARCO - Envio do documento Certificado</v>
          </cell>
          <cell r="B123">
            <v>45229</v>
          </cell>
        </row>
        <row r="125">
          <cell r="A125" t="str">
            <v>Verificação do Laudo</v>
          </cell>
          <cell r="B125">
            <v>45226</v>
          </cell>
        </row>
        <row r="127">
          <cell r="A127" t="str">
            <v>MARCO - Emissão Inicial</v>
          </cell>
          <cell r="B127">
            <v>45226</v>
          </cell>
        </row>
        <row r="128">
          <cell r="A128" t="str">
            <v>Aprovação do Cliente</v>
          </cell>
          <cell r="B128">
            <v>45229</v>
          </cell>
        </row>
        <row r="129">
          <cell r="A129" t="str">
            <v>Certificação do documento - Vibracon</v>
          </cell>
          <cell r="B129">
            <v>45230</v>
          </cell>
        </row>
        <row r="130">
          <cell r="A130" t="str">
            <v>MARCO - Envio do documento Certificado</v>
          </cell>
          <cell r="B130">
            <v>45230</v>
          </cell>
        </row>
        <row r="132">
          <cell r="A132" t="str">
            <v>Verificação do Laudo</v>
          </cell>
          <cell r="B132">
            <v>45226</v>
          </cell>
        </row>
        <row r="134">
          <cell r="A134" t="str">
            <v>MARCO - Emissão Inicial</v>
          </cell>
          <cell r="B134">
            <v>45226</v>
          </cell>
        </row>
        <row r="135">
          <cell r="A135" t="str">
            <v>Aprovação do Cliente</v>
          </cell>
          <cell r="B135">
            <v>45229</v>
          </cell>
        </row>
        <row r="136">
          <cell r="A136" t="str">
            <v>Certificação do documento - Vibracon</v>
          </cell>
          <cell r="B136">
            <v>45230</v>
          </cell>
        </row>
        <row r="137">
          <cell r="A137" t="str">
            <v>MARCO - Envio do documento Certificado</v>
          </cell>
          <cell r="B137">
            <v>45230</v>
          </cell>
        </row>
        <row r="139">
          <cell r="A139" t="str">
            <v>Verificação do Relatório</v>
          </cell>
          <cell r="B139">
            <v>45226</v>
          </cell>
        </row>
        <row r="141">
          <cell r="A141" t="str">
            <v>MARCO - Emissão Inicial</v>
          </cell>
          <cell r="B141">
            <v>45226</v>
          </cell>
        </row>
        <row r="142">
          <cell r="A142" t="str">
            <v>Aprovação do Cliente</v>
          </cell>
          <cell r="B142">
            <v>45229</v>
          </cell>
        </row>
        <row r="143">
          <cell r="A143" t="str">
            <v>Certificação do documento - Vibracon</v>
          </cell>
          <cell r="B143">
            <v>45230</v>
          </cell>
        </row>
        <row r="144">
          <cell r="A144" t="str">
            <v>MARCO - Envio do documento Certificado</v>
          </cell>
          <cell r="B144">
            <v>45230</v>
          </cell>
        </row>
        <row r="147">
          <cell r="A147" t="str">
            <v>Verificação do Laudo</v>
          </cell>
          <cell r="B147">
            <v>45226</v>
          </cell>
        </row>
        <row r="149">
          <cell r="A149" t="str">
            <v>MARCO - Emissão Inicial</v>
          </cell>
          <cell r="B149">
            <v>45226</v>
          </cell>
        </row>
        <row r="150">
          <cell r="A150" t="str">
            <v>Aprovação do Cliente</v>
          </cell>
          <cell r="B150">
            <v>45229</v>
          </cell>
        </row>
        <row r="151">
          <cell r="A151" t="str">
            <v>Certificação do documento - Vibracon</v>
          </cell>
          <cell r="B151">
            <v>45230</v>
          </cell>
        </row>
        <row r="152">
          <cell r="A152" t="str">
            <v>MARCO - Envio do documento Certificado</v>
          </cell>
          <cell r="B152">
            <v>45230</v>
          </cell>
        </row>
        <row r="154">
          <cell r="A154" t="str">
            <v>Verificação do Laudo</v>
          </cell>
          <cell r="B154">
            <v>45226</v>
          </cell>
        </row>
        <row r="156">
          <cell r="A156" t="str">
            <v>MARCO - Emissão Inicial</v>
          </cell>
          <cell r="B156">
            <v>45226</v>
          </cell>
        </row>
        <row r="157">
          <cell r="A157" t="str">
            <v>Aprovação do Cliente</v>
          </cell>
          <cell r="B157">
            <v>45229</v>
          </cell>
        </row>
        <row r="158">
          <cell r="A158" t="str">
            <v>Certificação do documento - Vibracon</v>
          </cell>
          <cell r="B158">
            <v>45230</v>
          </cell>
        </row>
        <row r="159">
          <cell r="A159" t="str">
            <v>MARCO - Envio do documento Certificado</v>
          </cell>
          <cell r="B159">
            <v>45230</v>
          </cell>
        </row>
        <row r="161">
          <cell r="A161" t="str">
            <v>Verificação do Laudo</v>
          </cell>
          <cell r="B161">
            <v>45226</v>
          </cell>
        </row>
        <row r="163">
          <cell r="A163" t="str">
            <v>MARCO - Emissão Inicial</v>
          </cell>
          <cell r="B163">
            <v>45226</v>
          </cell>
        </row>
        <row r="164">
          <cell r="A164" t="str">
            <v>Aprovação do Cliente</v>
          </cell>
          <cell r="B164">
            <v>45229</v>
          </cell>
        </row>
        <row r="165">
          <cell r="A165" t="str">
            <v>Certificação do documento - Vibracon</v>
          </cell>
          <cell r="B165">
            <v>45230</v>
          </cell>
        </row>
        <row r="166">
          <cell r="A166" t="str">
            <v>MARCO - Envio do documento Certificado</v>
          </cell>
          <cell r="B166">
            <v>45230</v>
          </cell>
        </row>
        <row r="168">
          <cell r="A168" t="str">
            <v>Verificação do Laudo</v>
          </cell>
          <cell r="B168">
            <v>45226</v>
          </cell>
        </row>
        <row r="170">
          <cell r="A170" t="str">
            <v>MARCO - Emissão Inicial</v>
          </cell>
          <cell r="B170">
            <v>45226</v>
          </cell>
        </row>
        <row r="171">
          <cell r="A171" t="str">
            <v>Aprovação do Cliente</v>
          </cell>
          <cell r="B171">
            <v>45229</v>
          </cell>
        </row>
        <row r="172">
          <cell r="A172" t="str">
            <v>Certificação do documento - Vibracon</v>
          </cell>
          <cell r="B172">
            <v>45230</v>
          </cell>
        </row>
        <row r="173">
          <cell r="A173" t="str">
            <v>MARCO - Envio do documento Certificado</v>
          </cell>
          <cell r="B173">
            <v>45230</v>
          </cell>
        </row>
        <row r="175">
          <cell r="A175" t="str">
            <v>Verificação do Laudo</v>
          </cell>
          <cell r="B175">
            <v>45226</v>
          </cell>
        </row>
        <row r="177">
          <cell r="A177" t="str">
            <v>MARCO - Emissão Inicial</v>
          </cell>
          <cell r="B177">
            <v>45226</v>
          </cell>
        </row>
        <row r="178">
          <cell r="A178" t="str">
            <v>Aprovação do Cliente</v>
          </cell>
          <cell r="B178">
            <v>45229</v>
          </cell>
        </row>
        <row r="179">
          <cell r="A179" t="str">
            <v>Certificação do documento - Vibracon</v>
          </cell>
          <cell r="B179">
            <v>45230</v>
          </cell>
        </row>
        <row r="180">
          <cell r="A180" t="str">
            <v>MARCO - Envio do documento Certificado</v>
          </cell>
          <cell r="B180">
            <v>45230</v>
          </cell>
        </row>
        <row r="182">
          <cell r="A182" t="str">
            <v>Verificação do Laudo</v>
          </cell>
          <cell r="B182">
            <v>45226</v>
          </cell>
        </row>
        <row r="184">
          <cell r="A184" t="str">
            <v>MARCO - Emissão Inicial</v>
          </cell>
          <cell r="B184">
            <v>45226</v>
          </cell>
        </row>
        <row r="185">
          <cell r="A185" t="str">
            <v>Aprovação do Cliente</v>
          </cell>
          <cell r="B185">
            <v>45229</v>
          </cell>
        </row>
        <row r="186">
          <cell r="A186" t="str">
            <v>Certificação do documento - Vibracon</v>
          </cell>
          <cell r="B186">
            <v>45230</v>
          </cell>
        </row>
        <row r="187">
          <cell r="A187" t="str">
            <v>MARCO - Envio do documento Certificado</v>
          </cell>
          <cell r="B187">
            <v>45230</v>
          </cell>
        </row>
        <row r="189">
          <cell r="A189" t="str">
            <v>Verificação do Relatório</v>
          </cell>
          <cell r="B189">
            <v>45226</v>
          </cell>
        </row>
        <row r="191">
          <cell r="A191" t="str">
            <v>MARCO - Emissão Inicial</v>
          </cell>
          <cell r="B191">
            <v>45226</v>
          </cell>
        </row>
        <row r="192">
          <cell r="A192" t="str">
            <v>Aprovação do Cliente</v>
          </cell>
          <cell r="B192">
            <v>45229</v>
          </cell>
        </row>
        <row r="193">
          <cell r="A193" t="str">
            <v>Certificação do documento - Vibracon</v>
          </cell>
          <cell r="B193">
            <v>45230</v>
          </cell>
        </row>
        <row r="194">
          <cell r="A194" t="str">
            <v>MARCO - Envio do documento Certificado</v>
          </cell>
          <cell r="B194">
            <v>45230</v>
          </cell>
        </row>
        <row r="197">
          <cell r="A197" t="str">
            <v>Elaboração da Lista de Desenhos e Documentos</v>
          </cell>
          <cell r="B197">
            <v>45229</v>
          </cell>
        </row>
        <row r="201">
          <cell r="A201" t="str">
            <v>Modelagem CAD 3D</v>
          </cell>
          <cell r="B201">
            <v>45230</v>
          </cell>
        </row>
        <row r="204">
          <cell r="A204" t="str">
            <v>Modelagem CAD 3D</v>
          </cell>
          <cell r="B204">
            <v>45229</v>
          </cell>
        </row>
        <row r="205">
          <cell r="A205" t="str">
            <v>Verificação Interna</v>
          </cell>
          <cell r="B205">
            <v>45230</v>
          </cell>
        </row>
        <row r="207">
          <cell r="A207" t="str">
            <v>MARCO - Emissão Inicial (Rev_A)</v>
          </cell>
          <cell r="B207">
            <v>45230</v>
          </cell>
        </row>
        <row r="211">
          <cell r="A211" t="str">
            <v>Modelagem FEM</v>
          </cell>
          <cell r="B211">
            <v>45230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A"/>
      <sheetName val="PA ANA"/>
      <sheetName val="ADRIANO"/>
      <sheetName val="PA ADRIANO"/>
      <sheetName val="JOÃO "/>
      <sheetName val="PA JOÃO"/>
      <sheetName val="ROGERIO"/>
      <sheetName val="PA ROGERIO"/>
      <sheetName val="MARCOS"/>
      <sheetName val="PA MARCOS"/>
      <sheetName val="ADERÊNCIA"/>
      <sheetName val="Marco Coordenadores - Fev-23-AN"/>
    </sheetNames>
    <definedNames>
      <definedName name="Salvar"/>
    </definedNames>
    <sheetDataSet>
      <sheetData sheetId="0"/>
      <sheetData sheetId="1"/>
      <sheetData sheetId="2">
        <row r="143">
          <cell r="Z143">
            <v>0</v>
          </cell>
        </row>
      </sheetData>
      <sheetData sheetId="3"/>
      <sheetData sheetId="4">
        <row r="75">
          <cell r="Z75">
            <v>0</v>
          </cell>
        </row>
      </sheetData>
      <sheetData sheetId="5"/>
      <sheetData sheetId="6">
        <row r="148">
          <cell r="Z148">
            <v>0</v>
          </cell>
        </row>
      </sheetData>
      <sheetData sheetId="7"/>
      <sheetData sheetId="8">
        <row r="35">
          <cell r="Z35">
            <v>0</v>
          </cell>
        </row>
      </sheetData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0C3E8-3224-4A0C-8D2B-0CC56B1E7EA3}">
  <sheetPr codeName="Planilha12"/>
  <dimension ref="A1:BR1048563"/>
  <sheetViews>
    <sheetView showGridLines="0" tabSelected="1" topLeftCell="B1" zoomScale="55" zoomScaleNormal="55" workbookViewId="0">
      <pane ySplit="5" topLeftCell="A6" activePane="bottomLeft" state="frozen"/>
      <selection pane="bottomLeft" activeCell="R43" sqref="R43"/>
    </sheetView>
  </sheetViews>
  <sheetFormatPr defaultRowHeight="14.5" x14ac:dyDescent="0.35"/>
  <cols>
    <col min="1" max="1" width="20.26953125" hidden="1" customWidth="1"/>
    <col min="2" max="2" width="79.453125" style="28" customWidth="1"/>
    <col min="3" max="5" width="8.26953125" style="28" customWidth="1"/>
    <col min="6" max="6" width="8.26953125" style="75" customWidth="1"/>
    <col min="7" max="7" width="8.26953125" style="76" customWidth="1"/>
    <col min="8" max="10" width="8.26953125" style="28" customWidth="1"/>
    <col min="11" max="11" width="8.26953125" style="75" customWidth="1"/>
    <col min="12" max="12" width="8.26953125" style="76" customWidth="1"/>
    <col min="13" max="15" width="8.26953125" style="28" customWidth="1"/>
    <col min="16" max="16" width="8.26953125" style="75" customWidth="1"/>
    <col min="17" max="17" width="8.26953125" style="76" customWidth="1"/>
    <col min="18" max="18" width="8.26953125" style="78" customWidth="1"/>
    <col min="19" max="20" width="8.26953125" style="28" customWidth="1"/>
    <col min="21" max="21" width="8.26953125" style="75" customWidth="1"/>
    <col min="22" max="24" width="8.26953125" style="28" customWidth="1"/>
    <col min="25" max="28" width="8.1796875" style="28" customWidth="1"/>
    <col min="29" max="30" width="8.1796875" style="28" hidden="1" customWidth="1"/>
    <col min="31" max="31" width="72.453125" style="3" customWidth="1"/>
    <col min="32" max="32" width="37.81640625" style="46" customWidth="1"/>
    <col min="33" max="33" width="35.54296875" style="48" customWidth="1"/>
    <col min="34" max="34" width="81.453125" style="46" customWidth="1"/>
    <col min="35" max="44" width="17.54296875" style="28" customWidth="1"/>
    <col min="45" max="45" width="9.1796875" style="4" customWidth="1"/>
    <col min="46" max="47" width="9.1796875" customWidth="1"/>
    <col min="48" max="48" width="19.453125" customWidth="1"/>
    <col min="49" max="70" width="9.1796875" customWidth="1"/>
  </cols>
  <sheetData>
    <row r="1" spans="1:45" ht="6.75" customHeight="1" x14ac:dyDescent="0.35">
      <c r="AE1"/>
    </row>
    <row r="2" spans="1:45" ht="15" customHeight="1" x14ac:dyDescent="0.35">
      <c r="AE2" s="1"/>
      <c r="AF2" s="47"/>
      <c r="AG2" s="49"/>
      <c r="AH2" s="47"/>
    </row>
    <row r="3" spans="1:45" ht="36.75" customHeight="1" x14ac:dyDescent="0.35">
      <c r="AE3" s="1"/>
      <c r="AF3" s="47"/>
      <c r="AG3" s="49"/>
      <c r="AH3" s="47"/>
    </row>
    <row r="4" spans="1:45" ht="35.25" customHeight="1" x14ac:dyDescent="0.35">
      <c r="B4" s="123"/>
      <c r="C4" s="125">
        <v>45201</v>
      </c>
      <c r="D4" s="125">
        <v>45202</v>
      </c>
      <c r="E4" s="125">
        <v>45203</v>
      </c>
      <c r="F4" s="125">
        <v>45204</v>
      </c>
      <c r="G4" s="125">
        <v>45205</v>
      </c>
      <c r="H4" s="125">
        <v>45208</v>
      </c>
      <c r="I4" s="125">
        <v>45209</v>
      </c>
      <c r="J4" s="125">
        <v>45210</v>
      </c>
      <c r="K4" s="125">
        <v>45211</v>
      </c>
      <c r="L4" s="125">
        <v>45212</v>
      </c>
      <c r="M4" s="125">
        <v>45215</v>
      </c>
      <c r="N4" s="125">
        <v>45216</v>
      </c>
      <c r="O4" s="125">
        <v>45217</v>
      </c>
      <c r="P4" s="125">
        <v>45218</v>
      </c>
      <c r="Q4" s="125">
        <v>45219</v>
      </c>
      <c r="R4" s="125">
        <v>45222</v>
      </c>
      <c r="S4" s="125">
        <v>45223</v>
      </c>
      <c r="T4" s="125">
        <v>45224</v>
      </c>
      <c r="U4" s="125">
        <v>45225</v>
      </c>
      <c r="V4" s="125">
        <v>45226</v>
      </c>
      <c r="W4" s="127">
        <v>45229</v>
      </c>
      <c r="X4" s="127">
        <v>45230</v>
      </c>
      <c r="Y4" s="129" t="s">
        <v>9</v>
      </c>
      <c r="Z4" s="130"/>
      <c r="AA4" s="130"/>
      <c r="AB4" s="131"/>
      <c r="AC4" s="135"/>
      <c r="AD4" s="135"/>
      <c r="AE4" s="137" t="s">
        <v>17</v>
      </c>
      <c r="AF4" s="139" t="s">
        <v>0</v>
      </c>
      <c r="AG4" s="141" t="s">
        <v>1</v>
      </c>
      <c r="AH4" s="143" t="s">
        <v>12</v>
      </c>
      <c r="AI4" s="60"/>
      <c r="AJ4" s="60"/>
      <c r="AK4" s="58"/>
      <c r="AL4" s="58"/>
      <c r="AM4" s="58"/>
      <c r="AN4" s="58"/>
      <c r="AO4" s="58"/>
      <c r="AP4" s="58"/>
      <c r="AQ4" s="73"/>
      <c r="AR4" s="73"/>
      <c r="AS4"/>
    </row>
    <row r="5" spans="1:45" ht="15" customHeight="1" x14ac:dyDescent="0.35">
      <c r="B5" s="124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8"/>
      <c r="X5" s="128"/>
      <c r="Y5" s="132"/>
      <c r="Z5" s="133"/>
      <c r="AA5" s="133"/>
      <c r="AB5" s="134"/>
      <c r="AC5" s="136"/>
      <c r="AD5" s="136"/>
      <c r="AE5" s="138"/>
      <c r="AF5" s="140"/>
      <c r="AG5" s="142"/>
      <c r="AH5" s="144"/>
      <c r="AI5" s="60"/>
      <c r="AJ5" s="60"/>
      <c r="AK5" s="59"/>
      <c r="AL5" s="59"/>
      <c r="AM5" s="59"/>
      <c r="AN5" s="59"/>
      <c r="AO5" s="59"/>
      <c r="AP5" s="59"/>
      <c r="AQ5" s="73"/>
      <c r="AR5" s="73"/>
      <c r="AS5"/>
    </row>
    <row r="6" spans="1:45" ht="30" customHeight="1" x14ac:dyDescent="0.35">
      <c r="B6" s="50" t="s">
        <v>34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111"/>
      <c r="Z6" s="112"/>
      <c r="AA6" s="112"/>
      <c r="AB6" s="113"/>
      <c r="AC6" s="50"/>
      <c r="AD6" s="50"/>
      <c r="AE6" s="63" t="str">
        <f>IF(Y6="ATRASADO",B6,"")</f>
        <v/>
      </c>
      <c r="AF6" s="63"/>
      <c r="AG6" s="63"/>
      <c r="AH6" s="63"/>
      <c r="AI6" s="64">
        <f>COUNTIF(C6:G6,"ok")</f>
        <v>0</v>
      </c>
      <c r="AJ6" s="64" t="str">
        <f t="shared" ref="AJ6" si="0">IF(AND(AI6=1,OR($Y6="entregue",$Y6="efprazo")),$Y6,"")</f>
        <v/>
      </c>
      <c r="AK6" s="64">
        <f>COUNTIF(H6:L6,"ok")</f>
        <v>0</v>
      </c>
      <c r="AL6" s="64" t="str">
        <f t="shared" ref="AL6" si="1">IF(AND(AK6=1,OR(Y6="entregue",Y6="efprazo")),Y6,"")</f>
        <v/>
      </c>
      <c r="AM6" s="64">
        <f>COUNTIF(M6:Q6,"ok")</f>
        <v>0</v>
      </c>
      <c r="AN6" s="64" t="str">
        <f t="shared" ref="AN6" si="2">IF(AND(AM6=1,OR($Y6="entregue",$Y6="efprazo")),$Y6,"")</f>
        <v/>
      </c>
      <c r="AO6" s="64">
        <f>COUNTIF(R6:V6,"ok")</f>
        <v>0</v>
      </c>
      <c r="AP6" s="64" t="str">
        <f t="shared" ref="AP6" si="3">IF(AND(AO6=1,OR($Y6="entregue",$Y6="efprazo")),$Y6,"")</f>
        <v/>
      </c>
      <c r="AQ6" s="64">
        <f>COUNTIF(W6:X6,"ok")</f>
        <v>0</v>
      </c>
      <c r="AR6" s="64" t="str">
        <f>IF(AND(AQ6=1,OR($Y6="entregue",$Y6="efprazo")),$Y6,"")</f>
        <v/>
      </c>
      <c r="AS6"/>
    </row>
    <row r="7" spans="1:45" ht="30" hidden="1" customHeight="1" x14ac:dyDescent="0.35">
      <c r="B7" s="51" t="s">
        <v>36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117"/>
      <c r="Z7" s="118"/>
      <c r="AA7" s="118"/>
      <c r="AB7" s="119"/>
      <c r="AC7" s="51"/>
      <c r="AD7" s="51"/>
      <c r="AE7" s="63" t="str">
        <f t="shared" ref="AE7:AE70" si="4">IF(Y7="ATRASADO",B7,"")</f>
        <v/>
      </c>
      <c r="AF7" s="63"/>
      <c r="AG7" s="63"/>
      <c r="AH7" s="63"/>
      <c r="AI7" s="64">
        <f t="shared" ref="AI7:AI70" si="5">COUNTIF(C7:G7,"ok")</f>
        <v>0</v>
      </c>
      <c r="AJ7" s="64" t="str">
        <f t="shared" ref="AJ7:AJ70" si="6">IF(AND(AI7=1,OR($Y7="entregue",$Y7="efprazo")),$Y7,"")</f>
        <v/>
      </c>
      <c r="AK7" s="64">
        <f t="shared" ref="AK7:AK70" si="7">COUNTIF(H7:L7,"ok")</f>
        <v>0</v>
      </c>
      <c r="AL7" s="64" t="str">
        <f t="shared" ref="AL7:AL70" si="8">IF(AND(AK7=1,OR(Y7="entregue",Y7="efprazo")),Y7,"")</f>
        <v/>
      </c>
      <c r="AM7" s="64">
        <f t="shared" ref="AM7:AM70" si="9">COUNTIF(M7:Q7,"ok")</f>
        <v>0</v>
      </c>
      <c r="AN7" s="64" t="str">
        <f t="shared" ref="AN7:AN70" si="10">IF(AND(AM7=1,OR($Y7="entregue",$Y7="efprazo")),$Y7,"")</f>
        <v/>
      </c>
      <c r="AO7" s="64">
        <f t="shared" ref="AO7:AO70" si="11">COUNTIF(R7:V7,"ok")</f>
        <v>0</v>
      </c>
      <c r="AP7" s="64" t="str">
        <f t="shared" ref="AP7:AP70" si="12">IF(AND(AO7=1,OR($Y7="entregue",$Y7="efprazo")),$Y7,"")</f>
        <v/>
      </c>
      <c r="AQ7" s="64">
        <f t="shared" ref="AQ7:AQ70" si="13">COUNTIF(W7:X7,"ok")</f>
        <v>0</v>
      </c>
      <c r="AR7" s="64" t="str">
        <f t="shared" ref="AR7:AR70" si="14">IF(AND(AQ7=1,OR($Y7="entregue",$Y7="efprazo")),$Y7,"")</f>
        <v/>
      </c>
      <c r="AS7"/>
    </row>
    <row r="8" spans="1:45" ht="30" hidden="1" customHeight="1" x14ac:dyDescent="0.35">
      <c r="B8" s="52" t="s">
        <v>35</v>
      </c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102"/>
      <c r="Z8" s="103"/>
      <c r="AA8" s="103"/>
      <c r="AB8" s="104"/>
      <c r="AC8" s="52"/>
      <c r="AD8" s="52"/>
      <c r="AE8" s="63" t="str">
        <f t="shared" si="4"/>
        <v/>
      </c>
      <c r="AF8" s="63"/>
      <c r="AG8" s="63"/>
      <c r="AH8" s="63"/>
      <c r="AI8" s="64">
        <f t="shared" si="5"/>
        <v>0</v>
      </c>
      <c r="AJ8" s="64" t="str">
        <f t="shared" si="6"/>
        <v/>
      </c>
      <c r="AK8" s="64">
        <f t="shared" si="7"/>
        <v>0</v>
      </c>
      <c r="AL8" s="64" t="str">
        <f t="shared" si="8"/>
        <v/>
      </c>
      <c r="AM8" s="64">
        <f t="shared" si="9"/>
        <v>0</v>
      </c>
      <c r="AN8" s="64" t="str">
        <f t="shared" si="10"/>
        <v/>
      </c>
      <c r="AO8" s="64">
        <f t="shared" si="11"/>
        <v>0</v>
      </c>
      <c r="AP8" s="64" t="str">
        <f t="shared" si="12"/>
        <v/>
      </c>
      <c r="AQ8" s="64">
        <f t="shared" si="13"/>
        <v>0</v>
      </c>
      <c r="AR8" s="64" t="str">
        <f t="shared" si="14"/>
        <v/>
      </c>
      <c r="AS8"/>
    </row>
    <row r="9" spans="1:45" ht="30" hidden="1" customHeight="1" x14ac:dyDescent="0.35">
      <c r="B9" s="54" t="s">
        <v>37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114"/>
      <c r="Z9" s="115"/>
      <c r="AA9" s="115"/>
      <c r="AB9" s="116"/>
      <c r="AC9" s="61"/>
      <c r="AD9" s="61"/>
      <c r="AE9" s="63" t="str">
        <f t="shared" si="4"/>
        <v/>
      </c>
      <c r="AF9" s="63"/>
      <c r="AG9" s="63"/>
      <c r="AH9" s="63"/>
      <c r="AI9" s="64">
        <f t="shared" si="5"/>
        <v>0</v>
      </c>
      <c r="AJ9" s="64" t="str">
        <f t="shared" si="6"/>
        <v/>
      </c>
      <c r="AK9" s="64">
        <f t="shared" si="7"/>
        <v>0</v>
      </c>
      <c r="AL9" s="64" t="str">
        <f t="shared" si="8"/>
        <v/>
      </c>
      <c r="AM9" s="64">
        <f t="shared" si="9"/>
        <v>0</v>
      </c>
      <c r="AN9" s="64" t="str">
        <f t="shared" si="10"/>
        <v/>
      </c>
      <c r="AO9" s="64">
        <f t="shared" si="11"/>
        <v>0</v>
      </c>
      <c r="AP9" s="64" t="str">
        <f t="shared" si="12"/>
        <v/>
      </c>
      <c r="AQ9" s="64">
        <f t="shared" si="13"/>
        <v>0</v>
      </c>
      <c r="AR9" s="64" t="str">
        <f t="shared" si="14"/>
        <v/>
      </c>
      <c r="AS9"/>
    </row>
    <row r="10" spans="1:45" ht="30" hidden="1" customHeight="1" x14ac:dyDescent="0.35">
      <c r="A10" s="28" t="str">
        <f t="shared" ref="A10:A11" si="15">CONCATENATE($B$7,"
",$B$8,"
",$B$9)</f>
        <v>PT148 - Avaliação Estrutural - Telhados Refeitórios - Serra Leste
ETAPA DE ESCRITÓRIO
MARCO - RELATÓRIOS TÉCNICOS</v>
      </c>
      <c r="B10" s="55" t="s">
        <v>20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/>
      <c r="Z10"/>
      <c r="AA10"/>
      <c r="AB10"/>
      <c r="AC10" s="55"/>
      <c r="AD10" s="55"/>
      <c r="AE10" s="63" t="str">
        <f t="shared" si="4"/>
        <v/>
      </c>
      <c r="AF10" s="63"/>
      <c r="AG10" s="63"/>
      <c r="AH10" s="63"/>
      <c r="AI10" s="64">
        <f t="shared" si="5"/>
        <v>0</v>
      </c>
      <c r="AJ10" s="64" t="str">
        <f t="shared" si="6"/>
        <v/>
      </c>
      <c r="AK10" s="64">
        <f t="shared" si="7"/>
        <v>0</v>
      </c>
      <c r="AL10" s="64" t="str">
        <f t="shared" si="8"/>
        <v/>
      </c>
      <c r="AM10" s="64">
        <f t="shared" si="9"/>
        <v>0</v>
      </c>
      <c r="AN10" s="64" t="str">
        <f t="shared" si="10"/>
        <v/>
      </c>
      <c r="AO10" s="64">
        <f t="shared" si="11"/>
        <v>0</v>
      </c>
      <c r="AP10" s="64" t="str">
        <f t="shared" si="12"/>
        <v/>
      </c>
      <c r="AQ10" s="64">
        <f t="shared" si="13"/>
        <v>0</v>
      </c>
      <c r="AR10" s="64" t="str">
        <f t="shared" si="14"/>
        <v/>
      </c>
      <c r="AS10"/>
    </row>
    <row r="11" spans="1:45" ht="30" hidden="1" customHeight="1" x14ac:dyDescent="0.35">
      <c r="A11" s="28" t="str">
        <f t="shared" si="15"/>
        <v>PT148 - Avaliação Estrutural - Telhados Refeitórios - Serra Leste
ETAPA DE ESCRITÓRIO
MARCO - RELATÓRIOS TÉCNICOS</v>
      </c>
      <c r="B11" s="55" t="s">
        <v>38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/>
      <c r="Z11"/>
      <c r="AA11"/>
      <c r="AB11"/>
      <c r="AC11" s="55"/>
      <c r="AD11" s="55"/>
      <c r="AE11" s="63" t="str">
        <f t="shared" si="4"/>
        <v/>
      </c>
      <c r="AF11" s="63"/>
      <c r="AG11" s="63"/>
      <c r="AH11" s="63"/>
      <c r="AI11" s="64">
        <f t="shared" si="5"/>
        <v>0</v>
      </c>
      <c r="AJ11" s="64" t="str">
        <f t="shared" si="6"/>
        <v/>
      </c>
      <c r="AK11" s="64">
        <f t="shared" si="7"/>
        <v>0</v>
      </c>
      <c r="AL11" s="64" t="str">
        <f t="shared" si="8"/>
        <v/>
      </c>
      <c r="AM11" s="64">
        <f t="shared" si="9"/>
        <v>0</v>
      </c>
      <c r="AN11" s="64" t="str">
        <f t="shared" si="10"/>
        <v/>
      </c>
      <c r="AO11" s="64">
        <f t="shared" si="11"/>
        <v>0</v>
      </c>
      <c r="AP11" s="64" t="str">
        <f t="shared" si="12"/>
        <v/>
      </c>
      <c r="AQ11" s="64">
        <f t="shared" si="13"/>
        <v>0</v>
      </c>
      <c r="AR11" s="64" t="str">
        <f t="shared" si="14"/>
        <v/>
      </c>
      <c r="AS11"/>
    </row>
    <row r="12" spans="1:45" ht="30" hidden="1" customHeight="1" x14ac:dyDescent="0.35">
      <c r="A12" s="28" t="str">
        <f>CONCATENATE($B$7,"
",$B$8,"
",$B$9)</f>
        <v>PT148 - Avaliação Estrutural - Telhados Refeitórios - Serra Leste
ETAPA DE ESCRITÓRIO
MARCO - RELATÓRIOS TÉCNICOS</v>
      </c>
      <c r="B12" s="55" t="s">
        <v>39</v>
      </c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/>
      <c r="Z12"/>
      <c r="AA12"/>
      <c r="AB12"/>
      <c r="AC12" s="55"/>
      <c r="AD12" s="55"/>
      <c r="AE12" s="63" t="str">
        <f t="shared" si="4"/>
        <v/>
      </c>
      <c r="AF12" s="63"/>
      <c r="AG12" s="63"/>
      <c r="AH12" s="63"/>
      <c r="AI12" s="64">
        <f t="shared" si="5"/>
        <v>0</v>
      </c>
      <c r="AJ12" s="64" t="str">
        <f t="shared" si="6"/>
        <v/>
      </c>
      <c r="AK12" s="64">
        <f t="shared" si="7"/>
        <v>0</v>
      </c>
      <c r="AL12" s="64" t="str">
        <f t="shared" si="8"/>
        <v/>
      </c>
      <c r="AM12" s="64">
        <f t="shared" si="9"/>
        <v>0</v>
      </c>
      <c r="AN12" s="64" t="str">
        <f t="shared" si="10"/>
        <v/>
      </c>
      <c r="AO12" s="64">
        <f t="shared" si="11"/>
        <v>0</v>
      </c>
      <c r="AP12" s="64" t="str">
        <f t="shared" si="12"/>
        <v/>
      </c>
      <c r="AQ12" s="64">
        <f t="shared" si="13"/>
        <v>0</v>
      </c>
      <c r="AR12" s="64" t="str">
        <f t="shared" si="14"/>
        <v/>
      </c>
      <c r="AS12"/>
    </row>
    <row r="13" spans="1:45" ht="30" hidden="1" customHeight="1" x14ac:dyDescent="0.35">
      <c r="B13" s="51" t="s">
        <v>40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117"/>
      <c r="Z13" s="118"/>
      <c r="AA13" s="118"/>
      <c r="AB13" s="119"/>
      <c r="AC13" s="61"/>
      <c r="AD13" s="61"/>
      <c r="AE13" s="63" t="str">
        <f t="shared" si="4"/>
        <v/>
      </c>
      <c r="AF13" s="63"/>
      <c r="AG13" s="63"/>
      <c r="AH13" s="63"/>
      <c r="AI13" s="64">
        <f t="shared" si="5"/>
        <v>0</v>
      </c>
      <c r="AJ13" s="64" t="str">
        <f t="shared" si="6"/>
        <v/>
      </c>
      <c r="AK13" s="64">
        <f t="shared" si="7"/>
        <v>0</v>
      </c>
      <c r="AL13" s="64" t="str">
        <f t="shared" si="8"/>
        <v/>
      </c>
      <c r="AM13" s="64">
        <f t="shared" si="9"/>
        <v>0</v>
      </c>
      <c r="AN13" s="64" t="str">
        <f t="shared" si="10"/>
        <v/>
      </c>
      <c r="AO13" s="64">
        <f t="shared" si="11"/>
        <v>0</v>
      </c>
      <c r="AP13" s="64" t="str">
        <f t="shared" si="12"/>
        <v/>
      </c>
      <c r="AQ13" s="64">
        <f t="shared" si="13"/>
        <v>0</v>
      </c>
      <c r="AR13" s="64" t="str">
        <f t="shared" si="14"/>
        <v/>
      </c>
      <c r="AS13"/>
    </row>
    <row r="14" spans="1:45" ht="30" hidden="1" customHeight="1" x14ac:dyDescent="0.35">
      <c r="B14" s="52" t="s">
        <v>35</v>
      </c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102"/>
      <c r="Z14" s="103"/>
      <c r="AA14" s="103"/>
      <c r="AB14" s="104"/>
      <c r="AC14" s="55"/>
      <c r="AD14" s="55"/>
      <c r="AE14" s="63" t="str">
        <f t="shared" si="4"/>
        <v/>
      </c>
      <c r="AF14" s="63"/>
      <c r="AG14" s="63"/>
      <c r="AH14" s="63"/>
      <c r="AI14" s="64">
        <f t="shared" si="5"/>
        <v>0</v>
      </c>
      <c r="AJ14" s="64" t="str">
        <f t="shared" si="6"/>
        <v/>
      </c>
      <c r="AK14" s="64">
        <f t="shared" si="7"/>
        <v>0</v>
      </c>
      <c r="AL14" s="64" t="str">
        <f t="shared" si="8"/>
        <v/>
      </c>
      <c r="AM14" s="64">
        <f t="shared" si="9"/>
        <v>0</v>
      </c>
      <c r="AN14" s="64" t="str">
        <f t="shared" si="10"/>
        <v/>
      </c>
      <c r="AO14" s="64">
        <f t="shared" si="11"/>
        <v>0</v>
      </c>
      <c r="AP14" s="64" t="str">
        <f t="shared" si="12"/>
        <v/>
      </c>
      <c r="AQ14" s="64">
        <f t="shared" si="13"/>
        <v>0</v>
      </c>
      <c r="AR14" s="64" t="str">
        <f t="shared" si="14"/>
        <v/>
      </c>
      <c r="AS14"/>
    </row>
    <row r="15" spans="1:45" ht="30" hidden="1" customHeight="1" x14ac:dyDescent="0.35">
      <c r="B15" s="54" t="s">
        <v>37</v>
      </c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114"/>
      <c r="Z15" s="115"/>
      <c r="AA15" s="115"/>
      <c r="AB15" s="116"/>
      <c r="AC15" s="55"/>
      <c r="AD15" s="55"/>
      <c r="AE15" s="63" t="str">
        <f t="shared" si="4"/>
        <v/>
      </c>
      <c r="AF15" s="63"/>
      <c r="AG15" s="63"/>
      <c r="AH15" s="63"/>
      <c r="AI15" s="64">
        <f t="shared" si="5"/>
        <v>0</v>
      </c>
      <c r="AJ15" s="64" t="str">
        <f t="shared" si="6"/>
        <v/>
      </c>
      <c r="AK15" s="64">
        <f t="shared" si="7"/>
        <v>0</v>
      </c>
      <c r="AL15" s="64" t="str">
        <f t="shared" si="8"/>
        <v/>
      </c>
      <c r="AM15" s="64">
        <f t="shared" si="9"/>
        <v>0</v>
      </c>
      <c r="AN15" s="64" t="str">
        <f t="shared" si="10"/>
        <v/>
      </c>
      <c r="AO15" s="64">
        <f t="shared" si="11"/>
        <v>0</v>
      </c>
      <c r="AP15" s="64" t="str">
        <f t="shared" si="12"/>
        <v/>
      </c>
      <c r="AQ15" s="64">
        <f t="shared" si="13"/>
        <v>0</v>
      </c>
      <c r="AR15" s="64" t="str">
        <f t="shared" si="14"/>
        <v/>
      </c>
      <c r="AS15"/>
    </row>
    <row r="16" spans="1:45" ht="30" hidden="1" customHeight="1" x14ac:dyDescent="0.35">
      <c r="A16" s="28" t="str">
        <f>CONCATENATE($B$13,"
",$B$14,"
",$B$15)</f>
        <v>PT148 - Avaliação Estrutural - Telhados Refeitórios - Manganês
ETAPA DE ESCRITÓRIO
MARCO - RELATÓRIOS TÉCNICOS</v>
      </c>
      <c r="B16" s="55" t="s">
        <v>20</v>
      </c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/>
      <c r="Z16"/>
      <c r="AA16"/>
      <c r="AB16"/>
      <c r="AC16" s="55"/>
      <c r="AD16" s="55"/>
      <c r="AE16" s="63" t="str">
        <f t="shared" si="4"/>
        <v/>
      </c>
      <c r="AF16" s="63"/>
      <c r="AG16" s="63"/>
      <c r="AH16" s="63"/>
      <c r="AI16" s="64">
        <f t="shared" si="5"/>
        <v>0</v>
      </c>
      <c r="AJ16" s="64" t="str">
        <f t="shared" si="6"/>
        <v/>
      </c>
      <c r="AK16" s="64">
        <f t="shared" si="7"/>
        <v>0</v>
      </c>
      <c r="AL16" s="64" t="str">
        <f t="shared" si="8"/>
        <v/>
      </c>
      <c r="AM16" s="64">
        <f t="shared" si="9"/>
        <v>0</v>
      </c>
      <c r="AN16" s="64" t="str">
        <f t="shared" si="10"/>
        <v/>
      </c>
      <c r="AO16" s="64">
        <f t="shared" si="11"/>
        <v>0</v>
      </c>
      <c r="AP16" s="64" t="str">
        <f t="shared" si="12"/>
        <v/>
      </c>
      <c r="AQ16" s="64">
        <f t="shared" si="13"/>
        <v>0</v>
      </c>
      <c r="AR16" s="64" t="str">
        <f t="shared" si="14"/>
        <v/>
      </c>
      <c r="AS16"/>
    </row>
    <row r="17" spans="1:45" ht="30" hidden="1" customHeight="1" x14ac:dyDescent="0.35">
      <c r="A17" s="28" t="str">
        <f t="shared" ref="A17:A18" si="16">CONCATENATE($B$13,"
",$B$14,"
",$B$15)</f>
        <v>PT148 - Avaliação Estrutural - Telhados Refeitórios - Manganês
ETAPA DE ESCRITÓRIO
MARCO - RELATÓRIOS TÉCNICOS</v>
      </c>
      <c r="B17" s="55" t="s">
        <v>38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/>
      <c r="Z17"/>
      <c r="AA17"/>
      <c r="AB17"/>
      <c r="AC17" s="55"/>
      <c r="AD17" s="55"/>
      <c r="AE17" s="63" t="str">
        <f t="shared" si="4"/>
        <v/>
      </c>
      <c r="AF17" s="63"/>
      <c r="AG17" s="63"/>
      <c r="AH17" s="63"/>
      <c r="AI17" s="64">
        <f t="shared" si="5"/>
        <v>0</v>
      </c>
      <c r="AJ17" s="64" t="str">
        <f t="shared" si="6"/>
        <v/>
      </c>
      <c r="AK17" s="64">
        <f t="shared" si="7"/>
        <v>0</v>
      </c>
      <c r="AL17" s="64" t="str">
        <f t="shared" si="8"/>
        <v/>
      </c>
      <c r="AM17" s="64">
        <f t="shared" si="9"/>
        <v>0</v>
      </c>
      <c r="AN17" s="64" t="str">
        <f t="shared" si="10"/>
        <v/>
      </c>
      <c r="AO17" s="64">
        <f t="shared" si="11"/>
        <v>0</v>
      </c>
      <c r="AP17" s="64" t="str">
        <f t="shared" si="12"/>
        <v/>
      </c>
      <c r="AQ17" s="64">
        <f t="shared" si="13"/>
        <v>0</v>
      </c>
      <c r="AR17" s="64" t="str">
        <f t="shared" si="14"/>
        <v/>
      </c>
      <c r="AS17"/>
    </row>
    <row r="18" spans="1:45" ht="30" hidden="1" customHeight="1" x14ac:dyDescent="0.35">
      <c r="A18" s="28" t="str">
        <f t="shared" si="16"/>
        <v>PT148 - Avaliação Estrutural - Telhados Refeitórios - Manganês
ETAPA DE ESCRITÓRIO
MARCO - RELATÓRIOS TÉCNICOS</v>
      </c>
      <c r="B18" s="55" t="s">
        <v>39</v>
      </c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/>
      <c r="Z18"/>
      <c r="AA18"/>
      <c r="AB18"/>
      <c r="AC18" s="52"/>
      <c r="AD18" s="52"/>
      <c r="AE18" s="63" t="str">
        <f t="shared" si="4"/>
        <v/>
      </c>
      <c r="AF18" s="63"/>
      <c r="AG18" s="63"/>
      <c r="AH18" s="63"/>
      <c r="AI18" s="64">
        <f t="shared" si="5"/>
        <v>0</v>
      </c>
      <c r="AJ18" s="64" t="str">
        <f t="shared" si="6"/>
        <v/>
      </c>
      <c r="AK18" s="64">
        <f t="shared" si="7"/>
        <v>0</v>
      </c>
      <c r="AL18" s="64" t="str">
        <f t="shared" si="8"/>
        <v/>
      </c>
      <c r="AM18" s="64">
        <f t="shared" si="9"/>
        <v>0</v>
      </c>
      <c r="AN18" s="64" t="str">
        <f t="shared" si="10"/>
        <v/>
      </c>
      <c r="AO18" s="64">
        <f t="shared" si="11"/>
        <v>0</v>
      </c>
      <c r="AP18" s="64" t="str">
        <f t="shared" si="12"/>
        <v/>
      </c>
      <c r="AQ18" s="64">
        <f t="shared" si="13"/>
        <v>0</v>
      </c>
      <c r="AR18" s="64" t="str">
        <f t="shared" si="14"/>
        <v/>
      </c>
      <c r="AS18"/>
    </row>
    <row r="19" spans="1:45" ht="30" hidden="1" customHeight="1" x14ac:dyDescent="0.35">
      <c r="A19" s="28"/>
      <c r="B19" s="51" t="s">
        <v>41</v>
      </c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79"/>
      <c r="Z19" s="80"/>
      <c r="AA19" s="80"/>
      <c r="AB19" s="81"/>
      <c r="AC19" s="61"/>
      <c r="AD19" s="61"/>
      <c r="AE19" s="63" t="str">
        <f t="shared" si="4"/>
        <v/>
      </c>
      <c r="AF19" s="63"/>
      <c r="AG19" s="63"/>
      <c r="AH19" s="63"/>
      <c r="AI19" s="64">
        <f t="shared" si="5"/>
        <v>0</v>
      </c>
      <c r="AJ19" s="64" t="str">
        <f t="shared" si="6"/>
        <v/>
      </c>
      <c r="AK19" s="64">
        <f t="shared" si="7"/>
        <v>0</v>
      </c>
      <c r="AL19" s="64" t="str">
        <f t="shared" si="8"/>
        <v/>
      </c>
      <c r="AM19" s="64">
        <f t="shared" si="9"/>
        <v>0</v>
      </c>
      <c r="AN19" s="64" t="str">
        <f t="shared" si="10"/>
        <v/>
      </c>
      <c r="AO19" s="64">
        <f t="shared" si="11"/>
        <v>0</v>
      </c>
      <c r="AP19" s="64" t="str">
        <f t="shared" si="12"/>
        <v/>
      </c>
      <c r="AQ19" s="64">
        <f t="shared" si="13"/>
        <v>0</v>
      </c>
      <c r="AR19" s="64" t="str">
        <f t="shared" si="14"/>
        <v/>
      </c>
      <c r="AS19"/>
    </row>
    <row r="20" spans="1:45" ht="30" hidden="1" customHeight="1" x14ac:dyDescent="0.35">
      <c r="A20" s="28"/>
      <c r="B20" s="52" t="s">
        <v>35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102"/>
      <c r="Z20" s="103"/>
      <c r="AA20" s="103"/>
      <c r="AB20" s="104"/>
      <c r="AC20" s="55"/>
      <c r="AD20" s="55"/>
      <c r="AE20" s="63" t="str">
        <f t="shared" si="4"/>
        <v/>
      </c>
      <c r="AF20" s="63"/>
      <c r="AG20" s="63"/>
      <c r="AH20" s="63"/>
      <c r="AI20" s="64">
        <f t="shared" si="5"/>
        <v>0</v>
      </c>
      <c r="AJ20" s="64" t="str">
        <f t="shared" si="6"/>
        <v/>
      </c>
      <c r="AK20" s="64">
        <f t="shared" si="7"/>
        <v>0</v>
      </c>
      <c r="AL20" s="64" t="str">
        <f t="shared" si="8"/>
        <v/>
      </c>
      <c r="AM20" s="64">
        <f t="shared" si="9"/>
        <v>0</v>
      </c>
      <c r="AN20" s="64" t="str">
        <f t="shared" si="10"/>
        <v/>
      </c>
      <c r="AO20" s="64">
        <f t="shared" si="11"/>
        <v>0</v>
      </c>
      <c r="AP20" s="64" t="str">
        <f t="shared" si="12"/>
        <v/>
      </c>
      <c r="AQ20" s="64">
        <f t="shared" si="13"/>
        <v>0</v>
      </c>
      <c r="AR20" s="64" t="str">
        <f t="shared" si="14"/>
        <v/>
      </c>
      <c r="AS20"/>
    </row>
    <row r="21" spans="1:45" ht="30" hidden="1" customHeight="1" x14ac:dyDescent="0.35">
      <c r="A21" s="28"/>
      <c r="B21" s="54" t="s">
        <v>37</v>
      </c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114"/>
      <c r="Z21" s="115"/>
      <c r="AA21" s="115"/>
      <c r="AB21" s="116"/>
      <c r="AC21" s="55"/>
      <c r="AD21" s="55"/>
      <c r="AE21" s="63" t="str">
        <f t="shared" si="4"/>
        <v/>
      </c>
      <c r="AF21" s="63"/>
      <c r="AG21" s="63"/>
      <c r="AH21" s="63"/>
      <c r="AI21" s="64">
        <f t="shared" si="5"/>
        <v>0</v>
      </c>
      <c r="AJ21" s="64" t="str">
        <f t="shared" si="6"/>
        <v/>
      </c>
      <c r="AK21" s="64">
        <f t="shared" si="7"/>
        <v>0</v>
      </c>
      <c r="AL21" s="64" t="str">
        <f t="shared" si="8"/>
        <v/>
      </c>
      <c r="AM21" s="64">
        <f t="shared" si="9"/>
        <v>0</v>
      </c>
      <c r="AN21" s="64" t="str">
        <f t="shared" si="10"/>
        <v/>
      </c>
      <c r="AO21" s="64">
        <f t="shared" si="11"/>
        <v>0</v>
      </c>
      <c r="AP21" s="64" t="str">
        <f t="shared" si="12"/>
        <v/>
      </c>
      <c r="AQ21" s="64">
        <f t="shared" si="13"/>
        <v>0</v>
      </c>
      <c r="AR21" s="64" t="str">
        <f t="shared" si="14"/>
        <v/>
      </c>
      <c r="AS21"/>
    </row>
    <row r="22" spans="1:45" ht="30" hidden="1" customHeight="1" x14ac:dyDescent="0.35">
      <c r="A22" s="28" t="str">
        <f>CONCATENATE($B$19,"
",$B$20,"
",$B$21)</f>
        <v>PT148 - Avaliação Estrutural - Telhados Refeitórios - Açai, Cupuaçu, Graviola, N5
ETAPA DE ESCRITÓRIO
MARCO - RELATÓRIOS TÉCNICOS</v>
      </c>
      <c r="B22" s="55" t="s">
        <v>20</v>
      </c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/>
      <c r="Z22"/>
      <c r="AA22"/>
      <c r="AB22"/>
      <c r="AC22" s="55"/>
      <c r="AD22" s="55"/>
      <c r="AE22" s="63" t="str">
        <f t="shared" si="4"/>
        <v/>
      </c>
      <c r="AF22" s="63"/>
      <c r="AG22" s="63"/>
      <c r="AH22" s="63"/>
      <c r="AI22" s="64">
        <f t="shared" si="5"/>
        <v>0</v>
      </c>
      <c r="AJ22" s="64" t="str">
        <f t="shared" si="6"/>
        <v/>
      </c>
      <c r="AK22" s="64">
        <f t="shared" si="7"/>
        <v>0</v>
      </c>
      <c r="AL22" s="64" t="str">
        <f t="shared" si="8"/>
        <v/>
      </c>
      <c r="AM22" s="64">
        <f t="shared" si="9"/>
        <v>0</v>
      </c>
      <c r="AN22" s="64" t="str">
        <f t="shared" si="10"/>
        <v/>
      </c>
      <c r="AO22" s="64">
        <f t="shared" si="11"/>
        <v>0</v>
      </c>
      <c r="AP22" s="64" t="str">
        <f t="shared" si="12"/>
        <v/>
      </c>
      <c r="AQ22" s="64">
        <f t="shared" si="13"/>
        <v>0</v>
      </c>
      <c r="AR22" s="64" t="str">
        <f t="shared" si="14"/>
        <v/>
      </c>
      <c r="AS22"/>
    </row>
    <row r="23" spans="1:45" ht="30" hidden="1" customHeight="1" x14ac:dyDescent="0.35">
      <c r="A23" s="28" t="str">
        <f t="shared" ref="A23:A24" si="17">CONCATENATE($B$19,"
",$B$20,"
",$B$21)</f>
        <v>PT148 - Avaliação Estrutural - Telhados Refeitórios - Açai, Cupuaçu, Graviola, N5
ETAPA DE ESCRITÓRIO
MARCO - RELATÓRIOS TÉCNICOS</v>
      </c>
      <c r="B23" s="55" t="s">
        <v>38</v>
      </c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/>
      <c r="Z23"/>
      <c r="AA23"/>
      <c r="AB23"/>
      <c r="AC23" s="55"/>
      <c r="AD23" s="55"/>
      <c r="AE23" s="63" t="str">
        <f t="shared" si="4"/>
        <v/>
      </c>
      <c r="AF23" s="63"/>
      <c r="AG23" s="63"/>
      <c r="AH23" s="63"/>
      <c r="AI23" s="64">
        <f t="shared" si="5"/>
        <v>0</v>
      </c>
      <c r="AJ23" s="64" t="str">
        <f t="shared" si="6"/>
        <v/>
      </c>
      <c r="AK23" s="64">
        <f t="shared" si="7"/>
        <v>0</v>
      </c>
      <c r="AL23" s="64" t="str">
        <f t="shared" si="8"/>
        <v/>
      </c>
      <c r="AM23" s="64">
        <f t="shared" si="9"/>
        <v>0</v>
      </c>
      <c r="AN23" s="64" t="str">
        <f t="shared" si="10"/>
        <v/>
      </c>
      <c r="AO23" s="64">
        <f t="shared" si="11"/>
        <v>0</v>
      </c>
      <c r="AP23" s="64" t="str">
        <f t="shared" si="12"/>
        <v/>
      </c>
      <c r="AQ23" s="64">
        <f t="shared" si="13"/>
        <v>0</v>
      </c>
      <c r="AR23" s="64" t="str">
        <f t="shared" si="14"/>
        <v/>
      </c>
      <c r="AS23"/>
    </row>
    <row r="24" spans="1:45" ht="30" hidden="1" customHeight="1" x14ac:dyDescent="0.35">
      <c r="A24" s="28" t="str">
        <f t="shared" si="17"/>
        <v>PT148 - Avaliação Estrutural - Telhados Refeitórios - Açai, Cupuaçu, Graviola, N5
ETAPA DE ESCRITÓRIO
MARCO - RELATÓRIOS TÉCNICOS</v>
      </c>
      <c r="B24" s="55" t="s">
        <v>39</v>
      </c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/>
      <c r="Z24"/>
      <c r="AA24"/>
      <c r="AB24"/>
      <c r="AC24" s="61"/>
      <c r="AD24" s="61"/>
      <c r="AE24" s="63" t="str">
        <f t="shared" si="4"/>
        <v/>
      </c>
      <c r="AF24" s="63"/>
      <c r="AG24" s="63"/>
      <c r="AH24" s="63"/>
      <c r="AI24" s="64">
        <f t="shared" si="5"/>
        <v>0</v>
      </c>
      <c r="AJ24" s="64" t="str">
        <f t="shared" si="6"/>
        <v/>
      </c>
      <c r="AK24" s="64">
        <f t="shared" si="7"/>
        <v>0</v>
      </c>
      <c r="AL24" s="64" t="str">
        <f t="shared" si="8"/>
        <v/>
      </c>
      <c r="AM24" s="64">
        <f t="shared" si="9"/>
        <v>0</v>
      </c>
      <c r="AN24" s="64" t="str">
        <f t="shared" si="10"/>
        <v/>
      </c>
      <c r="AO24" s="64">
        <f t="shared" si="11"/>
        <v>0</v>
      </c>
      <c r="AP24" s="64" t="str">
        <f t="shared" si="12"/>
        <v/>
      </c>
      <c r="AQ24" s="64">
        <f t="shared" si="13"/>
        <v>0</v>
      </c>
      <c r="AR24" s="64" t="str">
        <f t="shared" si="14"/>
        <v/>
      </c>
      <c r="AS24"/>
    </row>
    <row r="25" spans="1:45" ht="30" hidden="1" customHeight="1" x14ac:dyDescent="0.35">
      <c r="A25" s="28"/>
      <c r="B25" s="51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79"/>
      <c r="Z25" s="80"/>
      <c r="AA25" s="80"/>
      <c r="AB25" s="81"/>
      <c r="AC25" s="55"/>
      <c r="AD25" s="55"/>
      <c r="AE25" s="63" t="str">
        <f t="shared" si="4"/>
        <v/>
      </c>
      <c r="AF25" s="63"/>
      <c r="AG25" s="63"/>
      <c r="AH25" s="63"/>
      <c r="AI25" s="64">
        <f t="shared" si="5"/>
        <v>0</v>
      </c>
      <c r="AJ25" s="64" t="str">
        <f t="shared" si="6"/>
        <v/>
      </c>
      <c r="AK25" s="64">
        <f t="shared" si="7"/>
        <v>0</v>
      </c>
      <c r="AL25" s="64" t="str">
        <f t="shared" si="8"/>
        <v/>
      </c>
      <c r="AM25" s="64">
        <f t="shared" si="9"/>
        <v>0</v>
      </c>
      <c r="AN25" s="64" t="str">
        <f t="shared" si="10"/>
        <v/>
      </c>
      <c r="AO25" s="64">
        <f t="shared" si="11"/>
        <v>0</v>
      </c>
      <c r="AP25" s="64" t="str">
        <f t="shared" si="12"/>
        <v/>
      </c>
      <c r="AQ25" s="64">
        <f t="shared" si="13"/>
        <v>0</v>
      </c>
      <c r="AR25" s="64" t="str">
        <f t="shared" si="14"/>
        <v/>
      </c>
      <c r="AS25"/>
    </row>
    <row r="26" spans="1:45" ht="30" hidden="1" customHeight="1" x14ac:dyDescent="0.35">
      <c r="A26" s="28"/>
      <c r="B26" s="52" t="s">
        <v>35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102"/>
      <c r="Z26" s="103"/>
      <c r="AA26" s="103"/>
      <c r="AB26" s="104"/>
      <c r="AC26" s="55"/>
      <c r="AD26" s="55"/>
      <c r="AE26" s="63" t="str">
        <f t="shared" si="4"/>
        <v/>
      </c>
      <c r="AF26" s="63"/>
      <c r="AG26" s="63"/>
      <c r="AH26" s="63"/>
      <c r="AI26" s="64">
        <f t="shared" si="5"/>
        <v>0</v>
      </c>
      <c r="AJ26" s="64" t="str">
        <f t="shared" si="6"/>
        <v/>
      </c>
      <c r="AK26" s="64">
        <f t="shared" si="7"/>
        <v>0</v>
      </c>
      <c r="AL26" s="64" t="str">
        <f t="shared" si="8"/>
        <v/>
      </c>
      <c r="AM26" s="64">
        <f t="shared" si="9"/>
        <v>0</v>
      </c>
      <c r="AN26" s="64" t="str">
        <f t="shared" si="10"/>
        <v/>
      </c>
      <c r="AO26" s="64">
        <f t="shared" si="11"/>
        <v>0</v>
      </c>
      <c r="AP26" s="64" t="str">
        <f t="shared" si="12"/>
        <v/>
      </c>
      <c r="AQ26" s="64">
        <f t="shared" si="13"/>
        <v>0</v>
      </c>
      <c r="AR26" s="64" t="str">
        <f t="shared" si="14"/>
        <v/>
      </c>
      <c r="AS26"/>
    </row>
    <row r="27" spans="1:45" ht="30" hidden="1" customHeight="1" x14ac:dyDescent="0.35">
      <c r="A27" s="28"/>
      <c r="B27" s="54" t="s">
        <v>37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114"/>
      <c r="Z27" s="115"/>
      <c r="AA27" s="115"/>
      <c r="AB27" s="116"/>
      <c r="AC27" s="55"/>
      <c r="AD27" s="55"/>
      <c r="AE27" s="63" t="str">
        <f t="shared" si="4"/>
        <v/>
      </c>
      <c r="AF27" s="63"/>
      <c r="AG27" s="63"/>
      <c r="AH27" s="63"/>
      <c r="AI27" s="64">
        <f t="shared" si="5"/>
        <v>0</v>
      </c>
      <c r="AJ27" s="64" t="str">
        <f t="shared" si="6"/>
        <v/>
      </c>
      <c r="AK27" s="64">
        <f t="shared" si="7"/>
        <v>0</v>
      </c>
      <c r="AL27" s="64" t="str">
        <f t="shared" si="8"/>
        <v/>
      </c>
      <c r="AM27" s="64">
        <f t="shared" si="9"/>
        <v>0</v>
      </c>
      <c r="AN27" s="64" t="str">
        <f t="shared" si="10"/>
        <v/>
      </c>
      <c r="AO27" s="64">
        <f t="shared" si="11"/>
        <v>0</v>
      </c>
      <c r="AP27" s="64" t="str">
        <f t="shared" si="12"/>
        <v/>
      </c>
      <c r="AQ27" s="64">
        <f t="shared" si="13"/>
        <v>0</v>
      </c>
      <c r="AR27" s="64" t="str">
        <f t="shared" si="14"/>
        <v/>
      </c>
      <c r="AS27"/>
    </row>
    <row r="28" spans="1:45" ht="30" hidden="1" customHeight="1" x14ac:dyDescent="0.35">
      <c r="A28" s="28" t="str">
        <f>CONCATENATE($B$25,"
",$B$26,"
",$B$27)</f>
        <v>PT148 - Avaliação Estrutural - Telhados Refeitórios - Igarapé Bahia
ETAPA DE ESCRITÓRIO
MARCO - RELATÓRIOS TÉCNICOS</v>
      </c>
      <c r="B28" s="55" t="s">
        <v>20</v>
      </c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/>
      <c r="Z28"/>
      <c r="AA28"/>
      <c r="AB28"/>
      <c r="AC28" s="52"/>
      <c r="AD28" s="52"/>
      <c r="AE28" s="63" t="str">
        <f t="shared" si="4"/>
        <v/>
      </c>
      <c r="AF28" s="63"/>
      <c r="AG28" s="63"/>
      <c r="AH28" s="63"/>
      <c r="AI28" s="64">
        <f t="shared" si="5"/>
        <v>0</v>
      </c>
      <c r="AJ28" s="64" t="str">
        <f t="shared" si="6"/>
        <v/>
      </c>
      <c r="AK28" s="64">
        <f t="shared" si="7"/>
        <v>0</v>
      </c>
      <c r="AL28" s="64" t="str">
        <f t="shared" si="8"/>
        <v/>
      </c>
      <c r="AM28" s="64">
        <f t="shared" si="9"/>
        <v>0</v>
      </c>
      <c r="AN28" s="64" t="str">
        <f t="shared" si="10"/>
        <v/>
      </c>
      <c r="AO28" s="64">
        <f t="shared" si="11"/>
        <v>0</v>
      </c>
      <c r="AP28" s="64" t="str">
        <f t="shared" si="12"/>
        <v/>
      </c>
      <c r="AQ28" s="64">
        <f t="shared" si="13"/>
        <v>0</v>
      </c>
      <c r="AR28" s="64" t="str">
        <f t="shared" si="14"/>
        <v/>
      </c>
      <c r="AS28"/>
    </row>
    <row r="29" spans="1:45" ht="30" hidden="1" customHeight="1" x14ac:dyDescent="0.35">
      <c r="A29" s="28" t="str">
        <f t="shared" ref="A29:A30" si="18">CONCATENATE($B$25,"
",$B$26,"
",$B$27)</f>
        <v>PT148 - Avaliação Estrutural - Telhados Refeitórios - Igarapé Bahia
ETAPA DE ESCRITÓRIO
MARCO - RELATÓRIOS TÉCNICOS</v>
      </c>
      <c r="B29" s="55" t="s">
        <v>38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/>
      <c r="Z29"/>
      <c r="AA29"/>
      <c r="AB29"/>
      <c r="AC29" s="52"/>
      <c r="AD29" s="52"/>
      <c r="AE29" s="63" t="str">
        <f t="shared" si="4"/>
        <v/>
      </c>
      <c r="AF29" s="63"/>
      <c r="AG29" s="63"/>
      <c r="AH29" s="63"/>
      <c r="AI29" s="64">
        <f t="shared" si="5"/>
        <v>0</v>
      </c>
      <c r="AJ29" s="64" t="str">
        <f t="shared" si="6"/>
        <v/>
      </c>
      <c r="AK29" s="64">
        <f t="shared" si="7"/>
        <v>0</v>
      </c>
      <c r="AL29" s="64" t="str">
        <f t="shared" si="8"/>
        <v/>
      </c>
      <c r="AM29" s="64">
        <f t="shared" si="9"/>
        <v>0</v>
      </c>
      <c r="AN29" s="64" t="str">
        <f t="shared" si="10"/>
        <v/>
      </c>
      <c r="AO29" s="64">
        <f t="shared" si="11"/>
        <v>0</v>
      </c>
      <c r="AP29" s="64" t="str">
        <f t="shared" si="12"/>
        <v/>
      </c>
      <c r="AQ29" s="64">
        <f t="shared" si="13"/>
        <v>0</v>
      </c>
      <c r="AR29" s="64" t="str">
        <f t="shared" si="14"/>
        <v/>
      </c>
      <c r="AS29"/>
    </row>
    <row r="30" spans="1:45" ht="30" hidden="1" customHeight="1" x14ac:dyDescent="0.35">
      <c r="A30" s="28" t="str">
        <f t="shared" si="18"/>
        <v>PT148 - Avaliação Estrutural - Telhados Refeitórios - Igarapé Bahia
ETAPA DE ESCRITÓRIO
MARCO - RELATÓRIOS TÉCNICOS</v>
      </c>
      <c r="B30" s="55" t="s">
        <v>39</v>
      </c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/>
      <c r="Z30"/>
      <c r="AA30"/>
      <c r="AB30"/>
      <c r="AC30" s="61"/>
      <c r="AD30" s="61"/>
      <c r="AE30" s="63" t="str">
        <f t="shared" si="4"/>
        <v/>
      </c>
      <c r="AF30" s="63"/>
      <c r="AG30" s="63"/>
      <c r="AH30" s="63"/>
      <c r="AI30" s="64">
        <f t="shared" si="5"/>
        <v>0</v>
      </c>
      <c r="AJ30" s="64" t="str">
        <f t="shared" si="6"/>
        <v/>
      </c>
      <c r="AK30" s="64">
        <f t="shared" si="7"/>
        <v>0</v>
      </c>
      <c r="AL30" s="64" t="str">
        <f t="shared" si="8"/>
        <v/>
      </c>
      <c r="AM30" s="64">
        <f t="shared" si="9"/>
        <v>0</v>
      </c>
      <c r="AN30" s="64" t="str">
        <f t="shared" si="10"/>
        <v/>
      </c>
      <c r="AO30" s="64">
        <f t="shared" si="11"/>
        <v>0</v>
      </c>
      <c r="AP30" s="64" t="str">
        <f t="shared" si="12"/>
        <v/>
      </c>
      <c r="AQ30" s="64">
        <f t="shared" si="13"/>
        <v>0</v>
      </c>
      <c r="AR30" s="64" t="str">
        <f t="shared" si="14"/>
        <v/>
      </c>
      <c r="AS30"/>
    </row>
    <row r="31" spans="1:45" ht="30" customHeight="1" x14ac:dyDescent="0.35">
      <c r="A31" s="28"/>
      <c r="B31" s="51" t="s">
        <v>43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79"/>
      <c r="Z31" s="80"/>
      <c r="AA31" s="80"/>
      <c r="AB31" s="81"/>
      <c r="AC31" s="55"/>
      <c r="AD31" s="55"/>
      <c r="AE31" s="63" t="str">
        <f t="shared" si="4"/>
        <v/>
      </c>
      <c r="AF31" s="63"/>
      <c r="AG31" s="63"/>
      <c r="AH31" s="63"/>
      <c r="AI31" s="64">
        <f t="shared" si="5"/>
        <v>0</v>
      </c>
      <c r="AJ31" s="64" t="str">
        <f t="shared" si="6"/>
        <v/>
      </c>
      <c r="AK31" s="64">
        <f t="shared" si="7"/>
        <v>0</v>
      </c>
      <c r="AL31" s="64" t="str">
        <f t="shared" si="8"/>
        <v/>
      </c>
      <c r="AM31" s="64">
        <f t="shared" si="9"/>
        <v>0</v>
      </c>
      <c r="AN31" s="64" t="str">
        <f t="shared" si="10"/>
        <v/>
      </c>
      <c r="AO31" s="64">
        <f t="shared" si="11"/>
        <v>0</v>
      </c>
      <c r="AP31" s="64" t="str">
        <f t="shared" si="12"/>
        <v/>
      </c>
      <c r="AQ31" s="64">
        <f t="shared" si="13"/>
        <v>0</v>
      </c>
      <c r="AR31" s="64" t="str">
        <f t="shared" si="14"/>
        <v/>
      </c>
      <c r="AS31"/>
    </row>
    <row r="32" spans="1:45" ht="30" customHeight="1" x14ac:dyDescent="0.35">
      <c r="A32" s="28"/>
      <c r="B32" s="52" t="s">
        <v>35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02"/>
      <c r="Z32" s="103"/>
      <c r="AA32" s="103"/>
      <c r="AB32" s="104"/>
      <c r="AC32" s="55"/>
      <c r="AD32" s="55"/>
      <c r="AE32" s="63" t="str">
        <f t="shared" si="4"/>
        <v/>
      </c>
      <c r="AF32" s="63"/>
      <c r="AG32" s="63"/>
      <c r="AH32" s="63"/>
      <c r="AI32" s="64">
        <f t="shared" si="5"/>
        <v>0</v>
      </c>
      <c r="AJ32" s="64" t="str">
        <f t="shared" si="6"/>
        <v/>
      </c>
      <c r="AK32" s="64">
        <f t="shared" si="7"/>
        <v>0</v>
      </c>
      <c r="AL32" s="64" t="str">
        <f t="shared" si="8"/>
        <v/>
      </c>
      <c r="AM32" s="64">
        <f t="shared" si="9"/>
        <v>0</v>
      </c>
      <c r="AN32" s="64" t="str">
        <f t="shared" si="10"/>
        <v/>
      </c>
      <c r="AO32" s="64">
        <f t="shared" si="11"/>
        <v>0</v>
      </c>
      <c r="AP32" s="64" t="str">
        <f t="shared" si="12"/>
        <v/>
      </c>
      <c r="AQ32" s="64">
        <f t="shared" si="13"/>
        <v>0</v>
      </c>
      <c r="AR32" s="64" t="str">
        <f t="shared" si="14"/>
        <v/>
      </c>
      <c r="AS32"/>
    </row>
    <row r="33" spans="1:70" ht="30" customHeight="1" x14ac:dyDescent="0.35">
      <c r="A33" s="28"/>
      <c r="B33" s="56" t="s">
        <v>45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105"/>
      <c r="Z33" s="106"/>
      <c r="AA33" s="106"/>
      <c r="AB33" s="107"/>
      <c r="AC33" s="55"/>
      <c r="AD33" s="55"/>
      <c r="AE33" s="63" t="str">
        <f t="shared" si="4"/>
        <v/>
      </c>
      <c r="AF33" s="63"/>
      <c r="AG33" s="63"/>
      <c r="AH33" s="63"/>
      <c r="AI33" s="64">
        <f t="shared" si="5"/>
        <v>0</v>
      </c>
      <c r="AJ33" s="64" t="str">
        <f t="shared" si="6"/>
        <v/>
      </c>
      <c r="AK33" s="64">
        <f t="shared" si="7"/>
        <v>0</v>
      </c>
      <c r="AL33" s="64" t="str">
        <f t="shared" si="8"/>
        <v/>
      </c>
      <c r="AM33" s="64">
        <f t="shared" si="9"/>
        <v>0</v>
      </c>
      <c r="AN33" s="64" t="str">
        <f t="shared" si="10"/>
        <v/>
      </c>
      <c r="AO33" s="64">
        <f t="shared" si="11"/>
        <v>0</v>
      </c>
      <c r="AP33" s="64" t="str">
        <f t="shared" si="12"/>
        <v/>
      </c>
      <c r="AQ33" s="64">
        <f t="shared" si="13"/>
        <v>0</v>
      </c>
      <c r="AR33" s="64" t="str">
        <f t="shared" si="14"/>
        <v/>
      </c>
      <c r="AS33"/>
    </row>
    <row r="34" spans="1:70" ht="30" customHeight="1" x14ac:dyDescent="0.35">
      <c r="A34" s="28"/>
      <c r="B34" s="54" t="s">
        <v>46</v>
      </c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114"/>
      <c r="Z34" s="115"/>
      <c r="AA34" s="115"/>
      <c r="AB34" s="116"/>
      <c r="AC34" s="55"/>
      <c r="AD34" s="55"/>
      <c r="AE34" s="63" t="str">
        <f t="shared" si="4"/>
        <v/>
      </c>
      <c r="AF34" s="63"/>
      <c r="AG34" s="63"/>
      <c r="AH34" s="63"/>
      <c r="AI34" s="64">
        <f t="shared" si="5"/>
        <v>0</v>
      </c>
      <c r="AJ34" s="64" t="str">
        <f t="shared" si="6"/>
        <v/>
      </c>
      <c r="AK34" s="64">
        <f t="shared" si="7"/>
        <v>0</v>
      </c>
      <c r="AL34" s="64" t="str">
        <f t="shared" si="8"/>
        <v/>
      </c>
      <c r="AM34" s="64">
        <f t="shared" si="9"/>
        <v>0</v>
      </c>
      <c r="AN34" s="64" t="str">
        <f t="shared" si="10"/>
        <v/>
      </c>
      <c r="AO34" s="64">
        <f t="shared" si="11"/>
        <v>0</v>
      </c>
      <c r="AP34" s="64" t="str">
        <f t="shared" si="12"/>
        <v/>
      </c>
      <c r="AQ34" s="64">
        <f t="shared" si="13"/>
        <v>0</v>
      </c>
      <c r="AR34" s="64" t="str">
        <f t="shared" si="14"/>
        <v/>
      </c>
      <c r="AS34"/>
    </row>
    <row r="35" spans="1:70" ht="30" customHeight="1" x14ac:dyDescent="0.35">
      <c r="A35" s="28" t="str">
        <f>CONCATENATE($B$31,"
",$B$32,"
",$B$33)</f>
        <v>PT208 - PROJETO RIO TANQUE (Itabira)
ETAPA DE ESCRITÓRIO
PONTE METÁLICA</v>
      </c>
      <c r="B35" s="55" t="s">
        <v>20</v>
      </c>
      <c r="C35" s="74" t="str">
        <f>IF(AND($B35=[1]marcos!$A32,[1]marcos!$B32=C$4),"ok","nok")</f>
        <v>nok</v>
      </c>
      <c r="D35" s="74" t="str">
        <f>IF(AND($B35=[1]marcos!$A32,[1]marcos!$B32=D$4),"ok","nok")</f>
        <v>nok</v>
      </c>
      <c r="E35" s="74" t="str">
        <f>IF(AND($B35=[1]marcos!$A32,[1]marcos!$B32=E$4),"ok","nok")</f>
        <v>nok</v>
      </c>
      <c r="F35" s="74" t="str">
        <f>IF(AND($B35=[1]marcos!$A32,[1]marcos!$B32=F$4),"ok","nok")</f>
        <v>nok</v>
      </c>
      <c r="G35" s="83"/>
      <c r="H35" s="74" t="str">
        <f>IF(AND($B35=[1]marcos!$A32,[1]marcos!$B32=H$4),"ok","nok")</f>
        <v>nok</v>
      </c>
      <c r="I35" s="74" t="str">
        <f>IF(AND($B35=[1]marcos!$A32,[1]marcos!$B32=I$4),"ok","nok")</f>
        <v>nok</v>
      </c>
      <c r="J35" s="74" t="str">
        <f>IF(AND($B35=[1]marcos!$A32,[1]marcos!$B32=J$4),"ok","nok")</f>
        <v>nok</v>
      </c>
      <c r="K35" s="74" t="str">
        <f>IF(AND($B35=[1]marcos!$A32,[1]marcos!$B32=K$4),"ok","nok")</f>
        <v>nok</v>
      </c>
      <c r="L35" s="74" t="str">
        <f>IF(AND($B35=[1]marcos!$A32,[1]marcos!$B32=L$4),"ok","nok")</f>
        <v>nok</v>
      </c>
      <c r="M35" s="74" t="str">
        <f>IF(AND($B35=[1]marcos!$A32,[1]marcos!$B32=M$4),"ok","nok")</f>
        <v>nok</v>
      </c>
      <c r="N35" s="74" t="str">
        <f>IF(AND($B35=[1]marcos!$A32,[1]marcos!$B32=N$4),"ok","nok")</f>
        <v>nok</v>
      </c>
      <c r="O35" s="74" t="str">
        <f>IF(AND($B35=[1]marcos!$A32,[1]marcos!$B32=O$4),"ok","nok")</f>
        <v>nok</v>
      </c>
      <c r="P35" s="74" t="str">
        <f>IF(AND($B35=[1]marcos!$A32,[1]marcos!$B32=P$4),"ok","nok")</f>
        <v>nok</v>
      </c>
      <c r="Q35" s="74" t="str">
        <f>IF(AND($B35=[1]marcos!$A32,[1]marcos!$B32=Q$4),"ok","nok")</f>
        <v>nok</v>
      </c>
      <c r="R35" s="74" t="str">
        <f>IF(AND($B35=[1]marcos!$A32,[1]marcos!$B32=R$4),"ok","nok")</f>
        <v>nok</v>
      </c>
      <c r="S35" s="74" t="str">
        <f>IF(AND($B35=[1]marcos!$A32,[1]marcos!$B32=S$4),"ok","nok")</f>
        <v>nok</v>
      </c>
      <c r="T35" s="74" t="str">
        <f>IF(AND($B35=[1]marcos!$A32,[1]marcos!$B32=T$4),"ok","nok")</f>
        <v>nok</v>
      </c>
      <c r="U35" s="74" t="str">
        <f>IF(AND($B35=[1]marcos!$A32,[1]marcos!$B32=U$4),"ok","nok")</f>
        <v>nok</v>
      </c>
      <c r="V35" s="74" t="str">
        <f>IF(AND($B35=[1]marcos!$A32,[1]marcos!$B32=V$4),"ok","nok")</f>
        <v>nok</v>
      </c>
      <c r="W35" s="74" t="str">
        <f>IF(AND($B35=[1]marcos!$A32,[1]marcos!$B32=W$4),"ok","nok")</f>
        <v>nok</v>
      </c>
      <c r="X35" s="74" t="str">
        <f>IF(AND($B35=[1]marcos!$A32,[1]marcos!$B32=X$4),"ok","nok")</f>
        <v>ok</v>
      </c>
      <c r="Y35" s="96" t="s">
        <v>32</v>
      </c>
      <c r="Z35" s="97"/>
      <c r="AA35" s="97"/>
      <c r="AB35" s="98"/>
      <c r="AC35" s="55"/>
      <c r="AD35" s="55"/>
      <c r="AE35" s="63" t="str">
        <f t="shared" si="4"/>
        <v>Aprovação do Cliente</v>
      </c>
      <c r="AF35" s="63" t="s">
        <v>85</v>
      </c>
      <c r="AG35" s="82">
        <v>45217</v>
      </c>
      <c r="AH35" s="63" t="s">
        <v>88</v>
      </c>
      <c r="AI35" s="64">
        <f t="shared" si="5"/>
        <v>0</v>
      </c>
      <c r="AJ35" s="64" t="str">
        <f t="shared" si="6"/>
        <v/>
      </c>
      <c r="AK35" s="64">
        <f t="shared" si="7"/>
        <v>0</v>
      </c>
      <c r="AL35" s="64" t="str">
        <f t="shared" si="8"/>
        <v/>
      </c>
      <c r="AM35" s="64">
        <f t="shared" si="9"/>
        <v>0</v>
      </c>
      <c r="AN35" s="64" t="str">
        <f t="shared" si="10"/>
        <v/>
      </c>
      <c r="AO35" s="64">
        <f t="shared" si="11"/>
        <v>0</v>
      </c>
      <c r="AP35" s="64" t="str">
        <f t="shared" si="12"/>
        <v/>
      </c>
      <c r="AQ35" s="64">
        <f t="shared" si="13"/>
        <v>1</v>
      </c>
      <c r="AR35" s="64" t="str">
        <f t="shared" si="14"/>
        <v/>
      </c>
      <c r="AS35"/>
    </row>
    <row r="36" spans="1:70" ht="30" customHeight="1" x14ac:dyDescent="0.35">
      <c r="A36" s="28" t="str">
        <f t="shared" ref="A36:A49" si="19">CONCATENATE($B$31,"
",$B$32,"
",$B$33)</f>
        <v>PT208 - PROJETO RIO TANQUE (Itabira)
ETAPA DE ESCRITÓRIO
PONTE METÁLICA</v>
      </c>
      <c r="B36" s="55" t="s">
        <v>38</v>
      </c>
      <c r="C36" s="74" t="str">
        <f>IF(AND($B36=[1]marcos!$A33,[1]marcos!$B33=C$4),"ok","nok")</f>
        <v>nok</v>
      </c>
      <c r="D36" s="74" t="str">
        <f>IF(AND($B36=[1]marcos!$A33,[1]marcos!$B33=D$4),"ok","nok")</f>
        <v>nok</v>
      </c>
      <c r="E36" s="74" t="str">
        <f>IF(AND($B36=[1]marcos!$A33,[1]marcos!$B33=E$4),"ok","nok")</f>
        <v>nok</v>
      </c>
      <c r="F36" s="74" t="str">
        <f>IF(AND($B36=[1]marcos!$A33,[1]marcos!$B33=F$4),"ok","nok")</f>
        <v>nok</v>
      </c>
      <c r="G36" s="74" t="str">
        <f>IF(AND($B36=[1]marcos!$A33,[1]marcos!$B33=G$4),"ok","nok")</f>
        <v>nok</v>
      </c>
      <c r="H36" s="83"/>
      <c r="I36" s="74" t="str">
        <f>IF(AND($B36=[1]marcos!$A33,[1]marcos!$B33=I$4),"ok","nok")</f>
        <v>nok</v>
      </c>
      <c r="J36" s="74" t="str">
        <f>IF(AND($B36=[1]marcos!$A33,[1]marcos!$B33=J$4),"ok","nok")</f>
        <v>nok</v>
      </c>
      <c r="K36" s="74" t="str">
        <f>IF(AND($B36=[1]marcos!$A33,[1]marcos!$B33=K$4),"ok","nok")</f>
        <v>nok</v>
      </c>
      <c r="L36" s="74" t="str">
        <f>IF(AND($B36=[1]marcos!$A33,[1]marcos!$B33=L$4),"ok","nok")</f>
        <v>nok</v>
      </c>
      <c r="M36" s="74" t="str">
        <f>IF(AND($B36=[1]marcos!$A33,[1]marcos!$B33=M$4),"ok","nok")</f>
        <v>nok</v>
      </c>
      <c r="N36" s="74" t="str">
        <f>IF(AND($B36=[1]marcos!$A33,[1]marcos!$B33=N$4),"ok","nok")</f>
        <v>nok</v>
      </c>
      <c r="O36" s="74" t="str">
        <f>IF(AND($B36=[1]marcos!$A33,[1]marcos!$B33=O$4),"ok","nok")</f>
        <v>nok</v>
      </c>
      <c r="P36" s="74" t="str">
        <f>IF(AND($B36=[1]marcos!$A33,[1]marcos!$B33=P$4),"ok","nok")</f>
        <v>nok</v>
      </c>
      <c r="Q36" s="74" t="str">
        <f>IF(AND($B36=[1]marcos!$A33,[1]marcos!$B33=Q$4),"ok","nok")</f>
        <v>nok</v>
      </c>
      <c r="R36" s="74" t="str">
        <f>IF(AND($B36=[1]marcos!$A33,[1]marcos!$B33=R$4),"ok","nok")</f>
        <v>nok</v>
      </c>
      <c r="S36" s="74" t="str">
        <f>IF(AND($B36=[1]marcos!$A33,[1]marcos!$B33=S$4),"ok","nok")</f>
        <v>nok</v>
      </c>
      <c r="T36" s="74" t="str">
        <f>IF(AND($B36=[1]marcos!$A33,[1]marcos!$B33=T$4),"ok","nok")</f>
        <v>nok</v>
      </c>
      <c r="U36" s="74" t="str">
        <f>IF(AND($B36=[1]marcos!$A33,[1]marcos!$B33=U$4),"ok","nok")</f>
        <v>nok</v>
      </c>
      <c r="V36" s="74" t="str">
        <f>IF(AND($B36=[1]marcos!$A33,[1]marcos!$B33=V$4),"ok","nok")</f>
        <v>nok</v>
      </c>
      <c r="W36" s="74" t="str">
        <f>IF(AND($B36=[1]marcos!$A33,[1]marcos!$B33=W$4),"ok","nok")</f>
        <v>nok</v>
      </c>
      <c r="X36" s="74" t="str">
        <f>IF(AND($B36=[1]marcos!$A33,[1]marcos!$B33=X$4),"ok","nok")</f>
        <v>ok</v>
      </c>
      <c r="Y36" s="96" t="s">
        <v>32</v>
      </c>
      <c r="Z36" s="97"/>
      <c r="AA36" s="97"/>
      <c r="AB36" s="98"/>
      <c r="AC36" s="55"/>
      <c r="AD36" s="55"/>
      <c r="AE36" s="63" t="str">
        <f t="shared" si="4"/>
        <v>Certificação do documento - Vibracon</v>
      </c>
      <c r="AF36" s="63"/>
      <c r="AG36" s="63"/>
      <c r="AH36" s="63"/>
      <c r="AI36" s="64">
        <f t="shared" si="5"/>
        <v>0</v>
      </c>
      <c r="AJ36" s="64" t="str">
        <f t="shared" si="6"/>
        <v/>
      </c>
      <c r="AK36" s="64">
        <f t="shared" si="7"/>
        <v>0</v>
      </c>
      <c r="AL36" s="64" t="str">
        <f t="shared" si="8"/>
        <v/>
      </c>
      <c r="AM36" s="64">
        <f t="shared" si="9"/>
        <v>0</v>
      </c>
      <c r="AN36" s="64" t="str">
        <f t="shared" si="10"/>
        <v/>
      </c>
      <c r="AO36" s="64">
        <f t="shared" si="11"/>
        <v>0</v>
      </c>
      <c r="AP36" s="64" t="str">
        <f t="shared" si="12"/>
        <v/>
      </c>
      <c r="AQ36" s="64">
        <f t="shared" si="13"/>
        <v>1</v>
      </c>
      <c r="AR36" s="64" t="str">
        <f t="shared" si="14"/>
        <v/>
      </c>
      <c r="AS36"/>
    </row>
    <row r="37" spans="1:70" ht="30" customHeight="1" x14ac:dyDescent="0.35">
      <c r="A37" s="28" t="str">
        <f t="shared" si="19"/>
        <v>PT208 - PROJETO RIO TANQUE (Itabira)
ETAPA DE ESCRITÓRIO
PONTE METÁLICA</v>
      </c>
      <c r="B37" s="55" t="s">
        <v>39</v>
      </c>
      <c r="C37" s="74" t="str">
        <f>IF(AND($B37=[1]marcos!$A34,[1]marcos!$B34=C$4),"ok","nok")</f>
        <v>nok</v>
      </c>
      <c r="D37" s="74" t="str">
        <f>IF(AND($B37=[1]marcos!$A34,[1]marcos!$B34=D$4),"ok","nok")</f>
        <v>nok</v>
      </c>
      <c r="E37" s="74" t="str">
        <f>IF(AND($B37=[1]marcos!$A34,[1]marcos!$B34=E$4),"ok","nok")</f>
        <v>nok</v>
      </c>
      <c r="F37" s="74" t="str">
        <f>IF(AND($B37=[1]marcos!$A34,[1]marcos!$B34=F$4),"ok","nok")</f>
        <v>nok</v>
      </c>
      <c r="G37" s="74" t="str">
        <f>IF(AND($B37=[1]marcos!$A34,[1]marcos!$B34=G$4),"ok","nok")</f>
        <v>nok</v>
      </c>
      <c r="H37" s="74" t="str">
        <f>IF(AND($B37=[1]marcos!$A34,[1]marcos!$B34=H$4),"ok","nok")</f>
        <v>nok</v>
      </c>
      <c r="I37" s="83"/>
      <c r="J37" s="74" t="str">
        <f>IF(AND($B37=[1]marcos!$A34,[1]marcos!$B34=J$4),"ok","nok")</f>
        <v>nok</v>
      </c>
      <c r="K37" s="74" t="str">
        <f>IF(AND($B37=[1]marcos!$A34,[1]marcos!$B34=K$4),"ok","nok")</f>
        <v>nok</v>
      </c>
      <c r="L37" s="74" t="str">
        <f>IF(AND($B37=[1]marcos!$A34,[1]marcos!$B34=L$4),"ok","nok")</f>
        <v>nok</v>
      </c>
      <c r="M37" s="74" t="str">
        <f>IF(AND($B37=[1]marcos!$A34,[1]marcos!$B34=M$4),"ok","nok")</f>
        <v>nok</v>
      </c>
      <c r="N37" s="74" t="str">
        <f>IF(AND($B37=[1]marcos!$A34,[1]marcos!$B34=N$4),"ok","nok")</f>
        <v>nok</v>
      </c>
      <c r="O37" s="74" t="str">
        <f>IF(AND($B37=[1]marcos!$A34,[1]marcos!$B34=O$4),"ok","nok")</f>
        <v>nok</v>
      </c>
      <c r="P37" s="74" t="str">
        <f>IF(AND($B37=[1]marcos!$A34,[1]marcos!$B34=P$4),"ok","nok")</f>
        <v>nok</v>
      </c>
      <c r="Q37" s="74" t="str">
        <f>IF(AND($B37=[1]marcos!$A34,[1]marcos!$B34=Q$4),"ok","nok")</f>
        <v>nok</v>
      </c>
      <c r="R37" s="74" t="str">
        <f>IF(AND($B37=[1]marcos!$A34,[1]marcos!$B34=R$4),"ok","nok")</f>
        <v>nok</v>
      </c>
      <c r="S37" s="74" t="str">
        <f>IF(AND($B37=[1]marcos!$A34,[1]marcos!$B34=S$4),"ok","nok")</f>
        <v>nok</v>
      </c>
      <c r="T37" s="74" t="str">
        <f>IF(AND($B37=[1]marcos!$A34,[1]marcos!$B34=T$4),"ok","nok")</f>
        <v>nok</v>
      </c>
      <c r="U37" s="74" t="str">
        <f>IF(AND($B37=[1]marcos!$A34,[1]marcos!$B34=U$4),"ok","nok")</f>
        <v>nok</v>
      </c>
      <c r="V37" s="74" t="str">
        <f>IF(AND($B37=[1]marcos!$A34,[1]marcos!$B34=V$4),"ok","nok")</f>
        <v>nok</v>
      </c>
      <c r="W37" s="74" t="str">
        <f>IF(AND($B37=[1]marcos!$A34,[1]marcos!$B34=W$4),"ok","nok")</f>
        <v>nok</v>
      </c>
      <c r="X37" s="74" t="str">
        <f>IF(AND($B37=[1]marcos!$A34,[1]marcos!$B34=X$4),"ok","nok")</f>
        <v>ok</v>
      </c>
      <c r="Y37" s="96" t="s">
        <v>32</v>
      </c>
      <c r="Z37" s="97"/>
      <c r="AA37" s="97"/>
      <c r="AB37" s="98"/>
      <c r="AC37" s="55"/>
      <c r="AD37" s="55"/>
      <c r="AE37" s="63" t="str">
        <f t="shared" si="4"/>
        <v>MARCO - Envio do documento Certificado (Rev_0)</v>
      </c>
      <c r="AF37" s="63"/>
      <c r="AG37" s="63"/>
      <c r="AH37" s="63"/>
      <c r="AI37" s="64">
        <f t="shared" si="5"/>
        <v>0</v>
      </c>
      <c r="AJ37" s="64" t="str">
        <f t="shared" si="6"/>
        <v/>
      </c>
      <c r="AK37" s="64">
        <f t="shared" si="7"/>
        <v>0</v>
      </c>
      <c r="AL37" s="64" t="str">
        <f t="shared" si="8"/>
        <v/>
      </c>
      <c r="AM37" s="64">
        <f t="shared" si="9"/>
        <v>0</v>
      </c>
      <c r="AN37" s="64" t="str">
        <f t="shared" si="10"/>
        <v/>
      </c>
      <c r="AO37" s="64">
        <f t="shared" si="11"/>
        <v>0</v>
      </c>
      <c r="AP37" s="64" t="str">
        <f t="shared" si="12"/>
        <v/>
      </c>
      <c r="AQ37" s="64">
        <f t="shared" si="13"/>
        <v>1</v>
      </c>
      <c r="AR37" s="64" t="str">
        <f t="shared" si="14"/>
        <v/>
      </c>
      <c r="AS37"/>
    </row>
    <row r="38" spans="1:70" ht="30" customHeight="1" x14ac:dyDescent="0.35">
      <c r="A38" s="28"/>
      <c r="B38" s="54" t="s">
        <v>47</v>
      </c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114"/>
      <c r="Z38" s="115"/>
      <c r="AA38" s="115"/>
      <c r="AB38" s="116"/>
      <c r="AC38" s="55"/>
      <c r="AD38" s="55"/>
      <c r="AE38" s="63" t="str">
        <f t="shared" si="4"/>
        <v/>
      </c>
      <c r="AF38" s="63"/>
      <c r="AG38" s="63"/>
      <c r="AH38" s="63"/>
      <c r="AI38" s="64">
        <f t="shared" si="5"/>
        <v>0</v>
      </c>
      <c r="AJ38" s="64" t="str">
        <f t="shared" si="6"/>
        <v/>
      </c>
      <c r="AK38" s="64">
        <f t="shared" si="7"/>
        <v>0</v>
      </c>
      <c r="AL38" s="64" t="str">
        <f t="shared" si="8"/>
        <v/>
      </c>
      <c r="AM38" s="64">
        <f t="shared" si="9"/>
        <v>0</v>
      </c>
      <c r="AN38" s="64" t="str">
        <f t="shared" si="10"/>
        <v/>
      </c>
      <c r="AO38" s="64">
        <f t="shared" si="11"/>
        <v>0</v>
      </c>
      <c r="AP38" s="64" t="str">
        <f t="shared" si="12"/>
        <v/>
      </c>
      <c r="AQ38" s="64">
        <f t="shared" si="13"/>
        <v>0</v>
      </c>
      <c r="AR38" s="64" t="str">
        <f t="shared" si="14"/>
        <v/>
      </c>
    </row>
    <row r="39" spans="1:70" ht="30" customHeight="1" x14ac:dyDescent="0.35">
      <c r="A39" s="28" t="str">
        <f t="shared" si="19"/>
        <v>PT208 - PROJETO RIO TANQUE (Itabira)
ETAPA DE ESCRITÓRIO
PONTE METÁLICA</v>
      </c>
      <c r="B39" s="55" t="s">
        <v>20</v>
      </c>
      <c r="C39" s="74" t="str">
        <f>IF(AND($B39=[1]marcos!$A36,[1]marcos!$B36=C$4),"ok","nok")</f>
        <v>nok</v>
      </c>
      <c r="D39" s="74" t="str">
        <f>IF(AND($B39=[1]marcos!$A36,[1]marcos!$B36=D$4),"ok","nok")</f>
        <v>nok</v>
      </c>
      <c r="E39" s="74" t="str">
        <f>IF(AND($B39=[1]marcos!$A36,[1]marcos!$B36=E$4),"ok","nok")</f>
        <v>nok</v>
      </c>
      <c r="F39" s="74" t="str">
        <f>IF(AND($B39=[1]marcos!$A36,[1]marcos!$B36=F$4),"ok","nok")</f>
        <v>nok</v>
      </c>
      <c r="G39" s="74" t="str">
        <f>IF(AND($B39=[1]marcos!$A36,[1]marcos!$B36=G$4),"ok","nok")</f>
        <v>nok</v>
      </c>
      <c r="H39" s="74" t="str">
        <f>IF(AND($B39=[1]marcos!$A36,[1]marcos!$B36=H$4),"ok","nok")</f>
        <v>nok</v>
      </c>
      <c r="I39" s="74" t="str">
        <f>IF(AND($B39=[1]marcos!$A36,[1]marcos!$B36=I$4),"ok","nok")</f>
        <v>nok</v>
      </c>
      <c r="J39" s="74" t="str">
        <f>IF(AND($B39=[1]marcos!$A36,[1]marcos!$B36=J$4),"ok","nok")</f>
        <v>nok</v>
      </c>
      <c r="K39" s="83"/>
      <c r="L39" s="74" t="str">
        <f>IF(AND($B39=[1]marcos!$A36,[1]marcos!$B36=L$4),"ok","nok")</f>
        <v>nok</v>
      </c>
      <c r="M39" s="74" t="str">
        <f>IF(AND($B39=[1]marcos!$A36,[1]marcos!$B36=M$4),"ok","nok")</f>
        <v>nok</v>
      </c>
      <c r="N39" s="74" t="str">
        <f>IF(AND($B39=[1]marcos!$A36,[1]marcos!$B36=N$4),"ok","nok")</f>
        <v>nok</v>
      </c>
      <c r="O39" s="74" t="str">
        <f>IF(AND($B39=[1]marcos!$A36,[1]marcos!$B36=O$4),"ok","nok")</f>
        <v>nok</v>
      </c>
      <c r="P39" s="74" t="str">
        <f>IF(AND($B39=[1]marcos!$A36,[1]marcos!$B36=P$4),"ok","nok")</f>
        <v>nok</v>
      </c>
      <c r="Q39" s="74" t="str">
        <f>IF(AND($B39=[1]marcos!$A36,[1]marcos!$B36=Q$4),"ok","nok")</f>
        <v>nok</v>
      </c>
      <c r="R39" s="74" t="str">
        <f>IF(AND($B39=[1]marcos!$A36,[1]marcos!$B36=R$4),"ok","nok")</f>
        <v>nok</v>
      </c>
      <c r="S39" s="74" t="str">
        <f>IF(AND($B39=[1]marcos!$A36,[1]marcos!$B36=S$4),"ok","nok")</f>
        <v>nok</v>
      </c>
      <c r="T39" s="74" t="str">
        <f>IF(AND($B39=[1]marcos!$A36,[1]marcos!$B36=T$4),"ok","nok")</f>
        <v>nok</v>
      </c>
      <c r="U39" s="74" t="str">
        <f>IF(AND($B39=[1]marcos!$A36,[1]marcos!$B36=U$4),"ok","nok")</f>
        <v>nok</v>
      </c>
      <c r="V39" s="74" t="str">
        <f>IF(AND($B39=[1]marcos!$A36,[1]marcos!$B36=V$4),"ok","nok")</f>
        <v>nok</v>
      </c>
      <c r="W39" s="74" t="str">
        <f>IF(AND($B39=[1]marcos!$A36,[1]marcos!$B36=W$4),"ok","nok")</f>
        <v>nok</v>
      </c>
      <c r="X39" s="74" t="str">
        <f>IF(AND($B39=[1]marcos!$A36,[1]marcos!$B36=X$4),"ok","nok")</f>
        <v>ok</v>
      </c>
      <c r="Y39" s="96" t="s">
        <v>32</v>
      </c>
      <c r="Z39" s="97"/>
      <c r="AA39" s="97"/>
      <c r="AB39" s="98"/>
      <c r="AC39" s="55"/>
      <c r="AD39" s="55"/>
      <c r="AE39" s="63" t="str">
        <f t="shared" si="4"/>
        <v>Aprovação do Cliente</v>
      </c>
      <c r="AF39" s="63"/>
      <c r="AG39" s="63"/>
      <c r="AH39" s="63"/>
      <c r="AI39" s="64">
        <f t="shared" si="5"/>
        <v>0</v>
      </c>
      <c r="AJ39" s="64" t="str">
        <f t="shared" si="6"/>
        <v/>
      </c>
      <c r="AK39" s="64">
        <f t="shared" si="7"/>
        <v>0</v>
      </c>
      <c r="AL39" s="64" t="str">
        <f t="shared" si="8"/>
        <v/>
      </c>
      <c r="AM39" s="64">
        <f t="shared" si="9"/>
        <v>0</v>
      </c>
      <c r="AN39" s="64" t="str">
        <f t="shared" si="10"/>
        <v/>
      </c>
      <c r="AO39" s="64">
        <f t="shared" si="11"/>
        <v>0</v>
      </c>
      <c r="AP39" s="64" t="str">
        <f t="shared" si="12"/>
        <v/>
      </c>
      <c r="AQ39" s="64">
        <f t="shared" si="13"/>
        <v>1</v>
      </c>
      <c r="AR39" s="64" t="str">
        <f t="shared" si="14"/>
        <v/>
      </c>
    </row>
    <row r="40" spans="1:70" ht="30" customHeight="1" x14ac:dyDescent="0.35">
      <c r="A40" s="28" t="str">
        <f t="shared" si="19"/>
        <v>PT208 - PROJETO RIO TANQUE (Itabira)
ETAPA DE ESCRITÓRIO
PONTE METÁLICA</v>
      </c>
      <c r="B40" s="55" t="s">
        <v>38</v>
      </c>
      <c r="C40" s="74" t="str">
        <f>IF(AND($B40=[1]marcos!$A37,[1]marcos!$B37=C$4),"ok","nok")</f>
        <v>nok</v>
      </c>
      <c r="D40" s="74" t="str">
        <f>IF(AND($B40=[1]marcos!$A37,[1]marcos!$B37=D$4),"ok","nok")</f>
        <v>nok</v>
      </c>
      <c r="E40" s="74" t="str">
        <f>IF(AND($B40=[1]marcos!$A37,[1]marcos!$B37=E$4),"ok","nok")</f>
        <v>nok</v>
      </c>
      <c r="F40" s="74" t="str">
        <f>IF(AND($B40=[1]marcos!$A37,[1]marcos!$B37=F$4),"ok","nok")</f>
        <v>nok</v>
      </c>
      <c r="G40" s="74" t="str">
        <f>IF(AND($B40=[1]marcos!$A37,[1]marcos!$B37=G$4),"ok","nok")</f>
        <v>nok</v>
      </c>
      <c r="H40" s="74" t="str">
        <f>IF(AND($B40=[1]marcos!$A37,[1]marcos!$B37=H$4),"ok","nok")</f>
        <v>nok</v>
      </c>
      <c r="I40" s="74" t="str">
        <f>IF(AND($B40=[1]marcos!$A37,[1]marcos!$B37=I$4),"ok","nok")</f>
        <v>nok</v>
      </c>
      <c r="J40" s="74" t="str">
        <f>IF(AND($B40=[1]marcos!$A37,[1]marcos!$B37=J$4),"ok","nok")</f>
        <v>nok</v>
      </c>
      <c r="K40" s="74" t="str">
        <f>IF(AND($B40=[1]marcos!$A37,[1]marcos!$B37=K$4),"ok","nok")</f>
        <v>nok</v>
      </c>
      <c r="L40" s="83"/>
      <c r="M40" s="74" t="str">
        <f>IF(AND($B40=[1]marcos!$A37,[1]marcos!$B37=M$4),"ok","nok")</f>
        <v>nok</v>
      </c>
      <c r="N40" s="74" t="str">
        <f>IF(AND($B40=[1]marcos!$A37,[1]marcos!$B37=N$4),"ok","nok")</f>
        <v>nok</v>
      </c>
      <c r="O40" s="74" t="str">
        <f>IF(AND($B40=[1]marcos!$A37,[1]marcos!$B37=O$4),"ok","nok")</f>
        <v>nok</v>
      </c>
      <c r="P40" s="74" t="str">
        <f>IF(AND($B40=[1]marcos!$A37,[1]marcos!$B37=P$4),"ok","nok")</f>
        <v>nok</v>
      </c>
      <c r="Q40" s="74" t="str">
        <f>IF(AND($B40=[1]marcos!$A37,[1]marcos!$B37=Q$4),"ok","nok")</f>
        <v>nok</v>
      </c>
      <c r="R40" s="74" t="str">
        <f>IF(AND($B40=[1]marcos!$A37,[1]marcos!$B37=R$4),"ok","nok")</f>
        <v>nok</v>
      </c>
      <c r="S40" s="74" t="str">
        <f>IF(AND($B40=[1]marcos!$A37,[1]marcos!$B37=S$4),"ok","nok")</f>
        <v>nok</v>
      </c>
      <c r="T40" s="74" t="str">
        <f>IF(AND($B40=[1]marcos!$A37,[1]marcos!$B37=T$4),"ok","nok")</f>
        <v>nok</v>
      </c>
      <c r="U40" s="74" t="str">
        <f>IF(AND($B40=[1]marcos!$A37,[1]marcos!$B37=U$4),"ok","nok")</f>
        <v>nok</v>
      </c>
      <c r="V40" s="74" t="str">
        <f>IF(AND($B40=[1]marcos!$A37,[1]marcos!$B37=V$4),"ok","nok")</f>
        <v>nok</v>
      </c>
      <c r="W40" s="74" t="str">
        <f>IF(AND($B40=[1]marcos!$A37,[1]marcos!$B37=W$4),"ok","nok")</f>
        <v>nok</v>
      </c>
      <c r="X40" s="74" t="str">
        <f>IF(AND($B40=[1]marcos!$A37,[1]marcos!$B37=X$4),"ok","nok")</f>
        <v>ok</v>
      </c>
      <c r="Y40" s="96" t="s">
        <v>32</v>
      </c>
      <c r="Z40" s="97"/>
      <c r="AA40" s="97"/>
      <c r="AB40" s="98"/>
      <c r="AC40" s="55"/>
      <c r="AD40" s="55"/>
      <c r="AE40" s="63" t="str">
        <f t="shared" si="4"/>
        <v>Certificação do documento - Vibracon</v>
      </c>
      <c r="AF40" s="63"/>
      <c r="AG40" s="63"/>
      <c r="AH40" s="63"/>
      <c r="AI40" s="64">
        <f t="shared" si="5"/>
        <v>0</v>
      </c>
      <c r="AJ40" s="64" t="str">
        <f t="shared" si="6"/>
        <v/>
      </c>
      <c r="AK40" s="64">
        <f t="shared" si="7"/>
        <v>0</v>
      </c>
      <c r="AL40" s="64" t="str">
        <f t="shared" si="8"/>
        <v/>
      </c>
      <c r="AM40" s="64">
        <f t="shared" si="9"/>
        <v>0</v>
      </c>
      <c r="AN40" s="64" t="str">
        <f t="shared" si="10"/>
        <v/>
      </c>
      <c r="AO40" s="64">
        <f t="shared" si="11"/>
        <v>0</v>
      </c>
      <c r="AP40" s="64" t="str">
        <f t="shared" si="12"/>
        <v/>
      </c>
      <c r="AQ40" s="64">
        <f t="shared" si="13"/>
        <v>1</v>
      </c>
      <c r="AR40" s="64" t="str">
        <f t="shared" si="14"/>
        <v/>
      </c>
    </row>
    <row r="41" spans="1:70" ht="30" customHeight="1" x14ac:dyDescent="0.35">
      <c r="A41" s="28" t="str">
        <f t="shared" si="19"/>
        <v>PT208 - PROJETO RIO TANQUE (Itabira)
ETAPA DE ESCRITÓRIO
PONTE METÁLICA</v>
      </c>
      <c r="B41" s="55" t="s">
        <v>39</v>
      </c>
      <c r="C41" s="74" t="str">
        <f>IF(AND($B41=[1]marcos!$A38,[1]marcos!$B38=C$4),"ok","nok")</f>
        <v>nok</v>
      </c>
      <c r="D41" s="74" t="str">
        <f>IF(AND($B41=[1]marcos!$A38,[1]marcos!$B38=D$4),"ok","nok")</f>
        <v>nok</v>
      </c>
      <c r="E41" s="74" t="str">
        <f>IF(AND($B41=[1]marcos!$A38,[1]marcos!$B38=E$4),"ok","nok")</f>
        <v>nok</v>
      </c>
      <c r="F41" s="74" t="str">
        <f>IF(AND($B41=[1]marcos!$A38,[1]marcos!$B38=F$4),"ok","nok")</f>
        <v>nok</v>
      </c>
      <c r="G41" s="74" t="str">
        <f>IF(AND($B41=[1]marcos!$A38,[1]marcos!$B38=G$4),"ok","nok")</f>
        <v>nok</v>
      </c>
      <c r="H41" s="74" t="str">
        <f>IF(AND($B41=[1]marcos!$A38,[1]marcos!$B38=H$4),"ok","nok")</f>
        <v>nok</v>
      </c>
      <c r="I41" s="74" t="str">
        <f>IF(AND($B41=[1]marcos!$A38,[1]marcos!$B38=I$4),"ok","nok")</f>
        <v>nok</v>
      </c>
      <c r="J41" s="74" t="str">
        <f>IF(AND($B41=[1]marcos!$A38,[1]marcos!$B38=J$4),"ok","nok")</f>
        <v>nok</v>
      </c>
      <c r="K41" s="74" t="str">
        <f>IF(AND($B41=[1]marcos!$A38,[1]marcos!$B38=K$4),"ok","nok")</f>
        <v>nok</v>
      </c>
      <c r="L41" s="83"/>
      <c r="M41" s="74" t="str">
        <f>IF(AND($B41=[1]marcos!$A38,[1]marcos!$B38=M$4),"ok","nok")</f>
        <v>nok</v>
      </c>
      <c r="N41" s="74" t="str">
        <f>IF(AND($B41=[1]marcos!$A38,[1]marcos!$B38=N$4),"ok","nok")</f>
        <v>nok</v>
      </c>
      <c r="O41" s="74" t="str">
        <f>IF(AND($B41=[1]marcos!$A38,[1]marcos!$B38=O$4),"ok","nok")</f>
        <v>nok</v>
      </c>
      <c r="P41" s="74" t="str">
        <f>IF(AND($B41=[1]marcos!$A38,[1]marcos!$B38=P$4),"ok","nok")</f>
        <v>nok</v>
      </c>
      <c r="Q41" s="74" t="str">
        <f>IF(AND($B41=[1]marcos!$A38,[1]marcos!$B38=Q$4),"ok","nok")</f>
        <v>nok</v>
      </c>
      <c r="R41" s="74" t="str">
        <f>IF(AND($B41=[1]marcos!$A38,[1]marcos!$B38=R$4),"ok","nok")</f>
        <v>nok</v>
      </c>
      <c r="S41" s="74" t="str">
        <f>IF(AND($B41=[1]marcos!$A38,[1]marcos!$B38=S$4),"ok","nok")</f>
        <v>nok</v>
      </c>
      <c r="T41" s="74" t="str">
        <f>IF(AND($B41=[1]marcos!$A38,[1]marcos!$B38=T$4),"ok","nok")</f>
        <v>nok</v>
      </c>
      <c r="U41" s="74" t="str">
        <f>IF(AND($B41=[1]marcos!$A38,[1]marcos!$B38=U$4),"ok","nok")</f>
        <v>nok</v>
      </c>
      <c r="V41" s="74" t="str">
        <f>IF(AND($B41=[1]marcos!$A38,[1]marcos!$B38=V$4),"ok","nok")</f>
        <v>nok</v>
      </c>
      <c r="W41" s="74" t="str">
        <f>IF(AND($B41=[1]marcos!$A38,[1]marcos!$B38=W$4),"ok","nok")</f>
        <v>nok</v>
      </c>
      <c r="X41" s="74" t="str">
        <f>IF(AND($B41=[1]marcos!$A38,[1]marcos!$B38=X$4),"ok","nok")</f>
        <v>ok</v>
      </c>
      <c r="Y41" s="96" t="s">
        <v>32</v>
      </c>
      <c r="Z41" s="97"/>
      <c r="AA41" s="97"/>
      <c r="AB41" s="98"/>
      <c r="AC41" s="55"/>
      <c r="AD41" s="55"/>
      <c r="AE41" s="63" t="str">
        <f t="shared" si="4"/>
        <v>MARCO - Envio do documento Certificado (Rev_0)</v>
      </c>
      <c r="AF41" s="63"/>
      <c r="AG41" s="63"/>
      <c r="AH41" s="63"/>
      <c r="AI41" s="64">
        <f t="shared" si="5"/>
        <v>0</v>
      </c>
      <c r="AJ41" s="64" t="str">
        <f t="shared" si="6"/>
        <v/>
      </c>
      <c r="AK41" s="64">
        <f t="shared" si="7"/>
        <v>0</v>
      </c>
      <c r="AL41" s="64" t="str">
        <f t="shared" si="8"/>
        <v/>
      </c>
      <c r="AM41" s="64">
        <f t="shared" si="9"/>
        <v>0</v>
      </c>
      <c r="AN41" s="64" t="str">
        <f t="shared" si="10"/>
        <v/>
      </c>
      <c r="AO41" s="64">
        <f t="shared" si="11"/>
        <v>0</v>
      </c>
      <c r="AP41" s="64" t="str">
        <f t="shared" si="12"/>
        <v/>
      </c>
      <c r="AQ41" s="64">
        <f t="shared" si="13"/>
        <v>1</v>
      </c>
      <c r="AR41" s="64" t="str">
        <f t="shared" si="14"/>
        <v/>
      </c>
      <c r="AU41" s="92" t="s">
        <v>22</v>
      </c>
      <c r="AV41" s="92"/>
      <c r="AW41" s="92"/>
      <c r="AX41" s="92"/>
      <c r="AY41" s="62"/>
      <c r="AZ41" s="92" t="s">
        <v>21</v>
      </c>
      <c r="BA41" s="92"/>
      <c r="BB41" s="92"/>
      <c r="BC41" s="92"/>
      <c r="BD41" s="62"/>
      <c r="BE41" s="92" t="s">
        <v>27</v>
      </c>
      <c r="BF41" s="92"/>
      <c r="BG41" s="92"/>
      <c r="BH41" s="92"/>
      <c r="BI41" s="62"/>
      <c r="BJ41" s="92" t="s">
        <v>26</v>
      </c>
      <c r="BK41" s="92"/>
      <c r="BL41" s="92"/>
      <c r="BM41" s="92"/>
      <c r="BN41" s="62"/>
      <c r="BO41" s="92" t="s">
        <v>77</v>
      </c>
      <c r="BP41" s="92"/>
      <c r="BQ41" s="92"/>
      <c r="BR41" s="92"/>
    </row>
    <row r="42" spans="1:70" ht="30" customHeight="1" x14ac:dyDescent="0.35">
      <c r="A42" s="28" t="str">
        <f t="shared" si="19"/>
        <v>PT208 - PROJETO RIO TANQUE (Itabira)
ETAPA DE ESCRITÓRIO
PONTE METÁLICA</v>
      </c>
      <c r="B42" s="53" t="s">
        <v>50</v>
      </c>
      <c r="C42" s="74" t="str">
        <f>IF(AND($B42=[1]marcos!$A39,[1]marcos!$B39=C$4),"ok","nok")</f>
        <v>nok</v>
      </c>
      <c r="D42" s="74" t="str">
        <f>IF(AND($B42=[1]marcos!$A39,[1]marcos!$B39=D$4),"ok","nok")</f>
        <v>nok</v>
      </c>
      <c r="E42" s="74" t="str">
        <f>IF(AND($B42=[1]marcos!$A39,[1]marcos!$B39=E$4),"ok","nok")</f>
        <v>nok</v>
      </c>
      <c r="F42" s="74" t="str">
        <f>IF(AND($B42=[1]marcos!$A39,[1]marcos!$B39=F$4),"ok","nok")</f>
        <v>nok</v>
      </c>
      <c r="G42" s="74" t="str">
        <f>IF(AND($B42=[1]marcos!$A39,[1]marcos!$B39=G$4),"ok","nok")</f>
        <v>ok</v>
      </c>
      <c r="H42" s="74" t="str">
        <f>IF(AND($B42=[1]marcos!$A39,[1]marcos!$B39=H$4),"ok","nok")</f>
        <v>nok</v>
      </c>
      <c r="I42" s="74" t="str">
        <f>IF(AND($B42=[1]marcos!$A39,[1]marcos!$B39=I$4),"ok","nok")</f>
        <v>nok</v>
      </c>
      <c r="J42" s="74" t="str">
        <f>IF(AND($B42=[1]marcos!$A39,[1]marcos!$B39=J$4),"ok","nok")</f>
        <v>nok</v>
      </c>
      <c r="K42" s="74" t="str">
        <f>IF(AND($B42=[1]marcos!$A39,[1]marcos!$B39=K$4),"ok","nok")</f>
        <v>nok</v>
      </c>
      <c r="L42" s="74" t="str">
        <f>IF(AND($B42=[1]marcos!$A39,[1]marcos!$B39=L$4),"ok","nok")</f>
        <v>nok</v>
      </c>
      <c r="M42" s="74" t="str">
        <f>IF(AND($B42=[1]marcos!$A39,[1]marcos!$B39=M$4),"ok","nok")</f>
        <v>nok</v>
      </c>
      <c r="N42" s="74" t="str">
        <f>IF(AND($B42=[1]marcos!$A39,[1]marcos!$B39=N$4),"ok","nok")</f>
        <v>nok</v>
      </c>
      <c r="O42" s="74" t="str">
        <f>IF(AND($B42=[1]marcos!$A39,[1]marcos!$B39=O$4),"ok","nok")</f>
        <v>nok</v>
      </c>
      <c r="P42" s="74" t="str">
        <f>IF(AND($B42=[1]marcos!$A39,[1]marcos!$B39=P$4),"ok","nok")</f>
        <v>nok</v>
      </c>
      <c r="Q42" s="74" t="str">
        <f>IF(AND($B42=[1]marcos!$A39,[1]marcos!$B39=Q$4),"ok","nok")</f>
        <v>nok</v>
      </c>
      <c r="R42" s="74" t="str">
        <f>IF(AND($B42=[1]marcos!$A39,[1]marcos!$B39=R$4),"ok","nok")</f>
        <v>nok</v>
      </c>
      <c r="S42" s="74" t="str">
        <f>IF(AND($B42=[1]marcos!$A39,[1]marcos!$B39=S$4),"ok","nok")</f>
        <v>nok</v>
      </c>
      <c r="T42" s="74" t="str">
        <f>IF(AND($B42=[1]marcos!$A39,[1]marcos!$B39=T$4),"ok","nok")</f>
        <v>nok</v>
      </c>
      <c r="U42" s="74" t="str">
        <f>IF(AND($B42=[1]marcos!$A39,[1]marcos!$B39=U$4),"ok","nok")</f>
        <v>nok</v>
      </c>
      <c r="V42" s="74" t="str">
        <f>IF(AND($B42=[1]marcos!$A39,[1]marcos!$B39=V$4),"ok","nok")</f>
        <v>nok</v>
      </c>
      <c r="W42" s="74" t="str">
        <f>IF(AND($B42=[1]marcos!$A39,[1]marcos!$B39=W$4),"ok","nok")</f>
        <v>nok</v>
      </c>
      <c r="X42" s="74" t="str">
        <f>IF(AND($B42=[1]marcos!$A39,[1]marcos!$B39=X$4),"ok","nok")</f>
        <v>nok</v>
      </c>
      <c r="Y42" s="96" t="s">
        <v>2</v>
      </c>
      <c r="Z42" s="97"/>
      <c r="AA42" s="97"/>
      <c r="AB42" s="98"/>
      <c r="AC42" s="55"/>
      <c r="AD42" s="55"/>
      <c r="AE42" s="63" t="str">
        <f t="shared" si="4"/>
        <v/>
      </c>
      <c r="AF42" s="63"/>
      <c r="AG42" s="63"/>
      <c r="AH42" s="63"/>
      <c r="AI42" s="64">
        <f t="shared" si="5"/>
        <v>1</v>
      </c>
      <c r="AJ42" s="64" t="str">
        <f t="shared" si="6"/>
        <v>ENTREGUE</v>
      </c>
      <c r="AK42" s="64">
        <f t="shared" si="7"/>
        <v>0</v>
      </c>
      <c r="AL42" s="64" t="str">
        <f t="shared" si="8"/>
        <v/>
      </c>
      <c r="AM42" s="64">
        <f t="shared" si="9"/>
        <v>0</v>
      </c>
      <c r="AN42" s="64" t="str">
        <f t="shared" si="10"/>
        <v/>
      </c>
      <c r="AO42" s="64">
        <f t="shared" si="11"/>
        <v>0</v>
      </c>
      <c r="AP42" s="64" t="str">
        <f t="shared" si="12"/>
        <v/>
      </c>
      <c r="AQ42" s="64">
        <f t="shared" si="13"/>
        <v>0</v>
      </c>
      <c r="AR42" s="64" t="str">
        <f t="shared" si="14"/>
        <v/>
      </c>
      <c r="AU42" s="88" t="s">
        <v>2</v>
      </c>
      <c r="AV42" s="88"/>
      <c r="AW42" s="88"/>
      <c r="AX42" s="65">
        <f>COUNTIF(AJ:AJ,"ENTREGUE")</f>
        <v>1</v>
      </c>
      <c r="AY42" s="62"/>
      <c r="AZ42" s="88" t="s">
        <v>2</v>
      </c>
      <c r="BA42" s="88"/>
      <c r="BB42" s="88"/>
      <c r="BC42" s="65" cm="1">
        <f t="array" ref="BC42">SUM(COUNTIF(AJ:AL,{"ENTREGUE";"EFPRAZO"}))</f>
        <v>2</v>
      </c>
      <c r="BD42" s="62"/>
      <c r="BE42" s="88" t="s">
        <v>2</v>
      </c>
      <c r="BF42" s="88"/>
      <c r="BG42" s="88"/>
      <c r="BH42" s="65" cm="1">
        <f t="array" ref="BH42">SUM(COUNTIF(AJ:AN,{"ENTREGUE";"EFPRAZO"}))</f>
        <v>2</v>
      </c>
      <c r="BI42" s="62"/>
      <c r="BJ42" s="88" t="s">
        <v>2</v>
      </c>
      <c r="BK42" s="88"/>
      <c r="BL42" s="88"/>
      <c r="BM42" s="65" cm="1">
        <f t="array" ref="BM42">SUM(COUNTIF(AJ:AP,{"ENTREGUE";"EFPRAZO"}))</f>
        <v>2</v>
      </c>
      <c r="BN42" s="62"/>
      <c r="BO42" s="88" t="s">
        <v>2</v>
      </c>
      <c r="BP42" s="88"/>
      <c r="BQ42" s="88"/>
      <c r="BR42" s="65" cm="1">
        <f t="array" ref="BR42">SUM(COUNTIF(AJ:AR,{"ENTREGUE";"EFPRAZO"}))</f>
        <v>2</v>
      </c>
    </row>
    <row r="43" spans="1:70" ht="30" customHeight="1" x14ac:dyDescent="0.35">
      <c r="A43" s="28" t="str">
        <f t="shared" si="19"/>
        <v>PT208 - PROJETO RIO TANQUE (Itabira)
ETAPA DE ESCRITÓRIO
PONTE METÁLICA</v>
      </c>
      <c r="B43" s="53" t="s">
        <v>51</v>
      </c>
      <c r="C43" s="74" t="str">
        <f>IF(AND($B43=[1]marcos!$A40,[1]marcos!$B40=C$4),"ok","nok")</f>
        <v>nok</v>
      </c>
      <c r="D43" s="74" t="str">
        <f>IF(AND($B43=[1]marcos!$A40,[1]marcos!$B40=D$4),"ok","nok")</f>
        <v>nok</v>
      </c>
      <c r="E43" s="74" t="str">
        <f>IF(AND($B43=[1]marcos!$A40,[1]marcos!$B40=E$4),"ok","nok")</f>
        <v>nok</v>
      </c>
      <c r="F43" s="74" t="str">
        <f>IF(AND($B43=[1]marcos!$A40,[1]marcos!$B40=F$4),"ok","nok")</f>
        <v>nok</v>
      </c>
      <c r="G43" s="74" t="str">
        <f>IF(AND($B43=[1]marcos!$A40,[1]marcos!$B40=G$4),"ok","nok")</f>
        <v>nok</v>
      </c>
      <c r="H43" s="74" t="str">
        <f>IF(AND($B43=[1]marcos!$A40,[1]marcos!$B40=H$4),"ok","nok")</f>
        <v>nok</v>
      </c>
      <c r="I43" s="74" t="str">
        <f>IF(AND($B43=[1]marcos!$A40,[1]marcos!$B40=I$4),"ok","nok")</f>
        <v>nok</v>
      </c>
      <c r="J43" s="74" t="str">
        <f>IF(AND($B43=[1]marcos!$A40,[1]marcos!$B40=J$4),"ok","nok")</f>
        <v>nok</v>
      </c>
      <c r="K43" s="74" t="str">
        <f>IF(AND($B43=[1]marcos!$A40,[1]marcos!$B40=K$4),"ok","nok")</f>
        <v>ok</v>
      </c>
      <c r="L43" s="74" t="str">
        <f>IF(AND($B43=[1]marcos!$A40,[1]marcos!$B40=L$4),"ok","nok")</f>
        <v>nok</v>
      </c>
      <c r="M43" s="74" t="str">
        <f>IF(AND($B43=[1]marcos!$A40,[1]marcos!$B40=M$4),"ok","nok")</f>
        <v>nok</v>
      </c>
      <c r="N43" s="74" t="str">
        <f>IF(AND($B43=[1]marcos!$A40,[1]marcos!$B40=N$4),"ok","nok")</f>
        <v>nok</v>
      </c>
      <c r="O43" s="74" t="str">
        <f>IF(AND($B43=[1]marcos!$A40,[1]marcos!$B40=O$4),"ok","nok")</f>
        <v>nok</v>
      </c>
      <c r="P43" s="74" t="str">
        <f>IF(AND($B43=[1]marcos!$A40,[1]marcos!$B40=P$4),"ok","nok")</f>
        <v>nok</v>
      </c>
      <c r="Q43" s="74" t="str">
        <f>IF(AND($B43=[1]marcos!$A40,[1]marcos!$B40=Q$4),"ok","nok")</f>
        <v>nok</v>
      </c>
      <c r="R43" s="74" t="str">
        <f>IF(AND($B43=[1]marcos!$A40,[1]marcos!$B40=R$4),"ok","nok")</f>
        <v>nok</v>
      </c>
      <c r="S43" s="74" t="str">
        <f>IF(AND($B43=[1]marcos!$A40,[1]marcos!$B40=S$4),"ok","nok")</f>
        <v>nok</v>
      </c>
      <c r="T43" s="74" t="str">
        <f>IF(AND($B43=[1]marcos!$A40,[1]marcos!$B40=T$4),"ok","nok")</f>
        <v>nok</v>
      </c>
      <c r="U43" s="74" t="str">
        <f>IF(AND($B43=[1]marcos!$A40,[1]marcos!$B40=U$4),"ok","nok")</f>
        <v>nok</v>
      </c>
      <c r="V43" s="74" t="str">
        <f>IF(AND($B43=[1]marcos!$A40,[1]marcos!$B40=V$4),"ok","nok")</f>
        <v>nok</v>
      </c>
      <c r="W43" s="74" t="str">
        <f>IF(AND($B43=[1]marcos!$A40,[1]marcos!$B40=W$4),"ok","nok")</f>
        <v>nok</v>
      </c>
      <c r="X43" s="74" t="str">
        <f>IF(AND($B43=[1]marcos!$A40,[1]marcos!$B40=X$4),"ok","nok")</f>
        <v>nok</v>
      </c>
      <c r="Y43" s="96" t="s">
        <v>2</v>
      </c>
      <c r="Z43" s="97"/>
      <c r="AA43" s="97"/>
      <c r="AB43" s="98"/>
      <c r="AC43" s="55"/>
      <c r="AD43" s="55"/>
      <c r="AE43" s="63" t="str">
        <f t="shared" si="4"/>
        <v/>
      </c>
      <c r="AF43" s="63"/>
      <c r="AG43" s="63"/>
      <c r="AH43" s="63"/>
      <c r="AI43" s="64">
        <f t="shared" si="5"/>
        <v>0</v>
      </c>
      <c r="AJ43" s="64" t="str">
        <f t="shared" si="6"/>
        <v/>
      </c>
      <c r="AK43" s="64">
        <f t="shared" si="7"/>
        <v>1</v>
      </c>
      <c r="AL43" s="64" t="str">
        <f t="shared" si="8"/>
        <v>ENTREGUE</v>
      </c>
      <c r="AM43" s="64">
        <f t="shared" si="9"/>
        <v>0</v>
      </c>
      <c r="AN43" s="64" t="str">
        <f t="shared" si="10"/>
        <v/>
      </c>
      <c r="AO43" s="64">
        <f t="shared" si="11"/>
        <v>0</v>
      </c>
      <c r="AP43" s="64" t="str">
        <f t="shared" si="12"/>
        <v/>
      </c>
      <c r="AQ43" s="64">
        <f t="shared" si="13"/>
        <v>0</v>
      </c>
      <c r="AR43" s="64" t="str">
        <f t="shared" si="14"/>
        <v/>
      </c>
      <c r="AU43" s="88" t="s">
        <v>3</v>
      </c>
      <c r="AV43" s="88"/>
      <c r="AW43" s="88"/>
      <c r="AX43" s="65">
        <f>SUM(COUNTIF(C:G,"OK"))</f>
        <v>1</v>
      </c>
      <c r="AY43" s="62"/>
      <c r="AZ43" s="88" t="s">
        <v>3</v>
      </c>
      <c r="BA43" s="88"/>
      <c r="BB43" s="88"/>
      <c r="BC43" s="65">
        <f>SUM(COUNTIF(C:L,"OK"))</f>
        <v>2</v>
      </c>
      <c r="BD43" s="62"/>
      <c r="BE43" s="88" t="s">
        <v>3</v>
      </c>
      <c r="BF43" s="88"/>
      <c r="BG43" s="88"/>
      <c r="BH43" s="65">
        <f>SUM(COUNTIF(C:Q,"OK"))</f>
        <v>2</v>
      </c>
      <c r="BI43" s="62"/>
      <c r="BJ43" s="88" t="s">
        <v>3</v>
      </c>
      <c r="BK43" s="88"/>
      <c r="BL43" s="88"/>
      <c r="BM43" s="65">
        <f>SUM(COUNTIF(C:V,"OK"))</f>
        <v>52</v>
      </c>
      <c r="BN43" s="62"/>
      <c r="BO43" s="88" t="s">
        <v>3</v>
      </c>
      <c r="BP43" s="88"/>
      <c r="BQ43" s="88"/>
      <c r="BR43" s="65">
        <f>SUM(COUNTIF(C:X,"OK"))</f>
        <v>121</v>
      </c>
    </row>
    <row r="44" spans="1:70" ht="30" customHeight="1" x14ac:dyDescent="0.35">
      <c r="A44" s="28" t="str">
        <f t="shared" si="19"/>
        <v>PT208 - PROJETO RIO TANQUE (Itabira)
ETAPA DE ESCRITÓRIO
PONTE METÁLICA</v>
      </c>
      <c r="B44" s="53" t="s">
        <v>79</v>
      </c>
      <c r="C44" s="74" t="str">
        <f>IF(AND($B44=[1]marcos!$A41,[1]marcos!$B41=C$4),"ok","nok")</f>
        <v>nok</v>
      </c>
      <c r="D44" s="74" t="str">
        <f>IF(AND($B44=[1]marcos!$A41,[1]marcos!$B41=D$4),"ok","nok")</f>
        <v>nok</v>
      </c>
      <c r="E44" s="74" t="str">
        <f>IF(AND($B44=[1]marcos!$A41,[1]marcos!$B41=E$4),"ok","nok")</f>
        <v>nok</v>
      </c>
      <c r="F44" s="74" t="str">
        <f>IF(AND($B44=[1]marcos!$A41,[1]marcos!$B41=F$4),"ok","nok")</f>
        <v>nok</v>
      </c>
      <c r="G44" s="74" t="str">
        <f>IF(AND($B44=[1]marcos!$A41,[1]marcos!$B41=G$4),"ok","nok")</f>
        <v>nok</v>
      </c>
      <c r="H44" s="74" t="str">
        <f>IF(AND($B44=[1]marcos!$A41,[1]marcos!$B41=H$4),"ok","nok")</f>
        <v>nok</v>
      </c>
      <c r="I44" s="74" t="str">
        <f>IF(AND($B44=[1]marcos!$A41,[1]marcos!$B41=I$4),"ok","nok")</f>
        <v>nok</v>
      </c>
      <c r="J44" s="74" t="str">
        <f>IF(AND($B44=[1]marcos!$A41,[1]marcos!$B41=J$4),"ok","nok")</f>
        <v>nok</v>
      </c>
      <c r="K44" s="74" t="str">
        <f>IF(AND($B44=[1]marcos!$A41,[1]marcos!$B41=K$4),"ok","nok")</f>
        <v>nok</v>
      </c>
      <c r="L44" s="83"/>
      <c r="M44" s="74" t="str">
        <f>IF(AND($B44=[1]marcos!$A41,[1]marcos!$B41=M$4),"ok","nok")</f>
        <v>nok</v>
      </c>
      <c r="N44" s="74" t="str">
        <f>IF(AND($B44=[1]marcos!$A41,[1]marcos!$B41=N$4),"ok","nok")</f>
        <v>nok</v>
      </c>
      <c r="O44" s="74" t="str">
        <f>IF(AND($B44=[1]marcos!$A41,[1]marcos!$B41=O$4),"ok","nok")</f>
        <v>nok</v>
      </c>
      <c r="P44" s="74" t="str">
        <f>IF(AND($B44=[1]marcos!$A41,[1]marcos!$B41=P$4),"ok","nok")</f>
        <v>nok</v>
      </c>
      <c r="Q44" s="74" t="str">
        <f>IF(AND($B44=[1]marcos!$A41,[1]marcos!$B41=Q$4),"ok","nok")</f>
        <v>nok</v>
      </c>
      <c r="R44" s="74" t="str">
        <f>IF(AND($B44=[1]marcos!$A41,[1]marcos!$B41=R$4),"ok","nok")</f>
        <v>nok</v>
      </c>
      <c r="S44" s="74" t="str">
        <f>IF(AND($B44=[1]marcos!$A41,[1]marcos!$B41=S$4),"ok","nok")</f>
        <v>nok</v>
      </c>
      <c r="T44" s="74" t="str">
        <f>IF(AND($B44=[1]marcos!$A41,[1]marcos!$B41=T$4),"ok","nok")</f>
        <v>nok</v>
      </c>
      <c r="U44" s="74" t="str">
        <f>IF(AND($B44=[1]marcos!$A41,[1]marcos!$B41=U$4),"ok","nok")</f>
        <v>nok</v>
      </c>
      <c r="V44" s="74" t="str">
        <f>IF(AND($B44=[1]marcos!$A41,[1]marcos!$B41=V$4),"ok","nok")</f>
        <v>nok</v>
      </c>
      <c r="W44" s="74" t="str">
        <f>IF(AND($B44=[1]marcos!$A41,[1]marcos!$B41=W$4),"ok","nok")</f>
        <v>nok</v>
      </c>
      <c r="X44" s="74" t="str">
        <f>IF(AND($B44=[1]marcos!$A41,[1]marcos!$B41=X$4),"ok","nok")</f>
        <v>ok</v>
      </c>
      <c r="Y44" s="96" t="s">
        <v>32</v>
      </c>
      <c r="Z44" s="97"/>
      <c r="AA44" s="97"/>
      <c r="AB44" s="98"/>
      <c r="AC44" s="55"/>
      <c r="AD44" s="55"/>
      <c r="AE44" s="63" t="str">
        <f t="shared" si="4"/>
        <v>Verificação da Memória de Cálculo</v>
      </c>
      <c r="AF44" s="63"/>
      <c r="AG44" s="63"/>
      <c r="AH44" s="63"/>
      <c r="AI44" s="64">
        <f t="shared" si="5"/>
        <v>0</v>
      </c>
      <c r="AJ44" s="64" t="str">
        <f t="shared" si="6"/>
        <v/>
      </c>
      <c r="AK44" s="64">
        <f t="shared" si="7"/>
        <v>0</v>
      </c>
      <c r="AL44" s="64" t="str">
        <f t="shared" si="8"/>
        <v/>
      </c>
      <c r="AM44" s="64">
        <f t="shared" si="9"/>
        <v>0</v>
      </c>
      <c r="AN44" s="64" t="str">
        <f t="shared" si="10"/>
        <v/>
      </c>
      <c r="AO44" s="64">
        <f t="shared" si="11"/>
        <v>0</v>
      </c>
      <c r="AP44" s="64" t="str">
        <f t="shared" si="12"/>
        <v/>
      </c>
      <c r="AQ44" s="64">
        <f t="shared" si="13"/>
        <v>1</v>
      </c>
      <c r="AR44" s="64" t="str">
        <f t="shared" si="14"/>
        <v/>
      </c>
      <c r="AU44" s="88" t="s">
        <v>4</v>
      </c>
      <c r="AV44" s="88"/>
      <c r="AW44" s="88"/>
      <c r="AX44" s="66">
        <v>0.4</v>
      </c>
      <c r="AY44" s="62"/>
      <c r="AZ44" s="88" t="s">
        <v>4</v>
      </c>
      <c r="BA44" s="88"/>
      <c r="BB44" s="88"/>
      <c r="BC44" s="66">
        <f>BC42/BC43</f>
        <v>1</v>
      </c>
      <c r="BD44" s="62"/>
      <c r="BE44" s="88" t="s">
        <v>4</v>
      </c>
      <c r="BF44" s="88"/>
      <c r="BG44" s="88"/>
      <c r="BH44" s="66">
        <f>BH42/BH43</f>
        <v>1</v>
      </c>
      <c r="BI44" s="62"/>
      <c r="BJ44" s="88" t="s">
        <v>4</v>
      </c>
      <c r="BK44" s="88"/>
      <c r="BL44" s="88"/>
      <c r="BM44" s="66">
        <f>BM42/BM43</f>
        <v>3.8461538461538464E-2</v>
      </c>
      <c r="BN44" s="62"/>
      <c r="BO44" s="88" t="s">
        <v>4</v>
      </c>
      <c r="BP44" s="88"/>
      <c r="BQ44" s="88"/>
      <c r="BR44" s="66">
        <f>BR42/BR43</f>
        <v>1.6528925619834711E-2</v>
      </c>
    </row>
    <row r="45" spans="1:70" ht="30" customHeight="1" x14ac:dyDescent="0.35">
      <c r="A45" s="28"/>
      <c r="B45" s="54" t="s">
        <v>80</v>
      </c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114"/>
      <c r="Z45" s="115"/>
      <c r="AA45" s="115"/>
      <c r="AB45" s="116"/>
      <c r="AC45" s="55"/>
      <c r="AD45" s="55"/>
      <c r="AE45" s="63" t="str">
        <f t="shared" si="4"/>
        <v/>
      </c>
      <c r="AF45" s="63"/>
      <c r="AG45" s="63"/>
      <c r="AH45" s="63"/>
      <c r="AI45" s="64">
        <f t="shared" si="5"/>
        <v>0</v>
      </c>
      <c r="AJ45" s="64" t="str">
        <f t="shared" si="6"/>
        <v/>
      </c>
      <c r="AK45" s="64">
        <f t="shared" si="7"/>
        <v>0</v>
      </c>
      <c r="AL45" s="64" t="str">
        <f t="shared" si="8"/>
        <v/>
      </c>
      <c r="AM45" s="64">
        <f t="shared" si="9"/>
        <v>0</v>
      </c>
      <c r="AN45" s="64" t="str">
        <f t="shared" si="10"/>
        <v/>
      </c>
      <c r="AO45" s="64">
        <f t="shared" si="11"/>
        <v>0</v>
      </c>
      <c r="AP45" s="64" t="str">
        <f t="shared" si="12"/>
        <v/>
      </c>
      <c r="AQ45" s="64">
        <f t="shared" si="13"/>
        <v>0</v>
      </c>
      <c r="AR45" s="64" t="str">
        <f t="shared" si="14"/>
        <v/>
      </c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</row>
    <row r="46" spans="1:70" ht="30" customHeight="1" x14ac:dyDescent="0.35">
      <c r="A46" s="28" t="str">
        <f t="shared" si="19"/>
        <v>PT208 - PROJETO RIO TANQUE (Itabira)
ETAPA DE ESCRITÓRIO
PONTE METÁLICA</v>
      </c>
      <c r="B46" s="55" t="s">
        <v>44</v>
      </c>
      <c r="C46" s="74" t="str">
        <f>IF(AND($B46=[1]marcos!$A43,[1]marcos!$B43=C$4),"ok","nok")</f>
        <v>nok</v>
      </c>
      <c r="D46" s="74" t="str">
        <f>IF(AND($B46=[1]marcos!$A43,[1]marcos!$B43=D$4),"ok","nok")</f>
        <v>nok</v>
      </c>
      <c r="E46" s="74" t="str">
        <f>IF(AND($B46=[1]marcos!$A43,[1]marcos!$B43=E$4),"ok","nok")</f>
        <v>nok</v>
      </c>
      <c r="F46" s="74" t="str">
        <f>IF(AND($B46=[1]marcos!$A43,[1]marcos!$B43=F$4),"ok","nok")</f>
        <v>nok</v>
      </c>
      <c r="G46" s="74" t="str">
        <f>IF(AND($B46=[1]marcos!$A43,[1]marcos!$B43=G$4),"ok","nok")</f>
        <v>nok</v>
      </c>
      <c r="H46" s="74" t="str">
        <f>IF(AND($B46=[1]marcos!$A43,[1]marcos!$B43=H$4),"ok","nok")</f>
        <v>nok</v>
      </c>
      <c r="I46" s="74" t="str">
        <f>IF(AND($B46=[1]marcos!$A43,[1]marcos!$B43=I$4),"ok","nok")</f>
        <v>nok</v>
      </c>
      <c r="J46" s="74" t="str">
        <f>IF(AND($B46=[1]marcos!$A43,[1]marcos!$B43=J$4),"ok","nok")</f>
        <v>nok</v>
      </c>
      <c r="K46" s="74" t="str">
        <f>IF(AND($B46=[1]marcos!$A43,[1]marcos!$B43=K$4),"ok","nok")</f>
        <v>nok</v>
      </c>
      <c r="L46" s="83"/>
      <c r="M46" s="74" t="str">
        <f>IF(AND($B46=[1]marcos!$A43,[1]marcos!$B43=M$4),"ok","nok")</f>
        <v>nok</v>
      </c>
      <c r="N46" s="74" t="str">
        <f>IF(AND($B46=[1]marcos!$A43,[1]marcos!$B43=N$4),"ok","nok")</f>
        <v>nok</v>
      </c>
      <c r="O46" s="74" t="str">
        <f>IF(AND($B46=[1]marcos!$A43,[1]marcos!$B43=O$4),"ok","nok")</f>
        <v>nok</v>
      </c>
      <c r="P46" s="74" t="str">
        <f>IF(AND($B46=[1]marcos!$A43,[1]marcos!$B43=P$4),"ok","nok")</f>
        <v>nok</v>
      </c>
      <c r="Q46" s="74" t="str">
        <f>IF(AND($B46=[1]marcos!$A43,[1]marcos!$B43=Q$4),"ok","nok")</f>
        <v>nok</v>
      </c>
      <c r="R46" s="74" t="str">
        <f>IF(AND($B46=[1]marcos!$A43,[1]marcos!$B43=R$4),"ok","nok")</f>
        <v>nok</v>
      </c>
      <c r="S46" s="74" t="str">
        <f>IF(AND($B46=[1]marcos!$A43,[1]marcos!$B43=S$4),"ok","nok")</f>
        <v>nok</v>
      </c>
      <c r="T46" s="74" t="str">
        <f>IF(AND($B46=[1]marcos!$A43,[1]marcos!$B43=T$4),"ok","nok")</f>
        <v>nok</v>
      </c>
      <c r="U46" s="74" t="str">
        <f>IF(AND($B46=[1]marcos!$A43,[1]marcos!$B43=U$4),"ok","nok")</f>
        <v>ok</v>
      </c>
      <c r="V46" s="74" t="str">
        <f>IF(AND($B46=[1]marcos!$A43,[1]marcos!$B43=V$4),"ok","nok")</f>
        <v>nok</v>
      </c>
      <c r="W46" s="74" t="str">
        <f>IF(AND($B46=[1]marcos!$A43,[1]marcos!$B43=W$4),"ok","nok")</f>
        <v>nok</v>
      </c>
      <c r="X46" s="74" t="str">
        <f>IF(AND($B46=[1]marcos!$A43,[1]marcos!$B43=X$4),"ok","nok")</f>
        <v>nok</v>
      </c>
      <c r="Y46" s="96" t="s">
        <v>16</v>
      </c>
      <c r="Z46" s="97"/>
      <c r="AA46" s="97"/>
      <c r="AB46" s="98"/>
      <c r="AC46" s="55"/>
      <c r="AD46" s="55"/>
      <c r="AE46" s="63" t="str">
        <f t="shared" si="4"/>
        <v/>
      </c>
      <c r="AF46" s="63"/>
      <c r="AG46" s="63"/>
      <c r="AH46" s="63"/>
      <c r="AI46" s="64">
        <f t="shared" si="5"/>
        <v>0</v>
      </c>
      <c r="AJ46" s="64" t="str">
        <f t="shared" si="6"/>
        <v/>
      </c>
      <c r="AK46" s="64">
        <f t="shared" si="7"/>
        <v>0</v>
      </c>
      <c r="AL46" s="64" t="str">
        <f t="shared" si="8"/>
        <v/>
      </c>
      <c r="AM46" s="64">
        <f t="shared" si="9"/>
        <v>0</v>
      </c>
      <c r="AN46" s="64" t="str">
        <f t="shared" si="10"/>
        <v/>
      </c>
      <c r="AO46" s="64">
        <f t="shared" si="11"/>
        <v>1</v>
      </c>
      <c r="AP46" s="64" t="str">
        <f t="shared" si="12"/>
        <v/>
      </c>
      <c r="AQ46" s="64">
        <f t="shared" si="13"/>
        <v>0</v>
      </c>
      <c r="AR46" s="64" t="str">
        <f t="shared" si="14"/>
        <v/>
      </c>
      <c r="AU46" s="62"/>
      <c r="AV46" s="62"/>
      <c r="AW46" s="62"/>
      <c r="AX46" s="62"/>
      <c r="AY46" s="62"/>
      <c r="AZ46" s="92" t="s">
        <v>23</v>
      </c>
      <c r="BA46" s="92"/>
      <c r="BB46" s="92"/>
      <c r="BC46" s="92"/>
      <c r="BD46" s="62"/>
      <c r="BE46" s="92" t="s">
        <v>24</v>
      </c>
      <c r="BF46" s="92"/>
      <c r="BG46" s="92"/>
      <c r="BH46" s="92"/>
      <c r="BI46" s="62"/>
      <c r="BJ46" s="92" t="s">
        <v>25</v>
      </c>
      <c r="BK46" s="92"/>
      <c r="BL46" s="92"/>
      <c r="BM46" s="92"/>
      <c r="BN46" s="62"/>
      <c r="BO46" s="92" t="s">
        <v>78</v>
      </c>
      <c r="BP46" s="92"/>
      <c r="BQ46" s="92"/>
      <c r="BR46" s="92"/>
    </row>
    <row r="47" spans="1:70" ht="30" customHeight="1" x14ac:dyDescent="0.35">
      <c r="A47" s="28" t="str">
        <f t="shared" si="19"/>
        <v>PT208 - PROJETO RIO TANQUE (Itabira)
ETAPA DE ESCRITÓRIO
PONTE METÁLICA</v>
      </c>
      <c r="B47" s="55" t="s">
        <v>20</v>
      </c>
      <c r="C47" s="74" t="str">
        <f>IF(AND($B47=[1]marcos!$A44,[1]marcos!$B44=C$4),"ok","nok")</f>
        <v>nok</v>
      </c>
      <c r="D47" s="74" t="str">
        <f>IF(AND($B47=[1]marcos!$A44,[1]marcos!$B44=D$4),"ok","nok")</f>
        <v>nok</v>
      </c>
      <c r="E47" s="74" t="str">
        <f>IF(AND($B47=[1]marcos!$A44,[1]marcos!$B44=E$4),"ok","nok")</f>
        <v>nok</v>
      </c>
      <c r="F47" s="74" t="str">
        <f>IF(AND($B47=[1]marcos!$A44,[1]marcos!$B44=F$4),"ok","nok")</f>
        <v>nok</v>
      </c>
      <c r="G47" s="74" t="str">
        <f>IF(AND($B47=[1]marcos!$A44,[1]marcos!$B44=G$4),"ok","nok")</f>
        <v>nok</v>
      </c>
      <c r="H47" s="74" t="str">
        <f>IF(AND($B47=[1]marcos!$A44,[1]marcos!$B44=H$4),"ok","nok")</f>
        <v>nok</v>
      </c>
      <c r="I47" s="74" t="str">
        <f>IF(AND($B47=[1]marcos!$A44,[1]marcos!$B44=I$4),"ok","nok")</f>
        <v>nok</v>
      </c>
      <c r="J47" s="74" t="str">
        <f>IF(AND($B47=[1]marcos!$A44,[1]marcos!$B44=J$4),"ok","nok")</f>
        <v>nok</v>
      </c>
      <c r="K47" s="74" t="str">
        <f>IF(AND($B47=[1]marcos!$A44,[1]marcos!$B44=K$4),"ok","nok")</f>
        <v>nok</v>
      </c>
      <c r="L47" s="74" t="str">
        <f>IF(AND($B47=[1]marcos!$A44,[1]marcos!$B44=L$4),"ok","nok")</f>
        <v>nok</v>
      </c>
      <c r="M47" s="74" t="str">
        <f>IF(AND($B47=[1]marcos!$A44,[1]marcos!$B44=M$4),"ok","nok")</f>
        <v>nok</v>
      </c>
      <c r="N47" s="74" t="str">
        <f>IF(AND($B47=[1]marcos!$A44,[1]marcos!$B44=N$4),"ok","nok")</f>
        <v>nok</v>
      </c>
      <c r="O47" s="74" t="str">
        <f>IF(AND($B47=[1]marcos!$A44,[1]marcos!$B44=O$4),"ok","nok")</f>
        <v>nok</v>
      </c>
      <c r="P47" s="74" t="str">
        <f>IF(AND($B47=[1]marcos!$A44,[1]marcos!$B44=P$4),"ok","nok")</f>
        <v>nok</v>
      </c>
      <c r="Q47" s="74" t="str">
        <f>IF(AND($B47=[1]marcos!$A44,[1]marcos!$B44=Q$4),"ok","nok")</f>
        <v>nok</v>
      </c>
      <c r="R47" s="74" t="str">
        <f>IF(AND($B47=[1]marcos!$A44,[1]marcos!$B44=R$4),"ok","nok")</f>
        <v>nok</v>
      </c>
      <c r="S47" s="74" t="str">
        <f>IF(AND($B47=[1]marcos!$A44,[1]marcos!$B44=S$4),"ok","nok")</f>
        <v>nok</v>
      </c>
      <c r="T47" s="74" t="str">
        <f>IF(AND($B47=[1]marcos!$A44,[1]marcos!$B44=T$4),"ok","nok")</f>
        <v>nok</v>
      </c>
      <c r="U47" s="74" t="str">
        <f>IF(AND($B47=[1]marcos!$A44,[1]marcos!$B44=U$4),"ok","nok")</f>
        <v>nok</v>
      </c>
      <c r="V47" s="74" t="str">
        <f>IF(AND($B47=[1]marcos!$A44,[1]marcos!$B44=V$4),"ok","nok")</f>
        <v>ok</v>
      </c>
      <c r="W47" s="74" t="str">
        <f>IF(AND($B47=[1]marcos!$A44,[1]marcos!$B44=W$4),"ok","nok")</f>
        <v>nok</v>
      </c>
      <c r="X47" s="74" t="str">
        <f>IF(AND($B47=[1]marcos!$A44,[1]marcos!$B44=X$4),"ok","nok")</f>
        <v>nok</v>
      </c>
      <c r="Y47" s="96" t="s">
        <v>16</v>
      </c>
      <c r="Z47" s="97"/>
      <c r="AA47" s="97"/>
      <c r="AB47" s="98"/>
      <c r="AC47" s="55"/>
      <c r="AD47" s="55"/>
      <c r="AE47" s="63" t="str">
        <f t="shared" si="4"/>
        <v/>
      </c>
      <c r="AF47" s="63"/>
      <c r="AG47" s="63"/>
      <c r="AH47" s="63"/>
      <c r="AI47" s="64">
        <f t="shared" si="5"/>
        <v>0</v>
      </c>
      <c r="AJ47" s="64" t="str">
        <f t="shared" si="6"/>
        <v/>
      </c>
      <c r="AK47" s="64">
        <f t="shared" si="7"/>
        <v>0</v>
      </c>
      <c r="AL47" s="64" t="str">
        <f t="shared" si="8"/>
        <v/>
      </c>
      <c r="AM47" s="64">
        <f t="shared" si="9"/>
        <v>0</v>
      </c>
      <c r="AN47" s="64" t="str">
        <f t="shared" si="10"/>
        <v/>
      </c>
      <c r="AO47" s="64">
        <f t="shared" si="11"/>
        <v>1</v>
      </c>
      <c r="AP47" s="64" t="str">
        <f t="shared" si="12"/>
        <v/>
      </c>
      <c r="AQ47" s="64">
        <f t="shared" si="13"/>
        <v>0</v>
      </c>
      <c r="AR47" s="64" t="str">
        <f t="shared" si="14"/>
        <v/>
      </c>
      <c r="AU47" s="62"/>
      <c r="AV47" s="62"/>
      <c r="AW47" s="62"/>
      <c r="AX47" s="62"/>
      <c r="AY47" s="62"/>
      <c r="AZ47" s="88" t="s">
        <v>2</v>
      </c>
      <c r="BA47" s="88"/>
      <c r="BB47" s="88"/>
      <c r="BC47" s="65">
        <f>SUM(COUNTIF(AL:AL,"ENTREGUE"))</f>
        <v>1</v>
      </c>
      <c r="BD47" s="62"/>
      <c r="BE47" s="88" t="s">
        <v>2</v>
      </c>
      <c r="BF47" s="88"/>
      <c r="BG47" s="88"/>
      <c r="BH47" s="65">
        <f>SUM(COUNTIF(AN:AN,"ENTREGUE"))</f>
        <v>0</v>
      </c>
      <c r="BI47" s="62"/>
      <c r="BJ47" s="88" t="s">
        <v>2</v>
      </c>
      <c r="BK47" s="88"/>
      <c r="BL47" s="88"/>
      <c r="BM47" s="65">
        <f>SUM(COUNTIF(AP:AP,"ENTREGUE"))</f>
        <v>0</v>
      </c>
      <c r="BN47" s="62"/>
      <c r="BO47" s="88" t="s">
        <v>2</v>
      </c>
      <c r="BP47" s="88"/>
      <c r="BQ47" s="88"/>
      <c r="BR47" s="65">
        <f>SUM(COUNTIF(AR:AR,"ENTREGUE"))</f>
        <v>0</v>
      </c>
    </row>
    <row r="48" spans="1:70" ht="30" customHeight="1" x14ac:dyDescent="0.35">
      <c r="A48" s="28" t="str">
        <f t="shared" si="19"/>
        <v>PT208 - PROJETO RIO TANQUE (Itabira)
ETAPA DE ESCRITÓRIO
PONTE METÁLICA</v>
      </c>
      <c r="B48" s="55" t="s">
        <v>38</v>
      </c>
      <c r="C48" s="74" t="str">
        <f>IF(AND($B48=[1]marcos!$A45,[1]marcos!$B45=C$4),"ok","nok")</f>
        <v>nok</v>
      </c>
      <c r="D48" s="74" t="str">
        <f>IF(AND($B48=[1]marcos!$A45,[1]marcos!$B45=D$4),"ok","nok")</f>
        <v>nok</v>
      </c>
      <c r="E48" s="74" t="str">
        <f>IF(AND($B48=[1]marcos!$A45,[1]marcos!$B45=E$4),"ok","nok")</f>
        <v>nok</v>
      </c>
      <c r="F48" s="74" t="str">
        <f>IF(AND($B48=[1]marcos!$A45,[1]marcos!$B45=F$4),"ok","nok")</f>
        <v>nok</v>
      </c>
      <c r="G48" s="74" t="str">
        <f>IF(AND($B48=[1]marcos!$A45,[1]marcos!$B45=G$4),"ok","nok")</f>
        <v>nok</v>
      </c>
      <c r="H48" s="74" t="str">
        <f>IF(AND($B48=[1]marcos!$A45,[1]marcos!$B45=H$4),"ok","nok")</f>
        <v>nok</v>
      </c>
      <c r="I48" s="74" t="str">
        <f>IF(AND($B48=[1]marcos!$A45,[1]marcos!$B45=I$4),"ok","nok")</f>
        <v>nok</v>
      </c>
      <c r="J48" s="74" t="str">
        <f>IF(AND($B48=[1]marcos!$A45,[1]marcos!$B45=J$4),"ok","nok")</f>
        <v>nok</v>
      </c>
      <c r="K48" s="74" t="str">
        <f>IF(AND($B48=[1]marcos!$A45,[1]marcos!$B45=K$4),"ok","nok")</f>
        <v>nok</v>
      </c>
      <c r="L48" s="74" t="str">
        <f>IF(AND($B48=[1]marcos!$A45,[1]marcos!$B45=L$4),"ok","nok")</f>
        <v>nok</v>
      </c>
      <c r="M48" s="74" t="str">
        <f>IF(AND($B48=[1]marcos!$A45,[1]marcos!$B45=M$4),"ok","nok")</f>
        <v>nok</v>
      </c>
      <c r="N48" s="74" t="str">
        <f>IF(AND($B48=[1]marcos!$A45,[1]marcos!$B45=N$4),"ok","nok")</f>
        <v>nok</v>
      </c>
      <c r="O48" s="74" t="str">
        <f>IF(AND($B48=[1]marcos!$A45,[1]marcos!$B45=O$4),"ok","nok")</f>
        <v>nok</v>
      </c>
      <c r="P48" s="74" t="str">
        <f>IF(AND($B48=[1]marcos!$A45,[1]marcos!$B45=P$4),"ok","nok")</f>
        <v>nok</v>
      </c>
      <c r="Q48" s="74" t="str">
        <f>IF(AND($B48=[1]marcos!$A45,[1]marcos!$B45=Q$4),"ok","nok")</f>
        <v>nok</v>
      </c>
      <c r="R48" s="74" t="str">
        <f>IF(AND($B48=[1]marcos!$A45,[1]marcos!$B45=R$4),"ok","nok")</f>
        <v>nok</v>
      </c>
      <c r="S48" s="74" t="str">
        <f>IF(AND($B48=[1]marcos!$A45,[1]marcos!$B45=S$4),"ok","nok")</f>
        <v>nok</v>
      </c>
      <c r="T48" s="74" t="str">
        <f>IF(AND($B48=[1]marcos!$A45,[1]marcos!$B45=T$4),"ok","nok")</f>
        <v>nok</v>
      </c>
      <c r="U48" s="74" t="str">
        <f>IF(AND($B48=[1]marcos!$A45,[1]marcos!$B45=U$4),"ok","nok")</f>
        <v>nok</v>
      </c>
      <c r="V48" s="74" t="str">
        <f>IF(AND($B48=[1]marcos!$A45,[1]marcos!$B45=V$4),"ok","nok")</f>
        <v>nok</v>
      </c>
      <c r="W48" s="74" t="str">
        <f>IF(AND($B48=[1]marcos!$A45,[1]marcos!$B45=W$4),"ok","nok")</f>
        <v>ok</v>
      </c>
      <c r="X48" s="74" t="str">
        <f>IF(AND($B48=[1]marcos!$A45,[1]marcos!$B45=X$4),"ok","nok")</f>
        <v>nok</v>
      </c>
      <c r="Y48" s="96" t="s">
        <v>16</v>
      </c>
      <c r="Z48" s="97"/>
      <c r="AA48" s="97"/>
      <c r="AB48" s="98"/>
      <c r="AC48" s="55"/>
      <c r="AD48" s="55"/>
      <c r="AE48" s="63" t="str">
        <f t="shared" si="4"/>
        <v/>
      </c>
      <c r="AF48" s="63"/>
      <c r="AG48" s="63"/>
      <c r="AH48" s="63"/>
      <c r="AI48" s="64">
        <f t="shared" si="5"/>
        <v>0</v>
      </c>
      <c r="AJ48" s="64" t="str">
        <f t="shared" si="6"/>
        <v/>
      </c>
      <c r="AK48" s="64">
        <f t="shared" si="7"/>
        <v>0</v>
      </c>
      <c r="AL48" s="64" t="str">
        <f t="shared" si="8"/>
        <v/>
      </c>
      <c r="AM48" s="64">
        <f t="shared" si="9"/>
        <v>0</v>
      </c>
      <c r="AN48" s="64" t="str">
        <f t="shared" si="10"/>
        <v/>
      </c>
      <c r="AO48" s="64">
        <f t="shared" si="11"/>
        <v>0</v>
      </c>
      <c r="AP48" s="64" t="str">
        <f t="shared" si="12"/>
        <v/>
      </c>
      <c r="AQ48" s="64">
        <f t="shared" si="13"/>
        <v>1</v>
      </c>
      <c r="AR48" s="64" t="str">
        <f t="shared" si="14"/>
        <v/>
      </c>
      <c r="AU48" s="62"/>
      <c r="AV48" s="62"/>
      <c r="AW48" s="62"/>
      <c r="AX48" s="62"/>
      <c r="AY48" s="62"/>
      <c r="AZ48" s="88" t="s">
        <v>3</v>
      </c>
      <c r="BA48" s="88"/>
      <c r="BB48" s="88"/>
      <c r="BC48" s="65">
        <f>SUM(COUNTIF(H:L,"OK"))</f>
        <v>1</v>
      </c>
      <c r="BD48" s="62"/>
      <c r="BE48" s="88" t="s">
        <v>3</v>
      </c>
      <c r="BF48" s="88"/>
      <c r="BG48" s="88"/>
      <c r="BH48" s="65">
        <f>SUM(COUNTIF(M:Q,"OK"))</f>
        <v>0</v>
      </c>
      <c r="BI48" s="62"/>
      <c r="BJ48" s="88" t="s">
        <v>3</v>
      </c>
      <c r="BK48" s="88"/>
      <c r="BL48" s="88"/>
      <c r="BM48" s="65">
        <f>SUM(COUNTIF(R:V,"OK"))</f>
        <v>50</v>
      </c>
      <c r="BN48" s="62"/>
      <c r="BO48" s="88" t="s">
        <v>3</v>
      </c>
      <c r="BP48" s="88"/>
      <c r="BQ48" s="88"/>
      <c r="BR48" s="65">
        <f>SUM(COUNTIF(W:X,"OK"))</f>
        <v>69</v>
      </c>
    </row>
    <row r="49" spans="1:70" ht="30" customHeight="1" x14ac:dyDescent="0.35">
      <c r="A49" s="28" t="str">
        <f t="shared" si="19"/>
        <v>PT208 - PROJETO RIO TANQUE (Itabira)
ETAPA DE ESCRITÓRIO
PONTE METÁLICA</v>
      </c>
      <c r="B49" s="55" t="s">
        <v>39</v>
      </c>
      <c r="C49" s="74" t="str">
        <f>IF(AND($B49=[1]marcos!$A46,[1]marcos!$B46=C$4),"ok","nok")</f>
        <v>nok</v>
      </c>
      <c r="D49" s="74" t="str">
        <f>IF(AND($B49=[1]marcos!$A46,[1]marcos!$B46=D$4),"ok","nok")</f>
        <v>nok</v>
      </c>
      <c r="E49" s="74" t="str">
        <f>IF(AND($B49=[1]marcos!$A46,[1]marcos!$B46=E$4),"ok","nok")</f>
        <v>nok</v>
      </c>
      <c r="F49" s="74" t="str">
        <f>IF(AND($B49=[1]marcos!$A46,[1]marcos!$B46=F$4),"ok","nok")</f>
        <v>nok</v>
      </c>
      <c r="G49" s="74" t="str">
        <f>IF(AND($B49=[1]marcos!$A46,[1]marcos!$B46=G$4),"ok","nok")</f>
        <v>nok</v>
      </c>
      <c r="H49" s="74" t="str">
        <f>IF(AND($B49=[1]marcos!$A46,[1]marcos!$B46=H$4),"ok","nok")</f>
        <v>nok</v>
      </c>
      <c r="I49" s="74" t="str">
        <f>IF(AND($B49=[1]marcos!$A46,[1]marcos!$B46=I$4),"ok","nok")</f>
        <v>nok</v>
      </c>
      <c r="J49" s="74" t="str">
        <f>IF(AND($B49=[1]marcos!$A46,[1]marcos!$B46=J$4),"ok","nok")</f>
        <v>nok</v>
      </c>
      <c r="K49" s="74" t="str">
        <f>IF(AND($B49=[1]marcos!$A46,[1]marcos!$B46=K$4),"ok","nok")</f>
        <v>nok</v>
      </c>
      <c r="L49" s="74" t="str">
        <f>IF(AND($B49=[1]marcos!$A46,[1]marcos!$B46=L$4),"ok","nok")</f>
        <v>nok</v>
      </c>
      <c r="M49" s="74" t="str">
        <f>IF(AND($B49=[1]marcos!$A46,[1]marcos!$B46=M$4),"ok","nok")</f>
        <v>nok</v>
      </c>
      <c r="N49" s="74" t="str">
        <f>IF(AND($B49=[1]marcos!$A46,[1]marcos!$B46=N$4),"ok","nok")</f>
        <v>nok</v>
      </c>
      <c r="O49" s="74" t="str">
        <f>IF(AND($B49=[1]marcos!$A46,[1]marcos!$B46=O$4),"ok","nok")</f>
        <v>nok</v>
      </c>
      <c r="P49" s="74" t="str">
        <f>IF(AND($B49=[1]marcos!$A46,[1]marcos!$B46=P$4),"ok","nok")</f>
        <v>nok</v>
      </c>
      <c r="Q49" s="74" t="str">
        <f>IF(AND($B49=[1]marcos!$A46,[1]marcos!$B46=Q$4),"ok","nok")</f>
        <v>nok</v>
      </c>
      <c r="R49" s="74" t="str">
        <f>IF(AND($B49=[1]marcos!$A46,[1]marcos!$B46=R$4),"ok","nok")</f>
        <v>nok</v>
      </c>
      <c r="S49" s="74" t="str">
        <f>IF(AND($B49=[1]marcos!$A46,[1]marcos!$B46=S$4),"ok","nok")</f>
        <v>nok</v>
      </c>
      <c r="T49" s="74" t="str">
        <f>IF(AND($B49=[1]marcos!$A46,[1]marcos!$B46=T$4),"ok","nok")</f>
        <v>nok</v>
      </c>
      <c r="U49" s="74" t="str">
        <f>IF(AND($B49=[1]marcos!$A46,[1]marcos!$B46=U$4),"ok","nok")</f>
        <v>nok</v>
      </c>
      <c r="V49" s="74" t="str">
        <f>IF(AND($B49=[1]marcos!$A46,[1]marcos!$B46=V$4),"ok","nok")</f>
        <v>nok</v>
      </c>
      <c r="W49" s="74" t="str">
        <f>IF(AND($B49=[1]marcos!$A46,[1]marcos!$B46=W$4),"ok","nok")</f>
        <v>ok</v>
      </c>
      <c r="X49" s="74" t="str">
        <f>IF(AND($B49=[1]marcos!$A46,[1]marcos!$B46=X$4),"ok","nok")</f>
        <v>nok</v>
      </c>
      <c r="Y49" s="96" t="s">
        <v>16</v>
      </c>
      <c r="Z49" s="97"/>
      <c r="AA49" s="97"/>
      <c r="AB49" s="98"/>
      <c r="AC49" s="55"/>
      <c r="AD49" s="55"/>
      <c r="AE49" s="63" t="str">
        <f t="shared" si="4"/>
        <v/>
      </c>
      <c r="AF49" s="63"/>
      <c r="AG49" s="63"/>
      <c r="AH49" s="63"/>
      <c r="AI49" s="64">
        <f t="shared" si="5"/>
        <v>0</v>
      </c>
      <c r="AJ49" s="64" t="str">
        <f t="shared" si="6"/>
        <v/>
      </c>
      <c r="AK49" s="64">
        <f t="shared" si="7"/>
        <v>0</v>
      </c>
      <c r="AL49" s="64" t="str">
        <f t="shared" si="8"/>
        <v/>
      </c>
      <c r="AM49" s="64">
        <f t="shared" si="9"/>
        <v>0</v>
      </c>
      <c r="AN49" s="64" t="str">
        <f t="shared" si="10"/>
        <v/>
      </c>
      <c r="AO49" s="64">
        <f t="shared" si="11"/>
        <v>0</v>
      </c>
      <c r="AP49" s="64" t="str">
        <f t="shared" si="12"/>
        <v/>
      </c>
      <c r="AQ49" s="64">
        <f t="shared" si="13"/>
        <v>1</v>
      </c>
      <c r="AR49" s="64" t="str">
        <f t="shared" si="14"/>
        <v/>
      </c>
      <c r="AU49" s="62"/>
      <c r="AV49" s="62"/>
      <c r="AW49" s="62"/>
      <c r="AX49" s="62"/>
      <c r="AY49" s="62"/>
      <c r="AZ49" s="88" t="s">
        <v>4</v>
      </c>
      <c r="BA49" s="88"/>
      <c r="BB49" s="88"/>
      <c r="BC49" s="66">
        <f>BC47/BC48</f>
        <v>1</v>
      </c>
      <c r="BD49" s="62"/>
      <c r="BE49" s="88" t="s">
        <v>4</v>
      </c>
      <c r="BF49" s="88"/>
      <c r="BG49" s="88"/>
      <c r="BH49" s="66" t="e">
        <f>BH47/BH48</f>
        <v>#DIV/0!</v>
      </c>
      <c r="BI49" s="62"/>
      <c r="BJ49" s="88" t="s">
        <v>4</v>
      </c>
      <c r="BK49" s="88"/>
      <c r="BL49" s="88"/>
      <c r="BM49" s="66">
        <f>BM47/BM48</f>
        <v>0</v>
      </c>
      <c r="BN49" s="62"/>
      <c r="BO49" s="88" t="s">
        <v>4</v>
      </c>
      <c r="BP49" s="88"/>
      <c r="BQ49" s="88"/>
      <c r="BR49" s="66">
        <f>BR47/BR48</f>
        <v>0</v>
      </c>
    </row>
    <row r="50" spans="1:70" ht="30" customHeight="1" x14ac:dyDescent="0.35">
      <c r="A50" s="28"/>
      <c r="B50" s="56" t="s">
        <v>52</v>
      </c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105"/>
      <c r="Z50" s="106"/>
      <c r="AA50" s="106"/>
      <c r="AB50" s="107"/>
      <c r="AC50" s="55"/>
      <c r="AD50" s="55"/>
      <c r="AE50" s="63" t="str">
        <f t="shared" si="4"/>
        <v/>
      </c>
      <c r="AF50" s="63"/>
      <c r="AG50" s="63"/>
      <c r="AH50" s="63"/>
      <c r="AI50" s="64">
        <f t="shared" si="5"/>
        <v>0</v>
      </c>
      <c r="AJ50" s="64" t="str">
        <f t="shared" si="6"/>
        <v/>
      </c>
      <c r="AK50" s="64">
        <f t="shared" si="7"/>
        <v>0</v>
      </c>
      <c r="AL50" s="64" t="str">
        <f t="shared" si="8"/>
        <v/>
      </c>
      <c r="AM50" s="64">
        <f t="shared" si="9"/>
        <v>0</v>
      </c>
      <c r="AN50" s="64" t="str">
        <f t="shared" si="10"/>
        <v/>
      </c>
      <c r="AO50" s="64">
        <f t="shared" si="11"/>
        <v>0</v>
      </c>
      <c r="AP50" s="64" t="str">
        <f t="shared" si="12"/>
        <v/>
      </c>
      <c r="AQ50" s="64">
        <f t="shared" si="13"/>
        <v>0</v>
      </c>
      <c r="AR50" s="64" t="str">
        <f t="shared" si="14"/>
        <v/>
      </c>
      <c r="AU50" s="4"/>
    </row>
    <row r="51" spans="1:70" ht="30" customHeight="1" x14ac:dyDescent="0.35">
      <c r="A51" s="28"/>
      <c r="B51" s="54" t="s">
        <v>46</v>
      </c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114"/>
      <c r="Z51" s="115"/>
      <c r="AA51" s="115"/>
      <c r="AB51" s="116"/>
      <c r="AC51" s="55"/>
      <c r="AD51" s="55"/>
      <c r="AE51" s="63" t="str">
        <f t="shared" si="4"/>
        <v/>
      </c>
      <c r="AF51" s="63"/>
      <c r="AG51" s="63"/>
      <c r="AH51" s="63"/>
      <c r="AI51" s="64">
        <f t="shared" si="5"/>
        <v>0</v>
      </c>
      <c r="AJ51" s="64" t="str">
        <f t="shared" si="6"/>
        <v/>
      </c>
      <c r="AK51" s="64">
        <f t="shared" si="7"/>
        <v>0</v>
      </c>
      <c r="AL51" s="64" t="str">
        <f t="shared" si="8"/>
        <v/>
      </c>
      <c r="AM51" s="64">
        <f t="shared" si="9"/>
        <v>0</v>
      </c>
      <c r="AN51" s="64" t="str">
        <f t="shared" si="10"/>
        <v/>
      </c>
      <c r="AO51" s="64">
        <f t="shared" si="11"/>
        <v>0</v>
      </c>
      <c r="AP51" s="64" t="str">
        <f t="shared" si="12"/>
        <v/>
      </c>
      <c r="AQ51" s="64">
        <f t="shared" si="13"/>
        <v>0</v>
      </c>
      <c r="AR51" s="64" t="str">
        <f t="shared" si="14"/>
        <v/>
      </c>
      <c r="AU51" s="4"/>
      <c r="BJ51" s="65">
        <f>SUM(COUNTIF(Y:AB,"VAZIO"))</f>
        <v>68</v>
      </c>
      <c r="BK51" s="89" t="s">
        <v>16</v>
      </c>
      <c r="BL51" s="90"/>
      <c r="BM51" s="91"/>
      <c r="BN51" s="70">
        <f>BJ51/BJ55</f>
        <v>0.55284552845528456</v>
      </c>
    </row>
    <row r="52" spans="1:70" ht="30" customHeight="1" x14ac:dyDescent="0.35">
      <c r="A52" s="28"/>
      <c r="B52" s="55" t="s">
        <v>38</v>
      </c>
      <c r="C52" s="74" t="str">
        <f>IF(AND($B52=[1]marcos!$A49,[1]marcos!$B49=C$4),"ok","nok")</f>
        <v>nok</v>
      </c>
      <c r="D52" s="83"/>
      <c r="E52" s="74" t="str">
        <f>IF(AND($B52=[1]marcos!$A49,[1]marcos!$B49=E$4),"ok","nok")</f>
        <v>nok</v>
      </c>
      <c r="F52" s="74" t="str">
        <f>IF(AND($B52=[1]marcos!$A49,[1]marcos!$B49=F$4),"ok","nok")</f>
        <v>nok</v>
      </c>
      <c r="G52" s="74" t="str">
        <f>IF(AND($B52=[1]marcos!$A49,[1]marcos!$B49=G$4),"ok","nok")</f>
        <v>nok</v>
      </c>
      <c r="H52" s="74" t="str">
        <f>IF(AND($B52=[1]marcos!$A49,[1]marcos!$B49=H$4),"ok","nok")</f>
        <v>nok</v>
      </c>
      <c r="I52" s="74" t="str">
        <f>IF(AND($B52=[1]marcos!$A49,[1]marcos!$B49=I$4),"ok","nok")</f>
        <v>nok</v>
      </c>
      <c r="J52" s="74" t="str">
        <f>IF(AND($B52=[1]marcos!$A49,[1]marcos!$B49=J$4),"ok","nok")</f>
        <v>nok</v>
      </c>
      <c r="K52" s="74" t="str">
        <f>IF(AND($B52=[1]marcos!$A49,[1]marcos!$B49=K$4),"ok","nok")</f>
        <v>nok</v>
      </c>
      <c r="L52" s="74" t="str">
        <f>IF(AND($B52=[1]marcos!$A49,[1]marcos!$B49=L$4),"ok","nok")</f>
        <v>nok</v>
      </c>
      <c r="M52" s="74" t="str">
        <f>IF(AND($B52=[1]marcos!$A49,[1]marcos!$B49=M$4),"ok","nok")</f>
        <v>nok</v>
      </c>
      <c r="N52" s="74" t="str">
        <f>IF(AND($B52=[1]marcos!$A49,[1]marcos!$B49=N$4),"ok","nok")</f>
        <v>nok</v>
      </c>
      <c r="O52" s="74" t="str">
        <f>IF(AND($B52=[1]marcos!$A49,[1]marcos!$B49=O$4),"ok","nok")</f>
        <v>nok</v>
      </c>
      <c r="P52" s="74" t="str">
        <f>IF(AND($B52=[1]marcos!$A49,[1]marcos!$B49=P$4),"ok","nok")</f>
        <v>nok</v>
      </c>
      <c r="Q52" s="74" t="str">
        <f>IF(AND($B52=[1]marcos!$A49,[1]marcos!$B49=Q$4),"ok","nok")</f>
        <v>nok</v>
      </c>
      <c r="R52" s="74" t="str">
        <f>IF(AND($B52=[1]marcos!$A49,[1]marcos!$B49=R$4),"ok","nok")</f>
        <v>nok</v>
      </c>
      <c r="S52" s="74" t="str">
        <f>IF(AND($B52=[1]marcos!$A49,[1]marcos!$B49=S$4),"ok","nok")</f>
        <v>nok</v>
      </c>
      <c r="T52" s="74" t="str">
        <f>IF(AND($B52=[1]marcos!$A49,[1]marcos!$B49=T$4),"ok","nok")</f>
        <v>nok</v>
      </c>
      <c r="U52" s="74" t="str">
        <f>IF(AND($B52=[1]marcos!$A49,[1]marcos!$B49=U$4),"ok","nok")</f>
        <v>nok</v>
      </c>
      <c r="V52" s="74" t="str">
        <f>IF(AND($B52=[1]marcos!$A49,[1]marcos!$B49=V$4),"ok","nok")</f>
        <v>ok</v>
      </c>
      <c r="W52" s="74" t="str">
        <f>IF(AND($B52=[1]marcos!$A49,[1]marcos!$B49=W$4),"ok","nok")</f>
        <v>nok</v>
      </c>
      <c r="X52" s="74" t="str">
        <f>IF(AND($B52=[1]marcos!$A49,[1]marcos!$B49=X$4),"ok","nok")</f>
        <v>nok</v>
      </c>
      <c r="Y52" s="96" t="s">
        <v>32</v>
      </c>
      <c r="Z52" s="97"/>
      <c r="AA52" s="97"/>
      <c r="AB52" s="98"/>
      <c r="AC52" s="55"/>
      <c r="AD52" s="55"/>
      <c r="AE52" s="63" t="str">
        <f t="shared" si="4"/>
        <v>Certificação do documento - Vibracon</v>
      </c>
      <c r="AF52" s="63" t="s">
        <v>85</v>
      </c>
      <c r="AG52" s="82">
        <v>45210</v>
      </c>
      <c r="AH52" s="63" t="s">
        <v>86</v>
      </c>
      <c r="AI52" s="64">
        <f t="shared" si="5"/>
        <v>0</v>
      </c>
      <c r="AJ52" s="64" t="str">
        <f t="shared" si="6"/>
        <v/>
      </c>
      <c r="AK52" s="64">
        <f t="shared" si="7"/>
        <v>0</v>
      </c>
      <c r="AL52" s="64" t="str">
        <f t="shared" si="8"/>
        <v/>
      </c>
      <c r="AM52" s="64">
        <f t="shared" si="9"/>
        <v>0</v>
      </c>
      <c r="AN52" s="64" t="str">
        <f t="shared" si="10"/>
        <v/>
      </c>
      <c r="AO52" s="64">
        <f t="shared" si="11"/>
        <v>1</v>
      </c>
      <c r="AP52" s="64" t="str">
        <f t="shared" si="12"/>
        <v/>
      </c>
      <c r="AQ52" s="64">
        <f t="shared" si="13"/>
        <v>0</v>
      </c>
      <c r="AR52" s="64" t="str">
        <f t="shared" si="14"/>
        <v/>
      </c>
      <c r="AU52" s="4"/>
      <c r="BJ52" s="65">
        <f>BK57+BK58</f>
        <v>2</v>
      </c>
      <c r="BK52" s="89" t="s">
        <v>31</v>
      </c>
      <c r="BL52" s="90"/>
      <c r="BM52" s="91"/>
      <c r="BN52" s="70">
        <f>BJ52/BJ55</f>
        <v>1.6260162601626018E-2</v>
      </c>
    </row>
    <row r="53" spans="1:70" ht="30" customHeight="1" x14ac:dyDescent="0.35">
      <c r="A53" s="28"/>
      <c r="B53" s="55" t="s">
        <v>39</v>
      </c>
      <c r="C53" s="74" t="str">
        <f>IF(AND($B53=[1]marcos!$A50,[1]marcos!$B50=C$4),"ok","nok")</f>
        <v>nok</v>
      </c>
      <c r="D53" s="83"/>
      <c r="E53" s="74" t="str">
        <f>IF(AND($B53=[1]marcos!$A50,[1]marcos!$B50=E$4),"ok","nok")</f>
        <v>nok</v>
      </c>
      <c r="F53" s="74" t="str">
        <f>IF(AND($B53=[1]marcos!$A50,[1]marcos!$B50=F$4),"ok","nok")</f>
        <v>nok</v>
      </c>
      <c r="G53" s="74" t="str">
        <f>IF(AND($B53=[1]marcos!$A50,[1]marcos!$B50=G$4),"ok","nok")</f>
        <v>nok</v>
      </c>
      <c r="H53" s="74" t="str">
        <f>IF(AND($B53=[1]marcos!$A50,[1]marcos!$B50=H$4),"ok","nok")</f>
        <v>nok</v>
      </c>
      <c r="I53" s="74" t="str">
        <f>IF(AND($B53=[1]marcos!$A50,[1]marcos!$B50=I$4),"ok","nok")</f>
        <v>nok</v>
      </c>
      <c r="J53" s="74" t="str">
        <f>IF(AND($B53=[1]marcos!$A50,[1]marcos!$B50=J$4),"ok","nok")</f>
        <v>nok</v>
      </c>
      <c r="K53" s="74" t="str">
        <f>IF(AND($B53=[1]marcos!$A50,[1]marcos!$B50=K$4),"ok","nok")</f>
        <v>nok</v>
      </c>
      <c r="L53" s="74" t="str">
        <f>IF(AND($B53=[1]marcos!$A50,[1]marcos!$B50=L$4),"ok","nok")</f>
        <v>nok</v>
      </c>
      <c r="M53" s="74" t="str">
        <f>IF(AND($B53=[1]marcos!$A50,[1]marcos!$B50=M$4),"ok","nok")</f>
        <v>nok</v>
      </c>
      <c r="N53" s="74" t="str">
        <f>IF(AND($B53=[1]marcos!$A50,[1]marcos!$B50=N$4),"ok","nok")</f>
        <v>nok</v>
      </c>
      <c r="O53" s="74" t="str">
        <f>IF(AND($B53=[1]marcos!$A50,[1]marcos!$B50=O$4),"ok","nok")</f>
        <v>nok</v>
      </c>
      <c r="P53" s="74" t="str">
        <f>IF(AND($B53=[1]marcos!$A50,[1]marcos!$B50=P$4),"ok","nok")</f>
        <v>nok</v>
      </c>
      <c r="Q53" s="74" t="str">
        <f>IF(AND($B53=[1]marcos!$A50,[1]marcos!$B50=Q$4),"ok","nok")</f>
        <v>nok</v>
      </c>
      <c r="R53" s="74" t="str">
        <f>IF(AND($B53=[1]marcos!$A50,[1]marcos!$B50=R$4),"ok","nok")</f>
        <v>nok</v>
      </c>
      <c r="S53" s="74" t="str">
        <f>IF(AND($B53=[1]marcos!$A50,[1]marcos!$B50=S$4),"ok","nok")</f>
        <v>nok</v>
      </c>
      <c r="T53" s="74" t="str">
        <f>IF(AND($B53=[1]marcos!$A50,[1]marcos!$B50=T$4),"ok","nok")</f>
        <v>nok</v>
      </c>
      <c r="U53" s="74" t="str">
        <f>IF(AND($B53=[1]marcos!$A50,[1]marcos!$B50=U$4),"ok","nok")</f>
        <v>nok</v>
      </c>
      <c r="V53" s="74" t="str">
        <f>IF(AND($B53=[1]marcos!$A50,[1]marcos!$B50=V$4),"ok","nok")</f>
        <v>ok</v>
      </c>
      <c r="W53" s="74" t="str">
        <f>IF(AND($B53=[1]marcos!$A50,[1]marcos!$B50=W$4),"ok","nok")</f>
        <v>nok</v>
      </c>
      <c r="X53" s="74" t="str">
        <f>IF(AND($B53=[1]marcos!$A50,[1]marcos!$B50=X$4),"ok","nok")</f>
        <v>nok</v>
      </c>
      <c r="Y53" s="96" t="s">
        <v>32</v>
      </c>
      <c r="Z53" s="97"/>
      <c r="AA53" s="97"/>
      <c r="AB53" s="98"/>
      <c r="AC53" s="55"/>
      <c r="AD53" s="55"/>
      <c r="AE53" s="63" t="str">
        <f t="shared" si="4"/>
        <v>MARCO - Envio do documento Certificado (Rev_0)</v>
      </c>
      <c r="AF53" s="63"/>
      <c r="AG53" s="63"/>
      <c r="AH53" s="63"/>
      <c r="AI53" s="64">
        <f t="shared" si="5"/>
        <v>0</v>
      </c>
      <c r="AJ53" s="64" t="str">
        <f t="shared" si="6"/>
        <v/>
      </c>
      <c r="AK53" s="64">
        <f t="shared" si="7"/>
        <v>0</v>
      </c>
      <c r="AL53" s="64" t="str">
        <f t="shared" si="8"/>
        <v/>
      </c>
      <c r="AM53" s="64">
        <f t="shared" si="9"/>
        <v>0</v>
      </c>
      <c r="AN53" s="64" t="str">
        <f t="shared" si="10"/>
        <v/>
      </c>
      <c r="AO53" s="64">
        <f t="shared" si="11"/>
        <v>1</v>
      </c>
      <c r="AP53" s="64" t="str">
        <f t="shared" si="12"/>
        <v/>
      </c>
      <c r="AQ53" s="64">
        <f t="shared" si="13"/>
        <v>0</v>
      </c>
      <c r="AR53" s="64" t="str">
        <f t="shared" si="14"/>
        <v/>
      </c>
      <c r="AU53" s="4"/>
      <c r="BJ53" s="65">
        <f>SUM(COUNTIF(Y:AB,"ATRASADO"))</f>
        <v>53</v>
      </c>
      <c r="BK53" s="89" t="s">
        <v>32</v>
      </c>
      <c r="BL53" s="90"/>
      <c r="BM53" s="91"/>
      <c r="BN53" s="70">
        <f>BJ53/BJ55</f>
        <v>0.43089430894308944</v>
      </c>
    </row>
    <row r="54" spans="1:70" ht="30" customHeight="1" x14ac:dyDescent="0.35">
      <c r="A54" s="28"/>
      <c r="B54" s="54" t="s">
        <v>47</v>
      </c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114"/>
      <c r="Z54" s="115"/>
      <c r="AA54" s="115"/>
      <c r="AB54" s="116"/>
      <c r="AC54" s="55"/>
      <c r="AD54" s="55"/>
      <c r="AE54" s="63" t="str">
        <f t="shared" si="4"/>
        <v/>
      </c>
      <c r="AF54" s="63"/>
      <c r="AG54" s="63"/>
      <c r="AH54" s="63"/>
      <c r="AI54" s="64">
        <f t="shared" si="5"/>
        <v>0</v>
      </c>
      <c r="AJ54" s="64" t="str">
        <f t="shared" si="6"/>
        <v/>
      </c>
      <c r="AK54" s="64">
        <f t="shared" si="7"/>
        <v>0</v>
      </c>
      <c r="AL54" s="64" t="str">
        <f t="shared" si="8"/>
        <v/>
      </c>
      <c r="AM54" s="64">
        <f t="shared" si="9"/>
        <v>0</v>
      </c>
      <c r="AN54" s="64" t="str">
        <f t="shared" si="10"/>
        <v/>
      </c>
      <c r="AO54" s="64">
        <f t="shared" si="11"/>
        <v>0</v>
      </c>
      <c r="AP54" s="64" t="str">
        <f t="shared" si="12"/>
        <v/>
      </c>
      <c r="AQ54" s="64">
        <f t="shared" si="13"/>
        <v>0</v>
      </c>
      <c r="AR54" s="64" t="str">
        <f t="shared" si="14"/>
        <v/>
      </c>
      <c r="AU54" s="4"/>
      <c r="BJ54" s="65">
        <f>SUM(COUNTIF(Y:AB,"RISCO"))</f>
        <v>0</v>
      </c>
      <c r="BK54" s="89" t="s">
        <v>33</v>
      </c>
      <c r="BL54" s="90"/>
      <c r="BM54" s="91"/>
      <c r="BN54" s="70">
        <f>BJ54/BJ55</f>
        <v>0</v>
      </c>
    </row>
    <row r="55" spans="1:70" ht="30" customHeight="1" x14ac:dyDescent="0.35">
      <c r="A55" s="28"/>
      <c r="B55" s="55" t="s">
        <v>38</v>
      </c>
      <c r="C55" s="74" t="str">
        <f>IF(AND($B55=[1]marcos!$A52,[1]marcos!$B52=C$4),"ok","nok")</f>
        <v>nok</v>
      </c>
      <c r="D55" s="83"/>
      <c r="E55" s="74" t="str">
        <f>IF(AND($B55=[1]marcos!$A52,[1]marcos!$B52=E$4),"ok","nok")</f>
        <v>nok</v>
      </c>
      <c r="F55" s="74" t="str">
        <f>IF(AND($B55=[1]marcos!$A52,[1]marcos!$B52=F$4),"ok","nok")</f>
        <v>nok</v>
      </c>
      <c r="G55" s="74" t="str">
        <f>IF(AND($B55=[1]marcos!$A52,[1]marcos!$B52=G$4),"ok","nok")</f>
        <v>nok</v>
      </c>
      <c r="H55" s="74" t="str">
        <f>IF(AND($B55=[1]marcos!$A52,[1]marcos!$B52=H$4),"ok","nok")</f>
        <v>nok</v>
      </c>
      <c r="I55" s="74" t="str">
        <f>IF(AND($B55=[1]marcos!$A52,[1]marcos!$B52=I$4),"ok","nok")</f>
        <v>nok</v>
      </c>
      <c r="J55" s="74" t="str">
        <f>IF(AND($B55=[1]marcos!$A52,[1]marcos!$B52=J$4),"ok","nok")</f>
        <v>nok</v>
      </c>
      <c r="K55" s="74" t="str">
        <f>IF(AND($B55=[1]marcos!$A52,[1]marcos!$B52=K$4),"ok","nok")</f>
        <v>nok</v>
      </c>
      <c r="L55" s="74" t="str">
        <f>IF(AND($B55=[1]marcos!$A52,[1]marcos!$B52=L$4),"ok","nok")</f>
        <v>nok</v>
      </c>
      <c r="M55" s="74" t="str">
        <f>IF(AND($B55=[1]marcos!$A52,[1]marcos!$B52=M$4),"ok","nok")</f>
        <v>nok</v>
      </c>
      <c r="N55" s="74" t="str">
        <f>IF(AND($B55=[1]marcos!$A52,[1]marcos!$B52=N$4),"ok","nok")</f>
        <v>nok</v>
      </c>
      <c r="O55" s="74" t="str">
        <f>IF(AND($B55=[1]marcos!$A52,[1]marcos!$B52=O$4),"ok","nok")</f>
        <v>nok</v>
      </c>
      <c r="P55" s="74" t="str">
        <f>IF(AND($B55=[1]marcos!$A52,[1]marcos!$B52=P$4),"ok","nok")</f>
        <v>nok</v>
      </c>
      <c r="Q55" s="74" t="str">
        <f>IF(AND($B55=[1]marcos!$A52,[1]marcos!$B52=Q$4),"ok","nok")</f>
        <v>nok</v>
      </c>
      <c r="R55" s="74" t="str">
        <f>IF(AND($B55=[1]marcos!$A52,[1]marcos!$B52=R$4),"ok","nok")</f>
        <v>nok</v>
      </c>
      <c r="S55" s="74" t="str">
        <f>IF(AND($B55=[1]marcos!$A52,[1]marcos!$B52=S$4),"ok","nok")</f>
        <v>nok</v>
      </c>
      <c r="T55" s="74" t="str">
        <f>IF(AND($B55=[1]marcos!$A52,[1]marcos!$B52=T$4),"ok","nok")</f>
        <v>nok</v>
      </c>
      <c r="U55" s="74" t="str">
        <f>IF(AND($B55=[1]marcos!$A52,[1]marcos!$B52=U$4),"ok","nok")</f>
        <v>nok</v>
      </c>
      <c r="V55" s="74" t="str">
        <f>IF(AND($B55=[1]marcos!$A52,[1]marcos!$B52=V$4),"ok","nok")</f>
        <v>ok</v>
      </c>
      <c r="W55" s="74" t="str">
        <f>IF(AND($B55=[1]marcos!$A52,[1]marcos!$B52=W$4),"ok","nok")</f>
        <v>nok</v>
      </c>
      <c r="X55" s="74" t="str">
        <f>IF(AND($B55=[1]marcos!$A52,[1]marcos!$B52=X$4),"ok","nok")</f>
        <v>nok</v>
      </c>
      <c r="Y55" s="96" t="s">
        <v>32</v>
      </c>
      <c r="Z55" s="97"/>
      <c r="AA55" s="97"/>
      <c r="AB55" s="98"/>
      <c r="AC55" s="55"/>
      <c r="AD55" s="55"/>
      <c r="AE55" s="63" t="str">
        <f t="shared" si="4"/>
        <v>Certificação do documento - Vibracon</v>
      </c>
      <c r="AF55" s="63"/>
      <c r="AG55" s="63"/>
      <c r="AH55" s="63"/>
      <c r="AI55" s="64">
        <f t="shared" si="5"/>
        <v>0</v>
      </c>
      <c r="AJ55" s="64" t="str">
        <f t="shared" si="6"/>
        <v/>
      </c>
      <c r="AK55" s="64">
        <f t="shared" si="7"/>
        <v>0</v>
      </c>
      <c r="AL55" s="64" t="str">
        <f t="shared" si="8"/>
        <v/>
      </c>
      <c r="AM55" s="64">
        <f t="shared" si="9"/>
        <v>0</v>
      </c>
      <c r="AN55" s="64" t="str">
        <f t="shared" si="10"/>
        <v/>
      </c>
      <c r="AO55" s="64">
        <f t="shared" si="11"/>
        <v>1</v>
      </c>
      <c r="AP55" s="64" t="str">
        <f t="shared" si="12"/>
        <v/>
      </c>
      <c r="AQ55" s="64">
        <f t="shared" si="13"/>
        <v>0</v>
      </c>
      <c r="AR55" s="64" t="str">
        <f t="shared" si="14"/>
        <v/>
      </c>
      <c r="AU55" s="4"/>
      <c r="BJ55" s="71">
        <f>SUM(BJ51:BJ54)</f>
        <v>123</v>
      </c>
      <c r="BK55" s="89" t="s">
        <v>3</v>
      </c>
      <c r="BL55" s="90"/>
      <c r="BM55" s="91"/>
      <c r="BN55" s="72">
        <f>SUM(BN51:BN54)</f>
        <v>1</v>
      </c>
    </row>
    <row r="56" spans="1:70" ht="30" customHeight="1" x14ac:dyDescent="0.35">
      <c r="A56" s="28"/>
      <c r="B56" s="55" t="s">
        <v>39</v>
      </c>
      <c r="C56" s="74" t="str">
        <f>IF(AND($B56=[1]marcos!$A53,[1]marcos!$B53=C$4),"ok","nok")</f>
        <v>nok</v>
      </c>
      <c r="D56" s="83"/>
      <c r="E56" s="74" t="str">
        <f>IF(AND($B56=[1]marcos!$A53,[1]marcos!$B53=E$4),"ok","nok")</f>
        <v>nok</v>
      </c>
      <c r="F56" s="74" t="str">
        <f>IF(AND($B56=[1]marcos!$A53,[1]marcos!$B53=F$4),"ok","nok")</f>
        <v>nok</v>
      </c>
      <c r="G56" s="74" t="str">
        <f>IF(AND($B56=[1]marcos!$A53,[1]marcos!$B53=G$4),"ok","nok")</f>
        <v>nok</v>
      </c>
      <c r="H56" s="74" t="str">
        <f>IF(AND($B56=[1]marcos!$A53,[1]marcos!$B53=H$4),"ok","nok")</f>
        <v>nok</v>
      </c>
      <c r="I56" s="74" t="str">
        <f>IF(AND($B56=[1]marcos!$A53,[1]marcos!$B53=I$4),"ok","nok")</f>
        <v>nok</v>
      </c>
      <c r="J56" s="74" t="str">
        <f>IF(AND($B56=[1]marcos!$A53,[1]marcos!$B53=J$4),"ok","nok")</f>
        <v>nok</v>
      </c>
      <c r="K56" s="74" t="str">
        <f>IF(AND($B56=[1]marcos!$A53,[1]marcos!$B53=K$4),"ok","nok")</f>
        <v>nok</v>
      </c>
      <c r="L56" s="74" t="str">
        <f>IF(AND($B56=[1]marcos!$A53,[1]marcos!$B53=L$4),"ok","nok")</f>
        <v>nok</v>
      </c>
      <c r="M56" s="74" t="str">
        <f>IF(AND($B56=[1]marcos!$A53,[1]marcos!$B53=M$4),"ok","nok")</f>
        <v>nok</v>
      </c>
      <c r="N56" s="74" t="str">
        <f>IF(AND($B56=[1]marcos!$A53,[1]marcos!$B53=N$4),"ok","nok")</f>
        <v>nok</v>
      </c>
      <c r="O56" s="74" t="str">
        <f>IF(AND($B56=[1]marcos!$A53,[1]marcos!$B53=O$4),"ok","nok")</f>
        <v>nok</v>
      </c>
      <c r="P56" s="74" t="str">
        <f>IF(AND($B56=[1]marcos!$A53,[1]marcos!$B53=P$4),"ok","nok")</f>
        <v>nok</v>
      </c>
      <c r="Q56" s="74" t="str">
        <f>IF(AND($B56=[1]marcos!$A53,[1]marcos!$B53=Q$4),"ok","nok")</f>
        <v>nok</v>
      </c>
      <c r="R56" s="74" t="str">
        <f>IF(AND($B56=[1]marcos!$A53,[1]marcos!$B53=R$4),"ok","nok")</f>
        <v>nok</v>
      </c>
      <c r="S56" s="74" t="str">
        <f>IF(AND($B56=[1]marcos!$A53,[1]marcos!$B53=S$4),"ok","nok")</f>
        <v>nok</v>
      </c>
      <c r="T56" s="74" t="str">
        <f>IF(AND($B56=[1]marcos!$A53,[1]marcos!$B53=T$4),"ok","nok")</f>
        <v>nok</v>
      </c>
      <c r="U56" s="74" t="str">
        <f>IF(AND($B56=[1]marcos!$A53,[1]marcos!$B53=U$4),"ok","nok")</f>
        <v>nok</v>
      </c>
      <c r="V56" s="74" t="str">
        <f>IF(AND($B56=[1]marcos!$A53,[1]marcos!$B53=V$4),"ok","nok")</f>
        <v>ok</v>
      </c>
      <c r="W56" s="74" t="str">
        <f>IF(AND($B56=[1]marcos!$A53,[1]marcos!$B53=W$4),"ok","nok")</f>
        <v>nok</v>
      </c>
      <c r="X56" s="74" t="str">
        <f>IF(AND($B56=[1]marcos!$A53,[1]marcos!$B53=X$4),"ok","nok")</f>
        <v>nok</v>
      </c>
      <c r="Y56" s="96" t="s">
        <v>32</v>
      </c>
      <c r="Z56" s="97"/>
      <c r="AA56" s="97"/>
      <c r="AB56" s="98"/>
      <c r="AC56" s="55"/>
      <c r="AD56" s="55"/>
      <c r="AE56" s="63" t="str">
        <f t="shared" si="4"/>
        <v>MARCO - Envio do documento Certificado (Rev_0)</v>
      </c>
      <c r="AF56" s="63"/>
      <c r="AG56" s="63"/>
      <c r="AH56" s="63"/>
      <c r="AI56" s="64">
        <f t="shared" si="5"/>
        <v>0</v>
      </c>
      <c r="AJ56" s="64" t="str">
        <f t="shared" si="6"/>
        <v/>
      </c>
      <c r="AK56" s="64">
        <f t="shared" si="7"/>
        <v>0</v>
      </c>
      <c r="AL56" s="64" t="str">
        <f t="shared" si="8"/>
        <v/>
      </c>
      <c r="AM56" s="64">
        <f t="shared" si="9"/>
        <v>0</v>
      </c>
      <c r="AN56" s="64" t="str">
        <f t="shared" si="10"/>
        <v/>
      </c>
      <c r="AO56" s="64">
        <f t="shared" si="11"/>
        <v>1</v>
      </c>
      <c r="AP56" s="64" t="str">
        <f t="shared" si="12"/>
        <v/>
      </c>
      <c r="AQ56" s="64">
        <f t="shared" si="13"/>
        <v>0</v>
      </c>
      <c r="AR56" s="64" t="str">
        <f t="shared" si="14"/>
        <v/>
      </c>
      <c r="AU56" s="4"/>
    </row>
    <row r="57" spans="1:70" ht="30" customHeight="1" x14ac:dyDescent="0.35">
      <c r="A57" s="28"/>
      <c r="B57" s="53" t="s">
        <v>48</v>
      </c>
      <c r="C57" s="74" t="str">
        <f>IF(AND($B57=[1]marcos!$A54,[1]marcos!$B54=C$4),"ok","nok")</f>
        <v>nok</v>
      </c>
      <c r="D57" s="74" t="str">
        <f>IF(AND($B57=[1]marcos!$A54,[1]marcos!$B54=D$4),"ok","nok")</f>
        <v>nok</v>
      </c>
      <c r="E57" s="74" t="str">
        <f>IF(AND($B57=[1]marcos!$A54,[1]marcos!$B54=E$4),"ok","nok")</f>
        <v>nok</v>
      </c>
      <c r="F57" s="74" t="str">
        <f>IF(AND($B57=[1]marcos!$A54,[1]marcos!$B54=F$4),"ok","nok")</f>
        <v>nok</v>
      </c>
      <c r="G57" s="83"/>
      <c r="H57" s="74" t="str">
        <f>IF(AND($B57=[1]marcos!$A54,[1]marcos!$B54=H$4),"ok","nok")</f>
        <v>nok</v>
      </c>
      <c r="I57" s="74" t="str">
        <f>IF(AND($B57=[1]marcos!$A54,[1]marcos!$B54=I$4),"ok","nok")</f>
        <v>nok</v>
      </c>
      <c r="J57" s="74" t="str">
        <f>IF(AND($B57=[1]marcos!$A54,[1]marcos!$B54=J$4),"ok","nok")</f>
        <v>nok</v>
      </c>
      <c r="K57" s="74" t="str">
        <f>IF(AND($B57=[1]marcos!$A54,[1]marcos!$B54=K$4),"ok","nok")</f>
        <v>nok</v>
      </c>
      <c r="L57" s="74" t="str">
        <f>IF(AND($B57=[1]marcos!$A54,[1]marcos!$B54=L$4),"ok","nok")</f>
        <v>nok</v>
      </c>
      <c r="M57" s="74" t="str">
        <f>IF(AND($B57=[1]marcos!$A54,[1]marcos!$B54=M$4),"ok","nok")</f>
        <v>nok</v>
      </c>
      <c r="N57" s="74" t="str">
        <f>IF(AND($B57=[1]marcos!$A54,[1]marcos!$B54=N$4),"ok","nok")</f>
        <v>nok</v>
      </c>
      <c r="O57" s="74" t="str">
        <f>IF(AND($B57=[1]marcos!$A54,[1]marcos!$B54=O$4),"ok","nok")</f>
        <v>nok</v>
      </c>
      <c r="P57" s="74" t="str">
        <f>IF(AND($B57=[1]marcos!$A54,[1]marcos!$B54=P$4),"ok","nok")</f>
        <v>nok</v>
      </c>
      <c r="Q57" s="74" t="str">
        <f>IF(AND($B57=[1]marcos!$A54,[1]marcos!$B54=Q$4),"ok","nok")</f>
        <v>nok</v>
      </c>
      <c r="R57" s="74" t="str">
        <f>IF(AND($B57=[1]marcos!$A54,[1]marcos!$B54=R$4),"ok","nok")</f>
        <v>nok</v>
      </c>
      <c r="S57" s="74" t="str">
        <f>IF(AND($B57=[1]marcos!$A54,[1]marcos!$B54=S$4),"ok","nok")</f>
        <v>nok</v>
      </c>
      <c r="T57" s="74" t="str">
        <f>IF(AND($B57=[1]marcos!$A54,[1]marcos!$B54=T$4),"ok","nok")</f>
        <v>nok</v>
      </c>
      <c r="U57" s="74" t="str">
        <f>IF(AND($B57=[1]marcos!$A54,[1]marcos!$B54=U$4),"ok","nok")</f>
        <v>nok</v>
      </c>
      <c r="V57" s="74" t="str">
        <f>IF(AND($B57=[1]marcos!$A54,[1]marcos!$B54=V$4),"ok","nok")</f>
        <v>ok</v>
      </c>
      <c r="W57" s="74" t="str">
        <f>IF(AND($B57=[1]marcos!$A54,[1]marcos!$B54=W$4),"ok","nok")</f>
        <v>nok</v>
      </c>
      <c r="X57" s="74" t="str">
        <f>IF(AND($B57=[1]marcos!$A54,[1]marcos!$B54=X$4),"ok","nok")</f>
        <v>nok</v>
      </c>
      <c r="Y57" s="96" t="s">
        <v>32</v>
      </c>
      <c r="Z57" s="97"/>
      <c r="AA57" s="97"/>
      <c r="AB57" s="98"/>
      <c r="AC57" s="55"/>
      <c r="AD57" s="55"/>
      <c r="AE57" s="63" t="str">
        <f t="shared" si="4"/>
        <v>Modelagem</v>
      </c>
      <c r="AF57" s="63" t="s">
        <v>85</v>
      </c>
      <c r="AG57" s="82">
        <v>45210</v>
      </c>
      <c r="AH57" s="63" t="s">
        <v>87</v>
      </c>
      <c r="AI57" s="64">
        <f t="shared" si="5"/>
        <v>0</v>
      </c>
      <c r="AJ57" s="64" t="str">
        <f t="shared" si="6"/>
        <v/>
      </c>
      <c r="AK57" s="64">
        <f t="shared" si="7"/>
        <v>0</v>
      </c>
      <c r="AL57" s="64" t="str">
        <f t="shared" si="8"/>
        <v/>
      </c>
      <c r="AM57" s="64">
        <f t="shared" si="9"/>
        <v>0</v>
      </c>
      <c r="AN57" s="64" t="str">
        <f t="shared" si="10"/>
        <v/>
      </c>
      <c r="AO57" s="64">
        <f t="shared" si="11"/>
        <v>1</v>
      </c>
      <c r="AP57" s="64" t="str">
        <f t="shared" si="12"/>
        <v/>
      </c>
      <c r="AQ57" s="64">
        <f t="shared" si="13"/>
        <v>0</v>
      </c>
      <c r="AR57" s="64" t="str">
        <f t="shared" si="14"/>
        <v/>
      </c>
      <c r="AU57" s="4"/>
      <c r="BK57" s="65">
        <f>SUM(COUNTIF(Y:AB,"ENTREGUE"))</f>
        <v>2</v>
      </c>
    </row>
    <row r="58" spans="1:70" ht="30" customHeight="1" x14ac:dyDescent="0.35">
      <c r="A58" s="28" t="str">
        <f>CONCATENATE($B$31,"
",$B$32,"
",$B$50)</f>
        <v>PT208 - PROJETO RIO TANQUE (Itabira)
ETAPA DE ESCRITÓRIO
PONTE DE CONCRETO</v>
      </c>
      <c r="B58" s="53" t="s">
        <v>49</v>
      </c>
      <c r="C58" s="74" t="str">
        <f>IF(AND($B58=[1]marcos!$A55,[1]marcos!$B55=C$4),"ok","nok")</f>
        <v>nok</v>
      </c>
      <c r="D58" s="74" t="str">
        <f>IF(AND($B58=[1]marcos!$A55,[1]marcos!$B55=D$4),"ok","nok")</f>
        <v>nok</v>
      </c>
      <c r="E58" s="74" t="str">
        <f>IF(AND($B58=[1]marcos!$A55,[1]marcos!$B55=E$4),"ok","nok")</f>
        <v>nok</v>
      </c>
      <c r="F58" s="74" t="str">
        <f>IF(AND($B58=[1]marcos!$A55,[1]marcos!$B55=F$4),"ok","nok")</f>
        <v>nok</v>
      </c>
      <c r="G58" s="74" t="str">
        <f>IF(AND($B58=[1]marcos!$A55,[1]marcos!$B55=G$4),"ok","nok")</f>
        <v>nok</v>
      </c>
      <c r="H58" s="74" t="str">
        <f>IF(AND($B58=[1]marcos!$A55,[1]marcos!$B55=H$4),"ok","nok")</f>
        <v>nok</v>
      </c>
      <c r="I58" s="83"/>
      <c r="J58" s="74" t="str">
        <f>IF(AND($B58=[1]marcos!$A55,[1]marcos!$B55=J$4),"ok","nok")</f>
        <v>nok</v>
      </c>
      <c r="K58" s="74" t="str">
        <f>IF(AND($B58=[1]marcos!$A55,[1]marcos!$B55=K$4),"ok","nok")</f>
        <v>nok</v>
      </c>
      <c r="L58" s="74" t="str">
        <f>IF(AND($B58=[1]marcos!$A55,[1]marcos!$B55=L$4),"ok","nok")</f>
        <v>nok</v>
      </c>
      <c r="M58" s="74" t="str">
        <f>IF(AND($B58=[1]marcos!$A55,[1]marcos!$B55=M$4),"ok","nok")</f>
        <v>nok</v>
      </c>
      <c r="N58" s="74" t="str">
        <f>IF(AND($B58=[1]marcos!$A55,[1]marcos!$B55=N$4),"ok","nok")</f>
        <v>nok</v>
      </c>
      <c r="O58" s="74" t="str">
        <f>IF(AND($B58=[1]marcos!$A55,[1]marcos!$B55=O$4),"ok","nok")</f>
        <v>nok</v>
      </c>
      <c r="P58" s="74" t="str">
        <f>IF(AND($B58=[1]marcos!$A55,[1]marcos!$B55=P$4),"ok","nok")</f>
        <v>nok</v>
      </c>
      <c r="Q58" s="74" t="str">
        <f>IF(AND($B58=[1]marcos!$A55,[1]marcos!$B55=Q$4),"ok","nok")</f>
        <v>nok</v>
      </c>
      <c r="R58" s="74" t="str">
        <f>IF(AND($B58=[1]marcos!$A55,[1]marcos!$B55=R$4),"ok","nok")</f>
        <v>nok</v>
      </c>
      <c r="S58" s="74" t="str">
        <f>IF(AND($B58=[1]marcos!$A55,[1]marcos!$B55=S$4),"ok","nok")</f>
        <v>nok</v>
      </c>
      <c r="T58" s="74" t="str">
        <f>IF(AND($B58=[1]marcos!$A55,[1]marcos!$B55=T$4),"ok","nok")</f>
        <v>nok</v>
      </c>
      <c r="U58" s="74" t="str">
        <f>IF(AND($B58=[1]marcos!$A55,[1]marcos!$B55=U$4),"ok","nok")</f>
        <v>nok</v>
      </c>
      <c r="V58" s="74" t="str">
        <f>IF(AND($B58=[1]marcos!$A55,[1]marcos!$B55=V$4),"ok","nok")</f>
        <v>nok</v>
      </c>
      <c r="W58" s="74" t="str">
        <f>IF(AND($B58=[1]marcos!$A55,[1]marcos!$B55=W$4),"ok","nok")</f>
        <v>ok</v>
      </c>
      <c r="X58" s="74" t="str">
        <f>IF(AND($B58=[1]marcos!$A55,[1]marcos!$B55=X$4),"ok","nok")</f>
        <v>nok</v>
      </c>
      <c r="Y58" s="96" t="s">
        <v>32</v>
      </c>
      <c r="Z58" s="97"/>
      <c r="AA58" s="97"/>
      <c r="AB58" s="98"/>
      <c r="AC58" s="55"/>
      <c r="AD58" s="55"/>
      <c r="AE58" s="63" t="str">
        <f t="shared" si="4"/>
        <v>Aplicação das cargas e condições de contorno</v>
      </c>
      <c r="AF58" s="63"/>
      <c r="AG58" s="63"/>
      <c r="AH58" s="63"/>
      <c r="AI58" s="64">
        <f t="shared" si="5"/>
        <v>0</v>
      </c>
      <c r="AJ58" s="64" t="str">
        <f t="shared" si="6"/>
        <v/>
      </c>
      <c r="AK58" s="64">
        <f t="shared" si="7"/>
        <v>0</v>
      </c>
      <c r="AL58" s="64" t="str">
        <f t="shared" si="8"/>
        <v/>
      </c>
      <c r="AM58" s="64">
        <f t="shared" si="9"/>
        <v>0</v>
      </c>
      <c r="AN58" s="64" t="str">
        <f t="shared" si="10"/>
        <v/>
      </c>
      <c r="AO58" s="64">
        <f t="shared" si="11"/>
        <v>0</v>
      </c>
      <c r="AP58" s="64" t="str">
        <f t="shared" si="12"/>
        <v/>
      </c>
      <c r="AQ58" s="64">
        <f t="shared" si="13"/>
        <v>1</v>
      </c>
      <c r="AR58" s="64" t="str">
        <f t="shared" si="14"/>
        <v/>
      </c>
      <c r="AU58" s="4"/>
      <c r="BK58" s="65">
        <f>SUM(COUNTIF(Y:AB,"EFPRAZO"))</f>
        <v>0</v>
      </c>
    </row>
    <row r="59" spans="1:70" ht="30" customHeight="1" x14ac:dyDescent="0.35">
      <c r="A59" s="28" t="str">
        <f t="shared" ref="A59:A64" si="20">CONCATENATE($B$31,"
",$B$32,"
",$B$50)</f>
        <v>PT208 - PROJETO RIO TANQUE (Itabira)
ETAPA DE ESCRITÓRIO
PONTE DE CONCRETO</v>
      </c>
      <c r="B59" s="53" t="s">
        <v>50</v>
      </c>
      <c r="C59" s="74" t="str">
        <f>IF(AND($B59=[1]marcos!$A56,[1]marcos!$B56=C$4),"ok","nok")</f>
        <v>nok</v>
      </c>
      <c r="D59" s="74" t="str">
        <f>IF(AND($B59=[1]marcos!$A56,[1]marcos!$B56=D$4),"ok","nok")</f>
        <v>nok</v>
      </c>
      <c r="E59" s="74" t="str">
        <f>IF(AND($B59=[1]marcos!$A56,[1]marcos!$B56=E$4),"ok","nok")</f>
        <v>nok</v>
      </c>
      <c r="F59" s="74" t="str">
        <f>IF(AND($B59=[1]marcos!$A56,[1]marcos!$B56=F$4),"ok","nok")</f>
        <v>nok</v>
      </c>
      <c r="G59" s="74" t="str">
        <f>IF(AND($B59=[1]marcos!$A56,[1]marcos!$B56=G$4),"ok","nok")</f>
        <v>nok</v>
      </c>
      <c r="H59" s="74" t="str">
        <f>IF(AND($B59=[1]marcos!$A56,[1]marcos!$B56=H$4),"ok","nok")</f>
        <v>nok</v>
      </c>
      <c r="I59" s="74" t="str">
        <f>IF(AND($B59=[1]marcos!$A56,[1]marcos!$B56=I$4),"ok","nok")</f>
        <v>nok</v>
      </c>
      <c r="J59" s="74" t="str">
        <f>IF(AND($B59=[1]marcos!$A56,[1]marcos!$B56=J$4),"ok","nok")</f>
        <v>nok</v>
      </c>
      <c r="K59" s="83"/>
      <c r="L59" s="74" t="str">
        <f>IF(AND($B59=[1]marcos!$A56,[1]marcos!$B56=L$4),"ok","nok")</f>
        <v>nok</v>
      </c>
      <c r="M59" s="74" t="str">
        <f>IF(AND($B59=[1]marcos!$A56,[1]marcos!$B56=M$4),"ok","nok")</f>
        <v>nok</v>
      </c>
      <c r="N59" s="74" t="str">
        <f>IF(AND($B59=[1]marcos!$A56,[1]marcos!$B56=N$4),"ok","nok")</f>
        <v>nok</v>
      </c>
      <c r="O59" s="74" t="str">
        <f>IF(AND($B59=[1]marcos!$A56,[1]marcos!$B56=O$4),"ok","nok")</f>
        <v>nok</v>
      </c>
      <c r="P59" s="74" t="str">
        <f>IF(AND($B59=[1]marcos!$A56,[1]marcos!$B56=P$4),"ok","nok")</f>
        <v>nok</v>
      </c>
      <c r="Q59" s="74" t="str">
        <f>IF(AND($B59=[1]marcos!$A56,[1]marcos!$B56=Q$4),"ok","nok")</f>
        <v>nok</v>
      </c>
      <c r="R59" s="74" t="str">
        <f>IF(AND($B59=[1]marcos!$A56,[1]marcos!$B56=R$4),"ok","nok")</f>
        <v>nok</v>
      </c>
      <c r="S59" s="74" t="str">
        <f>IF(AND($B59=[1]marcos!$A56,[1]marcos!$B56=S$4),"ok","nok")</f>
        <v>nok</v>
      </c>
      <c r="T59" s="74" t="str">
        <f>IF(AND($B59=[1]marcos!$A56,[1]marcos!$B56=T$4),"ok","nok")</f>
        <v>nok</v>
      </c>
      <c r="U59" s="74" t="str">
        <f>IF(AND($B59=[1]marcos!$A56,[1]marcos!$B56=U$4),"ok","nok")</f>
        <v>nok</v>
      </c>
      <c r="V59" s="74" t="str">
        <f>IF(AND($B59=[1]marcos!$A56,[1]marcos!$B56=V$4),"ok","nok")</f>
        <v>nok</v>
      </c>
      <c r="W59" s="74" t="str">
        <f>IF(AND($B59=[1]marcos!$A56,[1]marcos!$B56=W$4),"ok","nok")</f>
        <v>ok</v>
      </c>
      <c r="X59" s="74" t="str">
        <f>IF(AND($B59=[1]marcos!$A56,[1]marcos!$B56=X$4),"ok","nok")</f>
        <v>nok</v>
      </c>
      <c r="Y59" s="96" t="s">
        <v>32</v>
      </c>
      <c r="Z59" s="97"/>
      <c r="AA59" s="97"/>
      <c r="AB59" s="98"/>
      <c r="AC59" s="55"/>
      <c r="AD59" s="55"/>
      <c r="AE59" s="63" t="str">
        <f t="shared" si="4"/>
        <v>Análise dos Resultados</v>
      </c>
      <c r="AF59" s="63"/>
      <c r="AG59" s="63"/>
      <c r="AH59" s="63"/>
      <c r="AI59" s="64">
        <f t="shared" si="5"/>
        <v>0</v>
      </c>
      <c r="AJ59" s="64" t="str">
        <f t="shared" si="6"/>
        <v/>
      </c>
      <c r="AK59" s="64">
        <f t="shared" si="7"/>
        <v>0</v>
      </c>
      <c r="AL59" s="64" t="str">
        <f t="shared" si="8"/>
        <v/>
      </c>
      <c r="AM59" s="64">
        <f t="shared" si="9"/>
        <v>0</v>
      </c>
      <c r="AN59" s="64" t="str">
        <f t="shared" si="10"/>
        <v/>
      </c>
      <c r="AO59" s="64">
        <f t="shared" si="11"/>
        <v>0</v>
      </c>
      <c r="AP59" s="64" t="str">
        <f t="shared" si="12"/>
        <v/>
      </c>
      <c r="AQ59" s="64">
        <f t="shared" si="13"/>
        <v>1</v>
      </c>
      <c r="AR59" s="64" t="str">
        <f t="shared" si="14"/>
        <v/>
      </c>
    </row>
    <row r="60" spans="1:70" ht="30" customHeight="1" x14ac:dyDescent="0.35">
      <c r="A60" s="28" t="str">
        <f t="shared" si="20"/>
        <v>PT208 - PROJETO RIO TANQUE (Itabira)
ETAPA DE ESCRITÓRIO
PONTE DE CONCRETO</v>
      </c>
      <c r="B60" s="53" t="s">
        <v>51</v>
      </c>
      <c r="C60" s="74" t="str">
        <f>IF(AND($B60=[1]marcos!$A57,[1]marcos!$B57=C$4),"ok","nok")</f>
        <v>nok</v>
      </c>
      <c r="D60" s="74" t="str">
        <f>IF(AND($B60=[1]marcos!$A57,[1]marcos!$B57=D$4),"ok","nok")</f>
        <v>nok</v>
      </c>
      <c r="E60" s="74" t="str">
        <f>IF(AND($B60=[1]marcos!$A57,[1]marcos!$B57=E$4),"ok","nok")</f>
        <v>nok</v>
      </c>
      <c r="F60" s="74" t="str">
        <f>IF(AND($B60=[1]marcos!$A57,[1]marcos!$B57=F$4),"ok","nok")</f>
        <v>nok</v>
      </c>
      <c r="G60" s="74" t="str">
        <f>IF(AND($B60=[1]marcos!$A57,[1]marcos!$B57=G$4),"ok","nok")</f>
        <v>nok</v>
      </c>
      <c r="H60" s="74" t="str">
        <f>IF(AND($B60=[1]marcos!$A57,[1]marcos!$B57=H$4),"ok","nok")</f>
        <v>nok</v>
      </c>
      <c r="I60" s="74" t="str">
        <f>IF(AND($B60=[1]marcos!$A57,[1]marcos!$B57=I$4),"ok","nok")</f>
        <v>nok</v>
      </c>
      <c r="J60" s="74" t="str">
        <f>IF(AND($B60=[1]marcos!$A57,[1]marcos!$B57=J$4),"ok","nok")</f>
        <v>nok</v>
      </c>
      <c r="K60" s="74" t="str">
        <f>IF(AND($B60=[1]marcos!$A57,[1]marcos!$B57=K$4),"ok","nok")</f>
        <v>nok</v>
      </c>
      <c r="L60" s="74" t="str">
        <f>IF(AND($B60=[1]marcos!$A57,[1]marcos!$B57=L$4),"ok","nok")</f>
        <v>nok</v>
      </c>
      <c r="M60" s="74" t="str">
        <f>IF(AND($B60=[1]marcos!$A57,[1]marcos!$B57=M$4),"ok","nok")</f>
        <v>nok</v>
      </c>
      <c r="N60" s="74" t="str">
        <f>IF(AND($B60=[1]marcos!$A57,[1]marcos!$B57=N$4),"ok","nok")</f>
        <v>nok</v>
      </c>
      <c r="O60" s="83"/>
      <c r="P60" s="74" t="str">
        <f>IF(AND($B60=[1]marcos!$A57,[1]marcos!$B57=P$4),"ok","nok")</f>
        <v>nok</v>
      </c>
      <c r="Q60" s="74" t="str">
        <f>IF(AND($B60=[1]marcos!$A57,[1]marcos!$B57=Q$4),"ok","nok")</f>
        <v>nok</v>
      </c>
      <c r="R60" s="74" t="str">
        <f>IF(AND($B60=[1]marcos!$A57,[1]marcos!$B57=R$4),"ok","nok")</f>
        <v>nok</v>
      </c>
      <c r="S60" s="74" t="str">
        <f>IF(AND($B60=[1]marcos!$A57,[1]marcos!$B57=S$4),"ok","nok")</f>
        <v>nok</v>
      </c>
      <c r="T60" s="74" t="str">
        <f>IF(AND($B60=[1]marcos!$A57,[1]marcos!$B57=T$4),"ok","nok")</f>
        <v>nok</v>
      </c>
      <c r="U60" s="74" t="str">
        <f>IF(AND($B60=[1]marcos!$A57,[1]marcos!$B57=U$4),"ok","nok")</f>
        <v>nok</v>
      </c>
      <c r="V60" s="74" t="str">
        <f>IF(AND($B60=[1]marcos!$A57,[1]marcos!$B57=V$4),"ok","nok")</f>
        <v>nok</v>
      </c>
      <c r="W60" s="74" t="str">
        <f>IF(AND($B60=[1]marcos!$A57,[1]marcos!$B57=W$4),"ok","nok")</f>
        <v>ok</v>
      </c>
      <c r="X60" s="74" t="str">
        <f>IF(AND($B60=[1]marcos!$A57,[1]marcos!$B57=X$4),"ok","nok")</f>
        <v>nok</v>
      </c>
      <c r="Y60" s="96" t="s">
        <v>16</v>
      </c>
      <c r="Z60" s="97"/>
      <c r="AA60" s="97"/>
      <c r="AB60" s="98"/>
      <c r="AC60" s="55"/>
      <c r="AD60" s="55"/>
      <c r="AE60" s="63" t="str">
        <f t="shared" si="4"/>
        <v/>
      </c>
      <c r="AF60" s="63"/>
      <c r="AG60" s="63"/>
      <c r="AH60" s="63"/>
      <c r="AI60" s="64">
        <f t="shared" si="5"/>
        <v>0</v>
      </c>
      <c r="AJ60" s="64" t="str">
        <f t="shared" si="6"/>
        <v/>
      </c>
      <c r="AK60" s="64">
        <f t="shared" si="7"/>
        <v>0</v>
      </c>
      <c r="AL60" s="64" t="str">
        <f t="shared" si="8"/>
        <v/>
      </c>
      <c r="AM60" s="64">
        <f t="shared" si="9"/>
        <v>0</v>
      </c>
      <c r="AN60" s="64" t="str">
        <f t="shared" si="10"/>
        <v/>
      </c>
      <c r="AO60" s="64">
        <f t="shared" si="11"/>
        <v>0</v>
      </c>
      <c r="AP60" s="64" t="str">
        <f t="shared" si="12"/>
        <v/>
      </c>
      <c r="AQ60" s="64">
        <f t="shared" si="13"/>
        <v>1</v>
      </c>
      <c r="AR60" s="64" t="str">
        <f t="shared" si="14"/>
        <v/>
      </c>
    </row>
    <row r="61" spans="1:70" ht="30" customHeight="1" x14ac:dyDescent="0.35">
      <c r="A61" s="28" t="str">
        <f t="shared" si="20"/>
        <v>PT208 - PROJETO RIO TANQUE (Itabira)
ETAPA DE ESCRITÓRIO
PONTE DE CONCRETO</v>
      </c>
      <c r="B61" s="53" t="s">
        <v>79</v>
      </c>
      <c r="C61" s="74" t="str">
        <f>IF(AND($B61=[1]marcos!$A58,[1]marcos!$B58=C$4),"ok","nok")</f>
        <v>nok</v>
      </c>
      <c r="D61" s="74" t="str">
        <f>IF(AND($B61=[1]marcos!$A58,[1]marcos!$B58=D$4),"ok","nok")</f>
        <v>nok</v>
      </c>
      <c r="E61" s="74" t="str">
        <f>IF(AND($B61=[1]marcos!$A58,[1]marcos!$B58=E$4),"ok","nok")</f>
        <v>nok</v>
      </c>
      <c r="F61" s="74" t="str">
        <f>IF(AND($B61=[1]marcos!$A58,[1]marcos!$B58=F$4),"ok","nok")</f>
        <v>nok</v>
      </c>
      <c r="G61" s="74" t="str">
        <f>IF(AND($B61=[1]marcos!$A58,[1]marcos!$B58=G$4),"ok","nok")</f>
        <v>nok</v>
      </c>
      <c r="H61" s="74" t="str">
        <f>IF(AND($B61=[1]marcos!$A58,[1]marcos!$B58=H$4),"ok","nok")</f>
        <v>nok</v>
      </c>
      <c r="I61" s="74" t="str">
        <f>IF(AND($B61=[1]marcos!$A58,[1]marcos!$B58=I$4),"ok","nok")</f>
        <v>nok</v>
      </c>
      <c r="J61" s="74" t="str">
        <f>IF(AND($B61=[1]marcos!$A58,[1]marcos!$B58=J$4),"ok","nok")</f>
        <v>nok</v>
      </c>
      <c r="K61" s="74" t="str">
        <f>IF(AND($B61=[1]marcos!$A58,[1]marcos!$B58=K$4),"ok","nok")</f>
        <v>nok</v>
      </c>
      <c r="L61" s="74" t="str">
        <f>IF(AND($B61=[1]marcos!$A58,[1]marcos!$B58=L$4),"ok","nok")</f>
        <v>nok</v>
      </c>
      <c r="M61" s="74" t="str">
        <f>IF(AND($B61=[1]marcos!$A58,[1]marcos!$B58=M$4),"ok","nok")</f>
        <v>nok</v>
      </c>
      <c r="N61" s="74" t="str">
        <f>IF(AND($B61=[1]marcos!$A58,[1]marcos!$B58=N$4),"ok","nok")</f>
        <v>nok</v>
      </c>
      <c r="O61" s="74" t="str">
        <f>IF(AND($B61=[1]marcos!$A58,[1]marcos!$B58=O$4),"ok","nok")</f>
        <v>nok</v>
      </c>
      <c r="P61" s="83"/>
      <c r="Q61" s="74" t="str">
        <f>IF(AND($B61=[1]marcos!$A58,[1]marcos!$B58=Q$4),"ok","nok")</f>
        <v>nok</v>
      </c>
      <c r="R61" s="74" t="str">
        <f>IF(AND($B61=[1]marcos!$A58,[1]marcos!$B58=R$4),"ok","nok")</f>
        <v>nok</v>
      </c>
      <c r="S61" s="74" t="str">
        <f>IF(AND($B61=[1]marcos!$A58,[1]marcos!$B58=S$4),"ok","nok")</f>
        <v>nok</v>
      </c>
      <c r="T61" s="74" t="str">
        <f>IF(AND($B61=[1]marcos!$A58,[1]marcos!$B58=T$4),"ok","nok")</f>
        <v>nok</v>
      </c>
      <c r="U61" s="74" t="str">
        <f>IF(AND($B61=[1]marcos!$A58,[1]marcos!$B58=U$4),"ok","nok")</f>
        <v>nok</v>
      </c>
      <c r="V61" s="74" t="str">
        <f>IF(AND($B61=[1]marcos!$A58,[1]marcos!$B58=V$4),"ok","nok")</f>
        <v>nok</v>
      </c>
      <c r="W61" s="74" t="str">
        <f>IF(AND($B61=[1]marcos!$A58,[1]marcos!$B58=W$4),"ok","nok")</f>
        <v>ok</v>
      </c>
      <c r="X61" s="74" t="str">
        <f>IF(AND($B61=[1]marcos!$A58,[1]marcos!$B58=X$4),"ok","nok")</f>
        <v>nok</v>
      </c>
      <c r="Y61" s="96" t="s">
        <v>16</v>
      </c>
      <c r="Z61" s="97"/>
      <c r="AA61" s="97"/>
      <c r="AB61" s="98"/>
      <c r="AC61" s="55"/>
      <c r="AD61" s="55"/>
      <c r="AE61" s="63" t="str">
        <f t="shared" si="4"/>
        <v/>
      </c>
      <c r="AF61" s="63"/>
      <c r="AG61" s="63"/>
      <c r="AH61" s="63"/>
      <c r="AI61" s="64">
        <f t="shared" si="5"/>
        <v>0</v>
      </c>
      <c r="AJ61" s="64" t="str">
        <f t="shared" si="6"/>
        <v/>
      </c>
      <c r="AK61" s="64">
        <f t="shared" si="7"/>
        <v>0</v>
      </c>
      <c r="AL61" s="64" t="str">
        <f t="shared" si="8"/>
        <v/>
      </c>
      <c r="AM61" s="64">
        <f t="shared" si="9"/>
        <v>0</v>
      </c>
      <c r="AN61" s="64" t="str">
        <f t="shared" si="10"/>
        <v/>
      </c>
      <c r="AO61" s="64">
        <f t="shared" si="11"/>
        <v>0</v>
      </c>
      <c r="AP61" s="64" t="str">
        <f t="shared" si="12"/>
        <v/>
      </c>
      <c r="AQ61" s="64">
        <f t="shared" si="13"/>
        <v>1</v>
      </c>
      <c r="AR61" s="64" t="str">
        <f t="shared" si="14"/>
        <v/>
      </c>
    </row>
    <row r="62" spans="1:70" ht="30" customHeight="1" x14ac:dyDescent="0.35">
      <c r="A62" s="28"/>
      <c r="B62" s="54" t="s">
        <v>80</v>
      </c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114"/>
      <c r="Z62" s="115"/>
      <c r="AA62" s="115"/>
      <c r="AB62" s="116"/>
      <c r="AC62" s="55"/>
      <c r="AD62" s="55"/>
      <c r="AE62" s="63" t="str">
        <f t="shared" si="4"/>
        <v/>
      </c>
      <c r="AF62" s="63"/>
      <c r="AG62" s="63"/>
      <c r="AH62" s="63"/>
      <c r="AI62" s="64">
        <f t="shared" si="5"/>
        <v>0</v>
      </c>
      <c r="AJ62" s="64" t="str">
        <f t="shared" si="6"/>
        <v/>
      </c>
      <c r="AK62" s="64">
        <f t="shared" si="7"/>
        <v>0</v>
      </c>
      <c r="AL62" s="64" t="str">
        <f t="shared" si="8"/>
        <v/>
      </c>
      <c r="AM62" s="64">
        <f t="shared" si="9"/>
        <v>0</v>
      </c>
      <c r="AN62" s="64" t="str">
        <f t="shared" si="10"/>
        <v/>
      </c>
      <c r="AO62" s="64">
        <f t="shared" si="11"/>
        <v>0</v>
      </c>
      <c r="AP62" s="64" t="str">
        <f t="shared" si="12"/>
        <v/>
      </c>
      <c r="AQ62" s="64">
        <f t="shared" si="13"/>
        <v>0</v>
      </c>
      <c r="AR62" s="64" t="str">
        <f t="shared" si="14"/>
        <v/>
      </c>
    </row>
    <row r="63" spans="1:70" ht="30" customHeight="1" x14ac:dyDescent="0.35">
      <c r="A63" s="28" t="str">
        <f t="shared" si="20"/>
        <v>PT208 - PROJETO RIO TANQUE (Itabira)
ETAPA DE ESCRITÓRIO
PONTE DE CONCRETO</v>
      </c>
      <c r="B63" s="55" t="s">
        <v>44</v>
      </c>
      <c r="C63" s="74" t="str">
        <f>IF(AND($B63=[1]marcos!$A60,[1]marcos!$B60=C$4),"ok","nok")</f>
        <v>nok</v>
      </c>
      <c r="D63" s="74" t="str">
        <f>IF(AND($B63=[1]marcos!$A60,[1]marcos!$B60=D$4),"ok","nok")</f>
        <v>nok</v>
      </c>
      <c r="E63" s="74" t="str">
        <f>IF(AND($B63=[1]marcos!$A60,[1]marcos!$B60=E$4),"ok","nok")</f>
        <v>nok</v>
      </c>
      <c r="F63" s="74" t="str">
        <f>IF(AND($B63=[1]marcos!$A60,[1]marcos!$B60=F$4),"ok","nok")</f>
        <v>nok</v>
      </c>
      <c r="G63" s="74" t="str">
        <f>IF(AND($B63=[1]marcos!$A60,[1]marcos!$B60=G$4),"ok","nok")</f>
        <v>nok</v>
      </c>
      <c r="H63" s="74" t="str">
        <f>IF(AND($B63=[1]marcos!$A60,[1]marcos!$B60=H$4),"ok","nok")</f>
        <v>nok</v>
      </c>
      <c r="I63" s="74" t="str">
        <f>IF(AND($B63=[1]marcos!$A60,[1]marcos!$B60=I$4),"ok","nok")</f>
        <v>nok</v>
      </c>
      <c r="J63" s="74" t="str">
        <f>IF(AND($B63=[1]marcos!$A60,[1]marcos!$B60=J$4),"ok","nok")</f>
        <v>nok</v>
      </c>
      <c r="K63" s="74" t="str">
        <f>IF(AND($B63=[1]marcos!$A60,[1]marcos!$B60=K$4),"ok","nok")</f>
        <v>nok</v>
      </c>
      <c r="L63" s="74" t="str">
        <f>IF(AND($B63=[1]marcos!$A60,[1]marcos!$B60=L$4),"ok","nok")</f>
        <v>nok</v>
      </c>
      <c r="M63" s="74" t="str">
        <f>IF(AND($B63=[1]marcos!$A60,[1]marcos!$B60=M$4),"ok","nok")</f>
        <v>nok</v>
      </c>
      <c r="N63" s="74" t="str">
        <f>IF(AND($B63=[1]marcos!$A60,[1]marcos!$B60=N$4),"ok","nok")</f>
        <v>nok</v>
      </c>
      <c r="O63" s="74" t="str">
        <f>IF(AND($B63=[1]marcos!$A60,[1]marcos!$B60=O$4),"ok","nok")</f>
        <v>nok</v>
      </c>
      <c r="P63" s="83"/>
      <c r="Q63" s="74" t="str">
        <f>IF(AND($B63=[1]marcos!$A60,[1]marcos!$B60=Q$4),"ok","nok")</f>
        <v>nok</v>
      </c>
      <c r="R63" s="74" t="str">
        <f>IF(AND($B63=[1]marcos!$A60,[1]marcos!$B60=R$4),"ok","nok")</f>
        <v>nok</v>
      </c>
      <c r="S63" s="74" t="str">
        <f>IF(AND($B63=[1]marcos!$A60,[1]marcos!$B60=S$4),"ok","nok")</f>
        <v>nok</v>
      </c>
      <c r="T63" s="74" t="str">
        <f>IF(AND($B63=[1]marcos!$A60,[1]marcos!$B60=T$4),"ok","nok")</f>
        <v>nok</v>
      </c>
      <c r="U63" s="74" t="str">
        <f>IF(AND($B63=[1]marcos!$A60,[1]marcos!$B60=U$4),"ok","nok")</f>
        <v>nok</v>
      </c>
      <c r="V63" s="74" t="str">
        <f>IF(AND($B63=[1]marcos!$A60,[1]marcos!$B60=V$4),"ok","nok")</f>
        <v>nok</v>
      </c>
      <c r="W63" s="74" t="str">
        <f>IF(AND($B63=[1]marcos!$A60,[1]marcos!$B60=W$4),"ok","nok")</f>
        <v>nok</v>
      </c>
      <c r="X63" s="74" t="str">
        <f>IF(AND($B63=[1]marcos!$A60,[1]marcos!$B60=X$4),"ok","nok")</f>
        <v>ok</v>
      </c>
      <c r="Y63" s="96" t="s">
        <v>16</v>
      </c>
      <c r="Z63" s="97"/>
      <c r="AA63" s="97"/>
      <c r="AB63" s="98"/>
      <c r="AC63" s="55"/>
      <c r="AD63" s="55"/>
      <c r="AE63" s="63" t="str">
        <f t="shared" si="4"/>
        <v/>
      </c>
      <c r="AF63" s="63"/>
      <c r="AG63" s="63"/>
      <c r="AH63" s="63"/>
      <c r="AI63" s="64">
        <f t="shared" si="5"/>
        <v>0</v>
      </c>
      <c r="AJ63" s="64" t="str">
        <f t="shared" si="6"/>
        <v/>
      </c>
      <c r="AK63" s="64">
        <f t="shared" si="7"/>
        <v>0</v>
      </c>
      <c r="AL63" s="64" t="str">
        <f t="shared" si="8"/>
        <v/>
      </c>
      <c r="AM63" s="64">
        <f t="shared" si="9"/>
        <v>0</v>
      </c>
      <c r="AN63" s="64" t="str">
        <f t="shared" si="10"/>
        <v/>
      </c>
      <c r="AO63" s="64">
        <f t="shared" si="11"/>
        <v>0</v>
      </c>
      <c r="AP63" s="64" t="str">
        <f t="shared" si="12"/>
        <v/>
      </c>
      <c r="AQ63" s="64">
        <f t="shared" si="13"/>
        <v>1</v>
      </c>
      <c r="AR63" s="64" t="str">
        <f t="shared" si="14"/>
        <v/>
      </c>
    </row>
    <row r="64" spans="1:70" ht="30" customHeight="1" x14ac:dyDescent="0.35">
      <c r="A64" s="28" t="str">
        <f t="shared" si="20"/>
        <v>PT208 - PROJETO RIO TANQUE (Itabira)
ETAPA DE ESCRITÓRIO
PONTE DE CONCRETO</v>
      </c>
      <c r="B64" s="55" t="s">
        <v>20</v>
      </c>
      <c r="C64" s="74" t="str">
        <f>IF(AND($B64=[1]marcos!$A61,[1]marcos!$B61=C$4),"ok","nok")</f>
        <v>nok</v>
      </c>
      <c r="D64" s="74" t="str">
        <f>IF(AND($B64=[1]marcos!$A61,[1]marcos!$B61=D$4),"ok","nok")</f>
        <v>nok</v>
      </c>
      <c r="E64" s="74" t="str">
        <f>IF(AND($B64=[1]marcos!$A61,[1]marcos!$B61=E$4),"ok","nok")</f>
        <v>nok</v>
      </c>
      <c r="F64" s="74" t="str">
        <f>IF(AND($B64=[1]marcos!$A61,[1]marcos!$B61=F$4),"ok","nok")</f>
        <v>nok</v>
      </c>
      <c r="G64" s="74" t="str">
        <f>IF(AND($B64=[1]marcos!$A61,[1]marcos!$B61=G$4),"ok","nok")</f>
        <v>nok</v>
      </c>
      <c r="H64" s="74" t="str">
        <f>IF(AND($B64=[1]marcos!$A61,[1]marcos!$B61=H$4),"ok","nok")</f>
        <v>nok</v>
      </c>
      <c r="I64" s="74" t="str">
        <f>IF(AND($B64=[1]marcos!$A61,[1]marcos!$B61=I$4),"ok","nok")</f>
        <v>nok</v>
      </c>
      <c r="J64" s="74" t="str">
        <f>IF(AND($B64=[1]marcos!$A61,[1]marcos!$B61=J$4),"ok","nok")</f>
        <v>nok</v>
      </c>
      <c r="K64" s="74" t="str">
        <f>IF(AND($B64=[1]marcos!$A61,[1]marcos!$B61=K$4),"ok","nok")</f>
        <v>nok</v>
      </c>
      <c r="L64" s="74" t="str">
        <f>IF(AND($B64=[1]marcos!$A61,[1]marcos!$B61=L$4),"ok","nok")</f>
        <v>nok</v>
      </c>
      <c r="M64" s="74" t="str">
        <f>IF(AND($B64=[1]marcos!$A61,[1]marcos!$B61=M$4),"ok","nok")</f>
        <v>nok</v>
      </c>
      <c r="N64" s="74" t="str">
        <f>IF(AND($B64=[1]marcos!$A61,[1]marcos!$B61=N$4),"ok","nok")</f>
        <v>nok</v>
      </c>
      <c r="O64" s="74" t="str">
        <f>IF(AND($B64=[1]marcos!$A61,[1]marcos!$B61=O$4),"ok","nok")</f>
        <v>nok</v>
      </c>
      <c r="P64" s="74" t="str">
        <f>IF(AND($B64=[1]marcos!$A61,[1]marcos!$B61=P$4),"ok","nok")</f>
        <v>nok</v>
      </c>
      <c r="Q64" s="74" t="str">
        <f>IF(AND($B64=[1]marcos!$A61,[1]marcos!$B61=Q$4),"ok","nok")</f>
        <v>nok</v>
      </c>
      <c r="R64" s="74" t="str">
        <f>IF(AND($B64=[1]marcos!$A61,[1]marcos!$B61=R$4),"ok","nok")</f>
        <v>nok</v>
      </c>
      <c r="S64" s="74" t="str">
        <f>IF(AND($B64=[1]marcos!$A61,[1]marcos!$B61=S$4),"ok","nok")</f>
        <v>nok</v>
      </c>
      <c r="T64" s="74" t="str">
        <f>IF(AND($B64=[1]marcos!$A61,[1]marcos!$B61=T$4),"ok","nok")</f>
        <v>nok</v>
      </c>
      <c r="U64" s="74" t="str">
        <f>IF(AND($B64=[1]marcos!$A61,[1]marcos!$B61=U$4),"ok","nok")</f>
        <v>nok</v>
      </c>
      <c r="V64" s="74" t="str">
        <f>IF(AND($B64=[1]marcos!$A61,[1]marcos!$B61=V$4),"ok","nok")</f>
        <v>nok</v>
      </c>
      <c r="W64" s="74" t="str">
        <f>IF(AND($B64=[1]marcos!$A61,[1]marcos!$B61=W$4),"ok","nok")</f>
        <v>nok</v>
      </c>
      <c r="X64" s="74" t="str">
        <f>IF(AND($B64=[1]marcos!$A61,[1]marcos!$B61=X$4),"ok","nok")</f>
        <v>ok</v>
      </c>
      <c r="Y64" s="96" t="s">
        <v>16</v>
      </c>
      <c r="Z64" s="97"/>
      <c r="AA64" s="97"/>
      <c r="AB64" s="98"/>
      <c r="AC64" s="55"/>
      <c r="AD64" s="55"/>
      <c r="AE64" s="63" t="str">
        <f t="shared" si="4"/>
        <v/>
      </c>
      <c r="AF64" s="63"/>
      <c r="AG64" s="63"/>
      <c r="AH64" s="63"/>
      <c r="AI64" s="64">
        <f t="shared" si="5"/>
        <v>0</v>
      </c>
      <c r="AJ64" s="64" t="str">
        <f t="shared" si="6"/>
        <v/>
      </c>
      <c r="AK64" s="64">
        <f t="shared" si="7"/>
        <v>0</v>
      </c>
      <c r="AL64" s="64" t="str">
        <f t="shared" si="8"/>
        <v/>
      </c>
      <c r="AM64" s="64">
        <f t="shared" si="9"/>
        <v>0</v>
      </c>
      <c r="AN64" s="64" t="str">
        <f t="shared" si="10"/>
        <v/>
      </c>
      <c r="AO64" s="64">
        <f t="shared" si="11"/>
        <v>0</v>
      </c>
      <c r="AP64" s="64" t="str">
        <f t="shared" si="12"/>
        <v/>
      </c>
      <c r="AQ64" s="64">
        <f t="shared" si="13"/>
        <v>1</v>
      </c>
      <c r="AR64" s="64" t="str">
        <f t="shared" si="14"/>
        <v/>
      </c>
    </row>
    <row r="65" spans="1:44" ht="30" customHeight="1" x14ac:dyDescent="0.35">
      <c r="A65" s="28"/>
      <c r="B65" s="56" t="s">
        <v>53</v>
      </c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105"/>
      <c r="Z65" s="106"/>
      <c r="AA65" s="106"/>
      <c r="AB65" s="107"/>
      <c r="AC65" s="55"/>
      <c r="AD65" s="55"/>
      <c r="AE65" s="63" t="str">
        <f t="shared" si="4"/>
        <v/>
      </c>
      <c r="AF65" s="63"/>
      <c r="AG65" s="63"/>
      <c r="AH65" s="63"/>
      <c r="AI65" s="64">
        <f t="shared" si="5"/>
        <v>0</v>
      </c>
      <c r="AJ65" s="64" t="str">
        <f t="shared" si="6"/>
        <v/>
      </c>
      <c r="AK65" s="64">
        <f t="shared" si="7"/>
        <v>0</v>
      </c>
      <c r="AL65" s="64" t="str">
        <f t="shared" si="8"/>
        <v/>
      </c>
      <c r="AM65" s="64">
        <f t="shared" si="9"/>
        <v>0</v>
      </c>
      <c r="AN65" s="64" t="str">
        <f t="shared" si="10"/>
        <v/>
      </c>
      <c r="AO65" s="64">
        <f t="shared" si="11"/>
        <v>0</v>
      </c>
      <c r="AP65" s="64" t="str">
        <f t="shared" si="12"/>
        <v/>
      </c>
      <c r="AQ65" s="64">
        <f t="shared" si="13"/>
        <v>0</v>
      </c>
      <c r="AR65" s="64" t="str">
        <f t="shared" si="14"/>
        <v/>
      </c>
    </row>
    <row r="66" spans="1:44" ht="30" customHeight="1" x14ac:dyDescent="0.35">
      <c r="A66" s="28"/>
      <c r="B66" s="54" t="s">
        <v>46</v>
      </c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114"/>
      <c r="Z66" s="115"/>
      <c r="AA66" s="115"/>
      <c r="AB66" s="116"/>
      <c r="AC66" s="52"/>
      <c r="AD66" s="52"/>
      <c r="AE66" s="63" t="str">
        <f t="shared" si="4"/>
        <v/>
      </c>
      <c r="AF66" s="63"/>
      <c r="AG66" s="63"/>
      <c r="AH66" s="63"/>
      <c r="AI66" s="64">
        <f t="shared" si="5"/>
        <v>0</v>
      </c>
      <c r="AJ66" s="64" t="str">
        <f t="shared" si="6"/>
        <v/>
      </c>
      <c r="AK66" s="64">
        <f t="shared" si="7"/>
        <v>0</v>
      </c>
      <c r="AL66" s="64" t="str">
        <f t="shared" si="8"/>
        <v/>
      </c>
      <c r="AM66" s="64">
        <f t="shared" si="9"/>
        <v>0</v>
      </c>
      <c r="AN66" s="64" t="str">
        <f t="shared" si="10"/>
        <v/>
      </c>
      <c r="AO66" s="64">
        <f t="shared" si="11"/>
        <v>0</v>
      </c>
      <c r="AP66" s="64" t="str">
        <f t="shared" si="12"/>
        <v/>
      </c>
      <c r="AQ66" s="64">
        <f t="shared" si="13"/>
        <v>0</v>
      </c>
      <c r="AR66" s="64" t="str">
        <f t="shared" si="14"/>
        <v/>
      </c>
    </row>
    <row r="67" spans="1:44" ht="30" customHeight="1" x14ac:dyDescent="0.35">
      <c r="A67" s="28" t="str">
        <f>CONCATENATE($B$31,"
",$B$32,"
",$B$65)</f>
        <v>PT208 - PROJETO RIO TANQUE (Itabira)
ETAPA DE ESCRITÓRIO
MURO DE CONTENÇÃO</v>
      </c>
      <c r="B67" s="55" t="s">
        <v>38</v>
      </c>
      <c r="C67" s="74" t="str">
        <f>IF(AND($B67=[1]marcos!$A64,[1]marcos!$B64=C$4),"ok","nok")</f>
        <v>nok</v>
      </c>
      <c r="D67" s="83"/>
      <c r="E67" s="74" t="str">
        <f>IF(AND($B67=[1]marcos!$A64,[1]marcos!$B64=E$4),"ok","nok")</f>
        <v>nok</v>
      </c>
      <c r="F67" s="74" t="str">
        <f>IF(AND($B67=[1]marcos!$A64,[1]marcos!$B64=F$4),"ok","nok")</f>
        <v>nok</v>
      </c>
      <c r="G67" s="74" t="str">
        <f>IF(AND($B67=[1]marcos!$A64,[1]marcos!$B64=G$4),"ok","nok")</f>
        <v>nok</v>
      </c>
      <c r="H67" s="74" t="str">
        <f>IF(AND($B67=[1]marcos!$A64,[1]marcos!$B64=H$4),"ok","nok")</f>
        <v>nok</v>
      </c>
      <c r="I67" s="74" t="str">
        <f>IF(AND($B67=[1]marcos!$A64,[1]marcos!$B64=I$4),"ok","nok")</f>
        <v>nok</v>
      </c>
      <c r="J67" s="74" t="str">
        <f>IF(AND($B67=[1]marcos!$A64,[1]marcos!$B64=J$4),"ok","nok")</f>
        <v>nok</v>
      </c>
      <c r="K67" s="74" t="str">
        <f>IF(AND($B67=[1]marcos!$A64,[1]marcos!$B64=K$4),"ok","nok")</f>
        <v>nok</v>
      </c>
      <c r="L67" s="74" t="str">
        <f>IF(AND($B67=[1]marcos!$A64,[1]marcos!$B64=L$4),"ok","nok")</f>
        <v>nok</v>
      </c>
      <c r="M67" s="74" t="str">
        <f>IF(AND($B67=[1]marcos!$A64,[1]marcos!$B64=M$4),"ok","nok")</f>
        <v>nok</v>
      </c>
      <c r="N67" s="74" t="str">
        <f>IF(AND($B67=[1]marcos!$A64,[1]marcos!$B64=N$4),"ok","nok")</f>
        <v>nok</v>
      </c>
      <c r="O67" s="74" t="str">
        <f>IF(AND($B67=[1]marcos!$A64,[1]marcos!$B64=O$4),"ok","nok")</f>
        <v>nok</v>
      </c>
      <c r="P67" s="74" t="str">
        <f>IF(AND($B67=[1]marcos!$A64,[1]marcos!$B64=P$4),"ok","nok")</f>
        <v>nok</v>
      </c>
      <c r="Q67" s="74" t="str">
        <f>IF(AND($B67=[1]marcos!$A64,[1]marcos!$B64=Q$4),"ok","nok")</f>
        <v>nok</v>
      </c>
      <c r="R67" s="74" t="str">
        <f>IF(AND($B67=[1]marcos!$A64,[1]marcos!$B64=R$4),"ok","nok")</f>
        <v>nok</v>
      </c>
      <c r="S67" s="74" t="str">
        <f>IF(AND($B67=[1]marcos!$A64,[1]marcos!$B64=S$4),"ok","nok")</f>
        <v>nok</v>
      </c>
      <c r="T67" s="74" t="str">
        <f>IF(AND($B67=[1]marcos!$A64,[1]marcos!$B64=T$4),"ok","nok")</f>
        <v>nok</v>
      </c>
      <c r="U67" s="74" t="str">
        <f>IF(AND($B67=[1]marcos!$A64,[1]marcos!$B64=U$4),"ok","nok")</f>
        <v>nok</v>
      </c>
      <c r="V67" s="74" t="str">
        <f>IF(AND($B67=[1]marcos!$A64,[1]marcos!$B64=V$4),"ok","nok")</f>
        <v>ok</v>
      </c>
      <c r="W67" s="74" t="str">
        <f>IF(AND($B67=[1]marcos!$A64,[1]marcos!$B64=W$4),"ok","nok")</f>
        <v>nok</v>
      </c>
      <c r="X67" s="74" t="str">
        <f>IF(AND($B67=[1]marcos!$A64,[1]marcos!$B64=X$4),"ok","nok")</f>
        <v>nok</v>
      </c>
      <c r="Y67" s="96" t="s">
        <v>32</v>
      </c>
      <c r="Z67" s="97"/>
      <c r="AA67" s="97"/>
      <c r="AB67" s="98"/>
      <c r="AC67" s="53"/>
      <c r="AD67" s="53"/>
      <c r="AE67" s="63" t="str">
        <f t="shared" si="4"/>
        <v>Certificação do documento - Vibracon</v>
      </c>
      <c r="AF67" s="63"/>
      <c r="AG67" s="63"/>
      <c r="AH67" s="63"/>
      <c r="AI67" s="64">
        <f t="shared" si="5"/>
        <v>0</v>
      </c>
      <c r="AJ67" s="64" t="str">
        <f t="shared" si="6"/>
        <v/>
      </c>
      <c r="AK67" s="64">
        <f t="shared" si="7"/>
        <v>0</v>
      </c>
      <c r="AL67" s="64" t="str">
        <f t="shared" si="8"/>
        <v/>
      </c>
      <c r="AM67" s="64">
        <f t="shared" si="9"/>
        <v>0</v>
      </c>
      <c r="AN67" s="64" t="str">
        <f t="shared" si="10"/>
        <v/>
      </c>
      <c r="AO67" s="64">
        <f t="shared" si="11"/>
        <v>1</v>
      </c>
      <c r="AP67" s="64" t="str">
        <f t="shared" si="12"/>
        <v/>
      </c>
      <c r="AQ67" s="64">
        <f t="shared" si="13"/>
        <v>0</v>
      </c>
      <c r="AR67" s="64" t="str">
        <f t="shared" si="14"/>
        <v/>
      </c>
    </row>
    <row r="68" spans="1:44" ht="30" customHeight="1" x14ac:dyDescent="0.35">
      <c r="A68" s="28" t="str">
        <f t="shared" ref="A68:A79" si="21">CONCATENATE($B$31,"
",$B$32,"
",$B$65)</f>
        <v>PT208 - PROJETO RIO TANQUE (Itabira)
ETAPA DE ESCRITÓRIO
MURO DE CONTENÇÃO</v>
      </c>
      <c r="B68" s="55" t="s">
        <v>39</v>
      </c>
      <c r="C68" s="74" t="str">
        <f>IF(AND($B68=[1]marcos!$A65,[1]marcos!$B65=C$4),"ok","nok")</f>
        <v>nok</v>
      </c>
      <c r="D68" s="83"/>
      <c r="E68" s="74" t="str">
        <f>IF(AND($B68=[1]marcos!$A65,[1]marcos!$B65=E$4),"ok","nok")</f>
        <v>nok</v>
      </c>
      <c r="F68" s="74" t="str">
        <f>IF(AND($B68=[1]marcos!$A65,[1]marcos!$B65=F$4),"ok","nok")</f>
        <v>nok</v>
      </c>
      <c r="G68" s="74" t="str">
        <f>IF(AND($B68=[1]marcos!$A65,[1]marcos!$B65=G$4),"ok","nok")</f>
        <v>nok</v>
      </c>
      <c r="H68" s="74" t="str">
        <f>IF(AND($B68=[1]marcos!$A65,[1]marcos!$B65=H$4),"ok","nok")</f>
        <v>nok</v>
      </c>
      <c r="I68" s="74" t="str">
        <f>IF(AND($B68=[1]marcos!$A65,[1]marcos!$B65=I$4),"ok","nok")</f>
        <v>nok</v>
      </c>
      <c r="J68" s="74" t="str">
        <f>IF(AND($B68=[1]marcos!$A65,[1]marcos!$B65=J$4),"ok","nok")</f>
        <v>nok</v>
      </c>
      <c r="K68" s="74" t="str">
        <f>IF(AND($B68=[1]marcos!$A65,[1]marcos!$B65=K$4),"ok","nok")</f>
        <v>nok</v>
      </c>
      <c r="L68" s="74" t="str">
        <f>IF(AND($B68=[1]marcos!$A65,[1]marcos!$B65=L$4),"ok","nok")</f>
        <v>nok</v>
      </c>
      <c r="M68" s="74" t="str">
        <f>IF(AND($B68=[1]marcos!$A65,[1]marcos!$B65=M$4),"ok","nok")</f>
        <v>nok</v>
      </c>
      <c r="N68" s="74" t="str">
        <f>IF(AND($B68=[1]marcos!$A65,[1]marcos!$B65=N$4),"ok","nok")</f>
        <v>nok</v>
      </c>
      <c r="O68" s="74" t="str">
        <f>IF(AND($B68=[1]marcos!$A65,[1]marcos!$B65=O$4),"ok","nok")</f>
        <v>nok</v>
      </c>
      <c r="P68" s="74" t="str">
        <f>IF(AND($B68=[1]marcos!$A65,[1]marcos!$B65=P$4),"ok","nok")</f>
        <v>nok</v>
      </c>
      <c r="Q68" s="74" t="str">
        <f>IF(AND($B68=[1]marcos!$A65,[1]marcos!$B65=Q$4),"ok","nok")</f>
        <v>nok</v>
      </c>
      <c r="R68" s="74" t="str">
        <f>IF(AND($B68=[1]marcos!$A65,[1]marcos!$B65=R$4),"ok","nok")</f>
        <v>nok</v>
      </c>
      <c r="S68" s="74" t="str">
        <f>IF(AND($B68=[1]marcos!$A65,[1]marcos!$B65=S$4),"ok","nok")</f>
        <v>nok</v>
      </c>
      <c r="T68" s="74" t="str">
        <f>IF(AND($B68=[1]marcos!$A65,[1]marcos!$B65=T$4),"ok","nok")</f>
        <v>nok</v>
      </c>
      <c r="U68" s="74" t="str">
        <f>IF(AND($B68=[1]marcos!$A65,[1]marcos!$B65=U$4),"ok","nok")</f>
        <v>nok</v>
      </c>
      <c r="V68" s="74" t="str">
        <f>IF(AND($B68=[1]marcos!$A65,[1]marcos!$B65=V$4),"ok","nok")</f>
        <v>ok</v>
      </c>
      <c r="W68" s="74" t="str">
        <f>IF(AND($B68=[1]marcos!$A65,[1]marcos!$B65=W$4),"ok","nok")</f>
        <v>nok</v>
      </c>
      <c r="X68" s="74" t="str">
        <f>IF(AND($B68=[1]marcos!$A65,[1]marcos!$B65=X$4),"ok","nok")</f>
        <v>nok</v>
      </c>
      <c r="Y68" s="96" t="s">
        <v>32</v>
      </c>
      <c r="Z68" s="97"/>
      <c r="AA68" s="97"/>
      <c r="AB68" s="98"/>
      <c r="AC68" s="53"/>
      <c r="AD68" s="53"/>
      <c r="AE68" s="63" t="str">
        <f t="shared" si="4"/>
        <v>MARCO - Envio do documento Certificado (Rev_0)</v>
      </c>
      <c r="AF68" s="63"/>
      <c r="AG68" s="63"/>
      <c r="AH68" s="63"/>
      <c r="AI68" s="64">
        <f t="shared" si="5"/>
        <v>0</v>
      </c>
      <c r="AJ68" s="64" t="str">
        <f t="shared" si="6"/>
        <v/>
      </c>
      <c r="AK68" s="64">
        <f t="shared" si="7"/>
        <v>0</v>
      </c>
      <c r="AL68" s="64" t="str">
        <f t="shared" si="8"/>
        <v/>
      </c>
      <c r="AM68" s="64">
        <f t="shared" si="9"/>
        <v>0</v>
      </c>
      <c r="AN68" s="64" t="str">
        <f t="shared" si="10"/>
        <v/>
      </c>
      <c r="AO68" s="64">
        <f t="shared" si="11"/>
        <v>1</v>
      </c>
      <c r="AP68" s="64" t="str">
        <f t="shared" si="12"/>
        <v/>
      </c>
      <c r="AQ68" s="64">
        <f t="shared" si="13"/>
        <v>0</v>
      </c>
      <c r="AR68" s="64" t="str">
        <f t="shared" si="14"/>
        <v/>
      </c>
    </row>
    <row r="69" spans="1:44" ht="30" customHeight="1" x14ac:dyDescent="0.35">
      <c r="A69" s="28"/>
      <c r="B69" s="54" t="s">
        <v>47</v>
      </c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114"/>
      <c r="Z69" s="115"/>
      <c r="AA69" s="115"/>
      <c r="AB69" s="116"/>
      <c r="AC69" s="61"/>
      <c r="AD69" s="61"/>
      <c r="AE69" s="63" t="str">
        <f t="shared" si="4"/>
        <v/>
      </c>
      <c r="AF69" s="63"/>
      <c r="AG69" s="63"/>
      <c r="AH69" s="63"/>
      <c r="AI69" s="64">
        <f t="shared" si="5"/>
        <v>0</v>
      </c>
      <c r="AJ69" s="64" t="str">
        <f t="shared" si="6"/>
        <v/>
      </c>
      <c r="AK69" s="64">
        <f t="shared" si="7"/>
        <v>0</v>
      </c>
      <c r="AL69" s="64" t="str">
        <f t="shared" si="8"/>
        <v/>
      </c>
      <c r="AM69" s="64">
        <f t="shared" si="9"/>
        <v>0</v>
      </c>
      <c r="AN69" s="64" t="str">
        <f t="shared" si="10"/>
        <v/>
      </c>
      <c r="AO69" s="64">
        <f t="shared" si="11"/>
        <v>0</v>
      </c>
      <c r="AP69" s="64" t="str">
        <f t="shared" si="12"/>
        <v/>
      </c>
      <c r="AQ69" s="64">
        <f t="shared" si="13"/>
        <v>0</v>
      </c>
      <c r="AR69" s="64" t="str">
        <f t="shared" si="14"/>
        <v/>
      </c>
    </row>
    <row r="70" spans="1:44" ht="30" customHeight="1" x14ac:dyDescent="0.35">
      <c r="A70" s="28" t="str">
        <f t="shared" si="21"/>
        <v>PT208 - PROJETO RIO TANQUE (Itabira)
ETAPA DE ESCRITÓRIO
MURO DE CONTENÇÃO</v>
      </c>
      <c r="B70" s="55" t="s">
        <v>38</v>
      </c>
      <c r="C70" s="74" t="str">
        <f>IF(AND($B70=[1]marcos!$A67,[1]marcos!$B67=C$4),"ok","nok")</f>
        <v>nok</v>
      </c>
      <c r="D70" s="74" t="str">
        <f>IF(AND($B70=[1]marcos!$A67,[1]marcos!$B67=D$4),"ok","nok")</f>
        <v>nok</v>
      </c>
      <c r="E70" s="83"/>
      <c r="F70" s="74" t="str">
        <f>IF(AND($B70=[1]marcos!$A67,[1]marcos!$B67=F$4),"ok","nok")</f>
        <v>nok</v>
      </c>
      <c r="G70" s="74" t="str">
        <f>IF(AND($B70=[1]marcos!$A67,[1]marcos!$B67=G$4),"ok","nok")</f>
        <v>nok</v>
      </c>
      <c r="H70" s="74" t="str">
        <f>IF(AND($B70=[1]marcos!$A67,[1]marcos!$B67=H$4),"ok","nok")</f>
        <v>nok</v>
      </c>
      <c r="I70" s="74" t="str">
        <f>IF(AND($B70=[1]marcos!$A67,[1]marcos!$B67=I$4),"ok","nok")</f>
        <v>nok</v>
      </c>
      <c r="J70" s="74" t="str">
        <f>IF(AND($B70=[1]marcos!$A67,[1]marcos!$B67=J$4),"ok","nok")</f>
        <v>nok</v>
      </c>
      <c r="K70" s="74" t="str">
        <f>IF(AND($B70=[1]marcos!$A67,[1]marcos!$B67=K$4),"ok","nok")</f>
        <v>nok</v>
      </c>
      <c r="L70" s="74" t="str">
        <f>IF(AND($B70=[1]marcos!$A67,[1]marcos!$B67=L$4),"ok","nok")</f>
        <v>nok</v>
      </c>
      <c r="M70" s="74" t="str">
        <f>IF(AND($B70=[1]marcos!$A67,[1]marcos!$B67=M$4),"ok","nok")</f>
        <v>nok</v>
      </c>
      <c r="N70" s="74" t="str">
        <f>IF(AND($B70=[1]marcos!$A67,[1]marcos!$B67=N$4),"ok","nok")</f>
        <v>nok</v>
      </c>
      <c r="O70" s="74" t="str">
        <f>IF(AND($B70=[1]marcos!$A67,[1]marcos!$B67=O$4),"ok","nok")</f>
        <v>nok</v>
      </c>
      <c r="P70" s="74" t="str">
        <f>IF(AND($B70=[1]marcos!$A67,[1]marcos!$B67=P$4),"ok","nok")</f>
        <v>nok</v>
      </c>
      <c r="Q70" s="74" t="str">
        <f>IF(AND($B70=[1]marcos!$A67,[1]marcos!$B67=Q$4),"ok","nok")</f>
        <v>nok</v>
      </c>
      <c r="R70" s="74" t="str">
        <f>IF(AND($B70=[1]marcos!$A67,[1]marcos!$B67=R$4),"ok","nok")</f>
        <v>nok</v>
      </c>
      <c r="S70" s="74" t="str">
        <f>IF(AND($B70=[1]marcos!$A67,[1]marcos!$B67=S$4),"ok","nok")</f>
        <v>nok</v>
      </c>
      <c r="T70" s="74" t="str">
        <f>IF(AND($B70=[1]marcos!$A67,[1]marcos!$B67=T$4),"ok","nok")</f>
        <v>nok</v>
      </c>
      <c r="U70" s="74" t="str">
        <f>IF(AND($B70=[1]marcos!$A67,[1]marcos!$B67=U$4),"ok","nok")</f>
        <v>nok</v>
      </c>
      <c r="V70" s="74" t="str">
        <f>IF(AND($B70=[1]marcos!$A67,[1]marcos!$B67=V$4),"ok","nok")</f>
        <v>ok</v>
      </c>
      <c r="W70" s="74" t="str">
        <f>IF(AND($B70=[1]marcos!$A67,[1]marcos!$B67=W$4),"ok","nok")</f>
        <v>nok</v>
      </c>
      <c r="X70" s="74" t="str">
        <f>IF(AND($B70=[1]marcos!$A67,[1]marcos!$B67=X$4),"ok","nok")</f>
        <v>nok</v>
      </c>
      <c r="Y70" s="96" t="s">
        <v>32</v>
      </c>
      <c r="Z70" s="97"/>
      <c r="AA70" s="97"/>
      <c r="AB70" s="98"/>
      <c r="AC70" s="55"/>
      <c r="AD70" s="55"/>
      <c r="AE70" s="63" t="str">
        <f t="shared" si="4"/>
        <v>Certificação do documento - Vibracon</v>
      </c>
      <c r="AF70" s="63"/>
      <c r="AG70" s="63"/>
      <c r="AH70" s="63"/>
      <c r="AI70" s="64">
        <f t="shared" si="5"/>
        <v>0</v>
      </c>
      <c r="AJ70" s="64" t="str">
        <f t="shared" si="6"/>
        <v/>
      </c>
      <c r="AK70" s="64">
        <f t="shared" si="7"/>
        <v>0</v>
      </c>
      <c r="AL70" s="64" t="str">
        <f t="shared" si="8"/>
        <v/>
      </c>
      <c r="AM70" s="64">
        <f t="shared" si="9"/>
        <v>0</v>
      </c>
      <c r="AN70" s="64" t="str">
        <f t="shared" si="10"/>
        <v/>
      </c>
      <c r="AO70" s="64">
        <f t="shared" si="11"/>
        <v>1</v>
      </c>
      <c r="AP70" s="64" t="str">
        <f t="shared" si="12"/>
        <v/>
      </c>
      <c r="AQ70" s="64">
        <f t="shared" si="13"/>
        <v>0</v>
      </c>
      <c r="AR70" s="64" t="str">
        <f t="shared" si="14"/>
        <v/>
      </c>
    </row>
    <row r="71" spans="1:44" ht="30" customHeight="1" x14ac:dyDescent="0.35">
      <c r="A71" s="28" t="str">
        <f t="shared" si="21"/>
        <v>PT208 - PROJETO RIO TANQUE (Itabira)
ETAPA DE ESCRITÓRIO
MURO DE CONTENÇÃO</v>
      </c>
      <c r="B71" s="55" t="s">
        <v>39</v>
      </c>
      <c r="C71" s="74" t="str">
        <f>IF(AND($B71=[1]marcos!$A68,[1]marcos!$B68=C$4),"ok","nok")</f>
        <v>nok</v>
      </c>
      <c r="D71" s="74" t="str">
        <f>IF(AND($B71=[1]marcos!$A68,[1]marcos!$B68=D$4),"ok","nok")</f>
        <v>nok</v>
      </c>
      <c r="E71" s="83"/>
      <c r="F71" s="74" t="str">
        <f>IF(AND($B71=[1]marcos!$A68,[1]marcos!$B68=F$4),"ok","nok")</f>
        <v>nok</v>
      </c>
      <c r="G71" s="74" t="str">
        <f>IF(AND($B71=[1]marcos!$A68,[1]marcos!$B68=G$4),"ok","nok")</f>
        <v>nok</v>
      </c>
      <c r="H71" s="74" t="str">
        <f>IF(AND($B71=[1]marcos!$A68,[1]marcos!$B68=H$4),"ok","nok")</f>
        <v>nok</v>
      </c>
      <c r="I71" s="74" t="str">
        <f>IF(AND($B71=[1]marcos!$A68,[1]marcos!$B68=I$4),"ok","nok")</f>
        <v>nok</v>
      </c>
      <c r="J71" s="74" t="str">
        <f>IF(AND($B71=[1]marcos!$A68,[1]marcos!$B68=J$4),"ok","nok")</f>
        <v>nok</v>
      </c>
      <c r="K71" s="74" t="str">
        <f>IF(AND($B71=[1]marcos!$A68,[1]marcos!$B68=K$4),"ok","nok")</f>
        <v>nok</v>
      </c>
      <c r="L71" s="74" t="str">
        <f>IF(AND($B71=[1]marcos!$A68,[1]marcos!$B68=L$4),"ok","nok")</f>
        <v>nok</v>
      </c>
      <c r="M71" s="74" t="str">
        <f>IF(AND($B71=[1]marcos!$A68,[1]marcos!$B68=M$4),"ok","nok")</f>
        <v>nok</v>
      </c>
      <c r="N71" s="74" t="str">
        <f>IF(AND($B71=[1]marcos!$A68,[1]marcos!$B68=N$4),"ok","nok")</f>
        <v>nok</v>
      </c>
      <c r="O71" s="74" t="str">
        <f>IF(AND($B71=[1]marcos!$A68,[1]marcos!$B68=O$4),"ok","nok")</f>
        <v>nok</v>
      </c>
      <c r="P71" s="74" t="str">
        <f>IF(AND($B71=[1]marcos!$A68,[1]marcos!$B68=P$4),"ok","nok")</f>
        <v>nok</v>
      </c>
      <c r="Q71" s="74" t="str">
        <f>IF(AND($B71=[1]marcos!$A68,[1]marcos!$B68=Q$4),"ok","nok")</f>
        <v>nok</v>
      </c>
      <c r="R71" s="74" t="str">
        <f>IF(AND($B71=[1]marcos!$A68,[1]marcos!$B68=R$4),"ok","nok")</f>
        <v>nok</v>
      </c>
      <c r="S71" s="74" t="str">
        <f>IF(AND($B71=[1]marcos!$A68,[1]marcos!$B68=S$4),"ok","nok")</f>
        <v>nok</v>
      </c>
      <c r="T71" s="74" t="str">
        <f>IF(AND($B71=[1]marcos!$A68,[1]marcos!$B68=T$4),"ok","nok")</f>
        <v>nok</v>
      </c>
      <c r="U71" s="74" t="str">
        <f>IF(AND($B71=[1]marcos!$A68,[1]marcos!$B68=U$4),"ok","nok")</f>
        <v>nok</v>
      </c>
      <c r="V71" s="74" t="str">
        <f>IF(AND($B71=[1]marcos!$A68,[1]marcos!$B68=V$4),"ok","nok")</f>
        <v>ok</v>
      </c>
      <c r="W71" s="74" t="str">
        <f>IF(AND($B71=[1]marcos!$A68,[1]marcos!$B68=W$4),"ok","nok")</f>
        <v>nok</v>
      </c>
      <c r="X71" s="74" t="str">
        <f>IF(AND($B71=[1]marcos!$A68,[1]marcos!$B68=X$4),"ok","nok")</f>
        <v>nok</v>
      </c>
      <c r="Y71" s="96" t="s">
        <v>32</v>
      </c>
      <c r="Z71" s="97"/>
      <c r="AA71" s="97"/>
      <c r="AB71" s="98"/>
      <c r="AC71" s="55"/>
      <c r="AD71" s="55"/>
      <c r="AE71" s="63" t="str">
        <f t="shared" ref="AE71:AE134" si="22">IF(Y71="ATRASADO",B71,"")</f>
        <v>MARCO - Envio do documento Certificado (Rev_0)</v>
      </c>
      <c r="AF71" s="63"/>
      <c r="AG71" s="63"/>
      <c r="AH71" s="63"/>
      <c r="AI71" s="64">
        <f t="shared" ref="AI71:AI134" si="23">COUNTIF(C71:G71,"ok")</f>
        <v>0</v>
      </c>
      <c r="AJ71" s="64" t="str">
        <f t="shared" ref="AJ71:AJ134" si="24">IF(AND(AI71=1,OR($Y71="entregue",$Y71="efprazo")),$Y71,"")</f>
        <v/>
      </c>
      <c r="AK71" s="64">
        <f t="shared" ref="AK71:AK134" si="25">COUNTIF(H71:L71,"ok")</f>
        <v>0</v>
      </c>
      <c r="AL71" s="64" t="str">
        <f t="shared" ref="AL71:AL134" si="26">IF(AND(AK71=1,OR(Y71="entregue",Y71="efprazo")),Y71,"")</f>
        <v/>
      </c>
      <c r="AM71" s="64">
        <f t="shared" ref="AM71:AM134" si="27">COUNTIF(M71:Q71,"ok")</f>
        <v>0</v>
      </c>
      <c r="AN71" s="64" t="str">
        <f t="shared" ref="AN71:AN134" si="28">IF(AND(AM71=1,OR($Y71="entregue",$Y71="efprazo")),$Y71,"")</f>
        <v/>
      </c>
      <c r="AO71" s="64">
        <f t="shared" ref="AO71:AO134" si="29">COUNTIF(R71:V71,"ok")</f>
        <v>1</v>
      </c>
      <c r="AP71" s="64" t="str">
        <f t="shared" ref="AP71:AP134" si="30">IF(AND(AO71=1,OR($Y71="entregue",$Y71="efprazo")),$Y71,"")</f>
        <v/>
      </c>
      <c r="AQ71" s="64">
        <f t="shared" ref="AQ71:AQ134" si="31">COUNTIF(W71:X71,"ok")</f>
        <v>0</v>
      </c>
      <c r="AR71" s="64" t="str">
        <f t="shared" ref="AR71:AR134" si="32">IF(AND(AQ71=1,OR($Y71="entregue",$Y71="efprazo")),$Y71,"")</f>
        <v/>
      </c>
    </row>
    <row r="72" spans="1:44" ht="30" customHeight="1" x14ac:dyDescent="0.35">
      <c r="A72" s="28" t="str">
        <f t="shared" si="21"/>
        <v>PT208 - PROJETO RIO TANQUE (Itabira)
ETAPA DE ESCRITÓRIO
MURO DE CONTENÇÃO</v>
      </c>
      <c r="B72" s="53" t="s">
        <v>48</v>
      </c>
      <c r="C72" s="74" t="str">
        <f>IF(AND($B72=[1]marcos!$A69,[1]marcos!$B69=C$4),"ok","nok")</f>
        <v>nok</v>
      </c>
      <c r="D72" s="74" t="str">
        <f>IF(AND($B72=[1]marcos!$A69,[1]marcos!$B69=D$4),"ok","nok")</f>
        <v>nok</v>
      </c>
      <c r="E72" s="74" t="str">
        <f>IF(AND($B72=[1]marcos!$A69,[1]marcos!$B69=E$4),"ok","nok")</f>
        <v>nok</v>
      </c>
      <c r="F72" s="74" t="str">
        <f>IF(AND($B72=[1]marcos!$A69,[1]marcos!$B69=F$4),"ok","nok")</f>
        <v>nok</v>
      </c>
      <c r="G72" s="83"/>
      <c r="H72" s="74" t="str">
        <f>IF(AND($B72=[1]marcos!$A69,[1]marcos!$B69=H$4),"ok","nok")</f>
        <v>nok</v>
      </c>
      <c r="I72" s="74" t="str">
        <f>IF(AND($B72=[1]marcos!$A69,[1]marcos!$B69=I$4),"ok","nok")</f>
        <v>nok</v>
      </c>
      <c r="J72" s="74" t="str">
        <f>IF(AND($B72=[1]marcos!$A69,[1]marcos!$B69=J$4),"ok","nok")</f>
        <v>nok</v>
      </c>
      <c r="K72" s="74" t="str">
        <f>IF(AND($B72=[1]marcos!$A69,[1]marcos!$B69=K$4),"ok","nok")</f>
        <v>nok</v>
      </c>
      <c r="L72" s="74" t="str">
        <f>IF(AND($B72=[1]marcos!$A69,[1]marcos!$B69=L$4),"ok","nok")</f>
        <v>nok</v>
      </c>
      <c r="M72" s="74" t="str">
        <f>IF(AND($B72=[1]marcos!$A69,[1]marcos!$B69=M$4),"ok","nok")</f>
        <v>nok</v>
      </c>
      <c r="N72" s="74" t="str">
        <f>IF(AND($B72=[1]marcos!$A69,[1]marcos!$B69=N$4),"ok","nok")</f>
        <v>nok</v>
      </c>
      <c r="O72" s="74" t="str">
        <f>IF(AND($B72=[1]marcos!$A69,[1]marcos!$B69=O$4),"ok","nok")</f>
        <v>nok</v>
      </c>
      <c r="P72" s="74" t="str">
        <f>IF(AND($B72=[1]marcos!$A69,[1]marcos!$B69=P$4),"ok","nok")</f>
        <v>nok</v>
      </c>
      <c r="Q72" s="74" t="str">
        <f>IF(AND($B72=[1]marcos!$A69,[1]marcos!$B69=Q$4),"ok","nok")</f>
        <v>nok</v>
      </c>
      <c r="R72" s="74" t="str">
        <f>IF(AND($B72=[1]marcos!$A69,[1]marcos!$B69=R$4),"ok","nok")</f>
        <v>nok</v>
      </c>
      <c r="S72" s="74" t="str">
        <f>IF(AND($B72=[1]marcos!$A69,[1]marcos!$B69=S$4),"ok","nok")</f>
        <v>nok</v>
      </c>
      <c r="T72" s="74" t="str">
        <f>IF(AND($B72=[1]marcos!$A69,[1]marcos!$B69=T$4),"ok","nok")</f>
        <v>nok</v>
      </c>
      <c r="U72" s="74" t="str">
        <f>IF(AND($B72=[1]marcos!$A69,[1]marcos!$B69=U$4),"ok","nok")</f>
        <v>nok</v>
      </c>
      <c r="V72" s="74" t="str">
        <f>IF(AND($B72=[1]marcos!$A69,[1]marcos!$B69=V$4),"ok","nok")</f>
        <v>ok</v>
      </c>
      <c r="W72" s="74" t="str">
        <f>IF(AND($B72=[1]marcos!$A69,[1]marcos!$B69=W$4),"ok","nok")</f>
        <v>nok</v>
      </c>
      <c r="X72" s="74" t="str">
        <f>IF(AND($B72=[1]marcos!$A69,[1]marcos!$B69=X$4),"ok","nok")</f>
        <v>nok</v>
      </c>
      <c r="Y72" s="96" t="s">
        <v>32</v>
      </c>
      <c r="Z72" s="97"/>
      <c r="AA72" s="97"/>
      <c r="AB72" s="98"/>
      <c r="AC72" s="55"/>
      <c r="AD72" s="55"/>
      <c r="AE72" s="63" t="str">
        <f t="shared" si="22"/>
        <v>Modelagem</v>
      </c>
      <c r="AF72" s="63"/>
      <c r="AG72" s="63"/>
      <c r="AH72" s="63"/>
      <c r="AI72" s="64">
        <f t="shared" si="23"/>
        <v>0</v>
      </c>
      <c r="AJ72" s="64" t="str">
        <f t="shared" si="24"/>
        <v/>
      </c>
      <c r="AK72" s="64">
        <f t="shared" si="25"/>
        <v>0</v>
      </c>
      <c r="AL72" s="64" t="str">
        <f t="shared" si="26"/>
        <v/>
      </c>
      <c r="AM72" s="64">
        <f t="shared" si="27"/>
        <v>0</v>
      </c>
      <c r="AN72" s="64" t="str">
        <f t="shared" si="28"/>
        <v/>
      </c>
      <c r="AO72" s="64">
        <f t="shared" si="29"/>
        <v>1</v>
      </c>
      <c r="AP72" s="64" t="str">
        <f t="shared" si="30"/>
        <v/>
      </c>
      <c r="AQ72" s="64">
        <f t="shared" si="31"/>
        <v>0</v>
      </c>
      <c r="AR72" s="64" t="str">
        <f t="shared" si="32"/>
        <v/>
      </c>
    </row>
    <row r="73" spans="1:44" ht="30" customHeight="1" x14ac:dyDescent="0.35">
      <c r="A73" s="28" t="str">
        <f t="shared" si="21"/>
        <v>PT208 - PROJETO RIO TANQUE (Itabira)
ETAPA DE ESCRITÓRIO
MURO DE CONTENÇÃO</v>
      </c>
      <c r="B73" s="53" t="s">
        <v>49</v>
      </c>
      <c r="C73" s="74" t="str">
        <f>IF(AND($B73=[1]marcos!$A70,[1]marcos!$B70=C$4),"ok","nok")</f>
        <v>nok</v>
      </c>
      <c r="D73" s="74" t="str">
        <f>IF(AND($B73=[1]marcos!$A70,[1]marcos!$B70=D$4),"ok","nok")</f>
        <v>nok</v>
      </c>
      <c r="E73" s="74" t="str">
        <f>IF(AND($B73=[1]marcos!$A70,[1]marcos!$B70=E$4),"ok","nok")</f>
        <v>nok</v>
      </c>
      <c r="F73" s="74" t="str">
        <f>IF(AND($B73=[1]marcos!$A70,[1]marcos!$B70=F$4),"ok","nok")</f>
        <v>nok</v>
      </c>
      <c r="G73" s="74" t="str">
        <f>IF(AND($B73=[1]marcos!$A70,[1]marcos!$B70=G$4),"ok","nok")</f>
        <v>nok</v>
      </c>
      <c r="H73" s="74" t="str">
        <f>IF(AND($B73=[1]marcos!$A70,[1]marcos!$B70=H$4),"ok","nok")</f>
        <v>nok</v>
      </c>
      <c r="I73" s="83"/>
      <c r="J73" s="74" t="str">
        <f>IF(AND($B73=[1]marcos!$A70,[1]marcos!$B70=J$4),"ok","nok")</f>
        <v>nok</v>
      </c>
      <c r="K73" s="74" t="str">
        <f>IF(AND($B73=[1]marcos!$A70,[1]marcos!$B70=K$4),"ok","nok")</f>
        <v>nok</v>
      </c>
      <c r="L73" s="74" t="str">
        <f>IF(AND($B73=[1]marcos!$A70,[1]marcos!$B70=L$4),"ok","nok")</f>
        <v>nok</v>
      </c>
      <c r="M73" s="74" t="str">
        <f>IF(AND($B73=[1]marcos!$A70,[1]marcos!$B70=M$4),"ok","nok")</f>
        <v>nok</v>
      </c>
      <c r="N73" s="74" t="str">
        <f>IF(AND($B73=[1]marcos!$A70,[1]marcos!$B70=N$4),"ok","nok")</f>
        <v>nok</v>
      </c>
      <c r="O73" s="74" t="str">
        <f>IF(AND($B73=[1]marcos!$A70,[1]marcos!$B70=O$4),"ok","nok")</f>
        <v>nok</v>
      </c>
      <c r="P73" s="74" t="str">
        <f>IF(AND($B73=[1]marcos!$A70,[1]marcos!$B70=P$4),"ok","nok")</f>
        <v>nok</v>
      </c>
      <c r="Q73" s="74" t="str">
        <f>IF(AND($B73=[1]marcos!$A70,[1]marcos!$B70=Q$4),"ok","nok")</f>
        <v>nok</v>
      </c>
      <c r="R73" s="74" t="str">
        <f>IF(AND($B73=[1]marcos!$A70,[1]marcos!$B70=R$4),"ok","nok")</f>
        <v>nok</v>
      </c>
      <c r="S73" s="74" t="str">
        <f>IF(AND($B73=[1]marcos!$A70,[1]marcos!$B70=S$4),"ok","nok")</f>
        <v>nok</v>
      </c>
      <c r="T73" s="74" t="str">
        <f>IF(AND($B73=[1]marcos!$A70,[1]marcos!$B70=T$4),"ok","nok")</f>
        <v>nok</v>
      </c>
      <c r="U73" s="74" t="str">
        <f>IF(AND($B73=[1]marcos!$A70,[1]marcos!$B70=U$4),"ok","nok")</f>
        <v>nok</v>
      </c>
      <c r="V73" s="74" t="str">
        <f>IF(AND($B73=[1]marcos!$A70,[1]marcos!$B70=V$4),"ok","nok")</f>
        <v>nok</v>
      </c>
      <c r="W73" s="74" t="str">
        <f>IF(AND($B73=[1]marcos!$A70,[1]marcos!$B70=W$4),"ok","nok")</f>
        <v>ok</v>
      </c>
      <c r="X73" s="74" t="str">
        <f>IF(AND($B73=[1]marcos!$A70,[1]marcos!$B70=X$4),"ok","nok")</f>
        <v>nok</v>
      </c>
      <c r="Y73" s="96" t="s">
        <v>32</v>
      </c>
      <c r="Z73" s="97"/>
      <c r="AA73" s="97"/>
      <c r="AB73" s="98"/>
      <c r="AC73" s="55"/>
      <c r="AD73" s="55"/>
      <c r="AE73" s="63" t="str">
        <f t="shared" si="22"/>
        <v>Aplicação das cargas e condições de contorno</v>
      </c>
      <c r="AF73" s="63"/>
      <c r="AG73" s="63"/>
      <c r="AH73" s="63"/>
      <c r="AI73" s="64">
        <f t="shared" si="23"/>
        <v>0</v>
      </c>
      <c r="AJ73" s="64" t="str">
        <f t="shared" si="24"/>
        <v/>
      </c>
      <c r="AK73" s="64">
        <f t="shared" si="25"/>
        <v>0</v>
      </c>
      <c r="AL73" s="64" t="str">
        <f t="shared" si="26"/>
        <v/>
      </c>
      <c r="AM73" s="64">
        <f t="shared" si="27"/>
        <v>0</v>
      </c>
      <c r="AN73" s="64" t="str">
        <f t="shared" si="28"/>
        <v/>
      </c>
      <c r="AO73" s="64">
        <f t="shared" si="29"/>
        <v>0</v>
      </c>
      <c r="AP73" s="64" t="str">
        <f t="shared" si="30"/>
        <v/>
      </c>
      <c r="AQ73" s="64">
        <f t="shared" si="31"/>
        <v>1</v>
      </c>
      <c r="AR73" s="64" t="str">
        <f t="shared" si="32"/>
        <v/>
      </c>
    </row>
    <row r="74" spans="1:44" ht="30" customHeight="1" x14ac:dyDescent="0.35">
      <c r="A74" s="28" t="str">
        <f t="shared" si="21"/>
        <v>PT208 - PROJETO RIO TANQUE (Itabira)
ETAPA DE ESCRITÓRIO
MURO DE CONTENÇÃO</v>
      </c>
      <c r="B74" s="53" t="s">
        <v>50</v>
      </c>
      <c r="C74" s="74" t="str">
        <f>IF(AND($B74=[1]marcos!$A71,[1]marcos!$B71=C$4),"ok","nok")</f>
        <v>nok</v>
      </c>
      <c r="D74" s="74" t="str">
        <f>IF(AND($B74=[1]marcos!$A71,[1]marcos!$B71=D$4),"ok","nok")</f>
        <v>nok</v>
      </c>
      <c r="E74" s="74" t="str">
        <f>IF(AND($B74=[1]marcos!$A71,[1]marcos!$B71=E$4),"ok","nok")</f>
        <v>nok</v>
      </c>
      <c r="F74" s="74" t="str">
        <f>IF(AND($B74=[1]marcos!$A71,[1]marcos!$B71=F$4),"ok","nok")</f>
        <v>nok</v>
      </c>
      <c r="G74" s="74" t="str">
        <f>IF(AND($B74=[1]marcos!$A71,[1]marcos!$B71=G$4),"ok","nok")</f>
        <v>nok</v>
      </c>
      <c r="H74" s="74" t="str">
        <f>IF(AND($B74=[1]marcos!$A71,[1]marcos!$B71=H$4),"ok","nok")</f>
        <v>nok</v>
      </c>
      <c r="I74" s="74" t="str">
        <f>IF(AND($B74=[1]marcos!$A71,[1]marcos!$B71=I$4),"ok","nok")</f>
        <v>nok</v>
      </c>
      <c r="J74" s="74" t="str">
        <f>IF(AND($B74=[1]marcos!$A71,[1]marcos!$B71=J$4),"ok","nok")</f>
        <v>nok</v>
      </c>
      <c r="K74" s="83"/>
      <c r="L74" s="74" t="str">
        <f>IF(AND($B74=[1]marcos!$A71,[1]marcos!$B71=L$4),"ok","nok")</f>
        <v>nok</v>
      </c>
      <c r="M74" s="74" t="str">
        <f>IF(AND($B74=[1]marcos!$A71,[1]marcos!$B71=M$4),"ok","nok")</f>
        <v>nok</v>
      </c>
      <c r="N74" s="74" t="str">
        <f>IF(AND($B74=[1]marcos!$A71,[1]marcos!$B71=N$4),"ok","nok")</f>
        <v>nok</v>
      </c>
      <c r="O74" s="74" t="str">
        <f>IF(AND($B74=[1]marcos!$A71,[1]marcos!$B71=O$4),"ok","nok")</f>
        <v>nok</v>
      </c>
      <c r="P74" s="74" t="str">
        <f>IF(AND($B74=[1]marcos!$A71,[1]marcos!$B71=P$4),"ok","nok")</f>
        <v>nok</v>
      </c>
      <c r="Q74" s="74" t="str">
        <f>IF(AND($B74=[1]marcos!$A71,[1]marcos!$B71=Q$4),"ok","nok")</f>
        <v>nok</v>
      </c>
      <c r="R74" s="74" t="str">
        <f>IF(AND($B74=[1]marcos!$A71,[1]marcos!$B71=R$4),"ok","nok")</f>
        <v>nok</v>
      </c>
      <c r="S74" s="74" t="str">
        <f>IF(AND($B74=[1]marcos!$A71,[1]marcos!$B71=S$4),"ok","nok")</f>
        <v>nok</v>
      </c>
      <c r="T74" s="74" t="str">
        <f>IF(AND($B74=[1]marcos!$A71,[1]marcos!$B71=T$4),"ok","nok")</f>
        <v>nok</v>
      </c>
      <c r="U74" s="74" t="str">
        <f>IF(AND($B74=[1]marcos!$A71,[1]marcos!$B71=U$4),"ok","nok")</f>
        <v>nok</v>
      </c>
      <c r="V74" s="74" t="str">
        <f>IF(AND($B74=[1]marcos!$A71,[1]marcos!$B71=V$4),"ok","nok")</f>
        <v>nok</v>
      </c>
      <c r="W74" s="74" t="str">
        <f>IF(AND($B74=[1]marcos!$A71,[1]marcos!$B71=W$4),"ok","nok")</f>
        <v>ok</v>
      </c>
      <c r="X74" s="74" t="str">
        <f>IF(AND($B74=[1]marcos!$A71,[1]marcos!$B71=X$4),"ok","nok")</f>
        <v>nok</v>
      </c>
      <c r="Y74" s="96" t="s">
        <v>32</v>
      </c>
      <c r="Z74" s="97"/>
      <c r="AA74" s="97"/>
      <c r="AB74" s="98"/>
      <c r="AC74" s="61"/>
      <c r="AD74" s="61"/>
      <c r="AE74" s="63" t="str">
        <f t="shared" si="22"/>
        <v>Análise dos Resultados</v>
      </c>
      <c r="AF74" s="63"/>
      <c r="AG74" s="63"/>
      <c r="AH74" s="63"/>
      <c r="AI74" s="64">
        <f t="shared" si="23"/>
        <v>0</v>
      </c>
      <c r="AJ74" s="64" t="str">
        <f t="shared" si="24"/>
        <v/>
      </c>
      <c r="AK74" s="64">
        <f t="shared" si="25"/>
        <v>0</v>
      </c>
      <c r="AL74" s="64" t="str">
        <f t="shared" si="26"/>
        <v/>
      </c>
      <c r="AM74" s="64">
        <f t="shared" si="27"/>
        <v>0</v>
      </c>
      <c r="AN74" s="64" t="str">
        <f t="shared" si="28"/>
        <v/>
      </c>
      <c r="AO74" s="64">
        <f t="shared" si="29"/>
        <v>0</v>
      </c>
      <c r="AP74" s="64" t="str">
        <f t="shared" si="30"/>
        <v/>
      </c>
      <c r="AQ74" s="64">
        <f t="shared" si="31"/>
        <v>1</v>
      </c>
      <c r="AR74" s="64" t="str">
        <f t="shared" si="32"/>
        <v/>
      </c>
    </row>
    <row r="75" spans="1:44" ht="30" customHeight="1" x14ac:dyDescent="0.35">
      <c r="A75" s="28" t="str">
        <f t="shared" si="21"/>
        <v>PT208 - PROJETO RIO TANQUE (Itabira)
ETAPA DE ESCRITÓRIO
MURO DE CONTENÇÃO</v>
      </c>
      <c r="B75" s="53" t="s">
        <v>51</v>
      </c>
      <c r="C75" s="74" t="str">
        <f>IF(AND($B75=[1]marcos!$A72,[1]marcos!$B72=C$4),"ok","nok")</f>
        <v>nok</v>
      </c>
      <c r="D75" s="74" t="str">
        <f>IF(AND($B75=[1]marcos!$A72,[1]marcos!$B72=D$4),"ok","nok")</f>
        <v>nok</v>
      </c>
      <c r="E75" s="74" t="str">
        <f>IF(AND($B75=[1]marcos!$A72,[1]marcos!$B72=E$4),"ok","nok")</f>
        <v>nok</v>
      </c>
      <c r="F75" s="74" t="str">
        <f>IF(AND($B75=[1]marcos!$A72,[1]marcos!$B72=F$4),"ok","nok")</f>
        <v>nok</v>
      </c>
      <c r="G75" s="74" t="str">
        <f>IF(AND($B75=[1]marcos!$A72,[1]marcos!$B72=G$4),"ok","nok")</f>
        <v>nok</v>
      </c>
      <c r="H75" s="74" t="str">
        <f>IF(AND($B75=[1]marcos!$A72,[1]marcos!$B72=H$4),"ok","nok")</f>
        <v>nok</v>
      </c>
      <c r="I75" s="74" t="str">
        <f>IF(AND($B75=[1]marcos!$A72,[1]marcos!$B72=I$4),"ok","nok")</f>
        <v>nok</v>
      </c>
      <c r="J75" s="74" t="str">
        <f>IF(AND($B75=[1]marcos!$A72,[1]marcos!$B72=J$4),"ok","nok")</f>
        <v>nok</v>
      </c>
      <c r="K75" s="74" t="str">
        <f>IF(AND($B75=[1]marcos!$A72,[1]marcos!$B72=K$4),"ok","nok")</f>
        <v>nok</v>
      </c>
      <c r="L75" s="74" t="str">
        <f>IF(AND($B75=[1]marcos!$A72,[1]marcos!$B72=L$4),"ok","nok")</f>
        <v>nok</v>
      </c>
      <c r="M75" s="74" t="str">
        <f>IF(AND($B75=[1]marcos!$A72,[1]marcos!$B72=M$4),"ok","nok")</f>
        <v>nok</v>
      </c>
      <c r="N75" s="74" t="str">
        <f>IF(AND($B75=[1]marcos!$A72,[1]marcos!$B72=N$4),"ok","nok")</f>
        <v>nok</v>
      </c>
      <c r="O75" s="83"/>
      <c r="P75" s="74" t="str">
        <f>IF(AND($B75=[1]marcos!$A72,[1]marcos!$B72=P$4),"ok","nok")</f>
        <v>nok</v>
      </c>
      <c r="Q75" s="74" t="str">
        <f>IF(AND($B75=[1]marcos!$A72,[1]marcos!$B72=Q$4),"ok","nok")</f>
        <v>nok</v>
      </c>
      <c r="R75" s="74" t="str">
        <f>IF(AND($B75=[1]marcos!$A72,[1]marcos!$B72=R$4),"ok","nok")</f>
        <v>nok</v>
      </c>
      <c r="S75" s="74" t="str">
        <f>IF(AND($B75=[1]marcos!$A72,[1]marcos!$B72=S$4),"ok","nok")</f>
        <v>nok</v>
      </c>
      <c r="T75" s="74" t="str">
        <f>IF(AND($B75=[1]marcos!$A72,[1]marcos!$B72=T$4),"ok","nok")</f>
        <v>nok</v>
      </c>
      <c r="U75" s="74" t="str">
        <f>IF(AND($B75=[1]marcos!$A72,[1]marcos!$B72=U$4),"ok","nok")</f>
        <v>nok</v>
      </c>
      <c r="V75" s="74" t="str">
        <f>IF(AND($B75=[1]marcos!$A72,[1]marcos!$B72=V$4),"ok","nok")</f>
        <v>nok</v>
      </c>
      <c r="W75" s="74" t="str">
        <f>IF(AND($B75=[1]marcos!$A72,[1]marcos!$B72=W$4),"ok","nok")</f>
        <v>ok</v>
      </c>
      <c r="X75" s="74" t="str">
        <f>IF(AND($B75=[1]marcos!$A72,[1]marcos!$B72=X$4),"ok","nok")</f>
        <v>nok</v>
      </c>
      <c r="Y75" s="96" t="s">
        <v>16</v>
      </c>
      <c r="Z75" s="97"/>
      <c r="AA75" s="97"/>
      <c r="AB75" s="98"/>
      <c r="AC75" s="61"/>
      <c r="AD75" s="61"/>
      <c r="AE75" s="63" t="str">
        <f t="shared" si="22"/>
        <v/>
      </c>
      <c r="AF75" s="63"/>
      <c r="AG75" s="63"/>
      <c r="AH75" s="63"/>
      <c r="AI75" s="64">
        <f t="shared" si="23"/>
        <v>0</v>
      </c>
      <c r="AJ75" s="64" t="str">
        <f t="shared" si="24"/>
        <v/>
      </c>
      <c r="AK75" s="64">
        <f t="shared" si="25"/>
        <v>0</v>
      </c>
      <c r="AL75" s="64" t="str">
        <f t="shared" si="26"/>
        <v/>
      </c>
      <c r="AM75" s="64">
        <f t="shared" si="27"/>
        <v>0</v>
      </c>
      <c r="AN75" s="64" t="str">
        <f t="shared" si="28"/>
        <v/>
      </c>
      <c r="AO75" s="64">
        <f t="shared" si="29"/>
        <v>0</v>
      </c>
      <c r="AP75" s="64" t="str">
        <f t="shared" si="30"/>
        <v/>
      </c>
      <c r="AQ75" s="64">
        <f t="shared" si="31"/>
        <v>1</v>
      </c>
      <c r="AR75" s="64" t="str">
        <f t="shared" si="32"/>
        <v/>
      </c>
    </row>
    <row r="76" spans="1:44" ht="30" customHeight="1" x14ac:dyDescent="0.35">
      <c r="A76" s="28" t="str">
        <f t="shared" si="21"/>
        <v>PT208 - PROJETO RIO TANQUE (Itabira)
ETAPA DE ESCRITÓRIO
MURO DE CONTENÇÃO</v>
      </c>
      <c r="B76" s="53" t="s">
        <v>79</v>
      </c>
      <c r="C76" s="74" t="str">
        <f>IF(AND($B76=[1]marcos!$A73,[1]marcos!$B73=C$4),"ok","nok")</f>
        <v>nok</v>
      </c>
      <c r="D76" s="74" t="str">
        <f>IF(AND($B76=[1]marcos!$A73,[1]marcos!$B73=D$4),"ok","nok")</f>
        <v>nok</v>
      </c>
      <c r="E76" s="74" t="str">
        <f>IF(AND($B76=[1]marcos!$A73,[1]marcos!$B73=E$4),"ok","nok")</f>
        <v>nok</v>
      </c>
      <c r="F76" s="74" t="str">
        <f>IF(AND($B76=[1]marcos!$A73,[1]marcos!$B73=F$4),"ok","nok")</f>
        <v>nok</v>
      </c>
      <c r="G76" s="74" t="str">
        <f>IF(AND($B76=[1]marcos!$A73,[1]marcos!$B73=G$4),"ok","nok")</f>
        <v>nok</v>
      </c>
      <c r="H76" s="74" t="str">
        <f>IF(AND($B76=[1]marcos!$A73,[1]marcos!$B73=H$4),"ok","nok")</f>
        <v>nok</v>
      </c>
      <c r="I76" s="74" t="str">
        <f>IF(AND($B76=[1]marcos!$A73,[1]marcos!$B73=I$4),"ok","nok")</f>
        <v>nok</v>
      </c>
      <c r="J76" s="74" t="str">
        <f>IF(AND($B76=[1]marcos!$A73,[1]marcos!$B73=J$4),"ok","nok")</f>
        <v>nok</v>
      </c>
      <c r="K76" s="74" t="str">
        <f>IF(AND($B76=[1]marcos!$A73,[1]marcos!$B73=K$4),"ok","nok")</f>
        <v>nok</v>
      </c>
      <c r="L76" s="74" t="str">
        <f>IF(AND($B76=[1]marcos!$A73,[1]marcos!$B73=L$4),"ok","nok")</f>
        <v>nok</v>
      </c>
      <c r="M76" s="74" t="str">
        <f>IF(AND($B76=[1]marcos!$A73,[1]marcos!$B73=M$4),"ok","nok")</f>
        <v>nok</v>
      </c>
      <c r="N76" s="74" t="str">
        <f>IF(AND($B76=[1]marcos!$A73,[1]marcos!$B73=N$4),"ok","nok")</f>
        <v>nok</v>
      </c>
      <c r="O76" s="74" t="str">
        <f>IF(AND($B76=[1]marcos!$A73,[1]marcos!$B73=O$4),"ok","nok")</f>
        <v>nok</v>
      </c>
      <c r="P76" s="83"/>
      <c r="Q76" s="74" t="str">
        <f>IF(AND($B76=[1]marcos!$A73,[1]marcos!$B73=Q$4),"ok","nok")</f>
        <v>nok</v>
      </c>
      <c r="R76" s="74" t="str">
        <f>IF(AND($B76=[1]marcos!$A73,[1]marcos!$B73=R$4),"ok","nok")</f>
        <v>nok</v>
      </c>
      <c r="S76" s="74" t="str">
        <f>IF(AND($B76=[1]marcos!$A73,[1]marcos!$B73=S$4),"ok","nok")</f>
        <v>nok</v>
      </c>
      <c r="T76" s="74" t="str">
        <f>IF(AND($B76=[1]marcos!$A73,[1]marcos!$B73=T$4),"ok","nok")</f>
        <v>nok</v>
      </c>
      <c r="U76" s="74" t="str">
        <f>IF(AND($B76=[1]marcos!$A73,[1]marcos!$B73=U$4),"ok","nok")</f>
        <v>nok</v>
      </c>
      <c r="V76" s="74" t="str">
        <f>IF(AND($B76=[1]marcos!$A73,[1]marcos!$B73=V$4),"ok","nok")</f>
        <v>nok</v>
      </c>
      <c r="W76" s="74" t="str">
        <f>IF(AND($B76=[1]marcos!$A73,[1]marcos!$B73=W$4),"ok","nok")</f>
        <v>ok</v>
      </c>
      <c r="X76" s="74" t="str">
        <f>IF(AND($B76=[1]marcos!$A73,[1]marcos!$B73=X$4),"ok","nok")</f>
        <v>nok</v>
      </c>
      <c r="Y76" s="96" t="s">
        <v>16</v>
      </c>
      <c r="Z76" s="97"/>
      <c r="AA76" s="97"/>
      <c r="AB76" s="98"/>
      <c r="AC76" s="61"/>
      <c r="AD76" s="61"/>
      <c r="AE76" s="63" t="str">
        <f t="shared" si="22"/>
        <v/>
      </c>
      <c r="AF76" s="63"/>
      <c r="AG76" s="63"/>
      <c r="AH76" s="63"/>
      <c r="AI76" s="64">
        <f t="shared" si="23"/>
        <v>0</v>
      </c>
      <c r="AJ76" s="64" t="str">
        <f t="shared" si="24"/>
        <v/>
      </c>
      <c r="AK76" s="64">
        <f t="shared" si="25"/>
        <v>0</v>
      </c>
      <c r="AL76" s="64" t="str">
        <f t="shared" si="26"/>
        <v/>
      </c>
      <c r="AM76" s="64">
        <f t="shared" si="27"/>
        <v>0</v>
      </c>
      <c r="AN76" s="64" t="str">
        <f t="shared" si="28"/>
        <v/>
      </c>
      <c r="AO76" s="64">
        <f t="shared" si="29"/>
        <v>0</v>
      </c>
      <c r="AP76" s="64" t="str">
        <f t="shared" si="30"/>
        <v/>
      </c>
      <c r="AQ76" s="64">
        <f t="shared" si="31"/>
        <v>1</v>
      </c>
      <c r="AR76" s="64" t="str">
        <f t="shared" si="32"/>
        <v/>
      </c>
    </row>
    <row r="77" spans="1:44" ht="30" customHeight="1" x14ac:dyDescent="0.35">
      <c r="A77" s="28"/>
      <c r="B77" s="54" t="s">
        <v>80</v>
      </c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114"/>
      <c r="Z77" s="115"/>
      <c r="AA77" s="115"/>
      <c r="AB77" s="116"/>
      <c r="AC77" s="61"/>
      <c r="AD77" s="61"/>
      <c r="AE77" s="63" t="str">
        <f t="shared" si="22"/>
        <v/>
      </c>
      <c r="AF77" s="63"/>
      <c r="AG77" s="63"/>
      <c r="AH77" s="63"/>
      <c r="AI77" s="64">
        <f t="shared" si="23"/>
        <v>0</v>
      </c>
      <c r="AJ77" s="64" t="str">
        <f t="shared" si="24"/>
        <v/>
      </c>
      <c r="AK77" s="64">
        <f t="shared" si="25"/>
        <v>0</v>
      </c>
      <c r="AL77" s="64" t="str">
        <f t="shared" si="26"/>
        <v/>
      </c>
      <c r="AM77" s="64">
        <f t="shared" si="27"/>
        <v>0</v>
      </c>
      <c r="AN77" s="64" t="str">
        <f t="shared" si="28"/>
        <v/>
      </c>
      <c r="AO77" s="64">
        <f t="shared" si="29"/>
        <v>0</v>
      </c>
      <c r="AP77" s="64" t="str">
        <f t="shared" si="30"/>
        <v/>
      </c>
      <c r="AQ77" s="64">
        <f t="shared" si="31"/>
        <v>0</v>
      </c>
      <c r="AR77" s="64" t="str">
        <f t="shared" si="32"/>
        <v/>
      </c>
    </row>
    <row r="78" spans="1:44" ht="30" customHeight="1" x14ac:dyDescent="0.35">
      <c r="A78" s="28" t="str">
        <f t="shared" si="21"/>
        <v>PT208 - PROJETO RIO TANQUE (Itabira)
ETAPA DE ESCRITÓRIO
MURO DE CONTENÇÃO</v>
      </c>
      <c r="B78" s="55" t="s">
        <v>44</v>
      </c>
      <c r="C78" s="74" t="str">
        <f>IF(AND($B78=[1]marcos!$A75,[1]marcos!$B75=C$4),"ok","nok")</f>
        <v>nok</v>
      </c>
      <c r="D78" s="74" t="str">
        <f>IF(AND($B78=[1]marcos!$A75,[1]marcos!$B75=D$4),"ok","nok")</f>
        <v>nok</v>
      </c>
      <c r="E78" s="74" t="str">
        <f>IF(AND($B78=[1]marcos!$A75,[1]marcos!$B75=E$4),"ok","nok")</f>
        <v>nok</v>
      </c>
      <c r="F78" s="74" t="str">
        <f>IF(AND($B78=[1]marcos!$A75,[1]marcos!$B75=F$4),"ok","nok")</f>
        <v>nok</v>
      </c>
      <c r="G78" s="74" t="str">
        <f>IF(AND($B78=[1]marcos!$A75,[1]marcos!$B75=G$4),"ok","nok")</f>
        <v>nok</v>
      </c>
      <c r="H78" s="74" t="str">
        <f>IF(AND($B78=[1]marcos!$A75,[1]marcos!$B75=H$4),"ok","nok")</f>
        <v>nok</v>
      </c>
      <c r="I78" s="74" t="str">
        <f>IF(AND($B78=[1]marcos!$A75,[1]marcos!$B75=I$4),"ok","nok")</f>
        <v>nok</v>
      </c>
      <c r="J78" s="74" t="str">
        <f>IF(AND($B78=[1]marcos!$A75,[1]marcos!$B75=J$4),"ok","nok")</f>
        <v>nok</v>
      </c>
      <c r="K78" s="74" t="str">
        <f>IF(AND($B78=[1]marcos!$A75,[1]marcos!$B75=K$4),"ok","nok")</f>
        <v>nok</v>
      </c>
      <c r="L78" s="74" t="str">
        <f>IF(AND($B78=[1]marcos!$A75,[1]marcos!$B75=L$4),"ok","nok")</f>
        <v>nok</v>
      </c>
      <c r="M78" s="74" t="str">
        <f>IF(AND($B78=[1]marcos!$A75,[1]marcos!$B75=M$4),"ok","nok")</f>
        <v>nok</v>
      </c>
      <c r="N78" s="74" t="str">
        <f>IF(AND($B78=[1]marcos!$A75,[1]marcos!$B75=N$4),"ok","nok")</f>
        <v>nok</v>
      </c>
      <c r="O78" s="74" t="str">
        <f>IF(AND($B78=[1]marcos!$A75,[1]marcos!$B75=O$4),"ok","nok")</f>
        <v>nok</v>
      </c>
      <c r="P78" s="83"/>
      <c r="Q78" s="74" t="str">
        <f>IF(AND($B78=[1]marcos!$A75,[1]marcos!$B75=Q$4),"ok","nok")</f>
        <v>nok</v>
      </c>
      <c r="R78" s="74" t="str">
        <f>IF(AND($B78=[1]marcos!$A75,[1]marcos!$B75=R$4),"ok","nok")</f>
        <v>nok</v>
      </c>
      <c r="S78" s="74" t="str">
        <f>IF(AND($B78=[1]marcos!$A75,[1]marcos!$B75=S$4),"ok","nok")</f>
        <v>nok</v>
      </c>
      <c r="T78" s="74" t="str">
        <f>IF(AND($B78=[1]marcos!$A75,[1]marcos!$B75=T$4),"ok","nok")</f>
        <v>nok</v>
      </c>
      <c r="U78" s="74" t="str">
        <f>IF(AND($B78=[1]marcos!$A75,[1]marcos!$B75=U$4),"ok","nok")</f>
        <v>nok</v>
      </c>
      <c r="V78" s="74" t="str">
        <f>IF(AND($B78=[1]marcos!$A75,[1]marcos!$B75=V$4),"ok","nok")</f>
        <v>nok</v>
      </c>
      <c r="W78" s="74" t="str">
        <f>IF(AND($B78=[1]marcos!$A75,[1]marcos!$B75=W$4),"ok","nok")</f>
        <v>nok</v>
      </c>
      <c r="X78" s="74" t="str">
        <f>IF(AND($B78=[1]marcos!$A75,[1]marcos!$B75=X$4),"ok","nok")</f>
        <v>ok</v>
      </c>
      <c r="Y78" s="96" t="s">
        <v>16</v>
      </c>
      <c r="Z78" s="97"/>
      <c r="AA78" s="97"/>
      <c r="AB78" s="98"/>
      <c r="AC78" s="61"/>
      <c r="AD78" s="61"/>
      <c r="AE78" s="63" t="str">
        <f t="shared" si="22"/>
        <v/>
      </c>
      <c r="AF78" s="63"/>
      <c r="AG78" s="63"/>
      <c r="AH78" s="63"/>
      <c r="AI78" s="64">
        <f t="shared" si="23"/>
        <v>0</v>
      </c>
      <c r="AJ78" s="64" t="str">
        <f t="shared" si="24"/>
        <v/>
      </c>
      <c r="AK78" s="64">
        <f t="shared" si="25"/>
        <v>0</v>
      </c>
      <c r="AL78" s="64" t="str">
        <f t="shared" si="26"/>
        <v/>
      </c>
      <c r="AM78" s="64">
        <f t="shared" si="27"/>
        <v>0</v>
      </c>
      <c r="AN78" s="64" t="str">
        <f t="shared" si="28"/>
        <v/>
      </c>
      <c r="AO78" s="64">
        <f t="shared" si="29"/>
        <v>0</v>
      </c>
      <c r="AP78" s="64" t="str">
        <f t="shared" si="30"/>
        <v/>
      </c>
      <c r="AQ78" s="64">
        <f t="shared" si="31"/>
        <v>1</v>
      </c>
      <c r="AR78" s="64" t="str">
        <f t="shared" si="32"/>
        <v/>
      </c>
    </row>
    <row r="79" spans="1:44" ht="30" customHeight="1" x14ac:dyDescent="0.35">
      <c r="A79" s="28" t="str">
        <f t="shared" si="21"/>
        <v>PT208 - PROJETO RIO TANQUE (Itabira)
ETAPA DE ESCRITÓRIO
MURO DE CONTENÇÃO</v>
      </c>
      <c r="B79" s="55" t="s">
        <v>20</v>
      </c>
      <c r="C79" s="74" t="str">
        <f>IF(AND($B79=[1]marcos!$A76,[1]marcos!$B76=C$4),"ok","nok")</f>
        <v>nok</v>
      </c>
      <c r="D79" s="74" t="str">
        <f>IF(AND($B79=[1]marcos!$A76,[1]marcos!$B76=D$4),"ok","nok")</f>
        <v>nok</v>
      </c>
      <c r="E79" s="74" t="str">
        <f>IF(AND($B79=[1]marcos!$A76,[1]marcos!$B76=E$4),"ok","nok")</f>
        <v>nok</v>
      </c>
      <c r="F79" s="74" t="str">
        <f>IF(AND($B79=[1]marcos!$A76,[1]marcos!$B76=F$4),"ok","nok")</f>
        <v>nok</v>
      </c>
      <c r="G79" s="74" t="str">
        <f>IF(AND($B79=[1]marcos!$A76,[1]marcos!$B76=G$4),"ok","nok")</f>
        <v>nok</v>
      </c>
      <c r="H79" s="74" t="str">
        <f>IF(AND($B79=[1]marcos!$A76,[1]marcos!$B76=H$4),"ok","nok")</f>
        <v>nok</v>
      </c>
      <c r="I79" s="74" t="str">
        <f>IF(AND($B79=[1]marcos!$A76,[1]marcos!$B76=I$4),"ok","nok")</f>
        <v>nok</v>
      </c>
      <c r="J79" s="74" t="str">
        <f>IF(AND($B79=[1]marcos!$A76,[1]marcos!$B76=J$4),"ok","nok")</f>
        <v>nok</v>
      </c>
      <c r="K79" s="74" t="str">
        <f>IF(AND($B79=[1]marcos!$A76,[1]marcos!$B76=K$4),"ok","nok")</f>
        <v>nok</v>
      </c>
      <c r="L79" s="74" t="str">
        <f>IF(AND($B79=[1]marcos!$A76,[1]marcos!$B76=L$4),"ok","nok")</f>
        <v>nok</v>
      </c>
      <c r="M79" s="74" t="str">
        <f>IF(AND($B79=[1]marcos!$A76,[1]marcos!$B76=M$4),"ok","nok")</f>
        <v>nok</v>
      </c>
      <c r="N79" s="74" t="str">
        <f>IF(AND($B79=[1]marcos!$A76,[1]marcos!$B76=N$4),"ok","nok")</f>
        <v>nok</v>
      </c>
      <c r="O79" s="74" t="str">
        <f>IF(AND($B79=[1]marcos!$A76,[1]marcos!$B76=O$4),"ok","nok")</f>
        <v>nok</v>
      </c>
      <c r="P79" s="74" t="str">
        <f>IF(AND($B79=[1]marcos!$A76,[1]marcos!$B76=P$4),"ok","nok")</f>
        <v>nok</v>
      </c>
      <c r="Q79" s="74" t="str">
        <f>IF(AND($B79=[1]marcos!$A76,[1]marcos!$B76=Q$4),"ok","nok")</f>
        <v>nok</v>
      </c>
      <c r="R79" s="74" t="str">
        <f>IF(AND($B79=[1]marcos!$A76,[1]marcos!$B76=R$4),"ok","nok")</f>
        <v>nok</v>
      </c>
      <c r="S79" s="74" t="str">
        <f>IF(AND($B79=[1]marcos!$A76,[1]marcos!$B76=S$4),"ok","nok")</f>
        <v>nok</v>
      </c>
      <c r="T79" s="74" t="str">
        <f>IF(AND($B79=[1]marcos!$A76,[1]marcos!$B76=T$4),"ok","nok")</f>
        <v>nok</v>
      </c>
      <c r="U79" s="74" t="str">
        <f>IF(AND($B79=[1]marcos!$A76,[1]marcos!$B76=U$4),"ok","nok")</f>
        <v>nok</v>
      </c>
      <c r="V79" s="74" t="str">
        <f>IF(AND($B79=[1]marcos!$A76,[1]marcos!$B76=V$4),"ok","nok")</f>
        <v>nok</v>
      </c>
      <c r="W79" s="74" t="str">
        <f>IF(AND($B79=[1]marcos!$A76,[1]marcos!$B76=W$4),"ok","nok")</f>
        <v>nok</v>
      </c>
      <c r="X79" s="74" t="str">
        <f>IF(AND($B79=[1]marcos!$A76,[1]marcos!$B76=X$4),"ok","nok")</f>
        <v>ok</v>
      </c>
      <c r="Y79" s="96" t="s">
        <v>16</v>
      </c>
      <c r="Z79" s="97"/>
      <c r="AA79" s="97"/>
      <c r="AB79" s="98"/>
      <c r="AC79" s="61"/>
      <c r="AD79" s="61"/>
      <c r="AE79" s="63" t="str">
        <f t="shared" si="22"/>
        <v/>
      </c>
      <c r="AF79" s="63"/>
      <c r="AG79" s="63"/>
      <c r="AH79" s="63"/>
      <c r="AI79" s="64">
        <f t="shared" si="23"/>
        <v>0</v>
      </c>
      <c r="AJ79" s="64" t="str">
        <f t="shared" si="24"/>
        <v/>
      </c>
      <c r="AK79" s="64">
        <f t="shared" si="25"/>
        <v>0</v>
      </c>
      <c r="AL79" s="64" t="str">
        <f t="shared" si="26"/>
        <v/>
      </c>
      <c r="AM79" s="64">
        <f t="shared" si="27"/>
        <v>0</v>
      </c>
      <c r="AN79" s="64" t="str">
        <f t="shared" si="28"/>
        <v/>
      </c>
      <c r="AO79" s="64">
        <f t="shared" si="29"/>
        <v>0</v>
      </c>
      <c r="AP79" s="64" t="str">
        <f t="shared" si="30"/>
        <v/>
      </c>
      <c r="AQ79" s="64">
        <f t="shared" si="31"/>
        <v>1</v>
      </c>
      <c r="AR79" s="64" t="str">
        <f t="shared" si="32"/>
        <v/>
      </c>
    </row>
    <row r="80" spans="1:44" ht="30" customHeight="1" x14ac:dyDescent="0.35">
      <c r="A80" s="28"/>
      <c r="B80" s="50" t="s">
        <v>54</v>
      </c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111"/>
      <c r="Z80" s="112"/>
      <c r="AA80" s="112"/>
      <c r="AB80" s="113"/>
      <c r="AC80" s="61"/>
      <c r="AD80" s="61"/>
      <c r="AE80" s="63" t="str">
        <f t="shared" si="22"/>
        <v/>
      </c>
      <c r="AF80" s="63"/>
      <c r="AG80" s="63"/>
      <c r="AH80" s="63"/>
      <c r="AI80" s="64">
        <f t="shared" si="23"/>
        <v>0</v>
      </c>
      <c r="AJ80" s="64" t="str">
        <f t="shared" si="24"/>
        <v/>
      </c>
      <c r="AK80" s="64">
        <f t="shared" si="25"/>
        <v>0</v>
      </c>
      <c r="AL80" s="64" t="str">
        <f t="shared" si="26"/>
        <v/>
      </c>
      <c r="AM80" s="64">
        <f t="shared" si="27"/>
        <v>0</v>
      </c>
      <c r="AN80" s="64" t="str">
        <f t="shared" si="28"/>
        <v/>
      </c>
      <c r="AO80" s="64">
        <f t="shared" si="29"/>
        <v>0</v>
      </c>
      <c r="AP80" s="64" t="str">
        <f t="shared" si="30"/>
        <v/>
      </c>
      <c r="AQ80" s="64">
        <f t="shared" si="31"/>
        <v>0</v>
      </c>
      <c r="AR80" s="64" t="str">
        <f t="shared" si="32"/>
        <v/>
      </c>
    </row>
    <row r="81" spans="1:45" ht="30" customHeight="1" x14ac:dyDescent="0.35">
      <c r="A81" s="28"/>
      <c r="B81" s="51" t="s">
        <v>55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117"/>
      <c r="Z81" s="118"/>
      <c r="AA81" s="118"/>
      <c r="AB81" s="119"/>
      <c r="AC81" s="61"/>
      <c r="AD81" s="61"/>
      <c r="AE81" s="63" t="str">
        <f t="shared" si="22"/>
        <v/>
      </c>
      <c r="AF81" s="63"/>
      <c r="AG81" s="63"/>
      <c r="AH81" s="63"/>
      <c r="AI81" s="64">
        <f t="shared" si="23"/>
        <v>0</v>
      </c>
      <c r="AJ81" s="64" t="str">
        <f t="shared" si="24"/>
        <v/>
      </c>
      <c r="AK81" s="64">
        <f t="shared" si="25"/>
        <v>0</v>
      </c>
      <c r="AL81" s="64" t="str">
        <f t="shared" si="26"/>
        <v/>
      </c>
      <c r="AM81" s="64">
        <f t="shared" si="27"/>
        <v>0</v>
      </c>
      <c r="AN81" s="64" t="str">
        <f t="shared" si="28"/>
        <v/>
      </c>
      <c r="AO81" s="64">
        <f t="shared" si="29"/>
        <v>0</v>
      </c>
      <c r="AP81" s="64" t="str">
        <f t="shared" si="30"/>
        <v/>
      </c>
      <c r="AQ81" s="64">
        <f t="shared" si="31"/>
        <v>0</v>
      </c>
      <c r="AR81" s="64" t="str">
        <f t="shared" si="32"/>
        <v/>
      </c>
    </row>
    <row r="82" spans="1:45" ht="30" customHeight="1" x14ac:dyDescent="0.35">
      <c r="A82" s="28"/>
      <c r="B82" s="52" t="s">
        <v>71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102"/>
      <c r="Z82" s="103"/>
      <c r="AA82" s="103"/>
      <c r="AB82" s="104"/>
      <c r="AC82" s="61"/>
      <c r="AD82" s="61"/>
      <c r="AE82" s="63" t="str">
        <f t="shared" si="22"/>
        <v/>
      </c>
      <c r="AF82" s="63"/>
      <c r="AG82" s="63"/>
      <c r="AH82" s="63"/>
      <c r="AI82" s="64">
        <f t="shared" si="23"/>
        <v>0</v>
      </c>
      <c r="AJ82" s="64" t="str">
        <f t="shared" si="24"/>
        <v/>
      </c>
      <c r="AK82" s="64">
        <f t="shared" si="25"/>
        <v>0</v>
      </c>
      <c r="AL82" s="64" t="str">
        <f t="shared" si="26"/>
        <v/>
      </c>
      <c r="AM82" s="64">
        <f t="shared" si="27"/>
        <v>0</v>
      </c>
      <c r="AN82" s="64" t="str">
        <f t="shared" si="28"/>
        <v/>
      </c>
      <c r="AO82" s="64">
        <f t="shared" si="29"/>
        <v>0</v>
      </c>
      <c r="AP82" s="64" t="str">
        <f t="shared" si="30"/>
        <v/>
      </c>
      <c r="AQ82" s="64">
        <f t="shared" si="31"/>
        <v>0</v>
      </c>
      <c r="AR82" s="64" t="str">
        <f t="shared" si="32"/>
        <v/>
      </c>
    </row>
    <row r="83" spans="1:45" ht="30" customHeight="1" x14ac:dyDescent="0.35">
      <c r="A83" s="28"/>
      <c r="B83" s="56" t="s">
        <v>56</v>
      </c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105"/>
      <c r="Z83" s="106"/>
      <c r="AA83" s="106"/>
      <c r="AB83" s="107"/>
      <c r="AC83" s="61"/>
      <c r="AD83" s="61"/>
      <c r="AE83" s="63" t="str">
        <f t="shared" si="22"/>
        <v/>
      </c>
      <c r="AF83" s="63"/>
      <c r="AG83" s="63"/>
      <c r="AH83" s="63"/>
      <c r="AI83" s="64">
        <f t="shared" si="23"/>
        <v>0</v>
      </c>
      <c r="AJ83" s="64" t="str">
        <f t="shared" si="24"/>
        <v/>
      </c>
      <c r="AK83" s="64">
        <f t="shared" si="25"/>
        <v>0</v>
      </c>
      <c r="AL83" s="64" t="str">
        <f t="shared" si="26"/>
        <v/>
      </c>
      <c r="AM83" s="64">
        <f t="shared" si="27"/>
        <v>0</v>
      </c>
      <c r="AN83" s="64" t="str">
        <f t="shared" si="28"/>
        <v/>
      </c>
      <c r="AO83" s="64">
        <f t="shared" si="29"/>
        <v>0</v>
      </c>
      <c r="AP83" s="64" t="str">
        <f t="shared" si="30"/>
        <v/>
      </c>
      <c r="AQ83" s="64">
        <f t="shared" si="31"/>
        <v>0</v>
      </c>
      <c r="AR83" s="64" t="str">
        <f t="shared" si="32"/>
        <v/>
      </c>
    </row>
    <row r="84" spans="1:45" ht="30" customHeight="1" x14ac:dyDescent="0.35">
      <c r="A84" s="28"/>
      <c r="B84" s="57" t="s">
        <v>63</v>
      </c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108"/>
      <c r="Z84" s="109"/>
      <c r="AA84" s="109"/>
      <c r="AB84" s="110"/>
      <c r="AC84" s="61"/>
      <c r="AD84" s="61"/>
      <c r="AE84" s="63" t="str">
        <f t="shared" si="22"/>
        <v/>
      </c>
      <c r="AF84" s="63"/>
      <c r="AG84" s="63"/>
      <c r="AH84" s="63"/>
      <c r="AI84" s="64">
        <f t="shared" si="23"/>
        <v>0</v>
      </c>
      <c r="AJ84" s="64" t="str">
        <f t="shared" si="24"/>
        <v/>
      </c>
      <c r="AK84" s="64">
        <f t="shared" si="25"/>
        <v>0</v>
      </c>
      <c r="AL84" s="64" t="str">
        <f t="shared" si="26"/>
        <v/>
      </c>
      <c r="AM84" s="64">
        <f t="shared" si="27"/>
        <v>0</v>
      </c>
      <c r="AN84" s="64" t="str">
        <f t="shared" si="28"/>
        <v/>
      </c>
      <c r="AO84" s="64">
        <f t="shared" si="29"/>
        <v>0</v>
      </c>
      <c r="AP84" s="64" t="str">
        <f t="shared" si="30"/>
        <v/>
      </c>
      <c r="AQ84" s="64">
        <f t="shared" si="31"/>
        <v>0</v>
      </c>
      <c r="AR84" s="64" t="str">
        <f t="shared" si="32"/>
        <v/>
      </c>
    </row>
    <row r="85" spans="1:45" ht="30" customHeight="1" x14ac:dyDescent="0.35">
      <c r="A85" s="28"/>
      <c r="B85" s="77" t="s">
        <v>72</v>
      </c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120"/>
      <c r="Z85" s="121"/>
      <c r="AA85" s="121"/>
      <c r="AB85" s="122"/>
      <c r="AC85" s="61"/>
      <c r="AD85" s="61"/>
      <c r="AE85" s="63" t="str">
        <f t="shared" si="22"/>
        <v/>
      </c>
      <c r="AF85" s="63"/>
      <c r="AG85" s="63"/>
      <c r="AH85" s="63"/>
      <c r="AI85" s="64">
        <f t="shared" si="23"/>
        <v>0</v>
      </c>
      <c r="AJ85" s="64" t="str">
        <f t="shared" si="24"/>
        <v/>
      </c>
      <c r="AK85" s="64">
        <f t="shared" si="25"/>
        <v>0</v>
      </c>
      <c r="AL85" s="64" t="str">
        <f t="shared" si="26"/>
        <v/>
      </c>
      <c r="AM85" s="64">
        <f t="shared" si="27"/>
        <v>0</v>
      </c>
      <c r="AN85" s="64" t="str">
        <f t="shared" si="28"/>
        <v/>
      </c>
      <c r="AO85" s="64">
        <f t="shared" si="29"/>
        <v>0</v>
      </c>
      <c r="AP85" s="64" t="str">
        <f t="shared" si="30"/>
        <v/>
      </c>
      <c r="AQ85" s="64">
        <f t="shared" si="31"/>
        <v>0</v>
      </c>
      <c r="AR85" s="64" t="str">
        <f t="shared" si="32"/>
        <v/>
      </c>
    </row>
    <row r="86" spans="1:45" ht="30" customHeight="1" x14ac:dyDescent="0.35">
      <c r="A86" s="28" t="str">
        <f>CONCATENATE($B$80,"
",$B$83,"
",$B$84,"
",$B$85)</f>
        <v>LARGO VANÁDIO MARACÁS
PLANTA QUÍMICA
ÁREA DE EVAPORAÇÃO
ESTRUTURA DO PRÉDIO INDUSTRIAL</v>
      </c>
      <c r="B86" s="53" t="s">
        <v>73</v>
      </c>
      <c r="C86" s="74" t="str">
        <f>IF(AND($B86=[1]marcos!$A83,[1]marcos!$B83=C$4),"ok","nok")</f>
        <v>nok</v>
      </c>
      <c r="D86" s="74" t="str">
        <f>IF(AND($B86=[1]marcos!$A83,[1]marcos!$B83=D$4),"ok","nok")</f>
        <v>nok</v>
      </c>
      <c r="E86" s="74" t="str">
        <f>IF(AND($B86=[1]marcos!$A83,[1]marcos!$B83=E$4),"ok","nok")</f>
        <v>nok</v>
      </c>
      <c r="F86" s="74" t="str">
        <f>IF(AND($B86=[1]marcos!$A83,[1]marcos!$B83=F$4),"ok","nok")</f>
        <v>nok</v>
      </c>
      <c r="G86" s="74" t="str">
        <f>IF(AND($B86=[1]marcos!$A83,[1]marcos!$B83=G$4),"ok","nok")</f>
        <v>nok</v>
      </c>
      <c r="H86" s="74" t="str">
        <f>IF(AND($B86=[1]marcos!$A83,[1]marcos!$B83=H$4),"ok","nok")</f>
        <v>nok</v>
      </c>
      <c r="I86" s="83"/>
      <c r="J86" s="74" t="str">
        <f>IF(AND($B86=[1]marcos!$A83,[1]marcos!$B83=J$4),"ok","nok")</f>
        <v>nok</v>
      </c>
      <c r="K86" s="74" t="str">
        <f>IF(AND($B86=[1]marcos!$A83,[1]marcos!$B83=K$4),"ok","nok")</f>
        <v>nok</v>
      </c>
      <c r="L86" s="74" t="str">
        <f>IF(AND($B86=[1]marcos!$A83,[1]marcos!$B83=L$4),"ok","nok")</f>
        <v>nok</v>
      </c>
      <c r="M86" s="74" t="str">
        <f>IF(AND($B86=[1]marcos!$A83,[1]marcos!$B83=M$4),"ok","nok")</f>
        <v>nok</v>
      </c>
      <c r="N86" s="74" t="str">
        <f>IF(AND($B86=[1]marcos!$A83,[1]marcos!$B83=N$4),"ok","nok")</f>
        <v>nok</v>
      </c>
      <c r="O86" s="74" t="str">
        <f>IF(AND($B86=[1]marcos!$A83,[1]marcos!$B83=O$4),"ok","nok")</f>
        <v>nok</v>
      </c>
      <c r="P86" s="74" t="str">
        <f>IF(AND($B86=[1]marcos!$A83,[1]marcos!$B83=P$4),"ok","nok")</f>
        <v>nok</v>
      </c>
      <c r="Q86" s="74" t="str">
        <f>IF(AND($B86=[1]marcos!$A83,[1]marcos!$B83=Q$4),"ok","nok")</f>
        <v>nok</v>
      </c>
      <c r="R86" s="74" t="str">
        <f>IF(AND($B86=[1]marcos!$A83,[1]marcos!$B83=R$4),"ok","nok")</f>
        <v>nok</v>
      </c>
      <c r="S86" s="74" t="str">
        <f>IF(AND($B86=[1]marcos!$A83,[1]marcos!$B83=S$4),"ok","nok")</f>
        <v>nok</v>
      </c>
      <c r="T86" s="74" t="str">
        <f>IF(AND($B86=[1]marcos!$A83,[1]marcos!$B83=T$4),"ok","nok")</f>
        <v>nok</v>
      </c>
      <c r="U86" s="74" t="str">
        <f>IF(AND($B86=[1]marcos!$A83,[1]marcos!$B83=U$4),"ok","nok")</f>
        <v>ok</v>
      </c>
      <c r="V86" s="74" t="str">
        <f>IF(AND($B86=[1]marcos!$A83,[1]marcos!$B83=V$4),"ok","nok")</f>
        <v>nok</v>
      </c>
      <c r="W86" s="74" t="str">
        <f>IF(AND($B86=[1]marcos!$A83,[1]marcos!$B83=W$4),"ok","nok")</f>
        <v>nok</v>
      </c>
      <c r="X86" s="74" t="str">
        <f>IF(AND($B86=[1]marcos!$A83,[1]marcos!$B83=X$4),"ok","nok")</f>
        <v>nok</v>
      </c>
      <c r="Y86" s="96" t="s">
        <v>32</v>
      </c>
      <c r="Z86" s="97"/>
      <c r="AA86" s="97"/>
      <c r="AB86" s="98"/>
      <c r="AC86" s="61"/>
      <c r="AD86" s="61"/>
      <c r="AE86" s="63" t="str">
        <f t="shared" si="22"/>
        <v>Verificação do Laudo</v>
      </c>
      <c r="AF86" s="63"/>
      <c r="AG86" s="63"/>
      <c r="AH86" s="63"/>
      <c r="AI86" s="64">
        <f t="shared" si="23"/>
        <v>0</v>
      </c>
      <c r="AJ86" s="64" t="str">
        <f t="shared" si="24"/>
        <v/>
      </c>
      <c r="AK86" s="64">
        <f t="shared" si="25"/>
        <v>0</v>
      </c>
      <c r="AL86" s="64" t="str">
        <f t="shared" si="26"/>
        <v/>
      </c>
      <c r="AM86" s="64">
        <f t="shared" si="27"/>
        <v>0</v>
      </c>
      <c r="AN86" s="64" t="str">
        <f t="shared" si="28"/>
        <v/>
      </c>
      <c r="AO86" s="64">
        <f t="shared" si="29"/>
        <v>1</v>
      </c>
      <c r="AP86" s="64" t="str">
        <f t="shared" si="30"/>
        <v/>
      </c>
      <c r="AQ86" s="64">
        <f t="shared" si="31"/>
        <v>0</v>
      </c>
      <c r="AR86" s="64" t="str">
        <f t="shared" si="32"/>
        <v/>
      </c>
    </row>
    <row r="87" spans="1:45" ht="30" customHeight="1" x14ac:dyDescent="0.35">
      <c r="A87" s="28"/>
      <c r="B87" s="54" t="s">
        <v>74</v>
      </c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114"/>
      <c r="Z87" s="115"/>
      <c r="AA87" s="115"/>
      <c r="AB87" s="116"/>
      <c r="AC87" s="61"/>
      <c r="AD87" s="61"/>
      <c r="AE87" s="63" t="str">
        <f t="shared" si="22"/>
        <v/>
      </c>
      <c r="AF87" s="63"/>
      <c r="AG87" s="63"/>
      <c r="AH87" s="63"/>
      <c r="AI87" s="64">
        <f t="shared" si="23"/>
        <v>0</v>
      </c>
      <c r="AJ87" s="64" t="str">
        <f t="shared" si="24"/>
        <v/>
      </c>
      <c r="AK87" s="64">
        <f t="shared" si="25"/>
        <v>0</v>
      </c>
      <c r="AL87" s="64" t="str">
        <f t="shared" si="26"/>
        <v/>
      </c>
      <c r="AM87" s="64">
        <f t="shared" si="27"/>
        <v>0</v>
      </c>
      <c r="AN87" s="64" t="str">
        <f t="shared" si="28"/>
        <v/>
      </c>
      <c r="AO87" s="64">
        <f t="shared" si="29"/>
        <v>0</v>
      </c>
      <c r="AP87" s="64" t="str">
        <f t="shared" si="30"/>
        <v/>
      </c>
      <c r="AQ87" s="64">
        <f t="shared" si="31"/>
        <v>0</v>
      </c>
      <c r="AR87" s="64" t="str">
        <f t="shared" si="32"/>
        <v/>
      </c>
    </row>
    <row r="88" spans="1:45" ht="30" customHeight="1" x14ac:dyDescent="0.35">
      <c r="A88" s="28" t="str">
        <f t="shared" ref="A88:A91" si="33">CONCATENATE($B$80,"
",$B$83,"
",$B$84,"
",$B$85)</f>
        <v>LARGO VANÁDIO MARACÁS
PLANTA QUÍMICA
ÁREA DE EVAPORAÇÃO
ESTRUTURA DO PRÉDIO INDUSTRIAL</v>
      </c>
      <c r="B88" s="55" t="s">
        <v>75</v>
      </c>
      <c r="C88" s="74" t="str">
        <f>IF(AND($B88=[1]marcos!$A85,[1]marcos!$B85=C$4),"ok","nok")</f>
        <v>nok</v>
      </c>
      <c r="D88" s="74" t="str">
        <f>IF(AND($B88=[1]marcos!$A85,[1]marcos!$B85=D$4),"ok","nok")</f>
        <v>nok</v>
      </c>
      <c r="E88" s="74" t="str">
        <f>IF(AND($B88=[1]marcos!$A85,[1]marcos!$B85=E$4),"ok","nok")</f>
        <v>nok</v>
      </c>
      <c r="F88" s="74" t="str">
        <f>IF(AND($B88=[1]marcos!$A85,[1]marcos!$B85=F$4),"ok","nok")</f>
        <v>nok</v>
      </c>
      <c r="G88" s="74" t="str">
        <f>IF(AND($B88=[1]marcos!$A85,[1]marcos!$B85=G$4),"ok","nok")</f>
        <v>nok</v>
      </c>
      <c r="H88" s="74" t="str">
        <f>IF(AND($B88=[1]marcos!$A85,[1]marcos!$B85=H$4),"ok","nok")</f>
        <v>nok</v>
      </c>
      <c r="I88" s="83"/>
      <c r="J88" s="74" t="str">
        <f>IF(AND($B88=[1]marcos!$A85,[1]marcos!$B85=J$4),"ok","nok")</f>
        <v>nok</v>
      </c>
      <c r="K88" s="74" t="str">
        <f>IF(AND($B88=[1]marcos!$A85,[1]marcos!$B85=K$4),"ok","nok")</f>
        <v>nok</v>
      </c>
      <c r="L88" s="74" t="str">
        <f>IF(AND($B88=[1]marcos!$A85,[1]marcos!$B85=L$4),"ok","nok")</f>
        <v>nok</v>
      </c>
      <c r="M88" s="74" t="str">
        <f>IF(AND($B88=[1]marcos!$A85,[1]marcos!$B85=M$4),"ok","nok")</f>
        <v>nok</v>
      </c>
      <c r="N88" s="74" t="str">
        <f>IF(AND($B88=[1]marcos!$A85,[1]marcos!$B85=N$4),"ok","nok")</f>
        <v>nok</v>
      </c>
      <c r="O88" s="74" t="str">
        <f>IF(AND($B88=[1]marcos!$A85,[1]marcos!$B85=O$4),"ok","nok")</f>
        <v>nok</v>
      </c>
      <c r="P88" s="74" t="str">
        <f>IF(AND($B88=[1]marcos!$A85,[1]marcos!$B85=P$4),"ok","nok")</f>
        <v>nok</v>
      </c>
      <c r="Q88" s="74" t="str">
        <f>IF(AND($B88=[1]marcos!$A85,[1]marcos!$B85=Q$4),"ok","nok")</f>
        <v>nok</v>
      </c>
      <c r="R88" s="74" t="str">
        <f>IF(AND($B88=[1]marcos!$A85,[1]marcos!$B85=R$4),"ok","nok")</f>
        <v>nok</v>
      </c>
      <c r="S88" s="74" t="str">
        <f>IF(AND($B88=[1]marcos!$A85,[1]marcos!$B85=S$4),"ok","nok")</f>
        <v>nok</v>
      </c>
      <c r="T88" s="74" t="str">
        <f>IF(AND($B88=[1]marcos!$A85,[1]marcos!$B85=T$4),"ok","nok")</f>
        <v>nok</v>
      </c>
      <c r="U88" s="74" t="str">
        <f>IF(AND($B88=[1]marcos!$A85,[1]marcos!$B85=U$4),"ok","nok")</f>
        <v>ok</v>
      </c>
      <c r="V88" s="74" t="str">
        <f>IF(AND($B88=[1]marcos!$A85,[1]marcos!$B85=V$4),"ok","nok")</f>
        <v>nok</v>
      </c>
      <c r="W88" s="74" t="str">
        <f>IF(AND($B88=[1]marcos!$A85,[1]marcos!$B85=W$4),"ok","nok")</f>
        <v>nok</v>
      </c>
      <c r="X88" s="74" t="str">
        <f>IF(AND($B88=[1]marcos!$A85,[1]marcos!$B85=X$4),"ok","nok")</f>
        <v>nok</v>
      </c>
      <c r="Y88" s="96" t="s">
        <v>32</v>
      </c>
      <c r="Z88" s="97"/>
      <c r="AA88" s="97"/>
      <c r="AB88" s="98"/>
      <c r="AC88" s="61"/>
      <c r="AD88" s="61"/>
      <c r="AE88" s="63" t="str">
        <f t="shared" si="22"/>
        <v>MARCO - Emissão Inicial</v>
      </c>
      <c r="AF88" s="63"/>
      <c r="AG88" s="63"/>
      <c r="AH88" s="63"/>
      <c r="AI88" s="64">
        <f t="shared" si="23"/>
        <v>0</v>
      </c>
      <c r="AJ88" s="64" t="str">
        <f t="shared" si="24"/>
        <v/>
      </c>
      <c r="AK88" s="64">
        <f t="shared" si="25"/>
        <v>0</v>
      </c>
      <c r="AL88" s="64" t="str">
        <f t="shared" si="26"/>
        <v/>
      </c>
      <c r="AM88" s="64">
        <f t="shared" si="27"/>
        <v>0</v>
      </c>
      <c r="AN88" s="64" t="str">
        <f t="shared" si="28"/>
        <v/>
      </c>
      <c r="AO88" s="64">
        <f t="shared" si="29"/>
        <v>1</v>
      </c>
      <c r="AP88" s="64" t="str">
        <f t="shared" si="30"/>
        <v/>
      </c>
      <c r="AQ88" s="64">
        <f t="shared" si="31"/>
        <v>0</v>
      </c>
      <c r="AR88" s="64" t="str">
        <f t="shared" si="32"/>
        <v/>
      </c>
    </row>
    <row r="89" spans="1:45" ht="30" customHeight="1" x14ac:dyDescent="0.35">
      <c r="A89" s="28" t="str">
        <f t="shared" si="33"/>
        <v>LARGO VANÁDIO MARACÁS
PLANTA QUÍMICA
ÁREA DE EVAPORAÇÃO
ESTRUTURA DO PRÉDIO INDUSTRIAL</v>
      </c>
      <c r="B89" s="55" t="s">
        <v>20</v>
      </c>
      <c r="C89" s="74" t="str">
        <f>IF(AND($B89=[1]marcos!$A86,[1]marcos!$B86=C$4),"ok","nok")</f>
        <v>nok</v>
      </c>
      <c r="D89" s="74" t="str">
        <f>IF(AND($B89=[1]marcos!$A86,[1]marcos!$B86=D$4),"ok","nok")</f>
        <v>nok</v>
      </c>
      <c r="E89" s="74" t="str">
        <f>IF(AND($B89=[1]marcos!$A86,[1]marcos!$B86=E$4),"ok","nok")</f>
        <v>nok</v>
      </c>
      <c r="F89" s="74" t="str">
        <f>IF(AND($B89=[1]marcos!$A86,[1]marcos!$B86=F$4),"ok","nok")</f>
        <v>nok</v>
      </c>
      <c r="G89" s="74" t="str">
        <f>IF(AND($B89=[1]marcos!$A86,[1]marcos!$B86=G$4),"ok","nok")</f>
        <v>nok</v>
      </c>
      <c r="H89" s="74" t="str">
        <f>IF(AND($B89=[1]marcos!$A86,[1]marcos!$B86=H$4),"ok","nok")</f>
        <v>nok</v>
      </c>
      <c r="I89" s="74" t="str">
        <f>IF(AND($B89=[1]marcos!$A86,[1]marcos!$B86=I$4),"ok","nok")</f>
        <v>nok</v>
      </c>
      <c r="J89" s="74" t="str">
        <f>IF(AND($B89=[1]marcos!$A86,[1]marcos!$B86=J$4),"ok","nok")</f>
        <v>nok</v>
      </c>
      <c r="K89" s="74" t="str">
        <f>IF(AND($B89=[1]marcos!$A86,[1]marcos!$B86=K$4),"ok","nok")</f>
        <v>nok</v>
      </c>
      <c r="L89" s="74" t="str">
        <f>IF(AND($B89=[1]marcos!$A86,[1]marcos!$B86=L$4),"ok","nok")</f>
        <v>nok</v>
      </c>
      <c r="M89" s="74" t="str">
        <f>IF(AND($B89=[1]marcos!$A86,[1]marcos!$B86=M$4),"ok","nok")</f>
        <v>nok</v>
      </c>
      <c r="N89" s="83"/>
      <c r="O89" s="74" t="str">
        <f>IF(AND($B89=[1]marcos!$A86,[1]marcos!$B86=O$4),"ok","nok")</f>
        <v>nok</v>
      </c>
      <c r="P89" s="74" t="str">
        <f>IF(AND($B89=[1]marcos!$A86,[1]marcos!$B86=P$4),"ok","nok")</f>
        <v>nok</v>
      </c>
      <c r="Q89" s="74" t="str">
        <f>IF(AND($B89=[1]marcos!$A86,[1]marcos!$B86=Q$4),"ok","nok")</f>
        <v>nok</v>
      </c>
      <c r="R89" s="74" t="str">
        <f>IF(AND($B89=[1]marcos!$A86,[1]marcos!$B86=R$4),"ok","nok")</f>
        <v>nok</v>
      </c>
      <c r="S89" s="74" t="str">
        <f>IF(AND($B89=[1]marcos!$A86,[1]marcos!$B86=S$4),"ok","nok")</f>
        <v>nok</v>
      </c>
      <c r="T89" s="74" t="str">
        <f>IF(AND($B89=[1]marcos!$A86,[1]marcos!$B86=T$4),"ok","nok")</f>
        <v>nok</v>
      </c>
      <c r="U89" s="74" t="str">
        <f>IF(AND($B89=[1]marcos!$A86,[1]marcos!$B86=U$4),"ok","nok")</f>
        <v>nok</v>
      </c>
      <c r="V89" s="74" t="str">
        <f>IF(AND($B89=[1]marcos!$A86,[1]marcos!$B86=V$4),"ok","nok")</f>
        <v>ok</v>
      </c>
      <c r="W89" s="74" t="str">
        <f>IF(AND($B89=[1]marcos!$A86,[1]marcos!$B86=W$4),"ok","nok")</f>
        <v>nok</v>
      </c>
      <c r="X89" s="74" t="str">
        <f>IF(AND($B89=[1]marcos!$A86,[1]marcos!$B86=X$4),"ok","nok")</f>
        <v>nok</v>
      </c>
      <c r="Y89" s="96" t="s">
        <v>16</v>
      </c>
      <c r="Z89" s="97"/>
      <c r="AA89" s="97"/>
      <c r="AB89" s="98"/>
      <c r="AC89" s="61"/>
      <c r="AD89" s="61"/>
      <c r="AE89" s="63" t="str">
        <f t="shared" si="22"/>
        <v/>
      </c>
      <c r="AF89" s="63"/>
      <c r="AG89" s="63"/>
      <c r="AH89" s="63"/>
      <c r="AI89" s="64">
        <f t="shared" si="23"/>
        <v>0</v>
      </c>
      <c r="AJ89" s="64" t="str">
        <f t="shared" si="24"/>
        <v/>
      </c>
      <c r="AK89" s="64">
        <f t="shared" si="25"/>
        <v>0</v>
      </c>
      <c r="AL89" s="64" t="str">
        <f t="shared" si="26"/>
        <v/>
      </c>
      <c r="AM89" s="64">
        <f t="shared" si="27"/>
        <v>0</v>
      </c>
      <c r="AN89" s="64" t="str">
        <f t="shared" si="28"/>
        <v/>
      </c>
      <c r="AO89" s="64">
        <f t="shared" si="29"/>
        <v>1</v>
      </c>
      <c r="AP89" s="64" t="str">
        <f t="shared" si="30"/>
        <v/>
      </c>
      <c r="AQ89" s="64">
        <f t="shared" si="31"/>
        <v>0</v>
      </c>
      <c r="AR89" s="64" t="str">
        <f t="shared" si="32"/>
        <v/>
      </c>
    </row>
    <row r="90" spans="1:45" ht="30" customHeight="1" x14ac:dyDescent="0.35">
      <c r="A90" s="28" t="str">
        <f t="shared" si="33"/>
        <v>LARGO VANÁDIO MARACÁS
PLANTA QUÍMICA
ÁREA DE EVAPORAÇÃO
ESTRUTURA DO PRÉDIO INDUSTRIAL</v>
      </c>
      <c r="B90" s="55" t="s">
        <v>38</v>
      </c>
      <c r="C90" s="74" t="str">
        <f>IF(AND($B90=[1]marcos!$A87,[1]marcos!$B87=C$4),"ok","nok")</f>
        <v>nok</v>
      </c>
      <c r="D90" s="74" t="str">
        <f>IF(AND($B90=[1]marcos!$A87,[1]marcos!$B87=D$4),"ok","nok")</f>
        <v>nok</v>
      </c>
      <c r="E90" s="74" t="str">
        <f>IF(AND($B90=[1]marcos!$A87,[1]marcos!$B87=E$4),"ok","nok")</f>
        <v>nok</v>
      </c>
      <c r="F90" s="74" t="str">
        <f>IF(AND($B90=[1]marcos!$A87,[1]marcos!$B87=F$4),"ok","nok")</f>
        <v>nok</v>
      </c>
      <c r="G90" s="74" t="str">
        <f>IF(AND($B90=[1]marcos!$A87,[1]marcos!$B87=G$4),"ok","nok")</f>
        <v>nok</v>
      </c>
      <c r="H90" s="74" t="str">
        <f>IF(AND($B90=[1]marcos!$A87,[1]marcos!$B87=H$4),"ok","nok")</f>
        <v>nok</v>
      </c>
      <c r="I90" s="74" t="str">
        <f>IF(AND($B90=[1]marcos!$A87,[1]marcos!$B87=I$4),"ok","nok")</f>
        <v>nok</v>
      </c>
      <c r="J90" s="74" t="str">
        <f>IF(AND($B90=[1]marcos!$A87,[1]marcos!$B87=J$4),"ok","nok")</f>
        <v>nok</v>
      </c>
      <c r="K90" s="74" t="str">
        <f>IF(AND($B90=[1]marcos!$A87,[1]marcos!$B87=K$4),"ok","nok")</f>
        <v>nok</v>
      </c>
      <c r="L90" s="74" t="str">
        <f>IF(AND($B90=[1]marcos!$A87,[1]marcos!$B87=L$4),"ok","nok")</f>
        <v>nok</v>
      </c>
      <c r="M90" s="74" t="str">
        <f>IF(AND($B90=[1]marcos!$A87,[1]marcos!$B87=M$4),"ok","nok")</f>
        <v>nok</v>
      </c>
      <c r="N90" s="74" t="str">
        <f>IF(AND($B90=[1]marcos!$A87,[1]marcos!$B87=N$4),"ok","nok")</f>
        <v>nok</v>
      </c>
      <c r="O90" s="74" t="str">
        <f>IF(AND($B90=[1]marcos!$A87,[1]marcos!$B87=O$4),"ok","nok")</f>
        <v>nok</v>
      </c>
      <c r="P90" s="74" t="str">
        <f>IF(AND($B90=[1]marcos!$A87,[1]marcos!$B87=P$4),"ok","nok")</f>
        <v>nok</v>
      </c>
      <c r="Q90" s="83"/>
      <c r="R90" s="74" t="str">
        <f>IF(AND($B90=[1]marcos!$A87,[1]marcos!$B87=R$4),"ok","nok")</f>
        <v>nok</v>
      </c>
      <c r="S90" s="74" t="str">
        <f>IF(AND($B90=[1]marcos!$A87,[1]marcos!$B87=S$4),"ok","nok")</f>
        <v>nok</v>
      </c>
      <c r="T90" s="74" t="str">
        <f>IF(AND($B90=[1]marcos!$A87,[1]marcos!$B87=T$4),"ok","nok")</f>
        <v>nok</v>
      </c>
      <c r="U90" s="74" t="str">
        <f>IF(AND($B90=[1]marcos!$A87,[1]marcos!$B87=U$4),"ok","nok")</f>
        <v>nok</v>
      </c>
      <c r="V90" s="74" t="str">
        <f>IF(AND($B90=[1]marcos!$A87,[1]marcos!$B87=V$4),"ok","nok")</f>
        <v>nok</v>
      </c>
      <c r="W90" s="74" t="str">
        <f>IF(AND($B90=[1]marcos!$A87,[1]marcos!$B87=W$4),"ok","nok")</f>
        <v>ok</v>
      </c>
      <c r="X90" s="74" t="str">
        <f>IF(AND($B90=[1]marcos!$A87,[1]marcos!$B87=X$4),"ok","nok")</f>
        <v>nok</v>
      </c>
      <c r="Y90" s="96" t="s">
        <v>16</v>
      </c>
      <c r="Z90" s="97"/>
      <c r="AA90" s="97"/>
      <c r="AB90" s="98"/>
      <c r="AC90" s="61"/>
      <c r="AD90" s="61"/>
      <c r="AE90" s="63" t="str">
        <f t="shared" si="22"/>
        <v/>
      </c>
      <c r="AF90" s="63"/>
      <c r="AG90" s="63"/>
      <c r="AH90" s="63"/>
      <c r="AI90" s="64">
        <f t="shared" si="23"/>
        <v>0</v>
      </c>
      <c r="AJ90" s="64" t="str">
        <f t="shared" si="24"/>
        <v/>
      </c>
      <c r="AK90" s="64">
        <f t="shared" si="25"/>
        <v>0</v>
      </c>
      <c r="AL90" s="64" t="str">
        <f t="shared" si="26"/>
        <v/>
      </c>
      <c r="AM90" s="64">
        <f t="shared" si="27"/>
        <v>0</v>
      </c>
      <c r="AN90" s="64" t="str">
        <f t="shared" si="28"/>
        <v/>
      </c>
      <c r="AO90" s="64">
        <f t="shared" si="29"/>
        <v>0</v>
      </c>
      <c r="AP90" s="64" t="str">
        <f t="shared" si="30"/>
        <v/>
      </c>
      <c r="AQ90" s="64">
        <f t="shared" si="31"/>
        <v>1</v>
      </c>
      <c r="AR90" s="64" t="str">
        <f t="shared" si="32"/>
        <v/>
      </c>
    </row>
    <row r="91" spans="1:45" ht="30" customHeight="1" x14ac:dyDescent="0.35">
      <c r="A91" s="28" t="str">
        <f t="shared" si="33"/>
        <v>LARGO VANÁDIO MARACÁS
PLANTA QUÍMICA
ÁREA DE EVAPORAÇÃO
ESTRUTURA DO PRÉDIO INDUSTRIAL</v>
      </c>
      <c r="B91" s="55" t="s">
        <v>76</v>
      </c>
      <c r="C91" s="74" t="str">
        <f>IF(AND($B91=[1]marcos!$A88,[1]marcos!$B88=C$4),"ok","nok")</f>
        <v>nok</v>
      </c>
      <c r="D91" s="74" t="str">
        <f>IF(AND($B91=[1]marcos!$A88,[1]marcos!$B88=D$4),"ok","nok")</f>
        <v>nok</v>
      </c>
      <c r="E91" s="74" t="str">
        <f>IF(AND($B91=[1]marcos!$A88,[1]marcos!$B88=E$4),"ok","nok")</f>
        <v>nok</v>
      </c>
      <c r="F91" s="74" t="str">
        <f>IF(AND($B91=[1]marcos!$A88,[1]marcos!$B88=F$4),"ok","nok")</f>
        <v>nok</v>
      </c>
      <c r="G91" s="74" t="str">
        <f>IF(AND($B91=[1]marcos!$A88,[1]marcos!$B88=G$4),"ok","nok")</f>
        <v>nok</v>
      </c>
      <c r="H91" s="74" t="str">
        <f>IF(AND($B91=[1]marcos!$A88,[1]marcos!$B88=H$4),"ok","nok")</f>
        <v>nok</v>
      </c>
      <c r="I91" s="74" t="str">
        <f>IF(AND($B91=[1]marcos!$A88,[1]marcos!$B88=I$4),"ok","nok")</f>
        <v>nok</v>
      </c>
      <c r="J91" s="74" t="str">
        <f>IF(AND($B91=[1]marcos!$A88,[1]marcos!$B88=J$4),"ok","nok")</f>
        <v>nok</v>
      </c>
      <c r="K91" s="74" t="str">
        <f>IF(AND($B91=[1]marcos!$A88,[1]marcos!$B88=K$4),"ok","nok")</f>
        <v>nok</v>
      </c>
      <c r="L91" s="74" t="str">
        <f>IF(AND($B91=[1]marcos!$A88,[1]marcos!$B88=L$4),"ok","nok")</f>
        <v>nok</v>
      </c>
      <c r="M91" s="74" t="str">
        <f>IF(AND($B91=[1]marcos!$A88,[1]marcos!$B88=M$4),"ok","nok")</f>
        <v>nok</v>
      </c>
      <c r="N91" s="74" t="str">
        <f>IF(AND($B91=[1]marcos!$A88,[1]marcos!$B88=N$4),"ok","nok")</f>
        <v>nok</v>
      </c>
      <c r="O91" s="74" t="str">
        <f>IF(AND($B91=[1]marcos!$A88,[1]marcos!$B88=O$4),"ok","nok")</f>
        <v>nok</v>
      </c>
      <c r="P91" s="74" t="str">
        <f>IF(AND($B91=[1]marcos!$A88,[1]marcos!$B88=P$4),"ok","nok")</f>
        <v>nok</v>
      </c>
      <c r="Q91" s="83"/>
      <c r="R91" s="74" t="str">
        <f>IF(AND($B91=[1]marcos!$A88,[1]marcos!$B88=R$4),"ok","nok")</f>
        <v>nok</v>
      </c>
      <c r="S91" s="74" t="str">
        <f>IF(AND($B91=[1]marcos!$A88,[1]marcos!$B88=S$4),"ok","nok")</f>
        <v>nok</v>
      </c>
      <c r="T91" s="74" t="str">
        <f>IF(AND($B91=[1]marcos!$A88,[1]marcos!$B88=T$4),"ok","nok")</f>
        <v>nok</v>
      </c>
      <c r="U91" s="74" t="str">
        <f>IF(AND($B91=[1]marcos!$A88,[1]marcos!$B88=U$4),"ok","nok")</f>
        <v>nok</v>
      </c>
      <c r="V91" s="74" t="str">
        <f>IF(AND($B91=[1]marcos!$A88,[1]marcos!$B88=V$4),"ok","nok")</f>
        <v>nok</v>
      </c>
      <c r="W91" s="74" t="str">
        <f>IF(AND($B91=[1]marcos!$A88,[1]marcos!$B88=W$4),"ok","nok")</f>
        <v>ok</v>
      </c>
      <c r="X91" s="74" t="str">
        <f>IF(AND($B91=[1]marcos!$A88,[1]marcos!$B88=X$4),"ok","nok")</f>
        <v>nok</v>
      </c>
      <c r="Y91" s="96" t="s">
        <v>16</v>
      </c>
      <c r="Z91" s="97"/>
      <c r="AA91" s="97"/>
      <c r="AB91" s="98"/>
      <c r="AC91" s="61"/>
      <c r="AD91" s="61"/>
      <c r="AE91" s="63" t="str">
        <f t="shared" si="22"/>
        <v/>
      </c>
      <c r="AF91" s="63"/>
      <c r="AG91" s="63"/>
      <c r="AH91" s="63"/>
      <c r="AI91" s="64">
        <f t="shared" si="23"/>
        <v>0</v>
      </c>
      <c r="AJ91" s="64" t="str">
        <f t="shared" si="24"/>
        <v/>
      </c>
      <c r="AK91" s="64">
        <f t="shared" si="25"/>
        <v>0</v>
      </c>
      <c r="AL91" s="64" t="str">
        <f t="shared" si="26"/>
        <v/>
      </c>
      <c r="AM91" s="64">
        <f t="shared" si="27"/>
        <v>0</v>
      </c>
      <c r="AN91" s="64" t="str">
        <f t="shared" si="28"/>
        <v/>
      </c>
      <c r="AO91" s="64">
        <f t="shared" si="29"/>
        <v>0</v>
      </c>
      <c r="AP91" s="64" t="str">
        <f t="shared" si="30"/>
        <v/>
      </c>
      <c r="AQ91" s="64">
        <f t="shared" si="31"/>
        <v>1</v>
      </c>
      <c r="AR91" s="64" t="str">
        <f t="shared" si="32"/>
        <v/>
      </c>
    </row>
    <row r="92" spans="1:45" ht="30" customHeight="1" x14ac:dyDescent="0.35">
      <c r="A92" s="28"/>
      <c r="B92" s="77" t="s">
        <v>64</v>
      </c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120"/>
      <c r="Z92" s="121"/>
      <c r="AA92" s="121"/>
      <c r="AB92" s="122"/>
      <c r="AC92" s="61"/>
      <c r="AD92" s="61"/>
      <c r="AE92" s="63" t="str">
        <f t="shared" si="22"/>
        <v/>
      </c>
      <c r="AF92" s="63"/>
      <c r="AG92" s="63"/>
      <c r="AH92" s="63"/>
      <c r="AI92" s="64">
        <f t="shared" si="23"/>
        <v>0</v>
      </c>
      <c r="AJ92" s="64" t="str">
        <f t="shared" si="24"/>
        <v/>
      </c>
      <c r="AK92" s="64">
        <f t="shared" si="25"/>
        <v>0</v>
      </c>
      <c r="AL92" s="64" t="str">
        <f t="shared" si="26"/>
        <v/>
      </c>
      <c r="AM92" s="64">
        <f t="shared" si="27"/>
        <v>0</v>
      </c>
      <c r="AN92" s="64" t="str">
        <f t="shared" si="28"/>
        <v/>
      </c>
      <c r="AO92" s="64">
        <f t="shared" si="29"/>
        <v>0</v>
      </c>
      <c r="AP92" s="64" t="str">
        <f t="shared" si="30"/>
        <v/>
      </c>
      <c r="AQ92" s="64">
        <f t="shared" si="31"/>
        <v>0</v>
      </c>
      <c r="AR92" s="64" t="str">
        <f t="shared" si="32"/>
        <v/>
      </c>
    </row>
    <row r="93" spans="1:45" ht="30" customHeight="1" x14ac:dyDescent="0.35">
      <c r="A93" s="28" t="str">
        <f>CONCATENATE($B$80,"
",$B$83,"
",$B$84,"
",$B$92)</f>
        <v>LARGO VANÁDIO MARACÁS
PLANTA QUÍMICA
ÁREA DE EVAPORAÇÃO
550 - CZ 501</v>
      </c>
      <c r="B93" s="53" t="s">
        <v>73</v>
      </c>
      <c r="C93" s="74" t="str">
        <f>IF(AND($B93=[1]marcos!$A90,[1]marcos!$B90=C$4),"ok","nok")</f>
        <v>nok</v>
      </c>
      <c r="D93" s="74" t="str">
        <f>IF(AND($B93=[1]marcos!$A90,[1]marcos!$B90=D$4),"ok","nok")</f>
        <v>nok</v>
      </c>
      <c r="E93" s="74" t="str">
        <f>IF(AND($B93=[1]marcos!$A90,[1]marcos!$B90=E$4),"ok","nok")</f>
        <v>nok</v>
      </c>
      <c r="F93" s="74" t="str">
        <f>IF(AND($B93=[1]marcos!$A90,[1]marcos!$B90=F$4),"ok","nok")</f>
        <v>nok</v>
      </c>
      <c r="G93" s="74" t="str">
        <f>IF(AND($B93=[1]marcos!$A90,[1]marcos!$B90=G$4),"ok","nok")</f>
        <v>nok</v>
      </c>
      <c r="H93" s="74" t="str">
        <f>IF(AND($B93=[1]marcos!$A90,[1]marcos!$B90=H$4),"ok","nok")</f>
        <v>nok</v>
      </c>
      <c r="I93" s="83"/>
      <c r="J93" s="74" t="str">
        <f>IF(AND($B93=[1]marcos!$A90,[1]marcos!$B90=J$4),"ok","nok")</f>
        <v>nok</v>
      </c>
      <c r="K93" s="74" t="str">
        <f>IF(AND($B93=[1]marcos!$A90,[1]marcos!$B90=K$4),"ok","nok")</f>
        <v>nok</v>
      </c>
      <c r="L93" s="74" t="str">
        <f>IF(AND($B93=[1]marcos!$A90,[1]marcos!$B90=L$4),"ok","nok")</f>
        <v>nok</v>
      </c>
      <c r="M93" s="74" t="str">
        <f>IF(AND($B93=[1]marcos!$A90,[1]marcos!$B90=M$4),"ok","nok")</f>
        <v>nok</v>
      </c>
      <c r="N93" s="74" t="str">
        <f>IF(AND($B93=[1]marcos!$A90,[1]marcos!$B90=N$4),"ok","nok")</f>
        <v>nok</v>
      </c>
      <c r="O93" s="74" t="str">
        <f>IF(AND($B93=[1]marcos!$A90,[1]marcos!$B90=O$4),"ok","nok")</f>
        <v>nok</v>
      </c>
      <c r="P93" s="74" t="str">
        <f>IF(AND($B93=[1]marcos!$A90,[1]marcos!$B90=P$4),"ok","nok")</f>
        <v>nok</v>
      </c>
      <c r="Q93" s="74" t="str">
        <f>IF(AND($B93=[1]marcos!$A90,[1]marcos!$B90=Q$4),"ok","nok")</f>
        <v>nok</v>
      </c>
      <c r="R93" s="74" t="str">
        <f>IF(AND($B93=[1]marcos!$A90,[1]marcos!$B90=R$4),"ok","nok")</f>
        <v>nok</v>
      </c>
      <c r="S93" s="74" t="str">
        <f>IF(AND($B93=[1]marcos!$A90,[1]marcos!$B90=S$4),"ok","nok")</f>
        <v>nok</v>
      </c>
      <c r="T93" s="74" t="str">
        <f>IF(AND($B93=[1]marcos!$A90,[1]marcos!$B90=T$4),"ok","nok")</f>
        <v>nok</v>
      </c>
      <c r="U93" s="74" t="str">
        <f>IF(AND($B93=[1]marcos!$A90,[1]marcos!$B90=U$4),"ok","nok")</f>
        <v>ok</v>
      </c>
      <c r="V93" s="74" t="str">
        <f>IF(AND($B93=[1]marcos!$A90,[1]marcos!$B90=V$4),"ok","nok")</f>
        <v>nok</v>
      </c>
      <c r="W93" s="74" t="str">
        <f>IF(AND($B93=[1]marcos!$A90,[1]marcos!$B90=W$4),"ok","nok")</f>
        <v>nok</v>
      </c>
      <c r="X93" s="74" t="str">
        <f>IF(AND($B93=[1]marcos!$A90,[1]marcos!$B90=X$4),"ok","nok")</f>
        <v>nok</v>
      </c>
      <c r="Y93" s="96" t="s">
        <v>32</v>
      </c>
      <c r="Z93" s="97"/>
      <c r="AA93" s="97"/>
      <c r="AB93" s="98"/>
      <c r="AC93" s="61"/>
      <c r="AD93" s="61"/>
      <c r="AE93" s="63" t="str">
        <f t="shared" si="22"/>
        <v>Verificação do Laudo</v>
      </c>
      <c r="AF93" s="63"/>
      <c r="AG93" s="63"/>
      <c r="AH93" s="63"/>
      <c r="AI93" s="64">
        <f t="shared" si="23"/>
        <v>0</v>
      </c>
      <c r="AJ93" s="64" t="str">
        <f t="shared" si="24"/>
        <v/>
      </c>
      <c r="AK93" s="64">
        <f t="shared" si="25"/>
        <v>0</v>
      </c>
      <c r="AL93" s="64" t="str">
        <f t="shared" si="26"/>
        <v/>
      </c>
      <c r="AM93" s="64">
        <f t="shared" si="27"/>
        <v>0</v>
      </c>
      <c r="AN93" s="64" t="str">
        <f t="shared" si="28"/>
        <v/>
      </c>
      <c r="AO93" s="64">
        <f t="shared" si="29"/>
        <v>1</v>
      </c>
      <c r="AP93" s="64" t="str">
        <f t="shared" si="30"/>
        <v/>
      </c>
      <c r="AQ93" s="64">
        <f t="shared" si="31"/>
        <v>0</v>
      </c>
      <c r="AR93" s="64" t="str">
        <f t="shared" si="32"/>
        <v/>
      </c>
    </row>
    <row r="94" spans="1:45" ht="30" customHeight="1" x14ac:dyDescent="0.35">
      <c r="A94" s="28"/>
      <c r="B94" s="54" t="s">
        <v>74</v>
      </c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114"/>
      <c r="Z94" s="115"/>
      <c r="AA94" s="115"/>
      <c r="AB94" s="116"/>
      <c r="AC94" s="61"/>
      <c r="AD94" s="61"/>
      <c r="AE94" s="63" t="str">
        <f t="shared" si="22"/>
        <v/>
      </c>
      <c r="AF94" s="63"/>
      <c r="AG94" s="63"/>
      <c r="AH94" s="63"/>
      <c r="AI94" s="64">
        <f t="shared" si="23"/>
        <v>0</v>
      </c>
      <c r="AJ94" s="64" t="str">
        <f t="shared" si="24"/>
        <v/>
      </c>
      <c r="AK94" s="64">
        <f t="shared" si="25"/>
        <v>0</v>
      </c>
      <c r="AL94" s="64" t="str">
        <f t="shared" si="26"/>
        <v/>
      </c>
      <c r="AM94" s="64">
        <f t="shared" si="27"/>
        <v>0</v>
      </c>
      <c r="AN94" s="64" t="str">
        <f t="shared" si="28"/>
        <v/>
      </c>
      <c r="AO94" s="64">
        <f t="shared" si="29"/>
        <v>0</v>
      </c>
      <c r="AP94" s="64" t="str">
        <f t="shared" si="30"/>
        <v/>
      </c>
      <c r="AQ94" s="64">
        <f t="shared" si="31"/>
        <v>0</v>
      </c>
      <c r="AR94" s="64" t="str">
        <f t="shared" si="32"/>
        <v/>
      </c>
    </row>
    <row r="95" spans="1:45" s="20" customFormat="1" ht="30" customHeight="1" x14ac:dyDescent="0.35">
      <c r="A95" s="28" t="str">
        <f t="shared" ref="A95:A98" si="34">CONCATENATE($B$80,"
",$B$83,"
",$B$84,"
",$B$92)</f>
        <v>LARGO VANÁDIO MARACÁS
PLANTA QUÍMICA
ÁREA DE EVAPORAÇÃO
550 - CZ 501</v>
      </c>
      <c r="B95" s="55" t="s">
        <v>75</v>
      </c>
      <c r="C95" s="74" t="str">
        <f>IF(AND($B95=[1]marcos!$A92,[1]marcos!$B92=C$4),"ok","nok")</f>
        <v>nok</v>
      </c>
      <c r="D95" s="74" t="str">
        <f>IF(AND($B95=[1]marcos!$A92,[1]marcos!$B92=D$4),"ok","nok")</f>
        <v>nok</v>
      </c>
      <c r="E95" s="74" t="str">
        <f>IF(AND($B95=[1]marcos!$A92,[1]marcos!$B92=E$4),"ok","nok")</f>
        <v>nok</v>
      </c>
      <c r="F95" s="74" t="str">
        <f>IF(AND($B95=[1]marcos!$A92,[1]marcos!$B92=F$4),"ok","nok")</f>
        <v>nok</v>
      </c>
      <c r="G95" s="74" t="str">
        <f>IF(AND($B95=[1]marcos!$A92,[1]marcos!$B92=G$4),"ok","nok")</f>
        <v>nok</v>
      </c>
      <c r="H95" s="74" t="str">
        <f>IF(AND($B95=[1]marcos!$A92,[1]marcos!$B92=H$4),"ok","nok")</f>
        <v>nok</v>
      </c>
      <c r="I95" s="83"/>
      <c r="J95" s="74" t="str">
        <f>IF(AND($B95=[1]marcos!$A92,[1]marcos!$B92=J$4),"ok","nok")</f>
        <v>nok</v>
      </c>
      <c r="K95" s="74" t="str">
        <f>IF(AND($B95=[1]marcos!$A92,[1]marcos!$B92=K$4),"ok","nok")</f>
        <v>nok</v>
      </c>
      <c r="L95" s="74" t="str">
        <f>IF(AND($B95=[1]marcos!$A92,[1]marcos!$B92=L$4),"ok","nok")</f>
        <v>nok</v>
      </c>
      <c r="M95" s="74" t="str">
        <f>IF(AND($B95=[1]marcos!$A92,[1]marcos!$B92=M$4),"ok","nok")</f>
        <v>nok</v>
      </c>
      <c r="N95" s="74" t="str">
        <f>IF(AND($B95=[1]marcos!$A92,[1]marcos!$B92=N$4),"ok","nok")</f>
        <v>nok</v>
      </c>
      <c r="O95" s="74" t="str">
        <f>IF(AND($B95=[1]marcos!$A92,[1]marcos!$B92=O$4),"ok","nok")</f>
        <v>nok</v>
      </c>
      <c r="P95" s="74" t="str">
        <f>IF(AND($B95=[1]marcos!$A92,[1]marcos!$B92=P$4),"ok","nok")</f>
        <v>nok</v>
      </c>
      <c r="Q95" s="74" t="str">
        <f>IF(AND($B95=[1]marcos!$A92,[1]marcos!$B92=Q$4),"ok","nok")</f>
        <v>nok</v>
      </c>
      <c r="R95" s="74" t="str">
        <f>IF(AND($B95=[1]marcos!$A92,[1]marcos!$B92=R$4),"ok","nok")</f>
        <v>nok</v>
      </c>
      <c r="S95" s="74" t="str">
        <f>IF(AND($B95=[1]marcos!$A92,[1]marcos!$B92=S$4),"ok","nok")</f>
        <v>nok</v>
      </c>
      <c r="T95" s="74" t="str">
        <f>IF(AND($B95=[1]marcos!$A92,[1]marcos!$B92=T$4),"ok","nok")</f>
        <v>nok</v>
      </c>
      <c r="U95" s="74" t="str">
        <f>IF(AND($B95=[1]marcos!$A92,[1]marcos!$B92=U$4),"ok","nok")</f>
        <v>ok</v>
      </c>
      <c r="V95" s="74" t="str">
        <f>IF(AND($B95=[1]marcos!$A92,[1]marcos!$B92=V$4),"ok","nok")</f>
        <v>nok</v>
      </c>
      <c r="W95" s="74" t="str">
        <f>IF(AND($B95=[1]marcos!$A92,[1]marcos!$B92=W$4),"ok","nok")</f>
        <v>nok</v>
      </c>
      <c r="X95" s="74" t="str">
        <f>IF(AND($B95=[1]marcos!$A92,[1]marcos!$B92=X$4),"ok","nok")</f>
        <v>nok</v>
      </c>
      <c r="Y95" s="96" t="s">
        <v>32</v>
      </c>
      <c r="Z95" s="97"/>
      <c r="AA95" s="97"/>
      <c r="AB95" s="98"/>
      <c r="AC95" s="29"/>
      <c r="AD95" s="29"/>
      <c r="AE95" s="63" t="str">
        <f t="shared" si="22"/>
        <v>MARCO - Emissão Inicial</v>
      </c>
      <c r="AF95" s="63"/>
      <c r="AG95" s="63"/>
      <c r="AH95" s="63"/>
      <c r="AI95" s="64">
        <f t="shared" si="23"/>
        <v>0</v>
      </c>
      <c r="AJ95" s="64" t="str">
        <f t="shared" si="24"/>
        <v/>
      </c>
      <c r="AK95" s="64">
        <f t="shared" si="25"/>
        <v>0</v>
      </c>
      <c r="AL95" s="64" t="str">
        <f t="shared" si="26"/>
        <v/>
      </c>
      <c r="AM95" s="64">
        <f t="shared" si="27"/>
        <v>0</v>
      </c>
      <c r="AN95" s="64" t="str">
        <f t="shared" si="28"/>
        <v/>
      </c>
      <c r="AO95" s="64">
        <f t="shared" si="29"/>
        <v>1</v>
      </c>
      <c r="AP95" s="64" t="str">
        <f t="shared" si="30"/>
        <v/>
      </c>
      <c r="AQ95" s="64">
        <f t="shared" si="31"/>
        <v>0</v>
      </c>
      <c r="AR95" s="64" t="str">
        <f t="shared" si="32"/>
        <v/>
      </c>
      <c r="AS95" s="13"/>
    </row>
    <row r="96" spans="1:45" ht="30" customHeight="1" x14ac:dyDescent="0.35">
      <c r="A96" s="28" t="str">
        <f t="shared" si="34"/>
        <v>LARGO VANÁDIO MARACÁS
PLANTA QUÍMICA
ÁREA DE EVAPORAÇÃO
550 - CZ 501</v>
      </c>
      <c r="B96" s="55" t="s">
        <v>20</v>
      </c>
      <c r="C96" s="74" t="str">
        <f>IF(AND($B96=[1]marcos!$A93,[1]marcos!$B93=C$4),"ok","nok")</f>
        <v>nok</v>
      </c>
      <c r="D96" s="74" t="str">
        <f>IF(AND($B96=[1]marcos!$A93,[1]marcos!$B93=D$4),"ok","nok")</f>
        <v>nok</v>
      </c>
      <c r="E96" s="74" t="str">
        <f>IF(AND($B96=[1]marcos!$A93,[1]marcos!$B93=E$4),"ok","nok")</f>
        <v>nok</v>
      </c>
      <c r="F96" s="74" t="str">
        <f>IF(AND($B96=[1]marcos!$A93,[1]marcos!$B93=F$4),"ok","nok")</f>
        <v>nok</v>
      </c>
      <c r="G96" s="74" t="str">
        <f>IF(AND($B96=[1]marcos!$A93,[1]marcos!$B93=G$4),"ok","nok")</f>
        <v>nok</v>
      </c>
      <c r="H96" s="74" t="str">
        <f>IF(AND($B96=[1]marcos!$A93,[1]marcos!$B93=H$4),"ok","nok")</f>
        <v>nok</v>
      </c>
      <c r="I96" s="74" t="str">
        <f>IF(AND($B96=[1]marcos!$A93,[1]marcos!$B93=I$4),"ok","nok")</f>
        <v>nok</v>
      </c>
      <c r="J96" s="74" t="str">
        <f>IF(AND($B96=[1]marcos!$A93,[1]marcos!$B93=J$4),"ok","nok")</f>
        <v>nok</v>
      </c>
      <c r="K96" s="74" t="str">
        <f>IF(AND($B96=[1]marcos!$A93,[1]marcos!$B93=K$4),"ok","nok")</f>
        <v>nok</v>
      </c>
      <c r="L96" s="74" t="str">
        <f>IF(AND($B96=[1]marcos!$A93,[1]marcos!$B93=L$4),"ok","nok")</f>
        <v>nok</v>
      </c>
      <c r="M96" s="74" t="str">
        <f>IF(AND($B96=[1]marcos!$A93,[1]marcos!$B93=M$4),"ok","nok")</f>
        <v>nok</v>
      </c>
      <c r="N96" s="83"/>
      <c r="O96" s="74" t="str">
        <f>IF(AND($B96=[1]marcos!$A93,[1]marcos!$B93=O$4),"ok","nok")</f>
        <v>nok</v>
      </c>
      <c r="P96" s="74" t="str">
        <f>IF(AND($B96=[1]marcos!$A93,[1]marcos!$B93=P$4),"ok","nok")</f>
        <v>nok</v>
      </c>
      <c r="Q96" s="74" t="str">
        <f>IF(AND($B96=[1]marcos!$A93,[1]marcos!$B93=Q$4),"ok","nok")</f>
        <v>nok</v>
      </c>
      <c r="R96" s="74" t="str">
        <f>IF(AND($B96=[1]marcos!$A93,[1]marcos!$B93=R$4),"ok","nok")</f>
        <v>nok</v>
      </c>
      <c r="S96" s="74" t="str">
        <f>IF(AND($B96=[1]marcos!$A93,[1]marcos!$B93=S$4),"ok","nok")</f>
        <v>nok</v>
      </c>
      <c r="T96" s="74" t="str">
        <f>IF(AND($B96=[1]marcos!$A93,[1]marcos!$B93=T$4),"ok","nok")</f>
        <v>nok</v>
      </c>
      <c r="U96" s="74" t="str">
        <f>IF(AND($B96=[1]marcos!$A93,[1]marcos!$B93=U$4),"ok","nok")</f>
        <v>nok</v>
      </c>
      <c r="V96" s="74" t="str">
        <f>IF(AND($B96=[1]marcos!$A93,[1]marcos!$B93=V$4),"ok","nok")</f>
        <v>ok</v>
      </c>
      <c r="W96" s="74" t="str">
        <f>IF(AND($B96=[1]marcos!$A93,[1]marcos!$B93=W$4),"ok","nok")</f>
        <v>nok</v>
      </c>
      <c r="X96" s="74" t="str">
        <f>IF(AND($B96=[1]marcos!$A93,[1]marcos!$B93=X$4),"ok","nok")</f>
        <v>nok</v>
      </c>
      <c r="Y96" s="96" t="s">
        <v>16</v>
      </c>
      <c r="Z96" s="97"/>
      <c r="AA96" s="97"/>
      <c r="AB96" s="98"/>
      <c r="AE96" s="63" t="str">
        <f t="shared" si="22"/>
        <v/>
      </c>
      <c r="AF96" s="63"/>
      <c r="AG96" s="63"/>
      <c r="AH96" s="63"/>
      <c r="AI96" s="64">
        <f t="shared" si="23"/>
        <v>0</v>
      </c>
      <c r="AJ96" s="64" t="str">
        <f t="shared" si="24"/>
        <v/>
      </c>
      <c r="AK96" s="64">
        <f t="shared" si="25"/>
        <v>0</v>
      </c>
      <c r="AL96" s="64" t="str">
        <f t="shared" si="26"/>
        <v/>
      </c>
      <c r="AM96" s="64">
        <f t="shared" si="27"/>
        <v>0</v>
      </c>
      <c r="AN96" s="64" t="str">
        <f t="shared" si="28"/>
        <v/>
      </c>
      <c r="AO96" s="64">
        <f t="shared" si="29"/>
        <v>1</v>
      </c>
      <c r="AP96" s="64" t="str">
        <f t="shared" si="30"/>
        <v/>
      </c>
      <c r="AQ96" s="64">
        <f t="shared" si="31"/>
        <v>0</v>
      </c>
      <c r="AR96" s="64" t="str">
        <f t="shared" si="32"/>
        <v/>
      </c>
    </row>
    <row r="97" spans="1:64" ht="30" customHeight="1" x14ac:dyDescent="0.35">
      <c r="A97" s="28" t="str">
        <f t="shared" si="34"/>
        <v>LARGO VANÁDIO MARACÁS
PLANTA QUÍMICA
ÁREA DE EVAPORAÇÃO
550 - CZ 501</v>
      </c>
      <c r="B97" s="55" t="s">
        <v>38</v>
      </c>
      <c r="C97" s="74" t="str">
        <f>IF(AND($B97=[1]marcos!$A94,[1]marcos!$B94=C$4),"ok","nok")</f>
        <v>nok</v>
      </c>
      <c r="D97" s="74" t="str">
        <f>IF(AND($B97=[1]marcos!$A94,[1]marcos!$B94=D$4),"ok","nok")</f>
        <v>nok</v>
      </c>
      <c r="E97" s="74" t="str">
        <f>IF(AND($B97=[1]marcos!$A94,[1]marcos!$B94=E$4),"ok","nok")</f>
        <v>nok</v>
      </c>
      <c r="F97" s="74" t="str">
        <f>IF(AND($B97=[1]marcos!$A94,[1]marcos!$B94=F$4),"ok","nok")</f>
        <v>nok</v>
      </c>
      <c r="G97" s="74" t="str">
        <f>IF(AND($B97=[1]marcos!$A94,[1]marcos!$B94=G$4),"ok","nok")</f>
        <v>nok</v>
      </c>
      <c r="H97" s="74" t="str">
        <f>IF(AND($B97=[1]marcos!$A94,[1]marcos!$B94=H$4),"ok","nok")</f>
        <v>nok</v>
      </c>
      <c r="I97" s="74" t="str">
        <f>IF(AND($B97=[1]marcos!$A94,[1]marcos!$B94=I$4),"ok","nok")</f>
        <v>nok</v>
      </c>
      <c r="J97" s="74" t="str">
        <f>IF(AND($B97=[1]marcos!$A94,[1]marcos!$B94=J$4),"ok","nok")</f>
        <v>nok</v>
      </c>
      <c r="K97" s="74" t="str">
        <f>IF(AND($B97=[1]marcos!$A94,[1]marcos!$B94=K$4),"ok","nok")</f>
        <v>nok</v>
      </c>
      <c r="L97" s="74" t="str">
        <f>IF(AND($B97=[1]marcos!$A94,[1]marcos!$B94=L$4),"ok","nok")</f>
        <v>nok</v>
      </c>
      <c r="M97" s="74" t="str">
        <f>IF(AND($B97=[1]marcos!$A94,[1]marcos!$B94=M$4),"ok","nok")</f>
        <v>nok</v>
      </c>
      <c r="N97" s="74" t="str">
        <f>IF(AND($B97=[1]marcos!$A94,[1]marcos!$B94=N$4),"ok","nok")</f>
        <v>nok</v>
      </c>
      <c r="O97" s="74" t="str">
        <f>IF(AND($B97=[1]marcos!$A94,[1]marcos!$B94=O$4),"ok","nok")</f>
        <v>nok</v>
      </c>
      <c r="P97" s="74" t="str">
        <f>IF(AND($B97=[1]marcos!$A94,[1]marcos!$B94=P$4),"ok","nok")</f>
        <v>nok</v>
      </c>
      <c r="Q97" s="83"/>
      <c r="R97" s="74" t="str">
        <f>IF(AND($B97=[1]marcos!$A94,[1]marcos!$B94=R$4),"ok","nok")</f>
        <v>nok</v>
      </c>
      <c r="S97" s="74" t="str">
        <f>IF(AND($B97=[1]marcos!$A94,[1]marcos!$B94=S$4),"ok","nok")</f>
        <v>nok</v>
      </c>
      <c r="T97" s="74" t="str">
        <f>IF(AND($B97=[1]marcos!$A94,[1]marcos!$B94=T$4),"ok","nok")</f>
        <v>nok</v>
      </c>
      <c r="U97" s="74" t="str">
        <f>IF(AND($B97=[1]marcos!$A94,[1]marcos!$B94=U$4),"ok","nok")</f>
        <v>nok</v>
      </c>
      <c r="V97" s="74" t="str">
        <f>IF(AND($B97=[1]marcos!$A94,[1]marcos!$B94=V$4),"ok","nok")</f>
        <v>nok</v>
      </c>
      <c r="W97" s="74" t="str">
        <f>IF(AND($B97=[1]marcos!$A94,[1]marcos!$B94=W$4),"ok","nok")</f>
        <v>ok</v>
      </c>
      <c r="X97" s="74" t="str">
        <f>IF(AND($B97=[1]marcos!$A94,[1]marcos!$B94=X$4),"ok","nok")</f>
        <v>nok</v>
      </c>
      <c r="Y97" s="96" t="s">
        <v>16</v>
      </c>
      <c r="Z97" s="97"/>
      <c r="AA97" s="97"/>
      <c r="AB97" s="98"/>
      <c r="AE97" s="63" t="str">
        <f t="shared" si="22"/>
        <v/>
      </c>
      <c r="AF97" s="63"/>
      <c r="AG97" s="63"/>
      <c r="AH97" s="63"/>
      <c r="AI97" s="64">
        <f t="shared" si="23"/>
        <v>0</v>
      </c>
      <c r="AJ97" s="64" t="str">
        <f t="shared" si="24"/>
        <v/>
      </c>
      <c r="AK97" s="64">
        <f t="shared" si="25"/>
        <v>0</v>
      </c>
      <c r="AL97" s="64" t="str">
        <f t="shared" si="26"/>
        <v/>
      </c>
      <c r="AM97" s="64">
        <f t="shared" si="27"/>
        <v>0</v>
      </c>
      <c r="AN97" s="64" t="str">
        <f t="shared" si="28"/>
        <v/>
      </c>
      <c r="AO97" s="64">
        <f t="shared" si="29"/>
        <v>0</v>
      </c>
      <c r="AP97" s="64" t="str">
        <f t="shared" si="30"/>
        <v/>
      </c>
      <c r="AQ97" s="64">
        <f t="shared" si="31"/>
        <v>1</v>
      </c>
      <c r="AR97" s="64" t="str">
        <f t="shared" si="32"/>
        <v/>
      </c>
    </row>
    <row r="98" spans="1:64" ht="30" customHeight="1" x14ac:dyDescent="0.35">
      <c r="A98" s="28" t="str">
        <f t="shared" si="34"/>
        <v>LARGO VANÁDIO MARACÁS
PLANTA QUÍMICA
ÁREA DE EVAPORAÇÃO
550 - CZ 501</v>
      </c>
      <c r="B98" s="55" t="s">
        <v>76</v>
      </c>
      <c r="C98" s="74" t="str">
        <f>IF(AND($B98=[1]marcos!$A95,[1]marcos!$B95=C$4),"ok","nok")</f>
        <v>nok</v>
      </c>
      <c r="D98" s="74" t="str">
        <f>IF(AND($B98=[1]marcos!$A95,[1]marcos!$B95=D$4),"ok","nok")</f>
        <v>nok</v>
      </c>
      <c r="E98" s="74" t="str">
        <f>IF(AND($B98=[1]marcos!$A95,[1]marcos!$B95=E$4),"ok","nok")</f>
        <v>nok</v>
      </c>
      <c r="F98" s="74" t="str">
        <f>IF(AND($B98=[1]marcos!$A95,[1]marcos!$B95=F$4),"ok","nok")</f>
        <v>nok</v>
      </c>
      <c r="G98" s="74" t="str">
        <f>IF(AND($B98=[1]marcos!$A95,[1]marcos!$B95=G$4),"ok","nok")</f>
        <v>nok</v>
      </c>
      <c r="H98" s="74" t="str">
        <f>IF(AND($B98=[1]marcos!$A95,[1]marcos!$B95=H$4),"ok","nok")</f>
        <v>nok</v>
      </c>
      <c r="I98" s="74" t="str">
        <f>IF(AND($B98=[1]marcos!$A95,[1]marcos!$B95=I$4),"ok","nok")</f>
        <v>nok</v>
      </c>
      <c r="J98" s="74" t="str">
        <f>IF(AND($B98=[1]marcos!$A95,[1]marcos!$B95=J$4),"ok","nok")</f>
        <v>nok</v>
      </c>
      <c r="K98" s="74" t="str">
        <f>IF(AND($B98=[1]marcos!$A95,[1]marcos!$B95=K$4),"ok","nok")</f>
        <v>nok</v>
      </c>
      <c r="L98" s="74" t="str">
        <f>IF(AND($B98=[1]marcos!$A95,[1]marcos!$B95=L$4),"ok","nok")</f>
        <v>nok</v>
      </c>
      <c r="M98" s="74" t="str">
        <f>IF(AND($B98=[1]marcos!$A95,[1]marcos!$B95=M$4),"ok","nok")</f>
        <v>nok</v>
      </c>
      <c r="N98" s="74" t="str">
        <f>IF(AND($B98=[1]marcos!$A95,[1]marcos!$B95=N$4),"ok","nok")</f>
        <v>nok</v>
      </c>
      <c r="O98" s="74" t="str">
        <f>IF(AND($B98=[1]marcos!$A95,[1]marcos!$B95=O$4),"ok","nok")</f>
        <v>nok</v>
      </c>
      <c r="P98" s="74" t="str">
        <f>IF(AND($B98=[1]marcos!$A95,[1]marcos!$B95=P$4),"ok","nok")</f>
        <v>nok</v>
      </c>
      <c r="Q98" s="83"/>
      <c r="R98" s="74" t="str">
        <f>IF(AND($B98=[1]marcos!$A95,[1]marcos!$B95=R$4),"ok","nok")</f>
        <v>nok</v>
      </c>
      <c r="S98" s="74" t="str">
        <f>IF(AND($B98=[1]marcos!$A95,[1]marcos!$B95=S$4),"ok","nok")</f>
        <v>nok</v>
      </c>
      <c r="T98" s="74" t="str">
        <f>IF(AND($B98=[1]marcos!$A95,[1]marcos!$B95=T$4),"ok","nok")</f>
        <v>nok</v>
      </c>
      <c r="U98" s="74" t="str">
        <f>IF(AND($B98=[1]marcos!$A95,[1]marcos!$B95=U$4),"ok","nok")</f>
        <v>nok</v>
      </c>
      <c r="V98" s="74" t="str">
        <f>IF(AND($B98=[1]marcos!$A95,[1]marcos!$B95=V$4),"ok","nok")</f>
        <v>nok</v>
      </c>
      <c r="W98" s="74" t="str">
        <f>IF(AND($B98=[1]marcos!$A95,[1]marcos!$B95=W$4),"ok","nok")</f>
        <v>ok</v>
      </c>
      <c r="X98" s="74" t="str">
        <f>IF(AND($B98=[1]marcos!$A95,[1]marcos!$B95=X$4),"ok","nok")</f>
        <v>nok</v>
      </c>
      <c r="Y98" s="96" t="s">
        <v>16</v>
      </c>
      <c r="Z98" s="97"/>
      <c r="AA98" s="97"/>
      <c r="AB98" s="98"/>
      <c r="AE98" s="63" t="str">
        <f t="shared" si="22"/>
        <v/>
      </c>
      <c r="AF98" s="63"/>
      <c r="AG98" s="63"/>
      <c r="AH98" s="63"/>
      <c r="AI98" s="64">
        <f t="shared" si="23"/>
        <v>0</v>
      </c>
      <c r="AJ98" s="64" t="str">
        <f t="shared" si="24"/>
        <v/>
      </c>
      <c r="AK98" s="64">
        <f t="shared" si="25"/>
        <v>0</v>
      </c>
      <c r="AL98" s="64" t="str">
        <f t="shared" si="26"/>
        <v/>
      </c>
      <c r="AM98" s="64">
        <f t="shared" si="27"/>
        <v>0</v>
      </c>
      <c r="AN98" s="64" t="str">
        <f t="shared" si="28"/>
        <v/>
      </c>
      <c r="AO98" s="64">
        <f t="shared" si="29"/>
        <v>0</v>
      </c>
      <c r="AP98" s="64" t="str">
        <f t="shared" si="30"/>
        <v/>
      </c>
      <c r="AQ98" s="64">
        <f t="shared" si="31"/>
        <v>1</v>
      </c>
      <c r="AR98" s="64" t="str">
        <f t="shared" si="32"/>
        <v/>
      </c>
    </row>
    <row r="99" spans="1:64" ht="30" customHeight="1" x14ac:dyDescent="0.35">
      <c r="A99" s="28"/>
      <c r="B99" s="77" t="s">
        <v>65</v>
      </c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120"/>
      <c r="Z99" s="121"/>
      <c r="AA99" s="121"/>
      <c r="AB99" s="122"/>
      <c r="AE99" s="63" t="str">
        <f t="shared" si="22"/>
        <v/>
      </c>
      <c r="AF99" s="63"/>
      <c r="AG99" s="63"/>
      <c r="AH99" s="63"/>
      <c r="AI99" s="64">
        <f t="shared" si="23"/>
        <v>0</v>
      </c>
      <c r="AJ99" s="64" t="str">
        <f t="shared" si="24"/>
        <v/>
      </c>
      <c r="AK99" s="64">
        <f t="shared" si="25"/>
        <v>0</v>
      </c>
      <c r="AL99" s="64" t="str">
        <f t="shared" si="26"/>
        <v/>
      </c>
      <c r="AM99" s="64">
        <f t="shared" si="27"/>
        <v>0</v>
      </c>
      <c r="AN99" s="64" t="str">
        <f t="shared" si="28"/>
        <v/>
      </c>
      <c r="AO99" s="64">
        <f t="shared" si="29"/>
        <v>0</v>
      </c>
      <c r="AP99" s="64" t="str">
        <f t="shared" si="30"/>
        <v/>
      </c>
      <c r="AQ99" s="64">
        <f t="shared" si="31"/>
        <v>0</v>
      </c>
      <c r="AR99" s="64" t="str">
        <f t="shared" si="32"/>
        <v/>
      </c>
    </row>
    <row r="100" spans="1:64" s="46" customFormat="1" ht="30" customHeight="1" x14ac:dyDescent="0.35">
      <c r="A100" s="28" t="str">
        <f>CONCATENATE($B$80,"
",$B$83,"
",$B$84,"
",$B$99)</f>
        <v>LARGO VANÁDIO MARACÁS
PLANTA QUÍMICA
ÁREA DE EVAPORAÇÃO
550 - HE 201</v>
      </c>
      <c r="B100" s="53" t="s">
        <v>73</v>
      </c>
      <c r="C100" s="74" t="str">
        <f>IF(AND($B100=[1]marcos!$A97,[1]marcos!$B97=C$4),"ok","nok")</f>
        <v>nok</v>
      </c>
      <c r="D100" s="74" t="str">
        <f>IF(AND($B100=[1]marcos!$A97,[1]marcos!$B97=D$4),"ok","nok")</f>
        <v>nok</v>
      </c>
      <c r="E100" s="74" t="str">
        <f>IF(AND($B100=[1]marcos!$A97,[1]marcos!$B97=E$4),"ok","nok")</f>
        <v>nok</v>
      </c>
      <c r="F100" s="74" t="str">
        <f>IF(AND($B100=[1]marcos!$A97,[1]marcos!$B97=F$4),"ok","nok")</f>
        <v>nok</v>
      </c>
      <c r="G100" s="74" t="str">
        <f>IF(AND($B100=[1]marcos!$A97,[1]marcos!$B97=G$4),"ok","nok")</f>
        <v>nok</v>
      </c>
      <c r="H100" s="74" t="str">
        <f>IF(AND($B100=[1]marcos!$A97,[1]marcos!$B97=H$4),"ok","nok")</f>
        <v>nok</v>
      </c>
      <c r="I100" s="83"/>
      <c r="J100" s="74" t="str">
        <f>IF(AND($B100=[1]marcos!$A97,[1]marcos!$B97=J$4),"ok","nok")</f>
        <v>nok</v>
      </c>
      <c r="K100" s="74" t="str">
        <f>IF(AND($B100=[1]marcos!$A97,[1]marcos!$B97=K$4),"ok","nok")</f>
        <v>nok</v>
      </c>
      <c r="L100" s="74" t="str">
        <f>IF(AND($B100=[1]marcos!$A97,[1]marcos!$B97=L$4),"ok","nok")</f>
        <v>nok</v>
      </c>
      <c r="M100" s="74" t="str">
        <f>IF(AND($B100=[1]marcos!$A97,[1]marcos!$B97=M$4),"ok","nok")</f>
        <v>nok</v>
      </c>
      <c r="N100" s="74" t="str">
        <f>IF(AND($B100=[1]marcos!$A97,[1]marcos!$B97=N$4),"ok","nok")</f>
        <v>nok</v>
      </c>
      <c r="O100" s="74" t="str">
        <f>IF(AND($B100=[1]marcos!$A97,[1]marcos!$B97=O$4),"ok","nok")</f>
        <v>nok</v>
      </c>
      <c r="P100" s="74" t="str">
        <f>IF(AND($B100=[1]marcos!$A97,[1]marcos!$B97=P$4),"ok","nok")</f>
        <v>nok</v>
      </c>
      <c r="Q100" s="74" t="str">
        <f>IF(AND($B100=[1]marcos!$A97,[1]marcos!$B97=Q$4),"ok","nok")</f>
        <v>nok</v>
      </c>
      <c r="R100" s="74" t="str">
        <f>IF(AND($B100=[1]marcos!$A97,[1]marcos!$B97=R$4),"ok","nok")</f>
        <v>nok</v>
      </c>
      <c r="S100" s="74" t="str">
        <f>IF(AND($B100=[1]marcos!$A97,[1]marcos!$B97=S$4),"ok","nok")</f>
        <v>nok</v>
      </c>
      <c r="T100" s="74" t="str">
        <f>IF(AND($B100=[1]marcos!$A97,[1]marcos!$B97=T$4),"ok","nok")</f>
        <v>nok</v>
      </c>
      <c r="U100" s="74" t="str">
        <f>IF(AND($B100=[1]marcos!$A97,[1]marcos!$B97=U$4),"ok","nok")</f>
        <v>ok</v>
      </c>
      <c r="V100" s="74" t="str">
        <f>IF(AND($B100=[1]marcos!$A97,[1]marcos!$B97=V$4),"ok","nok")</f>
        <v>nok</v>
      </c>
      <c r="W100" s="74" t="str">
        <f>IF(AND($B100=[1]marcos!$A97,[1]marcos!$B97=W$4),"ok","nok")</f>
        <v>nok</v>
      </c>
      <c r="X100" s="74" t="str">
        <f>IF(AND($B100=[1]marcos!$A97,[1]marcos!$B97=X$4),"ok","nok")</f>
        <v>nok</v>
      </c>
      <c r="Y100" s="96" t="s">
        <v>32</v>
      </c>
      <c r="Z100" s="97"/>
      <c r="AA100" s="97"/>
      <c r="AB100" s="98"/>
      <c r="AC100" s="28"/>
      <c r="AD100" s="28"/>
      <c r="AE100" s="63" t="str">
        <f t="shared" si="22"/>
        <v>Verificação do Laudo</v>
      </c>
      <c r="AF100" s="63"/>
      <c r="AG100" s="63"/>
      <c r="AH100" s="63"/>
      <c r="AI100" s="64">
        <f t="shared" si="23"/>
        <v>0</v>
      </c>
      <c r="AJ100" s="64" t="str">
        <f t="shared" si="24"/>
        <v/>
      </c>
      <c r="AK100" s="64">
        <f t="shared" si="25"/>
        <v>0</v>
      </c>
      <c r="AL100" s="64" t="str">
        <f t="shared" si="26"/>
        <v/>
      </c>
      <c r="AM100" s="64">
        <f t="shared" si="27"/>
        <v>0</v>
      </c>
      <c r="AN100" s="64" t="str">
        <f t="shared" si="28"/>
        <v/>
      </c>
      <c r="AO100" s="64">
        <f t="shared" si="29"/>
        <v>1</v>
      </c>
      <c r="AP100" s="64" t="str">
        <f t="shared" si="30"/>
        <v/>
      </c>
      <c r="AQ100" s="64">
        <f t="shared" si="31"/>
        <v>0</v>
      </c>
      <c r="AR100" s="64" t="str">
        <f t="shared" si="32"/>
        <v/>
      </c>
      <c r="AS100" s="4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1:64" s="46" customFormat="1" ht="30" customHeight="1" x14ac:dyDescent="0.35">
      <c r="A101" s="28"/>
      <c r="B101" s="54" t="s">
        <v>74</v>
      </c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114"/>
      <c r="Z101" s="115"/>
      <c r="AA101" s="115"/>
      <c r="AB101" s="116"/>
      <c r="AC101" s="28"/>
      <c r="AD101" s="28"/>
      <c r="AE101" s="63" t="str">
        <f t="shared" si="22"/>
        <v/>
      </c>
      <c r="AF101" s="63"/>
      <c r="AG101" s="63"/>
      <c r="AH101" s="63"/>
      <c r="AI101" s="64">
        <f t="shared" si="23"/>
        <v>0</v>
      </c>
      <c r="AJ101" s="64" t="str">
        <f t="shared" si="24"/>
        <v/>
      </c>
      <c r="AK101" s="64">
        <f t="shared" si="25"/>
        <v>0</v>
      </c>
      <c r="AL101" s="64" t="str">
        <f t="shared" si="26"/>
        <v/>
      </c>
      <c r="AM101" s="64">
        <f t="shared" si="27"/>
        <v>0</v>
      </c>
      <c r="AN101" s="64" t="str">
        <f t="shared" si="28"/>
        <v/>
      </c>
      <c r="AO101" s="64">
        <f t="shared" si="29"/>
        <v>0</v>
      </c>
      <c r="AP101" s="64" t="str">
        <f t="shared" si="30"/>
        <v/>
      </c>
      <c r="AQ101" s="64">
        <f t="shared" si="31"/>
        <v>0</v>
      </c>
      <c r="AR101" s="64" t="str">
        <f t="shared" si="32"/>
        <v/>
      </c>
      <c r="AS101" s="4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1:64" s="46" customFormat="1" ht="30" customHeight="1" x14ac:dyDescent="0.35">
      <c r="A102" s="28" t="str">
        <f t="shared" ref="A102:A105" si="35">CONCATENATE($B$80,"
",$B$83,"
",$B$84,"
",$B$99)</f>
        <v>LARGO VANÁDIO MARACÁS
PLANTA QUÍMICA
ÁREA DE EVAPORAÇÃO
550 - HE 201</v>
      </c>
      <c r="B102" s="55" t="s">
        <v>75</v>
      </c>
      <c r="C102" s="74" t="str">
        <f>IF(AND($B102=[1]marcos!$A99,[1]marcos!$B99=C$4),"ok","nok")</f>
        <v>nok</v>
      </c>
      <c r="D102" s="74" t="str">
        <f>IF(AND($B102=[1]marcos!$A99,[1]marcos!$B99=D$4),"ok","nok")</f>
        <v>nok</v>
      </c>
      <c r="E102" s="74" t="str">
        <f>IF(AND($B102=[1]marcos!$A99,[1]marcos!$B99=E$4),"ok","nok")</f>
        <v>nok</v>
      </c>
      <c r="F102" s="74" t="str">
        <f>IF(AND($B102=[1]marcos!$A99,[1]marcos!$B99=F$4),"ok","nok")</f>
        <v>nok</v>
      </c>
      <c r="G102" s="74" t="str">
        <f>IF(AND($B102=[1]marcos!$A99,[1]marcos!$B99=G$4),"ok","nok")</f>
        <v>nok</v>
      </c>
      <c r="H102" s="74" t="str">
        <f>IF(AND($B102=[1]marcos!$A99,[1]marcos!$B99=H$4),"ok","nok")</f>
        <v>nok</v>
      </c>
      <c r="I102" s="83"/>
      <c r="J102" s="74" t="str">
        <f>IF(AND($B102=[1]marcos!$A99,[1]marcos!$B99=J$4),"ok","nok")</f>
        <v>nok</v>
      </c>
      <c r="K102" s="74" t="str">
        <f>IF(AND($B102=[1]marcos!$A99,[1]marcos!$B99=K$4),"ok","nok")</f>
        <v>nok</v>
      </c>
      <c r="L102" s="74" t="str">
        <f>IF(AND($B102=[1]marcos!$A99,[1]marcos!$B99=L$4),"ok","nok")</f>
        <v>nok</v>
      </c>
      <c r="M102" s="74" t="str">
        <f>IF(AND($B102=[1]marcos!$A99,[1]marcos!$B99=M$4),"ok","nok")</f>
        <v>nok</v>
      </c>
      <c r="N102" s="74" t="str">
        <f>IF(AND($B102=[1]marcos!$A99,[1]marcos!$B99=N$4),"ok","nok")</f>
        <v>nok</v>
      </c>
      <c r="O102" s="74" t="str">
        <f>IF(AND($B102=[1]marcos!$A99,[1]marcos!$B99=O$4),"ok","nok")</f>
        <v>nok</v>
      </c>
      <c r="P102" s="74" t="str">
        <f>IF(AND($B102=[1]marcos!$A99,[1]marcos!$B99=P$4),"ok","nok")</f>
        <v>nok</v>
      </c>
      <c r="Q102" s="74" t="str">
        <f>IF(AND($B102=[1]marcos!$A99,[1]marcos!$B99=Q$4),"ok","nok")</f>
        <v>nok</v>
      </c>
      <c r="R102" s="74" t="str">
        <f>IF(AND($B102=[1]marcos!$A99,[1]marcos!$B99=R$4),"ok","nok")</f>
        <v>nok</v>
      </c>
      <c r="S102" s="74" t="str">
        <f>IF(AND($B102=[1]marcos!$A99,[1]marcos!$B99=S$4),"ok","nok")</f>
        <v>nok</v>
      </c>
      <c r="T102" s="74" t="str">
        <f>IF(AND($B102=[1]marcos!$A99,[1]marcos!$B99=T$4),"ok","nok")</f>
        <v>nok</v>
      </c>
      <c r="U102" s="74" t="str">
        <f>IF(AND($B102=[1]marcos!$A99,[1]marcos!$B99=U$4),"ok","nok")</f>
        <v>ok</v>
      </c>
      <c r="V102" s="74" t="str">
        <f>IF(AND($B102=[1]marcos!$A99,[1]marcos!$B99=V$4),"ok","nok")</f>
        <v>nok</v>
      </c>
      <c r="W102" s="74" t="str">
        <f>IF(AND($B102=[1]marcos!$A99,[1]marcos!$B99=W$4),"ok","nok")</f>
        <v>nok</v>
      </c>
      <c r="X102" s="74" t="str">
        <f>IF(AND($B102=[1]marcos!$A99,[1]marcos!$B99=X$4),"ok","nok")</f>
        <v>nok</v>
      </c>
      <c r="Y102" s="96" t="s">
        <v>32</v>
      </c>
      <c r="Z102" s="97"/>
      <c r="AA102" s="97"/>
      <c r="AB102" s="98"/>
      <c r="AC102" s="28"/>
      <c r="AD102" s="28"/>
      <c r="AE102" s="63" t="str">
        <f t="shared" si="22"/>
        <v>MARCO - Emissão Inicial</v>
      </c>
      <c r="AF102" s="63"/>
      <c r="AG102" s="63"/>
      <c r="AH102" s="63"/>
      <c r="AI102" s="64">
        <f t="shared" si="23"/>
        <v>0</v>
      </c>
      <c r="AJ102" s="64" t="str">
        <f t="shared" si="24"/>
        <v/>
      </c>
      <c r="AK102" s="64">
        <f t="shared" si="25"/>
        <v>0</v>
      </c>
      <c r="AL102" s="64" t="str">
        <f t="shared" si="26"/>
        <v/>
      </c>
      <c r="AM102" s="64">
        <f t="shared" si="27"/>
        <v>0</v>
      </c>
      <c r="AN102" s="64" t="str">
        <f t="shared" si="28"/>
        <v/>
      </c>
      <c r="AO102" s="64">
        <f t="shared" si="29"/>
        <v>1</v>
      </c>
      <c r="AP102" s="64" t="str">
        <f t="shared" si="30"/>
        <v/>
      </c>
      <c r="AQ102" s="64">
        <f t="shared" si="31"/>
        <v>0</v>
      </c>
      <c r="AR102" s="64" t="str">
        <f t="shared" si="32"/>
        <v/>
      </c>
      <c r="AS102" s="4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1:64" s="46" customFormat="1" ht="30" customHeight="1" x14ac:dyDescent="0.35">
      <c r="A103" s="28" t="str">
        <f t="shared" si="35"/>
        <v>LARGO VANÁDIO MARACÁS
PLANTA QUÍMICA
ÁREA DE EVAPORAÇÃO
550 - HE 201</v>
      </c>
      <c r="B103" s="55" t="s">
        <v>20</v>
      </c>
      <c r="C103" s="74" t="str">
        <f>IF(AND($B103=[1]marcos!$A100,[1]marcos!$B100=C$4),"ok","nok")</f>
        <v>nok</v>
      </c>
      <c r="D103" s="74" t="str">
        <f>IF(AND($B103=[1]marcos!$A100,[1]marcos!$B100=D$4),"ok","nok")</f>
        <v>nok</v>
      </c>
      <c r="E103" s="74" t="str">
        <f>IF(AND($B103=[1]marcos!$A100,[1]marcos!$B100=E$4),"ok","nok")</f>
        <v>nok</v>
      </c>
      <c r="F103" s="74" t="str">
        <f>IF(AND($B103=[1]marcos!$A100,[1]marcos!$B100=F$4),"ok","nok")</f>
        <v>nok</v>
      </c>
      <c r="G103" s="74" t="str">
        <f>IF(AND($B103=[1]marcos!$A100,[1]marcos!$B100=G$4),"ok","nok")</f>
        <v>nok</v>
      </c>
      <c r="H103" s="74" t="str">
        <f>IF(AND($B103=[1]marcos!$A100,[1]marcos!$B100=H$4),"ok","nok")</f>
        <v>nok</v>
      </c>
      <c r="I103" s="74" t="str">
        <f>IF(AND($B103=[1]marcos!$A100,[1]marcos!$B100=I$4),"ok","nok")</f>
        <v>nok</v>
      </c>
      <c r="J103" s="74" t="str">
        <f>IF(AND($B103=[1]marcos!$A100,[1]marcos!$B100=J$4),"ok","nok")</f>
        <v>nok</v>
      </c>
      <c r="K103" s="74" t="str">
        <f>IF(AND($B103=[1]marcos!$A100,[1]marcos!$B100=K$4),"ok","nok")</f>
        <v>nok</v>
      </c>
      <c r="L103" s="74" t="str">
        <f>IF(AND($B103=[1]marcos!$A100,[1]marcos!$B100=L$4),"ok","nok")</f>
        <v>nok</v>
      </c>
      <c r="M103" s="74" t="str">
        <f>IF(AND($B103=[1]marcos!$A100,[1]marcos!$B100=M$4),"ok","nok")</f>
        <v>nok</v>
      </c>
      <c r="N103" s="83"/>
      <c r="O103" s="74" t="str">
        <f>IF(AND($B103=[1]marcos!$A100,[1]marcos!$B100=O$4),"ok","nok")</f>
        <v>nok</v>
      </c>
      <c r="P103" s="74" t="str">
        <f>IF(AND($B103=[1]marcos!$A100,[1]marcos!$B100=P$4),"ok","nok")</f>
        <v>nok</v>
      </c>
      <c r="Q103" s="74" t="str">
        <f>IF(AND($B103=[1]marcos!$A100,[1]marcos!$B100=Q$4),"ok","nok")</f>
        <v>nok</v>
      </c>
      <c r="R103" s="74" t="str">
        <f>IF(AND($B103=[1]marcos!$A100,[1]marcos!$B100=R$4),"ok","nok")</f>
        <v>nok</v>
      </c>
      <c r="S103" s="74" t="str">
        <f>IF(AND($B103=[1]marcos!$A100,[1]marcos!$B100=S$4),"ok","nok")</f>
        <v>nok</v>
      </c>
      <c r="T103" s="74" t="str">
        <f>IF(AND($B103=[1]marcos!$A100,[1]marcos!$B100=T$4),"ok","nok")</f>
        <v>nok</v>
      </c>
      <c r="U103" s="74" t="str">
        <f>IF(AND($B103=[1]marcos!$A100,[1]marcos!$B100=U$4),"ok","nok")</f>
        <v>nok</v>
      </c>
      <c r="V103" s="74" t="str">
        <f>IF(AND($B103=[1]marcos!$A100,[1]marcos!$B100=V$4),"ok","nok")</f>
        <v>ok</v>
      </c>
      <c r="W103" s="74" t="str">
        <f>IF(AND($B103=[1]marcos!$A100,[1]marcos!$B100=W$4),"ok","nok")</f>
        <v>nok</v>
      </c>
      <c r="X103" s="74" t="str">
        <f>IF(AND($B103=[1]marcos!$A100,[1]marcos!$B100=X$4),"ok","nok")</f>
        <v>nok</v>
      </c>
      <c r="Y103" s="96" t="s">
        <v>16</v>
      </c>
      <c r="Z103" s="97"/>
      <c r="AA103" s="97"/>
      <c r="AB103" s="98"/>
      <c r="AC103" s="28"/>
      <c r="AD103" s="28"/>
      <c r="AE103" s="63" t="str">
        <f t="shared" si="22"/>
        <v/>
      </c>
      <c r="AF103" s="63"/>
      <c r="AG103" s="63"/>
      <c r="AH103" s="63"/>
      <c r="AI103" s="64">
        <f t="shared" si="23"/>
        <v>0</v>
      </c>
      <c r="AJ103" s="64" t="str">
        <f t="shared" si="24"/>
        <v/>
      </c>
      <c r="AK103" s="64">
        <f t="shared" si="25"/>
        <v>0</v>
      </c>
      <c r="AL103" s="64" t="str">
        <f t="shared" si="26"/>
        <v/>
      </c>
      <c r="AM103" s="64">
        <f t="shared" si="27"/>
        <v>0</v>
      </c>
      <c r="AN103" s="64" t="str">
        <f t="shared" si="28"/>
        <v/>
      </c>
      <c r="AO103" s="64">
        <f t="shared" si="29"/>
        <v>1</v>
      </c>
      <c r="AP103" s="64" t="str">
        <f t="shared" si="30"/>
        <v/>
      </c>
      <c r="AQ103" s="64">
        <f t="shared" si="31"/>
        <v>0</v>
      </c>
      <c r="AR103" s="64" t="str">
        <f t="shared" si="32"/>
        <v/>
      </c>
      <c r="AS103" s="4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1:64" s="46" customFormat="1" ht="30" customHeight="1" x14ac:dyDescent="0.35">
      <c r="A104" s="28" t="str">
        <f t="shared" si="35"/>
        <v>LARGO VANÁDIO MARACÁS
PLANTA QUÍMICA
ÁREA DE EVAPORAÇÃO
550 - HE 201</v>
      </c>
      <c r="B104" s="55" t="s">
        <v>38</v>
      </c>
      <c r="C104" s="74" t="str">
        <f>IF(AND($B104=[1]marcos!$A101,[1]marcos!$B101=C$4),"ok","nok")</f>
        <v>nok</v>
      </c>
      <c r="D104" s="74" t="str">
        <f>IF(AND($B104=[1]marcos!$A101,[1]marcos!$B101=D$4),"ok","nok")</f>
        <v>nok</v>
      </c>
      <c r="E104" s="74" t="str">
        <f>IF(AND($B104=[1]marcos!$A101,[1]marcos!$B101=E$4),"ok","nok")</f>
        <v>nok</v>
      </c>
      <c r="F104" s="74" t="str">
        <f>IF(AND($B104=[1]marcos!$A101,[1]marcos!$B101=F$4),"ok","nok")</f>
        <v>nok</v>
      </c>
      <c r="G104" s="74" t="str">
        <f>IF(AND($B104=[1]marcos!$A101,[1]marcos!$B101=G$4),"ok","nok")</f>
        <v>nok</v>
      </c>
      <c r="H104" s="74" t="str">
        <f>IF(AND($B104=[1]marcos!$A101,[1]marcos!$B101=H$4),"ok","nok")</f>
        <v>nok</v>
      </c>
      <c r="I104" s="74" t="str">
        <f>IF(AND($B104=[1]marcos!$A101,[1]marcos!$B101=I$4),"ok","nok")</f>
        <v>nok</v>
      </c>
      <c r="J104" s="74" t="str">
        <f>IF(AND($B104=[1]marcos!$A101,[1]marcos!$B101=J$4),"ok","nok")</f>
        <v>nok</v>
      </c>
      <c r="K104" s="74" t="str">
        <f>IF(AND($B104=[1]marcos!$A101,[1]marcos!$B101=K$4),"ok","nok")</f>
        <v>nok</v>
      </c>
      <c r="L104" s="74" t="str">
        <f>IF(AND($B104=[1]marcos!$A101,[1]marcos!$B101=L$4),"ok","nok")</f>
        <v>nok</v>
      </c>
      <c r="M104" s="74" t="str">
        <f>IF(AND($B104=[1]marcos!$A101,[1]marcos!$B101=M$4),"ok","nok")</f>
        <v>nok</v>
      </c>
      <c r="N104" s="74" t="str">
        <f>IF(AND($B104=[1]marcos!$A101,[1]marcos!$B101=N$4),"ok","nok")</f>
        <v>nok</v>
      </c>
      <c r="O104" s="74" t="str">
        <f>IF(AND($B104=[1]marcos!$A101,[1]marcos!$B101=O$4),"ok","nok")</f>
        <v>nok</v>
      </c>
      <c r="P104" s="74" t="str">
        <f>IF(AND($B104=[1]marcos!$A101,[1]marcos!$B101=P$4),"ok","nok")</f>
        <v>nok</v>
      </c>
      <c r="Q104" s="83"/>
      <c r="R104" s="74" t="str">
        <f>IF(AND($B104=[1]marcos!$A101,[1]marcos!$B101=R$4),"ok","nok")</f>
        <v>nok</v>
      </c>
      <c r="S104" s="74" t="str">
        <f>IF(AND($B104=[1]marcos!$A101,[1]marcos!$B101=S$4),"ok","nok")</f>
        <v>nok</v>
      </c>
      <c r="T104" s="74" t="str">
        <f>IF(AND($B104=[1]marcos!$A101,[1]marcos!$B101=T$4),"ok","nok")</f>
        <v>nok</v>
      </c>
      <c r="U104" s="74" t="str">
        <f>IF(AND($B104=[1]marcos!$A101,[1]marcos!$B101=U$4),"ok","nok")</f>
        <v>nok</v>
      </c>
      <c r="V104" s="74" t="str">
        <f>IF(AND($B104=[1]marcos!$A101,[1]marcos!$B101=V$4),"ok","nok")</f>
        <v>nok</v>
      </c>
      <c r="W104" s="74" t="str">
        <f>IF(AND($B104=[1]marcos!$A101,[1]marcos!$B101=W$4),"ok","nok")</f>
        <v>ok</v>
      </c>
      <c r="X104" s="74" t="str">
        <f>IF(AND($B104=[1]marcos!$A101,[1]marcos!$B101=X$4),"ok","nok")</f>
        <v>nok</v>
      </c>
      <c r="Y104" s="96" t="s">
        <v>16</v>
      </c>
      <c r="Z104" s="97"/>
      <c r="AA104" s="97"/>
      <c r="AB104" s="98"/>
      <c r="AC104" s="28"/>
      <c r="AD104" s="28"/>
      <c r="AE104" s="63" t="str">
        <f t="shared" si="22"/>
        <v/>
      </c>
      <c r="AF104" s="63"/>
      <c r="AG104" s="63"/>
      <c r="AH104" s="63"/>
      <c r="AI104" s="64">
        <f t="shared" si="23"/>
        <v>0</v>
      </c>
      <c r="AJ104" s="64" t="str">
        <f t="shared" si="24"/>
        <v/>
      </c>
      <c r="AK104" s="64">
        <f t="shared" si="25"/>
        <v>0</v>
      </c>
      <c r="AL104" s="64" t="str">
        <f t="shared" si="26"/>
        <v/>
      </c>
      <c r="AM104" s="64">
        <f t="shared" si="27"/>
        <v>0</v>
      </c>
      <c r="AN104" s="64" t="str">
        <f t="shared" si="28"/>
        <v/>
      </c>
      <c r="AO104" s="64">
        <f t="shared" si="29"/>
        <v>0</v>
      </c>
      <c r="AP104" s="64" t="str">
        <f t="shared" si="30"/>
        <v/>
      </c>
      <c r="AQ104" s="64">
        <f t="shared" si="31"/>
        <v>1</v>
      </c>
      <c r="AR104" s="64" t="str">
        <f t="shared" si="32"/>
        <v/>
      </c>
      <c r="AS104" s="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1:64" s="46" customFormat="1" ht="30" customHeight="1" x14ac:dyDescent="0.35">
      <c r="A105" s="28" t="str">
        <f t="shared" si="35"/>
        <v>LARGO VANÁDIO MARACÁS
PLANTA QUÍMICA
ÁREA DE EVAPORAÇÃO
550 - HE 201</v>
      </c>
      <c r="B105" s="55" t="s">
        <v>76</v>
      </c>
      <c r="C105" s="74" t="str">
        <f>IF(AND($B105=[1]marcos!$A102,[1]marcos!$B102=C$4),"ok","nok")</f>
        <v>nok</v>
      </c>
      <c r="D105" s="74" t="str">
        <f>IF(AND($B105=[1]marcos!$A102,[1]marcos!$B102=D$4),"ok","nok")</f>
        <v>nok</v>
      </c>
      <c r="E105" s="74" t="str">
        <f>IF(AND($B105=[1]marcos!$A102,[1]marcos!$B102=E$4),"ok","nok")</f>
        <v>nok</v>
      </c>
      <c r="F105" s="74" t="str">
        <f>IF(AND($B105=[1]marcos!$A102,[1]marcos!$B102=F$4),"ok","nok")</f>
        <v>nok</v>
      </c>
      <c r="G105" s="74" t="str">
        <f>IF(AND($B105=[1]marcos!$A102,[1]marcos!$B102=G$4),"ok","nok")</f>
        <v>nok</v>
      </c>
      <c r="H105" s="74" t="str">
        <f>IF(AND($B105=[1]marcos!$A102,[1]marcos!$B102=H$4),"ok","nok")</f>
        <v>nok</v>
      </c>
      <c r="I105" s="74" t="str">
        <f>IF(AND($B105=[1]marcos!$A102,[1]marcos!$B102=I$4),"ok","nok")</f>
        <v>nok</v>
      </c>
      <c r="J105" s="74" t="str">
        <f>IF(AND($B105=[1]marcos!$A102,[1]marcos!$B102=J$4),"ok","nok")</f>
        <v>nok</v>
      </c>
      <c r="K105" s="74" t="str">
        <f>IF(AND($B105=[1]marcos!$A102,[1]marcos!$B102=K$4),"ok","nok")</f>
        <v>nok</v>
      </c>
      <c r="L105" s="74" t="str">
        <f>IF(AND($B105=[1]marcos!$A102,[1]marcos!$B102=L$4),"ok","nok")</f>
        <v>nok</v>
      </c>
      <c r="M105" s="74" t="str">
        <f>IF(AND($B105=[1]marcos!$A102,[1]marcos!$B102=M$4),"ok","nok")</f>
        <v>nok</v>
      </c>
      <c r="N105" s="74" t="str">
        <f>IF(AND($B105=[1]marcos!$A102,[1]marcos!$B102=N$4),"ok","nok")</f>
        <v>nok</v>
      </c>
      <c r="O105" s="74" t="str">
        <f>IF(AND($B105=[1]marcos!$A102,[1]marcos!$B102=O$4),"ok","nok")</f>
        <v>nok</v>
      </c>
      <c r="P105" s="74" t="str">
        <f>IF(AND($B105=[1]marcos!$A102,[1]marcos!$B102=P$4),"ok","nok")</f>
        <v>nok</v>
      </c>
      <c r="Q105" s="83"/>
      <c r="R105" s="74" t="str">
        <f>IF(AND($B105=[1]marcos!$A102,[1]marcos!$B102=R$4),"ok","nok")</f>
        <v>nok</v>
      </c>
      <c r="S105" s="74" t="str">
        <f>IF(AND($B105=[1]marcos!$A102,[1]marcos!$B102=S$4),"ok","nok")</f>
        <v>nok</v>
      </c>
      <c r="T105" s="74" t="str">
        <f>IF(AND($B105=[1]marcos!$A102,[1]marcos!$B102=T$4),"ok","nok")</f>
        <v>nok</v>
      </c>
      <c r="U105" s="74" t="str">
        <f>IF(AND($B105=[1]marcos!$A102,[1]marcos!$B102=U$4),"ok","nok")</f>
        <v>nok</v>
      </c>
      <c r="V105" s="74" t="str">
        <f>IF(AND($B105=[1]marcos!$A102,[1]marcos!$B102=V$4),"ok","nok")</f>
        <v>nok</v>
      </c>
      <c r="W105" s="74" t="str">
        <f>IF(AND($B105=[1]marcos!$A102,[1]marcos!$B102=W$4),"ok","nok")</f>
        <v>ok</v>
      </c>
      <c r="X105" s="74" t="str">
        <f>IF(AND($B105=[1]marcos!$A102,[1]marcos!$B102=X$4),"ok","nok")</f>
        <v>nok</v>
      </c>
      <c r="Y105" s="96" t="s">
        <v>16</v>
      </c>
      <c r="Z105" s="97"/>
      <c r="AA105" s="97"/>
      <c r="AB105" s="98"/>
      <c r="AC105" s="28"/>
      <c r="AD105" s="28"/>
      <c r="AE105" s="63" t="str">
        <f t="shared" si="22"/>
        <v/>
      </c>
      <c r="AF105" s="63"/>
      <c r="AG105" s="63"/>
      <c r="AH105" s="63"/>
      <c r="AI105" s="64">
        <f t="shared" si="23"/>
        <v>0</v>
      </c>
      <c r="AJ105" s="64" t="str">
        <f t="shared" si="24"/>
        <v/>
      </c>
      <c r="AK105" s="64">
        <f t="shared" si="25"/>
        <v>0</v>
      </c>
      <c r="AL105" s="64" t="str">
        <f t="shared" si="26"/>
        <v/>
      </c>
      <c r="AM105" s="64">
        <f t="shared" si="27"/>
        <v>0</v>
      </c>
      <c r="AN105" s="64" t="str">
        <f t="shared" si="28"/>
        <v/>
      </c>
      <c r="AO105" s="64">
        <f t="shared" si="29"/>
        <v>0</v>
      </c>
      <c r="AP105" s="64" t="str">
        <f t="shared" si="30"/>
        <v/>
      </c>
      <c r="AQ105" s="64">
        <f t="shared" si="31"/>
        <v>1</v>
      </c>
      <c r="AR105" s="64" t="str">
        <f t="shared" si="32"/>
        <v/>
      </c>
      <c r="AS105" s="4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1:64" s="46" customFormat="1" ht="30" customHeight="1" x14ac:dyDescent="0.35">
      <c r="A106"/>
      <c r="B106" s="77" t="s">
        <v>66</v>
      </c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120"/>
      <c r="Z106" s="121"/>
      <c r="AA106" s="121"/>
      <c r="AB106" s="122"/>
      <c r="AC106" s="28"/>
      <c r="AD106" s="28"/>
      <c r="AE106" s="63" t="str">
        <f t="shared" si="22"/>
        <v/>
      </c>
      <c r="AF106" s="63"/>
      <c r="AG106" s="63"/>
      <c r="AH106" s="63"/>
      <c r="AI106" s="64">
        <f t="shared" si="23"/>
        <v>0</v>
      </c>
      <c r="AJ106" s="64" t="str">
        <f t="shared" si="24"/>
        <v/>
      </c>
      <c r="AK106" s="64">
        <f t="shared" si="25"/>
        <v>0</v>
      </c>
      <c r="AL106" s="64" t="str">
        <f t="shared" si="26"/>
        <v/>
      </c>
      <c r="AM106" s="64">
        <f t="shared" si="27"/>
        <v>0</v>
      </c>
      <c r="AN106" s="64" t="str">
        <f t="shared" si="28"/>
        <v/>
      </c>
      <c r="AO106" s="64">
        <f t="shared" si="29"/>
        <v>0</v>
      </c>
      <c r="AP106" s="64" t="str">
        <f t="shared" si="30"/>
        <v/>
      </c>
      <c r="AQ106" s="64">
        <f t="shared" si="31"/>
        <v>0</v>
      </c>
      <c r="AR106" s="64" t="str">
        <f t="shared" si="32"/>
        <v/>
      </c>
      <c r="AS106" s="4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1:64" s="46" customFormat="1" ht="30" customHeight="1" x14ac:dyDescent="0.35">
      <c r="A107" s="28" t="str">
        <f>CONCATENATE($B$80,"
",$B$83,"
",$B$84,"
",$B$106)</f>
        <v>LARGO VANÁDIO MARACÁS
PLANTA QUÍMICA
ÁREA DE EVAPORAÇÃO
Tanque - 550 - TQ 201</v>
      </c>
      <c r="B107" s="53" t="s">
        <v>73</v>
      </c>
      <c r="C107" s="74" t="str">
        <f>IF(AND($B107=[1]marcos!$A104,[1]marcos!$B104=C$4),"ok","nok")</f>
        <v>nok</v>
      </c>
      <c r="D107" s="74" t="str">
        <f>IF(AND($B107=[1]marcos!$A104,[1]marcos!$B104=D$4),"ok","nok")</f>
        <v>nok</v>
      </c>
      <c r="E107" s="74" t="str">
        <f>IF(AND($B107=[1]marcos!$A104,[1]marcos!$B104=E$4),"ok","nok")</f>
        <v>nok</v>
      </c>
      <c r="F107" s="74" t="str">
        <f>IF(AND($B107=[1]marcos!$A104,[1]marcos!$B104=F$4),"ok","nok")</f>
        <v>nok</v>
      </c>
      <c r="G107" s="74" t="str">
        <f>IF(AND($B107=[1]marcos!$A104,[1]marcos!$B104=G$4),"ok","nok")</f>
        <v>nok</v>
      </c>
      <c r="H107" s="74" t="str">
        <f>IF(AND($B107=[1]marcos!$A104,[1]marcos!$B104=H$4),"ok","nok")</f>
        <v>nok</v>
      </c>
      <c r="I107" s="83"/>
      <c r="J107" s="74" t="str">
        <f>IF(AND($B107=[1]marcos!$A104,[1]marcos!$B104=J$4),"ok","nok")</f>
        <v>nok</v>
      </c>
      <c r="K107" s="74" t="str">
        <f>IF(AND($B107=[1]marcos!$A104,[1]marcos!$B104=K$4),"ok","nok")</f>
        <v>nok</v>
      </c>
      <c r="L107" s="74" t="str">
        <f>IF(AND($B107=[1]marcos!$A104,[1]marcos!$B104=L$4),"ok","nok")</f>
        <v>nok</v>
      </c>
      <c r="M107" s="74" t="str">
        <f>IF(AND($B107=[1]marcos!$A104,[1]marcos!$B104=M$4),"ok","nok")</f>
        <v>nok</v>
      </c>
      <c r="N107" s="74" t="str">
        <f>IF(AND($B107=[1]marcos!$A104,[1]marcos!$B104=N$4),"ok","nok")</f>
        <v>nok</v>
      </c>
      <c r="O107" s="74" t="str">
        <f>IF(AND($B107=[1]marcos!$A104,[1]marcos!$B104=O$4),"ok","nok")</f>
        <v>nok</v>
      </c>
      <c r="P107" s="74" t="str">
        <f>IF(AND($B107=[1]marcos!$A104,[1]marcos!$B104=P$4),"ok","nok")</f>
        <v>nok</v>
      </c>
      <c r="Q107" s="74" t="str">
        <f>IF(AND($B107=[1]marcos!$A104,[1]marcos!$B104=Q$4),"ok","nok")</f>
        <v>nok</v>
      </c>
      <c r="R107" s="74" t="str">
        <f>IF(AND($B107=[1]marcos!$A104,[1]marcos!$B104=R$4),"ok","nok")</f>
        <v>nok</v>
      </c>
      <c r="S107" s="74" t="str">
        <f>IF(AND($B107=[1]marcos!$A104,[1]marcos!$B104=S$4),"ok","nok")</f>
        <v>nok</v>
      </c>
      <c r="T107" s="74" t="str">
        <f>IF(AND($B107=[1]marcos!$A104,[1]marcos!$B104=T$4),"ok","nok")</f>
        <v>nok</v>
      </c>
      <c r="U107" s="74" t="str">
        <f>IF(AND($B107=[1]marcos!$A104,[1]marcos!$B104=U$4),"ok","nok")</f>
        <v>ok</v>
      </c>
      <c r="V107" s="74" t="str">
        <f>IF(AND($B107=[1]marcos!$A104,[1]marcos!$B104=V$4),"ok","nok")</f>
        <v>nok</v>
      </c>
      <c r="W107" s="74" t="str">
        <f>IF(AND($B107=[1]marcos!$A104,[1]marcos!$B104=W$4),"ok","nok")</f>
        <v>nok</v>
      </c>
      <c r="X107" s="74" t="str">
        <f>IF(AND($B107=[1]marcos!$A104,[1]marcos!$B104=X$4),"ok","nok")</f>
        <v>nok</v>
      </c>
      <c r="Y107" s="96" t="s">
        <v>32</v>
      </c>
      <c r="Z107" s="97"/>
      <c r="AA107" s="97"/>
      <c r="AB107" s="98"/>
      <c r="AC107" s="28"/>
      <c r="AD107" s="28"/>
      <c r="AE107" s="63" t="str">
        <f t="shared" si="22"/>
        <v>Verificação do Laudo</v>
      </c>
      <c r="AF107" s="63"/>
      <c r="AG107" s="63"/>
      <c r="AH107" s="63"/>
      <c r="AI107" s="64">
        <f t="shared" si="23"/>
        <v>0</v>
      </c>
      <c r="AJ107" s="64" t="str">
        <f t="shared" si="24"/>
        <v/>
      </c>
      <c r="AK107" s="64">
        <f t="shared" si="25"/>
        <v>0</v>
      </c>
      <c r="AL107" s="64" t="str">
        <f t="shared" si="26"/>
        <v/>
      </c>
      <c r="AM107" s="64">
        <f t="shared" si="27"/>
        <v>0</v>
      </c>
      <c r="AN107" s="64" t="str">
        <f t="shared" si="28"/>
        <v/>
      </c>
      <c r="AO107" s="64">
        <f t="shared" si="29"/>
        <v>1</v>
      </c>
      <c r="AP107" s="64" t="str">
        <f t="shared" si="30"/>
        <v/>
      </c>
      <c r="AQ107" s="64">
        <f t="shared" si="31"/>
        <v>0</v>
      </c>
      <c r="AR107" s="64" t="str">
        <f t="shared" si="32"/>
        <v/>
      </c>
      <c r="AS107" s="4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1:64" s="46" customFormat="1" ht="30" customHeight="1" x14ac:dyDescent="0.35">
      <c r="A108" s="28"/>
      <c r="B108" s="54" t="s">
        <v>74</v>
      </c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114"/>
      <c r="Z108" s="115"/>
      <c r="AA108" s="115"/>
      <c r="AB108" s="116"/>
      <c r="AC108" s="28"/>
      <c r="AD108" s="28"/>
      <c r="AE108" s="63" t="str">
        <f t="shared" si="22"/>
        <v/>
      </c>
      <c r="AF108" s="63"/>
      <c r="AG108" s="63"/>
      <c r="AH108" s="63"/>
      <c r="AI108" s="64">
        <f t="shared" si="23"/>
        <v>0</v>
      </c>
      <c r="AJ108" s="64" t="str">
        <f t="shared" si="24"/>
        <v/>
      </c>
      <c r="AK108" s="64">
        <f t="shared" si="25"/>
        <v>0</v>
      </c>
      <c r="AL108" s="64" t="str">
        <f t="shared" si="26"/>
        <v/>
      </c>
      <c r="AM108" s="64">
        <f t="shared" si="27"/>
        <v>0</v>
      </c>
      <c r="AN108" s="64" t="str">
        <f t="shared" si="28"/>
        <v/>
      </c>
      <c r="AO108" s="64">
        <f t="shared" si="29"/>
        <v>0</v>
      </c>
      <c r="AP108" s="64" t="str">
        <f t="shared" si="30"/>
        <v/>
      </c>
      <c r="AQ108" s="64">
        <f t="shared" si="31"/>
        <v>0</v>
      </c>
      <c r="AR108" s="64" t="str">
        <f t="shared" si="32"/>
        <v/>
      </c>
      <c r="AS108" s="4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1:64" s="46" customFormat="1" ht="30" customHeight="1" x14ac:dyDescent="0.35">
      <c r="A109" s="28" t="str">
        <f t="shared" ref="A109:A111" si="36">CONCATENATE($B$80,"
",$B$83,"
",$B$84,"
",$B$106)</f>
        <v>LARGO VANÁDIO MARACÁS
PLANTA QUÍMICA
ÁREA DE EVAPORAÇÃO
Tanque - 550 - TQ 201</v>
      </c>
      <c r="B109" s="55" t="s">
        <v>75</v>
      </c>
      <c r="C109" s="74" t="str">
        <f>IF(AND($B109=[1]marcos!$A106,[1]marcos!$B106=C$4),"ok","nok")</f>
        <v>nok</v>
      </c>
      <c r="D109" s="74" t="str">
        <f>IF(AND($B109=[1]marcos!$A106,[1]marcos!$B106=D$4),"ok","nok")</f>
        <v>nok</v>
      </c>
      <c r="E109" s="74" t="str">
        <f>IF(AND($B109=[1]marcos!$A106,[1]marcos!$B106=E$4),"ok","nok")</f>
        <v>nok</v>
      </c>
      <c r="F109" s="74" t="str">
        <f>IF(AND($B109=[1]marcos!$A106,[1]marcos!$B106=F$4),"ok","nok")</f>
        <v>nok</v>
      </c>
      <c r="G109" s="74" t="str">
        <f>IF(AND($B109=[1]marcos!$A106,[1]marcos!$B106=G$4),"ok","nok")</f>
        <v>nok</v>
      </c>
      <c r="H109" s="74" t="str">
        <f>IF(AND($B109=[1]marcos!$A106,[1]marcos!$B106=H$4),"ok","nok")</f>
        <v>nok</v>
      </c>
      <c r="I109" s="83"/>
      <c r="J109" s="74" t="str">
        <f>IF(AND($B109=[1]marcos!$A106,[1]marcos!$B106=J$4),"ok","nok")</f>
        <v>nok</v>
      </c>
      <c r="K109" s="74" t="str">
        <f>IF(AND($B109=[1]marcos!$A106,[1]marcos!$B106=K$4),"ok","nok")</f>
        <v>nok</v>
      </c>
      <c r="L109" s="74" t="str">
        <f>IF(AND($B109=[1]marcos!$A106,[1]marcos!$B106=L$4),"ok","nok")</f>
        <v>nok</v>
      </c>
      <c r="M109" s="74" t="str">
        <f>IF(AND($B109=[1]marcos!$A106,[1]marcos!$B106=M$4),"ok","nok")</f>
        <v>nok</v>
      </c>
      <c r="N109" s="74" t="str">
        <f>IF(AND($B109=[1]marcos!$A106,[1]marcos!$B106=N$4),"ok","nok")</f>
        <v>nok</v>
      </c>
      <c r="O109" s="74" t="str">
        <f>IF(AND($B109=[1]marcos!$A106,[1]marcos!$B106=O$4),"ok","nok")</f>
        <v>nok</v>
      </c>
      <c r="P109" s="74" t="str">
        <f>IF(AND($B109=[1]marcos!$A106,[1]marcos!$B106=P$4),"ok","nok")</f>
        <v>nok</v>
      </c>
      <c r="Q109" s="74" t="str">
        <f>IF(AND($B109=[1]marcos!$A106,[1]marcos!$B106=Q$4),"ok","nok")</f>
        <v>nok</v>
      </c>
      <c r="R109" s="74" t="str">
        <f>IF(AND($B109=[1]marcos!$A106,[1]marcos!$B106=R$4),"ok","nok")</f>
        <v>nok</v>
      </c>
      <c r="S109" s="74" t="str">
        <f>IF(AND($B109=[1]marcos!$A106,[1]marcos!$B106=S$4),"ok","nok")</f>
        <v>nok</v>
      </c>
      <c r="T109" s="74" t="str">
        <f>IF(AND($B109=[1]marcos!$A106,[1]marcos!$B106=T$4),"ok","nok")</f>
        <v>nok</v>
      </c>
      <c r="U109" s="74" t="str">
        <f>IF(AND($B109=[1]marcos!$A106,[1]marcos!$B106=U$4),"ok","nok")</f>
        <v>ok</v>
      </c>
      <c r="V109" s="74" t="str">
        <f>IF(AND($B109=[1]marcos!$A106,[1]marcos!$B106=V$4),"ok","nok")</f>
        <v>nok</v>
      </c>
      <c r="W109" s="74" t="str">
        <f>IF(AND($B109=[1]marcos!$A106,[1]marcos!$B106=W$4),"ok","nok")</f>
        <v>nok</v>
      </c>
      <c r="X109" s="74" t="str">
        <f>IF(AND($B109=[1]marcos!$A106,[1]marcos!$B106=X$4),"ok","nok")</f>
        <v>nok</v>
      </c>
      <c r="Y109" s="96" t="s">
        <v>32</v>
      </c>
      <c r="Z109" s="97"/>
      <c r="AA109" s="97"/>
      <c r="AB109" s="98"/>
      <c r="AC109" s="28"/>
      <c r="AD109" s="28"/>
      <c r="AE109" s="63" t="str">
        <f t="shared" si="22"/>
        <v>MARCO - Emissão Inicial</v>
      </c>
      <c r="AF109" s="63"/>
      <c r="AG109" s="63"/>
      <c r="AH109" s="63"/>
      <c r="AI109" s="64">
        <f t="shared" si="23"/>
        <v>0</v>
      </c>
      <c r="AJ109" s="64" t="str">
        <f t="shared" si="24"/>
        <v/>
      </c>
      <c r="AK109" s="64">
        <f t="shared" si="25"/>
        <v>0</v>
      </c>
      <c r="AL109" s="64" t="str">
        <f t="shared" si="26"/>
        <v/>
      </c>
      <c r="AM109" s="64">
        <f t="shared" si="27"/>
        <v>0</v>
      </c>
      <c r="AN109" s="64" t="str">
        <f t="shared" si="28"/>
        <v/>
      </c>
      <c r="AO109" s="64">
        <f t="shared" si="29"/>
        <v>1</v>
      </c>
      <c r="AP109" s="64" t="str">
        <f t="shared" si="30"/>
        <v/>
      </c>
      <c r="AQ109" s="64">
        <f t="shared" si="31"/>
        <v>0</v>
      </c>
      <c r="AR109" s="64" t="str">
        <f t="shared" si="32"/>
        <v/>
      </c>
      <c r="AS109" s="4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1:64" s="46" customFormat="1" ht="30" customHeight="1" x14ac:dyDescent="0.35">
      <c r="A110" s="28" t="str">
        <f t="shared" si="36"/>
        <v>LARGO VANÁDIO MARACÁS
PLANTA QUÍMICA
ÁREA DE EVAPORAÇÃO
Tanque - 550 - TQ 201</v>
      </c>
      <c r="B110" s="55" t="s">
        <v>20</v>
      </c>
      <c r="C110" s="74" t="str">
        <f>IF(AND($B110=[1]marcos!$A107,[1]marcos!$B107=C$4),"ok","nok")</f>
        <v>nok</v>
      </c>
      <c r="D110" s="74" t="str">
        <f>IF(AND($B110=[1]marcos!$A107,[1]marcos!$B107=D$4),"ok","nok")</f>
        <v>nok</v>
      </c>
      <c r="E110" s="74" t="str">
        <f>IF(AND($B110=[1]marcos!$A107,[1]marcos!$B107=E$4),"ok","nok")</f>
        <v>nok</v>
      </c>
      <c r="F110" s="74" t="str">
        <f>IF(AND($B110=[1]marcos!$A107,[1]marcos!$B107=F$4),"ok","nok")</f>
        <v>nok</v>
      </c>
      <c r="G110" s="74" t="str">
        <f>IF(AND($B110=[1]marcos!$A107,[1]marcos!$B107=G$4),"ok","nok")</f>
        <v>nok</v>
      </c>
      <c r="H110" s="74" t="str">
        <f>IF(AND($B110=[1]marcos!$A107,[1]marcos!$B107=H$4),"ok","nok")</f>
        <v>nok</v>
      </c>
      <c r="I110" s="74" t="str">
        <f>IF(AND($B110=[1]marcos!$A107,[1]marcos!$B107=I$4),"ok","nok")</f>
        <v>nok</v>
      </c>
      <c r="J110" s="74" t="str">
        <f>IF(AND($B110=[1]marcos!$A107,[1]marcos!$B107=J$4),"ok","nok")</f>
        <v>nok</v>
      </c>
      <c r="K110" s="74" t="str">
        <f>IF(AND($B110=[1]marcos!$A107,[1]marcos!$B107=K$4),"ok","nok")</f>
        <v>nok</v>
      </c>
      <c r="L110" s="74" t="str">
        <f>IF(AND($B110=[1]marcos!$A107,[1]marcos!$B107=L$4),"ok","nok")</f>
        <v>nok</v>
      </c>
      <c r="M110" s="74" t="str">
        <f>IF(AND($B110=[1]marcos!$A107,[1]marcos!$B107=M$4),"ok","nok")</f>
        <v>nok</v>
      </c>
      <c r="N110" s="83"/>
      <c r="O110" s="74" t="str">
        <f>IF(AND($B110=[1]marcos!$A107,[1]marcos!$B107=O$4),"ok","nok")</f>
        <v>nok</v>
      </c>
      <c r="P110" s="74" t="str">
        <f>IF(AND($B110=[1]marcos!$A107,[1]marcos!$B107=P$4),"ok","nok")</f>
        <v>nok</v>
      </c>
      <c r="Q110" s="74" t="str">
        <f>IF(AND($B110=[1]marcos!$A107,[1]marcos!$B107=Q$4),"ok","nok")</f>
        <v>nok</v>
      </c>
      <c r="R110" s="74" t="str">
        <f>IF(AND($B110=[1]marcos!$A107,[1]marcos!$B107=R$4),"ok","nok")</f>
        <v>nok</v>
      </c>
      <c r="S110" s="74" t="str">
        <f>IF(AND($B110=[1]marcos!$A107,[1]marcos!$B107=S$4),"ok","nok")</f>
        <v>nok</v>
      </c>
      <c r="T110" s="74" t="str">
        <f>IF(AND($B110=[1]marcos!$A107,[1]marcos!$B107=T$4),"ok","nok")</f>
        <v>nok</v>
      </c>
      <c r="U110" s="74" t="str">
        <f>IF(AND($B110=[1]marcos!$A107,[1]marcos!$B107=U$4),"ok","nok")</f>
        <v>nok</v>
      </c>
      <c r="V110" s="74" t="str">
        <f>IF(AND($B110=[1]marcos!$A107,[1]marcos!$B107=V$4),"ok","nok")</f>
        <v>ok</v>
      </c>
      <c r="W110" s="74" t="str">
        <f>IF(AND($B110=[1]marcos!$A107,[1]marcos!$B107=W$4),"ok","nok")</f>
        <v>nok</v>
      </c>
      <c r="X110" s="74" t="str">
        <f>IF(AND($B110=[1]marcos!$A107,[1]marcos!$B107=X$4),"ok","nok")</f>
        <v>nok</v>
      </c>
      <c r="Y110" s="96" t="s">
        <v>16</v>
      </c>
      <c r="Z110" s="97"/>
      <c r="AA110" s="97"/>
      <c r="AB110" s="98"/>
      <c r="AC110" s="28"/>
      <c r="AD110" s="28"/>
      <c r="AE110" s="63" t="str">
        <f t="shared" si="22"/>
        <v/>
      </c>
      <c r="AF110" s="63"/>
      <c r="AG110" s="63"/>
      <c r="AH110" s="63"/>
      <c r="AI110" s="64">
        <f t="shared" si="23"/>
        <v>0</v>
      </c>
      <c r="AJ110" s="64" t="str">
        <f t="shared" si="24"/>
        <v/>
      </c>
      <c r="AK110" s="64">
        <f t="shared" si="25"/>
        <v>0</v>
      </c>
      <c r="AL110" s="64" t="str">
        <f t="shared" si="26"/>
        <v/>
      </c>
      <c r="AM110" s="64">
        <f t="shared" si="27"/>
        <v>0</v>
      </c>
      <c r="AN110" s="64" t="str">
        <f t="shared" si="28"/>
        <v/>
      </c>
      <c r="AO110" s="64">
        <f t="shared" si="29"/>
        <v>1</v>
      </c>
      <c r="AP110" s="64" t="str">
        <f t="shared" si="30"/>
        <v/>
      </c>
      <c r="AQ110" s="64">
        <f t="shared" si="31"/>
        <v>0</v>
      </c>
      <c r="AR110" s="64" t="str">
        <f t="shared" si="32"/>
        <v/>
      </c>
      <c r="AS110" s="4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1:64" s="46" customFormat="1" ht="30" customHeight="1" x14ac:dyDescent="0.35">
      <c r="A111" s="28" t="str">
        <f t="shared" si="36"/>
        <v>LARGO VANÁDIO MARACÁS
PLANTA QUÍMICA
ÁREA DE EVAPORAÇÃO
Tanque - 550 - TQ 201</v>
      </c>
      <c r="B111" s="55" t="s">
        <v>38</v>
      </c>
      <c r="C111" s="74" t="str">
        <f>IF(AND($B111=[1]marcos!$A108,[1]marcos!$B108=C$4),"ok","nok")</f>
        <v>nok</v>
      </c>
      <c r="D111" s="74" t="str">
        <f>IF(AND($B111=[1]marcos!$A108,[1]marcos!$B108=D$4),"ok","nok")</f>
        <v>nok</v>
      </c>
      <c r="E111" s="74" t="str">
        <f>IF(AND($B111=[1]marcos!$A108,[1]marcos!$B108=E$4),"ok","nok")</f>
        <v>nok</v>
      </c>
      <c r="F111" s="74" t="str">
        <f>IF(AND($B111=[1]marcos!$A108,[1]marcos!$B108=F$4),"ok","nok")</f>
        <v>nok</v>
      </c>
      <c r="G111" s="74" t="str">
        <f>IF(AND($B111=[1]marcos!$A108,[1]marcos!$B108=G$4),"ok","nok")</f>
        <v>nok</v>
      </c>
      <c r="H111" s="74" t="str">
        <f>IF(AND($B111=[1]marcos!$A108,[1]marcos!$B108=H$4),"ok","nok")</f>
        <v>nok</v>
      </c>
      <c r="I111" s="74" t="str">
        <f>IF(AND($B111=[1]marcos!$A108,[1]marcos!$B108=I$4),"ok","nok")</f>
        <v>nok</v>
      </c>
      <c r="J111" s="74" t="str">
        <f>IF(AND($B111=[1]marcos!$A108,[1]marcos!$B108=J$4),"ok","nok")</f>
        <v>nok</v>
      </c>
      <c r="K111" s="74" t="str">
        <f>IF(AND($B111=[1]marcos!$A108,[1]marcos!$B108=K$4),"ok","nok")</f>
        <v>nok</v>
      </c>
      <c r="L111" s="74" t="str">
        <f>IF(AND($B111=[1]marcos!$A108,[1]marcos!$B108=L$4),"ok","nok")</f>
        <v>nok</v>
      </c>
      <c r="M111" s="74" t="str">
        <f>IF(AND($B111=[1]marcos!$A108,[1]marcos!$B108=M$4),"ok","nok")</f>
        <v>nok</v>
      </c>
      <c r="N111" s="74" t="str">
        <f>IF(AND($B111=[1]marcos!$A108,[1]marcos!$B108=N$4),"ok","nok")</f>
        <v>nok</v>
      </c>
      <c r="O111" s="74" t="str">
        <f>IF(AND($B111=[1]marcos!$A108,[1]marcos!$B108=O$4),"ok","nok")</f>
        <v>nok</v>
      </c>
      <c r="P111" s="74" t="str">
        <f>IF(AND($B111=[1]marcos!$A108,[1]marcos!$B108=P$4),"ok","nok")</f>
        <v>nok</v>
      </c>
      <c r="Q111" s="83"/>
      <c r="R111" s="74" t="str">
        <f>IF(AND($B111=[1]marcos!$A108,[1]marcos!$B108=R$4),"ok","nok")</f>
        <v>nok</v>
      </c>
      <c r="S111" s="74" t="str">
        <f>IF(AND($B111=[1]marcos!$A108,[1]marcos!$B108=S$4),"ok","nok")</f>
        <v>nok</v>
      </c>
      <c r="T111" s="74" t="str">
        <f>IF(AND($B111=[1]marcos!$A108,[1]marcos!$B108=T$4),"ok","nok")</f>
        <v>nok</v>
      </c>
      <c r="U111" s="74" t="str">
        <f>IF(AND($B111=[1]marcos!$A108,[1]marcos!$B108=U$4),"ok","nok")</f>
        <v>nok</v>
      </c>
      <c r="V111" s="74" t="str">
        <f>IF(AND($B111=[1]marcos!$A108,[1]marcos!$B108=V$4),"ok","nok")</f>
        <v>nok</v>
      </c>
      <c r="W111" s="74" t="str">
        <f>IF(AND($B111=[1]marcos!$A108,[1]marcos!$B108=W$4),"ok","nok")</f>
        <v>ok</v>
      </c>
      <c r="X111" s="74" t="str">
        <f>IF(AND($B111=[1]marcos!$A108,[1]marcos!$B108=X$4),"ok","nok")</f>
        <v>nok</v>
      </c>
      <c r="Y111" s="96" t="s">
        <v>16</v>
      </c>
      <c r="Z111" s="97"/>
      <c r="AA111" s="97"/>
      <c r="AB111" s="98"/>
      <c r="AC111" s="28"/>
      <c r="AD111" s="28"/>
      <c r="AE111" s="63" t="str">
        <f t="shared" si="22"/>
        <v/>
      </c>
      <c r="AF111" s="63"/>
      <c r="AG111" s="63"/>
      <c r="AH111" s="63"/>
      <c r="AI111" s="64">
        <f t="shared" si="23"/>
        <v>0</v>
      </c>
      <c r="AJ111" s="64" t="str">
        <f t="shared" si="24"/>
        <v/>
      </c>
      <c r="AK111" s="64">
        <f t="shared" si="25"/>
        <v>0</v>
      </c>
      <c r="AL111" s="64" t="str">
        <f t="shared" si="26"/>
        <v/>
      </c>
      <c r="AM111" s="64">
        <f t="shared" si="27"/>
        <v>0</v>
      </c>
      <c r="AN111" s="64" t="str">
        <f t="shared" si="28"/>
        <v/>
      </c>
      <c r="AO111" s="64">
        <f t="shared" si="29"/>
        <v>0</v>
      </c>
      <c r="AP111" s="64" t="str">
        <f t="shared" si="30"/>
        <v/>
      </c>
      <c r="AQ111" s="64">
        <f t="shared" si="31"/>
        <v>1</v>
      </c>
      <c r="AR111" s="64" t="str">
        <f t="shared" si="32"/>
        <v/>
      </c>
      <c r="AS111" s="4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1:64" s="46" customFormat="1" ht="30" customHeight="1" x14ac:dyDescent="0.35">
      <c r="A112" s="28" t="str">
        <f>CONCATENATE($B$80,"
",$B$83,"
",$B$84,"
",$B$106)</f>
        <v>LARGO VANÁDIO MARACÁS
PLANTA QUÍMICA
ÁREA DE EVAPORAÇÃO
Tanque - 550 - TQ 201</v>
      </c>
      <c r="B112" s="55" t="s">
        <v>76</v>
      </c>
      <c r="C112" s="74" t="str">
        <f>IF(AND($B112=[1]marcos!$A109,[1]marcos!$B109=C$4),"ok","nok")</f>
        <v>nok</v>
      </c>
      <c r="D112" s="74" t="str">
        <f>IF(AND($B112=[1]marcos!$A109,[1]marcos!$B109=D$4),"ok","nok")</f>
        <v>nok</v>
      </c>
      <c r="E112" s="74" t="str">
        <f>IF(AND($B112=[1]marcos!$A109,[1]marcos!$B109=E$4),"ok","nok")</f>
        <v>nok</v>
      </c>
      <c r="F112" s="74" t="str">
        <f>IF(AND($B112=[1]marcos!$A109,[1]marcos!$B109=F$4),"ok","nok")</f>
        <v>nok</v>
      </c>
      <c r="G112" s="74" t="str">
        <f>IF(AND($B112=[1]marcos!$A109,[1]marcos!$B109=G$4),"ok","nok")</f>
        <v>nok</v>
      </c>
      <c r="H112" s="74" t="str">
        <f>IF(AND($B112=[1]marcos!$A109,[1]marcos!$B109=H$4),"ok","nok")</f>
        <v>nok</v>
      </c>
      <c r="I112" s="74" t="str">
        <f>IF(AND($B112=[1]marcos!$A109,[1]marcos!$B109=I$4),"ok","nok")</f>
        <v>nok</v>
      </c>
      <c r="J112" s="74" t="str">
        <f>IF(AND($B112=[1]marcos!$A109,[1]marcos!$B109=J$4),"ok","nok")</f>
        <v>nok</v>
      </c>
      <c r="K112" s="74" t="str">
        <f>IF(AND($B112=[1]marcos!$A109,[1]marcos!$B109=K$4),"ok","nok")</f>
        <v>nok</v>
      </c>
      <c r="L112" s="74" t="str">
        <f>IF(AND($B112=[1]marcos!$A109,[1]marcos!$B109=L$4),"ok","nok")</f>
        <v>nok</v>
      </c>
      <c r="M112" s="74" t="str">
        <f>IF(AND($B112=[1]marcos!$A109,[1]marcos!$B109=M$4),"ok","nok")</f>
        <v>nok</v>
      </c>
      <c r="N112" s="74" t="str">
        <f>IF(AND($B112=[1]marcos!$A109,[1]marcos!$B109=N$4),"ok","nok")</f>
        <v>nok</v>
      </c>
      <c r="O112" s="74" t="str">
        <f>IF(AND($B112=[1]marcos!$A109,[1]marcos!$B109=O$4),"ok","nok")</f>
        <v>nok</v>
      </c>
      <c r="P112" s="74" t="str">
        <f>IF(AND($B112=[1]marcos!$A109,[1]marcos!$B109=P$4),"ok","nok")</f>
        <v>nok</v>
      </c>
      <c r="Q112" s="83"/>
      <c r="R112" s="74" t="str">
        <f>IF(AND($B112=[1]marcos!$A109,[1]marcos!$B109=R$4),"ok","nok")</f>
        <v>nok</v>
      </c>
      <c r="S112" s="74" t="str">
        <f>IF(AND($B112=[1]marcos!$A109,[1]marcos!$B109=S$4),"ok","nok")</f>
        <v>nok</v>
      </c>
      <c r="T112" s="74" t="str">
        <f>IF(AND($B112=[1]marcos!$A109,[1]marcos!$B109=T$4),"ok","nok")</f>
        <v>nok</v>
      </c>
      <c r="U112" s="74" t="str">
        <f>IF(AND($B112=[1]marcos!$A109,[1]marcos!$B109=U$4),"ok","nok")</f>
        <v>nok</v>
      </c>
      <c r="V112" s="74" t="str">
        <f>IF(AND($B112=[1]marcos!$A109,[1]marcos!$B109=V$4),"ok","nok")</f>
        <v>nok</v>
      </c>
      <c r="W112" s="74" t="str">
        <f>IF(AND($B112=[1]marcos!$A109,[1]marcos!$B109=W$4),"ok","nok")</f>
        <v>ok</v>
      </c>
      <c r="X112" s="74" t="str">
        <f>IF(AND($B112=[1]marcos!$A109,[1]marcos!$B109=X$4),"ok","nok")</f>
        <v>nok</v>
      </c>
      <c r="Y112" s="96" t="s">
        <v>16</v>
      </c>
      <c r="Z112" s="97"/>
      <c r="AA112" s="97"/>
      <c r="AB112" s="98"/>
      <c r="AC112" s="28"/>
      <c r="AD112" s="28"/>
      <c r="AE112" s="63" t="str">
        <f t="shared" si="22"/>
        <v/>
      </c>
      <c r="AF112" s="63"/>
      <c r="AG112" s="63"/>
      <c r="AH112" s="63"/>
      <c r="AI112" s="64">
        <f t="shared" si="23"/>
        <v>0</v>
      </c>
      <c r="AJ112" s="64" t="str">
        <f t="shared" si="24"/>
        <v/>
      </c>
      <c r="AK112" s="64">
        <f t="shared" si="25"/>
        <v>0</v>
      </c>
      <c r="AL112" s="64" t="str">
        <f t="shared" si="26"/>
        <v/>
      </c>
      <c r="AM112" s="64">
        <f t="shared" si="27"/>
        <v>0</v>
      </c>
      <c r="AN112" s="64" t="str">
        <f t="shared" si="28"/>
        <v/>
      </c>
      <c r="AO112" s="64">
        <f t="shared" si="29"/>
        <v>0</v>
      </c>
      <c r="AP112" s="64" t="str">
        <f t="shared" si="30"/>
        <v/>
      </c>
      <c r="AQ112" s="64">
        <f t="shared" si="31"/>
        <v>1</v>
      </c>
      <c r="AR112" s="64" t="str">
        <f t="shared" si="32"/>
        <v/>
      </c>
      <c r="AS112" s="4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1:64" s="46" customFormat="1" ht="30" customHeight="1" x14ac:dyDescent="0.35">
      <c r="A113" s="28"/>
      <c r="B113" s="77" t="s">
        <v>67</v>
      </c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120"/>
      <c r="Z113" s="121"/>
      <c r="AA113" s="121"/>
      <c r="AB113" s="122"/>
      <c r="AC113" s="28"/>
      <c r="AD113" s="28"/>
      <c r="AE113" s="63" t="str">
        <f t="shared" si="22"/>
        <v/>
      </c>
      <c r="AF113" s="63"/>
      <c r="AG113" s="63"/>
      <c r="AH113" s="63"/>
      <c r="AI113" s="64">
        <f t="shared" si="23"/>
        <v>0</v>
      </c>
      <c r="AJ113" s="64" t="str">
        <f t="shared" si="24"/>
        <v/>
      </c>
      <c r="AK113" s="64">
        <f t="shared" si="25"/>
        <v>0</v>
      </c>
      <c r="AL113" s="64" t="str">
        <f t="shared" si="26"/>
        <v/>
      </c>
      <c r="AM113" s="64">
        <f t="shared" si="27"/>
        <v>0</v>
      </c>
      <c r="AN113" s="64" t="str">
        <f t="shared" si="28"/>
        <v/>
      </c>
      <c r="AO113" s="64">
        <f t="shared" si="29"/>
        <v>0</v>
      </c>
      <c r="AP113" s="64" t="str">
        <f t="shared" si="30"/>
        <v/>
      </c>
      <c r="AQ113" s="64">
        <f t="shared" si="31"/>
        <v>0</v>
      </c>
      <c r="AR113" s="64" t="str">
        <f t="shared" si="32"/>
        <v/>
      </c>
      <c r="AS113" s="4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1:64" s="46" customFormat="1" ht="30" customHeight="1" x14ac:dyDescent="0.35">
      <c r="A114" s="28" t="str">
        <f>CONCATENATE($B$80,"
",$B$83,"
",$B$84,"
",$B$113)</f>
        <v>LARGO VANÁDIO MARACÁS
PLANTA QUÍMICA
ÁREA DE EVAPORAÇÃO
Tanque - 550 - TQ 203</v>
      </c>
      <c r="B114" s="53" t="s">
        <v>73</v>
      </c>
      <c r="C114" s="74" t="str">
        <f>IF(AND($B114=[1]marcos!$A111,[1]marcos!$B111=C$4),"ok","nok")</f>
        <v>nok</v>
      </c>
      <c r="D114" s="74" t="str">
        <f>IF(AND($B114=[1]marcos!$A111,[1]marcos!$B111=D$4),"ok","nok")</f>
        <v>nok</v>
      </c>
      <c r="E114" s="74" t="str">
        <f>IF(AND($B114=[1]marcos!$A111,[1]marcos!$B111=E$4),"ok","nok")</f>
        <v>nok</v>
      </c>
      <c r="F114" s="74" t="str">
        <f>IF(AND($B114=[1]marcos!$A111,[1]marcos!$B111=F$4),"ok","nok")</f>
        <v>nok</v>
      </c>
      <c r="G114" s="74" t="str">
        <f>IF(AND($B114=[1]marcos!$A111,[1]marcos!$B111=G$4),"ok","nok")</f>
        <v>nok</v>
      </c>
      <c r="H114" s="74" t="str">
        <f>IF(AND($B114=[1]marcos!$A111,[1]marcos!$B111=H$4),"ok","nok")</f>
        <v>nok</v>
      </c>
      <c r="I114" s="83"/>
      <c r="J114" s="74" t="str">
        <f>IF(AND($B114=[1]marcos!$A111,[1]marcos!$B111=J$4),"ok","nok")</f>
        <v>nok</v>
      </c>
      <c r="K114" s="74" t="str">
        <f>IF(AND($B114=[1]marcos!$A111,[1]marcos!$B111=K$4),"ok","nok")</f>
        <v>nok</v>
      </c>
      <c r="L114" s="74" t="str">
        <f>IF(AND($B114=[1]marcos!$A111,[1]marcos!$B111=L$4),"ok","nok")</f>
        <v>nok</v>
      </c>
      <c r="M114" s="74" t="str">
        <f>IF(AND($B114=[1]marcos!$A111,[1]marcos!$B111=M$4),"ok","nok")</f>
        <v>nok</v>
      </c>
      <c r="N114" s="74" t="str">
        <f>IF(AND($B114=[1]marcos!$A111,[1]marcos!$B111=N$4),"ok","nok")</f>
        <v>nok</v>
      </c>
      <c r="O114" s="74" t="str">
        <f>IF(AND($B114=[1]marcos!$A111,[1]marcos!$B111=O$4),"ok","nok")</f>
        <v>nok</v>
      </c>
      <c r="P114" s="74" t="str">
        <f>IF(AND($B114=[1]marcos!$A111,[1]marcos!$B111=P$4),"ok","nok")</f>
        <v>nok</v>
      </c>
      <c r="Q114" s="74" t="str">
        <f>IF(AND($B114=[1]marcos!$A111,[1]marcos!$B111=Q$4),"ok","nok")</f>
        <v>nok</v>
      </c>
      <c r="R114" s="74" t="str">
        <f>IF(AND($B114=[1]marcos!$A111,[1]marcos!$B111=R$4),"ok","nok")</f>
        <v>nok</v>
      </c>
      <c r="S114" s="74" t="str">
        <f>IF(AND($B114=[1]marcos!$A111,[1]marcos!$B111=S$4),"ok","nok")</f>
        <v>nok</v>
      </c>
      <c r="T114" s="74" t="str">
        <f>IF(AND($B114=[1]marcos!$A111,[1]marcos!$B111=T$4),"ok","nok")</f>
        <v>nok</v>
      </c>
      <c r="U114" s="74" t="str">
        <f>IF(AND($B114=[1]marcos!$A111,[1]marcos!$B111=U$4),"ok","nok")</f>
        <v>ok</v>
      </c>
      <c r="V114" s="74" t="str">
        <f>IF(AND($B114=[1]marcos!$A111,[1]marcos!$B111=V$4),"ok","nok")</f>
        <v>nok</v>
      </c>
      <c r="W114" s="74" t="str">
        <f>IF(AND($B114=[1]marcos!$A111,[1]marcos!$B111=W$4),"ok","nok")</f>
        <v>nok</v>
      </c>
      <c r="X114" s="74" t="str">
        <f>IF(AND($B114=[1]marcos!$A111,[1]marcos!$B111=X$4),"ok","nok")</f>
        <v>nok</v>
      </c>
      <c r="Y114" s="96" t="s">
        <v>32</v>
      </c>
      <c r="Z114" s="97"/>
      <c r="AA114" s="97"/>
      <c r="AB114" s="98"/>
      <c r="AC114" s="28"/>
      <c r="AD114" s="28"/>
      <c r="AE114" s="63" t="str">
        <f t="shared" si="22"/>
        <v>Verificação do Laudo</v>
      </c>
      <c r="AF114" s="63"/>
      <c r="AG114" s="63"/>
      <c r="AH114" s="63"/>
      <c r="AI114" s="64">
        <f t="shared" si="23"/>
        <v>0</v>
      </c>
      <c r="AJ114" s="64" t="str">
        <f t="shared" si="24"/>
        <v/>
      </c>
      <c r="AK114" s="64">
        <f t="shared" si="25"/>
        <v>0</v>
      </c>
      <c r="AL114" s="64" t="str">
        <f t="shared" si="26"/>
        <v/>
      </c>
      <c r="AM114" s="64">
        <f t="shared" si="27"/>
        <v>0</v>
      </c>
      <c r="AN114" s="64" t="str">
        <f t="shared" si="28"/>
        <v/>
      </c>
      <c r="AO114" s="64">
        <f t="shared" si="29"/>
        <v>1</v>
      </c>
      <c r="AP114" s="64" t="str">
        <f t="shared" si="30"/>
        <v/>
      </c>
      <c r="AQ114" s="64">
        <f t="shared" si="31"/>
        <v>0</v>
      </c>
      <c r="AR114" s="64" t="str">
        <f t="shared" si="32"/>
        <v/>
      </c>
      <c r="AS114" s="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1:64" s="46" customFormat="1" ht="30" customHeight="1" x14ac:dyDescent="0.35">
      <c r="A115" s="28"/>
      <c r="B115" s="54" t="s">
        <v>74</v>
      </c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114"/>
      <c r="Z115" s="115"/>
      <c r="AA115" s="115"/>
      <c r="AB115" s="116"/>
      <c r="AC115" s="28"/>
      <c r="AD115" s="28"/>
      <c r="AE115" s="63" t="str">
        <f t="shared" si="22"/>
        <v/>
      </c>
      <c r="AF115" s="63"/>
      <c r="AG115" s="63"/>
      <c r="AH115" s="63"/>
      <c r="AI115" s="64">
        <f t="shared" si="23"/>
        <v>0</v>
      </c>
      <c r="AJ115" s="64" t="str">
        <f t="shared" si="24"/>
        <v/>
      </c>
      <c r="AK115" s="64">
        <f t="shared" si="25"/>
        <v>0</v>
      </c>
      <c r="AL115" s="64" t="str">
        <f t="shared" si="26"/>
        <v/>
      </c>
      <c r="AM115" s="64">
        <f t="shared" si="27"/>
        <v>0</v>
      </c>
      <c r="AN115" s="64" t="str">
        <f t="shared" si="28"/>
        <v/>
      </c>
      <c r="AO115" s="64">
        <f t="shared" si="29"/>
        <v>0</v>
      </c>
      <c r="AP115" s="64" t="str">
        <f t="shared" si="30"/>
        <v/>
      </c>
      <c r="AQ115" s="64">
        <f t="shared" si="31"/>
        <v>0</v>
      </c>
      <c r="AR115" s="64" t="str">
        <f t="shared" si="32"/>
        <v/>
      </c>
      <c r="AS115" s="4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1:64" s="46" customFormat="1" ht="30" customHeight="1" x14ac:dyDescent="0.35">
      <c r="A116" s="28" t="str">
        <f t="shared" ref="A116:A119" si="37">CONCATENATE($B$80,"
",$B$83,"
",$B$84,"
",$B$113)</f>
        <v>LARGO VANÁDIO MARACÁS
PLANTA QUÍMICA
ÁREA DE EVAPORAÇÃO
Tanque - 550 - TQ 203</v>
      </c>
      <c r="B116" s="55" t="s">
        <v>75</v>
      </c>
      <c r="C116" s="74" t="str">
        <f>IF(AND($B116=[1]marcos!$A113,[1]marcos!$B113=C$4),"ok","nok")</f>
        <v>nok</v>
      </c>
      <c r="D116" s="74" t="str">
        <f>IF(AND($B116=[1]marcos!$A113,[1]marcos!$B113=D$4),"ok","nok")</f>
        <v>nok</v>
      </c>
      <c r="E116" s="74" t="str">
        <f>IF(AND($B116=[1]marcos!$A113,[1]marcos!$B113=E$4),"ok","nok")</f>
        <v>nok</v>
      </c>
      <c r="F116" s="74" t="str">
        <f>IF(AND($B116=[1]marcos!$A113,[1]marcos!$B113=F$4),"ok","nok")</f>
        <v>nok</v>
      </c>
      <c r="G116" s="74" t="str">
        <f>IF(AND($B116=[1]marcos!$A113,[1]marcos!$B113=G$4),"ok","nok")</f>
        <v>nok</v>
      </c>
      <c r="H116" s="74" t="str">
        <f>IF(AND($B116=[1]marcos!$A113,[1]marcos!$B113=H$4),"ok","nok")</f>
        <v>nok</v>
      </c>
      <c r="I116" s="83"/>
      <c r="J116" s="74" t="str">
        <f>IF(AND($B116=[1]marcos!$A113,[1]marcos!$B113=J$4),"ok","nok")</f>
        <v>nok</v>
      </c>
      <c r="K116" s="74" t="str">
        <f>IF(AND($B116=[1]marcos!$A113,[1]marcos!$B113=K$4),"ok","nok")</f>
        <v>nok</v>
      </c>
      <c r="L116" s="74" t="str">
        <f>IF(AND($B116=[1]marcos!$A113,[1]marcos!$B113=L$4),"ok","nok")</f>
        <v>nok</v>
      </c>
      <c r="M116" s="74" t="str">
        <f>IF(AND($B116=[1]marcos!$A113,[1]marcos!$B113=M$4),"ok","nok")</f>
        <v>nok</v>
      </c>
      <c r="N116" s="74" t="str">
        <f>IF(AND($B116=[1]marcos!$A113,[1]marcos!$B113=N$4),"ok","nok")</f>
        <v>nok</v>
      </c>
      <c r="O116" s="74" t="str">
        <f>IF(AND($B116=[1]marcos!$A113,[1]marcos!$B113=O$4),"ok","nok")</f>
        <v>nok</v>
      </c>
      <c r="P116" s="74" t="str">
        <f>IF(AND($B116=[1]marcos!$A113,[1]marcos!$B113=P$4),"ok","nok")</f>
        <v>nok</v>
      </c>
      <c r="Q116" s="74" t="str">
        <f>IF(AND($B116=[1]marcos!$A113,[1]marcos!$B113=Q$4),"ok","nok")</f>
        <v>nok</v>
      </c>
      <c r="R116" s="74" t="str">
        <f>IF(AND($B116=[1]marcos!$A113,[1]marcos!$B113=R$4),"ok","nok")</f>
        <v>nok</v>
      </c>
      <c r="S116" s="74" t="str">
        <f>IF(AND($B116=[1]marcos!$A113,[1]marcos!$B113=S$4),"ok","nok")</f>
        <v>nok</v>
      </c>
      <c r="T116" s="74" t="str">
        <f>IF(AND($B116=[1]marcos!$A113,[1]marcos!$B113=T$4),"ok","nok")</f>
        <v>nok</v>
      </c>
      <c r="U116" s="74" t="str">
        <f>IF(AND($B116=[1]marcos!$A113,[1]marcos!$B113=U$4),"ok","nok")</f>
        <v>ok</v>
      </c>
      <c r="V116" s="74" t="str">
        <f>IF(AND($B116=[1]marcos!$A113,[1]marcos!$B113=V$4),"ok","nok")</f>
        <v>nok</v>
      </c>
      <c r="W116" s="74" t="str">
        <f>IF(AND($B116=[1]marcos!$A113,[1]marcos!$B113=W$4),"ok","nok")</f>
        <v>nok</v>
      </c>
      <c r="X116" s="74" t="str">
        <f>IF(AND($B116=[1]marcos!$A113,[1]marcos!$B113=X$4),"ok","nok")</f>
        <v>nok</v>
      </c>
      <c r="Y116" s="96" t="s">
        <v>32</v>
      </c>
      <c r="Z116" s="97"/>
      <c r="AA116" s="97"/>
      <c r="AB116" s="98"/>
      <c r="AC116" s="28"/>
      <c r="AD116" s="28"/>
      <c r="AE116" s="63" t="str">
        <f t="shared" si="22"/>
        <v>MARCO - Emissão Inicial</v>
      </c>
      <c r="AF116" s="63"/>
      <c r="AG116" s="63"/>
      <c r="AH116" s="63"/>
      <c r="AI116" s="64">
        <f t="shared" si="23"/>
        <v>0</v>
      </c>
      <c r="AJ116" s="64" t="str">
        <f t="shared" si="24"/>
        <v/>
      </c>
      <c r="AK116" s="64">
        <f t="shared" si="25"/>
        <v>0</v>
      </c>
      <c r="AL116" s="64" t="str">
        <f t="shared" si="26"/>
        <v/>
      </c>
      <c r="AM116" s="64">
        <f t="shared" si="27"/>
        <v>0</v>
      </c>
      <c r="AN116" s="64" t="str">
        <f t="shared" si="28"/>
        <v/>
      </c>
      <c r="AO116" s="64">
        <f t="shared" si="29"/>
        <v>1</v>
      </c>
      <c r="AP116" s="64" t="str">
        <f t="shared" si="30"/>
        <v/>
      </c>
      <c r="AQ116" s="64">
        <f t="shared" si="31"/>
        <v>0</v>
      </c>
      <c r="AR116" s="64" t="str">
        <f t="shared" si="32"/>
        <v/>
      </c>
      <c r="AS116" s="4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1:64" s="46" customFormat="1" ht="30" customHeight="1" x14ac:dyDescent="0.35">
      <c r="A117" s="28" t="str">
        <f t="shared" si="37"/>
        <v>LARGO VANÁDIO MARACÁS
PLANTA QUÍMICA
ÁREA DE EVAPORAÇÃO
Tanque - 550 - TQ 203</v>
      </c>
      <c r="B117" s="55" t="s">
        <v>20</v>
      </c>
      <c r="C117" s="74" t="str">
        <f>IF(AND($B117=[1]marcos!$A114,[1]marcos!$B114=C$4),"ok","nok")</f>
        <v>nok</v>
      </c>
      <c r="D117" s="74" t="str">
        <f>IF(AND($B117=[1]marcos!$A114,[1]marcos!$B114=D$4),"ok","nok")</f>
        <v>nok</v>
      </c>
      <c r="E117" s="74" t="str">
        <f>IF(AND($B117=[1]marcos!$A114,[1]marcos!$B114=E$4),"ok","nok")</f>
        <v>nok</v>
      </c>
      <c r="F117" s="74" t="str">
        <f>IF(AND($B117=[1]marcos!$A114,[1]marcos!$B114=F$4),"ok","nok")</f>
        <v>nok</v>
      </c>
      <c r="G117" s="74" t="str">
        <f>IF(AND($B117=[1]marcos!$A114,[1]marcos!$B114=G$4),"ok","nok")</f>
        <v>nok</v>
      </c>
      <c r="H117" s="74" t="str">
        <f>IF(AND($B117=[1]marcos!$A114,[1]marcos!$B114=H$4),"ok","nok")</f>
        <v>nok</v>
      </c>
      <c r="I117" s="74" t="str">
        <f>IF(AND($B117=[1]marcos!$A114,[1]marcos!$B114=I$4),"ok","nok")</f>
        <v>nok</v>
      </c>
      <c r="J117" s="74" t="str">
        <f>IF(AND($B117=[1]marcos!$A114,[1]marcos!$B114=J$4),"ok","nok")</f>
        <v>nok</v>
      </c>
      <c r="K117" s="74" t="str">
        <f>IF(AND($B117=[1]marcos!$A114,[1]marcos!$B114=K$4),"ok","nok")</f>
        <v>nok</v>
      </c>
      <c r="L117" s="74" t="str">
        <f>IF(AND($B117=[1]marcos!$A114,[1]marcos!$B114=L$4),"ok","nok")</f>
        <v>nok</v>
      </c>
      <c r="M117" s="74" t="str">
        <f>IF(AND($B117=[1]marcos!$A114,[1]marcos!$B114=M$4),"ok","nok")</f>
        <v>nok</v>
      </c>
      <c r="N117" s="83"/>
      <c r="O117" s="74" t="str">
        <f>IF(AND($B117=[1]marcos!$A114,[1]marcos!$B114=O$4),"ok","nok")</f>
        <v>nok</v>
      </c>
      <c r="P117" s="74" t="str">
        <f>IF(AND($B117=[1]marcos!$A114,[1]marcos!$B114=P$4),"ok","nok")</f>
        <v>nok</v>
      </c>
      <c r="Q117" s="74" t="str">
        <f>IF(AND($B117=[1]marcos!$A114,[1]marcos!$B114=Q$4),"ok","nok")</f>
        <v>nok</v>
      </c>
      <c r="R117" s="74" t="str">
        <f>IF(AND($B117=[1]marcos!$A114,[1]marcos!$B114=R$4),"ok","nok")</f>
        <v>nok</v>
      </c>
      <c r="S117" s="74" t="str">
        <f>IF(AND($B117=[1]marcos!$A114,[1]marcos!$B114=S$4),"ok","nok")</f>
        <v>nok</v>
      </c>
      <c r="T117" s="74" t="str">
        <f>IF(AND($B117=[1]marcos!$A114,[1]marcos!$B114=T$4),"ok","nok")</f>
        <v>nok</v>
      </c>
      <c r="U117" s="74" t="str">
        <f>IF(AND($B117=[1]marcos!$A114,[1]marcos!$B114=U$4),"ok","nok")</f>
        <v>nok</v>
      </c>
      <c r="V117" s="74" t="str">
        <f>IF(AND($B117=[1]marcos!$A114,[1]marcos!$B114=V$4),"ok","nok")</f>
        <v>ok</v>
      </c>
      <c r="W117" s="74" t="str">
        <f>IF(AND($B117=[1]marcos!$A114,[1]marcos!$B114=W$4),"ok","nok")</f>
        <v>nok</v>
      </c>
      <c r="X117" s="74" t="str">
        <f>IF(AND($B117=[1]marcos!$A114,[1]marcos!$B114=X$4),"ok","nok")</f>
        <v>nok</v>
      </c>
      <c r="Y117" s="96" t="s">
        <v>16</v>
      </c>
      <c r="Z117" s="97"/>
      <c r="AA117" s="97"/>
      <c r="AB117" s="98"/>
      <c r="AC117" s="28"/>
      <c r="AD117" s="28"/>
      <c r="AE117" s="63" t="str">
        <f t="shared" si="22"/>
        <v/>
      </c>
      <c r="AF117" s="63"/>
      <c r="AG117" s="63"/>
      <c r="AH117" s="63"/>
      <c r="AI117" s="64">
        <f t="shared" si="23"/>
        <v>0</v>
      </c>
      <c r="AJ117" s="64" t="str">
        <f t="shared" si="24"/>
        <v/>
      </c>
      <c r="AK117" s="64">
        <f t="shared" si="25"/>
        <v>0</v>
      </c>
      <c r="AL117" s="64" t="str">
        <f t="shared" si="26"/>
        <v/>
      </c>
      <c r="AM117" s="64">
        <f t="shared" si="27"/>
        <v>0</v>
      </c>
      <c r="AN117" s="64" t="str">
        <f t="shared" si="28"/>
        <v/>
      </c>
      <c r="AO117" s="64">
        <f t="shared" si="29"/>
        <v>1</v>
      </c>
      <c r="AP117" s="64" t="str">
        <f t="shared" si="30"/>
        <v/>
      </c>
      <c r="AQ117" s="64">
        <f t="shared" si="31"/>
        <v>0</v>
      </c>
      <c r="AR117" s="64" t="str">
        <f t="shared" si="32"/>
        <v/>
      </c>
      <c r="AS117" s="4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1:64" s="46" customFormat="1" ht="30" customHeight="1" x14ac:dyDescent="0.35">
      <c r="A118" s="28" t="str">
        <f t="shared" si="37"/>
        <v>LARGO VANÁDIO MARACÁS
PLANTA QUÍMICA
ÁREA DE EVAPORAÇÃO
Tanque - 550 - TQ 203</v>
      </c>
      <c r="B118" s="55" t="s">
        <v>38</v>
      </c>
      <c r="C118" s="74" t="str">
        <f>IF(AND($B118=[1]marcos!$A115,[1]marcos!$B115=C$4),"ok","nok")</f>
        <v>nok</v>
      </c>
      <c r="D118" s="74" t="str">
        <f>IF(AND($B118=[1]marcos!$A115,[1]marcos!$B115=D$4),"ok","nok")</f>
        <v>nok</v>
      </c>
      <c r="E118" s="74" t="str">
        <f>IF(AND($B118=[1]marcos!$A115,[1]marcos!$B115=E$4),"ok","nok")</f>
        <v>nok</v>
      </c>
      <c r="F118" s="74" t="str">
        <f>IF(AND($B118=[1]marcos!$A115,[1]marcos!$B115=F$4),"ok","nok")</f>
        <v>nok</v>
      </c>
      <c r="G118" s="74" t="str">
        <f>IF(AND($B118=[1]marcos!$A115,[1]marcos!$B115=G$4),"ok","nok")</f>
        <v>nok</v>
      </c>
      <c r="H118" s="74" t="str">
        <f>IF(AND($B118=[1]marcos!$A115,[1]marcos!$B115=H$4),"ok","nok")</f>
        <v>nok</v>
      </c>
      <c r="I118" s="74" t="str">
        <f>IF(AND($B118=[1]marcos!$A115,[1]marcos!$B115=I$4),"ok","nok")</f>
        <v>nok</v>
      </c>
      <c r="J118" s="74" t="str">
        <f>IF(AND($B118=[1]marcos!$A115,[1]marcos!$B115=J$4),"ok","nok")</f>
        <v>nok</v>
      </c>
      <c r="K118" s="74" t="str">
        <f>IF(AND($B118=[1]marcos!$A115,[1]marcos!$B115=K$4),"ok","nok")</f>
        <v>nok</v>
      </c>
      <c r="L118" s="74" t="str">
        <f>IF(AND($B118=[1]marcos!$A115,[1]marcos!$B115=L$4),"ok","nok")</f>
        <v>nok</v>
      </c>
      <c r="M118" s="74" t="str">
        <f>IF(AND($B118=[1]marcos!$A115,[1]marcos!$B115=M$4),"ok","nok")</f>
        <v>nok</v>
      </c>
      <c r="N118" s="74" t="str">
        <f>IF(AND($B118=[1]marcos!$A115,[1]marcos!$B115=N$4),"ok","nok")</f>
        <v>nok</v>
      </c>
      <c r="O118" s="74" t="str">
        <f>IF(AND($B118=[1]marcos!$A115,[1]marcos!$B115=O$4),"ok","nok")</f>
        <v>nok</v>
      </c>
      <c r="P118" s="74" t="str">
        <f>IF(AND($B118=[1]marcos!$A115,[1]marcos!$B115=P$4),"ok","nok")</f>
        <v>nok</v>
      </c>
      <c r="Q118" s="83"/>
      <c r="R118" s="74" t="str">
        <f>IF(AND($B118=[1]marcos!$A115,[1]marcos!$B115=R$4),"ok","nok")</f>
        <v>nok</v>
      </c>
      <c r="S118" s="74" t="str">
        <f>IF(AND($B118=[1]marcos!$A115,[1]marcos!$B115=S$4),"ok","nok")</f>
        <v>nok</v>
      </c>
      <c r="T118" s="74" t="str">
        <f>IF(AND($B118=[1]marcos!$A115,[1]marcos!$B115=T$4),"ok","nok")</f>
        <v>nok</v>
      </c>
      <c r="U118" s="74" t="str">
        <f>IF(AND($B118=[1]marcos!$A115,[1]marcos!$B115=U$4),"ok","nok")</f>
        <v>nok</v>
      </c>
      <c r="V118" s="74" t="str">
        <f>IF(AND($B118=[1]marcos!$A115,[1]marcos!$B115=V$4),"ok","nok")</f>
        <v>nok</v>
      </c>
      <c r="W118" s="74" t="str">
        <f>IF(AND($B118=[1]marcos!$A115,[1]marcos!$B115=W$4),"ok","nok")</f>
        <v>ok</v>
      </c>
      <c r="X118" s="74" t="str">
        <f>IF(AND($B118=[1]marcos!$A115,[1]marcos!$B115=X$4),"ok","nok")</f>
        <v>nok</v>
      </c>
      <c r="Y118" s="96" t="s">
        <v>16</v>
      </c>
      <c r="Z118" s="97"/>
      <c r="AA118" s="97"/>
      <c r="AB118" s="98"/>
      <c r="AC118" s="28"/>
      <c r="AD118" s="28"/>
      <c r="AE118" s="63" t="str">
        <f t="shared" si="22"/>
        <v/>
      </c>
      <c r="AF118" s="63"/>
      <c r="AG118" s="63"/>
      <c r="AH118" s="63"/>
      <c r="AI118" s="64">
        <f t="shared" si="23"/>
        <v>0</v>
      </c>
      <c r="AJ118" s="64" t="str">
        <f t="shared" si="24"/>
        <v/>
      </c>
      <c r="AK118" s="64">
        <f t="shared" si="25"/>
        <v>0</v>
      </c>
      <c r="AL118" s="64" t="str">
        <f t="shared" si="26"/>
        <v/>
      </c>
      <c r="AM118" s="64">
        <f t="shared" si="27"/>
        <v>0</v>
      </c>
      <c r="AN118" s="64" t="str">
        <f t="shared" si="28"/>
        <v/>
      </c>
      <c r="AO118" s="64">
        <f t="shared" si="29"/>
        <v>0</v>
      </c>
      <c r="AP118" s="64" t="str">
        <f t="shared" si="30"/>
        <v/>
      </c>
      <c r="AQ118" s="64">
        <f t="shared" si="31"/>
        <v>1</v>
      </c>
      <c r="AR118" s="64" t="str">
        <f t="shared" si="32"/>
        <v/>
      </c>
      <c r="AS118" s="4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1:64" s="46" customFormat="1" ht="30" customHeight="1" x14ac:dyDescent="0.35">
      <c r="A119" s="28" t="str">
        <f t="shared" si="37"/>
        <v>LARGO VANÁDIO MARACÁS
PLANTA QUÍMICA
ÁREA DE EVAPORAÇÃO
Tanque - 550 - TQ 203</v>
      </c>
      <c r="B119" s="55" t="s">
        <v>76</v>
      </c>
      <c r="C119" s="74" t="str">
        <f>IF(AND($B119=[1]marcos!$A116,[1]marcos!$B116=C$4),"ok","nok")</f>
        <v>nok</v>
      </c>
      <c r="D119" s="74" t="str">
        <f>IF(AND($B119=[1]marcos!$A116,[1]marcos!$B116=D$4),"ok","nok")</f>
        <v>nok</v>
      </c>
      <c r="E119" s="74" t="str">
        <f>IF(AND($B119=[1]marcos!$A116,[1]marcos!$B116=E$4),"ok","nok")</f>
        <v>nok</v>
      </c>
      <c r="F119" s="74" t="str">
        <f>IF(AND($B119=[1]marcos!$A116,[1]marcos!$B116=F$4),"ok","nok")</f>
        <v>nok</v>
      </c>
      <c r="G119" s="74" t="str">
        <f>IF(AND($B119=[1]marcos!$A116,[1]marcos!$B116=G$4),"ok","nok")</f>
        <v>nok</v>
      </c>
      <c r="H119" s="74" t="str">
        <f>IF(AND($B119=[1]marcos!$A116,[1]marcos!$B116=H$4),"ok","nok")</f>
        <v>nok</v>
      </c>
      <c r="I119" s="74" t="str">
        <f>IF(AND($B119=[1]marcos!$A116,[1]marcos!$B116=I$4),"ok","nok")</f>
        <v>nok</v>
      </c>
      <c r="J119" s="74" t="str">
        <f>IF(AND($B119=[1]marcos!$A116,[1]marcos!$B116=J$4),"ok","nok")</f>
        <v>nok</v>
      </c>
      <c r="K119" s="74" t="str">
        <f>IF(AND($B119=[1]marcos!$A116,[1]marcos!$B116=K$4),"ok","nok")</f>
        <v>nok</v>
      </c>
      <c r="L119" s="74" t="str">
        <f>IF(AND($B119=[1]marcos!$A116,[1]marcos!$B116=L$4),"ok","nok")</f>
        <v>nok</v>
      </c>
      <c r="M119" s="74" t="str">
        <f>IF(AND($B119=[1]marcos!$A116,[1]marcos!$B116=M$4),"ok","nok")</f>
        <v>nok</v>
      </c>
      <c r="N119" s="74" t="str">
        <f>IF(AND($B119=[1]marcos!$A116,[1]marcos!$B116=N$4),"ok","nok")</f>
        <v>nok</v>
      </c>
      <c r="O119" s="74" t="str">
        <f>IF(AND($B119=[1]marcos!$A116,[1]marcos!$B116=O$4),"ok","nok")</f>
        <v>nok</v>
      </c>
      <c r="P119" s="74" t="str">
        <f>IF(AND($B119=[1]marcos!$A116,[1]marcos!$B116=P$4),"ok","nok")</f>
        <v>nok</v>
      </c>
      <c r="Q119" s="83"/>
      <c r="R119" s="74" t="str">
        <f>IF(AND($B119=[1]marcos!$A116,[1]marcos!$B116=R$4),"ok","nok")</f>
        <v>nok</v>
      </c>
      <c r="S119" s="74" t="str">
        <f>IF(AND($B119=[1]marcos!$A116,[1]marcos!$B116=S$4),"ok","nok")</f>
        <v>nok</v>
      </c>
      <c r="T119" s="74" t="str">
        <f>IF(AND($B119=[1]marcos!$A116,[1]marcos!$B116=T$4),"ok","nok")</f>
        <v>nok</v>
      </c>
      <c r="U119" s="74" t="str">
        <f>IF(AND($B119=[1]marcos!$A116,[1]marcos!$B116=U$4),"ok","nok")</f>
        <v>nok</v>
      </c>
      <c r="V119" s="74" t="str">
        <f>IF(AND($B119=[1]marcos!$A116,[1]marcos!$B116=V$4),"ok","nok")</f>
        <v>nok</v>
      </c>
      <c r="W119" s="74" t="str">
        <f>IF(AND($B119=[1]marcos!$A116,[1]marcos!$B116=W$4),"ok","nok")</f>
        <v>ok</v>
      </c>
      <c r="X119" s="74" t="str">
        <f>IF(AND($B119=[1]marcos!$A116,[1]marcos!$B116=X$4),"ok","nok")</f>
        <v>nok</v>
      </c>
      <c r="Y119" s="96" t="s">
        <v>16</v>
      </c>
      <c r="Z119" s="97"/>
      <c r="AA119" s="97"/>
      <c r="AB119" s="98"/>
      <c r="AC119" s="28"/>
      <c r="AD119" s="28"/>
      <c r="AE119" s="63" t="str">
        <f t="shared" si="22"/>
        <v/>
      </c>
      <c r="AF119" s="63"/>
      <c r="AG119" s="63"/>
      <c r="AH119" s="63"/>
      <c r="AI119" s="64">
        <f t="shared" si="23"/>
        <v>0</v>
      </c>
      <c r="AJ119" s="64" t="str">
        <f t="shared" si="24"/>
        <v/>
      </c>
      <c r="AK119" s="64">
        <f t="shared" si="25"/>
        <v>0</v>
      </c>
      <c r="AL119" s="64" t="str">
        <f t="shared" si="26"/>
        <v/>
      </c>
      <c r="AM119" s="64">
        <f t="shared" si="27"/>
        <v>0</v>
      </c>
      <c r="AN119" s="64" t="str">
        <f t="shared" si="28"/>
        <v/>
      </c>
      <c r="AO119" s="64">
        <f t="shared" si="29"/>
        <v>0</v>
      </c>
      <c r="AP119" s="64" t="str">
        <f t="shared" si="30"/>
        <v/>
      </c>
      <c r="AQ119" s="64">
        <f t="shared" si="31"/>
        <v>1</v>
      </c>
      <c r="AR119" s="64" t="str">
        <f t="shared" si="32"/>
        <v/>
      </c>
      <c r="AS119" s="4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1:64" s="46" customFormat="1" ht="30" customHeight="1" x14ac:dyDescent="0.35">
      <c r="A120" s="28"/>
      <c r="B120" s="77" t="s">
        <v>68</v>
      </c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120"/>
      <c r="Z120" s="121"/>
      <c r="AA120" s="121"/>
      <c r="AB120" s="122"/>
      <c r="AC120" s="28"/>
      <c r="AD120" s="28"/>
      <c r="AE120" s="63" t="str">
        <f t="shared" si="22"/>
        <v/>
      </c>
      <c r="AF120" s="63"/>
      <c r="AG120" s="63"/>
      <c r="AH120" s="63"/>
      <c r="AI120" s="64">
        <f t="shared" si="23"/>
        <v>0</v>
      </c>
      <c r="AJ120" s="64" t="str">
        <f t="shared" si="24"/>
        <v/>
      </c>
      <c r="AK120" s="64">
        <f t="shared" si="25"/>
        <v>0</v>
      </c>
      <c r="AL120" s="64" t="str">
        <f t="shared" si="26"/>
        <v/>
      </c>
      <c r="AM120" s="64">
        <f t="shared" si="27"/>
        <v>0</v>
      </c>
      <c r="AN120" s="64" t="str">
        <f t="shared" si="28"/>
        <v/>
      </c>
      <c r="AO120" s="64">
        <f t="shared" si="29"/>
        <v>0</v>
      </c>
      <c r="AP120" s="64" t="str">
        <f t="shared" si="30"/>
        <v/>
      </c>
      <c r="AQ120" s="64">
        <f t="shared" si="31"/>
        <v>0</v>
      </c>
      <c r="AR120" s="64" t="str">
        <f t="shared" si="32"/>
        <v/>
      </c>
      <c r="AS120" s="4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1:64" s="46" customFormat="1" ht="30" customHeight="1" x14ac:dyDescent="0.35">
      <c r="A121" s="28" t="str">
        <f>CONCATENATE($B$80,"
",$B$83,"
",$B$84,"
",$B$120)</f>
        <v>LARGO VANÁDIO MARACÁS
PLANTA QUÍMICA
ÁREA DE EVAPORAÇÃO
Tanque - 550 - TQ 205</v>
      </c>
      <c r="B121" s="53" t="s">
        <v>73</v>
      </c>
      <c r="C121" s="74" t="str">
        <f>IF(AND($B121=[1]marcos!$A118,[1]marcos!$B118=C$4),"ok","nok")</f>
        <v>nok</v>
      </c>
      <c r="D121" s="74" t="str">
        <f>IF(AND($B121=[1]marcos!$A118,[1]marcos!$B118=D$4),"ok","nok")</f>
        <v>nok</v>
      </c>
      <c r="E121" s="74" t="str">
        <f>IF(AND($B121=[1]marcos!$A118,[1]marcos!$B118=E$4),"ok","nok")</f>
        <v>nok</v>
      </c>
      <c r="F121" s="74" t="str">
        <f>IF(AND($B121=[1]marcos!$A118,[1]marcos!$B118=F$4),"ok","nok")</f>
        <v>nok</v>
      </c>
      <c r="G121" s="74" t="str">
        <f>IF(AND($B121=[1]marcos!$A118,[1]marcos!$B118=G$4),"ok","nok")</f>
        <v>nok</v>
      </c>
      <c r="H121" s="74" t="str">
        <f>IF(AND($B121=[1]marcos!$A118,[1]marcos!$B118=H$4),"ok","nok")</f>
        <v>nok</v>
      </c>
      <c r="I121" s="74" t="str">
        <f>IF(AND($B121=[1]marcos!$A118,[1]marcos!$B118=I$4),"ok","nok")</f>
        <v>nok</v>
      </c>
      <c r="J121" s="83"/>
      <c r="K121" s="74" t="str">
        <f>IF(AND($B121=[1]marcos!$A118,[1]marcos!$B118=K$4),"ok","nok")</f>
        <v>nok</v>
      </c>
      <c r="L121" s="74" t="str">
        <f>IF(AND($B121=[1]marcos!$A118,[1]marcos!$B118=L$4),"ok","nok")</f>
        <v>nok</v>
      </c>
      <c r="M121" s="74" t="str">
        <f>IF(AND($B121=[1]marcos!$A118,[1]marcos!$B118=M$4),"ok","nok")</f>
        <v>nok</v>
      </c>
      <c r="N121" s="74" t="str">
        <f>IF(AND($B121=[1]marcos!$A118,[1]marcos!$B118=N$4),"ok","nok")</f>
        <v>nok</v>
      </c>
      <c r="O121" s="74" t="str">
        <f>IF(AND($B121=[1]marcos!$A118,[1]marcos!$B118=O$4),"ok","nok")</f>
        <v>nok</v>
      </c>
      <c r="P121" s="74" t="str">
        <f>IF(AND($B121=[1]marcos!$A118,[1]marcos!$B118=P$4),"ok","nok")</f>
        <v>nok</v>
      </c>
      <c r="Q121" s="74" t="str">
        <f>IF(AND($B121=[1]marcos!$A118,[1]marcos!$B118=Q$4),"ok","nok")</f>
        <v>nok</v>
      </c>
      <c r="R121" s="74" t="str">
        <f>IF(AND($B121=[1]marcos!$A118,[1]marcos!$B118=R$4),"ok","nok")</f>
        <v>nok</v>
      </c>
      <c r="S121" s="74" t="str">
        <f>IF(AND($B121=[1]marcos!$A118,[1]marcos!$B118=S$4),"ok","nok")</f>
        <v>nok</v>
      </c>
      <c r="T121" s="74" t="str">
        <f>IF(AND($B121=[1]marcos!$A118,[1]marcos!$B118=T$4),"ok","nok")</f>
        <v>nok</v>
      </c>
      <c r="U121" s="74" t="str">
        <f>IF(AND($B121=[1]marcos!$A118,[1]marcos!$B118=U$4),"ok","nok")</f>
        <v>ok</v>
      </c>
      <c r="V121" s="74" t="str">
        <f>IF(AND($B121=[1]marcos!$A118,[1]marcos!$B118=V$4),"ok","nok")</f>
        <v>nok</v>
      </c>
      <c r="W121" s="74" t="str">
        <f>IF(AND($B121=[1]marcos!$A118,[1]marcos!$B118=W$4),"ok","nok")</f>
        <v>nok</v>
      </c>
      <c r="X121" s="74" t="str">
        <f>IF(AND($B121=[1]marcos!$A118,[1]marcos!$B118=X$4),"ok","nok")</f>
        <v>nok</v>
      </c>
      <c r="Y121" s="96" t="s">
        <v>32</v>
      </c>
      <c r="Z121" s="97"/>
      <c r="AA121" s="97"/>
      <c r="AB121" s="98"/>
      <c r="AC121" s="28"/>
      <c r="AD121" s="28"/>
      <c r="AE121" s="63" t="str">
        <f t="shared" si="22"/>
        <v>Verificação do Laudo</v>
      </c>
      <c r="AF121" s="63"/>
      <c r="AG121" s="63"/>
      <c r="AH121" s="63"/>
      <c r="AI121" s="64">
        <f t="shared" si="23"/>
        <v>0</v>
      </c>
      <c r="AJ121" s="64" t="str">
        <f t="shared" si="24"/>
        <v/>
      </c>
      <c r="AK121" s="64">
        <f t="shared" si="25"/>
        <v>0</v>
      </c>
      <c r="AL121" s="64" t="str">
        <f t="shared" si="26"/>
        <v/>
      </c>
      <c r="AM121" s="64">
        <f t="shared" si="27"/>
        <v>0</v>
      </c>
      <c r="AN121" s="64" t="str">
        <f t="shared" si="28"/>
        <v/>
      </c>
      <c r="AO121" s="64">
        <f t="shared" si="29"/>
        <v>1</v>
      </c>
      <c r="AP121" s="64" t="str">
        <f t="shared" si="30"/>
        <v/>
      </c>
      <c r="AQ121" s="64">
        <f t="shared" si="31"/>
        <v>0</v>
      </c>
      <c r="AR121" s="64" t="str">
        <f t="shared" si="32"/>
        <v/>
      </c>
      <c r="AS121" s="4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1:64" s="46" customFormat="1" ht="30" customHeight="1" x14ac:dyDescent="0.35">
      <c r="A122" s="28"/>
      <c r="B122" s="54" t="s">
        <v>74</v>
      </c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114"/>
      <c r="Z122" s="115"/>
      <c r="AA122" s="115"/>
      <c r="AB122" s="116"/>
      <c r="AC122" s="28"/>
      <c r="AD122" s="28"/>
      <c r="AE122" s="63" t="str">
        <f t="shared" si="22"/>
        <v/>
      </c>
      <c r="AF122" s="63"/>
      <c r="AG122" s="63"/>
      <c r="AH122" s="63"/>
      <c r="AI122" s="64">
        <f t="shared" si="23"/>
        <v>0</v>
      </c>
      <c r="AJ122" s="64" t="str">
        <f t="shared" si="24"/>
        <v/>
      </c>
      <c r="AK122" s="64">
        <f t="shared" si="25"/>
        <v>0</v>
      </c>
      <c r="AL122" s="64" t="str">
        <f t="shared" si="26"/>
        <v/>
      </c>
      <c r="AM122" s="64">
        <f t="shared" si="27"/>
        <v>0</v>
      </c>
      <c r="AN122" s="64" t="str">
        <f t="shared" si="28"/>
        <v/>
      </c>
      <c r="AO122" s="64">
        <f t="shared" si="29"/>
        <v>0</v>
      </c>
      <c r="AP122" s="64" t="str">
        <f t="shared" si="30"/>
        <v/>
      </c>
      <c r="AQ122" s="64">
        <f t="shared" si="31"/>
        <v>0</v>
      </c>
      <c r="AR122" s="64" t="str">
        <f t="shared" si="32"/>
        <v/>
      </c>
      <c r="AS122" s="4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1:64" s="46" customFormat="1" ht="30" customHeight="1" x14ac:dyDescent="0.35">
      <c r="A123" s="28" t="str">
        <f t="shared" ref="A123:A126" si="38">CONCATENATE($B$80,"
",$B$83,"
",$B$84,"
",$B$120)</f>
        <v>LARGO VANÁDIO MARACÁS
PLANTA QUÍMICA
ÁREA DE EVAPORAÇÃO
Tanque - 550 - TQ 205</v>
      </c>
      <c r="B123" s="55" t="s">
        <v>75</v>
      </c>
      <c r="C123" s="74" t="str">
        <f>IF(AND($B123=[1]marcos!$A120,[1]marcos!$B120=C$4),"ok","nok")</f>
        <v>nok</v>
      </c>
      <c r="D123" s="74" t="str">
        <f>IF(AND($B123=[1]marcos!$A120,[1]marcos!$B120=D$4),"ok","nok")</f>
        <v>nok</v>
      </c>
      <c r="E123" s="74" t="str">
        <f>IF(AND($B123=[1]marcos!$A120,[1]marcos!$B120=E$4),"ok","nok")</f>
        <v>nok</v>
      </c>
      <c r="F123" s="74" t="str">
        <f>IF(AND($B123=[1]marcos!$A120,[1]marcos!$B120=F$4),"ok","nok")</f>
        <v>nok</v>
      </c>
      <c r="G123" s="74" t="str">
        <f>IF(AND($B123=[1]marcos!$A120,[1]marcos!$B120=G$4),"ok","nok")</f>
        <v>nok</v>
      </c>
      <c r="H123" s="74" t="str">
        <f>IF(AND($B123=[1]marcos!$A120,[1]marcos!$B120=H$4),"ok","nok")</f>
        <v>nok</v>
      </c>
      <c r="I123" s="74" t="str">
        <f>IF(AND($B123=[1]marcos!$A120,[1]marcos!$B120=I$4),"ok","nok")</f>
        <v>nok</v>
      </c>
      <c r="J123" s="83"/>
      <c r="K123" s="74" t="str">
        <f>IF(AND($B123=[1]marcos!$A120,[1]marcos!$B120=K$4),"ok","nok")</f>
        <v>nok</v>
      </c>
      <c r="L123" s="74" t="str">
        <f>IF(AND($B123=[1]marcos!$A120,[1]marcos!$B120=L$4),"ok","nok")</f>
        <v>nok</v>
      </c>
      <c r="M123" s="74" t="str">
        <f>IF(AND($B123=[1]marcos!$A120,[1]marcos!$B120=M$4),"ok","nok")</f>
        <v>nok</v>
      </c>
      <c r="N123" s="74" t="str">
        <f>IF(AND($B123=[1]marcos!$A120,[1]marcos!$B120=N$4),"ok","nok")</f>
        <v>nok</v>
      </c>
      <c r="O123" s="74" t="str">
        <f>IF(AND($B123=[1]marcos!$A120,[1]marcos!$B120=O$4),"ok","nok")</f>
        <v>nok</v>
      </c>
      <c r="P123" s="74" t="str">
        <f>IF(AND($B123=[1]marcos!$A120,[1]marcos!$B120=P$4),"ok","nok")</f>
        <v>nok</v>
      </c>
      <c r="Q123" s="74" t="str">
        <f>IF(AND($B123=[1]marcos!$A120,[1]marcos!$B120=Q$4),"ok","nok")</f>
        <v>nok</v>
      </c>
      <c r="R123" s="74" t="str">
        <f>IF(AND($B123=[1]marcos!$A120,[1]marcos!$B120=R$4),"ok","nok")</f>
        <v>nok</v>
      </c>
      <c r="S123" s="74" t="str">
        <f>IF(AND($B123=[1]marcos!$A120,[1]marcos!$B120=S$4),"ok","nok")</f>
        <v>nok</v>
      </c>
      <c r="T123" s="74" t="str">
        <f>IF(AND($B123=[1]marcos!$A120,[1]marcos!$B120=T$4),"ok","nok")</f>
        <v>nok</v>
      </c>
      <c r="U123" s="74" t="str">
        <f>IF(AND($B123=[1]marcos!$A120,[1]marcos!$B120=U$4),"ok","nok")</f>
        <v>ok</v>
      </c>
      <c r="V123" s="74" t="str">
        <f>IF(AND($B123=[1]marcos!$A120,[1]marcos!$B120=V$4),"ok","nok")</f>
        <v>nok</v>
      </c>
      <c r="W123" s="74" t="str">
        <f>IF(AND($B123=[1]marcos!$A120,[1]marcos!$B120=W$4),"ok","nok")</f>
        <v>nok</v>
      </c>
      <c r="X123" s="74" t="str">
        <f>IF(AND($B123=[1]marcos!$A120,[1]marcos!$B120=X$4),"ok","nok")</f>
        <v>nok</v>
      </c>
      <c r="Y123" s="96" t="s">
        <v>32</v>
      </c>
      <c r="Z123" s="97"/>
      <c r="AA123" s="97"/>
      <c r="AB123" s="98"/>
      <c r="AC123" s="28"/>
      <c r="AD123" s="28"/>
      <c r="AE123" s="63" t="str">
        <f t="shared" si="22"/>
        <v>MARCO - Emissão Inicial</v>
      </c>
      <c r="AF123" s="63"/>
      <c r="AG123" s="63"/>
      <c r="AH123" s="63"/>
      <c r="AI123" s="64">
        <f t="shared" si="23"/>
        <v>0</v>
      </c>
      <c r="AJ123" s="64" t="str">
        <f t="shared" si="24"/>
        <v/>
      </c>
      <c r="AK123" s="64">
        <f t="shared" si="25"/>
        <v>0</v>
      </c>
      <c r="AL123" s="64" t="str">
        <f t="shared" si="26"/>
        <v/>
      </c>
      <c r="AM123" s="64">
        <f t="shared" si="27"/>
        <v>0</v>
      </c>
      <c r="AN123" s="64" t="str">
        <f t="shared" si="28"/>
        <v/>
      </c>
      <c r="AO123" s="64">
        <f t="shared" si="29"/>
        <v>1</v>
      </c>
      <c r="AP123" s="64" t="str">
        <f t="shared" si="30"/>
        <v/>
      </c>
      <c r="AQ123" s="64">
        <f t="shared" si="31"/>
        <v>0</v>
      </c>
      <c r="AR123" s="64" t="str">
        <f t="shared" si="32"/>
        <v/>
      </c>
      <c r="AS123" s="4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1:64" s="46" customFormat="1" ht="30" customHeight="1" x14ac:dyDescent="0.35">
      <c r="A124" s="28" t="str">
        <f t="shared" si="38"/>
        <v>LARGO VANÁDIO MARACÁS
PLANTA QUÍMICA
ÁREA DE EVAPORAÇÃO
Tanque - 550 - TQ 205</v>
      </c>
      <c r="B124" s="55" t="s">
        <v>20</v>
      </c>
      <c r="C124" s="74" t="str">
        <f>IF(AND($B124=[1]marcos!$A121,[1]marcos!$B121=C$4),"ok","nok")</f>
        <v>nok</v>
      </c>
      <c r="D124" s="74" t="str">
        <f>IF(AND($B124=[1]marcos!$A121,[1]marcos!$B121=D$4),"ok","nok")</f>
        <v>nok</v>
      </c>
      <c r="E124" s="74" t="str">
        <f>IF(AND($B124=[1]marcos!$A121,[1]marcos!$B121=E$4),"ok","nok")</f>
        <v>nok</v>
      </c>
      <c r="F124" s="74" t="str">
        <f>IF(AND($B124=[1]marcos!$A121,[1]marcos!$B121=F$4),"ok","nok")</f>
        <v>nok</v>
      </c>
      <c r="G124" s="74" t="str">
        <f>IF(AND($B124=[1]marcos!$A121,[1]marcos!$B121=G$4),"ok","nok")</f>
        <v>nok</v>
      </c>
      <c r="H124" s="74" t="str">
        <f>IF(AND($B124=[1]marcos!$A121,[1]marcos!$B121=H$4),"ok","nok")</f>
        <v>nok</v>
      </c>
      <c r="I124" s="74" t="str">
        <f>IF(AND($B124=[1]marcos!$A121,[1]marcos!$B121=I$4),"ok","nok")</f>
        <v>nok</v>
      </c>
      <c r="J124" s="74" t="str">
        <f>IF(AND($B124=[1]marcos!$A121,[1]marcos!$B121=J$4),"ok","nok")</f>
        <v>nok</v>
      </c>
      <c r="K124" s="74" t="str">
        <f>IF(AND($B124=[1]marcos!$A121,[1]marcos!$B121=K$4),"ok","nok")</f>
        <v>nok</v>
      </c>
      <c r="L124" s="74" t="str">
        <f>IF(AND($B124=[1]marcos!$A121,[1]marcos!$B121=L$4),"ok","nok")</f>
        <v>nok</v>
      </c>
      <c r="M124" s="74" t="str">
        <f>IF(AND($B124=[1]marcos!$A121,[1]marcos!$B121=M$4),"ok","nok")</f>
        <v>nok</v>
      </c>
      <c r="N124" s="74" t="str">
        <f>IF(AND($B124=[1]marcos!$A121,[1]marcos!$B121=N$4),"ok","nok")</f>
        <v>nok</v>
      </c>
      <c r="O124" s="83"/>
      <c r="P124" s="74" t="str">
        <f>IF(AND($B124=[1]marcos!$A121,[1]marcos!$B121=P$4),"ok","nok")</f>
        <v>nok</v>
      </c>
      <c r="Q124" s="74" t="str">
        <f>IF(AND($B124=[1]marcos!$A121,[1]marcos!$B121=Q$4),"ok","nok")</f>
        <v>nok</v>
      </c>
      <c r="R124" s="74" t="str">
        <f>IF(AND($B124=[1]marcos!$A121,[1]marcos!$B121=R$4),"ok","nok")</f>
        <v>nok</v>
      </c>
      <c r="S124" s="74" t="str">
        <f>IF(AND($B124=[1]marcos!$A121,[1]marcos!$B121=S$4),"ok","nok")</f>
        <v>nok</v>
      </c>
      <c r="T124" s="74" t="str">
        <f>IF(AND($B124=[1]marcos!$A121,[1]marcos!$B121=T$4),"ok","nok")</f>
        <v>nok</v>
      </c>
      <c r="U124" s="74" t="str">
        <f>IF(AND($B124=[1]marcos!$A121,[1]marcos!$B121=U$4),"ok","nok")</f>
        <v>nok</v>
      </c>
      <c r="V124" s="74" t="str">
        <f>IF(AND($B124=[1]marcos!$A121,[1]marcos!$B121=V$4),"ok","nok")</f>
        <v>ok</v>
      </c>
      <c r="W124" s="74" t="str">
        <f>IF(AND($B124=[1]marcos!$A121,[1]marcos!$B121=W$4),"ok","nok")</f>
        <v>nok</v>
      </c>
      <c r="X124" s="74" t="str">
        <f>IF(AND($B124=[1]marcos!$A121,[1]marcos!$B121=X$4),"ok","nok")</f>
        <v>nok</v>
      </c>
      <c r="Y124" s="96" t="s">
        <v>16</v>
      </c>
      <c r="Z124" s="97"/>
      <c r="AA124" s="97"/>
      <c r="AB124" s="98"/>
      <c r="AC124" s="28"/>
      <c r="AD124" s="28"/>
      <c r="AE124" s="63" t="str">
        <f t="shared" si="22"/>
        <v/>
      </c>
      <c r="AF124" s="63"/>
      <c r="AG124" s="63"/>
      <c r="AH124" s="63"/>
      <c r="AI124" s="64">
        <f t="shared" si="23"/>
        <v>0</v>
      </c>
      <c r="AJ124" s="64" t="str">
        <f t="shared" si="24"/>
        <v/>
      </c>
      <c r="AK124" s="64">
        <f t="shared" si="25"/>
        <v>0</v>
      </c>
      <c r="AL124" s="64" t="str">
        <f t="shared" si="26"/>
        <v/>
      </c>
      <c r="AM124" s="64">
        <f t="shared" si="27"/>
        <v>0</v>
      </c>
      <c r="AN124" s="64" t="str">
        <f t="shared" si="28"/>
        <v/>
      </c>
      <c r="AO124" s="64">
        <f t="shared" si="29"/>
        <v>1</v>
      </c>
      <c r="AP124" s="64" t="str">
        <f t="shared" si="30"/>
        <v/>
      </c>
      <c r="AQ124" s="64">
        <f t="shared" si="31"/>
        <v>0</v>
      </c>
      <c r="AR124" s="64" t="str">
        <f t="shared" si="32"/>
        <v/>
      </c>
      <c r="AS124" s="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1:64" s="46" customFormat="1" ht="30" customHeight="1" x14ac:dyDescent="0.35">
      <c r="A125" s="28" t="str">
        <f t="shared" si="38"/>
        <v>LARGO VANÁDIO MARACÁS
PLANTA QUÍMICA
ÁREA DE EVAPORAÇÃO
Tanque - 550 - TQ 205</v>
      </c>
      <c r="B125" s="55" t="s">
        <v>38</v>
      </c>
      <c r="C125" s="74" t="str">
        <f>IF(AND($B125=[1]marcos!$A122,[1]marcos!$B122=C$4),"ok","nok")</f>
        <v>nok</v>
      </c>
      <c r="D125" s="74" t="str">
        <f>IF(AND($B125=[1]marcos!$A122,[1]marcos!$B122=D$4),"ok","nok")</f>
        <v>nok</v>
      </c>
      <c r="E125" s="74" t="str">
        <f>IF(AND($B125=[1]marcos!$A122,[1]marcos!$B122=E$4),"ok","nok")</f>
        <v>nok</v>
      </c>
      <c r="F125" s="74" t="str">
        <f>IF(AND($B125=[1]marcos!$A122,[1]marcos!$B122=F$4),"ok","nok")</f>
        <v>nok</v>
      </c>
      <c r="G125" s="74" t="str">
        <f>IF(AND($B125=[1]marcos!$A122,[1]marcos!$B122=G$4),"ok","nok")</f>
        <v>nok</v>
      </c>
      <c r="H125" s="74" t="str">
        <f>IF(AND($B125=[1]marcos!$A122,[1]marcos!$B122=H$4),"ok","nok")</f>
        <v>nok</v>
      </c>
      <c r="I125" s="74" t="str">
        <f>IF(AND($B125=[1]marcos!$A122,[1]marcos!$B122=I$4),"ok","nok")</f>
        <v>nok</v>
      </c>
      <c r="J125" s="74" t="str">
        <f>IF(AND($B125=[1]marcos!$A122,[1]marcos!$B122=J$4),"ok","nok")</f>
        <v>nok</v>
      </c>
      <c r="K125" s="74" t="str">
        <f>IF(AND($B125=[1]marcos!$A122,[1]marcos!$B122=K$4),"ok","nok")</f>
        <v>nok</v>
      </c>
      <c r="L125" s="74" t="str">
        <f>IF(AND($B125=[1]marcos!$A122,[1]marcos!$B122=L$4),"ok","nok")</f>
        <v>nok</v>
      </c>
      <c r="M125" s="74" t="str">
        <f>IF(AND($B125=[1]marcos!$A122,[1]marcos!$B122=M$4),"ok","nok")</f>
        <v>nok</v>
      </c>
      <c r="N125" s="74" t="str">
        <f>IF(AND($B125=[1]marcos!$A122,[1]marcos!$B122=N$4),"ok","nok")</f>
        <v>nok</v>
      </c>
      <c r="O125" s="74" t="str">
        <f>IF(AND($B125=[1]marcos!$A122,[1]marcos!$B122=O$4),"ok","nok")</f>
        <v>nok</v>
      </c>
      <c r="P125" s="74" t="str">
        <f>IF(AND($B125=[1]marcos!$A122,[1]marcos!$B122=P$4),"ok","nok")</f>
        <v>nok</v>
      </c>
      <c r="Q125" s="74" t="str">
        <f>IF(AND($B125=[1]marcos!$A122,[1]marcos!$B122=Q$4),"ok","nok")</f>
        <v>nok</v>
      </c>
      <c r="R125" s="83"/>
      <c r="S125" s="74" t="str">
        <f>IF(AND($B125=[1]marcos!$A122,[1]marcos!$B122=S$4),"ok","nok")</f>
        <v>nok</v>
      </c>
      <c r="T125" s="74" t="str">
        <f>IF(AND($B125=[1]marcos!$A122,[1]marcos!$B122=T$4),"ok","nok")</f>
        <v>nok</v>
      </c>
      <c r="U125" s="74" t="str">
        <f>IF(AND($B125=[1]marcos!$A122,[1]marcos!$B122=U$4),"ok","nok")</f>
        <v>nok</v>
      </c>
      <c r="V125" s="74" t="str">
        <f>IF(AND($B125=[1]marcos!$A122,[1]marcos!$B122=V$4),"ok","nok")</f>
        <v>nok</v>
      </c>
      <c r="W125" s="74" t="str">
        <f>IF(AND($B125=[1]marcos!$A122,[1]marcos!$B122=W$4),"ok","nok")</f>
        <v>ok</v>
      </c>
      <c r="X125" s="74" t="str">
        <f>IF(AND($B125=[1]marcos!$A122,[1]marcos!$B122=X$4),"ok","nok")</f>
        <v>nok</v>
      </c>
      <c r="Y125" s="96" t="s">
        <v>16</v>
      </c>
      <c r="Z125" s="97"/>
      <c r="AA125" s="97"/>
      <c r="AB125" s="98"/>
      <c r="AC125" s="28"/>
      <c r="AD125" s="28"/>
      <c r="AE125" s="63" t="str">
        <f t="shared" si="22"/>
        <v/>
      </c>
      <c r="AF125" s="63"/>
      <c r="AG125" s="63"/>
      <c r="AH125" s="63"/>
      <c r="AI125" s="64">
        <f t="shared" si="23"/>
        <v>0</v>
      </c>
      <c r="AJ125" s="64" t="str">
        <f t="shared" si="24"/>
        <v/>
      </c>
      <c r="AK125" s="64">
        <f t="shared" si="25"/>
        <v>0</v>
      </c>
      <c r="AL125" s="64" t="str">
        <f t="shared" si="26"/>
        <v/>
      </c>
      <c r="AM125" s="64">
        <f t="shared" si="27"/>
        <v>0</v>
      </c>
      <c r="AN125" s="64" t="str">
        <f t="shared" si="28"/>
        <v/>
      </c>
      <c r="AO125" s="64">
        <f t="shared" si="29"/>
        <v>0</v>
      </c>
      <c r="AP125" s="64" t="str">
        <f t="shared" si="30"/>
        <v/>
      </c>
      <c r="AQ125" s="64">
        <f t="shared" si="31"/>
        <v>1</v>
      </c>
      <c r="AR125" s="64" t="str">
        <f t="shared" si="32"/>
        <v/>
      </c>
      <c r="AS125" s="4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1:64" s="46" customFormat="1" ht="30" customHeight="1" x14ac:dyDescent="0.35">
      <c r="A126" s="28" t="str">
        <f t="shared" si="38"/>
        <v>LARGO VANÁDIO MARACÁS
PLANTA QUÍMICA
ÁREA DE EVAPORAÇÃO
Tanque - 550 - TQ 205</v>
      </c>
      <c r="B126" s="55" t="s">
        <v>76</v>
      </c>
      <c r="C126" s="74" t="str">
        <f>IF(AND($B126=[1]marcos!$A123,[1]marcos!$B123=C$4),"ok","nok")</f>
        <v>nok</v>
      </c>
      <c r="D126" s="74" t="str">
        <f>IF(AND($B126=[1]marcos!$A123,[1]marcos!$B123=D$4),"ok","nok")</f>
        <v>nok</v>
      </c>
      <c r="E126" s="74" t="str">
        <f>IF(AND($B126=[1]marcos!$A123,[1]marcos!$B123=E$4),"ok","nok")</f>
        <v>nok</v>
      </c>
      <c r="F126" s="74" t="str">
        <f>IF(AND($B126=[1]marcos!$A123,[1]marcos!$B123=F$4),"ok","nok")</f>
        <v>nok</v>
      </c>
      <c r="G126" s="74" t="str">
        <f>IF(AND($B126=[1]marcos!$A123,[1]marcos!$B123=G$4),"ok","nok")</f>
        <v>nok</v>
      </c>
      <c r="H126" s="74" t="str">
        <f>IF(AND($B126=[1]marcos!$A123,[1]marcos!$B123=H$4),"ok","nok")</f>
        <v>nok</v>
      </c>
      <c r="I126" s="74" t="str">
        <f>IF(AND($B126=[1]marcos!$A123,[1]marcos!$B123=I$4),"ok","nok")</f>
        <v>nok</v>
      </c>
      <c r="J126" s="74" t="str">
        <f>IF(AND($B126=[1]marcos!$A123,[1]marcos!$B123=J$4),"ok","nok")</f>
        <v>nok</v>
      </c>
      <c r="K126" s="74" t="str">
        <f>IF(AND($B126=[1]marcos!$A123,[1]marcos!$B123=K$4),"ok","nok")</f>
        <v>nok</v>
      </c>
      <c r="L126" s="74" t="str">
        <f>IF(AND($B126=[1]marcos!$A123,[1]marcos!$B123=L$4),"ok","nok")</f>
        <v>nok</v>
      </c>
      <c r="M126" s="74" t="str">
        <f>IF(AND($B126=[1]marcos!$A123,[1]marcos!$B123=M$4),"ok","nok")</f>
        <v>nok</v>
      </c>
      <c r="N126" s="74" t="str">
        <f>IF(AND($B126=[1]marcos!$A123,[1]marcos!$B123=N$4),"ok","nok")</f>
        <v>nok</v>
      </c>
      <c r="O126" s="74" t="str">
        <f>IF(AND($B126=[1]marcos!$A123,[1]marcos!$B123=O$4),"ok","nok")</f>
        <v>nok</v>
      </c>
      <c r="P126" s="74" t="str">
        <f>IF(AND($B126=[1]marcos!$A123,[1]marcos!$B123=P$4),"ok","nok")</f>
        <v>nok</v>
      </c>
      <c r="Q126" s="74" t="str">
        <f>IF(AND($B126=[1]marcos!$A123,[1]marcos!$B123=Q$4),"ok","nok")</f>
        <v>nok</v>
      </c>
      <c r="R126" s="83"/>
      <c r="S126" s="74" t="str">
        <f>IF(AND($B126=[1]marcos!$A123,[1]marcos!$B123=S$4),"ok","nok")</f>
        <v>nok</v>
      </c>
      <c r="T126" s="74" t="str">
        <f>IF(AND($B126=[1]marcos!$A123,[1]marcos!$B123=T$4),"ok","nok")</f>
        <v>nok</v>
      </c>
      <c r="U126" s="74" t="str">
        <f>IF(AND($B126=[1]marcos!$A123,[1]marcos!$B123=U$4),"ok","nok")</f>
        <v>nok</v>
      </c>
      <c r="V126" s="74" t="str">
        <f>IF(AND($B126=[1]marcos!$A123,[1]marcos!$B123=V$4),"ok","nok")</f>
        <v>nok</v>
      </c>
      <c r="W126" s="74" t="str">
        <f>IF(AND($B126=[1]marcos!$A123,[1]marcos!$B123=W$4),"ok","nok")</f>
        <v>ok</v>
      </c>
      <c r="X126" s="74" t="str">
        <f>IF(AND($B126=[1]marcos!$A123,[1]marcos!$B123=X$4),"ok","nok")</f>
        <v>nok</v>
      </c>
      <c r="Y126" s="96" t="s">
        <v>16</v>
      </c>
      <c r="Z126" s="97"/>
      <c r="AA126" s="97"/>
      <c r="AB126" s="98"/>
      <c r="AC126" s="28"/>
      <c r="AD126" s="28"/>
      <c r="AE126" s="63" t="str">
        <f t="shared" si="22"/>
        <v/>
      </c>
      <c r="AF126" s="63"/>
      <c r="AG126" s="63"/>
      <c r="AH126" s="63"/>
      <c r="AI126" s="64">
        <f t="shared" si="23"/>
        <v>0</v>
      </c>
      <c r="AJ126" s="64" t="str">
        <f t="shared" si="24"/>
        <v/>
      </c>
      <c r="AK126" s="64">
        <f t="shared" si="25"/>
        <v>0</v>
      </c>
      <c r="AL126" s="64" t="str">
        <f t="shared" si="26"/>
        <v/>
      </c>
      <c r="AM126" s="64">
        <f t="shared" si="27"/>
        <v>0</v>
      </c>
      <c r="AN126" s="64" t="str">
        <f t="shared" si="28"/>
        <v/>
      </c>
      <c r="AO126" s="64">
        <f t="shared" si="29"/>
        <v>0</v>
      </c>
      <c r="AP126" s="64" t="str">
        <f t="shared" si="30"/>
        <v/>
      </c>
      <c r="AQ126" s="64">
        <f t="shared" si="31"/>
        <v>1</v>
      </c>
      <c r="AR126" s="64" t="str">
        <f t="shared" si="32"/>
        <v/>
      </c>
      <c r="AS126" s="4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1:64" s="46" customFormat="1" ht="30" customHeight="1" x14ac:dyDescent="0.35">
      <c r="A127"/>
      <c r="B127" s="77" t="s">
        <v>69</v>
      </c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120"/>
      <c r="Z127" s="121"/>
      <c r="AA127" s="121"/>
      <c r="AB127" s="122"/>
      <c r="AC127" s="28"/>
      <c r="AD127" s="28"/>
      <c r="AE127" s="63" t="str">
        <f t="shared" si="22"/>
        <v/>
      </c>
      <c r="AF127" s="63"/>
      <c r="AG127" s="63"/>
      <c r="AH127" s="63"/>
      <c r="AI127" s="64">
        <f t="shared" si="23"/>
        <v>0</v>
      </c>
      <c r="AJ127" s="64" t="str">
        <f t="shared" si="24"/>
        <v/>
      </c>
      <c r="AK127" s="64">
        <f t="shared" si="25"/>
        <v>0</v>
      </c>
      <c r="AL127" s="64" t="str">
        <f t="shared" si="26"/>
        <v/>
      </c>
      <c r="AM127" s="64">
        <f t="shared" si="27"/>
        <v>0</v>
      </c>
      <c r="AN127" s="64" t="str">
        <f t="shared" si="28"/>
        <v/>
      </c>
      <c r="AO127" s="64">
        <f t="shared" si="29"/>
        <v>0</v>
      </c>
      <c r="AP127" s="64" t="str">
        <f t="shared" si="30"/>
        <v/>
      </c>
      <c r="AQ127" s="64">
        <f t="shared" si="31"/>
        <v>0</v>
      </c>
      <c r="AR127" s="64" t="str">
        <f t="shared" si="32"/>
        <v/>
      </c>
      <c r="AS127" s="4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1:64" s="46" customFormat="1" ht="30" customHeight="1" x14ac:dyDescent="0.35">
      <c r="A128" s="28" t="str">
        <f>CONCATENATE($B$80,"
",$B$83,"
",$B$84,"
",$B$127)</f>
        <v>LARGO VANÁDIO MARACÁS
PLANTA QUÍMICA
ÁREA DE EVAPORAÇÃO
Tanque - 550 - TQ 202</v>
      </c>
      <c r="B128" s="53" t="s">
        <v>73</v>
      </c>
      <c r="C128" s="74" t="str">
        <f>IF(AND($B128=[1]marcos!$A125,[1]marcos!$B125=C$4),"ok","nok")</f>
        <v>nok</v>
      </c>
      <c r="D128" s="74" t="str">
        <f>IF(AND($B128=[1]marcos!$A125,[1]marcos!$B125=D$4),"ok","nok")</f>
        <v>nok</v>
      </c>
      <c r="E128" s="74" t="str">
        <f>IF(AND($B128=[1]marcos!$A125,[1]marcos!$B125=E$4),"ok","nok")</f>
        <v>nok</v>
      </c>
      <c r="F128" s="74" t="str">
        <f>IF(AND($B128=[1]marcos!$A125,[1]marcos!$B125=F$4),"ok","nok")</f>
        <v>nok</v>
      </c>
      <c r="G128" s="74" t="str">
        <f>IF(AND($B128=[1]marcos!$A125,[1]marcos!$B125=G$4),"ok","nok")</f>
        <v>nok</v>
      </c>
      <c r="H128" s="74" t="str">
        <f>IF(AND($B128=[1]marcos!$A125,[1]marcos!$B125=H$4),"ok","nok")</f>
        <v>nok</v>
      </c>
      <c r="I128" s="74" t="str">
        <f>IF(AND($B128=[1]marcos!$A125,[1]marcos!$B125=I$4),"ok","nok")</f>
        <v>nok</v>
      </c>
      <c r="J128" s="83"/>
      <c r="K128" s="74" t="str">
        <f>IF(AND($B128=[1]marcos!$A125,[1]marcos!$B125=K$4),"ok","nok")</f>
        <v>nok</v>
      </c>
      <c r="L128" s="74" t="str">
        <f>IF(AND($B128=[1]marcos!$A125,[1]marcos!$B125=L$4),"ok","nok")</f>
        <v>nok</v>
      </c>
      <c r="M128" s="74" t="str">
        <f>IF(AND($B128=[1]marcos!$A125,[1]marcos!$B125=M$4),"ok","nok")</f>
        <v>nok</v>
      </c>
      <c r="N128" s="74" t="str">
        <f>IF(AND($B128=[1]marcos!$A125,[1]marcos!$B125=N$4),"ok","nok")</f>
        <v>nok</v>
      </c>
      <c r="O128" s="74" t="str">
        <f>IF(AND($B128=[1]marcos!$A125,[1]marcos!$B125=O$4),"ok","nok")</f>
        <v>nok</v>
      </c>
      <c r="P128" s="74" t="str">
        <f>IF(AND($B128=[1]marcos!$A125,[1]marcos!$B125=P$4),"ok","nok")</f>
        <v>nok</v>
      </c>
      <c r="Q128" s="74" t="str">
        <f>IF(AND($B128=[1]marcos!$A125,[1]marcos!$B125=Q$4),"ok","nok")</f>
        <v>nok</v>
      </c>
      <c r="R128" s="74" t="str">
        <f>IF(AND($B128=[1]marcos!$A125,[1]marcos!$B125=R$4),"ok","nok")</f>
        <v>nok</v>
      </c>
      <c r="S128" s="74" t="str">
        <f>IF(AND($B128=[1]marcos!$A125,[1]marcos!$B125=S$4),"ok","nok")</f>
        <v>nok</v>
      </c>
      <c r="T128" s="74" t="str">
        <f>IF(AND($B128=[1]marcos!$A125,[1]marcos!$B125=T$4),"ok","nok")</f>
        <v>nok</v>
      </c>
      <c r="U128" s="74" t="str">
        <f>IF(AND($B128=[1]marcos!$A125,[1]marcos!$B125=U$4),"ok","nok")</f>
        <v>nok</v>
      </c>
      <c r="V128" s="74" t="str">
        <f>IF(AND($B128=[1]marcos!$A125,[1]marcos!$B125=V$4),"ok","nok")</f>
        <v>ok</v>
      </c>
      <c r="W128" s="74" t="str">
        <f>IF(AND($B128=[1]marcos!$A125,[1]marcos!$B125=W$4),"ok","nok")</f>
        <v>nok</v>
      </c>
      <c r="X128" s="74" t="str">
        <f>IF(AND($B128=[1]marcos!$A125,[1]marcos!$B125=X$4),"ok","nok")</f>
        <v>nok</v>
      </c>
      <c r="Y128" s="96" t="s">
        <v>32</v>
      </c>
      <c r="Z128" s="97"/>
      <c r="AA128" s="97"/>
      <c r="AB128" s="98"/>
      <c r="AC128" s="28"/>
      <c r="AD128" s="28"/>
      <c r="AE128" s="63" t="str">
        <f t="shared" si="22"/>
        <v>Verificação do Laudo</v>
      </c>
      <c r="AF128" s="63"/>
      <c r="AG128" s="63"/>
      <c r="AH128" s="63"/>
      <c r="AI128" s="64">
        <f t="shared" si="23"/>
        <v>0</v>
      </c>
      <c r="AJ128" s="64" t="str">
        <f t="shared" si="24"/>
        <v/>
      </c>
      <c r="AK128" s="64">
        <f t="shared" si="25"/>
        <v>0</v>
      </c>
      <c r="AL128" s="64" t="str">
        <f t="shared" si="26"/>
        <v/>
      </c>
      <c r="AM128" s="64">
        <f t="shared" si="27"/>
        <v>0</v>
      </c>
      <c r="AN128" s="64" t="str">
        <f t="shared" si="28"/>
        <v/>
      </c>
      <c r="AO128" s="64">
        <f t="shared" si="29"/>
        <v>1</v>
      </c>
      <c r="AP128" s="64" t="str">
        <f t="shared" si="30"/>
        <v/>
      </c>
      <c r="AQ128" s="64">
        <f t="shared" si="31"/>
        <v>0</v>
      </c>
      <c r="AR128" s="64" t="str">
        <f t="shared" si="32"/>
        <v/>
      </c>
      <c r="AS128" s="4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1:44" ht="30" customHeight="1" x14ac:dyDescent="0.35">
      <c r="A129" s="28"/>
      <c r="B129" s="54" t="s">
        <v>74</v>
      </c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114"/>
      <c r="Z129" s="115"/>
      <c r="AA129" s="115"/>
      <c r="AB129" s="116"/>
      <c r="AE129" s="63" t="str">
        <f t="shared" si="22"/>
        <v/>
      </c>
      <c r="AF129" s="63"/>
      <c r="AG129" s="63"/>
      <c r="AH129" s="63"/>
      <c r="AI129" s="64">
        <f t="shared" si="23"/>
        <v>0</v>
      </c>
      <c r="AJ129" s="64" t="str">
        <f t="shared" si="24"/>
        <v/>
      </c>
      <c r="AK129" s="64">
        <f t="shared" si="25"/>
        <v>0</v>
      </c>
      <c r="AL129" s="64" t="str">
        <f t="shared" si="26"/>
        <v/>
      </c>
      <c r="AM129" s="64">
        <f t="shared" si="27"/>
        <v>0</v>
      </c>
      <c r="AN129" s="64" t="str">
        <f t="shared" si="28"/>
        <v/>
      </c>
      <c r="AO129" s="64">
        <f t="shared" si="29"/>
        <v>0</v>
      </c>
      <c r="AP129" s="64" t="str">
        <f t="shared" si="30"/>
        <v/>
      </c>
      <c r="AQ129" s="64">
        <f t="shared" si="31"/>
        <v>0</v>
      </c>
      <c r="AR129" s="64" t="str">
        <f t="shared" si="32"/>
        <v/>
      </c>
    </row>
    <row r="130" spans="1:44" ht="30" customHeight="1" x14ac:dyDescent="0.35">
      <c r="A130" s="28" t="str">
        <f t="shared" ref="A130:A133" si="39">CONCATENATE($B$80,"
",$B$83,"
",$B$84,"
",$B$127)</f>
        <v>LARGO VANÁDIO MARACÁS
PLANTA QUÍMICA
ÁREA DE EVAPORAÇÃO
Tanque - 550 - TQ 202</v>
      </c>
      <c r="B130" s="55" t="s">
        <v>75</v>
      </c>
      <c r="C130" s="74" t="str">
        <f>IF(AND($B130=[1]marcos!$A127,[1]marcos!$B127=C$4),"ok","nok")</f>
        <v>nok</v>
      </c>
      <c r="D130" s="74" t="str">
        <f>IF(AND($B130=[1]marcos!$A127,[1]marcos!$B127=D$4),"ok","nok")</f>
        <v>nok</v>
      </c>
      <c r="E130" s="74" t="str">
        <f>IF(AND($B130=[1]marcos!$A127,[1]marcos!$B127=E$4),"ok","nok")</f>
        <v>nok</v>
      </c>
      <c r="F130" s="74" t="str">
        <f>IF(AND($B130=[1]marcos!$A127,[1]marcos!$B127=F$4),"ok","nok")</f>
        <v>nok</v>
      </c>
      <c r="G130" s="74" t="str">
        <f>IF(AND($B130=[1]marcos!$A127,[1]marcos!$B127=G$4),"ok","nok")</f>
        <v>nok</v>
      </c>
      <c r="H130" s="74" t="str">
        <f>IF(AND($B130=[1]marcos!$A127,[1]marcos!$B127=H$4),"ok","nok")</f>
        <v>nok</v>
      </c>
      <c r="I130" s="74" t="str">
        <f>IF(AND($B130=[1]marcos!$A127,[1]marcos!$B127=I$4),"ok","nok")</f>
        <v>nok</v>
      </c>
      <c r="J130" s="83"/>
      <c r="K130" s="74" t="str">
        <f>IF(AND($B130=[1]marcos!$A127,[1]marcos!$B127=K$4),"ok","nok")</f>
        <v>nok</v>
      </c>
      <c r="L130" s="74" t="str">
        <f>IF(AND($B130=[1]marcos!$A127,[1]marcos!$B127=L$4),"ok","nok")</f>
        <v>nok</v>
      </c>
      <c r="M130" s="74" t="str">
        <f>IF(AND($B130=[1]marcos!$A127,[1]marcos!$B127=M$4),"ok","nok")</f>
        <v>nok</v>
      </c>
      <c r="N130" s="74" t="str">
        <f>IF(AND($B130=[1]marcos!$A127,[1]marcos!$B127=N$4),"ok","nok")</f>
        <v>nok</v>
      </c>
      <c r="O130" s="74" t="str">
        <f>IF(AND($B130=[1]marcos!$A127,[1]marcos!$B127=O$4),"ok","nok")</f>
        <v>nok</v>
      </c>
      <c r="P130" s="74" t="str">
        <f>IF(AND($B130=[1]marcos!$A127,[1]marcos!$B127=P$4),"ok","nok")</f>
        <v>nok</v>
      </c>
      <c r="Q130" s="74" t="str">
        <f>IF(AND($B130=[1]marcos!$A127,[1]marcos!$B127=Q$4),"ok","nok")</f>
        <v>nok</v>
      </c>
      <c r="R130" s="74" t="str">
        <f>IF(AND($B130=[1]marcos!$A127,[1]marcos!$B127=R$4),"ok","nok")</f>
        <v>nok</v>
      </c>
      <c r="S130" s="74" t="str">
        <f>IF(AND($B130=[1]marcos!$A127,[1]marcos!$B127=S$4),"ok","nok")</f>
        <v>nok</v>
      </c>
      <c r="T130" s="74" t="str">
        <f>IF(AND($B130=[1]marcos!$A127,[1]marcos!$B127=T$4),"ok","nok")</f>
        <v>nok</v>
      </c>
      <c r="U130" s="74" t="str">
        <f>IF(AND($B130=[1]marcos!$A127,[1]marcos!$B127=U$4),"ok","nok")</f>
        <v>nok</v>
      </c>
      <c r="V130" s="74" t="str">
        <f>IF(AND($B130=[1]marcos!$A127,[1]marcos!$B127=V$4),"ok","nok")</f>
        <v>ok</v>
      </c>
      <c r="W130" s="74" t="str">
        <f>IF(AND($B130=[1]marcos!$A127,[1]marcos!$B127=W$4),"ok","nok")</f>
        <v>nok</v>
      </c>
      <c r="X130" s="74" t="str">
        <f>IF(AND($B130=[1]marcos!$A127,[1]marcos!$B127=X$4),"ok","nok")</f>
        <v>nok</v>
      </c>
      <c r="Y130" s="96" t="s">
        <v>32</v>
      </c>
      <c r="Z130" s="97"/>
      <c r="AA130" s="97"/>
      <c r="AB130" s="98"/>
      <c r="AE130" s="63" t="str">
        <f t="shared" si="22"/>
        <v>MARCO - Emissão Inicial</v>
      </c>
      <c r="AF130" s="63"/>
      <c r="AG130" s="63"/>
      <c r="AH130" s="63"/>
      <c r="AI130" s="64">
        <f t="shared" si="23"/>
        <v>0</v>
      </c>
      <c r="AJ130" s="64" t="str">
        <f t="shared" si="24"/>
        <v/>
      </c>
      <c r="AK130" s="64">
        <f t="shared" si="25"/>
        <v>0</v>
      </c>
      <c r="AL130" s="64" t="str">
        <f t="shared" si="26"/>
        <v/>
      </c>
      <c r="AM130" s="64">
        <f t="shared" si="27"/>
        <v>0</v>
      </c>
      <c r="AN130" s="64" t="str">
        <f t="shared" si="28"/>
        <v/>
      </c>
      <c r="AO130" s="64">
        <f t="shared" si="29"/>
        <v>1</v>
      </c>
      <c r="AP130" s="64" t="str">
        <f t="shared" si="30"/>
        <v/>
      </c>
      <c r="AQ130" s="64">
        <f t="shared" si="31"/>
        <v>0</v>
      </c>
      <c r="AR130" s="64" t="str">
        <f t="shared" si="32"/>
        <v/>
      </c>
    </row>
    <row r="131" spans="1:44" ht="30" customHeight="1" x14ac:dyDescent="0.35">
      <c r="A131" s="28" t="str">
        <f t="shared" si="39"/>
        <v>LARGO VANÁDIO MARACÁS
PLANTA QUÍMICA
ÁREA DE EVAPORAÇÃO
Tanque - 550 - TQ 202</v>
      </c>
      <c r="B131" s="55" t="s">
        <v>20</v>
      </c>
      <c r="C131" s="74" t="str">
        <f>IF(AND($B131=[1]marcos!$A128,[1]marcos!$B128=C$4),"ok","nok")</f>
        <v>nok</v>
      </c>
      <c r="D131" s="74" t="str">
        <f>IF(AND($B131=[1]marcos!$A128,[1]marcos!$B128=D$4),"ok","nok")</f>
        <v>nok</v>
      </c>
      <c r="E131" s="74" t="str">
        <f>IF(AND($B131=[1]marcos!$A128,[1]marcos!$B128=E$4),"ok","nok")</f>
        <v>nok</v>
      </c>
      <c r="F131" s="74" t="str">
        <f>IF(AND($B131=[1]marcos!$A128,[1]marcos!$B128=F$4),"ok","nok")</f>
        <v>nok</v>
      </c>
      <c r="G131" s="74" t="str">
        <f>IF(AND($B131=[1]marcos!$A128,[1]marcos!$B128=G$4),"ok","nok")</f>
        <v>nok</v>
      </c>
      <c r="H131" s="74" t="str">
        <f>IF(AND($B131=[1]marcos!$A128,[1]marcos!$B128=H$4),"ok","nok")</f>
        <v>nok</v>
      </c>
      <c r="I131" s="74" t="str">
        <f>IF(AND($B131=[1]marcos!$A128,[1]marcos!$B128=I$4),"ok","nok")</f>
        <v>nok</v>
      </c>
      <c r="J131" s="74" t="str">
        <f>IF(AND($B131=[1]marcos!$A128,[1]marcos!$B128=J$4),"ok","nok")</f>
        <v>nok</v>
      </c>
      <c r="K131" s="74" t="str">
        <f>IF(AND($B131=[1]marcos!$A128,[1]marcos!$B128=K$4),"ok","nok")</f>
        <v>nok</v>
      </c>
      <c r="L131" s="74" t="str">
        <f>IF(AND($B131=[1]marcos!$A128,[1]marcos!$B128=L$4),"ok","nok")</f>
        <v>nok</v>
      </c>
      <c r="M131" s="74" t="str">
        <f>IF(AND($B131=[1]marcos!$A128,[1]marcos!$B128=M$4),"ok","nok")</f>
        <v>nok</v>
      </c>
      <c r="N131" s="74" t="str">
        <f>IF(AND($B131=[1]marcos!$A128,[1]marcos!$B128=N$4),"ok","nok")</f>
        <v>nok</v>
      </c>
      <c r="O131" s="83"/>
      <c r="P131" s="74" t="str">
        <f>IF(AND($B131=[1]marcos!$A128,[1]marcos!$B128=P$4),"ok","nok")</f>
        <v>nok</v>
      </c>
      <c r="Q131" s="74" t="str">
        <f>IF(AND($B131=[1]marcos!$A128,[1]marcos!$B128=Q$4),"ok","nok")</f>
        <v>nok</v>
      </c>
      <c r="R131" s="74" t="str">
        <f>IF(AND($B131=[1]marcos!$A128,[1]marcos!$B128=R$4),"ok","nok")</f>
        <v>nok</v>
      </c>
      <c r="S131" s="74" t="str">
        <f>IF(AND($B131=[1]marcos!$A128,[1]marcos!$B128=S$4),"ok","nok")</f>
        <v>nok</v>
      </c>
      <c r="T131" s="74" t="str">
        <f>IF(AND($B131=[1]marcos!$A128,[1]marcos!$B128=T$4),"ok","nok")</f>
        <v>nok</v>
      </c>
      <c r="U131" s="74" t="str">
        <f>IF(AND($B131=[1]marcos!$A128,[1]marcos!$B128=U$4),"ok","nok")</f>
        <v>nok</v>
      </c>
      <c r="V131" s="74" t="str">
        <f>IF(AND($B131=[1]marcos!$A128,[1]marcos!$B128=V$4),"ok","nok")</f>
        <v>nok</v>
      </c>
      <c r="W131" s="74" t="str">
        <f>IF(AND($B131=[1]marcos!$A128,[1]marcos!$B128=W$4),"ok","nok")</f>
        <v>ok</v>
      </c>
      <c r="X131" s="74" t="str">
        <f>IF(AND($B131=[1]marcos!$A128,[1]marcos!$B128=X$4),"ok","nok")</f>
        <v>nok</v>
      </c>
      <c r="Y131" s="96" t="s">
        <v>16</v>
      </c>
      <c r="Z131" s="97"/>
      <c r="AA131" s="97"/>
      <c r="AB131" s="98"/>
      <c r="AE131" s="63" t="str">
        <f t="shared" si="22"/>
        <v/>
      </c>
      <c r="AF131" s="63"/>
      <c r="AG131" s="63"/>
      <c r="AH131" s="63"/>
      <c r="AI131" s="64">
        <f t="shared" si="23"/>
        <v>0</v>
      </c>
      <c r="AJ131" s="64" t="str">
        <f t="shared" si="24"/>
        <v/>
      </c>
      <c r="AK131" s="64">
        <f t="shared" si="25"/>
        <v>0</v>
      </c>
      <c r="AL131" s="64" t="str">
        <f t="shared" si="26"/>
        <v/>
      </c>
      <c r="AM131" s="64">
        <f t="shared" si="27"/>
        <v>0</v>
      </c>
      <c r="AN131" s="64" t="str">
        <f t="shared" si="28"/>
        <v/>
      </c>
      <c r="AO131" s="64">
        <f t="shared" si="29"/>
        <v>0</v>
      </c>
      <c r="AP131" s="64" t="str">
        <f t="shared" si="30"/>
        <v/>
      </c>
      <c r="AQ131" s="64">
        <f t="shared" si="31"/>
        <v>1</v>
      </c>
      <c r="AR131" s="64" t="str">
        <f t="shared" si="32"/>
        <v/>
      </c>
    </row>
    <row r="132" spans="1:44" ht="30" customHeight="1" x14ac:dyDescent="0.35">
      <c r="A132" s="28" t="str">
        <f t="shared" si="39"/>
        <v>LARGO VANÁDIO MARACÁS
PLANTA QUÍMICA
ÁREA DE EVAPORAÇÃO
Tanque - 550 - TQ 202</v>
      </c>
      <c r="B132" s="55" t="s">
        <v>38</v>
      </c>
      <c r="C132" s="74" t="str">
        <f>IF(AND($B132=[1]marcos!$A129,[1]marcos!$B129=C$4),"ok","nok")</f>
        <v>nok</v>
      </c>
      <c r="D132" s="74" t="str">
        <f>IF(AND($B132=[1]marcos!$A129,[1]marcos!$B129=D$4),"ok","nok")</f>
        <v>nok</v>
      </c>
      <c r="E132" s="74" t="str">
        <f>IF(AND($B132=[1]marcos!$A129,[1]marcos!$B129=E$4),"ok","nok")</f>
        <v>nok</v>
      </c>
      <c r="F132" s="74" t="str">
        <f>IF(AND($B132=[1]marcos!$A129,[1]marcos!$B129=F$4),"ok","nok")</f>
        <v>nok</v>
      </c>
      <c r="G132" s="74" t="str">
        <f>IF(AND($B132=[1]marcos!$A129,[1]marcos!$B129=G$4),"ok","nok")</f>
        <v>nok</v>
      </c>
      <c r="H132" s="74" t="str">
        <f>IF(AND($B132=[1]marcos!$A129,[1]marcos!$B129=H$4),"ok","nok")</f>
        <v>nok</v>
      </c>
      <c r="I132" s="74" t="str">
        <f>IF(AND($B132=[1]marcos!$A129,[1]marcos!$B129=I$4),"ok","nok")</f>
        <v>nok</v>
      </c>
      <c r="J132" s="74" t="str">
        <f>IF(AND($B132=[1]marcos!$A129,[1]marcos!$B129=J$4),"ok","nok")</f>
        <v>nok</v>
      </c>
      <c r="K132" s="74" t="str">
        <f>IF(AND($B132=[1]marcos!$A129,[1]marcos!$B129=K$4),"ok","nok")</f>
        <v>nok</v>
      </c>
      <c r="L132" s="74" t="str">
        <f>IF(AND($B132=[1]marcos!$A129,[1]marcos!$B129=L$4),"ok","nok")</f>
        <v>nok</v>
      </c>
      <c r="M132" s="74" t="str">
        <f>IF(AND($B132=[1]marcos!$A129,[1]marcos!$B129=M$4),"ok","nok")</f>
        <v>nok</v>
      </c>
      <c r="N132" s="74" t="str">
        <f>IF(AND($B132=[1]marcos!$A129,[1]marcos!$B129=N$4),"ok","nok")</f>
        <v>nok</v>
      </c>
      <c r="O132" s="74" t="str">
        <f>IF(AND($B132=[1]marcos!$A129,[1]marcos!$B129=O$4),"ok","nok")</f>
        <v>nok</v>
      </c>
      <c r="P132" s="74" t="str">
        <f>IF(AND($B132=[1]marcos!$A129,[1]marcos!$B129=P$4),"ok","nok")</f>
        <v>nok</v>
      </c>
      <c r="Q132" s="74" t="str">
        <f>IF(AND($B132=[1]marcos!$A129,[1]marcos!$B129=Q$4),"ok","nok")</f>
        <v>nok</v>
      </c>
      <c r="R132" s="83"/>
      <c r="S132" s="74" t="str">
        <f>IF(AND($B132=[1]marcos!$A129,[1]marcos!$B129=S$4),"ok","nok")</f>
        <v>nok</v>
      </c>
      <c r="T132" s="74" t="str">
        <f>IF(AND($B132=[1]marcos!$A129,[1]marcos!$B129=T$4),"ok","nok")</f>
        <v>nok</v>
      </c>
      <c r="U132" s="74" t="str">
        <f>IF(AND($B132=[1]marcos!$A129,[1]marcos!$B129=U$4),"ok","nok")</f>
        <v>nok</v>
      </c>
      <c r="V132" s="74" t="str">
        <f>IF(AND($B132=[1]marcos!$A129,[1]marcos!$B129=V$4),"ok","nok")</f>
        <v>nok</v>
      </c>
      <c r="W132" s="74" t="str">
        <f>IF(AND($B132=[1]marcos!$A129,[1]marcos!$B129=W$4),"ok","nok")</f>
        <v>nok</v>
      </c>
      <c r="X132" s="74" t="str">
        <f>IF(AND($B132=[1]marcos!$A129,[1]marcos!$B129=X$4),"ok","nok")</f>
        <v>ok</v>
      </c>
      <c r="Y132" s="96" t="s">
        <v>16</v>
      </c>
      <c r="Z132" s="97"/>
      <c r="AA132" s="97"/>
      <c r="AB132" s="98"/>
      <c r="AE132" s="63" t="str">
        <f t="shared" si="22"/>
        <v/>
      </c>
      <c r="AF132" s="63"/>
      <c r="AG132" s="63"/>
      <c r="AH132" s="63"/>
      <c r="AI132" s="64">
        <f t="shared" si="23"/>
        <v>0</v>
      </c>
      <c r="AJ132" s="64" t="str">
        <f t="shared" si="24"/>
        <v/>
      </c>
      <c r="AK132" s="64">
        <f t="shared" si="25"/>
        <v>0</v>
      </c>
      <c r="AL132" s="64" t="str">
        <f t="shared" si="26"/>
        <v/>
      </c>
      <c r="AM132" s="64">
        <f t="shared" si="27"/>
        <v>0</v>
      </c>
      <c r="AN132" s="64" t="str">
        <f t="shared" si="28"/>
        <v/>
      </c>
      <c r="AO132" s="64">
        <f t="shared" si="29"/>
        <v>0</v>
      </c>
      <c r="AP132" s="64" t="str">
        <f t="shared" si="30"/>
        <v/>
      </c>
      <c r="AQ132" s="64">
        <f t="shared" si="31"/>
        <v>1</v>
      </c>
      <c r="AR132" s="64" t="str">
        <f t="shared" si="32"/>
        <v/>
      </c>
    </row>
    <row r="133" spans="1:44" ht="30" customHeight="1" x14ac:dyDescent="0.35">
      <c r="A133" s="28" t="str">
        <f t="shared" si="39"/>
        <v>LARGO VANÁDIO MARACÁS
PLANTA QUÍMICA
ÁREA DE EVAPORAÇÃO
Tanque - 550 - TQ 202</v>
      </c>
      <c r="B133" s="55" t="s">
        <v>76</v>
      </c>
      <c r="C133" s="74" t="str">
        <f>IF(AND($B133=[1]marcos!$A130,[1]marcos!$B130=C$4),"ok","nok")</f>
        <v>nok</v>
      </c>
      <c r="D133" s="74" t="str">
        <f>IF(AND($B133=[1]marcos!$A130,[1]marcos!$B130=D$4),"ok","nok")</f>
        <v>nok</v>
      </c>
      <c r="E133" s="74" t="str">
        <f>IF(AND($B133=[1]marcos!$A130,[1]marcos!$B130=E$4),"ok","nok")</f>
        <v>nok</v>
      </c>
      <c r="F133" s="74" t="str">
        <f>IF(AND($B133=[1]marcos!$A130,[1]marcos!$B130=F$4),"ok","nok")</f>
        <v>nok</v>
      </c>
      <c r="G133" s="74" t="str">
        <f>IF(AND($B133=[1]marcos!$A130,[1]marcos!$B130=G$4),"ok","nok")</f>
        <v>nok</v>
      </c>
      <c r="H133" s="74" t="str">
        <f>IF(AND($B133=[1]marcos!$A130,[1]marcos!$B130=H$4),"ok","nok")</f>
        <v>nok</v>
      </c>
      <c r="I133" s="74" t="str">
        <f>IF(AND($B133=[1]marcos!$A130,[1]marcos!$B130=I$4),"ok","nok")</f>
        <v>nok</v>
      </c>
      <c r="J133" s="74" t="str">
        <f>IF(AND($B133=[1]marcos!$A130,[1]marcos!$B130=J$4),"ok","nok")</f>
        <v>nok</v>
      </c>
      <c r="K133" s="74" t="str">
        <f>IF(AND($B133=[1]marcos!$A130,[1]marcos!$B130=K$4),"ok","nok")</f>
        <v>nok</v>
      </c>
      <c r="L133" s="74" t="str">
        <f>IF(AND($B133=[1]marcos!$A130,[1]marcos!$B130=L$4),"ok","nok")</f>
        <v>nok</v>
      </c>
      <c r="M133" s="74" t="str">
        <f>IF(AND($B133=[1]marcos!$A130,[1]marcos!$B130=M$4),"ok","nok")</f>
        <v>nok</v>
      </c>
      <c r="N133" s="74" t="str">
        <f>IF(AND($B133=[1]marcos!$A130,[1]marcos!$B130=N$4),"ok","nok")</f>
        <v>nok</v>
      </c>
      <c r="O133" s="74" t="str">
        <f>IF(AND($B133=[1]marcos!$A130,[1]marcos!$B130=O$4),"ok","nok")</f>
        <v>nok</v>
      </c>
      <c r="P133" s="74" t="str">
        <f>IF(AND($B133=[1]marcos!$A130,[1]marcos!$B130=P$4),"ok","nok")</f>
        <v>nok</v>
      </c>
      <c r="Q133" s="74" t="str">
        <f>IF(AND($B133=[1]marcos!$A130,[1]marcos!$B130=Q$4),"ok","nok")</f>
        <v>nok</v>
      </c>
      <c r="R133" s="83"/>
      <c r="S133" s="74" t="str">
        <f>IF(AND($B133=[1]marcos!$A130,[1]marcos!$B130=S$4),"ok","nok")</f>
        <v>nok</v>
      </c>
      <c r="T133" s="74" t="str">
        <f>IF(AND($B133=[1]marcos!$A130,[1]marcos!$B130=T$4),"ok","nok")</f>
        <v>nok</v>
      </c>
      <c r="U133" s="74" t="str">
        <f>IF(AND($B133=[1]marcos!$A130,[1]marcos!$B130=U$4),"ok","nok")</f>
        <v>nok</v>
      </c>
      <c r="V133" s="74" t="str">
        <f>IF(AND($B133=[1]marcos!$A130,[1]marcos!$B130=V$4),"ok","nok")</f>
        <v>nok</v>
      </c>
      <c r="W133" s="74" t="str">
        <f>IF(AND($B133=[1]marcos!$A130,[1]marcos!$B130=W$4),"ok","nok")</f>
        <v>nok</v>
      </c>
      <c r="X133" s="74" t="str">
        <f>IF(AND($B133=[1]marcos!$A130,[1]marcos!$B130=X$4),"ok","nok")</f>
        <v>ok</v>
      </c>
      <c r="Y133" s="96" t="s">
        <v>16</v>
      </c>
      <c r="Z133" s="97"/>
      <c r="AA133" s="97"/>
      <c r="AB133" s="98"/>
      <c r="AE133" s="63" t="str">
        <f t="shared" si="22"/>
        <v/>
      </c>
      <c r="AF133" s="63"/>
      <c r="AG133" s="63"/>
      <c r="AH133" s="63"/>
      <c r="AI133" s="64">
        <f t="shared" si="23"/>
        <v>0</v>
      </c>
      <c r="AJ133" s="64" t="str">
        <f t="shared" si="24"/>
        <v/>
      </c>
      <c r="AK133" s="64">
        <f t="shared" si="25"/>
        <v>0</v>
      </c>
      <c r="AL133" s="64" t="str">
        <f t="shared" si="26"/>
        <v/>
      </c>
      <c r="AM133" s="64">
        <f t="shared" si="27"/>
        <v>0</v>
      </c>
      <c r="AN133" s="64" t="str">
        <f t="shared" si="28"/>
        <v/>
      </c>
      <c r="AO133" s="64">
        <f t="shared" si="29"/>
        <v>0</v>
      </c>
      <c r="AP133" s="64" t="str">
        <f t="shared" si="30"/>
        <v/>
      </c>
      <c r="AQ133" s="64">
        <f t="shared" si="31"/>
        <v>1</v>
      </c>
      <c r="AR133" s="64" t="str">
        <f t="shared" si="32"/>
        <v/>
      </c>
    </row>
    <row r="134" spans="1:44" ht="30" customHeight="1" x14ac:dyDescent="0.35">
      <c r="A134" s="28"/>
      <c r="B134" s="77" t="s">
        <v>70</v>
      </c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120"/>
      <c r="Z134" s="121"/>
      <c r="AA134" s="121"/>
      <c r="AB134" s="122"/>
      <c r="AE134" s="63" t="str">
        <f t="shared" si="22"/>
        <v/>
      </c>
      <c r="AF134" s="63"/>
      <c r="AG134" s="63"/>
      <c r="AH134" s="63"/>
      <c r="AI134" s="64">
        <f t="shared" si="23"/>
        <v>0</v>
      </c>
      <c r="AJ134" s="64" t="str">
        <f t="shared" si="24"/>
        <v/>
      </c>
      <c r="AK134" s="64">
        <f t="shared" si="25"/>
        <v>0</v>
      </c>
      <c r="AL134" s="64" t="str">
        <f t="shared" si="26"/>
        <v/>
      </c>
      <c r="AM134" s="64">
        <f t="shared" si="27"/>
        <v>0</v>
      </c>
      <c r="AN134" s="64" t="str">
        <f t="shared" si="28"/>
        <v/>
      </c>
      <c r="AO134" s="64">
        <f t="shared" si="29"/>
        <v>0</v>
      </c>
      <c r="AP134" s="64" t="str">
        <f t="shared" si="30"/>
        <v/>
      </c>
      <c r="AQ134" s="64">
        <f t="shared" si="31"/>
        <v>0</v>
      </c>
      <c r="AR134" s="64" t="str">
        <f t="shared" si="32"/>
        <v/>
      </c>
    </row>
    <row r="135" spans="1:44" ht="30" customHeight="1" x14ac:dyDescent="0.35">
      <c r="A135" s="28" t="str">
        <f>CONCATENATE($B$80,"
",$B$83,"
",$B$84,"
",$B$134)</f>
        <v>LARGO VANÁDIO MARACÁS
PLANTA QUÍMICA
ÁREA DE EVAPORAÇÃO
Tanque - 550 - TQ 206</v>
      </c>
      <c r="B135" s="53" t="s">
        <v>73</v>
      </c>
      <c r="C135" s="74" t="str">
        <f>IF(AND($B135=[1]marcos!$A132,[1]marcos!$B132=C$4),"ok","nok")</f>
        <v>nok</v>
      </c>
      <c r="D135" s="74" t="str">
        <f>IF(AND($B135=[1]marcos!$A132,[1]marcos!$B132=D$4),"ok","nok")</f>
        <v>nok</v>
      </c>
      <c r="E135" s="74" t="str">
        <f>IF(AND($B135=[1]marcos!$A132,[1]marcos!$B132=E$4),"ok","nok")</f>
        <v>nok</v>
      </c>
      <c r="F135" s="74" t="str">
        <f>IF(AND($B135=[1]marcos!$A132,[1]marcos!$B132=F$4),"ok","nok")</f>
        <v>nok</v>
      </c>
      <c r="G135" s="74" t="str">
        <f>IF(AND($B135=[1]marcos!$A132,[1]marcos!$B132=G$4),"ok","nok")</f>
        <v>nok</v>
      </c>
      <c r="H135" s="74" t="str">
        <f>IF(AND($B135=[1]marcos!$A132,[1]marcos!$B132=H$4),"ok","nok")</f>
        <v>nok</v>
      </c>
      <c r="I135" s="74" t="str">
        <f>IF(AND($B135=[1]marcos!$A132,[1]marcos!$B132=I$4),"ok","nok")</f>
        <v>nok</v>
      </c>
      <c r="J135" s="83"/>
      <c r="K135" s="74" t="str">
        <f>IF(AND($B135=[1]marcos!$A132,[1]marcos!$B132=K$4),"ok","nok")</f>
        <v>nok</v>
      </c>
      <c r="L135" s="74" t="str">
        <f>IF(AND($B135=[1]marcos!$A132,[1]marcos!$B132=L$4),"ok","nok")</f>
        <v>nok</v>
      </c>
      <c r="M135" s="74" t="str">
        <f>IF(AND($B135=[1]marcos!$A132,[1]marcos!$B132=M$4),"ok","nok")</f>
        <v>nok</v>
      </c>
      <c r="N135" s="74" t="str">
        <f>IF(AND($B135=[1]marcos!$A132,[1]marcos!$B132=N$4),"ok","nok")</f>
        <v>nok</v>
      </c>
      <c r="O135" s="74" t="str">
        <f>IF(AND($B135=[1]marcos!$A132,[1]marcos!$B132=O$4),"ok","nok")</f>
        <v>nok</v>
      </c>
      <c r="P135" s="74" t="str">
        <f>IF(AND($B135=[1]marcos!$A132,[1]marcos!$B132=P$4),"ok","nok")</f>
        <v>nok</v>
      </c>
      <c r="Q135" s="74" t="str">
        <f>IF(AND($B135=[1]marcos!$A132,[1]marcos!$B132=Q$4),"ok","nok")</f>
        <v>nok</v>
      </c>
      <c r="R135" s="74" t="str">
        <f>IF(AND($B135=[1]marcos!$A132,[1]marcos!$B132=R$4),"ok","nok")</f>
        <v>nok</v>
      </c>
      <c r="S135" s="74" t="str">
        <f>IF(AND($B135=[1]marcos!$A132,[1]marcos!$B132=S$4),"ok","nok")</f>
        <v>nok</v>
      </c>
      <c r="T135" s="74" t="str">
        <f>IF(AND($B135=[1]marcos!$A132,[1]marcos!$B132=T$4),"ok","nok")</f>
        <v>nok</v>
      </c>
      <c r="U135" s="74" t="str">
        <f>IF(AND($B135=[1]marcos!$A132,[1]marcos!$B132=U$4),"ok","nok")</f>
        <v>nok</v>
      </c>
      <c r="V135" s="74" t="str">
        <f>IF(AND($B135=[1]marcos!$A132,[1]marcos!$B132=V$4),"ok","nok")</f>
        <v>ok</v>
      </c>
      <c r="W135" s="74" t="str">
        <f>IF(AND($B135=[1]marcos!$A132,[1]marcos!$B132=W$4),"ok","nok")</f>
        <v>nok</v>
      </c>
      <c r="X135" s="74" t="str">
        <f>IF(AND($B135=[1]marcos!$A132,[1]marcos!$B132=X$4),"ok","nok")</f>
        <v>nok</v>
      </c>
      <c r="Y135" s="96" t="s">
        <v>32</v>
      </c>
      <c r="Z135" s="97"/>
      <c r="AA135" s="97"/>
      <c r="AB135" s="98"/>
      <c r="AE135" s="63" t="str">
        <f t="shared" ref="AE135:AE197" si="40">IF(Y135="ATRASADO",B135,"")</f>
        <v>Verificação do Laudo</v>
      </c>
      <c r="AF135" s="63"/>
      <c r="AG135" s="63"/>
      <c r="AH135" s="63"/>
      <c r="AI135" s="64">
        <f t="shared" ref="AI135:AI197" si="41">COUNTIF(C135:G135,"ok")</f>
        <v>0</v>
      </c>
      <c r="AJ135" s="64" t="str">
        <f t="shared" ref="AJ135:AJ197" si="42">IF(AND(AI135=1,OR($Y135="entregue",$Y135="efprazo")),$Y135,"")</f>
        <v/>
      </c>
      <c r="AK135" s="64">
        <f t="shared" ref="AK135:AK197" si="43">COUNTIF(H135:L135,"ok")</f>
        <v>0</v>
      </c>
      <c r="AL135" s="64" t="str">
        <f t="shared" ref="AL135:AL197" si="44">IF(AND(AK135=1,OR(Y135="entregue",Y135="efprazo")),Y135,"")</f>
        <v/>
      </c>
      <c r="AM135" s="64">
        <f t="shared" ref="AM135:AM197" si="45">COUNTIF(M135:Q135,"ok")</f>
        <v>0</v>
      </c>
      <c r="AN135" s="64" t="str">
        <f t="shared" ref="AN135:AN197" si="46">IF(AND(AM135=1,OR($Y135="entregue",$Y135="efprazo")),$Y135,"")</f>
        <v/>
      </c>
      <c r="AO135" s="64">
        <f t="shared" ref="AO135:AO197" si="47">COUNTIF(R135:V135,"ok")</f>
        <v>1</v>
      </c>
      <c r="AP135" s="64" t="str">
        <f t="shared" ref="AP135:AP197" si="48">IF(AND(AO135=1,OR($Y135="entregue",$Y135="efprazo")),$Y135,"")</f>
        <v/>
      </c>
      <c r="AQ135" s="64">
        <f t="shared" ref="AQ135:AQ197" si="49">COUNTIF(W135:X135,"ok")</f>
        <v>0</v>
      </c>
      <c r="AR135" s="64" t="str">
        <f t="shared" ref="AR135:AR197" si="50">IF(AND(AQ135=1,OR($Y135="entregue",$Y135="efprazo")),$Y135,"")</f>
        <v/>
      </c>
    </row>
    <row r="136" spans="1:44" ht="30" customHeight="1" x14ac:dyDescent="0.35">
      <c r="A136" s="28"/>
      <c r="B136" s="54" t="s">
        <v>74</v>
      </c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114"/>
      <c r="Z136" s="115"/>
      <c r="AA136" s="115"/>
      <c r="AB136" s="116"/>
      <c r="AE136" s="63" t="str">
        <f t="shared" si="40"/>
        <v/>
      </c>
      <c r="AF136" s="63"/>
      <c r="AG136" s="63"/>
      <c r="AH136" s="63"/>
      <c r="AI136" s="64">
        <f t="shared" si="41"/>
        <v>0</v>
      </c>
      <c r="AJ136" s="64" t="str">
        <f t="shared" si="42"/>
        <v/>
      </c>
      <c r="AK136" s="64">
        <f t="shared" si="43"/>
        <v>0</v>
      </c>
      <c r="AL136" s="64" t="str">
        <f t="shared" si="44"/>
        <v/>
      </c>
      <c r="AM136" s="64">
        <f t="shared" si="45"/>
        <v>0</v>
      </c>
      <c r="AN136" s="64" t="str">
        <f t="shared" si="46"/>
        <v/>
      </c>
      <c r="AO136" s="64">
        <f t="shared" si="47"/>
        <v>0</v>
      </c>
      <c r="AP136" s="64" t="str">
        <f t="shared" si="48"/>
        <v/>
      </c>
      <c r="AQ136" s="64">
        <f t="shared" si="49"/>
        <v>0</v>
      </c>
      <c r="AR136" s="64" t="str">
        <f t="shared" si="50"/>
        <v/>
      </c>
    </row>
    <row r="137" spans="1:44" ht="30" customHeight="1" x14ac:dyDescent="0.35">
      <c r="A137" s="28" t="str">
        <f t="shared" ref="A137:A140" si="51">CONCATENATE($B$80,"
",$B$83,"
",$B$84,"
",$B$134)</f>
        <v>LARGO VANÁDIO MARACÁS
PLANTA QUÍMICA
ÁREA DE EVAPORAÇÃO
Tanque - 550 - TQ 206</v>
      </c>
      <c r="B137" s="55" t="s">
        <v>75</v>
      </c>
      <c r="C137" s="74" t="str">
        <f>IF(AND($B137=[1]marcos!$A134,[1]marcos!$B134=C$4),"ok","nok")</f>
        <v>nok</v>
      </c>
      <c r="D137" s="74" t="str">
        <f>IF(AND($B137=[1]marcos!$A134,[1]marcos!$B134=D$4),"ok","nok")</f>
        <v>nok</v>
      </c>
      <c r="E137" s="74" t="str">
        <f>IF(AND($B137=[1]marcos!$A134,[1]marcos!$B134=E$4),"ok","nok")</f>
        <v>nok</v>
      </c>
      <c r="F137" s="74" t="str">
        <f>IF(AND($B137=[1]marcos!$A134,[1]marcos!$B134=F$4),"ok","nok")</f>
        <v>nok</v>
      </c>
      <c r="G137" s="74" t="str">
        <f>IF(AND($B137=[1]marcos!$A134,[1]marcos!$B134=G$4),"ok","nok")</f>
        <v>nok</v>
      </c>
      <c r="H137" s="74" t="str">
        <f>IF(AND($B137=[1]marcos!$A134,[1]marcos!$B134=H$4),"ok","nok")</f>
        <v>nok</v>
      </c>
      <c r="I137" s="74" t="str">
        <f>IF(AND($B137=[1]marcos!$A134,[1]marcos!$B134=I$4),"ok","nok")</f>
        <v>nok</v>
      </c>
      <c r="J137" s="83"/>
      <c r="K137" s="74" t="str">
        <f>IF(AND($B137=[1]marcos!$A134,[1]marcos!$B134=K$4),"ok","nok")</f>
        <v>nok</v>
      </c>
      <c r="L137" s="74" t="str">
        <f>IF(AND($B137=[1]marcos!$A134,[1]marcos!$B134=L$4),"ok","nok")</f>
        <v>nok</v>
      </c>
      <c r="M137" s="74" t="str">
        <f>IF(AND($B137=[1]marcos!$A134,[1]marcos!$B134=M$4),"ok","nok")</f>
        <v>nok</v>
      </c>
      <c r="N137" s="74" t="str">
        <f>IF(AND($B137=[1]marcos!$A134,[1]marcos!$B134=N$4),"ok","nok")</f>
        <v>nok</v>
      </c>
      <c r="O137" s="74" t="str">
        <f>IF(AND($B137=[1]marcos!$A134,[1]marcos!$B134=O$4),"ok","nok")</f>
        <v>nok</v>
      </c>
      <c r="P137" s="74" t="str">
        <f>IF(AND($B137=[1]marcos!$A134,[1]marcos!$B134=P$4),"ok","nok")</f>
        <v>nok</v>
      </c>
      <c r="Q137" s="74" t="str">
        <f>IF(AND($B137=[1]marcos!$A134,[1]marcos!$B134=Q$4),"ok","nok")</f>
        <v>nok</v>
      </c>
      <c r="R137" s="74" t="str">
        <f>IF(AND($B137=[1]marcos!$A134,[1]marcos!$B134=R$4),"ok","nok")</f>
        <v>nok</v>
      </c>
      <c r="S137" s="74" t="str">
        <f>IF(AND($B137=[1]marcos!$A134,[1]marcos!$B134=S$4),"ok","nok")</f>
        <v>nok</v>
      </c>
      <c r="T137" s="74" t="str">
        <f>IF(AND($B137=[1]marcos!$A134,[1]marcos!$B134=T$4),"ok","nok")</f>
        <v>nok</v>
      </c>
      <c r="U137" s="74" t="str">
        <f>IF(AND($B137=[1]marcos!$A134,[1]marcos!$B134=U$4),"ok","nok")</f>
        <v>nok</v>
      </c>
      <c r="V137" s="74" t="str">
        <f>IF(AND($B137=[1]marcos!$A134,[1]marcos!$B134=V$4),"ok","nok")</f>
        <v>ok</v>
      </c>
      <c r="W137" s="74" t="str">
        <f>IF(AND($B137=[1]marcos!$A134,[1]marcos!$B134=W$4),"ok","nok")</f>
        <v>nok</v>
      </c>
      <c r="X137" s="74" t="str">
        <f>IF(AND($B137=[1]marcos!$A134,[1]marcos!$B134=X$4),"ok","nok")</f>
        <v>nok</v>
      </c>
      <c r="Y137" s="96" t="s">
        <v>32</v>
      </c>
      <c r="Z137" s="97"/>
      <c r="AA137" s="97"/>
      <c r="AB137" s="98"/>
      <c r="AE137" s="63" t="str">
        <f t="shared" si="40"/>
        <v>MARCO - Emissão Inicial</v>
      </c>
      <c r="AF137" s="63"/>
      <c r="AG137" s="63"/>
      <c r="AH137" s="63"/>
      <c r="AI137" s="64">
        <f t="shared" si="41"/>
        <v>0</v>
      </c>
      <c r="AJ137" s="64" t="str">
        <f t="shared" si="42"/>
        <v/>
      </c>
      <c r="AK137" s="64">
        <f t="shared" si="43"/>
        <v>0</v>
      </c>
      <c r="AL137" s="64" t="str">
        <f t="shared" si="44"/>
        <v/>
      </c>
      <c r="AM137" s="64">
        <f t="shared" si="45"/>
        <v>0</v>
      </c>
      <c r="AN137" s="64" t="str">
        <f t="shared" si="46"/>
        <v/>
      </c>
      <c r="AO137" s="64">
        <f t="shared" si="47"/>
        <v>1</v>
      </c>
      <c r="AP137" s="64" t="str">
        <f t="shared" si="48"/>
        <v/>
      </c>
      <c r="AQ137" s="64">
        <f t="shared" si="49"/>
        <v>0</v>
      </c>
      <c r="AR137" s="64" t="str">
        <f t="shared" si="50"/>
        <v/>
      </c>
    </row>
    <row r="138" spans="1:44" ht="30" customHeight="1" x14ac:dyDescent="0.35">
      <c r="A138" s="28" t="str">
        <f t="shared" si="51"/>
        <v>LARGO VANÁDIO MARACÁS
PLANTA QUÍMICA
ÁREA DE EVAPORAÇÃO
Tanque - 550 - TQ 206</v>
      </c>
      <c r="B138" s="55" t="s">
        <v>20</v>
      </c>
      <c r="C138" s="74" t="str">
        <f>IF(AND($B138=[1]marcos!$A135,[1]marcos!$B135=C$4),"ok","nok")</f>
        <v>nok</v>
      </c>
      <c r="D138" s="74" t="str">
        <f>IF(AND($B138=[1]marcos!$A135,[1]marcos!$B135=D$4),"ok","nok")</f>
        <v>nok</v>
      </c>
      <c r="E138" s="74" t="str">
        <f>IF(AND($B138=[1]marcos!$A135,[1]marcos!$B135=E$4),"ok","nok")</f>
        <v>nok</v>
      </c>
      <c r="F138" s="74" t="str">
        <f>IF(AND($B138=[1]marcos!$A135,[1]marcos!$B135=F$4),"ok","nok")</f>
        <v>nok</v>
      </c>
      <c r="G138" s="74" t="str">
        <f>IF(AND($B138=[1]marcos!$A135,[1]marcos!$B135=G$4),"ok","nok")</f>
        <v>nok</v>
      </c>
      <c r="H138" s="74" t="str">
        <f>IF(AND($B138=[1]marcos!$A135,[1]marcos!$B135=H$4),"ok","nok")</f>
        <v>nok</v>
      </c>
      <c r="I138" s="74" t="str">
        <f>IF(AND($B138=[1]marcos!$A135,[1]marcos!$B135=I$4),"ok","nok")</f>
        <v>nok</v>
      </c>
      <c r="J138" s="74" t="str">
        <f>IF(AND($B138=[1]marcos!$A135,[1]marcos!$B135=J$4),"ok","nok")</f>
        <v>nok</v>
      </c>
      <c r="K138" s="74" t="str">
        <f>IF(AND($B138=[1]marcos!$A135,[1]marcos!$B135=K$4),"ok","nok")</f>
        <v>nok</v>
      </c>
      <c r="L138" s="74" t="str">
        <f>IF(AND($B138=[1]marcos!$A135,[1]marcos!$B135=L$4),"ok","nok")</f>
        <v>nok</v>
      </c>
      <c r="M138" s="74" t="str">
        <f>IF(AND($B138=[1]marcos!$A135,[1]marcos!$B135=M$4),"ok","nok")</f>
        <v>nok</v>
      </c>
      <c r="N138" s="74" t="str">
        <f>IF(AND($B138=[1]marcos!$A135,[1]marcos!$B135=N$4),"ok","nok")</f>
        <v>nok</v>
      </c>
      <c r="O138" s="83"/>
      <c r="P138" s="74" t="str">
        <f>IF(AND($B138=[1]marcos!$A135,[1]marcos!$B135=P$4),"ok","nok")</f>
        <v>nok</v>
      </c>
      <c r="Q138" s="74" t="str">
        <f>IF(AND($B138=[1]marcos!$A135,[1]marcos!$B135=Q$4),"ok","nok")</f>
        <v>nok</v>
      </c>
      <c r="R138" s="74" t="str">
        <f>IF(AND($B138=[1]marcos!$A135,[1]marcos!$B135=R$4),"ok","nok")</f>
        <v>nok</v>
      </c>
      <c r="S138" s="74" t="str">
        <f>IF(AND($B138=[1]marcos!$A135,[1]marcos!$B135=S$4),"ok","nok")</f>
        <v>nok</v>
      </c>
      <c r="T138" s="74" t="str">
        <f>IF(AND($B138=[1]marcos!$A135,[1]marcos!$B135=T$4),"ok","nok")</f>
        <v>nok</v>
      </c>
      <c r="U138" s="74" t="str">
        <f>IF(AND($B138=[1]marcos!$A135,[1]marcos!$B135=U$4),"ok","nok")</f>
        <v>nok</v>
      </c>
      <c r="V138" s="74" t="str">
        <f>IF(AND($B138=[1]marcos!$A135,[1]marcos!$B135=V$4),"ok","nok")</f>
        <v>nok</v>
      </c>
      <c r="W138" s="74" t="str">
        <f>IF(AND($B138=[1]marcos!$A135,[1]marcos!$B135=W$4),"ok","nok")</f>
        <v>ok</v>
      </c>
      <c r="X138" s="74" t="str">
        <f>IF(AND($B138=[1]marcos!$A135,[1]marcos!$B135=X$4),"ok","nok")</f>
        <v>nok</v>
      </c>
      <c r="Y138" s="96" t="s">
        <v>16</v>
      </c>
      <c r="Z138" s="97"/>
      <c r="AA138" s="97"/>
      <c r="AB138" s="98"/>
      <c r="AE138" s="63" t="str">
        <f t="shared" si="40"/>
        <v/>
      </c>
      <c r="AF138" s="63"/>
      <c r="AG138" s="63"/>
      <c r="AH138" s="63"/>
      <c r="AI138" s="64">
        <f t="shared" si="41"/>
        <v>0</v>
      </c>
      <c r="AJ138" s="64" t="str">
        <f t="shared" si="42"/>
        <v/>
      </c>
      <c r="AK138" s="64">
        <f t="shared" si="43"/>
        <v>0</v>
      </c>
      <c r="AL138" s="64" t="str">
        <f t="shared" si="44"/>
        <v/>
      </c>
      <c r="AM138" s="64">
        <f t="shared" si="45"/>
        <v>0</v>
      </c>
      <c r="AN138" s="64" t="str">
        <f t="shared" si="46"/>
        <v/>
      </c>
      <c r="AO138" s="64">
        <f t="shared" si="47"/>
        <v>0</v>
      </c>
      <c r="AP138" s="64" t="str">
        <f t="shared" si="48"/>
        <v/>
      </c>
      <c r="AQ138" s="64">
        <f t="shared" si="49"/>
        <v>1</v>
      </c>
      <c r="AR138" s="64" t="str">
        <f t="shared" si="50"/>
        <v/>
      </c>
    </row>
    <row r="139" spans="1:44" ht="30" customHeight="1" x14ac:dyDescent="0.35">
      <c r="A139" s="28" t="str">
        <f t="shared" si="51"/>
        <v>LARGO VANÁDIO MARACÁS
PLANTA QUÍMICA
ÁREA DE EVAPORAÇÃO
Tanque - 550 - TQ 206</v>
      </c>
      <c r="B139" s="55" t="s">
        <v>38</v>
      </c>
      <c r="C139" s="74" t="str">
        <f>IF(AND($B139=[1]marcos!$A136,[1]marcos!$B136=C$4),"ok","nok")</f>
        <v>nok</v>
      </c>
      <c r="D139" s="74" t="str">
        <f>IF(AND($B139=[1]marcos!$A136,[1]marcos!$B136=D$4),"ok","nok")</f>
        <v>nok</v>
      </c>
      <c r="E139" s="74" t="str">
        <f>IF(AND($B139=[1]marcos!$A136,[1]marcos!$B136=E$4),"ok","nok")</f>
        <v>nok</v>
      </c>
      <c r="F139" s="74" t="str">
        <f>IF(AND($B139=[1]marcos!$A136,[1]marcos!$B136=F$4),"ok","nok")</f>
        <v>nok</v>
      </c>
      <c r="G139" s="74" t="str">
        <f>IF(AND($B139=[1]marcos!$A136,[1]marcos!$B136=G$4),"ok","nok")</f>
        <v>nok</v>
      </c>
      <c r="H139" s="74" t="str">
        <f>IF(AND($B139=[1]marcos!$A136,[1]marcos!$B136=H$4),"ok","nok")</f>
        <v>nok</v>
      </c>
      <c r="I139" s="74" t="str">
        <f>IF(AND($B139=[1]marcos!$A136,[1]marcos!$B136=I$4),"ok","nok")</f>
        <v>nok</v>
      </c>
      <c r="J139" s="74" t="str">
        <f>IF(AND($B139=[1]marcos!$A136,[1]marcos!$B136=J$4),"ok","nok")</f>
        <v>nok</v>
      </c>
      <c r="K139" s="74" t="str">
        <f>IF(AND($B139=[1]marcos!$A136,[1]marcos!$B136=K$4),"ok","nok")</f>
        <v>nok</v>
      </c>
      <c r="L139" s="74" t="str">
        <f>IF(AND($B139=[1]marcos!$A136,[1]marcos!$B136=L$4),"ok","nok")</f>
        <v>nok</v>
      </c>
      <c r="M139" s="74" t="str">
        <f>IF(AND($B139=[1]marcos!$A136,[1]marcos!$B136=M$4),"ok","nok")</f>
        <v>nok</v>
      </c>
      <c r="N139" s="74" t="str">
        <f>IF(AND($B139=[1]marcos!$A136,[1]marcos!$B136=N$4),"ok","nok")</f>
        <v>nok</v>
      </c>
      <c r="O139" s="74" t="str">
        <f>IF(AND($B139=[1]marcos!$A136,[1]marcos!$B136=O$4),"ok","nok")</f>
        <v>nok</v>
      </c>
      <c r="P139" s="74" t="str">
        <f>IF(AND($B139=[1]marcos!$A136,[1]marcos!$B136=P$4),"ok","nok")</f>
        <v>nok</v>
      </c>
      <c r="Q139" s="74" t="str">
        <f>IF(AND($B139=[1]marcos!$A136,[1]marcos!$B136=Q$4),"ok","nok")</f>
        <v>nok</v>
      </c>
      <c r="R139" s="83"/>
      <c r="S139" s="74" t="str">
        <f>IF(AND($B139=[1]marcos!$A136,[1]marcos!$B136=S$4),"ok","nok")</f>
        <v>nok</v>
      </c>
      <c r="T139" s="74" t="str">
        <f>IF(AND($B139=[1]marcos!$A136,[1]marcos!$B136=T$4),"ok","nok")</f>
        <v>nok</v>
      </c>
      <c r="U139" s="74" t="str">
        <f>IF(AND($B139=[1]marcos!$A136,[1]marcos!$B136=U$4),"ok","nok")</f>
        <v>nok</v>
      </c>
      <c r="V139" s="74" t="str">
        <f>IF(AND($B139=[1]marcos!$A136,[1]marcos!$B136=V$4),"ok","nok")</f>
        <v>nok</v>
      </c>
      <c r="W139" s="74" t="str">
        <f>IF(AND($B139=[1]marcos!$A136,[1]marcos!$B136=W$4),"ok","nok")</f>
        <v>nok</v>
      </c>
      <c r="X139" s="74" t="str">
        <f>IF(AND($B139=[1]marcos!$A136,[1]marcos!$B136=X$4),"ok","nok")</f>
        <v>ok</v>
      </c>
      <c r="Y139" s="96" t="s">
        <v>16</v>
      </c>
      <c r="Z139" s="97"/>
      <c r="AA139" s="97"/>
      <c r="AB139" s="98"/>
      <c r="AE139" s="63" t="str">
        <f t="shared" si="40"/>
        <v/>
      </c>
      <c r="AF139" s="63"/>
      <c r="AG139" s="63"/>
      <c r="AH139" s="63"/>
      <c r="AI139" s="64">
        <f t="shared" si="41"/>
        <v>0</v>
      </c>
      <c r="AJ139" s="64" t="str">
        <f t="shared" si="42"/>
        <v/>
      </c>
      <c r="AK139" s="64">
        <f t="shared" si="43"/>
        <v>0</v>
      </c>
      <c r="AL139" s="64" t="str">
        <f t="shared" si="44"/>
        <v/>
      </c>
      <c r="AM139" s="64">
        <f t="shared" si="45"/>
        <v>0</v>
      </c>
      <c r="AN139" s="64" t="str">
        <f t="shared" si="46"/>
        <v/>
      </c>
      <c r="AO139" s="64">
        <f t="shared" si="47"/>
        <v>0</v>
      </c>
      <c r="AP139" s="64" t="str">
        <f t="shared" si="48"/>
        <v/>
      </c>
      <c r="AQ139" s="64">
        <f t="shared" si="49"/>
        <v>1</v>
      </c>
      <c r="AR139" s="64" t="str">
        <f t="shared" si="50"/>
        <v/>
      </c>
    </row>
    <row r="140" spans="1:44" ht="30" customHeight="1" x14ac:dyDescent="0.35">
      <c r="A140" s="28" t="str">
        <f t="shared" si="51"/>
        <v>LARGO VANÁDIO MARACÁS
PLANTA QUÍMICA
ÁREA DE EVAPORAÇÃO
Tanque - 550 - TQ 206</v>
      </c>
      <c r="B140" s="55" t="s">
        <v>76</v>
      </c>
      <c r="C140" s="74" t="str">
        <f>IF(AND($B140=[1]marcos!$A137,[1]marcos!$B137=C$4),"ok","nok")</f>
        <v>nok</v>
      </c>
      <c r="D140" s="74" t="str">
        <f>IF(AND($B140=[1]marcos!$A137,[1]marcos!$B137=D$4),"ok","nok")</f>
        <v>nok</v>
      </c>
      <c r="E140" s="74" t="str">
        <f>IF(AND($B140=[1]marcos!$A137,[1]marcos!$B137=E$4),"ok","nok")</f>
        <v>nok</v>
      </c>
      <c r="F140" s="74" t="str">
        <f>IF(AND($B140=[1]marcos!$A137,[1]marcos!$B137=F$4),"ok","nok")</f>
        <v>nok</v>
      </c>
      <c r="G140" s="74" t="str">
        <f>IF(AND($B140=[1]marcos!$A137,[1]marcos!$B137=G$4),"ok","nok")</f>
        <v>nok</v>
      </c>
      <c r="H140" s="74" t="str">
        <f>IF(AND($B140=[1]marcos!$A137,[1]marcos!$B137=H$4),"ok","nok")</f>
        <v>nok</v>
      </c>
      <c r="I140" s="74" t="str">
        <f>IF(AND($B140=[1]marcos!$A137,[1]marcos!$B137=I$4),"ok","nok")</f>
        <v>nok</v>
      </c>
      <c r="J140" s="74" t="str">
        <f>IF(AND($B140=[1]marcos!$A137,[1]marcos!$B137=J$4),"ok","nok")</f>
        <v>nok</v>
      </c>
      <c r="K140" s="74" t="str">
        <f>IF(AND($B140=[1]marcos!$A137,[1]marcos!$B137=K$4),"ok","nok")</f>
        <v>nok</v>
      </c>
      <c r="L140" s="74" t="str">
        <f>IF(AND($B140=[1]marcos!$A137,[1]marcos!$B137=L$4),"ok","nok")</f>
        <v>nok</v>
      </c>
      <c r="M140" s="74" t="str">
        <f>IF(AND($B140=[1]marcos!$A137,[1]marcos!$B137=M$4),"ok","nok")</f>
        <v>nok</v>
      </c>
      <c r="N140" s="74" t="str">
        <f>IF(AND($B140=[1]marcos!$A137,[1]marcos!$B137=N$4),"ok","nok")</f>
        <v>nok</v>
      </c>
      <c r="O140" s="74" t="str">
        <f>IF(AND($B140=[1]marcos!$A137,[1]marcos!$B137=O$4),"ok","nok")</f>
        <v>nok</v>
      </c>
      <c r="P140" s="74" t="str">
        <f>IF(AND($B140=[1]marcos!$A137,[1]marcos!$B137=P$4),"ok","nok")</f>
        <v>nok</v>
      </c>
      <c r="Q140" s="74" t="str">
        <f>IF(AND($B140=[1]marcos!$A137,[1]marcos!$B137=Q$4),"ok","nok")</f>
        <v>nok</v>
      </c>
      <c r="R140" s="83"/>
      <c r="S140" s="74" t="str">
        <f>IF(AND($B140=[1]marcos!$A137,[1]marcos!$B137=S$4),"ok","nok")</f>
        <v>nok</v>
      </c>
      <c r="T140" s="74" t="str">
        <f>IF(AND($B140=[1]marcos!$A137,[1]marcos!$B137=T$4),"ok","nok")</f>
        <v>nok</v>
      </c>
      <c r="U140" s="74" t="str">
        <f>IF(AND($B140=[1]marcos!$A137,[1]marcos!$B137=U$4),"ok","nok")</f>
        <v>nok</v>
      </c>
      <c r="V140" s="74" t="str">
        <f>IF(AND($B140=[1]marcos!$A137,[1]marcos!$B137=V$4),"ok","nok")</f>
        <v>nok</v>
      </c>
      <c r="W140" s="74" t="str">
        <f>IF(AND($B140=[1]marcos!$A137,[1]marcos!$B137=W$4),"ok","nok")</f>
        <v>nok</v>
      </c>
      <c r="X140" s="74" t="str">
        <f>IF(AND($B140=[1]marcos!$A137,[1]marcos!$B137=X$4),"ok","nok")</f>
        <v>ok</v>
      </c>
      <c r="Y140" s="96" t="s">
        <v>16</v>
      </c>
      <c r="Z140" s="97"/>
      <c r="AA140" s="97"/>
      <c r="AB140" s="98"/>
      <c r="AE140" s="63" t="str">
        <f t="shared" si="40"/>
        <v/>
      </c>
      <c r="AF140" s="63"/>
      <c r="AG140" s="63"/>
      <c r="AH140" s="63"/>
      <c r="AI140" s="64">
        <f t="shared" si="41"/>
        <v>0</v>
      </c>
      <c r="AJ140" s="64" t="str">
        <f t="shared" si="42"/>
        <v/>
      </c>
      <c r="AK140" s="64">
        <f t="shared" si="43"/>
        <v>0</v>
      </c>
      <c r="AL140" s="64" t="str">
        <f t="shared" si="44"/>
        <v/>
      </c>
      <c r="AM140" s="64">
        <f t="shared" si="45"/>
        <v>0</v>
      </c>
      <c r="AN140" s="64" t="str">
        <f t="shared" si="46"/>
        <v/>
      </c>
      <c r="AO140" s="64">
        <f t="shared" si="47"/>
        <v>0</v>
      </c>
      <c r="AP140" s="64" t="str">
        <f t="shared" si="48"/>
        <v/>
      </c>
      <c r="AQ140" s="64">
        <f t="shared" si="49"/>
        <v>1</v>
      </c>
      <c r="AR140" s="64" t="str">
        <f t="shared" si="50"/>
        <v/>
      </c>
    </row>
    <row r="141" spans="1:44" ht="30" customHeight="1" x14ac:dyDescent="0.35">
      <c r="A141" s="28"/>
      <c r="B141" s="77" t="s">
        <v>81</v>
      </c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120"/>
      <c r="Z141" s="121"/>
      <c r="AA141" s="121"/>
      <c r="AB141" s="122"/>
      <c r="AE141" s="63" t="str">
        <f t="shared" si="40"/>
        <v/>
      </c>
      <c r="AF141" s="63"/>
      <c r="AG141" s="63"/>
      <c r="AH141" s="63"/>
      <c r="AI141" s="64">
        <f t="shared" si="41"/>
        <v>0</v>
      </c>
      <c r="AJ141" s="64" t="str">
        <f t="shared" si="42"/>
        <v/>
      </c>
      <c r="AK141" s="64">
        <f t="shared" si="43"/>
        <v>0</v>
      </c>
      <c r="AL141" s="64" t="str">
        <f t="shared" si="44"/>
        <v/>
      </c>
      <c r="AM141" s="64">
        <f t="shared" si="45"/>
        <v>0</v>
      </c>
      <c r="AN141" s="64" t="str">
        <f t="shared" si="46"/>
        <v/>
      </c>
      <c r="AO141" s="64">
        <f t="shared" si="47"/>
        <v>0</v>
      </c>
      <c r="AP141" s="64" t="str">
        <f t="shared" si="48"/>
        <v/>
      </c>
      <c r="AQ141" s="64">
        <f t="shared" si="49"/>
        <v>0</v>
      </c>
      <c r="AR141" s="64" t="str">
        <f t="shared" si="50"/>
        <v/>
      </c>
    </row>
    <row r="142" spans="1:44" ht="30" customHeight="1" x14ac:dyDescent="0.35">
      <c r="A142" s="28" t="str">
        <f>CONCATENATE($B$80,"
",$B$83,"
",$B$84,"
",$B$141)</f>
        <v>LARGO VANÁDIO MARACÁS
PLANTA QUÍMICA
ÁREA DE EVAPORAÇÃO
GERAL - ÁREA DE EVAPORAÇÃO</v>
      </c>
      <c r="B142" s="53" t="s">
        <v>82</v>
      </c>
      <c r="C142" s="74" t="str">
        <f>IF(AND($B142=[1]marcos!$A139,[1]marcos!$B139=C$4),"ok","nok")</f>
        <v>nok</v>
      </c>
      <c r="D142" s="74" t="str">
        <f>IF(AND($B142=[1]marcos!$A139,[1]marcos!$B139=D$4),"ok","nok")</f>
        <v>nok</v>
      </c>
      <c r="E142" s="74" t="str">
        <f>IF(AND($B142=[1]marcos!$A139,[1]marcos!$B139=E$4),"ok","nok")</f>
        <v>nok</v>
      </c>
      <c r="F142" s="74" t="str">
        <f>IF(AND($B142=[1]marcos!$A139,[1]marcos!$B139=F$4),"ok","nok")</f>
        <v>nok</v>
      </c>
      <c r="G142" s="74" t="str">
        <f>IF(AND($B142=[1]marcos!$A139,[1]marcos!$B139=G$4),"ok","nok")</f>
        <v>nok</v>
      </c>
      <c r="H142" s="74" t="str">
        <f>IF(AND($B142=[1]marcos!$A139,[1]marcos!$B139=H$4),"ok","nok")</f>
        <v>nok</v>
      </c>
      <c r="I142" s="74" t="str">
        <f>IF(AND($B142=[1]marcos!$A139,[1]marcos!$B139=I$4),"ok","nok")</f>
        <v>nok</v>
      </c>
      <c r="J142" s="83"/>
      <c r="K142" s="74" t="str">
        <f>IF(AND($B142=[1]marcos!$A139,[1]marcos!$B139=K$4),"ok","nok")</f>
        <v>nok</v>
      </c>
      <c r="L142" s="74" t="str">
        <f>IF(AND($B142=[1]marcos!$A139,[1]marcos!$B139=L$4),"ok","nok")</f>
        <v>nok</v>
      </c>
      <c r="M142" s="74" t="str">
        <f>IF(AND($B142=[1]marcos!$A139,[1]marcos!$B139=M$4),"ok","nok")</f>
        <v>nok</v>
      </c>
      <c r="N142" s="74" t="str">
        <f>IF(AND($B142=[1]marcos!$A139,[1]marcos!$B139=N$4),"ok","nok")</f>
        <v>nok</v>
      </c>
      <c r="O142" s="74" t="str">
        <f>IF(AND($B142=[1]marcos!$A139,[1]marcos!$B139=O$4),"ok","nok")</f>
        <v>nok</v>
      </c>
      <c r="P142" s="74" t="str">
        <f>IF(AND($B142=[1]marcos!$A139,[1]marcos!$B139=P$4),"ok","nok")</f>
        <v>nok</v>
      </c>
      <c r="Q142" s="74" t="str">
        <f>IF(AND($B142=[1]marcos!$A139,[1]marcos!$B139=Q$4),"ok","nok")</f>
        <v>nok</v>
      </c>
      <c r="R142" s="74" t="str">
        <f>IF(AND($B142=[1]marcos!$A139,[1]marcos!$B139=R$4),"ok","nok")</f>
        <v>nok</v>
      </c>
      <c r="S142" s="74" t="str">
        <f>IF(AND($B142=[1]marcos!$A139,[1]marcos!$B139=S$4),"ok","nok")</f>
        <v>nok</v>
      </c>
      <c r="T142" s="74" t="str">
        <f>IF(AND($B142=[1]marcos!$A139,[1]marcos!$B139=T$4),"ok","nok")</f>
        <v>nok</v>
      </c>
      <c r="U142" s="74" t="str">
        <f>IF(AND($B142=[1]marcos!$A139,[1]marcos!$B139=U$4),"ok","nok")</f>
        <v>nok</v>
      </c>
      <c r="V142" s="74" t="str">
        <f>IF(AND($B142=[1]marcos!$A139,[1]marcos!$B139=V$4),"ok","nok")</f>
        <v>ok</v>
      </c>
      <c r="W142" s="74" t="str">
        <f>IF(AND($B142=[1]marcos!$A139,[1]marcos!$B139=W$4),"ok","nok")</f>
        <v>nok</v>
      </c>
      <c r="X142" s="74" t="str">
        <f>IF(AND($B142=[1]marcos!$A139,[1]marcos!$B139=X$4),"ok","nok")</f>
        <v>nok</v>
      </c>
      <c r="Y142" s="96" t="s">
        <v>32</v>
      </c>
      <c r="Z142" s="97"/>
      <c r="AA142" s="97"/>
      <c r="AB142" s="98"/>
      <c r="AE142" s="63" t="str">
        <f t="shared" si="40"/>
        <v>Verificação do Relatório</v>
      </c>
      <c r="AF142" s="63"/>
      <c r="AG142" s="63"/>
      <c r="AH142" s="63"/>
      <c r="AI142" s="64">
        <f t="shared" si="41"/>
        <v>0</v>
      </c>
      <c r="AJ142" s="64" t="str">
        <f t="shared" si="42"/>
        <v/>
      </c>
      <c r="AK142" s="64">
        <f t="shared" si="43"/>
        <v>0</v>
      </c>
      <c r="AL142" s="64" t="str">
        <f t="shared" si="44"/>
        <v/>
      </c>
      <c r="AM142" s="64">
        <f t="shared" si="45"/>
        <v>0</v>
      </c>
      <c r="AN142" s="64" t="str">
        <f t="shared" si="46"/>
        <v/>
      </c>
      <c r="AO142" s="64">
        <f t="shared" si="47"/>
        <v>1</v>
      </c>
      <c r="AP142" s="64" t="str">
        <f t="shared" si="48"/>
        <v/>
      </c>
      <c r="AQ142" s="64">
        <f t="shared" si="49"/>
        <v>0</v>
      </c>
      <c r="AR142" s="64" t="str">
        <f t="shared" si="50"/>
        <v/>
      </c>
    </row>
    <row r="143" spans="1:44" ht="30" customHeight="1" x14ac:dyDescent="0.35">
      <c r="A143" s="28"/>
      <c r="B143" s="54" t="s">
        <v>83</v>
      </c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114"/>
      <c r="Z143" s="115"/>
      <c r="AA143" s="115"/>
      <c r="AB143" s="116"/>
      <c r="AE143" s="63" t="str">
        <f t="shared" si="40"/>
        <v/>
      </c>
      <c r="AF143" s="63"/>
      <c r="AG143" s="63"/>
      <c r="AH143" s="63"/>
      <c r="AI143" s="64">
        <f t="shared" si="41"/>
        <v>0</v>
      </c>
      <c r="AJ143" s="64" t="str">
        <f t="shared" si="42"/>
        <v/>
      </c>
      <c r="AK143" s="64">
        <f t="shared" si="43"/>
        <v>0</v>
      </c>
      <c r="AL143" s="64" t="str">
        <f t="shared" si="44"/>
        <v/>
      </c>
      <c r="AM143" s="64">
        <f t="shared" si="45"/>
        <v>0</v>
      </c>
      <c r="AN143" s="64" t="str">
        <f t="shared" si="46"/>
        <v/>
      </c>
      <c r="AO143" s="64">
        <f t="shared" si="47"/>
        <v>0</v>
      </c>
      <c r="AP143" s="64" t="str">
        <f t="shared" si="48"/>
        <v/>
      </c>
      <c r="AQ143" s="64">
        <f t="shared" si="49"/>
        <v>0</v>
      </c>
      <c r="AR143" s="64" t="str">
        <f t="shared" si="50"/>
        <v/>
      </c>
    </row>
    <row r="144" spans="1:44" ht="30" customHeight="1" x14ac:dyDescent="0.35">
      <c r="A144" s="28" t="str">
        <f t="shared" ref="A144:A147" si="52">CONCATENATE($B$80,"
",$B$83,"
",$B$84,"
",$B$141)</f>
        <v>LARGO VANÁDIO MARACÁS
PLANTA QUÍMICA
ÁREA DE EVAPORAÇÃO
GERAL - ÁREA DE EVAPORAÇÃO</v>
      </c>
      <c r="B144" s="55" t="s">
        <v>75</v>
      </c>
      <c r="C144" s="74" t="str">
        <f>IF(AND($B144=[1]marcos!$A141,[1]marcos!$B141=C$4),"ok","nok")</f>
        <v>nok</v>
      </c>
      <c r="D144" s="74" t="str">
        <f>IF(AND($B144=[1]marcos!$A141,[1]marcos!$B141=D$4),"ok","nok")</f>
        <v>nok</v>
      </c>
      <c r="E144" s="74" t="str">
        <f>IF(AND($B144=[1]marcos!$A141,[1]marcos!$B141=E$4),"ok","nok")</f>
        <v>nok</v>
      </c>
      <c r="F144" s="74" t="str">
        <f>IF(AND($B144=[1]marcos!$A141,[1]marcos!$B141=F$4),"ok","nok")</f>
        <v>nok</v>
      </c>
      <c r="G144" s="74" t="str">
        <f>IF(AND($B144=[1]marcos!$A141,[1]marcos!$B141=G$4),"ok","nok")</f>
        <v>nok</v>
      </c>
      <c r="H144" s="74" t="str">
        <f>IF(AND($B144=[1]marcos!$A141,[1]marcos!$B141=H$4),"ok","nok")</f>
        <v>nok</v>
      </c>
      <c r="I144" s="74" t="str">
        <f>IF(AND($B144=[1]marcos!$A141,[1]marcos!$B141=I$4),"ok","nok")</f>
        <v>nok</v>
      </c>
      <c r="J144" s="83"/>
      <c r="K144" s="74" t="str">
        <f>IF(AND($B144=[1]marcos!$A141,[1]marcos!$B141=K$4),"ok","nok")</f>
        <v>nok</v>
      </c>
      <c r="L144" s="74" t="str">
        <f>IF(AND($B144=[1]marcos!$A141,[1]marcos!$B141=L$4),"ok","nok")</f>
        <v>nok</v>
      </c>
      <c r="M144" s="74" t="str">
        <f>IF(AND($B144=[1]marcos!$A141,[1]marcos!$B141=M$4),"ok","nok")</f>
        <v>nok</v>
      </c>
      <c r="N144" s="74" t="str">
        <f>IF(AND($B144=[1]marcos!$A141,[1]marcos!$B141=N$4),"ok","nok")</f>
        <v>nok</v>
      </c>
      <c r="O144" s="74" t="str">
        <f>IF(AND($B144=[1]marcos!$A141,[1]marcos!$B141=O$4),"ok","nok")</f>
        <v>nok</v>
      </c>
      <c r="P144" s="74" t="str">
        <f>IF(AND($B144=[1]marcos!$A141,[1]marcos!$B141=P$4),"ok","nok")</f>
        <v>nok</v>
      </c>
      <c r="Q144" s="74" t="str">
        <f>IF(AND($B144=[1]marcos!$A141,[1]marcos!$B141=Q$4),"ok","nok")</f>
        <v>nok</v>
      </c>
      <c r="R144" s="74" t="str">
        <f>IF(AND($B144=[1]marcos!$A141,[1]marcos!$B141=R$4),"ok","nok")</f>
        <v>nok</v>
      </c>
      <c r="S144" s="74" t="str">
        <f>IF(AND($B144=[1]marcos!$A141,[1]marcos!$B141=S$4),"ok","nok")</f>
        <v>nok</v>
      </c>
      <c r="T144" s="74" t="str">
        <f>IF(AND($B144=[1]marcos!$A141,[1]marcos!$B141=T$4),"ok","nok")</f>
        <v>nok</v>
      </c>
      <c r="U144" s="74" t="str">
        <f>IF(AND($B144=[1]marcos!$A141,[1]marcos!$B141=U$4),"ok","nok")</f>
        <v>nok</v>
      </c>
      <c r="V144" s="74" t="str">
        <f>IF(AND($B144=[1]marcos!$A141,[1]marcos!$B141=V$4),"ok","nok")</f>
        <v>ok</v>
      </c>
      <c r="W144" s="74" t="str">
        <f>IF(AND($B144=[1]marcos!$A141,[1]marcos!$B141=W$4),"ok","nok")</f>
        <v>nok</v>
      </c>
      <c r="X144" s="74" t="str">
        <f>IF(AND($B144=[1]marcos!$A141,[1]marcos!$B141=X$4),"ok","nok")</f>
        <v>nok</v>
      </c>
      <c r="Y144" s="96" t="s">
        <v>32</v>
      </c>
      <c r="Z144" s="97"/>
      <c r="AA144" s="97"/>
      <c r="AB144" s="98"/>
      <c r="AE144" s="63" t="str">
        <f t="shared" si="40"/>
        <v>MARCO - Emissão Inicial</v>
      </c>
      <c r="AF144" s="63"/>
      <c r="AG144" s="63"/>
      <c r="AH144" s="63"/>
      <c r="AI144" s="64">
        <f t="shared" si="41"/>
        <v>0</v>
      </c>
      <c r="AJ144" s="64" t="str">
        <f t="shared" si="42"/>
        <v/>
      </c>
      <c r="AK144" s="64">
        <f t="shared" si="43"/>
        <v>0</v>
      </c>
      <c r="AL144" s="64" t="str">
        <f t="shared" si="44"/>
        <v/>
      </c>
      <c r="AM144" s="64">
        <f t="shared" si="45"/>
        <v>0</v>
      </c>
      <c r="AN144" s="64" t="str">
        <f t="shared" si="46"/>
        <v/>
      </c>
      <c r="AO144" s="64">
        <f t="shared" si="47"/>
        <v>1</v>
      </c>
      <c r="AP144" s="64" t="str">
        <f t="shared" si="48"/>
        <v/>
      </c>
      <c r="AQ144" s="64">
        <f t="shared" si="49"/>
        <v>0</v>
      </c>
      <c r="AR144" s="64" t="str">
        <f t="shared" si="50"/>
        <v/>
      </c>
    </row>
    <row r="145" spans="1:44" ht="30" customHeight="1" x14ac:dyDescent="0.35">
      <c r="A145" s="28" t="str">
        <f t="shared" si="52"/>
        <v>LARGO VANÁDIO MARACÁS
PLANTA QUÍMICA
ÁREA DE EVAPORAÇÃO
GERAL - ÁREA DE EVAPORAÇÃO</v>
      </c>
      <c r="B145" s="55" t="s">
        <v>20</v>
      </c>
      <c r="C145" s="74" t="str">
        <f>IF(AND($B145=[1]marcos!$A142,[1]marcos!$B142=C$4),"ok","nok")</f>
        <v>nok</v>
      </c>
      <c r="D145" s="74" t="str">
        <f>IF(AND($B145=[1]marcos!$A142,[1]marcos!$B142=D$4),"ok","nok")</f>
        <v>nok</v>
      </c>
      <c r="E145" s="74" t="str">
        <f>IF(AND($B145=[1]marcos!$A142,[1]marcos!$B142=E$4),"ok","nok")</f>
        <v>nok</v>
      </c>
      <c r="F145" s="74" t="str">
        <f>IF(AND($B145=[1]marcos!$A142,[1]marcos!$B142=F$4),"ok","nok")</f>
        <v>nok</v>
      </c>
      <c r="G145" s="74" t="str">
        <f>IF(AND($B145=[1]marcos!$A142,[1]marcos!$B142=G$4),"ok","nok")</f>
        <v>nok</v>
      </c>
      <c r="H145" s="74" t="str">
        <f>IF(AND($B145=[1]marcos!$A142,[1]marcos!$B142=H$4),"ok","nok")</f>
        <v>nok</v>
      </c>
      <c r="I145" s="74" t="str">
        <f>IF(AND($B145=[1]marcos!$A142,[1]marcos!$B142=I$4),"ok","nok")</f>
        <v>nok</v>
      </c>
      <c r="J145" s="74" t="str">
        <f>IF(AND($B145=[1]marcos!$A142,[1]marcos!$B142=J$4),"ok","nok")</f>
        <v>nok</v>
      </c>
      <c r="K145" s="74" t="str">
        <f>IF(AND($B145=[1]marcos!$A142,[1]marcos!$B142=K$4),"ok","nok")</f>
        <v>nok</v>
      </c>
      <c r="L145" s="74" t="str">
        <f>IF(AND($B145=[1]marcos!$A142,[1]marcos!$B142=L$4),"ok","nok")</f>
        <v>nok</v>
      </c>
      <c r="M145" s="74" t="str">
        <f>IF(AND($B145=[1]marcos!$A142,[1]marcos!$B142=M$4),"ok","nok")</f>
        <v>nok</v>
      </c>
      <c r="N145" s="74" t="str">
        <f>IF(AND($B145=[1]marcos!$A142,[1]marcos!$B142=N$4),"ok","nok")</f>
        <v>nok</v>
      </c>
      <c r="O145" s="83"/>
      <c r="P145" s="74" t="str">
        <f>IF(AND($B145=[1]marcos!$A142,[1]marcos!$B142=P$4),"ok","nok")</f>
        <v>nok</v>
      </c>
      <c r="Q145" s="74" t="str">
        <f>IF(AND($B145=[1]marcos!$A142,[1]marcos!$B142=Q$4),"ok","nok")</f>
        <v>nok</v>
      </c>
      <c r="R145" s="74" t="str">
        <f>IF(AND($B145=[1]marcos!$A142,[1]marcos!$B142=R$4),"ok","nok")</f>
        <v>nok</v>
      </c>
      <c r="S145" s="74" t="str">
        <f>IF(AND($B145=[1]marcos!$A142,[1]marcos!$B142=S$4),"ok","nok")</f>
        <v>nok</v>
      </c>
      <c r="T145" s="74" t="str">
        <f>IF(AND($B145=[1]marcos!$A142,[1]marcos!$B142=T$4),"ok","nok")</f>
        <v>nok</v>
      </c>
      <c r="U145" s="74" t="str">
        <f>IF(AND($B145=[1]marcos!$A142,[1]marcos!$B142=U$4),"ok","nok")</f>
        <v>nok</v>
      </c>
      <c r="V145" s="74" t="str">
        <f>IF(AND($B145=[1]marcos!$A142,[1]marcos!$B142=V$4),"ok","nok")</f>
        <v>nok</v>
      </c>
      <c r="W145" s="74" t="str">
        <f>IF(AND($B145=[1]marcos!$A142,[1]marcos!$B142=W$4),"ok","nok")</f>
        <v>ok</v>
      </c>
      <c r="X145" s="74" t="str">
        <f>IF(AND($B145=[1]marcos!$A142,[1]marcos!$B142=X$4),"ok","nok")</f>
        <v>nok</v>
      </c>
      <c r="Y145" s="96" t="s">
        <v>16</v>
      </c>
      <c r="Z145" s="97"/>
      <c r="AA145" s="97"/>
      <c r="AB145" s="98"/>
      <c r="AE145" s="63" t="str">
        <f t="shared" si="40"/>
        <v/>
      </c>
      <c r="AF145" s="63"/>
      <c r="AG145" s="63"/>
      <c r="AH145" s="63"/>
      <c r="AI145" s="64">
        <f t="shared" si="41"/>
        <v>0</v>
      </c>
      <c r="AJ145" s="64" t="str">
        <f t="shared" si="42"/>
        <v/>
      </c>
      <c r="AK145" s="64">
        <f t="shared" si="43"/>
        <v>0</v>
      </c>
      <c r="AL145" s="64" t="str">
        <f t="shared" si="44"/>
        <v/>
      </c>
      <c r="AM145" s="64">
        <f t="shared" si="45"/>
        <v>0</v>
      </c>
      <c r="AN145" s="64" t="str">
        <f t="shared" si="46"/>
        <v/>
      </c>
      <c r="AO145" s="64">
        <f t="shared" si="47"/>
        <v>0</v>
      </c>
      <c r="AP145" s="64" t="str">
        <f t="shared" si="48"/>
        <v/>
      </c>
      <c r="AQ145" s="64">
        <f t="shared" si="49"/>
        <v>1</v>
      </c>
      <c r="AR145" s="64" t="str">
        <f t="shared" si="50"/>
        <v/>
      </c>
    </row>
    <row r="146" spans="1:44" ht="30" customHeight="1" x14ac:dyDescent="0.35">
      <c r="A146" s="28" t="str">
        <f t="shared" si="52"/>
        <v>LARGO VANÁDIO MARACÁS
PLANTA QUÍMICA
ÁREA DE EVAPORAÇÃO
GERAL - ÁREA DE EVAPORAÇÃO</v>
      </c>
      <c r="B146" s="55" t="s">
        <v>38</v>
      </c>
      <c r="C146" s="74" t="str">
        <f>IF(AND($B146=[1]marcos!$A143,[1]marcos!$B143=C$4),"ok","nok")</f>
        <v>nok</v>
      </c>
      <c r="D146" s="74" t="str">
        <f>IF(AND($B146=[1]marcos!$A143,[1]marcos!$B143=D$4),"ok","nok")</f>
        <v>nok</v>
      </c>
      <c r="E146" s="74" t="str">
        <f>IF(AND($B146=[1]marcos!$A143,[1]marcos!$B143=E$4),"ok","nok")</f>
        <v>nok</v>
      </c>
      <c r="F146" s="74" t="str">
        <f>IF(AND($B146=[1]marcos!$A143,[1]marcos!$B143=F$4),"ok","nok")</f>
        <v>nok</v>
      </c>
      <c r="G146" s="74" t="str">
        <f>IF(AND($B146=[1]marcos!$A143,[1]marcos!$B143=G$4),"ok","nok")</f>
        <v>nok</v>
      </c>
      <c r="H146" s="74" t="str">
        <f>IF(AND($B146=[1]marcos!$A143,[1]marcos!$B143=H$4),"ok","nok")</f>
        <v>nok</v>
      </c>
      <c r="I146" s="74" t="str">
        <f>IF(AND($B146=[1]marcos!$A143,[1]marcos!$B143=I$4),"ok","nok")</f>
        <v>nok</v>
      </c>
      <c r="J146" s="74" t="str">
        <f>IF(AND($B146=[1]marcos!$A143,[1]marcos!$B143=J$4),"ok","nok")</f>
        <v>nok</v>
      </c>
      <c r="K146" s="74" t="str">
        <f>IF(AND($B146=[1]marcos!$A143,[1]marcos!$B143=K$4),"ok","nok")</f>
        <v>nok</v>
      </c>
      <c r="L146" s="74" t="str">
        <f>IF(AND($B146=[1]marcos!$A143,[1]marcos!$B143=L$4),"ok","nok")</f>
        <v>nok</v>
      </c>
      <c r="M146" s="74" t="str">
        <f>IF(AND($B146=[1]marcos!$A143,[1]marcos!$B143=M$4),"ok","nok")</f>
        <v>nok</v>
      </c>
      <c r="N146" s="74" t="str">
        <f>IF(AND($B146=[1]marcos!$A143,[1]marcos!$B143=N$4),"ok","nok")</f>
        <v>nok</v>
      </c>
      <c r="O146" s="74" t="str">
        <f>IF(AND($B146=[1]marcos!$A143,[1]marcos!$B143=O$4),"ok","nok")</f>
        <v>nok</v>
      </c>
      <c r="P146" s="74" t="str">
        <f>IF(AND($B146=[1]marcos!$A143,[1]marcos!$B143=P$4),"ok","nok")</f>
        <v>nok</v>
      </c>
      <c r="Q146" s="74" t="str">
        <f>IF(AND($B146=[1]marcos!$A143,[1]marcos!$B143=Q$4),"ok","nok")</f>
        <v>nok</v>
      </c>
      <c r="R146" s="83"/>
      <c r="S146" s="74" t="str">
        <f>IF(AND($B146=[1]marcos!$A143,[1]marcos!$B143=S$4),"ok","nok")</f>
        <v>nok</v>
      </c>
      <c r="T146" s="74" t="str">
        <f>IF(AND($B146=[1]marcos!$A143,[1]marcos!$B143=T$4),"ok","nok")</f>
        <v>nok</v>
      </c>
      <c r="U146" s="74" t="str">
        <f>IF(AND($B146=[1]marcos!$A143,[1]marcos!$B143=U$4),"ok","nok")</f>
        <v>nok</v>
      </c>
      <c r="V146" s="74" t="str">
        <f>IF(AND($B146=[1]marcos!$A143,[1]marcos!$B143=V$4),"ok","nok")</f>
        <v>nok</v>
      </c>
      <c r="W146" s="74" t="str">
        <f>IF(AND($B146=[1]marcos!$A143,[1]marcos!$B143=W$4),"ok","nok")</f>
        <v>nok</v>
      </c>
      <c r="X146" s="74" t="str">
        <f>IF(AND($B146=[1]marcos!$A143,[1]marcos!$B143=X$4),"ok","nok")</f>
        <v>ok</v>
      </c>
      <c r="Y146" s="96" t="s">
        <v>16</v>
      </c>
      <c r="Z146" s="97"/>
      <c r="AA146" s="97"/>
      <c r="AB146" s="98"/>
      <c r="AE146" s="63" t="str">
        <f t="shared" si="40"/>
        <v/>
      </c>
      <c r="AF146" s="63"/>
      <c r="AG146" s="63"/>
      <c r="AH146" s="63"/>
      <c r="AI146" s="64">
        <f t="shared" si="41"/>
        <v>0</v>
      </c>
      <c r="AJ146" s="64" t="str">
        <f t="shared" si="42"/>
        <v/>
      </c>
      <c r="AK146" s="64">
        <f t="shared" si="43"/>
        <v>0</v>
      </c>
      <c r="AL146" s="64" t="str">
        <f t="shared" si="44"/>
        <v/>
      </c>
      <c r="AM146" s="64">
        <f t="shared" si="45"/>
        <v>0</v>
      </c>
      <c r="AN146" s="64" t="str">
        <f t="shared" si="46"/>
        <v/>
      </c>
      <c r="AO146" s="64">
        <f t="shared" si="47"/>
        <v>0</v>
      </c>
      <c r="AP146" s="64" t="str">
        <f t="shared" si="48"/>
        <v/>
      </c>
      <c r="AQ146" s="64">
        <f t="shared" si="49"/>
        <v>1</v>
      </c>
      <c r="AR146" s="64" t="str">
        <f t="shared" si="50"/>
        <v/>
      </c>
    </row>
    <row r="147" spans="1:44" ht="30" customHeight="1" x14ac:dyDescent="0.35">
      <c r="A147" s="28" t="str">
        <f t="shared" si="52"/>
        <v>LARGO VANÁDIO MARACÁS
PLANTA QUÍMICA
ÁREA DE EVAPORAÇÃO
GERAL - ÁREA DE EVAPORAÇÃO</v>
      </c>
      <c r="B147" s="55" t="s">
        <v>76</v>
      </c>
      <c r="C147" s="74" t="str">
        <f>IF(AND($B147=[1]marcos!$A144,[1]marcos!$B144=C$4),"ok","nok")</f>
        <v>nok</v>
      </c>
      <c r="D147" s="74" t="str">
        <f>IF(AND($B147=[1]marcos!$A144,[1]marcos!$B144=D$4),"ok","nok")</f>
        <v>nok</v>
      </c>
      <c r="E147" s="74" t="str">
        <f>IF(AND($B147=[1]marcos!$A144,[1]marcos!$B144=E$4),"ok","nok")</f>
        <v>nok</v>
      </c>
      <c r="F147" s="74" t="str">
        <f>IF(AND($B147=[1]marcos!$A144,[1]marcos!$B144=F$4),"ok","nok")</f>
        <v>nok</v>
      </c>
      <c r="G147" s="74" t="str">
        <f>IF(AND($B147=[1]marcos!$A144,[1]marcos!$B144=G$4),"ok","nok")</f>
        <v>nok</v>
      </c>
      <c r="H147" s="74" t="str">
        <f>IF(AND($B147=[1]marcos!$A144,[1]marcos!$B144=H$4),"ok","nok")</f>
        <v>nok</v>
      </c>
      <c r="I147" s="74" t="str">
        <f>IF(AND($B147=[1]marcos!$A144,[1]marcos!$B144=I$4),"ok","nok")</f>
        <v>nok</v>
      </c>
      <c r="J147" s="74" t="str">
        <f>IF(AND($B147=[1]marcos!$A144,[1]marcos!$B144=J$4),"ok","nok")</f>
        <v>nok</v>
      </c>
      <c r="K147" s="74" t="str">
        <f>IF(AND($B147=[1]marcos!$A144,[1]marcos!$B144=K$4),"ok","nok")</f>
        <v>nok</v>
      </c>
      <c r="L147" s="74" t="str">
        <f>IF(AND($B147=[1]marcos!$A144,[1]marcos!$B144=L$4),"ok","nok")</f>
        <v>nok</v>
      </c>
      <c r="M147" s="74" t="str">
        <f>IF(AND($B147=[1]marcos!$A144,[1]marcos!$B144=M$4),"ok","nok")</f>
        <v>nok</v>
      </c>
      <c r="N147" s="74" t="str">
        <f>IF(AND($B147=[1]marcos!$A144,[1]marcos!$B144=N$4),"ok","nok")</f>
        <v>nok</v>
      </c>
      <c r="O147" s="74" t="str">
        <f>IF(AND($B147=[1]marcos!$A144,[1]marcos!$B144=O$4),"ok","nok")</f>
        <v>nok</v>
      </c>
      <c r="P147" s="74" t="str">
        <f>IF(AND($B147=[1]marcos!$A144,[1]marcos!$B144=P$4),"ok","nok")</f>
        <v>nok</v>
      </c>
      <c r="Q147" s="74" t="str">
        <f>IF(AND($B147=[1]marcos!$A144,[1]marcos!$B144=Q$4),"ok","nok")</f>
        <v>nok</v>
      </c>
      <c r="R147" s="83"/>
      <c r="S147" s="74" t="str">
        <f>IF(AND($B147=[1]marcos!$A144,[1]marcos!$B144=S$4),"ok","nok")</f>
        <v>nok</v>
      </c>
      <c r="T147" s="74" t="str">
        <f>IF(AND($B147=[1]marcos!$A144,[1]marcos!$B144=T$4),"ok","nok")</f>
        <v>nok</v>
      </c>
      <c r="U147" s="74" t="str">
        <f>IF(AND($B147=[1]marcos!$A144,[1]marcos!$B144=U$4),"ok","nok")</f>
        <v>nok</v>
      </c>
      <c r="V147" s="74" t="str">
        <f>IF(AND($B147=[1]marcos!$A144,[1]marcos!$B144=V$4),"ok","nok")</f>
        <v>nok</v>
      </c>
      <c r="W147" s="74" t="str">
        <f>IF(AND($B147=[1]marcos!$A144,[1]marcos!$B144=W$4),"ok","nok")</f>
        <v>nok</v>
      </c>
      <c r="X147" s="74" t="str">
        <f>IF(AND($B147=[1]marcos!$A144,[1]marcos!$B144=X$4),"ok","nok")</f>
        <v>ok</v>
      </c>
      <c r="Y147" s="96" t="s">
        <v>16</v>
      </c>
      <c r="Z147" s="97"/>
      <c r="AA147" s="97"/>
      <c r="AB147" s="98"/>
      <c r="AE147" s="63" t="str">
        <f t="shared" si="40"/>
        <v/>
      </c>
      <c r="AF147" s="63"/>
      <c r="AG147" s="63"/>
      <c r="AH147" s="63"/>
      <c r="AI147" s="64">
        <f t="shared" si="41"/>
        <v>0</v>
      </c>
      <c r="AJ147" s="64" t="str">
        <f t="shared" si="42"/>
        <v/>
      </c>
      <c r="AK147" s="64">
        <f t="shared" si="43"/>
        <v>0</v>
      </c>
      <c r="AL147" s="64" t="str">
        <f t="shared" si="44"/>
        <v/>
      </c>
      <c r="AM147" s="64">
        <f t="shared" si="45"/>
        <v>0</v>
      </c>
      <c r="AN147" s="64" t="str">
        <f t="shared" si="46"/>
        <v/>
      </c>
      <c r="AO147" s="64">
        <f t="shared" si="47"/>
        <v>0</v>
      </c>
      <c r="AP147" s="64" t="str">
        <f t="shared" si="48"/>
        <v/>
      </c>
      <c r="AQ147" s="64">
        <f t="shared" si="49"/>
        <v>1</v>
      </c>
      <c r="AR147" s="64" t="str">
        <f t="shared" si="50"/>
        <v/>
      </c>
    </row>
    <row r="148" spans="1:44" ht="30" customHeight="1" x14ac:dyDescent="0.35">
      <c r="A148" s="28"/>
      <c r="B148" s="57" t="s">
        <v>57</v>
      </c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108"/>
      <c r="Z148" s="109"/>
      <c r="AA148" s="109"/>
      <c r="AB148" s="110"/>
      <c r="AE148" s="63" t="str">
        <f t="shared" si="40"/>
        <v/>
      </c>
      <c r="AF148" s="63"/>
      <c r="AG148" s="63"/>
      <c r="AH148" s="63"/>
      <c r="AI148" s="64">
        <f t="shared" si="41"/>
        <v>0</v>
      </c>
      <c r="AJ148" s="64" t="str">
        <f t="shared" si="42"/>
        <v/>
      </c>
      <c r="AK148" s="64">
        <f t="shared" si="43"/>
        <v>0</v>
      </c>
      <c r="AL148" s="64" t="str">
        <f t="shared" si="44"/>
        <v/>
      </c>
      <c r="AM148" s="64">
        <f t="shared" si="45"/>
        <v>0</v>
      </c>
      <c r="AN148" s="64" t="str">
        <f t="shared" si="46"/>
        <v/>
      </c>
      <c r="AO148" s="64">
        <f t="shared" si="47"/>
        <v>0</v>
      </c>
      <c r="AP148" s="64" t="str">
        <f t="shared" si="48"/>
        <v/>
      </c>
      <c r="AQ148" s="64">
        <f t="shared" si="49"/>
        <v>0</v>
      </c>
      <c r="AR148" s="64" t="str">
        <f t="shared" si="50"/>
        <v/>
      </c>
    </row>
    <row r="149" spans="1:44" ht="30" customHeight="1" x14ac:dyDescent="0.35">
      <c r="A149" s="28"/>
      <c r="B149" s="77" t="s">
        <v>72</v>
      </c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120"/>
      <c r="Z149" s="121"/>
      <c r="AA149" s="121"/>
      <c r="AB149" s="122"/>
      <c r="AE149" s="63" t="str">
        <f t="shared" si="40"/>
        <v/>
      </c>
      <c r="AF149" s="63"/>
      <c r="AG149" s="63"/>
      <c r="AH149" s="63"/>
      <c r="AI149" s="64">
        <f t="shared" si="41"/>
        <v>0</v>
      </c>
      <c r="AJ149" s="64" t="str">
        <f t="shared" si="42"/>
        <v/>
      </c>
      <c r="AK149" s="64">
        <f t="shared" si="43"/>
        <v>0</v>
      </c>
      <c r="AL149" s="64" t="str">
        <f t="shared" si="44"/>
        <v/>
      </c>
      <c r="AM149" s="64">
        <f t="shared" si="45"/>
        <v>0</v>
      </c>
      <c r="AN149" s="64" t="str">
        <f t="shared" si="46"/>
        <v/>
      </c>
      <c r="AO149" s="64">
        <f t="shared" si="47"/>
        <v>0</v>
      </c>
      <c r="AP149" s="64" t="str">
        <f t="shared" si="48"/>
        <v/>
      </c>
      <c r="AQ149" s="64">
        <f t="shared" si="49"/>
        <v>0</v>
      </c>
      <c r="AR149" s="64" t="str">
        <f t="shared" si="50"/>
        <v/>
      </c>
    </row>
    <row r="150" spans="1:44" ht="30" customHeight="1" x14ac:dyDescent="0.35">
      <c r="A150" s="28" t="str">
        <f>CONCATENATE($B$80,"
",$B$83,"
",$B$148,"
",$B$149)</f>
        <v>LARGO VANÁDIO MARACÁS
PLANTA QUÍMICA
ÁREA DE PRÉ EVAPORAÇÃO
ESTRUTURA DO PRÉDIO INDUSTRIAL</v>
      </c>
      <c r="B150" s="53" t="s">
        <v>73</v>
      </c>
      <c r="C150" s="74" t="str">
        <f>IF(AND($B150=[1]marcos!$A147,[1]marcos!$B147=C$4),"ok","nok")</f>
        <v>nok</v>
      </c>
      <c r="D150" s="74" t="str">
        <f>IF(AND($B150=[1]marcos!$A147,[1]marcos!$B147=D$4),"ok","nok")</f>
        <v>nok</v>
      </c>
      <c r="E150" s="74" t="str">
        <f>IF(AND($B150=[1]marcos!$A147,[1]marcos!$B147=E$4),"ok","nok")</f>
        <v>nok</v>
      </c>
      <c r="F150" s="74" t="str">
        <f>IF(AND($B150=[1]marcos!$A147,[1]marcos!$B147=F$4),"ok","nok")</f>
        <v>nok</v>
      </c>
      <c r="G150" s="74" t="str">
        <f>IF(AND($B150=[1]marcos!$A147,[1]marcos!$B147=G$4),"ok","nok")</f>
        <v>nok</v>
      </c>
      <c r="H150" s="74" t="str">
        <f>IF(AND($B150=[1]marcos!$A147,[1]marcos!$B147=H$4),"ok","nok")</f>
        <v>nok</v>
      </c>
      <c r="I150" s="74" t="str">
        <f>IF(AND($B150=[1]marcos!$A147,[1]marcos!$B147=I$4),"ok","nok")</f>
        <v>nok</v>
      </c>
      <c r="J150" s="74" t="str">
        <f>IF(AND($B150=[1]marcos!$A147,[1]marcos!$B147=J$4),"ok","nok")</f>
        <v>nok</v>
      </c>
      <c r="K150" s="83"/>
      <c r="L150" s="74" t="str">
        <f>IF(AND($B150=[1]marcos!$A147,[1]marcos!$B147=L$4),"ok","nok")</f>
        <v>nok</v>
      </c>
      <c r="M150" s="74" t="str">
        <f>IF(AND($B150=[1]marcos!$A147,[1]marcos!$B147=M$4),"ok","nok")</f>
        <v>nok</v>
      </c>
      <c r="N150" s="74" t="str">
        <f>IF(AND($B150=[1]marcos!$A147,[1]marcos!$B147=N$4),"ok","nok")</f>
        <v>nok</v>
      </c>
      <c r="O150" s="74" t="str">
        <f>IF(AND($B150=[1]marcos!$A147,[1]marcos!$B147=O$4),"ok","nok")</f>
        <v>nok</v>
      </c>
      <c r="P150" s="74" t="str">
        <f>IF(AND($B150=[1]marcos!$A147,[1]marcos!$B147=P$4),"ok","nok")</f>
        <v>nok</v>
      </c>
      <c r="Q150" s="74" t="str">
        <f>IF(AND($B150=[1]marcos!$A147,[1]marcos!$B147=Q$4),"ok","nok")</f>
        <v>nok</v>
      </c>
      <c r="R150" s="74" t="str">
        <f>IF(AND($B150=[1]marcos!$A147,[1]marcos!$B147=R$4),"ok","nok")</f>
        <v>nok</v>
      </c>
      <c r="S150" s="74" t="str">
        <f>IF(AND($B150=[1]marcos!$A147,[1]marcos!$B147=S$4),"ok","nok")</f>
        <v>nok</v>
      </c>
      <c r="T150" s="74" t="str">
        <f>IF(AND($B150=[1]marcos!$A147,[1]marcos!$B147=T$4),"ok","nok")</f>
        <v>nok</v>
      </c>
      <c r="U150" s="74" t="str">
        <f>IF(AND($B150=[1]marcos!$A147,[1]marcos!$B147=U$4),"ok","nok")</f>
        <v>nok</v>
      </c>
      <c r="V150" s="74" t="str">
        <f>IF(AND($B150=[1]marcos!$A147,[1]marcos!$B147=V$4),"ok","nok")</f>
        <v>ok</v>
      </c>
      <c r="W150" s="74" t="str">
        <f>IF(AND($B150=[1]marcos!$A147,[1]marcos!$B147=W$4),"ok","nok")</f>
        <v>nok</v>
      </c>
      <c r="X150" s="74" t="str">
        <f>IF(AND($B150=[1]marcos!$A147,[1]marcos!$B147=X$4),"ok","nok")</f>
        <v>nok</v>
      </c>
      <c r="Y150" s="96" t="s">
        <v>32</v>
      </c>
      <c r="Z150" s="97"/>
      <c r="AA150" s="97"/>
      <c r="AB150" s="98"/>
      <c r="AE150" s="63" t="str">
        <f t="shared" si="40"/>
        <v>Verificação do Laudo</v>
      </c>
      <c r="AF150" s="63"/>
      <c r="AG150" s="63"/>
      <c r="AH150" s="63"/>
      <c r="AI150" s="64">
        <f t="shared" si="41"/>
        <v>0</v>
      </c>
      <c r="AJ150" s="64" t="str">
        <f t="shared" si="42"/>
        <v/>
      </c>
      <c r="AK150" s="64">
        <f t="shared" si="43"/>
        <v>0</v>
      </c>
      <c r="AL150" s="64" t="str">
        <f t="shared" si="44"/>
        <v/>
      </c>
      <c r="AM150" s="64">
        <f t="shared" si="45"/>
        <v>0</v>
      </c>
      <c r="AN150" s="64" t="str">
        <f t="shared" si="46"/>
        <v/>
      </c>
      <c r="AO150" s="64">
        <f t="shared" si="47"/>
        <v>1</v>
      </c>
      <c r="AP150" s="64" t="str">
        <f t="shared" si="48"/>
        <v/>
      </c>
      <c r="AQ150" s="64">
        <f t="shared" si="49"/>
        <v>0</v>
      </c>
      <c r="AR150" s="64" t="str">
        <f t="shared" si="50"/>
        <v/>
      </c>
    </row>
    <row r="151" spans="1:44" ht="30" customHeight="1" x14ac:dyDescent="0.35">
      <c r="A151" s="28"/>
      <c r="B151" s="54" t="s">
        <v>74</v>
      </c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114"/>
      <c r="Z151" s="115"/>
      <c r="AA151" s="115"/>
      <c r="AB151" s="116"/>
      <c r="AE151" s="63" t="str">
        <f t="shared" si="40"/>
        <v/>
      </c>
      <c r="AF151" s="63"/>
      <c r="AG151" s="63"/>
      <c r="AH151" s="63"/>
      <c r="AI151" s="64">
        <f t="shared" si="41"/>
        <v>0</v>
      </c>
      <c r="AJ151" s="64" t="str">
        <f t="shared" si="42"/>
        <v/>
      </c>
      <c r="AK151" s="64">
        <f t="shared" si="43"/>
        <v>0</v>
      </c>
      <c r="AL151" s="64" t="str">
        <f t="shared" si="44"/>
        <v/>
      </c>
      <c r="AM151" s="64">
        <f t="shared" si="45"/>
        <v>0</v>
      </c>
      <c r="AN151" s="64" t="str">
        <f t="shared" si="46"/>
        <v/>
      </c>
      <c r="AO151" s="64">
        <f t="shared" si="47"/>
        <v>0</v>
      </c>
      <c r="AP151" s="64" t="str">
        <f t="shared" si="48"/>
        <v/>
      </c>
      <c r="AQ151" s="64">
        <f t="shared" si="49"/>
        <v>0</v>
      </c>
      <c r="AR151" s="64" t="str">
        <f t="shared" si="50"/>
        <v/>
      </c>
    </row>
    <row r="152" spans="1:44" ht="30" customHeight="1" x14ac:dyDescent="0.35">
      <c r="A152" s="28" t="str">
        <f t="shared" ref="A152:A155" si="53">CONCATENATE($B$80,"
",$B$83,"
",$B$148,"
",$B$149)</f>
        <v>LARGO VANÁDIO MARACÁS
PLANTA QUÍMICA
ÁREA DE PRÉ EVAPORAÇÃO
ESTRUTURA DO PRÉDIO INDUSTRIAL</v>
      </c>
      <c r="B152" s="55" t="s">
        <v>75</v>
      </c>
      <c r="C152" s="74" t="str">
        <f>IF(AND($B152=[1]marcos!$A149,[1]marcos!$B149=C$4),"ok","nok")</f>
        <v>nok</v>
      </c>
      <c r="D152" s="74" t="str">
        <f>IF(AND($B152=[1]marcos!$A149,[1]marcos!$B149=D$4),"ok","nok")</f>
        <v>nok</v>
      </c>
      <c r="E152" s="74" t="str">
        <f>IF(AND($B152=[1]marcos!$A149,[1]marcos!$B149=E$4),"ok","nok")</f>
        <v>nok</v>
      </c>
      <c r="F152" s="74" t="str">
        <f>IF(AND($B152=[1]marcos!$A149,[1]marcos!$B149=F$4),"ok","nok")</f>
        <v>nok</v>
      </c>
      <c r="G152" s="74" t="str">
        <f>IF(AND($B152=[1]marcos!$A149,[1]marcos!$B149=G$4),"ok","nok")</f>
        <v>nok</v>
      </c>
      <c r="H152" s="74" t="str">
        <f>IF(AND($B152=[1]marcos!$A149,[1]marcos!$B149=H$4),"ok","nok")</f>
        <v>nok</v>
      </c>
      <c r="I152" s="74" t="str">
        <f>IF(AND($B152=[1]marcos!$A149,[1]marcos!$B149=I$4),"ok","nok")</f>
        <v>nok</v>
      </c>
      <c r="J152" s="74" t="str">
        <f>IF(AND($B152=[1]marcos!$A149,[1]marcos!$B149=J$4),"ok","nok")</f>
        <v>nok</v>
      </c>
      <c r="K152" s="83"/>
      <c r="L152" s="74" t="str">
        <f>IF(AND($B152=[1]marcos!$A149,[1]marcos!$B149=L$4),"ok","nok")</f>
        <v>nok</v>
      </c>
      <c r="M152" s="74" t="str">
        <f>IF(AND($B152=[1]marcos!$A149,[1]marcos!$B149=M$4),"ok","nok")</f>
        <v>nok</v>
      </c>
      <c r="N152" s="74" t="str">
        <f>IF(AND($B152=[1]marcos!$A149,[1]marcos!$B149=N$4),"ok","nok")</f>
        <v>nok</v>
      </c>
      <c r="O152" s="74" t="str">
        <f>IF(AND($B152=[1]marcos!$A149,[1]marcos!$B149=O$4),"ok","nok")</f>
        <v>nok</v>
      </c>
      <c r="P152" s="74" t="str">
        <f>IF(AND($B152=[1]marcos!$A149,[1]marcos!$B149=P$4),"ok","nok")</f>
        <v>nok</v>
      </c>
      <c r="Q152" s="74" t="str">
        <f>IF(AND($B152=[1]marcos!$A149,[1]marcos!$B149=Q$4),"ok","nok")</f>
        <v>nok</v>
      </c>
      <c r="R152" s="74" t="str">
        <f>IF(AND($B152=[1]marcos!$A149,[1]marcos!$B149=R$4),"ok","nok")</f>
        <v>nok</v>
      </c>
      <c r="S152" s="74" t="str">
        <f>IF(AND($B152=[1]marcos!$A149,[1]marcos!$B149=S$4),"ok","nok")</f>
        <v>nok</v>
      </c>
      <c r="T152" s="74" t="str">
        <f>IF(AND($B152=[1]marcos!$A149,[1]marcos!$B149=T$4),"ok","nok")</f>
        <v>nok</v>
      </c>
      <c r="U152" s="74" t="str">
        <f>IF(AND($B152=[1]marcos!$A149,[1]marcos!$B149=U$4),"ok","nok")</f>
        <v>nok</v>
      </c>
      <c r="V152" s="74" t="str">
        <f>IF(AND($B152=[1]marcos!$A149,[1]marcos!$B149=V$4),"ok","nok")</f>
        <v>ok</v>
      </c>
      <c r="W152" s="74" t="str">
        <f>IF(AND($B152=[1]marcos!$A149,[1]marcos!$B149=W$4),"ok","nok")</f>
        <v>nok</v>
      </c>
      <c r="X152" s="74" t="str">
        <f>IF(AND($B152=[1]marcos!$A149,[1]marcos!$B149=X$4),"ok","nok")</f>
        <v>nok</v>
      </c>
      <c r="Y152" s="96" t="s">
        <v>32</v>
      </c>
      <c r="Z152" s="97"/>
      <c r="AA152" s="97"/>
      <c r="AB152" s="98"/>
      <c r="AE152" s="63" t="str">
        <f t="shared" si="40"/>
        <v>MARCO - Emissão Inicial</v>
      </c>
      <c r="AF152" s="63"/>
      <c r="AG152" s="63"/>
      <c r="AH152" s="63"/>
      <c r="AI152" s="64">
        <f t="shared" si="41"/>
        <v>0</v>
      </c>
      <c r="AJ152" s="64" t="str">
        <f t="shared" si="42"/>
        <v/>
      </c>
      <c r="AK152" s="64">
        <f t="shared" si="43"/>
        <v>0</v>
      </c>
      <c r="AL152" s="64" t="str">
        <f t="shared" si="44"/>
        <v/>
      </c>
      <c r="AM152" s="64">
        <f t="shared" si="45"/>
        <v>0</v>
      </c>
      <c r="AN152" s="64" t="str">
        <f t="shared" si="46"/>
        <v/>
      </c>
      <c r="AO152" s="64">
        <f t="shared" si="47"/>
        <v>1</v>
      </c>
      <c r="AP152" s="64" t="str">
        <f t="shared" si="48"/>
        <v/>
      </c>
      <c r="AQ152" s="64">
        <f t="shared" si="49"/>
        <v>0</v>
      </c>
      <c r="AR152" s="64" t="str">
        <f t="shared" si="50"/>
        <v/>
      </c>
    </row>
    <row r="153" spans="1:44" ht="30" customHeight="1" x14ac:dyDescent="0.35">
      <c r="A153" s="28" t="str">
        <f t="shared" si="53"/>
        <v>LARGO VANÁDIO MARACÁS
PLANTA QUÍMICA
ÁREA DE PRÉ EVAPORAÇÃO
ESTRUTURA DO PRÉDIO INDUSTRIAL</v>
      </c>
      <c r="B153" s="55" t="s">
        <v>20</v>
      </c>
      <c r="C153" s="74" t="str">
        <f>IF(AND($B153=[1]marcos!$A150,[1]marcos!$B150=C$4),"ok","nok")</f>
        <v>nok</v>
      </c>
      <c r="D153" s="74" t="str">
        <f>IF(AND($B153=[1]marcos!$A150,[1]marcos!$B150=D$4),"ok","nok")</f>
        <v>nok</v>
      </c>
      <c r="E153" s="74" t="str">
        <f>IF(AND($B153=[1]marcos!$A150,[1]marcos!$B150=E$4),"ok","nok")</f>
        <v>nok</v>
      </c>
      <c r="F153" s="74" t="str">
        <f>IF(AND($B153=[1]marcos!$A150,[1]marcos!$B150=F$4),"ok","nok")</f>
        <v>nok</v>
      </c>
      <c r="G153" s="74" t="str">
        <f>IF(AND($B153=[1]marcos!$A150,[1]marcos!$B150=G$4),"ok","nok")</f>
        <v>nok</v>
      </c>
      <c r="H153" s="74" t="str">
        <f>IF(AND($B153=[1]marcos!$A150,[1]marcos!$B150=H$4),"ok","nok")</f>
        <v>nok</v>
      </c>
      <c r="I153" s="74" t="str">
        <f>IF(AND($B153=[1]marcos!$A150,[1]marcos!$B150=I$4),"ok","nok")</f>
        <v>nok</v>
      </c>
      <c r="J153" s="74" t="str">
        <f>IF(AND($B153=[1]marcos!$A150,[1]marcos!$B150=J$4),"ok","nok")</f>
        <v>nok</v>
      </c>
      <c r="K153" s="74" t="str">
        <f>IF(AND($B153=[1]marcos!$A150,[1]marcos!$B150=K$4),"ok","nok")</f>
        <v>nok</v>
      </c>
      <c r="L153" s="74" t="str">
        <f>IF(AND($B153=[1]marcos!$A150,[1]marcos!$B150=L$4),"ok","nok")</f>
        <v>nok</v>
      </c>
      <c r="M153" s="74" t="str">
        <f>IF(AND($B153=[1]marcos!$A150,[1]marcos!$B150=M$4),"ok","nok")</f>
        <v>nok</v>
      </c>
      <c r="N153" s="74" t="str">
        <f>IF(AND($B153=[1]marcos!$A150,[1]marcos!$B150=N$4),"ok","nok")</f>
        <v>nok</v>
      </c>
      <c r="O153" s="74" t="str">
        <f>IF(AND($B153=[1]marcos!$A150,[1]marcos!$B150=O$4),"ok","nok")</f>
        <v>nok</v>
      </c>
      <c r="P153" s="83"/>
      <c r="Q153" s="74" t="str">
        <f>IF(AND($B153=[1]marcos!$A150,[1]marcos!$B150=Q$4),"ok","nok")</f>
        <v>nok</v>
      </c>
      <c r="R153" s="74" t="str">
        <f>IF(AND($B153=[1]marcos!$A150,[1]marcos!$B150=R$4),"ok","nok")</f>
        <v>nok</v>
      </c>
      <c r="S153" s="74" t="str">
        <f>IF(AND($B153=[1]marcos!$A150,[1]marcos!$B150=S$4),"ok","nok")</f>
        <v>nok</v>
      </c>
      <c r="T153" s="74" t="str">
        <f>IF(AND($B153=[1]marcos!$A150,[1]marcos!$B150=T$4),"ok","nok")</f>
        <v>nok</v>
      </c>
      <c r="U153" s="74" t="str">
        <f>IF(AND($B153=[1]marcos!$A150,[1]marcos!$B150=U$4),"ok","nok")</f>
        <v>nok</v>
      </c>
      <c r="V153" s="74" t="str">
        <f>IF(AND($B153=[1]marcos!$A150,[1]marcos!$B150=V$4),"ok","nok")</f>
        <v>nok</v>
      </c>
      <c r="W153" s="74" t="str">
        <f>IF(AND($B153=[1]marcos!$A150,[1]marcos!$B150=W$4),"ok","nok")</f>
        <v>ok</v>
      </c>
      <c r="X153" s="74" t="str">
        <f>IF(AND($B153=[1]marcos!$A150,[1]marcos!$B150=X$4),"ok","nok")</f>
        <v>nok</v>
      </c>
      <c r="Y153" s="96" t="s">
        <v>16</v>
      </c>
      <c r="Z153" s="97"/>
      <c r="AA153" s="97"/>
      <c r="AB153" s="98"/>
      <c r="AE153" s="63" t="str">
        <f t="shared" si="40"/>
        <v/>
      </c>
      <c r="AF153" s="63"/>
      <c r="AG153" s="63"/>
      <c r="AH153" s="63"/>
      <c r="AI153" s="64">
        <f t="shared" si="41"/>
        <v>0</v>
      </c>
      <c r="AJ153" s="64" t="str">
        <f t="shared" si="42"/>
        <v/>
      </c>
      <c r="AK153" s="64">
        <f t="shared" si="43"/>
        <v>0</v>
      </c>
      <c r="AL153" s="64" t="str">
        <f t="shared" si="44"/>
        <v/>
      </c>
      <c r="AM153" s="64">
        <f t="shared" si="45"/>
        <v>0</v>
      </c>
      <c r="AN153" s="64" t="str">
        <f t="shared" si="46"/>
        <v/>
      </c>
      <c r="AO153" s="64">
        <f t="shared" si="47"/>
        <v>0</v>
      </c>
      <c r="AP153" s="64" t="str">
        <f t="shared" si="48"/>
        <v/>
      </c>
      <c r="AQ153" s="64">
        <f t="shared" si="49"/>
        <v>1</v>
      </c>
      <c r="AR153" s="64" t="str">
        <f t="shared" si="50"/>
        <v/>
      </c>
    </row>
    <row r="154" spans="1:44" ht="30" customHeight="1" x14ac:dyDescent="0.35">
      <c r="A154" s="28" t="str">
        <f t="shared" si="53"/>
        <v>LARGO VANÁDIO MARACÁS
PLANTA QUÍMICA
ÁREA DE PRÉ EVAPORAÇÃO
ESTRUTURA DO PRÉDIO INDUSTRIAL</v>
      </c>
      <c r="B154" s="55" t="s">
        <v>38</v>
      </c>
      <c r="C154" s="74" t="str">
        <f>IF(AND($B154=[1]marcos!$A151,[1]marcos!$B151=C$4),"ok","nok")</f>
        <v>nok</v>
      </c>
      <c r="D154" s="74" t="str">
        <f>IF(AND($B154=[1]marcos!$A151,[1]marcos!$B151=D$4),"ok","nok")</f>
        <v>nok</v>
      </c>
      <c r="E154" s="74" t="str">
        <f>IF(AND($B154=[1]marcos!$A151,[1]marcos!$B151=E$4),"ok","nok")</f>
        <v>nok</v>
      </c>
      <c r="F154" s="74" t="str">
        <f>IF(AND($B154=[1]marcos!$A151,[1]marcos!$B151=F$4),"ok","nok")</f>
        <v>nok</v>
      </c>
      <c r="G154" s="74" t="str">
        <f>IF(AND($B154=[1]marcos!$A151,[1]marcos!$B151=G$4),"ok","nok")</f>
        <v>nok</v>
      </c>
      <c r="H154" s="74" t="str">
        <f>IF(AND($B154=[1]marcos!$A151,[1]marcos!$B151=H$4),"ok","nok")</f>
        <v>nok</v>
      </c>
      <c r="I154" s="74" t="str">
        <f>IF(AND($B154=[1]marcos!$A151,[1]marcos!$B151=I$4),"ok","nok")</f>
        <v>nok</v>
      </c>
      <c r="J154" s="74" t="str">
        <f>IF(AND($B154=[1]marcos!$A151,[1]marcos!$B151=J$4),"ok","nok")</f>
        <v>nok</v>
      </c>
      <c r="K154" s="74" t="str">
        <f>IF(AND($B154=[1]marcos!$A151,[1]marcos!$B151=K$4),"ok","nok")</f>
        <v>nok</v>
      </c>
      <c r="L154" s="74" t="str">
        <f>IF(AND($B154=[1]marcos!$A151,[1]marcos!$B151=L$4),"ok","nok")</f>
        <v>nok</v>
      </c>
      <c r="M154" s="74" t="str">
        <f>IF(AND($B154=[1]marcos!$A151,[1]marcos!$B151=M$4),"ok","nok")</f>
        <v>nok</v>
      </c>
      <c r="N154" s="74" t="str">
        <f>IF(AND($B154=[1]marcos!$A151,[1]marcos!$B151=N$4),"ok","nok")</f>
        <v>nok</v>
      </c>
      <c r="O154" s="74" t="str">
        <f>IF(AND($B154=[1]marcos!$A151,[1]marcos!$B151=O$4),"ok","nok")</f>
        <v>nok</v>
      </c>
      <c r="P154" s="74" t="str">
        <f>IF(AND($B154=[1]marcos!$A151,[1]marcos!$B151=P$4),"ok","nok")</f>
        <v>nok</v>
      </c>
      <c r="Q154" s="74" t="str">
        <f>IF(AND($B154=[1]marcos!$A151,[1]marcos!$B151=Q$4),"ok","nok")</f>
        <v>nok</v>
      </c>
      <c r="R154" s="74" t="str">
        <f>IF(AND($B154=[1]marcos!$A151,[1]marcos!$B151=R$4),"ok","nok")</f>
        <v>nok</v>
      </c>
      <c r="S154" s="83"/>
      <c r="T154" s="74" t="str">
        <f>IF(AND($B154=[1]marcos!$A151,[1]marcos!$B151=T$4),"ok","nok")</f>
        <v>nok</v>
      </c>
      <c r="U154" s="74" t="str">
        <f>IF(AND($B154=[1]marcos!$A151,[1]marcos!$B151=U$4),"ok","nok")</f>
        <v>nok</v>
      </c>
      <c r="V154" s="74" t="str">
        <f>IF(AND($B154=[1]marcos!$A151,[1]marcos!$B151=V$4),"ok","nok")</f>
        <v>nok</v>
      </c>
      <c r="W154" s="74" t="str">
        <f>IF(AND($B154=[1]marcos!$A151,[1]marcos!$B151=W$4),"ok","nok")</f>
        <v>nok</v>
      </c>
      <c r="X154" s="74" t="str">
        <f>IF(AND($B154=[1]marcos!$A151,[1]marcos!$B151=X$4),"ok","nok")</f>
        <v>ok</v>
      </c>
      <c r="Y154" s="96" t="s">
        <v>16</v>
      </c>
      <c r="Z154" s="97"/>
      <c r="AA154" s="97"/>
      <c r="AB154" s="98"/>
      <c r="AE154" s="63" t="str">
        <f t="shared" si="40"/>
        <v/>
      </c>
      <c r="AF154" s="63"/>
      <c r="AG154" s="63"/>
      <c r="AH154" s="63"/>
      <c r="AI154" s="64">
        <f t="shared" si="41"/>
        <v>0</v>
      </c>
      <c r="AJ154" s="64" t="str">
        <f t="shared" si="42"/>
        <v/>
      </c>
      <c r="AK154" s="64">
        <f t="shared" si="43"/>
        <v>0</v>
      </c>
      <c r="AL154" s="64" t="str">
        <f t="shared" si="44"/>
        <v/>
      </c>
      <c r="AM154" s="64">
        <f t="shared" si="45"/>
        <v>0</v>
      </c>
      <c r="AN154" s="64" t="str">
        <f t="shared" si="46"/>
        <v/>
      </c>
      <c r="AO154" s="64">
        <f t="shared" si="47"/>
        <v>0</v>
      </c>
      <c r="AP154" s="64" t="str">
        <f t="shared" si="48"/>
        <v/>
      </c>
      <c r="AQ154" s="64">
        <f t="shared" si="49"/>
        <v>1</v>
      </c>
      <c r="AR154" s="64" t="str">
        <f t="shared" si="50"/>
        <v/>
      </c>
    </row>
    <row r="155" spans="1:44" ht="30" customHeight="1" x14ac:dyDescent="0.35">
      <c r="A155" s="28" t="str">
        <f t="shared" si="53"/>
        <v>LARGO VANÁDIO MARACÁS
PLANTA QUÍMICA
ÁREA DE PRÉ EVAPORAÇÃO
ESTRUTURA DO PRÉDIO INDUSTRIAL</v>
      </c>
      <c r="B155" s="55" t="s">
        <v>76</v>
      </c>
      <c r="C155" s="55"/>
      <c r="D155" s="74" t="str">
        <f>IF(AND($B155=[1]marcos!$A152,[1]marcos!$B152=D$4),"ok","nok")</f>
        <v>nok</v>
      </c>
      <c r="E155" s="74" t="str">
        <f>IF(AND($B155=[1]marcos!$A152,[1]marcos!$B152=E$4),"ok","nok")</f>
        <v>nok</v>
      </c>
      <c r="F155" s="74" t="str">
        <f>IF(AND($B155=[1]marcos!$A152,[1]marcos!$B152=F$4),"ok","nok")</f>
        <v>nok</v>
      </c>
      <c r="G155" s="74" t="str">
        <f>IF(AND($B155=[1]marcos!$A152,[1]marcos!$B152=G$4),"ok","nok")</f>
        <v>nok</v>
      </c>
      <c r="H155" s="74" t="str">
        <f>IF(AND($B155=[1]marcos!$A152,[1]marcos!$B152=H$4),"ok","nok")</f>
        <v>nok</v>
      </c>
      <c r="I155" s="74" t="str">
        <f>IF(AND($B155=[1]marcos!$A152,[1]marcos!$B152=I$4),"ok","nok")</f>
        <v>nok</v>
      </c>
      <c r="J155" s="74" t="str">
        <f>IF(AND($B155=[1]marcos!$A152,[1]marcos!$B152=J$4),"ok","nok")</f>
        <v>nok</v>
      </c>
      <c r="K155" s="74" t="str">
        <f>IF(AND($B155=[1]marcos!$A152,[1]marcos!$B152=K$4),"ok","nok")</f>
        <v>nok</v>
      </c>
      <c r="L155" s="74" t="str">
        <f>IF(AND($B155=[1]marcos!$A152,[1]marcos!$B152=L$4),"ok","nok")</f>
        <v>nok</v>
      </c>
      <c r="M155" s="74" t="str">
        <f>IF(AND($B155=[1]marcos!$A152,[1]marcos!$B152=M$4),"ok","nok")</f>
        <v>nok</v>
      </c>
      <c r="N155" s="74" t="str">
        <f>IF(AND($B155=[1]marcos!$A152,[1]marcos!$B152=N$4),"ok","nok")</f>
        <v>nok</v>
      </c>
      <c r="O155" s="74" t="str">
        <f>IF(AND($B155=[1]marcos!$A152,[1]marcos!$B152=O$4),"ok","nok")</f>
        <v>nok</v>
      </c>
      <c r="P155" s="74" t="str">
        <f>IF(AND($B155=[1]marcos!$A152,[1]marcos!$B152=P$4),"ok","nok")</f>
        <v>nok</v>
      </c>
      <c r="Q155" s="74" t="str">
        <f>IF(AND($B155=[1]marcos!$A152,[1]marcos!$B152=Q$4),"ok","nok")</f>
        <v>nok</v>
      </c>
      <c r="R155" s="74" t="str">
        <f>IF(AND($B155=[1]marcos!$A152,[1]marcos!$B152=R$4),"ok","nok")</f>
        <v>nok</v>
      </c>
      <c r="S155" s="83"/>
      <c r="T155" s="74" t="str">
        <f>IF(AND($B155=[1]marcos!$A152,[1]marcos!$B152=T$4),"ok","nok")</f>
        <v>nok</v>
      </c>
      <c r="U155" s="74" t="str">
        <f>IF(AND($B155=[1]marcos!$A152,[1]marcos!$B152=U$4),"ok","nok")</f>
        <v>nok</v>
      </c>
      <c r="V155" s="74" t="str">
        <f>IF(AND($B155=[1]marcos!$A152,[1]marcos!$B152=V$4),"ok","nok")</f>
        <v>nok</v>
      </c>
      <c r="W155" s="74" t="str">
        <f>IF(AND($B155=[1]marcos!$A152,[1]marcos!$B152=W$4),"ok","nok")</f>
        <v>nok</v>
      </c>
      <c r="X155" s="74" t="str">
        <f>IF(AND($B155=[1]marcos!$A152,[1]marcos!$B152=X$4),"ok","nok")</f>
        <v>ok</v>
      </c>
      <c r="Y155" s="96" t="s">
        <v>16</v>
      </c>
      <c r="Z155" s="97"/>
      <c r="AA155" s="97"/>
      <c r="AB155" s="98"/>
      <c r="AE155" s="63" t="str">
        <f t="shared" si="40"/>
        <v/>
      </c>
      <c r="AF155" s="63"/>
      <c r="AG155" s="63"/>
      <c r="AH155" s="63"/>
      <c r="AI155" s="64">
        <f t="shared" si="41"/>
        <v>0</v>
      </c>
      <c r="AJ155" s="64" t="str">
        <f t="shared" si="42"/>
        <v/>
      </c>
      <c r="AK155" s="64">
        <f t="shared" si="43"/>
        <v>0</v>
      </c>
      <c r="AL155" s="64" t="str">
        <f t="shared" si="44"/>
        <v/>
      </c>
      <c r="AM155" s="64">
        <f t="shared" si="45"/>
        <v>0</v>
      </c>
      <c r="AN155" s="64" t="str">
        <f t="shared" si="46"/>
        <v/>
      </c>
      <c r="AO155" s="64">
        <f t="shared" si="47"/>
        <v>0</v>
      </c>
      <c r="AP155" s="64" t="str">
        <f t="shared" si="48"/>
        <v/>
      </c>
      <c r="AQ155" s="64">
        <f t="shared" si="49"/>
        <v>1</v>
      </c>
      <c r="AR155" s="64" t="str">
        <f t="shared" si="50"/>
        <v/>
      </c>
    </row>
    <row r="156" spans="1:44" ht="30" customHeight="1" x14ac:dyDescent="0.35">
      <c r="A156" s="28"/>
      <c r="B156" s="77" t="s">
        <v>58</v>
      </c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120"/>
      <c r="Z156" s="121"/>
      <c r="AA156" s="121"/>
      <c r="AB156" s="122"/>
      <c r="AE156" s="63" t="str">
        <f t="shared" si="40"/>
        <v/>
      </c>
      <c r="AF156" s="63"/>
      <c r="AG156" s="63"/>
      <c r="AH156" s="63"/>
      <c r="AI156" s="64">
        <f t="shared" si="41"/>
        <v>0</v>
      </c>
      <c r="AJ156" s="64" t="str">
        <f t="shared" si="42"/>
        <v/>
      </c>
      <c r="AK156" s="64">
        <f t="shared" si="43"/>
        <v>0</v>
      </c>
      <c r="AL156" s="64" t="str">
        <f t="shared" si="44"/>
        <v/>
      </c>
      <c r="AM156" s="64">
        <f t="shared" si="45"/>
        <v>0</v>
      </c>
      <c r="AN156" s="64" t="str">
        <f t="shared" si="46"/>
        <v/>
      </c>
      <c r="AO156" s="64">
        <f t="shared" si="47"/>
        <v>0</v>
      </c>
      <c r="AP156" s="64" t="str">
        <f t="shared" si="48"/>
        <v/>
      </c>
      <c r="AQ156" s="64">
        <f t="shared" si="49"/>
        <v>0</v>
      </c>
      <c r="AR156" s="64" t="str">
        <f t="shared" si="50"/>
        <v/>
      </c>
    </row>
    <row r="157" spans="1:44" ht="30" customHeight="1" x14ac:dyDescent="0.35">
      <c r="A157" s="28" t="str">
        <f>CONCATENATE($B$80,"
",$B$83,"
",$B$148,"
",$B$156)</f>
        <v>LARGO VANÁDIO MARACÁS
PLANTA QUÍMICA
ÁREA DE PRÉ EVAPORAÇÃO
Silo 530 - SI 001</v>
      </c>
      <c r="B157" s="53" t="s">
        <v>73</v>
      </c>
      <c r="C157" s="74" t="str">
        <f>IF(AND($B157=[1]marcos!$A154,[1]marcos!$B154=C$4),"ok","nok")</f>
        <v>nok</v>
      </c>
      <c r="D157" s="74" t="str">
        <f>IF(AND($B157=[1]marcos!$A154,[1]marcos!$B154=D$4),"ok","nok")</f>
        <v>nok</v>
      </c>
      <c r="E157" s="74" t="str">
        <f>IF(AND($B157=[1]marcos!$A154,[1]marcos!$B154=E$4),"ok","nok")</f>
        <v>nok</v>
      </c>
      <c r="F157" s="74" t="str">
        <f>IF(AND($B157=[1]marcos!$A154,[1]marcos!$B154=F$4),"ok","nok")</f>
        <v>nok</v>
      </c>
      <c r="G157" s="74" t="str">
        <f>IF(AND($B157=[1]marcos!$A154,[1]marcos!$B154=G$4),"ok","nok")</f>
        <v>nok</v>
      </c>
      <c r="H157" s="74" t="str">
        <f>IF(AND($B157=[1]marcos!$A154,[1]marcos!$B154=H$4),"ok","nok")</f>
        <v>nok</v>
      </c>
      <c r="I157" s="74" t="str">
        <f>IF(AND($B157=[1]marcos!$A154,[1]marcos!$B154=I$4),"ok","nok")</f>
        <v>nok</v>
      </c>
      <c r="J157" s="74" t="str">
        <f>IF(AND($B157=[1]marcos!$A154,[1]marcos!$B154=J$4),"ok","nok")</f>
        <v>nok</v>
      </c>
      <c r="K157" s="83"/>
      <c r="L157" s="74" t="str">
        <f>IF(AND($B157=[1]marcos!$A154,[1]marcos!$B154=L$4),"ok","nok")</f>
        <v>nok</v>
      </c>
      <c r="M157" s="74" t="str">
        <f>IF(AND($B157=[1]marcos!$A154,[1]marcos!$B154=M$4),"ok","nok")</f>
        <v>nok</v>
      </c>
      <c r="N157" s="74" t="str">
        <f>IF(AND($B157=[1]marcos!$A154,[1]marcos!$B154=N$4),"ok","nok")</f>
        <v>nok</v>
      </c>
      <c r="O157" s="74" t="str">
        <f>IF(AND($B157=[1]marcos!$A154,[1]marcos!$B154=O$4),"ok","nok")</f>
        <v>nok</v>
      </c>
      <c r="P157" s="74" t="str">
        <f>IF(AND($B157=[1]marcos!$A154,[1]marcos!$B154=P$4),"ok","nok")</f>
        <v>nok</v>
      </c>
      <c r="Q157" s="74" t="str">
        <f>IF(AND($B157=[1]marcos!$A154,[1]marcos!$B154=Q$4),"ok","nok")</f>
        <v>nok</v>
      </c>
      <c r="R157" s="74" t="str">
        <f>IF(AND($B157=[1]marcos!$A154,[1]marcos!$B154=R$4),"ok","nok")</f>
        <v>nok</v>
      </c>
      <c r="S157" s="74" t="str">
        <f>IF(AND($B157=[1]marcos!$A154,[1]marcos!$B154=S$4),"ok","nok")</f>
        <v>nok</v>
      </c>
      <c r="T157" s="74" t="str">
        <f>IF(AND($B157=[1]marcos!$A154,[1]marcos!$B154=T$4),"ok","nok")</f>
        <v>nok</v>
      </c>
      <c r="U157" s="74" t="str">
        <f>IF(AND($B157=[1]marcos!$A154,[1]marcos!$B154=U$4),"ok","nok")</f>
        <v>nok</v>
      </c>
      <c r="V157" s="74" t="str">
        <f>IF(AND($B157=[1]marcos!$A154,[1]marcos!$B154=V$4),"ok","nok")</f>
        <v>ok</v>
      </c>
      <c r="W157" s="74" t="str">
        <f>IF(AND($B157=[1]marcos!$A154,[1]marcos!$B154=W$4),"ok","nok")</f>
        <v>nok</v>
      </c>
      <c r="X157" s="74" t="str">
        <f>IF(AND($B157=[1]marcos!$A154,[1]marcos!$B154=X$4),"ok","nok")</f>
        <v>nok</v>
      </c>
      <c r="Y157" s="96" t="s">
        <v>32</v>
      </c>
      <c r="Z157" s="97"/>
      <c r="AA157" s="97"/>
      <c r="AB157" s="98"/>
      <c r="AE157" s="63" t="str">
        <f t="shared" si="40"/>
        <v>Verificação do Laudo</v>
      </c>
      <c r="AF157" s="63"/>
      <c r="AG157" s="63"/>
      <c r="AH157" s="63"/>
      <c r="AI157" s="64">
        <f t="shared" si="41"/>
        <v>0</v>
      </c>
      <c r="AJ157" s="64" t="str">
        <f t="shared" si="42"/>
        <v/>
      </c>
      <c r="AK157" s="64">
        <f t="shared" si="43"/>
        <v>0</v>
      </c>
      <c r="AL157" s="64" t="str">
        <f t="shared" si="44"/>
        <v/>
      </c>
      <c r="AM157" s="64">
        <f t="shared" si="45"/>
        <v>0</v>
      </c>
      <c r="AN157" s="64" t="str">
        <f t="shared" si="46"/>
        <v/>
      </c>
      <c r="AO157" s="64">
        <f t="shared" si="47"/>
        <v>1</v>
      </c>
      <c r="AP157" s="64" t="str">
        <f t="shared" si="48"/>
        <v/>
      </c>
      <c r="AQ157" s="64">
        <f t="shared" si="49"/>
        <v>0</v>
      </c>
      <c r="AR157" s="64" t="str">
        <f t="shared" si="50"/>
        <v/>
      </c>
    </row>
    <row r="158" spans="1:44" ht="30" customHeight="1" x14ac:dyDescent="0.35">
      <c r="A158" s="28"/>
      <c r="B158" s="54" t="s">
        <v>74</v>
      </c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114"/>
      <c r="Z158" s="115"/>
      <c r="AA158" s="115"/>
      <c r="AB158" s="116"/>
      <c r="AE158" s="63" t="str">
        <f t="shared" si="40"/>
        <v/>
      </c>
      <c r="AF158" s="63"/>
      <c r="AG158" s="63"/>
      <c r="AH158" s="63"/>
      <c r="AI158" s="64">
        <f t="shared" si="41"/>
        <v>0</v>
      </c>
      <c r="AJ158" s="64" t="str">
        <f t="shared" si="42"/>
        <v/>
      </c>
      <c r="AK158" s="64">
        <f t="shared" si="43"/>
        <v>0</v>
      </c>
      <c r="AL158" s="64" t="str">
        <f t="shared" si="44"/>
        <v/>
      </c>
      <c r="AM158" s="64">
        <f t="shared" si="45"/>
        <v>0</v>
      </c>
      <c r="AN158" s="64" t="str">
        <f t="shared" si="46"/>
        <v/>
      </c>
      <c r="AO158" s="64">
        <f t="shared" si="47"/>
        <v>0</v>
      </c>
      <c r="AP158" s="64" t="str">
        <f t="shared" si="48"/>
        <v/>
      </c>
      <c r="AQ158" s="64">
        <f t="shared" si="49"/>
        <v>0</v>
      </c>
      <c r="AR158" s="64" t="str">
        <f t="shared" si="50"/>
        <v/>
      </c>
    </row>
    <row r="159" spans="1:44" ht="30" customHeight="1" x14ac:dyDescent="0.35">
      <c r="A159" s="28" t="str">
        <f t="shared" ref="A159:A162" si="54">CONCATENATE($B$80,"
",$B$83,"
",$B$148,"
",$B$156)</f>
        <v>LARGO VANÁDIO MARACÁS
PLANTA QUÍMICA
ÁREA DE PRÉ EVAPORAÇÃO
Silo 530 - SI 001</v>
      </c>
      <c r="B159" s="55" t="s">
        <v>75</v>
      </c>
      <c r="C159" s="74" t="str">
        <f>IF(AND($B159=[1]marcos!$A156,[1]marcos!$B156=C$4),"ok","nok")</f>
        <v>nok</v>
      </c>
      <c r="D159" s="74" t="str">
        <f>IF(AND($B159=[1]marcos!$A156,[1]marcos!$B156=D$4),"ok","nok")</f>
        <v>nok</v>
      </c>
      <c r="E159" s="74" t="str">
        <f>IF(AND($B159=[1]marcos!$A156,[1]marcos!$B156=E$4),"ok","nok")</f>
        <v>nok</v>
      </c>
      <c r="F159" s="74" t="str">
        <f>IF(AND($B159=[1]marcos!$A156,[1]marcos!$B156=F$4),"ok","nok")</f>
        <v>nok</v>
      </c>
      <c r="G159" s="74" t="str">
        <f>IF(AND($B159=[1]marcos!$A156,[1]marcos!$B156=G$4),"ok","nok")</f>
        <v>nok</v>
      </c>
      <c r="H159" s="74" t="str">
        <f>IF(AND($B159=[1]marcos!$A156,[1]marcos!$B156=H$4),"ok","nok")</f>
        <v>nok</v>
      </c>
      <c r="I159" s="74" t="str">
        <f>IF(AND($B159=[1]marcos!$A156,[1]marcos!$B156=I$4),"ok","nok")</f>
        <v>nok</v>
      </c>
      <c r="J159" s="74" t="str">
        <f>IF(AND($B159=[1]marcos!$A156,[1]marcos!$B156=J$4),"ok","nok")</f>
        <v>nok</v>
      </c>
      <c r="K159" s="83"/>
      <c r="L159" s="74" t="str">
        <f>IF(AND($B159=[1]marcos!$A156,[1]marcos!$B156=L$4),"ok","nok")</f>
        <v>nok</v>
      </c>
      <c r="M159" s="74" t="str">
        <f>IF(AND($B159=[1]marcos!$A156,[1]marcos!$B156=M$4),"ok","nok")</f>
        <v>nok</v>
      </c>
      <c r="N159" s="74" t="str">
        <f>IF(AND($B159=[1]marcos!$A156,[1]marcos!$B156=N$4),"ok","nok")</f>
        <v>nok</v>
      </c>
      <c r="O159" s="74" t="str">
        <f>IF(AND($B159=[1]marcos!$A156,[1]marcos!$B156=O$4),"ok","nok")</f>
        <v>nok</v>
      </c>
      <c r="P159" s="74" t="str">
        <f>IF(AND($B159=[1]marcos!$A156,[1]marcos!$B156=P$4),"ok","nok")</f>
        <v>nok</v>
      </c>
      <c r="Q159" s="74" t="str">
        <f>IF(AND($B159=[1]marcos!$A156,[1]marcos!$B156=Q$4),"ok","nok")</f>
        <v>nok</v>
      </c>
      <c r="R159" s="74" t="str">
        <f>IF(AND($B159=[1]marcos!$A156,[1]marcos!$B156=R$4),"ok","nok")</f>
        <v>nok</v>
      </c>
      <c r="S159" s="74" t="str">
        <f>IF(AND($B159=[1]marcos!$A156,[1]marcos!$B156=S$4),"ok","nok")</f>
        <v>nok</v>
      </c>
      <c r="T159" s="74" t="str">
        <f>IF(AND($B159=[1]marcos!$A156,[1]marcos!$B156=T$4),"ok","nok")</f>
        <v>nok</v>
      </c>
      <c r="U159" s="74" t="str">
        <f>IF(AND($B159=[1]marcos!$A156,[1]marcos!$B156=U$4),"ok","nok")</f>
        <v>nok</v>
      </c>
      <c r="V159" s="74" t="str">
        <f>IF(AND($B159=[1]marcos!$A156,[1]marcos!$B156=V$4),"ok","nok")</f>
        <v>ok</v>
      </c>
      <c r="W159" s="74" t="str">
        <f>IF(AND($B159=[1]marcos!$A156,[1]marcos!$B156=W$4),"ok","nok")</f>
        <v>nok</v>
      </c>
      <c r="X159" s="74" t="str">
        <f>IF(AND($B159=[1]marcos!$A156,[1]marcos!$B156=X$4),"ok","nok")</f>
        <v>nok</v>
      </c>
      <c r="Y159" s="96" t="s">
        <v>32</v>
      </c>
      <c r="Z159" s="97"/>
      <c r="AA159" s="97"/>
      <c r="AB159" s="98"/>
      <c r="AE159" s="63" t="str">
        <f t="shared" si="40"/>
        <v>MARCO - Emissão Inicial</v>
      </c>
      <c r="AF159" s="63"/>
      <c r="AG159" s="63"/>
      <c r="AH159" s="63"/>
      <c r="AI159" s="64">
        <f t="shared" si="41"/>
        <v>0</v>
      </c>
      <c r="AJ159" s="64" t="str">
        <f t="shared" si="42"/>
        <v/>
      </c>
      <c r="AK159" s="64">
        <f t="shared" si="43"/>
        <v>0</v>
      </c>
      <c r="AL159" s="64" t="str">
        <f t="shared" si="44"/>
        <v/>
      </c>
      <c r="AM159" s="64">
        <f t="shared" si="45"/>
        <v>0</v>
      </c>
      <c r="AN159" s="64" t="str">
        <f t="shared" si="46"/>
        <v/>
      </c>
      <c r="AO159" s="64">
        <f t="shared" si="47"/>
        <v>1</v>
      </c>
      <c r="AP159" s="64" t="str">
        <f t="shared" si="48"/>
        <v/>
      </c>
      <c r="AQ159" s="64">
        <f t="shared" si="49"/>
        <v>0</v>
      </c>
      <c r="AR159" s="64" t="str">
        <f t="shared" si="50"/>
        <v/>
      </c>
    </row>
    <row r="160" spans="1:44" ht="30" customHeight="1" x14ac:dyDescent="0.35">
      <c r="A160" s="28" t="str">
        <f t="shared" si="54"/>
        <v>LARGO VANÁDIO MARACÁS
PLANTA QUÍMICA
ÁREA DE PRÉ EVAPORAÇÃO
Silo 530 - SI 001</v>
      </c>
      <c r="B160" s="55" t="s">
        <v>20</v>
      </c>
      <c r="C160" s="74" t="str">
        <f>IF(AND($B160=[1]marcos!$A157,[1]marcos!$B157=C$4),"ok","nok")</f>
        <v>nok</v>
      </c>
      <c r="D160" s="74" t="str">
        <f>IF(AND($B160=[1]marcos!$A157,[1]marcos!$B157=D$4),"ok","nok")</f>
        <v>nok</v>
      </c>
      <c r="E160" s="74" t="str">
        <f>IF(AND($B160=[1]marcos!$A157,[1]marcos!$B157=E$4),"ok","nok")</f>
        <v>nok</v>
      </c>
      <c r="F160" s="74" t="str">
        <f>IF(AND($B160=[1]marcos!$A157,[1]marcos!$B157=F$4),"ok","nok")</f>
        <v>nok</v>
      </c>
      <c r="G160" s="74" t="str">
        <f>IF(AND($B160=[1]marcos!$A157,[1]marcos!$B157=G$4),"ok","nok")</f>
        <v>nok</v>
      </c>
      <c r="H160" s="74" t="str">
        <f>IF(AND($B160=[1]marcos!$A157,[1]marcos!$B157=H$4),"ok","nok")</f>
        <v>nok</v>
      </c>
      <c r="I160" s="74" t="str">
        <f>IF(AND($B160=[1]marcos!$A157,[1]marcos!$B157=I$4),"ok","nok")</f>
        <v>nok</v>
      </c>
      <c r="J160" s="74" t="str">
        <f>IF(AND($B160=[1]marcos!$A157,[1]marcos!$B157=J$4),"ok","nok")</f>
        <v>nok</v>
      </c>
      <c r="K160" s="74" t="str">
        <f>IF(AND($B160=[1]marcos!$A157,[1]marcos!$B157=K$4),"ok","nok")</f>
        <v>nok</v>
      </c>
      <c r="L160" s="74" t="str">
        <f>IF(AND($B160=[1]marcos!$A157,[1]marcos!$B157=L$4),"ok","nok")</f>
        <v>nok</v>
      </c>
      <c r="M160" s="74" t="str">
        <f>IF(AND($B160=[1]marcos!$A157,[1]marcos!$B157=M$4),"ok","nok")</f>
        <v>nok</v>
      </c>
      <c r="N160" s="74" t="str">
        <f>IF(AND($B160=[1]marcos!$A157,[1]marcos!$B157=N$4),"ok","nok")</f>
        <v>nok</v>
      </c>
      <c r="O160" s="74" t="str">
        <f>IF(AND($B160=[1]marcos!$A157,[1]marcos!$B157=O$4),"ok","nok")</f>
        <v>nok</v>
      </c>
      <c r="P160" s="83"/>
      <c r="Q160" s="74" t="str">
        <f>IF(AND($B160=[1]marcos!$A157,[1]marcos!$B157=Q$4),"ok","nok")</f>
        <v>nok</v>
      </c>
      <c r="R160" s="74" t="str">
        <f>IF(AND($B160=[1]marcos!$A157,[1]marcos!$B157=R$4),"ok","nok")</f>
        <v>nok</v>
      </c>
      <c r="S160" s="74" t="str">
        <f>IF(AND($B160=[1]marcos!$A157,[1]marcos!$B157=S$4),"ok","nok")</f>
        <v>nok</v>
      </c>
      <c r="T160" s="74" t="str">
        <f>IF(AND($B160=[1]marcos!$A157,[1]marcos!$B157=T$4),"ok","nok")</f>
        <v>nok</v>
      </c>
      <c r="U160" s="74" t="str">
        <f>IF(AND($B160=[1]marcos!$A157,[1]marcos!$B157=U$4),"ok","nok")</f>
        <v>nok</v>
      </c>
      <c r="V160" s="74" t="str">
        <f>IF(AND($B160=[1]marcos!$A157,[1]marcos!$B157=V$4),"ok","nok")</f>
        <v>nok</v>
      </c>
      <c r="W160" s="74" t="str">
        <f>IF(AND($B160=[1]marcos!$A157,[1]marcos!$B157=W$4),"ok","nok")</f>
        <v>ok</v>
      </c>
      <c r="X160" s="74" t="str">
        <f>IF(AND($B160=[1]marcos!$A157,[1]marcos!$B157=X$4),"ok","nok")</f>
        <v>nok</v>
      </c>
      <c r="Y160" s="96" t="s">
        <v>16</v>
      </c>
      <c r="Z160" s="97"/>
      <c r="AA160" s="97"/>
      <c r="AB160" s="98"/>
      <c r="AE160" s="63" t="str">
        <f t="shared" si="40"/>
        <v/>
      </c>
      <c r="AF160" s="63"/>
      <c r="AG160" s="63"/>
      <c r="AH160" s="63"/>
      <c r="AI160" s="64">
        <f t="shared" si="41"/>
        <v>0</v>
      </c>
      <c r="AJ160" s="64" t="str">
        <f t="shared" si="42"/>
        <v/>
      </c>
      <c r="AK160" s="64">
        <f t="shared" si="43"/>
        <v>0</v>
      </c>
      <c r="AL160" s="64" t="str">
        <f t="shared" si="44"/>
        <v/>
      </c>
      <c r="AM160" s="64">
        <f t="shared" si="45"/>
        <v>0</v>
      </c>
      <c r="AN160" s="64" t="str">
        <f t="shared" si="46"/>
        <v/>
      </c>
      <c r="AO160" s="64">
        <f t="shared" si="47"/>
        <v>0</v>
      </c>
      <c r="AP160" s="64" t="str">
        <f t="shared" si="48"/>
        <v/>
      </c>
      <c r="AQ160" s="64">
        <f t="shared" si="49"/>
        <v>1</v>
      </c>
      <c r="AR160" s="64" t="str">
        <f t="shared" si="50"/>
        <v/>
      </c>
    </row>
    <row r="161" spans="1:44" ht="30" customHeight="1" x14ac:dyDescent="0.35">
      <c r="A161" s="28" t="str">
        <f t="shared" si="54"/>
        <v>LARGO VANÁDIO MARACÁS
PLANTA QUÍMICA
ÁREA DE PRÉ EVAPORAÇÃO
Silo 530 - SI 001</v>
      </c>
      <c r="B161" s="55" t="s">
        <v>38</v>
      </c>
      <c r="C161" s="74" t="str">
        <f>IF(AND($B161=[1]marcos!$A158,[1]marcos!$B158=C$4),"ok","nok")</f>
        <v>nok</v>
      </c>
      <c r="D161" s="74" t="str">
        <f>IF(AND($B161=[1]marcos!$A158,[1]marcos!$B158=D$4),"ok","nok")</f>
        <v>nok</v>
      </c>
      <c r="E161" s="74" t="str">
        <f>IF(AND($B161=[1]marcos!$A158,[1]marcos!$B158=E$4),"ok","nok")</f>
        <v>nok</v>
      </c>
      <c r="F161" s="74" t="str">
        <f>IF(AND($B161=[1]marcos!$A158,[1]marcos!$B158=F$4),"ok","nok")</f>
        <v>nok</v>
      </c>
      <c r="G161" s="74" t="str">
        <f>IF(AND($B161=[1]marcos!$A158,[1]marcos!$B158=G$4),"ok","nok")</f>
        <v>nok</v>
      </c>
      <c r="H161" s="74" t="str">
        <f>IF(AND($B161=[1]marcos!$A158,[1]marcos!$B158=H$4),"ok","nok")</f>
        <v>nok</v>
      </c>
      <c r="I161" s="74" t="str">
        <f>IF(AND($B161=[1]marcos!$A158,[1]marcos!$B158=I$4),"ok","nok")</f>
        <v>nok</v>
      </c>
      <c r="J161" s="74" t="str">
        <f>IF(AND($B161=[1]marcos!$A158,[1]marcos!$B158=J$4),"ok","nok")</f>
        <v>nok</v>
      </c>
      <c r="K161" s="74" t="str">
        <f>IF(AND($B161=[1]marcos!$A158,[1]marcos!$B158=K$4),"ok","nok")</f>
        <v>nok</v>
      </c>
      <c r="L161" s="74" t="str">
        <f>IF(AND($B161=[1]marcos!$A158,[1]marcos!$B158=L$4),"ok","nok")</f>
        <v>nok</v>
      </c>
      <c r="M161" s="74" t="str">
        <f>IF(AND($B161=[1]marcos!$A158,[1]marcos!$B158=M$4),"ok","nok")</f>
        <v>nok</v>
      </c>
      <c r="N161" s="74" t="str">
        <f>IF(AND($B161=[1]marcos!$A158,[1]marcos!$B158=N$4),"ok","nok")</f>
        <v>nok</v>
      </c>
      <c r="O161" s="74" t="str">
        <f>IF(AND($B161=[1]marcos!$A158,[1]marcos!$B158=O$4),"ok","nok")</f>
        <v>nok</v>
      </c>
      <c r="P161" s="74" t="str">
        <f>IF(AND($B161=[1]marcos!$A158,[1]marcos!$B158=P$4),"ok","nok")</f>
        <v>nok</v>
      </c>
      <c r="Q161" s="74" t="str">
        <f>IF(AND($B161=[1]marcos!$A158,[1]marcos!$B158=Q$4),"ok","nok")</f>
        <v>nok</v>
      </c>
      <c r="R161" s="74" t="str">
        <f>IF(AND($B161=[1]marcos!$A158,[1]marcos!$B158=R$4),"ok","nok")</f>
        <v>nok</v>
      </c>
      <c r="S161" s="83"/>
      <c r="T161" s="74" t="str">
        <f>IF(AND($B161=[1]marcos!$A158,[1]marcos!$B158=T$4),"ok","nok")</f>
        <v>nok</v>
      </c>
      <c r="U161" s="74" t="str">
        <f>IF(AND($B161=[1]marcos!$A158,[1]marcos!$B158=U$4),"ok","nok")</f>
        <v>nok</v>
      </c>
      <c r="V161" s="74" t="str">
        <f>IF(AND($B161=[1]marcos!$A158,[1]marcos!$B158=V$4),"ok","nok")</f>
        <v>nok</v>
      </c>
      <c r="W161" s="74" t="str">
        <f>IF(AND($B161=[1]marcos!$A158,[1]marcos!$B158=W$4),"ok","nok")</f>
        <v>nok</v>
      </c>
      <c r="X161" s="74" t="str">
        <f>IF(AND($B161=[1]marcos!$A158,[1]marcos!$B158=X$4),"ok","nok")</f>
        <v>ok</v>
      </c>
      <c r="Y161" s="96" t="s">
        <v>16</v>
      </c>
      <c r="Z161" s="97"/>
      <c r="AA161" s="97"/>
      <c r="AB161" s="98"/>
      <c r="AE161" s="63" t="str">
        <f t="shared" si="40"/>
        <v/>
      </c>
      <c r="AF161" s="63"/>
      <c r="AG161" s="63"/>
      <c r="AH161" s="63"/>
      <c r="AI161" s="64">
        <f t="shared" si="41"/>
        <v>0</v>
      </c>
      <c r="AJ161" s="64" t="str">
        <f t="shared" si="42"/>
        <v/>
      </c>
      <c r="AK161" s="64">
        <f t="shared" si="43"/>
        <v>0</v>
      </c>
      <c r="AL161" s="64" t="str">
        <f t="shared" si="44"/>
        <v/>
      </c>
      <c r="AM161" s="64">
        <f t="shared" si="45"/>
        <v>0</v>
      </c>
      <c r="AN161" s="64" t="str">
        <f t="shared" si="46"/>
        <v/>
      </c>
      <c r="AO161" s="64">
        <f t="shared" si="47"/>
        <v>0</v>
      </c>
      <c r="AP161" s="64" t="str">
        <f t="shared" si="48"/>
        <v/>
      </c>
      <c r="AQ161" s="64">
        <f t="shared" si="49"/>
        <v>1</v>
      </c>
      <c r="AR161" s="64" t="str">
        <f t="shared" si="50"/>
        <v/>
      </c>
    </row>
    <row r="162" spans="1:44" ht="30" customHeight="1" x14ac:dyDescent="0.35">
      <c r="A162" s="28" t="str">
        <f t="shared" si="54"/>
        <v>LARGO VANÁDIO MARACÁS
PLANTA QUÍMICA
ÁREA DE PRÉ EVAPORAÇÃO
Silo 530 - SI 001</v>
      </c>
      <c r="B162" s="55" t="s">
        <v>76</v>
      </c>
      <c r="C162" s="74" t="str">
        <f>IF(AND($B162=[1]marcos!$A159,[1]marcos!$B159=C$4),"ok","nok")</f>
        <v>nok</v>
      </c>
      <c r="D162" s="74" t="str">
        <f>IF(AND($B162=[1]marcos!$A159,[1]marcos!$B159=D$4),"ok","nok")</f>
        <v>nok</v>
      </c>
      <c r="E162" s="74" t="str">
        <f>IF(AND($B162=[1]marcos!$A159,[1]marcos!$B159=E$4),"ok","nok")</f>
        <v>nok</v>
      </c>
      <c r="F162" s="74" t="str">
        <f>IF(AND($B162=[1]marcos!$A159,[1]marcos!$B159=F$4),"ok","nok")</f>
        <v>nok</v>
      </c>
      <c r="G162" s="74" t="str">
        <f>IF(AND($B162=[1]marcos!$A159,[1]marcos!$B159=G$4),"ok","nok")</f>
        <v>nok</v>
      </c>
      <c r="H162" s="74" t="str">
        <f>IF(AND($B162=[1]marcos!$A159,[1]marcos!$B159=H$4),"ok","nok")</f>
        <v>nok</v>
      </c>
      <c r="I162" s="74" t="str">
        <f>IF(AND($B162=[1]marcos!$A159,[1]marcos!$B159=I$4),"ok","nok")</f>
        <v>nok</v>
      </c>
      <c r="J162" s="74" t="str">
        <f>IF(AND($B162=[1]marcos!$A159,[1]marcos!$B159=J$4),"ok","nok")</f>
        <v>nok</v>
      </c>
      <c r="K162" s="74" t="str">
        <f>IF(AND($B162=[1]marcos!$A159,[1]marcos!$B159=K$4),"ok","nok")</f>
        <v>nok</v>
      </c>
      <c r="L162" s="74" t="str">
        <f>IF(AND($B162=[1]marcos!$A159,[1]marcos!$B159=L$4),"ok","nok")</f>
        <v>nok</v>
      </c>
      <c r="M162" s="74" t="str">
        <f>IF(AND($B162=[1]marcos!$A159,[1]marcos!$B159=M$4),"ok","nok")</f>
        <v>nok</v>
      </c>
      <c r="N162" s="74" t="str">
        <f>IF(AND($B162=[1]marcos!$A159,[1]marcos!$B159=N$4),"ok","nok")</f>
        <v>nok</v>
      </c>
      <c r="O162" s="74" t="str">
        <f>IF(AND($B162=[1]marcos!$A159,[1]marcos!$B159=O$4),"ok","nok")</f>
        <v>nok</v>
      </c>
      <c r="P162" s="74" t="str">
        <f>IF(AND($B162=[1]marcos!$A159,[1]marcos!$B159=P$4),"ok","nok")</f>
        <v>nok</v>
      </c>
      <c r="Q162" s="74" t="str">
        <f>IF(AND($B162=[1]marcos!$A159,[1]marcos!$B159=Q$4),"ok","nok")</f>
        <v>nok</v>
      </c>
      <c r="R162" s="74" t="str">
        <f>IF(AND($B162=[1]marcos!$A159,[1]marcos!$B159=R$4),"ok","nok")</f>
        <v>nok</v>
      </c>
      <c r="S162" s="83"/>
      <c r="T162" s="74" t="str">
        <f>IF(AND($B162=[1]marcos!$A159,[1]marcos!$B159=T$4),"ok","nok")</f>
        <v>nok</v>
      </c>
      <c r="U162" s="74" t="str">
        <f>IF(AND($B162=[1]marcos!$A159,[1]marcos!$B159=U$4),"ok","nok")</f>
        <v>nok</v>
      </c>
      <c r="V162" s="74" t="str">
        <f>IF(AND($B162=[1]marcos!$A159,[1]marcos!$B159=V$4),"ok","nok")</f>
        <v>nok</v>
      </c>
      <c r="W162" s="74" t="str">
        <f>IF(AND($B162=[1]marcos!$A159,[1]marcos!$B159=W$4),"ok","nok")</f>
        <v>nok</v>
      </c>
      <c r="X162" s="74" t="str">
        <f>IF(AND($B162=[1]marcos!$A159,[1]marcos!$B159=X$4),"ok","nok")</f>
        <v>ok</v>
      </c>
      <c r="Y162" s="96" t="s">
        <v>16</v>
      </c>
      <c r="Z162" s="97"/>
      <c r="AA162" s="97"/>
      <c r="AB162" s="98"/>
      <c r="AE162" s="63" t="str">
        <f t="shared" si="40"/>
        <v/>
      </c>
      <c r="AF162" s="63"/>
      <c r="AG162" s="63"/>
      <c r="AH162" s="63"/>
      <c r="AI162" s="64">
        <f t="shared" si="41"/>
        <v>0</v>
      </c>
      <c r="AJ162" s="64" t="str">
        <f t="shared" si="42"/>
        <v/>
      </c>
      <c r="AK162" s="64">
        <f t="shared" si="43"/>
        <v>0</v>
      </c>
      <c r="AL162" s="64" t="str">
        <f t="shared" si="44"/>
        <v/>
      </c>
      <c r="AM162" s="64">
        <f t="shared" si="45"/>
        <v>0</v>
      </c>
      <c r="AN162" s="64" t="str">
        <f t="shared" si="46"/>
        <v/>
      </c>
      <c r="AO162" s="64">
        <f t="shared" si="47"/>
        <v>0</v>
      </c>
      <c r="AP162" s="64" t="str">
        <f t="shared" si="48"/>
        <v/>
      </c>
      <c r="AQ162" s="64">
        <f t="shared" si="49"/>
        <v>1</v>
      </c>
      <c r="AR162" s="64" t="str">
        <f t="shared" si="50"/>
        <v/>
      </c>
    </row>
    <row r="163" spans="1:44" ht="30" customHeight="1" x14ac:dyDescent="0.35">
      <c r="A163" s="28"/>
      <c r="B163" s="77" t="s">
        <v>59</v>
      </c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120"/>
      <c r="Z163" s="121"/>
      <c r="AA163" s="121"/>
      <c r="AB163" s="122"/>
      <c r="AE163" s="63" t="str">
        <f t="shared" si="40"/>
        <v/>
      </c>
      <c r="AF163" s="63"/>
      <c r="AG163" s="63"/>
      <c r="AH163" s="63"/>
      <c r="AI163" s="64">
        <f t="shared" si="41"/>
        <v>0</v>
      </c>
      <c r="AJ163" s="64" t="str">
        <f t="shared" si="42"/>
        <v/>
      </c>
      <c r="AK163" s="64">
        <f t="shared" si="43"/>
        <v>0</v>
      </c>
      <c r="AL163" s="64" t="str">
        <f t="shared" si="44"/>
        <v/>
      </c>
      <c r="AM163" s="64">
        <f t="shared" si="45"/>
        <v>0</v>
      </c>
      <c r="AN163" s="64" t="str">
        <f t="shared" si="46"/>
        <v/>
      </c>
      <c r="AO163" s="64">
        <f t="shared" si="47"/>
        <v>0</v>
      </c>
      <c r="AP163" s="64" t="str">
        <f t="shared" si="48"/>
        <v/>
      </c>
      <c r="AQ163" s="64">
        <f t="shared" si="49"/>
        <v>0</v>
      </c>
      <c r="AR163" s="64" t="str">
        <f t="shared" si="50"/>
        <v/>
      </c>
    </row>
    <row r="164" spans="1:44" ht="30" customHeight="1" x14ac:dyDescent="0.35">
      <c r="A164" s="28" t="str">
        <f>CONCATENATE($B$80,"
",$B$83,"
",$B$148,"
",$B$163)</f>
        <v>LARGO VANÁDIO MARACÁS
PLANTA QUÍMICA
ÁREA DE PRÉ EVAPORAÇÃO
Tanque 530 - TQ 08</v>
      </c>
      <c r="B164" s="53" t="s">
        <v>73</v>
      </c>
      <c r="C164" s="74" t="str">
        <f>IF(AND($B164=[1]marcos!$A161,[1]marcos!$B161=C$4),"ok","nok")</f>
        <v>nok</v>
      </c>
      <c r="D164" s="74" t="str">
        <f>IF(AND($B164=[1]marcos!$A161,[1]marcos!$B161=D$4),"ok","nok")</f>
        <v>nok</v>
      </c>
      <c r="E164" s="74" t="str">
        <f>IF(AND($B164=[1]marcos!$A161,[1]marcos!$B161=E$4),"ok","nok")</f>
        <v>nok</v>
      </c>
      <c r="F164" s="74" t="str">
        <f>IF(AND($B164=[1]marcos!$A161,[1]marcos!$B161=F$4),"ok","nok")</f>
        <v>nok</v>
      </c>
      <c r="G164" s="74" t="str">
        <f>IF(AND($B164=[1]marcos!$A161,[1]marcos!$B161=G$4),"ok","nok")</f>
        <v>nok</v>
      </c>
      <c r="H164" s="74" t="str">
        <f>IF(AND($B164=[1]marcos!$A161,[1]marcos!$B161=H$4),"ok","nok")</f>
        <v>nok</v>
      </c>
      <c r="I164" s="74" t="str">
        <f>IF(AND($B164=[1]marcos!$A161,[1]marcos!$B161=I$4),"ok","nok")</f>
        <v>nok</v>
      </c>
      <c r="J164" s="74" t="str">
        <f>IF(AND($B164=[1]marcos!$A161,[1]marcos!$B161=J$4),"ok","nok")</f>
        <v>nok</v>
      </c>
      <c r="K164" s="83"/>
      <c r="L164" s="74" t="str">
        <f>IF(AND($B164=[1]marcos!$A161,[1]marcos!$B161=L$4),"ok","nok")</f>
        <v>nok</v>
      </c>
      <c r="M164" s="74" t="str">
        <f>IF(AND($B164=[1]marcos!$A161,[1]marcos!$B161=M$4),"ok","nok")</f>
        <v>nok</v>
      </c>
      <c r="N164" s="74" t="str">
        <f>IF(AND($B164=[1]marcos!$A161,[1]marcos!$B161=N$4),"ok","nok")</f>
        <v>nok</v>
      </c>
      <c r="O164" s="74" t="str">
        <f>IF(AND($B164=[1]marcos!$A161,[1]marcos!$B161=O$4),"ok","nok")</f>
        <v>nok</v>
      </c>
      <c r="P164" s="74" t="str">
        <f>IF(AND($B164=[1]marcos!$A161,[1]marcos!$B161=P$4),"ok","nok")</f>
        <v>nok</v>
      </c>
      <c r="Q164" s="74" t="str">
        <f>IF(AND($B164=[1]marcos!$A161,[1]marcos!$B161=Q$4),"ok","nok")</f>
        <v>nok</v>
      </c>
      <c r="R164" s="74" t="str">
        <f>IF(AND($B164=[1]marcos!$A161,[1]marcos!$B161=R$4),"ok","nok")</f>
        <v>nok</v>
      </c>
      <c r="S164" s="74" t="str">
        <f>IF(AND($B164=[1]marcos!$A161,[1]marcos!$B161=S$4),"ok","nok")</f>
        <v>nok</v>
      </c>
      <c r="T164" s="74" t="str">
        <f>IF(AND($B164=[1]marcos!$A161,[1]marcos!$B161=T$4),"ok","nok")</f>
        <v>nok</v>
      </c>
      <c r="U164" s="74" t="str">
        <f>IF(AND($B164=[1]marcos!$A161,[1]marcos!$B161=U$4),"ok","nok")</f>
        <v>nok</v>
      </c>
      <c r="V164" s="74" t="str">
        <f>IF(AND($B164=[1]marcos!$A161,[1]marcos!$B161=V$4),"ok","nok")</f>
        <v>ok</v>
      </c>
      <c r="W164" s="74" t="str">
        <f>IF(AND($B164=[1]marcos!$A161,[1]marcos!$B161=W$4),"ok","nok")</f>
        <v>nok</v>
      </c>
      <c r="X164" s="74" t="str">
        <f>IF(AND($B164=[1]marcos!$A161,[1]marcos!$B161=X$4),"ok","nok")</f>
        <v>nok</v>
      </c>
      <c r="Y164" s="96" t="s">
        <v>32</v>
      </c>
      <c r="Z164" s="97"/>
      <c r="AA164" s="97"/>
      <c r="AB164" s="98"/>
      <c r="AE164" s="63" t="str">
        <f t="shared" si="40"/>
        <v>Verificação do Laudo</v>
      </c>
      <c r="AF164" s="63"/>
      <c r="AG164" s="63"/>
      <c r="AH164" s="63"/>
      <c r="AI164" s="64">
        <f t="shared" si="41"/>
        <v>0</v>
      </c>
      <c r="AJ164" s="64" t="str">
        <f t="shared" si="42"/>
        <v/>
      </c>
      <c r="AK164" s="64">
        <f t="shared" si="43"/>
        <v>0</v>
      </c>
      <c r="AL164" s="64" t="str">
        <f t="shared" si="44"/>
        <v/>
      </c>
      <c r="AM164" s="64">
        <f t="shared" si="45"/>
        <v>0</v>
      </c>
      <c r="AN164" s="64" t="str">
        <f t="shared" si="46"/>
        <v/>
      </c>
      <c r="AO164" s="64">
        <f t="shared" si="47"/>
        <v>1</v>
      </c>
      <c r="AP164" s="64" t="str">
        <f t="shared" si="48"/>
        <v/>
      </c>
      <c r="AQ164" s="64">
        <f t="shared" si="49"/>
        <v>0</v>
      </c>
      <c r="AR164" s="64" t="str">
        <f t="shared" si="50"/>
        <v/>
      </c>
    </row>
    <row r="165" spans="1:44" ht="30" customHeight="1" x14ac:dyDescent="0.35">
      <c r="A165" s="28"/>
      <c r="B165" s="54" t="s">
        <v>74</v>
      </c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114"/>
      <c r="Z165" s="115"/>
      <c r="AA165" s="115"/>
      <c r="AB165" s="116"/>
      <c r="AE165" s="63" t="str">
        <f t="shared" si="40"/>
        <v/>
      </c>
      <c r="AF165" s="63"/>
      <c r="AG165" s="63"/>
      <c r="AH165" s="63"/>
      <c r="AI165" s="64">
        <f t="shared" si="41"/>
        <v>0</v>
      </c>
      <c r="AJ165" s="64" t="str">
        <f t="shared" si="42"/>
        <v/>
      </c>
      <c r="AK165" s="64">
        <f t="shared" si="43"/>
        <v>0</v>
      </c>
      <c r="AL165" s="64" t="str">
        <f t="shared" si="44"/>
        <v/>
      </c>
      <c r="AM165" s="64">
        <f t="shared" si="45"/>
        <v>0</v>
      </c>
      <c r="AN165" s="64" t="str">
        <f t="shared" si="46"/>
        <v/>
      </c>
      <c r="AO165" s="64">
        <f t="shared" si="47"/>
        <v>0</v>
      </c>
      <c r="AP165" s="64" t="str">
        <f t="shared" si="48"/>
        <v/>
      </c>
      <c r="AQ165" s="64">
        <f t="shared" si="49"/>
        <v>0</v>
      </c>
      <c r="AR165" s="64" t="str">
        <f t="shared" si="50"/>
        <v/>
      </c>
    </row>
    <row r="166" spans="1:44" ht="30" customHeight="1" x14ac:dyDescent="0.35">
      <c r="A166" s="28" t="str">
        <f t="shared" ref="A166:A169" si="55">CONCATENATE($B$80,"
",$B$83,"
",$B$148,"
",$B$163)</f>
        <v>LARGO VANÁDIO MARACÁS
PLANTA QUÍMICA
ÁREA DE PRÉ EVAPORAÇÃO
Tanque 530 - TQ 08</v>
      </c>
      <c r="B166" s="55" t="s">
        <v>75</v>
      </c>
      <c r="C166" s="74" t="str">
        <f>IF(AND($B166=[1]marcos!$A163,[1]marcos!$B163=C$4),"ok","nok")</f>
        <v>nok</v>
      </c>
      <c r="D166" s="74" t="str">
        <f>IF(AND($B166=[1]marcos!$A163,[1]marcos!$B163=D$4),"ok","nok")</f>
        <v>nok</v>
      </c>
      <c r="E166" s="74" t="str">
        <f>IF(AND($B166=[1]marcos!$A163,[1]marcos!$B163=E$4),"ok","nok")</f>
        <v>nok</v>
      </c>
      <c r="F166" s="74" t="str">
        <f>IF(AND($B166=[1]marcos!$A163,[1]marcos!$B163=F$4),"ok","nok")</f>
        <v>nok</v>
      </c>
      <c r="G166" s="74" t="str">
        <f>IF(AND($B166=[1]marcos!$A163,[1]marcos!$B163=G$4),"ok","nok")</f>
        <v>nok</v>
      </c>
      <c r="H166" s="74" t="str">
        <f>IF(AND($B166=[1]marcos!$A163,[1]marcos!$B163=H$4),"ok","nok")</f>
        <v>nok</v>
      </c>
      <c r="I166" s="74" t="str">
        <f>IF(AND($B166=[1]marcos!$A163,[1]marcos!$B163=I$4),"ok","nok")</f>
        <v>nok</v>
      </c>
      <c r="J166" s="74" t="str">
        <f>IF(AND($B166=[1]marcos!$A163,[1]marcos!$B163=J$4),"ok","nok")</f>
        <v>nok</v>
      </c>
      <c r="K166" s="83"/>
      <c r="L166" s="74" t="str">
        <f>IF(AND($B166=[1]marcos!$A163,[1]marcos!$B163=L$4),"ok","nok")</f>
        <v>nok</v>
      </c>
      <c r="M166" s="74" t="str">
        <f>IF(AND($B166=[1]marcos!$A163,[1]marcos!$B163=M$4),"ok","nok")</f>
        <v>nok</v>
      </c>
      <c r="N166" s="74" t="str">
        <f>IF(AND($B166=[1]marcos!$A163,[1]marcos!$B163=N$4),"ok","nok")</f>
        <v>nok</v>
      </c>
      <c r="O166" s="74" t="str">
        <f>IF(AND($B166=[1]marcos!$A163,[1]marcos!$B163=O$4),"ok","nok")</f>
        <v>nok</v>
      </c>
      <c r="P166" s="74" t="str">
        <f>IF(AND($B166=[1]marcos!$A163,[1]marcos!$B163=P$4),"ok","nok")</f>
        <v>nok</v>
      </c>
      <c r="Q166" s="74" t="str">
        <f>IF(AND($B166=[1]marcos!$A163,[1]marcos!$B163=Q$4),"ok","nok")</f>
        <v>nok</v>
      </c>
      <c r="R166" s="74" t="str">
        <f>IF(AND($B166=[1]marcos!$A163,[1]marcos!$B163=R$4),"ok","nok")</f>
        <v>nok</v>
      </c>
      <c r="S166" s="74" t="str">
        <f>IF(AND($B166=[1]marcos!$A163,[1]marcos!$B163=S$4),"ok","nok")</f>
        <v>nok</v>
      </c>
      <c r="T166" s="74" t="str">
        <f>IF(AND($B166=[1]marcos!$A163,[1]marcos!$B163=T$4),"ok","nok")</f>
        <v>nok</v>
      </c>
      <c r="U166" s="74" t="str">
        <f>IF(AND($B166=[1]marcos!$A163,[1]marcos!$B163=U$4),"ok","nok")</f>
        <v>nok</v>
      </c>
      <c r="V166" s="74" t="str">
        <f>IF(AND($B166=[1]marcos!$A163,[1]marcos!$B163=V$4),"ok","nok")</f>
        <v>ok</v>
      </c>
      <c r="W166" s="74" t="str">
        <f>IF(AND($B166=[1]marcos!$A163,[1]marcos!$B163=W$4),"ok","nok")</f>
        <v>nok</v>
      </c>
      <c r="X166" s="74" t="str">
        <f>IF(AND($B166=[1]marcos!$A163,[1]marcos!$B163=X$4),"ok","nok")</f>
        <v>nok</v>
      </c>
      <c r="Y166" s="96" t="s">
        <v>32</v>
      </c>
      <c r="Z166" s="97"/>
      <c r="AA166" s="97"/>
      <c r="AB166" s="98"/>
      <c r="AE166" s="63" t="str">
        <f t="shared" si="40"/>
        <v>MARCO - Emissão Inicial</v>
      </c>
      <c r="AF166" s="63"/>
      <c r="AG166" s="63"/>
      <c r="AH166" s="63"/>
      <c r="AI166" s="64">
        <f t="shared" si="41"/>
        <v>0</v>
      </c>
      <c r="AJ166" s="64" t="str">
        <f t="shared" si="42"/>
        <v/>
      </c>
      <c r="AK166" s="64">
        <f t="shared" si="43"/>
        <v>0</v>
      </c>
      <c r="AL166" s="64" t="str">
        <f t="shared" si="44"/>
        <v/>
      </c>
      <c r="AM166" s="64">
        <f t="shared" si="45"/>
        <v>0</v>
      </c>
      <c r="AN166" s="64" t="str">
        <f t="shared" si="46"/>
        <v/>
      </c>
      <c r="AO166" s="64">
        <f t="shared" si="47"/>
        <v>1</v>
      </c>
      <c r="AP166" s="64" t="str">
        <f t="shared" si="48"/>
        <v/>
      </c>
      <c r="AQ166" s="64">
        <f t="shared" si="49"/>
        <v>0</v>
      </c>
      <c r="AR166" s="64" t="str">
        <f t="shared" si="50"/>
        <v/>
      </c>
    </row>
    <row r="167" spans="1:44" ht="30" customHeight="1" x14ac:dyDescent="0.35">
      <c r="A167" s="28" t="str">
        <f t="shared" si="55"/>
        <v>LARGO VANÁDIO MARACÁS
PLANTA QUÍMICA
ÁREA DE PRÉ EVAPORAÇÃO
Tanque 530 - TQ 08</v>
      </c>
      <c r="B167" s="55" t="s">
        <v>20</v>
      </c>
      <c r="C167" s="74" t="str">
        <f>IF(AND($B167=[1]marcos!$A164,[1]marcos!$B164=C$4),"ok","nok")</f>
        <v>nok</v>
      </c>
      <c r="D167" s="74" t="str">
        <f>IF(AND($B167=[1]marcos!$A164,[1]marcos!$B164=D$4),"ok","nok")</f>
        <v>nok</v>
      </c>
      <c r="E167" s="74" t="str">
        <f>IF(AND($B167=[1]marcos!$A164,[1]marcos!$B164=E$4),"ok","nok")</f>
        <v>nok</v>
      </c>
      <c r="F167" s="74" t="str">
        <f>IF(AND($B167=[1]marcos!$A164,[1]marcos!$B164=F$4),"ok","nok")</f>
        <v>nok</v>
      </c>
      <c r="G167" s="74" t="str">
        <f>IF(AND($B167=[1]marcos!$A164,[1]marcos!$B164=G$4),"ok","nok")</f>
        <v>nok</v>
      </c>
      <c r="H167" s="74" t="str">
        <f>IF(AND($B167=[1]marcos!$A164,[1]marcos!$B164=H$4),"ok","nok")</f>
        <v>nok</v>
      </c>
      <c r="I167" s="74" t="str">
        <f>IF(AND($B167=[1]marcos!$A164,[1]marcos!$B164=I$4),"ok","nok")</f>
        <v>nok</v>
      </c>
      <c r="J167" s="74" t="str">
        <f>IF(AND($B167=[1]marcos!$A164,[1]marcos!$B164=J$4),"ok","nok")</f>
        <v>nok</v>
      </c>
      <c r="K167" s="74" t="str">
        <f>IF(AND($B167=[1]marcos!$A164,[1]marcos!$B164=K$4),"ok","nok")</f>
        <v>nok</v>
      </c>
      <c r="L167" s="74" t="str">
        <f>IF(AND($B167=[1]marcos!$A164,[1]marcos!$B164=L$4),"ok","nok")</f>
        <v>nok</v>
      </c>
      <c r="M167" s="74" t="str">
        <f>IF(AND($B167=[1]marcos!$A164,[1]marcos!$B164=M$4),"ok","nok")</f>
        <v>nok</v>
      </c>
      <c r="N167" s="74" t="str">
        <f>IF(AND($B167=[1]marcos!$A164,[1]marcos!$B164=N$4),"ok","nok")</f>
        <v>nok</v>
      </c>
      <c r="O167" s="74" t="str">
        <f>IF(AND($B167=[1]marcos!$A164,[1]marcos!$B164=O$4),"ok","nok")</f>
        <v>nok</v>
      </c>
      <c r="P167" s="83"/>
      <c r="Q167" s="74" t="str">
        <f>IF(AND($B167=[1]marcos!$A164,[1]marcos!$B164=Q$4),"ok","nok")</f>
        <v>nok</v>
      </c>
      <c r="R167" s="74" t="str">
        <f>IF(AND($B167=[1]marcos!$A164,[1]marcos!$B164=R$4),"ok","nok")</f>
        <v>nok</v>
      </c>
      <c r="S167" s="74" t="str">
        <f>IF(AND($B167=[1]marcos!$A164,[1]marcos!$B164=S$4),"ok","nok")</f>
        <v>nok</v>
      </c>
      <c r="T167" s="74" t="str">
        <f>IF(AND($B167=[1]marcos!$A164,[1]marcos!$B164=T$4),"ok","nok")</f>
        <v>nok</v>
      </c>
      <c r="U167" s="74" t="str">
        <f>IF(AND($B167=[1]marcos!$A164,[1]marcos!$B164=U$4),"ok","nok")</f>
        <v>nok</v>
      </c>
      <c r="V167" s="74" t="str">
        <f>IF(AND($B167=[1]marcos!$A164,[1]marcos!$B164=V$4),"ok","nok")</f>
        <v>nok</v>
      </c>
      <c r="W167" s="74" t="str">
        <f>IF(AND($B167=[1]marcos!$A164,[1]marcos!$B164=W$4),"ok","nok")</f>
        <v>ok</v>
      </c>
      <c r="X167" s="74" t="str">
        <f>IF(AND($B167=[1]marcos!$A164,[1]marcos!$B164=X$4),"ok","nok")</f>
        <v>nok</v>
      </c>
      <c r="Y167" s="96" t="s">
        <v>16</v>
      </c>
      <c r="Z167" s="97"/>
      <c r="AA167" s="97"/>
      <c r="AB167" s="98"/>
      <c r="AE167" s="63" t="str">
        <f t="shared" si="40"/>
        <v/>
      </c>
      <c r="AF167" s="63"/>
      <c r="AG167" s="63"/>
      <c r="AH167" s="63"/>
      <c r="AI167" s="64">
        <f t="shared" si="41"/>
        <v>0</v>
      </c>
      <c r="AJ167" s="64" t="str">
        <f t="shared" si="42"/>
        <v/>
      </c>
      <c r="AK167" s="64">
        <f t="shared" si="43"/>
        <v>0</v>
      </c>
      <c r="AL167" s="64" t="str">
        <f t="shared" si="44"/>
        <v/>
      </c>
      <c r="AM167" s="64">
        <f t="shared" si="45"/>
        <v>0</v>
      </c>
      <c r="AN167" s="64" t="str">
        <f t="shared" si="46"/>
        <v/>
      </c>
      <c r="AO167" s="64">
        <f t="shared" si="47"/>
        <v>0</v>
      </c>
      <c r="AP167" s="64" t="str">
        <f t="shared" si="48"/>
        <v/>
      </c>
      <c r="AQ167" s="64">
        <f t="shared" si="49"/>
        <v>1</v>
      </c>
      <c r="AR167" s="64" t="str">
        <f t="shared" si="50"/>
        <v/>
      </c>
    </row>
    <row r="168" spans="1:44" ht="30" customHeight="1" x14ac:dyDescent="0.35">
      <c r="A168" s="28" t="str">
        <f t="shared" si="55"/>
        <v>LARGO VANÁDIO MARACÁS
PLANTA QUÍMICA
ÁREA DE PRÉ EVAPORAÇÃO
Tanque 530 - TQ 08</v>
      </c>
      <c r="B168" s="55" t="s">
        <v>38</v>
      </c>
      <c r="C168" s="74" t="str">
        <f>IF(AND($B168=[1]marcos!$A165,[1]marcos!$B165=C$4),"ok","nok")</f>
        <v>nok</v>
      </c>
      <c r="D168" s="74" t="str">
        <f>IF(AND($B168=[1]marcos!$A165,[1]marcos!$B165=D$4),"ok","nok")</f>
        <v>nok</v>
      </c>
      <c r="E168" s="74" t="str">
        <f>IF(AND($B168=[1]marcos!$A165,[1]marcos!$B165=E$4),"ok","nok")</f>
        <v>nok</v>
      </c>
      <c r="F168" s="74" t="str">
        <f>IF(AND($B168=[1]marcos!$A165,[1]marcos!$B165=F$4),"ok","nok")</f>
        <v>nok</v>
      </c>
      <c r="G168" s="74" t="str">
        <f>IF(AND($B168=[1]marcos!$A165,[1]marcos!$B165=G$4),"ok","nok")</f>
        <v>nok</v>
      </c>
      <c r="H168" s="74" t="str">
        <f>IF(AND($B168=[1]marcos!$A165,[1]marcos!$B165=H$4),"ok","nok")</f>
        <v>nok</v>
      </c>
      <c r="I168" s="74" t="str">
        <f>IF(AND($B168=[1]marcos!$A165,[1]marcos!$B165=I$4),"ok","nok")</f>
        <v>nok</v>
      </c>
      <c r="J168" s="74" t="str">
        <f>IF(AND($B168=[1]marcos!$A165,[1]marcos!$B165=J$4),"ok","nok")</f>
        <v>nok</v>
      </c>
      <c r="K168" s="74" t="str">
        <f>IF(AND($B168=[1]marcos!$A165,[1]marcos!$B165=K$4),"ok","nok")</f>
        <v>nok</v>
      </c>
      <c r="L168" s="74" t="str">
        <f>IF(AND($B168=[1]marcos!$A165,[1]marcos!$B165=L$4),"ok","nok")</f>
        <v>nok</v>
      </c>
      <c r="M168" s="74" t="str">
        <f>IF(AND($B168=[1]marcos!$A165,[1]marcos!$B165=M$4),"ok","nok")</f>
        <v>nok</v>
      </c>
      <c r="N168" s="74" t="str">
        <f>IF(AND($B168=[1]marcos!$A165,[1]marcos!$B165=N$4),"ok","nok")</f>
        <v>nok</v>
      </c>
      <c r="O168" s="74" t="str">
        <f>IF(AND($B168=[1]marcos!$A165,[1]marcos!$B165=O$4),"ok","nok")</f>
        <v>nok</v>
      </c>
      <c r="P168" s="74" t="str">
        <f>IF(AND($B168=[1]marcos!$A165,[1]marcos!$B165=P$4),"ok","nok")</f>
        <v>nok</v>
      </c>
      <c r="Q168" s="74" t="str">
        <f>IF(AND($B168=[1]marcos!$A165,[1]marcos!$B165=Q$4),"ok","nok")</f>
        <v>nok</v>
      </c>
      <c r="R168" s="74" t="str">
        <f>IF(AND($B168=[1]marcos!$A165,[1]marcos!$B165=R$4),"ok","nok")</f>
        <v>nok</v>
      </c>
      <c r="S168" s="83"/>
      <c r="T168" s="74" t="str">
        <f>IF(AND($B168=[1]marcos!$A165,[1]marcos!$B165=T$4),"ok","nok")</f>
        <v>nok</v>
      </c>
      <c r="U168" s="74" t="str">
        <f>IF(AND($B168=[1]marcos!$A165,[1]marcos!$B165=U$4),"ok","nok")</f>
        <v>nok</v>
      </c>
      <c r="V168" s="74" t="str">
        <f>IF(AND($B168=[1]marcos!$A165,[1]marcos!$B165=V$4),"ok","nok")</f>
        <v>nok</v>
      </c>
      <c r="W168" s="74" t="str">
        <f>IF(AND($B168=[1]marcos!$A165,[1]marcos!$B165=W$4),"ok","nok")</f>
        <v>nok</v>
      </c>
      <c r="X168" s="74" t="str">
        <f>IF(AND($B168=[1]marcos!$A165,[1]marcos!$B165=X$4),"ok","nok")</f>
        <v>ok</v>
      </c>
      <c r="Y168" s="96" t="s">
        <v>16</v>
      </c>
      <c r="Z168" s="97"/>
      <c r="AA168" s="97"/>
      <c r="AB168" s="98"/>
      <c r="AE168" s="63" t="str">
        <f t="shared" si="40"/>
        <v/>
      </c>
      <c r="AF168" s="63"/>
      <c r="AG168" s="63"/>
      <c r="AH168" s="63"/>
      <c r="AI168" s="64">
        <f t="shared" si="41"/>
        <v>0</v>
      </c>
      <c r="AJ168" s="64" t="str">
        <f t="shared" si="42"/>
        <v/>
      </c>
      <c r="AK168" s="64">
        <f t="shared" si="43"/>
        <v>0</v>
      </c>
      <c r="AL168" s="64" t="str">
        <f t="shared" si="44"/>
        <v/>
      </c>
      <c r="AM168" s="64">
        <f t="shared" si="45"/>
        <v>0</v>
      </c>
      <c r="AN168" s="64" t="str">
        <f t="shared" si="46"/>
        <v/>
      </c>
      <c r="AO168" s="64">
        <f t="shared" si="47"/>
        <v>0</v>
      </c>
      <c r="AP168" s="64" t="str">
        <f t="shared" si="48"/>
        <v/>
      </c>
      <c r="AQ168" s="64">
        <f t="shared" si="49"/>
        <v>1</v>
      </c>
      <c r="AR168" s="64" t="str">
        <f t="shared" si="50"/>
        <v/>
      </c>
    </row>
    <row r="169" spans="1:44" ht="30" customHeight="1" x14ac:dyDescent="0.35">
      <c r="A169" s="28" t="str">
        <f t="shared" si="55"/>
        <v>LARGO VANÁDIO MARACÁS
PLANTA QUÍMICA
ÁREA DE PRÉ EVAPORAÇÃO
Tanque 530 - TQ 08</v>
      </c>
      <c r="B169" s="55" t="s">
        <v>76</v>
      </c>
      <c r="C169" s="74" t="str">
        <f>IF(AND($B169=[1]marcos!$A166,[1]marcos!$B166=C$4),"ok","nok")</f>
        <v>nok</v>
      </c>
      <c r="D169" s="74" t="str">
        <f>IF(AND($B169=[1]marcos!$A166,[1]marcos!$B166=D$4),"ok","nok")</f>
        <v>nok</v>
      </c>
      <c r="E169" s="74" t="str">
        <f>IF(AND($B169=[1]marcos!$A166,[1]marcos!$B166=E$4),"ok","nok")</f>
        <v>nok</v>
      </c>
      <c r="F169" s="74" t="str">
        <f>IF(AND($B169=[1]marcos!$A166,[1]marcos!$B166=F$4),"ok","nok")</f>
        <v>nok</v>
      </c>
      <c r="G169" s="74" t="str">
        <f>IF(AND($B169=[1]marcos!$A166,[1]marcos!$B166=G$4),"ok","nok")</f>
        <v>nok</v>
      </c>
      <c r="H169" s="74" t="str">
        <f>IF(AND($B169=[1]marcos!$A166,[1]marcos!$B166=H$4),"ok","nok")</f>
        <v>nok</v>
      </c>
      <c r="I169" s="74" t="str">
        <f>IF(AND($B169=[1]marcos!$A166,[1]marcos!$B166=I$4),"ok","nok")</f>
        <v>nok</v>
      </c>
      <c r="J169" s="74" t="str">
        <f>IF(AND($B169=[1]marcos!$A166,[1]marcos!$B166=J$4),"ok","nok")</f>
        <v>nok</v>
      </c>
      <c r="K169" s="74" t="str">
        <f>IF(AND($B169=[1]marcos!$A166,[1]marcos!$B166=K$4),"ok","nok")</f>
        <v>nok</v>
      </c>
      <c r="L169" s="74" t="str">
        <f>IF(AND($B169=[1]marcos!$A166,[1]marcos!$B166=L$4),"ok","nok")</f>
        <v>nok</v>
      </c>
      <c r="M169" s="74" t="str">
        <f>IF(AND($B169=[1]marcos!$A166,[1]marcos!$B166=M$4),"ok","nok")</f>
        <v>nok</v>
      </c>
      <c r="N169" s="74" t="str">
        <f>IF(AND($B169=[1]marcos!$A166,[1]marcos!$B166=N$4),"ok","nok")</f>
        <v>nok</v>
      </c>
      <c r="O169" s="74" t="str">
        <f>IF(AND($B169=[1]marcos!$A166,[1]marcos!$B166=O$4),"ok","nok")</f>
        <v>nok</v>
      </c>
      <c r="P169" s="74" t="str">
        <f>IF(AND($B169=[1]marcos!$A166,[1]marcos!$B166=P$4),"ok","nok")</f>
        <v>nok</v>
      </c>
      <c r="Q169" s="74" t="str">
        <f>IF(AND($B169=[1]marcos!$A166,[1]marcos!$B166=Q$4),"ok","nok")</f>
        <v>nok</v>
      </c>
      <c r="R169" s="74" t="str">
        <f>IF(AND($B169=[1]marcos!$A166,[1]marcos!$B166=R$4),"ok","nok")</f>
        <v>nok</v>
      </c>
      <c r="S169" s="83"/>
      <c r="T169" s="74" t="str">
        <f>IF(AND($B169=[1]marcos!$A166,[1]marcos!$B166=T$4),"ok","nok")</f>
        <v>nok</v>
      </c>
      <c r="U169" s="74" t="str">
        <f>IF(AND($B169=[1]marcos!$A166,[1]marcos!$B166=U$4),"ok","nok")</f>
        <v>nok</v>
      </c>
      <c r="V169" s="74" t="str">
        <f>IF(AND($B169=[1]marcos!$A166,[1]marcos!$B166=V$4),"ok","nok")</f>
        <v>nok</v>
      </c>
      <c r="W169" s="74" t="str">
        <f>IF(AND($B169=[1]marcos!$A166,[1]marcos!$B166=W$4),"ok","nok")</f>
        <v>nok</v>
      </c>
      <c r="X169" s="74" t="str">
        <f>IF(AND($B169=[1]marcos!$A166,[1]marcos!$B166=X$4),"ok","nok")</f>
        <v>ok</v>
      </c>
      <c r="Y169" s="96" t="s">
        <v>16</v>
      </c>
      <c r="Z169" s="97"/>
      <c r="AA169" s="97"/>
      <c r="AB169" s="98"/>
      <c r="AE169" s="63" t="str">
        <f t="shared" si="40"/>
        <v/>
      </c>
      <c r="AF169" s="63"/>
      <c r="AG169" s="63"/>
      <c r="AH169" s="63"/>
      <c r="AI169" s="64">
        <f t="shared" si="41"/>
        <v>0</v>
      </c>
      <c r="AJ169" s="64" t="str">
        <f t="shared" si="42"/>
        <v/>
      </c>
      <c r="AK169" s="64">
        <f t="shared" si="43"/>
        <v>0</v>
      </c>
      <c r="AL169" s="64" t="str">
        <f t="shared" si="44"/>
        <v/>
      </c>
      <c r="AM169" s="64">
        <f t="shared" si="45"/>
        <v>0</v>
      </c>
      <c r="AN169" s="64" t="str">
        <f t="shared" si="46"/>
        <v/>
      </c>
      <c r="AO169" s="64">
        <f t="shared" si="47"/>
        <v>0</v>
      </c>
      <c r="AP169" s="64" t="str">
        <f t="shared" si="48"/>
        <v/>
      </c>
      <c r="AQ169" s="64">
        <f t="shared" si="49"/>
        <v>1</v>
      </c>
      <c r="AR169" s="64" t="str">
        <f t="shared" si="50"/>
        <v/>
      </c>
    </row>
    <row r="170" spans="1:44" ht="30" customHeight="1" x14ac:dyDescent="0.35">
      <c r="A170" s="28"/>
      <c r="B170" s="77" t="s">
        <v>60</v>
      </c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120"/>
      <c r="Z170" s="121"/>
      <c r="AA170" s="121"/>
      <c r="AB170" s="122"/>
      <c r="AE170" s="63" t="str">
        <f t="shared" si="40"/>
        <v/>
      </c>
      <c r="AF170" s="63"/>
      <c r="AG170" s="63"/>
      <c r="AH170" s="63"/>
      <c r="AI170" s="64">
        <f t="shared" si="41"/>
        <v>0</v>
      </c>
      <c r="AJ170" s="64" t="str">
        <f t="shared" si="42"/>
        <v/>
      </c>
      <c r="AK170" s="64">
        <f t="shared" si="43"/>
        <v>0</v>
      </c>
      <c r="AL170" s="64" t="str">
        <f t="shared" si="44"/>
        <v/>
      </c>
      <c r="AM170" s="64">
        <f t="shared" si="45"/>
        <v>0</v>
      </c>
      <c r="AN170" s="64" t="str">
        <f t="shared" si="46"/>
        <v/>
      </c>
      <c r="AO170" s="64">
        <f t="shared" si="47"/>
        <v>0</v>
      </c>
      <c r="AP170" s="64" t="str">
        <f t="shared" si="48"/>
        <v/>
      </c>
      <c r="AQ170" s="64">
        <f t="shared" si="49"/>
        <v>0</v>
      </c>
      <c r="AR170" s="64" t="str">
        <f t="shared" si="50"/>
        <v/>
      </c>
    </row>
    <row r="171" spans="1:44" ht="30" customHeight="1" x14ac:dyDescent="0.35">
      <c r="A171" s="28" t="str">
        <f>CONCATENATE($B$80,"
",$B$83,"
",$B$148,"
",$B$170)</f>
        <v>LARGO VANÁDIO MARACÁS
PLANTA QUÍMICA
ÁREA DE PRÉ EVAPORAÇÃO
530 - HE 200</v>
      </c>
      <c r="B171" s="53" t="s">
        <v>73</v>
      </c>
      <c r="C171" s="74" t="str">
        <f>IF(AND($B171=[1]marcos!$A168,[1]marcos!$B168=C$4),"ok","nok")</f>
        <v>nok</v>
      </c>
      <c r="D171" s="74" t="str">
        <f>IF(AND($B171=[1]marcos!$A168,[1]marcos!$B168=D$4),"ok","nok")</f>
        <v>nok</v>
      </c>
      <c r="E171" s="74" t="str">
        <f>IF(AND($B171=[1]marcos!$A168,[1]marcos!$B168=E$4),"ok","nok")</f>
        <v>nok</v>
      </c>
      <c r="F171" s="74" t="str">
        <f>IF(AND($B171=[1]marcos!$A168,[1]marcos!$B168=F$4),"ok","nok")</f>
        <v>nok</v>
      </c>
      <c r="G171" s="74" t="str">
        <f>IF(AND($B171=[1]marcos!$A168,[1]marcos!$B168=G$4),"ok","nok")</f>
        <v>nok</v>
      </c>
      <c r="H171" s="74" t="str">
        <f>IF(AND($B171=[1]marcos!$A168,[1]marcos!$B168=H$4),"ok","nok")</f>
        <v>nok</v>
      </c>
      <c r="I171" s="74" t="str">
        <f>IF(AND($B171=[1]marcos!$A168,[1]marcos!$B168=I$4),"ok","nok")</f>
        <v>nok</v>
      </c>
      <c r="J171" s="74" t="str">
        <f>IF(AND($B171=[1]marcos!$A168,[1]marcos!$B168=J$4),"ok","nok")</f>
        <v>nok</v>
      </c>
      <c r="K171" s="83"/>
      <c r="L171" s="74" t="str">
        <f>IF(AND($B171=[1]marcos!$A168,[1]marcos!$B168=L$4),"ok","nok")</f>
        <v>nok</v>
      </c>
      <c r="M171" s="74" t="str">
        <f>IF(AND($B171=[1]marcos!$A168,[1]marcos!$B168=M$4),"ok","nok")</f>
        <v>nok</v>
      </c>
      <c r="N171" s="74" t="str">
        <f>IF(AND($B171=[1]marcos!$A168,[1]marcos!$B168=N$4),"ok","nok")</f>
        <v>nok</v>
      </c>
      <c r="O171" s="74" t="str">
        <f>IF(AND($B171=[1]marcos!$A168,[1]marcos!$B168=O$4),"ok","nok")</f>
        <v>nok</v>
      </c>
      <c r="P171" s="74" t="str">
        <f>IF(AND($B171=[1]marcos!$A168,[1]marcos!$B168=P$4),"ok","nok")</f>
        <v>nok</v>
      </c>
      <c r="Q171" s="74" t="str">
        <f>IF(AND($B171=[1]marcos!$A168,[1]marcos!$B168=Q$4),"ok","nok")</f>
        <v>nok</v>
      </c>
      <c r="R171" s="74" t="str">
        <f>IF(AND($B171=[1]marcos!$A168,[1]marcos!$B168=R$4),"ok","nok")</f>
        <v>nok</v>
      </c>
      <c r="S171" s="74" t="str">
        <f>IF(AND($B171=[1]marcos!$A168,[1]marcos!$B168=S$4),"ok","nok")</f>
        <v>nok</v>
      </c>
      <c r="T171" s="74" t="str">
        <f>IF(AND($B171=[1]marcos!$A168,[1]marcos!$B168=T$4),"ok","nok")</f>
        <v>nok</v>
      </c>
      <c r="U171" s="74" t="str">
        <f>IF(AND($B171=[1]marcos!$A168,[1]marcos!$B168=U$4),"ok","nok")</f>
        <v>nok</v>
      </c>
      <c r="V171" s="74" t="str">
        <f>IF(AND($B171=[1]marcos!$A168,[1]marcos!$B168=V$4),"ok","nok")</f>
        <v>ok</v>
      </c>
      <c r="W171" s="74" t="str">
        <f>IF(AND($B171=[1]marcos!$A168,[1]marcos!$B168=W$4),"ok","nok")</f>
        <v>nok</v>
      </c>
      <c r="X171" s="74" t="str">
        <f>IF(AND($B171=[1]marcos!$A168,[1]marcos!$B168=X$4),"ok","nok")</f>
        <v>nok</v>
      </c>
      <c r="Y171" s="96" t="s">
        <v>32</v>
      </c>
      <c r="Z171" s="97"/>
      <c r="AA171" s="97"/>
      <c r="AB171" s="98"/>
      <c r="AE171" s="63" t="str">
        <f t="shared" si="40"/>
        <v>Verificação do Laudo</v>
      </c>
      <c r="AF171" s="63"/>
      <c r="AG171" s="63"/>
      <c r="AH171" s="63"/>
      <c r="AI171" s="64">
        <f t="shared" si="41"/>
        <v>0</v>
      </c>
      <c r="AJ171" s="64" t="str">
        <f t="shared" si="42"/>
        <v/>
      </c>
      <c r="AK171" s="64">
        <f t="shared" si="43"/>
        <v>0</v>
      </c>
      <c r="AL171" s="64" t="str">
        <f t="shared" si="44"/>
        <v/>
      </c>
      <c r="AM171" s="64">
        <f t="shared" si="45"/>
        <v>0</v>
      </c>
      <c r="AN171" s="64" t="str">
        <f t="shared" si="46"/>
        <v/>
      </c>
      <c r="AO171" s="64">
        <f t="shared" si="47"/>
        <v>1</v>
      </c>
      <c r="AP171" s="64" t="str">
        <f t="shared" si="48"/>
        <v/>
      </c>
      <c r="AQ171" s="64">
        <f t="shared" si="49"/>
        <v>0</v>
      </c>
      <c r="AR171" s="64" t="str">
        <f t="shared" si="50"/>
        <v/>
      </c>
    </row>
    <row r="172" spans="1:44" ht="30" customHeight="1" x14ac:dyDescent="0.35">
      <c r="A172" s="28"/>
      <c r="B172" s="54" t="s">
        <v>74</v>
      </c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114"/>
      <c r="Z172" s="115"/>
      <c r="AA172" s="115"/>
      <c r="AB172" s="116"/>
      <c r="AE172" s="63" t="str">
        <f t="shared" si="40"/>
        <v/>
      </c>
      <c r="AF172" s="63"/>
      <c r="AG172" s="63"/>
      <c r="AH172" s="63"/>
      <c r="AI172" s="64">
        <f t="shared" si="41"/>
        <v>0</v>
      </c>
      <c r="AJ172" s="64" t="str">
        <f t="shared" si="42"/>
        <v/>
      </c>
      <c r="AK172" s="64">
        <f t="shared" si="43"/>
        <v>0</v>
      </c>
      <c r="AL172" s="64" t="str">
        <f t="shared" si="44"/>
        <v/>
      </c>
      <c r="AM172" s="64">
        <f t="shared" si="45"/>
        <v>0</v>
      </c>
      <c r="AN172" s="64" t="str">
        <f t="shared" si="46"/>
        <v/>
      </c>
      <c r="AO172" s="64">
        <f t="shared" si="47"/>
        <v>0</v>
      </c>
      <c r="AP172" s="64" t="str">
        <f t="shared" si="48"/>
        <v/>
      </c>
      <c r="AQ172" s="64">
        <f t="shared" si="49"/>
        <v>0</v>
      </c>
      <c r="AR172" s="64" t="str">
        <f t="shared" si="50"/>
        <v/>
      </c>
    </row>
    <row r="173" spans="1:44" ht="30" customHeight="1" x14ac:dyDescent="0.35">
      <c r="A173" s="28" t="str">
        <f t="shared" ref="A173:A176" si="56">CONCATENATE($B$80,"
",$B$83,"
",$B$148,"
",$B$170)</f>
        <v>LARGO VANÁDIO MARACÁS
PLANTA QUÍMICA
ÁREA DE PRÉ EVAPORAÇÃO
530 - HE 200</v>
      </c>
      <c r="B173" s="55" t="s">
        <v>75</v>
      </c>
      <c r="C173" s="74" t="str">
        <f>IF(AND($B173=[1]marcos!$A170,[1]marcos!$B170=C$4),"ok","nok")</f>
        <v>nok</v>
      </c>
      <c r="D173" s="74" t="str">
        <f>IF(AND($B173=[1]marcos!$A170,[1]marcos!$B170=D$4),"ok","nok")</f>
        <v>nok</v>
      </c>
      <c r="E173" s="74" t="str">
        <f>IF(AND($B173=[1]marcos!$A170,[1]marcos!$B170=E$4),"ok","nok")</f>
        <v>nok</v>
      </c>
      <c r="F173" s="74" t="str">
        <f>IF(AND($B173=[1]marcos!$A170,[1]marcos!$B170=F$4),"ok","nok")</f>
        <v>nok</v>
      </c>
      <c r="G173" s="74" t="str">
        <f>IF(AND($B173=[1]marcos!$A170,[1]marcos!$B170=G$4),"ok","nok")</f>
        <v>nok</v>
      </c>
      <c r="H173" s="74" t="str">
        <f>IF(AND($B173=[1]marcos!$A170,[1]marcos!$B170=H$4),"ok","nok")</f>
        <v>nok</v>
      </c>
      <c r="I173" s="74" t="str">
        <f>IF(AND($B173=[1]marcos!$A170,[1]marcos!$B170=I$4),"ok","nok")</f>
        <v>nok</v>
      </c>
      <c r="J173" s="74" t="str">
        <f>IF(AND($B173=[1]marcos!$A170,[1]marcos!$B170=J$4),"ok","nok")</f>
        <v>nok</v>
      </c>
      <c r="K173" s="83"/>
      <c r="L173" s="74" t="str">
        <f>IF(AND($B173=[1]marcos!$A170,[1]marcos!$B170=L$4),"ok","nok")</f>
        <v>nok</v>
      </c>
      <c r="M173" s="74" t="str">
        <f>IF(AND($B173=[1]marcos!$A170,[1]marcos!$B170=M$4),"ok","nok")</f>
        <v>nok</v>
      </c>
      <c r="N173" s="74" t="str">
        <f>IF(AND($B173=[1]marcos!$A170,[1]marcos!$B170=N$4),"ok","nok")</f>
        <v>nok</v>
      </c>
      <c r="O173" s="74" t="str">
        <f>IF(AND($B173=[1]marcos!$A170,[1]marcos!$B170=O$4),"ok","nok")</f>
        <v>nok</v>
      </c>
      <c r="P173" s="74" t="str">
        <f>IF(AND($B173=[1]marcos!$A170,[1]marcos!$B170=P$4),"ok","nok")</f>
        <v>nok</v>
      </c>
      <c r="Q173" s="74" t="str">
        <f>IF(AND($B173=[1]marcos!$A170,[1]marcos!$B170=Q$4),"ok","nok")</f>
        <v>nok</v>
      </c>
      <c r="R173" s="74" t="str">
        <f>IF(AND($B173=[1]marcos!$A170,[1]marcos!$B170=R$4),"ok","nok")</f>
        <v>nok</v>
      </c>
      <c r="S173" s="74" t="str">
        <f>IF(AND($B173=[1]marcos!$A170,[1]marcos!$B170=S$4),"ok","nok")</f>
        <v>nok</v>
      </c>
      <c r="T173" s="74" t="str">
        <f>IF(AND($B173=[1]marcos!$A170,[1]marcos!$B170=T$4),"ok","nok")</f>
        <v>nok</v>
      </c>
      <c r="U173" s="74" t="str">
        <f>IF(AND($B173=[1]marcos!$A170,[1]marcos!$B170=U$4),"ok","nok")</f>
        <v>nok</v>
      </c>
      <c r="V173" s="74" t="str">
        <f>IF(AND($B173=[1]marcos!$A170,[1]marcos!$B170=V$4),"ok","nok")</f>
        <v>ok</v>
      </c>
      <c r="W173" s="74" t="str">
        <f>IF(AND($B173=[1]marcos!$A170,[1]marcos!$B170=W$4),"ok","nok")</f>
        <v>nok</v>
      </c>
      <c r="X173" s="74" t="str">
        <f>IF(AND($B173=[1]marcos!$A170,[1]marcos!$B170=X$4),"ok","nok")</f>
        <v>nok</v>
      </c>
      <c r="Y173" s="96" t="s">
        <v>32</v>
      </c>
      <c r="Z173" s="97"/>
      <c r="AA173" s="97"/>
      <c r="AB173" s="98"/>
      <c r="AE173" s="63" t="str">
        <f t="shared" si="40"/>
        <v>MARCO - Emissão Inicial</v>
      </c>
      <c r="AF173" s="63"/>
      <c r="AG173" s="63"/>
      <c r="AH173" s="63"/>
      <c r="AI173" s="64">
        <f t="shared" si="41"/>
        <v>0</v>
      </c>
      <c r="AJ173" s="64" t="str">
        <f t="shared" si="42"/>
        <v/>
      </c>
      <c r="AK173" s="64">
        <f t="shared" si="43"/>
        <v>0</v>
      </c>
      <c r="AL173" s="64" t="str">
        <f t="shared" si="44"/>
        <v/>
      </c>
      <c r="AM173" s="64">
        <f t="shared" si="45"/>
        <v>0</v>
      </c>
      <c r="AN173" s="64" t="str">
        <f t="shared" si="46"/>
        <v/>
      </c>
      <c r="AO173" s="64">
        <f t="shared" si="47"/>
        <v>1</v>
      </c>
      <c r="AP173" s="64" t="str">
        <f t="shared" si="48"/>
        <v/>
      </c>
      <c r="AQ173" s="64">
        <f t="shared" si="49"/>
        <v>0</v>
      </c>
      <c r="AR173" s="64" t="str">
        <f t="shared" si="50"/>
        <v/>
      </c>
    </row>
    <row r="174" spans="1:44" ht="30" customHeight="1" x14ac:dyDescent="0.35">
      <c r="A174" s="28" t="str">
        <f t="shared" si="56"/>
        <v>LARGO VANÁDIO MARACÁS
PLANTA QUÍMICA
ÁREA DE PRÉ EVAPORAÇÃO
530 - HE 200</v>
      </c>
      <c r="B174" s="55" t="s">
        <v>20</v>
      </c>
      <c r="C174" s="74" t="str">
        <f>IF(AND($B174=[1]marcos!$A171,[1]marcos!$B171=C$4),"ok","nok")</f>
        <v>nok</v>
      </c>
      <c r="D174" s="74" t="str">
        <f>IF(AND($B174=[1]marcos!$A171,[1]marcos!$B171=D$4),"ok","nok")</f>
        <v>nok</v>
      </c>
      <c r="E174" s="74" t="str">
        <f>IF(AND($B174=[1]marcos!$A171,[1]marcos!$B171=E$4),"ok","nok")</f>
        <v>nok</v>
      </c>
      <c r="F174" s="74" t="str">
        <f>IF(AND($B174=[1]marcos!$A171,[1]marcos!$B171=F$4),"ok","nok")</f>
        <v>nok</v>
      </c>
      <c r="G174" s="74" t="str">
        <f>IF(AND($B174=[1]marcos!$A171,[1]marcos!$B171=G$4),"ok","nok")</f>
        <v>nok</v>
      </c>
      <c r="H174" s="74" t="str">
        <f>IF(AND($B174=[1]marcos!$A171,[1]marcos!$B171=H$4),"ok","nok")</f>
        <v>nok</v>
      </c>
      <c r="I174" s="74" t="str">
        <f>IF(AND($B174=[1]marcos!$A171,[1]marcos!$B171=I$4),"ok","nok")</f>
        <v>nok</v>
      </c>
      <c r="J174" s="74" t="str">
        <f>IF(AND($B174=[1]marcos!$A171,[1]marcos!$B171=J$4),"ok","nok")</f>
        <v>nok</v>
      </c>
      <c r="K174" s="74" t="str">
        <f>IF(AND($B174=[1]marcos!$A171,[1]marcos!$B171=K$4),"ok","nok")</f>
        <v>nok</v>
      </c>
      <c r="L174" s="74" t="str">
        <f>IF(AND($B174=[1]marcos!$A171,[1]marcos!$B171=L$4),"ok","nok")</f>
        <v>nok</v>
      </c>
      <c r="M174" s="74" t="str">
        <f>IF(AND($B174=[1]marcos!$A171,[1]marcos!$B171=M$4),"ok","nok")</f>
        <v>nok</v>
      </c>
      <c r="N174" s="74" t="str">
        <f>IF(AND($B174=[1]marcos!$A171,[1]marcos!$B171=N$4),"ok","nok")</f>
        <v>nok</v>
      </c>
      <c r="O174" s="74" t="str">
        <f>IF(AND($B174=[1]marcos!$A171,[1]marcos!$B171=O$4),"ok","nok")</f>
        <v>nok</v>
      </c>
      <c r="P174" s="83"/>
      <c r="Q174" s="74" t="str">
        <f>IF(AND($B174=[1]marcos!$A171,[1]marcos!$B171=Q$4),"ok","nok")</f>
        <v>nok</v>
      </c>
      <c r="R174" s="74" t="str">
        <f>IF(AND($B174=[1]marcos!$A171,[1]marcos!$B171=R$4),"ok","nok")</f>
        <v>nok</v>
      </c>
      <c r="S174" s="74" t="str">
        <f>IF(AND($B174=[1]marcos!$A171,[1]marcos!$B171=S$4),"ok","nok")</f>
        <v>nok</v>
      </c>
      <c r="T174" s="74" t="str">
        <f>IF(AND($B174=[1]marcos!$A171,[1]marcos!$B171=T$4),"ok","nok")</f>
        <v>nok</v>
      </c>
      <c r="U174" s="74" t="str">
        <f>IF(AND($B174=[1]marcos!$A171,[1]marcos!$B171=U$4),"ok","nok")</f>
        <v>nok</v>
      </c>
      <c r="V174" s="74" t="str">
        <f>IF(AND($B174=[1]marcos!$A171,[1]marcos!$B171=V$4),"ok","nok")</f>
        <v>nok</v>
      </c>
      <c r="W174" s="74" t="str">
        <f>IF(AND($B174=[1]marcos!$A171,[1]marcos!$B171=W$4),"ok","nok")</f>
        <v>ok</v>
      </c>
      <c r="X174" s="74" t="str">
        <f>IF(AND($B174=[1]marcos!$A171,[1]marcos!$B171=X$4),"ok","nok")</f>
        <v>nok</v>
      </c>
      <c r="Y174" s="96" t="s">
        <v>16</v>
      </c>
      <c r="Z174" s="97"/>
      <c r="AA174" s="97"/>
      <c r="AB174" s="98"/>
      <c r="AE174" s="63" t="str">
        <f t="shared" si="40"/>
        <v/>
      </c>
      <c r="AF174" s="63"/>
      <c r="AG174" s="63"/>
      <c r="AH174" s="63"/>
      <c r="AI174" s="64">
        <f t="shared" si="41"/>
        <v>0</v>
      </c>
      <c r="AJ174" s="64" t="str">
        <f t="shared" si="42"/>
        <v/>
      </c>
      <c r="AK174" s="64">
        <f t="shared" si="43"/>
        <v>0</v>
      </c>
      <c r="AL174" s="64" t="str">
        <f t="shared" si="44"/>
        <v/>
      </c>
      <c r="AM174" s="64">
        <f t="shared" si="45"/>
        <v>0</v>
      </c>
      <c r="AN174" s="64" t="str">
        <f t="shared" si="46"/>
        <v/>
      </c>
      <c r="AO174" s="64">
        <f t="shared" si="47"/>
        <v>0</v>
      </c>
      <c r="AP174" s="64" t="str">
        <f t="shared" si="48"/>
        <v/>
      </c>
      <c r="AQ174" s="64">
        <f t="shared" si="49"/>
        <v>1</v>
      </c>
      <c r="AR174" s="64" t="str">
        <f t="shared" si="50"/>
        <v/>
      </c>
    </row>
    <row r="175" spans="1:44" ht="30" customHeight="1" x14ac:dyDescent="0.35">
      <c r="A175" s="28" t="str">
        <f t="shared" si="56"/>
        <v>LARGO VANÁDIO MARACÁS
PLANTA QUÍMICA
ÁREA DE PRÉ EVAPORAÇÃO
530 - HE 200</v>
      </c>
      <c r="B175" s="55" t="s">
        <v>38</v>
      </c>
      <c r="C175" s="74" t="str">
        <f>IF(AND($B175=[1]marcos!$A172,[1]marcos!$B172=C$4),"ok","nok")</f>
        <v>nok</v>
      </c>
      <c r="D175" s="74" t="str">
        <f>IF(AND($B175=[1]marcos!$A172,[1]marcos!$B172=D$4),"ok","nok")</f>
        <v>nok</v>
      </c>
      <c r="E175" s="74" t="str">
        <f>IF(AND($B175=[1]marcos!$A172,[1]marcos!$B172=E$4),"ok","nok")</f>
        <v>nok</v>
      </c>
      <c r="F175" s="74" t="str">
        <f>IF(AND($B175=[1]marcos!$A172,[1]marcos!$B172=F$4),"ok","nok")</f>
        <v>nok</v>
      </c>
      <c r="G175" s="74" t="str">
        <f>IF(AND($B175=[1]marcos!$A172,[1]marcos!$B172=G$4),"ok","nok")</f>
        <v>nok</v>
      </c>
      <c r="H175" s="74" t="str">
        <f>IF(AND($B175=[1]marcos!$A172,[1]marcos!$B172=H$4),"ok","nok")</f>
        <v>nok</v>
      </c>
      <c r="I175" s="74" t="str">
        <f>IF(AND($B175=[1]marcos!$A172,[1]marcos!$B172=I$4),"ok","nok")</f>
        <v>nok</v>
      </c>
      <c r="J175" s="74" t="str">
        <f>IF(AND($B175=[1]marcos!$A172,[1]marcos!$B172=J$4),"ok","nok")</f>
        <v>nok</v>
      </c>
      <c r="K175" s="74" t="str">
        <f>IF(AND($B175=[1]marcos!$A172,[1]marcos!$B172=K$4),"ok","nok")</f>
        <v>nok</v>
      </c>
      <c r="L175" s="74" t="str">
        <f>IF(AND($B175=[1]marcos!$A172,[1]marcos!$B172=L$4),"ok","nok")</f>
        <v>nok</v>
      </c>
      <c r="M175" s="74" t="str">
        <f>IF(AND($B175=[1]marcos!$A172,[1]marcos!$B172=M$4),"ok","nok")</f>
        <v>nok</v>
      </c>
      <c r="N175" s="74" t="str">
        <f>IF(AND($B175=[1]marcos!$A172,[1]marcos!$B172=N$4),"ok","nok")</f>
        <v>nok</v>
      </c>
      <c r="O175" s="74" t="str">
        <f>IF(AND($B175=[1]marcos!$A172,[1]marcos!$B172=O$4),"ok","nok")</f>
        <v>nok</v>
      </c>
      <c r="P175" s="74" t="str">
        <f>IF(AND($B175=[1]marcos!$A172,[1]marcos!$B172=P$4),"ok","nok")</f>
        <v>nok</v>
      </c>
      <c r="Q175" s="74" t="str">
        <f>IF(AND($B175=[1]marcos!$A172,[1]marcos!$B172=Q$4),"ok","nok")</f>
        <v>nok</v>
      </c>
      <c r="R175" s="74" t="str">
        <f>IF(AND($B175=[1]marcos!$A172,[1]marcos!$B172=R$4),"ok","nok")</f>
        <v>nok</v>
      </c>
      <c r="S175" s="83"/>
      <c r="T175" s="74" t="str">
        <f>IF(AND($B175=[1]marcos!$A172,[1]marcos!$B172=T$4),"ok","nok")</f>
        <v>nok</v>
      </c>
      <c r="U175" s="74" t="str">
        <f>IF(AND($B175=[1]marcos!$A172,[1]marcos!$B172=U$4),"ok","nok")</f>
        <v>nok</v>
      </c>
      <c r="V175" s="74" t="str">
        <f>IF(AND($B175=[1]marcos!$A172,[1]marcos!$B172=V$4),"ok","nok")</f>
        <v>nok</v>
      </c>
      <c r="W175" s="74" t="str">
        <f>IF(AND($B175=[1]marcos!$A172,[1]marcos!$B172=W$4),"ok","nok")</f>
        <v>nok</v>
      </c>
      <c r="X175" s="74" t="str">
        <f>IF(AND($B175=[1]marcos!$A172,[1]marcos!$B172=X$4),"ok","nok")</f>
        <v>ok</v>
      </c>
      <c r="Y175" s="96" t="s">
        <v>16</v>
      </c>
      <c r="Z175" s="97"/>
      <c r="AA175" s="97"/>
      <c r="AB175" s="98"/>
      <c r="AE175" s="63" t="str">
        <f t="shared" si="40"/>
        <v/>
      </c>
      <c r="AF175" s="63"/>
      <c r="AG175" s="63"/>
      <c r="AH175" s="63"/>
      <c r="AI175" s="64">
        <f t="shared" si="41"/>
        <v>0</v>
      </c>
      <c r="AJ175" s="64" t="str">
        <f t="shared" si="42"/>
        <v/>
      </c>
      <c r="AK175" s="64">
        <f t="shared" si="43"/>
        <v>0</v>
      </c>
      <c r="AL175" s="64" t="str">
        <f t="shared" si="44"/>
        <v/>
      </c>
      <c r="AM175" s="64">
        <f t="shared" si="45"/>
        <v>0</v>
      </c>
      <c r="AN175" s="64" t="str">
        <f t="shared" si="46"/>
        <v/>
      </c>
      <c r="AO175" s="64">
        <f t="shared" si="47"/>
        <v>0</v>
      </c>
      <c r="AP175" s="64" t="str">
        <f t="shared" si="48"/>
        <v/>
      </c>
      <c r="AQ175" s="64">
        <f t="shared" si="49"/>
        <v>1</v>
      </c>
      <c r="AR175" s="64" t="str">
        <f t="shared" si="50"/>
        <v/>
      </c>
    </row>
    <row r="176" spans="1:44" ht="30" customHeight="1" x14ac:dyDescent="0.35">
      <c r="A176" s="28" t="str">
        <f t="shared" si="56"/>
        <v>LARGO VANÁDIO MARACÁS
PLANTA QUÍMICA
ÁREA DE PRÉ EVAPORAÇÃO
530 - HE 200</v>
      </c>
      <c r="B176" s="55" t="s">
        <v>76</v>
      </c>
      <c r="C176" s="74" t="str">
        <f>IF(AND($B176=[1]marcos!$A173,[1]marcos!$B173=C$4),"ok","nok")</f>
        <v>nok</v>
      </c>
      <c r="D176" s="74" t="str">
        <f>IF(AND($B176=[1]marcos!$A173,[1]marcos!$B173=D$4),"ok","nok")</f>
        <v>nok</v>
      </c>
      <c r="E176" s="74" t="str">
        <f>IF(AND($B176=[1]marcos!$A173,[1]marcos!$B173=E$4),"ok","nok")</f>
        <v>nok</v>
      </c>
      <c r="F176" s="74" t="str">
        <f>IF(AND($B176=[1]marcos!$A173,[1]marcos!$B173=F$4),"ok","nok")</f>
        <v>nok</v>
      </c>
      <c r="G176" s="74" t="str">
        <f>IF(AND($B176=[1]marcos!$A173,[1]marcos!$B173=G$4),"ok","nok")</f>
        <v>nok</v>
      </c>
      <c r="H176" s="74" t="str">
        <f>IF(AND($B176=[1]marcos!$A173,[1]marcos!$B173=H$4),"ok","nok")</f>
        <v>nok</v>
      </c>
      <c r="I176" s="74" t="str">
        <f>IF(AND($B176=[1]marcos!$A173,[1]marcos!$B173=I$4),"ok","nok")</f>
        <v>nok</v>
      </c>
      <c r="J176" s="74" t="str">
        <f>IF(AND($B176=[1]marcos!$A173,[1]marcos!$B173=J$4),"ok","nok")</f>
        <v>nok</v>
      </c>
      <c r="K176" s="74" t="str">
        <f>IF(AND($B176=[1]marcos!$A173,[1]marcos!$B173=K$4),"ok","nok")</f>
        <v>nok</v>
      </c>
      <c r="L176" s="74" t="str">
        <f>IF(AND($B176=[1]marcos!$A173,[1]marcos!$B173=L$4),"ok","nok")</f>
        <v>nok</v>
      </c>
      <c r="M176" s="74" t="str">
        <f>IF(AND($B176=[1]marcos!$A173,[1]marcos!$B173=M$4),"ok","nok")</f>
        <v>nok</v>
      </c>
      <c r="N176" s="74" t="str">
        <f>IF(AND($B176=[1]marcos!$A173,[1]marcos!$B173=N$4),"ok","nok")</f>
        <v>nok</v>
      </c>
      <c r="O176" s="74" t="str">
        <f>IF(AND($B176=[1]marcos!$A173,[1]marcos!$B173=O$4),"ok","nok")</f>
        <v>nok</v>
      </c>
      <c r="P176" s="74" t="str">
        <f>IF(AND($B176=[1]marcos!$A173,[1]marcos!$B173=P$4),"ok","nok")</f>
        <v>nok</v>
      </c>
      <c r="Q176" s="74" t="str">
        <f>IF(AND($B176=[1]marcos!$A173,[1]marcos!$B173=Q$4),"ok","nok")</f>
        <v>nok</v>
      </c>
      <c r="R176" s="74" t="str">
        <f>IF(AND($B176=[1]marcos!$A173,[1]marcos!$B173=R$4),"ok","nok")</f>
        <v>nok</v>
      </c>
      <c r="S176" s="83"/>
      <c r="T176" s="74" t="str">
        <f>IF(AND($B176=[1]marcos!$A173,[1]marcos!$B173=T$4),"ok","nok")</f>
        <v>nok</v>
      </c>
      <c r="U176" s="74" t="str">
        <f>IF(AND($B176=[1]marcos!$A173,[1]marcos!$B173=U$4),"ok","nok")</f>
        <v>nok</v>
      </c>
      <c r="V176" s="74" t="str">
        <f>IF(AND($B176=[1]marcos!$A173,[1]marcos!$B173=V$4),"ok","nok")</f>
        <v>nok</v>
      </c>
      <c r="W176" s="74" t="str">
        <f>IF(AND($B176=[1]marcos!$A173,[1]marcos!$B173=W$4),"ok","nok")</f>
        <v>nok</v>
      </c>
      <c r="X176" s="74" t="str">
        <f>IF(AND($B176=[1]marcos!$A173,[1]marcos!$B173=X$4),"ok","nok")</f>
        <v>ok</v>
      </c>
      <c r="Y176" s="96" t="s">
        <v>16</v>
      </c>
      <c r="Z176" s="97"/>
      <c r="AA176" s="97"/>
      <c r="AB176" s="98"/>
      <c r="AE176" s="63" t="str">
        <f t="shared" si="40"/>
        <v/>
      </c>
      <c r="AF176" s="63"/>
      <c r="AG176" s="63"/>
      <c r="AH176" s="63"/>
      <c r="AI176" s="64">
        <f t="shared" si="41"/>
        <v>0</v>
      </c>
      <c r="AJ176" s="64" t="str">
        <f t="shared" si="42"/>
        <v/>
      </c>
      <c r="AK176" s="64">
        <f t="shared" si="43"/>
        <v>0</v>
      </c>
      <c r="AL176" s="64" t="str">
        <f t="shared" si="44"/>
        <v/>
      </c>
      <c r="AM176" s="64">
        <f t="shared" si="45"/>
        <v>0</v>
      </c>
      <c r="AN176" s="64" t="str">
        <f t="shared" si="46"/>
        <v/>
      </c>
      <c r="AO176" s="64">
        <f t="shared" si="47"/>
        <v>0</v>
      </c>
      <c r="AP176" s="64" t="str">
        <f t="shared" si="48"/>
        <v/>
      </c>
      <c r="AQ176" s="64">
        <f t="shared" si="49"/>
        <v>1</v>
      </c>
      <c r="AR176" s="64" t="str">
        <f t="shared" si="50"/>
        <v/>
      </c>
    </row>
    <row r="177" spans="1:44" ht="30" customHeight="1" x14ac:dyDescent="0.35">
      <c r="A177" s="28"/>
      <c r="B177" s="77" t="s">
        <v>61</v>
      </c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120"/>
      <c r="Z177" s="121"/>
      <c r="AA177" s="121"/>
      <c r="AB177" s="122"/>
      <c r="AE177" s="63" t="str">
        <f t="shared" si="40"/>
        <v/>
      </c>
      <c r="AF177" s="63"/>
      <c r="AG177" s="63"/>
      <c r="AH177" s="63"/>
      <c r="AI177" s="64">
        <f t="shared" si="41"/>
        <v>0</v>
      </c>
      <c r="AJ177" s="64" t="str">
        <f t="shared" si="42"/>
        <v/>
      </c>
      <c r="AK177" s="64">
        <f t="shared" si="43"/>
        <v>0</v>
      </c>
      <c r="AL177" s="64" t="str">
        <f t="shared" si="44"/>
        <v/>
      </c>
      <c r="AM177" s="64">
        <f t="shared" si="45"/>
        <v>0</v>
      </c>
      <c r="AN177" s="64" t="str">
        <f t="shared" si="46"/>
        <v/>
      </c>
      <c r="AO177" s="64">
        <f t="shared" si="47"/>
        <v>0</v>
      </c>
      <c r="AP177" s="64" t="str">
        <f t="shared" si="48"/>
        <v/>
      </c>
      <c r="AQ177" s="64">
        <f t="shared" si="49"/>
        <v>0</v>
      </c>
      <c r="AR177" s="64" t="str">
        <f t="shared" si="50"/>
        <v/>
      </c>
    </row>
    <row r="178" spans="1:44" ht="30" customHeight="1" x14ac:dyDescent="0.35">
      <c r="A178" s="28" t="str">
        <f>CONCATENATE($B$80,"
",$B$83,"
",$B$148,"
",$B$177)</f>
        <v>LARGO VANÁDIO MARACÁS
PLANTA QUÍMICA
ÁREA DE PRÉ EVAPORAÇÃO
Tanque - 230 - TQ 008</v>
      </c>
      <c r="B178" s="53" t="s">
        <v>73</v>
      </c>
      <c r="C178" s="74" t="str">
        <f>IF(AND($B178=[1]marcos!$A175,[1]marcos!$B175=C$4),"ok","nok")</f>
        <v>nok</v>
      </c>
      <c r="D178" s="74" t="str">
        <f>IF(AND($B178=[1]marcos!$A175,[1]marcos!$B175=D$4),"ok","nok")</f>
        <v>nok</v>
      </c>
      <c r="E178" s="74" t="str">
        <f>IF(AND($B178=[1]marcos!$A175,[1]marcos!$B175=E$4),"ok","nok")</f>
        <v>nok</v>
      </c>
      <c r="F178" s="74" t="str">
        <f>IF(AND($B178=[1]marcos!$A175,[1]marcos!$B175=F$4),"ok","nok")</f>
        <v>nok</v>
      </c>
      <c r="G178" s="74" t="str">
        <f>IF(AND($B178=[1]marcos!$A175,[1]marcos!$B175=G$4),"ok","nok")</f>
        <v>nok</v>
      </c>
      <c r="H178" s="74" t="str">
        <f>IF(AND($B178=[1]marcos!$A175,[1]marcos!$B175=H$4),"ok","nok")</f>
        <v>nok</v>
      </c>
      <c r="I178" s="74" t="str">
        <f>IF(AND($B178=[1]marcos!$A175,[1]marcos!$B175=I$4),"ok","nok")</f>
        <v>nok</v>
      </c>
      <c r="J178" s="74" t="str">
        <f>IF(AND($B178=[1]marcos!$A175,[1]marcos!$B175=J$4),"ok","nok")</f>
        <v>nok</v>
      </c>
      <c r="K178" s="74" t="str">
        <f>IF(AND($B178=[1]marcos!$A175,[1]marcos!$B175=K$4),"ok","nok")</f>
        <v>nok</v>
      </c>
      <c r="L178" s="83"/>
      <c r="M178" s="74" t="str">
        <f>IF(AND($B178=[1]marcos!$A175,[1]marcos!$B175=M$4),"ok","nok")</f>
        <v>nok</v>
      </c>
      <c r="N178" s="74" t="str">
        <f>IF(AND($B178=[1]marcos!$A175,[1]marcos!$B175=N$4),"ok","nok")</f>
        <v>nok</v>
      </c>
      <c r="O178" s="74" t="str">
        <f>IF(AND($B178=[1]marcos!$A175,[1]marcos!$B175=O$4),"ok","nok")</f>
        <v>nok</v>
      </c>
      <c r="P178" s="74" t="str">
        <f>IF(AND($B178=[1]marcos!$A175,[1]marcos!$B175=P$4),"ok","nok")</f>
        <v>nok</v>
      </c>
      <c r="Q178" s="74" t="str">
        <f>IF(AND($B178=[1]marcos!$A175,[1]marcos!$B175=Q$4),"ok","nok")</f>
        <v>nok</v>
      </c>
      <c r="R178" s="74" t="str">
        <f>IF(AND($B178=[1]marcos!$A175,[1]marcos!$B175=R$4),"ok","nok")</f>
        <v>nok</v>
      </c>
      <c r="S178" s="74" t="str">
        <f>IF(AND($B178=[1]marcos!$A175,[1]marcos!$B175=S$4),"ok","nok")</f>
        <v>nok</v>
      </c>
      <c r="T178" s="74" t="str">
        <f>IF(AND($B178=[1]marcos!$A175,[1]marcos!$B175=T$4),"ok","nok")</f>
        <v>nok</v>
      </c>
      <c r="U178" s="74" t="str">
        <f>IF(AND($B178=[1]marcos!$A175,[1]marcos!$B175=U$4),"ok","nok")</f>
        <v>nok</v>
      </c>
      <c r="V178" s="74" t="str">
        <f>IF(AND($B178=[1]marcos!$A175,[1]marcos!$B175=V$4),"ok","nok")</f>
        <v>ok</v>
      </c>
      <c r="W178" s="74" t="str">
        <f>IF(AND($B178=[1]marcos!$A175,[1]marcos!$B175=W$4),"ok","nok")</f>
        <v>nok</v>
      </c>
      <c r="X178" s="74" t="str">
        <f>IF(AND($B178=[1]marcos!$A175,[1]marcos!$B175=X$4),"ok","nok")</f>
        <v>nok</v>
      </c>
      <c r="Y178" s="96" t="s">
        <v>32</v>
      </c>
      <c r="Z178" s="97"/>
      <c r="AA178" s="97"/>
      <c r="AB178" s="98"/>
      <c r="AE178" s="63" t="str">
        <f t="shared" si="40"/>
        <v>Verificação do Laudo</v>
      </c>
      <c r="AF178" s="63"/>
      <c r="AG178" s="63"/>
      <c r="AH178" s="63"/>
      <c r="AI178" s="64">
        <f t="shared" si="41"/>
        <v>0</v>
      </c>
      <c r="AJ178" s="64" t="str">
        <f t="shared" si="42"/>
        <v/>
      </c>
      <c r="AK178" s="64">
        <f t="shared" si="43"/>
        <v>0</v>
      </c>
      <c r="AL178" s="64" t="str">
        <f t="shared" si="44"/>
        <v/>
      </c>
      <c r="AM178" s="64">
        <f t="shared" si="45"/>
        <v>0</v>
      </c>
      <c r="AN178" s="64" t="str">
        <f t="shared" si="46"/>
        <v/>
      </c>
      <c r="AO178" s="64">
        <f t="shared" si="47"/>
        <v>1</v>
      </c>
      <c r="AP178" s="64" t="str">
        <f t="shared" si="48"/>
        <v/>
      </c>
      <c r="AQ178" s="64">
        <f t="shared" si="49"/>
        <v>0</v>
      </c>
      <c r="AR178" s="64" t="str">
        <f t="shared" si="50"/>
        <v/>
      </c>
    </row>
    <row r="179" spans="1:44" ht="30" customHeight="1" x14ac:dyDescent="0.35">
      <c r="A179" s="28"/>
      <c r="B179" s="54" t="s">
        <v>74</v>
      </c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114"/>
      <c r="Z179" s="115"/>
      <c r="AA179" s="115"/>
      <c r="AB179" s="116"/>
      <c r="AE179" s="63" t="str">
        <f t="shared" si="40"/>
        <v/>
      </c>
      <c r="AF179" s="63"/>
      <c r="AG179" s="63"/>
      <c r="AH179" s="63"/>
      <c r="AI179" s="64">
        <f t="shared" si="41"/>
        <v>0</v>
      </c>
      <c r="AJ179" s="64" t="str">
        <f t="shared" si="42"/>
        <v/>
      </c>
      <c r="AK179" s="64">
        <f t="shared" si="43"/>
        <v>0</v>
      </c>
      <c r="AL179" s="64" t="str">
        <f t="shared" si="44"/>
        <v/>
      </c>
      <c r="AM179" s="64">
        <f t="shared" si="45"/>
        <v>0</v>
      </c>
      <c r="AN179" s="64" t="str">
        <f t="shared" si="46"/>
        <v/>
      </c>
      <c r="AO179" s="64">
        <f t="shared" si="47"/>
        <v>0</v>
      </c>
      <c r="AP179" s="64" t="str">
        <f t="shared" si="48"/>
        <v/>
      </c>
      <c r="AQ179" s="64">
        <f t="shared" si="49"/>
        <v>0</v>
      </c>
      <c r="AR179" s="64" t="str">
        <f t="shared" si="50"/>
        <v/>
      </c>
    </row>
    <row r="180" spans="1:44" ht="30" customHeight="1" x14ac:dyDescent="0.35">
      <c r="A180" s="28" t="str">
        <f t="shared" ref="A180:A183" si="57">CONCATENATE($B$80,"
",$B$83,"
",$B$148,"
",$B$177)</f>
        <v>LARGO VANÁDIO MARACÁS
PLANTA QUÍMICA
ÁREA DE PRÉ EVAPORAÇÃO
Tanque - 230 - TQ 008</v>
      </c>
      <c r="B180" s="55" t="s">
        <v>75</v>
      </c>
      <c r="C180" s="74" t="str">
        <f>IF(AND($B180=[1]marcos!$A177,[1]marcos!$B177=C$4),"ok","nok")</f>
        <v>nok</v>
      </c>
      <c r="D180" s="74" t="str">
        <f>IF(AND($B180=[1]marcos!$A177,[1]marcos!$B177=D$4),"ok","nok")</f>
        <v>nok</v>
      </c>
      <c r="E180" s="74" t="str">
        <f>IF(AND($B180=[1]marcos!$A177,[1]marcos!$B177=E$4),"ok","nok")</f>
        <v>nok</v>
      </c>
      <c r="F180" s="74" t="str">
        <f>IF(AND($B180=[1]marcos!$A177,[1]marcos!$B177=F$4),"ok","nok")</f>
        <v>nok</v>
      </c>
      <c r="G180" s="74" t="str">
        <f>IF(AND($B180=[1]marcos!$A177,[1]marcos!$B177=G$4),"ok","nok")</f>
        <v>nok</v>
      </c>
      <c r="H180" s="74" t="str">
        <f>IF(AND($B180=[1]marcos!$A177,[1]marcos!$B177=H$4),"ok","nok")</f>
        <v>nok</v>
      </c>
      <c r="I180" s="74" t="str">
        <f>IF(AND($B180=[1]marcos!$A177,[1]marcos!$B177=I$4),"ok","nok")</f>
        <v>nok</v>
      </c>
      <c r="J180" s="74" t="str">
        <f>IF(AND($B180=[1]marcos!$A177,[1]marcos!$B177=J$4),"ok","nok")</f>
        <v>nok</v>
      </c>
      <c r="K180" s="74" t="str">
        <f>IF(AND($B180=[1]marcos!$A177,[1]marcos!$B177=K$4),"ok","nok")</f>
        <v>nok</v>
      </c>
      <c r="L180" s="83"/>
      <c r="M180" s="74" t="str">
        <f>IF(AND($B180=[1]marcos!$A177,[1]marcos!$B177=M$4),"ok","nok")</f>
        <v>nok</v>
      </c>
      <c r="N180" s="74" t="str">
        <f>IF(AND($B180=[1]marcos!$A177,[1]marcos!$B177=N$4),"ok","nok")</f>
        <v>nok</v>
      </c>
      <c r="O180" s="74" t="str">
        <f>IF(AND($B180=[1]marcos!$A177,[1]marcos!$B177=O$4),"ok","nok")</f>
        <v>nok</v>
      </c>
      <c r="P180" s="74" t="str">
        <f>IF(AND($B180=[1]marcos!$A177,[1]marcos!$B177=P$4),"ok","nok")</f>
        <v>nok</v>
      </c>
      <c r="Q180" s="74" t="str">
        <f>IF(AND($B180=[1]marcos!$A177,[1]marcos!$B177=Q$4),"ok","nok")</f>
        <v>nok</v>
      </c>
      <c r="R180" s="74" t="str">
        <f>IF(AND($B180=[1]marcos!$A177,[1]marcos!$B177=R$4),"ok","nok")</f>
        <v>nok</v>
      </c>
      <c r="S180" s="74" t="str">
        <f>IF(AND($B180=[1]marcos!$A177,[1]marcos!$B177=S$4),"ok","nok")</f>
        <v>nok</v>
      </c>
      <c r="T180" s="74" t="str">
        <f>IF(AND($B180=[1]marcos!$A177,[1]marcos!$B177=T$4),"ok","nok")</f>
        <v>nok</v>
      </c>
      <c r="U180" s="74" t="str">
        <f>IF(AND($B180=[1]marcos!$A177,[1]marcos!$B177=U$4),"ok","nok")</f>
        <v>nok</v>
      </c>
      <c r="V180" s="74" t="str">
        <f>IF(AND($B180=[1]marcos!$A177,[1]marcos!$B177=V$4),"ok","nok")</f>
        <v>ok</v>
      </c>
      <c r="W180" s="74" t="str">
        <f>IF(AND($B180=[1]marcos!$A177,[1]marcos!$B177=W$4),"ok","nok")</f>
        <v>nok</v>
      </c>
      <c r="X180" s="74" t="str">
        <f>IF(AND($B180=[1]marcos!$A177,[1]marcos!$B177=X$4),"ok","nok")</f>
        <v>nok</v>
      </c>
      <c r="Y180" s="96" t="s">
        <v>32</v>
      </c>
      <c r="Z180" s="97"/>
      <c r="AA180" s="97"/>
      <c r="AB180" s="98"/>
      <c r="AE180" s="63" t="str">
        <f t="shared" si="40"/>
        <v>MARCO - Emissão Inicial</v>
      </c>
      <c r="AF180" s="63"/>
      <c r="AG180" s="63"/>
      <c r="AH180" s="63"/>
      <c r="AI180" s="64">
        <f t="shared" si="41"/>
        <v>0</v>
      </c>
      <c r="AJ180" s="64" t="str">
        <f t="shared" si="42"/>
        <v/>
      </c>
      <c r="AK180" s="64">
        <f t="shared" si="43"/>
        <v>0</v>
      </c>
      <c r="AL180" s="64" t="str">
        <f t="shared" si="44"/>
        <v/>
      </c>
      <c r="AM180" s="64">
        <f t="shared" si="45"/>
        <v>0</v>
      </c>
      <c r="AN180" s="64" t="str">
        <f t="shared" si="46"/>
        <v/>
      </c>
      <c r="AO180" s="64">
        <f t="shared" si="47"/>
        <v>1</v>
      </c>
      <c r="AP180" s="64" t="str">
        <f t="shared" si="48"/>
        <v/>
      </c>
      <c r="AQ180" s="64">
        <f t="shared" si="49"/>
        <v>0</v>
      </c>
      <c r="AR180" s="64" t="str">
        <f t="shared" si="50"/>
        <v/>
      </c>
    </row>
    <row r="181" spans="1:44" ht="30" customHeight="1" x14ac:dyDescent="0.35">
      <c r="A181" s="28" t="str">
        <f t="shared" si="57"/>
        <v>LARGO VANÁDIO MARACÁS
PLANTA QUÍMICA
ÁREA DE PRÉ EVAPORAÇÃO
Tanque - 230 - TQ 008</v>
      </c>
      <c r="B181" s="55" t="s">
        <v>20</v>
      </c>
      <c r="C181" s="74" t="str">
        <f>IF(AND($B181=[1]marcos!$A178,[1]marcos!$B178=C$4),"ok","nok")</f>
        <v>nok</v>
      </c>
      <c r="D181" s="74" t="str">
        <f>IF(AND($B181=[1]marcos!$A178,[1]marcos!$B178=D$4),"ok","nok")</f>
        <v>nok</v>
      </c>
      <c r="E181" s="74" t="str">
        <f>IF(AND($B181=[1]marcos!$A178,[1]marcos!$B178=E$4),"ok","nok")</f>
        <v>nok</v>
      </c>
      <c r="F181" s="74" t="str">
        <f>IF(AND($B181=[1]marcos!$A178,[1]marcos!$B178=F$4),"ok","nok")</f>
        <v>nok</v>
      </c>
      <c r="G181" s="74" t="str">
        <f>IF(AND($B181=[1]marcos!$A178,[1]marcos!$B178=G$4),"ok","nok")</f>
        <v>nok</v>
      </c>
      <c r="H181" s="74" t="str">
        <f>IF(AND($B181=[1]marcos!$A178,[1]marcos!$B178=H$4),"ok","nok")</f>
        <v>nok</v>
      </c>
      <c r="I181" s="74" t="str">
        <f>IF(AND($B181=[1]marcos!$A178,[1]marcos!$B178=I$4),"ok","nok")</f>
        <v>nok</v>
      </c>
      <c r="J181" s="74" t="str">
        <f>IF(AND($B181=[1]marcos!$A178,[1]marcos!$B178=J$4),"ok","nok")</f>
        <v>nok</v>
      </c>
      <c r="K181" s="74" t="str">
        <f>IF(AND($B181=[1]marcos!$A178,[1]marcos!$B178=K$4),"ok","nok")</f>
        <v>nok</v>
      </c>
      <c r="L181" s="74" t="str">
        <f>IF(AND($B181=[1]marcos!$A178,[1]marcos!$B178=L$4),"ok","nok")</f>
        <v>nok</v>
      </c>
      <c r="M181" s="74" t="str">
        <f>IF(AND($B181=[1]marcos!$A178,[1]marcos!$B178=M$4),"ok","nok")</f>
        <v>nok</v>
      </c>
      <c r="N181" s="74" t="str">
        <f>IF(AND($B181=[1]marcos!$A178,[1]marcos!$B178=N$4),"ok","nok")</f>
        <v>nok</v>
      </c>
      <c r="O181" s="74" t="str">
        <f>IF(AND($B181=[1]marcos!$A178,[1]marcos!$B178=O$4),"ok","nok")</f>
        <v>nok</v>
      </c>
      <c r="P181" s="74" t="str">
        <f>IF(AND($B181=[1]marcos!$A178,[1]marcos!$B178=P$4),"ok","nok")</f>
        <v>nok</v>
      </c>
      <c r="Q181" s="83"/>
      <c r="R181" s="74" t="str">
        <f>IF(AND($B181=[1]marcos!$A178,[1]marcos!$B178=R$4),"ok","nok")</f>
        <v>nok</v>
      </c>
      <c r="S181" s="74" t="str">
        <f>IF(AND($B181=[1]marcos!$A178,[1]marcos!$B178=S$4),"ok","nok")</f>
        <v>nok</v>
      </c>
      <c r="T181" s="74" t="str">
        <f>IF(AND($B181=[1]marcos!$A178,[1]marcos!$B178=T$4),"ok","nok")</f>
        <v>nok</v>
      </c>
      <c r="U181" s="74" t="str">
        <f>IF(AND($B181=[1]marcos!$A178,[1]marcos!$B178=U$4),"ok","nok")</f>
        <v>nok</v>
      </c>
      <c r="V181" s="74" t="str">
        <f>IF(AND($B181=[1]marcos!$A178,[1]marcos!$B178=V$4),"ok","nok")</f>
        <v>nok</v>
      </c>
      <c r="W181" s="74" t="str">
        <f>IF(AND($B181=[1]marcos!$A178,[1]marcos!$B178=W$4),"ok","nok")</f>
        <v>ok</v>
      </c>
      <c r="X181" s="74" t="str">
        <f>IF(AND($B181=[1]marcos!$A178,[1]marcos!$B178=X$4),"ok","nok")</f>
        <v>nok</v>
      </c>
      <c r="Y181" s="96" t="s">
        <v>16</v>
      </c>
      <c r="Z181" s="97"/>
      <c r="AA181" s="97"/>
      <c r="AB181" s="98"/>
      <c r="AE181" s="63" t="str">
        <f t="shared" si="40"/>
        <v/>
      </c>
      <c r="AF181" s="63"/>
      <c r="AG181" s="63"/>
      <c r="AH181" s="63"/>
      <c r="AI181" s="64">
        <f t="shared" si="41"/>
        <v>0</v>
      </c>
      <c r="AJ181" s="64" t="str">
        <f t="shared" si="42"/>
        <v/>
      </c>
      <c r="AK181" s="64">
        <f t="shared" si="43"/>
        <v>0</v>
      </c>
      <c r="AL181" s="64" t="str">
        <f t="shared" si="44"/>
        <v/>
      </c>
      <c r="AM181" s="64">
        <f t="shared" si="45"/>
        <v>0</v>
      </c>
      <c r="AN181" s="64" t="str">
        <f t="shared" si="46"/>
        <v/>
      </c>
      <c r="AO181" s="64">
        <f t="shared" si="47"/>
        <v>0</v>
      </c>
      <c r="AP181" s="64" t="str">
        <f t="shared" si="48"/>
        <v/>
      </c>
      <c r="AQ181" s="64">
        <f t="shared" si="49"/>
        <v>1</v>
      </c>
      <c r="AR181" s="64" t="str">
        <f t="shared" si="50"/>
        <v/>
      </c>
    </row>
    <row r="182" spans="1:44" ht="30" customHeight="1" x14ac:dyDescent="0.35">
      <c r="A182" s="28" t="str">
        <f t="shared" si="57"/>
        <v>LARGO VANÁDIO MARACÁS
PLANTA QUÍMICA
ÁREA DE PRÉ EVAPORAÇÃO
Tanque - 230 - TQ 008</v>
      </c>
      <c r="B182" s="55" t="s">
        <v>38</v>
      </c>
      <c r="C182" s="74" t="str">
        <f>IF(AND($B182=[1]marcos!$A179,[1]marcos!$B179=C$4),"ok","nok")</f>
        <v>nok</v>
      </c>
      <c r="D182" s="74" t="str">
        <f>IF(AND($B182=[1]marcos!$A179,[1]marcos!$B179=D$4),"ok","nok")</f>
        <v>nok</v>
      </c>
      <c r="E182" s="74" t="str">
        <f>IF(AND($B182=[1]marcos!$A179,[1]marcos!$B179=E$4),"ok","nok")</f>
        <v>nok</v>
      </c>
      <c r="F182" s="74" t="str">
        <f>IF(AND($B182=[1]marcos!$A179,[1]marcos!$B179=F$4),"ok","nok")</f>
        <v>nok</v>
      </c>
      <c r="G182" s="74" t="str">
        <f>IF(AND($B182=[1]marcos!$A179,[1]marcos!$B179=G$4),"ok","nok")</f>
        <v>nok</v>
      </c>
      <c r="H182" s="74" t="str">
        <f>IF(AND($B182=[1]marcos!$A179,[1]marcos!$B179=H$4),"ok","nok")</f>
        <v>nok</v>
      </c>
      <c r="I182" s="74" t="str">
        <f>IF(AND($B182=[1]marcos!$A179,[1]marcos!$B179=I$4),"ok","nok")</f>
        <v>nok</v>
      </c>
      <c r="J182" s="74" t="str">
        <f>IF(AND($B182=[1]marcos!$A179,[1]marcos!$B179=J$4),"ok","nok")</f>
        <v>nok</v>
      </c>
      <c r="K182" s="74" t="str">
        <f>IF(AND($B182=[1]marcos!$A179,[1]marcos!$B179=K$4),"ok","nok")</f>
        <v>nok</v>
      </c>
      <c r="L182" s="74" t="str">
        <f>IF(AND($B182=[1]marcos!$A179,[1]marcos!$B179=L$4),"ok","nok")</f>
        <v>nok</v>
      </c>
      <c r="M182" s="74" t="str">
        <f>IF(AND($B182=[1]marcos!$A179,[1]marcos!$B179=M$4),"ok","nok")</f>
        <v>nok</v>
      </c>
      <c r="N182" s="74" t="str">
        <f>IF(AND($B182=[1]marcos!$A179,[1]marcos!$B179=N$4),"ok","nok")</f>
        <v>nok</v>
      </c>
      <c r="O182" s="74" t="str">
        <f>IF(AND($B182=[1]marcos!$A179,[1]marcos!$B179=O$4),"ok","nok")</f>
        <v>nok</v>
      </c>
      <c r="P182" s="74" t="str">
        <f>IF(AND($B182=[1]marcos!$A179,[1]marcos!$B179=P$4),"ok","nok")</f>
        <v>nok</v>
      </c>
      <c r="Q182" s="74" t="str">
        <f>IF(AND($B182=[1]marcos!$A179,[1]marcos!$B179=Q$4),"ok","nok")</f>
        <v>nok</v>
      </c>
      <c r="R182" s="74" t="str">
        <f>IF(AND($B182=[1]marcos!$A179,[1]marcos!$B179=R$4),"ok","nok")</f>
        <v>nok</v>
      </c>
      <c r="S182" s="74" t="str">
        <f>IF(AND($B182=[1]marcos!$A179,[1]marcos!$B179=S$4),"ok","nok")</f>
        <v>nok</v>
      </c>
      <c r="T182" s="83"/>
      <c r="U182" s="74" t="str">
        <f>IF(AND($B182=[1]marcos!$A179,[1]marcos!$B179=U$4),"ok","nok")</f>
        <v>nok</v>
      </c>
      <c r="V182" s="74" t="str">
        <f>IF(AND($B182=[1]marcos!$A179,[1]marcos!$B179=V$4),"ok","nok")</f>
        <v>nok</v>
      </c>
      <c r="W182" s="74" t="str">
        <f>IF(AND($B182=[1]marcos!$A179,[1]marcos!$B179=W$4),"ok","nok")</f>
        <v>nok</v>
      </c>
      <c r="X182" s="74" t="str">
        <f>IF(AND($B182=[1]marcos!$A179,[1]marcos!$B179=X$4),"ok","nok")</f>
        <v>ok</v>
      </c>
      <c r="Y182" s="96" t="s">
        <v>16</v>
      </c>
      <c r="Z182" s="97"/>
      <c r="AA182" s="97"/>
      <c r="AB182" s="98"/>
      <c r="AE182" s="63" t="str">
        <f t="shared" si="40"/>
        <v/>
      </c>
      <c r="AF182" s="63"/>
      <c r="AG182" s="63"/>
      <c r="AH182" s="63"/>
      <c r="AI182" s="64">
        <f t="shared" si="41"/>
        <v>0</v>
      </c>
      <c r="AJ182" s="64" t="str">
        <f t="shared" si="42"/>
        <v/>
      </c>
      <c r="AK182" s="64">
        <f t="shared" si="43"/>
        <v>0</v>
      </c>
      <c r="AL182" s="64" t="str">
        <f t="shared" si="44"/>
        <v/>
      </c>
      <c r="AM182" s="64">
        <f t="shared" si="45"/>
        <v>0</v>
      </c>
      <c r="AN182" s="64" t="str">
        <f t="shared" si="46"/>
        <v/>
      </c>
      <c r="AO182" s="64">
        <f t="shared" si="47"/>
        <v>0</v>
      </c>
      <c r="AP182" s="64" t="str">
        <f t="shared" si="48"/>
        <v/>
      </c>
      <c r="AQ182" s="64">
        <f t="shared" si="49"/>
        <v>1</v>
      </c>
      <c r="AR182" s="64" t="str">
        <f t="shared" si="50"/>
        <v/>
      </c>
    </row>
    <row r="183" spans="1:44" ht="30" customHeight="1" x14ac:dyDescent="0.35">
      <c r="A183" s="28" t="str">
        <f t="shared" si="57"/>
        <v>LARGO VANÁDIO MARACÁS
PLANTA QUÍMICA
ÁREA DE PRÉ EVAPORAÇÃO
Tanque - 230 - TQ 008</v>
      </c>
      <c r="B183" s="55" t="s">
        <v>76</v>
      </c>
      <c r="C183" s="74" t="str">
        <f>IF(AND($B183=[1]marcos!$A180,[1]marcos!$B180=C$4),"ok","nok")</f>
        <v>nok</v>
      </c>
      <c r="D183" s="74" t="str">
        <f>IF(AND($B183=[1]marcos!$A180,[1]marcos!$B180=D$4),"ok","nok")</f>
        <v>nok</v>
      </c>
      <c r="E183" s="74" t="str">
        <f>IF(AND($B183=[1]marcos!$A180,[1]marcos!$B180=E$4),"ok","nok")</f>
        <v>nok</v>
      </c>
      <c r="F183" s="74" t="str">
        <f>IF(AND($B183=[1]marcos!$A180,[1]marcos!$B180=F$4),"ok","nok")</f>
        <v>nok</v>
      </c>
      <c r="G183" s="74" t="str">
        <f>IF(AND($B183=[1]marcos!$A180,[1]marcos!$B180=G$4),"ok","nok")</f>
        <v>nok</v>
      </c>
      <c r="H183" s="74" t="str">
        <f>IF(AND($B183=[1]marcos!$A180,[1]marcos!$B180=H$4),"ok","nok")</f>
        <v>nok</v>
      </c>
      <c r="I183" s="74" t="str">
        <f>IF(AND($B183=[1]marcos!$A180,[1]marcos!$B180=I$4),"ok","nok")</f>
        <v>nok</v>
      </c>
      <c r="J183" s="74" t="str">
        <f>IF(AND($B183=[1]marcos!$A180,[1]marcos!$B180=J$4),"ok","nok")</f>
        <v>nok</v>
      </c>
      <c r="K183" s="74" t="str">
        <f>IF(AND($B183=[1]marcos!$A180,[1]marcos!$B180=K$4),"ok","nok")</f>
        <v>nok</v>
      </c>
      <c r="L183" s="74" t="str">
        <f>IF(AND($B183=[1]marcos!$A180,[1]marcos!$B180=L$4),"ok","nok")</f>
        <v>nok</v>
      </c>
      <c r="M183" s="74" t="str">
        <f>IF(AND($B183=[1]marcos!$A180,[1]marcos!$B180=M$4),"ok","nok")</f>
        <v>nok</v>
      </c>
      <c r="N183" s="74" t="str">
        <f>IF(AND($B183=[1]marcos!$A180,[1]marcos!$B180=N$4),"ok","nok")</f>
        <v>nok</v>
      </c>
      <c r="O183" s="74" t="str">
        <f>IF(AND($B183=[1]marcos!$A180,[1]marcos!$B180=O$4),"ok","nok")</f>
        <v>nok</v>
      </c>
      <c r="P183" s="74" t="str">
        <f>IF(AND($B183=[1]marcos!$A180,[1]marcos!$B180=P$4),"ok","nok")</f>
        <v>nok</v>
      </c>
      <c r="Q183" s="74" t="str">
        <f>IF(AND($B183=[1]marcos!$A180,[1]marcos!$B180=Q$4),"ok","nok")</f>
        <v>nok</v>
      </c>
      <c r="R183" s="74" t="str">
        <f>IF(AND($B183=[1]marcos!$A180,[1]marcos!$B180=R$4),"ok","nok")</f>
        <v>nok</v>
      </c>
      <c r="S183" s="74" t="str">
        <f>IF(AND($B183=[1]marcos!$A180,[1]marcos!$B180=S$4),"ok","nok")</f>
        <v>nok</v>
      </c>
      <c r="T183" s="83"/>
      <c r="U183" s="74" t="str">
        <f>IF(AND($B183=[1]marcos!$A180,[1]marcos!$B180=U$4),"ok","nok")</f>
        <v>nok</v>
      </c>
      <c r="V183" s="74" t="str">
        <f>IF(AND($B183=[1]marcos!$A180,[1]marcos!$B180=V$4),"ok","nok")</f>
        <v>nok</v>
      </c>
      <c r="W183" s="74" t="str">
        <f>IF(AND($B183=[1]marcos!$A180,[1]marcos!$B180=W$4),"ok","nok")</f>
        <v>nok</v>
      </c>
      <c r="X183" s="74" t="str">
        <f>IF(AND($B183=[1]marcos!$A180,[1]marcos!$B180=X$4),"ok","nok")</f>
        <v>ok</v>
      </c>
      <c r="Y183" s="96" t="s">
        <v>16</v>
      </c>
      <c r="Z183" s="97"/>
      <c r="AA183" s="97"/>
      <c r="AB183" s="98"/>
      <c r="AE183" s="63" t="str">
        <f t="shared" si="40"/>
        <v/>
      </c>
      <c r="AF183" s="63"/>
      <c r="AG183" s="63"/>
      <c r="AH183" s="63"/>
      <c r="AI183" s="64">
        <f t="shared" si="41"/>
        <v>0</v>
      </c>
      <c r="AJ183" s="64" t="str">
        <f t="shared" si="42"/>
        <v/>
      </c>
      <c r="AK183" s="64">
        <f t="shared" si="43"/>
        <v>0</v>
      </c>
      <c r="AL183" s="64" t="str">
        <f t="shared" si="44"/>
        <v/>
      </c>
      <c r="AM183" s="64">
        <f t="shared" si="45"/>
        <v>0</v>
      </c>
      <c r="AN183" s="64" t="str">
        <f t="shared" si="46"/>
        <v/>
      </c>
      <c r="AO183" s="64">
        <f t="shared" si="47"/>
        <v>0</v>
      </c>
      <c r="AP183" s="64" t="str">
        <f t="shared" si="48"/>
        <v/>
      </c>
      <c r="AQ183" s="64">
        <f t="shared" si="49"/>
        <v>1</v>
      </c>
      <c r="AR183" s="64" t="str">
        <f t="shared" si="50"/>
        <v/>
      </c>
    </row>
    <row r="184" spans="1:44" ht="30" customHeight="1" x14ac:dyDescent="0.35">
      <c r="A184" s="28"/>
      <c r="B184" s="77" t="s">
        <v>62</v>
      </c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120"/>
      <c r="Z184" s="121"/>
      <c r="AA184" s="121"/>
      <c r="AB184" s="122"/>
      <c r="AE184" s="63" t="str">
        <f t="shared" si="40"/>
        <v/>
      </c>
      <c r="AF184" s="63"/>
      <c r="AG184" s="63"/>
      <c r="AH184" s="63"/>
      <c r="AI184" s="64">
        <f t="shared" si="41"/>
        <v>0</v>
      </c>
      <c r="AJ184" s="64" t="str">
        <f t="shared" si="42"/>
        <v/>
      </c>
      <c r="AK184" s="64">
        <f t="shared" si="43"/>
        <v>0</v>
      </c>
      <c r="AL184" s="64" t="str">
        <f t="shared" si="44"/>
        <v/>
      </c>
      <c r="AM184" s="64">
        <f t="shared" si="45"/>
        <v>0</v>
      </c>
      <c r="AN184" s="64" t="str">
        <f t="shared" si="46"/>
        <v/>
      </c>
      <c r="AO184" s="64">
        <f t="shared" si="47"/>
        <v>0</v>
      </c>
      <c r="AP184" s="64" t="str">
        <f t="shared" si="48"/>
        <v/>
      </c>
      <c r="AQ184" s="64">
        <f t="shared" si="49"/>
        <v>0</v>
      </c>
      <c r="AR184" s="64" t="str">
        <f t="shared" si="50"/>
        <v/>
      </c>
    </row>
    <row r="185" spans="1:44" ht="30" customHeight="1" x14ac:dyDescent="0.35">
      <c r="A185" s="28" t="str">
        <f>CONCATENATE($B$80,"
",$B$83,"
",$B$148,"
",$B$184)</f>
        <v>LARGO VANÁDIO MARACÁS
PLANTA QUÍMICA
ÁREA DE PRÉ EVAPORAÇÃO
Tanque - 530 - TQ 200</v>
      </c>
      <c r="B185" s="53" t="s">
        <v>73</v>
      </c>
      <c r="C185" s="74" t="str">
        <f>IF(AND($B185=[1]marcos!$A182,[1]marcos!$B182=C$4),"ok","nok")</f>
        <v>nok</v>
      </c>
      <c r="D185" s="74" t="str">
        <f>IF(AND($B185=[1]marcos!$A182,[1]marcos!$B182=D$4),"ok","nok")</f>
        <v>nok</v>
      </c>
      <c r="E185" s="74" t="str">
        <f>IF(AND($B185=[1]marcos!$A182,[1]marcos!$B182=E$4),"ok","nok")</f>
        <v>nok</v>
      </c>
      <c r="F185" s="74" t="str">
        <f>IF(AND($B185=[1]marcos!$A182,[1]marcos!$B182=F$4),"ok","nok")</f>
        <v>nok</v>
      </c>
      <c r="G185" s="74" t="str">
        <f>IF(AND($B185=[1]marcos!$A182,[1]marcos!$B182=G$4),"ok","nok")</f>
        <v>nok</v>
      </c>
      <c r="H185" s="74" t="str">
        <f>IF(AND($B185=[1]marcos!$A182,[1]marcos!$B182=H$4),"ok","nok")</f>
        <v>nok</v>
      </c>
      <c r="I185" s="74" t="str">
        <f>IF(AND($B185=[1]marcos!$A182,[1]marcos!$B182=I$4),"ok","nok")</f>
        <v>nok</v>
      </c>
      <c r="J185" s="74" t="str">
        <f>IF(AND($B185=[1]marcos!$A182,[1]marcos!$B182=J$4),"ok","nok")</f>
        <v>nok</v>
      </c>
      <c r="K185" s="74" t="str">
        <f>IF(AND($B185=[1]marcos!$A182,[1]marcos!$B182=K$4),"ok","nok")</f>
        <v>nok</v>
      </c>
      <c r="L185" s="83"/>
      <c r="M185" s="74" t="str">
        <f>IF(AND($B185=[1]marcos!$A182,[1]marcos!$B182=M$4),"ok","nok")</f>
        <v>nok</v>
      </c>
      <c r="N185" s="74" t="str">
        <f>IF(AND($B185=[1]marcos!$A182,[1]marcos!$B182=N$4),"ok","nok")</f>
        <v>nok</v>
      </c>
      <c r="O185" s="74" t="str">
        <f>IF(AND($B185=[1]marcos!$A182,[1]marcos!$B182=O$4),"ok","nok")</f>
        <v>nok</v>
      </c>
      <c r="P185" s="74" t="str">
        <f>IF(AND($B185=[1]marcos!$A182,[1]marcos!$B182=P$4),"ok","nok")</f>
        <v>nok</v>
      </c>
      <c r="Q185" s="74" t="str">
        <f>IF(AND($B185=[1]marcos!$A182,[1]marcos!$B182=Q$4),"ok","nok")</f>
        <v>nok</v>
      </c>
      <c r="R185" s="74" t="str">
        <f>IF(AND($B185=[1]marcos!$A182,[1]marcos!$B182=R$4),"ok","nok")</f>
        <v>nok</v>
      </c>
      <c r="S185" s="74" t="str">
        <f>IF(AND($B185=[1]marcos!$A182,[1]marcos!$B182=S$4),"ok","nok")</f>
        <v>nok</v>
      </c>
      <c r="T185" s="74" t="str">
        <f>IF(AND($B185=[1]marcos!$A182,[1]marcos!$B182=T$4),"ok","nok")</f>
        <v>nok</v>
      </c>
      <c r="U185" s="74" t="str">
        <f>IF(AND($B185=[1]marcos!$A182,[1]marcos!$B182=U$4),"ok","nok")</f>
        <v>nok</v>
      </c>
      <c r="V185" s="74" t="str">
        <f>IF(AND($B185=[1]marcos!$A182,[1]marcos!$B182=V$4),"ok","nok")</f>
        <v>ok</v>
      </c>
      <c r="W185" s="74" t="str">
        <f>IF(AND($B185=[1]marcos!$A182,[1]marcos!$B182=W$4),"ok","nok")</f>
        <v>nok</v>
      </c>
      <c r="X185" s="74" t="str">
        <f>IF(AND($B185=[1]marcos!$A182,[1]marcos!$B182=X$4),"ok","nok")</f>
        <v>nok</v>
      </c>
      <c r="Y185" s="96" t="s">
        <v>32</v>
      </c>
      <c r="Z185" s="97"/>
      <c r="AA185" s="97"/>
      <c r="AB185" s="98"/>
      <c r="AE185" s="63" t="str">
        <f t="shared" si="40"/>
        <v>Verificação do Laudo</v>
      </c>
      <c r="AF185" s="63"/>
      <c r="AG185" s="63"/>
      <c r="AH185" s="63"/>
      <c r="AI185" s="64">
        <f t="shared" si="41"/>
        <v>0</v>
      </c>
      <c r="AJ185" s="64" t="str">
        <f t="shared" si="42"/>
        <v/>
      </c>
      <c r="AK185" s="64">
        <f t="shared" si="43"/>
        <v>0</v>
      </c>
      <c r="AL185" s="64" t="str">
        <f t="shared" si="44"/>
        <v/>
      </c>
      <c r="AM185" s="64">
        <f t="shared" si="45"/>
        <v>0</v>
      </c>
      <c r="AN185" s="64" t="str">
        <f t="shared" si="46"/>
        <v/>
      </c>
      <c r="AO185" s="64">
        <f t="shared" si="47"/>
        <v>1</v>
      </c>
      <c r="AP185" s="64" t="str">
        <f t="shared" si="48"/>
        <v/>
      </c>
      <c r="AQ185" s="64">
        <f t="shared" si="49"/>
        <v>0</v>
      </c>
      <c r="AR185" s="64" t="str">
        <f t="shared" si="50"/>
        <v/>
      </c>
    </row>
    <row r="186" spans="1:44" ht="30" customHeight="1" x14ac:dyDescent="0.35">
      <c r="A186" s="28"/>
      <c r="B186" s="54" t="s">
        <v>74</v>
      </c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114"/>
      <c r="Z186" s="115"/>
      <c r="AA186" s="115"/>
      <c r="AB186" s="116"/>
      <c r="AE186" s="63" t="str">
        <f t="shared" si="40"/>
        <v/>
      </c>
      <c r="AF186" s="63"/>
      <c r="AG186" s="63"/>
      <c r="AH186" s="63"/>
      <c r="AI186" s="64">
        <f t="shared" si="41"/>
        <v>0</v>
      </c>
      <c r="AJ186" s="64" t="str">
        <f t="shared" si="42"/>
        <v/>
      </c>
      <c r="AK186" s="64">
        <f t="shared" si="43"/>
        <v>0</v>
      </c>
      <c r="AL186" s="64" t="str">
        <f t="shared" si="44"/>
        <v/>
      </c>
      <c r="AM186" s="64">
        <f t="shared" si="45"/>
        <v>0</v>
      </c>
      <c r="AN186" s="64" t="str">
        <f t="shared" si="46"/>
        <v/>
      </c>
      <c r="AO186" s="64">
        <f t="shared" si="47"/>
        <v>0</v>
      </c>
      <c r="AP186" s="64" t="str">
        <f t="shared" si="48"/>
        <v/>
      </c>
      <c r="AQ186" s="64">
        <f t="shared" si="49"/>
        <v>0</v>
      </c>
      <c r="AR186" s="64" t="str">
        <f t="shared" si="50"/>
        <v/>
      </c>
    </row>
    <row r="187" spans="1:44" ht="30" customHeight="1" x14ac:dyDescent="0.35">
      <c r="A187" s="28" t="str">
        <f>CONCATENATE($B$80,"
",$B$83,"
",$B$148,"
",$B$184)</f>
        <v>LARGO VANÁDIO MARACÁS
PLANTA QUÍMICA
ÁREA DE PRÉ EVAPORAÇÃO
Tanque - 530 - TQ 200</v>
      </c>
      <c r="B187" s="55" t="s">
        <v>75</v>
      </c>
      <c r="C187" s="74" t="str">
        <f>IF(AND($B187=[1]marcos!$A184,[1]marcos!$B184=C$4),"ok","nok")</f>
        <v>nok</v>
      </c>
      <c r="D187" s="74" t="str">
        <f>IF(AND($B187=[1]marcos!$A184,[1]marcos!$B184=D$4),"ok","nok")</f>
        <v>nok</v>
      </c>
      <c r="E187" s="74" t="str">
        <f>IF(AND($B187=[1]marcos!$A184,[1]marcos!$B184=E$4),"ok","nok")</f>
        <v>nok</v>
      </c>
      <c r="F187" s="74" t="str">
        <f>IF(AND($B187=[1]marcos!$A184,[1]marcos!$B184=F$4),"ok","nok")</f>
        <v>nok</v>
      </c>
      <c r="G187" s="74" t="str">
        <f>IF(AND($B187=[1]marcos!$A184,[1]marcos!$B184=G$4),"ok","nok")</f>
        <v>nok</v>
      </c>
      <c r="H187" s="74" t="str">
        <f>IF(AND($B187=[1]marcos!$A184,[1]marcos!$B184=H$4),"ok","nok")</f>
        <v>nok</v>
      </c>
      <c r="I187" s="74" t="str">
        <f>IF(AND($B187=[1]marcos!$A184,[1]marcos!$B184=I$4),"ok","nok")</f>
        <v>nok</v>
      </c>
      <c r="J187" s="74" t="str">
        <f>IF(AND($B187=[1]marcos!$A184,[1]marcos!$B184=J$4),"ok","nok")</f>
        <v>nok</v>
      </c>
      <c r="K187" s="74" t="str">
        <f>IF(AND($B187=[1]marcos!$A184,[1]marcos!$B184=K$4),"ok","nok")</f>
        <v>nok</v>
      </c>
      <c r="L187" s="83"/>
      <c r="M187" s="74" t="str">
        <f>IF(AND($B187=[1]marcos!$A184,[1]marcos!$B184=M$4),"ok","nok")</f>
        <v>nok</v>
      </c>
      <c r="N187" s="74" t="str">
        <f>IF(AND($B187=[1]marcos!$A184,[1]marcos!$B184=N$4),"ok","nok")</f>
        <v>nok</v>
      </c>
      <c r="O187" s="74" t="str">
        <f>IF(AND($B187=[1]marcos!$A184,[1]marcos!$B184=O$4),"ok","nok")</f>
        <v>nok</v>
      </c>
      <c r="P187" s="74" t="str">
        <f>IF(AND($B187=[1]marcos!$A184,[1]marcos!$B184=P$4),"ok","nok")</f>
        <v>nok</v>
      </c>
      <c r="Q187" s="74" t="str">
        <f>IF(AND($B187=[1]marcos!$A184,[1]marcos!$B184=Q$4),"ok","nok")</f>
        <v>nok</v>
      </c>
      <c r="R187" s="74" t="str">
        <f>IF(AND($B187=[1]marcos!$A184,[1]marcos!$B184=R$4),"ok","nok")</f>
        <v>nok</v>
      </c>
      <c r="S187" s="74" t="str">
        <f>IF(AND($B187=[1]marcos!$A184,[1]marcos!$B184=S$4),"ok","nok")</f>
        <v>nok</v>
      </c>
      <c r="T187" s="74" t="str">
        <f>IF(AND($B187=[1]marcos!$A184,[1]marcos!$B184=T$4),"ok","nok")</f>
        <v>nok</v>
      </c>
      <c r="U187" s="74" t="str">
        <f>IF(AND($B187=[1]marcos!$A184,[1]marcos!$B184=U$4),"ok","nok")</f>
        <v>nok</v>
      </c>
      <c r="V187" s="74" t="str">
        <f>IF(AND($B187=[1]marcos!$A184,[1]marcos!$B184=V$4),"ok","nok")</f>
        <v>ok</v>
      </c>
      <c r="W187" s="74" t="str">
        <f>IF(AND($B187=[1]marcos!$A184,[1]marcos!$B184=W$4),"ok","nok")</f>
        <v>nok</v>
      </c>
      <c r="X187" s="74" t="str">
        <f>IF(AND($B187=[1]marcos!$A184,[1]marcos!$B184=X$4),"ok","nok")</f>
        <v>nok</v>
      </c>
      <c r="Y187" s="96" t="s">
        <v>32</v>
      </c>
      <c r="Z187" s="97"/>
      <c r="AA187" s="97"/>
      <c r="AB187" s="98"/>
      <c r="AE187" s="63" t="str">
        <f t="shared" si="40"/>
        <v>MARCO - Emissão Inicial</v>
      </c>
      <c r="AF187" s="63"/>
      <c r="AG187" s="63"/>
      <c r="AH187" s="63"/>
      <c r="AI187" s="64">
        <f t="shared" si="41"/>
        <v>0</v>
      </c>
      <c r="AJ187" s="64" t="str">
        <f t="shared" si="42"/>
        <v/>
      </c>
      <c r="AK187" s="64">
        <f t="shared" si="43"/>
        <v>0</v>
      </c>
      <c r="AL187" s="64" t="str">
        <f t="shared" si="44"/>
        <v/>
      </c>
      <c r="AM187" s="64">
        <f t="shared" si="45"/>
        <v>0</v>
      </c>
      <c r="AN187" s="64" t="str">
        <f t="shared" si="46"/>
        <v/>
      </c>
      <c r="AO187" s="64">
        <f t="shared" si="47"/>
        <v>1</v>
      </c>
      <c r="AP187" s="64" t="str">
        <f t="shared" si="48"/>
        <v/>
      </c>
      <c r="AQ187" s="64">
        <f t="shared" si="49"/>
        <v>0</v>
      </c>
      <c r="AR187" s="64" t="str">
        <f t="shared" si="50"/>
        <v/>
      </c>
    </row>
    <row r="188" spans="1:44" ht="30" customHeight="1" x14ac:dyDescent="0.35">
      <c r="A188" s="28" t="str">
        <f t="shared" ref="A188:A190" si="58">CONCATENATE($B$80,"
",$B$83,"
",$B$148,"
",$B$184)</f>
        <v>LARGO VANÁDIO MARACÁS
PLANTA QUÍMICA
ÁREA DE PRÉ EVAPORAÇÃO
Tanque - 530 - TQ 200</v>
      </c>
      <c r="B188" s="55" t="s">
        <v>20</v>
      </c>
      <c r="C188" s="74" t="str">
        <f>IF(AND($B188=[1]marcos!$A185,[1]marcos!$B185=C$4),"ok","nok")</f>
        <v>nok</v>
      </c>
      <c r="D188" s="74" t="str">
        <f>IF(AND($B188=[1]marcos!$A185,[1]marcos!$B185=D$4),"ok","nok")</f>
        <v>nok</v>
      </c>
      <c r="E188" s="74" t="str">
        <f>IF(AND($B188=[1]marcos!$A185,[1]marcos!$B185=E$4),"ok","nok")</f>
        <v>nok</v>
      </c>
      <c r="F188" s="74" t="str">
        <f>IF(AND($B188=[1]marcos!$A185,[1]marcos!$B185=F$4),"ok","nok")</f>
        <v>nok</v>
      </c>
      <c r="G188" s="74" t="str">
        <f>IF(AND($B188=[1]marcos!$A185,[1]marcos!$B185=G$4),"ok","nok")</f>
        <v>nok</v>
      </c>
      <c r="H188" s="74" t="str">
        <f>IF(AND($B188=[1]marcos!$A185,[1]marcos!$B185=H$4),"ok","nok")</f>
        <v>nok</v>
      </c>
      <c r="I188" s="74" t="str">
        <f>IF(AND($B188=[1]marcos!$A185,[1]marcos!$B185=I$4),"ok","nok")</f>
        <v>nok</v>
      </c>
      <c r="J188" s="74" t="str">
        <f>IF(AND($B188=[1]marcos!$A185,[1]marcos!$B185=J$4),"ok","nok")</f>
        <v>nok</v>
      </c>
      <c r="K188" s="74" t="str">
        <f>IF(AND($B188=[1]marcos!$A185,[1]marcos!$B185=K$4),"ok","nok")</f>
        <v>nok</v>
      </c>
      <c r="L188" s="74" t="str">
        <f>IF(AND($B188=[1]marcos!$A185,[1]marcos!$B185=L$4),"ok","nok")</f>
        <v>nok</v>
      </c>
      <c r="M188" s="74" t="str">
        <f>IF(AND($B188=[1]marcos!$A185,[1]marcos!$B185=M$4),"ok","nok")</f>
        <v>nok</v>
      </c>
      <c r="N188" s="74" t="str">
        <f>IF(AND($B188=[1]marcos!$A185,[1]marcos!$B185=N$4),"ok","nok")</f>
        <v>nok</v>
      </c>
      <c r="O188" s="74" t="str">
        <f>IF(AND($B188=[1]marcos!$A185,[1]marcos!$B185=O$4),"ok","nok")</f>
        <v>nok</v>
      </c>
      <c r="P188" s="74" t="str">
        <f>IF(AND($B188=[1]marcos!$A185,[1]marcos!$B185=P$4),"ok","nok")</f>
        <v>nok</v>
      </c>
      <c r="Q188" s="83"/>
      <c r="R188" s="74" t="str">
        <f>IF(AND($B188=[1]marcos!$A185,[1]marcos!$B185=R$4),"ok","nok")</f>
        <v>nok</v>
      </c>
      <c r="S188" s="74" t="str">
        <f>IF(AND($B188=[1]marcos!$A185,[1]marcos!$B185=S$4),"ok","nok")</f>
        <v>nok</v>
      </c>
      <c r="T188" s="74" t="str">
        <f>IF(AND($B188=[1]marcos!$A185,[1]marcos!$B185=T$4),"ok","nok")</f>
        <v>nok</v>
      </c>
      <c r="U188" s="74" t="str">
        <f>IF(AND($B188=[1]marcos!$A185,[1]marcos!$B185=U$4),"ok","nok")</f>
        <v>nok</v>
      </c>
      <c r="V188" s="74" t="str">
        <f>IF(AND($B188=[1]marcos!$A185,[1]marcos!$B185=V$4),"ok","nok")</f>
        <v>nok</v>
      </c>
      <c r="W188" s="74" t="str">
        <f>IF(AND($B188=[1]marcos!$A185,[1]marcos!$B185=W$4),"ok","nok")</f>
        <v>ok</v>
      </c>
      <c r="X188" s="74" t="str">
        <f>IF(AND($B188=[1]marcos!$A185,[1]marcos!$B185=X$4),"ok","nok")</f>
        <v>nok</v>
      </c>
      <c r="Y188" s="96" t="s">
        <v>16</v>
      </c>
      <c r="Z188" s="97"/>
      <c r="AA188" s="97"/>
      <c r="AB188" s="98"/>
      <c r="AE188" s="63" t="str">
        <f t="shared" si="40"/>
        <v/>
      </c>
      <c r="AF188" s="63"/>
      <c r="AG188" s="63"/>
      <c r="AH188" s="63"/>
      <c r="AI188" s="64">
        <f t="shared" si="41"/>
        <v>0</v>
      </c>
      <c r="AJ188" s="64" t="str">
        <f t="shared" si="42"/>
        <v/>
      </c>
      <c r="AK188" s="64">
        <f t="shared" si="43"/>
        <v>0</v>
      </c>
      <c r="AL188" s="64" t="str">
        <f t="shared" si="44"/>
        <v/>
      </c>
      <c r="AM188" s="64">
        <f t="shared" si="45"/>
        <v>0</v>
      </c>
      <c r="AN188" s="64" t="str">
        <f t="shared" si="46"/>
        <v/>
      </c>
      <c r="AO188" s="64">
        <f t="shared" si="47"/>
        <v>0</v>
      </c>
      <c r="AP188" s="64" t="str">
        <f t="shared" si="48"/>
        <v/>
      </c>
      <c r="AQ188" s="64">
        <f t="shared" si="49"/>
        <v>1</v>
      </c>
      <c r="AR188" s="64" t="str">
        <f t="shared" si="50"/>
        <v/>
      </c>
    </row>
    <row r="189" spans="1:44" ht="30" customHeight="1" x14ac:dyDescent="0.35">
      <c r="A189" s="28" t="str">
        <f t="shared" si="58"/>
        <v>LARGO VANÁDIO MARACÁS
PLANTA QUÍMICA
ÁREA DE PRÉ EVAPORAÇÃO
Tanque - 530 - TQ 200</v>
      </c>
      <c r="B189" s="55" t="s">
        <v>38</v>
      </c>
      <c r="C189" s="74" t="str">
        <f>IF(AND($B189=[1]marcos!$A186,[1]marcos!$B186=C$4),"ok","nok")</f>
        <v>nok</v>
      </c>
      <c r="D189" s="74" t="str">
        <f>IF(AND($B189=[1]marcos!$A186,[1]marcos!$B186=D$4),"ok","nok")</f>
        <v>nok</v>
      </c>
      <c r="E189" s="74" t="str">
        <f>IF(AND($B189=[1]marcos!$A186,[1]marcos!$B186=E$4),"ok","nok")</f>
        <v>nok</v>
      </c>
      <c r="F189" s="74" t="str">
        <f>IF(AND($B189=[1]marcos!$A186,[1]marcos!$B186=F$4),"ok","nok")</f>
        <v>nok</v>
      </c>
      <c r="G189" s="74" t="str">
        <f>IF(AND($B189=[1]marcos!$A186,[1]marcos!$B186=G$4),"ok","nok")</f>
        <v>nok</v>
      </c>
      <c r="H189" s="74" t="str">
        <f>IF(AND($B189=[1]marcos!$A186,[1]marcos!$B186=H$4),"ok","nok")</f>
        <v>nok</v>
      </c>
      <c r="I189" s="74" t="str">
        <f>IF(AND($B189=[1]marcos!$A186,[1]marcos!$B186=I$4),"ok","nok")</f>
        <v>nok</v>
      </c>
      <c r="J189" s="74" t="str">
        <f>IF(AND($B189=[1]marcos!$A186,[1]marcos!$B186=J$4),"ok","nok")</f>
        <v>nok</v>
      </c>
      <c r="K189" s="74" t="str">
        <f>IF(AND($B189=[1]marcos!$A186,[1]marcos!$B186=K$4),"ok","nok")</f>
        <v>nok</v>
      </c>
      <c r="L189" s="74" t="str">
        <f>IF(AND($B189=[1]marcos!$A186,[1]marcos!$B186=L$4),"ok","nok")</f>
        <v>nok</v>
      </c>
      <c r="M189" s="74" t="str">
        <f>IF(AND($B189=[1]marcos!$A186,[1]marcos!$B186=M$4),"ok","nok")</f>
        <v>nok</v>
      </c>
      <c r="N189" s="74" t="str">
        <f>IF(AND($B189=[1]marcos!$A186,[1]marcos!$B186=N$4),"ok","nok")</f>
        <v>nok</v>
      </c>
      <c r="O189" s="74" t="str">
        <f>IF(AND($B189=[1]marcos!$A186,[1]marcos!$B186=O$4),"ok","nok")</f>
        <v>nok</v>
      </c>
      <c r="P189" s="74" t="str">
        <f>IF(AND($B189=[1]marcos!$A186,[1]marcos!$B186=P$4),"ok","nok")</f>
        <v>nok</v>
      </c>
      <c r="Q189" s="74" t="str">
        <f>IF(AND($B189=[1]marcos!$A186,[1]marcos!$B186=Q$4),"ok","nok")</f>
        <v>nok</v>
      </c>
      <c r="R189" s="74" t="str">
        <f>IF(AND($B189=[1]marcos!$A186,[1]marcos!$B186=R$4),"ok","nok")</f>
        <v>nok</v>
      </c>
      <c r="S189" s="74" t="str">
        <f>IF(AND($B189=[1]marcos!$A186,[1]marcos!$B186=S$4),"ok","nok")</f>
        <v>nok</v>
      </c>
      <c r="T189" s="83"/>
      <c r="U189" s="74" t="str">
        <f>IF(AND($B189=[1]marcos!$A186,[1]marcos!$B186=U$4),"ok","nok")</f>
        <v>nok</v>
      </c>
      <c r="V189" s="74" t="str">
        <f>IF(AND($B189=[1]marcos!$A186,[1]marcos!$B186=V$4),"ok","nok")</f>
        <v>nok</v>
      </c>
      <c r="W189" s="74" t="str">
        <f>IF(AND($B189=[1]marcos!$A186,[1]marcos!$B186=W$4),"ok","nok")</f>
        <v>nok</v>
      </c>
      <c r="X189" s="74" t="str">
        <f>IF(AND($B189=[1]marcos!$A186,[1]marcos!$B186=X$4),"ok","nok")</f>
        <v>ok</v>
      </c>
      <c r="Y189" s="96" t="s">
        <v>16</v>
      </c>
      <c r="Z189" s="97"/>
      <c r="AA189" s="97"/>
      <c r="AB189" s="98"/>
      <c r="AE189" s="63" t="str">
        <f t="shared" si="40"/>
        <v/>
      </c>
      <c r="AF189" s="63"/>
      <c r="AG189" s="63"/>
      <c r="AH189" s="63"/>
      <c r="AI189" s="64">
        <f t="shared" si="41"/>
        <v>0</v>
      </c>
      <c r="AJ189" s="64" t="str">
        <f t="shared" si="42"/>
        <v/>
      </c>
      <c r="AK189" s="64">
        <f t="shared" si="43"/>
        <v>0</v>
      </c>
      <c r="AL189" s="64" t="str">
        <f t="shared" si="44"/>
        <v/>
      </c>
      <c r="AM189" s="64">
        <f t="shared" si="45"/>
        <v>0</v>
      </c>
      <c r="AN189" s="64" t="str">
        <f t="shared" si="46"/>
        <v/>
      </c>
      <c r="AO189" s="64">
        <f t="shared" si="47"/>
        <v>0</v>
      </c>
      <c r="AP189" s="64" t="str">
        <f t="shared" si="48"/>
        <v/>
      </c>
      <c r="AQ189" s="64">
        <f t="shared" si="49"/>
        <v>1</v>
      </c>
      <c r="AR189" s="64" t="str">
        <f t="shared" si="50"/>
        <v/>
      </c>
    </row>
    <row r="190" spans="1:44" ht="30" customHeight="1" x14ac:dyDescent="0.35">
      <c r="A190" s="28" t="str">
        <f t="shared" si="58"/>
        <v>LARGO VANÁDIO MARACÁS
PLANTA QUÍMICA
ÁREA DE PRÉ EVAPORAÇÃO
Tanque - 530 - TQ 200</v>
      </c>
      <c r="B190" s="55" t="s">
        <v>76</v>
      </c>
      <c r="C190" s="74" t="str">
        <f>IF(AND($B190=[1]marcos!$A187,[1]marcos!$B187=C$4),"ok","nok")</f>
        <v>nok</v>
      </c>
      <c r="D190" s="74" t="str">
        <f>IF(AND($B190=[1]marcos!$A187,[1]marcos!$B187=D$4),"ok","nok")</f>
        <v>nok</v>
      </c>
      <c r="E190" s="74" t="str">
        <f>IF(AND($B190=[1]marcos!$A187,[1]marcos!$B187=E$4),"ok","nok")</f>
        <v>nok</v>
      </c>
      <c r="F190" s="74" t="str">
        <f>IF(AND($B190=[1]marcos!$A187,[1]marcos!$B187=F$4),"ok","nok")</f>
        <v>nok</v>
      </c>
      <c r="G190" s="74" t="str">
        <f>IF(AND($B190=[1]marcos!$A187,[1]marcos!$B187=G$4),"ok","nok")</f>
        <v>nok</v>
      </c>
      <c r="H190" s="74" t="str">
        <f>IF(AND($B190=[1]marcos!$A187,[1]marcos!$B187=H$4),"ok","nok")</f>
        <v>nok</v>
      </c>
      <c r="I190" s="74" t="str">
        <f>IF(AND($B190=[1]marcos!$A187,[1]marcos!$B187=I$4),"ok","nok")</f>
        <v>nok</v>
      </c>
      <c r="J190" s="74" t="str">
        <f>IF(AND($B190=[1]marcos!$A187,[1]marcos!$B187=J$4),"ok","nok")</f>
        <v>nok</v>
      </c>
      <c r="K190" s="74" t="str">
        <f>IF(AND($B190=[1]marcos!$A187,[1]marcos!$B187=K$4),"ok","nok")</f>
        <v>nok</v>
      </c>
      <c r="L190" s="74" t="str">
        <f>IF(AND($B190=[1]marcos!$A187,[1]marcos!$B187=L$4),"ok","nok")</f>
        <v>nok</v>
      </c>
      <c r="M190" s="74" t="str">
        <f>IF(AND($B190=[1]marcos!$A187,[1]marcos!$B187=M$4),"ok","nok")</f>
        <v>nok</v>
      </c>
      <c r="N190" s="74" t="str">
        <f>IF(AND($B190=[1]marcos!$A187,[1]marcos!$B187=N$4),"ok","nok")</f>
        <v>nok</v>
      </c>
      <c r="O190" s="74" t="str">
        <f>IF(AND($B190=[1]marcos!$A187,[1]marcos!$B187=O$4),"ok","nok")</f>
        <v>nok</v>
      </c>
      <c r="P190" s="74" t="str">
        <f>IF(AND($B190=[1]marcos!$A187,[1]marcos!$B187=P$4),"ok","nok")</f>
        <v>nok</v>
      </c>
      <c r="Q190" s="74" t="str">
        <f>IF(AND($B190=[1]marcos!$A187,[1]marcos!$B187=Q$4),"ok","nok")</f>
        <v>nok</v>
      </c>
      <c r="R190" s="74" t="str">
        <f>IF(AND($B190=[1]marcos!$A187,[1]marcos!$B187=R$4),"ok","nok")</f>
        <v>nok</v>
      </c>
      <c r="S190" s="74" t="str">
        <f>IF(AND($B190=[1]marcos!$A187,[1]marcos!$B187=S$4),"ok","nok")</f>
        <v>nok</v>
      </c>
      <c r="T190" s="83"/>
      <c r="U190" s="74" t="str">
        <f>IF(AND($B190=[1]marcos!$A187,[1]marcos!$B187=U$4),"ok","nok")</f>
        <v>nok</v>
      </c>
      <c r="V190" s="74" t="str">
        <f>IF(AND($B190=[1]marcos!$A187,[1]marcos!$B187=V$4),"ok","nok")</f>
        <v>nok</v>
      </c>
      <c r="W190" s="74" t="str">
        <f>IF(AND($B190=[1]marcos!$A187,[1]marcos!$B187=W$4),"ok","nok")</f>
        <v>nok</v>
      </c>
      <c r="X190" s="74" t="str">
        <f>IF(AND($B190=[1]marcos!$A187,[1]marcos!$B187=X$4),"ok","nok")</f>
        <v>ok</v>
      </c>
      <c r="Y190" s="96" t="s">
        <v>16</v>
      </c>
      <c r="Z190" s="97"/>
      <c r="AA190" s="97"/>
      <c r="AB190" s="98"/>
      <c r="AE190" s="63" t="str">
        <f t="shared" si="40"/>
        <v/>
      </c>
      <c r="AF190" s="63"/>
      <c r="AG190" s="63"/>
      <c r="AH190" s="63"/>
      <c r="AI190" s="64">
        <f t="shared" si="41"/>
        <v>0</v>
      </c>
      <c r="AJ190" s="64" t="str">
        <f t="shared" si="42"/>
        <v/>
      </c>
      <c r="AK190" s="64">
        <f t="shared" si="43"/>
        <v>0</v>
      </c>
      <c r="AL190" s="64" t="str">
        <f t="shared" si="44"/>
        <v/>
      </c>
      <c r="AM190" s="64">
        <f t="shared" si="45"/>
        <v>0</v>
      </c>
      <c r="AN190" s="64" t="str">
        <f t="shared" si="46"/>
        <v/>
      </c>
      <c r="AO190" s="64">
        <f t="shared" si="47"/>
        <v>0</v>
      </c>
      <c r="AP190" s="64" t="str">
        <f t="shared" si="48"/>
        <v/>
      </c>
      <c r="AQ190" s="64">
        <f t="shared" si="49"/>
        <v>1</v>
      </c>
      <c r="AR190" s="64" t="str">
        <f t="shared" si="50"/>
        <v/>
      </c>
    </row>
    <row r="191" spans="1:44" ht="30" customHeight="1" x14ac:dyDescent="0.35">
      <c r="A191" s="28"/>
      <c r="B191" s="77" t="s">
        <v>84</v>
      </c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120"/>
      <c r="Z191" s="121"/>
      <c r="AA191" s="121"/>
      <c r="AB191" s="122"/>
      <c r="AE191" s="63" t="str">
        <f t="shared" si="40"/>
        <v/>
      </c>
      <c r="AF191" s="63"/>
      <c r="AG191" s="63"/>
      <c r="AH191" s="63"/>
      <c r="AI191" s="64">
        <f t="shared" si="41"/>
        <v>0</v>
      </c>
      <c r="AJ191" s="64" t="str">
        <f t="shared" si="42"/>
        <v/>
      </c>
      <c r="AK191" s="64">
        <f t="shared" si="43"/>
        <v>0</v>
      </c>
      <c r="AL191" s="64" t="str">
        <f t="shared" si="44"/>
        <v/>
      </c>
      <c r="AM191" s="64">
        <f t="shared" si="45"/>
        <v>0</v>
      </c>
      <c r="AN191" s="64" t="str">
        <f t="shared" si="46"/>
        <v/>
      </c>
      <c r="AO191" s="64">
        <f t="shared" si="47"/>
        <v>0</v>
      </c>
      <c r="AP191" s="64" t="str">
        <f t="shared" si="48"/>
        <v/>
      </c>
      <c r="AQ191" s="64">
        <f t="shared" si="49"/>
        <v>0</v>
      </c>
      <c r="AR191" s="64" t="str">
        <f t="shared" si="50"/>
        <v/>
      </c>
    </row>
    <row r="192" spans="1:44" ht="30" customHeight="1" x14ac:dyDescent="0.35">
      <c r="A192" s="28" t="str">
        <f>CONCATENATE($B$80,"
",$B$83,"
",$B$148,"
",$B$191)</f>
        <v>LARGO VANÁDIO MARACÁS
PLANTA QUÍMICA
ÁREA DE PRÉ EVAPORAÇÃO
GERAL - ÁREA DE PRÉ EVAPORAÇÃO</v>
      </c>
      <c r="B192" s="53" t="s">
        <v>82</v>
      </c>
      <c r="C192" s="74" t="str">
        <f>IF(AND($B192=[1]marcos!$A189,[1]marcos!$B189=C$4),"ok","nok")</f>
        <v>nok</v>
      </c>
      <c r="D192" s="74" t="str">
        <f>IF(AND($B192=[1]marcos!$A189,[1]marcos!$B189=D$4),"ok","nok")</f>
        <v>nok</v>
      </c>
      <c r="E192" s="74" t="str">
        <f>IF(AND($B192=[1]marcos!$A189,[1]marcos!$B189=E$4),"ok","nok")</f>
        <v>nok</v>
      </c>
      <c r="F192" s="74" t="str">
        <f>IF(AND($B192=[1]marcos!$A189,[1]marcos!$B189=F$4),"ok","nok")</f>
        <v>nok</v>
      </c>
      <c r="G192" s="74" t="str">
        <f>IF(AND($B192=[1]marcos!$A189,[1]marcos!$B189=G$4),"ok","nok")</f>
        <v>nok</v>
      </c>
      <c r="H192" s="74" t="str">
        <f>IF(AND($B192=[1]marcos!$A189,[1]marcos!$B189=H$4),"ok","nok")</f>
        <v>nok</v>
      </c>
      <c r="I192" s="74" t="str">
        <f>IF(AND($B192=[1]marcos!$A189,[1]marcos!$B189=I$4),"ok","nok")</f>
        <v>nok</v>
      </c>
      <c r="J192" s="74" t="str">
        <f>IF(AND($B192=[1]marcos!$A189,[1]marcos!$B189=J$4),"ok","nok")</f>
        <v>nok</v>
      </c>
      <c r="K192" s="74" t="str">
        <f>IF(AND($B192=[1]marcos!$A189,[1]marcos!$B189=K$4),"ok","nok")</f>
        <v>nok</v>
      </c>
      <c r="L192" s="83"/>
      <c r="M192" s="74" t="str">
        <f>IF(AND($B192=[1]marcos!$A189,[1]marcos!$B189=M$4),"ok","nok")</f>
        <v>nok</v>
      </c>
      <c r="N192" s="74" t="str">
        <f>IF(AND($B192=[1]marcos!$A189,[1]marcos!$B189=N$4),"ok","nok")</f>
        <v>nok</v>
      </c>
      <c r="O192" s="74" t="str">
        <f>IF(AND($B192=[1]marcos!$A189,[1]marcos!$B189=O$4),"ok","nok")</f>
        <v>nok</v>
      </c>
      <c r="P192" s="74" t="str">
        <f>IF(AND($B192=[1]marcos!$A189,[1]marcos!$B189=P$4),"ok","nok")</f>
        <v>nok</v>
      </c>
      <c r="Q192" s="74" t="str">
        <f>IF(AND($B192=[1]marcos!$A189,[1]marcos!$B189=Q$4),"ok","nok")</f>
        <v>nok</v>
      </c>
      <c r="R192" s="74" t="str">
        <f>IF(AND($B192=[1]marcos!$A189,[1]marcos!$B189=R$4),"ok","nok")</f>
        <v>nok</v>
      </c>
      <c r="S192" s="74" t="str">
        <f>IF(AND($B192=[1]marcos!$A189,[1]marcos!$B189=S$4),"ok","nok")</f>
        <v>nok</v>
      </c>
      <c r="T192" s="74" t="str">
        <f>IF(AND($B192=[1]marcos!$A189,[1]marcos!$B189=T$4),"ok","nok")</f>
        <v>nok</v>
      </c>
      <c r="U192" s="74" t="str">
        <f>IF(AND($B192=[1]marcos!$A189,[1]marcos!$B189=U$4),"ok","nok")</f>
        <v>nok</v>
      </c>
      <c r="V192" s="74" t="str">
        <f>IF(AND($B192=[1]marcos!$A189,[1]marcos!$B189=V$4),"ok","nok")</f>
        <v>ok</v>
      </c>
      <c r="W192" s="74" t="str">
        <f>IF(AND($B192=[1]marcos!$A189,[1]marcos!$B189=W$4),"ok","nok")</f>
        <v>nok</v>
      </c>
      <c r="X192" s="74" t="str">
        <f>IF(AND($B192=[1]marcos!$A189,[1]marcos!$B189=X$4),"ok","nok")</f>
        <v>nok</v>
      </c>
      <c r="Y192" s="96" t="s">
        <v>32</v>
      </c>
      <c r="Z192" s="97"/>
      <c r="AA192" s="97"/>
      <c r="AB192" s="98"/>
      <c r="AE192" s="63" t="str">
        <f t="shared" si="40"/>
        <v>Verificação do Relatório</v>
      </c>
      <c r="AF192" s="63"/>
      <c r="AG192" s="63"/>
      <c r="AH192" s="63"/>
      <c r="AI192" s="64">
        <f t="shared" si="41"/>
        <v>0</v>
      </c>
      <c r="AJ192" s="64" t="str">
        <f t="shared" si="42"/>
        <v/>
      </c>
      <c r="AK192" s="64">
        <f t="shared" si="43"/>
        <v>0</v>
      </c>
      <c r="AL192" s="64" t="str">
        <f t="shared" si="44"/>
        <v/>
      </c>
      <c r="AM192" s="64">
        <f t="shared" si="45"/>
        <v>0</v>
      </c>
      <c r="AN192" s="64" t="str">
        <f t="shared" si="46"/>
        <v/>
      </c>
      <c r="AO192" s="64">
        <f t="shared" si="47"/>
        <v>1</v>
      </c>
      <c r="AP192" s="64" t="str">
        <f t="shared" si="48"/>
        <v/>
      </c>
      <c r="AQ192" s="64">
        <f t="shared" si="49"/>
        <v>0</v>
      </c>
      <c r="AR192" s="64" t="str">
        <f t="shared" si="50"/>
        <v/>
      </c>
    </row>
    <row r="193" spans="1:44" ht="30" customHeight="1" x14ac:dyDescent="0.35">
      <c r="A193" s="28"/>
      <c r="B193" s="54" t="s">
        <v>83</v>
      </c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114"/>
      <c r="Z193" s="115"/>
      <c r="AA193" s="115"/>
      <c r="AB193" s="116"/>
      <c r="AE193" s="63" t="str">
        <f t="shared" si="40"/>
        <v/>
      </c>
      <c r="AF193" s="63"/>
      <c r="AG193" s="63"/>
      <c r="AH193" s="63"/>
      <c r="AI193" s="64">
        <f t="shared" si="41"/>
        <v>0</v>
      </c>
      <c r="AJ193" s="64" t="str">
        <f t="shared" si="42"/>
        <v/>
      </c>
      <c r="AK193" s="64">
        <f t="shared" si="43"/>
        <v>0</v>
      </c>
      <c r="AL193" s="64" t="str">
        <f t="shared" si="44"/>
        <v/>
      </c>
      <c r="AM193" s="64">
        <f t="shared" si="45"/>
        <v>0</v>
      </c>
      <c r="AN193" s="64" t="str">
        <f t="shared" si="46"/>
        <v/>
      </c>
      <c r="AO193" s="64">
        <f t="shared" si="47"/>
        <v>0</v>
      </c>
      <c r="AP193" s="64" t="str">
        <f t="shared" si="48"/>
        <v/>
      </c>
      <c r="AQ193" s="64">
        <f t="shared" si="49"/>
        <v>0</v>
      </c>
      <c r="AR193" s="64" t="str">
        <f t="shared" si="50"/>
        <v/>
      </c>
    </row>
    <row r="194" spans="1:44" ht="30" customHeight="1" x14ac:dyDescent="0.35">
      <c r="A194" s="28" t="str">
        <f t="shared" ref="A194:A197" si="59">CONCATENATE($B$80,"
",$B$83,"
",$B$148,"
",$B$191)</f>
        <v>LARGO VANÁDIO MARACÁS
PLANTA QUÍMICA
ÁREA DE PRÉ EVAPORAÇÃO
GERAL - ÁREA DE PRÉ EVAPORAÇÃO</v>
      </c>
      <c r="B194" s="55" t="s">
        <v>75</v>
      </c>
      <c r="C194" s="74" t="str">
        <f>IF(AND($B194=[1]marcos!$A191,[1]marcos!$B191=C$4),"ok","nok")</f>
        <v>nok</v>
      </c>
      <c r="D194" s="74" t="str">
        <f>IF(AND($B194=[1]marcos!$A191,[1]marcos!$B191=D$4),"ok","nok")</f>
        <v>nok</v>
      </c>
      <c r="E194" s="74" t="str">
        <f>IF(AND($B194=[1]marcos!$A191,[1]marcos!$B191=E$4),"ok","nok")</f>
        <v>nok</v>
      </c>
      <c r="F194" s="74" t="str">
        <f>IF(AND($B194=[1]marcos!$A191,[1]marcos!$B191=F$4),"ok","nok")</f>
        <v>nok</v>
      </c>
      <c r="G194" s="74" t="str">
        <f>IF(AND($B194=[1]marcos!$A191,[1]marcos!$B191=G$4),"ok","nok")</f>
        <v>nok</v>
      </c>
      <c r="H194" s="74" t="str">
        <f>IF(AND($B194=[1]marcos!$A191,[1]marcos!$B191=H$4),"ok","nok")</f>
        <v>nok</v>
      </c>
      <c r="I194" s="74" t="str">
        <f>IF(AND($B194=[1]marcos!$A191,[1]marcos!$B191=I$4),"ok","nok")</f>
        <v>nok</v>
      </c>
      <c r="J194" s="74" t="str">
        <f>IF(AND($B194=[1]marcos!$A191,[1]marcos!$B191=J$4),"ok","nok")</f>
        <v>nok</v>
      </c>
      <c r="K194" s="74" t="str">
        <f>IF(AND($B194=[1]marcos!$A191,[1]marcos!$B191=K$4),"ok","nok")</f>
        <v>nok</v>
      </c>
      <c r="L194" s="83"/>
      <c r="M194" s="74" t="str">
        <f>IF(AND($B194=[1]marcos!$A191,[1]marcos!$B191=M$4),"ok","nok")</f>
        <v>nok</v>
      </c>
      <c r="N194" s="74" t="str">
        <f>IF(AND($B194=[1]marcos!$A191,[1]marcos!$B191=N$4),"ok","nok")</f>
        <v>nok</v>
      </c>
      <c r="O194" s="74" t="str">
        <f>IF(AND($B194=[1]marcos!$A191,[1]marcos!$B191=O$4),"ok","nok")</f>
        <v>nok</v>
      </c>
      <c r="P194" s="74" t="str">
        <f>IF(AND($B194=[1]marcos!$A191,[1]marcos!$B191=P$4),"ok","nok")</f>
        <v>nok</v>
      </c>
      <c r="Q194" s="74" t="str">
        <f>IF(AND($B194=[1]marcos!$A191,[1]marcos!$B191=Q$4),"ok","nok")</f>
        <v>nok</v>
      </c>
      <c r="R194" s="74" t="str">
        <f>IF(AND($B194=[1]marcos!$A191,[1]marcos!$B191=R$4),"ok","nok")</f>
        <v>nok</v>
      </c>
      <c r="S194" s="74" t="str">
        <f>IF(AND($B194=[1]marcos!$A191,[1]marcos!$B191=S$4),"ok","nok")</f>
        <v>nok</v>
      </c>
      <c r="T194" s="74" t="str">
        <f>IF(AND($B194=[1]marcos!$A191,[1]marcos!$B191=T$4),"ok","nok")</f>
        <v>nok</v>
      </c>
      <c r="U194" s="74" t="str">
        <f>IF(AND($B194=[1]marcos!$A191,[1]marcos!$B191=U$4),"ok","nok")</f>
        <v>nok</v>
      </c>
      <c r="V194" s="74" t="str">
        <f>IF(AND($B194=[1]marcos!$A191,[1]marcos!$B191=V$4),"ok","nok")</f>
        <v>ok</v>
      </c>
      <c r="W194" s="74" t="str">
        <f>IF(AND($B194=[1]marcos!$A191,[1]marcos!$B191=W$4),"ok","nok")</f>
        <v>nok</v>
      </c>
      <c r="X194" s="74" t="str">
        <f>IF(AND($B194=[1]marcos!$A191,[1]marcos!$B191=X$4),"ok","nok")</f>
        <v>nok</v>
      </c>
      <c r="Y194" s="96" t="s">
        <v>32</v>
      </c>
      <c r="Z194" s="97"/>
      <c r="AA194" s="97"/>
      <c r="AB194" s="98"/>
      <c r="AE194" s="63" t="str">
        <f t="shared" si="40"/>
        <v>MARCO - Emissão Inicial</v>
      </c>
      <c r="AF194" s="63"/>
      <c r="AG194" s="63"/>
      <c r="AH194" s="63"/>
      <c r="AI194" s="64">
        <f t="shared" si="41"/>
        <v>0</v>
      </c>
      <c r="AJ194" s="64" t="str">
        <f t="shared" si="42"/>
        <v/>
      </c>
      <c r="AK194" s="64">
        <f t="shared" si="43"/>
        <v>0</v>
      </c>
      <c r="AL194" s="64" t="str">
        <f t="shared" si="44"/>
        <v/>
      </c>
      <c r="AM194" s="64">
        <f t="shared" si="45"/>
        <v>0</v>
      </c>
      <c r="AN194" s="64" t="str">
        <f t="shared" si="46"/>
        <v/>
      </c>
      <c r="AO194" s="64">
        <f t="shared" si="47"/>
        <v>1</v>
      </c>
      <c r="AP194" s="64" t="str">
        <f t="shared" si="48"/>
        <v/>
      </c>
      <c r="AQ194" s="64">
        <f t="shared" si="49"/>
        <v>0</v>
      </c>
      <c r="AR194" s="64" t="str">
        <f t="shared" si="50"/>
        <v/>
      </c>
    </row>
    <row r="195" spans="1:44" ht="30" customHeight="1" x14ac:dyDescent="0.35">
      <c r="A195" s="28" t="str">
        <f t="shared" si="59"/>
        <v>LARGO VANÁDIO MARACÁS
PLANTA QUÍMICA
ÁREA DE PRÉ EVAPORAÇÃO
GERAL - ÁREA DE PRÉ EVAPORAÇÃO</v>
      </c>
      <c r="B195" s="55" t="s">
        <v>20</v>
      </c>
      <c r="C195" s="74" t="str">
        <f>IF(AND($B195=[1]marcos!$A192,[1]marcos!$B192=C$4),"ok","nok")</f>
        <v>nok</v>
      </c>
      <c r="D195" s="74" t="str">
        <f>IF(AND($B195=[1]marcos!$A192,[1]marcos!$B192=D$4),"ok","nok")</f>
        <v>nok</v>
      </c>
      <c r="E195" s="74" t="str">
        <f>IF(AND($B195=[1]marcos!$A192,[1]marcos!$B192=E$4),"ok","nok")</f>
        <v>nok</v>
      </c>
      <c r="F195" s="74" t="str">
        <f>IF(AND($B195=[1]marcos!$A192,[1]marcos!$B192=F$4),"ok","nok")</f>
        <v>nok</v>
      </c>
      <c r="G195" s="74" t="str">
        <f>IF(AND($B195=[1]marcos!$A192,[1]marcos!$B192=G$4),"ok","nok")</f>
        <v>nok</v>
      </c>
      <c r="H195" s="74" t="str">
        <f>IF(AND($B195=[1]marcos!$A192,[1]marcos!$B192=H$4),"ok","nok")</f>
        <v>nok</v>
      </c>
      <c r="I195" s="74" t="str">
        <f>IF(AND($B195=[1]marcos!$A192,[1]marcos!$B192=I$4),"ok","nok")</f>
        <v>nok</v>
      </c>
      <c r="J195" s="74" t="str">
        <f>IF(AND($B195=[1]marcos!$A192,[1]marcos!$B192=J$4),"ok","nok")</f>
        <v>nok</v>
      </c>
      <c r="K195" s="74" t="str">
        <f>IF(AND($B195=[1]marcos!$A192,[1]marcos!$B192=K$4),"ok","nok")</f>
        <v>nok</v>
      </c>
      <c r="L195" s="74" t="str">
        <f>IF(AND($B195=[1]marcos!$A192,[1]marcos!$B192=L$4),"ok","nok")</f>
        <v>nok</v>
      </c>
      <c r="M195" s="74" t="str">
        <f>IF(AND($B195=[1]marcos!$A192,[1]marcos!$B192=M$4),"ok","nok")</f>
        <v>nok</v>
      </c>
      <c r="N195" s="74" t="str">
        <f>IF(AND($B195=[1]marcos!$A192,[1]marcos!$B192=N$4),"ok","nok")</f>
        <v>nok</v>
      </c>
      <c r="O195" s="74" t="str">
        <f>IF(AND($B195=[1]marcos!$A192,[1]marcos!$B192=O$4),"ok","nok")</f>
        <v>nok</v>
      </c>
      <c r="P195" s="74" t="str">
        <f>IF(AND($B195=[1]marcos!$A192,[1]marcos!$B192=P$4),"ok","nok")</f>
        <v>nok</v>
      </c>
      <c r="Q195" s="83"/>
      <c r="R195" s="74" t="str">
        <f>IF(AND($B195=[1]marcos!$A192,[1]marcos!$B192=R$4),"ok","nok")</f>
        <v>nok</v>
      </c>
      <c r="S195" s="74" t="str">
        <f>IF(AND($B195=[1]marcos!$A192,[1]marcos!$B192=S$4),"ok","nok")</f>
        <v>nok</v>
      </c>
      <c r="T195" s="74" t="str">
        <f>IF(AND($B195=[1]marcos!$A192,[1]marcos!$B192=T$4),"ok","nok")</f>
        <v>nok</v>
      </c>
      <c r="U195" s="74" t="str">
        <f>IF(AND($B195=[1]marcos!$A192,[1]marcos!$B192=U$4),"ok","nok")</f>
        <v>nok</v>
      </c>
      <c r="V195" s="74" t="str">
        <f>IF(AND($B195=[1]marcos!$A192,[1]marcos!$B192=V$4),"ok","nok")</f>
        <v>nok</v>
      </c>
      <c r="W195" s="74" t="str">
        <f>IF(AND($B195=[1]marcos!$A192,[1]marcos!$B192=W$4),"ok","nok")</f>
        <v>ok</v>
      </c>
      <c r="X195" s="74" t="str">
        <f>IF(AND($B195=[1]marcos!$A192,[1]marcos!$B192=X$4),"ok","nok")</f>
        <v>nok</v>
      </c>
      <c r="Y195" s="96" t="s">
        <v>16</v>
      </c>
      <c r="Z195" s="97"/>
      <c r="AA195" s="97"/>
      <c r="AB195" s="98"/>
      <c r="AE195" s="63" t="str">
        <f t="shared" si="40"/>
        <v/>
      </c>
      <c r="AF195" s="63"/>
      <c r="AG195" s="63"/>
      <c r="AH195" s="63"/>
      <c r="AI195" s="64">
        <f t="shared" si="41"/>
        <v>0</v>
      </c>
      <c r="AJ195" s="64" t="str">
        <f t="shared" si="42"/>
        <v/>
      </c>
      <c r="AK195" s="64">
        <f t="shared" si="43"/>
        <v>0</v>
      </c>
      <c r="AL195" s="64" t="str">
        <f t="shared" si="44"/>
        <v/>
      </c>
      <c r="AM195" s="64">
        <f t="shared" si="45"/>
        <v>0</v>
      </c>
      <c r="AN195" s="64" t="str">
        <f t="shared" si="46"/>
        <v/>
      </c>
      <c r="AO195" s="64">
        <f t="shared" si="47"/>
        <v>0</v>
      </c>
      <c r="AP195" s="64" t="str">
        <f t="shared" si="48"/>
        <v/>
      </c>
      <c r="AQ195" s="64">
        <f t="shared" si="49"/>
        <v>1</v>
      </c>
      <c r="AR195" s="64" t="str">
        <f t="shared" si="50"/>
        <v/>
      </c>
    </row>
    <row r="196" spans="1:44" ht="30" customHeight="1" x14ac:dyDescent="0.35">
      <c r="A196" s="28" t="str">
        <f t="shared" si="59"/>
        <v>LARGO VANÁDIO MARACÁS
PLANTA QUÍMICA
ÁREA DE PRÉ EVAPORAÇÃO
GERAL - ÁREA DE PRÉ EVAPORAÇÃO</v>
      </c>
      <c r="B196" s="55" t="s">
        <v>38</v>
      </c>
      <c r="C196" s="74" t="str">
        <f>IF(AND($B196=[1]marcos!$A193,[1]marcos!$B193=C$4),"ok","nok")</f>
        <v>nok</v>
      </c>
      <c r="D196" s="74" t="str">
        <f>IF(AND($B196=[1]marcos!$A193,[1]marcos!$B193=D$4),"ok","nok")</f>
        <v>nok</v>
      </c>
      <c r="E196" s="74" t="str">
        <f>IF(AND($B196=[1]marcos!$A193,[1]marcos!$B193=E$4),"ok","nok")</f>
        <v>nok</v>
      </c>
      <c r="F196" s="74" t="str">
        <f>IF(AND($B196=[1]marcos!$A193,[1]marcos!$B193=F$4),"ok","nok")</f>
        <v>nok</v>
      </c>
      <c r="G196" s="74" t="str">
        <f>IF(AND($B196=[1]marcos!$A193,[1]marcos!$B193=G$4),"ok","nok")</f>
        <v>nok</v>
      </c>
      <c r="H196" s="74" t="str">
        <f>IF(AND($B196=[1]marcos!$A193,[1]marcos!$B193=H$4),"ok","nok")</f>
        <v>nok</v>
      </c>
      <c r="I196" s="74" t="str">
        <f>IF(AND($B196=[1]marcos!$A193,[1]marcos!$B193=I$4),"ok","nok")</f>
        <v>nok</v>
      </c>
      <c r="J196" s="74" t="str">
        <f>IF(AND($B196=[1]marcos!$A193,[1]marcos!$B193=J$4),"ok","nok")</f>
        <v>nok</v>
      </c>
      <c r="K196" s="74" t="str">
        <f>IF(AND($B196=[1]marcos!$A193,[1]marcos!$B193=K$4),"ok","nok")</f>
        <v>nok</v>
      </c>
      <c r="L196" s="74" t="str">
        <f>IF(AND($B196=[1]marcos!$A193,[1]marcos!$B193=L$4),"ok","nok")</f>
        <v>nok</v>
      </c>
      <c r="M196" s="74" t="str">
        <f>IF(AND($B196=[1]marcos!$A193,[1]marcos!$B193=M$4),"ok","nok")</f>
        <v>nok</v>
      </c>
      <c r="N196" s="74" t="str">
        <f>IF(AND($B196=[1]marcos!$A193,[1]marcos!$B193=N$4),"ok","nok")</f>
        <v>nok</v>
      </c>
      <c r="O196" s="74" t="str">
        <f>IF(AND($B196=[1]marcos!$A193,[1]marcos!$B193=O$4),"ok","nok")</f>
        <v>nok</v>
      </c>
      <c r="P196" s="74" t="str">
        <f>IF(AND($B196=[1]marcos!$A193,[1]marcos!$B193=P$4),"ok","nok")</f>
        <v>nok</v>
      </c>
      <c r="Q196" s="74" t="str">
        <f>IF(AND($B196=[1]marcos!$A193,[1]marcos!$B193=Q$4),"ok","nok")</f>
        <v>nok</v>
      </c>
      <c r="R196" s="74" t="str">
        <f>IF(AND($B196=[1]marcos!$A193,[1]marcos!$B193=R$4),"ok","nok")</f>
        <v>nok</v>
      </c>
      <c r="S196" s="74" t="str">
        <f>IF(AND($B196=[1]marcos!$A193,[1]marcos!$B193=S$4),"ok","nok")</f>
        <v>nok</v>
      </c>
      <c r="T196" s="83"/>
      <c r="U196" s="74" t="str">
        <f>IF(AND($B196=[1]marcos!$A193,[1]marcos!$B193=U$4),"ok","nok")</f>
        <v>nok</v>
      </c>
      <c r="V196" s="74" t="str">
        <f>IF(AND($B196=[1]marcos!$A193,[1]marcos!$B193=V$4),"ok","nok")</f>
        <v>nok</v>
      </c>
      <c r="W196" s="74" t="str">
        <f>IF(AND($B196=[1]marcos!$A193,[1]marcos!$B193=W$4),"ok","nok")</f>
        <v>nok</v>
      </c>
      <c r="X196" s="74" t="str">
        <f>IF(AND($B196=[1]marcos!$A193,[1]marcos!$B193=X$4),"ok","nok")</f>
        <v>ok</v>
      </c>
      <c r="Y196" s="96" t="s">
        <v>16</v>
      </c>
      <c r="Z196" s="97"/>
      <c r="AA196" s="97"/>
      <c r="AB196" s="98"/>
      <c r="AE196" s="63" t="str">
        <f t="shared" si="40"/>
        <v/>
      </c>
      <c r="AF196" s="63"/>
      <c r="AG196" s="63"/>
      <c r="AH196" s="63"/>
      <c r="AI196" s="64">
        <f t="shared" si="41"/>
        <v>0</v>
      </c>
      <c r="AJ196" s="64" t="str">
        <f t="shared" si="42"/>
        <v/>
      </c>
      <c r="AK196" s="64">
        <f t="shared" si="43"/>
        <v>0</v>
      </c>
      <c r="AL196" s="64" t="str">
        <f t="shared" si="44"/>
        <v/>
      </c>
      <c r="AM196" s="64">
        <f t="shared" si="45"/>
        <v>0</v>
      </c>
      <c r="AN196" s="64" t="str">
        <f t="shared" si="46"/>
        <v/>
      </c>
      <c r="AO196" s="64">
        <f t="shared" si="47"/>
        <v>0</v>
      </c>
      <c r="AP196" s="64" t="str">
        <f t="shared" si="48"/>
        <v/>
      </c>
      <c r="AQ196" s="64">
        <f t="shared" si="49"/>
        <v>1</v>
      </c>
      <c r="AR196" s="64" t="str">
        <f t="shared" si="50"/>
        <v/>
      </c>
    </row>
    <row r="197" spans="1:44" ht="30" customHeight="1" x14ac:dyDescent="0.35">
      <c r="A197" s="28" t="str">
        <f t="shared" si="59"/>
        <v>LARGO VANÁDIO MARACÁS
PLANTA QUÍMICA
ÁREA DE PRÉ EVAPORAÇÃO
GERAL - ÁREA DE PRÉ EVAPORAÇÃO</v>
      </c>
      <c r="B197" s="55" t="s">
        <v>76</v>
      </c>
      <c r="C197" s="74" t="str">
        <f>IF(AND($B197=[1]marcos!$A194,[1]marcos!$B194=C$4),"ok","nok")</f>
        <v>nok</v>
      </c>
      <c r="D197" s="74" t="str">
        <f>IF(AND($B197=[1]marcos!$A194,[1]marcos!$B194=D$4),"ok","nok")</f>
        <v>nok</v>
      </c>
      <c r="E197" s="74" t="str">
        <f>IF(AND($B197=[1]marcos!$A194,[1]marcos!$B194=E$4),"ok","nok")</f>
        <v>nok</v>
      </c>
      <c r="F197" s="74" t="str">
        <f>IF(AND($B197=[1]marcos!$A194,[1]marcos!$B194=F$4),"ok","nok")</f>
        <v>nok</v>
      </c>
      <c r="G197" s="74" t="str">
        <f>IF(AND($B197=[1]marcos!$A194,[1]marcos!$B194=G$4),"ok","nok")</f>
        <v>nok</v>
      </c>
      <c r="H197" s="74" t="str">
        <f>IF(AND($B197=[1]marcos!$A194,[1]marcos!$B194=H$4),"ok","nok")</f>
        <v>nok</v>
      </c>
      <c r="I197" s="74" t="str">
        <f>IF(AND($B197=[1]marcos!$A194,[1]marcos!$B194=I$4),"ok","nok")</f>
        <v>nok</v>
      </c>
      <c r="J197" s="74" t="str">
        <f>IF(AND($B197=[1]marcos!$A194,[1]marcos!$B194=J$4),"ok","nok")</f>
        <v>nok</v>
      </c>
      <c r="K197" s="74" t="str">
        <f>IF(AND($B197=[1]marcos!$A194,[1]marcos!$B194=K$4),"ok","nok")</f>
        <v>nok</v>
      </c>
      <c r="L197" s="74" t="str">
        <f>IF(AND($B197=[1]marcos!$A194,[1]marcos!$B194=L$4),"ok","nok")</f>
        <v>nok</v>
      </c>
      <c r="M197" s="74" t="str">
        <f>IF(AND($B197=[1]marcos!$A194,[1]marcos!$B194=M$4),"ok","nok")</f>
        <v>nok</v>
      </c>
      <c r="N197" s="74" t="str">
        <f>IF(AND($B197=[1]marcos!$A194,[1]marcos!$B194=N$4),"ok","nok")</f>
        <v>nok</v>
      </c>
      <c r="O197" s="74" t="str">
        <f>IF(AND($B197=[1]marcos!$A194,[1]marcos!$B194=O$4),"ok","nok")</f>
        <v>nok</v>
      </c>
      <c r="P197" s="74" t="str">
        <f>IF(AND($B197=[1]marcos!$A194,[1]marcos!$B194=P$4),"ok","nok")</f>
        <v>nok</v>
      </c>
      <c r="Q197" s="74" t="str">
        <f>IF(AND($B197=[1]marcos!$A194,[1]marcos!$B194=Q$4),"ok","nok")</f>
        <v>nok</v>
      </c>
      <c r="R197" s="74" t="str">
        <f>IF(AND($B197=[1]marcos!$A194,[1]marcos!$B194=R$4),"ok","nok")</f>
        <v>nok</v>
      </c>
      <c r="S197" s="74" t="str">
        <f>IF(AND($B197=[1]marcos!$A194,[1]marcos!$B194=S$4),"ok","nok")</f>
        <v>nok</v>
      </c>
      <c r="T197" s="83"/>
      <c r="U197" s="74" t="str">
        <f>IF(AND($B197=[1]marcos!$A194,[1]marcos!$B194=U$4),"ok","nok")</f>
        <v>nok</v>
      </c>
      <c r="V197" s="74" t="str">
        <f>IF(AND($B197=[1]marcos!$A194,[1]marcos!$B194=V$4),"ok","nok")</f>
        <v>nok</v>
      </c>
      <c r="W197" s="74" t="str">
        <f>IF(AND($B197=[1]marcos!$A194,[1]marcos!$B194=W$4),"ok","nok")</f>
        <v>nok</v>
      </c>
      <c r="X197" s="74" t="str">
        <f>IF(AND($B197=[1]marcos!$A194,[1]marcos!$B194=X$4),"ok","nok")</f>
        <v>ok</v>
      </c>
      <c r="Y197" s="96" t="s">
        <v>16</v>
      </c>
      <c r="Z197" s="97"/>
      <c r="AA197" s="97"/>
      <c r="AB197" s="98"/>
      <c r="AE197" s="63" t="str">
        <f t="shared" si="40"/>
        <v/>
      </c>
      <c r="AF197" s="63"/>
      <c r="AG197" s="63"/>
      <c r="AH197" s="63"/>
      <c r="AI197" s="64">
        <f t="shared" si="41"/>
        <v>0</v>
      </c>
      <c r="AJ197" s="64" t="str">
        <f t="shared" si="42"/>
        <v/>
      </c>
      <c r="AK197" s="64">
        <f t="shared" si="43"/>
        <v>0</v>
      </c>
      <c r="AL197" s="64" t="str">
        <f t="shared" si="44"/>
        <v/>
      </c>
      <c r="AM197" s="64">
        <f t="shared" si="45"/>
        <v>0</v>
      </c>
      <c r="AN197" s="64" t="str">
        <f t="shared" si="46"/>
        <v/>
      </c>
      <c r="AO197" s="64">
        <f t="shared" si="47"/>
        <v>0</v>
      </c>
      <c r="AP197" s="64" t="str">
        <f t="shared" si="48"/>
        <v/>
      </c>
      <c r="AQ197" s="64">
        <f t="shared" si="49"/>
        <v>1</v>
      </c>
      <c r="AR197" s="64" t="str">
        <f t="shared" si="50"/>
        <v/>
      </c>
    </row>
    <row r="198" spans="1:44" ht="30" customHeight="1" x14ac:dyDescent="0.35">
      <c r="B198" s="85" t="s">
        <v>89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93"/>
      <c r="Z198" s="94"/>
      <c r="AA198" s="94"/>
      <c r="AB198" s="95"/>
      <c r="AE198" s="63" t="str">
        <f t="shared" ref="AE198:AE216" si="60">IF(Y198="ATRASADO",B198,"")</f>
        <v/>
      </c>
      <c r="AF198" s="63"/>
      <c r="AG198" s="63"/>
      <c r="AH198" s="63"/>
      <c r="AI198" s="64">
        <f t="shared" ref="AI198:AI216" si="61">COUNTIF(C198:G198,"ok")</f>
        <v>0</v>
      </c>
      <c r="AJ198" s="64" t="str">
        <f t="shared" ref="AJ198:AJ216" si="62">IF(AND(AI198=1,OR($Y198="entregue",$Y198="efprazo")),$Y198,"")</f>
        <v/>
      </c>
      <c r="AK198" s="64">
        <f t="shared" ref="AK198:AK216" si="63">COUNTIF(H198:L198,"ok")</f>
        <v>0</v>
      </c>
      <c r="AL198" s="64" t="str">
        <f t="shared" ref="AL198:AL216" si="64">IF(AND(AK198=1,OR(Y198="entregue",Y198="efprazo")),Y198,"")</f>
        <v/>
      </c>
      <c r="AM198" s="64">
        <f t="shared" ref="AM198:AM216" si="65">COUNTIF(M198:Q198,"ok")</f>
        <v>0</v>
      </c>
      <c r="AN198" s="64" t="str">
        <f t="shared" ref="AN198:AN216" si="66">IF(AND(AM198=1,OR($Y198="entregue",$Y198="efprazo")),$Y198,"")</f>
        <v/>
      </c>
      <c r="AO198" s="64">
        <f t="shared" ref="AO198:AO216" si="67">COUNTIF(R198:V198,"ok")</f>
        <v>0</v>
      </c>
      <c r="AP198" s="64" t="str">
        <f t="shared" ref="AP198:AP216" si="68">IF(AND(AO198=1,OR($Y198="entregue",$Y198="efprazo")),$Y198,"")</f>
        <v/>
      </c>
      <c r="AQ198" s="64">
        <f t="shared" ref="AQ198:AQ216" si="69">COUNTIF(W198:X198,"ok")</f>
        <v>0</v>
      </c>
      <c r="AR198" s="64" t="str">
        <f t="shared" ref="AR198:AR216" si="70">IF(AND(AQ198=1,OR($Y198="entregue",$Y198="efprazo")),$Y198,"")</f>
        <v/>
      </c>
    </row>
    <row r="199" spans="1:44" ht="30" customHeight="1" x14ac:dyDescent="0.35">
      <c r="B199" s="52" t="s">
        <v>90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102"/>
      <c r="Z199" s="103"/>
      <c r="AA199" s="103"/>
      <c r="AB199" s="104"/>
      <c r="AE199" s="63" t="str">
        <f t="shared" si="60"/>
        <v/>
      </c>
      <c r="AF199" s="63"/>
      <c r="AG199" s="63"/>
      <c r="AH199" s="63"/>
      <c r="AI199" s="64">
        <f t="shared" si="61"/>
        <v>0</v>
      </c>
      <c r="AJ199" s="64" t="str">
        <f t="shared" si="62"/>
        <v/>
      </c>
      <c r="AK199" s="64">
        <f t="shared" si="63"/>
        <v>0</v>
      </c>
      <c r="AL199" s="64" t="str">
        <f t="shared" si="64"/>
        <v/>
      </c>
      <c r="AM199" s="64">
        <f t="shared" si="65"/>
        <v>0</v>
      </c>
      <c r="AN199" s="64" t="str">
        <f t="shared" si="66"/>
        <v/>
      </c>
      <c r="AO199" s="64">
        <f t="shared" si="67"/>
        <v>0</v>
      </c>
      <c r="AP199" s="64" t="str">
        <f t="shared" si="68"/>
        <v/>
      </c>
      <c r="AQ199" s="64">
        <f t="shared" si="69"/>
        <v>0</v>
      </c>
      <c r="AR199" s="64" t="str">
        <f t="shared" si="70"/>
        <v/>
      </c>
    </row>
    <row r="200" spans="1:44" ht="30" customHeight="1" x14ac:dyDescent="0.35">
      <c r="B200" s="53" t="s">
        <v>91</v>
      </c>
      <c r="C200" s="74" t="str">
        <f>IF(AND($B200=[1]marcos!$A197,[1]marcos!$B197=C$4),"ok","nok")</f>
        <v>nok</v>
      </c>
      <c r="D200" s="74" t="str">
        <f>IF(AND($B200=[1]marcos!$A197,[1]marcos!$B197=D$4),"ok","nok")</f>
        <v>nok</v>
      </c>
      <c r="E200" s="74" t="str">
        <f>IF(AND($B200=[1]marcos!$A197,[1]marcos!$B197=E$4),"ok","nok")</f>
        <v>nok</v>
      </c>
      <c r="F200" s="74" t="str">
        <f>IF(AND($B200=[1]marcos!$A197,[1]marcos!$B197=F$4),"ok","nok")</f>
        <v>nok</v>
      </c>
      <c r="G200" s="74" t="str">
        <f>IF(AND($B200=[1]marcos!$A197,[1]marcos!$B197=G$4),"ok","nok")</f>
        <v>nok</v>
      </c>
      <c r="H200" s="74" t="str">
        <f>IF(AND($B200=[1]marcos!$A197,[1]marcos!$B197=H$4),"ok","nok")</f>
        <v>nok</v>
      </c>
      <c r="I200" s="74" t="str">
        <f>IF(AND($B200=[1]marcos!$A197,[1]marcos!$B197=I$4),"ok","nok")</f>
        <v>nok</v>
      </c>
      <c r="J200" s="74" t="str">
        <f>IF(AND($B200=[1]marcos!$A197,[1]marcos!$B197=J$4),"ok","nok")</f>
        <v>nok</v>
      </c>
      <c r="K200" s="74" t="str">
        <f>IF(AND($B200=[1]marcos!$A197,[1]marcos!$B197=K$4),"ok","nok")</f>
        <v>nok</v>
      </c>
      <c r="L200" s="74" t="str">
        <f>IF(AND($B200=[1]marcos!$A197,[1]marcos!$B197=L$4),"ok","nok")</f>
        <v>nok</v>
      </c>
      <c r="M200" s="74" t="str">
        <f>IF(AND($B200=[1]marcos!$A197,[1]marcos!$B197=M$4),"ok","nok")</f>
        <v>nok</v>
      </c>
      <c r="N200" s="74" t="str">
        <f>IF(AND($B200=[1]marcos!$A197,[1]marcos!$B197=N$4),"ok","nok")</f>
        <v>nok</v>
      </c>
      <c r="O200" s="74" t="str">
        <f>IF(AND($B200=[1]marcos!$A197,[1]marcos!$B197=O$4),"ok","nok")</f>
        <v>nok</v>
      </c>
      <c r="P200" s="74" t="str">
        <f>IF(AND($B200=[1]marcos!$A197,[1]marcos!$B197=P$4),"ok","nok")</f>
        <v>nok</v>
      </c>
      <c r="Q200" s="74" t="str">
        <f>IF(AND($B200=[1]marcos!$A197,[1]marcos!$B197=Q$4),"ok","nok")</f>
        <v>nok</v>
      </c>
      <c r="R200" s="74" t="str">
        <f>IF(AND($B200=[1]marcos!$A197,[1]marcos!$B197=R$4),"ok","nok")</f>
        <v>nok</v>
      </c>
      <c r="S200" s="74" t="str">
        <f>IF(AND($B200=[1]marcos!$A197,[1]marcos!$B197=S$4),"ok","nok")</f>
        <v>nok</v>
      </c>
      <c r="T200" s="74" t="str">
        <f>IF(AND($B200=[1]marcos!$A197,[1]marcos!$B197=T$4),"ok","nok")</f>
        <v>nok</v>
      </c>
      <c r="U200" s="74" t="str">
        <f>IF(AND($B200=[1]marcos!$A197,[1]marcos!$B197=U$4),"ok","nok")</f>
        <v>nok</v>
      </c>
      <c r="V200" s="74" t="str">
        <f>IF(AND($B200=[1]marcos!$A197,[1]marcos!$B197=V$4),"ok","nok")</f>
        <v>nok</v>
      </c>
      <c r="W200" s="74" t="str">
        <f>IF(AND($B200=[1]marcos!$A197,[1]marcos!$B197=W$4),"ok","nok")</f>
        <v>ok</v>
      </c>
      <c r="X200" s="74" t="str">
        <f>IF(AND($B200=[1]marcos!$A197,[1]marcos!$B197=X$4),"ok","nok")</f>
        <v>nok</v>
      </c>
      <c r="Y200" s="96" t="s">
        <v>16</v>
      </c>
      <c r="Z200" s="97"/>
      <c r="AA200" s="97"/>
      <c r="AB200" s="98"/>
      <c r="AE200" s="63" t="str">
        <f t="shared" si="60"/>
        <v/>
      </c>
      <c r="AF200" s="63"/>
      <c r="AG200" s="63"/>
      <c r="AH200" s="63"/>
      <c r="AI200" s="64">
        <f t="shared" si="61"/>
        <v>0</v>
      </c>
      <c r="AJ200" s="64" t="str">
        <f t="shared" si="62"/>
        <v/>
      </c>
      <c r="AK200" s="64">
        <f t="shared" si="63"/>
        <v>0</v>
      </c>
      <c r="AL200" s="64" t="str">
        <f t="shared" si="64"/>
        <v/>
      </c>
      <c r="AM200" s="64">
        <f t="shared" si="65"/>
        <v>0</v>
      </c>
      <c r="AN200" s="64" t="str">
        <f t="shared" si="66"/>
        <v/>
      </c>
      <c r="AO200" s="64">
        <f t="shared" si="67"/>
        <v>0</v>
      </c>
      <c r="AP200" s="64" t="str">
        <f t="shared" si="68"/>
        <v/>
      </c>
      <c r="AQ200" s="64">
        <f t="shared" si="69"/>
        <v>1</v>
      </c>
      <c r="AR200" s="64" t="str">
        <f t="shared" si="70"/>
        <v/>
      </c>
    </row>
    <row r="201" spans="1:44" ht="30" customHeight="1" x14ac:dyDescent="0.35">
      <c r="B201" s="52" t="s">
        <v>35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102"/>
      <c r="Z201" s="103"/>
      <c r="AA201" s="103"/>
      <c r="AB201" s="104"/>
      <c r="AE201" s="63" t="str">
        <f t="shared" si="60"/>
        <v/>
      </c>
      <c r="AF201" s="63"/>
      <c r="AG201" s="63"/>
      <c r="AH201" s="63"/>
      <c r="AI201" s="64">
        <f t="shared" si="61"/>
        <v>0</v>
      </c>
      <c r="AJ201" s="64" t="str">
        <f t="shared" si="62"/>
        <v/>
      </c>
      <c r="AK201" s="64">
        <f t="shared" si="63"/>
        <v>0</v>
      </c>
      <c r="AL201" s="64" t="str">
        <f t="shared" si="64"/>
        <v/>
      </c>
      <c r="AM201" s="64">
        <f t="shared" si="65"/>
        <v>0</v>
      </c>
      <c r="AN201" s="64" t="str">
        <f t="shared" si="66"/>
        <v/>
      </c>
      <c r="AO201" s="64">
        <f t="shared" si="67"/>
        <v>0</v>
      </c>
      <c r="AP201" s="64" t="str">
        <f t="shared" si="68"/>
        <v/>
      </c>
      <c r="AQ201" s="64">
        <f t="shared" si="69"/>
        <v>0</v>
      </c>
      <c r="AR201" s="64" t="str">
        <f t="shared" si="70"/>
        <v/>
      </c>
    </row>
    <row r="202" spans="1:44" ht="30" customHeight="1" x14ac:dyDescent="0.35">
      <c r="B202" s="56" t="s">
        <v>92</v>
      </c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105"/>
      <c r="Z202" s="106"/>
      <c r="AA202" s="106"/>
      <c r="AB202" s="107"/>
      <c r="AE202" s="63" t="str">
        <f t="shared" si="60"/>
        <v/>
      </c>
      <c r="AF202" s="63"/>
      <c r="AG202" s="63"/>
      <c r="AH202" s="63"/>
      <c r="AI202" s="64">
        <f t="shared" si="61"/>
        <v>0</v>
      </c>
      <c r="AJ202" s="64" t="str">
        <f t="shared" si="62"/>
        <v/>
      </c>
      <c r="AK202" s="64">
        <f t="shared" si="63"/>
        <v>0</v>
      </c>
      <c r="AL202" s="64" t="str">
        <f t="shared" si="64"/>
        <v/>
      </c>
      <c r="AM202" s="64">
        <f t="shared" si="65"/>
        <v>0</v>
      </c>
      <c r="AN202" s="64" t="str">
        <f t="shared" si="66"/>
        <v/>
      </c>
      <c r="AO202" s="64">
        <f t="shared" si="67"/>
        <v>0</v>
      </c>
      <c r="AP202" s="64" t="str">
        <f t="shared" si="68"/>
        <v/>
      </c>
      <c r="AQ202" s="64">
        <f t="shared" si="69"/>
        <v>0</v>
      </c>
      <c r="AR202" s="64" t="str">
        <f t="shared" si="70"/>
        <v/>
      </c>
    </row>
    <row r="203" spans="1:44" ht="30" customHeight="1" x14ac:dyDescent="0.35">
      <c r="B203" s="57" t="s">
        <v>93</v>
      </c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108"/>
      <c r="Z203" s="109"/>
      <c r="AA203" s="109"/>
      <c r="AB203" s="110"/>
      <c r="AE203" s="63" t="str">
        <f t="shared" si="60"/>
        <v/>
      </c>
      <c r="AF203" s="63"/>
      <c r="AG203" s="63"/>
      <c r="AH203" s="63"/>
      <c r="AI203" s="64">
        <f t="shared" si="61"/>
        <v>0</v>
      </c>
      <c r="AJ203" s="64" t="str">
        <f t="shared" si="62"/>
        <v/>
      </c>
      <c r="AK203" s="64">
        <f t="shared" si="63"/>
        <v>0</v>
      </c>
      <c r="AL203" s="64" t="str">
        <f t="shared" si="64"/>
        <v/>
      </c>
      <c r="AM203" s="64">
        <f t="shared" si="65"/>
        <v>0</v>
      </c>
      <c r="AN203" s="64" t="str">
        <f t="shared" si="66"/>
        <v/>
      </c>
      <c r="AO203" s="64">
        <f t="shared" si="67"/>
        <v>0</v>
      </c>
      <c r="AP203" s="64" t="str">
        <f t="shared" si="68"/>
        <v/>
      </c>
      <c r="AQ203" s="64">
        <f t="shared" si="69"/>
        <v>0</v>
      </c>
      <c r="AR203" s="64" t="str">
        <f t="shared" si="70"/>
        <v/>
      </c>
    </row>
    <row r="204" spans="1:44" ht="30" customHeight="1" x14ac:dyDescent="0.35">
      <c r="B204" s="53" t="s">
        <v>94</v>
      </c>
      <c r="C204" s="74" t="str">
        <f>IF(AND($B204=[1]marcos!$A201,[1]marcos!$B201=C$4),"ok","nok")</f>
        <v>nok</v>
      </c>
      <c r="D204" s="74" t="str">
        <f>IF(AND($B204=[1]marcos!$A201,[1]marcos!$B201=D$4),"ok","nok")</f>
        <v>nok</v>
      </c>
      <c r="E204" s="74" t="str">
        <f>IF(AND($B204=[1]marcos!$A201,[1]marcos!$B201=E$4),"ok","nok")</f>
        <v>nok</v>
      </c>
      <c r="F204" s="74" t="str">
        <f>IF(AND($B204=[1]marcos!$A201,[1]marcos!$B201=F$4),"ok","nok")</f>
        <v>nok</v>
      </c>
      <c r="G204" s="74" t="str">
        <f>IF(AND($B204=[1]marcos!$A201,[1]marcos!$B201=G$4),"ok","nok")</f>
        <v>nok</v>
      </c>
      <c r="H204" s="74" t="str">
        <f>IF(AND($B204=[1]marcos!$A201,[1]marcos!$B201=H$4),"ok","nok")</f>
        <v>nok</v>
      </c>
      <c r="I204" s="74" t="str">
        <f>IF(AND($B204=[1]marcos!$A201,[1]marcos!$B201=I$4),"ok","nok")</f>
        <v>nok</v>
      </c>
      <c r="J204" s="74" t="str">
        <f>IF(AND($B204=[1]marcos!$A201,[1]marcos!$B201=J$4),"ok","nok")</f>
        <v>nok</v>
      </c>
      <c r="K204" s="74" t="str">
        <f>IF(AND($B204=[1]marcos!$A201,[1]marcos!$B201=K$4),"ok","nok")</f>
        <v>nok</v>
      </c>
      <c r="L204" s="74" t="str">
        <f>IF(AND($B204=[1]marcos!$A201,[1]marcos!$B201=L$4),"ok","nok")</f>
        <v>nok</v>
      </c>
      <c r="M204" s="74" t="str">
        <f>IF(AND($B204=[1]marcos!$A201,[1]marcos!$B201=M$4),"ok","nok")</f>
        <v>nok</v>
      </c>
      <c r="N204" s="74" t="str">
        <f>IF(AND($B204=[1]marcos!$A201,[1]marcos!$B201=N$4),"ok","nok")</f>
        <v>nok</v>
      </c>
      <c r="O204" s="74" t="str">
        <f>IF(AND($B204=[1]marcos!$A201,[1]marcos!$B201=O$4),"ok","nok")</f>
        <v>nok</v>
      </c>
      <c r="P204" s="74" t="str">
        <f>IF(AND($B204=[1]marcos!$A201,[1]marcos!$B201=P$4),"ok","nok")</f>
        <v>nok</v>
      </c>
      <c r="Q204" s="74" t="str">
        <f>IF(AND($B204=[1]marcos!$A201,[1]marcos!$B201=Q$4),"ok","nok")</f>
        <v>nok</v>
      </c>
      <c r="R204" s="74" t="str">
        <f>IF(AND($B204=[1]marcos!$A201,[1]marcos!$B201=R$4),"ok","nok")</f>
        <v>nok</v>
      </c>
      <c r="S204" s="74" t="str">
        <f>IF(AND($B204=[1]marcos!$A201,[1]marcos!$B201=S$4),"ok","nok")</f>
        <v>nok</v>
      </c>
      <c r="T204" s="74" t="str">
        <f>IF(AND($B204=[1]marcos!$A201,[1]marcos!$B201=T$4),"ok","nok")</f>
        <v>nok</v>
      </c>
      <c r="U204" s="74" t="str">
        <f>IF(AND($B204=[1]marcos!$A201,[1]marcos!$B201=U$4),"ok","nok")</f>
        <v>nok</v>
      </c>
      <c r="V204" s="74" t="str">
        <f>IF(AND($B204=[1]marcos!$A201,[1]marcos!$B201=V$4),"ok","nok")</f>
        <v>nok</v>
      </c>
      <c r="W204" s="74" t="str">
        <f>IF(AND($B204=[1]marcos!$A201,[1]marcos!$B201=W$4),"ok","nok")</f>
        <v>nok</v>
      </c>
      <c r="X204" s="74" t="str">
        <f>IF(AND($B204=[1]marcos!$A201,[1]marcos!$B201=X$4),"ok","nok")</f>
        <v>ok</v>
      </c>
      <c r="Y204" s="96" t="s">
        <v>16</v>
      </c>
      <c r="Z204" s="97"/>
      <c r="AA204" s="97"/>
      <c r="AB204" s="98"/>
      <c r="AE204" s="63" t="str">
        <f t="shared" si="60"/>
        <v/>
      </c>
      <c r="AF204" s="63"/>
      <c r="AG204" s="63"/>
      <c r="AH204" s="63"/>
      <c r="AI204" s="64">
        <f t="shared" si="61"/>
        <v>0</v>
      </c>
      <c r="AJ204" s="64" t="str">
        <f t="shared" si="62"/>
        <v/>
      </c>
      <c r="AK204" s="64">
        <f t="shared" si="63"/>
        <v>0</v>
      </c>
      <c r="AL204" s="64" t="str">
        <f t="shared" si="64"/>
        <v/>
      </c>
      <c r="AM204" s="64">
        <f t="shared" si="65"/>
        <v>0</v>
      </c>
      <c r="AN204" s="64" t="str">
        <f t="shared" si="66"/>
        <v/>
      </c>
      <c r="AO204" s="64">
        <f t="shared" si="67"/>
        <v>0</v>
      </c>
      <c r="AP204" s="64" t="str">
        <f t="shared" si="68"/>
        <v/>
      </c>
      <c r="AQ204" s="64">
        <f t="shared" si="69"/>
        <v>1</v>
      </c>
      <c r="AR204" s="64" t="str">
        <f t="shared" si="70"/>
        <v/>
      </c>
    </row>
    <row r="205" spans="1:44" ht="30" customHeight="1" x14ac:dyDescent="0.35">
      <c r="B205" s="56" t="s">
        <v>95</v>
      </c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105"/>
      <c r="Z205" s="106"/>
      <c r="AA205" s="106"/>
      <c r="AB205" s="107"/>
      <c r="AE205" s="63" t="str">
        <f t="shared" si="60"/>
        <v/>
      </c>
      <c r="AF205" s="63"/>
      <c r="AG205" s="63"/>
      <c r="AH205" s="63"/>
      <c r="AI205" s="64">
        <f t="shared" si="61"/>
        <v>0</v>
      </c>
      <c r="AJ205" s="64" t="str">
        <f t="shared" si="62"/>
        <v/>
      </c>
      <c r="AK205" s="64">
        <f t="shared" si="63"/>
        <v>0</v>
      </c>
      <c r="AL205" s="64" t="str">
        <f t="shared" si="64"/>
        <v/>
      </c>
      <c r="AM205" s="64">
        <f t="shared" si="65"/>
        <v>0</v>
      </c>
      <c r="AN205" s="64" t="str">
        <f t="shared" si="66"/>
        <v/>
      </c>
      <c r="AO205" s="64">
        <f t="shared" si="67"/>
        <v>0</v>
      </c>
      <c r="AP205" s="64" t="str">
        <f t="shared" si="68"/>
        <v/>
      </c>
      <c r="AQ205" s="64">
        <f t="shared" si="69"/>
        <v>0</v>
      </c>
      <c r="AR205" s="64" t="str">
        <f t="shared" si="70"/>
        <v/>
      </c>
    </row>
    <row r="206" spans="1:44" ht="30" customHeight="1" x14ac:dyDescent="0.35">
      <c r="B206" s="57" t="s">
        <v>93</v>
      </c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108"/>
      <c r="Z206" s="109"/>
      <c r="AA206" s="109"/>
      <c r="AB206" s="110"/>
      <c r="AE206" s="63" t="str">
        <f t="shared" si="60"/>
        <v/>
      </c>
      <c r="AF206" s="63"/>
      <c r="AG206" s="63"/>
      <c r="AH206" s="63"/>
      <c r="AI206" s="64">
        <f t="shared" si="61"/>
        <v>0</v>
      </c>
      <c r="AJ206" s="64" t="str">
        <f t="shared" si="62"/>
        <v/>
      </c>
      <c r="AK206" s="64">
        <f t="shared" si="63"/>
        <v>0</v>
      </c>
      <c r="AL206" s="64" t="str">
        <f t="shared" si="64"/>
        <v/>
      </c>
      <c r="AM206" s="64">
        <f t="shared" si="65"/>
        <v>0</v>
      </c>
      <c r="AN206" s="64" t="str">
        <f t="shared" si="66"/>
        <v/>
      </c>
      <c r="AO206" s="64">
        <f t="shared" si="67"/>
        <v>0</v>
      </c>
      <c r="AP206" s="64" t="str">
        <f t="shared" si="68"/>
        <v/>
      </c>
      <c r="AQ206" s="64">
        <f t="shared" si="69"/>
        <v>0</v>
      </c>
      <c r="AR206" s="64" t="str">
        <f t="shared" si="70"/>
        <v/>
      </c>
    </row>
    <row r="207" spans="1:44" ht="30" customHeight="1" x14ac:dyDescent="0.35">
      <c r="B207" s="53" t="s">
        <v>94</v>
      </c>
      <c r="C207" s="74" t="str">
        <f>IF(AND($B207=[1]marcos!$A204,[1]marcos!$B204=C$4),"ok","nok")</f>
        <v>nok</v>
      </c>
      <c r="D207" s="74" t="str">
        <f>IF(AND($B207=[1]marcos!$A204,[1]marcos!$B204=D$4),"ok","nok")</f>
        <v>nok</v>
      </c>
      <c r="E207" s="74" t="str">
        <f>IF(AND($B207=[1]marcos!$A204,[1]marcos!$B204=E$4),"ok","nok")</f>
        <v>nok</v>
      </c>
      <c r="F207" s="74" t="str">
        <f>IF(AND($B207=[1]marcos!$A204,[1]marcos!$B204=F$4),"ok","nok")</f>
        <v>nok</v>
      </c>
      <c r="G207" s="74" t="str">
        <f>IF(AND($B207=[1]marcos!$A204,[1]marcos!$B204=G$4),"ok","nok")</f>
        <v>nok</v>
      </c>
      <c r="H207" s="74" t="str">
        <f>IF(AND($B207=[1]marcos!$A204,[1]marcos!$B204=H$4),"ok","nok")</f>
        <v>nok</v>
      </c>
      <c r="I207" s="74" t="str">
        <f>IF(AND($B207=[1]marcos!$A204,[1]marcos!$B204=I$4),"ok","nok")</f>
        <v>nok</v>
      </c>
      <c r="J207" s="74" t="str">
        <f>IF(AND($B207=[1]marcos!$A204,[1]marcos!$B204=J$4),"ok","nok")</f>
        <v>nok</v>
      </c>
      <c r="K207" s="74" t="str">
        <f>IF(AND($B207=[1]marcos!$A204,[1]marcos!$B204=K$4),"ok","nok")</f>
        <v>nok</v>
      </c>
      <c r="L207" s="74" t="str">
        <f>IF(AND($B207=[1]marcos!$A204,[1]marcos!$B204=L$4),"ok","nok")</f>
        <v>nok</v>
      </c>
      <c r="M207" s="74" t="str">
        <f>IF(AND($B207=[1]marcos!$A204,[1]marcos!$B204=M$4),"ok","nok")</f>
        <v>nok</v>
      </c>
      <c r="N207" s="74" t="str">
        <f>IF(AND($B207=[1]marcos!$A204,[1]marcos!$B204=N$4),"ok","nok")</f>
        <v>nok</v>
      </c>
      <c r="O207" s="74" t="str">
        <f>IF(AND($B207=[1]marcos!$A204,[1]marcos!$B204=O$4),"ok","nok")</f>
        <v>nok</v>
      </c>
      <c r="P207" s="74" t="str">
        <f>IF(AND($B207=[1]marcos!$A204,[1]marcos!$B204=P$4),"ok","nok")</f>
        <v>nok</v>
      </c>
      <c r="Q207" s="74" t="str">
        <f>IF(AND($B207=[1]marcos!$A204,[1]marcos!$B204=Q$4),"ok","nok")</f>
        <v>nok</v>
      </c>
      <c r="R207" s="74" t="str">
        <f>IF(AND($B207=[1]marcos!$A204,[1]marcos!$B204=R$4),"ok","nok")</f>
        <v>nok</v>
      </c>
      <c r="S207" s="74" t="str">
        <f>IF(AND($B207=[1]marcos!$A204,[1]marcos!$B204=S$4),"ok","nok")</f>
        <v>nok</v>
      </c>
      <c r="T207" s="74" t="str">
        <f>IF(AND($B207=[1]marcos!$A204,[1]marcos!$B204=T$4),"ok","nok")</f>
        <v>nok</v>
      </c>
      <c r="U207" s="74" t="str">
        <f>IF(AND($B207=[1]marcos!$A204,[1]marcos!$B204=U$4),"ok","nok")</f>
        <v>nok</v>
      </c>
      <c r="V207" s="74" t="str">
        <f>IF(AND($B207=[1]marcos!$A204,[1]marcos!$B204=V$4),"ok","nok")</f>
        <v>nok</v>
      </c>
      <c r="W207" s="74" t="str">
        <f>IF(AND($B207=[1]marcos!$A204,[1]marcos!$B204=W$4),"ok","nok")</f>
        <v>ok</v>
      </c>
      <c r="X207" s="74" t="str">
        <f>IF(AND($B207=[1]marcos!$A204,[1]marcos!$B204=X$4),"ok","nok")</f>
        <v>nok</v>
      </c>
      <c r="Y207" s="96" t="s">
        <v>16</v>
      </c>
      <c r="Z207" s="97"/>
      <c r="AA207" s="97"/>
      <c r="AB207" s="98"/>
      <c r="AE207" s="63" t="str">
        <f t="shared" si="60"/>
        <v/>
      </c>
      <c r="AF207" s="63"/>
      <c r="AG207" s="63"/>
      <c r="AH207" s="63"/>
      <c r="AI207" s="64">
        <f t="shared" si="61"/>
        <v>0</v>
      </c>
      <c r="AJ207" s="64" t="str">
        <f t="shared" si="62"/>
        <v/>
      </c>
      <c r="AK207" s="64">
        <f t="shared" si="63"/>
        <v>0</v>
      </c>
      <c r="AL207" s="64" t="str">
        <f t="shared" si="64"/>
        <v/>
      </c>
      <c r="AM207" s="64">
        <f t="shared" si="65"/>
        <v>0</v>
      </c>
      <c r="AN207" s="64" t="str">
        <f t="shared" si="66"/>
        <v/>
      </c>
      <c r="AO207" s="64">
        <f t="shared" si="67"/>
        <v>0</v>
      </c>
      <c r="AP207" s="64" t="str">
        <f t="shared" si="68"/>
        <v/>
      </c>
      <c r="AQ207" s="64">
        <f t="shared" si="69"/>
        <v>1</v>
      </c>
      <c r="AR207" s="64" t="str">
        <f t="shared" si="70"/>
        <v/>
      </c>
    </row>
    <row r="208" spans="1:44" ht="30" customHeight="1" x14ac:dyDescent="0.35">
      <c r="B208" s="53" t="s">
        <v>96</v>
      </c>
      <c r="C208" s="74" t="str">
        <f>IF(AND($B208=[1]marcos!$A205,[1]marcos!$B205=C$4),"ok","nok")</f>
        <v>nok</v>
      </c>
      <c r="D208" s="74" t="str">
        <f>IF(AND($B208=[1]marcos!$A205,[1]marcos!$B205=D$4),"ok","nok")</f>
        <v>nok</v>
      </c>
      <c r="E208" s="74" t="str">
        <f>IF(AND($B208=[1]marcos!$A205,[1]marcos!$B205=E$4),"ok","nok")</f>
        <v>nok</v>
      </c>
      <c r="F208" s="74" t="str">
        <f>IF(AND($B208=[1]marcos!$A205,[1]marcos!$B205=F$4),"ok","nok")</f>
        <v>nok</v>
      </c>
      <c r="G208" s="74" t="str">
        <f>IF(AND($B208=[1]marcos!$A205,[1]marcos!$B205=G$4),"ok","nok")</f>
        <v>nok</v>
      </c>
      <c r="H208" s="74" t="str">
        <f>IF(AND($B208=[1]marcos!$A205,[1]marcos!$B205=H$4),"ok","nok")</f>
        <v>nok</v>
      </c>
      <c r="I208" s="74" t="str">
        <f>IF(AND($B208=[1]marcos!$A205,[1]marcos!$B205=I$4),"ok","nok")</f>
        <v>nok</v>
      </c>
      <c r="J208" s="74" t="str">
        <f>IF(AND($B208=[1]marcos!$A205,[1]marcos!$B205=J$4),"ok","nok")</f>
        <v>nok</v>
      </c>
      <c r="K208" s="74" t="str">
        <f>IF(AND($B208=[1]marcos!$A205,[1]marcos!$B205=K$4),"ok","nok")</f>
        <v>nok</v>
      </c>
      <c r="L208" s="74" t="str">
        <f>IF(AND($B208=[1]marcos!$A205,[1]marcos!$B205=L$4),"ok","nok")</f>
        <v>nok</v>
      </c>
      <c r="M208" s="74" t="str">
        <f>IF(AND($B208=[1]marcos!$A205,[1]marcos!$B205=M$4),"ok","nok")</f>
        <v>nok</v>
      </c>
      <c r="N208" s="74" t="str">
        <f>IF(AND($B208=[1]marcos!$A205,[1]marcos!$B205=N$4),"ok","nok")</f>
        <v>nok</v>
      </c>
      <c r="O208" s="74" t="str">
        <f>IF(AND($B208=[1]marcos!$A205,[1]marcos!$B205=O$4),"ok","nok")</f>
        <v>nok</v>
      </c>
      <c r="P208" s="74" t="str">
        <f>IF(AND($B208=[1]marcos!$A205,[1]marcos!$B205=P$4),"ok","nok")</f>
        <v>nok</v>
      </c>
      <c r="Q208" s="74" t="str">
        <f>IF(AND($B208=[1]marcos!$A205,[1]marcos!$B205=Q$4),"ok","nok")</f>
        <v>nok</v>
      </c>
      <c r="R208" s="74" t="str">
        <f>IF(AND($B208=[1]marcos!$A205,[1]marcos!$B205=R$4),"ok","nok")</f>
        <v>nok</v>
      </c>
      <c r="S208" s="74" t="str">
        <f>IF(AND($B208=[1]marcos!$A205,[1]marcos!$B205=S$4),"ok","nok")</f>
        <v>nok</v>
      </c>
      <c r="T208" s="74" t="str">
        <f>IF(AND($B208=[1]marcos!$A205,[1]marcos!$B205=T$4),"ok","nok")</f>
        <v>nok</v>
      </c>
      <c r="U208" s="74" t="str">
        <f>IF(AND($B208=[1]marcos!$A205,[1]marcos!$B205=U$4),"ok","nok")</f>
        <v>nok</v>
      </c>
      <c r="V208" s="74" t="str">
        <f>IF(AND($B208=[1]marcos!$A205,[1]marcos!$B205=V$4),"ok","nok")</f>
        <v>nok</v>
      </c>
      <c r="W208" s="74" t="str">
        <f>IF(AND($B208=[1]marcos!$A205,[1]marcos!$B205=W$4),"ok","nok")</f>
        <v>nok</v>
      </c>
      <c r="X208" s="74" t="str">
        <f>IF(AND($B208=[1]marcos!$A205,[1]marcos!$B205=X$4),"ok","nok")</f>
        <v>ok</v>
      </c>
      <c r="Y208" s="96" t="s">
        <v>16</v>
      </c>
      <c r="Z208" s="97"/>
      <c r="AA208" s="97"/>
      <c r="AB208" s="98"/>
      <c r="AE208" s="63" t="str">
        <f t="shared" si="60"/>
        <v/>
      </c>
      <c r="AF208" s="63"/>
      <c r="AG208" s="63"/>
      <c r="AH208" s="63"/>
      <c r="AI208" s="64">
        <f t="shared" si="61"/>
        <v>0</v>
      </c>
      <c r="AJ208" s="64" t="str">
        <f t="shared" si="62"/>
        <v/>
      </c>
      <c r="AK208" s="64">
        <f t="shared" si="63"/>
        <v>0</v>
      </c>
      <c r="AL208" s="64" t="str">
        <f t="shared" si="64"/>
        <v/>
      </c>
      <c r="AM208" s="64">
        <f t="shared" si="65"/>
        <v>0</v>
      </c>
      <c r="AN208" s="64" t="str">
        <f t="shared" si="66"/>
        <v/>
      </c>
      <c r="AO208" s="64">
        <f t="shared" si="67"/>
        <v>0</v>
      </c>
      <c r="AP208" s="64" t="str">
        <f t="shared" si="68"/>
        <v/>
      </c>
      <c r="AQ208" s="64">
        <f t="shared" si="69"/>
        <v>1</v>
      </c>
      <c r="AR208" s="64" t="str">
        <f t="shared" si="70"/>
        <v/>
      </c>
    </row>
    <row r="209" spans="2:44" ht="30" customHeight="1" x14ac:dyDescent="0.35">
      <c r="B209" s="54" t="s">
        <v>97</v>
      </c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96" t="s">
        <v>16</v>
      </c>
      <c r="Z209" s="97"/>
      <c r="AA209" s="97"/>
      <c r="AB209" s="98"/>
      <c r="AE209" s="63" t="str">
        <f t="shared" si="60"/>
        <v/>
      </c>
      <c r="AF209" s="63"/>
      <c r="AG209" s="63"/>
      <c r="AH209" s="63"/>
      <c r="AI209" s="64">
        <f t="shared" si="61"/>
        <v>0</v>
      </c>
      <c r="AJ209" s="64" t="str">
        <f t="shared" si="62"/>
        <v/>
      </c>
      <c r="AK209" s="64">
        <f t="shared" si="63"/>
        <v>0</v>
      </c>
      <c r="AL209" s="64" t="str">
        <f t="shared" si="64"/>
        <v/>
      </c>
      <c r="AM209" s="64">
        <f t="shared" si="65"/>
        <v>0</v>
      </c>
      <c r="AN209" s="64" t="str">
        <f t="shared" si="66"/>
        <v/>
      </c>
      <c r="AO209" s="64">
        <f t="shared" si="67"/>
        <v>0</v>
      </c>
      <c r="AP209" s="64" t="str">
        <f t="shared" si="68"/>
        <v/>
      </c>
      <c r="AQ209" s="64">
        <f t="shared" si="69"/>
        <v>0</v>
      </c>
      <c r="AR209" s="64" t="str">
        <f t="shared" si="70"/>
        <v/>
      </c>
    </row>
    <row r="210" spans="2:44" ht="30" customHeight="1" x14ac:dyDescent="0.35">
      <c r="B210" s="55" t="s">
        <v>44</v>
      </c>
      <c r="C210" s="74" t="str">
        <f>IF(AND($B210=[1]marcos!$A207,[1]marcos!$B207=C$4),"ok","nok")</f>
        <v>nok</v>
      </c>
      <c r="D210" s="74" t="str">
        <f>IF(AND($B210=[1]marcos!$A207,[1]marcos!$B207=D$4),"ok","nok")</f>
        <v>nok</v>
      </c>
      <c r="E210" s="74" t="str">
        <f>IF(AND($B210=[1]marcos!$A207,[1]marcos!$B207=E$4),"ok","nok")</f>
        <v>nok</v>
      </c>
      <c r="F210" s="74" t="str">
        <f>IF(AND($B210=[1]marcos!$A207,[1]marcos!$B207=F$4),"ok","nok")</f>
        <v>nok</v>
      </c>
      <c r="G210" s="74" t="str">
        <f>IF(AND($B210=[1]marcos!$A207,[1]marcos!$B207=G$4),"ok","nok")</f>
        <v>nok</v>
      </c>
      <c r="H210" s="74" t="str">
        <f>IF(AND($B210=[1]marcos!$A207,[1]marcos!$B207=H$4),"ok","nok")</f>
        <v>nok</v>
      </c>
      <c r="I210" s="74" t="str">
        <f>IF(AND($B210=[1]marcos!$A207,[1]marcos!$B207=I$4),"ok","nok")</f>
        <v>nok</v>
      </c>
      <c r="J210" s="74" t="str">
        <f>IF(AND($B210=[1]marcos!$A207,[1]marcos!$B207=J$4),"ok","nok")</f>
        <v>nok</v>
      </c>
      <c r="K210" s="74" t="str">
        <f>IF(AND($B210=[1]marcos!$A207,[1]marcos!$B207=K$4),"ok","nok")</f>
        <v>nok</v>
      </c>
      <c r="L210" s="74" t="str">
        <f>IF(AND($B210=[1]marcos!$A207,[1]marcos!$B207=L$4),"ok","nok")</f>
        <v>nok</v>
      </c>
      <c r="M210" s="74" t="str">
        <f>IF(AND($B210=[1]marcos!$A207,[1]marcos!$B207=M$4),"ok","nok")</f>
        <v>nok</v>
      </c>
      <c r="N210" s="74" t="str">
        <f>IF(AND($B210=[1]marcos!$A207,[1]marcos!$B207=N$4),"ok","nok")</f>
        <v>nok</v>
      </c>
      <c r="O210" s="74" t="str">
        <f>IF(AND($B210=[1]marcos!$A207,[1]marcos!$B207=O$4),"ok","nok")</f>
        <v>nok</v>
      </c>
      <c r="P210" s="74" t="str">
        <f>IF(AND($B210=[1]marcos!$A207,[1]marcos!$B207=P$4),"ok","nok")</f>
        <v>nok</v>
      </c>
      <c r="Q210" s="74" t="str">
        <f>IF(AND($B210=[1]marcos!$A207,[1]marcos!$B207=Q$4),"ok","nok")</f>
        <v>nok</v>
      </c>
      <c r="R210" s="74" t="str">
        <f>IF(AND($B210=[1]marcos!$A207,[1]marcos!$B207=R$4),"ok","nok")</f>
        <v>nok</v>
      </c>
      <c r="S210" s="74" t="str">
        <f>IF(AND($B210=[1]marcos!$A207,[1]marcos!$B207=S$4),"ok","nok")</f>
        <v>nok</v>
      </c>
      <c r="T210" s="74" t="str">
        <f>IF(AND($B210=[1]marcos!$A207,[1]marcos!$B207=T$4),"ok","nok")</f>
        <v>nok</v>
      </c>
      <c r="U210" s="74" t="str">
        <f>IF(AND($B210=[1]marcos!$A207,[1]marcos!$B207=U$4),"ok","nok")</f>
        <v>nok</v>
      </c>
      <c r="V210" s="74" t="str">
        <f>IF(AND($B210=[1]marcos!$A207,[1]marcos!$B207=V$4),"ok","nok")</f>
        <v>nok</v>
      </c>
      <c r="W210" s="74" t="str">
        <f>IF(AND($B210=[1]marcos!$A207,[1]marcos!$B207=W$4),"ok","nok")</f>
        <v>nok</v>
      </c>
      <c r="X210" s="74" t="str">
        <f>IF(AND($B210=[1]marcos!$A207,[1]marcos!$B207=X$4),"ok","nok")</f>
        <v>ok</v>
      </c>
      <c r="Y210" s="96" t="s">
        <v>16</v>
      </c>
      <c r="Z210" s="97"/>
      <c r="AA210" s="97"/>
      <c r="AB210" s="98"/>
      <c r="AE210" s="63" t="str">
        <f t="shared" si="60"/>
        <v/>
      </c>
      <c r="AF210" s="63"/>
      <c r="AG210" s="63"/>
      <c r="AH210" s="63"/>
      <c r="AI210" s="64">
        <f t="shared" si="61"/>
        <v>0</v>
      </c>
      <c r="AJ210" s="64" t="str">
        <f t="shared" si="62"/>
        <v/>
      </c>
      <c r="AK210" s="64">
        <f t="shared" si="63"/>
        <v>0</v>
      </c>
      <c r="AL210" s="64" t="str">
        <f t="shared" si="64"/>
        <v/>
      </c>
      <c r="AM210" s="64">
        <f t="shared" si="65"/>
        <v>0</v>
      </c>
      <c r="AN210" s="64" t="str">
        <f t="shared" si="66"/>
        <v/>
      </c>
      <c r="AO210" s="64">
        <f t="shared" si="67"/>
        <v>0</v>
      </c>
      <c r="AP210" s="64" t="str">
        <f t="shared" si="68"/>
        <v/>
      </c>
      <c r="AQ210" s="64">
        <f t="shared" si="69"/>
        <v>1</v>
      </c>
      <c r="AR210" s="64" t="str">
        <f t="shared" si="70"/>
        <v/>
      </c>
    </row>
    <row r="211" spans="2:44" ht="30" customHeight="1" x14ac:dyDescent="0.35">
      <c r="B211" s="87" t="s">
        <v>98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99"/>
      <c r="Z211" s="100"/>
      <c r="AA211" s="100"/>
      <c r="AB211" s="101"/>
      <c r="AE211" s="63" t="str">
        <f>IF(Y211="ATRASADO",B211,"")</f>
        <v/>
      </c>
      <c r="AF211" s="63"/>
      <c r="AG211" s="63"/>
      <c r="AH211" s="63"/>
      <c r="AI211" s="64">
        <f t="shared" si="61"/>
        <v>0</v>
      </c>
      <c r="AJ211" s="64" t="str">
        <f>IF(AND(AI211=1,OR($Y211="entregue",$Y211="efprazo")),$Y211,"")</f>
        <v/>
      </c>
      <c r="AK211" s="64">
        <f t="shared" si="63"/>
        <v>0</v>
      </c>
      <c r="AL211" s="64" t="str">
        <f>IF(AND(AK211=1,OR(Y211="entregue",Y211="efprazo")),Y211,"")</f>
        <v/>
      </c>
      <c r="AM211" s="64">
        <f t="shared" si="65"/>
        <v>0</v>
      </c>
      <c r="AN211" s="64" t="str">
        <f>IF(AND(AM211=1,OR($Y211="entregue",$Y211="efprazo")),$Y211,"")</f>
        <v/>
      </c>
      <c r="AO211" s="64">
        <f t="shared" si="67"/>
        <v>0</v>
      </c>
      <c r="AP211" s="64" t="str">
        <f>IF(AND(AO211=1,OR($Y211="entregue",$Y211="efprazo")),$Y211,"")</f>
        <v/>
      </c>
      <c r="AQ211" s="64">
        <f t="shared" si="69"/>
        <v>0</v>
      </c>
      <c r="AR211" s="64" t="str">
        <f>IF(AND(AQ211=1,OR($Y211="entregue",$Y211="efprazo")),$Y211,"")</f>
        <v/>
      </c>
    </row>
    <row r="212" spans="2:44" ht="30" customHeight="1" x14ac:dyDescent="0.35">
      <c r="B212" s="51" t="s">
        <v>99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93"/>
      <c r="Z212" s="94"/>
      <c r="AA212" s="94"/>
      <c r="AB212" s="95"/>
      <c r="AE212" s="63" t="str">
        <f>IF(Y212="ATRASADO",B212,"")</f>
        <v/>
      </c>
      <c r="AF212" s="63"/>
      <c r="AG212" s="63"/>
      <c r="AH212" s="63"/>
      <c r="AI212" s="64">
        <f t="shared" si="61"/>
        <v>0</v>
      </c>
      <c r="AJ212" s="64" t="str">
        <f>IF(AND(AI212=1,OR($Y212="entregue",$Y212="efprazo")),$Y212,"")</f>
        <v/>
      </c>
      <c r="AK212" s="64">
        <f t="shared" si="63"/>
        <v>0</v>
      </c>
      <c r="AL212" s="64" t="str">
        <f>IF(AND(AK212=1,OR(Y212="entregue",Y212="efprazo")),Y212,"")</f>
        <v/>
      </c>
      <c r="AM212" s="64">
        <f t="shared" si="65"/>
        <v>0</v>
      </c>
      <c r="AN212" s="64" t="str">
        <f>IF(AND(AM212=1,OR($Y212="entregue",$Y212="efprazo")),$Y212,"")</f>
        <v/>
      </c>
      <c r="AO212" s="64">
        <f t="shared" si="67"/>
        <v>0</v>
      </c>
      <c r="AP212" s="64" t="str">
        <f>IF(AND(AO212=1,OR($Y212="entregue",$Y212="efprazo")),$Y212,"")</f>
        <v/>
      </c>
      <c r="AQ212" s="64">
        <f t="shared" si="69"/>
        <v>0</v>
      </c>
      <c r="AR212" s="64" t="str">
        <f>IF(AND(AQ212=1,OR($Y212="entregue",$Y212="efprazo")),$Y212,"")</f>
        <v/>
      </c>
    </row>
    <row r="213" spans="2:44" ht="30" customHeight="1" x14ac:dyDescent="0.35">
      <c r="B213" s="56" t="s">
        <v>35</v>
      </c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102"/>
      <c r="Z213" s="103"/>
      <c r="AA213" s="103"/>
      <c r="AB213" s="104"/>
      <c r="AE213" s="63" t="str">
        <f t="shared" si="60"/>
        <v/>
      </c>
      <c r="AF213" s="63"/>
      <c r="AG213" s="63"/>
      <c r="AH213" s="63"/>
      <c r="AI213" s="64">
        <f t="shared" si="61"/>
        <v>0</v>
      </c>
      <c r="AJ213" s="64" t="str">
        <f t="shared" si="62"/>
        <v/>
      </c>
      <c r="AK213" s="64">
        <f t="shared" si="63"/>
        <v>0</v>
      </c>
      <c r="AL213" s="64" t="str">
        <f t="shared" si="64"/>
        <v/>
      </c>
      <c r="AM213" s="64">
        <f t="shared" si="65"/>
        <v>0</v>
      </c>
      <c r="AN213" s="64" t="str">
        <f t="shared" si="66"/>
        <v/>
      </c>
      <c r="AO213" s="64">
        <f t="shared" si="67"/>
        <v>0</v>
      </c>
      <c r="AP213" s="64" t="str">
        <f t="shared" si="68"/>
        <v/>
      </c>
      <c r="AQ213" s="64">
        <f t="shared" si="69"/>
        <v>0</v>
      </c>
      <c r="AR213" s="64" t="str">
        <f t="shared" si="70"/>
        <v/>
      </c>
    </row>
    <row r="214" spans="2:44" ht="30" customHeight="1" x14ac:dyDescent="0.35">
      <c r="B214" s="53" t="s">
        <v>100</v>
      </c>
      <c r="C214" s="74" t="str">
        <f>IF(AND($B214=[1]marcos!$A211,[1]marcos!$B211=C$4),"ok","nok")</f>
        <v>nok</v>
      </c>
      <c r="D214" s="74" t="str">
        <f>IF(AND($B214=[1]marcos!$A211,[1]marcos!$B211=D$4),"ok","nok")</f>
        <v>nok</v>
      </c>
      <c r="E214" s="74" t="str">
        <f>IF(AND($B214=[1]marcos!$A211,[1]marcos!$B211=E$4),"ok","nok")</f>
        <v>nok</v>
      </c>
      <c r="F214" s="74" t="str">
        <f>IF(AND($B214=[1]marcos!$A211,[1]marcos!$B211=F$4),"ok","nok")</f>
        <v>nok</v>
      </c>
      <c r="G214" s="74" t="str">
        <f>IF(AND($B214=[1]marcos!$A211,[1]marcos!$B211=G$4),"ok","nok")</f>
        <v>nok</v>
      </c>
      <c r="H214" s="74" t="str">
        <f>IF(AND($B214=[1]marcos!$A211,[1]marcos!$B211=H$4),"ok","nok")</f>
        <v>nok</v>
      </c>
      <c r="I214" s="74" t="str">
        <f>IF(AND($B214=[1]marcos!$A211,[1]marcos!$B211=I$4),"ok","nok")</f>
        <v>nok</v>
      </c>
      <c r="J214" s="74" t="str">
        <f>IF(AND($B214=[1]marcos!$A211,[1]marcos!$B211=J$4),"ok","nok")</f>
        <v>nok</v>
      </c>
      <c r="K214" s="74" t="str">
        <f>IF(AND($B214=[1]marcos!$A211,[1]marcos!$B211=K$4),"ok","nok")</f>
        <v>nok</v>
      </c>
      <c r="L214" s="74" t="str">
        <f>IF(AND($B214=[1]marcos!$A211,[1]marcos!$B211=L$4),"ok","nok")</f>
        <v>nok</v>
      </c>
      <c r="M214" s="74" t="str">
        <f>IF(AND($B214=[1]marcos!$A211,[1]marcos!$B211=M$4),"ok","nok")</f>
        <v>nok</v>
      </c>
      <c r="N214" s="74" t="str">
        <f>IF(AND($B214=[1]marcos!$A211,[1]marcos!$B211=N$4),"ok","nok")</f>
        <v>nok</v>
      </c>
      <c r="O214" s="74" t="str">
        <f>IF(AND($B214=[1]marcos!$A211,[1]marcos!$B211=O$4),"ok","nok")</f>
        <v>nok</v>
      </c>
      <c r="P214" s="74" t="str">
        <f>IF(AND($B214=[1]marcos!$A211,[1]marcos!$B211=P$4),"ok","nok")</f>
        <v>nok</v>
      </c>
      <c r="Q214" s="74" t="str">
        <f>IF(AND($B214=[1]marcos!$A211,[1]marcos!$B211=Q$4),"ok","nok")</f>
        <v>nok</v>
      </c>
      <c r="R214" s="74" t="str">
        <f>IF(AND($B214=[1]marcos!$A211,[1]marcos!$B211=R$4),"ok","nok")</f>
        <v>nok</v>
      </c>
      <c r="S214" s="74" t="str">
        <f>IF(AND($B214=[1]marcos!$A211,[1]marcos!$B211=S$4),"ok","nok")</f>
        <v>nok</v>
      </c>
      <c r="T214" s="74" t="str">
        <f>IF(AND($B214=[1]marcos!$A211,[1]marcos!$B211=T$4),"ok","nok")</f>
        <v>nok</v>
      </c>
      <c r="U214" s="74" t="str">
        <f>IF(AND($B214=[1]marcos!$A211,[1]marcos!$B211=U$4),"ok","nok")</f>
        <v>nok</v>
      </c>
      <c r="V214" s="74" t="str">
        <f>IF(AND($B214=[1]marcos!$A211,[1]marcos!$B211=V$4),"ok","nok")</f>
        <v>nok</v>
      </c>
      <c r="W214" s="74" t="str">
        <f>IF(AND($B214=[1]marcos!$A211,[1]marcos!$B211=W$4),"ok","nok")</f>
        <v>nok</v>
      </c>
      <c r="X214" s="74" t="str">
        <f>IF(AND($B214=[1]marcos!$A211,[1]marcos!$B211=X$4),"ok","nok")</f>
        <v>ok</v>
      </c>
      <c r="Y214" s="96" t="s">
        <v>16</v>
      </c>
      <c r="Z214" s="97"/>
      <c r="AA214" s="97"/>
      <c r="AB214" s="98"/>
      <c r="AE214" s="63" t="str">
        <f t="shared" si="60"/>
        <v/>
      </c>
      <c r="AF214" s="63"/>
      <c r="AG214" s="63"/>
      <c r="AH214" s="63"/>
      <c r="AI214" s="64">
        <f t="shared" si="61"/>
        <v>0</v>
      </c>
      <c r="AJ214" s="64" t="str">
        <f t="shared" si="62"/>
        <v/>
      </c>
      <c r="AK214" s="64">
        <f t="shared" si="63"/>
        <v>0</v>
      </c>
      <c r="AL214" s="64" t="str">
        <f t="shared" si="64"/>
        <v/>
      </c>
      <c r="AM214" s="64">
        <f t="shared" si="65"/>
        <v>0</v>
      </c>
      <c r="AN214" s="64" t="str">
        <f t="shared" si="66"/>
        <v/>
      </c>
      <c r="AO214" s="64">
        <f t="shared" si="67"/>
        <v>0</v>
      </c>
      <c r="AP214" s="64" t="str">
        <f t="shared" si="68"/>
        <v/>
      </c>
      <c r="AQ214" s="64">
        <f t="shared" si="69"/>
        <v>1</v>
      </c>
      <c r="AR214" s="64" t="str">
        <f t="shared" si="70"/>
        <v/>
      </c>
    </row>
    <row r="215" spans="2:44" ht="30" customHeight="1" x14ac:dyDescent="0.35">
      <c r="B215" s="85" t="s">
        <v>101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99"/>
      <c r="Z215" s="100"/>
      <c r="AA215" s="100"/>
      <c r="AB215" s="101"/>
      <c r="AE215" s="63" t="str">
        <f t="shared" si="60"/>
        <v/>
      </c>
      <c r="AF215" s="63"/>
      <c r="AG215" s="63"/>
      <c r="AH215" s="63"/>
      <c r="AI215" s="64">
        <f t="shared" si="61"/>
        <v>0</v>
      </c>
      <c r="AJ215" s="64" t="str">
        <f t="shared" si="62"/>
        <v/>
      </c>
      <c r="AK215" s="64">
        <f t="shared" si="63"/>
        <v>0</v>
      </c>
      <c r="AL215" s="64" t="str">
        <f t="shared" si="64"/>
        <v/>
      </c>
      <c r="AM215" s="64">
        <f t="shared" si="65"/>
        <v>0</v>
      </c>
      <c r="AN215" s="64" t="str">
        <f t="shared" si="66"/>
        <v/>
      </c>
      <c r="AO215" s="64">
        <f t="shared" si="67"/>
        <v>0</v>
      </c>
      <c r="AP215" s="64" t="str">
        <f t="shared" si="68"/>
        <v/>
      </c>
      <c r="AQ215" s="64">
        <f t="shared" si="69"/>
        <v>0</v>
      </c>
      <c r="AR215" s="64" t="str">
        <f t="shared" si="70"/>
        <v/>
      </c>
    </row>
    <row r="216" spans="2:44" ht="30" customHeight="1" x14ac:dyDescent="0.35">
      <c r="B216" s="52" t="s">
        <v>90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93"/>
      <c r="Z216" s="94"/>
      <c r="AA216" s="94"/>
      <c r="AB216" s="95"/>
      <c r="AE216" s="63" t="str">
        <f t="shared" si="60"/>
        <v/>
      </c>
      <c r="AF216" s="63"/>
      <c r="AG216" s="63"/>
      <c r="AH216" s="63"/>
      <c r="AI216" s="64">
        <f t="shared" si="61"/>
        <v>0</v>
      </c>
      <c r="AJ216" s="64" t="str">
        <f t="shared" si="62"/>
        <v/>
      </c>
      <c r="AK216" s="64">
        <f t="shared" si="63"/>
        <v>0</v>
      </c>
      <c r="AL216" s="64" t="str">
        <f t="shared" si="64"/>
        <v/>
      </c>
      <c r="AM216" s="64">
        <f t="shared" si="65"/>
        <v>0</v>
      </c>
      <c r="AN216" s="64" t="str">
        <f t="shared" si="66"/>
        <v/>
      </c>
      <c r="AO216" s="64">
        <f t="shared" si="67"/>
        <v>0</v>
      </c>
      <c r="AP216" s="64" t="str">
        <f t="shared" si="68"/>
        <v/>
      </c>
      <c r="AQ216" s="64">
        <f t="shared" si="69"/>
        <v>0</v>
      </c>
      <c r="AR216" s="64" t="str">
        <f t="shared" si="70"/>
        <v/>
      </c>
    </row>
    <row r="1048563" spans="25:28" x14ac:dyDescent="0.35">
      <c r="Y1048563" s="96" t="s">
        <v>16</v>
      </c>
      <c r="Z1048563" s="96"/>
      <c r="AA1048563" s="96"/>
      <c r="AB1048563" s="96"/>
    </row>
  </sheetData>
  <sheetProtection selectLockedCells="1"/>
  <mergeCells count="268">
    <mergeCell ref="Y194:AB194"/>
    <mergeCell ref="Y195:AB195"/>
    <mergeCell ref="Y196:AB196"/>
    <mergeCell ref="Y197:AB197"/>
    <mergeCell ref="Y185:AB185"/>
    <mergeCell ref="Y186:AB186"/>
    <mergeCell ref="Y187:AB187"/>
    <mergeCell ref="Y188:AB188"/>
    <mergeCell ref="Y189:AB189"/>
    <mergeCell ref="Y190:AB190"/>
    <mergeCell ref="Y191:AB191"/>
    <mergeCell ref="Y192:AB192"/>
    <mergeCell ref="Y193:AB193"/>
    <mergeCell ref="Y162:AB162"/>
    <mergeCell ref="Y163:AB163"/>
    <mergeCell ref="Y164:AB164"/>
    <mergeCell ref="Y165:AB165"/>
    <mergeCell ref="Y166:AB166"/>
    <mergeCell ref="Y182:AB182"/>
    <mergeCell ref="Y183:AB183"/>
    <mergeCell ref="Y184:AB184"/>
    <mergeCell ref="Y167:AB167"/>
    <mergeCell ref="Y168:AB168"/>
    <mergeCell ref="Y169:AB169"/>
    <mergeCell ref="Y170:AB170"/>
    <mergeCell ref="Y171:AB171"/>
    <mergeCell ref="Y172:AB172"/>
    <mergeCell ref="Y173:AB173"/>
    <mergeCell ref="Y174:AB174"/>
    <mergeCell ref="Y175:AB175"/>
    <mergeCell ref="Y179:AB179"/>
    <mergeCell ref="Y180:AB180"/>
    <mergeCell ref="Y181:AB181"/>
    <mergeCell ref="Y176:AB176"/>
    <mergeCell ref="Y177:AB177"/>
    <mergeCell ref="Y178:AB178"/>
    <mergeCell ref="Y153:AB153"/>
    <mergeCell ref="Y154:AB154"/>
    <mergeCell ref="Y155:AB155"/>
    <mergeCell ref="Y156:AB156"/>
    <mergeCell ref="Y157:AB157"/>
    <mergeCell ref="Y158:AB158"/>
    <mergeCell ref="Y159:AB159"/>
    <mergeCell ref="Y160:AB160"/>
    <mergeCell ref="Y161:AB161"/>
    <mergeCell ref="Y144:AB144"/>
    <mergeCell ref="Y145:AB145"/>
    <mergeCell ref="Y146:AB146"/>
    <mergeCell ref="Y147:AB147"/>
    <mergeCell ref="Y148:AB148"/>
    <mergeCell ref="Y149:AB149"/>
    <mergeCell ref="Y150:AB150"/>
    <mergeCell ref="Y151:AB151"/>
    <mergeCell ref="Y152:AB152"/>
    <mergeCell ref="Y135:AB135"/>
    <mergeCell ref="Y136:AB136"/>
    <mergeCell ref="Y137:AB137"/>
    <mergeCell ref="Y138:AB138"/>
    <mergeCell ref="Y139:AB139"/>
    <mergeCell ref="Y140:AB140"/>
    <mergeCell ref="Y141:AB141"/>
    <mergeCell ref="Y142:AB142"/>
    <mergeCell ref="Y143:AB143"/>
    <mergeCell ref="Y126:AB126"/>
    <mergeCell ref="Y127:AB127"/>
    <mergeCell ref="Y128:AB128"/>
    <mergeCell ref="Y129:AB129"/>
    <mergeCell ref="Y130:AB130"/>
    <mergeCell ref="Y131:AB131"/>
    <mergeCell ref="Y132:AB132"/>
    <mergeCell ref="Y133:AB133"/>
    <mergeCell ref="Y134:AB134"/>
    <mergeCell ref="Y117:AB117"/>
    <mergeCell ref="Y118:AB118"/>
    <mergeCell ref="Y119:AB119"/>
    <mergeCell ref="Y120:AB120"/>
    <mergeCell ref="Y121:AB121"/>
    <mergeCell ref="Y122:AB122"/>
    <mergeCell ref="Y123:AB123"/>
    <mergeCell ref="Y124:AB124"/>
    <mergeCell ref="Y125:AB125"/>
    <mergeCell ref="Y108:AB108"/>
    <mergeCell ref="Y109:AB109"/>
    <mergeCell ref="Y110:AB110"/>
    <mergeCell ref="Y111:AB111"/>
    <mergeCell ref="Y112:AB112"/>
    <mergeCell ref="Y113:AB113"/>
    <mergeCell ref="Y114:AB114"/>
    <mergeCell ref="Y115:AB115"/>
    <mergeCell ref="Y116:AB116"/>
    <mergeCell ref="Y99:AB99"/>
    <mergeCell ref="Y100:AB100"/>
    <mergeCell ref="Y101:AB101"/>
    <mergeCell ref="Y102:AB102"/>
    <mergeCell ref="Y103:AB103"/>
    <mergeCell ref="Y104:AB104"/>
    <mergeCell ref="Y105:AB105"/>
    <mergeCell ref="Y106:AB106"/>
    <mergeCell ref="Y107:AB107"/>
    <mergeCell ref="Y50:AB50"/>
    <mergeCell ref="Y51:AB51"/>
    <mergeCell ref="Y45:AB45"/>
    <mergeCell ref="Y46:AB46"/>
    <mergeCell ref="Y52:AB52"/>
    <mergeCell ref="Y1048563:AB1048563"/>
    <mergeCell ref="Y71:AB71"/>
    <mergeCell ref="Y72:AB72"/>
    <mergeCell ref="Y57:AB57"/>
    <mergeCell ref="Y67:AB67"/>
    <mergeCell ref="Y68:AB68"/>
    <mergeCell ref="Y69:AB69"/>
    <mergeCell ref="Y65:AB65"/>
    <mergeCell ref="Y66:AB66"/>
    <mergeCell ref="Y73:AB73"/>
    <mergeCell ref="Y63:AB63"/>
    <mergeCell ref="Y64:AB64"/>
    <mergeCell ref="Y61:AB61"/>
    <mergeCell ref="Y62:AB62"/>
    <mergeCell ref="Y70:AB70"/>
    <mergeCell ref="Y95:AB95"/>
    <mergeCell ref="Y96:AB96"/>
    <mergeCell ref="Y97:AB97"/>
    <mergeCell ref="Y98:AB98"/>
    <mergeCell ref="Y4:AB5"/>
    <mergeCell ref="AC4:AC5"/>
    <mergeCell ref="S4:S5"/>
    <mergeCell ref="AD4:AD5"/>
    <mergeCell ref="AE4:AE5"/>
    <mergeCell ref="AF4:AF5"/>
    <mergeCell ref="AG4:AG5"/>
    <mergeCell ref="AH4:AH5"/>
    <mergeCell ref="T4:T5"/>
    <mergeCell ref="B4:B5"/>
    <mergeCell ref="C4:C5"/>
    <mergeCell ref="D4:D5"/>
    <mergeCell ref="E4:E5"/>
    <mergeCell ref="F4:F5"/>
    <mergeCell ref="U4:U5"/>
    <mergeCell ref="V4:V5"/>
    <mergeCell ref="W4:W5"/>
    <mergeCell ref="X4:X5"/>
    <mergeCell ref="O4:O5"/>
    <mergeCell ref="L4:L5"/>
    <mergeCell ref="M4:M5"/>
    <mergeCell ref="G4:G5"/>
    <mergeCell ref="H4:H5"/>
    <mergeCell ref="I4:I5"/>
    <mergeCell ref="J4:J5"/>
    <mergeCell ref="K4:K5"/>
    <mergeCell ref="N4:N5"/>
    <mergeCell ref="P4:P5"/>
    <mergeCell ref="Q4:Q5"/>
    <mergeCell ref="R4:R5"/>
    <mergeCell ref="Y93:AB93"/>
    <mergeCell ref="Y94:AB94"/>
    <mergeCell ref="Y84:AB84"/>
    <mergeCell ref="Y85:AB85"/>
    <mergeCell ref="Y86:AB86"/>
    <mergeCell ref="Y87:AB87"/>
    <mergeCell ref="Y88:AB88"/>
    <mergeCell ref="Y89:AB89"/>
    <mergeCell ref="Y90:AB90"/>
    <mergeCell ref="Y91:AB91"/>
    <mergeCell ref="Y92:AB92"/>
    <mergeCell ref="Y75:AB75"/>
    <mergeCell ref="Y76:AB76"/>
    <mergeCell ref="Y77:AB77"/>
    <mergeCell ref="Y78:AB78"/>
    <mergeCell ref="Y79:AB79"/>
    <mergeCell ref="Y80:AB80"/>
    <mergeCell ref="Y81:AB81"/>
    <mergeCell ref="Y82:AB82"/>
    <mergeCell ref="Y83:AB83"/>
    <mergeCell ref="Y34:AB34"/>
    <mergeCell ref="Y36:AB36"/>
    <mergeCell ref="Y35:AB35"/>
    <mergeCell ref="Y37:AB37"/>
    <mergeCell ref="Y14:AB14"/>
    <mergeCell ref="Y21:AB21"/>
    <mergeCell ref="Y60:AB60"/>
    <mergeCell ref="Y74:AB74"/>
    <mergeCell ref="Y38:AB38"/>
    <mergeCell ref="Y39:AB39"/>
    <mergeCell ref="Y40:AB40"/>
    <mergeCell ref="Y41:AB41"/>
    <mergeCell ref="Y42:AB42"/>
    <mergeCell ref="Y43:AB43"/>
    <mergeCell ref="Y44:AB44"/>
    <mergeCell ref="Y58:AB58"/>
    <mergeCell ref="Y59:AB59"/>
    <mergeCell ref="Y53:AB53"/>
    <mergeCell ref="Y54:AB54"/>
    <mergeCell ref="Y55:AB55"/>
    <mergeCell ref="Y56:AB56"/>
    <mergeCell ref="Y47:AB47"/>
    <mergeCell ref="Y48:AB48"/>
    <mergeCell ref="Y49:AB49"/>
    <mergeCell ref="Y6:AB6"/>
    <mergeCell ref="Y26:AB26"/>
    <mergeCell ref="Y27:AB27"/>
    <mergeCell ref="Y8:AB8"/>
    <mergeCell ref="Y13:AB13"/>
    <mergeCell ref="Y20:AB20"/>
    <mergeCell ref="Y15:AB15"/>
    <mergeCell ref="Y32:AB32"/>
    <mergeCell ref="Y33:AB33"/>
    <mergeCell ref="Y7:AB7"/>
    <mergeCell ref="Y9:AB9"/>
    <mergeCell ref="Y198:AB198"/>
    <mergeCell ref="Y199:AB199"/>
    <mergeCell ref="Y200:AB200"/>
    <mergeCell ref="Y201:AB201"/>
    <mergeCell ref="Y202:AB202"/>
    <mergeCell ref="Y203:AB203"/>
    <mergeCell ref="Y204:AB204"/>
    <mergeCell ref="Y205:AB205"/>
    <mergeCell ref="Y206:AB206"/>
    <mergeCell ref="Y207:AB207"/>
    <mergeCell ref="Y208:AB208"/>
    <mergeCell ref="Y209:AB209"/>
    <mergeCell ref="Y210:AB210"/>
    <mergeCell ref="Y211:AB211"/>
    <mergeCell ref="Y212:AB212"/>
    <mergeCell ref="Y213:AB213"/>
    <mergeCell ref="Y214:AB214"/>
    <mergeCell ref="Y215:AB215"/>
    <mergeCell ref="Y216:AB216"/>
    <mergeCell ref="AU41:AX41"/>
    <mergeCell ref="AZ41:BC41"/>
    <mergeCell ref="BE41:BH41"/>
    <mergeCell ref="BJ41:BM41"/>
    <mergeCell ref="BO41:BR41"/>
    <mergeCell ref="AU42:AW42"/>
    <mergeCell ref="AZ42:BB42"/>
    <mergeCell ref="BE42:BG42"/>
    <mergeCell ref="BJ42:BL42"/>
    <mergeCell ref="BO42:BQ42"/>
    <mergeCell ref="AU43:AW43"/>
    <mergeCell ref="AZ43:BB43"/>
    <mergeCell ref="BE43:BG43"/>
    <mergeCell ref="BJ43:BL43"/>
    <mergeCell ref="BO43:BQ43"/>
    <mergeCell ref="AU44:AW44"/>
    <mergeCell ref="AZ44:BB44"/>
    <mergeCell ref="BE44:BG44"/>
    <mergeCell ref="BJ44:BL44"/>
    <mergeCell ref="BO44:BQ44"/>
    <mergeCell ref="AZ46:BC46"/>
    <mergeCell ref="BE46:BH46"/>
    <mergeCell ref="BJ46:BM46"/>
    <mergeCell ref="BO46:BR46"/>
    <mergeCell ref="AZ47:BB47"/>
    <mergeCell ref="BE47:BG47"/>
    <mergeCell ref="BJ47:BL47"/>
    <mergeCell ref="BO47:BQ47"/>
    <mergeCell ref="AZ48:BB48"/>
    <mergeCell ref="BE48:BG48"/>
    <mergeCell ref="BJ48:BL48"/>
    <mergeCell ref="BO48:BQ48"/>
    <mergeCell ref="AZ49:BB49"/>
    <mergeCell ref="BE49:BG49"/>
    <mergeCell ref="BJ49:BL49"/>
    <mergeCell ref="BO49:BQ49"/>
    <mergeCell ref="BK51:BM51"/>
    <mergeCell ref="BK52:BM52"/>
    <mergeCell ref="BK53:BM53"/>
    <mergeCell ref="BK54:BM54"/>
    <mergeCell ref="BK55:BM55"/>
  </mergeCells>
  <phoneticPr fontId="17" type="noConversion"/>
  <conditionalFormatting sqref="AC10:AD10">
    <cfRule type="expression" dxfId="625" priority="1303">
      <formula>AC10="nok"</formula>
    </cfRule>
    <cfRule type="expression" dxfId="624" priority="1304">
      <formula>AC10="ok"</formula>
    </cfRule>
  </conditionalFormatting>
  <conditionalFormatting sqref="Y19:AB19">
    <cfRule type="expression" dxfId="623" priority="1298">
      <formula>Y19="risco"</formula>
    </cfRule>
    <cfRule type="expression" dxfId="622" priority="1299">
      <formula>Y19="entregue"</formula>
    </cfRule>
    <cfRule type="expression" dxfId="621" priority="1300">
      <formula>Y19="atrasado"</formula>
    </cfRule>
    <cfRule type="expression" dxfId="620" priority="1301">
      <formula>Y19="efprazo"</formula>
    </cfRule>
    <cfRule type="expression" dxfId="619" priority="1302">
      <formula>Y19="vazio"</formula>
    </cfRule>
  </conditionalFormatting>
  <conditionalFormatting sqref="Y1048563:AB1048576">
    <cfRule type="expression" dxfId="618" priority="1078">
      <formula>Y1048563="risco"</formula>
    </cfRule>
    <cfRule type="expression" dxfId="617" priority="1079">
      <formula>Y1048563="entregue"</formula>
    </cfRule>
    <cfRule type="expression" dxfId="616" priority="1080">
      <formula>Y1048563="atrasado"</formula>
    </cfRule>
    <cfRule type="expression" dxfId="615" priority="1081">
      <formula>Y1048563="efprazo"</formula>
    </cfRule>
    <cfRule type="expression" dxfId="614" priority="1082">
      <formula>Y1048563="vazio"</formula>
    </cfRule>
  </conditionalFormatting>
  <conditionalFormatting sqref="Y31:AB31">
    <cfRule type="expression" dxfId="613" priority="837">
      <formula>Y31="risco"</formula>
    </cfRule>
    <cfRule type="expression" dxfId="612" priority="838">
      <formula>Y31="entregue"</formula>
    </cfRule>
    <cfRule type="expression" dxfId="611" priority="839">
      <formula>Y31="atrasado"</formula>
    </cfRule>
    <cfRule type="expression" dxfId="610" priority="840">
      <formula>Y31="efprazo"</formula>
    </cfRule>
    <cfRule type="expression" dxfId="609" priority="841">
      <formula>Y31="vazio"</formula>
    </cfRule>
  </conditionalFormatting>
  <conditionalFormatting sqref="Y25:AB25">
    <cfRule type="expression" dxfId="608" priority="689">
      <formula>Y25="risco"</formula>
    </cfRule>
    <cfRule type="expression" dxfId="607" priority="690">
      <formula>Y25="entregue"</formula>
    </cfRule>
    <cfRule type="expression" dxfId="606" priority="691">
      <formula>Y25="atrasado"</formula>
    </cfRule>
    <cfRule type="expression" dxfId="605" priority="692">
      <formula>Y25="efprazo"</formula>
    </cfRule>
    <cfRule type="expression" dxfId="604" priority="693">
      <formula>Y25="vazio"</formula>
    </cfRule>
  </conditionalFormatting>
  <conditionalFormatting sqref="Y35:AB37">
    <cfRule type="expression" dxfId="603" priority="679">
      <formula>Y35="risco"</formula>
    </cfRule>
    <cfRule type="expression" dxfId="602" priority="680">
      <formula>Y35="entregue"</formula>
    </cfRule>
    <cfRule type="expression" dxfId="601" priority="681">
      <formula>Y35="atrasado"</formula>
    </cfRule>
    <cfRule type="expression" dxfId="600" priority="682">
      <formula>Y35="efprazo"</formula>
    </cfRule>
    <cfRule type="expression" dxfId="599" priority="683">
      <formula>Y35="vazio"</formula>
    </cfRule>
  </conditionalFormatting>
  <conditionalFormatting sqref="Y39:AB44">
    <cfRule type="expression" dxfId="598" priority="674">
      <formula>Y39="risco"</formula>
    </cfRule>
    <cfRule type="expression" dxfId="597" priority="675">
      <formula>Y39="entregue"</formula>
    </cfRule>
    <cfRule type="expression" dxfId="596" priority="676">
      <formula>Y39="atrasado"</formula>
    </cfRule>
    <cfRule type="expression" dxfId="595" priority="677">
      <formula>Y39="efprazo"</formula>
    </cfRule>
    <cfRule type="expression" dxfId="594" priority="678">
      <formula>Y39="vazio"</formula>
    </cfRule>
  </conditionalFormatting>
  <conditionalFormatting sqref="Y46:AB49">
    <cfRule type="expression" dxfId="593" priority="669">
      <formula>Y46="risco"</formula>
    </cfRule>
    <cfRule type="expression" dxfId="592" priority="670">
      <formula>Y46="entregue"</formula>
    </cfRule>
    <cfRule type="expression" dxfId="591" priority="671">
      <formula>Y46="atrasado"</formula>
    </cfRule>
    <cfRule type="expression" dxfId="590" priority="672">
      <formula>Y46="efprazo"</formula>
    </cfRule>
    <cfRule type="expression" dxfId="589" priority="673">
      <formula>Y46="vazio"</formula>
    </cfRule>
  </conditionalFormatting>
  <conditionalFormatting sqref="Y58:AB61">
    <cfRule type="expression" dxfId="588" priority="664">
      <formula>Y58="risco"</formula>
    </cfRule>
    <cfRule type="expression" dxfId="587" priority="665">
      <formula>Y58="entregue"</formula>
    </cfRule>
    <cfRule type="expression" dxfId="586" priority="666">
      <formula>Y58="atrasado"</formula>
    </cfRule>
    <cfRule type="expression" dxfId="585" priority="667">
      <formula>Y58="efprazo"</formula>
    </cfRule>
    <cfRule type="expression" dxfId="584" priority="668">
      <formula>Y58="vazio"</formula>
    </cfRule>
  </conditionalFormatting>
  <conditionalFormatting sqref="Y63:AB64">
    <cfRule type="expression" dxfId="583" priority="654">
      <formula>Y63="risco"</formula>
    </cfRule>
    <cfRule type="expression" dxfId="582" priority="655">
      <formula>Y63="entregue"</formula>
    </cfRule>
    <cfRule type="expression" dxfId="581" priority="656">
      <formula>Y63="atrasado"</formula>
    </cfRule>
    <cfRule type="expression" dxfId="580" priority="657">
      <formula>Y63="efprazo"</formula>
    </cfRule>
    <cfRule type="expression" dxfId="579" priority="658">
      <formula>Y63="vazio"</formula>
    </cfRule>
  </conditionalFormatting>
  <conditionalFormatting sqref="Y67:AB68">
    <cfRule type="expression" dxfId="578" priority="649">
      <formula>Y67="risco"</formula>
    </cfRule>
    <cfRule type="expression" dxfId="577" priority="650">
      <formula>Y67="entregue"</formula>
    </cfRule>
    <cfRule type="expression" dxfId="576" priority="651">
      <formula>Y67="atrasado"</formula>
    </cfRule>
    <cfRule type="expression" dxfId="575" priority="652">
      <formula>Y67="efprazo"</formula>
    </cfRule>
    <cfRule type="expression" dxfId="574" priority="653">
      <formula>Y67="vazio"</formula>
    </cfRule>
  </conditionalFormatting>
  <conditionalFormatting sqref="Y70:AB76">
    <cfRule type="expression" dxfId="573" priority="644">
      <formula>Y70="risco"</formula>
    </cfRule>
    <cfRule type="expression" dxfId="572" priority="645">
      <formula>Y70="entregue"</formula>
    </cfRule>
    <cfRule type="expression" dxfId="571" priority="646">
      <formula>Y70="atrasado"</formula>
    </cfRule>
    <cfRule type="expression" dxfId="570" priority="647">
      <formula>Y70="efprazo"</formula>
    </cfRule>
    <cfRule type="expression" dxfId="569" priority="648">
      <formula>Y70="vazio"</formula>
    </cfRule>
  </conditionalFormatting>
  <conditionalFormatting sqref="Y78:AB79">
    <cfRule type="expression" dxfId="568" priority="639">
      <formula>Y78="risco"</formula>
    </cfRule>
    <cfRule type="expression" dxfId="567" priority="640">
      <formula>Y78="entregue"</formula>
    </cfRule>
    <cfRule type="expression" dxfId="566" priority="641">
      <formula>Y78="atrasado"</formula>
    </cfRule>
    <cfRule type="expression" dxfId="565" priority="642">
      <formula>Y78="efprazo"</formula>
    </cfRule>
    <cfRule type="expression" dxfId="564" priority="643">
      <formula>Y78="vazio"</formula>
    </cfRule>
  </conditionalFormatting>
  <conditionalFormatting sqref="Y86:AB86">
    <cfRule type="expression" dxfId="563" priority="634">
      <formula>Y86="risco"</formula>
    </cfRule>
    <cfRule type="expression" dxfId="562" priority="635">
      <formula>Y86="entregue"</formula>
    </cfRule>
    <cfRule type="expression" dxfId="561" priority="636">
      <formula>Y86="atrasado"</formula>
    </cfRule>
    <cfRule type="expression" dxfId="560" priority="637">
      <formula>Y86="efprazo"</formula>
    </cfRule>
    <cfRule type="expression" dxfId="559" priority="638">
      <formula>Y86="vazio"</formula>
    </cfRule>
  </conditionalFormatting>
  <conditionalFormatting sqref="Y89:AB91">
    <cfRule type="expression" dxfId="558" priority="629">
      <formula>Y89="risco"</formula>
    </cfRule>
    <cfRule type="expression" dxfId="557" priority="630">
      <formula>Y89="entregue"</formula>
    </cfRule>
    <cfRule type="expression" dxfId="556" priority="631">
      <formula>Y89="atrasado"</formula>
    </cfRule>
    <cfRule type="expression" dxfId="555" priority="632">
      <formula>Y89="efprazo"</formula>
    </cfRule>
    <cfRule type="expression" dxfId="554" priority="633">
      <formula>Y89="vazio"</formula>
    </cfRule>
  </conditionalFormatting>
  <conditionalFormatting sqref="Y96:AB98">
    <cfRule type="expression" dxfId="553" priority="624">
      <formula>Y96="risco"</formula>
    </cfRule>
    <cfRule type="expression" dxfId="552" priority="625">
      <formula>Y96="entregue"</formula>
    </cfRule>
    <cfRule type="expression" dxfId="551" priority="626">
      <formula>Y96="atrasado"</formula>
    </cfRule>
    <cfRule type="expression" dxfId="550" priority="627">
      <formula>Y96="efprazo"</formula>
    </cfRule>
    <cfRule type="expression" dxfId="549" priority="628">
      <formula>Y96="vazio"</formula>
    </cfRule>
  </conditionalFormatting>
  <conditionalFormatting sqref="Y103:AB105">
    <cfRule type="expression" dxfId="548" priority="614">
      <formula>Y103="risco"</formula>
    </cfRule>
    <cfRule type="expression" dxfId="547" priority="615">
      <formula>Y103="entregue"</formula>
    </cfRule>
    <cfRule type="expression" dxfId="546" priority="616">
      <formula>Y103="atrasado"</formula>
    </cfRule>
    <cfRule type="expression" dxfId="545" priority="617">
      <formula>Y103="efprazo"</formula>
    </cfRule>
    <cfRule type="expression" dxfId="544" priority="618">
      <formula>Y103="vazio"</formula>
    </cfRule>
  </conditionalFormatting>
  <conditionalFormatting sqref="Y110:AB112">
    <cfRule type="expression" dxfId="543" priority="604">
      <formula>Y110="risco"</formula>
    </cfRule>
    <cfRule type="expression" dxfId="542" priority="605">
      <formula>Y110="entregue"</formula>
    </cfRule>
    <cfRule type="expression" dxfId="541" priority="606">
      <formula>Y110="atrasado"</formula>
    </cfRule>
    <cfRule type="expression" dxfId="540" priority="607">
      <formula>Y110="efprazo"</formula>
    </cfRule>
    <cfRule type="expression" dxfId="539" priority="608">
      <formula>Y110="vazio"</formula>
    </cfRule>
  </conditionalFormatting>
  <conditionalFormatting sqref="Y117:AB119">
    <cfRule type="expression" dxfId="538" priority="599">
      <formula>Y117="risco"</formula>
    </cfRule>
    <cfRule type="expression" dxfId="537" priority="600">
      <formula>Y117="entregue"</formula>
    </cfRule>
    <cfRule type="expression" dxfId="536" priority="601">
      <formula>Y117="atrasado"</formula>
    </cfRule>
    <cfRule type="expression" dxfId="535" priority="602">
      <formula>Y117="efprazo"</formula>
    </cfRule>
    <cfRule type="expression" dxfId="534" priority="603">
      <formula>Y117="vazio"</formula>
    </cfRule>
  </conditionalFormatting>
  <conditionalFormatting sqref="Y124:AB126">
    <cfRule type="expression" dxfId="533" priority="584">
      <formula>Y124="risco"</formula>
    </cfRule>
    <cfRule type="expression" dxfId="532" priority="585">
      <formula>Y124="entregue"</formula>
    </cfRule>
    <cfRule type="expression" dxfId="531" priority="586">
      <formula>Y124="atrasado"</formula>
    </cfRule>
    <cfRule type="expression" dxfId="530" priority="587">
      <formula>Y124="efprazo"</formula>
    </cfRule>
    <cfRule type="expression" dxfId="529" priority="588">
      <formula>Y124="vazio"</formula>
    </cfRule>
  </conditionalFormatting>
  <conditionalFormatting sqref="Y131:AB133">
    <cfRule type="expression" dxfId="528" priority="574">
      <formula>Y131="risco"</formula>
    </cfRule>
    <cfRule type="expression" dxfId="527" priority="575">
      <formula>Y131="entregue"</formula>
    </cfRule>
    <cfRule type="expression" dxfId="526" priority="576">
      <formula>Y131="atrasado"</formula>
    </cfRule>
    <cfRule type="expression" dxfId="525" priority="577">
      <formula>Y131="efprazo"</formula>
    </cfRule>
    <cfRule type="expression" dxfId="524" priority="578">
      <formula>Y131="vazio"</formula>
    </cfRule>
  </conditionalFormatting>
  <conditionalFormatting sqref="Y138:AB140">
    <cfRule type="expression" dxfId="523" priority="569">
      <formula>Y138="risco"</formula>
    </cfRule>
    <cfRule type="expression" dxfId="522" priority="570">
      <formula>Y138="entregue"</formula>
    </cfRule>
    <cfRule type="expression" dxfId="521" priority="571">
      <formula>Y138="atrasado"</formula>
    </cfRule>
    <cfRule type="expression" dxfId="520" priority="572">
      <formula>Y138="efprazo"</formula>
    </cfRule>
    <cfRule type="expression" dxfId="519" priority="573">
      <formula>Y138="vazio"</formula>
    </cfRule>
  </conditionalFormatting>
  <conditionalFormatting sqref="Y145:AB147 Y153:AB155 Y160:AB162 Y167:AB169 Y174:AB176 Y181:AB183 Y188:AB190 Y195:AB197 Y204:AB204 Y200:AB200 Y207:AB210 Y214:AB214">
    <cfRule type="expression" dxfId="518" priority="559">
      <formula>Y145="risco"</formula>
    </cfRule>
    <cfRule type="expression" dxfId="517" priority="560">
      <formula>Y145="entregue"</formula>
    </cfRule>
    <cfRule type="expression" dxfId="516" priority="561">
      <formula>Y145="atrasado"</formula>
    </cfRule>
    <cfRule type="expression" dxfId="515" priority="562">
      <formula>Y145="efprazo"</formula>
    </cfRule>
    <cfRule type="expression" dxfId="514" priority="563">
      <formula>Y145="vazio"</formula>
    </cfRule>
  </conditionalFormatting>
  <conditionalFormatting sqref="C10:X12">
    <cfRule type="expression" dxfId="513" priority="522">
      <formula>C10="nok"</formula>
    </cfRule>
    <cfRule type="expression" dxfId="512" priority="523">
      <formula>C10="ok"</formula>
    </cfRule>
  </conditionalFormatting>
  <conditionalFormatting sqref="C16:X18">
    <cfRule type="expression" dxfId="511" priority="520">
      <formula>C16="nok"</formula>
    </cfRule>
    <cfRule type="expression" dxfId="510" priority="521">
      <formula>C16="ok"</formula>
    </cfRule>
  </conditionalFormatting>
  <conditionalFormatting sqref="C22:X24">
    <cfRule type="expression" dxfId="509" priority="518">
      <formula>C22="nok"</formula>
    </cfRule>
    <cfRule type="expression" dxfId="508" priority="519">
      <formula>C22="ok"</formula>
    </cfRule>
  </conditionalFormatting>
  <conditionalFormatting sqref="C28:X30">
    <cfRule type="expression" dxfId="507" priority="516">
      <formula>C28="nok"</formula>
    </cfRule>
    <cfRule type="expression" dxfId="506" priority="517">
      <formula>C28="ok"</formula>
    </cfRule>
  </conditionalFormatting>
  <conditionalFormatting sqref="C35:X37">
    <cfRule type="expression" dxfId="505" priority="514">
      <formula>C35="nok"</formula>
    </cfRule>
    <cfRule type="expression" dxfId="504" priority="515">
      <formula>C35="ok"</formula>
    </cfRule>
  </conditionalFormatting>
  <conditionalFormatting sqref="C42:X43 C39:J39 L39:X39 C40:K41 M40:X41 C44:K44 M44:X44">
    <cfRule type="expression" dxfId="503" priority="512">
      <formula>C39="nok"</formula>
    </cfRule>
    <cfRule type="expression" dxfId="502" priority="513">
      <formula>C39="ok"</formula>
    </cfRule>
  </conditionalFormatting>
  <conditionalFormatting sqref="C47:X49 C46:K46 M46:X46">
    <cfRule type="expression" dxfId="501" priority="510">
      <formula>C46="nok"</formula>
    </cfRule>
    <cfRule type="expression" dxfId="500" priority="511">
      <formula>C46="ok"</formula>
    </cfRule>
  </conditionalFormatting>
  <conditionalFormatting sqref="C64:X64 C63:O63 Q63:X63">
    <cfRule type="expression" dxfId="499" priority="506">
      <formula>C63="nok"</formula>
    </cfRule>
    <cfRule type="expression" dxfId="498" priority="507">
      <formula>C63="ok"</formula>
    </cfRule>
  </conditionalFormatting>
  <conditionalFormatting sqref="C67:C68 E67:X68">
    <cfRule type="expression" dxfId="497" priority="504">
      <formula>C67="nok"</formula>
    </cfRule>
    <cfRule type="expression" dxfId="496" priority="505">
      <formula>C67="ok"</formula>
    </cfRule>
  </conditionalFormatting>
  <conditionalFormatting sqref="C76:O76 C70:D71 F70:X71 C72:F72 H72:X72 C73:H73 J73:X73 C74:J74 L74:X74 C75:N75 P75:X75 Q76:X76">
    <cfRule type="expression" dxfId="495" priority="502">
      <formula>C70="nok"</formula>
    </cfRule>
    <cfRule type="expression" dxfId="494" priority="503">
      <formula>C70="ok"</formula>
    </cfRule>
  </conditionalFormatting>
  <conditionalFormatting sqref="C79:X79 C78:O78 Q78:X78">
    <cfRule type="expression" dxfId="493" priority="500">
      <formula>C78="nok"</formula>
    </cfRule>
    <cfRule type="expression" dxfId="492" priority="501">
      <formula>C78="ok"</formula>
    </cfRule>
  </conditionalFormatting>
  <conditionalFormatting sqref="C86:H86 J86:X86">
    <cfRule type="expression" dxfId="491" priority="498">
      <formula>C86="nok"</formula>
    </cfRule>
    <cfRule type="expression" dxfId="490" priority="499">
      <formula>C86="ok"</formula>
    </cfRule>
  </conditionalFormatting>
  <conditionalFormatting sqref="C88:H88 J88:X88 C89:M89 O89:X89 C90:P91 R90:X91">
    <cfRule type="expression" dxfId="489" priority="496">
      <formula>C88="nok"</formula>
    </cfRule>
    <cfRule type="expression" dxfId="488" priority="497">
      <formula>C88="ok"</formula>
    </cfRule>
  </conditionalFormatting>
  <conditionalFormatting sqref="C93:H93 J93:X93">
    <cfRule type="expression" dxfId="487" priority="494">
      <formula>C93="nok"</formula>
    </cfRule>
    <cfRule type="expression" dxfId="486" priority="495">
      <formula>C93="ok"</formula>
    </cfRule>
  </conditionalFormatting>
  <conditionalFormatting sqref="C95:H95 J95:X95 C96:M96 O96:X96 C97:P98 R97:X98">
    <cfRule type="expression" dxfId="485" priority="492">
      <formula>C95="nok"</formula>
    </cfRule>
    <cfRule type="expression" dxfId="484" priority="493">
      <formula>C95="ok"</formula>
    </cfRule>
  </conditionalFormatting>
  <conditionalFormatting sqref="C100:H100 J100:X100">
    <cfRule type="expression" dxfId="483" priority="490">
      <formula>C100="nok"</formula>
    </cfRule>
    <cfRule type="expression" dxfId="482" priority="491">
      <formula>C100="ok"</formula>
    </cfRule>
  </conditionalFormatting>
  <conditionalFormatting sqref="C104:P105 C102:H102 J102:X102 C103:M103 O103:X103 R104:X105">
    <cfRule type="expression" dxfId="481" priority="488">
      <formula>C102="nok"</formula>
    </cfRule>
    <cfRule type="expression" dxfId="480" priority="489">
      <formula>C102="ok"</formula>
    </cfRule>
  </conditionalFormatting>
  <conditionalFormatting sqref="C107:G107 R107:X107">
    <cfRule type="expression" dxfId="479" priority="486">
      <formula>C107="nok"</formula>
    </cfRule>
    <cfRule type="expression" dxfId="478" priority="487">
      <formula>C107="ok"</formula>
    </cfRule>
  </conditionalFormatting>
  <conditionalFormatting sqref="C109:G112 R109:X112">
    <cfRule type="expression" dxfId="477" priority="484">
      <formula>C109="nok"</formula>
    </cfRule>
    <cfRule type="expression" dxfId="476" priority="485">
      <formula>C109="ok"</formula>
    </cfRule>
  </conditionalFormatting>
  <conditionalFormatting sqref="C114:G114 R114:X114">
    <cfRule type="expression" dxfId="475" priority="482">
      <formula>C114="nok"</formula>
    </cfRule>
    <cfRule type="expression" dxfId="474" priority="483">
      <formula>C114="ok"</formula>
    </cfRule>
  </conditionalFormatting>
  <conditionalFormatting sqref="C116:G119 R116:X119">
    <cfRule type="expression" dxfId="473" priority="480">
      <formula>C116="nok"</formula>
    </cfRule>
    <cfRule type="expression" dxfId="472" priority="481">
      <formula>C116="ok"</formula>
    </cfRule>
  </conditionalFormatting>
  <conditionalFormatting sqref="C121:H121 S121:X121">
    <cfRule type="expression" dxfId="471" priority="478">
      <formula>C121="nok"</formula>
    </cfRule>
    <cfRule type="expression" dxfId="470" priority="479">
      <formula>C121="ok"</formula>
    </cfRule>
  </conditionalFormatting>
  <conditionalFormatting sqref="C123:H126 S123:X126">
    <cfRule type="expression" dxfId="469" priority="476">
      <formula>C123="nok"</formula>
    </cfRule>
    <cfRule type="expression" dxfId="468" priority="477">
      <formula>C123="ok"</formula>
    </cfRule>
  </conditionalFormatting>
  <conditionalFormatting sqref="C128:H128 S128:X128">
    <cfRule type="expression" dxfId="467" priority="474">
      <formula>C128="nok"</formula>
    </cfRule>
    <cfRule type="expression" dxfId="466" priority="475">
      <formula>C128="ok"</formula>
    </cfRule>
  </conditionalFormatting>
  <conditionalFormatting sqref="C130:H133 S130:X133">
    <cfRule type="expression" dxfId="465" priority="472">
      <formula>C130="nok"</formula>
    </cfRule>
    <cfRule type="expression" dxfId="464" priority="473">
      <formula>C130="ok"</formula>
    </cfRule>
  </conditionalFormatting>
  <conditionalFormatting sqref="C135:H135 S135:X135">
    <cfRule type="expression" dxfId="463" priority="470">
      <formula>C135="nok"</formula>
    </cfRule>
    <cfRule type="expression" dxfId="462" priority="471">
      <formula>C135="ok"</formula>
    </cfRule>
  </conditionalFormatting>
  <conditionalFormatting sqref="C137:H140 S137:X140">
    <cfRule type="expression" dxfId="461" priority="468">
      <formula>C137="nok"</formula>
    </cfRule>
    <cfRule type="expression" dxfId="460" priority="469">
      <formula>C137="ok"</formula>
    </cfRule>
  </conditionalFormatting>
  <conditionalFormatting sqref="C142:H142 S142:X142">
    <cfRule type="expression" dxfId="459" priority="466">
      <formula>C142="nok"</formula>
    </cfRule>
    <cfRule type="expression" dxfId="458" priority="467">
      <formula>C142="ok"</formula>
    </cfRule>
  </conditionalFormatting>
  <conditionalFormatting sqref="C144:H147 S144:X147">
    <cfRule type="expression" dxfId="457" priority="464">
      <formula>C144="nok"</formula>
    </cfRule>
    <cfRule type="expression" dxfId="456" priority="465">
      <formula>C144="ok"</formula>
    </cfRule>
  </conditionalFormatting>
  <conditionalFormatting sqref="C150:I150 T150:X150">
    <cfRule type="expression" dxfId="455" priority="462">
      <formula>C150="nok"</formula>
    </cfRule>
    <cfRule type="expression" dxfId="454" priority="463">
      <formula>C150="ok"</formula>
    </cfRule>
  </conditionalFormatting>
  <conditionalFormatting sqref="C152:I154 T152:X154">
    <cfRule type="expression" dxfId="453" priority="460">
      <formula>C152="nok"</formula>
    </cfRule>
    <cfRule type="expression" dxfId="452" priority="461">
      <formula>C152="ok"</formula>
    </cfRule>
  </conditionalFormatting>
  <conditionalFormatting sqref="D155:I155 T155:X155">
    <cfRule type="expression" dxfId="451" priority="458">
      <formula>D155="nok"</formula>
    </cfRule>
    <cfRule type="expression" dxfId="450" priority="459">
      <formula>D155="ok"</formula>
    </cfRule>
  </conditionalFormatting>
  <conditionalFormatting sqref="C157:I157 T157:X157">
    <cfRule type="expression" dxfId="449" priority="456">
      <formula>C157="nok"</formula>
    </cfRule>
    <cfRule type="expression" dxfId="448" priority="457">
      <formula>C157="ok"</formula>
    </cfRule>
  </conditionalFormatting>
  <conditionalFormatting sqref="C159:I162 T159:X162">
    <cfRule type="expression" dxfId="447" priority="454">
      <formula>C159="nok"</formula>
    </cfRule>
    <cfRule type="expression" dxfId="446" priority="455">
      <formula>C159="ok"</formula>
    </cfRule>
  </conditionalFormatting>
  <conditionalFormatting sqref="C164:I164 T164:X164">
    <cfRule type="expression" dxfId="445" priority="452">
      <formula>C164="nok"</formula>
    </cfRule>
    <cfRule type="expression" dxfId="444" priority="453">
      <formula>C164="ok"</formula>
    </cfRule>
  </conditionalFormatting>
  <conditionalFormatting sqref="C166:I169 T166:X169">
    <cfRule type="expression" dxfId="443" priority="450">
      <formula>C166="nok"</formula>
    </cfRule>
    <cfRule type="expression" dxfId="442" priority="451">
      <formula>C166="ok"</formula>
    </cfRule>
  </conditionalFormatting>
  <conditionalFormatting sqref="C171:I171 T171:X171">
    <cfRule type="expression" dxfId="441" priority="448">
      <formula>C171="nok"</formula>
    </cfRule>
    <cfRule type="expression" dxfId="440" priority="449">
      <formula>C171="ok"</formula>
    </cfRule>
  </conditionalFormatting>
  <conditionalFormatting sqref="C173:I176 T173:X176">
    <cfRule type="expression" dxfId="439" priority="446">
      <formula>C173="nok"</formula>
    </cfRule>
    <cfRule type="expression" dxfId="438" priority="447">
      <formula>C173="ok"</formula>
    </cfRule>
  </conditionalFormatting>
  <conditionalFormatting sqref="C178:J178 U178:X178">
    <cfRule type="expression" dxfId="437" priority="444">
      <formula>C178="nok"</formula>
    </cfRule>
    <cfRule type="expression" dxfId="436" priority="445">
      <formula>C178="ok"</formula>
    </cfRule>
  </conditionalFormatting>
  <conditionalFormatting sqref="C180:J183 U180:X183">
    <cfRule type="expression" dxfId="435" priority="442">
      <formula>C180="nok"</formula>
    </cfRule>
    <cfRule type="expression" dxfId="434" priority="443">
      <formula>C180="ok"</formula>
    </cfRule>
  </conditionalFormatting>
  <conditionalFormatting sqref="C185:J185 U185:X185">
    <cfRule type="expression" dxfId="433" priority="440">
      <formula>C185="nok"</formula>
    </cfRule>
    <cfRule type="expression" dxfId="432" priority="441">
      <formula>C185="ok"</formula>
    </cfRule>
  </conditionalFormatting>
  <conditionalFormatting sqref="C187:J190 U187:X190">
    <cfRule type="expression" dxfId="431" priority="438">
      <formula>C187="nok"</formula>
    </cfRule>
    <cfRule type="expression" dxfId="430" priority="439">
      <formula>C187="ok"</formula>
    </cfRule>
  </conditionalFormatting>
  <conditionalFormatting sqref="C192:J192 U192:X192">
    <cfRule type="expression" dxfId="429" priority="436">
      <formula>C192="nok"</formula>
    </cfRule>
    <cfRule type="expression" dxfId="428" priority="437">
      <formula>C192="ok"</formula>
    </cfRule>
  </conditionalFormatting>
  <conditionalFormatting sqref="C194:J196 U194:X196">
    <cfRule type="expression" dxfId="427" priority="434">
      <formula>C194="nok"</formula>
    </cfRule>
    <cfRule type="expression" dxfId="426" priority="435">
      <formula>C194="ok"</formula>
    </cfRule>
  </conditionalFormatting>
  <conditionalFormatting sqref="C197:J197 U197:X197">
    <cfRule type="expression" dxfId="425" priority="432">
      <formula>C197="nok"</formula>
    </cfRule>
    <cfRule type="expression" dxfId="424" priority="433">
      <formula>C197="ok"</formula>
    </cfRule>
  </conditionalFormatting>
  <conditionalFormatting sqref="C52:C53 E52:X53">
    <cfRule type="expression" dxfId="423" priority="430">
      <formula>C52="nok"</formula>
    </cfRule>
    <cfRule type="expression" dxfId="422" priority="431">
      <formula>C52="ok"</formula>
    </cfRule>
  </conditionalFormatting>
  <conditionalFormatting sqref="Y52:AB52">
    <cfRule type="expression" dxfId="421" priority="425">
      <formula>Y52="risco"</formula>
    </cfRule>
    <cfRule type="expression" dxfId="420" priority="426">
      <formula>Y52="entregue"</formula>
    </cfRule>
    <cfRule type="expression" dxfId="419" priority="427">
      <formula>Y52="atrasado"</formula>
    </cfRule>
    <cfRule type="expression" dxfId="418" priority="428">
      <formula>Y52="efprazo"</formula>
    </cfRule>
    <cfRule type="expression" dxfId="417" priority="429">
      <formula>Y52="vazio"</formula>
    </cfRule>
  </conditionalFormatting>
  <conditionalFormatting sqref="Y53:AB53">
    <cfRule type="expression" dxfId="416" priority="420">
      <formula>Y53="risco"</formula>
    </cfRule>
    <cfRule type="expression" dxfId="415" priority="421">
      <formula>Y53="entregue"</formula>
    </cfRule>
    <cfRule type="expression" dxfId="414" priority="422">
      <formula>Y53="atrasado"</formula>
    </cfRule>
    <cfRule type="expression" dxfId="413" priority="423">
      <formula>Y53="efprazo"</formula>
    </cfRule>
    <cfRule type="expression" dxfId="412" priority="424">
      <formula>Y53="vazio"</formula>
    </cfRule>
  </conditionalFormatting>
  <conditionalFormatting sqref="Y55:AB55">
    <cfRule type="expression" dxfId="411" priority="410">
      <formula>Y55="risco"</formula>
    </cfRule>
    <cfRule type="expression" dxfId="410" priority="411">
      <formula>Y55="entregue"</formula>
    </cfRule>
    <cfRule type="expression" dxfId="409" priority="412">
      <formula>Y55="atrasado"</formula>
    </cfRule>
    <cfRule type="expression" dxfId="408" priority="413">
      <formula>Y55="efprazo"</formula>
    </cfRule>
    <cfRule type="expression" dxfId="407" priority="414">
      <formula>Y55="vazio"</formula>
    </cfRule>
  </conditionalFormatting>
  <conditionalFormatting sqref="Y56:AB57">
    <cfRule type="expression" dxfId="406" priority="400">
      <formula>Y56="risco"</formula>
    </cfRule>
    <cfRule type="expression" dxfId="405" priority="401">
      <formula>Y56="entregue"</formula>
    </cfRule>
    <cfRule type="expression" dxfId="404" priority="402">
      <formula>Y56="atrasado"</formula>
    </cfRule>
    <cfRule type="expression" dxfId="403" priority="403">
      <formula>Y56="efprazo"</formula>
    </cfRule>
    <cfRule type="expression" dxfId="402" priority="404">
      <formula>Y56="vazio"</formula>
    </cfRule>
  </conditionalFormatting>
  <conditionalFormatting sqref="C61:O61 C55:C56 E55:X56 C57:F57 H57:X57 C58:H58 J58:X58 C59:J59 L59:X59 C60:N60 P60:X60 Q61:X61">
    <cfRule type="expression" dxfId="401" priority="398">
      <formula>C55="nok"</formula>
    </cfRule>
    <cfRule type="expression" dxfId="400" priority="399">
      <formula>C55="ok"</formula>
    </cfRule>
  </conditionalFormatting>
  <conditionalFormatting sqref="Y88:AB88">
    <cfRule type="expression" dxfId="399" priority="393">
      <formula>Y88="risco"</formula>
    </cfRule>
    <cfRule type="expression" dxfId="398" priority="394">
      <formula>Y88="entregue"</formula>
    </cfRule>
    <cfRule type="expression" dxfId="397" priority="395">
      <formula>Y88="atrasado"</formula>
    </cfRule>
    <cfRule type="expression" dxfId="396" priority="396">
      <formula>Y88="efprazo"</formula>
    </cfRule>
    <cfRule type="expression" dxfId="395" priority="397">
      <formula>Y88="vazio"</formula>
    </cfRule>
  </conditionalFormatting>
  <conditionalFormatting sqref="Y93:AB93">
    <cfRule type="expression" dxfId="394" priority="388">
      <formula>Y93="risco"</formula>
    </cfRule>
    <cfRule type="expression" dxfId="393" priority="389">
      <formula>Y93="entregue"</formula>
    </cfRule>
    <cfRule type="expression" dxfId="392" priority="390">
      <formula>Y93="atrasado"</formula>
    </cfRule>
    <cfRule type="expression" dxfId="391" priority="391">
      <formula>Y93="efprazo"</formula>
    </cfRule>
    <cfRule type="expression" dxfId="390" priority="392">
      <formula>Y93="vazio"</formula>
    </cfRule>
  </conditionalFormatting>
  <conditionalFormatting sqref="Y95:AB95">
    <cfRule type="expression" dxfId="389" priority="383">
      <formula>Y95="risco"</formula>
    </cfRule>
    <cfRule type="expression" dxfId="388" priority="384">
      <formula>Y95="entregue"</formula>
    </cfRule>
    <cfRule type="expression" dxfId="387" priority="385">
      <formula>Y95="atrasado"</formula>
    </cfRule>
    <cfRule type="expression" dxfId="386" priority="386">
      <formula>Y95="efprazo"</formula>
    </cfRule>
    <cfRule type="expression" dxfId="385" priority="387">
      <formula>Y95="vazio"</formula>
    </cfRule>
  </conditionalFormatting>
  <conditionalFormatting sqref="Y100:AB100">
    <cfRule type="expression" dxfId="384" priority="378">
      <formula>Y100="risco"</formula>
    </cfRule>
    <cfRule type="expression" dxfId="383" priority="379">
      <formula>Y100="entregue"</formula>
    </cfRule>
    <cfRule type="expression" dxfId="382" priority="380">
      <formula>Y100="atrasado"</formula>
    </cfRule>
    <cfRule type="expression" dxfId="381" priority="381">
      <formula>Y100="efprazo"</formula>
    </cfRule>
    <cfRule type="expression" dxfId="380" priority="382">
      <formula>Y100="vazio"</formula>
    </cfRule>
  </conditionalFormatting>
  <conditionalFormatting sqref="Y102:AB102">
    <cfRule type="expression" dxfId="379" priority="373">
      <formula>Y102="risco"</formula>
    </cfRule>
    <cfRule type="expression" dxfId="378" priority="374">
      <formula>Y102="entregue"</formula>
    </cfRule>
    <cfRule type="expression" dxfId="377" priority="375">
      <formula>Y102="atrasado"</formula>
    </cfRule>
    <cfRule type="expression" dxfId="376" priority="376">
      <formula>Y102="efprazo"</formula>
    </cfRule>
    <cfRule type="expression" dxfId="375" priority="377">
      <formula>Y102="vazio"</formula>
    </cfRule>
  </conditionalFormatting>
  <conditionalFormatting sqref="Y107:AB107">
    <cfRule type="expression" dxfId="374" priority="368">
      <formula>Y107="risco"</formula>
    </cfRule>
    <cfRule type="expression" dxfId="373" priority="369">
      <formula>Y107="entregue"</formula>
    </cfRule>
    <cfRule type="expression" dxfId="372" priority="370">
      <formula>Y107="atrasado"</formula>
    </cfRule>
    <cfRule type="expression" dxfId="371" priority="371">
      <formula>Y107="efprazo"</formula>
    </cfRule>
    <cfRule type="expression" dxfId="370" priority="372">
      <formula>Y107="vazio"</formula>
    </cfRule>
  </conditionalFormatting>
  <conditionalFormatting sqref="Y109:AB109">
    <cfRule type="expression" dxfId="369" priority="363">
      <formula>Y109="risco"</formula>
    </cfRule>
    <cfRule type="expression" dxfId="368" priority="364">
      <formula>Y109="entregue"</formula>
    </cfRule>
    <cfRule type="expression" dxfId="367" priority="365">
      <formula>Y109="atrasado"</formula>
    </cfRule>
    <cfRule type="expression" dxfId="366" priority="366">
      <formula>Y109="efprazo"</formula>
    </cfRule>
    <cfRule type="expression" dxfId="365" priority="367">
      <formula>Y109="vazio"</formula>
    </cfRule>
  </conditionalFormatting>
  <conditionalFormatting sqref="Y114:AB114">
    <cfRule type="expression" dxfId="364" priority="358">
      <formula>Y114="risco"</formula>
    </cfRule>
    <cfRule type="expression" dxfId="363" priority="359">
      <formula>Y114="entregue"</formula>
    </cfRule>
    <cfRule type="expression" dxfId="362" priority="360">
      <formula>Y114="atrasado"</formula>
    </cfRule>
    <cfRule type="expression" dxfId="361" priority="361">
      <formula>Y114="efprazo"</formula>
    </cfRule>
    <cfRule type="expression" dxfId="360" priority="362">
      <formula>Y114="vazio"</formula>
    </cfRule>
  </conditionalFormatting>
  <conditionalFormatting sqref="Y116:AB116">
    <cfRule type="expression" dxfId="359" priority="353">
      <formula>Y116="risco"</formula>
    </cfRule>
    <cfRule type="expression" dxfId="358" priority="354">
      <formula>Y116="entregue"</formula>
    </cfRule>
    <cfRule type="expression" dxfId="357" priority="355">
      <formula>Y116="atrasado"</formula>
    </cfRule>
    <cfRule type="expression" dxfId="356" priority="356">
      <formula>Y116="efprazo"</formula>
    </cfRule>
    <cfRule type="expression" dxfId="355" priority="357">
      <formula>Y116="vazio"</formula>
    </cfRule>
  </conditionalFormatting>
  <conditionalFormatting sqref="Y121:AB121">
    <cfRule type="expression" dxfId="354" priority="348">
      <formula>Y121="risco"</formula>
    </cfRule>
    <cfRule type="expression" dxfId="353" priority="349">
      <formula>Y121="entregue"</formula>
    </cfRule>
    <cfRule type="expression" dxfId="352" priority="350">
      <formula>Y121="atrasado"</formula>
    </cfRule>
    <cfRule type="expression" dxfId="351" priority="351">
      <formula>Y121="efprazo"</formula>
    </cfRule>
    <cfRule type="expression" dxfId="350" priority="352">
      <formula>Y121="vazio"</formula>
    </cfRule>
  </conditionalFormatting>
  <conditionalFormatting sqref="Y123:AB123">
    <cfRule type="expression" dxfId="349" priority="343">
      <formula>Y123="risco"</formula>
    </cfRule>
    <cfRule type="expression" dxfId="348" priority="344">
      <formula>Y123="entregue"</formula>
    </cfRule>
    <cfRule type="expression" dxfId="347" priority="345">
      <formula>Y123="atrasado"</formula>
    </cfRule>
    <cfRule type="expression" dxfId="346" priority="346">
      <formula>Y123="efprazo"</formula>
    </cfRule>
    <cfRule type="expression" dxfId="345" priority="347">
      <formula>Y123="vazio"</formula>
    </cfRule>
  </conditionalFormatting>
  <conditionalFormatting sqref="Y128:AB128">
    <cfRule type="expression" dxfId="344" priority="338">
      <formula>Y128="risco"</formula>
    </cfRule>
    <cfRule type="expression" dxfId="343" priority="339">
      <formula>Y128="entregue"</formula>
    </cfRule>
    <cfRule type="expression" dxfId="342" priority="340">
      <formula>Y128="atrasado"</formula>
    </cfRule>
    <cfRule type="expression" dxfId="341" priority="341">
      <formula>Y128="efprazo"</formula>
    </cfRule>
    <cfRule type="expression" dxfId="340" priority="342">
      <formula>Y128="vazio"</formula>
    </cfRule>
  </conditionalFormatting>
  <conditionalFormatting sqref="Y130:AB130">
    <cfRule type="expression" dxfId="339" priority="333">
      <formula>Y130="risco"</formula>
    </cfRule>
    <cfRule type="expression" dxfId="338" priority="334">
      <formula>Y130="entregue"</formula>
    </cfRule>
    <cfRule type="expression" dxfId="337" priority="335">
      <formula>Y130="atrasado"</formula>
    </cfRule>
    <cfRule type="expression" dxfId="336" priority="336">
      <formula>Y130="efprazo"</formula>
    </cfRule>
    <cfRule type="expression" dxfId="335" priority="337">
      <formula>Y130="vazio"</formula>
    </cfRule>
  </conditionalFormatting>
  <conditionalFormatting sqref="Y135:AB135">
    <cfRule type="expression" dxfId="334" priority="328">
      <formula>Y135="risco"</formula>
    </cfRule>
    <cfRule type="expression" dxfId="333" priority="329">
      <formula>Y135="entregue"</formula>
    </cfRule>
    <cfRule type="expression" dxfId="332" priority="330">
      <formula>Y135="atrasado"</formula>
    </cfRule>
    <cfRule type="expression" dxfId="331" priority="331">
      <formula>Y135="efprazo"</formula>
    </cfRule>
    <cfRule type="expression" dxfId="330" priority="332">
      <formula>Y135="vazio"</formula>
    </cfRule>
  </conditionalFormatting>
  <conditionalFormatting sqref="Y137:AB137">
    <cfRule type="expression" dxfId="329" priority="323">
      <formula>Y137="risco"</formula>
    </cfRule>
    <cfRule type="expression" dxfId="328" priority="324">
      <formula>Y137="entregue"</formula>
    </cfRule>
    <cfRule type="expression" dxfId="327" priority="325">
      <formula>Y137="atrasado"</formula>
    </cfRule>
    <cfRule type="expression" dxfId="326" priority="326">
      <formula>Y137="efprazo"</formula>
    </cfRule>
    <cfRule type="expression" dxfId="325" priority="327">
      <formula>Y137="vazio"</formula>
    </cfRule>
  </conditionalFormatting>
  <conditionalFormatting sqref="Y142:AB142">
    <cfRule type="expression" dxfId="324" priority="318">
      <formula>Y142="risco"</formula>
    </cfRule>
    <cfRule type="expression" dxfId="323" priority="319">
      <formula>Y142="entregue"</formula>
    </cfRule>
    <cfRule type="expression" dxfId="322" priority="320">
      <formula>Y142="atrasado"</formula>
    </cfRule>
    <cfRule type="expression" dxfId="321" priority="321">
      <formula>Y142="efprazo"</formula>
    </cfRule>
    <cfRule type="expression" dxfId="320" priority="322">
      <formula>Y142="vazio"</formula>
    </cfRule>
  </conditionalFormatting>
  <conditionalFormatting sqref="Y144:AB144">
    <cfRule type="expression" dxfId="319" priority="313">
      <formula>Y144="risco"</formula>
    </cfRule>
    <cfRule type="expression" dxfId="318" priority="314">
      <formula>Y144="entregue"</formula>
    </cfRule>
    <cfRule type="expression" dxfId="317" priority="315">
      <formula>Y144="atrasado"</formula>
    </cfRule>
    <cfRule type="expression" dxfId="316" priority="316">
      <formula>Y144="efprazo"</formula>
    </cfRule>
    <cfRule type="expression" dxfId="315" priority="317">
      <formula>Y144="vazio"</formula>
    </cfRule>
  </conditionalFormatting>
  <conditionalFormatting sqref="Y150:AB150">
    <cfRule type="expression" dxfId="314" priority="308">
      <formula>Y150="risco"</formula>
    </cfRule>
    <cfRule type="expression" dxfId="313" priority="309">
      <formula>Y150="entregue"</formula>
    </cfRule>
    <cfRule type="expression" dxfId="312" priority="310">
      <formula>Y150="atrasado"</formula>
    </cfRule>
    <cfRule type="expression" dxfId="311" priority="311">
      <formula>Y150="efprazo"</formula>
    </cfRule>
    <cfRule type="expression" dxfId="310" priority="312">
      <formula>Y150="vazio"</formula>
    </cfRule>
  </conditionalFormatting>
  <conditionalFormatting sqref="Y152:AB152">
    <cfRule type="expression" dxfId="309" priority="303">
      <formula>Y152="risco"</formula>
    </cfRule>
    <cfRule type="expression" dxfId="308" priority="304">
      <formula>Y152="entregue"</formula>
    </cfRule>
    <cfRule type="expression" dxfId="307" priority="305">
      <formula>Y152="atrasado"</formula>
    </cfRule>
    <cfRule type="expression" dxfId="306" priority="306">
      <formula>Y152="efprazo"</formula>
    </cfRule>
    <cfRule type="expression" dxfId="305" priority="307">
      <formula>Y152="vazio"</formula>
    </cfRule>
  </conditionalFormatting>
  <conditionalFormatting sqref="Y157:AB157">
    <cfRule type="expression" dxfId="304" priority="298">
      <formula>Y157="risco"</formula>
    </cfRule>
    <cfRule type="expression" dxfId="303" priority="299">
      <formula>Y157="entregue"</formula>
    </cfRule>
    <cfRule type="expression" dxfId="302" priority="300">
      <formula>Y157="atrasado"</formula>
    </cfRule>
    <cfRule type="expression" dxfId="301" priority="301">
      <formula>Y157="efprazo"</formula>
    </cfRule>
    <cfRule type="expression" dxfId="300" priority="302">
      <formula>Y157="vazio"</formula>
    </cfRule>
  </conditionalFormatting>
  <conditionalFormatting sqref="Y159:AB159">
    <cfRule type="expression" dxfId="299" priority="293">
      <formula>Y159="risco"</formula>
    </cfRule>
    <cfRule type="expression" dxfId="298" priority="294">
      <formula>Y159="entregue"</formula>
    </cfRule>
    <cfRule type="expression" dxfId="297" priority="295">
      <formula>Y159="atrasado"</formula>
    </cfRule>
    <cfRule type="expression" dxfId="296" priority="296">
      <formula>Y159="efprazo"</formula>
    </cfRule>
    <cfRule type="expression" dxfId="295" priority="297">
      <formula>Y159="vazio"</formula>
    </cfRule>
  </conditionalFormatting>
  <conditionalFormatting sqref="Y164:AB164">
    <cfRule type="expression" dxfId="294" priority="288">
      <formula>Y164="risco"</formula>
    </cfRule>
    <cfRule type="expression" dxfId="293" priority="289">
      <formula>Y164="entregue"</formula>
    </cfRule>
    <cfRule type="expression" dxfId="292" priority="290">
      <formula>Y164="atrasado"</formula>
    </cfRule>
    <cfRule type="expression" dxfId="291" priority="291">
      <formula>Y164="efprazo"</formula>
    </cfRule>
    <cfRule type="expression" dxfId="290" priority="292">
      <formula>Y164="vazio"</formula>
    </cfRule>
  </conditionalFormatting>
  <conditionalFormatting sqref="Y166:AB166">
    <cfRule type="expression" dxfId="289" priority="283">
      <formula>Y166="risco"</formula>
    </cfRule>
    <cfRule type="expression" dxfId="288" priority="284">
      <formula>Y166="entregue"</formula>
    </cfRule>
    <cfRule type="expression" dxfId="287" priority="285">
      <formula>Y166="atrasado"</formula>
    </cfRule>
    <cfRule type="expression" dxfId="286" priority="286">
      <formula>Y166="efprazo"</formula>
    </cfRule>
    <cfRule type="expression" dxfId="285" priority="287">
      <formula>Y166="vazio"</formula>
    </cfRule>
  </conditionalFormatting>
  <conditionalFormatting sqref="Y171:AB171">
    <cfRule type="expression" dxfId="284" priority="278">
      <formula>Y171="risco"</formula>
    </cfRule>
    <cfRule type="expression" dxfId="283" priority="279">
      <formula>Y171="entregue"</formula>
    </cfRule>
    <cfRule type="expression" dxfId="282" priority="280">
      <formula>Y171="atrasado"</formula>
    </cfRule>
    <cfRule type="expression" dxfId="281" priority="281">
      <formula>Y171="efprazo"</formula>
    </cfRule>
    <cfRule type="expression" dxfId="280" priority="282">
      <formula>Y171="vazio"</formula>
    </cfRule>
  </conditionalFormatting>
  <conditionalFormatting sqref="Y173:AB173">
    <cfRule type="expression" dxfId="279" priority="273">
      <formula>Y173="risco"</formula>
    </cfRule>
    <cfRule type="expression" dxfId="278" priority="274">
      <formula>Y173="entregue"</formula>
    </cfRule>
    <cfRule type="expression" dxfId="277" priority="275">
      <formula>Y173="atrasado"</formula>
    </cfRule>
    <cfRule type="expression" dxfId="276" priority="276">
      <formula>Y173="efprazo"</formula>
    </cfRule>
    <cfRule type="expression" dxfId="275" priority="277">
      <formula>Y173="vazio"</formula>
    </cfRule>
  </conditionalFormatting>
  <conditionalFormatting sqref="Y178:AB178">
    <cfRule type="expression" dxfId="274" priority="268">
      <formula>Y178="risco"</formula>
    </cfRule>
    <cfRule type="expression" dxfId="273" priority="269">
      <formula>Y178="entregue"</formula>
    </cfRule>
    <cfRule type="expression" dxfId="272" priority="270">
      <formula>Y178="atrasado"</formula>
    </cfRule>
    <cfRule type="expression" dxfId="271" priority="271">
      <formula>Y178="efprazo"</formula>
    </cfRule>
    <cfRule type="expression" dxfId="270" priority="272">
      <formula>Y178="vazio"</formula>
    </cfRule>
  </conditionalFormatting>
  <conditionalFormatting sqref="Y180:AB180">
    <cfRule type="expression" dxfId="269" priority="263">
      <formula>Y180="risco"</formula>
    </cfRule>
    <cfRule type="expression" dxfId="268" priority="264">
      <formula>Y180="entregue"</formula>
    </cfRule>
    <cfRule type="expression" dxfId="267" priority="265">
      <formula>Y180="atrasado"</formula>
    </cfRule>
    <cfRule type="expression" dxfId="266" priority="266">
      <formula>Y180="efprazo"</formula>
    </cfRule>
    <cfRule type="expression" dxfId="265" priority="267">
      <formula>Y180="vazio"</formula>
    </cfRule>
  </conditionalFormatting>
  <conditionalFormatting sqref="Y185:AB185">
    <cfRule type="expression" dxfId="264" priority="258">
      <formula>Y185="risco"</formula>
    </cfRule>
    <cfRule type="expression" dxfId="263" priority="259">
      <formula>Y185="entregue"</formula>
    </cfRule>
    <cfRule type="expression" dxfId="262" priority="260">
      <formula>Y185="atrasado"</formula>
    </cfRule>
    <cfRule type="expression" dxfId="261" priority="261">
      <formula>Y185="efprazo"</formula>
    </cfRule>
    <cfRule type="expression" dxfId="260" priority="262">
      <formula>Y185="vazio"</formula>
    </cfRule>
  </conditionalFormatting>
  <conditionalFormatting sqref="Y187:AB187">
    <cfRule type="expression" dxfId="259" priority="253">
      <formula>Y187="risco"</formula>
    </cfRule>
    <cfRule type="expression" dxfId="258" priority="254">
      <formula>Y187="entregue"</formula>
    </cfRule>
    <cfRule type="expression" dxfId="257" priority="255">
      <formula>Y187="atrasado"</formula>
    </cfRule>
    <cfRule type="expression" dxfId="256" priority="256">
      <formula>Y187="efprazo"</formula>
    </cfRule>
    <cfRule type="expression" dxfId="255" priority="257">
      <formula>Y187="vazio"</formula>
    </cfRule>
  </conditionalFormatting>
  <conditionalFormatting sqref="Y192:AB192">
    <cfRule type="expression" dxfId="254" priority="248">
      <formula>Y192="risco"</formula>
    </cfRule>
    <cfRule type="expression" dxfId="253" priority="249">
      <formula>Y192="entregue"</formula>
    </cfRule>
    <cfRule type="expression" dxfId="252" priority="250">
      <formula>Y192="atrasado"</formula>
    </cfRule>
    <cfRule type="expression" dxfId="251" priority="251">
      <formula>Y192="efprazo"</formula>
    </cfRule>
    <cfRule type="expression" dxfId="250" priority="252">
      <formula>Y192="vazio"</formula>
    </cfRule>
  </conditionalFormatting>
  <conditionalFormatting sqref="Y194:AB194">
    <cfRule type="expression" dxfId="249" priority="243">
      <formula>Y194="risco"</formula>
    </cfRule>
    <cfRule type="expression" dxfId="248" priority="244">
      <formula>Y194="entregue"</formula>
    </cfRule>
    <cfRule type="expression" dxfId="247" priority="245">
      <formula>Y194="atrasado"</formula>
    </cfRule>
    <cfRule type="expression" dxfId="246" priority="246">
      <formula>Y194="efprazo"</formula>
    </cfRule>
    <cfRule type="expression" dxfId="245" priority="247">
      <formula>Y194="vazio"</formula>
    </cfRule>
  </conditionalFormatting>
  <conditionalFormatting sqref="K39">
    <cfRule type="expression" dxfId="244" priority="241">
      <formula>K39="nok"</formula>
    </cfRule>
    <cfRule type="expression" dxfId="243" priority="242">
      <formula>K39="ok"</formula>
    </cfRule>
  </conditionalFormatting>
  <conditionalFormatting sqref="L40">
    <cfRule type="expression" dxfId="242" priority="239">
      <formula>L40="nok"</formula>
    </cfRule>
    <cfRule type="expression" dxfId="241" priority="240">
      <formula>L40="ok"</formula>
    </cfRule>
  </conditionalFormatting>
  <conditionalFormatting sqref="L41">
    <cfRule type="expression" dxfId="240" priority="237">
      <formula>L41="nok"</formula>
    </cfRule>
    <cfRule type="expression" dxfId="239" priority="238">
      <formula>L41="ok"</formula>
    </cfRule>
  </conditionalFormatting>
  <conditionalFormatting sqref="L44">
    <cfRule type="expression" dxfId="238" priority="235">
      <formula>L44="nok"</formula>
    </cfRule>
    <cfRule type="expression" dxfId="237" priority="236">
      <formula>L44="ok"</formula>
    </cfRule>
  </conditionalFormatting>
  <conditionalFormatting sqref="L46">
    <cfRule type="expression" dxfId="236" priority="233">
      <formula>L46="nok"</formula>
    </cfRule>
    <cfRule type="expression" dxfId="235" priority="234">
      <formula>L46="ok"</formula>
    </cfRule>
  </conditionalFormatting>
  <conditionalFormatting sqref="D52">
    <cfRule type="expression" dxfId="234" priority="231">
      <formula>D52="nok"</formula>
    </cfRule>
    <cfRule type="expression" dxfId="233" priority="232">
      <formula>D52="ok"</formula>
    </cfRule>
  </conditionalFormatting>
  <conditionalFormatting sqref="D53">
    <cfRule type="expression" dxfId="232" priority="229">
      <formula>D53="nok"</formula>
    </cfRule>
    <cfRule type="expression" dxfId="231" priority="230">
      <formula>D53="ok"</formula>
    </cfRule>
  </conditionalFormatting>
  <conditionalFormatting sqref="D55">
    <cfRule type="expression" dxfId="230" priority="227">
      <formula>D55="nok"</formula>
    </cfRule>
    <cfRule type="expression" dxfId="229" priority="228">
      <formula>D55="ok"</formula>
    </cfRule>
  </conditionalFormatting>
  <conditionalFormatting sqref="D56">
    <cfRule type="expression" dxfId="228" priority="225">
      <formula>D56="nok"</formula>
    </cfRule>
    <cfRule type="expression" dxfId="227" priority="226">
      <formula>D56="ok"</formula>
    </cfRule>
  </conditionalFormatting>
  <conditionalFormatting sqref="G57">
    <cfRule type="expression" dxfId="226" priority="223">
      <formula>G57="nok"</formula>
    </cfRule>
    <cfRule type="expression" dxfId="225" priority="224">
      <formula>G57="ok"</formula>
    </cfRule>
  </conditionalFormatting>
  <conditionalFormatting sqref="I58">
    <cfRule type="expression" dxfId="224" priority="221">
      <formula>I58="nok"</formula>
    </cfRule>
    <cfRule type="expression" dxfId="223" priority="222">
      <formula>I58="ok"</formula>
    </cfRule>
  </conditionalFormatting>
  <conditionalFormatting sqref="K59">
    <cfRule type="expression" dxfId="222" priority="219">
      <formula>K59="nok"</formula>
    </cfRule>
    <cfRule type="expression" dxfId="221" priority="220">
      <formula>K59="ok"</formula>
    </cfRule>
  </conditionalFormatting>
  <conditionalFormatting sqref="O60">
    <cfRule type="expression" dxfId="220" priority="217">
      <formula>O60="nok"</formula>
    </cfRule>
    <cfRule type="expression" dxfId="219" priority="218">
      <formula>O60="ok"</formula>
    </cfRule>
  </conditionalFormatting>
  <conditionalFormatting sqref="P61">
    <cfRule type="expression" dxfId="218" priority="215">
      <formula>P61="nok"</formula>
    </cfRule>
    <cfRule type="expression" dxfId="217" priority="216">
      <formula>P61="ok"</formula>
    </cfRule>
  </conditionalFormatting>
  <conditionalFormatting sqref="P63">
    <cfRule type="expression" dxfId="216" priority="213">
      <formula>P63="nok"</formula>
    </cfRule>
    <cfRule type="expression" dxfId="215" priority="214">
      <formula>P63="ok"</formula>
    </cfRule>
  </conditionalFormatting>
  <conditionalFormatting sqref="D67:D68">
    <cfRule type="expression" dxfId="214" priority="211">
      <formula>D67="nok"</formula>
    </cfRule>
    <cfRule type="expression" dxfId="213" priority="212">
      <formula>D67="ok"</formula>
    </cfRule>
  </conditionalFormatting>
  <conditionalFormatting sqref="E70:E71">
    <cfRule type="expression" dxfId="212" priority="209">
      <formula>E70="nok"</formula>
    </cfRule>
    <cfRule type="expression" dxfId="211" priority="210">
      <formula>E70="ok"</formula>
    </cfRule>
  </conditionalFormatting>
  <conditionalFormatting sqref="G72">
    <cfRule type="expression" dxfId="210" priority="207">
      <formula>G72="nok"</formula>
    </cfRule>
    <cfRule type="expression" dxfId="209" priority="208">
      <formula>G72="ok"</formula>
    </cfRule>
  </conditionalFormatting>
  <conditionalFormatting sqref="I73">
    <cfRule type="expression" dxfId="208" priority="205">
      <formula>I73="nok"</formula>
    </cfRule>
    <cfRule type="expression" dxfId="207" priority="206">
      <formula>I73="ok"</formula>
    </cfRule>
  </conditionalFormatting>
  <conditionalFormatting sqref="K74">
    <cfRule type="expression" dxfId="206" priority="203">
      <formula>K74="nok"</formula>
    </cfRule>
    <cfRule type="expression" dxfId="205" priority="204">
      <formula>K74="ok"</formula>
    </cfRule>
  </conditionalFormatting>
  <conditionalFormatting sqref="O75">
    <cfRule type="expression" dxfId="204" priority="201">
      <formula>O75="nok"</formula>
    </cfRule>
    <cfRule type="expression" dxfId="203" priority="202">
      <formula>O75="ok"</formula>
    </cfRule>
  </conditionalFormatting>
  <conditionalFormatting sqref="P76">
    <cfRule type="expression" dxfId="202" priority="199">
      <formula>P76="nok"</formula>
    </cfRule>
    <cfRule type="expression" dxfId="201" priority="200">
      <formula>P76="ok"</formula>
    </cfRule>
  </conditionalFormatting>
  <conditionalFormatting sqref="P78">
    <cfRule type="expression" dxfId="200" priority="197">
      <formula>P78="nok"</formula>
    </cfRule>
    <cfRule type="expression" dxfId="199" priority="198">
      <formula>P78="ok"</formula>
    </cfRule>
  </conditionalFormatting>
  <conditionalFormatting sqref="I86">
    <cfRule type="expression" dxfId="198" priority="195">
      <formula>I86="nok"</formula>
    </cfRule>
    <cfRule type="expression" dxfId="197" priority="196">
      <formula>I86="ok"</formula>
    </cfRule>
  </conditionalFormatting>
  <conditionalFormatting sqref="I88">
    <cfRule type="expression" dxfId="196" priority="193">
      <formula>I88="nok"</formula>
    </cfRule>
    <cfRule type="expression" dxfId="195" priority="194">
      <formula>I88="ok"</formula>
    </cfRule>
  </conditionalFormatting>
  <conditionalFormatting sqref="N89">
    <cfRule type="expression" dxfId="194" priority="191">
      <formula>N89="nok"</formula>
    </cfRule>
    <cfRule type="expression" dxfId="193" priority="192">
      <formula>N89="ok"</formula>
    </cfRule>
  </conditionalFormatting>
  <conditionalFormatting sqref="Q90">
    <cfRule type="expression" dxfId="192" priority="189">
      <formula>Q90="nok"</formula>
    </cfRule>
    <cfRule type="expression" dxfId="191" priority="190">
      <formula>Q90="ok"</formula>
    </cfRule>
  </conditionalFormatting>
  <conditionalFormatting sqref="Q91">
    <cfRule type="expression" dxfId="190" priority="187">
      <formula>Q91="nok"</formula>
    </cfRule>
    <cfRule type="expression" dxfId="189" priority="188">
      <formula>Q91="ok"</formula>
    </cfRule>
  </conditionalFormatting>
  <conditionalFormatting sqref="I93">
    <cfRule type="expression" dxfId="188" priority="185">
      <formula>I93="nok"</formula>
    </cfRule>
    <cfRule type="expression" dxfId="187" priority="186">
      <formula>I93="ok"</formula>
    </cfRule>
  </conditionalFormatting>
  <conditionalFormatting sqref="I95">
    <cfRule type="expression" dxfId="186" priority="183">
      <formula>I95="nok"</formula>
    </cfRule>
    <cfRule type="expression" dxfId="185" priority="184">
      <formula>I95="ok"</formula>
    </cfRule>
  </conditionalFormatting>
  <conditionalFormatting sqref="N96">
    <cfRule type="expression" dxfId="184" priority="181">
      <formula>N96="nok"</formula>
    </cfRule>
    <cfRule type="expression" dxfId="183" priority="182">
      <formula>N96="ok"</formula>
    </cfRule>
  </conditionalFormatting>
  <conditionalFormatting sqref="Q97">
    <cfRule type="expression" dxfId="182" priority="179">
      <formula>Q97="nok"</formula>
    </cfRule>
    <cfRule type="expression" dxfId="181" priority="180">
      <formula>Q97="ok"</formula>
    </cfRule>
  </conditionalFormatting>
  <conditionalFormatting sqref="Q98">
    <cfRule type="expression" dxfId="180" priority="177">
      <formula>Q98="nok"</formula>
    </cfRule>
    <cfRule type="expression" dxfId="179" priority="178">
      <formula>Q98="ok"</formula>
    </cfRule>
  </conditionalFormatting>
  <conditionalFormatting sqref="I100">
    <cfRule type="expression" dxfId="178" priority="175">
      <formula>I100="nok"</formula>
    </cfRule>
    <cfRule type="expression" dxfId="177" priority="176">
      <formula>I100="ok"</formula>
    </cfRule>
  </conditionalFormatting>
  <conditionalFormatting sqref="I102">
    <cfRule type="expression" dxfId="176" priority="173">
      <formula>I102="nok"</formula>
    </cfRule>
    <cfRule type="expression" dxfId="175" priority="174">
      <formula>I102="ok"</formula>
    </cfRule>
  </conditionalFormatting>
  <conditionalFormatting sqref="N103">
    <cfRule type="expression" dxfId="174" priority="171">
      <formula>N103="nok"</formula>
    </cfRule>
    <cfRule type="expression" dxfId="173" priority="172">
      <formula>N103="ok"</formula>
    </cfRule>
  </conditionalFormatting>
  <conditionalFormatting sqref="Q104:Q105">
    <cfRule type="expression" dxfId="172" priority="169">
      <formula>Q104="nok"</formula>
    </cfRule>
    <cfRule type="expression" dxfId="171" priority="170">
      <formula>Q104="ok"</formula>
    </cfRule>
  </conditionalFormatting>
  <conditionalFormatting sqref="H107 J107:Q107">
    <cfRule type="expression" dxfId="170" priority="167">
      <formula>H107="nok"</formula>
    </cfRule>
    <cfRule type="expression" dxfId="169" priority="168">
      <formula>H107="ok"</formula>
    </cfRule>
  </conditionalFormatting>
  <conditionalFormatting sqref="H111:P112 H109 J109:Q109 H110:M110 O110:Q110">
    <cfRule type="expression" dxfId="168" priority="165">
      <formula>H109="nok"</formula>
    </cfRule>
    <cfRule type="expression" dxfId="167" priority="166">
      <formula>H109="ok"</formula>
    </cfRule>
  </conditionalFormatting>
  <conditionalFormatting sqref="I107">
    <cfRule type="expression" dxfId="166" priority="163">
      <formula>I107="nok"</formula>
    </cfRule>
    <cfRule type="expression" dxfId="165" priority="164">
      <formula>I107="ok"</formula>
    </cfRule>
  </conditionalFormatting>
  <conditionalFormatting sqref="I109">
    <cfRule type="expression" dxfId="164" priority="161">
      <formula>I109="nok"</formula>
    </cfRule>
    <cfRule type="expression" dxfId="163" priority="162">
      <formula>I109="ok"</formula>
    </cfRule>
  </conditionalFormatting>
  <conditionalFormatting sqref="N110">
    <cfRule type="expression" dxfId="162" priority="159">
      <formula>N110="nok"</formula>
    </cfRule>
    <cfRule type="expression" dxfId="161" priority="160">
      <formula>N110="ok"</formula>
    </cfRule>
  </conditionalFormatting>
  <conditionalFormatting sqref="Q111:Q112">
    <cfRule type="expression" dxfId="160" priority="157">
      <formula>Q111="nok"</formula>
    </cfRule>
    <cfRule type="expression" dxfId="159" priority="158">
      <formula>Q111="ok"</formula>
    </cfRule>
  </conditionalFormatting>
  <conditionalFormatting sqref="H114 J114:Q114">
    <cfRule type="expression" dxfId="158" priority="155">
      <formula>H114="nok"</formula>
    </cfRule>
    <cfRule type="expression" dxfId="157" priority="156">
      <formula>H114="ok"</formula>
    </cfRule>
  </conditionalFormatting>
  <conditionalFormatting sqref="H118:P119 H116 J116:Q116 H117:M117 O117:Q117">
    <cfRule type="expression" dxfId="156" priority="153">
      <formula>H116="nok"</formula>
    </cfRule>
    <cfRule type="expression" dxfId="155" priority="154">
      <formula>H116="ok"</formula>
    </cfRule>
  </conditionalFormatting>
  <conditionalFormatting sqref="I114">
    <cfRule type="expression" dxfId="154" priority="151">
      <formula>I114="nok"</formula>
    </cfRule>
    <cfRule type="expression" dxfId="153" priority="152">
      <formula>I114="ok"</formula>
    </cfRule>
  </conditionalFormatting>
  <conditionalFormatting sqref="I116">
    <cfRule type="expression" dxfId="152" priority="149">
      <formula>I116="nok"</formula>
    </cfRule>
    <cfRule type="expression" dxfId="151" priority="150">
      <formula>I116="ok"</formula>
    </cfRule>
  </conditionalFormatting>
  <conditionalFormatting sqref="N117">
    <cfRule type="expression" dxfId="150" priority="147">
      <formula>N117="nok"</formula>
    </cfRule>
    <cfRule type="expression" dxfId="149" priority="148">
      <formula>N117="ok"</formula>
    </cfRule>
  </conditionalFormatting>
  <conditionalFormatting sqref="Q118:Q119">
    <cfRule type="expression" dxfId="148" priority="145">
      <formula>Q118="nok"</formula>
    </cfRule>
    <cfRule type="expression" dxfId="147" priority="146">
      <formula>Q118="ok"</formula>
    </cfRule>
  </conditionalFormatting>
  <conditionalFormatting sqref="I121 K121:R121">
    <cfRule type="expression" dxfId="146" priority="143">
      <formula>I121="nok"</formula>
    </cfRule>
    <cfRule type="expression" dxfId="145" priority="144">
      <formula>I121="ok"</formula>
    </cfRule>
  </conditionalFormatting>
  <conditionalFormatting sqref="I125:Q126 I123 K123:R123 I124:N124 P124:R124">
    <cfRule type="expression" dxfId="144" priority="141">
      <formula>I123="nok"</formula>
    </cfRule>
    <cfRule type="expression" dxfId="143" priority="142">
      <formula>I123="ok"</formula>
    </cfRule>
  </conditionalFormatting>
  <conditionalFormatting sqref="J121">
    <cfRule type="expression" dxfId="142" priority="139">
      <formula>J121="nok"</formula>
    </cfRule>
    <cfRule type="expression" dxfId="141" priority="140">
      <formula>J121="ok"</formula>
    </cfRule>
  </conditionalFormatting>
  <conditionalFormatting sqref="J123">
    <cfRule type="expression" dxfId="140" priority="137">
      <formula>J123="nok"</formula>
    </cfRule>
    <cfRule type="expression" dxfId="139" priority="138">
      <formula>J123="ok"</formula>
    </cfRule>
  </conditionalFormatting>
  <conditionalFormatting sqref="O124">
    <cfRule type="expression" dxfId="138" priority="135">
      <formula>O124="nok"</formula>
    </cfRule>
    <cfRule type="expression" dxfId="137" priority="136">
      <formula>O124="ok"</formula>
    </cfRule>
  </conditionalFormatting>
  <conditionalFormatting sqref="R125:R126">
    <cfRule type="expression" dxfId="136" priority="133">
      <formula>R125="nok"</formula>
    </cfRule>
    <cfRule type="expression" dxfId="135" priority="134">
      <formula>R125="ok"</formula>
    </cfRule>
  </conditionalFormatting>
  <conditionalFormatting sqref="I128 K128:R128">
    <cfRule type="expression" dxfId="134" priority="131">
      <formula>I128="nok"</formula>
    </cfRule>
    <cfRule type="expression" dxfId="133" priority="132">
      <formula>I128="ok"</formula>
    </cfRule>
  </conditionalFormatting>
  <conditionalFormatting sqref="I132:Q133 I130 K130:R130 I131:N131 P131:R131">
    <cfRule type="expression" dxfId="132" priority="129">
      <formula>I130="nok"</formula>
    </cfRule>
    <cfRule type="expression" dxfId="131" priority="130">
      <formula>I130="ok"</formula>
    </cfRule>
  </conditionalFormatting>
  <conditionalFormatting sqref="J128">
    <cfRule type="expression" dxfId="130" priority="127">
      <formula>J128="nok"</formula>
    </cfRule>
    <cfRule type="expression" dxfId="129" priority="128">
      <formula>J128="ok"</formula>
    </cfRule>
  </conditionalFormatting>
  <conditionalFormatting sqref="J130">
    <cfRule type="expression" dxfId="128" priority="125">
      <formula>J130="nok"</formula>
    </cfRule>
    <cfRule type="expression" dxfId="127" priority="126">
      <formula>J130="ok"</formula>
    </cfRule>
  </conditionalFormatting>
  <conditionalFormatting sqref="O131">
    <cfRule type="expression" dxfId="126" priority="123">
      <formula>O131="nok"</formula>
    </cfRule>
    <cfRule type="expression" dxfId="125" priority="124">
      <formula>O131="ok"</formula>
    </cfRule>
  </conditionalFormatting>
  <conditionalFormatting sqref="R132:R133">
    <cfRule type="expression" dxfId="124" priority="121">
      <formula>R132="nok"</formula>
    </cfRule>
    <cfRule type="expression" dxfId="123" priority="122">
      <formula>R132="ok"</formula>
    </cfRule>
  </conditionalFormatting>
  <conditionalFormatting sqref="I135 K135:R135">
    <cfRule type="expression" dxfId="122" priority="119">
      <formula>I135="nok"</formula>
    </cfRule>
    <cfRule type="expression" dxfId="121" priority="120">
      <formula>I135="ok"</formula>
    </cfRule>
  </conditionalFormatting>
  <conditionalFormatting sqref="I139:Q140 I137 K137:R137 I138:N138 P138:R138">
    <cfRule type="expression" dxfId="120" priority="117">
      <formula>I137="nok"</formula>
    </cfRule>
    <cfRule type="expression" dxfId="119" priority="118">
      <formula>I137="ok"</formula>
    </cfRule>
  </conditionalFormatting>
  <conditionalFormatting sqref="J135">
    <cfRule type="expression" dxfId="118" priority="115">
      <formula>J135="nok"</formula>
    </cfRule>
    <cfRule type="expression" dxfId="117" priority="116">
      <formula>J135="ok"</formula>
    </cfRule>
  </conditionalFormatting>
  <conditionalFormatting sqref="J137">
    <cfRule type="expression" dxfId="116" priority="113">
      <formula>J137="nok"</formula>
    </cfRule>
    <cfRule type="expression" dxfId="115" priority="114">
      <formula>J137="ok"</formula>
    </cfRule>
  </conditionalFormatting>
  <conditionalFormatting sqref="O138">
    <cfRule type="expression" dxfId="114" priority="111">
      <formula>O138="nok"</formula>
    </cfRule>
    <cfRule type="expression" dxfId="113" priority="112">
      <formula>O138="ok"</formula>
    </cfRule>
  </conditionalFormatting>
  <conditionalFormatting sqref="R139:R140">
    <cfRule type="expression" dxfId="112" priority="109">
      <formula>R139="nok"</formula>
    </cfRule>
    <cfRule type="expression" dxfId="111" priority="110">
      <formula>R139="ok"</formula>
    </cfRule>
  </conditionalFormatting>
  <conditionalFormatting sqref="I142 K142:R142">
    <cfRule type="expression" dxfId="110" priority="107">
      <formula>I142="nok"</formula>
    </cfRule>
    <cfRule type="expression" dxfId="109" priority="108">
      <formula>I142="ok"</formula>
    </cfRule>
  </conditionalFormatting>
  <conditionalFormatting sqref="I146:Q147 I144 K144:R144 I145:N145 P145:R145">
    <cfRule type="expression" dxfId="108" priority="105">
      <formula>I144="nok"</formula>
    </cfRule>
    <cfRule type="expression" dxfId="107" priority="106">
      <formula>I144="ok"</formula>
    </cfRule>
  </conditionalFormatting>
  <conditionalFormatting sqref="J142">
    <cfRule type="expression" dxfId="106" priority="103">
      <formula>J142="nok"</formula>
    </cfRule>
    <cfRule type="expression" dxfId="105" priority="104">
      <formula>J142="ok"</formula>
    </cfRule>
  </conditionalFormatting>
  <conditionalFormatting sqref="J144">
    <cfRule type="expression" dxfId="104" priority="101">
      <formula>J144="nok"</formula>
    </cfRule>
    <cfRule type="expression" dxfId="103" priority="102">
      <formula>J144="ok"</formula>
    </cfRule>
  </conditionalFormatting>
  <conditionalFormatting sqref="O145">
    <cfRule type="expression" dxfId="102" priority="99">
      <formula>O145="nok"</formula>
    </cfRule>
    <cfRule type="expression" dxfId="101" priority="100">
      <formula>O145="ok"</formula>
    </cfRule>
  </conditionalFormatting>
  <conditionalFormatting sqref="R146:R147">
    <cfRule type="expression" dxfId="100" priority="97">
      <formula>R146="nok"</formula>
    </cfRule>
    <cfRule type="expression" dxfId="99" priority="98">
      <formula>R146="ok"</formula>
    </cfRule>
  </conditionalFormatting>
  <conditionalFormatting sqref="J150 L150:S150">
    <cfRule type="expression" dxfId="98" priority="95">
      <formula>J150="nok"</formula>
    </cfRule>
    <cfRule type="expression" dxfId="97" priority="96">
      <formula>J150="ok"</formula>
    </cfRule>
  </conditionalFormatting>
  <conditionalFormatting sqref="J154:R155 J152 L152:S152 J153:O153 Q153:S153">
    <cfRule type="expression" dxfId="96" priority="93">
      <formula>J152="nok"</formula>
    </cfRule>
    <cfRule type="expression" dxfId="95" priority="94">
      <formula>J152="ok"</formula>
    </cfRule>
  </conditionalFormatting>
  <conditionalFormatting sqref="K150">
    <cfRule type="expression" dxfId="94" priority="91">
      <formula>K150="nok"</formula>
    </cfRule>
    <cfRule type="expression" dxfId="93" priority="92">
      <formula>K150="ok"</formula>
    </cfRule>
  </conditionalFormatting>
  <conditionalFormatting sqref="K152">
    <cfRule type="expression" dxfId="92" priority="89">
      <formula>K152="nok"</formula>
    </cfRule>
    <cfRule type="expression" dxfId="91" priority="90">
      <formula>K152="ok"</formula>
    </cfRule>
  </conditionalFormatting>
  <conditionalFormatting sqref="P153">
    <cfRule type="expression" dxfId="90" priority="87">
      <formula>P153="nok"</formula>
    </cfRule>
    <cfRule type="expression" dxfId="89" priority="88">
      <formula>P153="ok"</formula>
    </cfRule>
  </conditionalFormatting>
  <conditionalFormatting sqref="S154:S155">
    <cfRule type="expression" dxfId="88" priority="85">
      <formula>S154="nok"</formula>
    </cfRule>
    <cfRule type="expression" dxfId="87" priority="86">
      <formula>S154="ok"</formula>
    </cfRule>
  </conditionalFormatting>
  <conditionalFormatting sqref="J157 L157:S157">
    <cfRule type="expression" dxfId="86" priority="83">
      <formula>J157="nok"</formula>
    </cfRule>
    <cfRule type="expression" dxfId="85" priority="84">
      <formula>J157="ok"</formula>
    </cfRule>
  </conditionalFormatting>
  <conditionalFormatting sqref="J161:R162 J159 L159:S159 J160:O160 Q160:S160">
    <cfRule type="expression" dxfId="84" priority="81">
      <formula>J159="nok"</formula>
    </cfRule>
    <cfRule type="expression" dxfId="83" priority="82">
      <formula>J159="ok"</formula>
    </cfRule>
  </conditionalFormatting>
  <conditionalFormatting sqref="K157">
    <cfRule type="expression" dxfId="82" priority="79">
      <formula>K157="nok"</formula>
    </cfRule>
    <cfRule type="expression" dxfId="81" priority="80">
      <formula>K157="ok"</formula>
    </cfRule>
  </conditionalFormatting>
  <conditionalFormatting sqref="K159">
    <cfRule type="expression" dxfId="80" priority="77">
      <formula>K159="nok"</formula>
    </cfRule>
    <cfRule type="expression" dxfId="79" priority="78">
      <formula>K159="ok"</formula>
    </cfRule>
  </conditionalFormatting>
  <conditionalFormatting sqref="P160">
    <cfRule type="expression" dxfId="78" priority="75">
      <formula>P160="nok"</formula>
    </cfRule>
    <cfRule type="expression" dxfId="77" priority="76">
      <formula>P160="ok"</formula>
    </cfRule>
  </conditionalFormatting>
  <conditionalFormatting sqref="S161:S162">
    <cfRule type="expression" dxfId="76" priority="73">
      <formula>S161="nok"</formula>
    </cfRule>
    <cfRule type="expression" dxfId="75" priority="74">
      <formula>S161="ok"</formula>
    </cfRule>
  </conditionalFormatting>
  <conditionalFormatting sqref="J164 L164:S164">
    <cfRule type="expression" dxfId="74" priority="71">
      <formula>J164="nok"</formula>
    </cfRule>
    <cfRule type="expression" dxfId="73" priority="72">
      <formula>J164="ok"</formula>
    </cfRule>
  </conditionalFormatting>
  <conditionalFormatting sqref="J168:R169 J166 L166:S166 J167:O167 Q167:S167">
    <cfRule type="expression" dxfId="72" priority="69">
      <formula>J166="nok"</formula>
    </cfRule>
    <cfRule type="expression" dxfId="71" priority="70">
      <formula>J166="ok"</formula>
    </cfRule>
  </conditionalFormatting>
  <conditionalFormatting sqref="K164">
    <cfRule type="expression" dxfId="70" priority="67">
      <formula>K164="nok"</formula>
    </cfRule>
    <cfRule type="expression" dxfId="69" priority="68">
      <formula>K164="ok"</formula>
    </cfRule>
  </conditionalFormatting>
  <conditionalFormatting sqref="K166">
    <cfRule type="expression" dxfId="68" priority="65">
      <formula>K166="nok"</formula>
    </cfRule>
    <cfRule type="expression" dxfId="67" priority="66">
      <formula>K166="ok"</formula>
    </cfRule>
  </conditionalFormatting>
  <conditionalFormatting sqref="P167">
    <cfRule type="expression" dxfId="66" priority="63">
      <formula>P167="nok"</formula>
    </cfRule>
    <cfRule type="expression" dxfId="65" priority="64">
      <formula>P167="ok"</formula>
    </cfRule>
  </conditionalFormatting>
  <conditionalFormatting sqref="S168:S169">
    <cfRule type="expression" dxfId="64" priority="61">
      <formula>S168="nok"</formula>
    </cfRule>
    <cfRule type="expression" dxfId="63" priority="62">
      <formula>S168="ok"</formula>
    </cfRule>
  </conditionalFormatting>
  <conditionalFormatting sqref="J171 L171:S171">
    <cfRule type="expression" dxfId="62" priority="59">
      <formula>J171="nok"</formula>
    </cfRule>
    <cfRule type="expression" dxfId="61" priority="60">
      <formula>J171="ok"</formula>
    </cfRule>
  </conditionalFormatting>
  <conditionalFormatting sqref="J175:R176 J173 L173:S173 J174:O174 Q174:S174">
    <cfRule type="expression" dxfId="60" priority="57">
      <formula>J173="nok"</formula>
    </cfRule>
    <cfRule type="expression" dxfId="59" priority="58">
      <formula>J173="ok"</formula>
    </cfRule>
  </conditionalFormatting>
  <conditionalFormatting sqref="K171">
    <cfRule type="expression" dxfId="58" priority="55">
      <formula>K171="nok"</formula>
    </cfRule>
    <cfRule type="expression" dxfId="57" priority="56">
      <formula>K171="ok"</formula>
    </cfRule>
  </conditionalFormatting>
  <conditionalFormatting sqref="K173">
    <cfRule type="expression" dxfId="56" priority="53">
      <formula>K173="nok"</formula>
    </cfRule>
    <cfRule type="expression" dxfId="55" priority="54">
      <formula>K173="ok"</formula>
    </cfRule>
  </conditionalFormatting>
  <conditionalFormatting sqref="P174">
    <cfRule type="expression" dxfId="54" priority="51">
      <formula>P174="nok"</formula>
    </cfRule>
    <cfRule type="expression" dxfId="53" priority="52">
      <formula>P174="ok"</formula>
    </cfRule>
  </conditionalFormatting>
  <conditionalFormatting sqref="S175:S176">
    <cfRule type="expression" dxfId="52" priority="49">
      <formula>S175="nok"</formula>
    </cfRule>
    <cfRule type="expression" dxfId="51" priority="50">
      <formula>S175="ok"</formula>
    </cfRule>
  </conditionalFormatting>
  <conditionalFormatting sqref="K178 M178:T178">
    <cfRule type="expression" dxfId="50" priority="47">
      <formula>K178="nok"</formula>
    </cfRule>
    <cfRule type="expression" dxfId="49" priority="48">
      <formula>K178="ok"</formula>
    </cfRule>
  </conditionalFormatting>
  <conditionalFormatting sqref="K182:S183 K180 M180:T180 K181:P181 R181:T181">
    <cfRule type="expression" dxfId="48" priority="45">
      <formula>K180="nok"</formula>
    </cfRule>
    <cfRule type="expression" dxfId="47" priority="46">
      <formula>K180="ok"</formula>
    </cfRule>
  </conditionalFormatting>
  <conditionalFormatting sqref="L178">
    <cfRule type="expression" dxfId="46" priority="43">
      <formula>L178="nok"</formula>
    </cfRule>
    <cfRule type="expression" dxfId="45" priority="44">
      <formula>L178="ok"</formula>
    </cfRule>
  </conditionalFormatting>
  <conditionalFormatting sqref="L180">
    <cfRule type="expression" dxfId="44" priority="41">
      <formula>L180="nok"</formula>
    </cfRule>
    <cfRule type="expression" dxfId="43" priority="42">
      <formula>L180="ok"</formula>
    </cfRule>
  </conditionalFormatting>
  <conditionalFormatting sqref="Q181">
    <cfRule type="expression" dxfId="42" priority="39">
      <formula>Q181="nok"</formula>
    </cfRule>
    <cfRule type="expression" dxfId="41" priority="40">
      <formula>Q181="ok"</formula>
    </cfRule>
  </conditionalFormatting>
  <conditionalFormatting sqref="T182:T183">
    <cfRule type="expression" dxfId="40" priority="37">
      <formula>T182="nok"</formula>
    </cfRule>
    <cfRule type="expression" dxfId="39" priority="38">
      <formula>T182="ok"</formula>
    </cfRule>
  </conditionalFormatting>
  <conditionalFormatting sqref="K185 M185:T185">
    <cfRule type="expression" dxfId="38" priority="35">
      <formula>K185="nok"</formula>
    </cfRule>
    <cfRule type="expression" dxfId="37" priority="36">
      <formula>K185="ok"</formula>
    </cfRule>
  </conditionalFormatting>
  <conditionalFormatting sqref="K189:S190 K187 M187:T187 K188:P188 R188:T188">
    <cfRule type="expression" dxfId="36" priority="33">
      <formula>K187="nok"</formula>
    </cfRule>
    <cfRule type="expression" dxfId="35" priority="34">
      <formula>K187="ok"</formula>
    </cfRule>
  </conditionalFormatting>
  <conditionalFormatting sqref="L185">
    <cfRule type="expression" dxfId="34" priority="31">
      <formula>L185="nok"</formula>
    </cfRule>
    <cfRule type="expression" dxfId="33" priority="32">
      <formula>L185="ok"</formula>
    </cfRule>
  </conditionalFormatting>
  <conditionalFormatting sqref="L187">
    <cfRule type="expression" dxfId="32" priority="29">
      <formula>L187="nok"</formula>
    </cfRule>
    <cfRule type="expression" dxfId="31" priority="30">
      <formula>L187="ok"</formula>
    </cfRule>
  </conditionalFormatting>
  <conditionalFormatting sqref="Q188">
    <cfRule type="expression" dxfId="30" priority="27">
      <formula>Q188="nok"</formula>
    </cfRule>
    <cfRule type="expression" dxfId="29" priority="28">
      <formula>Q188="ok"</formula>
    </cfRule>
  </conditionalFormatting>
  <conditionalFormatting sqref="T189:T190">
    <cfRule type="expression" dxfId="28" priority="25">
      <formula>T189="nok"</formula>
    </cfRule>
    <cfRule type="expression" dxfId="27" priority="26">
      <formula>T189="ok"</formula>
    </cfRule>
  </conditionalFormatting>
  <conditionalFormatting sqref="K192 M192:T192">
    <cfRule type="expression" dxfId="26" priority="23">
      <formula>K192="nok"</formula>
    </cfRule>
    <cfRule type="expression" dxfId="25" priority="24">
      <formula>K192="ok"</formula>
    </cfRule>
  </conditionalFormatting>
  <conditionalFormatting sqref="K196:S197 K194 M194:T194 K195:P195 R195:T195">
    <cfRule type="expression" dxfId="24" priority="21">
      <formula>K194="nok"</formula>
    </cfRule>
    <cfRule type="expression" dxfId="23" priority="22">
      <formula>K194="ok"</formula>
    </cfRule>
  </conditionalFormatting>
  <conditionalFormatting sqref="L192">
    <cfRule type="expression" dxfId="22" priority="19">
      <formula>L192="nok"</formula>
    </cfRule>
    <cfRule type="expression" dxfId="21" priority="20">
      <formula>L192="ok"</formula>
    </cfRule>
  </conditionalFormatting>
  <conditionalFormatting sqref="L194">
    <cfRule type="expression" dxfId="20" priority="17">
      <formula>L194="nok"</formula>
    </cfRule>
    <cfRule type="expression" dxfId="19" priority="18">
      <formula>L194="ok"</formula>
    </cfRule>
  </conditionalFormatting>
  <conditionalFormatting sqref="Q195">
    <cfRule type="expression" dxfId="18" priority="15">
      <formula>Q195="nok"</formula>
    </cfRule>
    <cfRule type="expression" dxfId="17" priority="16">
      <formula>Q195="ok"</formula>
    </cfRule>
  </conditionalFormatting>
  <conditionalFormatting sqref="T196:T197">
    <cfRule type="expression" dxfId="16" priority="13">
      <formula>T196="nok"</formula>
    </cfRule>
    <cfRule type="expression" dxfId="15" priority="14">
      <formula>T196="ok"</formula>
    </cfRule>
  </conditionalFormatting>
  <conditionalFormatting sqref="C200:X200">
    <cfRule type="expression" dxfId="14" priority="11">
      <formula>C200="nok"</formula>
    </cfRule>
    <cfRule type="expression" dxfId="13" priority="12">
      <formula>C200="ok"</formula>
    </cfRule>
  </conditionalFormatting>
  <conditionalFormatting sqref="C204:X204">
    <cfRule type="expression" dxfId="12" priority="9">
      <formula>C204="nok"</formula>
    </cfRule>
    <cfRule type="expression" dxfId="11" priority="10">
      <formula>C204="ok"</formula>
    </cfRule>
  </conditionalFormatting>
  <conditionalFormatting sqref="C207:X207">
    <cfRule type="expression" dxfId="10" priority="7">
      <formula>C207="nok"</formula>
    </cfRule>
    <cfRule type="expression" dxfId="9" priority="8">
      <formula>C207="ok"</formula>
    </cfRule>
  </conditionalFormatting>
  <conditionalFormatting sqref="C208:X208">
    <cfRule type="expression" dxfId="8" priority="5">
      <formula>C208="nok"</formula>
    </cfRule>
    <cfRule type="expression" dxfId="7" priority="6">
      <formula>C208="ok"</formula>
    </cfRule>
  </conditionalFormatting>
  <conditionalFormatting sqref="C210:X210">
    <cfRule type="expression" dxfId="6" priority="3">
      <formula>C210="nok"</formula>
    </cfRule>
    <cfRule type="expression" dxfId="5" priority="4">
      <formula>C210="ok"</formula>
    </cfRule>
  </conditionalFormatting>
  <conditionalFormatting sqref="C214:X214">
    <cfRule type="expression" dxfId="4" priority="1">
      <formula>C214="nok"</formula>
    </cfRule>
    <cfRule type="expression" dxfId="3" priority="2">
      <formula>C214="ok"</formula>
    </cfRule>
  </conditionalFormatting>
  <dataValidations count="1">
    <dataValidation type="list" allowBlank="1" showInputMessage="1" showErrorMessage="1" sqref="Y1048563:AB1048576 Y55:AB61 Y52:AB53 Y142:AB142 Y35:AB37 Y123:AB126 Y46:AB49 Y67:AB68 Y185:AB185 Y70:AB76 Y88:AB91 Y93:AB93 Y102:AB105 Y109:AB112 Y114:AB114 Y116:AB119 Y121:AB121 Y128:AB128 Y63:AB64 Y39:AB44 Y192:AB192 Y78:AB79 Y86:AB86 Y100:AB100 Y107:AB107 Y95:AB98 Y130:AB133 Y135:AB135 Y137:AB140 Y187:AB190 Y144:AB147 Y150:AB150 Y152:AB155 Y157:AB157 Y159:AB162 Y164:AB164 Y166:AB169 Y171:AB171 Y173:AB176 Y178:AB178 Y180:AB183 Y200:AB200 Y204:AB204 Y194:AB197 Y214:AB214 Y207:AB210" xr:uid="{C2789954-DC1A-41F6-9504-8C4D1166F74D}">
      <formula1>"ENTREGUE,RISCO,ATRASADO,EFPRAZO,VAZIO"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4ACAB-7597-4DAD-BC03-217E89C436B3}">
  <sheetPr codeName="Planilha15"/>
  <dimension ref="A1:G190"/>
  <sheetViews>
    <sheetView showGridLines="0" zoomScale="59" zoomScaleNormal="59" workbookViewId="0">
      <pane ySplit="7" topLeftCell="A8" activePane="bottomLeft" state="frozen"/>
      <selection activeCell="AD30" sqref="AD30"/>
      <selection pane="bottomLeft" activeCell="F22" sqref="F8:F22"/>
    </sheetView>
  </sheetViews>
  <sheetFormatPr defaultRowHeight="14.5" x14ac:dyDescent="0.35"/>
  <cols>
    <col min="1" max="1" width="70.7265625" customWidth="1"/>
    <col min="2" max="2" width="75.7265625" style="28" customWidth="1"/>
    <col min="3" max="3" width="37.54296875" customWidth="1"/>
    <col min="4" max="4" width="26.81640625" customWidth="1"/>
    <col min="5" max="5" width="73.1796875" style="3" customWidth="1"/>
    <col min="6" max="6" width="16.81640625" customWidth="1"/>
    <col min="7" max="7" width="32.1796875" customWidth="1"/>
  </cols>
  <sheetData>
    <row r="1" spans="1:7" ht="6.75" customHeight="1" x14ac:dyDescent="0.35">
      <c r="A1" s="148"/>
      <c r="E1" s="34"/>
    </row>
    <row r="2" spans="1:7" ht="15" customHeight="1" x14ac:dyDescent="0.35">
      <c r="A2" s="148"/>
      <c r="C2" s="2"/>
      <c r="D2" s="2"/>
      <c r="E2" s="35"/>
      <c r="F2" s="25"/>
    </row>
    <row r="3" spans="1:7" ht="36.75" customHeight="1" x14ac:dyDescent="0.35">
      <c r="A3" s="148"/>
      <c r="C3" s="2"/>
      <c r="D3" s="2"/>
      <c r="E3" s="35"/>
      <c r="F3" s="25"/>
    </row>
    <row r="4" spans="1:7" ht="17.25" customHeight="1" x14ac:dyDescent="0.35">
      <c r="A4" s="148"/>
      <c r="B4" s="148"/>
      <c r="C4" s="149"/>
      <c r="D4" s="149"/>
      <c r="E4" s="150"/>
      <c r="F4" s="145"/>
      <c r="G4" s="145"/>
    </row>
    <row r="5" spans="1:7" ht="34.5" customHeight="1" x14ac:dyDescent="0.35">
      <c r="A5" s="45"/>
      <c r="B5" s="148"/>
      <c r="C5" s="148"/>
      <c r="D5" s="148"/>
      <c r="E5" s="151"/>
      <c r="F5" s="146"/>
      <c r="G5" s="145"/>
    </row>
    <row r="6" spans="1:7" ht="8.25" customHeight="1" x14ac:dyDescent="0.35">
      <c r="A6" s="147" t="s">
        <v>19</v>
      </c>
      <c r="B6" s="38"/>
      <c r="C6" s="20"/>
      <c r="D6" s="20"/>
      <c r="E6" s="36"/>
      <c r="F6" s="22"/>
      <c r="G6" s="22"/>
    </row>
    <row r="7" spans="1:7" ht="41.25" customHeight="1" x14ac:dyDescent="0.35">
      <c r="A7" s="147"/>
      <c r="B7" s="21" t="s">
        <v>18</v>
      </c>
      <c r="C7" s="21" t="s">
        <v>0</v>
      </c>
      <c r="D7" s="21" t="s">
        <v>1</v>
      </c>
      <c r="E7" s="30" t="s">
        <v>12</v>
      </c>
      <c r="F7" s="31" t="s">
        <v>9</v>
      </c>
      <c r="G7" s="31" t="s">
        <v>30</v>
      </c>
    </row>
    <row r="8" spans="1:7" ht="65.150000000000006" customHeight="1" x14ac:dyDescent="0.35">
      <c r="A8" s="39" t="str" cm="1">
        <f t="array" ref="A8:A10">_xlfn._xlws.FILTER(MARCOS!A6:A10003,MARCOS!AF6:AF10003&lt;&gt;"","")</f>
        <v>PT208 - PROJETO RIO TANQUE (Itabira)
ETAPA DE ESCRITÓRIO
PONTE METÁLICA</v>
      </c>
      <c r="B8" s="39" t="str" cm="1">
        <f t="array" ref="B8:B10">_xlfn._xlws.FILTER(MARCOS!B6:B10003,MARCOS!AF6:AF10003&lt;&gt;"","")</f>
        <v>Aprovação do Cliente</v>
      </c>
      <c r="C8" s="67" t="str" cm="1">
        <f t="array" ref="C8:C10">_xlfn._xlws.FILTER(MARCOS!AF6:AF10003,MARCOS!AF6:AF10003&lt;&gt;"","")</f>
        <v>Marcos Freitas</v>
      </c>
      <c r="D8" s="68" cm="1">
        <f t="array" ref="D8:D10">_xlfn._xlws.FILTER(MARCOS!AG6:AG10003,MARCOS!AG6:AG10003&lt;&gt;"","")</f>
        <v>45217</v>
      </c>
      <c r="E8" s="39" t="str" cm="1">
        <f t="array" ref="E8:E10">_xlfn._xlws.FILTER(MARCOS!AH6:AH10003,MARCOS!AH6:AH10003&lt;&gt;"","")</f>
        <v>Entrar em contato com o cliente</v>
      </c>
      <c r="F8" s="27" t="s">
        <v>16</v>
      </c>
    </row>
    <row r="9" spans="1:7" ht="65.150000000000006" customHeight="1" x14ac:dyDescent="0.35">
      <c r="A9" s="41">
        <v>0</v>
      </c>
      <c r="B9" s="41" t="str">
        <v>Certificação do documento - Vibracon</v>
      </c>
      <c r="C9" s="42" t="str">
        <v>Marcos Freitas</v>
      </c>
      <c r="D9" s="43">
        <v>45210</v>
      </c>
      <c r="E9" s="44" t="str">
        <v>Follow-up com o cliente.</v>
      </c>
      <c r="F9" s="27" t="s">
        <v>16</v>
      </c>
      <c r="G9" s="69"/>
    </row>
    <row r="10" spans="1:7" ht="65.150000000000006" customHeight="1" x14ac:dyDescent="0.35">
      <c r="A10" s="40">
        <v>0</v>
      </c>
      <c r="B10" s="40" t="str">
        <v>Modelagem</v>
      </c>
      <c r="C10" s="23" t="str">
        <v>Marcos Freitas</v>
      </c>
      <c r="D10" s="24">
        <v>45210</v>
      </c>
      <c r="E10" s="32" t="str">
        <v>Alocar recurso (Terceiro ou interno).</v>
      </c>
      <c r="F10" s="27" t="s">
        <v>16</v>
      </c>
    </row>
    <row r="11" spans="1:7" ht="65.150000000000006" customHeight="1" x14ac:dyDescent="0.35">
      <c r="A11" s="41"/>
      <c r="B11" s="41"/>
      <c r="C11" s="42"/>
      <c r="D11" s="43"/>
      <c r="E11" s="44"/>
      <c r="F11" s="27" t="s">
        <v>16</v>
      </c>
      <c r="G11" s="69"/>
    </row>
    <row r="12" spans="1:7" ht="65.150000000000006" customHeight="1" x14ac:dyDescent="0.35">
      <c r="A12" s="40"/>
      <c r="B12" s="40"/>
      <c r="C12" s="23"/>
      <c r="D12" s="24"/>
      <c r="E12" s="32"/>
      <c r="F12" s="27" t="s">
        <v>16</v>
      </c>
    </row>
    <row r="13" spans="1:7" ht="65.150000000000006" customHeight="1" x14ac:dyDescent="0.35">
      <c r="A13" s="41"/>
      <c r="B13" s="41"/>
      <c r="C13" s="42"/>
      <c r="D13" s="43"/>
      <c r="E13" s="44"/>
      <c r="F13" s="27" t="s">
        <v>16</v>
      </c>
      <c r="G13" s="69"/>
    </row>
    <row r="14" spans="1:7" ht="65.150000000000006" customHeight="1" x14ac:dyDescent="0.35">
      <c r="A14" s="40"/>
      <c r="B14" s="40"/>
      <c r="C14" s="23"/>
      <c r="D14" s="24"/>
      <c r="E14" s="32"/>
      <c r="F14" s="27" t="s">
        <v>16</v>
      </c>
    </row>
    <row r="15" spans="1:7" ht="65.150000000000006" customHeight="1" x14ac:dyDescent="0.35">
      <c r="A15" s="41"/>
      <c r="B15" s="41"/>
      <c r="C15" s="42"/>
      <c r="D15" s="43"/>
      <c r="E15" s="44"/>
      <c r="F15" s="27" t="s">
        <v>16</v>
      </c>
      <c r="G15" s="69"/>
    </row>
    <row r="16" spans="1:7" ht="65.150000000000006" customHeight="1" x14ac:dyDescent="0.35">
      <c r="A16" s="40"/>
      <c r="B16" s="40"/>
      <c r="C16" s="23"/>
      <c r="D16" s="24"/>
      <c r="E16" s="32"/>
      <c r="F16" s="27" t="s">
        <v>16</v>
      </c>
    </row>
    <row r="17" spans="1:7" ht="65.150000000000006" customHeight="1" x14ac:dyDescent="0.35">
      <c r="A17" s="41"/>
      <c r="B17" s="41"/>
      <c r="C17" s="42"/>
      <c r="D17" s="43"/>
      <c r="E17" s="44"/>
      <c r="F17" s="27" t="s">
        <v>16</v>
      </c>
      <c r="G17" s="69"/>
    </row>
    <row r="18" spans="1:7" ht="65.150000000000006" customHeight="1" x14ac:dyDescent="0.35">
      <c r="A18" s="40"/>
      <c r="B18" s="40"/>
      <c r="C18" s="23"/>
      <c r="D18" s="24"/>
      <c r="E18" s="32"/>
      <c r="F18" s="27" t="s">
        <v>16</v>
      </c>
    </row>
    <row r="19" spans="1:7" ht="65.150000000000006" customHeight="1" x14ac:dyDescent="0.35">
      <c r="A19" s="41"/>
      <c r="B19" s="41"/>
      <c r="C19" s="42"/>
      <c r="D19" s="43"/>
      <c r="E19" s="44"/>
      <c r="F19" s="27" t="s">
        <v>16</v>
      </c>
      <c r="G19" s="69"/>
    </row>
    <row r="20" spans="1:7" ht="65.150000000000006" customHeight="1" x14ac:dyDescent="0.35">
      <c r="A20" s="40"/>
      <c r="B20" s="40"/>
      <c r="C20" s="23"/>
      <c r="D20" s="24"/>
      <c r="E20" s="32"/>
      <c r="F20" s="27" t="s">
        <v>16</v>
      </c>
    </row>
    <row r="21" spans="1:7" ht="65.150000000000006" customHeight="1" x14ac:dyDescent="0.35">
      <c r="A21" s="41"/>
      <c r="B21" s="41"/>
      <c r="C21" s="42"/>
      <c r="D21" s="43"/>
      <c r="E21" s="44"/>
      <c r="F21" s="27" t="s">
        <v>16</v>
      </c>
      <c r="G21" s="69"/>
    </row>
    <row r="22" spans="1:7" ht="65.150000000000006" customHeight="1" x14ac:dyDescent="0.35">
      <c r="A22" s="40"/>
      <c r="B22" s="40"/>
      <c r="C22" s="23"/>
      <c r="D22" s="24"/>
      <c r="E22" s="32"/>
      <c r="F22" s="27" t="s">
        <v>16</v>
      </c>
    </row>
    <row r="23" spans="1:7" ht="65.150000000000006" customHeight="1" x14ac:dyDescent="0.35">
      <c r="A23" s="41"/>
      <c r="B23" s="41"/>
      <c r="C23" s="42"/>
      <c r="D23" s="43"/>
      <c r="E23" s="44"/>
      <c r="F23" s="27" t="s">
        <v>16</v>
      </c>
      <c r="G23" s="69"/>
    </row>
    <row r="24" spans="1:7" ht="65.150000000000006" customHeight="1" x14ac:dyDescent="0.35">
      <c r="A24" s="40"/>
      <c r="B24" s="40"/>
      <c r="C24" s="23"/>
      <c r="D24" s="24"/>
      <c r="E24" s="32"/>
      <c r="F24" s="27" t="s">
        <v>16</v>
      </c>
    </row>
    <row r="25" spans="1:7" ht="65.150000000000006" customHeight="1" x14ac:dyDescent="0.35">
      <c r="A25" s="41"/>
      <c r="B25" s="41"/>
      <c r="C25" s="42"/>
      <c r="D25" s="43"/>
      <c r="E25" s="44"/>
      <c r="F25" s="27" t="s">
        <v>16</v>
      </c>
      <c r="G25" s="69"/>
    </row>
    <row r="26" spans="1:7" ht="65.150000000000006" customHeight="1" x14ac:dyDescent="0.35">
      <c r="A26" s="40"/>
      <c r="B26" s="40"/>
      <c r="C26" s="23"/>
      <c r="D26" s="24"/>
      <c r="E26" s="32"/>
      <c r="F26" s="27" t="s">
        <v>16</v>
      </c>
    </row>
    <row r="27" spans="1:7" ht="65.150000000000006" customHeight="1" x14ac:dyDescent="0.35">
      <c r="A27" s="41"/>
      <c r="B27" s="41"/>
      <c r="C27" s="42"/>
      <c r="D27" s="43"/>
      <c r="E27" s="44"/>
      <c r="F27" s="27" t="s">
        <v>16</v>
      </c>
      <c r="G27" s="69"/>
    </row>
    <row r="28" spans="1:7" ht="65.150000000000006" customHeight="1" x14ac:dyDescent="0.35">
      <c r="A28" s="40"/>
      <c r="B28" s="40"/>
      <c r="C28" s="23"/>
      <c r="D28" s="24"/>
      <c r="E28" s="32"/>
      <c r="F28" s="27" t="s">
        <v>16</v>
      </c>
    </row>
    <row r="29" spans="1:7" ht="65.150000000000006" customHeight="1" x14ac:dyDescent="0.35">
      <c r="A29" s="41"/>
      <c r="B29" s="41"/>
      <c r="C29" s="42"/>
      <c r="D29" s="43"/>
      <c r="E29" s="44"/>
      <c r="F29" s="27" t="s">
        <v>16</v>
      </c>
      <c r="G29" s="69"/>
    </row>
    <row r="30" spans="1:7" ht="65.150000000000006" customHeight="1" x14ac:dyDescent="0.35">
      <c r="A30" s="40"/>
      <c r="B30" s="40"/>
      <c r="C30" s="23"/>
      <c r="D30" s="24"/>
      <c r="E30" s="32"/>
      <c r="F30" s="27" t="s">
        <v>16</v>
      </c>
    </row>
    <row r="31" spans="1:7" ht="65.150000000000006" customHeight="1" x14ac:dyDescent="0.35">
      <c r="A31" s="41"/>
      <c r="B31" s="41"/>
      <c r="C31" s="42"/>
      <c r="D31" s="43"/>
      <c r="E31" s="44"/>
      <c r="F31" s="27" t="s">
        <v>16</v>
      </c>
      <c r="G31" s="69"/>
    </row>
    <row r="32" spans="1:7" ht="65.150000000000006" customHeight="1" x14ac:dyDescent="0.35">
      <c r="A32" s="40"/>
      <c r="B32" s="40"/>
      <c r="C32" s="23"/>
      <c r="D32" s="24"/>
      <c r="E32" s="32"/>
      <c r="F32" s="27" t="s">
        <v>16</v>
      </c>
    </row>
    <row r="33" spans="1:7" ht="65.150000000000006" customHeight="1" x14ac:dyDescent="0.35">
      <c r="A33" s="41"/>
      <c r="B33" s="41"/>
      <c r="C33" s="42"/>
      <c r="D33" s="43"/>
      <c r="E33" s="44"/>
      <c r="F33" s="27" t="s">
        <v>16</v>
      </c>
      <c r="G33" s="69"/>
    </row>
    <row r="34" spans="1:7" ht="65.150000000000006" customHeight="1" x14ac:dyDescent="0.35">
      <c r="A34" s="40"/>
      <c r="B34" s="40"/>
      <c r="C34" s="23"/>
      <c r="D34" s="24"/>
      <c r="E34" s="32"/>
      <c r="F34" s="27" t="s">
        <v>16</v>
      </c>
    </row>
    <row r="35" spans="1:7" ht="65.150000000000006" customHeight="1" x14ac:dyDescent="0.35">
      <c r="A35" s="41"/>
      <c r="B35" s="41"/>
      <c r="C35" s="42"/>
      <c r="D35" s="43"/>
      <c r="E35" s="44"/>
      <c r="F35" s="27" t="s">
        <v>16</v>
      </c>
      <c r="G35" s="69"/>
    </row>
    <row r="36" spans="1:7" ht="65.150000000000006" customHeight="1" x14ac:dyDescent="0.35">
      <c r="A36" s="40"/>
      <c r="B36" s="40"/>
      <c r="C36" s="23"/>
      <c r="D36" s="24"/>
      <c r="E36" s="32"/>
      <c r="F36" s="27" t="s">
        <v>16</v>
      </c>
    </row>
    <row r="37" spans="1:7" ht="65.150000000000006" customHeight="1" x14ac:dyDescent="0.35">
      <c r="A37" s="41"/>
      <c r="B37" s="41"/>
      <c r="C37" s="42"/>
      <c r="D37" s="43"/>
      <c r="E37" s="44"/>
      <c r="F37" s="27" t="s">
        <v>16</v>
      </c>
      <c r="G37" s="69"/>
    </row>
    <row r="38" spans="1:7" ht="65.150000000000006" customHeight="1" x14ac:dyDescent="0.35">
      <c r="A38" s="40"/>
      <c r="B38" s="40"/>
      <c r="C38" s="23"/>
      <c r="D38" s="24"/>
      <c r="E38" s="32"/>
      <c r="F38" s="27" t="s">
        <v>16</v>
      </c>
    </row>
    <row r="39" spans="1:7" ht="65.150000000000006" customHeight="1" x14ac:dyDescent="0.35">
      <c r="A39" s="41"/>
      <c r="B39" s="41"/>
      <c r="C39" s="42"/>
      <c r="D39" s="43"/>
      <c r="E39" s="44"/>
      <c r="F39" s="27" t="s">
        <v>16</v>
      </c>
      <c r="G39" s="69"/>
    </row>
    <row r="40" spans="1:7" ht="65.150000000000006" customHeight="1" x14ac:dyDescent="0.35">
      <c r="A40" s="40"/>
      <c r="B40" s="40"/>
      <c r="C40" s="23"/>
      <c r="D40" s="24"/>
      <c r="E40" s="32"/>
      <c r="F40" s="27" t="s">
        <v>16</v>
      </c>
    </row>
    <row r="41" spans="1:7" ht="65.150000000000006" customHeight="1" x14ac:dyDescent="0.35">
      <c r="A41" s="41"/>
      <c r="B41" s="41"/>
      <c r="C41" s="42"/>
      <c r="D41" s="43"/>
      <c r="E41" s="44"/>
      <c r="F41" s="27" t="s">
        <v>16</v>
      </c>
      <c r="G41" s="69"/>
    </row>
    <row r="42" spans="1:7" ht="65.150000000000006" customHeight="1" x14ac:dyDescent="0.35">
      <c r="A42" s="40"/>
      <c r="B42" s="40"/>
      <c r="C42" s="23"/>
      <c r="D42" s="24"/>
      <c r="E42" s="32"/>
      <c r="F42" s="27" t="s">
        <v>16</v>
      </c>
    </row>
    <row r="43" spans="1:7" ht="65.150000000000006" customHeight="1" x14ac:dyDescent="0.35">
      <c r="A43" s="41"/>
      <c r="B43" s="41"/>
      <c r="C43" s="42"/>
      <c r="D43" s="43"/>
      <c r="E43" s="44"/>
      <c r="F43" s="27" t="s">
        <v>16</v>
      </c>
      <c r="G43" s="69"/>
    </row>
    <row r="44" spans="1:7" ht="65.150000000000006" customHeight="1" x14ac:dyDescent="0.35">
      <c r="A44" s="40"/>
      <c r="B44" s="40"/>
      <c r="C44" s="23"/>
      <c r="D44" s="24"/>
      <c r="E44" s="32"/>
      <c r="F44" s="27" t="s">
        <v>16</v>
      </c>
    </row>
    <row r="45" spans="1:7" ht="65.150000000000006" customHeight="1" x14ac:dyDescent="0.35">
      <c r="A45" s="41"/>
      <c r="B45" s="41"/>
      <c r="C45" s="42"/>
      <c r="D45" s="43"/>
      <c r="E45" s="44"/>
      <c r="F45" s="27" t="s">
        <v>16</v>
      </c>
      <c r="G45" s="69"/>
    </row>
    <row r="46" spans="1:7" ht="65.150000000000006" customHeight="1" x14ac:dyDescent="0.35">
      <c r="A46" s="40"/>
      <c r="B46" s="40"/>
      <c r="C46" s="23"/>
      <c r="D46" s="24"/>
      <c r="E46" s="32"/>
      <c r="F46" s="27" t="s">
        <v>16</v>
      </c>
    </row>
    <row r="47" spans="1:7" ht="65.150000000000006" customHeight="1" x14ac:dyDescent="0.35">
      <c r="A47" s="41"/>
      <c r="B47" s="41"/>
      <c r="C47" s="42"/>
      <c r="D47" s="43"/>
      <c r="E47" s="44"/>
      <c r="F47" s="27" t="s">
        <v>16</v>
      </c>
      <c r="G47" s="69"/>
    </row>
    <row r="48" spans="1:7" ht="65.150000000000006" customHeight="1" x14ac:dyDescent="0.35">
      <c r="A48" s="40"/>
      <c r="B48" s="40"/>
      <c r="C48" s="23"/>
      <c r="D48" s="24"/>
      <c r="E48" s="32"/>
      <c r="F48" s="27" t="s">
        <v>16</v>
      </c>
    </row>
    <row r="49" spans="1:7" ht="65.150000000000006" customHeight="1" x14ac:dyDescent="0.35">
      <c r="A49" s="41"/>
      <c r="B49" s="41"/>
      <c r="C49" s="42"/>
      <c r="D49" s="43"/>
      <c r="E49" s="44"/>
      <c r="F49" s="27" t="s">
        <v>16</v>
      </c>
      <c r="G49" s="69"/>
    </row>
    <row r="50" spans="1:7" ht="65.150000000000006" customHeight="1" x14ac:dyDescent="0.35">
      <c r="A50" s="40"/>
      <c r="B50" s="40"/>
      <c r="C50" s="23"/>
      <c r="D50" s="24"/>
      <c r="E50" s="32"/>
      <c r="F50" s="27" t="s">
        <v>16</v>
      </c>
    </row>
    <row r="51" spans="1:7" ht="65.150000000000006" customHeight="1" x14ac:dyDescent="0.35">
      <c r="A51" s="41"/>
      <c r="B51" s="41"/>
      <c r="C51" s="42"/>
      <c r="D51" s="43"/>
      <c r="E51" s="44"/>
      <c r="F51" s="27" t="s">
        <v>16</v>
      </c>
      <c r="G51" s="69"/>
    </row>
    <row r="52" spans="1:7" ht="65.150000000000006" customHeight="1" x14ac:dyDescent="0.35">
      <c r="A52" s="40"/>
      <c r="B52" s="40"/>
      <c r="C52" s="23"/>
      <c r="D52" s="24"/>
      <c r="E52" s="32"/>
      <c r="F52" s="27" t="s">
        <v>16</v>
      </c>
    </row>
    <row r="53" spans="1:7" ht="65.150000000000006" customHeight="1" x14ac:dyDescent="0.35">
      <c r="A53" s="41"/>
      <c r="B53" s="41"/>
      <c r="C53" s="42"/>
      <c r="D53" s="43"/>
      <c r="E53" s="44"/>
      <c r="F53" s="27" t="s">
        <v>16</v>
      </c>
      <c r="G53" s="69"/>
    </row>
    <row r="54" spans="1:7" ht="65.150000000000006" customHeight="1" x14ac:dyDescent="0.35">
      <c r="A54" s="40"/>
      <c r="B54" s="40"/>
      <c r="C54" s="23"/>
      <c r="D54" s="24"/>
      <c r="E54" s="32"/>
      <c r="F54" s="27" t="s">
        <v>16</v>
      </c>
    </row>
    <row r="55" spans="1:7" ht="65.150000000000006" customHeight="1" x14ac:dyDescent="0.35">
      <c r="A55" s="41"/>
      <c r="B55" s="41"/>
      <c r="C55" s="42"/>
      <c r="D55" s="43"/>
      <c r="E55" s="44"/>
      <c r="F55" s="27" t="s">
        <v>16</v>
      </c>
      <c r="G55" s="69"/>
    </row>
    <row r="56" spans="1:7" ht="65.150000000000006" customHeight="1" x14ac:dyDescent="0.35">
      <c r="A56" s="40"/>
      <c r="B56" s="40"/>
      <c r="C56" s="23"/>
      <c r="D56" s="24"/>
      <c r="E56" s="32"/>
      <c r="F56" s="27" t="s">
        <v>16</v>
      </c>
    </row>
    <row r="57" spans="1:7" ht="65.150000000000006" customHeight="1" x14ac:dyDescent="0.35">
      <c r="A57" s="41"/>
      <c r="B57" s="41"/>
      <c r="C57" s="42"/>
      <c r="D57" s="43"/>
      <c r="E57" s="44"/>
      <c r="F57" s="27" t="s">
        <v>16</v>
      </c>
      <c r="G57" s="69"/>
    </row>
    <row r="58" spans="1:7" ht="65.150000000000006" customHeight="1" x14ac:dyDescent="0.35">
      <c r="A58" s="40"/>
      <c r="B58" s="40"/>
      <c r="C58" s="23"/>
      <c r="D58" s="24"/>
      <c r="E58" s="32"/>
      <c r="F58" s="27" t="s">
        <v>16</v>
      </c>
    </row>
    <row r="59" spans="1:7" ht="65.150000000000006" customHeight="1" x14ac:dyDescent="0.35">
      <c r="A59" s="41"/>
      <c r="B59" s="41"/>
      <c r="C59" s="42"/>
      <c r="D59" s="43"/>
      <c r="E59" s="44"/>
      <c r="F59" s="27" t="s">
        <v>16</v>
      </c>
      <c r="G59" s="69"/>
    </row>
    <row r="60" spans="1:7" ht="65.150000000000006" customHeight="1" x14ac:dyDescent="0.35">
      <c r="A60" s="40"/>
      <c r="B60" s="40"/>
      <c r="C60" s="23"/>
      <c r="D60" s="24"/>
      <c r="E60" s="32"/>
      <c r="F60" s="27" t="s">
        <v>16</v>
      </c>
    </row>
    <row r="61" spans="1:7" ht="65.150000000000006" customHeight="1" x14ac:dyDescent="0.35">
      <c r="A61" s="41"/>
      <c r="B61" s="41"/>
      <c r="C61" s="42"/>
      <c r="D61" s="43"/>
      <c r="E61" s="44"/>
      <c r="F61" s="27" t="s">
        <v>16</v>
      </c>
      <c r="G61" s="69"/>
    </row>
    <row r="62" spans="1:7" ht="65.150000000000006" customHeight="1" x14ac:dyDescent="0.35">
      <c r="A62" s="40"/>
      <c r="B62" s="40"/>
      <c r="C62" s="23"/>
      <c r="D62" s="24"/>
      <c r="E62" s="32"/>
      <c r="F62" s="27" t="s">
        <v>16</v>
      </c>
    </row>
    <row r="63" spans="1:7" ht="65.150000000000006" customHeight="1" x14ac:dyDescent="0.35">
      <c r="A63" s="41"/>
      <c r="B63" s="41"/>
      <c r="C63" s="42"/>
      <c r="D63" s="43"/>
      <c r="E63" s="44"/>
      <c r="F63" s="27" t="s">
        <v>16</v>
      </c>
      <c r="G63" s="69"/>
    </row>
    <row r="64" spans="1:7" ht="65.150000000000006" customHeight="1" x14ac:dyDescent="0.35">
      <c r="A64" s="40"/>
      <c r="B64" s="40"/>
      <c r="C64" s="23"/>
      <c r="D64" s="24"/>
      <c r="E64" s="32"/>
      <c r="F64" s="27" t="s">
        <v>16</v>
      </c>
    </row>
    <row r="65" spans="1:7" ht="65.150000000000006" customHeight="1" x14ac:dyDescent="0.35">
      <c r="A65" s="41"/>
      <c r="B65" s="41"/>
      <c r="C65" s="42"/>
      <c r="D65" s="43"/>
      <c r="E65" s="44"/>
      <c r="F65" s="27" t="s">
        <v>16</v>
      </c>
      <c r="G65" s="69"/>
    </row>
    <row r="66" spans="1:7" ht="65.150000000000006" customHeight="1" x14ac:dyDescent="0.35">
      <c r="A66" s="40"/>
      <c r="B66" s="40"/>
      <c r="C66" s="23"/>
      <c r="D66" s="24"/>
      <c r="E66" s="32"/>
      <c r="F66" s="27" t="s">
        <v>16</v>
      </c>
    </row>
    <row r="67" spans="1:7" ht="65.150000000000006" customHeight="1" x14ac:dyDescent="0.35">
      <c r="A67" s="41"/>
      <c r="B67" s="41"/>
      <c r="C67" s="42"/>
      <c r="D67" s="43"/>
      <c r="E67" s="44"/>
      <c r="F67" s="27" t="s">
        <v>16</v>
      </c>
      <c r="G67" s="69"/>
    </row>
    <row r="68" spans="1:7" ht="65.150000000000006" customHeight="1" x14ac:dyDescent="0.35">
      <c r="A68" s="40"/>
      <c r="B68" s="40"/>
      <c r="C68" s="23"/>
      <c r="D68" s="24"/>
      <c r="E68" s="32"/>
      <c r="F68" s="27" t="s">
        <v>16</v>
      </c>
    </row>
    <row r="69" spans="1:7" ht="65.150000000000006" customHeight="1" x14ac:dyDescent="0.35">
      <c r="A69" s="41"/>
      <c r="B69" s="41"/>
      <c r="C69" s="42"/>
      <c r="D69" s="43"/>
      <c r="E69" s="44"/>
      <c r="F69" s="27" t="s">
        <v>16</v>
      </c>
    </row>
    <row r="70" spans="1:7" ht="65.150000000000006" customHeight="1" x14ac:dyDescent="0.35">
      <c r="A70" s="40"/>
      <c r="B70" s="40"/>
      <c r="C70" s="23"/>
      <c r="D70" s="24"/>
      <c r="E70" s="32"/>
      <c r="F70" s="27" t="s">
        <v>16</v>
      </c>
    </row>
    <row r="71" spans="1:7" ht="65.150000000000006" customHeight="1" x14ac:dyDescent="0.35">
      <c r="A71" s="41"/>
      <c r="B71" s="41"/>
      <c r="C71" s="42"/>
      <c r="D71" s="43"/>
      <c r="E71" s="44"/>
      <c r="F71" s="27" t="s">
        <v>16</v>
      </c>
    </row>
    <row r="72" spans="1:7" ht="65.150000000000006" customHeight="1" x14ac:dyDescent="0.35">
      <c r="A72" s="40"/>
      <c r="B72" s="40"/>
      <c r="C72" s="23"/>
      <c r="D72" s="24"/>
      <c r="E72" s="32"/>
      <c r="F72" s="27" t="s">
        <v>16</v>
      </c>
    </row>
    <row r="73" spans="1:7" ht="65.150000000000006" customHeight="1" x14ac:dyDescent="0.35">
      <c r="A73" s="41"/>
      <c r="B73" s="41"/>
      <c r="C73" s="42"/>
      <c r="D73" s="43"/>
      <c r="E73" s="44"/>
      <c r="F73" s="27" t="s">
        <v>16</v>
      </c>
    </row>
    <row r="74" spans="1:7" ht="65.150000000000006" customHeight="1" x14ac:dyDescent="0.35">
      <c r="A74" s="40"/>
      <c r="B74" s="40"/>
      <c r="C74" s="23"/>
      <c r="D74" s="24"/>
      <c r="E74" s="32"/>
      <c r="F74" s="27" t="s">
        <v>16</v>
      </c>
    </row>
    <row r="75" spans="1:7" ht="65.150000000000006" customHeight="1" x14ac:dyDescent="0.35">
      <c r="A75" s="41"/>
      <c r="B75" s="41"/>
      <c r="C75" s="42"/>
      <c r="D75" s="43"/>
      <c r="E75" s="44"/>
      <c r="F75" s="27" t="s">
        <v>16</v>
      </c>
    </row>
    <row r="76" spans="1:7" ht="65.150000000000006" customHeight="1" x14ac:dyDescent="0.35">
      <c r="A76" s="40"/>
      <c r="B76" s="40"/>
      <c r="C76" s="23"/>
      <c r="D76" s="24"/>
      <c r="E76" s="32"/>
      <c r="F76" s="27" t="s">
        <v>16</v>
      </c>
    </row>
    <row r="77" spans="1:7" ht="65.150000000000006" customHeight="1" x14ac:dyDescent="0.35">
      <c r="A77" s="41"/>
      <c r="B77" s="41"/>
      <c r="C77" s="42"/>
      <c r="D77" s="43"/>
      <c r="E77" s="44"/>
      <c r="F77" s="27" t="s">
        <v>16</v>
      </c>
    </row>
    <row r="78" spans="1:7" ht="65.150000000000006" customHeight="1" x14ac:dyDescent="0.35">
      <c r="B78" s="37"/>
      <c r="C78" s="23"/>
      <c r="D78" s="24"/>
      <c r="E78" s="32"/>
      <c r="F78" s="27" t="s">
        <v>16</v>
      </c>
    </row>
    <row r="79" spans="1:7" ht="65.150000000000006" customHeight="1" x14ac:dyDescent="0.35">
      <c r="B79" s="37"/>
      <c r="C79" s="23"/>
      <c r="D79" s="24"/>
      <c r="E79" s="32"/>
      <c r="F79" s="27" t="s">
        <v>16</v>
      </c>
    </row>
    <row r="80" spans="1:7" ht="65.150000000000006" customHeight="1" x14ac:dyDescent="0.35">
      <c r="B80" s="37"/>
      <c r="C80" s="23"/>
      <c r="D80" s="24"/>
      <c r="E80" s="32"/>
      <c r="F80" s="27" t="s">
        <v>16</v>
      </c>
    </row>
    <row r="81" spans="2:6" ht="65.150000000000006" customHeight="1" x14ac:dyDescent="0.35">
      <c r="B81" s="37"/>
      <c r="C81" s="23"/>
      <c r="D81" s="24"/>
      <c r="E81" s="32"/>
      <c r="F81" s="27" t="s">
        <v>16</v>
      </c>
    </row>
    <row r="82" spans="2:6" ht="65.150000000000006" customHeight="1" x14ac:dyDescent="0.35">
      <c r="B82" s="37"/>
      <c r="C82" s="23"/>
      <c r="D82" s="24"/>
      <c r="E82" s="32"/>
      <c r="F82" s="27" t="s">
        <v>16</v>
      </c>
    </row>
    <row r="83" spans="2:6" ht="65.150000000000006" customHeight="1" x14ac:dyDescent="0.35">
      <c r="B83" s="37"/>
      <c r="C83" s="23"/>
      <c r="D83" s="24"/>
      <c r="E83" s="32"/>
      <c r="F83" s="27" t="s">
        <v>16</v>
      </c>
    </row>
    <row r="84" spans="2:6" ht="65.150000000000006" customHeight="1" x14ac:dyDescent="0.35">
      <c r="B84" s="37"/>
      <c r="C84" s="23"/>
      <c r="D84" s="24"/>
      <c r="E84" s="32"/>
      <c r="F84" s="27" t="s">
        <v>16</v>
      </c>
    </row>
    <row r="85" spans="2:6" ht="65.150000000000006" customHeight="1" x14ac:dyDescent="0.35">
      <c r="B85" s="37"/>
      <c r="C85" s="23"/>
      <c r="D85" s="24"/>
      <c r="E85" s="32"/>
      <c r="F85" s="27" t="s">
        <v>16</v>
      </c>
    </row>
    <row r="86" spans="2:6" ht="65.150000000000006" customHeight="1" x14ac:dyDescent="0.35">
      <c r="B86" s="37"/>
      <c r="C86" s="23"/>
      <c r="D86" s="24"/>
      <c r="E86" s="32"/>
      <c r="F86" s="27" t="s">
        <v>16</v>
      </c>
    </row>
    <row r="87" spans="2:6" ht="65.150000000000006" customHeight="1" x14ac:dyDescent="0.35">
      <c r="B87" s="37"/>
      <c r="C87" s="23"/>
      <c r="D87" s="24"/>
      <c r="E87" s="32"/>
      <c r="F87" s="27" t="s">
        <v>16</v>
      </c>
    </row>
    <row r="88" spans="2:6" ht="65.150000000000006" customHeight="1" x14ac:dyDescent="0.35">
      <c r="B88" s="37"/>
      <c r="C88" s="23"/>
      <c r="D88" s="24"/>
      <c r="E88" s="32"/>
      <c r="F88" s="27" t="s">
        <v>16</v>
      </c>
    </row>
    <row r="89" spans="2:6" ht="65.150000000000006" customHeight="1" x14ac:dyDescent="0.35">
      <c r="B89" s="37"/>
      <c r="C89" s="23"/>
      <c r="D89" s="24"/>
      <c r="E89" s="32"/>
      <c r="F89" s="27" t="s">
        <v>16</v>
      </c>
    </row>
    <row r="90" spans="2:6" ht="65.150000000000006" customHeight="1" x14ac:dyDescent="0.35">
      <c r="B90" s="37"/>
      <c r="C90" s="23"/>
      <c r="D90" s="24"/>
      <c r="E90" s="32"/>
      <c r="F90" s="27" t="s">
        <v>16</v>
      </c>
    </row>
    <row r="91" spans="2:6" ht="65.150000000000006" customHeight="1" x14ac:dyDescent="0.35">
      <c r="B91" s="37"/>
      <c r="C91" s="23"/>
      <c r="D91" s="24"/>
      <c r="E91" s="32"/>
      <c r="F91" s="27" t="s">
        <v>16</v>
      </c>
    </row>
    <row r="92" spans="2:6" ht="65.150000000000006" customHeight="1" x14ac:dyDescent="0.35">
      <c r="B92" s="37"/>
      <c r="C92" s="23"/>
      <c r="D92" s="24"/>
      <c r="E92" s="32"/>
      <c r="F92" s="27" t="s">
        <v>16</v>
      </c>
    </row>
    <row r="93" spans="2:6" ht="65.150000000000006" customHeight="1" x14ac:dyDescent="0.35">
      <c r="B93" s="37"/>
      <c r="C93" s="23"/>
      <c r="D93" s="24"/>
      <c r="E93" s="32"/>
      <c r="F93" s="27" t="s">
        <v>16</v>
      </c>
    </row>
    <row r="94" spans="2:6" ht="65.150000000000006" customHeight="1" x14ac:dyDescent="0.35">
      <c r="B94" s="37"/>
      <c r="C94" s="23"/>
      <c r="D94" s="24"/>
      <c r="E94" s="32"/>
      <c r="F94" s="27" t="s">
        <v>16</v>
      </c>
    </row>
    <row r="95" spans="2:6" ht="65.150000000000006" customHeight="1" x14ac:dyDescent="0.35">
      <c r="B95" s="37"/>
      <c r="C95" s="23"/>
      <c r="D95" s="24"/>
      <c r="E95" s="32"/>
      <c r="F95" s="27" t="s">
        <v>16</v>
      </c>
    </row>
    <row r="96" spans="2:6" ht="65.150000000000006" customHeight="1" x14ac:dyDescent="0.35">
      <c r="B96" s="37"/>
      <c r="C96" s="23"/>
      <c r="D96" s="24"/>
      <c r="E96" s="32"/>
      <c r="F96" s="27" t="s">
        <v>16</v>
      </c>
    </row>
    <row r="97" spans="2:6" ht="65.150000000000006" customHeight="1" x14ac:dyDescent="0.35">
      <c r="B97" s="37"/>
      <c r="C97" s="23"/>
      <c r="D97" s="24"/>
      <c r="E97" s="32"/>
      <c r="F97" s="27" t="s">
        <v>16</v>
      </c>
    </row>
    <row r="98" spans="2:6" ht="65.150000000000006" customHeight="1" x14ac:dyDescent="0.35">
      <c r="B98" s="37"/>
      <c r="C98" s="23"/>
      <c r="D98" s="24"/>
      <c r="E98" s="32"/>
      <c r="F98" s="27" t="s">
        <v>16</v>
      </c>
    </row>
    <row r="99" spans="2:6" ht="65.150000000000006" customHeight="1" x14ac:dyDescent="0.35">
      <c r="B99" s="37"/>
      <c r="C99" s="23"/>
      <c r="D99" s="24"/>
      <c r="E99" s="32"/>
      <c r="F99" s="27" t="s">
        <v>16</v>
      </c>
    </row>
    <row r="100" spans="2:6" ht="65.150000000000006" customHeight="1" x14ac:dyDescent="0.35">
      <c r="B100" s="37"/>
      <c r="C100" s="23"/>
      <c r="D100" s="24"/>
      <c r="E100" s="32"/>
      <c r="F100" s="27" t="s">
        <v>16</v>
      </c>
    </row>
    <row r="101" spans="2:6" ht="65.150000000000006" customHeight="1" x14ac:dyDescent="0.35">
      <c r="B101" s="37"/>
      <c r="C101" s="23"/>
      <c r="D101" s="24"/>
      <c r="E101" s="32"/>
      <c r="F101" s="27" t="s">
        <v>16</v>
      </c>
    </row>
    <row r="102" spans="2:6" ht="65.150000000000006" customHeight="1" x14ac:dyDescent="0.35">
      <c r="B102" s="37"/>
      <c r="C102" s="23"/>
      <c r="D102" s="24"/>
      <c r="E102" s="32"/>
      <c r="F102" s="27" t="s">
        <v>16</v>
      </c>
    </row>
    <row r="103" spans="2:6" ht="65.150000000000006" customHeight="1" x14ac:dyDescent="0.35">
      <c r="B103" s="37"/>
      <c r="C103" s="23"/>
      <c r="D103" s="24"/>
      <c r="E103" s="32"/>
      <c r="F103" s="27" t="s">
        <v>16</v>
      </c>
    </row>
    <row r="104" spans="2:6" ht="65.150000000000006" customHeight="1" x14ac:dyDescent="0.35">
      <c r="B104" s="37"/>
      <c r="C104" s="23"/>
      <c r="D104" s="24"/>
      <c r="E104" s="32"/>
      <c r="F104" s="27" t="s">
        <v>16</v>
      </c>
    </row>
    <row r="105" spans="2:6" ht="65.150000000000006" customHeight="1" x14ac:dyDescent="0.35">
      <c r="B105" s="37"/>
      <c r="C105" s="23"/>
      <c r="D105" s="24"/>
      <c r="E105" s="32"/>
      <c r="F105" s="27" t="s">
        <v>16</v>
      </c>
    </row>
    <row r="106" spans="2:6" ht="65.150000000000006" customHeight="1" x14ac:dyDescent="0.35">
      <c r="B106" s="37"/>
      <c r="C106" s="23"/>
      <c r="D106" s="24"/>
      <c r="E106" s="32"/>
      <c r="F106" s="27" t="s">
        <v>16</v>
      </c>
    </row>
    <row r="107" spans="2:6" ht="65.150000000000006" customHeight="1" x14ac:dyDescent="0.35">
      <c r="B107" s="37"/>
      <c r="C107" s="23"/>
      <c r="D107" s="24"/>
      <c r="E107" s="32"/>
      <c r="F107" s="27" t="s">
        <v>16</v>
      </c>
    </row>
    <row r="108" spans="2:6" ht="65.150000000000006" customHeight="1" x14ac:dyDescent="0.35">
      <c r="B108" s="37"/>
      <c r="C108" s="23"/>
      <c r="D108" s="24"/>
      <c r="E108" s="32"/>
      <c r="F108" s="27" t="s">
        <v>16</v>
      </c>
    </row>
    <row r="109" spans="2:6" ht="65.150000000000006" customHeight="1" x14ac:dyDescent="0.35">
      <c r="B109" s="37"/>
      <c r="C109" s="23"/>
      <c r="D109" s="24"/>
      <c r="E109" s="32"/>
      <c r="F109" s="27" t="s">
        <v>16</v>
      </c>
    </row>
    <row r="110" spans="2:6" ht="65.150000000000006" customHeight="1" x14ac:dyDescent="0.35">
      <c r="B110" s="37"/>
      <c r="C110" s="23"/>
      <c r="D110" s="24"/>
      <c r="E110" s="32"/>
      <c r="F110" s="27" t="s">
        <v>16</v>
      </c>
    </row>
    <row r="111" spans="2:6" ht="65.150000000000006" customHeight="1" x14ac:dyDescent="0.35">
      <c r="B111" s="37"/>
      <c r="C111" s="23"/>
      <c r="D111" s="24"/>
      <c r="E111" s="32"/>
      <c r="F111" s="27" t="s">
        <v>16</v>
      </c>
    </row>
    <row r="112" spans="2:6" ht="65.150000000000006" customHeight="1" x14ac:dyDescent="0.35">
      <c r="B112" s="37"/>
      <c r="C112" s="23"/>
      <c r="D112" s="24"/>
      <c r="E112" s="32"/>
      <c r="F112" s="27" t="s">
        <v>16</v>
      </c>
    </row>
    <row r="113" spans="1:6" ht="65.150000000000006" customHeight="1" x14ac:dyDescent="0.35">
      <c r="B113" s="37"/>
      <c r="C113" s="23"/>
      <c r="D113" s="24"/>
      <c r="E113" s="32"/>
      <c r="F113" s="27" t="s">
        <v>16</v>
      </c>
    </row>
    <row r="114" spans="1:6" ht="65.150000000000006" customHeight="1" x14ac:dyDescent="0.35">
      <c r="B114" s="37"/>
      <c r="C114" s="23"/>
      <c r="D114" s="24"/>
      <c r="E114" s="32"/>
      <c r="F114" s="27" t="s">
        <v>16</v>
      </c>
    </row>
    <row r="115" spans="1:6" ht="65.150000000000006" customHeight="1" x14ac:dyDescent="0.35">
      <c r="B115" s="37"/>
      <c r="C115" s="23"/>
      <c r="D115" s="24"/>
      <c r="E115" s="32"/>
      <c r="F115" s="27" t="s">
        <v>16</v>
      </c>
    </row>
    <row r="116" spans="1:6" ht="65.150000000000006" customHeight="1" x14ac:dyDescent="0.35">
      <c r="B116" s="37"/>
      <c r="C116" s="23"/>
      <c r="D116" s="24"/>
      <c r="E116" s="32"/>
      <c r="F116" s="27" t="s">
        <v>16</v>
      </c>
    </row>
    <row r="117" spans="1:6" ht="30" customHeight="1" x14ac:dyDescent="0.35">
      <c r="A117" s="20"/>
      <c r="B117" s="29"/>
      <c r="C117" s="20"/>
      <c r="D117" s="20"/>
      <c r="E117" s="33"/>
      <c r="F117" s="20"/>
    </row>
    <row r="118" spans="1:6" ht="30" customHeight="1" x14ac:dyDescent="0.35"/>
    <row r="119" spans="1:6" ht="30" customHeight="1" x14ac:dyDescent="0.35"/>
    <row r="120" spans="1:6" ht="30" customHeight="1" x14ac:dyDescent="0.35"/>
    <row r="121" spans="1:6" ht="30" customHeight="1" x14ac:dyDescent="0.35"/>
    <row r="122" spans="1:6" ht="30" customHeight="1" x14ac:dyDescent="0.35"/>
    <row r="123" spans="1:6" ht="30" customHeight="1" x14ac:dyDescent="0.35"/>
    <row r="124" spans="1:6" ht="30" customHeight="1" x14ac:dyDescent="0.35"/>
    <row r="125" spans="1:6" ht="30" customHeight="1" x14ac:dyDescent="0.35"/>
    <row r="126" spans="1:6" ht="30" customHeight="1" x14ac:dyDescent="0.35"/>
    <row r="127" spans="1:6" ht="30" customHeight="1" x14ac:dyDescent="0.35"/>
    <row r="128" spans="1:6" ht="30" customHeight="1" x14ac:dyDescent="0.35"/>
    <row r="129" ht="30" customHeight="1" x14ac:dyDescent="0.35"/>
    <row r="130" ht="30" customHeight="1" x14ac:dyDescent="0.35"/>
    <row r="131" ht="30" customHeight="1" x14ac:dyDescent="0.35"/>
    <row r="132" ht="30" customHeight="1" x14ac:dyDescent="0.35"/>
    <row r="133" ht="30" customHeight="1" x14ac:dyDescent="0.35"/>
    <row r="134" ht="30" customHeight="1" x14ac:dyDescent="0.35"/>
    <row r="135" ht="30" customHeight="1" x14ac:dyDescent="0.35"/>
    <row r="136" ht="30" customHeight="1" x14ac:dyDescent="0.35"/>
    <row r="137" ht="30" customHeight="1" x14ac:dyDescent="0.35"/>
    <row r="138" ht="30" customHeight="1" x14ac:dyDescent="0.35"/>
    <row r="139" ht="30" customHeight="1" x14ac:dyDescent="0.35"/>
    <row r="140" ht="30" customHeight="1" x14ac:dyDescent="0.35"/>
    <row r="141" ht="30" customHeight="1" x14ac:dyDescent="0.35"/>
    <row r="142" ht="30" customHeight="1" x14ac:dyDescent="0.35"/>
    <row r="143" ht="30" customHeight="1" x14ac:dyDescent="0.35"/>
    <row r="144" ht="30" customHeight="1" x14ac:dyDescent="0.35"/>
    <row r="145" ht="30" customHeight="1" x14ac:dyDescent="0.35"/>
    <row r="146" ht="30" customHeight="1" x14ac:dyDescent="0.35"/>
    <row r="147" ht="30" customHeight="1" x14ac:dyDescent="0.35"/>
    <row r="148" ht="30" customHeight="1" x14ac:dyDescent="0.35"/>
    <row r="149" ht="30" customHeight="1" x14ac:dyDescent="0.35"/>
    <row r="150" ht="30" customHeight="1" x14ac:dyDescent="0.35"/>
    <row r="151" ht="30" customHeight="1" x14ac:dyDescent="0.35"/>
    <row r="152" ht="30" customHeight="1" x14ac:dyDescent="0.35"/>
    <row r="153" ht="30" customHeight="1" x14ac:dyDescent="0.35"/>
    <row r="154" ht="30" customHeight="1" x14ac:dyDescent="0.35"/>
    <row r="155" ht="30" customHeight="1" x14ac:dyDescent="0.35"/>
    <row r="156" ht="30" customHeight="1" x14ac:dyDescent="0.35"/>
    <row r="157" ht="30" customHeight="1" x14ac:dyDescent="0.35"/>
    <row r="158" ht="30" customHeight="1" x14ac:dyDescent="0.35"/>
    <row r="159" ht="30" customHeight="1" x14ac:dyDescent="0.35"/>
    <row r="160" ht="30" customHeight="1" x14ac:dyDescent="0.35"/>
    <row r="161" ht="30" customHeight="1" x14ac:dyDescent="0.35"/>
    <row r="162" ht="30" customHeight="1" x14ac:dyDescent="0.35"/>
    <row r="163" ht="30" customHeight="1" x14ac:dyDescent="0.35"/>
    <row r="164" ht="30" customHeight="1" x14ac:dyDescent="0.35"/>
    <row r="165" ht="30" customHeight="1" x14ac:dyDescent="0.35"/>
    <row r="166" ht="30" customHeight="1" x14ac:dyDescent="0.35"/>
    <row r="167" ht="30" customHeight="1" x14ac:dyDescent="0.35"/>
    <row r="168" ht="30" customHeight="1" x14ac:dyDescent="0.35"/>
    <row r="169" ht="30" customHeight="1" x14ac:dyDescent="0.35"/>
    <row r="170" ht="30" customHeight="1" x14ac:dyDescent="0.35"/>
    <row r="171" ht="30" customHeight="1" x14ac:dyDescent="0.35"/>
    <row r="172" ht="30" customHeight="1" x14ac:dyDescent="0.35"/>
    <row r="173" ht="30" customHeight="1" x14ac:dyDescent="0.35"/>
    <row r="174" ht="30" customHeight="1" x14ac:dyDescent="0.35"/>
    <row r="175" ht="30" customHeight="1" x14ac:dyDescent="0.35"/>
    <row r="176" ht="30" customHeight="1" x14ac:dyDescent="0.35"/>
    <row r="177" spans="1:6" ht="30" customHeight="1" x14ac:dyDescent="0.35"/>
    <row r="178" spans="1:6" ht="30" customHeight="1" x14ac:dyDescent="0.35"/>
    <row r="179" spans="1:6" ht="30" customHeight="1" x14ac:dyDescent="0.35"/>
    <row r="180" spans="1:6" ht="30" customHeight="1" x14ac:dyDescent="0.35"/>
    <row r="181" spans="1:6" ht="30" customHeight="1" x14ac:dyDescent="0.35"/>
    <row r="182" spans="1:6" ht="30" customHeight="1" x14ac:dyDescent="0.35"/>
    <row r="183" spans="1:6" ht="30" customHeight="1" x14ac:dyDescent="0.35"/>
    <row r="184" spans="1:6" ht="30" customHeight="1" x14ac:dyDescent="0.35"/>
    <row r="185" spans="1:6" ht="30" customHeight="1" x14ac:dyDescent="0.35"/>
    <row r="186" spans="1:6" ht="30" customHeight="1" x14ac:dyDescent="0.35"/>
    <row r="187" spans="1:6" ht="30" customHeight="1" x14ac:dyDescent="0.35"/>
    <row r="188" spans="1:6" ht="30" customHeight="1" x14ac:dyDescent="0.35">
      <c r="E188" s="3" t="s">
        <v>13</v>
      </c>
    </row>
    <row r="189" spans="1:6" ht="30" customHeight="1" x14ac:dyDescent="0.35">
      <c r="E189" s="3" t="s">
        <v>13</v>
      </c>
    </row>
    <row r="190" spans="1:6" s="20" customFormat="1" ht="16.5" customHeight="1" x14ac:dyDescent="0.35">
      <c r="A190"/>
      <c r="B190" s="28"/>
      <c r="C190"/>
      <c r="D190"/>
      <c r="E190" s="3"/>
      <c r="F190"/>
    </row>
  </sheetData>
  <sheetProtection selectLockedCells="1"/>
  <mergeCells count="9">
    <mergeCell ref="G4:G5"/>
    <mergeCell ref="F4:F5"/>
    <mergeCell ref="A6:A7"/>
    <mergeCell ref="A1:A2"/>
    <mergeCell ref="A3:A4"/>
    <mergeCell ref="B4:B5"/>
    <mergeCell ref="C4:C5"/>
    <mergeCell ref="D4:D5"/>
    <mergeCell ref="E4:E5"/>
  </mergeCells>
  <conditionalFormatting sqref="F8:F116">
    <cfRule type="expression" dxfId="2" priority="1">
      <formula>F8="VAZIO"</formula>
    </cfRule>
    <cfRule type="expression" dxfId="1" priority="2">
      <formula>F8="X"</formula>
    </cfRule>
    <cfRule type="expression" dxfId="0" priority="3">
      <formula>F8="OK"</formula>
    </cfRule>
  </conditionalFormatting>
  <dataValidations count="2">
    <dataValidation type="list" allowBlank="1" showInputMessage="1" showErrorMessage="1" sqref="F8:F116" xr:uid="{999DEBCB-0C37-4269-AA7E-BAD40A1E5303}">
      <formula1>"OK,X,VAZIO"</formula1>
    </dataValidation>
    <dataValidation type="list" allowBlank="1" showInputMessage="1" showErrorMessage="1" sqref="E112:E189" xr:uid="{4E494F13-6DF7-4FD8-968C-6C382DE953D7}">
      <formula1>"OK,X,NADA"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64D2-15A5-4672-811C-FA1D3F1494E1}">
  <sheetPr codeName="Planilha1"/>
  <dimension ref="A1:BA288"/>
  <sheetViews>
    <sheetView showGridLines="0" zoomScale="70" zoomScaleNormal="70" workbookViewId="0">
      <pane ySplit="5" topLeftCell="A6" activePane="bottomLeft" state="frozen"/>
      <selection pane="bottomLeft"/>
    </sheetView>
  </sheetViews>
  <sheetFormatPr defaultRowHeight="14.5" x14ac:dyDescent="0.35"/>
  <cols>
    <col min="1" max="1" width="9.54296875" customWidth="1"/>
    <col min="2" max="2" width="7.81640625" customWidth="1"/>
    <col min="3" max="3" width="10.26953125" customWidth="1"/>
    <col min="4" max="4" width="8.26953125" customWidth="1"/>
    <col min="5" max="5" width="9.7265625" customWidth="1"/>
    <col min="6" max="6" width="10.1796875" customWidth="1"/>
    <col min="7" max="7" width="15.7265625" customWidth="1"/>
    <col min="8" max="8" width="9.1796875" customWidth="1"/>
    <col min="32" max="32" width="11" customWidth="1"/>
  </cols>
  <sheetData>
    <row r="1" spans="1:4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ht="15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26"/>
      <c r="X5" s="26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ht="15.75" customHeight="1" thickBot="1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ht="15" customHeight="1" x14ac:dyDescent="0.35">
      <c r="A7" s="161" t="s">
        <v>14</v>
      </c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3"/>
      <c r="W7" s="170" t="e">
        <f>#REF!</f>
        <v>#REF!</v>
      </c>
      <c r="X7" s="171"/>
      <c r="Y7" s="152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4"/>
    </row>
    <row r="8" spans="1:41" ht="15" customHeight="1" x14ac:dyDescent="0.35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6"/>
      <c r="W8" s="172"/>
      <c r="X8" s="171"/>
      <c r="Y8" s="155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7"/>
    </row>
    <row r="9" spans="1:41" ht="15.75" customHeight="1" thickBot="1" x14ac:dyDescent="0.4">
      <c r="A9" s="167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9"/>
      <c r="W9" s="172"/>
      <c r="X9" s="171"/>
      <c r="Y9" s="158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60"/>
    </row>
    <row r="10" spans="1:41" ht="19.5" customHeight="1" thickBot="1" x14ac:dyDescent="0.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4"/>
      <c r="AI10" s="4"/>
      <c r="AJ10" s="4"/>
      <c r="AK10" s="4"/>
      <c r="AL10" s="4"/>
      <c r="AM10" s="4"/>
      <c r="AN10" s="4"/>
      <c r="AO10" s="4"/>
    </row>
    <row r="11" spans="1:41" ht="30" customHeight="1" thickBot="1" x14ac:dyDescent="0.4">
      <c r="A11" s="5"/>
      <c r="B11" s="173" t="s">
        <v>28</v>
      </c>
      <c r="C11" s="174"/>
      <c r="D11" s="174"/>
      <c r="E11" s="174"/>
      <c r="F11" s="174"/>
      <c r="G11" s="17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4"/>
      <c r="AI11" s="4"/>
      <c r="AJ11" s="4"/>
      <c r="AK11" s="4"/>
      <c r="AL11" s="4"/>
      <c r="AM11" s="4"/>
      <c r="AN11" s="4"/>
      <c r="AO11" s="4"/>
    </row>
    <row r="12" spans="1:41" ht="30" customHeight="1" x14ac:dyDescent="0.35">
      <c r="A12" s="5"/>
      <c r="B12" s="6" t="s">
        <v>5</v>
      </c>
      <c r="C12" s="7" t="s">
        <v>6</v>
      </c>
      <c r="D12" s="7" t="s">
        <v>7</v>
      </c>
      <c r="E12" s="7" t="s">
        <v>11</v>
      </c>
      <c r="F12" s="7" t="s">
        <v>8</v>
      </c>
      <c r="G12" s="8" t="s">
        <v>10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4"/>
      <c r="AI12" s="4"/>
      <c r="AJ12" s="4"/>
      <c r="AK12" s="4"/>
      <c r="AL12" s="4"/>
      <c r="AM12" s="4"/>
      <c r="AN12" s="4"/>
      <c r="AO12" s="4"/>
    </row>
    <row r="13" spans="1:41" ht="30" customHeight="1" thickBot="1" x14ac:dyDescent="0.4">
      <c r="A13" s="5"/>
      <c r="B13" s="9" t="e">
        <f>#REF!</f>
        <v>#REF!</v>
      </c>
      <c r="C13" s="10">
        <v>0.37</v>
      </c>
      <c r="D13" s="10" t="e">
        <f>#REF!</f>
        <v>#REF!</v>
      </c>
      <c r="E13" s="10" t="e">
        <f>#REF!</f>
        <v>#REF!</v>
      </c>
      <c r="F13" s="10">
        <f>MARCOS!AV9</f>
        <v>0</v>
      </c>
      <c r="G13" s="11" t="e">
        <f>(SUM(B13:F13))/500%</f>
        <v>#REF!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4"/>
      <c r="AI13" s="4"/>
      <c r="AJ13" s="4"/>
      <c r="AK13" s="4"/>
      <c r="AL13" s="4"/>
      <c r="AM13" s="4"/>
      <c r="AN13" s="4"/>
      <c r="AO13" s="4"/>
    </row>
    <row r="14" spans="1:41" x14ac:dyDescent="0.35">
      <c r="A14" s="5"/>
      <c r="B14" s="12">
        <v>0.8</v>
      </c>
      <c r="C14" s="12">
        <v>0.8</v>
      </c>
      <c r="D14" s="12">
        <v>0.8</v>
      </c>
      <c r="E14" s="12">
        <v>0.8</v>
      </c>
      <c r="F14" s="12">
        <v>0.8</v>
      </c>
      <c r="G14" s="12">
        <v>0.8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4"/>
      <c r="AI14" s="4"/>
      <c r="AJ14" s="4"/>
      <c r="AK14" s="4"/>
      <c r="AL14" s="4"/>
      <c r="AM14" s="4"/>
      <c r="AN14" s="4"/>
      <c r="AO14" s="4"/>
    </row>
    <row r="15" spans="1:41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4"/>
      <c r="AI15" s="4"/>
      <c r="AJ15" s="4"/>
      <c r="AK15" s="4"/>
      <c r="AL15" s="4"/>
      <c r="AM15" s="4"/>
      <c r="AN15" s="4"/>
      <c r="AO15" s="4"/>
    </row>
    <row r="16" spans="1:41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12"/>
      <c r="AC16" s="5"/>
      <c r="AD16" s="5"/>
      <c r="AE16" s="5"/>
      <c r="AF16" s="5"/>
      <c r="AG16" s="5"/>
      <c r="AH16" s="4"/>
      <c r="AI16" s="4"/>
      <c r="AJ16" s="4"/>
      <c r="AK16" s="4"/>
      <c r="AL16" s="4"/>
      <c r="AM16" s="4"/>
      <c r="AN16" s="4"/>
      <c r="AO16" s="4"/>
    </row>
    <row r="17" spans="1:41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4"/>
      <c r="AI17" s="4"/>
      <c r="AJ17" s="4"/>
      <c r="AK17" s="4"/>
      <c r="AL17" s="4"/>
      <c r="AM17" s="4"/>
      <c r="AN17" s="4"/>
      <c r="AO17" s="4"/>
    </row>
    <row r="18" spans="1:41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4"/>
      <c r="AI18" s="4"/>
      <c r="AJ18" s="4"/>
      <c r="AK18" s="4"/>
      <c r="AL18" s="4"/>
      <c r="AM18" s="4"/>
      <c r="AN18" s="4"/>
      <c r="AO18" s="4"/>
    </row>
    <row r="19" spans="1:41" x14ac:dyDescent="0.35">
      <c r="A19" s="5"/>
      <c r="B19" s="12"/>
      <c r="C19" s="12"/>
      <c r="D19" s="12"/>
      <c r="E19" s="12"/>
      <c r="F19" s="12"/>
      <c r="G19" s="12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4"/>
      <c r="AI19" s="4"/>
      <c r="AJ19" s="4"/>
      <c r="AK19" s="4"/>
      <c r="AL19" s="4"/>
      <c r="AM19" s="4"/>
      <c r="AN19" s="4"/>
      <c r="AO19" s="4"/>
    </row>
    <row r="20" spans="1:41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4"/>
      <c r="AI20" s="4"/>
      <c r="AJ20" s="4"/>
      <c r="AK20" s="4"/>
      <c r="AL20" s="4"/>
      <c r="AM20" s="4"/>
      <c r="AN20" s="4"/>
      <c r="AO20" s="4"/>
    </row>
    <row r="21" spans="1:41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4"/>
      <c r="AI21" s="4"/>
      <c r="AJ21" s="4"/>
      <c r="AK21" s="4"/>
      <c r="AL21" s="4"/>
      <c r="AM21" s="4"/>
      <c r="AN21" s="4"/>
      <c r="AO21" s="4"/>
    </row>
    <row r="22" spans="1:4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4"/>
      <c r="AI22" s="4"/>
      <c r="AJ22" s="4"/>
      <c r="AK22" s="4"/>
      <c r="AL22" s="4"/>
      <c r="AM22" s="4"/>
      <c r="AN22" s="4"/>
      <c r="AO22" s="4"/>
    </row>
    <row r="23" spans="1:41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4"/>
      <c r="AI23" s="4"/>
      <c r="AJ23" s="4"/>
      <c r="AK23" s="4"/>
      <c r="AL23" s="4"/>
      <c r="AM23" s="4"/>
      <c r="AN23" s="4"/>
      <c r="AO23" s="4"/>
    </row>
    <row r="24" spans="1:4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4"/>
      <c r="AI24" s="4"/>
      <c r="AJ24" s="4"/>
      <c r="AK24" s="4"/>
      <c r="AL24" s="4"/>
      <c r="AM24" s="4"/>
      <c r="AN24" s="4"/>
      <c r="AO24" s="4"/>
    </row>
    <row r="25" spans="1:4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4"/>
      <c r="AI25" s="4"/>
      <c r="AJ25" s="4"/>
      <c r="AK25" s="4"/>
      <c r="AL25" s="4"/>
      <c r="AM25" s="4"/>
      <c r="AN25" s="4"/>
      <c r="AO25" s="4"/>
    </row>
    <row r="26" spans="1:41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4"/>
      <c r="AI26" s="4"/>
      <c r="AJ26" s="4"/>
      <c r="AK26" s="4"/>
      <c r="AL26" s="4"/>
      <c r="AM26" s="4"/>
      <c r="AN26" s="4"/>
      <c r="AO26" s="4"/>
    </row>
    <row r="27" spans="1:41" ht="20.149999999999999" customHeight="1" thickBot="1" x14ac:dyDescent="0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4"/>
      <c r="AI27" s="4"/>
      <c r="AJ27" s="4"/>
      <c r="AK27" s="4"/>
      <c r="AL27" s="4"/>
      <c r="AM27" s="4"/>
      <c r="AN27" s="4"/>
      <c r="AO27" s="4"/>
    </row>
    <row r="28" spans="1:41" ht="15" customHeight="1" x14ac:dyDescent="0.35">
      <c r="A28" s="161" t="s">
        <v>14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3"/>
      <c r="W28" s="170" t="e">
        <f>#REF!</f>
        <v>#REF!</v>
      </c>
      <c r="X28" s="171"/>
      <c r="Y28" s="152" t="s">
        <v>15</v>
      </c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4"/>
    </row>
    <row r="29" spans="1:41" ht="15" customHeight="1" x14ac:dyDescent="0.35">
      <c r="A29" s="164"/>
      <c r="B29" s="165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6"/>
      <c r="W29" s="172"/>
      <c r="X29" s="171"/>
      <c r="Y29" s="155"/>
      <c r="Z29" s="156"/>
      <c r="AA29" s="156"/>
      <c r="AB29" s="156"/>
      <c r="AC29" s="156"/>
      <c r="AD29" s="156"/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7"/>
    </row>
    <row r="30" spans="1:41" ht="15.75" customHeight="1" thickBot="1" x14ac:dyDescent="0.4">
      <c r="A30" s="167"/>
      <c r="B30" s="168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9"/>
      <c r="W30" s="172"/>
      <c r="X30" s="171"/>
      <c r="Y30" s="158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60"/>
    </row>
    <row r="31" spans="1:41" ht="20.149999999999999" customHeight="1" thickBot="1" x14ac:dyDescent="0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4"/>
      <c r="AH31" s="4"/>
      <c r="AI31" s="4"/>
      <c r="AJ31" s="4"/>
      <c r="AK31" s="4"/>
      <c r="AL31" s="4"/>
      <c r="AM31" s="4"/>
      <c r="AN31" s="4"/>
      <c r="AO31" s="4"/>
    </row>
    <row r="32" spans="1:41" ht="30" customHeight="1" thickBot="1" x14ac:dyDescent="0.4">
      <c r="A32" s="5"/>
      <c r="B32" s="173" t="s">
        <v>29</v>
      </c>
      <c r="C32" s="174"/>
      <c r="D32" s="174"/>
      <c r="E32" s="174"/>
      <c r="F32" s="174"/>
      <c r="G32" s="17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4"/>
      <c r="AH32" s="4"/>
      <c r="AI32" s="4"/>
      <c r="AJ32" s="4"/>
      <c r="AK32" s="4"/>
      <c r="AL32" s="4"/>
      <c r="AM32" s="4"/>
      <c r="AN32" s="4"/>
      <c r="AO32" s="4"/>
    </row>
    <row r="33" spans="1:53" ht="30" customHeight="1" x14ac:dyDescent="0.35">
      <c r="A33" s="5"/>
      <c r="B33" s="6" t="s">
        <v>5</v>
      </c>
      <c r="C33" s="7" t="s">
        <v>6</v>
      </c>
      <c r="D33" s="7" t="s">
        <v>7</v>
      </c>
      <c r="E33" s="7" t="s">
        <v>11</v>
      </c>
      <c r="F33" s="7" t="s">
        <v>8</v>
      </c>
      <c r="G33" s="8" t="s">
        <v>10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4"/>
      <c r="AH33" s="4"/>
      <c r="AI33" s="4"/>
      <c r="AJ33" s="4"/>
      <c r="AK33" s="4"/>
      <c r="AL33" s="4"/>
      <c r="AM33" s="4"/>
      <c r="AN33" s="4"/>
      <c r="AO33" s="4"/>
    </row>
    <row r="34" spans="1:53" ht="30" customHeight="1" thickBot="1" x14ac:dyDescent="0.4">
      <c r="A34" s="5"/>
      <c r="B34" s="9" t="e">
        <f>#REF!</f>
        <v>#REF!</v>
      </c>
      <c r="C34" s="10" t="e">
        <f>#REF!</f>
        <v>#REF!</v>
      </c>
      <c r="D34" s="10" t="e">
        <f>#REF!</f>
        <v>#REF!</v>
      </c>
      <c r="E34" s="10" t="e">
        <f>#REF!</f>
        <v>#REF!</v>
      </c>
      <c r="F34" s="10">
        <v>0.4</v>
      </c>
      <c r="G34" s="11" t="e">
        <f>(SUM(B34:F34))/500%</f>
        <v>#REF!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4"/>
      <c r="AH34" s="4"/>
      <c r="AI34" s="4"/>
      <c r="AJ34" s="4"/>
      <c r="AK34" s="4"/>
      <c r="AL34" s="4"/>
      <c r="AM34" s="4"/>
      <c r="AN34" s="4"/>
      <c r="AO34" s="4"/>
    </row>
    <row r="35" spans="1:53" x14ac:dyDescent="0.35">
      <c r="A35" s="5"/>
      <c r="B35" s="12">
        <v>0.8</v>
      </c>
      <c r="C35" s="12">
        <v>0.8</v>
      </c>
      <c r="D35" s="12">
        <v>0.8</v>
      </c>
      <c r="E35" s="12">
        <v>0.8</v>
      </c>
      <c r="F35" s="12">
        <v>0.8</v>
      </c>
      <c r="G35" s="12">
        <v>0.8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4"/>
      <c r="AH35" s="4"/>
      <c r="AI35" s="4"/>
      <c r="AJ35" s="4"/>
      <c r="AK35" s="4"/>
      <c r="AL35" s="4"/>
      <c r="AM35" s="4"/>
      <c r="AN35" s="4"/>
      <c r="AO35" s="4"/>
    </row>
    <row r="36" spans="1:53" x14ac:dyDescent="0.3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4"/>
      <c r="AH36" s="4"/>
      <c r="AI36" s="4"/>
      <c r="AJ36" s="4"/>
      <c r="AK36" s="4"/>
      <c r="AL36" s="4"/>
      <c r="AM36" s="4"/>
      <c r="AN36" s="4"/>
      <c r="AO36" s="4"/>
    </row>
    <row r="37" spans="1:53" x14ac:dyDescent="0.3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4"/>
      <c r="AH37" s="4"/>
      <c r="AI37" s="4"/>
      <c r="AJ37" s="4"/>
      <c r="AK37" s="4"/>
      <c r="AL37" s="4"/>
      <c r="AM37" s="4"/>
      <c r="AN37" s="4"/>
      <c r="AO37" s="4"/>
    </row>
    <row r="38" spans="1:53" x14ac:dyDescent="0.3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4"/>
      <c r="AH39" s="4"/>
      <c r="AI39" s="4"/>
      <c r="AJ39" s="4"/>
      <c r="AK39" s="4"/>
      <c r="AL39" s="4"/>
      <c r="AM39" s="4"/>
      <c r="AN39" s="4"/>
      <c r="AO39" s="4"/>
    </row>
    <row r="40" spans="1:53" x14ac:dyDescent="0.3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4"/>
      <c r="AH40" s="4"/>
      <c r="AI40" s="4"/>
      <c r="AJ40" s="4"/>
      <c r="AK40" s="4"/>
      <c r="AL40" s="4"/>
      <c r="AM40" s="4"/>
      <c r="AN40" s="4"/>
      <c r="AO40" s="4"/>
    </row>
    <row r="41" spans="1:53" x14ac:dyDescent="0.3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4"/>
      <c r="AH41" s="4"/>
      <c r="AI41" s="4"/>
      <c r="AJ41" s="4"/>
      <c r="AK41" s="4"/>
      <c r="AL41" s="4"/>
      <c r="AM41" s="4"/>
      <c r="AN41" s="4"/>
      <c r="AO41" s="4"/>
    </row>
    <row r="42" spans="1:53" x14ac:dyDescent="0.3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4"/>
      <c r="AH42" s="4"/>
      <c r="AI42" s="4"/>
      <c r="AJ42" s="4"/>
      <c r="AK42" s="4"/>
      <c r="AL42" s="4"/>
      <c r="AM42" s="4"/>
      <c r="AN42" s="4"/>
      <c r="AO42" s="4"/>
    </row>
    <row r="43" spans="1:53" x14ac:dyDescent="0.3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4"/>
      <c r="AH43" s="4"/>
      <c r="AI43" s="4"/>
      <c r="AJ43" s="4"/>
      <c r="AK43" s="4"/>
      <c r="AL43" s="4"/>
      <c r="AM43" s="4"/>
      <c r="AN43" s="4"/>
      <c r="AO43" s="4"/>
    </row>
    <row r="44" spans="1:53" x14ac:dyDescent="0.3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4"/>
      <c r="AH44" s="4"/>
      <c r="AI44" s="4"/>
      <c r="AJ44" s="4"/>
      <c r="AK44" s="4"/>
      <c r="AL44" s="4"/>
      <c r="AM44" s="4"/>
      <c r="AN44" s="4"/>
      <c r="AO44" s="4"/>
    </row>
    <row r="45" spans="1:53" x14ac:dyDescent="0.3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4"/>
      <c r="AH45" s="4"/>
      <c r="AI45" s="4"/>
      <c r="AJ45" s="4"/>
      <c r="AK45" s="4"/>
      <c r="AL45" s="4"/>
      <c r="AM45" s="4"/>
      <c r="AN45" s="4"/>
      <c r="AO45" s="4"/>
    </row>
    <row r="46" spans="1:53" x14ac:dyDescent="0.3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4"/>
      <c r="AH46" s="4"/>
      <c r="AI46" s="4"/>
      <c r="AJ46" s="4"/>
      <c r="AK46" s="4"/>
      <c r="AL46" s="4"/>
      <c r="AM46" s="4"/>
      <c r="AN46" s="4"/>
      <c r="AO46" s="4"/>
    </row>
    <row r="47" spans="1:53" ht="15" thickBot="1" x14ac:dyDescent="0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4"/>
      <c r="AH47" s="4"/>
      <c r="AI47" s="4"/>
      <c r="AJ47" s="4"/>
      <c r="AK47" s="4"/>
      <c r="AL47" s="4"/>
      <c r="AM47" s="4"/>
      <c r="AN47" s="4"/>
      <c r="AO47" s="4"/>
    </row>
    <row r="48" spans="1:53" ht="30" customHeight="1" thickBot="1" x14ac:dyDescent="0.4">
      <c r="A48" s="5"/>
      <c r="B48" s="173" t="s">
        <v>28</v>
      </c>
      <c r="C48" s="174"/>
      <c r="D48" s="174"/>
      <c r="E48" s="174"/>
      <c r="F48" s="174"/>
      <c r="G48" s="17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4"/>
      <c r="AH48" s="4"/>
      <c r="AI48" s="4"/>
      <c r="AJ48" s="4"/>
      <c r="AK48" s="4"/>
      <c r="AL48" s="4"/>
      <c r="AM48" s="4"/>
      <c r="AN48" s="4"/>
      <c r="AO48" s="4"/>
    </row>
    <row r="49" spans="1:41" ht="30" customHeight="1" x14ac:dyDescent="0.35">
      <c r="A49" s="5"/>
      <c r="B49" s="6" t="s">
        <v>5</v>
      </c>
      <c r="C49" s="7" t="s">
        <v>6</v>
      </c>
      <c r="D49" s="7" t="s">
        <v>7</v>
      </c>
      <c r="E49" s="7" t="s">
        <v>11</v>
      </c>
      <c r="F49" s="7" t="s">
        <v>8</v>
      </c>
      <c r="G49" s="8" t="s">
        <v>10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4"/>
      <c r="AH49" s="4"/>
      <c r="AI49" s="4"/>
      <c r="AJ49" s="4"/>
      <c r="AK49" s="4"/>
      <c r="AL49" s="4"/>
      <c r="AM49" s="4"/>
      <c r="AN49" s="4"/>
      <c r="AO49" s="4"/>
    </row>
    <row r="50" spans="1:41" ht="30" customHeight="1" thickBot="1" x14ac:dyDescent="0.4">
      <c r="A50" s="5"/>
      <c r="B50" s="9" t="e">
        <f>#REF!</f>
        <v>#REF!</v>
      </c>
      <c r="C50" s="10" t="e">
        <f>#REF!</f>
        <v>#REF!</v>
      </c>
      <c r="D50" s="10" t="e">
        <f>#REF!</f>
        <v>#REF!</v>
      </c>
      <c r="E50" s="10" t="e">
        <f>#REF!</f>
        <v>#REF!</v>
      </c>
      <c r="F50" s="10">
        <f>MARCOS!BA14</f>
        <v>0</v>
      </c>
      <c r="G50" s="11" t="e">
        <f>(SUM(B50:F50))/500%</f>
        <v>#REF!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4"/>
      <c r="AH50" s="4"/>
      <c r="AI50" s="4"/>
      <c r="AJ50" s="4"/>
      <c r="AK50" s="4"/>
      <c r="AL50" s="4"/>
      <c r="AM50" s="4"/>
      <c r="AN50" s="4"/>
      <c r="AO50" s="4"/>
    </row>
    <row r="51" spans="1:41" ht="15" thickBot="1" x14ac:dyDescent="0.4">
      <c r="A51" s="5"/>
      <c r="B51" s="12">
        <v>0.8</v>
      </c>
      <c r="C51" s="12">
        <v>0.8</v>
      </c>
      <c r="D51" s="12">
        <v>0.8</v>
      </c>
      <c r="E51" s="12">
        <v>0.8</v>
      </c>
      <c r="F51" s="12">
        <v>0.8</v>
      </c>
      <c r="G51" s="12">
        <v>0.8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4"/>
      <c r="AH51" s="4"/>
      <c r="AI51" s="4"/>
      <c r="AJ51" s="4"/>
      <c r="AK51" s="4"/>
      <c r="AL51" s="4"/>
      <c r="AM51" s="4"/>
      <c r="AN51" s="4"/>
      <c r="AO51" s="4"/>
    </row>
    <row r="52" spans="1:41" ht="15" customHeight="1" x14ac:dyDescent="0.35">
      <c r="A52" s="161" t="s">
        <v>14</v>
      </c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3"/>
      <c r="W52" s="170" t="e">
        <f>#REF!</f>
        <v>#REF!</v>
      </c>
      <c r="X52" s="171"/>
      <c r="Y52" s="152" t="s">
        <v>15</v>
      </c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  <c r="AO52" s="154"/>
    </row>
    <row r="53" spans="1:41" ht="15" customHeight="1" x14ac:dyDescent="0.35">
      <c r="A53" s="164"/>
      <c r="B53" s="165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W53" s="172"/>
      <c r="X53" s="171"/>
      <c r="Y53" s="155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7"/>
    </row>
    <row r="54" spans="1:41" ht="15.75" customHeight="1" thickBot="1" x14ac:dyDescent="0.4">
      <c r="A54" s="167"/>
      <c r="B54" s="16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9"/>
      <c r="W54" s="172"/>
      <c r="X54" s="171"/>
      <c r="Y54" s="158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60"/>
    </row>
    <row r="55" spans="1:41" ht="15" thickBot="1" x14ac:dyDescent="0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4"/>
      <c r="AH55" s="4"/>
      <c r="AI55" s="4"/>
      <c r="AJ55" s="4"/>
      <c r="AK55" s="4"/>
      <c r="AL55" s="4"/>
      <c r="AM55" s="4"/>
      <c r="AN55" s="4"/>
      <c r="AO55" s="4"/>
    </row>
    <row r="56" spans="1:41" ht="30" customHeight="1" thickBot="1" x14ac:dyDescent="0.4">
      <c r="A56" s="5"/>
      <c r="B56" s="173" t="s">
        <v>29</v>
      </c>
      <c r="C56" s="174"/>
      <c r="D56" s="174"/>
      <c r="E56" s="174"/>
      <c r="F56" s="174"/>
      <c r="G56" s="17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4"/>
      <c r="AH56" s="4"/>
      <c r="AI56" s="4"/>
      <c r="AJ56" s="4"/>
      <c r="AK56" s="4"/>
      <c r="AL56" s="4"/>
      <c r="AM56" s="4"/>
      <c r="AN56" s="4"/>
      <c r="AO56" s="4"/>
    </row>
    <row r="57" spans="1:41" ht="30" customHeight="1" x14ac:dyDescent="0.35">
      <c r="A57" s="5"/>
      <c r="B57" s="6" t="s">
        <v>5</v>
      </c>
      <c r="C57" s="7" t="s">
        <v>6</v>
      </c>
      <c r="D57" s="7" t="s">
        <v>7</v>
      </c>
      <c r="E57" s="7" t="s">
        <v>11</v>
      </c>
      <c r="F57" s="14" t="s">
        <v>8</v>
      </c>
      <c r="G57" s="15" t="s">
        <v>10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4"/>
      <c r="AH57" s="4"/>
      <c r="AI57" s="4"/>
      <c r="AJ57" s="4"/>
      <c r="AK57" s="4"/>
      <c r="AL57" s="4"/>
      <c r="AM57" s="4"/>
      <c r="AN57" s="4"/>
      <c r="AO57" s="4"/>
    </row>
    <row r="58" spans="1:41" ht="30" customHeight="1" thickBot="1" x14ac:dyDescent="0.4">
      <c r="A58" s="5"/>
      <c r="B58" s="9" t="e">
        <f>#REF!</f>
        <v>#REF!</v>
      </c>
      <c r="C58" s="10" t="e">
        <f>#REF!</f>
        <v>#REF!</v>
      </c>
      <c r="D58" s="10" t="e">
        <f>#REF!</f>
        <v>#REF!</v>
      </c>
      <c r="E58" s="10" t="e">
        <f>#REF!</f>
        <v>#REF!</v>
      </c>
      <c r="F58" s="16">
        <f>MARCOS!BF9</f>
        <v>0</v>
      </c>
      <c r="G58" s="17" t="e">
        <f>(SUM(B58:F58))/500%</f>
        <v>#REF!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4"/>
      <c r="AH58" s="4"/>
      <c r="AI58" s="4"/>
      <c r="AJ58" s="4"/>
      <c r="AK58" s="4"/>
      <c r="AL58" s="4"/>
      <c r="AM58" s="4"/>
      <c r="AN58" s="4"/>
      <c r="AO58" s="4"/>
    </row>
    <row r="59" spans="1:41" x14ac:dyDescent="0.35">
      <c r="A59" s="5"/>
      <c r="B59" s="12">
        <v>0.8</v>
      </c>
      <c r="C59" s="12">
        <v>0.8</v>
      </c>
      <c r="D59" s="12">
        <v>0.8</v>
      </c>
      <c r="E59" s="12">
        <v>0.8</v>
      </c>
      <c r="F59" s="12">
        <v>0.8</v>
      </c>
      <c r="G59" s="12">
        <v>0.8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4"/>
      <c r="AH59" s="4"/>
      <c r="AI59" s="4"/>
      <c r="AJ59" s="4"/>
      <c r="AK59" s="4"/>
      <c r="AL59" s="4"/>
      <c r="AM59" s="4"/>
      <c r="AN59" s="4"/>
      <c r="AO59" s="4"/>
    </row>
    <row r="60" spans="1:4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4"/>
      <c r="AH60" s="4"/>
      <c r="AI60" s="4"/>
      <c r="AJ60" s="4"/>
      <c r="AK60" s="4"/>
      <c r="AL60" s="4"/>
      <c r="AM60" s="4"/>
      <c r="AN60" s="4"/>
      <c r="AO60" s="4"/>
    </row>
    <row r="61" spans="1:41" x14ac:dyDescent="0.3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4"/>
      <c r="AH61" s="4"/>
      <c r="AI61" s="4"/>
      <c r="AJ61" s="4"/>
      <c r="AK61" s="4"/>
      <c r="AL61" s="4"/>
      <c r="AM61" s="4"/>
      <c r="AN61" s="4"/>
      <c r="AO61" s="4"/>
    </row>
    <row r="62" spans="1:41" x14ac:dyDescent="0.3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4"/>
      <c r="AH62" s="4"/>
      <c r="AI62" s="4"/>
      <c r="AJ62" s="4"/>
      <c r="AK62" s="4"/>
      <c r="AL62" s="4"/>
      <c r="AM62" s="4"/>
      <c r="AN62" s="4"/>
      <c r="AO62" s="4"/>
    </row>
    <row r="63" spans="1:41" x14ac:dyDescent="0.3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4"/>
      <c r="AH63" s="4"/>
      <c r="AI63" s="4"/>
      <c r="AJ63" s="4"/>
      <c r="AK63" s="4"/>
      <c r="AL63" s="4"/>
      <c r="AM63" s="4"/>
      <c r="AN63" s="4"/>
      <c r="AO63" s="4"/>
    </row>
    <row r="64" spans="1:41" x14ac:dyDescent="0.3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4"/>
      <c r="AH64" s="4"/>
      <c r="AI64" s="4"/>
      <c r="AJ64" s="4"/>
      <c r="AK64" s="4"/>
      <c r="AL64" s="4"/>
      <c r="AM64" s="4"/>
      <c r="AN64" s="4"/>
      <c r="AO64" s="4"/>
    </row>
    <row r="65" spans="1:41" x14ac:dyDescent="0.3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4"/>
      <c r="AH65" s="4"/>
      <c r="AI65" s="4"/>
      <c r="AJ65" s="4"/>
      <c r="AK65" s="4"/>
      <c r="AL65" s="4"/>
      <c r="AM65" s="4"/>
      <c r="AN65" s="4"/>
      <c r="AO65" s="4"/>
    </row>
    <row r="66" spans="1:41" x14ac:dyDescent="0.3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4"/>
      <c r="AH66" s="4"/>
      <c r="AI66" s="4"/>
      <c r="AJ66" s="4"/>
      <c r="AK66" s="4"/>
      <c r="AL66" s="4"/>
      <c r="AM66" s="4"/>
      <c r="AN66" s="4"/>
      <c r="AO66" s="4"/>
    </row>
    <row r="67" spans="1:41" x14ac:dyDescent="0.3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4"/>
      <c r="AH67" s="4"/>
      <c r="AI67" s="4"/>
      <c r="AJ67" s="4"/>
      <c r="AK67" s="4"/>
      <c r="AL67" s="4"/>
      <c r="AM67" s="4"/>
      <c r="AN67" s="4"/>
      <c r="AO67" s="4"/>
    </row>
    <row r="68" spans="1:41" x14ac:dyDescent="0.3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4"/>
      <c r="AH68" s="4"/>
      <c r="AI68" s="4"/>
      <c r="AJ68" s="4"/>
      <c r="AK68" s="4"/>
      <c r="AL68" s="4"/>
      <c r="AM68" s="4"/>
      <c r="AN68" s="4"/>
      <c r="AO68" s="4"/>
    </row>
    <row r="69" spans="1:41" x14ac:dyDescent="0.3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4"/>
      <c r="AH69" s="4"/>
      <c r="AI69" s="4"/>
      <c r="AJ69" s="4"/>
      <c r="AK69" s="4"/>
      <c r="AL69" s="4"/>
      <c r="AM69" s="4"/>
      <c r="AN69" s="4"/>
      <c r="AO69" s="4"/>
    </row>
    <row r="70" spans="1:41" x14ac:dyDescent="0.3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4"/>
      <c r="AH70" s="4"/>
      <c r="AI70" s="4"/>
      <c r="AJ70" s="4"/>
      <c r="AK70" s="4"/>
      <c r="AL70" s="4"/>
      <c r="AM70" s="4"/>
      <c r="AN70" s="4"/>
      <c r="AO70" s="4"/>
    </row>
    <row r="71" spans="1:41" ht="15" thickBot="1" x14ac:dyDescent="0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4"/>
      <c r="AH71" s="4"/>
      <c r="AI71" s="4"/>
      <c r="AJ71" s="4"/>
      <c r="AK71" s="4"/>
      <c r="AL71" s="4"/>
      <c r="AM71" s="4"/>
      <c r="AN71" s="4"/>
      <c r="AO71" s="4"/>
    </row>
    <row r="72" spans="1:41" ht="30" customHeight="1" thickBot="1" x14ac:dyDescent="0.4">
      <c r="A72" s="5"/>
      <c r="B72" s="173" t="s">
        <v>28</v>
      </c>
      <c r="C72" s="174"/>
      <c r="D72" s="174"/>
      <c r="E72" s="174"/>
      <c r="F72" s="174"/>
      <c r="G72" s="17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4"/>
      <c r="AH72" s="4"/>
      <c r="AI72" s="4"/>
      <c r="AJ72" s="4"/>
      <c r="AK72" s="4"/>
      <c r="AL72" s="4"/>
      <c r="AM72" s="4"/>
      <c r="AN72" s="4"/>
      <c r="AO72" s="4"/>
    </row>
    <row r="73" spans="1:41" ht="30" customHeight="1" x14ac:dyDescent="0.35">
      <c r="A73" s="5"/>
      <c r="B73" s="6" t="s">
        <v>5</v>
      </c>
      <c r="C73" s="7" t="s">
        <v>6</v>
      </c>
      <c r="D73" s="7" t="s">
        <v>7</v>
      </c>
      <c r="E73" s="7" t="s">
        <v>11</v>
      </c>
      <c r="F73" s="7" t="s">
        <v>8</v>
      </c>
      <c r="G73" s="8" t="s">
        <v>10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4"/>
      <c r="AH73" s="4"/>
      <c r="AI73" s="4"/>
      <c r="AJ73" s="4"/>
      <c r="AK73" s="4"/>
      <c r="AL73" s="4"/>
      <c r="AM73" s="4"/>
      <c r="AN73" s="4"/>
      <c r="AO73" s="4"/>
    </row>
    <row r="74" spans="1:41" ht="30" customHeight="1" thickBot="1" x14ac:dyDescent="0.4">
      <c r="A74" s="5"/>
      <c r="B74" s="9" t="e">
        <f>#REF!</f>
        <v>#REF!</v>
      </c>
      <c r="C74" s="10" t="e">
        <f>#REF!</f>
        <v>#REF!</v>
      </c>
      <c r="D74" s="10" t="e">
        <f>#REF!</f>
        <v>#REF!</v>
      </c>
      <c r="E74" s="10" t="e">
        <f>#REF!</f>
        <v>#REF!</v>
      </c>
      <c r="F74" s="10">
        <f>MARCOS!BF14</f>
        <v>0</v>
      </c>
      <c r="G74" s="11" t="e">
        <f>(SUM(B74:F74))/500%</f>
        <v>#REF!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4"/>
      <c r="AH74" s="4"/>
      <c r="AI74" s="4"/>
      <c r="AJ74" s="4"/>
      <c r="AK74" s="4"/>
      <c r="AL74" s="4"/>
      <c r="AM74" s="4"/>
      <c r="AN74" s="4"/>
      <c r="AO74" s="4"/>
    </row>
    <row r="75" spans="1:41" x14ac:dyDescent="0.35">
      <c r="A75" s="5"/>
      <c r="B75" s="12">
        <v>0.8</v>
      </c>
      <c r="C75" s="12">
        <v>0.8</v>
      </c>
      <c r="D75" s="12">
        <v>0.8</v>
      </c>
      <c r="E75" s="12">
        <v>0.8</v>
      </c>
      <c r="F75" s="12">
        <v>0.8</v>
      </c>
      <c r="G75" s="12">
        <v>0.8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4"/>
      <c r="AH75" s="4"/>
      <c r="AI75" s="4"/>
      <c r="AJ75" s="4"/>
      <c r="AK75" s="4"/>
      <c r="AL75" s="4"/>
      <c r="AM75" s="4"/>
      <c r="AN75" s="4"/>
      <c r="AO75" s="4"/>
    </row>
    <row r="76" spans="1:41" ht="15" thickBot="1" x14ac:dyDescent="0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4"/>
      <c r="AH76" s="4"/>
      <c r="AI76" s="4"/>
      <c r="AJ76" s="4"/>
      <c r="AK76" s="4"/>
      <c r="AL76" s="4"/>
      <c r="AM76" s="4"/>
      <c r="AN76" s="4"/>
      <c r="AO76" s="4"/>
    </row>
    <row r="77" spans="1:41" ht="15" customHeight="1" x14ac:dyDescent="0.35">
      <c r="A77" s="13"/>
      <c r="B77" s="13"/>
      <c r="C77" s="13"/>
      <c r="D77" s="13"/>
      <c r="E77" s="13"/>
      <c r="F77" s="13"/>
      <c r="G77" s="13"/>
      <c r="H77" s="161" t="s">
        <v>14</v>
      </c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3"/>
      <c r="W77" s="170" t="e">
        <f>#REF!</f>
        <v>#REF!</v>
      </c>
      <c r="X77" s="171"/>
      <c r="Y77" s="152" t="s">
        <v>15</v>
      </c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153"/>
      <c r="AK77" s="153"/>
      <c r="AL77" s="153"/>
      <c r="AM77" s="153"/>
      <c r="AN77" s="153"/>
      <c r="AO77" s="154"/>
    </row>
    <row r="78" spans="1:41" ht="15" customHeight="1" x14ac:dyDescent="0.35">
      <c r="A78" s="13"/>
      <c r="B78" s="13"/>
      <c r="C78" s="13"/>
      <c r="D78" s="13"/>
      <c r="E78" s="13"/>
      <c r="F78" s="13"/>
      <c r="G78" s="13"/>
      <c r="H78" s="164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6"/>
      <c r="W78" s="172"/>
      <c r="X78" s="171"/>
      <c r="Y78" s="155"/>
      <c r="Z78" s="156"/>
      <c r="AA78" s="156"/>
      <c r="AB78" s="156"/>
      <c r="AC78" s="156"/>
      <c r="AD78" s="156"/>
      <c r="AE78" s="156"/>
      <c r="AF78" s="156"/>
      <c r="AG78" s="156"/>
      <c r="AH78" s="156"/>
      <c r="AI78" s="156"/>
      <c r="AJ78" s="156"/>
      <c r="AK78" s="156"/>
      <c r="AL78" s="156"/>
      <c r="AM78" s="156"/>
      <c r="AN78" s="156"/>
      <c r="AO78" s="157"/>
    </row>
    <row r="79" spans="1:41" ht="15.75" customHeight="1" thickBot="1" x14ac:dyDescent="0.4">
      <c r="A79" s="13"/>
      <c r="B79" s="13"/>
      <c r="C79" s="13"/>
      <c r="D79" s="13"/>
      <c r="E79" s="13"/>
      <c r="F79" s="13"/>
      <c r="G79" s="13"/>
      <c r="H79" s="167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9"/>
      <c r="W79" s="172"/>
      <c r="X79" s="171"/>
      <c r="Y79" s="158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60"/>
    </row>
    <row r="80" spans="1:41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4"/>
      <c r="AH80" s="4"/>
      <c r="AI80" s="4"/>
      <c r="AJ80" s="4"/>
      <c r="AK80" s="4"/>
      <c r="AL80" s="4"/>
      <c r="AM80" s="4"/>
      <c r="AN80" s="4"/>
      <c r="AO80" s="4"/>
    </row>
    <row r="81" spans="1:41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4"/>
      <c r="AH81" s="4"/>
      <c r="AI81" s="4"/>
      <c r="AJ81" s="4"/>
      <c r="AK81" s="4"/>
      <c r="AL81" s="4"/>
      <c r="AM81" s="4"/>
      <c r="AN81" s="4"/>
      <c r="AO81" s="4"/>
    </row>
    <row r="82" spans="1:41" ht="15" thickBot="1" x14ac:dyDescent="0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4"/>
      <c r="AH82" s="4"/>
      <c r="AI82" s="4"/>
      <c r="AJ82" s="4"/>
      <c r="AK82" s="4"/>
      <c r="AL82" s="4"/>
      <c r="AM82" s="4"/>
      <c r="AN82" s="4"/>
      <c r="AO82" s="4"/>
    </row>
    <row r="83" spans="1:41" ht="30" customHeight="1" thickBot="1" x14ac:dyDescent="0.4">
      <c r="A83" s="5"/>
      <c r="B83" s="173" t="s">
        <v>29</v>
      </c>
      <c r="C83" s="174"/>
      <c r="D83" s="174"/>
      <c r="E83" s="174"/>
      <c r="F83" s="174"/>
      <c r="G83" s="17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4"/>
      <c r="AH83" s="4"/>
      <c r="AI83" s="4"/>
      <c r="AJ83" s="4"/>
      <c r="AK83" s="4"/>
      <c r="AL83" s="4"/>
      <c r="AM83" s="4"/>
      <c r="AN83" s="4"/>
      <c r="AO83" s="4"/>
    </row>
    <row r="84" spans="1:41" ht="30" customHeight="1" x14ac:dyDescent="0.35">
      <c r="A84" s="5"/>
      <c r="B84" s="18" t="s">
        <v>5</v>
      </c>
      <c r="C84" s="19" t="s">
        <v>6</v>
      </c>
      <c r="D84" s="19" t="s">
        <v>7</v>
      </c>
      <c r="E84" s="7" t="s">
        <v>11</v>
      </c>
      <c r="F84" s="7" t="s">
        <v>8</v>
      </c>
      <c r="G84" s="8" t="s">
        <v>10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4"/>
      <c r="AH84" s="4"/>
      <c r="AI84" s="4"/>
      <c r="AJ84" s="4"/>
      <c r="AK84" s="4"/>
      <c r="AL84" s="4"/>
      <c r="AM84" s="4"/>
      <c r="AN84" s="4"/>
      <c r="AO84" s="4"/>
    </row>
    <row r="85" spans="1:41" ht="30" customHeight="1" thickBot="1" x14ac:dyDescent="0.4">
      <c r="A85" s="5"/>
      <c r="B85" s="9" t="e">
        <f>#REF!</f>
        <v>#REF!</v>
      </c>
      <c r="C85" s="10" t="e">
        <f>#REF!</f>
        <v>#REF!</v>
      </c>
      <c r="D85" s="10" t="e">
        <f>#REF!</f>
        <v>#REF!</v>
      </c>
      <c r="E85" s="10" t="e">
        <f>#REF!</f>
        <v>#REF!</v>
      </c>
      <c r="F85" s="10">
        <f>MARCOS!BK9</f>
        <v>0</v>
      </c>
      <c r="G85" s="11" t="e">
        <f>(SUM(B85:F85))/500%</f>
        <v>#REF!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4"/>
      <c r="AH85" s="4"/>
      <c r="AI85" s="4"/>
      <c r="AJ85" s="4"/>
      <c r="AK85" s="4"/>
      <c r="AL85" s="4"/>
      <c r="AM85" s="4"/>
      <c r="AN85" s="4"/>
      <c r="AO85" s="4"/>
    </row>
    <row r="86" spans="1:41" x14ac:dyDescent="0.35">
      <c r="A86" s="5"/>
      <c r="B86" s="12">
        <v>0.8</v>
      </c>
      <c r="C86" s="12">
        <v>0.8</v>
      </c>
      <c r="D86" s="12">
        <v>0.8</v>
      </c>
      <c r="E86" s="12">
        <v>0.8</v>
      </c>
      <c r="F86" s="12">
        <v>0.8</v>
      </c>
      <c r="G86" s="12">
        <v>0.8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4"/>
      <c r="AH86" s="4"/>
      <c r="AI86" s="4"/>
      <c r="AJ86" s="4"/>
      <c r="AK86" s="4"/>
      <c r="AL86" s="4"/>
      <c r="AM86" s="4"/>
      <c r="AN86" s="4"/>
      <c r="AO86" s="4"/>
    </row>
    <row r="87" spans="1:41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4"/>
      <c r="AH87" s="4"/>
      <c r="AI87" s="4"/>
      <c r="AJ87" s="4"/>
      <c r="AK87" s="4"/>
      <c r="AL87" s="4"/>
      <c r="AM87" s="4"/>
      <c r="AN87" s="4"/>
      <c r="AO87" s="4"/>
    </row>
    <row r="88" spans="1:41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4"/>
      <c r="AH88" s="4"/>
      <c r="AI88" s="4"/>
      <c r="AJ88" s="4"/>
      <c r="AK88" s="4"/>
      <c r="AL88" s="4"/>
      <c r="AM88" s="4"/>
      <c r="AN88" s="4"/>
      <c r="AO88" s="4"/>
    </row>
    <row r="89" spans="1:41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4"/>
      <c r="AH89" s="4"/>
      <c r="AI89" s="4"/>
      <c r="AJ89" s="4"/>
      <c r="AK89" s="4"/>
      <c r="AL89" s="4"/>
      <c r="AM89" s="4"/>
      <c r="AN89" s="4"/>
      <c r="AO89" s="4"/>
    </row>
    <row r="90" spans="1:41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4"/>
      <c r="AH90" s="4"/>
      <c r="AI90" s="4"/>
      <c r="AJ90" s="4"/>
      <c r="AK90" s="4"/>
      <c r="AL90" s="4"/>
      <c r="AM90" s="4"/>
      <c r="AN90" s="4"/>
      <c r="AO90" s="4"/>
    </row>
    <row r="91" spans="1:41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4"/>
      <c r="AH91" s="4"/>
      <c r="AI91" s="4"/>
      <c r="AJ91" s="4"/>
      <c r="AK91" s="4"/>
      <c r="AL91" s="4"/>
      <c r="AM91" s="4"/>
      <c r="AN91" s="4"/>
      <c r="AO91" s="4"/>
    </row>
    <row r="92" spans="1:41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4"/>
      <c r="AH92" s="4"/>
      <c r="AI92" s="4"/>
      <c r="AJ92" s="4"/>
      <c r="AK92" s="4"/>
      <c r="AL92" s="4"/>
      <c r="AM92" s="4"/>
      <c r="AN92" s="4"/>
      <c r="AO92" s="4"/>
    </row>
    <row r="93" spans="1:41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4"/>
      <c r="AH93" s="4"/>
      <c r="AI93" s="4"/>
      <c r="AJ93" s="4"/>
      <c r="AK93" s="4"/>
      <c r="AL93" s="4"/>
      <c r="AM93" s="4"/>
      <c r="AN93" s="4"/>
      <c r="AO93" s="4"/>
    </row>
    <row r="94" spans="1:41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4"/>
      <c r="AH94" s="4"/>
      <c r="AI94" s="4"/>
      <c r="AJ94" s="4"/>
      <c r="AK94" s="4"/>
      <c r="AL94" s="4"/>
      <c r="AM94" s="4"/>
      <c r="AN94" s="4"/>
      <c r="AO94" s="4"/>
    </row>
    <row r="95" spans="1:41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4"/>
      <c r="AH95" s="4"/>
      <c r="AI95" s="4"/>
      <c r="AJ95" s="4"/>
      <c r="AK95" s="4"/>
      <c r="AL95" s="4"/>
      <c r="AM95" s="4"/>
      <c r="AN95" s="4"/>
      <c r="AO95" s="4"/>
    </row>
    <row r="96" spans="1:41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4"/>
      <c r="AH96" s="4"/>
      <c r="AI96" s="4"/>
      <c r="AJ96" s="4"/>
      <c r="AK96" s="4"/>
      <c r="AL96" s="4"/>
      <c r="AM96" s="4"/>
      <c r="AN96" s="4"/>
      <c r="AO96" s="4"/>
    </row>
    <row r="97" spans="1:41" ht="15" thickBot="1" x14ac:dyDescent="0.4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4"/>
      <c r="AH97" s="4"/>
      <c r="AI97" s="4"/>
      <c r="AJ97" s="4"/>
      <c r="AK97" s="4"/>
      <c r="AL97" s="4"/>
      <c r="AM97" s="4"/>
      <c r="AN97" s="4"/>
      <c r="AO97" s="4"/>
    </row>
    <row r="98" spans="1:41" ht="16" thickBot="1" x14ac:dyDescent="0.4">
      <c r="A98" s="5"/>
      <c r="B98" s="173" t="s">
        <v>28</v>
      </c>
      <c r="C98" s="174"/>
      <c r="D98" s="174"/>
      <c r="E98" s="174"/>
      <c r="F98" s="174"/>
      <c r="G98" s="17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4"/>
      <c r="AH98" s="4"/>
      <c r="AI98" s="4"/>
      <c r="AJ98" s="4"/>
      <c r="AK98" s="4"/>
      <c r="AL98" s="4"/>
      <c r="AM98" s="4"/>
      <c r="AN98" s="4"/>
      <c r="AO98" s="4"/>
    </row>
    <row r="99" spans="1:41" ht="30" customHeight="1" x14ac:dyDescent="0.35">
      <c r="A99" s="5"/>
      <c r="B99" s="6" t="s">
        <v>5</v>
      </c>
      <c r="C99" s="7" t="s">
        <v>6</v>
      </c>
      <c r="D99" s="7" t="s">
        <v>7</v>
      </c>
      <c r="E99" s="7" t="s">
        <v>11</v>
      </c>
      <c r="F99" s="7" t="s">
        <v>8</v>
      </c>
      <c r="G99" s="8" t="s">
        <v>10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4"/>
      <c r="AH99" s="4"/>
      <c r="AI99" s="4"/>
      <c r="AJ99" s="4"/>
      <c r="AK99" s="4"/>
      <c r="AL99" s="4"/>
      <c r="AM99" s="4"/>
      <c r="AN99" s="4"/>
      <c r="AO99" s="4"/>
    </row>
    <row r="100" spans="1:41" ht="30" customHeight="1" thickBot="1" x14ac:dyDescent="0.4">
      <c r="A100" s="5"/>
      <c r="B100" s="9" t="e">
        <f>#REF!</f>
        <v>#REF!</v>
      </c>
      <c r="C100" s="10" t="e">
        <f>#REF!</f>
        <v>#REF!</v>
      </c>
      <c r="D100" s="10" t="e">
        <f>#REF!</f>
        <v>#REF!</v>
      </c>
      <c r="E100" s="10" t="e">
        <f>#REF!</f>
        <v>#REF!</v>
      </c>
      <c r="F100" s="10">
        <f>MARCOS!BK14</f>
        <v>0</v>
      </c>
      <c r="G100" s="11" t="e">
        <f>(SUM(B100:F100))/500%</f>
        <v>#REF!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4"/>
      <c r="AH100" s="4"/>
      <c r="AI100" s="4"/>
      <c r="AJ100" s="4"/>
      <c r="AK100" s="4"/>
      <c r="AL100" s="4"/>
      <c r="AM100" s="4"/>
      <c r="AN100" s="4"/>
      <c r="AO100" s="4"/>
    </row>
    <row r="101" spans="1:41" x14ac:dyDescent="0.35">
      <c r="A101" s="5"/>
      <c r="B101" s="12">
        <v>0.8</v>
      </c>
      <c r="C101" s="12">
        <v>0.8</v>
      </c>
      <c r="D101" s="12">
        <v>0.8</v>
      </c>
      <c r="E101" s="12">
        <v>0.8</v>
      </c>
      <c r="F101" s="12">
        <v>0.8</v>
      </c>
      <c r="G101" s="12">
        <v>0.8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4"/>
      <c r="AH101" s="4"/>
      <c r="AI101" s="4"/>
      <c r="AJ101" s="4"/>
      <c r="AK101" s="4"/>
      <c r="AL101" s="4"/>
      <c r="AM101" s="4"/>
      <c r="AN101" s="4"/>
      <c r="AO101" s="4"/>
    </row>
    <row r="102" spans="1:41" x14ac:dyDescent="0.3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4"/>
      <c r="AH102" s="4"/>
      <c r="AI102" s="4"/>
      <c r="AJ102" s="4"/>
      <c r="AK102" s="4"/>
      <c r="AL102" s="4"/>
      <c r="AM102" s="4"/>
      <c r="AN102" s="4"/>
      <c r="AO102" s="4"/>
    </row>
    <row r="103" spans="1:41" x14ac:dyDescent="0.3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</row>
    <row r="104" spans="1:41" x14ac:dyDescent="0.3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</row>
    <row r="105" spans="1:41" x14ac:dyDescent="0.3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</row>
    <row r="106" spans="1:4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</row>
    <row r="107" spans="1:4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</row>
    <row r="108" spans="1:4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</row>
    <row r="109" spans="1:4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</row>
    <row r="110" spans="1:4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</row>
    <row r="111" spans="1:4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</row>
    <row r="112" spans="1:4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</row>
    <row r="113" spans="1:4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</row>
    <row r="114" spans="1:4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</row>
    <row r="115" spans="1:4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</row>
    <row r="116" spans="1:4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</row>
    <row r="117" spans="1:4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</row>
    <row r="118" spans="1:4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</row>
    <row r="119" spans="1:4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</row>
    <row r="120" spans="1:4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</row>
    <row r="121" spans="1:4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</row>
    <row r="122" spans="1:4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</row>
    <row r="123" spans="1:4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</row>
    <row r="124" spans="1:4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</row>
    <row r="125" spans="1:4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</row>
    <row r="126" spans="1:4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</row>
    <row r="127" spans="1:4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</row>
    <row r="128" spans="1:4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</row>
    <row r="129" spans="1:4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</row>
    <row r="130" spans="1:4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</row>
    <row r="131" spans="1:4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</row>
    <row r="132" spans="1:4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</row>
    <row r="133" spans="1:4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</row>
    <row r="134" spans="1:4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</row>
    <row r="135" spans="1:4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</row>
    <row r="136" spans="1:4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</row>
    <row r="137" spans="1:4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</row>
    <row r="138" spans="1:4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</row>
    <row r="139" spans="1:4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</row>
    <row r="140" spans="1:4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</row>
    <row r="141" spans="1:4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</row>
    <row r="142" spans="1:4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</row>
    <row r="143" spans="1:4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</row>
    <row r="144" spans="1:4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</row>
    <row r="145" spans="1:4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</row>
    <row r="146" spans="1:4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</row>
    <row r="147" spans="1:4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</row>
    <row r="148" spans="1:4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</row>
    <row r="149" spans="1:4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</row>
    <row r="150" spans="1:4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</row>
    <row r="151" spans="1:4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</row>
    <row r="152" spans="1:4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</row>
    <row r="153" spans="1:4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</row>
    <row r="154" spans="1:4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</row>
    <row r="155" spans="1:4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</row>
    <row r="156" spans="1:4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</row>
    <row r="157" spans="1:4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</row>
    <row r="158" spans="1:4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</row>
    <row r="159" spans="1:4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</row>
    <row r="160" spans="1:4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</row>
    <row r="161" spans="1:4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</row>
    <row r="162" spans="1:4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</row>
    <row r="163" spans="1:4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</row>
    <row r="164" spans="1:4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</row>
    <row r="165" spans="1:4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</row>
    <row r="166" spans="1:4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</row>
    <row r="167" spans="1:4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</row>
    <row r="168" spans="1:4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</row>
    <row r="169" spans="1:4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</row>
    <row r="170" spans="1:4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</row>
    <row r="171" spans="1:4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</row>
    <row r="172" spans="1:4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</row>
    <row r="173" spans="1:4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</row>
    <row r="174" spans="1:4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</row>
    <row r="175" spans="1:4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</row>
    <row r="176" spans="1:4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</row>
    <row r="177" spans="1:4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</row>
    <row r="178" spans="1:4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</row>
    <row r="179" spans="1:4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</row>
    <row r="180" spans="1:4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</row>
    <row r="181" spans="1:4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</row>
    <row r="182" spans="1:4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</row>
    <row r="183" spans="1:4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</row>
    <row r="184" spans="1:4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</row>
    <row r="185" spans="1:4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</row>
    <row r="186" spans="1:4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</row>
    <row r="187" spans="1:4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</row>
    <row r="188" spans="1:4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</row>
    <row r="189" spans="1:4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</row>
    <row r="190" spans="1:4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</row>
    <row r="191" spans="1:4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</row>
    <row r="192" spans="1:4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</row>
    <row r="193" spans="1:4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</row>
    <row r="194" spans="1:4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</row>
    <row r="195" spans="1:4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</row>
    <row r="196" spans="1:4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</row>
    <row r="197" spans="1:4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</row>
    <row r="198" spans="1:4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</row>
    <row r="199" spans="1:4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</row>
    <row r="200" spans="1:4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</row>
    <row r="201" spans="1:4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</row>
    <row r="202" spans="1:4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</row>
    <row r="203" spans="1:4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</row>
    <row r="204" spans="1:4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</row>
    <row r="205" spans="1:4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</row>
    <row r="206" spans="1:4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</row>
    <row r="207" spans="1:4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</row>
    <row r="208" spans="1:4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</row>
    <row r="209" spans="1:4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</row>
    <row r="210" spans="1:4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</row>
    <row r="211" spans="1:4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</row>
    <row r="212" spans="1:4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</row>
    <row r="213" spans="1:4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</row>
    <row r="214" spans="1:4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</row>
    <row r="215" spans="1:4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</row>
    <row r="216" spans="1:4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</row>
    <row r="217" spans="1:4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</row>
    <row r="218" spans="1:4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</row>
    <row r="219" spans="1:4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</row>
    <row r="220" spans="1:4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</row>
    <row r="221" spans="1:4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</row>
    <row r="222" spans="1:4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</row>
    <row r="223" spans="1:4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</row>
    <row r="224" spans="1:4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</row>
    <row r="225" spans="1:4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</row>
    <row r="226" spans="1:4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</row>
    <row r="227" spans="1:4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</row>
    <row r="228" spans="1:4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</row>
    <row r="229" spans="1:4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</row>
    <row r="230" spans="1:4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</row>
    <row r="231" spans="1:4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</row>
    <row r="232" spans="1:4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</row>
    <row r="233" spans="1:4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</row>
    <row r="234" spans="1:4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</row>
    <row r="235" spans="1:4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</row>
    <row r="236" spans="1:4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</row>
    <row r="237" spans="1:4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</row>
    <row r="238" spans="1:4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</row>
    <row r="239" spans="1:4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</row>
    <row r="240" spans="1:4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</row>
    <row r="241" spans="1:4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</row>
    <row r="242" spans="1:4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</row>
    <row r="243" spans="1:4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</row>
    <row r="244" spans="1:4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</row>
    <row r="245" spans="1:4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</row>
    <row r="246" spans="1:4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</row>
    <row r="247" spans="1:4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</row>
    <row r="248" spans="1:4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</row>
    <row r="249" spans="1:4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</row>
    <row r="250" spans="1:4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</row>
    <row r="251" spans="1:4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</row>
    <row r="252" spans="1:4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</row>
    <row r="253" spans="1:4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</row>
    <row r="254" spans="1:4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</row>
    <row r="255" spans="1:4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</row>
    <row r="256" spans="1:4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</row>
    <row r="257" spans="1:4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</row>
    <row r="258" spans="1:4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</row>
    <row r="259" spans="1:4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</row>
    <row r="260" spans="1:4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</row>
    <row r="261" spans="1:4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</row>
    <row r="262" spans="1:4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</row>
    <row r="263" spans="1:4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</row>
    <row r="264" spans="1:4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</row>
    <row r="265" spans="1:4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</row>
    <row r="266" spans="1:4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</row>
    <row r="267" spans="1:4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</row>
    <row r="268" spans="1:4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</row>
    <row r="269" spans="1:4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</row>
    <row r="270" spans="1:4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</row>
    <row r="271" spans="1:4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</row>
    <row r="272" spans="1:4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</row>
    <row r="273" spans="1:4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</row>
    <row r="274" spans="1:4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</row>
    <row r="275" spans="1:4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</row>
    <row r="276" spans="1:4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</row>
    <row r="277" spans="1:4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</row>
    <row r="278" spans="1:4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</row>
    <row r="279" spans="1:4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4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</row>
    <row r="281" spans="1:4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</row>
    <row r="282" spans="1:4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</row>
    <row r="283" spans="1:4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</row>
    <row r="284" spans="1:4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</row>
    <row r="285" spans="1:4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</row>
    <row r="286" spans="1:4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</row>
    <row r="287" spans="1:4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</row>
    <row r="288" spans="1:4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</row>
  </sheetData>
  <sheetProtection selectLockedCells="1" selectUnlockedCells="1"/>
  <mergeCells count="19"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D33 F33:V33 A49:D49 F49:V49 A57:D57 F57:V57 A73:D73 F73:V73 A84:D84 F84:V84 A99:D99 F99:V99 A58 H58:V58 A74 H74:V74 A85 H85:V85 H100:V100 A13 A34 A50 A80:V82 A77:G77 A78:G79 A31:V31 A53:V55 B52:V52 H34:V34 H50:V50 H13:V13 A14 H14:V14 A35 H35:V35 H51:V51 A59 H59:V59 A75 H75:V75 A86 H86:V86 A20:V27 A19 I19:V19 W7:X79 A98 H98:V98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MARCOS</vt:lpstr>
      <vt:lpstr>PA MARCOS</vt:lpstr>
      <vt:lpstr>ADERÊNCIA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2023-10-30T12:46:10Z</dcterms:modified>
</cp:coreProperties>
</file>